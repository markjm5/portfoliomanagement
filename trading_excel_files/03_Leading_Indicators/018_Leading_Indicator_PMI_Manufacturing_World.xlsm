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8.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9.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tables/table5.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tables/table6.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7.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8.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9.xml" ContentType="application/vnd.openxmlformats-officedocument.spreadsheetml.table+xml"/>
  <Override PartName="/xl/worksheets/sheet16.xml" ContentType="application/vnd.openxmlformats-officedocument.spreadsheetml.worksheet+xml"/>
  <Override PartName="/xl/drawings/drawing10.xml" ContentType="application/vnd.openxmlformats-officedocument.drawing+xml"/>
  <Override PartName="/xl/tables/table10.xml" ContentType="application/vnd.openxmlformats-officedocument.spreadsheetml.table+xml"/>
  <Override PartName="/xl/worksheets/sheet17.xml" ContentType="application/vnd.openxmlformats-officedocument.spreadsheetml.worksheet+xml"/>
  <Override PartName="/xl/drawings/drawing11.xml" ContentType="application/vnd.openxmlformats-officedocument.drawing+xml"/>
  <Override PartName="/xl/tables/table11.xml" ContentType="application/vnd.openxmlformats-officedocument.spreadsheetml.table+xml"/>
  <Override PartName="/xl/worksheets/sheet18.xml" ContentType="application/vnd.openxmlformats-officedocument.spreadsheetml.worksheet+xml"/>
  <Override PartName="/xl/drawings/drawing12.xml" ContentType="application/vnd.openxmlformats-officedocument.drawing+xml"/>
  <Override PartName="/xl/tables/table12.xml" ContentType="application/vnd.openxmlformats-officedocument.spreadsheetml.table+xml"/>
  <Override PartName="/xl/worksheets/sheet19.xml" ContentType="application/vnd.openxmlformats-officedocument.spreadsheetml.worksheet+xml"/>
  <Override PartName="/xl/drawings/drawing13.xml" ContentType="application/vnd.openxmlformats-officedocument.drawing+xml"/>
  <Override PartName="/xl/tables/table13.xml" ContentType="application/vnd.openxmlformats-officedocument.spreadsheetml.table+xml"/>
  <Override PartName="/xl/worksheets/sheet20.xml" ContentType="application/vnd.openxmlformats-officedocument.spreadsheetml.worksheet+xml"/>
  <Override PartName="/xl/drawings/drawing14.xml" ContentType="application/vnd.openxmlformats-officedocument.drawing+xml"/>
  <Override PartName="/xl/tables/table14.xml" ContentType="application/vnd.openxmlformats-officedocument.spreadsheetml.table+xml"/>
  <Override PartName="/xl/worksheets/sheet21.xml" ContentType="application/vnd.openxmlformats-officedocument.spreadsheetml.worksheet+xml"/>
  <Override PartName="/xl/drawings/drawing15.xml" ContentType="application/vnd.openxmlformats-officedocument.drawing+xml"/>
  <Override PartName="/xl/tables/table15.xml" ContentType="application/vnd.openxmlformats-officedocument.spreadsheetml.table+xml"/>
  <Override PartName="/xl/worksheets/sheet22.xml" ContentType="application/vnd.openxmlformats-officedocument.spreadsheetml.worksheet+xml"/>
  <Override PartName="/xl/drawings/drawing16.xml" ContentType="application/vnd.openxmlformats-officedocument.drawing+xml"/>
  <Override PartName="/xl/tables/table16.xml" ContentType="application/vnd.openxmlformats-officedocument.spreadsheetml.table+xml"/>
  <Override PartName="/xl/worksheets/sheet23.xml" ContentType="application/vnd.openxmlformats-officedocument.spreadsheetml.worksheet+xml"/>
  <Override PartName="/xl/drawings/drawing17.xml" ContentType="application/vnd.openxmlformats-officedocument.drawing+xml"/>
  <Override PartName="/xl/tables/table17.xml" ContentType="application/vnd.openxmlformats-officedocument.spreadsheetml.table+xml"/>
  <Override PartName="/xl/worksheets/sheet24.xml" ContentType="application/vnd.openxmlformats-officedocument.spreadsheetml.worksheet+xml"/>
  <Override PartName="/xl/drawings/drawing18.xml" ContentType="application/vnd.openxmlformats-officedocument.drawing+xml"/>
  <Override PartName="/xl/tables/table18.xml" ContentType="application/vnd.openxmlformats-officedocument.spreadsheetml.table+xml"/>
  <Override PartName="/xl/worksheets/sheet25.xml" ContentType="application/vnd.openxmlformats-officedocument.spreadsheetml.worksheet+xml"/>
  <Override PartName="/xl/drawings/drawing19.xml" ContentType="application/vnd.openxmlformats-officedocument.drawing+xml"/>
  <Override PartName="/xl/tables/table19.xml" ContentType="application/vnd.openxmlformats-officedocument.spreadsheetml.table+xml"/>
  <Override PartName="/xl/worksheets/sheet26.xml" ContentType="application/vnd.openxmlformats-officedocument.spreadsheetml.worksheet+xml"/>
  <Override PartName="/xl/drawings/drawing20.xml" ContentType="application/vnd.openxmlformats-officedocument.drawing+xml"/>
  <Override PartName="/xl/tables/table20.xml" ContentType="application/vnd.openxmlformats-officedocument.spreadsheetml.table+xml"/>
  <Override PartName="/xl/worksheets/sheet27.xml" ContentType="application/vnd.openxmlformats-officedocument.spreadsheetml.worksheet+xml"/>
  <Override PartName="/xl/drawings/drawing21.xml" ContentType="application/vnd.openxmlformats-officedocument.drawing+xml"/>
  <Override PartName="/xl/tables/table21.xml" ContentType="application/vnd.openxmlformats-officedocument.spreadsheetml.table+xml"/>
  <Override PartName="/xl/worksheets/sheet28.xml" ContentType="application/vnd.openxmlformats-officedocument.spreadsheetml.worksheet+xml"/>
  <Override PartName="/xl/drawings/drawing22.xml" ContentType="application/vnd.openxmlformats-officedocument.drawing+xml"/>
  <Override PartName="/xl/tables/table22.xml" ContentType="application/vnd.openxmlformats-officedocument.spreadsheetml.table+xml"/>
  <Override PartName="/xl/worksheets/sheet29.xml" ContentType="application/vnd.openxmlformats-officedocument.spreadsheetml.worksheet+xml"/>
  <Override PartName="/xl/drawings/drawing23.xml" ContentType="application/vnd.openxmlformats-officedocument.drawing+xml"/>
  <Override PartName="/xl/tables/table23.xml" ContentType="application/vnd.openxmlformats-officedocument.spreadsheetml.table+xml"/>
  <Override PartName="/xl/worksheets/sheet30.xml" ContentType="application/vnd.openxmlformats-officedocument.spreadsheetml.worksheet+xml"/>
  <Override PartName="/xl/drawings/drawing24.xml" ContentType="application/vnd.openxmlformats-officedocument.drawing+xml"/>
  <Override PartName="/xl/tables/table24.xml" ContentType="application/vnd.openxmlformats-officedocument.spreadsheetml.table+xml"/>
  <Override PartName="/xl/worksheets/sheet31.xml" ContentType="application/vnd.openxmlformats-officedocument.spreadsheetml.worksheet+xml"/>
  <Override PartName="/xl/drawings/drawing25.xml" ContentType="application/vnd.openxmlformats-officedocument.drawing+xml"/>
  <Override PartName="/xl/tables/table25.xml" ContentType="application/vnd.openxmlformats-officedocument.spreadsheetml.table+xml"/>
  <Override PartName="/xl/worksheets/sheet32.xml" ContentType="application/vnd.openxmlformats-officedocument.spreadsheetml.worksheet+xml"/>
  <Override PartName="/xl/drawings/drawing26.xml" ContentType="application/vnd.openxmlformats-officedocument.drawing+xml"/>
  <Override PartName="/xl/tables/table26.xml" ContentType="application/vnd.openxmlformats-officedocument.spreadsheetml.table+xml"/>
  <Override PartName="/xl/worksheets/sheet33.xml" ContentType="application/vnd.openxmlformats-officedocument.spreadsheetml.worksheet+xml"/>
  <Override PartName="/xl/drawings/drawing27.xml" ContentType="application/vnd.openxmlformats-officedocument.drawing+xml"/>
  <Override PartName="/xl/tables/table27.xml" ContentType="application/vnd.openxmlformats-officedocument.spreadsheetml.table+xml"/>
  <Override PartName="/xl/worksheets/sheet34.xml" ContentType="application/vnd.openxmlformats-officedocument.spreadsheetml.worksheet+xml"/>
  <Override PartName="/xl/drawings/drawing28.xml" ContentType="application/vnd.openxmlformats-officedocument.drawing+xml"/>
  <Override PartName="/xl/tables/table28.xml" ContentType="application/vnd.openxmlformats-officedocument.spreadsheetml.table+xml"/>
  <Override PartName="/xl/worksheets/sheet35.xml" ContentType="application/vnd.openxmlformats-officedocument.spreadsheetml.worksheet+xml"/>
  <Override PartName="/xl/drawings/drawing29.xml" ContentType="application/vnd.openxmlformats-officedocument.drawing+xml"/>
  <Override PartName="/xl/tables/table29.xml" ContentType="application/vnd.openxmlformats-officedocument.spreadsheetml.table+xml"/>
  <Override PartName="/xl/worksheets/sheet36.xml" ContentType="application/vnd.openxmlformats-officedocument.spreadsheetml.worksheet+xml"/>
  <Override PartName="/xl/drawings/drawing30.xml" ContentType="application/vnd.openxmlformats-officedocument.drawing+xml"/>
  <Override PartName="/xl/tables/table30.xml" ContentType="application/vnd.openxmlformats-officedocument.spreadsheetml.table+xml"/>
  <Override PartName="/xl/worksheets/sheet37.xml" ContentType="application/vnd.openxmlformats-officedocument.spreadsheetml.worksheet+xml"/>
  <Override PartName="/xl/drawings/drawing31.xml" ContentType="application/vnd.openxmlformats-officedocument.drawing+xml"/>
  <Override PartName="/xl/tables/table3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22695" yWindow="-21720" windowWidth="51840" windowHeight="21120" tabRatio="868" firstSheet="0" activeTab="2"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DB Global PMI" sheetId="3" state="visible" r:id="rId3"/>
    <sheet xmlns:r="http://schemas.openxmlformats.org/officeDocument/2006/relationships" name="DB China Official PMI" sheetId="4" state="visible" r:id="rId4"/>
    <sheet xmlns:r="http://schemas.openxmlformats.org/officeDocument/2006/relationships" name="DB US ISM Manufacturing" sheetId="5" state="visible" r:id="rId5"/>
    <sheet xmlns:r="http://schemas.openxmlformats.org/officeDocument/2006/relationships" name="Summary" sheetId="6" state="visible" r:id="rId6"/>
    <sheet xmlns:r="http://schemas.openxmlformats.org/officeDocument/2006/relationships" name="Global" sheetId="7" state="visible" r:id="rId7"/>
    <sheet xmlns:r="http://schemas.openxmlformats.org/officeDocument/2006/relationships" name="US" sheetId="8" state="visible" r:id="rId8"/>
    <sheet xmlns:r="http://schemas.openxmlformats.org/officeDocument/2006/relationships" name="China" sheetId="9" state="visible" r:id="rId9"/>
    <sheet xmlns:r="http://schemas.openxmlformats.org/officeDocument/2006/relationships" name="Euro Area" sheetId="10" state="visible" r:id="rId10"/>
    <sheet xmlns:r="http://schemas.openxmlformats.org/officeDocument/2006/relationships" name="Japan" sheetId="11" state="visible" r:id="rId11"/>
    <sheet xmlns:r="http://schemas.openxmlformats.org/officeDocument/2006/relationships" name="Germany" sheetId="12" state="visible" r:id="rId12"/>
    <sheet xmlns:r="http://schemas.openxmlformats.org/officeDocument/2006/relationships" name="France" sheetId="13" state="visible" r:id="rId13"/>
    <sheet xmlns:r="http://schemas.openxmlformats.org/officeDocument/2006/relationships" name="UK" sheetId="14" state="visible" r:id="rId14"/>
    <sheet xmlns:r="http://schemas.openxmlformats.org/officeDocument/2006/relationships" name="Italy" sheetId="15" state="visible" r:id="rId15"/>
    <sheet xmlns:r="http://schemas.openxmlformats.org/officeDocument/2006/relationships" name="Spain" sheetId="16" state="visible" r:id="rId16"/>
    <sheet xmlns:r="http://schemas.openxmlformats.org/officeDocument/2006/relationships" name="Brazil" sheetId="17" state="visible" r:id="rId17"/>
    <sheet xmlns:r="http://schemas.openxmlformats.org/officeDocument/2006/relationships" name="Mexico" sheetId="18" state="visible" r:id="rId18"/>
    <sheet xmlns:r="http://schemas.openxmlformats.org/officeDocument/2006/relationships" name="Russia" sheetId="19" state="visible" r:id="rId19"/>
    <sheet xmlns:r="http://schemas.openxmlformats.org/officeDocument/2006/relationships" name="India" sheetId="20" state="visible" r:id="rId20"/>
    <sheet xmlns:r="http://schemas.openxmlformats.org/officeDocument/2006/relationships" name="Canada" sheetId="21" state="visible" r:id="rId21"/>
    <sheet xmlns:r="http://schemas.openxmlformats.org/officeDocument/2006/relationships" name="Australia" sheetId="22" state="visible" r:id="rId22"/>
    <sheet xmlns:r="http://schemas.openxmlformats.org/officeDocument/2006/relationships" name="Indonesia" sheetId="23" state="visible" r:id="rId23"/>
    <sheet xmlns:r="http://schemas.openxmlformats.org/officeDocument/2006/relationships" name="SouthKorea" sheetId="24" state="visible" r:id="rId24"/>
    <sheet xmlns:r="http://schemas.openxmlformats.org/officeDocument/2006/relationships" name="Taiwan" sheetId="25" state="visible" r:id="rId25"/>
    <sheet xmlns:r="http://schemas.openxmlformats.org/officeDocument/2006/relationships" name="Greece" sheetId="26" state="visible" r:id="rId26"/>
    <sheet xmlns:r="http://schemas.openxmlformats.org/officeDocument/2006/relationships" name="Ireland" sheetId="27" state="visible" r:id="rId27"/>
    <sheet xmlns:r="http://schemas.openxmlformats.org/officeDocument/2006/relationships" name="Turkey" sheetId="28" state="visible" r:id="rId28"/>
    <sheet xmlns:r="http://schemas.openxmlformats.org/officeDocument/2006/relationships" name="CzechRepublic" sheetId="29" state="visible" r:id="rId29"/>
    <sheet xmlns:r="http://schemas.openxmlformats.org/officeDocument/2006/relationships" name="Poland" sheetId="30" state="visible" r:id="rId30"/>
    <sheet xmlns:r="http://schemas.openxmlformats.org/officeDocument/2006/relationships" name="Denmark" sheetId="31" state="visible" r:id="rId31"/>
    <sheet xmlns:r="http://schemas.openxmlformats.org/officeDocument/2006/relationships" name="Vietnam" sheetId="32" state="visible" r:id="rId32"/>
    <sheet xmlns:r="http://schemas.openxmlformats.org/officeDocument/2006/relationships" name="Thailand" sheetId="33" state="visible" r:id="rId33"/>
    <sheet xmlns:r="http://schemas.openxmlformats.org/officeDocument/2006/relationships" name="South Africa" sheetId="34" state="visible" r:id="rId34"/>
    <sheet xmlns:r="http://schemas.openxmlformats.org/officeDocument/2006/relationships" name="Hong Kong" sheetId="35" state="visible" r:id="rId35"/>
    <sheet xmlns:r="http://schemas.openxmlformats.org/officeDocument/2006/relationships" name="Saudi Arabia" sheetId="36" state="visible" r:id="rId36"/>
    <sheet xmlns:r="http://schemas.openxmlformats.org/officeDocument/2006/relationships" name="NewZealand" sheetId="37" state="visible" r:id="rId37"/>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6">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rgb="FF00B0F0"/>
      <sz val="9"/>
      <scheme val="minor"/>
    </font>
    <font>
      <name val="Calibri"/>
      <family val="2"/>
      <color theme="1"/>
      <sz val="10"/>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s>
  <borders count="36">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top style="thin">
        <color indexed="64"/>
      </top>
      <bottom/>
      <diagonal/>
    </border>
    <border>
      <left/>
      <right/>
      <top style="medium">
        <color indexed="64"/>
      </top>
      <bottom/>
      <diagonal/>
    </border>
  </borders>
  <cellStyleXfs count="4">
    <xf numFmtId="0" fontId="1" fillId="0" borderId="0"/>
    <xf numFmtId="9" fontId="1" fillId="0" borderId="0"/>
    <xf numFmtId="0" fontId="4" fillId="0" borderId="0"/>
    <xf numFmtId="0" fontId="9" fillId="0" borderId="0"/>
  </cellStyleXfs>
  <cellXfs count="82">
    <xf numFmtId="0" fontId="0" fillId="0" borderId="0" pivotButton="0" quotePrefix="0" xfId="0"/>
    <xf numFmtId="0" fontId="4" fillId="0" borderId="0" pivotButton="0" quotePrefix="0" xfId="2"/>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7" applyAlignment="1" pivotButton="0" quotePrefix="0" xfId="0">
      <alignment horizontal="center"/>
    </xf>
    <xf numFmtId="14" fontId="3" fillId="2" borderId="7" applyAlignment="1" pivotButton="0" quotePrefix="0" xfId="0">
      <alignment horizontal="center"/>
    </xf>
    <xf numFmtId="0" fontId="3" fillId="2" borderId="8" applyAlignment="1" pivotButton="0" quotePrefix="0" xfId="0">
      <alignment horizontal="center"/>
    </xf>
    <xf numFmtId="0" fontId="3" fillId="2" borderId="10" applyAlignment="1" pivotButton="0" quotePrefix="0" xfId="0">
      <alignment horizontal="center"/>
    </xf>
    <xf numFmtId="0" fontId="3" fillId="2" borderId="11" applyAlignment="1" pivotButton="0" quotePrefix="0" xfId="0">
      <alignment horizontal="center"/>
    </xf>
    <xf numFmtId="14" fontId="0" fillId="2" borderId="6" applyAlignment="1" pivotButton="0" quotePrefix="0" xfId="0">
      <alignment horizontal="center"/>
    </xf>
    <xf numFmtId="2" fontId="0" fillId="2" borderId="9" applyAlignment="1" pivotButton="0" quotePrefix="0" xfId="0">
      <alignment horizontal="center"/>
    </xf>
    <xf numFmtId="0" fontId="0" fillId="2" borderId="4" applyAlignment="1" pivotButton="0" quotePrefix="0" xfId="0">
      <alignment horizontal="center"/>
    </xf>
    <xf numFmtId="10" fontId="0" fillId="2" borderId="4" applyAlignment="1" pivotButton="0" quotePrefix="0" xfId="1">
      <alignment horizontal="center"/>
    </xf>
    <xf numFmtId="14" fontId="0" fillId="2" borderId="23" applyAlignment="1" pivotButton="0" quotePrefix="0" xfId="0">
      <alignment horizontal="center"/>
    </xf>
    <xf numFmtId="0" fontId="0" fillId="2" borderId="24" applyAlignment="1" pivotButton="0" quotePrefix="0" xfId="0">
      <alignment horizontal="center"/>
    </xf>
    <xf numFmtId="10" fontId="0" fillId="2" borderId="25" applyAlignment="1" pivotButton="0" quotePrefix="0" xfId="1">
      <alignment horizontal="center"/>
    </xf>
    <xf numFmtId="14" fontId="0" fillId="2" borderId="20" applyAlignment="1" pivotButton="0" quotePrefix="0" xfId="0">
      <alignment horizontal="center"/>
    </xf>
    <xf numFmtId="0" fontId="0" fillId="2" borderId="21" applyAlignment="1" pivotButton="0" quotePrefix="0" xfId="0">
      <alignment horizontal="center"/>
    </xf>
    <xf numFmtId="2" fontId="0" fillId="2" borderId="21" applyAlignment="1" pivotButton="0" quotePrefix="0" xfId="0">
      <alignment horizontal="center"/>
    </xf>
    <xf numFmtId="0" fontId="0" fillId="2" borderId="22" applyAlignment="1" pivotButton="0" quotePrefix="0" xfId="0">
      <alignment horizontal="center"/>
    </xf>
    <xf numFmtId="0" fontId="0" fillId="3" borderId="26" applyAlignment="1" pivotButton="0" quotePrefix="0" xfId="0">
      <alignment horizontal="center"/>
    </xf>
    <xf numFmtId="0" fontId="0" fillId="3" borderId="27" applyAlignment="1" pivotButton="0" quotePrefix="0" xfId="0">
      <alignment horizontal="center"/>
    </xf>
    <xf numFmtId="0" fontId="0" fillId="3" borderId="28" applyAlignment="1" pivotButton="0" quotePrefix="0" xfId="0">
      <alignment horizontal="center"/>
    </xf>
    <xf numFmtId="0" fontId="0" fillId="2" borderId="9" applyAlignment="1" pivotButton="0" quotePrefix="0" xfId="0">
      <alignment horizontal="center"/>
    </xf>
    <xf numFmtId="0" fontId="0" fillId="3" borderId="29" applyAlignment="1" pivotButton="0" quotePrefix="0" xfId="0">
      <alignment horizontal="center"/>
    </xf>
    <xf numFmtId="164" fontId="0" fillId="2" borderId="9" applyAlignment="1" pivotButton="0" quotePrefix="0" xfId="0">
      <alignment horizontal="center"/>
    </xf>
    <xf numFmtId="14" fontId="0" fillId="2" borderId="0" pivotButton="0" quotePrefix="0" xfId="0"/>
    <xf numFmtId="164" fontId="13" fillId="5" borderId="9" applyAlignment="1" pivotButton="0" quotePrefix="0" xfId="0">
      <alignment horizontal="center" vertical="center"/>
    </xf>
    <xf numFmtId="17" fontId="10" fillId="5" borderId="9" applyAlignment="1" pivotButton="0" quotePrefix="0" xfId="0">
      <alignment horizontal="left" vertical="top" wrapText="1"/>
    </xf>
    <xf numFmtId="164" fontId="11" fillId="0" borderId="9" applyAlignment="1" pivotButton="0" quotePrefix="0" xfId="0">
      <alignment horizontal="center" vertical="center"/>
    </xf>
    <xf numFmtId="0" fontId="8" fillId="2" borderId="0" pivotButton="0" quotePrefix="0" xfId="0"/>
    <xf numFmtId="0" fontId="11" fillId="0" borderId="15" pivotButton="0" quotePrefix="0" xfId="0"/>
    <xf numFmtId="164" fontId="13" fillId="5" borderId="16" applyAlignment="1" pivotButton="0" quotePrefix="0" xfId="0">
      <alignment horizontal="center" vertical="center"/>
    </xf>
    <xf numFmtId="0" fontId="12" fillId="5" borderId="18" applyAlignment="1" pivotButton="0" quotePrefix="0" xfId="0">
      <alignment horizontal="center" vertical="center"/>
    </xf>
    <xf numFmtId="0" fontId="12" fillId="5" borderId="19" applyAlignment="1" pivotButton="0" quotePrefix="0" xfId="0">
      <alignment horizontal="center" vertical="center"/>
    </xf>
    <xf numFmtId="0" fontId="11" fillId="4" borderId="12" pivotButton="0" quotePrefix="0" xfId="0"/>
    <xf numFmtId="0" fontId="12" fillId="4" borderId="13" applyAlignment="1" pivotButton="0" quotePrefix="0" xfId="0">
      <alignment horizontal="center" textRotation="90"/>
    </xf>
    <xf numFmtId="0" fontId="12" fillId="4" borderId="13" applyAlignment="1" pivotButton="0" quotePrefix="0" xfId="0">
      <alignment horizontal="left" textRotation="90"/>
    </xf>
    <xf numFmtId="0" fontId="12" fillId="4" borderId="14" applyAlignment="1" pivotButton="0" quotePrefix="0" xfId="0">
      <alignment horizontal="center" textRotation="90"/>
    </xf>
    <xf numFmtId="164" fontId="13" fillId="5" borderId="24" applyAlignment="1" pivotButton="0" quotePrefix="0" xfId="0">
      <alignment horizontal="center" vertical="center"/>
    </xf>
    <xf numFmtId="164" fontId="13" fillId="5" borderId="12" applyAlignment="1" pivotButton="0" quotePrefix="0" xfId="0">
      <alignment horizontal="center" vertical="center"/>
    </xf>
    <xf numFmtId="164" fontId="13" fillId="5" borderId="13" applyAlignment="1" pivotButton="0" quotePrefix="0" xfId="0">
      <alignment horizontal="center" vertical="center"/>
    </xf>
    <xf numFmtId="164" fontId="13" fillId="5" borderId="14" applyAlignment="1" pivotButton="0" quotePrefix="0" xfId="0">
      <alignment horizontal="center" vertical="center"/>
    </xf>
    <xf numFmtId="164" fontId="13" fillId="5" borderId="15" applyAlignment="1" pivotButton="0" quotePrefix="0" xfId="0">
      <alignment horizontal="center" vertical="center"/>
    </xf>
    <xf numFmtId="0" fontId="12" fillId="5" borderId="17" applyAlignment="1" pivotButton="0" quotePrefix="0" xfId="0">
      <alignment horizontal="center" vertical="center"/>
    </xf>
    <xf numFmtId="0" fontId="3" fillId="5" borderId="15" applyAlignment="1" pivotButton="0" quotePrefix="0" xfId="0">
      <alignment horizontal="center" vertical="center" textRotation="90"/>
    </xf>
    <xf numFmtId="0" fontId="3" fillId="5" borderId="9" applyAlignment="1" pivotButton="0" quotePrefix="0" xfId="0">
      <alignment horizontal="center" vertical="center" textRotation="90"/>
    </xf>
    <xf numFmtId="0" fontId="3" fillId="5" borderId="16" applyAlignment="1" pivotButton="0" quotePrefix="0" xfId="0">
      <alignment horizontal="center" vertical="center" textRotation="90"/>
    </xf>
    <xf numFmtId="0" fontId="3" fillId="4" borderId="31" pivotButton="0" quotePrefix="0" xfId="0"/>
    <xf numFmtId="0" fontId="3" fillId="4" borderId="31" applyAlignment="1" pivotButton="0" quotePrefix="0" xfId="0">
      <alignment vertical="center" wrapText="1"/>
    </xf>
    <xf numFmtId="0" fontId="3" fillId="4" borderId="32" applyAlignment="1" pivotButton="0" quotePrefix="0" xfId="0">
      <alignment vertical="center" wrapText="1"/>
    </xf>
    <xf numFmtId="165" fontId="0" fillId="2" borderId="9" applyAlignment="1" pivotButton="0" quotePrefix="0" xfId="1">
      <alignment horizontal="center"/>
    </xf>
    <xf numFmtId="0" fontId="0" fillId="3" borderId="26" applyAlignment="1" pivotButton="0" quotePrefix="0" xfId="0">
      <alignment horizontal="center" wrapText="1"/>
    </xf>
    <xf numFmtId="0" fontId="0" fillId="3" borderId="27" applyAlignment="1" pivotButton="0" quotePrefix="0" xfId="0">
      <alignment horizontal="center" wrapText="1"/>
    </xf>
    <xf numFmtId="0" fontId="0" fillId="3" borderId="29" applyAlignment="1" pivotButton="0" quotePrefix="0" xfId="0">
      <alignment horizontal="center" wrapText="1"/>
    </xf>
    <xf numFmtId="164" fontId="0" fillId="2" borderId="9" applyAlignment="1" pivotButton="0" quotePrefix="0" xfId="1">
      <alignment horizontal="center"/>
    </xf>
    <xf numFmtId="165" fontId="15" fillId="2" borderId="9" applyAlignment="1" pivotButton="0" quotePrefix="0" xfId="0">
      <alignment horizontal="center"/>
    </xf>
    <xf numFmtId="0" fontId="0" fillId="2" borderId="21" pivotButton="0" quotePrefix="0" xfId="0"/>
    <xf numFmtId="0" fontId="3" fillId="2" borderId="7" pivotButton="0" quotePrefix="0" xfId="0"/>
    <xf numFmtId="0" fontId="3" fillId="2" borderId="33" pivotButton="0" quotePrefix="0" xfId="0"/>
    <xf numFmtId="164" fontId="0" fillId="2" borderId="0" pivotButton="0" quotePrefix="0" xfId="0"/>
    <xf numFmtId="17" fontId="14" fillId="2" borderId="0" applyAlignment="1" pivotButton="0" quotePrefix="0" xfId="0">
      <alignment horizontal="left" vertical="top" wrapText="1"/>
    </xf>
    <xf numFmtId="0" fontId="0" fillId="2" borderId="0" pivotButton="0" quotePrefix="0" xfId="0"/>
    <xf numFmtId="0" fontId="0" fillId="2" borderId="0" applyAlignment="1" pivotButton="0" quotePrefix="0" xfId="0">
      <alignment wrapText="1"/>
    </xf>
    <xf numFmtId="166" fontId="0" fillId="0" borderId="0" pivotButton="0" quotePrefix="0" xfId="0"/>
    <xf numFmtId="0" fontId="3" fillId="4" borderId="9" applyAlignment="1" pivotButton="0" quotePrefix="0" xfId="0">
      <alignment horizontal="center"/>
    </xf>
    <xf numFmtId="0" fontId="0" fillId="0" borderId="6" pivotButton="0" quotePrefix="0" xfId="0"/>
    <xf numFmtId="0" fontId="0" fillId="2" borderId="0" applyAlignment="1" pivotButton="0" quotePrefix="0" xfId="0">
      <alignment wrapText="1"/>
    </xf>
    <xf numFmtId="0" fontId="0" fillId="2" borderId="0" pivotButton="0" quotePrefix="0" xfId="0"/>
    <xf numFmtId="0" fontId="3" fillId="4" borderId="30" applyAlignment="1" pivotButton="0" quotePrefix="0" xfId="0">
      <alignment horizontal="center"/>
    </xf>
    <xf numFmtId="0" fontId="0" fillId="0" borderId="2" pivotButton="0" quotePrefix="0" xfId="0"/>
    <xf numFmtId="0" fontId="0" fillId="0" borderId="3" pivotButton="0" quotePrefix="0" xfId="0"/>
    <xf numFmtId="0" fontId="3" fillId="2" borderId="1" applyAlignment="1" pivotButton="0" quotePrefix="0" xfId="0">
      <alignment horizontal="center" vertical="center"/>
    </xf>
    <xf numFmtId="0" fontId="0" fillId="0" borderId="1" pivotButton="0" quotePrefix="0" xfId="0"/>
    <xf numFmtId="0" fontId="2" fillId="3" borderId="30" applyAlignment="1" pivotButton="0" quotePrefix="0" xfId="0">
      <alignment horizontal="center"/>
    </xf>
    <xf numFmtId="0" fontId="0" fillId="0" borderId="5" pivotButton="0" quotePrefix="0" xfId="0"/>
    <xf numFmtId="0" fontId="5" fillId="2" borderId="0" applyAlignment="1" pivotButton="0" quotePrefix="0" xfId="0">
      <alignment wrapText="1"/>
    </xf>
    <xf numFmtId="0" fontId="3" fillId="2" borderId="0" pivotButton="0" quotePrefix="0" xfId="0"/>
    <xf numFmtId="0" fontId="0" fillId="0" borderId="0" applyAlignment="1" pivotButton="0" quotePrefix="0" xfId="0">
      <alignment vertical="center"/>
    </xf>
    <xf numFmtId="167" fontId="0" fillId="0" borderId="0" pivotButton="0" quotePrefix="0" xfId="0"/>
    <xf numFmtId="167" fontId="0" fillId="0" borderId="0" pivotButton="0" quotePrefix="0" xfId="0"/>
  </cellXfs>
  <cellStyles count="4">
    <cellStyle name="Normal" xfId="0" builtinId="0"/>
    <cellStyle name="Percent" xfId="1" builtinId="5"/>
    <cellStyle name="Hyperlink" xfId="2" builtinId="8"/>
    <cellStyle name="Normal 3" xfId="3"/>
  </cellStyles>
  <dxfs count="276">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styles" Target="styles.xml" Id="rId38"/><Relationship Type="http://schemas.openxmlformats.org/officeDocument/2006/relationships/theme" Target="theme/theme1.xml" Id="rId39"/><Relationship Type="http://schemas.microsoft.com/office/2006/relationships/vbaProject" Target="vbaProject.bin" Id="rId40"/></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Global!$E$5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Global!$A$6:$A$160</f>
              <numCache>
                <formatCode>m/d/yyyy</formatCode>
                <ptCount val="15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Global!$E$6:$E$160</f>
              <numCache>
                <formatCode>General</formatCode>
                <ptCount val="155"/>
                <pt idx="12">
                  <v>-4.200000000000003</v>
                </pt>
                <pt idx="13">
                  <v>-4.399999999999999</v>
                </pt>
                <pt idx="14">
                  <v>-4.5</v>
                </pt>
                <pt idx="15">
                  <v>-6.200000000000003</v>
                </pt>
                <pt idx="16">
                  <v>-7</v>
                </pt>
                <pt idx="17">
                  <v>-4.399999999999999</v>
                </pt>
                <pt idx="18">
                  <v>-4.200000000000003</v>
                </pt>
                <pt idx="19">
                  <v>-2.800000000000004</v>
                </pt>
                <pt idx="20">
                  <v>-3.099999999999994</v>
                </pt>
                <pt idx="21">
                  <v>-2.100000000000001</v>
                </pt>
                <pt idx="22">
                  <v>-1.699999999999996</v>
                </pt>
                <pt idx="23">
                  <v>-1.399999999999999</v>
                </pt>
                <pt idx="24">
                  <v>-0.6000000000000014</v>
                </pt>
                <pt idx="25">
                  <v>0</v>
                </pt>
                <pt idx="26">
                  <v>-0.3999999999999986</v>
                </pt>
                <pt idx="27">
                  <v>0.5</v>
                </pt>
                <pt idx="28">
                  <v>-0.3000000000000043</v>
                </pt>
                <pt idx="29">
                  <v>-0.3999999999999986</v>
                </pt>
                <pt idx="30">
                  <v>-0.8999999999999986</v>
                </pt>
                <pt idx="31">
                  <v>0.3000000000000043</v>
                </pt>
                <pt idx="32">
                  <v>0.8999999999999986</v>
                </pt>
                <pt idx="33">
                  <v>2</v>
                </pt>
                <pt idx="34">
                  <v>2.899999999999999</v>
                </pt>
                <pt idx="35">
                  <v>3.099999999999994</v>
                </pt>
                <pt idx="36">
                  <v>3.200000000000003</v>
                </pt>
                <pt idx="37">
                  <v>3.5</v>
                </pt>
                <pt idx="38">
                  <v>3.299999999999997</v>
                </pt>
                <pt idx="39">
                  <v>1.399999999999999</v>
                </pt>
                <pt idx="40">
                  <v>2.399999999999999</v>
                </pt>
                <pt idx="41">
                  <v>1.199999999999996</v>
                </pt>
                <pt idx="42">
                  <v>1.5</v>
                </pt>
                <pt idx="43">
                  <v>1.600000000000001</v>
                </pt>
                <pt idx="44">
                  <v>2</v>
                </pt>
                <pt idx="45">
                  <v>1.700000000000003</v>
                </pt>
                <pt idx="46">
                  <v>1</v>
                </pt>
                <pt idx="47">
                  <v>0.4000000000000057</v>
                </pt>
                <pt idx="48">
                  <v>0.1000000000000014</v>
                </pt>
                <pt idx="49">
                  <v>-1.300000000000004</v>
                </pt>
                <pt idx="50">
                  <v>-1.699999999999996</v>
                </pt>
                <pt idx="51">
                  <v>-1.199999999999996</v>
                </pt>
                <pt idx="52">
                  <v>-1.299999999999997</v>
                </pt>
                <pt idx="53">
                  <v>-0.6000000000000014</v>
                </pt>
                <pt idx="54">
                  <v>-0.8999999999999986</v>
                </pt>
                <pt idx="55">
                  <v>-1</v>
                </pt>
                <pt idx="56">
                  <v>-1.600000000000001</v>
                </pt>
                <pt idx="57">
                  <v>-1.5</v>
                </pt>
                <pt idx="58">
                  <v>-1.899999999999999</v>
                </pt>
                <pt idx="59">
                  <v>-1.600000000000001</v>
                </pt>
                <pt idx="60">
                  <v>-0.8000000000000043</v>
                </pt>
                <pt idx="61">
                  <v>-0.5999999999999943</v>
                </pt>
                <pt idx="62">
                  <v>-0.7000000000000028</v>
                </pt>
                <pt idx="63">
                  <v>-0.8000000000000043</v>
                </pt>
                <pt idx="64">
                  <v>-2</v>
                </pt>
                <pt idx="65">
                  <v>-1.299999999999997</v>
                </pt>
                <pt idx="66">
                  <v>-0.8999999999999986</v>
                </pt>
                <pt idx="67">
                  <v>-1.200000000000003</v>
                </pt>
                <pt idx="68">
                  <v>-0.1000000000000014</v>
                </pt>
                <pt idx="69">
                  <v>0</v>
                </pt>
                <pt idx="70">
                  <v>0.1999999999999957</v>
                </pt>
                <pt idx="71">
                  <v>0.3999999999999986</v>
                </pt>
                <pt idx="72">
                  <v>0.6000000000000014</v>
                </pt>
                <pt idx="73">
                  <v>0.8999999999999986</v>
                </pt>
                <pt idx="74">
                  <v>1.800000000000004</v>
                </pt>
                <pt idx="75">
                  <v>1.800000000000004</v>
                </pt>
                <pt idx="76">
                  <v>3</v>
                </pt>
                <pt idx="77">
                  <v>2.5</v>
                </pt>
                <pt idx="78">
                  <v>2.600000000000001</v>
                </pt>
                <pt idx="79">
                  <v>2.600000000000001</v>
                </pt>
                <pt idx="80">
                  <v>1.700000000000003</v>
                </pt>
                <pt idx="81">
                  <v>1.799999999999997</v>
                </pt>
                <pt idx="82">
                  <v>2.300000000000004</v>
                </pt>
                <pt idx="83">
                  <v>2.299999999999997</v>
                </pt>
                <pt idx="84">
                  <v>1.5</v>
                </pt>
                <pt idx="85">
                  <v>2</v>
                </pt>
                <pt idx="86">
                  <v>1.799999999999997</v>
                </pt>
                <pt idx="87">
                  <v>1.699999999999996</v>
                </pt>
                <pt idx="88">
                  <v>1.100000000000001</v>
                </pt>
                <pt idx="89">
                  <v>0.2999999999999972</v>
                </pt>
                <pt idx="90">
                  <v>0.7999999999999972</v>
                </pt>
                <pt idx="91">
                  <v>0.5</v>
                </pt>
                <pt idx="92">
                  <v>0.3999999999999986</v>
                </pt>
                <pt idx="93">
                  <v>0</v>
                </pt>
                <pt idx="94">
                  <v>-0.6000000000000014</v>
                </pt>
                <pt idx="95">
                  <v>-1.099999999999994</v>
                </pt>
                <pt idx="96">
                  <v>-1.5</v>
                </pt>
                <pt idx="97">
                  <v>-2.100000000000001</v>
                </pt>
                <pt idx="98">
                  <v>-3</v>
                </pt>
                <pt idx="99">
                  <v>-3.699999999999996</v>
                </pt>
                <pt idx="100">
                  <v>-3.5</v>
                </pt>
                <pt idx="101">
                  <v>-2.799999999999997</v>
                </pt>
                <pt idx="102">
                  <v>-3.100000000000001</v>
                </pt>
                <pt idx="103">
                  <v>-3.300000000000004</v>
                </pt>
                <pt idx="104">
                  <v>-3.600000000000001</v>
                </pt>
                <pt idx="105">
                  <v>-3.5</v>
                </pt>
                <pt idx="106">
                  <v>-3.100000000000001</v>
                </pt>
                <pt idx="107">
                  <v>-2.5</v>
                </pt>
                <pt idx="108">
                  <v>-2.200000000000003</v>
                </pt>
                <pt idx="109">
                  <v>-1.700000000000003</v>
                </pt>
                <pt idx="110">
                  <v>-1.399999999999999</v>
                </pt>
                <pt idx="111">
                  <v>-0.3000000000000043</v>
                </pt>
                <pt idx="112">
                  <v>-3.5</v>
                </pt>
                <pt idx="113">
                  <v>-3.200000000000003</v>
                </pt>
                <pt idx="114">
                  <v>-10.8</v>
                </pt>
                <pt idx="115">
                  <v>-7.399999999999999</v>
                </pt>
                <pt idx="116">
                  <v>-1.600000000000001</v>
                </pt>
                <pt idx="117">
                  <v>1.300000000000004</v>
                </pt>
                <pt idx="118">
                  <v>2.299999999999997</v>
                </pt>
                <pt idx="119">
                  <v>2.699999999999996</v>
                </pt>
                <pt idx="120">
                  <v>3.200000000000003</v>
                </pt>
                <pt idx="121">
                  <v>3.5</v>
                </pt>
                <pt idx="122">
                  <v>3.699999999999996</v>
                </pt>
                <pt idx="123">
                  <v>3.200000000000003</v>
                </pt>
                <pt idx="124">
                  <v>6.799999999999997</v>
                </pt>
                <pt idx="125">
                  <v>7.700000000000003</v>
                </pt>
                <pt idx="126">
                  <v>16.3</v>
                </pt>
                <pt idx="127">
                  <v>13.6</v>
                </pt>
                <pt idx="128">
                  <v>7.700000000000003</v>
                </pt>
                <pt idx="129">
                  <v>4.799999999999997</v>
                </pt>
                <pt idx="130">
                  <v>2.300000000000004</v>
                </pt>
                <pt idx="131">
                  <v>1.700000000000003</v>
                </pt>
                <pt idx="132">
                  <v>1.200000000000003</v>
                </pt>
                <pt idx="133">
                  <v>0.4000000000000057</v>
                </pt>
                <pt idx="134">
                  <v>0.5</v>
                </pt>
                <pt idx="135">
                  <v>-0.3999999999999986</v>
                </pt>
                <pt idx="136">
                  <v>-0.2999999999999972</v>
                </pt>
                <pt idx="137">
                  <v>-2.100000000000001</v>
                </pt>
                <pt idx="138">
                  <v>-3.699999999999996</v>
                </pt>
                <pt idx="139">
                  <v>-3.700000000000003</v>
                </pt>
                <pt idx="140">
                  <v>-3.299999999999997</v>
                </pt>
              </numCache>
            </numRef>
          </val>
          <smooth val="0"/>
        </ser>
        <dLbls>
          <showLegendKey val="0"/>
          <showVal val="0"/>
          <showCatName val="0"/>
          <showSerName val="0"/>
          <showPercent val="0"/>
          <showBubbleSize val="0"/>
        </dLbls>
        <marker val="1"/>
        <smooth val="0"/>
        <axId val="1174906912"/>
        <axId val="1174912488"/>
      </lineChart>
      <lineChart>
        <grouping val="standard"/>
        <varyColors val="0"/>
        <ser>
          <idx val="4"/>
          <order val="1"/>
          <tx>
            <strRef>
              <f>Global!$F$5</f>
              <strCache>
                <ptCount val="1"/>
                <pt idx="0">
                  <v>ACWI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Global!$A$6:$A$160</f>
              <numCache>
                <formatCode>m/d/yyyy</formatCode>
                <ptCount val="15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Global!$F$6:$F$160</f>
              <numCache>
                <formatCode>General</formatCode>
                <ptCount val="155"/>
                <pt idx="12">
                  <formatCode>0.00%</formatCode>
                  <v>-0.007386006357617126</v>
                </pt>
                <pt idx="13">
                  <formatCode>0.00%</formatCode>
                  <v>0.003147215853494454</v>
                </pt>
                <pt idx="14">
                  <formatCode>0.00%</formatCode>
                  <v>-0.07949547693798607</v>
                </pt>
                <pt idx="15">
                  <formatCode>0.00%</formatCode>
                  <v>-0.03799534722020973</v>
                </pt>
                <pt idx="16">
                  <formatCode>0.00%</formatCode>
                  <v>-0.02083786245662871</v>
                </pt>
                <pt idx="17">
                  <formatCode>0.00%</formatCode>
                  <v>-0.001331365110572301</v>
                </pt>
                <pt idx="18">
                  <formatCode>0.00%</formatCode>
                  <v>-0.0581366772740162</v>
                </pt>
                <pt idx="19">
                  <formatCode>0.00%</formatCode>
                  <v>-0.1285200471359977</v>
                </pt>
                <pt idx="20">
                  <formatCode>0.00%</formatCode>
                  <v>-0.06967264121753633</v>
                </pt>
                <pt idx="21">
                  <formatCode>0.00%</formatCode>
                  <v>-0.03832869318331045</v>
                </pt>
                <pt idx="22">
                  <formatCode>0.00%</formatCode>
                  <v>0.06693570344820741</v>
                </pt>
                <pt idx="23">
                  <formatCode>0.00%</formatCode>
                  <v>0.2235355587765176</v>
                </pt>
                <pt idx="24">
                  <formatCode>0.00%</formatCode>
                  <v>0.09342515679451834</v>
                </pt>
                <pt idx="25">
                  <formatCode>0.00%</formatCode>
                  <v>0.1237460982044888</v>
                </pt>
                <pt idx="26">
                  <formatCode>0.00%</formatCode>
                  <v>0.1688327182480024</v>
                </pt>
                <pt idx="27">
                  <formatCode>0.00%</formatCode>
                  <v>0.1485129731812151</v>
                </pt>
                <pt idx="28">
                  <formatCode>0.00%</formatCode>
                  <v>0.09328709436172161</v>
                </pt>
                <pt idx="29">
                  <formatCode>0.00%</formatCode>
                  <v>0.1009843888715063</v>
                </pt>
                <pt idx="30">
                  <formatCode>0.00%</formatCode>
                  <v>0.1453274849377051</v>
                </pt>
                <pt idx="31">
                  <formatCode>0.00%</formatCode>
                  <v>0.2576467009662806</v>
                </pt>
                <pt idx="32">
                  <formatCode>0.00%</formatCode>
                  <v>0.167050064288846</v>
                </pt>
                <pt idx="33">
                  <formatCode>0.00%</formatCode>
                  <v>0.2092646857221192</v>
                </pt>
                <pt idx="34">
                  <formatCode>0.00%</formatCode>
                  <v>0.1495450374475833</v>
                </pt>
                <pt idx="35">
                  <formatCode>0.00%</formatCode>
                  <v>0.1812597647243597</v>
                </pt>
                <pt idx="36">
                  <formatCode>0.00%</formatCode>
                  <v>0.2342674419375449</v>
                </pt>
                <pt idx="37">
                  <formatCode>0.00%</formatCode>
                  <v>0.2337707066893518</v>
                </pt>
                <pt idx="38">
                  <formatCode>0.00%</formatCode>
                  <v>0.2258242560517564</v>
                </pt>
                <pt idx="39">
                  <formatCode>0.00%</formatCode>
                  <v>0.1247129955717907</v>
                </pt>
                <pt idx="40">
                  <formatCode>0.00%</formatCode>
                  <v>0.1844386356242664</v>
                </pt>
                <pt idx="41">
                  <formatCode>0.00%</formatCode>
                  <v>0.1698400575505954</v>
                </pt>
                <pt idx="42">
                  <formatCode>0.00%</formatCode>
                  <v>0.151063427866246</v>
                </pt>
                <pt idx="43">
                  <formatCode>0.00%</formatCode>
                  <v>0.1786676513208978</v>
                </pt>
                <pt idx="44">
                  <formatCode>0.00%</formatCode>
                  <v>0.2306843883152388</v>
                </pt>
                <pt idx="45">
                  <formatCode>0.00%</formatCode>
                  <v>0.1611836161934934</v>
                </pt>
                <pt idx="46">
                  <formatCode>0.00%</formatCode>
                  <v>0.2190746881271676</v>
                </pt>
                <pt idx="47">
                  <formatCode>0.00%</formatCode>
                  <v>0.1167908376789323</v>
                </pt>
                <pt idx="48">
                  <formatCode>0.00%</formatCode>
                  <v>0.08730164304129834</v>
                </pt>
                <pt idx="49">
                  <formatCode>0.00%</formatCode>
                  <v>0.08541065292347889</v>
                </pt>
                <pt idx="50">
                  <formatCode>0.00%</formatCode>
                  <v>0.03797995876141499</v>
                </pt>
                <pt idx="51">
                  <formatCode>0.00%</formatCode>
                  <v>0.07445630736616474</v>
                </pt>
                <pt idx="52">
                  <formatCode>0.00%</formatCode>
                  <v>0.07755769336806517</v>
                </pt>
                <pt idx="53">
                  <formatCode>0.00%</formatCode>
                  <v>0.05578581603851691</v>
                </pt>
                <pt idx="54">
                  <formatCode>0.00%</formatCode>
                  <v>0.07330354705135092</v>
                </pt>
                <pt idx="55">
                  <formatCode>0.00%</formatCode>
                  <v>0.05219903375829997</v>
                </pt>
                <pt idx="56">
                  <formatCode>0.00%</formatCode>
                  <v>0.008968580812503811</v>
                </pt>
                <pt idx="57">
                  <formatCode>0.00%</formatCode>
                  <v>0.02993213892988774</v>
                </pt>
                <pt idx="58">
                  <formatCode>0.00%</formatCode>
                  <v>-0.06427936467334869</v>
                </pt>
                <pt idx="59">
                  <formatCode>0.00%</formatCode>
                  <v>-0.06545389271735749</v>
                </pt>
                <pt idx="60">
                  <formatCode>0.00%</formatCode>
                  <v>-0.00588251922894543</v>
                </pt>
                <pt idx="61">
                  <formatCode>0.00%</formatCode>
                  <v>-0.0246070079441719</v>
                </pt>
                <pt idx="62">
                  <formatCode>0.00%</formatCode>
                  <v>-0.02626874445913863</v>
                </pt>
                <pt idx="63">
                  <formatCode>0.00%</formatCode>
                  <v>-0.06159491404209277</v>
                </pt>
                <pt idx="64">
                  <formatCode>0.00%</formatCode>
                  <v>-0.1216924381997494</v>
                </pt>
                <pt idx="65">
                  <formatCode>0.00%</formatCode>
                  <v>-0.0427577349518178</v>
                </pt>
                <pt idx="66">
                  <formatCode>0.00%</formatCode>
                  <v>-0.05697573806552653</v>
                </pt>
                <pt idx="67">
                  <formatCode>0.00%</formatCode>
                  <v>-0.05382165385016863</v>
                </pt>
                <pt idx="68">
                  <formatCode>0.00%</formatCode>
                  <v>-0.03064932533727471</v>
                </pt>
                <pt idx="69">
                  <formatCode>0.00%</formatCode>
                  <v>-0.0008987505915267533</v>
                </pt>
                <pt idx="70">
                  <formatCode>0.00%</formatCode>
                  <v>0.07575007829353547</v>
                </pt>
                <pt idx="71">
                  <formatCode>0.00%</formatCode>
                  <v>0.1245065842802521</v>
                </pt>
                <pt idx="72">
                  <formatCode>0.00%</formatCode>
                  <v>0.0245587076757399</v>
                </pt>
                <pt idx="73">
                  <formatCode>0.00%</formatCode>
                  <v>0.04071916250130662</v>
                </pt>
                <pt idx="74">
                  <formatCode>0.00%</formatCode>
                  <v>0.08792058809191923</v>
                </pt>
                <pt idx="75">
                  <formatCode>0.00%</formatCode>
                  <v>0.1779394490860141</v>
                </pt>
                <pt idx="76">
                  <formatCode>0.00%</formatCode>
                  <v>0.2228056116194783</v>
                </pt>
                <pt idx="77">
                  <formatCode>0.00%</formatCode>
                  <v>0.1539322055467564</v>
                </pt>
                <pt idx="78">
                  <formatCode>0.00%</formatCode>
                  <v>0.1570582987728706</v>
                </pt>
                <pt idx="79">
                  <formatCode>0.00%</formatCode>
                  <v>0.1786766025836921</v>
                </pt>
                <pt idx="80">
                  <formatCode>0.00%</formatCode>
                  <v>0.1909981258045057</v>
                </pt>
                <pt idx="81">
                  <formatCode>0.00%</formatCode>
                  <v>0.1766675161184589</v>
                </pt>
                <pt idx="82">
                  <formatCode>0.00%</formatCode>
                  <v>0.1773541038033</v>
                </pt>
                <pt idx="83">
                  <formatCode>0.00%</formatCode>
                  <v>0.1883264046546437</v>
                </pt>
                <pt idx="84">
                  <formatCode>0.00%</formatCode>
                  <v>0.2375442180083507</v>
                </pt>
                <pt idx="85">
                  <formatCode>0.00%</formatCode>
                  <v>0.2496077919816544</v>
                </pt>
                <pt idx="86">
                  <formatCode>0.00%</formatCode>
                  <v>0.2433174573773784</v>
                </pt>
                <pt idx="87">
                  <formatCode>0.00%</formatCode>
                  <v>0.2770951246964695</v>
                </pt>
                <pt idx="88">
                  <formatCode>0.00%</formatCode>
                  <v>0.1900418081542719</v>
                </pt>
                <pt idx="89">
                  <formatCode>0.00%</formatCode>
                  <v>0.156655936695087</v>
                </pt>
                <pt idx="90">
                  <formatCode>0.00%</formatCode>
                  <v>0.1429059996808021</v>
                </pt>
                <pt idx="91">
                  <formatCode>0.00%</formatCode>
                  <v>0.1234850681262358</v>
                </pt>
                <pt idx="92">
                  <formatCode>0.00%</formatCode>
                  <v>0.1082329818933576</v>
                </pt>
                <pt idx="93">
                  <formatCode>0.00%</formatCode>
                  <v>0.1117680983036615</v>
                </pt>
                <pt idx="94">
                  <formatCode>0.00%</formatCode>
                  <v>0.1150286754626044</v>
                </pt>
                <pt idx="95">
                  <formatCode>0.00%</formatCode>
                  <v>0.1011245891618226</v>
                </pt>
                <pt idx="96">
                  <formatCode>0.00%</formatCode>
                  <v>-0.002184234876328778</v>
                </pt>
                <pt idx="97">
                  <formatCode>0.00%</formatCode>
                  <v>-0.006431475071932604</v>
                </pt>
                <pt idx="98">
                  <formatCode>0.00%</formatCode>
                  <v>-0.09179161434751378</v>
                </pt>
                <pt idx="99">
                  <formatCode>0.00%</formatCode>
                  <v>-0.07112104666776221</v>
                </pt>
                <pt idx="100">
                  <formatCode>0.00%</formatCode>
                  <v>-0.003618738382083345</v>
                </pt>
                <pt idx="101">
                  <formatCode>0.00%</formatCode>
                  <v>0.02747840599194923</v>
                </pt>
                <pt idx="102">
                  <formatCode>0.00%</formatCode>
                  <v>0.05837280652685167</v>
                </pt>
                <pt idx="103">
                  <formatCode>0.00%</formatCode>
                  <v>-0.01055160876212911</v>
                </pt>
                <pt idx="104">
                  <formatCode>0.00%</formatCode>
                  <v>0.0582544564634396</v>
                </pt>
                <pt idx="105">
                  <formatCode>0.00%</formatCode>
                  <v>0.02904716289757924</v>
                </pt>
                <pt idx="106">
                  <formatCode>0.00%</formatCode>
                  <v>-0.0006466518939833014</v>
                </pt>
                <pt idx="107">
                  <formatCode>0.00%</formatCode>
                  <v>0.01560669905837207</v>
                </pt>
                <pt idx="108">
                  <formatCode>0.00%</formatCode>
                  <v>0.1272134409824194</v>
                </pt>
                <pt idx="109">
                  <formatCode>0.00%</formatCode>
                  <v>0.1355396004200495</v>
                </pt>
                <pt idx="110">
                  <formatCode>0.00%</formatCode>
                  <v>0.2631452206933075</v>
                </pt>
                <pt idx="111">
                  <formatCode>0.00%</formatCode>
                  <v>0.1548126294666514</v>
                </pt>
                <pt idx="112">
                  <formatCode>0.00%</formatCode>
                  <v>0.04260466236555156</v>
                </pt>
                <pt idx="113">
                  <formatCode>0.00%</formatCode>
                  <v>-0.111222134644731</v>
                </pt>
                <pt idx="114">
                  <formatCode>0.00%</formatCode>
                  <v>-0.05617526217966199</v>
                </pt>
                <pt idx="115">
                  <formatCode>0.00%</formatCode>
                  <v>0.05600212733448791</v>
                </pt>
                <pt idx="116">
                  <formatCode>0.00%</formatCode>
                  <v>0.02499660773953153</v>
                </pt>
                <pt idx="117">
                  <formatCode>0.00%</formatCode>
                  <v>0.07476695618926127</v>
                </pt>
                <pt idx="118">
                  <formatCode>0.00%</formatCode>
                  <v>0.1652782695181905</v>
                </pt>
                <pt idx="119">
                  <formatCode>0.00%</formatCode>
                  <v>0.1060515012667045</v>
                </pt>
                <pt idx="120">
                  <formatCode>0.00%</formatCode>
                  <v>0.05258706174321811</v>
                </pt>
                <pt idx="121">
                  <formatCode>0.00%</formatCode>
                  <v>0.1495279884609974</v>
                </pt>
                <pt idx="122">
                  <formatCode>0.00%</formatCode>
                  <v>0.1683845849199555</v>
                </pt>
                <pt idx="123">
                  <formatCode>0.00%</formatCode>
                  <v>0.1767034506666935</v>
                </pt>
                <pt idx="124">
                  <formatCode>0.00%</formatCode>
                  <v>0.3010792934612871</v>
                </pt>
                <pt idx="125">
                  <formatCode>0.00%</formatCode>
                  <v>0.5454527497270175</v>
                </pt>
                <pt idx="126">
                  <formatCode>0.00%</formatCode>
                  <v>0.4668909370773762</v>
                </pt>
                <pt idx="127">
                  <formatCode>0.00%</formatCode>
                  <v>0.4163463049366563</v>
                </pt>
                <pt idx="128">
                  <formatCode>0.00%</formatCode>
                  <v>0.3949715777492669</v>
                </pt>
                <pt idx="129">
                  <formatCode>0.00%</formatCode>
                  <v>0.3344038996552329</v>
                </pt>
                <pt idx="130">
                  <formatCode>0.00%</formatCode>
                  <v>0.2859314906628034</v>
                </pt>
                <pt idx="131">
                  <formatCode>0.00%</formatCode>
                  <v>0.2690222026562091</v>
                </pt>
                <pt idx="132">
                  <formatCode>0.00%</formatCode>
                  <v>0.367944501761437</v>
                </pt>
                <pt idx="133">
                  <formatCode>0.00%</formatCode>
                  <v>0.1957481604255796</v>
                </pt>
                <pt idx="134">
                  <formatCode>0.00%</formatCode>
                  <v>0.183512197492629</v>
                </pt>
                <pt idx="135">
                  <formatCode>0.00%</formatCode>
                  <v>0.1361661225577531</v>
                </pt>
                <pt idx="136">
                  <formatCode>0.00%</formatCode>
                  <v>0.07675121213171453</v>
                </pt>
                <pt idx="137">
                  <formatCode>0.00%</formatCode>
                  <v>0.06719755274950084</v>
                </pt>
                <pt idx="138">
                  <formatCode>0.00%</formatCode>
                  <v>-0.05886147789742835</v>
                </pt>
                <pt idx="139">
                  <formatCode>0.00%</formatCode>
                  <v>-0.06836782330672211</v>
                </pt>
                <pt idx="140">
                  <formatCode>0.00%</formatCode>
                  <v>-0.1563105068587122</v>
                </pt>
              </numCache>
            </numRef>
          </val>
          <smooth val="0"/>
        </ser>
        <dLbls>
          <showLegendKey val="0"/>
          <showVal val="0"/>
          <showCatName val="0"/>
          <showSerName val="0"/>
          <showPercent val="0"/>
          <showBubbleSize val="0"/>
        </dLbls>
        <marker val="1"/>
        <smooth val="0"/>
        <axId val="1174921016"/>
        <axId val="1174921344"/>
      </lineChart>
      <dateAx>
        <axId val="1174906912"/>
        <scaling>
          <orientation val="minMax"/>
          <min val="41030"/>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12488"/>
        <crosses val="autoZero"/>
        <lblOffset val="100"/>
        <baseTimeUnit val="months"/>
      </dateAx>
      <valAx>
        <axId val="1174912488"/>
        <scaling>
          <orientation val="minMax"/>
          <max val="20"/>
          <min val="-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06912"/>
        <crosses val="autoZero"/>
        <crossBetween val="between"/>
      </valAx>
      <dateAx>
        <axId val="1174921016"/>
        <scaling>
          <orientation val="minMax"/>
        </scaling>
        <delete val="1"/>
        <axPos val="b"/>
        <numFmt formatCode="m/d/yyyy" sourceLinked="1"/>
        <majorTickMark val="out"/>
        <minorTickMark val="none"/>
        <tickLblPos val="nextTo"/>
        <crossAx val="1174921344"/>
        <crosses val="autoZero"/>
        <lblOffset val="100"/>
        <baseTimeUnit val="months"/>
      </dateAx>
      <valAx>
        <axId val="1174921344"/>
        <scaling>
          <orientation val="minMax"/>
          <min val="-0.2"/>
        </scaling>
        <delete val="0"/>
        <axPos val="r"/>
        <numFmt formatCode="0.0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21016"/>
        <crosses val="max"/>
        <crossBetween val="between"/>
        <majorUnit val="0.0500000000000000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Global</a:t>
            </a:r>
            <a:r>
              <a:rPr lang="en-SG" baseline="0"/>
              <a:t xml:space="preserve"> PMI</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Global!$A$6:$A$147</f>
              <numCache>
                <formatCode>m/d/yyyy</formatCode>
                <ptCount val="142"/>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Global!$B$6:$B$147</f>
              <numCache>
                <formatCode>General</formatCode>
                <ptCount val="142"/>
                <pt idx="0">
                  <v>53.7</v>
                </pt>
                <pt idx="1">
                  <v>54</v>
                </pt>
                <pt idx="2">
                  <v>54.9</v>
                </pt>
                <pt idx="3">
                  <v>57.2</v>
                </pt>
                <pt idx="4">
                  <v>58.2</v>
                </pt>
                <pt idx="5">
                  <v>56</v>
                </pt>
                <pt idx="6">
                  <v>55.5</v>
                </pt>
                <pt idx="7">
                  <v>53.1</v>
                </pt>
                <pt idx="8">
                  <v>52.8</v>
                </pt>
                <pt idx="9">
                  <v>50.9</v>
                </pt>
                <pt idx="10">
                  <v>50.4</v>
                </pt>
                <pt idx="11">
                  <v>50.1</v>
                </pt>
                <pt idx="12">
                  <v>49.5</v>
                </pt>
                <pt idx="13">
                  <v>49.6</v>
                </pt>
                <pt idx="14">
                  <v>50.4</v>
                </pt>
                <pt idx="15">
                  <v>51</v>
                </pt>
                <pt idx="16">
                  <v>51.2</v>
                </pt>
                <pt idx="17">
                  <v>51.6</v>
                </pt>
                <pt idx="18">
                  <v>51.3</v>
                </pt>
                <pt idx="19">
                  <v>50.3</v>
                </pt>
                <pt idx="20">
                  <v>49.7</v>
                </pt>
                <pt idx="21">
                  <v>48.8</v>
                </pt>
                <pt idx="22">
                  <v>48.7</v>
                </pt>
                <pt idx="23">
                  <v>48.7</v>
                </pt>
                <pt idx="24">
                  <v>48.9</v>
                </pt>
                <pt idx="25">
                  <v>49.6</v>
                </pt>
                <pt idx="26">
                  <v>50</v>
                </pt>
                <pt idx="27">
                  <v>51.5</v>
                </pt>
                <pt idx="28">
                  <v>50.9</v>
                </pt>
                <pt idx="29">
                  <v>51.2</v>
                </pt>
                <pt idx="30">
                  <v>50.4</v>
                </pt>
                <pt idx="31">
                  <v>50.6</v>
                </pt>
                <pt idx="32">
                  <v>50.6</v>
                </pt>
                <pt idx="33">
                  <v>50.8</v>
                </pt>
                <pt idx="34">
                  <v>51.6</v>
                </pt>
                <pt idx="35">
                  <v>51.8</v>
                </pt>
                <pt idx="36">
                  <v>52.1</v>
                </pt>
                <pt idx="37">
                  <v>53.1</v>
                </pt>
                <pt idx="38">
                  <v>53.3</v>
                </pt>
                <pt idx="39">
                  <v>52.9</v>
                </pt>
                <pt idx="40">
                  <v>53.3</v>
                </pt>
                <pt idx="41">
                  <v>52.4</v>
                </pt>
                <pt idx="42">
                  <v>51.9</v>
                </pt>
                <pt idx="43">
                  <v>52.2</v>
                </pt>
                <pt idx="44">
                  <v>52.6</v>
                </pt>
                <pt idx="45">
                  <v>52.5</v>
                </pt>
                <pt idx="46">
                  <v>52.6</v>
                </pt>
                <pt idx="47">
                  <v>52.2</v>
                </pt>
                <pt idx="48">
                  <v>52.2</v>
                </pt>
                <pt idx="49">
                  <v>51.8</v>
                </pt>
                <pt idx="50">
                  <v>51.6</v>
                </pt>
                <pt idx="51">
                  <v>51.7</v>
                </pt>
                <pt idx="52">
                  <v>52</v>
                </pt>
                <pt idx="53">
                  <v>51.8</v>
                </pt>
                <pt idx="54">
                  <v>51</v>
                </pt>
                <pt idx="55">
                  <v>51.2</v>
                </pt>
                <pt idx="56">
                  <v>51</v>
                </pt>
                <pt idx="57">
                  <v>51</v>
                </pt>
                <pt idx="58">
                  <v>50.7</v>
                </pt>
                <pt idx="59">
                  <v>50.6</v>
                </pt>
                <pt idx="60">
                  <v>51.4</v>
                </pt>
                <pt idx="61">
                  <v>51.2</v>
                </pt>
                <pt idx="62">
                  <v>50.9</v>
                </pt>
                <pt idx="63">
                  <v>50.9</v>
                </pt>
                <pt idx="64">
                  <v>50</v>
                </pt>
                <pt idx="65">
                  <v>50.5</v>
                </pt>
                <pt idx="66">
                  <v>50.1</v>
                </pt>
                <pt idx="67">
                  <v>50</v>
                </pt>
                <pt idx="68">
                  <v>50.9</v>
                </pt>
                <pt idx="69">
                  <v>51</v>
                </pt>
                <pt idx="70">
                  <v>50.9</v>
                </pt>
                <pt idx="71">
                  <v>51</v>
                </pt>
                <pt idx="72">
                  <v>52</v>
                </pt>
                <pt idx="73">
                  <v>52.1</v>
                </pt>
                <pt idx="74">
                  <v>52.7</v>
                </pt>
                <pt idx="75">
                  <v>52.7</v>
                </pt>
                <pt idx="76">
                  <v>53</v>
                </pt>
                <pt idx="77">
                  <v>53</v>
                </pt>
                <pt idx="78">
                  <v>52.7</v>
                </pt>
                <pt idx="79">
                  <v>52.6</v>
                </pt>
                <pt idx="80">
                  <v>52.6</v>
                </pt>
                <pt idx="81">
                  <v>52.8</v>
                </pt>
                <pt idx="82">
                  <v>53.2</v>
                </pt>
                <pt idx="83">
                  <v>53.3</v>
                </pt>
                <pt idx="84">
                  <v>53.5</v>
                </pt>
                <pt idx="85">
                  <v>54.1</v>
                </pt>
                <pt idx="86">
                  <v>54.5</v>
                </pt>
                <pt idx="87">
                  <v>54.4</v>
                </pt>
                <pt idx="88">
                  <v>54.1</v>
                </pt>
                <pt idx="89">
                  <v>53.3</v>
                </pt>
                <pt idx="90">
                  <v>53.5</v>
                </pt>
                <pt idx="91">
                  <v>53.1</v>
                </pt>
                <pt idx="92">
                  <v>53</v>
                </pt>
                <pt idx="93">
                  <v>52.8</v>
                </pt>
                <pt idx="94">
                  <v>52.6</v>
                </pt>
                <pt idx="95">
                  <v>52.2</v>
                </pt>
                <pt idx="96">
                  <v>52</v>
                </pt>
                <pt idx="97">
                  <v>52</v>
                </pt>
                <pt idx="98">
                  <v>51.5</v>
                </pt>
                <pt idx="99">
                  <v>50.7</v>
                </pt>
                <pt idx="100">
                  <v>50.6</v>
                </pt>
                <pt idx="101">
                  <v>50.5</v>
                </pt>
                <pt idx="102">
                  <v>50.4</v>
                </pt>
                <pt idx="103">
                  <v>49.8</v>
                </pt>
                <pt idx="104">
                  <v>49.4</v>
                </pt>
                <pt idx="105">
                  <v>49.3</v>
                </pt>
                <pt idx="106">
                  <v>49.5</v>
                </pt>
                <pt idx="107">
                  <v>49.7</v>
                </pt>
                <pt idx="108">
                  <v>49.8</v>
                </pt>
                <pt idx="109">
                  <v>50.3</v>
                </pt>
                <pt idx="110">
                  <v>50.1</v>
                </pt>
                <pt idx="111">
                  <v>50.4</v>
                </pt>
                <pt idx="112">
                  <v>47.1</v>
                </pt>
                <pt idx="113">
                  <v>47.3</v>
                </pt>
                <pt idx="114">
                  <v>39.6</v>
                </pt>
                <pt idx="115">
                  <v>42.4</v>
                </pt>
                <pt idx="116">
                  <v>47.8</v>
                </pt>
                <pt idx="117">
                  <v>50.6</v>
                </pt>
                <pt idx="118">
                  <v>51.8</v>
                </pt>
                <pt idx="119">
                  <v>52.4</v>
                </pt>
                <pt idx="120">
                  <v>53</v>
                </pt>
                <pt idx="121">
                  <v>53.8</v>
                </pt>
                <pt idx="122">
                  <v>53.8</v>
                </pt>
                <pt idx="123">
                  <v>53.6</v>
                </pt>
                <pt idx="124">
                  <v>53.9</v>
                </pt>
                <pt idx="125">
                  <v>55</v>
                </pt>
                <pt idx="126">
                  <v>55.9</v>
                </pt>
                <pt idx="127">
                  <v>56</v>
                </pt>
                <pt idx="128">
                  <v>55.5</v>
                </pt>
                <pt idx="129">
                  <v>55.4</v>
                </pt>
                <pt idx="130">
                  <v>54.1</v>
                </pt>
                <pt idx="131">
                  <v>54.1</v>
                </pt>
                <pt idx="132">
                  <v>54.2</v>
                </pt>
                <pt idx="133">
                  <v>54.2</v>
                </pt>
                <pt idx="134">
                  <v>54.3</v>
                </pt>
                <pt idx="135">
                  <v>53.2</v>
                </pt>
                <pt idx="136">
                  <v>53.6</v>
                </pt>
                <pt idx="137">
                  <v>52.9</v>
                </pt>
                <pt idx="138">
                  <v>52.2</v>
                </pt>
                <pt idx="139">
                  <v>52.3</v>
                </pt>
                <pt idx="140">
                  <v>52.2</v>
                </pt>
              </numCache>
            </numRef>
          </val>
          <smooth val="0"/>
        </ser>
        <dLbls>
          <showLegendKey val="0"/>
          <showVal val="0"/>
          <showCatName val="0"/>
          <showSerName val="0"/>
          <showPercent val="0"/>
          <showBubbleSize val="0"/>
        </dLbls>
        <smooth val="0"/>
        <axId val="579691952"/>
        <axId val="70930240"/>
      </lineChart>
      <dateAx>
        <axId val="579691952"/>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0930240"/>
        <crosses val="autoZero"/>
        <lblOffset val="100"/>
        <baseTimeUnit val="months"/>
      </dateAx>
      <valAx>
        <axId val="70930240"/>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7969195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United</a:t>
            </a:r>
            <a:r>
              <a:rPr lang="en-US" baseline="0"/>
              <a:t xml:space="preserve"> States </a:t>
            </a:r>
            <a:r>
              <a:rPr lang="en-US"/>
              <a:t>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US!$B$5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US!$A$6:$A$156</f>
              <numCache>
                <formatCode>m/d/yyyy</formatCode>
                <ptCount val="15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US!$B$6:$B$156</f>
              <numCache>
                <formatCode>General</formatCode>
                <ptCount val="151"/>
                <pt idx="0">
                  <v>56.9</v>
                </pt>
                <pt idx="1">
                  <v>56.6</v>
                </pt>
                <pt idx="2">
                  <v>57</v>
                </pt>
                <pt idx="3">
                  <v>60.8</v>
                </pt>
                <pt idx="4">
                  <v>61.4</v>
                </pt>
                <pt idx="5">
                  <v>61.2</v>
                </pt>
                <pt idx="6">
                  <v>60.4</v>
                </pt>
                <pt idx="7">
                  <v>53.5</v>
                </pt>
                <pt idx="8">
                  <v>55.3</v>
                </pt>
                <pt idx="9">
                  <v>50.9</v>
                </pt>
                <pt idx="10">
                  <v>50.6</v>
                </pt>
                <pt idx="11">
                  <v>51.6</v>
                </pt>
                <pt idx="12">
                  <v>50.8</v>
                </pt>
                <pt idx="13">
                  <v>52.7</v>
                </pt>
                <pt idx="14">
                  <v>53.2</v>
                </pt>
                <pt idx="15">
                  <v>54.3</v>
                </pt>
                <pt idx="16">
                  <v>53.6</v>
                </pt>
                <pt idx="17">
                  <v>56</v>
                </pt>
                <pt idx="18">
                  <v>56</v>
                </pt>
                <pt idx="19">
                  <v>54</v>
                </pt>
                <pt idx="20">
                  <v>52.5</v>
                </pt>
                <pt idx="21">
                  <v>51.4</v>
                </pt>
                <pt idx="22">
                  <v>51.5</v>
                </pt>
                <pt idx="23">
                  <v>51.1</v>
                </pt>
                <pt idx="24">
                  <v>51</v>
                </pt>
                <pt idx="25">
                  <v>52.8</v>
                </pt>
                <pt idx="26">
                  <v>54</v>
                </pt>
                <pt idx="27">
                  <v>55.8</v>
                </pt>
                <pt idx="28">
                  <v>54.3</v>
                </pt>
                <pt idx="29">
                  <v>54.6</v>
                </pt>
                <pt idx="30">
                  <v>52.1</v>
                </pt>
                <pt idx="31">
                  <v>52.3</v>
                </pt>
                <pt idx="32">
                  <v>51.9</v>
                </pt>
                <pt idx="33">
                  <v>53.7</v>
                </pt>
                <pt idx="34">
                  <v>53.7</v>
                </pt>
                <pt idx="35">
                  <v>52.8</v>
                </pt>
                <pt idx="36">
                  <v>51.8</v>
                </pt>
                <pt idx="37">
                  <v>54.7</v>
                </pt>
                <pt idx="38">
                  <v>55</v>
                </pt>
                <pt idx="39">
                  <v>53.7</v>
                </pt>
                <pt idx="40">
                  <v>57.1</v>
                </pt>
                <pt idx="41">
                  <v>55.5</v>
                </pt>
                <pt idx="42">
                  <v>55.4</v>
                </pt>
                <pt idx="43">
                  <v>56.4</v>
                </pt>
                <pt idx="44">
                  <v>57.3</v>
                </pt>
                <pt idx="45">
                  <v>55.8</v>
                </pt>
                <pt idx="46">
                  <v>57.9</v>
                </pt>
                <pt idx="47">
                  <v>57.5</v>
                </pt>
                <pt idx="48">
                  <v>55.9</v>
                </pt>
                <pt idx="49">
                  <v>54.8</v>
                </pt>
                <pt idx="50">
                  <v>53.9</v>
                </pt>
                <pt idx="51">
                  <v>53.7</v>
                </pt>
                <pt idx="52">
                  <v>54.3</v>
                </pt>
                <pt idx="53">
                  <v>55.3</v>
                </pt>
                <pt idx="54">
                  <v>54.1</v>
                </pt>
                <pt idx="55">
                  <v>53.8</v>
                </pt>
                <pt idx="56">
                  <v>53.6</v>
                </pt>
                <pt idx="57">
                  <v>53.8</v>
                </pt>
                <pt idx="58">
                  <v>53</v>
                </pt>
                <pt idx="59">
                  <v>53.1</v>
                </pt>
                <pt idx="60">
                  <v>54.1</v>
                </pt>
                <pt idx="61">
                  <v>52.8</v>
                </pt>
                <pt idx="62">
                  <v>51.2</v>
                </pt>
                <pt idx="63">
                  <v>52.4</v>
                </pt>
                <pt idx="64">
                  <v>51.3</v>
                </pt>
                <pt idx="65">
                  <v>51.5</v>
                </pt>
                <pt idx="66">
                  <v>50.8</v>
                </pt>
                <pt idx="67">
                  <v>50.7</v>
                </pt>
                <pt idx="68">
                  <v>51.3</v>
                </pt>
                <pt idx="69">
                  <v>52.9</v>
                </pt>
                <pt idx="70">
                  <v>52</v>
                </pt>
                <pt idx="71">
                  <v>51.5</v>
                </pt>
                <pt idx="72">
                  <v>53.4</v>
                </pt>
                <pt idx="73">
                  <v>54.1</v>
                </pt>
                <pt idx="74">
                  <v>54.3</v>
                </pt>
                <pt idx="75">
                  <v>55</v>
                </pt>
                <pt idx="76">
                  <v>54.2</v>
                </pt>
                <pt idx="77">
                  <v>53.3</v>
                </pt>
                <pt idx="78">
                  <v>52.8</v>
                </pt>
                <pt idx="79">
                  <v>52.7</v>
                </pt>
                <pt idx="80">
                  <v>52</v>
                </pt>
                <pt idx="81">
                  <v>53.3</v>
                </pt>
                <pt idx="82">
                  <v>52.8</v>
                </pt>
                <pt idx="83">
                  <v>53.1</v>
                </pt>
                <pt idx="84">
                  <v>54.6</v>
                </pt>
                <pt idx="85">
                  <v>53.9</v>
                </pt>
                <pt idx="86">
                  <v>55.1</v>
                </pt>
                <pt idx="87">
                  <v>55.5</v>
                </pt>
                <pt idx="88">
                  <v>55.3</v>
                </pt>
                <pt idx="89">
                  <v>55.6</v>
                </pt>
                <pt idx="90">
                  <v>56.5</v>
                </pt>
                <pt idx="91">
                  <v>56.4</v>
                </pt>
                <pt idx="92">
                  <v>55.4</v>
                </pt>
                <pt idx="93">
                  <v>55.3</v>
                </pt>
                <pt idx="94">
                  <v>54.5</v>
                </pt>
                <pt idx="95">
                  <v>55.6</v>
                </pt>
                <pt idx="96">
                  <v>55.7</v>
                </pt>
                <pt idx="97">
                  <v>55.3</v>
                </pt>
                <pt idx="98">
                  <v>53.8</v>
                </pt>
                <pt idx="99">
                  <v>54.9</v>
                </pt>
                <pt idx="100">
                  <v>53</v>
                </pt>
                <pt idx="101">
                  <v>52.4</v>
                </pt>
                <pt idx="102">
                  <v>52.6</v>
                </pt>
                <pt idx="103">
                  <v>50.5</v>
                </pt>
                <pt idx="104">
                  <v>50.6</v>
                </pt>
                <pt idx="105">
                  <v>50</v>
                </pt>
                <pt idx="106">
                  <v>50.3</v>
                </pt>
                <pt idx="107">
                  <v>51.1</v>
                </pt>
                <pt idx="108">
                  <v>51.3</v>
                </pt>
                <pt idx="109">
                  <v>52.6</v>
                </pt>
                <pt idx="110">
                  <v>52.4</v>
                </pt>
                <pt idx="111">
                  <v>51.9</v>
                </pt>
                <pt idx="112">
                  <v>50.7</v>
                </pt>
                <pt idx="113">
                  <v>48.5</v>
                </pt>
                <pt idx="114">
                  <v>36.1</v>
                </pt>
                <pt idx="115">
                  <v>39.8</v>
                </pt>
                <pt idx="116">
                  <v>49.8</v>
                </pt>
                <pt idx="117">
                  <v>50.9</v>
                </pt>
                <pt idx="118">
                  <v>53.1</v>
                </pt>
                <pt idx="119">
                  <v>53.2</v>
                </pt>
                <pt idx="120">
                  <v>53.4</v>
                </pt>
                <pt idx="121">
                  <v>56.7</v>
                </pt>
                <pt idx="122">
                  <v>57.1</v>
                </pt>
                <pt idx="123">
                  <v>59.2</v>
                </pt>
                <pt idx="124">
                  <v>58.6</v>
                </pt>
                <pt idx="125">
                  <v>59.1</v>
                </pt>
                <pt idx="126">
                  <v>60.5</v>
                </pt>
                <pt idx="127">
                  <v>62.6</v>
                </pt>
                <pt idx="128">
                  <v>62.1</v>
                </pt>
                <pt idx="129">
                  <v>63.4</v>
                </pt>
                <pt idx="130">
                  <v>61.1</v>
                </pt>
                <pt idx="131">
                  <v>60.7</v>
                </pt>
                <pt idx="132">
                  <v>58.4</v>
                </pt>
                <pt idx="133">
                  <v>58.3</v>
                </pt>
                <pt idx="134">
                  <v>57.7</v>
                </pt>
                <pt idx="135">
                  <v>55</v>
                </pt>
                <pt idx="136">
                  <v>57.5</v>
                </pt>
                <pt idx="137">
                  <v>58.5</v>
                </pt>
                <pt idx="138">
                  <v>59.2</v>
                </pt>
                <pt idx="139">
                  <v>57.5</v>
                </pt>
                <pt idx="140">
                  <v>52.4</v>
                </pt>
                <pt idx="141">
                  <v>52.2</v>
                </pt>
                <pt idx="142">
                  <v>51.5</v>
                </pt>
                <pt idx="143">
                  <v>52</v>
                </pt>
                <pt idx="144">
                  <v>50.4</v>
                </pt>
                <pt idx="145">
                  <v>47.7</v>
                </pt>
              </numCache>
            </numRef>
          </val>
          <smooth val="0"/>
        </ser>
        <dLbls>
          <showLegendKey val="0"/>
          <showVal val="0"/>
          <showCatName val="0"/>
          <showSerName val="0"/>
          <showPercent val="0"/>
          <showBubbleSize val="0"/>
        </dLbls>
        <smooth val="0"/>
        <axId val="1938861247"/>
        <axId val="1962774144"/>
      </lineChart>
      <dateAx>
        <axId val="1938861247"/>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62774144"/>
        <crosses val="autoZero"/>
        <lblOffset val="100"/>
        <baseTimeUnit val="months"/>
      </dateAx>
      <valAx>
        <axId val="196277414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388612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China!$A$6:$A$227</f>
              <numCache>
                <formatCode>m/d/yyyy</formatCode>
                <ptCount val="222"/>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pt idx="214">
                  <v>44866</v>
                </pt>
              </numCache>
            </numRef>
          </cat>
          <val>
            <numRef>
              <f>China!$B$6:$B$221</f>
              <numCache>
                <formatCode>General</formatCode>
                <ptCount val="216"/>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pt idx="212">
                  <v>48.1</v>
                </pt>
                <pt idx="213">
                  <v>49.2</v>
                </pt>
                <pt idx="214">
                  <v>49.4</v>
                </pt>
              </numCache>
            </numRef>
          </val>
          <smooth val="0"/>
        </ser>
        <ser>
          <idx val="1"/>
          <order val="1"/>
          <tx>
            <strRef>
              <f>China!$D$5</f>
              <strCache>
                <ptCount val="1"/>
                <pt idx="0">
                  <v>Official PMI</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China!$A$6:$A$227</f>
              <numCache>
                <formatCode>m/d/yyyy</formatCode>
                <ptCount val="222"/>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pt idx="214">
                  <v>44866</v>
                </pt>
              </numCache>
            </numRef>
          </cat>
          <val>
            <numRef>
              <f>China!$D$6:$D$227</f>
              <numCache>
                <formatCode>General</formatCode>
                <ptCount val="222"/>
                <pt idx="0">
                  <v>55.7</v>
                </pt>
                <pt idx="1">
                  <v>54.4</v>
                </pt>
                <pt idx="2">
                  <v>63.4</v>
                </pt>
                <pt idx="3">
                  <v>56.9</v>
                </pt>
                <pt idx="4">
                  <v>52.1</v>
                </pt>
                <pt idx="5">
                  <v>52.1</v>
                </pt>
                <pt idx="6">
                  <v>51.2</v>
                </pt>
                <pt idx="7">
                  <v>54.1</v>
                </pt>
                <pt idx="8">
                  <v>56.9</v>
                </pt>
                <pt idx="9">
                  <v>54.1</v>
                </pt>
                <pt idx="10">
                  <v>54.1</v>
                </pt>
                <pt idx="11">
                  <v>54.3</v>
                </pt>
                <pt idx="12">
                  <v>52.1</v>
                </pt>
                <pt idx="13">
                  <v>52.1</v>
                </pt>
                <pt idx="14">
                  <v>55.3</v>
                </pt>
                <pt idx="15">
                  <v>58.1</v>
                </pt>
                <pt idx="16">
                  <v>54.8</v>
                </pt>
                <pt idx="17">
                  <v>54.1</v>
                </pt>
                <pt idx="18">
                  <v>52.4</v>
                </pt>
                <pt idx="19">
                  <v>53.1</v>
                </pt>
                <pt idx="20">
                  <v>57</v>
                </pt>
                <pt idx="21">
                  <v>54.7</v>
                </pt>
                <pt idx="22">
                  <v>55.3</v>
                </pt>
                <pt idx="23">
                  <v>54.8</v>
                </pt>
                <pt idx="24">
                  <v>55.1</v>
                </pt>
                <pt idx="25">
                  <v>53.1</v>
                </pt>
                <pt idx="26">
                  <v>56.1</v>
                </pt>
                <pt idx="27">
                  <v>58.6</v>
                </pt>
                <pt idx="28">
                  <v>55.7</v>
                </pt>
                <pt idx="29">
                  <v>54.5</v>
                </pt>
                <pt idx="30">
                  <v>53.3</v>
                </pt>
                <pt idx="31">
                  <v>54</v>
                </pt>
                <pt idx="32">
                  <v>56.1</v>
                </pt>
                <pt idx="33">
                  <v>53.2</v>
                </pt>
                <pt idx="34">
                  <v>55.4</v>
                </pt>
                <pt idx="35">
                  <v>55.3</v>
                </pt>
                <pt idx="36">
                  <v>53</v>
                </pt>
                <pt idx="37">
                  <v>53.4</v>
                </pt>
                <pt idx="38">
                  <v>58.4</v>
                </pt>
                <pt idx="39">
                  <v>59.2</v>
                </pt>
                <pt idx="40">
                  <v>53.3</v>
                </pt>
                <pt idx="41">
                  <v>52</v>
                </pt>
                <pt idx="42">
                  <v>48.4</v>
                </pt>
                <pt idx="43">
                  <v>48.4</v>
                </pt>
                <pt idx="44">
                  <v>51.2</v>
                </pt>
                <pt idx="45">
                  <v>44.6</v>
                </pt>
                <pt idx="46">
                  <v>38.8</v>
                </pt>
                <pt idx="47">
                  <v>41.2</v>
                </pt>
                <pt idx="48">
                  <v>45.3</v>
                </pt>
                <pt idx="49">
                  <v>49</v>
                </pt>
                <pt idx="50">
                  <v>52.4</v>
                </pt>
                <pt idx="51">
                  <v>53.5</v>
                </pt>
                <pt idx="52">
                  <v>53.1</v>
                </pt>
                <pt idx="53">
                  <v>53.2</v>
                </pt>
                <pt idx="54">
                  <v>53.3</v>
                </pt>
                <pt idx="55">
                  <v>54</v>
                </pt>
                <pt idx="56">
                  <v>54.3</v>
                </pt>
                <pt idx="57">
                  <v>55.2</v>
                </pt>
                <pt idx="58">
                  <v>55.2</v>
                </pt>
                <pt idx="59">
                  <v>56.6</v>
                </pt>
                <pt idx="60">
                  <v>55.8</v>
                </pt>
                <pt idx="61">
                  <v>52</v>
                </pt>
                <pt idx="62">
                  <v>55.1</v>
                </pt>
                <pt idx="63">
                  <v>55.7</v>
                </pt>
                <pt idx="64">
                  <v>53.9</v>
                </pt>
                <pt idx="65">
                  <v>52.1</v>
                </pt>
                <pt idx="66">
                  <v>51.2</v>
                </pt>
                <pt idx="67">
                  <v>51.7</v>
                </pt>
                <pt idx="68">
                  <v>53.8</v>
                </pt>
                <pt idx="69">
                  <v>54.7</v>
                </pt>
                <pt idx="70">
                  <v>55.2</v>
                </pt>
                <pt idx="71">
                  <v>53.9</v>
                </pt>
                <pt idx="72">
                  <v>52.9</v>
                </pt>
                <pt idx="73">
                  <v>52.2</v>
                </pt>
                <pt idx="74">
                  <v>53.4</v>
                </pt>
                <pt idx="75">
                  <v>52.9</v>
                </pt>
                <pt idx="76">
                  <v>52</v>
                </pt>
                <pt idx="77">
                  <v>50.9</v>
                </pt>
                <pt idx="78">
                  <v>50.7</v>
                </pt>
                <pt idx="79">
                  <v>50.9</v>
                </pt>
                <pt idx="80">
                  <v>51.2</v>
                </pt>
                <pt idx="81">
                  <v>50.4</v>
                </pt>
                <pt idx="82">
                  <v>49</v>
                </pt>
                <pt idx="83">
                  <v>50.3</v>
                </pt>
                <pt idx="84">
                  <v>50.5</v>
                </pt>
                <pt idx="85">
                  <v>51</v>
                </pt>
                <pt idx="86">
                  <v>53.1</v>
                </pt>
                <pt idx="87">
                  <v>53.3</v>
                </pt>
                <pt idx="88">
                  <v>50.4</v>
                </pt>
                <pt idx="89">
                  <v>50.2</v>
                </pt>
                <pt idx="90">
                  <v>50.1</v>
                </pt>
                <pt idx="91">
                  <v>49.2</v>
                </pt>
                <pt idx="92">
                  <v>49.8</v>
                </pt>
                <pt idx="93">
                  <v>50.2</v>
                </pt>
                <pt idx="94">
                  <v>50.6</v>
                </pt>
                <pt idx="95">
                  <v>50.6</v>
                </pt>
                <pt idx="96">
                  <v>50.4</v>
                </pt>
                <pt idx="97">
                  <v>50.1</v>
                </pt>
                <pt idx="98">
                  <v>50.9</v>
                </pt>
                <pt idx="99">
                  <v>50.6</v>
                </pt>
                <pt idx="100">
                  <v>50.8</v>
                </pt>
                <pt idx="101">
                  <v>50.1</v>
                </pt>
                <pt idx="102">
                  <v>50.3</v>
                </pt>
                <pt idx="103">
                  <v>51</v>
                </pt>
                <pt idx="104">
                  <v>51.1</v>
                </pt>
                <pt idx="105">
                  <v>51.4</v>
                </pt>
                <pt idx="106">
                  <v>51.4</v>
                </pt>
                <pt idx="107">
                  <v>51</v>
                </pt>
                <pt idx="108">
                  <v>50.5</v>
                </pt>
                <pt idx="109">
                  <v>50.2</v>
                </pt>
                <pt idx="110">
                  <v>50.3</v>
                </pt>
                <pt idx="111">
                  <v>50.4</v>
                </pt>
                <pt idx="112">
                  <v>50.8</v>
                </pt>
                <pt idx="113">
                  <v>51</v>
                </pt>
                <pt idx="114">
                  <v>51.7</v>
                </pt>
                <pt idx="115">
                  <v>51.1</v>
                </pt>
                <pt idx="116">
                  <v>51.1</v>
                </pt>
                <pt idx="117">
                  <v>50.8</v>
                </pt>
                <pt idx="118">
                  <v>50.3</v>
                </pt>
                <pt idx="119">
                  <v>50.1</v>
                </pt>
                <pt idx="120">
                  <v>49.8</v>
                </pt>
                <pt idx="121">
                  <v>49.9</v>
                </pt>
                <pt idx="122">
                  <v>50.1</v>
                </pt>
                <pt idx="123">
                  <v>50.1</v>
                </pt>
                <pt idx="124">
                  <v>50.2</v>
                </pt>
                <pt idx="125">
                  <v>50.2</v>
                </pt>
                <pt idx="126">
                  <v>50</v>
                </pt>
                <pt idx="127">
                  <v>49.7</v>
                </pt>
                <pt idx="128">
                  <v>49.8</v>
                </pt>
                <pt idx="129">
                  <v>49.8</v>
                </pt>
                <pt idx="130">
                  <v>49.6</v>
                </pt>
                <pt idx="131">
                  <v>49.7</v>
                </pt>
                <pt idx="132">
                  <v>49.4</v>
                </pt>
                <pt idx="133">
                  <v>49</v>
                </pt>
                <pt idx="134">
                  <v>50.2</v>
                </pt>
                <pt idx="135">
                  <v>50.1</v>
                </pt>
                <pt idx="136">
                  <v>50.1</v>
                </pt>
                <pt idx="137">
                  <v>50</v>
                </pt>
                <pt idx="138">
                  <v>49.9</v>
                </pt>
                <pt idx="139">
                  <v>50.4</v>
                </pt>
                <pt idx="140">
                  <v>50.4</v>
                </pt>
                <pt idx="141">
                  <v>51.2</v>
                </pt>
                <pt idx="142">
                  <v>51.7</v>
                </pt>
                <pt idx="143">
                  <v>51.4</v>
                </pt>
                <pt idx="144">
                  <v>51.3</v>
                </pt>
                <pt idx="145">
                  <v>51.6</v>
                </pt>
                <pt idx="146">
                  <v>51.8</v>
                </pt>
                <pt idx="147">
                  <v>51.2</v>
                </pt>
                <pt idx="148">
                  <v>51.2</v>
                </pt>
                <pt idx="149">
                  <v>51.7</v>
                </pt>
                <pt idx="150">
                  <v>51.4</v>
                </pt>
                <pt idx="151">
                  <v>51.7</v>
                </pt>
                <pt idx="152">
                  <v>52.4</v>
                </pt>
                <pt idx="153">
                  <v>51.6</v>
                </pt>
                <pt idx="154">
                  <v>51.8</v>
                </pt>
                <pt idx="155">
                  <v>51.6</v>
                </pt>
                <pt idx="156">
                  <v>51.3</v>
                </pt>
                <pt idx="157">
                  <v>50.3</v>
                </pt>
                <pt idx="158">
                  <v>51.5</v>
                </pt>
                <pt idx="159">
                  <v>51.4</v>
                </pt>
                <pt idx="160">
                  <v>51.9</v>
                </pt>
                <pt idx="161">
                  <v>51.5</v>
                </pt>
                <pt idx="162">
                  <v>51.2</v>
                </pt>
                <pt idx="163">
                  <v>51.3</v>
                </pt>
                <pt idx="164">
                  <v>50.8</v>
                </pt>
                <pt idx="165">
                  <v>50.2</v>
                </pt>
                <pt idx="166">
                  <v>50</v>
                </pt>
                <pt idx="167">
                  <v>49.4</v>
                </pt>
                <pt idx="168">
                  <v>49.5</v>
                </pt>
                <pt idx="169">
                  <v>49.2</v>
                </pt>
                <pt idx="170">
                  <v>50.5</v>
                </pt>
                <pt idx="171">
                  <v>50.1</v>
                </pt>
                <pt idx="172">
                  <v>49.4</v>
                </pt>
                <pt idx="173">
                  <v>49.4</v>
                </pt>
                <pt idx="174">
                  <v>49.7</v>
                </pt>
                <pt idx="175">
                  <v>49.5</v>
                </pt>
                <pt idx="176">
                  <v>49.8</v>
                </pt>
                <pt idx="177">
                  <v>49.3</v>
                </pt>
                <pt idx="178">
                  <v>50.2</v>
                </pt>
                <pt idx="179">
                  <v>50.2</v>
                </pt>
                <pt idx="180">
                  <v>50</v>
                </pt>
                <pt idx="181">
                  <v>35.7</v>
                </pt>
                <pt idx="182">
                  <v>52</v>
                </pt>
                <pt idx="183">
                  <v>50.8</v>
                </pt>
                <pt idx="184">
                  <v>50.6</v>
                </pt>
                <pt idx="185">
                  <v>50.9</v>
                </pt>
                <pt idx="186">
                  <v>51.1</v>
                </pt>
                <pt idx="187">
                  <v>51</v>
                </pt>
                <pt idx="188">
                  <v>51.5</v>
                </pt>
                <pt idx="189">
                  <v>51.4</v>
                </pt>
                <pt idx="190">
                  <v>52.1</v>
                </pt>
                <pt idx="191">
                  <v>51.9</v>
                </pt>
                <pt idx="192">
                  <v>51.3</v>
                </pt>
                <pt idx="193">
                  <v>50.6</v>
                </pt>
                <pt idx="194">
                  <v>51.9</v>
                </pt>
                <pt idx="195">
                  <v>51.1</v>
                </pt>
                <pt idx="196">
                  <v>51</v>
                </pt>
                <pt idx="197">
                  <v>50.9</v>
                </pt>
                <pt idx="198">
                  <v>50.4</v>
                </pt>
                <pt idx="199">
                  <v>50.1</v>
                </pt>
                <pt idx="200">
                  <v>49.6</v>
                </pt>
                <pt idx="201">
                  <v>49.2</v>
                </pt>
                <pt idx="202">
                  <v>50.1</v>
                </pt>
                <pt idx="203">
                  <v>50.3</v>
                </pt>
                <pt idx="204">
                  <v>50.1</v>
                </pt>
                <pt idx="205">
                  <v>50.2</v>
                </pt>
                <pt idx="206">
                  <v>49.5</v>
                </pt>
                <pt idx="207">
                  <v>47.4</v>
                </pt>
                <pt idx="208">
                  <v>49.6</v>
                </pt>
                <pt idx="209">
                  <v>50.2</v>
                </pt>
                <pt idx="210">
                  <v>49</v>
                </pt>
                <pt idx="211">
                  <v>49.4</v>
                </pt>
                <pt idx="212">
                  <v>50.1</v>
                </pt>
                <pt idx="213">
                  <v>49.2</v>
                </pt>
                <pt idx="214">
                  <v>48</v>
                </pt>
              </numCache>
            </numRef>
          </val>
          <smooth val="0"/>
        </ser>
        <dLbls>
          <showLegendKey val="0"/>
          <showVal val="0"/>
          <showCatName val="0"/>
          <showSerName val="0"/>
          <showPercent val="0"/>
          <showBubbleSize val="0"/>
        </dLbls>
        <smooth val="0"/>
        <axId val="1048618872"/>
        <axId val="1048622808"/>
      </lineChart>
      <dateAx>
        <axId val="1048618872"/>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22808"/>
        <crosses val="autoZero"/>
        <lblOffset val="100"/>
        <baseTimeUnit val="months"/>
      </dateAx>
      <valAx>
        <axId val="104862280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188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58624159"/>
        <axId val="158623175"/>
      </barChart>
      <barChart>
        <barDir val="col"/>
        <grouping val="clustered"/>
        <varyColors val="0"/>
        <ser>
          <idx val="0"/>
          <order val="1"/>
          <tx>
            <strRef>
              <f>China!$F$5</f>
              <strCache>
                <ptCount val="1"/>
                <pt idx="0">
                  <v>GDP yoy %</v>
                </pt>
              </strCache>
            </strRef>
          </tx>
          <spPr>
            <a:solidFill xmlns:a="http://schemas.openxmlformats.org/drawingml/2006/main">
              <a:srgbClr val="92D050"/>
            </a:solidFill>
            <a:ln xmlns:a="http://schemas.openxmlformats.org/drawingml/2006/main" w="22225">
              <a:solidFill>
                <a:srgbClr val="92D050"/>
              </a:solidFill>
              <a:prstDash val="solid"/>
            </a:ln>
          </spPr>
          <invertIfNegative val="0"/>
          <cat>
            <numRef>
              <f>China!$A$6:$A$221</f>
              <numCache>
                <formatCode>m/d/yyyy</formatCode>
                <ptCount val="216"/>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pt idx="214">
                  <v>44866</v>
                </pt>
              </numCache>
            </numRef>
          </cat>
          <val>
            <numRef>
              <f>China!$F$6:$F$221</f>
              <numCache>
                <formatCode>0.0%</formatCode>
                <ptCount val="216"/>
                <pt idx="0">
                  <v>0</v>
                </pt>
                <pt idx="1">
                  <v>0</v>
                </pt>
                <pt idx="2">
                  <v>0</v>
                </pt>
                <pt idx="3">
                  <v>0.111</v>
                </pt>
                <pt idx="4">
                  <v>0</v>
                </pt>
                <pt idx="5">
                  <v>0</v>
                </pt>
                <pt idx="6">
                  <v>0.111</v>
                </pt>
                <pt idx="7">
                  <v>0</v>
                </pt>
                <pt idx="8">
                  <v>0</v>
                </pt>
                <pt idx="9">
                  <v>0.108</v>
                </pt>
                <pt idx="10">
                  <v>0</v>
                </pt>
                <pt idx="11">
                  <v>0</v>
                </pt>
                <pt idx="12">
                  <v>0.124</v>
                </pt>
                <pt idx="13">
                  <v>0</v>
                </pt>
                <pt idx="14">
                  <v>0</v>
                </pt>
                <pt idx="15">
                  <v>0.125</v>
                </pt>
                <pt idx="16">
                  <v>0</v>
                </pt>
                <pt idx="17">
                  <v>0</v>
                </pt>
                <pt idx="18">
                  <v>0.137</v>
                </pt>
                <pt idx="19">
                  <v>0</v>
                </pt>
                <pt idx="20">
                  <v>0</v>
                </pt>
                <pt idx="21">
                  <v>0.122</v>
                </pt>
                <pt idx="22">
                  <v>0</v>
                </pt>
                <pt idx="23">
                  <v>0</v>
                </pt>
                <pt idx="24">
                  <v>0.125</v>
                </pt>
                <pt idx="25">
                  <v>0</v>
                </pt>
                <pt idx="26">
                  <v>0</v>
                </pt>
                <pt idx="27">
                  <v>0.138</v>
                </pt>
                <pt idx="28">
                  <v>0</v>
                </pt>
                <pt idx="29">
                  <v>0</v>
                </pt>
                <pt idx="30">
                  <v>0.15</v>
                </pt>
                <pt idx="31">
                  <v>0</v>
                </pt>
                <pt idx="32">
                  <v>0</v>
                </pt>
                <pt idx="33">
                  <v>0.143</v>
                </pt>
                <pt idx="34">
                  <v>0</v>
                </pt>
                <pt idx="35">
                  <v>0</v>
                </pt>
                <pt idx="36">
                  <v>0.139</v>
                </pt>
                <pt idx="37">
                  <v>0</v>
                </pt>
                <pt idx="38">
                  <v>0</v>
                </pt>
                <pt idx="39">
                  <v>0.115</v>
                </pt>
                <pt idx="40">
                  <v>0</v>
                </pt>
                <pt idx="41">
                  <v>0</v>
                </pt>
                <pt idx="42">
                  <v>0.109</v>
                </pt>
                <pt idx="43">
                  <v>0</v>
                </pt>
                <pt idx="44">
                  <v>0</v>
                </pt>
                <pt idx="45">
                  <v>0.095</v>
                </pt>
                <pt idx="46">
                  <v>0</v>
                </pt>
                <pt idx="47">
                  <v>0</v>
                </pt>
                <pt idx="48">
                  <v>0.07099999999999999</v>
                </pt>
                <pt idx="49">
                  <v>0</v>
                </pt>
                <pt idx="50">
                  <v>0</v>
                </pt>
                <pt idx="51">
                  <v>0.064</v>
                </pt>
                <pt idx="52">
                  <v>0</v>
                </pt>
                <pt idx="53">
                  <v>0</v>
                </pt>
                <pt idx="54">
                  <v>0.08199999999999999</v>
                </pt>
                <pt idx="55">
                  <v>0</v>
                </pt>
                <pt idx="56">
                  <v>0</v>
                </pt>
                <pt idx="57">
                  <v>0.106</v>
                </pt>
                <pt idx="58">
                  <v>0</v>
                </pt>
                <pt idx="59">
                  <v>0</v>
                </pt>
                <pt idx="60">
                  <v>0.119</v>
                </pt>
                <pt idx="61">
                  <v>0</v>
                </pt>
                <pt idx="62">
                  <v>0</v>
                </pt>
                <pt idx="63">
                  <v>0.122</v>
                </pt>
                <pt idx="64">
                  <v>0</v>
                </pt>
                <pt idx="65">
                  <v>0</v>
                </pt>
                <pt idx="66">
                  <v>0.108</v>
                </pt>
                <pt idx="67">
                  <v>0</v>
                </pt>
                <pt idx="68">
                  <v>0</v>
                </pt>
                <pt idx="69">
                  <v>0.099</v>
                </pt>
                <pt idx="70">
                  <v>0</v>
                </pt>
                <pt idx="71">
                  <v>0</v>
                </pt>
                <pt idx="72">
                  <v>0.099</v>
                </pt>
                <pt idx="73">
                  <v>0</v>
                </pt>
                <pt idx="74">
                  <v>0</v>
                </pt>
                <pt idx="75">
                  <v>0.102</v>
                </pt>
                <pt idx="76">
                  <v>0</v>
                </pt>
                <pt idx="77">
                  <v>0</v>
                </pt>
                <pt idx="78">
                  <v>0.1</v>
                </pt>
                <pt idx="79">
                  <v>0</v>
                </pt>
                <pt idx="80">
                  <v>0</v>
                </pt>
                <pt idx="81">
                  <v>0.094</v>
                </pt>
                <pt idx="82">
                  <v>0</v>
                </pt>
                <pt idx="83">
                  <v>0</v>
                </pt>
                <pt idx="84">
                  <v>0.08800000000000001</v>
                </pt>
                <pt idx="85">
                  <v>0</v>
                </pt>
                <pt idx="86">
                  <v>0</v>
                </pt>
                <pt idx="87">
                  <v>0.081</v>
                </pt>
                <pt idx="88">
                  <v>0</v>
                </pt>
                <pt idx="89">
                  <v>0</v>
                </pt>
                <pt idx="90">
                  <v>0.077</v>
                </pt>
                <pt idx="91">
                  <v>0</v>
                </pt>
                <pt idx="92">
                  <v>0</v>
                </pt>
                <pt idx="93">
                  <v>0.075</v>
                </pt>
                <pt idx="94">
                  <v>0</v>
                </pt>
                <pt idx="95">
                  <v>0</v>
                </pt>
                <pt idx="96">
                  <v>0.081</v>
                </pt>
                <pt idx="97">
                  <v>0</v>
                </pt>
                <pt idx="98">
                  <v>0</v>
                </pt>
                <pt idx="99">
                  <v>0.079</v>
                </pt>
                <pt idx="100">
                  <v>0</v>
                </pt>
                <pt idx="101">
                  <v>0</v>
                </pt>
                <pt idx="102">
                  <v>0.076</v>
                </pt>
                <pt idx="103">
                  <v>0</v>
                </pt>
                <pt idx="104">
                  <v>0</v>
                </pt>
                <pt idx="105">
                  <v>0.079</v>
                </pt>
                <pt idx="106">
                  <v>0</v>
                </pt>
                <pt idx="107">
                  <v>0</v>
                </pt>
                <pt idx="108">
                  <v>0.077</v>
                </pt>
                <pt idx="109">
                  <v>0</v>
                </pt>
                <pt idx="110">
                  <v>0</v>
                </pt>
                <pt idx="111">
                  <v>0.075</v>
                </pt>
                <pt idx="112">
                  <v>0</v>
                </pt>
                <pt idx="113">
                  <v>0</v>
                </pt>
                <pt idx="114">
                  <v>0.076</v>
                </pt>
                <pt idx="115">
                  <v>0</v>
                </pt>
                <pt idx="116">
                  <v>0</v>
                </pt>
                <pt idx="117">
                  <v>0.07200000000000001</v>
                </pt>
                <pt idx="118">
                  <v>0</v>
                </pt>
                <pt idx="119">
                  <v>0</v>
                </pt>
                <pt idx="120">
                  <v>0.073</v>
                </pt>
                <pt idx="121">
                  <v>0</v>
                </pt>
                <pt idx="122">
                  <v>0</v>
                </pt>
                <pt idx="123">
                  <v>0.07099999999999999</v>
                </pt>
                <pt idx="124">
                  <v>0</v>
                </pt>
                <pt idx="125">
                  <v>0</v>
                </pt>
                <pt idx="126">
                  <v>0.07099999999999999</v>
                </pt>
                <pt idx="127">
                  <v>0</v>
                </pt>
                <pt idx="128">
                  <v>0</v>
                </pt>
                <pt idx="129">
                  <v>0.07000000000000001</v>
                </pt>
                <pt idx="130">
                  <v>0</v>
                </pt>
                <pt idx="131">
                  <v>0</v>
                </pt>
                <pt idx="132">
                  <v>0.06900000000000001</v>
                </pt>
                <pt idx="133">
                  <v>0</v>
                </pt>
                <pt idx="134">
                  <v>0</v>
                </pt>
                <pt idx="135">
                  <v>0.06900000000000001</v>
                </pt>
                <pt idx="136">
                  <v>0</v>
                </pt>
                <pt idx="137">
                  <v>0</v>
                </pt>
                <pt idx="138">
                  <v>0.068</v>
                </pt>
                <pt idx="139">
                  <v>0</v>
                </pt>
                <pt idx="140">
                  <v>0</v>
                </pt>
                <pt idx="141">
                  <v>0.068</v>
                </pt>
                <pt idx="142">
                  <v>0</v>
                </pt>
                <pt idx="143">
                  <v>0</v>
                </pt>
                <pt idx="144">
                  <v>0.06900000000000001</v>
                </pt>
                <pt idx="145">
                  <v>0</v>
                </pt>
                <pt idx="146">
                  <v>0</v>
                </pt>
                <pt idx="147">
                  <v>0.07000000000000001</v>
                </pt>
                <pt idx="148">
                  <v>0</v>
                </pt>
                <pt idx="149">
                  <v>0</v>
                </pt>
                <pt idx="150">
                  <v>0.07000000000000001</v>
                </pt>
                <pt idx="151">
                  <v>0</v>
                </pt>
                <pt idx="152">
                  <v>0</v>
                </pt>
                <pt idx="153">
                  <v>0.06900000000000001</v>
                </pt>
                <pt idx="154">
                  <v>0</v>
                </pt>
                <pt idx="155">
                  <v>0</v>
                </pt>
                <pt idx="156">
                  <v>0.068</v>
                </pt>
                <pt idx="157">
                  <v>0</v>
                </pt>
                <pt idx="158">
                  <v>0</v>
                </pt>
                <pt idx="159">
                  <v>0.06900000000000001</v>
                </pt>
                <pt idx="160">
                  <v>0</v>
                </pt>
                <pt idx="161">
                  <v>0</v>
                </pt>
                <pt idx="162">
                  <v>0.06900000000000001</v>
                </pt>
                <pt idx="163">
                  <v>0</v>
                </pt>
                <pt idx="164">
                  <v>0</v>
                </pt>
                <pt idx="165">
                  <v>0.067</v>
                </pt>
                <pt idx="166">
                  <v>0</v>
                </pt>
                <pt idx="167">
                  <v>0</v>
                </pt>
                <pt idx="168">
                  <v>0.065</v>
                </pt>
                <pt idx="169">
                  <v>0</v>
                </pt>
                <pt idx="170">
                  <v>0</v>
                </pt>
                <pt idx="171">
                  <v>0.063</v>
                </pt>
                <pt idx="172">
                  <v>0</v>
                </pt>
                <pt idx="173">
                  <v>0</v>
                </pt>
                <pt idx="174">
                  <v>0.06</v>
                </pt>
                <pt idx="175">
                  <v>0</v>
                </pt>
                <pt idx="176">
                  <v>0</v>
                </pt>
                <pt idx="177">
                  <v>0.059</v>
                </pt>
                <pt idx="178">
                  <v>0</v>
                </pt>
                <pt idx="179">
                  <v>0</v>
                </pt>
                <pt idx="180">
                  <v>0.058</v>
                </pt>
                <pt idx="181">
                  <v>0</v>
                </pt>
                <pt idx="182">
                  <v>0</v>
                </pt>
                <pt idx="183">
                  <v>-0.06900000000000001</v>
                </pt>
                <pt idx="184">
                  <v>0</v>
                </pt>
                <pt idx="185">
                  <v>0</v>
                </pt>
                <pt idx="186">
                  <v>0.031</v>
                </pt>
                <pt idx="187">
                  <v>0</v>
                </pt>
                <pt idx="188">
                  <v>0</v>
                </pt>
                <pt idx="189">
                  <v>0.048</v>
                </pt>
                <pt idx="190">
                  <v>0</v>
                </pt>
                <pt idx="191">
                  <v>0</v>
                </pt>
                <pt idx="192">
                  <v>0.064</v>
                </pt>
                <pt idx="193">
                  <v>0</v>
                </pt>
                <pt idx="194">
                  <v>0</v>
                </pt>
                <pt idx="195">
                  <v>0.183</v>
                </pt>
                <pt idx="196">
                  <v>0</v>
                </pt>
                <pt idx="197">
                  <v>0</v>
                </pt>
                <pt idx="198">
                  <v>0.079</v>
                </pt>
                <pt idx="199">
                  <v>0</v>
                </pt>
                <pt idx="200">
                  <v>0</v>
                </pt>
                <pt idx="201">
                  <v>0.049</v>
                </pt>
                <pt idx="202">
                  <v>0</v>
                </pt>
                <pt idx="203">
                  <v>0</v>
                </pt>
                <pt idx="204">
                  <v>0.04</v>
                </pt>
                <pt idx="205">
                  <v>0</v>
                </pt>
                <pt idx="206">
                  <v>0</v>
                </pt>
                <pt idx="207">
                  <v>0.048</v>
                </pt>
                <pt idx="208">
                  <v>0</v>
                </pt>
                <pt idx="209">
                  <v>0</v>
                </pt>
                <pt idx="210">
                  <v>0.004</v>
                </pt>
                <pt idx="211">
                  <v>0</v>
                </pt>
                <pt idx="212">
                  <v>0</v>
                </pt>
                <pt idx="213">
                  <v>0.039</v>
                </pt>
                <pt idx="214">
                  <v>0</v>
                </pt>
              </numCache>
            </numRef>
          </val>
        </ser>
        <dLbls>
          <showLegendKey val="0"/>
          <showVal val="0"/>
          <showCatName val="0"/>
          <showSerName val="0"/>
          <showPercent val="0"/>
          <showBubbleSize val="0"/>
        </dLbls>
        <gapWidth val="219"/>
        <axId val="158629407"/>
        <axId val="158629079"/>
      </barChart>
      <lineChart>
        <grouping val="standard"/>
        <varyColors val="0"/>
        <ser>
          <idx val="1"/>
          <order val="0"/>
          <tx>
            <strRef>
              <f>China!$B$5</f>
              <strCache>
                <ptCount val="1"/>
                <pt idx="0">
                  <v>Caixin PMI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China!$A$6:$A$221</f>
              <numCache>
                <formatCode>m/d/yyyy</formatCode>
                <ptCount val="216"/>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pt idx="214">
                  <v>44866</v>
                </pt>
              </numCache>
            </numRef>
          </cat>
          <val>
            <numRef>
              <f>China!$B$6:$B$221</f>
              <numCache>
                <formatCode>General</formatCode>
                <ptCount val="216"/>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pt idx="212">
                  <v>48.1</v>
                </pt>
                <pt idx="213">
                  <v>49.2</v>
                </pt>
                <pt idx="214">
                  <v>49.4</v>
                </pt>
              </numCache>
            </numRef>
          </val>
          <smooth val="0"/>
        </ser>
        <dLbls>
          <showLegendKey val="0"/>
          <showVal val="0"/>
          <showCatName val="0"/>
          <showSerName val="0"/>
          <showPercent val="0"/>
          <showBubbleSize val="0"/>
        </dLbls>
        <marker val="1"/>
        <smooth val="0"/>
        <axId val="158624159"/>
        <axId val="158623175"/>
      </lineChart>
      <dateAx>
        <axId val="158624159"/>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3175"/>
        <crosses val="autoZero"/>
        <lblOffset val="100"/>
        <baseTimeUnit val="months"/>
      </dateAx>
      <valAx>
        <axId val="158623175"/>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4159"/>
        <crosses val="autoZero"/>
        <crossBetween val="between"/>
      </valAx>
      <dateAx>
        <axId val="158629407"/>
        <scaling>
          <orientation val="minMax"/>
        </scaling>
        <delete val="1"/>
        <axPos val="b"/>
        <numFmt formatCode="m/d/yyyy" sourceLinked="1"/>
        <majorTickMark val="out"/>
        <minorTickMark val="none"/>
        <tickLblPos val="nextTo"/>
        <crossAx val="158629079"/>
        <crosses val="autoZero"/>
        <lblOffset val="100"/>
        <baseTimeUnit val="months"/>
      </dateAx>
      <valAx>
        <axId val="158629079"/>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9407"/>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China Caixin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China!$A$6:$A$221</f>
              <numCache>
                <formatCode>m/d/yyyy</formatCode>
                <ptCount val="216"/>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pt idx="214">
                  <v>44866</v>
                </pt>
              </numCache>
            </numRef>
          </cat>
          <val>
            <numRef>
              <f>China!$B$6:$B$221</f>
              <numCache>
                <formatCode>General</formatCode>
                <ptCount val="216"/>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pt idx="212">
                  <v>48.1</v>
                </pt>
                <pt idx="213">
                  <v>49.2</v>
                </pt>
                <pt idx="214">
                  <v>49.4</v>
                </pt>
              </numCache>
            </numRef>
          </val>
          <smooth val="0"/>
        </ser>
        <dLbls>
          <showLegendKey val="0"/>
          <showVal val="0"/>
          <showCatName val="0"/>
          <showSerName val="0"/>
          <showPercent val="0"/>
          <showBubbleSize val="0"/>
        </dLbls>
        <smooth val="0"/>
        <axId val="1841836767"/>
        <axId val="1841837167"/>
      </lineChart>
      <dateAx>
        <axId val="1841836767"/>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7167"/>
        <crosses val="autoZero"/>
        <lblOffset val="100"/>
        <baseTimeUnit val="months"/>
      </dateAx>
      <valAx>
        <axId val="1841837167"/>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676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'Euro Area'!$E$5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'Euro Area'!$A$18:$A$225</f>
              <numCache>
                <formatCode>m/d/yyyy</formatCode>
                <ptCount val="208"/>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pt idx="203">
                  <v>44866</v>
                </pt>
              </numCache>
            </numRef>
          </cat>
          <val>
            <numRef>
              <f>'Euro Area'!$E$18:$E$225</f>
              <numCache>
                <formatCode>General</formatCode>
                <ptCount val="208"/>
                <pt idx="0">
                  <v>2.200000000000003</v>
                </pt>
                <pt idx="1">
                  <v>1.600000000000001</v>
                </pt>
                <pt idx="2">
                  <v>2.600000000000001</v>
                </pt>
                <pt idx="3">
                  <v>5.700000000000003</v>
                </pt>
                <pt idx="4">
                  <v>7.5</v>
                </pt>
                <pt idx="5">
                  <v>8.299999999999997</v>
                </pt>
                <pt idx="6">
                  <v>7.800000000000004</v>
                </pt>
                <pt idx="7">
                  <v>6.600000000000001</v>
                </pt>
                <pt idx="8">
                  <v>6.100000000000001</v>
                </pt>
                <pt idx="9">
                  <v>4.899999999999999</v>
                </pt>
                <pt idx="10">
                  <v>4.299999999999997</v>
                </pt>
                <pt idx="11">
                  <v>3.800000000000004</v>
                </pt>
                <pt idx="12">
                  <v>2.899999999999999</v>
                </pt>
                <pt idx="13">
                  <v>2</v>
                </pt>
                <pt idx="14">
                  <v>1.100000000000001</v>
                </pt>
                <pt idx="15">
                  <v>-0.7000000000000028</v>
                </pt>
                <pt idx="16">
                  <v>-1.300000000000004</v>
                </pt>
                <pt idx="17">
                  <v>-2</v>
                </pt>
                <pt idx="18">
                  <v>-2.100000000000001</v>
                </pt>
                <pt idx="19">
                  <v>-2.5</v>
                </pt>
                <pt idx="20">
                  <v>-2.200000000000003</v>
                </pt>
                <pt idx="21">
                  <v>-3.399999999999999</v>
                </pt>
                <pt idx="22">
                  <v>-5.5</v>
                </pt>
                <pt idx="23">
                  <v>-3.800000000000004</v>
                </pt>
                <pt idx="24">
                  <v>-3.899999999999999</v>
                </pt>
                <pt idx="25">
                  <v>-2.700000000000003</v>
                </pt>
                <pt idx="26">
                  <v>-3.300000000000004</v>
                </pt>
                <pt idx="27">
                  <v>-3.399999999999999</v>
                </pt>
                <pt idx="28">
                  <v>-4.699999999999996</v>
                </pt>
                <pt idx="29">
                  <v>-4.399999999999999</v>
                </pt>
                <pt idx="30">
                  <v>-6.399999999999999</v>
                </pt>
                <pt idx="31">
                  <v>-7.5</v>
                </pt>
                <pt idx="32">
                  <v>-6.699999999999996</v>
                </pt>
                <pt idx="33">
                  <v>-8.200000000000003</v>
                </pt>
                <pt idx="34">
                  <v>-12.6</v>
                </pt>
                <pt idx="35">
                  <v>-17.2</v>
                </pt>
                <pt idx="36">
                  <v>-18.7</v>
                </pt>
                <pt idx="37">
                  <v>-18.4</v>
                </pt>
                <pt idx="38">
                  <v>-18.8</v>
                </pt>
                <pt idx="39">
                  <v>-18.1</v>
                </pt>
                <pt idx="40">
                  <v>-13.90000000000001</v>
                </pt>
                <pt idx="41">
                  <v>-9.899999999999999</v>
                </pt>
                <pt idx="42">
                  <v>-6.600000000000001</v>
                </pt>
                <pt idx="43">
                  <v>-1.100000000000001</v>
                </pt>
                <pt idx="44">
                  <v>0.6000000000000014</v>
                </pt>
                <pt idx="45">
                  <v>4.299999999999997</v>
                </pt>
                <pt idx="46">
                  <v>11.8</v>
                </pt>
                <pt idx="47">
                  <v>15.6</v>
                </pt>
                <pt idx="48">
                  <v>17.7</v>
                </pt>
                <pt idx="49">
                  <v>18</v>
                </pt>
                <pt idx="50">
                  <v>20.7</v>
                </pt>
                <pt idx="51">
                  <v>22.7</v>
                </pt>
                <pt idx="52">
                  <v>20.8</v>
                </pt>
                <pt idx="53">
                  <v>15.09999999999999</v>
                </pt>
                <pt idx="54">
                  <v>13</v>
                </pt>
                <pt idx="55">
                  <v>10.40000000000001</v>
                </pt>
                <pt idx="56">
                  <v>6.899999999999999</v>
                </pt>
                <pt idx="57">
                  <v>4.400000000000006</v>
                </pt>
                <pt idx="58">
                  <v>3.899999999999999</v>
                </pt>
                <pt idx="59">
                  <v>4.099999999999994</v>
                </pt>
                <pt idx="60">
                  <v>5.5</v>
                </pt>
                <pt idx="61">
                  <v>4.899999999999999</v>
                </pt>
                <pt idx="62">
                  <v>4.799999999999997</v>
                </pt>
                <pt idx="63">
                  <v>0.8999999999999986</v>
                </pt>
                <pt idx="64">
                  <v>0.3999999999999986</v>
                </pt>
                <pt idx="65">
                  <v>-1.199999999999996</v>
                </pt>
                <pt idx="66">
                  <v>-3.600000000000001</v>
                </pt>
                <pt idx="67">
                  <v>-6.300000000000004</v>
                </pt>
                <pt idx="68">
                  <v>-6.100000000000001</v>
                </pt>
                <pt idx="69">
                  <v>-5.200000000000003</v>
                </pt>
                <pt idx="70">
                  <v>-7.5</v>
                </pt>
                <pt idx="71">
                  <v>-8.899999999999999</v>
                </pt>
                <pt idx="72">
                  <v>-10.2</v>
                </pt>
                <pt idx="73">
                  <v>-8.5</v>
                </pt>
                <pt idx="74">
                  <v>-10</v>
                </pt>
                <pt idx="75">
                  <v>-9.799999999999997</v>
                </pt>
                <pt idx="76">
                  <v>-12.1</v>
                </pt>
                <pt idx="77">
                  <v>-9.5</v>
                </pt>
                <pt idx="78">
                  <v>-6.899999999999999</v>
                </pt>
                <pt idx="79">
                  <v>-6.399999999999999</v>
                </pt>
                <pt idx="80">
                  <v>-3.899999999999999</v>
                </pt>
                <pt idx="81">
                  <v>-2.399999999999999</v>
                </pt>
                <pt idx="82">
                  <v>-1.700000000000003</v>
                </pt>
                <pt idx="83">
                  <v>-0.1999999999999957</v>
                </pt>
                <pt idx="84">
                  <v>-0.7999999999999972</v>
                </pt>
                <pt idx="85">
                  <v>-0.8999999999999986</v>
                </pt>
                <pt idx="86">
                  <v>-1.100000000000001</v>
                </pt>
                <pt idx="87">
                  <v>-0.9000000000000057</v>
                </pt>
                <pt idx="88">
                  <v>0.8000000000000043</v>
                </pt>
                <pt idx="89">
                  <v>3.199999999999996</v>
                </pt>
                <pt idx="90">
                  <v>3.699999999999996</v>
                </pt>
                <pt idx="91">
                  <v>6.299999999999997</v>
                </pt>
                <pt idx="92">
                  <v>6.299999999999997</v>
                </pt>
                <pt idx="93">
                  <v>5</v>
                </pt>
                <pt idx="94">
                  <v>5.899999999999999</v>
                </pt>
                <pt idx="95">
                  <v>5.399999999999999</v>
                </pt>
                <pt idx="96">
                  <v>6.600000000000001</v>
                </pt>
                <pt idx="97">
                  <v>6.100000000000001</v>
                </pt>
                <pt idx="98">
                  <v>5.300000000000004</v>
                </pt>
                <pt idx="99">
                  <v>6.200000000000003</v>
                </pt>
                <pt idx="100">
                  <v>7.299999999999997</v>
                </pt>
                <pt idx="101">
                  <v>3.900000000000006</v>
                </pt>
                <pt idx="102">
                  <v>3</v>
                </pt>
                <pt idx="103">
                  <v>1.5</v>
                </pt>
                <pt idx="104">
                  <v>-0.6999999999999957</v>
                </pt>
                <pt idx="105">
                  <v>-0.8000000000000043</v>
                </pt>
                <pt idx="106">
                  <v>-0.6999999999999957</v>
                </pt>
                <pt idx="107">
                  <v>-1.5</v>
                </pt>
                <pt idx="108">
                  <v>-2.100000000000001</v>
                </pt>
                <pt idx="109">
                  <v>-3</v>
                </pt>
                <pt idx="110">
                  <v>-2.200000000000003</v>
                </pt>
                <pt idx="111">
                  <v>-0.7999999999999972</v>
                </pt>
                <pt idx="112">
                  <v>-2</v>
                </pt>
                <pt idx="113">
                  <v>0</v>
                </pt>
                <pt idx="114">
                  <v>0.7000000000000028</v>
                </pt>
                <pt idx="115">
                  <v>0.6000000000000014</v>
                </pt>
                <pt idx="116">
                  <v>1.599999999999994</v>
                </pt>
                <pt idx="117">
                  <v>1.700000000000003</v>
                </pt>
                <pt idx="118">
                  <v>1.699999999999996</v>
                </pt>
                <pt idx="119">
                  <v>2.699999999999996</v>
                </pt>
                <pt idx="120">
                  <v>2.600000000000001</v>
                </pt>
                <pt idx="121">
                  <v>1.299999999999997</v>
                </pt>
                <pt idx="122">
                  <v>0.2000000000000028</v>
                </pt>
                <pt idx="123">
                  <v>-0.6000000000000014</v>
                </pt>
                <pt idx="124">
                  <v>-0.2999999999999972</v>
                </pt>
                <pt idx="125">
                  <v>-0.7000000000000028</v>
                </pt>
                <pt idx="126">
                  <v>0.2999999999999972</v>
                </pt>
                <pt idx="127">
                  <v>-0.3999999999999986</v>
                </pt>
                <pt idx="128">
                  <v>-0.5999999999999943</v>
                </pt>
                <pt idx="129">
                  <v>0.6000000000000014</v>
                </pt>
                <pt idx="130">
                  <v>1.200000000000003</v>
                </pt>
                <pt idx="131">
                  <v>0.9000000000000057</v>
                </pt>
                <pt idx="132">
                  <v>1.699999999999996</v>
                </pt>
                <pt idx="133">
                  <v>2.900000000000006</v>
                </pt>
                <pt idx="134">
                  <v>4.199999999999996</v>
                </pt>
                <pt idx="135">
                  <v>4.600000000000001</v>
                </pt>
                <pt idx="136">
                  <v>5</v>
                </pt>
                <pt idx="137">
                  <v>5.5</v>
                </pt>
                <pt idx="138">
                  <v>4.600000000000001</v>
                </pt>
                <pt idx="139">
                  <v>4.600000000000001</v>
                </pt>
                <pt idx="140">
                  <v>5.699999999999996</v>
                </pt>
                <pt idx="141">
                  <v>5.5</v>
                </pt>
                <pt idx="142">
                  <v>5</v>
                </pt>
                <pt idx="143">
                  <v>6.399999999999999</v>
                </pt>
                <pt idx="144">
                  <v>5.700000000000003</v>
                </pt>
                <pt idx="145">
                  <v>4.399999999999999</v>
                </pt>
                <pt idx="146">
                  <v>3.200000000000003</v>
                </pt>
                <pt idx="147">
                  <v>0.3999999999999986</v>
                </pt>
                <pt idx="148">
                  <v>-0.5</v>
                </pt>
                <pt idx="149">
                  <v>-1.5</v>
                </pt>
                <pt idx="150">
                  <v>-2.5</v>
                </pt>
                <pt idx="151">
                  <v>-1.5</v>
                </pt>
                <pt idx="152">
                  <v>-2.799999999999997</v>
                </pt>
                <pt idx="153">
                  <v>-4.899999999999999</v>
                </pt>
                <pt idx="154">
                  <v>-6.5</v>
                </pt>
                <pt idx="155">
                  <v>-8.300000000000004</v>
                </pt>
                <pt idx="156">
                  <v>-9.200000000000003</v>
                </pt>
                <pt idx="157">
                  <v>-9.100000000000001</v>
                </pt>
                <pt idx="158">
                  <v>-9.300000000000004</v>
                </pt>
                <pt idx="159">
                  <v>-9.100000000000001</v>
                </pt>
                <pt idx="160">
                  <v>-8.300000000000004</v>
                </pt>
                <pt idx="161">
                  <v>-7.799999999999997</v>
                </pt>
                <pt idx="162">
                  <v>-7.299999999999997</v>
                </pt>
                <pt idx="163">
                  <v>-8.600000000000001</v>
                </pt>
                <pt idx="164">
                  <v>-7.600000000000001</v>
                </pt>
                <pt idx="165">
                  <v>-7.5</v>
                </pt>
                <pt idx="166">
                  <v>-6.100000000000001</v>
                </pt>
                <pt idx="167">
                  <v>-4.899999999999999</v>
                </pt>
                <pt idx="168">
                  <v>-5.100000000000001</v>
                </pt>
                <pt idx="169">
                  <v>-2.600000000000001</v>
                </pt>
                <pt idx="170">
                  <v>-0.09999999999999432</v>
                </pt>
                <pt idx="171">
                  <v>-3</v>
                </pt>
                <pt idx="172">
                  <v>-14.5</v>
                </pt>
                <pt idx="173">
                  <v>-8.300000000000004</v>
                </pt>
                <pt idx="174">
                  <v>-0.2000000000000028</v>
                </pt>
                <pt idx="175">
                  <v>5.299999999999997</v>
                </pt>
                <pt idx="176">
                  <v>4.700000000000003</v>
                </pt>
                <pt idx="177">
                  <v>8</v>
                </pt>
                <pt idx="178">
                  <v>8.899999999999999</v>
                </pt>
                <pt idx="179">
                  <v>6.899999999999999</v>
                </pt>
                <pt idx="180">
                  <v>8.900000000000006</v>
                </pt>
                <pt idx="181">
                  <v>6.899999999999999</v>
                </pt>
                <pt idx="182">
                  <v>8.699999999999996</v>
                </pt>
                <pt idx="183">
                  <v>18</v>
                </pt>
                <pt idx="184">
                  <v>29.5</v>
                </pt>
                <pt idx="185">
                  <v>23.7</v>
                </pt>
                <pt idx="186">
                  <v>16</v>
                </pt>
                <pt idx="187">
                  <v>11</v>
                </pt>
                <pt idx="188">
                  <v>9.699999999999996</v>
                </pt>
                <pt idx="189">
                  <v>4.899999999999999</v>
                </pt>
                <pt idx="190">
                  <v>3.5</v>
                </pt>
                <pt idx="191">
                  <v>4.600000000000001</v>
                </pt>
                <pt idx="192">
                  <v>2.799999999999997</v>
                </pt>
                <pt idx="193">
                  <v>4.200000000000003</v>
                </pt>
                <pt idx="194">
                  <v>0.5</v>
                </pt>
                <pt idx="195">
                  <v>-5.5</v>
                </pt>
                <pt idx="196">
                  <v>-7.399999999999999</v>
                </pt>
                <pt idx="197">
                  <v>-8.700000000000003</v>
                </pt>
                <pt idx="198">
                  <v>-11.4</v>
                </pt>
                <pt idx="199">
                  <v>-13</v>
                </pt>
                <pt idx="200">
                  <v>-11.8</v>
                </pt>
                <pt idx="201">
                  <v>-10.2</v>
                </pt>
                <pt idx="202">
                  <v>-11.9</v>
                </pt>
                <pt idx="203">
                  <v>-11.3</v>
                </pt>
              </numCache>
            </numRef>
          </val>
          <smooth val="0"/>
        </ser>
        <dLbls>
          <showLegendKey val="0"/>
          <showVal val="0"/>
          <showCatName val="0"/>
          <showSerName val="0"/>
          <showPercent val="0"/>
          <showBubbleSize val="0"/>
        </dLbls>
        <marker val="1"/>
        <smooth val="0"/>
        <axId val="1554522496"/>
        <axId val="1554520856"/>
      </lineChart>
      <lineChart>
        <grouping val="standard"/>
        <varyColors val="0"/>
        <ser>
          <idx val="4"/>
          <order val="1"/>
          <tx>
            <strRef>
              <f>'Euro Area'!$F$5</f>
              <strCache>
                <ptCount val="1"/>
                <pt idx="0">
                  <v>EZU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'Euro Area'!$A$18:$A$225</f>
              <numCache>
                <formatCode>m/d/yyyy</formatCode>
                <ptCount val="208"/>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pt idx="203">
                  <v>44866</v>
                </pt>
              </numCache>
            </numRef>
          </cat>
          <val>
            <numRef>
              <f>'Euro Area'!$F$18:$F$225</f>
              <numCache>
                <formatCode>0.0%</formatCode>
                <ptCount val="208"/>
                <pt idx="0">
                  <v>0.08907545170541629</v>
                </pt>
                <pt idx="1">
                  <v>0.1870940210917541</v>
                </pt>
                <pt idx="2">
                  <v>0.1458204531592884</v>
                </pt>
                <pt idx="3">
                  <v>0.2258089089190645</v>
                </pt>
                <pt idx="4">
                  <v>0.3265338512767602</v>
                </pt>
                <pt idx="5">
                  <v>0.2736725430264839</v>
                </pt>
                <pt idx="6">
                  <v>0.2588050162654377</v>
                </pt>
                <pt idx="7">
                  <v>0.2183271410675908</v>
                </pt>
                <pt idx="8">
                  <v>0.2452082551369552</v>
                </pt>
                <pt idx="9">
                  <v>0.2452580615615964</v>
                </pt>
                <pt idx="10">
                  <v>0.3381459956982221</v>
                </pt>
                <pt idx="11">
                  <v>0.3747117986738812</v>
                </pt>
                <pt idx="12">
                  <v>0.3535133790183272</v>
                </pt>
                <pt idx="13">
                  <v>0.2878781217813223</v>
                </pt>
                <pt idx="14">
                  <v>0.2670366322982934</v>
                </pt>
                <pt idx="15">
                  <v>0.2641428108447708</v>
                </pt>
                <pt idx="16">
                  <v>0.2858011850392305</v>
                </pt>
                <pt idx="17">
                  <v>0.3836761521380734</v>
                </pt>
                <pt idx="18">
                  <v>0.3641418236976491</v>
                </pt>
                <pt idx="19">
                  <v>0.3056833293881607</v>
                </pt>
                <pt idx="20">
                  <v>0.2565507886437023</v>
                </pt>
                <pt idx="21">
                  <v>0.3067050870873836</v>
                </pt>
                <pt idx="22">
                  <v>0.3262473970578567</v>
                </pt>
                <pt idx="23">
                  <v>0.2325129543525049</v>
                </pt>
                <pt idx="24">
                  <v>0.1753277623590316</v>
                </pt>
                <pt idx="25">
                  <v>0.04665888979800902</v>
                </pt>
                <pt idx="26">
                  <v>0.04754200624182475</v>
                </pt>
                <pt idx="27">
                  <v>0.03112500059058182</v>
                </pt>
                <pt idx="28">
                  <v>0.009039139894948768</v>
                </pt>
                <pt idx="29">
                  <v>-0.01622218246438759</v>
                </pt>
                <pt idx="30">
                  <v>-0.1482948304363181</v>
                </pt>
                <pt idx="31">
                  <v>-0.1105890051003642</v>
                </pt>
                <pt idx="32">
                  <v>-0.1453456049252863</v>
                </pt>
                <pt idx="33">
                  <v>-0.3013401708286333</v>
                </pt>
                <pt idx="34">
                  <v>-0.4978918577268041</v>
                </pt>
                <pt idx="35">
                  <v>-0.5220051523517881</v>
                </pt>
                <pt idx="36">
                  <v>-0.4544519700632619</v>
                </pt>
                <pt idx="37">
                  <v>-0.4996891147797109</v>
                </pt>
                <pt idx="38">
                  <v>-0.5564334361619786</v>
                </pt>
                <pt idx="39">
                  <v>-0.5244645317065501</v>
                </pt>
                <pt idx="40">
                  <v>-0.4756980325564932</v>
                </pt>
                <pt idx="41">
                  <v>-0.4133984063261716</v>
                </pt>
                <pt idx="42">
                  <v>-0.3467941186838009</v>
                </pt>
                <pt idx="43">
                  <v>-0.2662781522687657</v>
                </pt>
                <pt idx="44">
                  <v>-0.1884613632117957</v>
                </pt>
                <pt idx="45">
                  <v>-0.0002381646920738592</v>
                </pt>
                <pt idx="46">
                  <v>0.2647763636650249</v>
                </pt>
                <pt idx="47">
                  <v>0.4331730802975885</v>
                </pt>
                <pt idx="48">
                  <v>0.2788756108686224</v>
                </pt>
                <pt idx="49">
                  <v>0.4067903921271693</v>
                </pt>
                <pt idx="50">
                  <v>0.5521363579426249</v>
                </pt>
                <pt idx="51">
                  <v>0.516370423782143</v>
                </pt>
                <pt idx="52">
                  <v>0.2570518215438133</v>
                </pt>
                <pt idx="53">
                  <v>-0.02974522375177847</v>
                </pt>
                <pt idx="54">
                  <v>-0.026055251694447</v>
                </pt>
                <pt idx="55">
                  <v>0.00659525748983105</v>
                </pt>
                <pt idx="56">
                  <v>-0.1187254916569285</v>
                </pt>
                <pt idx="57">
                  <v>-0.06252941277805298</v>
                </pt>
                <pt idx="58">
                  <v>0.04202062356238944</v>
                </pt>
                <pt idx="59">
                  <v>-0.1165567775170731</v>
                </pt>
                <pt idx="60">
                  <v>-0.03144404337673182</v>
                </pt>
                <pt idx="61">
                  <v>0.11924249878502</v>
                </pt>
                <pt idx="62">
                  <v>0.1875291873565711</v>
                </pt>
                <pt idx="63">
                  <v>0.1096162781215425</v>
                </pt>
                <pt idx="64">
                  <v>0.2605714597706427</v>
                </pt>
                <pt idx="65">
                  <v>0.3740132130554407</v>
                </pt>
                <pt idx="66">
                  <v>0.399689339554285</v>
                </pt>
                <pt idx="67">
                  <v>0.1270199375556345</v>
                </pt>
                <pt idx="68">
                  <v>0.06369026670689713</v>
                </pt>
                <pt idx="69">
                  <v>-0.186666662566038</v>
                </pt>
                <pt idx="70">
                  <v>-0.1363317107216691</v>
                </pt>
                <pt idx="71">
                  <v>-0.06974019941214342</v>
                </pt>
                <pt idx="72">
                  <v>-0.1844717054757773</v>
                </pt>
                <pt idx="73">
                  <v>-0.1761632344409206</v>
                </pt>
                <pt idx="74">
                  <v>-0.1556907481773381</v>
                </pt>
                <pt idx="75">
                  <v>-0.1574558475020327</v>
                </pt>
                <pt idx="76">
                  <v>-0.2634710387724781</v>
                </pt>
                <pt idx="77">
                  <v>-0.3263975717111349</v>
                </pt>
                <pt idx="78">
                  <v>-0.2686454267893917</v>
                </pt>
                <pt idx="79">
                  <v>-0.2115339694493115</v>
                </pt>
                <pt idx="80">
                  <v>-0.04249656460456635</v>
                </pt>
                <pt idx="81">
                  <v>0.1454911950135008</v>
                </pt>
                <pt idx="82">
                  <v>0.04311724741096014</v>
                </pt>
                <pt idx="83">
                  <v>0.1262376539144529</v>
                </pt>
                <pt idx="84">
                  <v>0.2489637502825629</v>
                </pt>
                <pt idx="85">
                  <v>0.2010153788800063</v>
                </pt>
                <pt idx="86">
                  <v>0.08604046511582704</v>
                </pt>
                <pt idx="87">
                  <v>0.06927126748943639</v>
                </pt>
                <pt idx="88">
                  <v>0.1980528403564664</v>
                </pt>
                <pt idx="89">
                  <v>0.393329665131054</v>
                </pt>
                <pt idx="90">
                  <v>0.222581294960817</v>
                </pt>
                <pt idx="91">
                  <v>0.33628772282236</v>
                </pt>
                <pt idx="92">
                  <v>0.2305786857353273</v>
                </pt>
                <pt idx="93">
                  <v>0.2911334689017272</v>
                </pt>
                <pt idx="94">
                  <v>0.3272752831116447</v>
                </pt>
                <pt idx="95">
                  <v>0.3022605693006671</v>
                </pt>
                <pt idx="96">
                  <v>0.271725444819865</v>
                </pt>
                <pt idx="97">
                  <v>0.162498597241563</v>
                </pt>
                <pt idx="98">
                  <v>0.3036875572544138</v>
                </pt>
                <pt idx="99">
                  <v>0.3306393442771814</v>
                </pt>
                <pt idx="100">
                  <v>0.2814089358094669</v>
                </pt>
                <pt idx="101">
                  <v>0.2755027228614415</v>
                </pt>
                <pt idx="102">
                  <v>0.339185892030645</v>
                </pt>
                <pt idx="103">
                  <v>0.1522177495755615</v>
                </pt>
                <pt idx="104">
                  <v>0.1755451313600914</v>
                </pt>
                <pt idx="105">
                  <v>0.04338858730094699</v>
                </pt>
                <pt idx="106">
                  <v>-0.03865571609108742</v>
                </pt>
                <pt idx="107">
                  <v>-0.01573551405945707</v>
                </pt>
                <pt idx="108">
                  <v>-0.1022675191961332</v>
                </pt>
                <pt idx="109">
                  <v>-0.04107679089296588</v>
                </pt>
                <pt idx="110">
                  <v>-0.04790176673932246</v>
                </pt>
                <pt idx="111">
                  <v>-0.06298761809037454</v>
                </pt>
                <pt idx="112">
                  <v>-0.05945565819110936</v>
                </pt>
                <pt idx="113">
                  <v>-0.07316839106810988</v>
                </pt>
                <pt idx="114">
                  <v>-0.08932366819922388</v>
                </pt>
                <pt idx="115">
                  <v>-0.003645119266368193</v>
                </pt>
                <pt idx="116">
                  <v>-0.07403207647888917</v>
                </pt>
                <pt idx="117">
                  <v>-0.08580681221457621</v>
                </pt>
                <pt idx="118">
                  <v>0.00986721044053895</v>
                </pt>
                <pt idx="119">
                  <v>-0.03547426249964714</v>
                </pt>
                <pt idx="120">
                  <v>-0.01145334068212652</v>
                </pt>
                <pt idx="121">
                  <v>-0.07695537788325169</v>
                </pt>
                <pt idx="122">
                  <v>-0.1676190431544675</v>
                </pt>
                <pt idx="123">
                  <v>-0.0909580638984403</v>
                </pt>
                <pt idx="124">
                  <v>-0.08802598115329778</v>
                </pt>
                <pt idx="125">
                  <v>-0.1155163193122741</v>
                </pt>
                <pt idx="126">
                  <v>-0.1233652612778269</v>
                </pt>
                <pt idx="127">
                  <v>-0.1018752257093877</v>
                </pt>
                <pt idx="128">
                  <v>-0.0244653108373565</v>
                </pt>
                <pt idx="129">
                  <v>0.03163550547655003</v>
                </pt>
                <pt idx="130">
                  <v>-0.04838915746567907</v>
                </pt>
                <pt idx="131">
                  <v>-0.07905000119586982</v>
                </pt>
                <pt idx="132">
                  <v>0.01425082994778407</v>
                </pt>
                <pt idx="133">
                  <v>0.0980808664110127</v>
                </pt>
                <pt idx="134">
                  <v>0.1486946554005492</v>
                </pt>
                <pt idx="135">
                  <v>0.1278762478189582</v>
                </pt>
                <pt idx="136">
                  <v>0.1477024485259973</v>
                </pt>
                <pt idx="137">
                  <v>0.2498013168445959</v>
                </pt>
                <pt idx="138">
                  <v>0.2892437333893436</v>
                </pt>
                <pt idx="139">
                  <v>0.2579401793061952</v>
                </pt>
                <pt idx="140">
                  <v>0.249943239799552</v>
                </pt>
                <pt idx="141">
                  <v>0.2839575329438351</v>
                </pt>
                <pt idx="142">
                  <v>0.3123919886271768</v>
                </pt>
                <pt idx="143">
                  <v>0.3634104588878457</v>
                </pt>
                <pt idx="144">
                  <v>0.2816485488525726</v>
                </pt>
                <pt idx="145">
                  <v>0.3398694345870807</v>
                </pt>
                <pt idx="146">
                  <v>0.2571373760765158</v>
                </pt>
                <pt idx="147">
                  <v>0.1760483591795448</v>
                </pt>
                <pt idx="148">
                  <v>0.1523721265600036</v>
                </pt>
                <pt idx="149">
                  <v>0.05869814195552735</v>
                </pt>
                <pt idx="150">
                  <v>0.03725501818065041</v>
                </pt>
                <pt idx="151">
                  <v>0.05212558487762645</v>
                </pt>
                <pt idx="152">
                  <v>0.0138892672710256</v>
                </pt>
                <pt idx="153">
                  <v>-0.02597116406131431</v>
                </pt>
                <pt idx="154">
                  <v>-0.1227529185408596</v>
                </pt>
                <pt idx="155">
                  <v>-0.1236046782077963</v>
                </pt>
                <pt idx="156">
                  <v>-0.1684414970309753</v>
                </pt>
                <pt idx="157">
                  <v>-0.1712706797968966</v>
                </pt>
                <pt idx="158">
                  <v>-0.09086412770437423</v>
                </pt>
                <pt idx="159">
                  <v>-0.08288157728237264</v>
                </pt>
                <pt idx="160">
                  <v>-0.05831400824416819</v>
                </pt>
                <pt idx="161">
                  <v>-0.08617927369414909</v>
                </pt>
                <pt idx="162">
                  <v>-0.006440907166786166</v>
                </pt>
                <pt idx="163">
                  <v>-0.06660454325482666</v>
                </pt>
                <pt idx="164">
                  <v>-0.05056081943682114</v>
                </pt>
                <pt idx="165">
                  <v>-0.02102980279872448</v>
                </pt>
                <pt idx="166">
                  <v>0.1165920458239915</v>
                </pt>
                <pt idx="167">
                  <v>0.1307468353605016</v>
                </pt>
                <pt idx="168">
                  <v>0.234328411254187</v>
                </pt>
                <pt idx="169">
                  <v>0.1173756458086982</v>
                </pt>
                <pt idx="170">
                  <v>0.003410348584812786</v>
                </pt>
                <pt idx="171">
                  <v>-0.1851002164905826</v>
                </pt>
                <pt idx="172">
                  <v>-0.1760827715690563</v>
                </pt>
                <pt idx="173">
                  <v>-0.05439318155027418</v>
                </pt>
                <pt idx="174">
                  <v>-0.04929052514826665</v>
                </pt>
                <pt idx="175">
                  <v>-0.008547154243525781</v>
                </pt>
                <pt idx="176">
                  <v>0.05258359287927769</v>
                </pt>
                <pt idx="177">
                  <v>-0.01223223126780757</v>
                </pt>
                <pt idx="178">
                  <v>-0.1007496171057999</v>
                </pt>
                <pt idx="179">
                  <v>0.06643088378115895</v>
                </pt>
                <pt idx="180">
                  <v>0.06523335758527449</v>
                </pt>
                <pt idx="181">
                  <v>0.09498359696430662</v>
                </pt>
                <pt idx="182">
                  <v>0.2224426308236679</v>
                </pt>
                <pt idx="183">
                  <v>0.5574583174698127</v>
                </pt>
                <pt idx="184">
                  <v>0.5353094593016309</v>
                </pt>
                <pt idx="185">
                  <v>0.4924834796068778</v>
                </pt>
                <pt idx="186">
                  <v>0.384497703816233</v>
                </pt>
                <pt idx="187">
                  <v>0.3552064624870873</v>
                </pt>
                <pt idx="188">
                  <v>0.3215089086237828</v>
                </pt>
                <pt idx="189">
                  <v>0.2995504498133704</v>
                </pt>
                <pt idx="190">
                  <v>0.4362302143506373</v>
                </pt>
                <pt idx="191">
                  <v>0.1352220224606544</v>
                </pt>
                <pt idx="192">
                  <v>0.1386202550724177</v>
                </pt>
                <pt idx="193">
                  <v>0.1209149796557353</v>
                </pt>
                <pt idx="194">
                  <v>0.004033834205863269</v>
                </pt>
                <pt idx="195">
                  <v>-0.04510846026006662</v>
                </pt>
                <pt idx="196">
                  <v>-0.1541924717575417</v>
                </pt>
                <pt idx="197">
                  <v>-0.1545615226121602</v>
                </pt>
                <pt idx="198">
                  <v>-0.2452848105128256</v>
                </pt>
                <pt idx="199">
                  <v>-0.2052528794008883</v>
                </pt>
                <pt idx="200">
                  <v>-0.2783787973534254</v>
                </pt>
                <pt idx="201">
                  <v>-0.3100166454186908</v>
                </pt>
                <pt idx="202">
                  <v>-0.2735409026288237</v>
                </pt>
                <pt idx="203">
                  <v>-0.1157754982851439</v>
                </pt>
              </numCache>
            </numRef>
          </val>
          <smooth val="0"/>
        </ser>
        <dLbls>
          <showLegendKey val="0"/>
          <showVal val="0"/>
          <showCatName val="0"/>
          <showSerName val="0"/>
          <showPercent val="0"/>
          <showBubbleSize val="0"/>
        </dLbls>
        <marker val="1"/>
        <smooth val="0"/>
        <axId val="1554487400"/>
        <axId val="1554516592"/>
      </lineChart>
      <dateAx>
        <axId val="1554522496"/>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0856"/>
        <crosses val="autoZero"/>
        <lblOffset val="100"/>
        <baseTimeUnit val="months"/>
      </dateAx>
      <valAx>
        <axId val="1554520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2496"/>
        <crosses val="autoZero"/>
        <crossBetween val="between"/>
      </valAx>
      <dateAx>
        <axId val="1554487400"/>
        <scaling>
          <orientation val="minMax"/>
        </scaling>
        <delete val="1"/>
        <axPos val="b"/>
        <numFmt formatCode="m/d/yyyy" sourceLinked="1"/>
        <majorTickMark val="out"/>
        <minorTickMark val="none"/>
        <tickLblPos val="nextTo"/>
        <crossAx val="1554516592"/>
        <crosses val="autoZero"/>
        <lblOffset val="100"/>
        <baseTimeUnit val="months"/>
      </dateAx>
      <valAx>
        <axId val="1554516592"/>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74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'Euro Area'!$G$5</f>
              <strCache>
                <ptCount val="1"/>
                <pt idx="0">
                  <v>Euro Area GDP qoq %</v>
                </pt>
              </strCache>
            </strRef>
          </tx>
          <spPr>
            <a:solidFill xmlns:a="http://schemas.openxmlformats.org/drawingml/2006/main">
              <a:schemeClr val="accent6"/>
            </a:solidFill>
            <a:ln xmlns:a="http://schemas.openxmlformats.org/drawingml/2006/main" w="22225">
              <a:solidFill>
                <a:srgbClr val="FF0000"/>
              </a:solidFill>
              <a:prstDash val="solid"/>
            </a:ln>
          </spPr>
          <invertIfNegative val="0"/>
          <dPt>
            <idx val="24"/>
            <invertIfNegative val="0"/>
            <bubble3D val="0"/>
            <spPr>
              <a:solidFill xmlns:a="http://schemas.openxmlformats.org/drawingml/2006/main">
                <a:srgbClr val="FF0000"/>
              </a:solidFill>
              <a:ln xmlns:a="http://schemas.openxmlformats.org/drawingml/2006/main" w="22225">
                <a:solidFill>
                  <a:srgbClr val="FF0000"/>
                </a:solidFill>
                <a:prstDash val="solid"/>
              </a:ln>
            </spPr>
          </dPt>
          <cat>
            <numRef>
              <f>'Euro Area'!$A$6:$A$221</f>
              <numCache>
                <formatCode>m/d/yyyy</formatCode>
                <ptCount val="216"/>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pt idx="215">
                  <v>44866</v>
                </pt>
              </numCache>
            </numRef>
          </cat>
          <val>
            <numRef>
              <f>'Euro Area'!$G$6:$G$221</f>
              <numCache>
                <formatCode>0.0%</formatCode>
                <ptCount val="216"/>
                <pt idx="0">
                  <v>0</v>
                </pt>
                <pt idx="1">
                  <v>0.002079008425802162</v>
                </pt>
                <pt idx="2">
                  <v>0</v>
                </pt>
                <pt idx="3">
                  <v>0</v>
                </pt>
                <pt idx="4">
                  <v>0.006154369590930122</v>
                </pt>
                <pt idx="5">
                  <v>0</v>
                </pt>
                <pt idx="6">
                  <v>0</v>
                </pt>
                <pt idx="7">
                  <v>0.00732764268577181</v>
                </pt>
                <pt idx="8">
                  <v>0</v>
                </pt>
                <pt idx="9">
                  <v>0</v>
                </pt>
                <pt idx="10">
                  <v>0.006390846493875452</v>
                </pt>
                <pt idx="11">
                  <v>0</v>
                </pt>
                <pt idx="12">
                  <v>0</v>
                </pt>
                <pt idx="13">
                  <v>0.008731075876649541</v>
                </pt>
                <pt idx="14">
                  <v>0</v>
                </pt>
                <pt idx="15">
                  <v>0</v>
                </pt>
                <pt idx="16">
                  <v>0.01104205733804205</v>
                </pt>
                <pt idx="17">
                  <v>0</v>
                </pt>
                <pt idx="18">
                  <v>0</v>
                </pt>
                <pt idx="19">
                  <v>0.005944216053640459</v>
                </pt>
                <pt idx="20">
                  <v>0</v>
                </pt>
                <pt idx="21">
                  <v>0</v>
                </pt>
                <pt idx="22">
                  <v>0.01173620356979928</v>
                </pt>
                <pt idx="23">
                  <v>0</v>
                </pt>
                <pt idx="24">
                  <v>0</v>
                </pt>
                <pt idx="25">
                  <v>0.006000599096584409</v>
                </pt>
                <pt idx="26">
                  <v>0</v>
                </pt>
                <pt idx="27">
                  <v>0</v>
                </pt>
                <pt idx="28">
                  <v>0.007220810725550743</v>
                </pt>
                <pt idx="29">
                  <v>0</v>
                </pt>
                <pt idx="30">
                  <v>0</v>
                </pt>
                <pt idx="31">
                  <v>0.004513588218056784</v>
                </pt>
                <pt idx="32">
                  <v>0</v>
                </pt>
                <pt idx="33">
                  <v>0</v>
                </pt>
                <pt idx="34">
                  <v>0.005090836146678046</v>
                </pt>
                <pt idx="35">
                  <v>0</v>
                </pt>
                <pt idx="36">
                  <v>0</v>
                </pt>
                <pt idx="37">
                  <v>0.005170018134278373</v>
                </pt>
                <pt idx="38">
                  <v>0</v>
                </pt>
                <pt idx="39">
                  <v>0</v>
                </pt>
                <pt idx="40">
                  <v>-0.003375135400820901</v>
                </pt>
                <pt idx="41">
                  <v>0</v>
                </pt>
                <pt idx="42">
                  <v>0</v>
                </pt>
                <pt idx="43">
                  <v>-0.005284995408960556</v>
                </pt>
                <pt idx="44">
                  <v>0</v>
                </pt>
                <pt idx="45">
                  <v>0</v>
                </pt>
                <pt idx="46">
                  <v>-0.01820969430111454</v>
                </pt>
                <pt idx="47">
                  <v>0</v>
                </pt>
                <pt idx="48">
                  <v>0</v>
                </pt>
                <pt idx="49">
                  <v>-0.03093596519703931</v>
                </pt>
                <pt idx="50">
                  <v>0</v>
                </pt>
                <pt idx="51">
                  <v>0</v>
                </pt>
                <pt idx="52">
                  <v>-0.0002479623509994235</v>
                </pt>
                <pt idx="53">
                  <v>0</v>
                </pt>
                <pt idx="54">
                  <v>0</v>
                </pt>
                <pt idx="55">
                  <v>0.004024979403741463</v>
                </pt>
                <pt idx="56">
                  <v>0</v>
                </pt>
                <pt idx="57">
                  <v>0</v>
                </pt>
                <pt idx="58">
                  <v>0.004231328985635955</v>
                </pt>
                <pt idx="59">
                  <v>0</v>
                </pt>
                <pt idx="60">
                  <v>0</v>
                </pt>
                <pt idx="61">
                  <v>0.004419265756777226</v>
                </pt>
                <pt idx="62">
                  <v>0</v>
                </pt>
                <pt idx="63">
                  <v>0</v>
                </pt>
                <pt idx="64">
                  <v>0.009697860162736336</v>
                </pt>
                <pt idx="65">
                  <v>0</v>
                </pt>
                <pt idx="66">
                  <v>0</v>
                </pt>
                <pt idx="67">
                  <v>0.004179358840282454</v>
                </pt>
                <pt idx="68">
                  <v>0</v>
                </pt>
                <pt idx="69">
                  <v>0</v>
                </pt>
                <pt idx="70">
                  <v>0.005908231298489107</v>
                </pt>
                <pt idx="71">
                  <v>0</v>
                </pt>
                <pt idx="72">
                  <v>0</v>
                </pt>
                <pt idx="73">
                  <v>0.00909580495396386</v>
                </pt>
                <pt idx="74">
                  <v>0</v>
                </pt>
                <pt idx="75">
                  <v>0</v>
                </pt>
                <pt idx="76">
                  <v>-0.000224757433624218</v>
                </pt>
                <pt idx="77">
                  <v>0</v>
                </pt>
                <pt idx="78">
                  <v>0</v>
                </pt>
                <pt idx="79">
                  <v>0.001528009020713608</v>
                </pt>
                <pt idx="80">
                  <v>0</v>
                </pt>
                <pt idx="81">
                  <v>0</v>
                </pt>
                <pt idx="82">
                  <v>-0.004234834458831302</v>
                </pt>
                <pt idx="83">
                  <v>0</v>
                </pt>
                <pt idx="84">
                  <v>0</v>
                </pt>
                <pt idx="85">
                  <v>-0.002149700873127423</v>
                </pt>
                <pt idx="86">
                  <v>0</v>
                </pt>
                <pt idx="87">
                  <v>0</v>
                </pt>
                <pt idx="88">
                  <v>-0.002638823464713449</v>
                </pt>
                <pt idx="89">
                  <v>0</v>
                </pt>
                <pt idx="90">
                  <v>0</v>
                </pt>
                <pt idx="91">
                  <v>-0.0009907163742234103</v>
                </pt>
                <pt idx="92">
                  <v>0</v>
                </pt>
                <pt idx="93">
                  <v>0</v>
                </pt>
                <pt idx="94">
                  <v>-0.004449012942242542</v>
                </pt>
                <pt idx="95">
                  <v>0</v>
                </pt>
                <pt idx="96">
                  <v>0</v>
                </pt>
                <pt idx="97">
                  <v>-0.003324045172696367</v>
                </pt>
                <pt idx="98">
                  <v>0</v>
                </pt>
                <pt idx="99">
                  <v>0</v>
                </pt>
                <pt idx="100">
                  <v>0.005147360676686371</v>
                </pt>
                <pt idx="101">
                  <v>0</v>
                </pt>
                <pt idx="102">
                  <v>0</v>
                </pt>
                <pt idx="103">
                  <v>0.003038803676596945</v>
                </pt>
                <pt idx="104">
                  <v>0</v>
                </pt>
                <pt idx="105">
                  <v>0</v>
                </pt>
                <pt idx="106">
                  <v>0.002878766551284823</v>
                </pt>
                <pt idx="107">
                  <v>0</v>
                </pt>
                <pt idx="108">
                  <v>0</v>
                </pt>
                <pt idx="109">
                  <v>0.004141561641280461</v>
                </pt>
                <pt idx="110">
                  <v>0</v>
                </pt>
                <pt idx="111">
                  <v>0</v>
                </pt>
                <pt idx="112">
                  <v>0.001950123720347438</v>
                </pt>
                <pt idx="113">
                  <v>0</v>
                </pt>
                <pt idx="114">
                  <v>0</v>
                </pt>
                <pt idx="115">
                  <v>0.004939181884855341</v>
                </pt>
                <pt idx="116">
                  <v>0</v>
                </pt>
                <pt idx="117">
                  <v>0</v>
                </pt>
                <pt idx="118">
                  <v>0.003558540848885159</v>
                </pt>
                <pt idx="119">
                  <v>0</v>
                </pt>
                <pt idx="120">
                  <v>0</v>
                </pt>
                <pt idx="121">
                  <v>0.006376936063688275</v>
                </pt>
                <pt idx="122">
                  <v>0</v>
                </pt>
                <pt idx="123">
                  <v>0</v>
                </pt>
                <pt idx="124">
                  <v>0.004606899460288354</v>
                </pt>
                <pt idx="125">
                  <v>0</v>
                </pt>
                <pt idx="126">
                  <v>0</v>
                </pt>
                <pt idx="127">
                  <v>0.004168230329365794</v>
                </pt>
                <pt idx="128">
                  <v>0</v>
                </pt>
                <pt idx="129">
                  <v>0</v>
                </pt>
                <pt idx="130">
                  <v>0.004621030137627779</v>
                </pt>
                <pt idx="131">
                  <v>0</v>
                </pt>
                <pt idx="132">
                  <v>0</v>
                </pt>
                <pt idx="133">
                  <v>0.005558264577996221</v>
                </pt>
                <pt idx="134">
                  <v>0</v>
                </pt>
                <pt idx="135">
                  <v>0</v>
                </pt>
                <pt idx="136">
                  <v>0.002338366509995496</v>
                </pt>
                <pt idx="137">
                  <v>0</v>
                </pt>
                <pt idx="138">
                  <v>0</v>
                </pt>
                <pt idx="139">
                  <v>0.00476872353145435</v>
                </pt>
                <pt idx="140">
                  <v>0</v>
                </pt>
                <pt idx="141">
                  <v>0</v>
                </pt>
                <pt idx="142">
                  <v>0.007571322890104813</v>
                </pt>
                <pt idx="143">
                  <v>0</v>
                </pt>
                <pt idx="144">
                  <v>0</v>
                </pt>
                <pt idx="145">
                  <v>0.006829487932795342</v>
                </pt>
                <pt idx="146">
                  <v>0</v>
                </pt>
                <pt idx="147">
                  <v>0</v>
                </pt>
                <pt idx="148">
                  <v>0.007887524293034848</v>
                </pt>
                <pt idx="149">
                  <v>0</v>
                </pt>
                <pt idx="150">
                  <v>0</v>
                </pt>
                <pt idx="151">
                  <v>0.007760442137866973</v>
                </pt>
                <pt idx="152">
                  <v>0</v>
                </pt>
                <pt idx="153">
                  <v>0</v>
                </pt>
                <pt idx="154">
                  <v>0.008091295999694992</v>
                </pt>
                <pt idx="155">
                  <v>0</v>
                </pt>
                <pt idx="156">
                  <v>0</v>
                </pt>
                <pt idx="157">
                  <v>-3.510066650091764e-05</v>
                </pt>
                <pt idx="158">
                  <v>0</v>
                </pt>
                <pt idx="159">
                  <v>0</v>
                </pt>
                <pt idx="160">
                  <v>0.005393534397974045</v>
                </pt>
                <pt idx="161">
                  <v>0</v>
                </pt>
                <pt idx="162">
                  <v>0</v>
                </pt>
                <pt idx="163">
                  <v>8.699966473854685e-05</v>
                </pt>
                <pt idx="164">
                  <v>0</v>
                </pt>
                <pt idx="165">
                  <v>0</v>
                </pt>
                <pt idx="166">
                  <v>0.006465919737490724</v>
                </pt>
                <pt idx="167">
                  <v>0</v>
                </pt>
                <pt idx="168">
                  <v>0</v>
                </pt>
                <pt idx="169">
                  <v>0.006281530002931163</v>
                </pt>
                <pt idx="170">
                  <v>0</v>
                </pt>
                <pt idx="171">
                  <v>0</v>
                </pt>
                <pt idx="172">
                  <v>0.00313693459033283</v>
                </pt>
                <pt idx="173">
                  <v>0</v>
                </pt>
                <pt idx="174">
                  <v>0</v>
                </pt>
                <pt idx="175">
                  <v>0.002074514789335913</v>
                </pt>
                <pt idx="176">
                  <v>0</v>
                </pt>
                <pt idx="177">
                  <v>0</v>
                </pt>
                <pt idx="178">
                  <v>0.0001576409878780286</v>
                </pt>
                <pt idx="179">
                  <v>0</v>
                </pt>
                <pt idx="180">
                  <v>0</v>
                </pt>
                <pt idx="181">
                  <v>-0.03363783079240897</v>
                </pt>
                <pt idx="182">
                  <v>0</v>
                </pt>
                <pt idx="183">
                  <v>0</v>
                </pt>
                <pt idx="184">
                  <v>-0.1145008073653633</v>
                </pt>
                <pt idx="185">
                  <v>0</v>
                </pt>
                <pt idx="186">
                  <v>0</v>
                </pt>
                <pt idx="187">
                  <v>0.1235111337444042</v>
                </pt>
                <pt idx="188">
                  <v>0</v>
                </pt>
                <pt idx="189">
                  <v>0</v>
                </pt>
                <pt idx="190">
                  <v>-0.002623450635427683</v>
                </pt>
                <pt idx="191">
                  <v>0</v>
                </pt>
                <pt idx="192">
                  <v>0</v>
                </pt>
                <pt idx="193">
                  <v>-0.0006209683402426656</v>
                </pt>
                <pt idx="194">
                  <v>0</v>
                </pt>
                <pt idx="195">
                  <v>0</v>
                </pt>
                <pt idx="196">
                  <v>0.01986212346888342</v>
                </pt>
                <pt idx="197">
                  <v>0</v>
                </pt>
                <pt idx="198">
                  <v>0</v>
                </pt>
                <pt idx="199">
                  <v>0.02250640829915882</v>
                </pt>
                <pt idx="200">
                  <v>0</v>
                </pt>
                <pt idx="201">
                  <v>0</v>
                </pt>
                <pt idx="202">
                  <v>0.005352043282738927</v>
                </pt>
                <pt idx="203">
                  <v>0</v>
                </pt>
                <pt idx="204">
                  <v>0</v>
                </pt>
                <pt idx="205">
                  <v>0.00611327279210289</v>
                </pt>
                <pt idx="206">
                  <v>0</v>
                </pt>
                <pt idx="207">
                  <v>0</v>
                </pt>
                <pt idx="208">
                  <v>0.007951096645584181</v>
                </pt>
                <pt idx="209">
                  <v>0</v>
                </pt>
                <pt idx="210">
                  <v>0</v>
                </pt>
                <pt idx="211">
                  <v>0.003184090836015212</v>
                </pt>
                <pt idx="212">
                  <v>0</v>
                </pt>
                <pt idx="213">
                  <v>0</v>
                </pt>
                <pt idx="214">
                  <v>0</v>
                </pt>
                <pt idx="215">
                  <v>0</v>
                </pt>
              </numCache>
            </numRef>
          </val>
        </ser>
        <dLbls>
          <showLegendKey val="0"/>
          <showVal val="0"/>
          <showCatName val="0"/>
          <showSerName val="0"/>
          <showPercent val="0"/>
          <showBubbleSize val="0"/>
        </dLbls>
        <gapWidth val="219"/>
        <axId val="1554513968"/>
        <axId val="1554514296"/>
      </barChart>
      <lineChart>
        <grouping val="standard"/>
        <varyColors val="0"/>
        <ser>
          <idx val="6"/>
          <order val="1"/>
          <tx>
            <strRef>
              <f>'Euro Area'!$B$5</f>
              <strCache>
                <ptCount val="1"/>
                <pt idx="0">
                  <v>Euro Area PMI</v>
                </pt>
              </strCache>
            </strRef>
          </tx>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'Euro Area'!$A$6:$A$221</f>
              <numCache>
                <formatCode>m/d/yyyy</formatCode>
                <ptCount val="216"/>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pt idx="215">
                  <v>44866</v>
                </pt>
              </numCache>
            </numRef>
          </cat>
          <val>
            <numRef>
              <f>'Euro Area'!$B$6:$B$221</f>
              <numCache>
                <formatCode>General</formatCode>
                <ptCount val="216"/>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pt idx="208">
                  <v>55.5</v>
                </pt>
                <pt idx="209">
                  <v>54.4</v>
                </pt>
                <pt idx="210">
                  <v>52</v>
                </pt>
                <pt idx="211">
                  <v>49.8</v>
                </pt>
                <pt idx="212">
                  <v>49.6</v>
                </pt>
                <pt idx="213">
                  <v>48.4</v>
                </pt>
                <pt idx="214">
                  <v>46.4</v>
                </pt>
                <pt idx="215">
                  <v>47.1</v>
                </pt>
              </numCache>
            </numRef>
          </val>
          <smooth val="0"/>
        </ser>
        <dLbls>
          <showLegendKey val="0"/>
          <showVal val="0"/>
          <showCatName val="0"/>
          <showSerName val="0"/>
          <showPercent val="0"/>
          <showBubbleSize val="0"/>
        </dLbls>
        <marker val="1"/>
        <smooth val="0"/>
        <axId val="1554494288"/>
        <axId val="1554495600"/>
      </lineChart>
      <dateAx>
        <axId val="1554513968"/>
        <scaling>
          <orientation val="minMax"/>
        </scaling>
        <delete val="1"/>
        <axPos val="b"/>
        <numFmt formatCode="m/d/yyyy" sourceLinked="1"/>
        <majorTickMark val="out"/>
        <minorTickMark val="none"/>
        <tickLblPos val="nextTo"/>
        <crossAx val="1554514296"/>
        <crosses val="autoZero"/>
        <lblOffset val="100"/>
        <baseTimeUnit val="months"/>
      </dateAx>
      <valAx>
        <axId val="1554514296"/>
        <scaling>
          <orientation val="minMax"/>
          <max val="0.14"/>
          <min val="-0.14"/>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13968"/>
        <crosses val="max"/>
        <crossBetween val="between"/>
      </valAx>
      <dateAx>
        <axId val="1554494288"/>
        <scaling>
          <orientation val="minMax"/>
          <min val="40179"/>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5600"/>
        <crosses val="autoZero"/>
        <lblOffset val="100"/>
        <baseTimeUnit val="months"/>
      </dateAx>
      <valAx>
        <axId val="155449560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42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Euro Area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'Euro Area'!$G$5</f>
              <strCache>
                <ptCount val="1"/>
                <pt idx="0">
                  <v>Euro Area GDP qoq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'Euro Area'!$A$6:$A$221</f>
              <numCache>
                <formatCode>m/d/yyyy</formatCode>
                <ptCount val="216"/>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pt idx="215">
                  <v>44866</v>
                </pt>
              </numCache>
            </numRef>
          </cat>
          <val>
            <numRef>
              <f>'Euro Area'!$B$6:$B$221</f>
              <numCache>
                <formatCode>General</formatCode>
                <ptCount val="216"/>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pt idx="208">
                  <v>55.5</v>
                </pt>
                <pt idx="209">
                  <v>54.4</v>
                </pt>
                <pt idx="210">
                  <v>52</v>
                </pt>
                <pt idx="211">
                  <v>49.8</v>
                </pt>
                <pt idx="212">
                  <v>49.6</v>
                </pt>
                <pt idx="213">
                  <v>48.4</v>
                </pt>
                <pt idx="214">
                  <v>46.4</v>
                </pt>
                <pt idx="215">
                  <v>47.1</v>
                </pt>
              </numCache>
            </numRef>
          </val>
          <smooth val="0"/>
        </ser>
        <dLbls>
          <showLegendKey val="0"/>
          <showVal val="0"/>
          <showCatName val="0"/>
          <showSerName val="0"/>
          <showPercent val="0"/>
          <showBubbleSize val="0"/>
        </dLbls>
        <smooth val="0"/>
        <axId val="1635833839"/>
        <axId val="527016927"/>
      </lineChart>
      <dateAx>
        <axId val="1635833839"/>
        <scaling>
          <orientation val="minMax"/>
        </scaling>
        <delete val="0"/>
        <axPos val="b"/>
        <numFmt formatCode="m/d/yy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27016927"/>
        <crosses val="autoZero"/>
        <lblOffset val="100"/>
        <baseTimeUnit val="months"/>
      </dateAx>
      <valAx>
        <axId val="527016927"/>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635833839"/>
        <crosses val="autoZero"/>
        <crossBetween val="between"/>
      </valAx>
    </plotArea>
    <plotVisOnly val="1"/>
    <dispBlanksAs val="gap"/>
  </chart>
</chartSpace>
</file>

<file path=xl/charts/chart10.xml><?xml version="1.0" encoding="utf-8"?>
<chartSpace xmlns="http://schemas.openxmlformats.org/drawingml/2006/chart">
  <chart>
    <title>
      <tx>
        <strRef>
          <f>Japan!$K$2</f>
          <strCache>
            <ptCount val="1"/>
            <pt idx="0">
              <v>Japan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Japan!$A$6:$A$183</f>
              <numCache>
                <formatCode>m/d/yyyy</formatCode>
                <ptCount val="178"/>
                <pt idx="0">
                  <v>39479</v>
                </pt>
                <pt idx="1">
                  <v>39508</v>
                </pt>
                <pt idx="2">
                  <v>39539</v>
                </pt>
                <pt idx="3">
                  <v>39569</v>
                </pt>
                <pt idx="4">
                  <v>39600</v>
                </pt>
                <pt idx="5">
                  <v>39630</v>
                </pt>
                <pt idx="6">
                  <v>39661</v>
                </pt>
                <pt idx="7">
                  <v>39692</v>
                </pt>
                <pt idx="8">
                  <v>39722</v>
                </pt>
                <pt idx="9">
                  <v>39753</v>
                </pt>
                <pt idx="10">
                  <v>39783</v>
                </pt>
                <pt idx="11">
                  <v>39814</v>
                </pt>
                <pt idx="12">
                  <v>39845</v>
                </pt>
                <pt idx="13">
                  <v>39873</v>
                </pt>
                <pt idx="14">
                  <v>39904</v>
                </pt>
                <pt idx="15">
                  <v>39934</v>
                </pt>
                <pt idx="16">
                  <v>39965</v>
                </pt>
                <pt idx="17">
                  <v>39995</v>
                </pt>
                <pt idx="18">
                  <v>40026</v>
                </pt>
                <pt idx="19">
                  <v>40057</v>
                </pt>
                <pt idx="20">
                  <v>40087</v>
                </pt>
                <pt idx="21">
                  <v>40118</v>
                </pt>
                <pt idx="22">
                  <v>40148</v>
                </pt>
                <pt idx="23">
                  <v>40179</v>
                </pt>
                <pt idx="24">
                  <v>40210</v>
                </pt>
                <pt idx="25">
                  <v>40238</v>
                </pt>
                <pt idx="26">
                  <v>40269</v>
                </pt>
                <pt idx="27">
                  <v>40299</v>
                </pt>
                <pt idx="28">
                  <v>40330</v>
                </pt>
                <pt idx="29">
                  <v>40360</v>
                </pt>
                <pt idx="30">
                  <v>40391</v>
                </pt>
                <pt idx="31">
                  <v>40422</v>
                </pt>
                <pt idx="32">
                  <v>40452</v>
                </pt>
                <pt idx="33">
                  <v>40483</v>
                </pt>
                <pt idx="34">
                  <v>40513</v>
                </pt>
                <pt idx="35">
                  <v>40544</v>
                </pt>
                <pt idx="36">
                  <v>40575</v>
                </pt>
                <pt idx="37">
                  <v>40603</v>
                </pt>
                <pt idx="38">
                  <v>40634</v>
                </pt>
                <pt idx="39">
                  <v>40664</v>
                </pt>
                <pt idx="40">
                  <v>40695</v>
                </pt>
                <pt idx="41">
                  <v>40725</v>
                </pt>
                <pt idx="42">
                  <v>40756</v>
                </pt>
                <pt idx="43">
                  <v>40787</v>
                </pt>
                <pt idx="44">
                  <v>40817</v>
                </pt>
                <pt idx="45">
                  <v>40848</v>
                </pt>
                <pt idx="46">
                  <v>40878</v>
                </pt>
                <pt idx="47">
                  <v>40909</v>
                </pt>
                <pt idx="48">
                  <v>40940</v>
                </pt>
                <pt idx="49">
                  <v>40969</v>
                </pt>
                <pt idx="50">
                  <v>41000</v>
                </pt>
                <pt idx="51">
                  <v>41030</v>
                </pt>
                <pt idx="52">
                  <v>41061</v>
                </pt>
                <pt idx="53">
                  <v>41091</v>
                </pt>
                <pt idx="54">
                  <v>41122</v>
                </pt>
                <pt idx="55">
                  <v>41153</v>
                </pt>
                <pt idx="56">
                  <v>41183</v>
                </pt>
                <pt idx="57">
                  <v>41214</v>
                </pt>
                <pt idx="58">
                  <v>41244</v>
                </pt>
                <pt idx="59">
                  <v>41275</v>
                </pt>
                <pt idx="60">
                  <v>41306</v>
                </pt>
                <pt idx="61">
                  <v>41334</v>
                </pt>
                <pt idx="62">
                  <v>41365</v>
                </pt>
                <pt idx="63">
                  <v>41395</v>
                </pt>
                <pt idx="64">
                  <v>41426</v>
                </pt>
                <pt idx="65">
                  <v>41456</v>
                </pt>
                <pt idx="66">
                  <v>41487</v>
                </pt>
                <pt idx="67">
                  <v>41518</v>
                </pt>
                <pt idx="68">
                  <v>41548</v>
                </pt>
                <pt idx="69">
                  <v>41579</v>
                </pt>
                <pt idx="70">
                  <v>41609</v>
                </pt>
                <pt idx="71">
                  <v>41640</v>
                </pt>
                <pt idx="72">
                  <v>41671</v>
                </pt>
                <pt idx="73">
                  <v>41699</v>
                </pt>
                <pt idx="74">
                  <v>41730</v>
                </pt>
                <pt idx="75">
                  <v>41760</v>
                </pt>
                <pt idx="76">
                  <v>41791</v>
                </pt>
                <pt idx="77">
                  <v>41821</v>
                </pt>
                <pt idx="78">
                  <v>41852</v>
                </pt>
                <pt idx="79">
                  <v>41883</v>
                </pt>
                <pt idx="80">
                  <v>41913</v>
                </pt>
                <pt idx="81">
                  <v>41944</v>
                </pt>
                <pt idx="82">
                  <v>41974</v>
                </pt>
                <pt idx="83">
                  <v>42005</v>
                </pt>
                <pt idx="84">
                  <v>42036</v>
                </pt>
                <pt idx="85">
                  <v>42064</v>
                </pt>
                <pt idx="86">
                  <v>42095</v>
                </pt>
                <pt idx="87">
                  <v>42125</v>
                </pt>
                <pt idx="88">
                  <v>42156</v>
                </pt>
                <pt idx="89">
                  <v>42186</v>
                </pt>
                <pt idx="90">
                  <v>42217</v>
                </pt>
                <pt idx="91">
                  <v>42248</v>
                </pt>
                <pt idx="92">
                  <v>42278</v>
                </pt>
                <pt idx="93">
                  <v>42309</v>
                </pt>
                <pt idx="94">
                  <v>42339</v>
                </pt>
                <pt idx="95">
                  <v>42370</v>
                </pt>
                <pt idx="96">
                  <v>42401</v>
                </pt>
                <pt idx="97">
                  <v>42430</v>
                </pt>
                <pt idx="98">
                  <v>42461</v>
                </pt>
                <pt idx="99">
                  <v>42491</v>
                </pt>
                <pt idx="100">
                  <v>42522</v>
                </pt>
                <pt idx="101">
                  <v>42552</v>
                </pt>
                <pt idx="102">
                  <v>42583</v>
                </pt>
                <pt idx="103">
                  <v>42614</v>
                </pt>
                <pt idx="104">
                  <v>42644</v>
                </pt>
                <pt idx="105">
                  <v>42675</v>
                </pt>
                <pt idx="106">
                  <v>42705</v>
                </pt>
                <pt idx="107">
                  <v>42736</v>
                </pt>
                <pt idx="108">
                  <v>42767</v>
                </pt>
                <pt idx="109">
                  <v>42795</v>
                </pt>
                <pt idx="110">
                  <v>42826</v>
                </pt>
                <pt idx="111">
                  <v>42856</v>
                </pt>
                <pt idx="112">
                  <v>42887</v>
                </pt>
                <pt idx="113">
                  <v>42917</v>
                </pt>
                <pt idx="114">
                  <v>42948</v>
                </pt>
                <pt idx="115">
                  <v>42979</v>
                </pt>
                <pt idx="116">
                  <v>43009</v>
                </pt>
                <pt idx="117">
                  <v>43040</v>
                </pt>
                <pt idx="118">
                  <v>43070</v>
                </pt>
                <pt idx="119">
                  <v>43101</v>
                </pt>
                <pt idx="120">
                  <v>43132</v>
                </pt>
                <pt idx="121">
                  <v>43160</v>
                </pt>
                <pt idx="122">
                  <v>43191</v>
                </pt>
                <pt idx="123">
                  <v>43221</v>
                </pt>
                <pt idx="124">
                  <v>43252</v>
                </pt>
                <pt idx="125">
                  <v>43282</v>
                </pt>
                <pt idx="126">
                  <v>43313</v>
                </pt>
                <pt idx="127">
                  <v>43344</v>
                </pt>
                <pt idx="128">
                  <v>43374</v>
                </pt>
                <pt idx="129">
                  <v>43405</v>
                </pt>
                <pt idx="130">
                  <v>43435</v>
                </pt>
                <pt idx="131">
                  <v>43466</v>
                </pt>
                <pt idx="132">
                  <v>43497</v>
                </pt>
                <pt idx="133">
                  <v>43525</v>
                </pt>
                <pt idx="134">
                  <v>43556</v>
                </pt>
                <pt idx="135">
                  <v>43586</v>
                </pt>
                <pt idx="136">
                  <v>43617</v>
                </pt>
                <pt idx="137">
                  <v>43647</v>
                </pt>
                <pt idx="138">
                  <v>43678</v>
                </pt>
                <pt idx="139">
                  <v>43709</v>
                </pt>
                <pt idx="140">
                  <v>43739</v>
                </pt>
                <pt idx="141">
                  <v>43770</v>
                </pt>
                <pt idx="142">
                  <v>43800</v>
                </pt>
                <pt idx="143">
                  <v>43831</v>
                </pt>
                <pt idx="144">
                  <v>43862</v>
                </pt>
                <pt idx="145">
                  <v>43891</v>
                </pt>
                <pt idx="146">
                  <v>43922</v>
                </pt>
                <pt idx="147">
                  <v>43952</v>
                </pt>
                <pt idx="148">
                  <v>43983</v>
                </pt>
                <pt idx="149">
                  <v>44013</v>
                </pt>
                <pt idx="150">
                  <v>44044</v>
                </pt>
                <pt idx="151">
                  <v>44075</v>
                </pt>
                <pt idx="152">
                  <v>44105</v>
                </pt>
                <pt idx="153">
                  <v>44136</v>
                </pt>
                <pt idx="154">
                  <v>44166</v>
                </pt>
                <pt idx="155">
                  <v>44197</v>
                </pt>
                <pt idx="156">
                  <v>44228</v>
                </pt>
                <pt idx="157">
                  <v>44256</v>
                </pt>
                <pt idx="158">
                  <v>44287</v>
                </pt>
                <pt idx="159">
                  <v>44317</v>
                </pt>
                <pt idx="160">
                  <v>44348</v>
                </pt>
                <pt idx="161">
                  <v>44378</v>
                </pt>
                <pt idx="162">
                  <v>44409</v>
                </pt>
                <pt idx="163">
                  <v>44440</v>
                </pt>
                <pt idx="164">
                  <v>44470</v>
                </pt>
                <pt idx="165">
                  <v>44501</v>
                </pt>
                <pt idx="166">
                  <v>44531</v>
                </pt>
                <pt idx="167">
                  <v>44562</v>
                </pt>
                <pt idx="168">
                  <v>44593</v>
                </pt>
                <pt idx="169">
                  <v>44621</v>
                </pt>
                <pt idx="170">
                  <v>44652</v>
                </pt>
                <pt idx="171">
                  <v>44682</v>
                </pt>
                <pt idx="172">
                  <v>44713</v>
                </pt>
                <pt idx="173">
                  <v>44743</v>
                </pt>
                <pt idx="174">
                  <v>44774</v>
                </pt>
                <pt idx="175">
                  <v>44805</v>
                </pt>
                <pt idx="176">
                  <v>44835</v>
                </pt>
                <pt idx="177">
                  <v>44866</v>
                </pt>
              </numCache>
            </numRef>
          </cat>
          <val>
            <numRef>
              <f>Japan!$B$6:$B$183</f>
              <numCache>
                <formatCode>General</formatCode>
                <ptCount val="178"/>
                <pt idx="0">
                  <v>50.8</v>
                </pt>
                <pt idx="1">
                  <v>49.5</v>
                </pt>
                <pt idx="2">
                  <v>48.6</v>
                </pt>
                <pt idx="3">
                  <v>47.7</v>
                </pt>
                <pt idx="4">
                  <v>46.5</v>
                </pt>
                <pt idx="5">
                  <v>47</v>
                </pt>
                <pt idx="6">
                  <v>46.9</v>
                </pt>
                <pt idx="7">
                  <v>44.3</v>
                </pt>
                <pt idx="8">
                  <v>42.2</v>
                </pt>
                <pt idx="9">
                  <v>36.7</v>
                </pt>
                <pt idx="10">
                  <v>30.8</v>
                </pt>
                <pt idx="11">
                  <v>29.6</v>
                </pt>
                <pt idx="12">
                  <v>31.6</v>
                </pt>
                <pt idx="13">
                  <v>33.8</v>
                </pt>
                <pt idx="14">
                  <v>41.4</v>
                </pt>
                <pt idx="15">
                  <v>46.6</v>
                </pt>
                <pt idx="16">
                  <v>48.2</v>
                </pt>
                <pt idx="17">
                  <v>50.4</v>
                </pt>
                <pt idx="18">
                  <v>53.6</v>
                </pt>
                <pt idx="19">
                  <v>54.5</v>
                </pt>
                <pt idx="20">
                  <v>54.3</v>
                </pt>
                <pt idx="21">
                  <v>52.3</v>
                </pt>
                <pt idx="22">
                  <v>53.8</v>
                </pt>
                <pt idx="23">
                  <v>52.5</v>
                </pt>
                <pt idx="24">
                  <v>52.5</v>
                </pt>
                <pt idx="25">
                  <v>52.4</v>
                </pt>
                <pt idx="26">
                  <v>53.5</v>
                </pt>
                <pt idx="27">
                  <v>54.7</v>
                </pt>
                <pt idx="28">
                  <v>53.9</v>
                </pt>
                <pt idx="29">
                  <v>52.8</v>
                </pt>
                <pt idx="30">
                  <v>50.1</v>
                </pt>
                <pt idx="31">
                  <v>49.5</v>
                </pt>
                <pt idx="32">
                  <v>47.2</v>
                </pt>
                <pt idx="33">
                  <v>47.3</v>
                </pt>
                <pt idx="34">
                  <v>48.3</v>
                </pt>
                <pt idx="35">
                  <v>51.4</v>
                </pt>
                <pt idx="36">
                  <v>52.9</v>
                </pt>
                <pt idx="37">
                  <v>46.4</v>
                </pt>
                <pt idx="38">
                  <v>45.7</v>
                </pt>
                <pt idx="39">
                  <v>51.3</v>
                </pt>
                <pt idx="40">
                  <v>50.7</v>
                </pt>
                <pt idx="41">
                  <v>52.1</v>
                </pt>
                <pt idx="42">
                  <v>51.9</v>
                </pt>
                <pt idx="43">
                  <v>49.3</v>
                </pt>
                <pt idx="44">
                  <v>50.6</v>
                </pt>
                <pt idx="45">
                  <v>49.1</v>
                </pt>
                <pt idx="46">
                  <v>50.2</v>
                </pt>
                <pt idx="47">
                  <v>50.7</v>
                </pt>
                <pt idx="48">
                  <v>50.5</v>
                </pt>
                <pt idx="49">
                  <v>51.1</v>
                </pt>
                <pt idx="50">
                  <v>50.7</v>
                </pt>
                <pt idx="51">
                  <v>50.7</v>
                </pt>
                <pt idx="52">
                  <v>52.6</v>
                </pt>
                <pt idx="53">
                  <v>52</v>
                </pt>
                <pt idx="54">
                  <v>52.1</v>
                </pt>
                <pt idx="55">
                  <v>48</v>
                </pt>
                <pt idx="56">
                  <v>46.9</v>
                </pt>
                <pt idx="57">
                  <v>46.5</v>
                </pt>
                <pt idx="58">
                  <v>45</v>
                </pt>
                <pt idx="59">
                  <v>47.7</v>
                </pt>
                <pt idx="60">
                  <v>48.5</v>
                </pt>
                <pt idx="61">
                  <v>50.4</v>
                </pt>
                <pt idx="62">
                  <v>51.1</v>
                </pt>
                <pt idx="63">
                  <v>51.5</v>
                </pt>
                <pt idx="64">
                  <v>52.3</v>
                </pt>
                <pt idx="65">
                  <v>50.7</v>
                </pt>
                <pt idx="66">
                  <v>52.2</v>
                </pt>
                <pt idx="67">
                  <v>52.5</v>
                </pt>
                <pt idx="68">
                  <v>54.2</v>
                </pt>
                <pt idx="69">
                  <v>55.1</v>
                </pt>
                <pt idx="70">
                  <v>55.2</v>
                </pt>
                <pt idx="71">
                  <v>56.6</v>
                </pt>
                <pt idx="72">
                  <v>55.5</v>
                </pt>
                <pt idx="73">
                  <v>53.9</v>
                </pt>
                <pt idx="74">
                  <v>49.4</v>
                </pt>
                <pt idx="75">
                  <v>49.9</v>
                </pt>
                <pt idx="76">
                  <v>51.5</v>
                </pt>
                <pt idx="77">
                  <v>50.5</v>
                </pt>
                <pt idx="78">
                  <v>52.2</v>
                </pt>
                <pt idx="79">
                  <v>51.7</v>
                </pt>
                <pt idx="80">
                  <v>52.4</v>
                </pt>
                <pt idx="81">
                  <v>52</v>
                </pt>
                <pt idx="82">
                  <v>52</v>
                </pt>
                <pt idx="83">
                  <v>52.2</v>
                </pt>
                <pt idx="84">
                  <v>51.6</v>
                </pt>
                <pt idx="85">
                  <v>50.3</v>
                </pt>
                <pt idx="86">
                  <v>49.9</v>
                </pt>
                <pt idx="87">
                  <v>50.9</v>
                </pt>
                <pt idx="88">
                  <v>50.1</v>
                </pt>
                <pt idx="89">
                  <v>51.2</v>
                </pt>
                <pt idx="90">
                  <v>51.7</v>
                </pt>
                <pt idx="91">
                  <v>51</v>
                </pt>
                <pt idx="92">
                  <v>52.4</v>
                </pt>
                <pt idx="93">
                  <v>52.6</v>
                </pt>
                <pt idx="94">
                  <v>52.6</v>
                </pt>
                <pt idx="95">
                  <v>52.3</v>
                </pt>
                <pt idx="96">
                  <v>50.1</v>
                </pt>
                <pt idx="97">
                  <v>49.1</v>
                </pt>
                <pt idx="98">
                  <v>48.2</v>
                </pt>
                <pt idx="99">
                  <v>47.7</v>
                </pt>
                <pt idx="100">
                  <v>48.1</v>
                </pt>
                <pt idx="101">
                  <v>49.3</v>
                </pt>
                <pt idx="102">
                  <v>49.5</v>
                </pt>
                <pt idx="103">
                  <v>50.4</v>
                </pt>
                <pt idx="104">
                  <v>51.4</v>
                </pt>
                <pt idx="105">
                  <v>51.3</v>
                </pt>
                <pt idx="106">
                  <v>52.4</v>
                </pt>
                <pt idx="107">
                  <v>52.7</v>
                </pt>
                <pt idx="108">
                  <v>53.3</v>
                </pt>
                <pt idx="109">
                  <v>52.4</v>
                </pt>
                <pt idx="110">
                  <v>52.7</v>
                </pt>
                <pt idx="111">
                  <v>53.1</v>
                </pt>
                <pt idx="112">
                  <v>52.4</v>
                </pt>
                <pt idx="113">
                  <v>52.1</v>
                </pt>
                <pt idx="114">
                  <v>52.2</v>
                </pt>
                <pt idx="115">
                  <v>52.9</v>
                </pt>
                <pt idx="116">
                  <v>52.8</v>
                </pt>
                <pt idx="117">
                  <v>53.6</v>
                </pt>
                <pt idx="118">
                  <v>54</v>
                </pt>
                <pt idx="119">
                  <v>54.8</v>
                </pt>
                <pt idx="120">
                  <v>54.1</v>
                </pt>
                <pt idx="121">
                  <v>53.2</v>
                </pt>
                <pt idx="122">
                  <v>53.8</v>
                </pt>
                <pt idx="123">
                  <v>52.8</v>
                </pt>
                <pt idx="124">
                  <v>53</v>
                </pt>
                <pt idx="125">
                  <v>52.3</v>
                </pt>
                <pt idx="126">
                  <v>52.5</v>
                </pt>
                <pt idx="127">
                  <v>52.5</v>
                </pt>
                <pt idx="128">
                  <v>52.9</v>
                </pt>
                <pt idx="129">
                  <v>52.2</v>
                </pt>
                <pt idx="130">
                  <v>52.4</v>
                </pt>
                <pt idx="131">
                  <v>50.3</v>
                </pt>
                <pt idx="132">
                  <v>48.9</v>
                </pt>
                <pt idx="133">
                  <v>49.2</v>
                </pt>
                <pt idx="134">
                  <v>49.5</v>
                </pt>
                <pt idx="135">
                  <v>49.8</v>
                </pt>
                <pt idx="136">
                  <v>49.3</v>
                </pt>
                <pt idx="137">
                  <v>49.4</v>
                </pt>
                <pt idx="138">
                  <v>49.3</v>
                </pt>
                <pt idx="139">
                  <v>48.9</v>
                </pt>
                <pt idx="140">
                  <v>48.4</v>
                </pt>
                <pt idx="141">
                  <v>48.9</v>
                </pt>
                <pt idx="142">
                  <v>48.4</v>
                </pt>
                <pt idx="143">
                  <v>48.8</v>
                </pt>
                <pt idx="144">
                  <v>47.8</v>
                </pt>
                <pt idx="145">
                  <v>44.2</v>
                </pt>
                <pt idx="146">
                  <v>41.9</v>
                </pt>
                <pt idx="147">
                  <v>38.4</v>
                </pt>
                <pt idx="148">
                  <v>40.1</v>
                </pt>
                <pt idx="149">
                  <v>45.2</v>
                </pt>
                <pt idx="150">
                  <v>47.2</v>
                </pt>
                <pt idx="151">
                  <v>47.7</v>
                </pt>
                <pt idx="152">
                  <v>48.7</v>
                </pt>
                <pt idx="153">
                  <v>49</v>
                </pt>
                <pt idx="154">
                  <v>50</v>
                </pt>
                <pt idx="155">
                  <v>49.8</v>
                </pt>
                <pt idx="156">
                  <v>51.4</v>
                </pt>
                <pt idx="157">
                  <v>52.7</v>
                </pt>
                <pt idx="158">
                  <v>53.6</v>
                </pt>
                <pt idx="159">
                  <v>53</v>
                </pt>
                <pt idx="160">
                  <v>52.4</v>
                </pt>
                <pt idx="161">
                  <v>53</v>
                </pt>
                <pt idx="162">
                  <v>52.7</v>
                </pt>
                <pt idx="163">
                  <v>51.5</v>
                </pt>
                <pt idx="164">
                  <v>53.2</v>
                </pt>
                <pt idx="165">
                  <v>54.5</v>
                </pt>
                <pt idx="166">
                  <v>54.3</v>
                </pt>
                <pt idx="167">
                  <v>55.4</v>
                </pt>
                <pt idx="168">
                  <v>52.9</v>
                </pt>
                <pt idx="169">
                  <v>53.2</v>
                </pt>
                <pt idx="170">
                  <v>53.5</v>
                </pt>
                <pt idx="171">
                  <v>53.2</v>
                </pt>
                <pt idx="172">
                  <v>52.7</v>
                </pt>
                <pt idx="173">
                  <v>52.1</v>
                </pt>
                <pt idx="174">
                  <v>51.5</v>
                </pt>
                <pt idx="175">
                  <v>50.8</v>
                </pt>
                <pt idx="176">
                  <v>50.7</v>
                </pt>
                <pt idx="177">
                  <v>49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Germany!$K$2</f>
          <strCache>
            <ptCount val="1"/>
            <pt idx="0">
              <v>Germany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Germany!$A$6:$A$184</f>
              <numCache>
                <formatCode>m/d/yyyy</formatCode>
                <ptCount val="179"/>
                <pt idx="0">
                  <v>39478</v>
                </pt>
                <pt idx="1">
                  <v>39479</v>
                </pt>
                <pt idx="2">
                  <v>39508</v>
                </pt>
                <pt idx="3">
                  <v>39539</v>
                </pt>
                <pt idx="4">
                  <v>39569</v>
                </pt>
                <pt idx="5">
                  <v>39600</v>
                </pt>
                <pt idx="6">
                  <v>39630</v>
                </pt>
                <pt idx="7">
                  <v>39661</v>
                </pt>
                <pt idx="8">
                  <v>39692</v>
                </pt>
                <pt idx="9">
                  <v>39722</v>
                </pt>
                <pt idx="10">
                  <v>39753</v>
                </pt>
                <pt idx="11">
                  <v>39783</v>
                </pt>
                <pt idx="12">
                  <v>39814</v>
                </pt>
                <pt idx="13">
                  <v>39845</v>
                </pt>
                <pt idx="14">
                  <v>39873</v>
                </pt>
                <pt idx="15">
                  <v>39904</v>
                </pt>
                <pt idx="16">
                  <v>39934</v>
                </pt>
                <pt idx="17">
                  <v>39965</v>
                </pt>
                <pt idx="18">
                  <v>39995</v>
                </pt>
                <pt idx="19">
                  <v>40026</v>
                </pt>
                <pt idx="20">
                  <v>40057</v>
                </pt>
                <pt idx="21">
                  <v>40087</v>
                </pt>
                <pt idx="22">
                  <v>40118</v>
                </pt>
                <pt idx="23">
                  <v>40148</v>
                </pt>
                <pt idx="24">
                  <v>40179</v>
                </pt>
                <pt idx="25">
                  <v>40210</v>
                </pt>
                <pt idx="26">
                  <v>40238</v>
                </pt>
                <pt idx="27">
                  <v>40269</v>
                </pt>
                <pt idx="28">
                  <v>40299</v>
                </pt>
                <pt idx="29">
                  <v>40330</v>
                </pt>
                <pt idx="30">
                  <v>40360</v>
                </pt>
                <pt idx="31">
                  <v>40391</v>
                </pt>
                <pt idx="32">
                  <v>40422</v>
                </pt>
                <pt idx="33">
                  <v>40452</v>
                </pt>
                <pt idx="34">
                  <v>40483</v>
                </pt>
                <pt idx="35">
                  <v>40513</v>
                </pt>
                <pt idx="36">
                  <v>40544</v>
                </pt>
                <pt idx="37">
                  <v>40575</v>
                </pt>
                <pt idx="38">
                  <v>40603</v>
                </pt>
                <pt idx="39">
                  <v>40634</v>
                </pt>
                <pt idx="40">
                  <v>40664</v>
                </pt>
                <pt idx="41">
                  <v>40695</v>
                </pt>
                <pt idx="42">
                  <v>40725</v>
                </pt>
                <pt idx="43">
                  <v>40756</v>
                </pt>
                <pt idx="44">
                  <v>40787</v>
                </pt>
                <pt idx="45">
                  <v>40817</v>
                </pt>
                <pt idx="46">
                  <v>40848</v>
                </pt>
                <pt idx="47">
                  <v>40878</v>
                </pt>
                <pt idx="48">
                  <v>40909</v>
                </pt>
                <pt idx="49">
                  <v>40940</v>
                </pt>
                <pt idx="50">
                  <v>40969</v>
                </pt>
                <pt idx="51">
                  <v>41000</v>
                </pt>
                <pt idx="52">
                  <v>41030</v>
                </pt>
                <pt idx="53">
                  <v>41061</v>
                </pt>
                <pt idx="54">
                  <v>41091</v>
                </pt>
                <pt idx="55">
                  <v>41122</v>
                </pt>
                <pt idx="56">
                  <v>41153</v>
                </pt>
                <pt idx="57">
                  <v>41183</v>
                </pt>
                <pt idx="58">
                  <v>41214</v>
                </pt>
                <pt idx="59">
                  <v>41244</v>
                </pt>
                <pt idx="60">
                  <v>41275</v>
                </pt>
                <pt idx="61">
                  <v>41306</v>
                </pt>
                <pt idx="62">
                  <v>41334</v>
                </pt>
                <pt idx="63">
                  <v>41365</v>
                </pt>
                <pt idx="64">
                  <v>41395</v>
                </pt>
                <pt idx="65">
                  <v>41426</v>
                </pt>
                <pt idx="66">
                  <v>41456</v>
                </pt>
                <pt idx="67">
                  <v>41487</v>
                </pt>
                <pt idx="68">
                  <v>41518</v>
                </pt>
                <pt idx="69">
                  <v>41548</v>
                </pt>
                <pt idx="70">
                  <v>41579</v>
                </pt>
                <pt idx="71">
                  <v>41609</v>
                </pt>
                <pt idx="72">
                  <v>41640</v>
                </pt>
                <pt idx="73">
                  <v>41671</v>
                </pt>
                <pt idx="74">
                  <v>41699</v>
                </pt>
                <pt idx="75">
                  <v>41730</v>
                </pt>
                <pt idx="76">
                  <v>41760</v>
                </pt>
                <pt idx="77">
                  <v>41791</v>
                </pt>
                <pt idx="78">
                  <v>41821</v>
                </pt>
                <pt idx="79">
                  <v>41852</v>
                </pt>
                <pt idx="80">
                  <v>41883</v>
                </pt>
                <pt idx="81">
                  <v>41913</v>
                </pt>
                <pt idx="82">
                  <v>41944</v>
                </pt>
                <pt idx="83">
                  <v>41974</v>
                </pt>
                <pt idx="84">
                  <v>42005</v>
                </pt>
                <pt idx="85">
                  <v>42036</v>
                </pt>
                <pt idx="86">
                  <v>42064</v>
                </pt>
                <pt idx="87">
                  <v>42095</v>
                </pt>
                <pt idx="88">
                  <v>42125</v>
                </pt>
                <pt idx="89">
                  <v>42156</v>
                </pt>
                <pt idx="90">
                  <v>42186</v>
                </pt>
                <pt idx="91">
                  <v>42217</v>
                </pt>
                <pt idx="92">
                  <v>42248</v>
                </pt>
                <pt idx="93">
                  <v>42278</v>
                </pt>
                <pt idx="94">
                  <v>42309</v>
                </pt>
                <pt idx="95">
                  <v>42339</v>
                </pt>
                <pt idx="96">
                  <v>42370</v>
                </pt>
                <pt idx="97">
                  <v>42401</v>
                </pt>
                <pt idx="98">
                  <v>42430</v>
                </pt>
                <pt idx="99">
                  <v>42461</v>
                </pt>
                <pt idx="100">
                  <v>42491</v>
                </pt>
                <pt idx="101">
                  <v>42522</v>
                </pt>
                <pt idx="102">
                  <v>42552</v>
                </pt>
                <pt idx="103">
                  <v>42583</v>
                </pt>
                <pt idx="104">
                  <v>42614</v>
                </pt>
                <pt idx="105">
                  <v>42644</v>
                </pt>
                <pt idx="106">
                  <v>42675</v>
                </pt>
                <pt idx="107">
                  <v>42705</v>
                </pt>
                <pt idx="108">
                  <v>42736</v>
                </pt>
                <pt idx="109">
                  <v>42767</v>
                </pt>
                <pt idx="110">
                  <v>42795</v>
                </pt>
                <pt idx="111">
                  <v>42826</v>
                </pt>
                <pt idx="112">
                  <v>42856</v>
                </pt>
                <pt idx="113">
                  <v>42887</v>
                </pt>
                <pt idx="114">
                  <v>42917</v>
                </pt>
                <pt idx="115">
                  <v>42948</v>
                </pt>
                <pt idx="116">
                  <v>42979</v>
                </pt>
                <pt idx="117">
                  <v>43009</v>
                </pt>
                <pt idx="118">
                  <v>43040</v>
                </pt>
                <pt idx="119">
                  <v>43070</v>
                </pt>
                <pt idx="120">
                  <v>43101</v>
                </pt>
                <pt idx="121">
                  <v>43132</v>
                </pt>
                <pt idx="122">
                  <v>43160</v>
                </pt>
                <pt idx="123">
                  <v>43191</v>
                </pt>
                <pt idx="124">
                  <v>43221</v>
                </pt>
                <pt idx="125">
                  <v>43252</v>
                </pt>
                <pt idx="126">
                  <v>43282</v>
                </pt>
                <pt idx="127">
                  <v>43313</v>
                </pt>
                <pt idx="128">
                  <v>43344</v>
                </pt>
                <pt idx="129">
                  <v>43374</v>
                </pt>
                <pt idx="130">
                  <v>43405</v>
                </pt>
                <pt idx="131">
                  <v>43435</v>
                </pt>
                <pt idx="132">
                  <v>43466</v>
                </pt>
                <pt idx="133">
                  <v>43497</v>
                </pt>
                <pt idx="134">
                  <v>43525</v>
                </pt>
                <pt idx="135">
                  <v>43556</v>
                </pt>
                <pt idx="136">
                  <v>43586</v>
                </pt>
                <pt idx="137">
                  <v>43617</v>
                </pt>
                <pt idx="138">
                  <v>43647</v>
                </pt>
                <pt idx="139">
                  <v>43678</v>
                </pt>
                <pt idx="140">
                  <v>43709</v>
                </pt>
                <pt idx="141">
                  <v>43739</v>
                </pt>
                <pt idx="142">
                  <v>43770</v>
                </pt>
                <pt idx="143">
                  <v>43800</v>
                </pt>
                <pt idx="144">
                  <v>43831</v>
                </pt>
                <pt idx="145">
                  <v>43862</v>
                </pt>
                <pt idx="146">
                  <v>43891</v>
                </pt>
                <pt idx="147">
                  <v>43922</v>
                </pt>
                <pt idx="148">
                  <v>43952</v>
                </pt>
                <pt idx="149">
                  <v>43983</v>
                </pt>
                <pt idx="150">
                  <v>44013</v>
                </pt>
                <pt idx="151">
                  <v>44044</v>
                </pt>
                <pt idx="152">
                  <v>44075</v>
                </pt>
                <pt idx="153">
                  <v>44105</v>
                </pt>
                <pt idx="154">
                  <v>44136</v>
                </pt>
                <pt idx="155">
                  <v>44166</v>
                </pt>
                <pt idx="156">
                  <v>44197</v>
                </pt>
                <pt idx="157">
                  <v>44228</v>
                </pt>
                <pt idx="158">
                  <v>44256</v>
                </pt>
                <pt idx="159">
                  <v>44287</v>
                </pt>
                <pt idx="160">
                  <v>44317</v>
                </pt>
                <pt idx="161">
                  <v>44348</v>
                </pt>
                <pt idx="162">
                  <v>44378</v>
                </pt>
                <pt idx="163">
                  <v>44409</v>
                </pt>
                <pt idx="164">
                  <v>44440</v>
                </pt>
                <pt idx="165">
                  <v>44470</v>
                </pt>
                <pt idx="166">
                  <v>44501</v>
                </pt>
                <pt idx="167">
                  <v>44531</v>
                </pt>
                <pt idx="168">
                  <v>44562</v>
                </pt>
                <pt idx="169">
                  <v>44593</v>
                </pt>
                <pt idx="170">
                  <v>44621</v>
                </pt>
                <pt idx="171">
                  <v>44652</v>
                </pt>
                <pt idx="172">
                  <v>44682</v>
                </pt>
                <pt idx="173">
                  <v>44713</v>
                </pt>
                <pt idx="174">
                  <v>44743</v>
                </pt>
                <pt idx="175">
                  <v>44774</v>
                </pt>
                <pt idx="176">
                  <v>44805</v>
                </pt>
                <pt idx="177">
                  <v>44835</v>
                </pt>
                <pt idx="178">
                  <v>44866</v>
                </pt>
              </numCache>
            </numRef>
          </cat>
          <val>
            <numRef>
              <f>Germany!$B$6:$B$184</f>
              <numCache>
                <formatCode>General</formatCode>
                <ptCount val="179"/>
                <pt idx="0">
                  <v>54.4</v>
                </pt>
                <pt idx="1">
                  <v>54.3</v>
                </pt>
                <pt idx="2">
                  <v>54.9</v>
                </pt>
                <pt idx="3">
                  <v>53.6</v>
                </pt>
                <pt idx="4">
                  <v>53.5</v>
                </pt>
                <pt idx="5">
                  <v>52.3</v>
                </pt>
                <pt idx="6">
                  <v>50.9</v>
                </pt>
                <pt idx="7">
                  <v>49.9</v>
                </pt>
                <pt idx="8">
                  <v>48.1</v>
                </pt>
                <pt idx="9">
                  <v>43.3</v>
                </pt>
                <pt idx="10">
                  <v>36.7</v>
                </pt>
                <pt idx="11">
                  <v>33.5</v>
                </pt>
                <pt idx="12">
                  <v>32</v>
                </pt>
                <pt idx="13">
                  <v>32.2</v>
                </pt>
                <pt idx="14">
                  <v>32.4</v>
                </pt>
                <pt idx="15">
                  <v>35</v>
                </pt>
                <pt idx="16">
                  <v>39.6</v>
                </pt>
                <pt idx="17">
                  <v>40.9</v>
                </pt>
                <pt idx="18">
                  <v>45.2</v>
                </pt>
                <pt idx="19">
                  <v>49</v>
                </pt>
                <pt idx="20">
                  <v>49.6</v>
                </pt>
                <pt idx="21">
                  <v>51.1</v>
                </pt>
                <pt idx="22">
                  <v>52.4</v>
                </pt>
                <pt idx="23">
                  <v>53.1</v>
                </pt>
                <pt idx="24">
                  <v>53.4</v>
                </pt>
                <pt idx="25">
                  <v>57.2</v>
                </pt>
                <pt idx="26">
                  <v>59.6</v>
                </pt>
                <pt idx="27">
                  <v>61.5</v>
                </pt>
                <pt idx="28">
                  <v>58.4</v>
                </pt>
                <pt idx="29">
                  <v>58.1</v>
                </pt>
                <pt idx="30">
                  <v>61.2</v>
                </pt>
                <pt idx="31">
                  <v>58.2</v>
                </pt>
                <pt idx="32">
                  <v>55.3</v>
                </pt>
                <pt idx="33">
                  <v>56.6</v>
                </pt>
                <pt idx="34">
                  <v>58.1</v>
                </pt>
                <pt idx="35">
                  <v>60.9</v>
                </pt>
                <pt idx="36">
                  <v>60.5</v>
                </pt>
                <pt idx="37">
                  <v>62.7</v>
                </pt>
                <pt idx="38">
                  <v>60.9</v>
                </pt>
                <pt idx="39">
                  <v>62</v>
                </pt>
                <pt idx="40">
                  <v>57.7</v>
                </pt>
                <pt idx="41">
                  <v>54.9</v>
                </pt>
                <pt idx="42">
                  <v>52</v>
                </pt>
                <pt idx="43">
                  <v>50.9</v>
                </pt>
                <pt idx="44">
                  <v>50.3</v>
                </pt>
                <pt idx="45">
                  <v>49.1</v>
                </pt>
                <pt idx="46">
                  <v>47.9</v>
                </pt>
                <pt idx="47">
                  <v>48.4</v>
                </pt>
                <pt idx="48">
                  <v>51</v>
                </pt>
                <pt idx="49">
                  <v>50.2</v>
                </pt>
                <pt idx="50">
                  <v>48.4</v>
                </pt>
                <pt idx="51">
                  <v>46.2</v>
                </pt>
                <pt idx="52">
                  <v>45.2</v>
                </pt>
                <pt idx="53">
                  <v>45</v>
                </pt>
                <pt idx="54">
                  <v>43</v>
                </pt>
                <pt idx="55">
                  <v>44.7</v>
                </pt>
                <pt idx="56">
                  <v>47.4</v>
                </pt>
                <pt idx="57">
                  <v>46</v>
                </pt>
                <pt idx="58">
                  <v>46.8</v>
                </pt>
                <pt idx="59">
                  <v>46</v>
                </pt>
                <pt idx="60">
                  <v>49.8</v>
                </pt>
                <pt idx="61">
                  <v>50.3</v>
                </pt>
                <pt idx="62">
                  <v>49</v>
                </pt>
                <pt idx="63">
                  <v>48.1</v>
                </pt>
                <pt idx="64">
                  <v>49.4</v>
                </pt>
                <pt idx="65">
                  <v>48.6</v>
                </pt>
                <pt idx="66">
                  <v>50.7</v>
                </pt>
                <pt idx="67">
                  <v>51.8</v>
                </pt>
                <pt idx="68">
                  <v>51.1</v>
                </pt>
                <pt idx="69">
                  <v>51.7</v>
                </pt>
                <pt idx="70">
                  <v>52.7</v>
                </pt>
                <pt idx="71">
                  <v>54.3</v>
                </pt>
                <pt idx="72">
                  <v>56.6</v>
                </pt>
                <pt idx="73">
                  <v>54.8</v>
                </pt>
                <pt idx="74">
                  <v>53.7</v>
                </pt>
                <pt idx="75">
                  <v>54.1</v>
                </pt>
                <pt idx="76">
                  <v>52.3</v>
                </pt>
                <pt idx="77">
                  <v>52</v>
                </pt>
                <pt idx="78">
                  <v>52.4</v>
                </pt>
                <pt idx="79">
                  <v>51.4</v>
                </pt>
                <pt idx="80">
                  <v>49.9</v>
                </pt>
                <pt idx="81">
                  <v>51.4</v>
                </pt>
                <pt idx="82">
                  <v>49.5</v>
                </pt>
                <pt idx="83">
                  <v>51.2</v>
                </pt>
                <pt idx="84">
                  <v>50.9</v>
                </pt>
                <pt idx="85">
                  <v>51.1</v>
                </pt>
                <pt idx="86">
                  <v>52.8</v>
                </pt>
                <pt idx="87">
                  <v>52.1</v>
                </pt>
                <pt idx="88">
                  <v>51.1</v>
                </pt>
                <pt idx="89">
                  <v>51.9</v>
                </pt>
                <pt idx="90">
                  <v>51.8</v>
                </pt>
                <pt idx="91">
                  <v>53.3</v>
                </pt>
                <pt idx="92">
                  <v>52.3</v>
                </pt>
                <pt idx="93">
                  <v>52.1</v>
                </pt>
                <pt idx="94">
                  <v>52.9</v>
                </pt>
                <pt idx="95">
                  <v>53.2</v>
                </pt>
                <pt idx="96">
                  <v>52.3</v>
                </pt>
                <pt idx="97">
                  <v>50.5</v>
                </pt>
                <pt idx="98">
                  <v>50.7</v>
                </pt>
                <pt idx="99">
                  <v>51.8</v>
                </pt>
                <pt idx="100">
                  <v>52.1</v>
                </pt>
                <pt idx="101">
                  <v>54.5</v>
                </pt>
                <pt idx="102">
                  <v>53.8</v>
                </pt>
                <pt idx="103">
                  <v>53.6</v>
                </pt>
                <pt idx="104">
                  <v>54.3</v>
                </pt>
                <pt idx="105">
                  <v>55</v>
                </pt>
                <pt idx="106">
                  <v>54.3</v>
                </pt>
                <pt idx="107">
                  <v>55.6</v>
                </pt>
                <pt idx="108">
                  <v>56.4</v>
                </pt>
                <pt idx="109">
                  <v>56.8</v>
                </pt>
                <pt idx="110">
                  <v>58.3</v>
                </pt>
                <pt idx="111">
                  <v>58.2</v>
                </pt>
                <pt idx="112">
                  <v>59.5</v>
                </pt>
                <pt idx="113">
                  <v>59.6</v>
                </pt>
                <pt idx="114">
                  <v>58.1</v>
                </pt>
                <pt idx="115">
                  <v>59.3</v>
                </pt>
                <pt idx="116">
                  <v>60.6</v>
                </pt>
                <pt idx="117">
                  <v>60.6</v>
                </pt>
                <pt idx="118">
                  <v>62.5</v>
                </pt>
                <pt idx="119">
                  <v>63.3</v>
                </pt>
                <pt idx="120">
                  <v>61.1</v>
                </pt>
                <pt idx="121">
                  <v>60.6</v>
                </pt>
                <pt idx="122">
                  <v>58.4</v>
                </pt>
                <pt idx="123">
                  <v>58.1</v>
                </pt>
                <pt idx="124">
                  <v>56.9</v>
                </pt>
                <pt idx="125">
                  <v>55.9</v>
                </pt>
                <pt idx="126">
                  <v>56.9</v>
                </pt>
                <pt idx="127">
                  <v>55.9</v>
                </pt>
                <pt idx="128">
                  <v>53.7</v>
                </pt>
                <pt idx="129">
                  <v>52.2</v>
                </pt>
                <pt idx="130">
                  <v>51.8</v>
                </pt>
                <pt idx="131">
                  <v>51.5</v>
                </pt>
                <pt idx="132">
                  <v>49.7</v>
                </pt>
                <pt idx="133">
                  <v>47.6</v>
                </pt>
                <pt idx="134">
                  <v>44.1</v>
                </pt>
                <pt idx="135">
                  <v>44.4</v>
                </pt>
                <pt idx="136">
                  <v>44.3</v>
                </pt>
                <pt idx="137">
                  <v>45</v>
                </pt>
                <pt idx="138">
                  <v>43.2</v>
                </pt>
                <pt idx="139">
                  <v>43.5</v>
                </pt>
                <pt idx="140">
                  <v>41.7</v>
                </pt>
                <pt idx="141">
                  <v>42.1</v>
                </pt>
                <pt idx="142">
                  <v>44.1</v>
                </pt>
                <pt idx="143">
                  <v>43.7</v>
                </pt>
                <pt idx="144">
                  <v>45.3</v>
                </pt>
                <pt idx="145">
                  <v>48</v>
                </pt>
                <pt idx="146">
                  <v>45.4</v>
                </pt>
                <pt idx="147">
                  <v>34.5</v>
                </pt>
                <pt idx="148">
                  <v>36.6</v>
                </pt>
                <pt idx="149">
                  <v>45.2</v>
                </pt>
                <pt idx="150">
                  <v>51</v>
                </pt>
                <pt idx="151">
                  <v>52.2</v>
                </pt>
                <pt idx="152">
                  <v>56.4</v>
                </pt>
                <pt idx="153">
                  <v>58.2</v>
                </pt>
                <pt idx="154">
                  <v>57.8</v>
                </pt>
                <pt idx="155">
                  <v>58.3</v>
                </pt>
                <pt idx="156">
                  <v>57.1</v>
                </pt>
                <pt idx="157">
                  <v>60.7</v>
                </pt>
                <pt idx="158">
                  <v>66.59999999999999</v>
                </pt>
                <pt idx="159">
                  <v>66.2</v>
                </pt>
                <pt idx="160">
                  <v>64.40000000000001</v>
                </pt>
                <pt idx="161">
                  <v>65.09999999999999</v>
                </pt>
                <pt idx="162">
                  <v>65.90000000000001</v>
                </pt>
                <pt idx="163">
                  <v>62.6</v>
                </pt>
                <pt idx="164">
                  <v>58.4</v>
                </pt>
                <pt idx="165">
                  <v>57.8</v>
                </pt>
                <pt idx="166">
                  <v>57.4</v>
                </pt>
                <pt idx="167">
                  <v>57.4</v>
                </pt>
                <pt idx="168">
                  <v>60.5</v>
                </pt>
                <pt idx="169">
                  <v>58.5</v>
                </pt>
                <pt idx="170">
                  <v>57.6</v>
                </pt>
                <pt idx="171">
                  <v>54.6</v>
                </pt>
                <pt idx="172">
                  <v>54.7</v>
                </pt>
                <pt idx="173">
                  <v>52</v>
                </pt>
                <pt idx="174">
                  <v>49.3</v>
                </pt>
                <pt idx="175">
                  <v>49.1</v>
                </pt>
                <pt idx="176">
                  <v>47.8</v>
                </pt>
                <pt idx="177">
                  <v>45.1</v>
                </pt>
                <pt idx="178">
                  <v>46.2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France!$K$2</f>
          <strCache>
            <ptCount val="1"/>
            <pt idx="0">
              <v>France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France!$A$6:$A$177</f>
              <numCache>
                <formatCode>m/d/yyyy</formatCode>
                <ptCount val="172"/>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pt idx="164">
                  <v>44652</v>
                </pt>
                <pt idx="165">
                  <v>44682</v>
                </pt>
                <pt idx="166">
                  <v>44713</v>
                </pt>
                <pt idx="167">
                  <v>44743</v>
                </pt>
                <pt idx="168">
                  <v>44774</v>
                </pt>
                <pt idx="169">
                  <v>44805</v>
                </pt>
                <pt idx="170">
                  <v>44835</v>
                </pt>
                <pt idx="171">
                  <v>44866</v>
                </pt>
              </numCache>
            </numRef>
          </cat>
          <val>
            <numRef>
              <f>France!$B$6:$B$177</f>
              <numCache>
                <formatCode>General</formatCode>
                <ptCount val="172"/>
                <pt idx="0">
                  <v>45.1</v>
                </pt>
                <pt idx="1">
                  <v>43.6</v>
                </pt>
                <pt idx="2">
                  <v>40.8</v>
                </pt>
                <pt idx="3">
                  <v>37.9</v>
                </pt>
                <pt idx="4">
                  <v>35.9</v>
                </pt>
                <pt idx="5">
                  <v>38.1</v>
                </pt>
                <pt idx="6">
                  <v>32.3</v>
                </pt>
                <pt idx="7">
                  <v>36.3</v>
                </pt>
                <pt idx="8">
                  <v>40</v>
                </pt>
                <pt idx="9">
                  <v>43.1</v>
                </pt>
                <pt idx="10">
                  <v>45.9</v>
                </pt>
                <pt idx="11">
                  <v>50.2</v>
                </pt>
                <pt idx="12">
                  <v>52.5</v>
                </pt>
                <pt idx="13">
                  <v>53</v>
                </pt>
                <pt idx="14">
                  <v>54.2</v>
                </pt>
                <pt idx="15">
                  <v>54.4</v>
                </pt>
                <pt idx="16">
                  <v>54.7</v>
                </pt>
                <pt idx="17">
                  <v>54.6</v>
                </pt>
                <pt idx="18">
                  <v>56.3</v>
                </pt>
                <pt idx="19">
                  <v>56.7</v>
                </pt>
                <pt idx="20">
                  <v>56.6</v>
                </pt>
                <pt idx="21">
                  <v>55.8</v>
                </pt>
                <pt idx="22">
                  <v>53.7</v>
                </pt>
                <pt idx="23">
                  <v>54.7</v>
                </pt>
                <pt idx="24">
                  <v>55.4</v>
                </pt>
                <pt idx="25">
                  <v>55.2</v>
                </pt>
                <pt idx="26">
                  <v>57.5</v>
                </pt>
                <pt idx="27">
                  <v>56.3</v>
                </pt>
                <pt idx="28">
                  <v>54.3</v>
                </pt>
                <pt idx="29">
                  <v>54.9</v>
                </pt>
                <pt idx="30">
                  <v>56.6</v>
                </pt>
                <pt idx="31">
                  <v>56.9</v>
                </pt>
                <pt idx="32">
                  <v>57.5</v>
                </pt>
                <pt idx="33">
                  <v>54.9</v>
                </pt>
                <pt idx="34">
                  <v>50.1</v>
                </pt>
                <pt idx="35">
                  <v>50.5</v>
                </pt>
                <pt idx="36">
                  <v>49.1</v>
                </pt>
                <pt idx="37">
                  <v>48.2</v>
                </pt>
                <pt idx="38">
                  <v>48.5</v>
                </pt>
                <pt idx="39">
                  <v>47.3</v>
                </pt>
                <pt idx="40">
                  <v>48.9</v>
                </pt>
                <pt idx="41">
                  <v>48.5</v>
                </pt>
                <pt idx="42">
                  <v>50</v>
                </pt>
                <pt idx="43">
                  <v>46.7</v>
                </pt>
                <pt idx="44">
                  <v>46.9</v>
                </pt>
                <pt idx="45">
                  <v>44.7</v>
                </pt>
                <pt idx="46">
                  <v>45.2</v>
                </pt>
                <pt idx="47">
                  <v>43.4</v>
                </pt>
                <pt idx="48">
                  <v>46</v>
                </pt>
                <pt idx="49">
                  <v>42.7</v>
                </pt>
                <pt idx="50">
                  <v>43.7</v>
                </pt>
                <pt idx="51">
                  <v>44.5</v>
                </pt>
                <pt idx="52">
                  <v>44.6</v>
                </pt>
                <pt idx="53">
                  <v>42.9</v>
                </pt>
                <pt idx="54">
                  <v>43.9</v>
                </pt>
                <pt idx="55">
                  <v>44</v>
                </pt>
                <pt idx="56">
                  <v>44.4</v>
                </pt>
                <pt idx="57">
                  <v>46.4</v>
                </pt>
                <pt idx="58">
                  <v>48.4</v>
                </pt>
                <pt idx="59">
                  <v>49.7</v>
                </pt>
                <pt idx="60">
                  <v>49.7</v>
                </pt>
                <pt idx="61">
                  <v>49.8</v>
                </pt>
                <pt idx="62">
                  <v>49.1</v>
                </pt>
                <pt idx="63">
                  <v>48.4</v>
                </pt>
                <pt idx="64">
                  <v>47</v>
                </pt>
                <pt idx="65">
                  <v>49.3</v>
                </pt>
                <pt idx="66">
                  <v>49.7</v>
                </pt>
                <pt idx="67">
                  <v>52.1</v>
                </pt>
                <pt idx="68">
                  <v>51.2</v>
                </pt>
                <pt idx="69">
                  <v>49.6</v>
                </pt>
                <pt idx="70">
                  <v>48.2</v>
                </pt>
                <pt idx="71">
                  <v>47.8</v>
                </pt>
                <pt idx="72">
                  <v>46.9</v>
                </pt>
                <pt idx="73">
                  <v>48.8</v>
                </pt>
                <pt idx="74">
                  <v>48.5</v>
                </pt>
                <pt idx="75">
                  <v>48.4</v>
                </pt>
                <pt idx="76">
                  <v>47.5</v>
                </pt>
                <pt idx="77">
                  <v>49.2</v>
                </pt>
                <pt idx="78">
                  <v>47.6</v>
                </pt>
                <pt idx="79">
                  <v>48.8</v>
                </pt>
                <pt idx="80">
                  <v>48</v>
                </pt>
                <pt idx="81">
                  <v>49.4</v>
                </pt>
                <pt idx="82">
                  <v>50.7</v>
                </pt>
                <pt idx="83">
                  <v>49.6</v>
                </pt>
                <pt idx="84">
                  <v>48.3</v>
                </pt>
                <pt idx="85">
                  <v>50.6</v>
                </pt>
                <pt idx="86">
                  <v>50.6</v>
                </pt>
                <pt idx="87">
                  <v>50.6</v>
                </pt>
                <pt idx="88">
                  <v>51.4</v>
                </pt>
                <pt idx="89">
                  <v>50</v>
                </pt>
                <pt idx="90">
                  <v>50.2</v>
                </pt>
                <pt idx="91">
                  <v>49.6</v>
                </pt>
                <pt idx="92">
                  <v>48</v>
                </pt>
                <pt idx="93">
                  <v>48.4</v>
                </pt>
                <pt idx="94">
                  <v>48.3</v>
                </pt>
                <pt idx="95">
                  <v>48.6</v>
                </pt>
                <pt idx="96">
                  <v>48.3</v>
                </pt>
                <pt idx="97">
                  <v>49.7</v>
                </pt>
                <pt idx="98">
                  <v>51.8</v>
                </pt>
                <pt idx="99">
                  <v>51.7</v>
                </pt>
                <pt idx="100">
                  <v>53.5</v>
                </pt>
                <pt idx="101">
                  <v>53.6</v>
                </pt>
                <pt idx="102">
                  <v>52.2</v>
                </pt>
                <pt idx="103">
                  <v>53.3</v>
                </pt>
                <pt idx="104">
                  <v>55.1</v>
                </pt>
                <pt idx="105">
                  <v>53.8</v>
                </pt>
                <pt idx="106">
                  <v>54.8</v>
                </pt>
                <pt idx="107">
                  <v>54.9</v>
                </pt>
                <pt idx="108">
                  <v>55.8</v>
                </pt>
                <pt idx="109">
                  <v>56.1</v>
                </pt>
                <pt idx="110">
                  <v>56.1</v>
                </pt>
                <pt idx="111">
                  <v>57.7</v>
                </pt>
                <pt idx="112">
                  <v>58.8</v>
                </pt>
                <pt idx="113">
                  <v>58.4</v>
                </pt>
                <pt idx="114">
                  <v>55.9</v>
                </pt>
                <pt idx="115">
                  <v>53.7</v>
                </pt>
                <pt idx="116">
                  <v>53.8</v>
                </pt>
                <pt idx="117">
                  <v>55.1</v>
                </pt>
                <pt idx="118">
                  <v>52.5</v>
                </pt>
                <pt idx="119">
                  <v>53.3</v>
                </pt>
                <pt idx="120">
                  <v>53.5</v>
                </pt>
                <pt idx="121">
                  <v>52.5</v>
                </pt>
                <pt idx="122">
                  <v>51.2</v>
                </pt>
                <pt idx="123">
                  <v>50.8</v>
                </pt>
                <pt idx="124">
                  <v>49.7</v>
                </pt>
                <pt idx="125">
                  <v>51.2</v>
                </pt>
                <pt idx="126">
                  <v>51.5</v>
                </pt>
                <pt idx="127">
                  <v>49.7</v>
                </pt>
                <pt idx="128">
                  <v>50</v>
                </pt>
                <pt idx="129">
                  <v>50.6</v>
                </pt>
                <pt idx="130">
                  <v>51.9</v>
                </pt>
                <pt idx="131">
                  <v>49.7</v>
                </pt>
                <pt idx="132">
                  <v>51.1</v>
                </pt>
                <pt idx="133">
                  <v>50.1</v>
                </pt>
                <pt idx="134">
                  <v>50.7</v>
                </pt>
                <pt idx="135">
                  <v>51.7</v>
                </pt>
                <pt idx="136">
                  <v>50.4</v>
                </pt>
                <pt idx="137">
                  <v>51.1</v>
                </pt>
                <pt idx="138">
                  <v>49.8</v>
                </pt>
                <pt idx="139">
                  <v>43.2</v>
                </pt>
                <pt idx="140">
                  <v>31.5</v>
                </pt>
                <pt idx="141">
                  <v>40.6</v>
                </pt>
                <pt idx="142">
                  <v>52.3</v>
                </pt>
                <pt idx="143">
                  <v>52.4</v>
                </pt>
                <pt idx="144">
                  <v>49.8</v>
                </pt>
                <pt idx="145">
                  <v>51.2</v>
                </pt>
                <pt idx="146">
                  <v>51.3</v>
                </pt>
                <pt idx="147">
                  <v>49.6</v>
                </pt>
                <pt idx="148">
                  <v>51.1</v>
                </pt>
                <pt idx="149">
                  <v>51.6</v>
                </pt>
                <pt idx="150">
                  <v>56.1</v>
                </pt>
                <pt idx="151">
                  <v>59.3</v>
                </pt>
                <pt idx="152">
                  <v>58.9</v>
                </pt>
                <pt idx="153">
                  <v>59.4</v>
                </pt>
                <pt idx="154">
                  <v>59</v>
                </pt>
                <pt idx="155">
                  <v>58</v>
                </pt>
                <pt idx="156">
                  <v>57.5</v>
                </pt>
                <pt idx="157">
                  <v>55</v>
                </pt>
                <pt idx="158">
                  <v>53.6</v>
                </pt>
                <pt idx="159">
                  <v>55.9</v>
                </pt>
                <pt idx="160">
                  <v>55.6</v>
                </pt>
                <pt idx="161">
                  <v>55.5</v>
                </pt>
                <pt idx="162">
                  <v>57.6</v>
                </pt>
                <pt idx="163">
                  <v>54.8</v>
                </pt>
                <pt idx="164">
                  <v>55.7</v>
                </pt>
                <pt idx="165">
                  <v>54.5</v>
                </pt>
                <pt idx="166">
                  <v>51</v>
                </pt>
                <pt idx="167">
                  <v>49.5</v>
                </pt>
                <pt idx="168">
                  <v>50.6</v>
                </pt>
                <pt idx="169">
                  <v>47.7</v>
                </pt>
                <pt idx="170">
                  <v>47.2</v>
                </pt>
                <pt idx="171">
                  <v>48.3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plotArea>
      <layout/>
      <lineChart>
        <grouping val="standard"/>
        <varyColors val="0"/>
        <ser>
          <idx val="0"/>
          <order val="0"/>
          <tx>
            <strRef>
              <f>UK!$B$5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UK!$A$18:$A$226</f>
              <numCache>
                <formatCode>m/d/yyyy</formatCode>
                <ptCount val="209"/>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pt idx="203">
                  <v>44866</v>
                </pt>
              </numCache>
            </numRef>
          </cat>
          <val>
            <numRef>
              <f>UK!$B$18:$B$226</f>
              <numCache>
                <formatCode>General</formatCode>
                <ptCount val="209"/>
                <pt idx="0">
                  <v>51.1</v>
                </pt>
                <pt idx="1">
                  <v>51.7</v>
                </pt>
                <pt idx="2">
                  <v>51.7</v>
                </pt>
                <pt idx="3">
                  <v>50.8</v>
                </pt>
                <pt idx="4">
                  <v>54.1</v>
                </pt>
                <pt idx="5">
                  <v>53.2</v>
                </pt>
                <pt idx="6">
                  <v>55.1</v>
                </pt>
                <pt idx="7">
                  <v>53.8</v>
                </pt>
                <pt idx="8">
                  <v>53.1</v>
                </pt>
                <pt idx="9">
                  <v>54.4</v>
                </pt>
                <pt idx="10">
                  <v>53.7</v>
                </pt>
                <pt idx="11">
                  <v>53.6</v>
                </pt>
                <pt idx="12">
                  <v>51.9</v>
                </pt>
                <pt idx="13">
                  <v>52.8</v>
                </pt>
                <pt idx="14">
                  <v>55.4</v>
                </pt>
                <pt idx="15">
                  <v>54.4</v>
                </pt>
                <pt idx="16">
                  <v>53.9</v>
                </pt>
                <pt idx="17">
                  <v>54.9</v>
                </pt>
                <pt idx="18">
                  <v>54.3</v>
                </pt>
                <pt idx="19">
                  <v>55.7</v>
                </pt>
                <pt idx="20">
                  <v>56.3</v>
                </pt>
                <pt idx="21">
                  <v>55.1</v>
                </pt>
                <pt idx="22">
                  <v>52.9</v>
                </pt>
                <pt idx="23">
                  <v>54.4</v>
                </pt>
                <pt idx="24">
                  <v>52.9</v>
                </pt>
                <pt idx="25">
                  <v>50.6</v>
                </pt>
                <pt idx="26">
                  <v>51.3</v>
                </pt>
                <pt idx="27">
                  <v>51.3</v>
                </pt>
                <pt idx="28">
                  <v>51</v>
                </pt>
                <pt idx="29">
                  <v>50</v>
                </pt>
                <pt idx="30">
                  <v>45.8</v>
                </pt>
                <pt idx="31">
                  <v>44.3</v>
                </pt>
                <pt idx="32">
                  <v>45.9</v>
                </pt>
                <pt idx="33">
                  <v>41</v>
                </pt>
                <pt idx="34">
                  <v>41.5</v>
                </pt>
                <pt idx="35">
                  <v>34.4</v>
                </pt>
                <pt idx="36">
                  <v>34.9</v>
                </pt>
                <pt idx="37">
                  <v>35.8</v>
                </pt>
                <pt idx="38">
                  <v>34.7</v>
                </pt>
                <pt idx="39">
                  <v>39.1</v>
                </pt>
                <pt idx="40">
                  <v>42.9</v>
                </pt>
                <pt idx="41">
                  <v>45.4</v>
                </pt>
                <pt idx="42">
                  <v>47</v>
                </pt>
                <pt idx="43">
                  <v>50.8</v>
                </pt>
                <pt idx="44">
                  <v>49.7</v>
                </pt>
                <pt idx="45">
                  <v>49.5</v>
                </pt>
                <pt idx="46">
                  <v>53.7</v>
                </pt>
                <pt idx="47">
                  <v>51.8</v>
                </pt>
                <pt idx="48">
                  <v>54.1</v>
                </pt>
                <pt idx="49">
                  <v>56.7</v>
                </pt>
                <pt idx="50">
                  <v>56.6</v>
                </pt>
                <pt idx="51">
                  <v>57.2</v>
                </pt>
                <pt idx="52">
                  <v>58</v>
                </pt>
                <pt idx="53">
                  <v>58</v>
                </pt>
                <pt idx="54">
                  <v>57.5</v>
                </pt>
                <pt idx="55">
                  <v>57.3</v>
                </pt>
                <pt idx="56">
                  <v>54.3</v>
                </pt>
                <pt idx="57">
                  <v>53.4</v>
                </pt>
                <pt idx="58">
                  <v>54.9</v>
                </pt>
                <pt idx="59">
                  <v>58</v>
                </pt>
                <pt idx="60">
                  <v>58.3</v>
                </pt>
                <pt idx="61">
                  <v>62</v>
                </pt>
                <pt idx="62">
                  <v>64.5</v>
                </pt>
                <pt idx="63">
                  <v>57.1</v>
                </pt>
                <pt idx="64">
                  <v>54.6</v>
                </pt>
                <pt idx="65">
                  <v>52.1</v>
                </pt>
                <pt idx="66">
                  <v>51.3</v>
                </pt>
                <pt idx="67">
                  <v>49.1</v>
                </pt>
                <pt idx="68">
                  <v>49</v>
                </pt>
                <pt idx="69">
                  <v>51.1</v>
                </pt>
                <pt idx="70">
                  <v>47.4</v>
                </pt>
                <pt idx="71">
                  <v>47.6</v>
                </pt>
                <pt idx="72">
                  <v>49.6</v>
                </pt>
                <pt idx="73">
                  <v>50.8</v>
                </pt>
                <pt idx="74">
                  <v>51.1</v>
                </pt>
                <pt idx="75">
                  <v>52</v>
                </pt>
                <pt idx="76">
                  <v>50.2</v>
                </pt>
                <pt idx="77">
                  <v>46.8</v>
                </pt>
                <pt idx="78">
                  <v>48.8</v>
                </pt>
                <pt idx="79">
                  <v>45.5</v>
                </pt>
                <pt idx="80">
                  <v>49.1</v>
                </pt>
                <pt idx="81">
                  <v>48.2</v>
                </pt>
                <pt idx="82">
                  <v>48</v>
                </pt>
                <pt idx="83">
                  <v>48.4</v>
                </pt>
                <pt idx="84">
                  <v>50.7</v>
                </pt>
                <pt idx="85">
                  <v>50.9</v>
                </pt>
                <pt idx="86">
                  <v>48.2</v>
                </pt>
                <pt idx="87">
                  <v>49.3</v>
                </pt>
                <pt idx="88">
                  <v>50.6</v>
                </pt>
                <pt idx="89">
                  <v>52.1</v>
                </pt>
                <pt idx="90">
                  <v>53</v>
                </pt>
                <pt idx="91">
                  <v>54.7</v>
                </pt>
                <pt idx="92">
                  <v>57.3</v>
                </pt>
                <pt idx="93">
                  <v>56.7</v>
                </pt>
                <pt idx="94">
                  <v>56.5</v>
                </pt>
                <pt idx="95">
                  <v>58.1</v>
                </pt>
                <pt idx="96">
                  <v>57.3</v>
                </pt>
                <pt idx="97">
                  <v>56.7</v>
                </pt>
                <pt idx="98">
                  <v>56.9</v>
                </pt>
                <pt idx="99">
                  <v>55.3</v>
                </pt>
                <pt idx="100">
                  <v>57.3</v>
                </pt>
                <pt idx="101">
                  <v>57</v>
                </pt>
                <pt idx="102">
                  <v>57.5</v>
                </pt>
                <pt idx="103">
                  <v>55.4</v>
                </pt>
                <pt idx="104">
                  <v>52.5</v>
                </pt>
                <pt idx="105">
                  <v>51.6</v>
                </pt>
                <pt idx="106">
                  <v>53.2</v>
                </pt>
                <pt idx="107">
                  <v>53.5</v>
                </pt>
                <pt idx="108">
                  <v>52.5</v>
                </pt>
                <pt idx="109">
                  <v>53</v>
                </pt>
                <pt idx="110">
                  <v>54.1</v>
                </pt>
                <pt idx="111">
                  <v>54.4</v>
                </pt>
                <pt idx="112">
                  <v>51.9</v>
                </pt>
                <pt idx="113">
                  <v>52.2</v>
                </pt>
                <pt idx="114">
                  <v>51.9</v>
                </pt>
                <pt idx="115">
                  <v>52.5</v>
                </pt>
                <pt idx="116">
                  <v>51.6</v>
                </pt>
                <pt idx="117">
                  <v>51.6</v>
                </pt>
                <pt idx="118">
                  <v>54.3</v>
                </pt>
                <pt idx="119">
                  <v>52.3</v>
                </pt>
                <pt idx="120">
                  <v>51</v>
                </pt>
                <pt idx="121">
                  <v>52.2</v>
                </pt>
                <pt idx="122">
                  <v>50.8</v>
                </pt>
                <pt idx="123">
                  <v>51.1</v>
                </pt>
                <pt idx="124">
                  <v>50</v>
                </pt>
                <pt idx="125">
                  <v>50.7</v>
                </pt>
                <pt idx="126">
                  <v>53.2</v>
                </pt>
                <pt idx="127">
                  <v>48.5</v>
                </pt>
                <pt idx="128">
                  <v>53.2</v>
                </pt>
                <pt idx="129">
                  <v>55.6</v>
                </pt>
                <pt idx="130">
                  <v>53.8</v>
                </pt>
                <pt idx="131">
                  <v>53.2</v>
                </pt>
                <pt idx="132">
                  <v>55.6</v>
                </pt>
                <pt idx="133">
                  <v>55.2</v>
                </pt>
                <pt idx="134">
                  <v>54.5</v>
                </pt>
                <pt idx="135">
                  <v>54.1</v>
                </pt>
                <pt idx="136">
                  <v>57.8</v>
                </pt>
                <pt idx="137">
                  <v>56.6</v>
                </pt>
                <pt idx="138">
                  <v>54.4</v>
                </pt>
                <pt idx="139">
                  <v>55.3</v>
                </pt>
                <pt idx="140">
                  <v>56.8</v>
                </pt>
                <pt idx="141">
                  <v>56</v>
                </pt>
                <pt idx="142">
                  <v>56.2</v>
                </pt>
                <pt idx="143">
                  <v>58.3</v>
                </pt>
                <pt idx="144">
                  <v>56</v>
                </pt>
                <pt idx="145">
                  <v>55</v>
                </pt>
                <pt idx="146">
                  <v>54.9</v>
                </pt>
                <pt idx="147">
                  <v>54.9</v>
                </pt>
                <pt idx="148">
                  <v>53.9</v>
                </pt>
                <pt idx="149">
                  <v>54.4</v>
                </pt>
                <pt idx="150">
                  <v>54.4</v>
                </pt>
                <pt idx="151">
                  <v>54</v>
                </pt>
                <pt idx="152">
                  <v>52.8</v>
                </pt>
                <pt idx="153">
                  <v>53.8</v>
                </pt>
                <pt idx="154">
                  <v>51.1</v>
                </pt>
                <pt idx="155">
                  <v>53.1</v>
                </pt>
                <pt idx="156">
                  <v>54.2</v>
                </pt>
                <pt idx="157">
                  <v>52.8</v>
                </pt>
                <pt idx="158">
                  <v>52</v>
                </pt>
                <pt idx="159">
                  <v>55.1</v>
                </pt>
                <pt idx="160">
                  <v>53.1</v>
                </pt>
                <pt idx="161">
                  <v>49.4</v>
                </pt>
                <pt idx="162">
                  <v>48</v>
                </pt>
                <pt idx="163">
                  <v>48</v>
                </pt>
                <pt idx="164">
                  <v>47.4</v>
                </pt>
                <pt idx="165">
                  <v>48.3</v>
                </pt>
                <pt idx="166">
                  <v>49.6</v>
                </pt>
                <pt idx="167">
                  <v>48.9</v>
                </pt>
                <pt idx="168">
                  <v>47.5</v>
                </pt>
                <pt idx="169">
                  <v>50</v>
                </pt>
                <pt idx="170">
                  <v>51.7</v>
                </pt>
                <pt idx="171">
                  <v>47.8</v>
                </pt>
                <pt idx="172">
                  <v>32.6</v>
                </pt>
                <pt idx="173">
                  <v>40.7</v>
                </pt>
                <pt idx="174">
                  <v>50.1</v>
                </pt>
                <pt idx="175">
                  <v>53.3</v>
                </pt>
                <pt idx="176">
                  <v>55.2</v>
                </pt>
                <pt idx="177">
                  <v>54.1</v>
                </pt>
                <pt idx="178">
                  <v>53.7</v>
                </pt>
                <pt idx="179">
                  <v>55.6</v>
                </pt>
                <pt idx="180">
                  <v>57.5</v>
                </pt>
                <pt idx="181">
                  <v>54.1</v>
                </pt>
                <pt idx="182">
                  <v>55.1</v>
                </pt>
                <pt idx="183">
                  <v>58.9</v>
                </pt>
                <pt idx="184">
                  <v>60.9</v>
                </pt>
                <pt idx="185">
                  <v>65.59999999999999</v>
                </pt>
                <pt idx="186">
                  <v>63.9</v>
                </pt>
                <pt idx="187">
                  <v>60.4</v>
                </pt>
                <pt idx="188">
                  <v>60.3</v>
                </pt>
                <pt idx="189">
                  <v>57.1</v>
                </pt>
                <pt idx="190">
                  <v>57.8</v>
                </pt>
                <pt idx="191">
                  <v>58.1</v>
                </pt>
                <pt idx="192">
                  <v>57.9</v>
                </pt>
                <pt idx="193">
                  <v>56.9</v>
                </pt>
                <pt idx="194">
                  <v>57.3</v>
                </pt>
                <pt idx="195">
                  <v>55.5</v>
                </pt>
                <pt idx="196">
                  <v>55.3</v>
                </pt>
                <pt idx="197">
                  <v>54.6</v>
                </pt>
                <pt idx="198">
                  <v>53.4</v>
                </pt>
                <pt idx="199">
                  <v>52.1</v>
                </pt>
                <pt idx="200">
                  <v>47.3</v>
                </pt>
                <pt idx="201">
                  <v>48.4</v>
                </pt>
                <pt idx="202">
                  <v>46.2</v>
                </pt>
                <pt idx="203">
                  <v>46.5</v>
                </pt>
              </numCache>
            </numRef>
          </val>
          <smooth val="0"/>
        </ser>
        <dLbls>
          <showLegendKey val="0"/>
          <showVal val="0"/>
          <showCatName val="0"/>
          <showSerName val="0"/>
          <showPercent val="0"/>
          <showBubbleSize val="0"/>
        </dLbls>
        <marker val="1"/>
        <smooth val="0"/>
        <axId val="1554469688"/>
        <axId val="1554467392"/>
      </lineChart>
      <lineChart>
        <grouping val="standard"/>
        <varyColors val="0"/>
        <ser>
          <idx val="1"/>
          <order val="1"/>
          <tx>
            <strRef>
              <f>UK!$D$5</f>
              <strCache>
                <ptCount val="1"/>
                <pt idx="0">
                  <v>EWU</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UK!$A$18:$A$226</f>
              <numCache>
                <formatCode>m/d/yyyy</formatCode>
                <ptCount val="209"/>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pt idx="203">
                  <v>44866</v>
                </pt>
              </numCache>
            </numRef>
          </cat>
          <val>
            <numRef>
              <f>UK!$D$18:$D$226</f>
              <numCache>
                <formatCode>0.00</formatCode>
                <ptCount val="209"/>
                <pt idx="0">
                  <v>18.85319519042969</v>
                </pt>
                <pt idx="1">
                  <v>20.61869049072266</v>
                </pt>
                <pt idx="2">
                  <v>20.50362014770508</v>
                </pt>
                <pt idx="3">
                  <v>21.08943939208984</v>
                </pt>
                <pt idx="4">
                  <v>22.43891525268555</v>
                </pt>
                <pt idx="5">
                  <v>21.84262657165527</v>
                </pt>
                <pt idx="6">
                  <v>22.02047348022461</v>
                </pt>
                <pt idx="7">
                  <v>22.59582710266113</v>
                </pt>
                <pt idx="8">
                  <v>23.08749389648438</v>
                </pt>
                <pt idx="9">
                  <v>22.89920043945312</v>
                </pt>
                <pt idx="10">
                  <v>23.95575714111328</v>
                </pt>
                <pt idx="11">
                  <v>24.63572311401367</v>
                </pt>
                <pt idx="12">
                  <v>24.4892692565918</v>
                </pt>
                <pt idx="13">
                  <v>25.51086616516113</v>
                </pt>
                <pt idx="14">
                  <v>25.13204193115234</v>
                </pt>
                <pt idx="15">
                  <v>26.05205154418945</v>
                </pt>
                <pt idx="16">
                  <v>26.89626693725586</v>
                </pt>
                <pt idx="17">
                  <v>27.46990585327148</v>
                </pt>
                <pt idx="18">
                  <v>27.65389823913574</v>
                </pt>
                <pt idx="19">
                  <v>26.72309112548828</v>
                </pt>
                <pt idx="20">
                  <v>26.77720832824707</v>
                </pt>
                <pt idx="21">
                  <v>27.84873008728027</v>
                </pt>
                <pt idx="22">
                  <v>29.46142578125</v>
                </pt>
                <pt idx="23">
                  <v>27.72966957092285</v>
                </pt>
                <pt idx="24">
                  <v>26.06285667419434</v>
                </pt>
                <pt idx="25">
                  <v>24.82069778442383</v>
                </pt>
                <pt idx="26">
                  <v>24.52947807312012</v>
                </pt>
                <pt idx="27">
                  <v>24.14865684509277</v>
                </pt>
                <pt idx="28">
                  <v>25.58235359191895</v>
                </pt>
                <pt idx="29">
                  <v>25.52634239196777</v>
                </pt>
                <pt idx="30">
                  <v>23.20780181884766</v>
                </pt>
                <pt idx="31">
                  <v>22.76374626159668</v>
                </pt>
                <pt idx="32">
                  <v>21.99617767333984</v>
                </pt>
                <pt idx="33">
                  <v>19.07480621337891</v>
                </pt>
                <pt idx="34">
                  <v>15.30567264556885</v>
                </pt>
                <pt idx="35">
                  <v>14.32042694091797</v>
                </pt>
                <pt idx="36">
                  <v>14.03402137756348</v>
                </pt>
                <pt idx="37">
                  <v>13.08317470550537</v>
                </pt>
                <pt idx="38">
                  <v>11.81021499633789</v>
                </pt>
                <pt idx="39">
                  <v>12.35240173339844</v>
                </pt>
                <pt idx="40">
                  <v>13.82573223114014</v>
                </pt>
                <pt idx="41">
                  <v>16.18305778503418</v>
                </pt>
                <pt idx="42">
                  <v>15.57015323638916</v>
                </pt>
                <pt idx="43">
                  <v>17.19697380065918</v>
                </pt>
                <pt idx="44">
                  <v>17.94101715087891</v>
                </pt>
                <pt idx="45">
                  <v>18.61305236816406</v>
                </pt>
                <pt idx="46">
                  <v>18.58905029296875</v>
                </pt>
                <pt idx="47">
                  <v>19.52510643005371</v>
                </pt>
                <pt idx="48">
                  <v>19.44110488891602</v>
                </pt>
                <pt idx="49">
                  <v>18.73365783691406</v>
                </pt>
                <pt idx="50">
                  <v>18.5758228302002</v>
                </pt>
                <pt idx="51">
                  <v>19.75350761413574</v>
                </pt>
                <pt idx="52">
                  <v>19.32856941223145</v>
                </pt>
                <pt idx="53">
                  <v>17.20387840270996</v>
                </pt>
                <pt idx="54">
                  <v>16.31758117675781</v>
                </pt>
                <pt idx="55">
                  <v>19.01400375366211</v>
                </pt>
                <pt idx="56">
                  <v>18.48274803161621</v>
                </pt>
                <pt idx="57">
                  <v>20.21241760253906</v>
                </pt>
                <pt idx="58">
                  <v>21.06489372253418</v>
                </pt>
                <pt idx="59">
                  <v>19.96532440185547</v>
                </pt>
                <pt idx="60">
                  <v>21.46025848388672</v>
                </pt>
                <pt idx="61">
                  <v>21.91374588012695</v>
                </pt>
                <pt idx="62">
                  <v>22.91209602355957</v>
                </pt>
                <pt idx="63">
                  <v>22.35052108764648</v>
                </pt>
                <pt idx="64">
                  <v>23.84804725646973</v>
                </pt>
                <pt idx="65">
                  <v>23.28647232055664</v>
                </pt>
                <pt idx="66">
                  <v>22.22572898864746</v>
                </pt>
                <pt idx="67">
                  <v>22.5208683013916</v>
                </pt>
                <pt idx="68">
                  <v>20.79435920715332</v>
                </pt>
                <pt idx="69">
                  <v>18.75047302246094</v>
                </pt>
                <pt idx="70">
                  <v>21.17520904541016</v>
                </pt>
                <pt idx="71">
                  <v>20.83244323730469</v>
                </pt>
                <pt idx="72">
                  <v>20.51507186889648</v>
                </pt>
                <pt idx="73">
                  <v>21.49223899841309</v>
                </pt>
                <pt idx="74">
                  <v>22.58746719360352</v>
                </pt>
                <pt idx="75">
                  <v>22.29110717773438</v>
                </pt>
                <pt idx="76">
                  <v>22.61324119567871</v>
                </pt>
                <pt idx="77">
                  <v>20.03623199462891</v>
                </pt>
                <pt idx="78">
                  <v>20.98972320556641</v>
                </pt>
                <pt idx="79">
                  <v>21.67182540893555</v>
                </pt>
                <pt idx="80">
                  <v>22.38410568237305</v>
                </pt>
                <pt idx="81">
                  <v>22.9512882232666</v>
                </pt>
                <pt idx="82">
                  <v>23.05681610107422</v>
                </pt>
                <pt idx="83">
                  <v>23.32062339782715</v>
                </pt>
                <pt idx="84">
                  <v>23.66357803344727</v>
                </pt>
                <pt idx="85">
                  <v>24.70919227600098</v>
                </pt>
                <pt idx="86">
                  <v>24.04029273986816</v>
                </pt>
                <pt idx="87">
                  <v>24.4416389465332</v>
                </pt>
                <pt idx="88">
                  <v>25.13730239868164</v>
                </pt>
                <pt idx="89">
                  <v>25.11054039001465</v>
                </pt>
                <pt idx="90">
                  <v>23.62557792663574</v>
                </pt>
                <pt idx="91">
                  <v>25.50985336303711</v>
                </pt>
                <pt idx="92">
                  <v>25.31977844238281</v>
                </pt>
                <pt idx="93">
                  <v>26.63667678833008</v>
                </pt>
                <pt idx="94">
                  <v>27.62775230407715</v>
                </pt>
                <pt idx="95">
                  <v>27.844970703125</v>
                </pt>
                <pt idx="96">
                  <v>28.3472900390625</v>
                </pt>
                <pt idx="97">
                  <v>27.35536193847656</v>
                </pt>
                <pt idx="98">
                  <v>29.21019172668457</v>
                </pt>
                <pt idx="99">
                  <v>28.28964805603027</v>
                </pt>
                <pt idx="100">
                  <v>29.56742477416992</v>
                </pt>
                <pt idx="101">
                  <v>29.85595703125</v>
                </pt>
                <pt idx="102">
                  <v>28.68809127807617</v>
                </pt>
                <pt idx="103">
                  <v>29.37614059448242</v>
                </pt>
                <pt idx="104">
                  <v>29.60677528381348</v>
                </pt>
                <pt idx="105">
                  <v>27.93472099304199</v>
                </pt>
                <pt idx="106">
                  <v>27.40140342712402</v>
                </pt>
                <pt idx="107">
                  <v>27.43022918701172</v>
                </pt>
                <pt idx="108">
                  <v>25.98880767822266</v>
                </pt>
                <pt idx="109">
                  <v>26.52298736572266</v>
                </pt>
                <pt idx="110">
                  <v>28.08143615722656</v>
                </pt>
                <pt idx="111">
                  <v>26.47888565063477</v>
                </pt>
                <pt idx="112">
                  <v>28.24316024780273</v>
                </pt>
                <pt idx="113">
                  <v>28.41958999633789</v>
                </pt>
                <pt idx="114">
                  <v>26.83173561096191</v>
                </pt>
                <pt idx="115">
                  <v>27.75506591796875</v>
                </pt>
                <pt idx="116">
                  <v>25.5394458770752</v>
                </pt>
                <pt idx="117">
                  <v>24.53643226623535</v>
                </pt>
                <pt idx="118">
                  <v>26.15323066711426</v>
                </pt>
                <pt idx="119">
                  <v>25.71908760070801</v>
                </pt>
                <pt idx="120">
                  <v>24.16217231750488</v>
                </pt>
                <pt idx="121">
                  <v>23.45659446716309</v>
                </pt>
                <pt idx="122">
                  <v>22.72357368469238</v>
                </pt>
                <pt idx="123">
                  <v>23.94527626037598</v>
                </pt>
                <pt idx="124">
                  <v>24.90736389160156</v>
                </pt>
                <pt idx="125">
                  <v>24.61721229553223</v>
                </pt>
                <pt idx="126">
                  <v>23.47186660766602</v>
                </pt>
                <pt idx="127">
                  <v>24.4160041809082</v>
                </pt>
                <pt idx="128">
                  <v>24.68207359313965</v>
                </pt>
                <pt idx="129">
                  <v>24.7916316986084</v>
                </pt>
                <pt idx="130">
                  <v>23.47692680358887</v>
                </pt>
                <pt idx="131">
                  <v>23.52387809753418</v>
                </pt>
                <pt idx="132">
                  <v>24.01689529418945</v>
                </pt>
                <pt idx="133">
                  <v>24.95241928100586</v>
                </pt>
                <pt idx="134">
                  <v>25.31738090515137</v>
                </pt>
                <pt idx="135">
                  <v>25.82515525817871</v>
                </pt>
                <pt idx="136">
                  <v>26.26152420043945</v>
                </pt>
                <pt idx="137">
                  <v>27.45956039428711</v>
                </pt>
                <pt idx="138">
                  <v>26.44401359558105</v>
                </pt>
                <pt idx="139">
                  <v>27.66788291931152</v>
                </pt>
                <pt idx="140">
                  <v>27.44083404541016</v>
                </pt>
                <pt idx="141">
                  <v>28.25984382629395</v>
                </pt>
                <pt idx="142">
                  <v>28.43013381958008</v>
                </pt>
                <pt idx="143">
                  <v>28.39769554138184</v>
                </pt>
                <pt idx="144">
                  <v>29.04641532897949</v>
                </pt>
                <pt idx="145">
                  <v>30.70130920410156</v>
                </pt>
                <pt idx="146">
                  <v>28.64408493041992</v>
                </pt>
                <pt idx="147">
                  <v>28.71018600463867</v>
                </pt>
                <pt idx="148">
                  <v>29.9494743347168</v>
                </pt>
                <pt idx="149">
                  <v>29.76770973205566</v>
                </pt>
                <pt idx="150">
                  <v>28.7349681854248</v>
                </pt>
                <pt idx="151">
                  <v>29.69309234619141</v>
                </pt>
                <pt idx="152">
                  <v>28.39068984985352</v>
                </pt>
                <pt idx="153">
                  <v>28.85583305358887</v>
                </pt>
                <pt idx="154">
                  <v>26.90222930908203</v>
                </pt>
                <pt idx="155">
                  <v>26.58086013793945</v>
                </pt>
                <pt idx="156">
                  <v>24.82176971435547</v>
                </pt>
                <pt idx="157">
                  <v>27.21231269836426</v>
                </pt>
                <pt idx="158">
                  <v>28.14560127258301</v>
                </pt>
                <pt idx="159">
                  <v>28.52582740783691</v>
                </pt>
                <pt idx="160">
                  <v>29.17394638061523</v>
                </pt>
                <pt idx="161">
                  <v>27.38514709472656</v>
                </pt>
                <pt idx="162">
                  <v>27.92956161499023</v>
                </pt>
                <pt idx="163">
                  <v>27.95261573791504</v>
                </pt>
                <pt idx="164">
                  <v>26.88910293579102</v>
                </pt>
                <pt idx="165">
                  <v>27.85512542724609</v>
                </pt>
                <pt idx="166">
                  <v>28.83001136779785</v>
                </pt>
                <pt idx="167">
                  <v>29.18451309204102</v>
                </pt>
                <pt idx="168">
                  <v>30.22143745422363</v>
                </pt>
                <pt idx="169">
                  <v>29.44472122192383</v>
                </pt>
                <pt idx="170">
                  <v>26.43169212341309</v>
                </pt>
                <pt idx="171">
                  <v>21.54227828979492</v>
                </pt>
                <pt idx="172">
                  <v>22.77816581726074</v>
                </pt>
                <pt idx="173">
                  <v>23.21117401123047</v>
                </pt>
                <pt idx="174">
                  <v>23.23823738098145</v>
                </pt>
                <pt idx="175">
                  <v>23.74909973144531</v>
                </pt>
                <pt idx="176">
                  <v>24.39938354492188</v>
                </pt>
                <pt idx="177">
                  <v>23.34610939025879</v>
                </pt>
                <pt idx="178">
                  <v>22.2928295135498</v>
                </pt>
                <pt idx="179">
                  <v>25.88312911987305</v>
                </pt>
                <pt idx="180">
                  <v>26.82649993896484</v>
                </pt>
                <pt idx="181">
                  <v>27.06836700439453</v>
                </pt>
                <pt idx="182">
                  <v>28.13368797302246</v>
                </pt>
                <pt idx="183">
                  <v>29.00446891784668</v>
                </pt>
                <pt idx="184">
                  <v>30.1346321105957</v>
                </pt>
                <pt idx="185">
                  <v>31.30185508728027</v>
                </pt>
                <pt idx="186">
                  <v>30.29211807250977</v>
                </pt>
                <pt idx="187">
                  <v>30.89048385620117</v>
                </pt>
                <pt idx="188">
                  <v>31.09773635864258</v>
                </pt>
                <pt idx="189">
                  <v>30.38176536560059</v>
                </pt>
                <pt idx="190">
                  <v>31.72892570495605</v>
                </pt>
                <pt idx="191">
                  <v>30.18393135070801</v>
                </pt>
                <pt idx="192">
                  <v>31.22020530700684</v>
                </pt>
                <pt idx="193">
                  <v>32.79575729370117</v>
                </pt>
                <pt idx="194">
                  <v>32.40867614746094</v>
                </pt>
                <pt idx="195">
                  <v>32.55382919311523</v>
                </pt>
                <pt idx="196">
                  <v>31.2570972442627</v>
                </pt>
                <pt idx="197">
                  <v>32.09900665283203</v>
                </pt>
                <pt idx="198">
                  <v>28.99264907836914</v>
                </pt>
                <pt idx="199">
                  <v>30.44909477233887</v>
                </pt>
                <pt idx="200">
                  <v>28.47891807556152</v>
                </pt>
                <pt idx="201">
                  <v>25.81917762756348</v>
                </pt>
                <pt idx="202">
                  <v>27.62189102172852</v>
                </pt>
                <pt idx="203">
                  <v>31.05985069274902</v>
                </pt>
              </numCache>
            </numRef>
          </val>
          <smooth val="0"/>
        </ser>
        <dLbls>
          <showLegendKey val="0"/>
          <showVal val="0"/>
          <showCatName val="0"/>
          <showSerName val="0"/>
          <showPercent val="0"/>
          <showBubbleSize val="0"/>
        </dLbls>
        <marker val="1"/>
        <smooth val="0"/>
        <axId val="1554486088"/>
        <axId val="1554502816"/>
      </lineChart>
      <dateAx>
        <axId val="1554469688"/>
        <scaling>
          <orientation val="minMax"/>
        </scaling>
        <delete val="1"/>
        <axPos val="b"/>
        <numFmt formatCode="m/d/yyyy" sourceLinked="1"/>
        <majorTickMark val="out"/>
        <minorTickMark val="none"/>
        <tickLblPos val="nextTo"/>
        <crossAx val="1554467392"/>
        <crosses val="autoZero"/>
        <lblOffset val="100"/>
        <baseTimeUnit val="months"/>
      </dateAx>
      <valAx>
        <axId val="1554467392"/>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69688"/>
        <crosses val="autoZero"/>
        <crossBetween val="between"/>
      </valAx>
      <dateAx>
        <axId val="1554486088"/>
        <scaling>
          <orientation val="minMax"/>
        </scaling>
        <delete val="1"/>
        <axPos val="b"/>
        <numFmt formatCode="m/d/yyyy" sourceLinked="1"/>
        <majorTickMark val="out"/>
        <minorTickMark val="none"/>
        <tickLblPos val="nextTo"/>
        <crossAx val="1554502816"/>
        <crosses val="autoZero"/>
        <lblOffset val="100"/>
        <baseTimeUnit val="months"/>
      </dateAx>
      <valAx>
        <axId val="1554502816"/>
        <scaling>
          <orientation val="minMax"/>
          <min val="1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6088"/>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strRef>
          <f>UK!$K$2</f>
          <strCache>
            <ptCount val="1"/>
            <pt idx="0">
              <v>United Kingdom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UK!$A$6:$A$221</f>
              <numCache>
                <formatCode>m/d/yyyy</formatCode>
                <ptCount val="216"/>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pt idx="215">
                  <v>44866</v>
                </pt>
              </numCache>
            </numRef>
          </cat>
          <val>
            <numRef>
              <f>UK!$B$6:$B$221</f>
              <numCache>
                <formatCode>General</formatCode>
                <ptCount val="216"/>
                <pt idx="0">
                  <v>53.7</v>
                </pt>
                <pt idx="1">
                  <v>51.8</v>
                </pt>
                <pt idx="2">
                  <v>51.8</v>
                </pt>
                <pt idx="3">
                  <v>52</v>
                </pt>
                <pt idx="4">
                  <v>49.5</v>
                </pt>
                <pt idx="5">
                  <v>47.3</v>
                </pt>
                <pt idx="6">
                  <v>49.6</v>
                </pt>
                <pt idx="7">
                  <v>49.2</v>
                </pt>
                <pt idx="8">
                  <v>50.1</v>
                </pt>
                <pt idx="9">
                  <v>51.5</v>
                </pt>
                <pt idx="10">
                  <v>51.7</v>
                </pt>
                <pt idx="11">
                  <v>51</v>
                </pt>
                <pt idx="12">
                  <v>51.1</v>
                </pt>
                <pt idx="13">
                  <v>51.7</v>
                </pt>
                <pt idx="14">
                  <v>51.7</v>
                </pt>
                <pt idx="15">
                  <v>50.8</v>
                </pt>
                <pt idx="16">
                  <v>54.1</v>
                </pt>
                <pt idx="17">
                  <v>53.2</v>
                </pt>
                <pt idx="18">
                  <v>55.1</v>
                </pt>
                <pt idx="19">
                  <v>53.8</v>
                </pt>
                <pt idx="20">
                  <v>53.1</v>
                </pt>
                <pt idx="21">
                  <v>54.4</v>
                </pt>
                <pt idx="22">
                  <v>53.7</v>
                </pt>
                <pt idx="23">
                  <v>53.6</v>
                </pt>
                <pt idx="24">
                  <v>51.9</v>
                </pt>
                <pt idx="25">
                  <v>52.8</v>
                </pt>
                <pt idx="26">
                  <v>55.4</v>
                </pt>
                <pt idx="27">
                  <v>54.4</v>
                </pt>
                <pt idx="28">
                  <v>53.9</v>
                </pt>
                <pt idx="29">
                  <v>54.9</v>
                </pt>
                <pt idx="30">
                  <v>54.3</v>
                </pt>
                <pt idx="31">
                  <v>55.7</v>
                </pt>
                <pt idx="32">
                  <v>56.3</v>
                </pt>
                <pt idx="33">
                  <v>55.1</v>
                </pt>
                <pt idx="34">
                  <v>52.9</v>
                </pt>
                <pt idx="35">
                  <v>54.4</v>
                </pt>
                <pt idx="36">
                  <v>52.9</v>
                </pt>
                <pt idx="37">
                  <v>50.6</v>
                </pt>
                <pt idx="38">
                  <v>51.3</v>
                </pt>
                <pt idx="39">
                  <v>51.3</v>
                </pt>
                <pt idx="40">
                  <v>51</v>
                </pt>
                <pt idx="41">
                  <v>50</v>
                </pt>
                <pt idx="42">
                  <v>45.8</v>
                </pt>
                <pt idx="43">
                  <v>44.3</v>
                </pt>
                <pt idx="44">
                  <v>45.9</v>
                </pt>
                <pt idx="45">
                  <v>41</v>
                </pt>
                <pt idx="46">
                  <v>41.5</v>
                </pt>
                <pt idx="47">
                  <v>34.4</v>
                </pt>
                <pt idx="48">
                  <v>34.9</v>
                </pt>
                <pt idx="49">
                  <v>35.8</v>
                </pt>
                <pt idx="50">
                  <v>34.7</v>
                </pt>
                <pt idx="51">
                  <v>39.1</v>
                </pt>
                <pt idx="52">
                  <v>42.9</v>
                </pt>
                <pt idx="53">
                  <v>45.4</v>
                </pt>
                <pt idx="54">
                  <v>47</v>
                </pt>
                <pt idx="55">
                  <v>50.8</v>
                </pt>
                <pt idx="56">
                  <v>49.7</v>
                </pt>
                <pt idx="57">
                  <v>49.5</v>
                </pt>
                <pt idx="58">
                  <v>53.7</v>
                </pt>
                <pt idx="59">
                  <v>51.8</v>
                </pt>
                <pt idx="60">
                  <v>54.1</v>
                </pt>
                <pt idx="61">
                  <v>56.7</v>
                </pt>
                <pt idx="62">
                  <v>56.6</v>
                </pt>
                <pt idx="63">
                  <v>57.2</v>
                </pt>
                <pt idx="64">
                  <v>58</v>
                </pt>
                <pt idx="65">
                  <v>58</v>
                </pt>
                <pt idx="66">
                  <v>57.5</v>
                </pt>
                <pt idx="67">
                  <v>57.3</v>
                </pt>
                <pt idx="68">
                  <v>54.3</v>
                </pt>
                <pt idx="69">
                  <v>53.4</v>
                </pt>
                <pt idx="70">
                  <v>54.9</v>
                </pt>
                <pt idx="71">
                  <v>58</v>
                </pt>
                <pt idx="72">
                  <v>58.3</v>
                </pt>
                <pt idx="73">
                  <v>62</v>
                </pt>
                <pt idx="74">
                  <v>64.5</v>
                </pt>
                <pt idx="75">
                  <v>57.1</v>
                </pt>
                <pt idx="76">
                  <v>54.6</v>
                </pt>
                <pt idx="77">
                  <v>52.1</v>
                </pt>
                <pt idx="78">
                  <v>51.3</v>
                </pt>
                <pt idx="79">
                  <v>49.1</v>
                </pt>
                <pt idx="80">
                  <v>49</v>
                </pt>
                <pt idx="81">
                  <v>51.1</v>
                </pt>
                <pt idx="82">
                  <v>47.4</v>
                </pt>
                <pt idx="83">
                  <v>47.6</v>
                </pt>
                <pt idx="84">
                  <v>49.6</v>
                </pt>
                <pt idx="85">
                  <v>50.8</v>
                </pt>
                <pt idx="86">
                  <v>51.1</v>
                </pt>
                <pt idx="87">
                  <v>52</v>
                </pt>
                <pt idx="88">
                  <v>50.2</v>
                </pt>
                <pt idx="89">
                  <v>46.8</v>
                </pt>
                <pt idx="90">
                  <v>48.8</v>
                </pt>
                <pt idx="91">
                  <v>45.5</v>
                </pt>
                <pt idx="92">
                  <v>49.1</v>
                </pt>
                <pt idx="93">
                  <v>48.2</v>
                </pt>
                <pt idx="94">
                  <v>48</v>
                </pt>
                <pt idx="95">
                  <v>48.4</v>
                </pt>
                <pt idx="96">
                  <v>50.7</v>
                </pt>
                <pt idx="97">
                  <v>50.9</v>
                </pt>
                <pt idx="98">
                  <v>48.2</v>
                </pt>
                <pt idx="99">
                  <v>49.3</v>
                </pt>
                <pt idx="100">
                  <v>50.6</v>
                </pt>
                <pt idx="101">
                  <v>52.1</v>
                </pt>
                <pt idx="102">
                  <v>53</v>
                </pt>
                <pt idx="103">
                  <v>54.7</v>
                </pt>
                <pt idx="104">
                  <v>57.3</v>
                </pt>
                <pt idx="105">
                  <v>56.7</v>
                </pt>
                <pt idx="106">
                  <v>56.5</v>
                </pt>
                <pt idx="107">
                  <v>58.1</v>
                </pt>
                <pt idx="108">
                  <v>57.3</v>
                </pt>
                <pt idx="109">
                  <v>56.7</v>
                </pt>
                <pt idx="110">
                  <v>56.9</v>
                </pt>
                <pt idx="111">
                  <v>55.3</v>
                </pt>
                <pt idx="112">
                  <v>57.3</v>
                </pt>
                <pt idx="113">
                  <v>57</v>
                </pt>
                <pt idx="114">
                  <v>57.5</v>
                </pt>
                <pt idx="115">
                  <v>55.4</v>
                </pt>
                <pt idx="116">
                  <v>52.5</v>
                </pt>
                <pt idx="117">
                  <v>51.6</v>
                </pt>
                <pt idx="118">
                  <v>53.2</v>
                </pt>
                <pt idx="119">
                  <v>53.5</v>
                </pt>
                <pt idx="120">
                  <v>52.5</v>
                </pt>
                <pt idx="121">
                  <v>53</v>
                </pt>
                <pt idx="122">
                  <v>54.1</v>
                </pt>
                <pt idx="123">
                  <v>54.4</v>
                </pt>
                <pt idx="124">
                  <v>51.9</v>
                </pt>
                <pt idx="125">
                  <v>52.2</v>
                </pt>
                <pt idx="126">
                  <v>51.9</v>
                </pt>
                <pt idx="127">
                  <v>52.5</v>
                </pt>
                <pt idx="128">
                  <v>51.6</v>
                </pt>
                <pt idx="129">
                  <v>51.6</v>
                </pt>
                <pt idx="130">
                  <v>54.3</v>
                </pt>
                <pt idx="131">
                  <v>52.3</v>
                </pt>
                <pt idx="132">
                  <v>51</v>
                </pt>
                <pt idx="133">
                  <v>52.2</v>
                </pt>
                <pt idx="134">
                  <v>50.8</v>
                </pt>
                <pt idx="135">
                  <v>51.1</v>
                </pt>
                <pt idx="136">
                  <v>50</v>
                </pt>
                <pt idx="137">
                  <v>50.7</v>
                </pt>
                <pt idx="138">
                  <v>53.2</v>
                </pt>
                <pt idx="139">
                  <v>48.5</v>
                </pt>
                <pt idx="140">
                  <v>53.2</v>
                </pt>
                <pt idx="141">
                  <v>55.6</v>
                </pt>
                <pt idx="142">
                  <v>53.8</v>
                </pt>
                <pt idx="143">
                  <v>53.2</v>
                </pt>
                <pt idx="144">
                  <v>55.6</v>
                </pt>
                <pt idx="145">
                  <v>55.2</v>
                </pt>
                <pt idx="146">
                  <v>54.5</v>
                </pt>
                <pt idx="147">
                  <v>54.1</v>
                </pt>
                <pt idx="148">
                  <v>57.8</v>
                </pt>
                <pt idx="149">
                  <v>56.6</v>
                </pt>
                <pt idx="150">
                  <v>54.4</v>
                </pt>
                <pt idx="151">
                  <v>55.3</v>
                </pt>
                <pt idx="152">
                  <v>56.8</v>
                </pt>
                <pt idx="153">
                  <v>56</v>
                </pt>
                <pt idx="154">
                  <v>56.2</v>
                </pt>
                <pt idx="155">
                  <v>58.3</v>
                </pt>
                <pt idx="156">
                  <v>56</v>
                </pt>
                <pt idx="157">
                  <v>55</v>
                </pt>
                <pt idx="158">
                  <v>54.9</v>
                </pt>
                <pt idx="159">
                  <v>54.9</v>
                </pt>
                <pt idx="160">
                  <v>53.9</v>
                </pt>
                <pt idx="161">
                  <v>54.4</v>
                </pt>
                <pt idx="162">
                  <v>54.4</v>
                </pt>
                <pt idx="163">
                  <v>54</v>
                </pt>
                <pt idx="164">
                  <v>52.8</v>
                </pt>
                <pt idx="165">
                  <v>53.8</v>
                </pt>
                <pt idx="166">
                  <v>51.1</v>
                </pt>
                <pt idx="167">
                  <v>53.1</v>
                </pt>
                <pt idx="168">
                  <v>54.2</v>
                </pt>
                <pt idx="169">
                  <v>52.8</v>
                </pt>
                <pt idx="170">
                  <v>52</v>
                </pt>
                <pt idx="171">
                  <v>55.1</v>
                </pt>
                <pt idx="172">
                  <v>53.1</v>
                </pt>
                <pt idx="173">
                  <v>49.4</v>
                </pt>
                <pt idx="174">
                  <v>48</v>
                </pt>
                <pt idx="175">
                  <v>48</v>
                </pt>
                <pt idx="176">
                  <v>47.4</v>
                </pt>
                <pt idx="177">
                  <v>48.3</v>
                </pt>
                <pt idx="178">
                  <v>49.6</v>
                </pt>
                <pt idx="179">
                  <v>48.9</v>
                </pt>
                <pt idx="180">
                  <v>47.5</v>
                </pt>
                <pt idx="181">
                  <v>50</v>
                </pt>
                <pt idx="182">
                  <v>51.7</v>
                </pt>
                <pt idx="183">
                  <v>47.8</v>
                </pt>
                <pt idx="184">
                  <v>32.6</v>
                </pt>
                <pt idx="185">
                  <v>40.7</v>
                </pt>
                <pt idx="186">
                  <v>50.1</v>
                </pt>
                <pt idx="187">
                  <v>53.3</v>
                </pt>
                <pt idx="188">
                  <v>55.2</v>
                </pt>
                <pt idx="189">
                  <v>54.1</v>
                </pt>
                <pt idx="190">
                  <v>53.7</v>
                </pt>
                <pt idx="191">
                  <v>55.6</v>
                </pt>
                <pt idx="192">
                  <v>57.5</v>
                </pt>
                <pt idx="193">
                  <v>54.1</v>
                </pt>
                <pt idx="194">
                  <v>55.1</v>
                </pt>
                <pt idx="195">
                  <v>58.9</v>
                </pt>
                <pt idx="196">
                  <v>60.9</v>
                </pt>
                <pt idx="197">
                  <v>65.59999999999999</v>
                </pt>
                <pt idx="198">
                  <v>63.9</v>
                </pt>
                <pt idx="199">
                  <v>60.4</v>
                </pt>
                <pt idx="200">
                  <v>60.3</v>
                </pt>
                <pt idx="201">
                  <v>57.1</v>
                </pt>
                <pt idx="202">
                  <v>57.8</v>
                </pt>
                <pt idx="203">
                  <v>58.1</v>
                </pt>
                <pt idx="204">
                  <v>57.9</v>
                </pt>
                <pt idx="205">
                  <v>56.9</v>
                </pt>
                <pt idx="206">
                  <v>57.3</v>
                </pt>
                <pt idx="207">
                  <v>55.5</v>
                </pt>
                <pt idx="208">
                  <v>55.3</v>
                </pt>
                <pt idx="209">
                  <v>54.6</v>
                </pt>
                <pt idx="210">
                  <v>53.4</v>
                </pt>
                <pt idx="211">
                  <v>52.1</v>
                </pt>
                <pt idx="212">
                  <v>47.3</v>
                </pt>
                <pt idx="213">
                  <v>48.4</v>
                </pt>
                <pt idx="214">
                  <v>46.2</v>
                </pt>
                <pt idx="215">
                  <v>46.5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Italy!$K$2</f>
          <strCache>
            <ptCount val="1"/>
            <pt idx="0">
              <v>Italy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Italy!$A$6:$A$197</f>
              <numCache>
                <formatCode>m/d/yyyy</formatCode>
                <ptCount val="192"/>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pt idx="184">
                  <v>44652</v>
                </pt>
                <pt idx="185">
                  <v>44682</v>
                </pt>
                <pt idx="186">
                  <v>44713</v>
                </pt>
                <pt idx="187">
                  <v>44743</v>
                </pt>
                <pt idx="188">
                  <v>44774</v>
                </pt>
                <pt idx="189">
                  <v>44805</v>
                </pt>
                <pt idx="190">
                  <v>44835</v>
                </pt>
                <pt idx="191">
                  <v>44866</v>
                </pt>
              </numCache>
            </numRef>
          </cat>
          <val>
            <numRef>
              <f>Italy!$B$6:$B$197</f>
              <numCache>
                <formatCode>General</formatCode>
                <ptCount val="192"/>
                <pt idx="0">
                  <v>55</v>
                </pt>
                <pt idx="1">
                  <v>53.5</v>
                </pt>
                <pt idx="2">
                  <v>54.2</v>
                </pt>
                <pt idx="3">
                  <v>53.8</v>
                </pt>
                <pt idx="4">
                  <v>53.9</v>
                </pt>
                <pt idx="5">
                  <v>55</v>
                </pt>
                <pt idx="6">
                  <v>54</v>
                </pt>
                <pt idx="7">
                  <v>53.3</v>
                </pt>
                <pt idx="8">
                  <v>53.6</v>
                </pt>
                <pt idx="9">
                  <v>52.4</v>
                </pt>
                <pt idx="10">
                  <v>51.3</v>
                </pt>
                <pt idx="11">
                  <v>51.3</v>
                </pt>
                <pt idx="12">
                  <v>50.7</v>
                </pt>
                <pt idx="13">
                  <v>50.8</v>
                </pt>
                <pt idx="14">
                  <v>50.6</v>
                </pt>
                <pt idx="15">
                  <v>49.4</v>
                </pt>
                <pt idx="16">
                  <v>48.2</v>
                </pt>
                <pt idx="17">
                  <v>48</v>
                </pt>
                <pt idx="18">
                  <v>46.9</v>
                </pt>
                <pt idx="19">
                  <v>45.3</v>
                </pt>
                <pt idx="20">
                  <v>47.1</v>
                </pt>
                <pt idx="21">
                  <v>44.4</v>
                </pt>
                <pt idx="22">
                  <v>39.7</v>
                </pt>
                <pt idx="23">
                  <v>34.9</v>
                </pt>
                <pt idx="24">
                  <v>35.5</v>
                </pt>
                <pt idx="25">
                  <v>36.1</v>
                </pt>
                <pt idx="26">
                  <v>35</v>
                </pt>
                <pt idx="27">
                  <v>34.6</v>
                </pt>
                <pt idx="28">
                  <v>37.2</v>
                </pt>
                <pt idx="29">
                  <v>41.1</v>
                </pt>
                <pt idx="30">
                  <v>42.7</v>
                </pt>
                <pt idx="31">
                  <v>45.4</v>
                </pt>
                <pt idx="32">
                  <v>44.2</v>
                </pt>
                <pt idx="33">
                  <v>47.6</v>
                </pt>
                <pt idx="34">
                  <v>49.2</v>
                </pt>
                <pt idx="35">
                  <v>50.1</v>
                </pt>
                <pt idx="36">
                  <v>50.8</v>
                </pt>
                <pt idx="37">
                  <v>51.7</v>
                </pt>
                <pt idx="38">
                  <v>51.6</v>
                </pt>
                <pt idx="39">
                  <v>53.7</v>
                </pt>
                <pt idx="40">
                  <v>54.3</v>
                </pt>
                <pt idx="41">
                  <v>54</v>
                </pt>
                <pt idx="42">
                  <v>54.3</v>
                </pt>
                <pt idx="43">
                  <v>54.4</v>
                </pt>
                <pt idx="44">
                  <v>52.8</v>
                </pt>
                <pt idx="45">
                  <v>52.6</v>
                </pt>
                <pt idx="46">
                  <v>53</v>
                </pt>
                <pt idx="47">
                  <v>52</v>
                </pt>
                <pt idx="48">
                  <v>54.7</v>
                </pt>
                <pt idx="49">
                  <v>56.6</v>
                </pt>
                <pt idx="50">
                  <v>59</v>
                </pt>
                <pt idx="51">
                  <v>56.2</v>
                </pt>
                <pt idx="52">
                  <v>55.5</v>
                </pt>
                <pt idx="53">
                  <v>52.8</v>
                </pt>
                <pt idx="54">
                  <v>49.9</v>
                </pt>
                <pt idx="55">
                  <v>50.1</v>
                </pt>
                <pt idx="56">
                  <v>47</v>
                </pt>
                <pt idx="57">
                  <v>48.3</v>
                </pt>
                <pt idx="58">
                  <v>43.3</v>
                </pt>
                <pt idx="59">
                  <v>44</v>
                </pt>
                <pt idx="60">
                  <v>44.3</v>
                </pt>
                <pt idx="61">
                  <v>46.8</v>
                </pt>
                <pt idx="62">
                  <v>47.8</v>
                </pt>
                <pt idx="63">
                  <v>47.9</v>
                </pt>
                <pt idx="64">
                  <v>43.8</v>
                </pt>
                <pt idx="65">
                  <v>44.8</v>
                </pt>
                <pt idx="66">
                  <v>44.6</v>
                </pt>
                <pt idx="67">
                  <v>44.3</v>
                </pt>
                <pt idx="68">
                  <v>43.6</v>
                </pt>
                <pt idx="69">
                  <v>45.7</v>
                </pt>
                <pt idx="70">
                  <v>45.5</v>
                </pt>
                <pt idx="71">
                  <v>45.1</v>
                </pt>
                <pt idx="72">
                  <v>46.7</v>
                </pt>
                <pt idx="73">
                  <v>47.8</v>
                </pt>
                <pt idx="74">
                  <v>45.8</v>
                </pt>
                <pt idx="75">
                  <v>44.5</v>
                </pt>
                <pt idx="76">
                  <v>45.5</v>
                </pt>
                <pt idx="77">
                  <v>47.3</v>
                </pt>
                <pt idx="78">
                  <v>49.1</v>
                </pt>
                <pt idx="79">
                  <v>50.4</v>
                </pt>
                <pt idx="80">
                  <v>51.3</v>
                </pt>
                <pt idx="81">
                  <v>50.8</v>
                </pt>
                <pt idx="82">
                  <v>50.7</v>
                </pt>
                <pt idx="83">
                  <v>51.4</v>
                </pt>
                <pt idx="84">
                  <v>53.3</v>
                </pt>
                <pt idx="85">
                  <v>53.1</v>
                </pt>
                <pt idx="86">
                  <v>52.3</v>
                </pt>
                <pt idx="87">
                  <v>52.4</v>
                </pt>
                <pt idx="88">
                  <v>54</v>
                </pt>
                <pt idx="89">
                  <v>53.2</v>
                </pt>
                <pt idx="90">
                  <v>52.6</v>
                </pt>
                <pt idx="91">
                  <v>51.9</v>
                </pt>
                <pt idx="92">
                  <v>49.8</v>
                </pt>
                <pt idx="93">
                  <v>50.7</v>
                </pt>
                <pt idx="94">
                  <v>49</v>
                </pt>
                <pt idx="95">
                  <v>49</v>
                </pt>
                <pt idx="96">
                  <v>48.4</v>
                </pt>
                <pt idx="97">
                  <v>49.9</v>
                </pt>
                <pt idx="98">
                  <v>51.9</v>
                </pt>
                <pt idx="99">
                  <v>53.3</v>
                </pt>
                <pt idx="100">
                  <v>53.8</v>
                </pt>
                <pt idx="101">
                  <v>54.8</v>
                </pt>
                <pt idx="102">
                  <v>54.1</v>
                </pt>
                <pt idx="103">
                  <v>55.3</v>
                </pt>
                <pt idx="104">
                  <v>53.8</v>
                </pt>
                <pt idx="105">
                  <v>52.7</v>
                </pt>
                <pt idx="106">
                  <v>54.1</v>
                </pt>
                <pt idx="107">
                  <v>54.9</v>
                </pt>
                <pt idx="108">
                  <v>55.6</v>
                </pt>
                <pt idx="109">
                  <v>53.2</v>
                </pt>
                <pt idx="110">
                  <v>52.2</v>
                </pt>
                <pt idx="111">
                  <v>53.5</v>
                </pt>
                <pt idx="112">
                  <v>53.9</v>
                </pt>
                <pt idx="113">
                  <v>52.4</v>
                </pt>
                <pt idx="114">
                  <v>53.5</v>
                </pt>
                <pt idx="115">
                  <v>51.2</v>
                </pt>
                <pt idx="116">
                  <v>49.8</v>
                </pt>
                <pt idx="117">
                  <v>51</v>
                </pt>
                <pt idx="118">
                  <v>50.9</v>
                </pt>
                <pt idx="119">
                  <v>52.2</v>
                </pt>
                <pt idx="120">
                  <v>53.2</v>
                </pt>
                <pt idx="121">
                  <v>53</v>
                </pt>
                <pt idx="122">
                  <v>55</v>
                </pt>
                <pt idx="123">
                  <v>55.7</v>
                </pt>
                <pt idx="124">
                  <v>56.2</v>
                </pt>
                <pt idx="125">
                  <v>55.1</v>
                </pt>
                <pt idx="126">
                  <v>55.2</v>
                </pt>
                <pt idx="127">
                  <v>55.1</v>
                </pt>
                <pt idx="128">
                  <v>56.3</v>
                </pt>
                <pt idx="129">
                  <v>56.3</v>
                </pt>
                <pt idx="130">
                  <v>57.8</v>
                </pt>
                <pt idx="131">
                  <v>58.3</v>
                </pt>
                <pt idx="132">
                  <v>57.4</v>
                </pt>
                <pt idx="133">
                  <v>59</v>
                </pt>
                <pt idx="134">
                  <v>56.8</v>
                </pt>
                <pt idx="135">
                  <v>55.1</v>
                </pt>
                <pt idx="136">
                  <v>53.5</v>
                </pt>
                <pt idx="137">
                  <v>52.7</v>
                </pt>
                <pt idx="138">
                  <v>53.3</v>
                </pt>
                <pt idx="139">
                  <v>51.5</v>
                </pt>
                <pt idx="140">
                  <v>50.1</v>
                </pt>
                <pt idx="141">
                  <v>50</v>
                </pt>
                <pt idx="142">
                  <v>49.2</v>
                </pt>
                <pt idx="143">
                  <v>48.6</v>
                </pt>
                <pt idx="144">
                  <v>49.2</v>
                </pt>
                <pt idx="145">
                  <v>47.8</v>
                </pt>
                <pt idx="146">
                  <v>47.7</v>
                </pt>
                <pt idx="147">
                  <v>47.4</v>
                </pt>
                <pt idx="148">
                  <v>49.1</v>
                </pt>
                <pt idx="149">
                  <v>49.7</v>
                </pt>
                <pt idx="150">
                  <v>48.4</v>
                </pt>
                <pt idx="151">
                  <v>48.5</v>
                </pt>
                <pt idx="152">
                  <v>48.7</v>
                </pt>
                <pt idx="153">
                  <v>47.8</v>
                </pt>
                <pt idx="154">
                  <v>47.7</v>
                </pt>
                <pt idx="155">
                  <v>47.6</v>
                </pt>
                <pt idx="156">
                  <v>46.2</v>
                </pt>
                <pt idx="157">
                  <v>48.9</v>
                </pt>
                <pt idx="158">
                  <v>48.7</v>
                </pt>
                <pt idx="159">
                  <v>40.3</v>
                </pt>
                <pt idx="160">
                  <v>31.1</v>
                </pt>
                <pt idx="161">
                  <v>45.4</v>
                </pt>
                <pt idx="162">
                  <v>47.5</v>
                </pt>
                <pt idx="163">
                  <v>51.9</v>
                </pt>
                <pt idx="164">
                  <v>53.1</v>
                </pt>
                <pt idx="165">
                  <v>53.2</v>
                </pt>
                <pt idx="166">
                  <v>53.8</v>
                </pt>
                <pt idx="167">
                  <v>51.5</v>
                </pt>
                <pt idx="168">
                  <v>52.8</v>
                </pt>
                <pt idx="169">
                  <v>55.1</v>
                </pt>
                <pt idx="170">
                  <v>56.9</v>
                </pt>
                <pt idx="171">
                  <v>59.8</v>
                </pt>
                <pt idx="172">
                  <v>60.7</v>
                </pt>
                <pt idx="173">
                  <v>62.3</v>
                </pt>
                <pt idx="174">
                  <v>62.2</v>
                </pt>
                <pt idx="175">
                  <v>60.3</v>
                </pt>
                <pt idx="176">
                  <v>60.9</v>
                </pt>
                <pt idx="177">
                  <v>59.7</v>
                </pt>
                <pt idx="178">
                  <v>61.1</v>
                </pt>
                <pt idx="179">
                  <v>62.8</v>
                </pt>
                <pt idx="180">
                  <v>62</v>
                </pt>
                <pt idx="181">
                  <v>58.3</v>
                </pt>
                <pt idx="182">
                  <v>58.3</v>
                </pt>
                <pt idx="183">
                  <v>55.8</v>
                </pt>
                <pt idx="184">
                  <v>54.5</v>
                </pt>
                <pt idx="185">
                  <v>51.9</v>
                </pt>
                <pt idx="186">
                  <v>50.9</v>
                </pt>
                <pt idx="187">
                  <v>48.5</v>
                </pt>
                <pt idx="188">
                  <v>48</v>
                </pt>
                <pt idx="189">
                  <v>48.3</v>
                </pt>
                <pt idx="190">
                  <v>46.5</v>
                </pt>
                <pt idx="191">
                  <v>48.4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Spain!$K$2</f>
          <strCache>
            <ptCount val="1"/>
            <pt idx="0">
              <v>Spain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Spain!$A$6:$A$197</f>
              <numCache>
                <formatCode>m/d/yyyy</formatCode>
                <ptCount val="192"/>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pt idx="184">
                  <v>44652</v>
                </pt>
                <pt idx="185">
                  <v>44682</v>
                </pt>
                <pt idx="186">
                  <v>44713</v>
                </pt>
                <pt idx="187">
                  <v>44743</v>
                </pt>
                <pt idx="188">
                  <v>44774</v>
                </pt>
                <pt idx="189">
                  <v>44805</v>
                </pt>
                <pt idx="190">
                  <v>44835</v>
                </pt>
                <pt idx="191">
                  <v>44866</v>
                </pt>
              </numCache>
            </numRef>
          </cat>
          <val>
            <numRef>
              <f>Spain!$B$6:$B$197</f>
              <numCache>
                <formatCode>General</formatCode>
                <ptCount val="192"/>
                <pt idx="0">
                  <v>57.2</v>
                </pt>
                <pt idx="1">
                  <v>56.2</v>
                </pt>
                <pt idx="2">
                  <v>56.2</v>
                </pt>
                <pt idx="3">
                  <v>55.4</v>
                </pt>
                <pt idx="4">
                  <v>56</v>
                </pt>
                <pt idx="5">
                  <v>53.3</v>
                </pt>
                <pt idx="6">
                  <v>55.1</v>
                </pt>
                <pt idx="7">
                  <v>53.2</v>
                </pt>
                <pt idx="8">
                  <v>52.2</v>
                </pt>
                <pt idx="9">
                  <v>50.8</v>
                </pt>
                <pt idx="10">
                  <v>49.6</v>
                </pt>
                <pt idx="11">
                  <v>50.7</v>
                </pt>
                <pt idx="12">
                  <v>49.5</v>
                </pt>
                <pt idx="13">
                  <v>49.8</v>
                </pt>
                <pt idx="14">
                  <v>46.7</v>
                </pt>
                <pt idx="15">
                  <v>46.4</v>
                </pt>
                <pt idx="16">
                  <v>45.2</v>
                </pt>
                <pt idx="17">
                  <v>43.8</v>
                </pt>
                <pt idx="18">
                  <v>40.6</v>
                </pt>
                <pt idx="19">
                  <v>39.2</v>
                </pt>
                <pt idx="20">
                  <v>42.4</v>
                </pt>
                <pt idx="21">
                  <v>38.3</v>
                </pt>
                <pt idx="22">
                  <v>34.6</v>
                </pt>
                <pt idx="23">
                  <v>29.4</v>
                </pt>
                <pt idx="24">
                  <v>28.5</v>
                </pt>
                <pt idx="25">
                  <v>31.5</v>
                </pt>
                <pt idx="26">
                  <v>31.8</v>
                </pt>
                <pt idx="27">
                  <v>32.9</v>
                </pt>
                <pt idx="28">
                  <v>34.6</v>
                </pt>
                <pt idx="29">
                  <v>39.8</v>
                </pt>
                <pt idx="30">
                  <v>42.8</v>
                </pt>
                <pt idx="31">
                  <v>47.3</v>
                </pt>
                <pt idx="32">
                  <v>47.2</v>
                </pt>
                <pt idx="33">
                  <v>45.8</v>
                </pt>
                <pt idx="34">
                  <v>46.3</v>
                </pt>
                <pt idx="35">
                  <v>45.3</v>
                </pt>
                <pt idx="36">
                  <v>45.2</v>
                </pt>
                <pt idx="37">
                  <v>45.3</v>
                </pt>
                <pt idx="38">
                  <v>49.1</v>
                </pt>
                <pt idx="39">
                  <v>51.8</v>
                </pt>
                <pt idx="40">
                  <v>53.3</v>
                </pt>
                <pt idx="41">
                  <v>51.5</v>
                </pt>
                <pt idx="42">
                  <v>51.2</v>
                </pt>
                <pt idx="43">
                  <v>51.6</v>
                </pt>
                <pt idx="44">
                  <v>51.2</v>
                </pt>
                <pt idx="45">
                  <v>49.6</v>
                </pt>
                <pt idx="46">
                  <v>51.2</v>
                </pt>
                <pt idx="47">
                  <v>50</v>
                </pt>
                <pt idx="48">
                  <v>51.5</v>
                </pt>
                <pt idx="49">
                  <v>52</v>
                </pt>
                <pt idx="50">
                  <v>52.1</v>
                </pt>
                <pt idx="51">
                  <v>51.6</v>
                </pt>
                <pt idx="52">
                  <v>50.6</v>
                </pt>
                <pt idx="53">
                  <v>48.2</v>
                </pt>
                <pt idx="54">
                  <v>47.3</v>
                </pt>
                <pt idx="55">
                  <v>45.6</v>
                </pt>
                <pt idx="56">
                  <v>45.3</v>
                </pt>
                <pt idx="57">
                  <v>43.7</v>
                </pt>
                <pt idx="58">
                  <v>43.9</v>
                </pt>
                <pt idx="59">
                  <v>43.8</v>
                </pt>
                <pt idx="60">
                  <v>43.7</v>
                </pt>
                <pt idx="61">
                  <v>45.1</v>
                </pt>
                <pt idx="62">
                  <v>45</v>
                </pt>
                <pt idx="63">
                  <v>44.5</v>
                </pt>
                <pt idx="64">
                  <v>43.5</v>
                </pt>
                <pt idx="65">
                  <v>42</v>
                </pt>
                <pt idx="66">
                  <v>41.1</v>
                </pt>
                <pt idx="67">
                  <v>42.3</v>
                </pt>
                <pt idx="68">
                  <v>44</v>
                </pt>
                <pt idx="69">
                  <v>44.5</v>
                </pt>
                <pt idx="70">
                  <v>43.5</v>
                </pt>
                <pt idx="71">
                  <v>45.3</v>
                </pt>
                <pt idx="72">
                  <v>44.6</v>
                </pt>
                <pt idx="73">
                  <v>46.1</v>
                </pt>
                <pt idx="74">
                  <v>46.8</v>
                </pt>
                <pt idx="75">
                  <v>44.2</v>
                </pt>
                <pt idx="76">
                  <v>44.7</v>
                </pt>
                <pt idx="77">
                  <v>48.1</v>
                </pt>
                <pt idx="78">
                  <v>50</v>
                </pt>
                <pt idx="79">
                  <v>49.8</v>
                </pt>
                <pt idx="80">
                  <v>51.1</v>
                </pt>
                <pt idx="81">
                  <v>50.7</v>
                </pt>
                <pt idx="82">
                  <v>50.9</v>
                </pt>
                <pt idx="83">
                  <v>48.6</v>
                </pt>
                <pt idx="84">
                  <v>50.8</v>
                </pt>
                <pt idx="85">
                  <v>52.2</v>
                </pt>
                <pt idx="86">
                  <v>52.5</v>
                </pt>
                <pt idx="87">
                  <v>52.8</v>
                </pt>
                <pt idx="88">
                  <v>52.7</v>
                </pt>
                <pt idx="89">
                  <v>52.9</v>
                </pt>
                <pt idx="90">
                  <v>54.6</v>
                </pt>
                <pt idx="91">
                  <v>53.9</v>
                </pt>
                <pt idx="92">
                  <v>52.8</v>
                </pt>
                <pt idx="93">
                  <v>52.6</v>
                </pt>
                <pt idx="94">
                  <v>52.6</v>
                </pt>
                <pt idx="95">
                  <v>54.7</v>
                </pt>
                <pt idx="96">
                  <v>53.8</v>
                </pt>
                <pt idx="97">
                  <v>54.7</v>
                </pt>
                <pt idx="98">
                  <v>54.2</v>
                </pt>
                <pt idx="99">
                  <v>54.3</v>
                </pt>
                <pt idx="100">
                  <v>54.2</v>
                </pt>
                <pt idx="101">
                  <v>55.8</v>
                </pt>
                <pt idx="102">
                  <v>54.5</v>
                </pt>
                <pt idx="103">
                  <v>53.6</v>
                </pt>
                <pt idx="104">
                  <v>53.2</v>
                </pt>
                <pt idx="105">
                  <v>51.7</v>
                </pt>
                <pt idx="106">
                  <v>51.3</v>
                </pt>
                <pt idx="107">
                  <v>53.1</v>
                </pt>
                <pt idx="108">
                  <v>53</v>
                </pt>
                <pt idx="109">
                  <v>55.4</v>
                </pt>
                <pt idx="110">
                  <v>54.1</v>
                </pt>
                <pt idx="111">
                  <v>53.4</v>
                </pt>
                <pt idx="112">
                  <v>53.5</v>
                </pt>
                <pt idx="113">
                  <v>51.8</v>
                </pt>
                <pt idx="114">
                  <v>52.2</v>
                </pt>
                <pt idx="115">
                  <v>51</v>
                </pt>
                <pt idx="116">
                  <v>51</v>
                </pt>
                <pt idx="117">
                  <v>52.3</v>
                </pt>
                <pt idx="118">
                  <v>53.3</v>
                </pt>
                <pt idx="119">
                  <v>54.5</v>
                </pt>
                <pt idx="120">
                  <v>55.3</v>
                </pt>
                <pt idx="121">
                  <v>55.6</v>
                </pt>
                <pt idx="122">
                  <v>54.8</v>
                </pt>
                <pt idx="123">
                  <v>53.9</v>
                </pt>
                <pt idx="124">
                  <v>54.5</v>
                </pt>
                <pt idx="125">
                  <v>55.4</v>
                </pt>
                <pt idx="126">
                  <v>54.7</v>
                </pt>
                <pt idx="127">
                  <v>54</v>
                </pt>
                <pt idx="128">
                  <v>52.4</v>
                </pt>
                <pt idx="129">
                  <v>54.3</v>
                </pt>
                <pt idx="130">
                  <v>55.8</v>
                </pt>
                <pt idx="131">
                  <v>56.1</v>
                </pt>
                <pt idx="132">
                  <v>55.8</v>
                </pt>
                <pt idx="133">
                  <v>55.2</v>
                </pt>
                <pt idx="134">
                  <v>56</v>
                </pt>
                <pt idx="135">
                  <v>54.8</v>
                </pt>
                <pt idx="136">
                  <v>54.4</v>
                </pt>
                <pt idx="137">
                  <v>53.4</v>
                </pt>
                <pt idx="138">
                  <v>53.4</v>
                </pt>
                <pt idx="139">
                  <v>52.9</v>
                </pt>
                <pt idx="140">
                  <v>53</v>
                </pt>
                <pt idx="141">
                  <v>51.4</v>
                </pt>
                <pt idx="142">
                  <v>51.8</v>
                </pt>
                <pt idx="143">
                  <v>52.6</v>
                </pt>
                <pt idx="144">
                  <v>51.1</v>
                </pt>
                <pt idx="145">
                  <v>52.4</v>
                </pt>
                <pt idx="146">
                  <v>49.9</v>
                </pt>
                <pt idx="147">
                  <v>50.9</v>
                </pt>
                <pt idx="148">
                  <v>51.8</v>
                </pt>
                <pt idx="149">
                  <v>50.1</v>
                </pt>
                <pt idx="150">
                  <v>47.9</v>
                </pt>
                <pt idx="151">
                  <v>48.2</v>
                </pt>
                <pt idx="152">
                  <v>48.8</v>
                </pt>
                <pt idx="153">
                  <v>47.7</v>
                </pt>
                <pt idx="154">
                  <v>46.8</v>
                </pt>
                <pt idx="155">
                  <v>47.5</v>
                </pt>
                <pt idx="156">
                  <v>47.4</v>
                </pt>
                <pt idx="157">
                  <v>48.5</v>
                </pt>
                <pt idx="158">
                  <v>50.4</v>
                </pt>
                <pt idx="159">
                  <v>45.7</v>
                </pt>
                <pt idx="160">
                  <v>30.8</v>
                </pt>
                <pt idx="161">
                  <v>38.3</v>
                </pt>
                <pt idx="162">
                  <v>49</v>
                </pt>
                <pt idx="163">
                  <v>53.5</v>
                </pt>
                <pt idx="164">
                  <v>49.9</v>
                </pt>
                <pt idx="165">
                  <v>50.8</v>
                </pt>
                <pt idx="166">
                  <v>52.5</v>
                </pt>
                <pt idx="167">
                  <v>49.8</v>
                </pt>
                <pt idx="168">
                  <v>51</v>
                </pt>
                <pt idx="169">
                  <v>49.3</v>
                </pt>
                <pt idx="170">
                  <v>52.9</v>
                </pt>
                <pt idx="171">
                  <v>56.9</v>
                </pt>
                <pt idx="172">
                  <v>57.7</v>
                </pt>
                <pt idx="173">
                  <v>59.4</v>
                </pt>
                <pt idx="174">
                  <v>60.4</v>
                </pt>
                <pt idx="175">
                  <v>59</v>
                </pt>
                <pt idx="176">
                  <v>59.5</v>
                </pt>
                <pt idx="177">
                  <v>58.1</v>
                </pt>
                <pt idx="178">
                  <v>57.4</v>
                </pt>
                <pt idx="179">
                  <v>57.1</v>
                </pt>
                <pt idx="180">
                  <v>56.2</v>
                </pt>
                <pt idx="181">
                  <v>56.2</v>
                </pt>
                <pt idx="182">
                  <v>56.9</v>
                </pt>
                <pt idx="183">
                  <v>54.2</v>
                </pt>
                <pt idx="184">
                  <v>53.3</v>
                </pt>
                <pt idx="185">
                  <v>53.8</v>
                </pt>
                <pt idx="186">
                  <v>52.6</v>
                </pt>
                <pt idx="187">
                  <v>48.7</v>
                </pt>
                <pt idx="188">
                  <v>49.9</v>
                </pt>
                <pt idx="189">
                  <v>49</v>
                </pt>
                <pt idx="190">
                  <v>44.7</v>
                </pt>
                <pt idx="191">
                  <v>45.7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7.xml><?xml version="1.0" encoding="utf-8"?>
<chartSpace xmlns="http://schemas.openxmlformats.org/drawingml/2006/chart">
  <chart>
    <title>
      <tx>
        <strRef>
          <f>Brazil!$K$2</f>
          <strCache>
            <ptCount val="1"/>
            <pt idx="0">
              <v>Brazil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Brazil!$B$6:$B$151</f>
              <numCache>
                <formatCode>General</formatCode>
                <ptCount val="146"/>
                <pt idx="0">
                  <v>49.5</v>
                </pt>
                <pt idx="1">
                  <v>49.9</v>
                </pt>
                <pt idx="2">
                  <v>52.4</v>
                </pt>
                <pt idx="3">
                  <v>53.1</v>
                </pt>
                <pt idx="4">
                  <v>54.6</v>
                </pt>
                <pt idx="5">
                  <v>53.2</v>
                </pt>
                <pt idx="6">
                  <v>52.5</v>
                </pt>
                <pt idx="7">
                  <v>53</v>
                </pt>
                <pt idx="8">
                  <v>49</v>
                </pt>
                <pt idx="9">
                  <v>47.8</v>
                </pt>
                <pt idx="10">
                  <v>46</v>
                </pt>
                <pt idx="11">
                  <v>45.5</v>
                </pt>
                <pt idx="12">
                  <v>46.5</v>
                </pt>
                <pt idx="13">
                  <v>48.7</v>
                </pt>
                <pt idx="14">
                  <v>49.3</v>
                </pt>
                <pt idx="15">
                  <v>50.6</v>
                </pt>
                <pt idx="16">
                  <v>51.4</v>
                </pt>
                <pt idx="17">
                  <v>51.1</v>
                </pt>
                <pt idx="18">
                  <v>49.3</v>
                </pt>
                <pt idx="19">
                  <v>49.3</v>
                </pt>
                <pt idx="20">
                  <v>48.5</v>
                </pt>
                <pt idx="21">
                  <v>48.7</v>
                </pt>
                <pt idx="22">
                  <v>49.3</v>
                </pt>
                <pt idx="23">
                  <v>49.8</v>
                </pt>
                <pt idx="24">
                  <v>50.2</v>
                </pt>
                <pt idx="25">
                  <v>52.2</v>
                </pt>
                <pt idx="26">
                  <v>51.1</v>
                </pt>
                <pt idx="27">
                  <v>53.2</v>
                </pt>
                <pt idx="28">
                  <v>52.5</v>
                </pt>
                <pt idx="29">
                  <v>51.8</v>
                </pt>
                <pt idx="30">
                  <v>50.8</v>
                </pt>
                <pt idx="31">
                  <v>50.4</v>
                </pt>
                <pt idx="32">
                  <v>50.4</v>
                </pt>
                <pt idx="33">
                  <v>48.5</v>
                </pt>
                <pt idx="34">
                  <v>49.4</v>
                </pt>
                <pt idx="35">
                  <v>49.9</v>
                </pt>
                <pt idx="36">
                  <v>50.2</v>
                </pt>
                <pt idx="37">
                  <v>49.7</v>
                </pt>
                <pt idx="38">
                  <v>50.5</v>
                </pt>
                <pt idx="39">
                  <v>51.7</v>
                </pt>
                <pt idx="40">
                  <v>50.4</v>
                </pt>
                <pt idx="41">
                  <v>50.6</v>
                </pt>
                <pt idx="42">
                  <v>49.3</v>
                </pt>
                <pt idx="43">
                  <v>48.8</v>
                </pt>
                <pt idx="44">
                  <v>48.7</v>
                </pt>
                <pt idx="45">
                  <v>49.1</v>
                </pt>
                <pt idx="46">
                  <v>50.2</v>
                </pt>
                <pt idx="47">
                  <v>49.3</v>
                </pt>
                <pt idx="48">
                  <v>49.1</v>
                </pt>
                <pt idx="49">
                  <v>48.7</v>
                </pt>
                <pt idx="50">
                  <v>50.2</v>
                </pt>
                <pt idx="51">
                  <v>50.7</v>
                </pt>
                <pt idx="52">
                  <v>49.6</v>
                </pt>
                <pt idx="53">
                  <v>46.2</v>
                </pt>
                <pt idx="54">
                  <v>46</v>
                </pt>
                <pt idx="55">
                  <v>45.9</v>
                </pt>
                <pt idx="56">
                  <v>46.5</v>
                </pt>
                <pt idx="57">
                  <v>47.2</v>
                </pt>
                <pt idx="58">
                  <v>45.8</v>
                </pt>
                <pt idx="59">
                  <v>47</v>
                </pt>
                <pt idx="60">
                  <v>44.1</v>
                </pt>
                <pt idx="61">
                  <v>43.8</v>
                </pt>
                <pt idx="62">
                  <v>45.6</v>
                </pt>
                <pt idx="63">
                  <v>47.4</v>
                </pt>
                <pt idx="64">
                  <v>44.5</v>
                </pt>
                <pt idx="65">
                  <v>46</v>
                </pt>
                <pt idx="66">
                  <v>42.6</v>
                </pt>
                <pt idx="67">
                  <v>41.6</v>
                </pt>
                <pt idx="68">
                  <v>43.2</v>
                </pt>
                <pt idx="69">
                  <v>46</v>
                </pt>
                <pt idx="70">
                  <v>45.7</v>
                </pt>
                <pt idx="71">
                  <v>46</v>
                </pt>
                <pt idx="72">
                  <v>46.3</v>
                </pt>
                <pt idx="73">
                  <v>46.2</v>
                </pt>
                <pt idx="74">
                  <v>45.2</v>
                </pt>
                <pt idx="75">
                  <v>44</v>
                </pt>
                <pt idx="76">
                  <v>46.9</v>
                </pt>
                <pt idx="77">
                  <v>49.6</v>
                </pt>
                <pt idx="78">
                  <v>50.1</v>
                </pt>
                <pt idx="79">
                  <v>52</v>
                </pt>
                <pt idx="80">
                  <v>50.5</v>
                </pt>
                <pt idx="81">
                  <v>50</v>
                </pt>
                <pt idx="82">
                  <v>50.9</v>
                </pt>
                <pt idx="83">
                  <v>50.9</v>
                </pt>
                <pt idx="84">
                  <v>51.2</v>
                </pt>
                <pt idx="85">
                  <v>53.5</v>
                </pt>
                <pt idx="86">
                  <v>52.4</v>
                </pt>
                <pt idx="87">
                  <v>51.2</v>
                </pt>
                <pt idx="88">
                  <v>53.2</v>
                </pt>
                <pt idx="89">
                  <v>53.4</v>
                </pt>
                <pt idx="90">
                  <v>52.3</v>
                </pt>
                <pt idx="91">
                  <v>50.7</v>
                </pt>
                <pt idx="92">
                  <v>49.8</v>
                </pt>
                <pt idx="93">
                  <v>50.5</v>
                </pt>
                <pt idx="94">
                  <v>51.1</v>
                </pt>
                <pt idx="95">
                  <v>50.9</v>
                </pt>
                <pt idx="96">
                  <v>51.1</v>
                </pt>
                <pt idx="97">
                  <v>52.7</v>
                </pt>
                <pt idx="98">
                  <v>52.6</v>
                </pt>
                <pt idx="99">
                  <v>52.7</v>
                </pt>
                <pt idx="100">
                  <v>53.4</v>
                </pt>
                <pt idx="101">
                  <v>52.8</v>
                </pt>
                <pt idx="102">
                  <v>51.5</v>
                </pt>
                <pt idx="103">
                  <v>50.2</v>
                </pt>
                <pt idx="104">
                  <v>51</v>
                </pt>
                <pt idx="105">
                  <v>49.9</v>
                </pt>
                <pt idx="106">
                  <v>52.5</v>
                </pt>
                <pt idx="107">
                  <v>53.4</v>
                </pt>
                <pt idx="108">
                  <v>52.2</v>
                </pt>
                <pt idx="109">
                  <v>52.9</v>
                </pt>
                <pt idx="110">
                  <v>50.2</v>
                </pt>
                <pt idx="111">
                  <v>51</v>
                </pt>
                <pt idx="112">
                  <v>52.3</v>
                </pt>
                <pt idx="113">
                  <v>48.4</v>
                </pt>
                <pt idx="114">
                  <v>36</v>
                </pt>
                <pt idx="115">
                  <v>38.3</v>
                </pt>
                <pt idx="116">
                  <v>51.6</v>
                </pt>
                <pt idx="117">
                  <v>58.2</v>
                </pt>
                <pt idx="118">
                  <v>64.7</v>
                </pt>
                <pt idx="119">
                  <v>64.90000000000001</v>
                </pt>
                <pt idx="120">
                  <v>66.7</v>
                </pt>
                <pt idx="121">
                  <v>64</v>
                </pt>
                <pt idx="122">
                  <v>61.5</v>
                </pt>
                <pt idx="123">
                  <v>56.5</v>
                </pt>
                <pt idx="124">
                  <v>58.4</v>
                </pt>
                <pt idx="125">
                  <v>52.8</v>
                </pt>
                <pt idx="126">
                  <v>52.3</v>
                </pt>
                <pt idx="127">
                  <v>53.7</v>
                </pt>
                <pt idx="128">
                  <v>56.4</v>
                </pt>
                <pt idx="129">
                  <v>56.7</v>
                </pt>
                <pt idx="130">
                  <v>53.6</v>
                </pt>
                <pt idx="131">
                  <v>54.4</v>
                </pt>
                <pt idx="132">
                  <v>51.7</v>
                </pt>
                <pt idx="133">
                  <v>49.8</v>
                </pt>
                <pt idx="134">
                  <v>49.8</v>
                </pt>
                <pt idx="135">
                  <v>47.8</v>
                </pt>
                <pt idx="136">
                  <v>49.6</v>
                </pt>
                <pt idx="137">
                  <v>52.3</v>
                </pt>
                <pt idx="138">
                  <v>51.8</v>
                </pt>
                <pt idx="139">
                  <v>54.2</v>
                </pt>
                <pt idx="140">
                  <v>54.1</v>
                </pt>
                <pt idx="141">
                  <v>54</v>
                </pt>
                <pt idx="142">
                  <v>51.9</v>
                </pt>
                <pt idx="143">
                  <v>51.1</v>
                </pt>
                <pt idx="144">
                  <v>50.8</v>
                </pt>
                <pt idx="145">
                  <v>44.3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8.xml><?xml version="1.0" encoding="utf-8"?>
<chartSpace xmlns="http://schemas.openxmlformats.org/drawingml/2006/chart">
  <chart>
    <title>
      <tx>
        <strRef>
          <f>Mexico!$K$2</f>
          <strCache>
            <ptCount val="1"/>
            <pt idx="0">
              <v>Mexico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Mexico!$B$5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Mexico!$A$6:$A$145</f>
              <numCache>
                <formatCode>m/d/yyyy</formatCode>
                <ptCount val="140"/>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pt idx="137">
                  <v>44805</v>
                </pt>
                <pt idx="138">
                  <v>44835</v>
                </pt>
                <pt idx="139">
                  <v>44866</v>
                </pt>
              </numCache>
            </numRef>
          </cat>
          <val>
            <numRef>
              <f>Mexico!$B$6:$B$145</f>
              <numCache>
                <formatCode>General</formatCode>
                <ptCount val="140"/>
                <pt idx="0">
                  <v>56.1</v>
                </pt>
                <pt idx="1">
                  <v>54.5</v>
                </pt>
                <pt idx="2">
                  <v>55.1</v>
                </pt>
                <pt idx="3">
                  <v>54.8</v>
                </pt>
                <pt idx="4">
                  <v>51.7</v>
                </pt>
                <pt idx="5">
                  <v>53.2</v>
                </pt>
                <pt idx="6">
                  <v>54.8</v>
                </pt>
                <pt idx="7">
                  <v>53.9</v>
                </pt>
                <pt idx="8">
                  <v>53.1</v>
                </pt>
                <pt idx="9">
                  <v>52.2</v>
                </pt>
                <pt idx="10">
                  <v>53.7</v>
                </pt>
                <pt idx="11">
                  <v>53.8</v>
                </pt>
                <pt idx="12">
                  <v>56.3</v>
                </pt>
                <pt idx="13">
                  <v>55.2</v>
                </pt>
                <pt idx="14">
                  <v>55.9</v>
                </pt>
                <pt idx="15">
                  <v>55.2</v>
                </pt>
                <pt idx="16">
                  <v>55.1</v>
                </pt>
                <pt idx="17">
                  <v>54.4</v>
                </pt>
                <pt idx="18">
                  <v>55.5</v>
                </pt>
                <pt idx="19">
                  <v>55.6</v>
                </pt>
                <pt idx="20">
                  <v>57.1</v>
                </pt>
                <pt idx="21">
                  <v>55</v>
                </pt>
                <pt idx="22">
                  <v>53.4</v>
                </pt>
                <pt idx="23">
                  <v>52.2</v>
                </pt>
                <pt idx="24">
                  <v>51.7</v>
                </pt>
                <pt idx="25">
                  <v>51.8</v>
                </pt>
                <pt idx="26">
                  <v>51.3</v>
                </pt>
                <pt idx="27">
                  <v>49.7</v>
                </pt>
                <pt idx="28">
                  <v>50.8</v>
                </pt>
                <pt idx="29">
                  <v>50</v>
                </pt>
                <pt idx="30">
                  <v>50.2</v>
                </pt>
                <pt idx="31">
                  <v>51.9</v>
                </pt>
                <pt idx="32">
                  <v>52.6</v>
                </pt>
                <pt idx="33">
                  <v>54</v>
                </pt>
                <pt idx="34">
                  <v>52</v>
                </pt>
                <pt idx="35">
                  <v>51.7</v>
                </pt>
                <pt idx="36">
                  <v>51.8</v>
                </pt>
                <pt idx="37">
                  <v>51.9</v>
                </pt>
                <pt idx="38">
                  <v>51.8</v>
                </pt>
                <pt idx="39">
                  <v>51.5</v>
                </pt>
                <pt idx="40">
                  <v>52.1</v>
                </pt>
                <pt idx="41">
                  <v>52.6</v>
                </pt>
                <pt idx="42">
                  <v>53.3</v>
                </pt>
                <pt idx="43">
                  <v>54.3</v>
                </pt>
                <pt idx="44">
                  <v>55.3</v>
                </pt>
                <pt idx="45">
                  <v>55.6</v>
                </pt>
                <pt idx="46">
                  <v>54.4</v>
                </pt>
                <pt idx="47">
                  <v>53.8</v>
                </pt>
                <pt idx="48">
                  <v>53.8</v>
                </pt>
                <pt idx="49">
                  <v>53.3</v>
                </pt>
                <pt idx="50">
                  <v>52</v>
                </pt>
                <pt idx="51">
                  <v>52.9</v>
                </pt>
                <pt idx="52">
                  <v>52.4</v>
                </pt>
                <pt idx="53">
                  <v>52.1</v>
                </pt>
                <pt idx="54">
                  <v>53</v>
                </pt>
                <pt idx="55">
                  <v>53</v>
                </pt>
                <pt idx="56">
                  <v>52.4</v>
                </pt>
                <pt idx="57">
                  <v>52.2</v>
                </pt>
                <pt idx="58">
                  <v>53.1</v>
                </pt>
                <pt idx="59">
                  <v>53.2</v>
                </pt>
                <pt idx="60">
                  <v>52.4</v>
                </pt>
                <pt idx="61">
                  <v>53.6</v>
                </pt>
                <pt idx="62">
                  <v>51.1</v>
                </pt>
                <pt idx="63">
                  <v>50.6</v>
                </pt>
                <pt idx="64">
                  <v>50.9</v>
                </pt>
                <pt idx="65">
                  <v>51.9</v>
                </pt>
                <pt idx="66">
                  <v>51.8</v>
                </pt>
                <pt idx="67">
                  <v>51.1</v>
                </pt>
                <pt idx="68">
                  <v>50.2</v>
                </pt>
                <pt idx="69">
                  <v>50.8</v>
                </pt>
                <pt idx="70">
                  <v>50.6</v>
                </pt>
                <pt idx="71">
                  <v>51.5</v>
                </pt>
                <pt idx="72">
                  <v>50.7</v>
                </pt>
                <pt idx="73">
                  <v>51.2</v>
                </pt>
                <pt idx="74">
                  <v>52.3</v>
                </pt>
                <pt idx="75">
                  <v>51.2</v>
                </pt>
                <pt idx="76">
                  <v>52.2</v>
                </pt>
                <pt idx="77">
                  <v>52.8</v>
                </pt>
                <pt idx="78">
                  <v>49.2</v>
                </pt>
                <pt idx="79">
                  <v>52.4</v>
                </pt>
                <pt idx="80">
                  <v>51.7</v>
                </pt>
                <pt idx="81">
                  <v>52.6</v>
                </pt>
                <pt idx="82">
                  <v>51.6</v>
                </pt>
                <pt idx="83">
                  <v>52.4</v>
                </pt>
                <pt idx="84">
                  <v>51.6</v>
                </pt>
                <pt idx="85">
                  <v>51</v>
                </pt>
                <pt idx="86">
                  <v>52.1</v>
                </pt>
                <pt idx="87">
                  <v>52.1</v>
                </pt>
                <pt idx="88">
                  <v>50.7</v>
                </pt>
                <pt idx="89">
                  <v>51.7</v>
                </pt>
                <pt idx="90">
                  <v>50.7</v>
                </pt>
                <pt idx="91">
                  <v>49.7</v>
                </pt>
                <pt idx="92">
                  <v>49.7</v>
                </pt>
                <pt idx="93">
                  <v>50.9</v>
                </pt>
                <pt idx="94">
                  <v>52.6</v>
                </pt>
                <pt idx="95">
                  <v>49.8</v>
                </pt>
                <pt idx="96">
                  <v>50.1</v>
                </pt>
                <pt idx="97">
                  <v>50</v>
                </pt>
                <pt idx="98">
                  <v>49.2</v>
                </pt>
                <pt idx="99">
                  <v>49.8</v>
                </pt>
                <pt idx="100">
                  <v>49</v>
                </pt>
                <pt idx="101">
                  <v>49.1</v>
                </pt>
                <pt idx="102">
                  <v>50.4</v>
                </pt>
                <pt idx="103">
                  <v>48</v>
                </pt>
                <pt idx="104">
                  <v>47.1</v>
                </pt>
                <pt idx="105">
                  <v>49</v>
                </pt>
                <pt idx="106">
                  <v>50</v>
                </pt>
                <pt idx="107">
                  <v>46.9</v>
                </pt>
                <pt idx="108">
                  <v>35</v>
                </pt>
                <pt idx="109">
                  <v>38.3</v>
                </pt>
                <pt idx="110">
                  <v>38.6</v>
                </pt>
                <pt idx="111">
                  <v>40.4</v>
                </pt>
                <pt idx="112">
                  <v>41.3</v>
                </pt>
                <pt idx="113">
                  <v>42.1</v>
                </pt>
                <pt idx="114">
                  <v>43.6</v>
                </pt>
                <pt idx="115">
                  <v>43.7</v>
                </pt>
                <pt idx="116">
                  <v>42.4</v>
                </pt>
                <pt idx="117">
                  <v>43</v>
                </pt>
                <pt idx="118">
                  <v>44.2</v>
                </pt>
                <pt idx="119">
                  <v>45.6</v>
                </pt>
                <pt idx="120">
                  <v>48.4</v>
                </pt>
                <pt idx="121">
                  <v>47.6</v>
                </pt>
                <pt idx="122">
                  <v>48.8</v>
                </pt>
                <pt idx="123">
                  <v>49.6</v>
                </pt>
                <pt idx="124">
                  <v>47.1</v>
                </pt>
                <pt idx="125">
                  <v>48.6</v>
                </pt>
                <pt idx="126">
                  <v>49.3</v>
                </pt>
                <pt idx="127">
                  <v>49.4</v>
                </pt>
                <pt idx="128">
                  <v>49.4</v>
                </pt>
                <pt idx="129">
                  <v>46.1</v>
                </pt>
                <pt idx="130">
                  <v>48</v>
                </pt>
                <pt idx="131">
                  <v>49.2</v>
                </pt>
                <pt idx="132">
                  <v>49.3</v>
                </pt>
                <pt idx="133">
                  <v>50.6</v>
                </pt>
                <pt idx="134">
                  <v>52.2</v>
                </pt>
                <pt idx="135">
                  <v>48.5</v>
                </pt>
                <pt idx="136">
                  <v>48.5</v>
                </pt>
                <pt idx="137">
                  <v>50.3</v>
                </pt>
                <pt idx="138">
                  <v>50.3</v>
                </pt>
                <pt idx="139">
                  <v>50.6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9.xml><?xml version="1.0" encoding="utf-8"?>
<chartSpace xmlns="http://schemas.openxmlformats.org/drawingml/2006/chart">
  <chart>
    <title>
      <tx>
        <strRef>
          <f>Russia!$K$2</f>
          <strCache>
            <ptCount val="1"/>
            <pt idx="0">
              <v>Russia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Russia!$B$6:$B$151</f>
              <numCache>
                <formatCode>General</formatCode>
                <ptCount val="146"/>
                <pt idx="0">
                  <v>51.8</v>
                </pt>
                <pt idx="1">
                  <v>51.1</v>
                </pt>
                <pt idx="2">
                  <v>53.5</v>
                </pt>
                <pt idx="3">
                  <v>53.5</v>
                </pt>
                <pt idx="4">
                  <v>56.4</v>
                </pt>
                <pt idx="5">
                  <v>55.1</v>
                </pt>
                <pt idx="6">
                  <v>52.1</v>
                </pt>
                <pt idx="7">
                  <v>50.9</v>
                </pt>
                <pt idx="8">
                  <v>50.6</v>
                </pt>
                <pt idx="9">
                  <v>49.8</v>
                </pt>
                <pt idx="10">
                  <v>49.9</v>
                </pt>
                <pt idx="11">
                  <v>50</v>
                </pt>
                <pt idx="12">
                  <v>50.4</v>
                </pt>
                <pt idx="13">
                  <v>52.6</v>
                </pt>
                <pt idx="14">
                  <v>51.6</v>
                </pt>
                <pt idx="15">
                  <v>50.8</v>
                </pt>
                <pt idx="16">
                  <v>50.7</v>
                </pt>
                <pt idx="17">
                  <v>50.8</v>
                </pt>
                <pt idx="18">
                  <v>52.9</v>
                </pt>
                <pt idx="19">
                  <v>53.2</v>
                </pt>
                <pt idx="20">
                  <v>51</v>
                </pt>
                <pt idx="21">
                  <v>52</v>
                </pt>
                <pt idx="22">
                  <v>51</v>
                </pt>
                <pt idx="23">
                  <v>52.4</v>
                </pt>
                <pt idx="24">
                  <v>52.9</v>
                </pt>
                <pt idx="25">
                  <v>52.2</v>
                </pt>
                <pt idx="26">
                  <v>50</v>
                </pt>
                <pt idx="27">
                  <v>52</v>
                </pt>
                <pt idx="28">
                  <v>52</v>
                </pt>
                <pt idx="29">
                  <v>50.8</v>
                </pt>
                <pt idx="30">
                  <v>50.6</v>
                </pt>
                <pt idx="31">
                  <v>50.4</v>
                </pt>
                <pt idx="32">
                  <v>51.7</v>
                </pt>
                <pt idx="33">
                  <v>49.2</v>
                </pt>
                <pt idx="34">
                  <v>49.4</v>
                </pt>
                <pt idx="35">
                  <v>49.4</v>
                </pt>
                <pt idx="36">
                  <v>51.8</v>
                </pt>
                <pt idx="37">
                  <v>49.4</v>
                </pt>
                <pt idx="38">
                  <v>48.8</v>
                </pt>
                <pt idx="39">
                  <v>48</v>
                </pt>
                <pt idx="40">
                  <v>48.5</v>
                </pt>
                <pt idx="41">
                  <v>48.3</v>
                </pt>
                <pt idx="42">
                  <v>48.5</v>
                </pt>
                <pt idx="43">
                  <v>48.9</v>
                </pt>
                <pt idx="44">
                  <v>49.1</v>
                </pt>
                <pt idx="45">
                  <v>51</v>
                </pt>
                <pt idx="46">
                  <v>51</v>
                </pt>
                <pt idx="47">
                  <v>50.4</v>
                </pt>
                <pt idx="48">
                  <v>50.3</v>
                </pt>
                <pt idx="49">
                  <v>51.7</v>
                </pt>
                <pt idx="50">
                  <v>48.9</v>
                </pt>
                <pt idx="51">
                  <v>47.6</v>
                </pt>
                <pt idx="52">
                  <v>49.7</v>
                </pt>
                <pt idx="53">
                  <v>48.1</v>
                </pt>
                <pt idx="54">
                  <v>48.9</v>
                </pt>
                <pt idx="55">
                  <v>47.6</v>
                </pt>
                <pt idx="56">
                  <v>48.7</v>
                </pt>
                <pt idx="57">
                  <v>48.3</v>
                </pt>
                <pt idx="58">
                  <v>47.9</v>
                </pt>
                <pt idx="59">
                  <v>49.1</v>
                </pt>
                <pt idx="60">
                  <v>50.2</v>
                </pt>
                <pt idx="61">
                  <v>50.1</v>
                </pt>
                <pt idx="62">
                  <v>48.7</v>
                </pt>
                <pt idx="63">
                  <v>49.8</v>
                </pt>
                <pt idx="64">
                  <v>49.3</v>
                </pt>
                <pt idx="65">
                  <v>48.3</v>
                </pt>
                <pt idx="66">
                  <v>48</v>
                </pt>
                <pt idx="67">
                  <v>49.6</v>
                </pt>
                <pt idx="68">
                  <v>51.5</v>
                </pt>
                <pt idx="69">
                  <v>49.5</v>
                </pt>
                <pt idx="70">
                  <v>50.8</v>
                </pt>
                <pt idx="71">
                  <v>51.1</v>
                </pt>
                <pt idx="72">
                  <v>52.4</v>
                </pt>
                <pt idx="73">
                  <v>53.6</v>
                </pt>
                <pt idx="74">
                  <v>53.7</v>
                </pt>
                <pt idx="75">
                  <v>54.7</v>
                </pt>
                <pt idx="76">
                  <v>52.5</v>
                </pt>
                <pt idx="77">
                  <v>52.4</v>
                </pt>
                <pt idx="78">
                  <v>50.8</v>
                </pt>
                <pt idx="79">
                  <v>52.4</v>
                </pt>
                <pt idx="80">
                  <v>50.3</v>
                </pt>
                <pt idx="81">
                  <v>52.7</v>
                </pt>
                <pt idx="82">
                  <v>51.6</v>
                </pt>
                <pt idx="83">
                  <v>51.9</v>
                </pt>
                <pt idx="84">
                  <v>51.1</v>
                </pt>
                <pt idx="85">
                  <v>51.5</v>
                </pt>
                <pt idx="86">
                  <v>52</v>
                </pt>
                <pt idx="87">
                  <v>52.1</v>
                </pt>
                <pt idx="88">
                  <v>50.2</v>
                </pt>
                <pt idx="89">
                  <v>50.6</v>
                </pt>
                <pt idx="90">
                  <v>51.3</v>
                </pt>
                <pt idx="91">
                  <v>49.8</v>
                </pt>
                <pt idx="92">
                  <v>49.5</v>
                </pt>
                <pt idx="93">
                  <v>48.1</v>
                </pt>
                <pt idx="94">
                  <v>48.9</v>
                </pt>
                <pt idx="95">
                  <v>50</v>
                </pt>
                <pt idx="96">
                  <v>51.3</v>
                </pt>
                <pt idx="97">
                  <v>52.6</v>
                </pt>
                <pt idx="98">
                  <v>51.7</v>
                </pt>
                <pt idx="99">
                  <v>50.9</v>
                </pt>
                <pt idx="100">
                  <v>50.1</v>
                </pt>
                <pt idx="101">
                  <v>52.8</v>
                </pt>
                <pt idx="102">
                  <v>51.8</v>
                </pt>
                <pt idx="103">
                  <v>49.8</v>
                </pt>
                <pt idx="104">
                  <v>48.6</v>
                </pt>
                <pt idx="105">
                  <v>49.3</v>
                </pt>
                <pt idx="106">
                  <v>49.1</v>
                </pt>
                <pt idx="107">
                  <v>46.3</v>
                </pt>
                <pt idx="108">
                  <v>47.2</v>
                </pt>
                <pt idx="109">
                  <v>45.6</v>
                </pt>
                <pt idx="110">
                  <v>47.5</v>
                </pt>
                <pt idx="111">
                  <v>47.9</v>
                </pt>
                <pt idx="112">
                  <v>48.2</v>
                </pt>
                <pt idx="113">
                  <v>47.5</v>
                </pt>
                <pt idx="114">
                  <v>31.3</v>
                </pt>
                <pt idx="115">
                  <v>36.2</v>
                </pt>
                <pt idx="116">
                  <v>49.4</v>
                </pt>
                <pt idx="117">
                  <v>48.4</v>
                </pt>
                <pt idx="118">
                  <v>51.1</v>
                </pt>
                <pt idx="119">
                  <v>48.9</v>
                </pt>
                <pt idx="120">
                  <v>46.9</v>
                </pt>
                <pt idx="121">
                  <v>46.3</v>
                </pt>
                <pt idx="122">
                  <v>49.7</v>
                </pt>
                <pt idx="123">
                  <v>50.9</v>
                </pt>
                <pt idx="124">
                  <v>51.5</v>
                </pt>
                <pt idx="125">
                  <v>51.1</v>
                </pt>
                <pt idx="126">
                  <v>50.4</v>
                </pt>
                <pt idx="127">
                  <v>51.9</v>
                </pt>
                <pt idx="128">
                  <v>49.2</v>
                </pt>
                <pt idx="129">
                  <v>47.5</v>
                </pt>
                <pt idx="130">
                  <v>46.5</v>
                </pt>
                <pt idx="131">
                  <v>49.8</v>
                </pt>
                <pt idx="132">
                  <v>51.6</v>
                </pt>
                <pt idx="133">
                  <v>51.7</v>
                </pt>
                <pt idx="134">
                  <v>51.6</v>
                </pt>
                <pt idx="135">
                  <v>51.8</v>
                </pt>
                <pt idx="136">
                  <v>48.6</v>
                </pt>
                <pt idx="137">
                  <v>44.1</v>
                </pt>
                <pt idx="138">
                  <v>48.2</v>
                </pt>
                <pt idx="139">
                  <v>50.8</v>
                </pt>
                <pt idx="140">
                  <v>50.9</v>
                </pt>
                <pt idx="141">
                  <v>50.3</v>
                </pt>
                <pt idx="142">
                  <v>51.7</v>
                </pt>
                <pt idx="143">
                  <v>52</v>
                </pt>
                <pt idx="144">
                  <v>50.7</v>
                </pt>
                <pt idx="145">
                  <v>53.2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0.xml><?xml version="1.0" encoding="utf-8"?>
<chartSpace xmlns="http://schemas.openxmlformats.org/drawingml/2006/chart">
  <chart>
    <title>
      <tx>
        <strRef>
          <f>India!$K$2</f>
          <strCache>
            <ptCount val="1"/>
            <pt idx="0">
              <v>India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India!$B$6:$B$151</f>
              <numCache>
                <formatCode>General</formatCode>
                <ptCount val="146"/>
                <pt idx="0">
                  <v>57.2</v>
                </pt>
                <pt idx="1">
                  <v>58.4</v>
                </pt>
                <pt idx="2">
                  <v>56.7</v>
                </pt>
                <pt idx="3">
                  <v>56.8</v>
                </pt>
                <pt idx="4">
                  <v>57.9</v>
                </pt>
                <pt idx="5">
                  <v>57.9</v>
                </pt>
                <pt idx="6">
                  <v>58</v>
                </pt>
                <pt idx="7">
                  <v>57.5</v>
                </pt>
                <pt idx="8">
                  <v>55.3</v>
                </pt>
                <pt idx="9">
                  <v>56.3</v>
                </pt>
                <pt idx="10">
                  <v>52.6</v>
                </pt>
                <pt idx="11">
                  <v>50.4</v>
                </pt>
                <pt idx="12">
                  <v>51</v>
                </pt>
                <pt idx="13">
                  <v>52</v>
                </pt>
                <pt idx="14">
                  <v>57</v>
                </pt>
                <pt idx="15">
                  <v>57.5</v>
                </pt>
                <pt idx="16">
                  <v>56.6</v>
                </pt>
                <pt idx="17">
                  <v>54.7</v>
                </pt>
                <pt idx="18">
                  <v>54.9</v>
                </pt>
                <pt idx="19">
                  <v>54.8</v>
                </pt>
                <pt idx="20">
                  <v>55</v>
                </pt>
                <pt idx="21">
                  <v>52.9</v>
                </pt>
                <pt idx="22">
                  <v>52.8</v>
                </pt>
                <pt idx="23">
                  <v>52.8</v>
                </pt>
                <pt idx="24">
                  <v>52.9</v>
                </pt>
                <pt idx="25">
                  <v>53.7</v>
                </pt>
                <pt idx="26">
                  <v>54.7</v>
                </pt>
                <pt idx="27">
                  <v>53.2</v>
                </pt>
                <pt idx="28">
                  <v>54.2</v>
                </pt>
                <pt idx="29">
                  <v>52</v>
                </pt>
                <pt idx="30">
                  <v>51</v>
                </pt>
                <pt idx="31">
                  <v>50.1</v>
                </pt>
                <pt idx="32">
                  <v>50.3</v>
                </pt>
                <pt idx="33">
                  <v>50.1</v>
                </pt>
                <pt idx="34">
                  <v>48.5</v>
                </pt>
                <pt idx="35">
                  <v>49.6</v>
                </pt>
                <pt idx="36">
                  <v>49.6</v>
                </pt>
                <pt idx="37">
                  <v>51.3</v>
                </pt>
                <pt idx="38">
                  <v>50.7</v>
                </pt>
                <pt idx="39">
                  <v>51.4</v>
                </pt>
                <pt idx="40">
                  <v>52.5</v>
                </pt>
                <pt idx="41">
                  <v>51.3</v>
                </pt>
                <pt idx="42">
                  <v>51.3</v>
                </pt>
                <pt idx="43">
                  <v>51.4</v>
                </pt>
                <pt idx="44">
                  <v>51.5</v>
                </pt>
                <pt idx="45">
                  <v>53</v>
                </pt>
                <pt idx="46">
                  <v>52.4</v>
                </pt>
                <pt idx="47">
                  <v>51</v>
                </pt>
                <pt idx="48">
                  <v>51.6</v>
                </pt>
                <pt idx="49">
                  <v>53.3</v>
                </pt>
                <pt idx="50">
                  <v>54.5</v>
                </pt>
                <pt idx="51">
                  <v>52.9</v>
                </pt>
                <pt idx="52">
                  <v>51.2</v>
                </pt>
                <pt idx="53">
                  <v>52.1</v>
                </pt>
                <pt idx="54">
                  <v>51.3</v>
                </pt>
                <pt idx="55">
                  <v>52.6</v>
                </pt>
                <pt idx="56">
                  <v>51.3</v>
                </pt>
                <pt idx="57">
                  <v>52.7</v>
                </pt>
                <pt idx="58">
                  <v>52.3</v>
                </pt>
                <pt idx="59">
                  <v>51.2</v>
                </pt>
                <pt idx="60">
                  <v>50.7</v>
                </pt>
                <pt idx="61">
                  <v>50.3</v>
                </pt>
                <pt idx="62">
                  <v>49.1</v>
                </pt>
                <pt idx="63">
                  <v>51.1</v>
                </pt>
                <pt idx="64">
                  <v>51.1</v>
                </pt>
                <pt idx="65">
                  <v>52.4</v>
                </pt>
                <pt idx="66">
                  <v>50.5</v>
                </pt>
                <pt idx="67">
                  <v>50.7</v>
                </pt>
                <pt idx="68">
                  <v>51.7</v>
                </pt>
                <pt idx="69">
                  <v>51.8</v>
                </pt>
                <pt idx="70">
                  <v>52.6</v>
                </pt>
                <pt idx="71">
                  <v>52.1</v>
                </pt>
                <pt idx="72">
                  <v>54.4</v>
                </pt>
                <pt idx="73">
                  <v>52.3</v>
                </pt>
                <pt idx="74">
                  <v>49.6</v>
                </pt>
                <pt idx="75">
                  <v>50.4</v>
                </pt>
                <pt idx="76">
                  <v>50.7</v>
                </pt>
                <pt idx="77">
                  <v>52.5</v>
                </pt>
                <pt idx="78">
                  <v>52.5</v>
                </pt>
                <pt idx="79">
                  <v>51.6</v>
                </pt>
                <pt idx="80">
                  <v>50.9</v>
                </pt>
                <pt idx="81">
                  <v>47.9</v>
                </pt>
                <pt idx="82">
                  <v>51.2</v>
                </pt>
                <pt idx="83">
                  <v>51.2</v>
                </pt>
                <pt idx="84">
                  <v>50.3</v>
                </pt>
                <pt idx="85">
                  <v>52.6</v>
                </pt>
                <pt idx="86">
                  <v>54.7</v>
                </pt>
                <pt idx="87">
                  <v>52.4</v>
                </pt>
                <pt idx="88">
                  <v>52.1</v>
                </pt>
                <pt idx="89">
                  <v>51</v>
                </pt>
                <pt idx="90">
                  <v>51.6</v>
                </pt>
                <pt idx="91">
                  <v>51.2</v>
                </pt>
                <pt idx="92">
                  <v>53.1</v>
                </pt>
                <pt idx="93">
                  <v>52.3</v>
                </pt>
                <pt idx="94">
                  <v>51.7</v>
                </pt>
                <pt idx="95">
                  <v>52.2</v>
                </pt>
                <pt idx="96">
                  <v>53.1</v>
                </pt>
                <pt idx="97">
                  <v>54</v>
                </pt>
                <pt idx="98">
                  <v>53.2</v>
                </pt>
                <pt idx="99">
                  <v>53.9</v>
                </pt>
                <pt idx="100">
                  <v>54.3</v>
                </pt>
                <pt idx="101">
                  <v>52.6</v>
                </pt>
                <pt idx="102">
                  <v>51.8</v>
                </pt>
                <pt idx="103">
                  <v>52.7</v>
                </pt>
                <pt idx="104">
                  <v>52.1</v>
                </pt>
                <pt idx="105">
                  <v>52.5</v>
                </pt>
                <pt idx="106">
                  <v>51.4</v>
                </pt>
                <pt idx="107">
                  <v>51.4</v>
                </pt>
                <pt idx="108">
                  <v>50.6</v>
                </pt>
                <pt idx="109">
                  <v>51.2</v>
                </pt>
                <pt idx="110">
                  <v>52.7</v>
                </pt>
                <pt idx="111">
                  <v>55.3</v>
                </pt>
                <pt idx="112">
                  <v>54.5</v>
                </pt>
                <pt idx="113">
                  <v>51.8</v>
                </pt>
                <pt idx="114">
                  <v>27.4</v>
                </pt>
                <pt idx="115">
                  <v>30.8</v>
                </pt>
                <pt idx="116">
                  <v>47.2</v>
                </pt>
                <pt idx="117">
                  <v>46</v>
                </pt>
                <pt idx="118">
                  <v>52</v>
                </pt>
                <pt idx="119">
                  <v>56.8</v>
                </pt>
                <pt idx="120">
                  <v>58.9</v>
                </pt>
                <pt idx="121">
                  <v>56.3</v>
                </pt>
                <pt idx="122">
                  <v>56.4</v>
                </pt>
                <pt idx="123">
                  <v>57.7</v>
                </pt>
                <pt idx="124">
                  <v>57.5</v>
                </pt>
                <pt idx="125">
                  <v>55.4</v>
                </pt>
                <pt idx="126">
                  <v>55.5</v>
                </pt>
                <pt idx="127">
                  <v>50.8</v>
                </pt>
                <pt idx="128">
                  <v>48.1</v>
                </pt>
                <pt idx="129">
                  <v>55.3</v>
                </pt>
                <pt idx="130">
                  <v>52.3</v>
                </pt>
                <pt idx="131">
                  <v>53.7</v>
                </pt>
                <pt idx="132">
                  <v>55.9</v>
                </pt>
                <pt idx="133">
                  <v>57.6</v>
                </pt>
                <pt idx="134">
                  <v>55.5</v>
                </pt>
                <pt idx="135">
                  <v>54</v>
                </pt>
                <pt idx="136">
                  <v>54.9</v>
                </pt>
                <pt idx="137">
                  <v>54</v>
                </pt>
                <pt idx="138">
                  <v>54.7</v>
                </pt>
                <pt idx="139">
                  <v>54.6</v>
                </pt>
                <pt idx="140">
                  <v>53.9</v>
                </pt>
                <pt idx="141">
                  <v>56.4</v>
                </pt>
                <pt idx="142">
                  <v>56.2</v>
                </pt>
                <pt idx="143">
                  <v>55.1</v>
                </pt>
                <pt idx="144">
                  <v>55.3</v>
                </pt>
                <pt idx="145">
                  <v>55.7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1.xml><?xml version="1.0" encoding="utf-8"?>
<chartSpace xmlns="http://schemas.openxmlformats.org/drawingml/2006/chart">
  <chart>
    <title>
      <tx>
        <strRef>
          <f>Canada!$K$2</f>
          <strCache>
            <ptCount val="1"/>
            <pt idx="0">
              <v>Canada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Canada!$B$5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Canada!$A$6:$A$145</f>
              <numCache>
                <formatCode>m/d/yyyy</formatCode>
                <ptCount val="140"/>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pt idx="137">
                  <v>44805</v>
                </pt>
                <pt idx="138">
                  <v>44835</v>
                </pt>
                <pt idx="139">
                  <v>44866</v>
                </pt>
              </numCache>
            </numRef>
          </cat>
          <val>
            <numRef>
              <f>Canada!$B$6:$B$145</f>
              <numCache>
                <formatCode>General</formatCode>
                <ptCount val="140"/>
                <pt idx="0">
                  <v>56.3</v>
                </pt>
                <pt idx="1">
                  <v>54.8</v>
                </pt>
                <pt idx="2">
                  <v>52.8</v>
                </pt>
                <pt idx="3">
                  <v>53.1</v>
                </pt>
                <pt idx="4">
                  <v>54.9</v>
                </pt>
                <pt idx="5">
                  <v>55</v>
                </pt>
                <pt idx="6">
                  <v>53.7</v>
                </pt>
                <pt idx="7">
                  <v>53.3</v>
                </pt>
                <pt idx="8">
                  <v>54</v>
                </pt>
                <pt idx="9">
                  <v>50.6</v>
                </pt>
                <pt idx="10">
                  <v>51.8</v>
                </pt>
                <pt idx="11">
                  <v>52.4</v>
                </pt>
                <pt idx="12">
                  <v>53.3</v>
                </pt>
                <pt idx="13">
                  <v>54.7</v>
                </pt>
                <pt idx="14">
                  <v>54.8</v>
                </pt>
                <pt idx="15">
                  <v>53</v>
                </pt>
                <pt idx="16">
                  <v>53</v>
                </pt>
                <pt idx="17">
                  <v>52.4</v>
                </pt>
                <pt idx="18">
                  <v>51.4</v>
                </pt>
                <pt idx="19">
                  <v>50.4</v>
                </pt>
                <pt idx="20">
                  <v>50.4</v>
                </pt>
                <pt idx="21">
                  <v>50.5</v>
                </pt>
                <pt idx="22">
                  <v>51.7</v>
                </pt>
                <pt idx="23">
                  <v>49.3</v>
                </pt>
                <pt idx="24">
                  <v>50.1</v>
                </pt>
                <pt idx="25">
                  <v>53.2</v>
                </pt>
                <pt idx="26">
                  <v>52.4</v>
                </pt>
                <pt idx="27">
                  <v>52</v>
                </pt>
                <pt idx="28">
                  <v>52.1</v>
                </pt>
                <pt idx="29">
                  <v>54.2</v>
                </pt>
                <pt idx="30">
                  <v>55.6</v>
                </pt>
                <pt idx="31">
                  <v>55.3</v>
                </pt>
                <pt idx="32">
                  <v>53.5</v>
                </pt>
                <pt idx="33">
                  <v>51.7</v>
                </pt>
                <pt idx="34">
                  <v>52.9</v>
                </pt>
                <pt idx="35">
                  <v>53.3</v>
                </pt>
                <pt idx="36">
                  <v>52.9</v>
                </pt>
                <pt idx="37">
                  <v>52.2</v>
                </pt>
                <pt idx="38">
                  <v>53.5</v>
                </pt>
                <pt idx="39">
                  <v>54.3</v>
                </pt>
                <pt idx="40">
                  <v>54.8</v>
                </pt>
                <pt idx="41">
                  <v>53.5</v>
                </pt>
                <pt idx="42">
                  <v>55.3</v>
                </pt>
                <pt idx="43">
                  <v>55.3</v>
                </pt>
                <pt idx="44">
                  <v>53.9</v>
                </pt>
                <pt idx="45">
                  <v>51</v>
                </pt>
                <pt idx="46">
                  <v>48.7</v>
                </pt>
                <pt idx="47">
                  <v>48.9</v>
                </pt>
                <pt idx="48">
                  <v>49</v>
                </pt>
                <pt idx="49">
                  <v>49.8</v>
                </pt>
                <pt idx="50">
                  <v>51.3</v>
                </pt>
                <pt idx="51">
                  <v>50.8</v>
                </pt>
                <pt idx="52">
                  <v>49.4</v>
                </pt>
                <pt idx="53">
                  <v>48.6</v>
                </pt>
                <pt idx="54">
                  <v>48</v>
                </pt>
                <pt idx="55">
                  <v>48.6</v>
                </pt>
                <pt idx="56">
                  <v>47.5</v>
                </pt>
                <pt idx="57">
                  <v>49.3</v>
                </pt>
                <pt idx="58">
                  <v>49.4</v>
                </pt>
                <pt idx="59">
                  <v>51.5</v>
                </pt>
                <pt idx="60">
                  <v>52.2</v>
                </pt>
                <pt idx="61">
                  <v>52.1</v>
                </pt>
                <pt idx="62">
                  <v>51.8</v>
                </pt>
                <pt idx="63">
                  <v>51.9</v>
                </pt>
                <pt idx="64">
                  <v>51.1</v>
                </pt>
                <pt idx="65">
                  <v>50.3</v>
                </pt>
                <pt idx="66">
                  <v>51.1</v>
                </pt>
                <pt idx="67">
                  <v>51.5</v>
                </pt>
                <pt idx="68">
                  <v>51.8</v>
                </pt>
                <pt idx="69">
                  <v>53.5</v>
                </pt>
                <pt idx="70">
                  <v>54.7</v>
                </pt>
                <pt idx="71">
                  <v>55.5</v>
                </pt>
                <pt idx="72">
                  <v>55.9</v>
                </pt>
                <pt idx="73">
                  <v>55.1</v>
                </pt>
                <pt idx="74">
                  <v>54.7</v>
                </pt>
                <pt idx="75">
                  <v>55.5</v>
                </pt>
                <pt idx="76">
                  <v>54.6</v>
                </pt>
                <pt idx="77">
                  <v>55</v>
                </pt>
                <pt idx="78">
                  <v>54.3</v>
                </pt>
                <pt idx="79">
                  <v>54.4</v>
                </pt>
                <pt idx="80">
                  <v>54.7</v>
                </pt>
                <pt idx="81">
                  <v>55.9</v>
                </pt>
                <pt idx="82">
                  <v>55.6</v>
                </pt>
                <pt idx="83">
                  <v>55.7</v>
                </pt>
                <pt idx="84">
                  <v>55.5</v>
                </pt>
                <pt idx="85">
                  <v>56.2</v>
                </pt>
                <pt idx="86">
                  <v>57.1</v>
                </pt>
                <pt idx="87">
                  <v>56.9</v>
                </pt>
                <pt idx="88">
                  <v>56.8</v>
                </pt>
                <pt idx="89">
                  <v>54.8</v>
                </pt>
                <pt idx="90">
                  <v>53.9</v>
                </pt>
                <pt idx="91">
                  <v>54.9</v>
                </pt>
                <pt idx="92">
                  <v>53.6</v>
                </pt>
                <pt idx="93">
                  <v>53</v>
                </pt>
                <pt idx="94">
                  <v>52.6</v>
                </pt>
                <pt idx="95">
                  <v>50.5</v>
                </pt>
                <pt idx="96">
                  <v>49.7</v>
                </pt>
                <pt idx="97">
                  <v>49.1</v>
                </pt>
                <pt idx="98">
                  <v>49.2</v>
                </pt>
                <pt idx="99">
                  <v>50.2</v>
                </pt>
                <pt idx="100">
                  <v>49.1</v>
                </pt>
                <pt idx="101">
                  <v>51</v>
                </pt>
                <pt idx="102">
                  <v>51.2</v>
                </pt>
                <pt idx="103">
                  <v>51.4</v>
                </pt>
                <pt idx="104">
                  <v>50.4</v>
                </pt>
                <pt idx="105">
                  <v>50.6</v>
                </pt>
                <pt idx="106">
                  <v>51.8</v>
                </pt>
                <pt idx="107">
                  <v>46.1</v>
                </pt>
                <pt idx="108">
                  <v>33</v>
                </pt>
                <pt idx="109">
                  <v>40.6</v>
                </pt>
                <pt idx="110">
                  <v>47.8</v>
                </pt>
                <pt idx="111">
                  <v>52.9</v>
                </pt>
                <pt idx="112">
                  <v>55.1</v>
                </pt>
                <pt idx="113">
                  <v>56</v>
                </pt>
                <pt idx="114">
                  <v>55.5</v>
                </pt>
                <pt idx="115">
                  <v>55.8</v>
                </pt>
                <pt idx="116">
                  <v>57.9</v>
                </pt>
                <pt idx="117">
                  <v>54.4</v>
                </pt>
                <pt idx="118">
                  <v>54.8</v>
                </pt>
                <pt idx="119">
                  <v>58.5</v>
                </pt>
                <pt idx="120">
                  <v>57.2</v>
                </pt>
                <pt idx="121">
                  <v>57</v>
                </pt>
                <pt idx="122">
                  <v>56.5</v>
                </pt>
                <pt idx="123">
                  <v>56.2</v>
                </pt>
                <pt idx="124">
                  <v>57.2</v>
                </pt>
                <pt idx="125">
                  <v>57</v>
                </pt>
                <pt idx="126">
                  <v>57.7</v>
                </pt>
                <pt idx="127">
                  <v>57.2</v>
                </pt>
                <pt idx="128">
                  <v>55.5</v>
                </pt>
                <pt idx="129">
                  <v>56.2</v>
                </pt>
                <pt idx="130">
                  <v>56.6</v>
                </pt>
                <pt idx="131">
                  <v>58.9</v>
                </pt>
                <pt idx="132">
                  <v>56.2</v>
                </pt>
                <pt idx="133">
                  <v>56.8</v>
                </pt>
                <pt idx="134">
                  <v>54.6</v>
                </pt>
                <pt idx="135">
                  <v>52.5</v>
                </pt>
                <pt idx="136">
                  <v>48.7</v>
                </pt>
                <pt idx="137">
                  <v>49.8</v>
                </pt>
                <pt idx="138">
                  <v>48.8</v>
                </pt>
                <pt idx="139">
                  <v>49.6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2.xml><?xml version="1.0" encoding="utf-8"?>
<chartSpace xmlns="http://schemas.openxmlformats.org/drawingml/2006/chart">
  <chart>
    <title>
      <tx>
        <strRef>
          <f>Australia!$K$2</f>
          <strCache>
            <ptCount val="1"/>
            <pt idx="0">
              <v>Australia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Australia!$A$6:$A$180</f>
              <numCache>
                <formatCode>m/d/yyyy</formatCode>
                <ptCount val="175"/>
                <pt idx="0">
                  <v>39569</v>
                </pt>
                <pt idx="1">
                  <v>39600</v>
                </pt>
                <pt idx="2">
                  <v>39630</v>
                </pt>
                <pt idx="3">
                  <v>39661</v>
                </pt>
                <pt idx="4">
                  <v>39692</v>
                </pt>
                <pt idx="5">
                  <v>39722</v>
                </pt>
                <pt idx="6">
                  <v>39753</v>
                </pt>
                <pt idx="7">
                  <v>39783</v>
                </pt>
                <pt idx="8">
                  <v>39814</v>
                </pt>
                <pt idx="9">
                  <v>39845</v>
                </pt>
                <pt idx="10">
                  <v>39873</v>
                </pt>
                <pt idx="11">
                  <v>39904</v>
                </pt>
                <pt idx="12">
                  <v>39934</v>
                </pt>
                <pt idx="13">
                  <v>39965</v>
                </pt>
                <pt idx="14">
                  <v>39995</v>
                </pt>
                <pt idx="15">
                  <v>40026</v>
                </pt>
                <pt idx="16">
                  <v>40057</v>
                </pt>
                <pt idx="17">
                  <v>40087</v>
                </pt>
                <pt idx="18">
                  <v>40118</v>
                </pt>
                <pt idx="19">
                  <v>40148</v>
                </pt>
                <pt idx="20">
                  <v>40179</v>
                </pt>
                <pt idx="21">
                  <v>40210</v>
                </pt>
                <pt idx="22">
                  <v>40238</v>
                </pt>
                <pt idx="23">
                  <v>40269</v>
                </pt>
                <pt idx="24">
                  <v>40299</v>
                </pt>
                <pt idx="25">
                  <v>40330</v>
                </pt>
                <pt idx="26">
                  <v>40360</v>
                </pt>
                <pt idx="27">
                  <v>40391</v>
                </pt>
                <pt idx="28">
                  <v>40422</v>
                </pt>
                <pt idx="29">
                  <v>40452</v>
                </pt>
                <pt idx="30">
                  <v>40483</v>
                </pt>
                <pt idx="31">
                  <v>40513</v>
                </pt>
                <pt idx="32">
                  <v>40544</v>
                </pt>
                <pt idx="33">
                  <v>40575</v>
                </pt>
                <pt idx="34">
                  <v>40603</v>
                </pt>
                <pt idx="35">
                  <v>40634</v>
                </pt>
                <pt idx="36">
                  <v>40664</v>
                </pt>
                <pt idx="37">
                  <v>40695</v>
                </pt>
                <pt idx="38">
                  <v>40725</v>
                </pt>
                <pt idx="39">
                  <v>40756</v>
                </pt>
                <pt idx="40">
                  <v>40787</v>
                </pt>
                <pt idx="41">
                  <v>40817</v>
                </pt>
                <pt idx="42">
                  <v>40848</v>
                </pt>
                <pt idx="43">
                  <v>40878</v>
                </pt>
                <pt idx="44">
                  <v>40909</v>
                </pt>
                <pt idx="45">
                  <v>40940</v>
                </pt>
                <pt idx="46">
                  <v>40969</v>
                </pt>
                <pt idx="47">
                  <v>41000</v>
                </pt>
                <pt idx="48">
                  <v>41030</v>
                </pt>
                <pt idx="49">
                  <v>41061</v>
                </pt>
                <pt idx="50">
                  <v>41091</v>
                </pt>
                <pt idx="51">
                  <v>41122</v>
                </pt>
                <pt idx="52">
                  <v>41153</v>
                </pt>
                <pt idx="53">
                  <v>41183</v>
                </pt>
                <pt idx="54">
                  <v>41214</v>
                </pt>
                <pt idx="55">
                  <v>41244</v>
                </pt>
                <pt idx="56">
                  <v>41275</v>
                </pt>
                <pt idx="57">
                  <v>41306</v>
                </pt>
                <pt idx="58">
                  <v>41334</v>
                </pt>
                <pt idx="59">
                  <v>41365</v>
                </pt>
                <pt idx="60">
                  <v>41395</v>
                </pt>
                <pt idx="61">
                  <v>41426</v>
                </pt>
                <pt idx="62">
                  <v>41456</v>
                </pt>
                <pt idx="63">
                  <v>41487</v>
                </pt>
                <pt idx="64">
                  <v>41518</v>
                </pt>
                <pt idx="65">
                  <v>41548</v>
                </pt>
                <pt idx="66">
                  <v>41579</v>
                </pt>
                <pt idx="67">
                  <v>41609</v>
                </pt>
                <pt idx="68">
                  <v>41640</v>
                </pt>
                <pt idx="69">
                  <v>41671</v>
                </pt>
                <pt idx="70">
                  <v>41699</v>
                </pt>
                <pt idx="71">
                  <v>41730</v>
                </pt>
                <pt idx="72">
                  <v>41760</v>
                </pt>
                <pt idx="73">
                  <v>41791</v>
                </pt>
                <pt idx="74">
                  <v>41821</v>
                </pt>
                <pt idx="75">
                  <v>41852</v>
                </pt>
                <pt idx="76">
                  <v>41883</v>
                </pt>
                <pt idx="77">
                  <v>41913</v>
                </pt>
                <pt idx="78">
                  <v>41944</v>
                </pt>
                <pt idx="79">
                  <v>41974</v>
                </pt>
                <pt idx="80">
                  <v>42005</v>
                </pt>
                <pt idx="81">
                  <v>42036</v>
                </pt>
                <pt idx="82">
                  <v>42064</v>
                </pt>
                <pt idx="83">
                  <v>42095</v>
                </pt>
                <pt idx="84">
                  <v>42125</v>
                </pt>
                <pt idx="85">
                  <v>42156</v>
                </pt>
                <pt idx="86">
                  <v>42186</v>
                </pt>
                <pt idx="87">
                  <v>42217</v>
                </pt>
                <pt idx="88">
                  <v>42248</v>
                </pt>
                <pt idx="89">
                  <v>42278</v>
                </pt>
                <pt idx="90">
                  <v>42309</v>
                </pt>
                <pt idx="91">
                  <v>42339</v>
                </pt>
                <pt idx="92">
                  <v>42370</v>
                </pt>
                <pt idx="93">
                  <v>42401</v>
                </pt>
                <pt idx="94">
                  <v>42430</v>
                </pt>
                <pt idx="95">
                  <v>42461</v>
                </pt>
                <pt idx="96">
                  <v>42491</v>
                </pt>
                <pt idx="97">
                  <v>42522</v>
                </pt>
                <pt idx="98">
                  <v>42552</v>
                </pt>
                <pt idx="99">
                  <v>42583</v>
                </pt>
                <pt idx="100">
                  <v>42614</v>
                </pt>
                <pt idx="101">
                  <v>42644</v>
                </pt>
                <pt idx="102">
                  <v>42675</v>
                </pt>
                <pt idx="103">
                  <v>42705</v>
                </pt>
                <pt idx="104">
                  <v>42736</v>
                </pt>
                <pt idx="105">
                  <v>42767</v>
                </pt>
                <pt idx="106">
                  <v>42795</v>
                </pt>
                <pt idx="107">
                  <v>42826</v>
                </pt>
                <pt idx="108">
                  <v>42856</v>
                </pt>
                <pt idx="109">
                  <v>42887</v>
                </pt>
                <pt idx="110">
                  <v>42917</v>
                </pt>
                <pt idx="111">
                  <v>42948</v>
                </pt>
                <pt idx="112">
                  <v>42979</v>
                </pt>
                <pt idx="113">
                  <v>43009</v>
                </pt>
                <pt idx="114">
                  <v>43040</v>
                </pt>
                <pt idx="115">
                  <v>43070</v>
                </pt>
                <pt idx="116">
                  <v>43101</v>
                </pt>
                <pt idx="117">
                  <v>43132</v>
                </pt>
                <pt idx="118">
                  <v>43160</v>
                </pt>
                <pt idx="119">
                  <v>43191</v>
                </pt>
                <pt idx="120">
                  <v>43221</v>
                </pt>
                <pt idx="121">
                  <v>43252</v>
                </pt>
                <pt idx="122">
                  <v>43282</v>
                </pt>
                <pt idx="123">
                  <v>43313</v>
                </pt>
                <pt idx="124">
                  <v>43344</v>
                </pt>
                <pt idx="125">
                  <v>43374</v>
                </pt>
                <pt idx="126">
                  <v>43405</v>
                </pt>
                <pt idx="127">
                  <v>43435</v>
                </pt>
                <pt idx="128">
                  <v>43466</v>
                </pt>
                <pt idx="129">
                  <v>43497</v>
                </pt>
                <pt idx="130">
                  <v>43525</v>
                </pt>
                <pt idx="131">
                  <v>43556</v>
                </pt>
                <pt idx="132">
                  <v>43586</v>
                </pt>
                <pt idx="133">
                  <v>43617</v>
                </pt>
                <pt idx="134">
                  <v>43647</v>
                </pt>
                <pt idx="135">
                  <v>43678</v>
                </pt>
                <pt idx="136">
                  <v>43709</v>
                </pt>
                <pt idx="137">
                  <v>43739</v>
                </pt>
                <pt idx="138">
                  <v>43770</v>
                </pt>
                <pt idx="139">
                  <v>43800</v>
                </pt>
                <pt idx="140">
                  <v>43831</v>
                </pt>
                <pt idx="141">
                  <v>43862</v>
                </pt>
                <pt idx="142">
                  <v>43891</v>
                </pt>
                <pt idx="143">
                  <v>43922</v>
                </pt>
                <pt idx="144">
                  <v>43952</v>
                </pt>
                <pt idx="145">
                  <v>43983</v>
                </pt>
                <pt idx="146">
                  <v>44013</v>
                </pt>
                <pt idx="147">
                  <v>44044</v>
                </pt>
                <pt idx="148">
                  <v>44075</v>
                </pt>
                <pt idx="149">
                  <v>44105</v>
                </pt>
                <pt idx="150">
                  <v>44136</v>
                </pt>
                <pt idx="151">
                  <v>44166</v>
                </pt>
                <pt idx="152">
                  <v>44197</v>
                </pt>
                <pt idx="153">
                  <v>44228</v>
                </pt>
                <pt idx="154">
                  <v>44256</v>
                </pt>
                <pt idx="155">
                  <v>44287</v>
                </pt>
                <pt idx="156">
                  <v>44317</v>
                </pt>
                <pt idx="157">
                  <v>44348</v>
                </pt>
                <pt idx="158">
                  <v>44378</v>
                </pt>
                <pt idx="159">
                  <v>44409</v>
                </pt>
                <pt idx="160">
                  <v>44440</v>
                </pt>
                <pt idx="161">
                  <v>44470</v>
                </pt>
                <pt idx="162">
                  <v>44501</v>
                </pt>
                <pt idx="163">
                  <v>44531</v>
                </pt>
                <pt idx="164">
                  <v>44562</v>
                </pt>
                <pt idx="165">
                  <v>44593</v>
                </pt>
                <pt idx="166">
                  <v>44621</v>
                </pt>
                <pt idx="167">
                  <v>44652</v>
                </pt>
                <pt idx="168">
                  <v>44682</v>
                </pt>
                <pt idx="169">
                  <v>44713</v>
                </pt>
                <pt idx="170">
                  <v>44743</v>
                </pt>
                <pt idx="171">
                  <v>44774</v>
                </pt>
                <pt idx="172">
                  <v>44805</v>
                </pt>
                <pt idx="173">
                  <v>44835</v>
                </pt>
                <pt idx="174">
                  <v>44866</v>
                </pt>
              </numCache>
            </numRef>
          </cat>
          <val>
            <numRef>
              <f>Australia!$B$6:$B$180</f>
              <numCache>
                <formatCode>General</formatCode>
                <ptCount val="175"/>
                <pt idx="0">
                  <v>51.4</v>
                </pt>
                <pt idx="1">
                  <v>51.2</v>
                </pt>
                <pt idx="2">
                  <v>52.7</v>
                </pt>
                <pt idx="3">
                  <v>51.2</v>
                </pt>
                <pt idx="4">
                  <v>47</v>
                </pt>
                <pt idx="5">
                  <v>46.9</v>
                </pt>
                <pt idx="6">
                  <v>40.4</v>
                </pt>
                <pt idx="7">
                  <v>33.7</v>
                </pt>
                <pt idx="8">
                  <v>36.6</v>
                </pt>
                <pt idx="9">
                  <v>31.7</v>
                </pt>
                <pt idx="10">
                  <v>33.4</v>
                </pt>
                <pt idx="11">
                  <v>30.1</v>
                </pt>
                <pt idx="12">
                  <v>37.5</v>
                </pt>
                <pt idx="13">
                  <v>38.4</v>
                </pt>
                <pt idx="14">
                  <v>44.5</v>
                </pt>
                <pt idx="15">
                  <v>51.7</v>
                </pt>
                <pt idx="16">
                  <v>52</v>
                </pt>
                <pt idx="17">
                  <v>51.7</v>
                </pt>
                <pt idx="18">
                  <v>51.2</v>
                </pt>
                <pt idx="19">
                  <v>48.5</v>
                </pt>
                <pt idx="20">
                  <v>51</v>
                </pt>
                <pt idx="21">
                  <v>53.8</v>
                </pt>
                <pt idx="22">
                  <v>50.2</v>
                </pt>
                <pt idx="23">
                  <v>59.8</v>
                </pt>
                <pt idx="24">
                  <v>56.3</v>
                </pt>
                <pt idx="25">
                  <v>52.9</v>
                </pt>
                <pt idx="26">
                  <v>54.4</v>
                </pt>
                <pt idx="27">
                  <v>51.7</v>
                </pt>
                <pt idx="28">
                  <v>47.3</v>
                </pt>
                <pt idx="29">
                  <v>49.4</v>
                </pt>
                <pt idx="30">
                  <v>47.6</v>
                </pt>
                <pt idx="31">
                  <v>46.3</v>
                </pt>
                <pt idx="32">
                  <v>46.7</v>
                </pt>
                <pt idx="33">
                  <v>51.1</v>
                </pt>
                <pt idx="34">
                  <v>47.9</v>
                </pt>
                <pt idx="35">
                  <v>48.4</v>
                </pt>
                <pt idx="36">
                  <v>47.7</v>
                </pt>
                <pt idx="37">
                  <v>52.9</v>
                </pt>
                <pt idx="38">
                  <v>43.4</v>
                </pt>
                <pt idx="39">
                  <v>43.3</v>
                </pt>
                <pt idx="40">
                  <v>42.3</v>
                </pt>
                <pt idx="41">
                  <v>47.4</v>
                </pt>
                <pt idx="42">
                  <v>47.8</v>
                </pt>
                <pt idx="43">
                  <v>50.2</v>
                </pt>
                <pt idx="44">
                  <v>51.6</v>
                </pt>
                <pt idx="45">
                  <v>51.3</v>
                </pt>
                <pt idx="46">
                  <v>49.5</v>
                </pt>
                <pt idx="47">
                  <v>43.9</v>
                </pt>
                <pt idx="48">
                  <v>42.4</v>
                </pt>
                <pt idx="49">
                  <v>47.2</v>
                </pt>
                <pt idx="50">
                  <v>40.3</v>
                </pt>
                <pt idx="51">
                  <v>45.3</v>
                </pt>
                <pt idx="52">
                  <v>44.1</v>
                </pt>
                <pt idx="53">
                  <v>45.2</v>
                </pt>
                <pt idx="54">
                  <v>43.6</v>
                </pt>
                <pt idx="55">
                  <v>44.3</v>
                </pt>
                <pt idx="56">
                  <v>40.2</v>
                </pt>
                <pt idx="57">
                  <v>45.6</v>
                </pt>
                <pt idx="58">
                  <v>44.4</v>
                </pt>
                <pt idx="59">
                  <v>36.7</v>
                </pt>
                <pt idx="60">
                  <v>43.8</v>
                </pt>
                <pt idx="61">
                  <v>49.6</v>
                </pt>
                <pt idx="62">
                  <v>42</v>
                </pt>
                <pt idx="63">
                  <v>46.4</v>
                </pt>
                <pt idx="64">
                  <v>51.7</v>
                </pt>
                <pt idx="65">
                  <v>53.2</v>
                </pt>
                <pt idx="66">
                  <v>47.7</v>
                </pt>
                <pt idx="67">
                  <v>47.6</v>
                </pt>
                <pt idx="68">
                  <v>46.7</v>
                </pt>
                <pt idx="69">
                  <v>48.6</v>
                </pt>
                <pt idx="70">
                  <v>49.7</v>
                </pt>
                <pt idx="71">
                  <v>44.8</v>
                </pt>
                <pt idx="72">
                  <v>49.2</v>
                </pt>
                <pt idx="73">
                  <v>48.9</v>
                </pt>
                <pt idx="74">
                  <v>50.7</v>
                </pt>
                <pt idx="75">
                  <v>47.3</v>
                </pt>
                <pt idx="76">
                  <v>46.5</v>
                </pt>
                <pt idx="77">
                  <v>49.42</v>
                </pt>
                <pt idx="78">
                  <v>50.1</v>
                </pt>
                <pt idx="79">
                  <v>46.9</v>
                </pt>
                <pt idx="80">
                  <v>49</v>
                </pt>
                <pt idx="81">
                  <v>45.4</v>
                </pt>
                <pt idx="82">
                  <v>46.3</v>
                </pt>
                <pt idx="83">
                  <v>48</v>
                </pt>
                <pt idx="84">
                  <v>52.29</v>
                </pt>
                <pt idx="85">
                  <v>44.2</v>
                </pt>
                <pt idx="86">
                  <v>50.4</v>
                </pt>
                <pt idx="87">
                  <v>51.7</v>
                </pt>
                <pt idx="88">
                  <v>52.1</v>
                </pt>
                <pt idx="89">
                  <v>50.2</v>
                </pt>
                <pt idx="90">
                  <v>52.5</v>
                </pt>
                <pt idx="91">
                  <v>51.9</v>
                </pt>
                <pt idx="92">
                  <v>51.5</v>
                </pt>
                <pt idx="93">
                  <v>53.5</v>
                </pt>
                <pt idx="94">
                  <v>58.1</v>
                </pt>
                <pt idx="95">
                  <v>53.4</v>
                </pt>
                <pt idx="96">
                  <v>51</v>
                </pt>
                <pt idx="97">
                  <v>51.8</v>
                </pt>
                <pt idx="98">
                  <v>56.4</v>
                </pt>
                <pt idx="99">
                  <v>46.9</v>
                </pt>
                <pt idx="100">
                  <v>49.8</v>
                </pt>
                <pt idx="101">
                  <v>50.9</v>
                </pt>
                <pt idx="102">
                  <v>54.2</v>
                </pt>
                <pt idx="103">
                  <v>55.4</v>
                </pt>
                <pt idx="104">
                  <v>51.2</v>
                </pt>
                <pt idx="105">
                  <v>59.3</v>
                </pt>
                <pt idx="106">
                  <v>57.5</v>
                </pt>
                <pt idx="107">
                  <v>59.2</v>
                </pt>
                <pt idx="108">
                  <v>54.8</v>
                </pt>
                <pt idx="109">
                  <v>55</v>
                </pt>
                <pt idx="110">
                  <v>56</v>
                </pt>
                <pt idx="111">
                  <v>59.8</v>
                </pt>
                <pt idx="112">
                  <v>54.2</v>
                </pt>
                <pt idx="113">
                  <v>51.1</v>
                </pt>
                <pt idx="114">
                  <v>57.3</v>
                </pt>
                <pt idx="115">
                  <v>56.2</v>
                </pt>
                <pt idx="116">
                  <v>58.7</v>
                </pt>
                <pt idx="117">
                  <v>57.5</v>
                </pt>
                <pt idx="118">
                  <v>63.1</v>
                </pt>
                <pt idx="119">
                  <v>58.3</v>
                </pt>
                <pt idx="120">
                  <v>57.5</v>
                </pt>
                <pt idx="121">
                  <v>57.4</v>
                </pt>
                <pt idx="122">
                  <v>52</v>
                </pt>
                <pt idx="123">
                  <v>56.7</v>
                </pt>
                <pt idx="124">
                  <v>59</v>
                </pt>
                <pt idx="125">
                  <v>58.3</v>
                </pt>
                <pt idx="126">
                  <v>51.3</v>
                </pt>
                <pt idx="127">
                  <v>49.5</v>
                </pt>
                <pt idx="128">
                  <v>52.5</v>
                </pt>
                <pt idx="129">
                  <v>54</v>
                </pt>
                <pt idx="130">
                  <v>51</v>
                </pt>
                <pt idx="131">
                  <v>54.8</v>
                </pt>
                <pt idx="132">
                  <v>52.7</v>
                </pt>
                <pt idx="133">
                  <v>49.4</v>
                </pt>
                <pt idx="134">
                  <v>51.3</v>
                </pt>
                <pt idx="135">
                  <v>53.1</v>
                </pt>
                <pt idx="136">
                  <v>54.7</v>
                </pt>
                <pt idx="137">
                  <v>51.6</v>
                </pt>
                <pt idx="138">
                  <v>48.1</v>
                </pt>
                <pt idx="139">
                  <v>48.3</v>
                </pt>
                <pt idx="140">
                  <v>45.4</v>
                </pt>
                <pt idx="141">
                  <v>44.3</v>
                </pt>
                <pt idx="142">
                  <v>53.7</v>
                </pt>
                <pt idx="143">
                  <v>35.8</v>
                </pt>
                <pt idx="144">
                  <v>41.6</v>
                </pt>
                <pt idx="145">
                  <v>51.5</v>
                </pt>
                <pt idx="146">
                  <v>53.5</v>
                </pt>
                <pt idx="147">
                  <v>49.3</v>
                </pt>
                <pt idx="148">
                  <v>46.7</v>
                </pt>
                <pt idx="149">
                  <v>56.3</v>
                </pt>
                <pt idx="150">
                  <v>52.1</v>
                </pt>
                <pt idx="151">
                  <v>55.3</v>
                </pt>
                <pt idx="152">
                  <v>55.3</v>
                </pt>
                <pt idx="153">
                  <v>58.8</v>
                </pt>
                <pt idx="154">
                  <v>59.9</v>
                </pt>
                <pt idx="155">
                  <v>61.7</v>
                </pt>
                <pt idx="156">
                  <v>61.8</v>
                </pt>
                <pt idx="157">
                  <v>63.2</v>
                </pt>
                <pt idx="158">
                  <v>60.8</v>
                </pt>
                <pt idx="159">
                  <v>51.6</v>
                </pt>
                <pt idx="160">
                  <v>51.2</v>
                </pt>
                <pt idx="161">
                  <v>50.4</v>
                </pt>
                <pt idx="162">
                  <v>54.8</v>
                </pt>
                <pt idx="163">
                  <v>48.4</v>
                </pt>
                <pt idx="164">
                  <v>48.4</v>
                </pt>
                <pt idx="165">
                  <v>53.2</v>
                </pt>
                <pt idx="166">
                  <v>55.7</v>
                </pt>
                <pt idx="167">
                  <v>58.5</v>
                </pt>
                <pt idx="168">
                  <v>52.4</v>
                </pt>
                <pt idx="169">
                  <v>54</v>
                </pt>
                <pt idx="170">
                  <v>52.5</v>
                </pt>
                <pt idx="171">
                  <v>49.3</v>
                </pt>
                <pt idx="172">
                  <v>50.2</v>
                </pt>
                <pt idx="173">
                  <v>49.6</v>
                </pt>
                <pt idx="174">
                  <v>44.7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3.xml><?xml version="1.0" encoding="utf-8"?>
<chartSpace xmlns="http://schemas.openxmlformats.org/drawingml/2006/chart">
  <chart>
    <title>
      <tx>
        <strRef>
          <f>Indonesia!$K$2</f>
          <strCache>
            <ptCount val="1"/>
            <pt idx="0">
              <v>Indonesia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Indonesia!$B$5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Indonesia!$A$6:$A$145</f>
              <numCache>
                <formatCode>m/d/yyyy</formatCode>
                <ptCount val="140"/>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pt idx="137">
                  <v>44805</v>
                </pt>
                <pt idx="138">
                  <v>44835</v>
                </pt>
                <pt idx="139">
                  <v>44866</v>
                </pt>
              </numCache>
            </numRef>
          </cat>
          <val>
            <numRef>
              <f>Indonesia!$B$6:$B$145</f>
              <numCache>
                <formatCode>General</formatCode>
                <ptCount val="140"/>
                <pt idx="0">
                  <v>48.1</v>
                </pt>
                <pt idx="1">
                  <v>48</v>
                </pt>
                <pt idx="2">
                  <v>50.5</v>
                </pt>
                <pt idx="3">
                  <v>51</v>
                </pt>
                <pt idx="4">
                  <v>50.9</v>
                </pt>
                <pt idx="5">
                  <v>49.8</v>
                </pt>
                <pt idx="6">
                  <v>51.3</v>
                </pt>
                <pt idx="7">
                  <v>50.1</v>
                </pt>
                <pt idx="8">
                  <v>48.1</v>
                </pt>
                <pt idx="9">
                  <v>48.5</v>
                </pt>
                <pt idx="10">
                  <v>50.6</v>
                </pt>
                <pt idx="11">
                  <v>50.8</v>
                </pt>
                <pt idx="12">
                  <v>50.5</v>
                </pt>
                <pt idx="13">
                  <v>48.1</v>
                </pt>
                <pt idx="14">
                  <v>50.2</v>
                </pt>
                <pt idx="15">
                  <v>51.3</v>
                </pt>
                <pt idx="16">
                  <v>51.4</v>
                </pt>
                <pt idx="17">
                  <v>51.6</v>
                </pt>
                <pt idx="18">
                  <v>50.5</v>
                </pt>
                <pt idx="19">
                  <v>51.9</v>
                </pt>
                <pt idx="20">
                  <v>51.5</v>
                </pt>
                <pt idx="21">
                  <v>49.7</v>
                </pt>
                <pt idx="22">
                  <v>50.5</v>
                </pt>
                <pt idx="23">
                  <v>51.3</v>
                </pt>
                <pt idx="24">
                  <v>51.7</v>
                </pt>
                <pt idx="25">
                  <v>51.6</v>
                </pt>
                <pt idx="26">
                  <v>51</v>
                </pt>
                <pt idx="27">
                  <v>50.7</v>
                </pt>
                <pt idx="28">
                  <v>48.5</v>
                </pt>
                <pt idx="29">
                  <v>50.2</v>
                </pt>
                <pt idx="30">
                  <v>50.9</v>
                </pt>
                <pt idx="31">
                  <v>50.3</v>
                </pt>
                <pt idx="32">
                  <v>50.9</v>
                </pt>
                <pt idx="33">
                  <v>51</v>
                </pt>
                <pt idx="34">
                  <v>50.5</v>
                </pt>
                <pt idx="35">
                  <v>50.1</v>
                </pt>
                <pt idx="36">
                  <v>51.1</v>
                </pt>
                <pt idx="37">
                  <v>52.4</v>
                </pt>
                <pt idx="38">
                  <v>52.7</v>
                </pt>
                <pt idx="39">
                  <v>52.4</v>
                </pt>
                <pt idx="40">
                  <v>49.5</v>
                </pt>
                <pt idx="41">
                  <v>50.7</v>
                </pt>
                <pt idx="42">
                  <v>49.2</v>
                </pt>
                <pt idx="43">
                  <v>48</v>
                </pt>
                <pt idx="44">
                  <v>47.6</v>
                </pt>
                <pt idx="45">
                  <v>48.5</v>
                </pt>
                <pt idx="46">
                  <v>47.5</v>
                </pt>
                <pt idx="47">
                  <v>46.4</v>
                </pt>
                <pt idx="48">
                  <v>46.7</v>
                </pt>
                <pt idx="49">
                  <v>47.1</v>
                </pt>
                <pt idx="50">
                  <v>47.8</v>
                </pt>
                <pt idx="51">
                  <v>47.3</v>
                </pt>
                <pt idx="52">
                  <v>48.4</v>
                </pt>
                <pt idx="53">
                  <v>47.4</v>
                </pt>
                <pt idx="54">
                  <v>47.8</v>
                </pt>
                <pt idx="55">
                  <v>46.9</v>
                </pt>
                <pt idx="56">
                  <v>47.8</v>
                </pt>
                <pt idx="57">
                  <v>48.9</v>
                </pt>
                <pt idx="58">
                  <v>48.7</v>
                </pt>
                <pt idx="59">
                  <v>50.6</v>
                </pt>
                <pt idx="60">
                  <v>50.9</v>
                </pt>
                <pt idx="61">
                  <v>50.6</v>
                </pt>
                <pt idx="62">
                  <v>51.9</v>
                </pt>
                <pt idx="63">
                  <v>48.4</v>
                </pt>
                <pt idx="64">
                  <v>50.4</v>
                </pt>
                <pt idx="65">
                  <v>50.9</v>
                </pt>
                <pt idx="66">
                  <v>48.7</v>
                </pt>
                <pt idx="67">
                  <v>49.7</v>
                </pt>
                <pt idx="68">
                  <v>49</v>
                </pt>
                <pt idx="69">
                  <v>50.4</v>
                </pt>
                <pt idx="70">
                  <v>49.3</v>
                </pt>
                <pt idx="71">
                  <v>50.5</v>
                </pt>
                <pt idx="72">
                  <v>51.2</v>
                </pt>
                <pt idx="73">
                  <v>50.6</v>
                </pt>
                <pt idx="74">
                  <v>49.5</v>
                </pt>
                <pt idx="75">
                  <v>48.6</v>
                </pt>
                <pt idx="76">
                  <v>50.7</v>
                </pt>
                <pt idx="77">
                  <v>50.4</v>
                </pt>
                <pt idx="78">
                  <v>50.1</v>
                </pt>
                <pt idx="79">
                  <v>50.4</v>
                </pt>
                <pt idx="80">
                  <v>49.3</v>
                </pt>
                <pt idx="81">
                  <v>49.9</v>
                </pt>
                <pt idx="82">
                  <v>51.4</v>
                </pt>
                <pt idx="83">
                  <v>50.7</v>
                </pt>
                <pt idx="84">
                  <v>51.6</v>
                </pt>
                <pt idx="85">
                  <v>51.7</v>
                </pt>
                <pt idx="86">
                  <v>50.3</v>
                </pt>
                <pt idx="87">
                  <v>50.5</v>
                </pt>
                <pt idx="88">
                  <v>51.9</v>
                </pt>
                <pt idx="89">
                  <v>50.7</v>
                </pt>
                <pt idx="90">
                  <v>50.5</v>
                </pt>
                <pt idx="91">
                  <v>50.4</v>
                </pt>
                <pt idx="92">
                  <v>51.2</v>
                </pt>
                <pt idx="93">
                  <v>49.9</v>
                </pt>
                <pt idx="94">
                  <v>50.1</v>
                </pt>
                <pt idx="95">
                  <v>51.2</v>
                </pt>
                <pt idx="96">
                  <v>50.4</v>
                </pt>
                <pt idx="97">
                  <v>51.6</v>
                </pt>
                <pt idx="98">
                  <v>50.6</v>
                </pt>
                <pt idx="99">
                  <v>49.6</v>
                </pt>
                <pt idx="100">
                  <v>49</v>
                </pt>
                <pt idx="101">
                  <v>49.1</v>
                </pt>
                <pt idx="102">
                  <v>47.7</v>
                </pt>
                <pt idx="103">
                  <v>48.2</v>
                </pt>
                <pt idx="104">
                  <v>49.5</v>
                </pt>
                <pt idx="105">
                  <v>49.3</v>
                </pt>
                <pt idx="106">
                  <v>51.9</v>
                </pt>
                <pt idx="107">
                  <v>45.3</v>
                </pt>
                <pt idx="108">
                  <v>27.5</v>
                </pt>
                <pt idx="109">
                  <v>28.6</v>
                </pt>
                <pt idx="110">
                  <v>39.1</v>
                </pt>
                <pt idx="111">
                  <v>46.9</v>
                </pt>
                <pt idx="112">
                  <v>50.8</v>
                </pt>
                <pt idx="113">
                  <v>47.2</v>
                </pt>
                <pt idx="114">
                  <v>47.8</v>
                </pt>
                <pt idx="115">
                  <v>50.6</v>
                </pt>
                <pt idx="116">
                  <v>51.3</v>
                </pt>
                <pt idx="117">
                  <v>52.2</v>
                </pt>
                <pt idx="118">
                  <v>50.9</v>
                </pt>
                <pt idx="119">
                  <v>53.2</v>
                </pt>
                <pt idx="120">
                  <v>54.6</v>
                </pt>
                <pt idx="121">
                  <v>55.3</v>
                </pt>
                <pt idx="122">
                  <v>53.5</v>
                </pt>
                <pt idx="123">
                  <v>40.1</v>
                </pt>
                <pt idx="124">
                  <v>43.7</v>
                </pt>
                <pt idx="125">
                  <v>52.2</v>
                </pt>
                <pt idx="126">
                  <v>57.2</v>
                </pt>
                <pt idx="127">
                  <v>53.9</v>
                </pt>
                <pt idx="128">
                  <v>53.5</v>
                </pt>
                <pt idx="129">
                  <v>53.7</v>
                </pt>
                <pt idx="130">
                  <v>51.2</v>
                </pt>
                <pt idx="131">
                  <v>51.3</v>
                </pt>
                <pt idx="132">
                  <v>51.9</v>
                </pt>
                <pt idx="133">
                  <v>50.8</v>
                </pt>
                <pt idx="134">
                  <v>50.2</v>
                </pt>
                <pt idx="135">
                  <v>51.3</v>
                </pt>
                <pt idx="136">
                  <v>51.7</v>
                </pt>
                <pt idx="137">
                  <v>53.7</v>
                </pt>
                <pt idx="138">
                  <v>51.8</v>
                </pt>
                <pt idx="139">
                  <v>50.3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4.xml><?xml version="1.0" encoding="utf-8"?>
<chartSpace xmlns="http://schemas.openxmlformats.org/drawingml/2006/chart">
  <chart>
    <title>
      <tx>
        <strRef>
          <f>SouthKorea!$K$2</f>
          <strCache>
            <ptCount val="1"/>
            <pt idx="0">
              <v>South Korea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SouthKorea!$B$5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SouthKorea!$A$6:$A$149</f>
              <numCache>
                <formatCode>m/d/yyyy</formatCode>
                <ptCount val="144"/>
                <pt idx="0">
                  <v>40513</v>
                </pt>
                <pt idx="1">
                  <v>40544</v>
                </pt>
                <pt idx="2">
                  <v>40575</v>
                </pt>
                <pt idx="3">
                  <v>40603</v>
                </pt>
                <pt idx="4">
                  <v>40634</v>
                </pt>
                <pt idx="5">
                  <v>40664</v>
                </pt>
                <pt idx="6">
                  <v>40695</v>
                </pt>
                <pt idx="7">
                  <v>40725</v>
                </pt>
                <pt idx="8">
                  <v>40756</v>
                </pt>
                <pt idx="9">
                  <v>40787</v>
                </pt>
                <pt idx="10">
                  <v>40817</v>
                </pt>
                <pt idx="11">
                  <v>40848</v>
                </pt>
                <pt idx="12">
                  <v>40878</v>
                </pt>
                <pt idx="13">
                  <v>40909</v>
                </pt>
                <pt idx="14">
                  <v>40940</v>
                </pt>
                <pt idx="15">
                  <v>40969</v>
                </pt>
                <pt idx="16">
                  <v>41000</v>
                </pt>
                <pt idx="17">
                  <v>41030</v>
                </pt>
                <pt idx="18">
                  <v>41061</v>
                </pt>
                <pt idx="19">
                  <v>41091</v>
                </pt>
                <pt idx="20">
                  <v>41122</v>
                </pt>
                <pt idx="21">
                  <v>41153</v>
                </pt>
                <pt idx="22">
                  <v>41183</v>
                </pt>
                <pt idx="23">
                  <v>41214</v>
                </pt>
                <pt idx="24">
                  <v>41244</v>
                </pt>
                <pt idx="25">
                  <v>41275</v>
                </pt>
                <pt idx="26">
                  <v>41306</v>
                </pt>
                <pt idx="27">
                  <v>41334</v>
                </pt>
                <pt idx="28">
                  <v>41365</v>
                </pt>
                <pt idx="29">
                  <v>41395</v>
                </pt>
                <pt idx="30">
                  <v>41426</v>
                </pt>
                <pt idx="31">
                  <v>41456</v>
                </pt>
                <pt idx="32">
                  <v>41487</v>
                </pt>
                <pt idx="33">
                  <v>41518</v>
                </pt>
                <pt idx="34">
                  <v>41548</v>
                </pt>
                <pt idx="35">
                  <v>41579</v>
                </pt>
                <pt idx="36">
                  <v>41609</v>
                </pt>
                <pt idx="37">
                  <v>41640</v>
                </pt>
                <pt idx="38">
                  <v>41671</v>
                </pt>
                <pt idx="39">
                  <v>41699</v>
                </pt>
                <pt idx="40">
                  <v>41730</v>
                </pt>
                <pt idx="41">
                  <v>41760</v>
                </pt>
                <pt idx="42">
                  <v>41791</v>
                </pt>
                <pt idx="43">
                  <v>41821</v>
                </pt>
                <pt idx="44">
                  <v>41852</v>
                </pt>
                <pt idx="45">
                  <v>41883</v>
                </pt>
                <pt idx="46">
                  <v>41913</v>
                </pt>
                <pt idx="47">
                  <v>41944</v>
                </pt>
                <pt idx="48">
                  <v>41974</v>
                </pt>
                <pt idx="49">
                  <v>42005</v>
                </pt>
                <pt idx="50">
                  <v>42036</v>
                </pt>
                <pt idx="51">
                  <v>42064</v>
                </pt>
                <pt idx="52">
                  <v>42095</v>
                </pt>
                <pt idx="53">
                  <v>42125</v>
                </pt>
                <pt idx="54">
                  <v>42156</v>
                </pt>
                <pt idx="55">
                  <v>42186</v>
                </pt>
                <pt idx="56">
                  <v>42217</v>
                </pt>
                <pt idx="57">
                  <v>42248</v>
                </pt>
                <pt idx="58">
                  <v>42278</v>
                </pt>
                <pt idx="59">
                  <v>42309</v>
                </pt>
                <pt idx="60">
                  <v>42339</v>
                </pt>
                <pt idx="61">
                  <v>42370</v>
                </pt>
                <pt idx="62">
                  <v>42401</v>
                </pt>
                <pt idx="63">
                  <v>42430</v>
                </pt>
                <pt idx="64">
                  <v>42461</v>
                </pt>
                <pt idx="65">
                  <v>42491</v>
                </pt>
                <pt idx="66">
                  <v>42522</v>
                </pt>
                <pt idx="67">
                  <v>42552</v>
                </pt>
                <pt idx="68">
                  <v>42583</v>
                </pt>
                <pt idx="69">
                  <v>42614</v>
                </pt>
                <pt idx="70">
                  <v>42644</v>
                </pt>
                <pt idx="71">
                  <v>42675</v>
                </pt>
                <pt idx="72">
                  <v>42705</v>
                </pt>
                <pt idx="73">
                  <v>42736</v>
                </pt>
                <pt idx="74">
                  <v>42767</v>
                </pt>
                <pt idx="75">
                  <v>42795</v>
                </pt>
                <pt idx="76">
                  <v>42826</v>
                </pt>
                <pt idx="77">
                  <v>42856</v>
                </pt>
                <pt idx="78">
                  <v>42887</v>
                </pt>
                <pt idx="79">
                  <v>42917</v>
                </pt>
                <pt idx="80">
                  <v>42948</v>
                </pt>
                <pt idx="81">
                  <v>42979</v>
                </pt>
                <pt idx="82">
                  <v>43009</v>
                </pt>
                <pt idx="83">
                  <v>43040</v>
                </pt>
                <pt idx="84">
                  <v>43070</v>
                </pt>
                <pt idx="85">
                  <v>43101</v>
                </pt>
                <pt idx="86">
                  <v>43132</v>
                </pt>
                <pt idx="87">
                  <v>43160</v>
                </pt>
                <pt idx="88">
                  <v>43191</v>
                </pt>
                <pt idx="89">
                  <v>43221</v>
                </pt>
                <pt idx="90">
                  <v>43252</v>
                </pt>
                <pt idx="91">
                  <v>43282</v>
                </pt>
                <pt idx="92">
                  <v>43313</v>
                </pt>
                <pt idx="93">
                  <v>43344</v>
                </pt>
                <pt idx="94">
                  <v>43374</v>
                </pt>
                <pt idx="95">
                  <v>43405</v>
                </pt>
                <pt idx="96">
                  <v>43435</v>
                </pt>
                <pt idx="97">
                  <v>43466</v>
                </pt>
                <pt idx="98">
                  <v>43497</v>
                </pt>
                <pt idx="99">
                  <v>43525</v>
                </pt>
                <pt idx="100">
                  <v>43556</v>
                </pt>
                <pt idx="101">
                  <v>43586</v>
                </pt>
                <pt idx="102">
                  <v>43617</v>
                </pt>
                <pt idx="103">
                  <v>43647</v>
                </pt>
                <pt idx="104">
                  <v>43678</v>
                </pt>
                <pt idx="105">
                  <v>43709</v>
                </pt>
                <pt idx="106">
                  <v>43739</v>
                </pt>
                <pt idx="107">
                  <v>43770</v>
                </pt>
                <pt idx="108">
                  <v>43800</v>
                </pt>
                <pt idx="109">
                  <v>43831</v>
                </pt>
                <pt idx="110">
                  <v>43862</v>
                </pt>
                <pt idx="111">
                  <v>43891</v>
                </pt>
                <pt idx="112">
                  <v>43922</v>
                </pt>
                <pt idx="113">
                  <v>43952</v>
                </pt>
                <pt idx="114">
                  <v>43983</v>
                </pt>
                <pt idx="115">
                  <v>44013</v>
                </pt>
                <pt idx="116">
                  <v>44044</v>
                </pt>
                <pt idx="117">
                  <v>44075</v>
                </pt>
                <pt idx="118">
                  <v>44105</v>
                </pt>
                <pt idx="119">
                  <v>44136</v>
                </pt>
                <pt idx="120">
                  <v>44166</v>
                </pt>
                <pt idx="121">
                  <v>44197</v>
                </pt>
                <pt idx="122">
                  <v>44228</v>
                </pt>
                <pt idx="123">
                  <v>44256</v>
                </pt>
                <pt idx="124">
                  <v>44287</v>
                </pt>
                <pt idx="125">
                  <v>44317</v>
                </pt>
                <pt idx="126">
                  <v>44348</v>
                </pt>
                <pt idx="127">
                  <v>44378</v>
                </pt>
                <pt idx="128">
                  <v>44409</v>
                </pt>
                <pt idx="129">
                  <v>44440</v>
                </pt>
                <pt idx="130">
                  <v>44470</v>
                </pt>
                <pt idx="131">
                  <v>44501</v>
                </pt>
                <pt idx="132">
                  <v>44531</v>
                </pt>
                <pt idx="133">
                  <v>44562</v>
                </pt>
                <pt idx="134">
                  <v>44593</v>
                </pt>
                <pt idx="135">
                  <v>44621</v>
                </pt>
                <pt idx="136">
                  <v>44652</v>
                </pt>
                <pt idx="137">
                  <v>44682</v>
                </pt>
                <pt idx="138">
                  <v>44713</v>
                </pt>
                <pt idx="139">
                  <v>44743</v>
                </pt>
                <pt idx="140">
                  <v>44774</v>
                </pt>
                <pt idx="141">
                  <v>44805</v>
                </pt>
                <pt idx="142">
                  <v>44835</v>
                </pt>
                <pt idx="143">
                  <v>44866</v>
                </pt>
              </numCache>
            </numRef>
          </cat>
          <val>
            <numRef>
              <f>SouthKorea!$B$6:$B$149</f>
              <numCache>
                <formatCode>General</formatCode>
                <ptCount val="144"/>
                <pt idx="0">
                  <v>53.9</v>
                </pt>
                <pt idx="1">
                  <v>53.5</v>
                </pt>
                <pt idx="2">
                  <v>53.4</v>
                </pt>
                <pt idx="3">
                  <v>52.8</v>
                </pt>
                <pt idx="4">
                  <v>51.7</v>
                </pt>
                <pt idx="5">
                  <v>51.2</v>
                </pt>
                <pt idx="6">
                  <v>51.2</v>
                </pt>
                <pt idx="7">
                  <v>51.1</v>
                </pt>
                <pt idx="8">
                  <v>51.3</v>
                </pt>
                <pt idx="9">
                  <v>49.7</v>
                </pt>
                <pt idx="10">
                  <v>47.4</v>
                </pt>
                <pt idx="11">
                  <v>48</v>
                </pt>
                <pt idx="12">
                  <v>47.1</v>
                </pt>
                <pt idx="13">
                  <v>49.2</v>
                </pt>
                <pt idx="14">
                  <v>50.7</v>
                </pt>
                <pt idx="15">
                  <v>52</v>
                </pt>
                <pt idx="16">
                  <v>51.9</v>
                </pt>
                <pt idx="17">
                  <v>51</v>
                </pt>
                <pt idx="18">
                  <v>49.4</v>
                </pt>
                <pt idx="19">
                  <v>47.2</v>
                </pt>
                <pt idx="20">
                  <v>47.5</v>
                </pt>
                <pt idx="21">
                  <v>45.7</v>
                </pt>
                <pt idx="22">
                  <v>47.4</v>
                </pt>
                <pt idx="23">
                  <v>48.2</v>
                </pt>
                <pt idx="24">
                  <v>50.1</v>
                </pt>
                <pt idx="25">
                  <v>49.9</v>
                </pt>
                <pt idx="26">
                  <v>50.9</v>
                </pt>
                <pt idx="27">
                  <v>52</v>
                </pt>
                <pt idx="28">
                  <v>52.6</v>
                </pt>
                <pt idx="29">
                  <v>51.1</v>
                </pt>
                <pt idx="30">
                  <v>49.4</v>
                </pt>
                <pt idx="31">
                  <v>47.2</v>
                </pt>
                <pt idx="32">
                  <v>47.5</v>
                </pt>
                <pt idx="33">
                  <v>49.7</v>
                </pt>
                <pt idx="34">
                  <v>50.2</v>
                </pt>
                <pt idx="35">
                  <v>50.4</v>
                </pt>
                <pt idx="36">
                  <v>50.8</v>
                </pt>
                <pt idx="37">
                  <v>50.9</v>
                </pt>
                <pt idx="38">
                  <v>49.8</v>
                </pt>
                <pt idx="39">
                  <v>50.4</v>
                </pt>
                <pt idx="40">
                  <v>50.2</v>
                </pt>
                <pt idx="41">
                  <v>49.5</v>
                </pt>
                <pt idx="42">
                  <v>48.4</v>
                </pt>
                <pt idx="43">
                  <v>48.5066666666667</v>
                </pt>
                <pt idx="44">
                  <v>50.3</v>
                </pt>
                <pt idx="45">
                  <v>48.8</v>
                </pt>
                <pt idx="46">
                  <v>48.7</v>
                </pt>
                <pt idx="47">
                  <v>49</v>
                </pt>
                <pt idx="48">
                  <v>49.9</v>
                </pt>
                <pt idx="49">
                  <v>51.1</v>
                </pt>
                <pt idx="50">
                  <v>51.1</v>
                </pt>
                <pt idx="51">
                  <v>49.2</v>
                </pt>
                <pt idx="52">
                  <v>48.8</v>
                </pt>
                <pt idx="53">
                  <v>47.8</v>
                </pt>
                <pt idx="54">
                  <v>46.1</v>
                </pt>
                <pt idx="55">
                  <v>47.6</v>
                </pt>
                <pt idx="56">
                  <v>47.9</v>
                </pt>
                <pt idx="57">
                  <v>49.2</v>
                </pt>
                <pt idx="58">
                  <v>49.1</v>
                </pt>
                <pt idx="59">
                  <v>49.1</v>
                </pt>
                <pt idx="60">
                  <v>50.7</v>
                </pt>
                <pt idx="61">
                  <v>49.5</v>
                </pt>
                <pt idx="62">
                  <v>48.7</v>
                </pt>
                <pt idx="63">
                  <v>49.5</v>
                </pt>
                <pt idx="64">
                  <v>50</v>
                </pt>
                <pt idx="65">
                  <v>50.1</v>
                </pt>
                <pt idx="66">
                  <v>50.5</v>
                </pt>
                <pt idx="67">
                  <v>50.1</v>
                </pt>
                <pt idx="68">
                  <v>48.6</v>
                </pt>
                <pt idx="69">
                  <v>47.6</v>
                </pt>
                <pt idx="70">
                  <v>48</v>
                </pt>
                <pt idx="71">
                  <v>48</v>
                </pt>
                <pt idx="72">
                  <v>49.4</v>
                </pt>
                <pt idx="73">
                  <v>49</v>
                </pt>
                <pt idx="74">
                  <v>49.2</v>
                </pt>
                <pt idx="75">
                  <v>48.4</v>
                </pt>
                <pt idx="76">
                  <v>49.4</v>
                </pt>
                <pt idx="77">
                  <v>49.2</v>
                </pt>
                <pt idx="78">
                  <v>50.1</v>
                </pt>
                <pt idx="79">
                  <v>49.1</v>
                </pt>
                <pt idx="80">
                  <v>49.9</v>
                </pt>
                <pt idx="81">
                  <v>50.6</v>
                </pt>
                <pt idx="82">
                  <v>50.2</v>
                </pt>
                <pt idx="83">
                  <v>51.2</v>
                </pt>
                <pt idx="84">
                  <v>49.9</v>
                </pt>
                <pt idx="85">
                  <v>50.7</v>
                </pt>
                <pt idx="86">
                  <v>50.3</v>
                </pt>
                <pt idx="87">
                  <v>49.1</v>
                </pt>
                <pt idx="88">
                  <v>48.4</v>
                </pt>
                <pt idx="89">
                  <v>48.9</v>
                </pt>
                <pt idx="90">
                  <v>49.8</v>
                </pt>
                <pt idx="91">
                  <v>48.3</v>
                </pt>
                <pt idx="92">
                  <v>49.9</v>
                </pt>
                <pt idx="93">
                  <v>51.3</v>
                </pt>
                <pt idx="94">
                  <v>51</v>
                </pt>
                <pt idx="95">
                  <v>48.6</v>
                </pt>
                <pt idx="96">
                  <v>49.8</v>
                </pt>
                <pt idx="97">
                  <v>48.3</v>
                </pt>
                <pt idx="98">
                  <v>47.2</v>
                </pt>
                <pt idx="99">
                  <v>48.8</v>
                </pt>
                <pt idx="100">
                  <v>50.2</v>
                </pt>
                <pt idx="101">
                  <v>48.4</v>
                </pt>
                <pt idx="102">
                  <v>47.5</v>
                </pt>
                <pt idx="103">
                  <v>47.3</v>
                </pt>
                <pt idx="104">
                  <v>49</v>
                </pt>
                <pt idx="105">
                  <v>48</v>
                </pt>
                <pt idx="106">
                  <v>48.4</v>
                </pt>
                <pt idx="107">
                  <v>49.4</v>
                </pt>
                <pt idx="108">
                  <v>50.1</v>
                </pt>
                <pt idx="109">
                  <v>49.8</v>
                </pt>
                <pt idx="110">
                  <v>48.7</v>
                </pt>
                <pt idx="111">
                  <v>44.2</v>
                </pt>
                <pt idx="112">
                  <v>41.6</v>
                </pt>
                <pt idx="113">
                  <v>41.3</v>
                </pt>
                <pt idx="114">
                  <v>43.4</v>
                </pt>
                <pt idx="115">
                  <v>46.9</v>
                </pt>
                <pt idx="116">
                  <v>48.5</v>
                </pt>
                <pt idx="117">
                  <v>49.8</v>
                </pt>
                <pt idx="118">
                  <v>51.2</v>
                </pt>
                <pt idx="119">
                  <v>52.9</v>
                </pt>
                <pt idx="120">
                  <v>52.9</v>
                </pt>
                <pt idx="121">
                  <v>53.2</v>
                </pt>
                <pt idx="122">
                  <v>55.3</v>
                </pt>
                <pt idx="123">
                  <v>55.3</v>
                </pt>
                <pt idx="124">
                  <v>54.6</v>
                </pt>
                <pt idx="125">
                  <v>53.7</v>
                </pt>
                <pt idx="126">
                  <v>53.9</v>
                </pt>
                <pt idx="127">
                  <v>53</v>
                </pt>
                <pt idx="128">
                  <v>51.2</v>
                </pt>
                <pt idx="129">
                  <v>52.4</v>
                </pt>
                <pt idx="130">
                  <v>50.2</v>
                </pt>
                <pt idx="131">
                  <v>50.9</v>
                </pt>
                <pt idx="132">
                  <v>51.9</v>
                </pt>
                <pt idx="133">
                  <v>52.8</v>
                </pt>
                <pt idx="134">
                  <v>53.8</v>
                </pt>
                <pt idx="135">
                  <v>51.2</v>
                </pt>
                <pt idx="136">
                  <v>52.1</v>
                </pt>
                <pt idx="137">
                  <v>51.8</v>
                </pt>
                <pt idx="138">
                  <v>51.3</v>
                </pt>
                <pt idx="139">
                  <v>49.8</v>
                </pt>
                <pt idx="140">
                  <v>47.6</v>
                </pt>
                <pt idx="141">
                  <v>47.3</v>
                </pt>
                <pt idx="142">
                  <v>48.2</v>
                </pt>
                <pt idx="143">
                  <v>49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5.xml><?xml version="1.0" encoding="utf-8"?>
<chartSpace xmlns="http://schemas.openxmlformats.org/drawingml/2006/chart">
  <chart>
    <title>
      <tx>
        <strRef>
          <f>Taiwan!$K$2</f>
          <strCache>
            <ptCount val="1"/>
            <pt idx="0">
              <v>Taiwan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Taiwan!$B$5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Taiwan!$A$6:$A$151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Taiwan!$B$6:$B$151</f>
              <numCache>
                <formatCode>General</formatCode>
                <ptCount val="146"/>
                <pt idx="0">
                  <v>48.6</v>
                </pt>
                <pt idx="1">
                  <v>51.7</v>
                </pt>
                <pt idx="2">
                  <v>51.7</v>
                </pt>
                <pt idx="3">
                  <v>54.6</v>
                </pt>
                <pt idx="4">
                  <v>55.8</v>
                </pt>
                <pt idx="5">
                  <v>55.6</v>
                </pt>
                <pt idx="6">
                  <v>58.2</v>
                </pt>
                <pt idx="7">
                  <v>54.9</v>
                </pt>
                <pt idx="8">
                  <v>49.9</v>
                </pt>
                <pt idx="9">
                  <v>46.1</v>
                </pt>
                <pt idx="10">
                  <v>45.2</v>
                </pt>
                <pt idx="11">
                  <v>44.5</v>
                </pt>
                <pt idx="12">
                  <v>48</v>
                </pt>
                <pt idx="13">
                  <v>47.1</v>
                </pt>
                <pt idx="14">
                  <v>47.1</v>
                </pt>
                <pt idx="15">
                  <v>47.1</v>
                </pt>
                <pt idx="16">
                  <v>48.9</v>
                </pt>
                <pt idx="17">
                  <v>52.7</v>
                </pt>
                <pt idx="18">
                  <v>54.1</v>
                </pt>
                <pt idx="19">
                  <v>51.2</v>
                </pt>
                <pt idx="20">
                  <v>50.5</v>
                </pt>
                <pt idx="21">
                  <v>49.2</v>
                </pt>
                <pt idx="22">
                  <v>47.5</v>
                </pt>
                <pt idx="23">
                  <v>46.1</v>
                </pt>
                <pt idx="24">
                  <v>45.6</v>
                </pt>
                <pt idx="25">
                  <v>47.8</v>
                </pt>
                <pt idx="26">
                  <v>47.4</v>
                </pt>
                <pt idx="27">
                  <v>51.5</v>
                </pt>
                <pt idx="28">
                  <v>51.5</v>
                </pt>
                <pt idx="29">
                  <v>50.2</v>
                </pt>
                <pt idx="30">
                  <v>51.2</v>
                </pt>
                <pt idx="31">
                  <v>50.7</v>
                </pt>
                <pt idx="32">
                  <v>47.1</v>
                </pt>
                <pt idx="33">
                  <v>49.5</v>
                </pt>
                <pt idx="34">
                  <v>48.6</v>
                </pt>
                <pt idx="35">
                  <v>50</v>
                </pt>
                <pt idx="36">
                  <v>52</v>
                </pt>
                <pt idx="37">
                  <v>53</v>
                </pt>
                <pt idx="38">
                  <v>53.4</v>
                </pt>
                <pt idx="39">
                  <v>55.5</v>
                </pt>
                <pt idx="40">
                  <v>54.7</v>
                </pt>
                <pt idx="41">
                  <v>52.7</v>
                </pt>
                <pt idx="42">
                  <v>52.3</v>
                </pt>
                <pt idx="43">
                  <v>52.4</v>
                </pt>
                <pt idx="44">
                  <v>54</v>
                </pt>
                <pt idx="45">
                  <v>55.8</v>
                </pt>
                <pt idx="46">
                  <v>56.1</v>
                </pt>
                <pt idx="47">
                  <v>53.3</v>
                </pt>
                <pt idx="48">
                  <v>52</v>
                </pt>
                <pt idx="49">
                  <v>51.4</v>
                </pt>
                <pt idx="50">
                  <v>50</v>
                </pt>
                <pt idx="51">
                  <v>51.7</v>
                </pt>
                <pt idx="52">
                  <v>52.1</v>
                </pt>
                <pt idx="53">
                  <v>51</v>
                </pt>
                <pt idx="54">
                  <v>49.2</v>
                </pt>
                <pt idx="55">
                  <v>49.3</v>
                </pt>
                <pt idx="56">
                  <v>46.3</v>
                </pt>
                <pt idx="57">
                  <v>47.1</v>
                </pt>
                <pt idx="58">
                  <v>46.1</v>
                </pt>
                <pt idx="59">
                  <v>46.9</v>
                </pt>
                <pt idx="60">
                  <v>47.8</v>
                </pt>
                <pt idx="61">
                  <v>49.5</v>
                </pt>
                <pt idx="62">
                  <v>51.7</v>
                </pt>
                <pt idx="63">
                  <v>50.6</v>
                </pt>
                <pt idx="64">
                  <v>49.4</v>
                </pt>
                <pt idx="65">
                  <v>51.1</v>
                </pt>
                <pt idx="66">
                  <v>49.7</v>
                </pt>
                <pt idx="67">
                  <v>48.5</v>
                </pt>
                <pt idx="68">
                  <v>50.5</v>
                </pt>
                <pt idx="69">
                  <v>51</v>
                </pt>
                <pt idx="70">
                  <v>51.8</v>
                </pt>
                <pt idx="71">
                  <v>52.2</v>
                </pt>
                <pt idx="72">
                  <v>52.7</v>
                </pt>
                <pt idx="73">
                  <v>54.7</v>
                </pt>
                <pt idx="74">
                  <v>56.2</v>
                </pt>
                <pt idx="75">
                  <v>55.6</v>
                </pt>
                <pt idx="76">
                  <v>54.5</v>
                </pt>
                <pt idx="77">
                  <v>56.2</v>
                </pt>
                <pt idx="78">
                  <v>54.4</v>
                </pt>
                <pt idx="79">
                  <v>53.1</v>
                </pt>
                <pt idx="80">
                  <v>53.3</v>
                </pt>
                <pt idx="81">
                  <v>53.6</v>
                </pt>
                <pt idx="82">
                  <v>54.3</v>
                </pt>
                <pt idx="83">
                  <v>54.2</v>
                </pt>
                <pt idx="84">
                  <v>53.6</v>
                </pt>
                <pt idx="85">
                  <v>56.3</v>
                </pt>
                <pt idx="86">
                  <v>56.6</v>
                </pt>
                <pt idx="87">
                  <v>56.9</v>
                </pt>
                <pt idx="88">
                  <v>56</v>
                </pt>
                <pt idx="89">
                  <v>55.3</v>
                </pt>
                <pt idx="90">
                  <v>54.8</v>
                </pt>
                <pt idx="91">
                  <v>53.4</v>
                </pt>
                <pt idx="92">
                  <v>54.5</v>
                </pt>
                <pt idx="93">
                  <v>53.1</v>
                </pt>
                <pt idx="94">
                  <v>53</v>
                </pt>
                <pt idx="95">
                  <v>50.8</v>
                </pt>
                <pt idx="96">
                  <v>48.7</v>
                </pt>
                <pt idx="97">
                  <v>48.4</v>
                </pt>
                <pt idx="98">
                  <v>47.7</v>
                </pt>
                <pt idx="99">
                  <v>47.5</v>
                </pt>
                <pt idx="100">
                  <v>46.3</v>
                </pt>
                <pt idx="101">
                  <v>49</v>
                </pt>
                <pt idx="102">
                  <v>48.2</v>
                </pt>
                <pt idx="103">
                  <v>48.4</v>
                </pt>
                <pt idx="104">
                  <v>45.5</v>
                </pt>
                <pt idx="105">
                  <v>48.1</v>
                </pt>
                <pt idx="106">
                  <v>47.9</v>
                </pt>
                <pt idx="107">
                  <v>50</v>
                </pt>
                <pt idx="108">
                  <v>49.8</v>
                </pt>
                <pt idx="109">
                  <v>49.8</v>
                </pt>
                <pt idx="110">
                  <v>50.8</v>
                </pt>
                <pt idx="111">
                  <v>51.8</v>
                </pt>
                <pt idx="112">
                  <v>49.9</v>
                </pt>
                <pt idx="113">
                  <v>50.4</v>
                </pt>
                <pt idx="114">
                  <v>42.2</v>
                </pt>
                <pt idx="115">
                  <v>41.9</v>
                </pt>
                <pt idx="116">
                  <v>46.2</v>
                </pt>
                <pt idx="117">
                  <v>50.6</v>
                </pt>
                <pt idx="118">
                  <v>52.2</v>
                </pt>
                <pt idx="119">
                  <v>55.2</v>
                </pt>
                <pt idx="120">
                  <v>55.1</v>
                </pt>
                <pt idx="121">
                  <v>56.9</v>
                </pt>
                <pt idx="122">
                  <v>59.4</v>
                </pt>
                <pt idx="123">
                  <v>60.2</v>
                </pt>
                <pt idx="124">
                  <v>60.4</v>
                </pt>
                <pt idx="125">
                  <v>60.8</v>
                </pt>
                <pt idx="126">
                  <v>62.4</v>
                </pt>
                <pt idx="127">
                  <v>62</v>
                </pt>
                <pt idx="128">
                  <v>57.6</v>
                </pt>
                <pt idx="129">
                  <v>59.7</v>
                </pt>
                <pt idx="130">
                  <v>58.5</v>
                </pt>
                <pt idx="131">
                  <v>54.7</v>
                </pt>
                <pt idx="132">
                  <v>55.2</v>
                </pt>
                <pt idx="133">
                  <v>54.9</v>
                </pt>
                <pt idx="134">
                  <v>55.5</v>
                </pt>
                <pt idx="135">
                  <v>55.1</v>
                </pt>
                <pt idx="136">
                  <v>54.3</v>
                </pt>
                <pt idx="137">
                  <v>54.1</v>
                </pt>
                <pt idx="138">
                  <v>51.7</v>
                </pt>
                <pt idx="139">
                  <v>50</v>
                </pt>
                <pt idx="140">
                  <v>49.8</v>
                </pt>
                <pt idx="141">
                  <v>44.6</v>
                </pt>
                <pt idx="142">
                  <v>42.7</v>
                </pt>
                <pt idx="143">
                  <v>42.2</v>
                </pt>
                <pt idx="144">
                  <v>41.5</v>
                </pt>
                <pt idx="145">
                  <v>41.6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6.xml><?xml version="1.0" encoding="utf-8"?>
<chartSpace xmlns="http://schemas.openxmlformats.org/drawingml/2006/chart">
  <chart>
    <title>
      <tx>
        <strRef>
          <f>Greece!$K$2</f>
          <strCache>
            <ptCount val="1"/>
            <pt idx="0">
              <v>Greece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Greece!$B$5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Greece!$A$6:$A$151</f>
              <numCache>
                <formatCode>m/d/yyyy</formatCode>
                <ptCount val="146"/>
                <pt idx="0">
                  <v>40482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Greece!$B$6:$B$151</f>
              <numCache>
                <formatCode>General</formatCode>
                <ptCount val="146"/>
                <pt idx="0">
                  <v>43.6</v>
                </pt>
                <pt idx="1">
                  <v>43.9</v>
                </pt>
                <pt idx="2">
                  <v>43.1</v>
                </pt>
                <pt idx="3">
                  <v>42.8</v>
                </pt>
                <pt idx="4">
                  <v>43.8</v>
                </pt>
                <pt idx="5">
                  <v>45.4</v>
                </pt>
                <pt idx="6">
                  <v>46.8</v>
                </pt>
                <pt idx="7">
                  <v>44.5</v>
                </pt>
                <pt idx="8">
                  <v>45.5</v>
                </pt>
                <pt idx="9">
                  <v>45.2</v>
                </pt>
                <pt idx="10">
                  <v>43.3</v>
                </pt>
                <pt idx="11">
                  <v>43.2</v>
                </pt>
                <pt idx="12">
                  <v>40.5</v>
                </pt>
                <pt idx="13">
                  <v>40.9</v>
                </pt>
                <pt idx="14">
                  <v>42</v>
                </pt>
                <pt idx="15">
                  <v>41</v>
                </pt>
                <pt idx="16">
                  <v>37.7</v>
                </pt>
                <pt idx="17">
                  <v>41.3</v>
                </pt>
                <pt idx="18">
                  <v>40.7</v>
                </pt>
                <pt idx="19">
                  <v>43.1</v>
                </pt>
                <pt idx="20">
                  <v>40.1</v>
                </pt>
                <pt idx="21">
                  <v>41.9</v>
                </pt>
                <pt idx="22">
                  <v>42.1</v>
                </pt>
                <pt idx="23">
                  <v>42.2</v>
                </pt>
                <pt idx="24">
                  <v>41</v>
                </pt>
                <pt idx="25">
                  <v>41.8</v>
                </pt>
                <pt idx="26">
                  <v>41.4</v>
                </pt>
                <pt idx="27">
                  <v>41.7</v>
                </pt>
                <pt idx="28">
                  <v>43</v>
                </pt>
                <pt idx="29">
                  <v>42.1</v>
                </pt>
                <pt idx="30">
                  <v>45</v>
                </pt>
                <pt idx="31">
                  <v>45.3</v>
                </pt>
                <pt idx="32">
                  <v>45.4</v>
                </pt>
                <pt idx="33">
                  <v>47</v>
                </pt>
                <pt idx="34">
                  <v>48.7</v>
                </pt>
                <pt idx="35">
                  <v>47.5</v>
                </pt>
                <pt idx="36">
                  <v>47.3</v>
                </pt>
                <pt idx="37">
                  <v>49.2</v>
                </pt>
                <pt idx="38">
                  <v>49.6</v>
                </pt>
                <pt idx="39">
                  <v>51.2</v>
                </pt>
                <pt idx="40">
                  <v>51.3</v>
                </pt>
                <pt idx="41">
                  <v>49.7</v>
                </pt>
                <pt idx="42">
                  <v>51.1</v>
                </pt>
                <pt idx="43">
                  <v>51</v>
                </pt>
                <pt idx="44">
                  <v>49.4</v>
                </pt>
                <pt idx="45">
                  <v>48.7</v>
                </pt>
                <pt idx="46">
                  <v>50.1</v>
                </pt>
                <pt idx="47">
                  <v>48.4</v>
                </pt>
                <pt idx="48">
                  <v>48.8</v>
                </pt>
                <pt idx="49">
                  <v>49.1</v>
                </pt>
                <pt idx="50">
                  <v>49.4</v>
                </pt>
                <pt idx="51">
                  <v>48.3</v>
                </pt>
                <pt idx="52">
                  <v>48.4</v>
                </pt>
                <pt idx="53">
                  <v>48.9</v>
                </pt>
                <pt idx="54">
                  <v>46.5</v>
                </pt>
                <pt idx="55">
                  <v>48</v>
                </pt>
                <pt idx="56">
                  <v>46.9</v>
                </pt>
                <pt idx="57">
                  <v>30.2</v>
                </pt>
                <pt idx="58">
                  <v>39.1</v>
                </pt>
                <pt idx="59">
                  <v>43.3</v>
                </pt>
                <pt idx="60">
                  <v>47.3</v>
                </pt>
                <pt idx="61">
                  <v>48.1</v>
                </pt>
                <pt idx="62">
                  <v>50.2</v>
                </pt>
                <pt idx="63">
                  <v>50</v>
                </pt>
                <pt idx="64">
                  <v>48.4</v>
                </pt>
                <pt idx="65">
                  <v>49</v>
                </pt>
                <pt idx="66">
                  <v>49.7</v>
                </pt>
                <pt idx="67">
                  <v>48.4</v>
                </pt>
                <pt idx="68">
                  <v>50.4</v>
                </pt>
                <pt idx="69">
                  <v>48.7</v>
                </pt>
                <pt idx="70">
                  <v>50.4</v>
                </pt>
                <pt idx="71">
                  <v>49.2</v>
                </pt>
                <pt idx="72">
                  <v>48.6</v>
                </pt>
                <pt idx="73">
                  <v>48.3</v>
                </pt>
                <pt idx="74">
                  <v>49.3</v>
                </pt>
                <pt idx="75">
                  <v>46.6</v>
                </pt>
                <pt idx="76">
                  <v>47.7</v>
                </pt>
                <pt idx="77">
                  <v>46.7</v>
                </pt>
                <pt idx="78">
                  <v>48.2</v>
                </pt>
                <pt idx="79">
                  <v>49.6</v>
                </pt>
                <pt idx="80">
                  <v>50.5</v>
                </pt>
                <pt idx="81">
                  <v>50.5</v>
                </pt>
                <pt idx="82">
                  <v>52.2</v>
                </pt>
                <pt idx="83">
                  <v>52.8</v>
                </pt>
                <pt idx="84">
                  <v>52.1</v>
                </pt>
                <pt idx="85">
                  <v>52.2</v>
                </pt>
                <pt idx="86">
                  <v>53.1</v>
                </pt>
                <pt idx="87">
                  <v>55.2</v>
                </pt>
                <pt idx="88">
                  <v>56.1</v>
                </pt>
                <pt idx="89">
                  <v>55</v>
                </pt>
                <pt idx="90">
                  <v>52.9</v>
                </pt>
                <pt idx="91">
                  <v>54.2</v>
                </pt>
                <pt idx="92">
                  <v>53.5</v>
                </pt>
                <pt idx="93">
                  <v>53.5</v>
                </pt>
                <pt idx="94">
                  <v>53.9</v>
                </pt>
                <pt idx="95">
                  <v>53.6</v>
                </pt>
                <pt idx="96">
                  <v>53.1</v>
                </pt>
                <pt idx="97">
                  <v>54</v>
                </pt>
                <pt idx="98">
                  <v>53.8</v>
                </pt>
                <pt idx="99">
                  <v>53.7</v>
                </pt>
                <pt idx="100">
                  <v>54.2</v>
                </pt>
                <pt idx="101">
                  <v>54.7</v>
                </pt>
                <pt idx="102">
                  <v>56.6</v>
                </pt>
                <pt idx="103">
                  <v>54.2</v>
                </pt>
                <pt idx="104">
                  <v>52.4</v>
                </pt>
                <pt idx="105">
                  <v>54.6</v>
                </pt>
                <pt idx="106">
                  <v>54.9</v>
                </pt>
                <pt idx="107">
                  <v>53.6</v>
                </pt>
                <pt idx="108">
                  <v>53.5</v>
                </pt>
                <pt idx="109">
                  <v>54.1</v>
                </pt>
                <pt idx="110">
                  <v>53.9</v>
                </pt>
                <pt idx="111">
                  <v>54.4</v>
                </pt>
                <pt idx="112">
                  <v>56.2</v>
                </pt>
                <pt idx="113">
                  <v>42.5</v>
                </pt>
                <pt idx="114">
                  <v>29.5</v>
                </pt>
                <pt idx="115">
                  <v>41.1</v>
                </pt>
                <pt idx="116">
                  <v>49.4</v>
                </pt>
                <pt idx="117">
                  <v>48.6</v>
                </pt>
                <pt idx="118">
                  <v>49.4</v>
                </pt>
                <pt idx="119">
                  <v>50</v>
                </pt>
                <pt idx="120">
                  <v>48.7</v>
                </pt>
                <pt idx="121">
                  <v>42.3</v>
                </pt>
                <pt idx="122">
                  <v>46.9</v>
                </pt>
                <pt idx="123">
                  <v>50</v>
                </pt>
                <pt idx="124">
                  <v>49.4</v>
                </pt>
                <pt idx="125">
                  <v>51.8</v>
                </pt>
                <pt idx="126">
                  <v>54.4</v>
                </pt>
                <pt idx="127">
                  <v>58</v>
                </pt>
                <pt idx="128">
                  <v>58.6</v>
                </pt>
                <pt idx="129">
                  <v>57.4</v>
                </pt>
                <pt idx="130">
                  <v>59.3</v>
                </pt>
                <pt idx="131">
                  <v>58.4</v>
                </pt>
                <pt idx="132">
                  <v>58.9</v>
                </pt>
                <pt idx="133">
                  <v>58.8</v>
                </pt>
                <pt idx="134">
                  <v>59</v>
                </pt>
                <pt idx="135">
                  <v>57.9</v>
                </pt>
                <pt idx="136">
                  <v>57.8</v>
                </pt>
                <pt idx="137">
                  <v>54.6</v>
                </pt>
                <pt idx="138">
                  <v>54.8</v>
                </pt>
                <pt idx="139">
                  <v>53.8</v>
                </pt>
                <pt idx="140">
                  <v>51.1</v>
                </pt>
                <pt idx="141">
                  <v>49.1</v>
                </pt>
                <pt idx="142">
                  <v>48.8</v>
                </pt>
                <pt idx="143">
                  <v>49.7</v>
                </pt>
                <pt idx="144">
                  <v>48.1</v>
                </pt>
                <pt idx="145">
                  <v>48.4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7.xml><?xml version="1.0" encoding="utf-8"?>
<chartSpace xmlns="http://schemas.openxmlformats.org/drawingml/2006/chart">
  <chart>
    <title>
      <tx>
        <strRef>
          <f>Ireland!$K$2</f>
          <strCache>
            <ptCount val="1"/>
            <pt idx="0">
              <v>Ireland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Ireland!$B$6:$B$151</f>
              <numCache>
                <formatCode>General</formatCode>
                <ptCount val="146"/>
                <pt idx="0">
                  <v>50.9</v>
                </pt>
                <pt idx="1">
                  <v>51.2</v>
                </pt>
                <pt idx="2">
                  <v>52.2</v>
                </pt>
                <pt idx="3">
                  <v>55.8</v>
                </pt>
                <pt idx="4">
                  <v>56.7</v>
                </pt>
                <pt idx="5">
                  <v>55.7</v>
                </pt>
                <pt idx="6">
                  <v>56</v>
                </pt>
                <pt idx="7">
                  <v>51.8</v>
                </pt>
                <pt idx="8">
                  <v>49.8</v>
                </pt>
                <pt idx="9">
                  <v>48.2</v>
                </pt>
                <pt idx="10">
                  <v>49.7</v>
                </pt>
                <pt idx="11">
                  <v>47.3</v>
                </pt>
                <pt idx="12">
                  <v>50.1</v>
                </pt>
                <pt idx="13">
                  <v>48.5</v>
                </pt>
                <pt idx="14">
                  <v>49.8</v>
                </pt>
                <pt idx="15">
                  <v>49.3</v>
                </pt>
                <pt idx="16">
                  <v>49.7</v>
                </pt>
                <pt idx="17">
                  <v>51.5</v>
                </pt>
                <pt idx="18">
                  <v>50.1</v>
                </pt>
                <pt idx="19">
                  <v>51.2</v>
                </pt>
                <pt idx="20">
                  <v>53.1</v>
                </pt>
                <pt idx="21">
                  <v>53.9</v>
                </pt>
                <pt idx="22">
                  <v>50.9</v>
                </pt>
                <pt idx="23">
                  <v>51.8</v>
                </pt>
                <pt idx="24">
                  <v>52.1</v>
                </pt>
                <pt idx="25">
                  <v>52.4</v>
                </pt>
                <pt idx="26">
                  <v>51.4</v>
                </pt>
                <pt idx="27">
                  <v>50.3</v>
                </pt>
                <pt idx="28">
                  <v>51.5</v>
                </pt>
                <pt idx="29">
                  <v>48.6</v>
                </pt>
                <pt idx="30">
                  <v>48</v>
                </pt>
                <pt idx="31">
                  <v>49.7</v>
                </pt>
                <pt idx="32">
                  <v>50.3</v>
                </pt>
                <pt idx="33">
                  <v>51</v>
                </pt>
                <pt idx="34">
                  <v>52</v>
                </pt>
                <pt idx="35">
                  <v>52.7</v>
                </pt>
                <pt idx="36">
                  <v>54.9</v>
                </pt>
                <pt idx="37">
                  <v>52.4</v>
                </pt>
                <pt idx="38">
                  <v>53.5</v>
                </pt>
                <pt idx="39">
                  <v>52.8</v>
                </pt>
                <pt idx="40">
                  <v>52.9</v>
                </pt>
                <pt idx="41">
                  <v>55.5</v>
                </pt>
                <pt idx="42">
                  <v>56.1</v>
                </pt>
                <pt idx="43">
                  <v>55</v>
                </pt>
                <pt idx="44">
                  <v>55.3</v>
                </pt>
                <pt idx="45">
                  <v>55.4</v>
                </pt>
                <pt idx="46">
                  <v>57.3</v>
                </pt>
                <pt idx="47">
                  <v>55.7</v>
                </pt>
                <pt idx="48">
                  <v>56.6</v>
                </pt>
                <pt idx="49">
                  <v>56.2</v>
                </pt>
                <pt idx="50">
                  <v>56.9</v>
                </pt>
                <pt idx="51">
                  <v>55.1</v>
                </pt>
                <pt idx="52">
                  <v>57.5</v>
                </pt>
                <pt idx="53">
                  <v>56.8</v>
                </pt>
                <pt idx="54">
                  <v>55.8</v>
                </pt>
                <pt idx="55">
                  <v>57.1</v>
                </pt>
                <pt idx="56">
                  <v>54.6</v>
                </pt>
                <pt idx="57">
                  <v>56.7</v>
                </pt>
                <pt idx="58">
                  <v>53.6</v>
                </pt>
                <pt idx="59">
                  <v>53.8</v>
                </pt>
                <pt idx="60">
                  <v>53.6</v>
                </pt>
                <pt idx="61">
                  <v>53.3</v>
                </pt>
                <pt idx="62">
                  <v>54.2</v>
                </pt>
                <pt idx="63">
                  <v>54.3</v>
                </pt>
                <pt idx="64">
                  <v>52.9</v>
                </pt>
                <pt idx="65">
                  <v>54.9</v>
                </pt>
                <pt idx="66">
                  <v>52.6</v>
                </pt>
                <pt idx="67">
                  <v>51.5</v>
                </pt>
                <pt idx="68">
                  <v>53</v>
                </pt>
                <pt idx="69">
                  <v>50.2</v>
                </pt>
                <pt idx="70">
                  <v>51.7</v>
                </pt>
                <pt idx="71">
                  <v>51.3</v>
                </pt>
                <pt idx="72">
                  <v>52.1</v>
                </pt>
                <pt idx="73">
                  <v>53.7</v>
                </pt>
                <pt idx="74">
                  <v>55.7</v>
                </pt>
                <pt idx="75">
                  <v>55.5</v>
                </pt>
                <pt idx="76">
                  <v>53.8</v>
                </pt>
                <pt idx="77">
                  <v>53.6</v>
                </pt>
                <pt idx="78">
                  <v>55</v>
                </pt>
                <pt idx="79">
                  <v>55.9</v>
                </pt>
                <pt idx="80">
                  <v>56</v>
                </pt>
                <pt idx="81">
                  <v>54.6</v>
                </pt>
                <pt idx="82">
                  <v>56.1</v>
                </pt>
                <pt idx="83">
                  <v>55.4</v>
                </pt>
                <pt idx="84">
                  <v>54.4</v>
                </pt>
                <pt idx="85">
                  <v>58.1</v>
                </pt>
                <pt idx="86">
                  <v>59.1</v>
                </pt>
                <pt idx="87">
                  <v>57.6</v>
                </pt>
                <pt idx="88">
                  <v>56.2</v>
                </pt>
                <pt idx="89">
                  <v>54.1</v>
                </pt>
                <pt idx="90">
                  <v>55.3</v>
                </pt>
                <pt idx="91">
                  <v>55.4</v>
                </pt>
                <pt idx="92">
                  <v>56.6</v>
                </pt>
                <pt idx="93">
                  <v>56.3</v>
                </pt>
                <pt idx="94">
                  <v>57.5</v>
                </pt>
                <pt idx="95">
                  <v>56.3</v>
                </pt>
                <pt idx="96">
                  <v>54.9</v>
                </pt>
                <pt idx="97">
                  <v>55.4</v>
                </pt>
                <pt idx="98">
                  <v>54.5</v>
                </pt>
                <pt idx="99">
                  <v>52.6</v>
                </pt>
                <pt idx="100">
                  <v>54</v>
                </pt>
                <pt idx="101">
                  <v>53.9</v>
                </pt>
                <pt idx="102">
                  <v>52.5</v>
                </pt>
                <pt idx="103">
                  <v>50.4</v>
                </pt>
                <pt idx="104">
                  <v>49.8</v>
                </pt>
                <pt idx="105">
                  <v>48.7</v>
                </pt>
                <pt idx="106">
                  <v>48.6</v>
                </pt>
                <pt idx="107">
                  <v>48.7</v>
                </pt>
                <pt idx="108">
                  <v>50.7</v>
                </pt>
                <pt idx="109">
                  <v>49.7</v>
                </pt>
                <pt idx="110">
                  <v>49.5</v>
                </pt>
                <pt idx="111">
                  <v>51.4</v>
                </pt>
                <pt idx="112">
                  <v>51.2</v>
                </pt>
                <pt idx="113">
                  <v>45.1</v>
                </pt>
                <pt idx="114">
                  <v>36</v>
                </pt>
                <pt idx="115">
                  <v>39.2</v>
                </pt>
                <pt idx="116">
                  <v>51</v>
                </pt>
                <pt idx="117">
                  <v>57.3</v>
                </pt>
                <pt idx="118">
                  <v>52.3</v>
                </pt>
                <pt idx="119">
                  <v>50</v>
                </pt>
                <pt idx="120">
                  <v>50.3</v>
                </pt>
                <pt idx="121">
                  <v>52.2</v>
                </pt>
                <pt idx="122">
                  <v>57.2</v>
                </pt>
                <pt idx="123">
                  <v>51.8</v>
                </pt>
                <pt idx="124">
                  <v>52</v>
                </pt>
                <pt idx="125">
                  <v>57.1</v>
                </pt>
                <pt idx="126">
                  <v>60.8</v>
                </pt>
                <pt idx="127">
                  <v>64.09999999999999</v>
                </pt>
                <pt idx="128">
                  <v>64</v>
                </pt>
                <pt idx="129">
                  <v>63.3</v>
                </pt>
                <pt idx="130">
                  <v>62.8</v>
                </pt>
                <pt idx="131">
                  <v>60.3</v>
                </pt>
                <pt idx="132">
                  <v>62.1</v>
                </pt>
                <pt idx="133">
                  <v>59.9</v>
                </pt>
                <pt idx="134">
                  <v>58.3</v>
                </pt>
                <pt idx="135">
                  <v>59.4</v>
                </pt>
                <pt idx="136">
                  <v>57.8</v>
                </pt>
                <pt idx="137">
                  <v>59.4</v>
                </pt>
                <pt idx="138">
                  <v>59.1</v>
                </pt>
                <pt idx="139">
                  <v>56.4</v>
                </pt>
                <pt idx="140">
                  <v>53.1</v>
                </pt>
                <pt idx="141">
                  <v>51.8</v>
                </pt>
                <pt idx="142">
                  <v>51.1</v>
                </pt>
                <pt idx="143">
                  <v>51.5</v>
                </pt>
                <pt idx="144">
                  <v>51.4</v>
                </pt>
                <pt idx="145">
                  <v>48.7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8.xml><?xml version="1.0" encoding="utf-8"?>
<chartSpace xmlns="http://schemas.openxmlformats.org/drawingml/2006/chart">
  <chart>
    <title>
      <tx>
        <strRef>
          <f>Turkey!$K$2</f>
          <strCache>
            <ptCount val="1"/>
            <pt idx="0">
              <v>Turkey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Turkey!$B$5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Turkey!$A$6:$A$151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Turkey!$B$6:$B$151</f>
              <numCache>
                <formatCode>General</formatCode>
                <ptCount val="146"/>
                <pt idx="0">
                  <v>54.3</v>
                </pt>
                <pt idx="1">
                  <v>56.4</v>
                </pt>
                <pt idx="2">
                  <v>56.4</v>
                </pt>
                <pt idx="3">
                  <v>57.2</v>
                </pt>
                <pt idx="4">
                  <v>58.5</v>
                </pt>
                <pt idx="5">
                  <v>56.1</v>
                </pt>
                <pt idx="6">
                  <v>52.7</v>
                </pt>
                <pt idx="7">
                  <v>50.6</v>
                </pt>
                <pt idx="8">
                  <v>52.3</v>
                </pt>
                <pt idx="9">
                  <v>52.3</v>
                </pt>
                <pt idx="10">
                  <v>49.8</v>
                </pt>
                <pt idx="11">
                  <v>51.5</v>
                </pt>
                <pt idx="12">
                  <v>53.3</v>
                </pt>
                <pt idx="13">
                  <v>52.3</v>
                </pt>
                <pt idx="14">
                  <v>52</v>
                </pt>
                <pt idx="15">
                  <v>51.7</v>
                </pt>
                <pt idx="16">
                  <v>49.6</v>
                </pt>
                <pt idx="17">
                  <v>49.6</v>
                </pt>
                <pt idx="18">
                  <v>52.3</v>
                </pt>
                <pt idx="19">
                  <v>50.2</v>
                </pt>
                <pt idx="20">
                  <v>51.4</v>
                </pt>
                <pt idx="21">
                  <v>49.4</v>
                </pt>
                <pt idx="22">
                  <v>50</v>
                </pt>
                <pt idx="23">
                  <v>52.2</v>
                </pt>
                <pt idx="24">
                  <v>52.5</v>
                </pt>
                <pt idx="25">
                  <v>51.6</v>
                </pt>
                <pt idx="26">
                  <v>53.1</v>
                </pt>
                <pt idx="27">
                  <v>54</v>
                </pt>
                <pt idx="28">
                  <v>53.5</v>
                </pt>
                <pt idx="29">
                  <v>52.3</v>
                </pt>
                <pt idx="30">
                  <v>51.3</v>
                </pt>
                <pt idx="31">
                  <v>51.1</v>
                </pt>
                <pt idx="32">
                  <v>51.2</v>
                </pt>
                <pt idx="33">
                  <v>49.8</v>
                </pt>
                <pt idx="34">
                  <v>50.9</v>
                </pt>
                <pt idx="35">
                  <v>54</v>
                </pt>
                <pt idx="36">
                  <v>53.3</v>
                </pt>
                <pt idx="37">
                  <v>55</v>
                </pt>
                <pt idx="38">
                  <v>53.5</v>
                </pt>
                <pt idx="39">
                  <v>52.7</v>
                </pt>
                <pt idx="40">
                  <v>53.4</v>
                </pt>
                <pt idx="41">
                  <v>51.7</v>
                </pt>
                <pt idx="42">
                  <v>51.1</v>
                </pt>
                <pt idx="43">
                  <v>50.1</v>
                </pt>
                <pt idx="44">
                  <v>48.8</v>
                </pt>
                <pt idx="45">
                  <v>48.5</v>
                </pt>
                <pt idx="46">
                  <v>50</v>
                </pt>
                <pt idx="47">
                  <v>50.4</v>
                </pt>
                <pt idx="48">
                  <v>51.5</v>
                </pt>
                <pt idx="49">
                  <v>52.2</v>
                </pt>
                <pt idx="50">
                  <v>51.4</v>
                </pt>
                <pt idx="51">
                  <v>49.8</v>
                </pt>
                <pt idx="52">
                  <v>49.6</v>
                </pt>
                <pt idx="53">
                  <v>48</v>
                </pt>
                <pt idx="54">
                  <v>48.5</v>
                </pt>
                <pt idx="55">
                  <v>50.2</v>
                </pt>
                <pt idx="56">
                  <v>49</v>
                </pt>
                <pt idx="57">
                  <v>50.1</v>
                </pt>
                <pt idx="58">
                  <v>49.3</v>
                </pt>
                <pt idx="59">
                  <v>48.8</v>
                </pt>
                <pt idx="60">
                  <v>49.5</v>
                </pt>
                <pt idx="61">
                  <v>50.9</v>
                </pt>
                <pt idx="62">
                  <v>52.2</v>
                </pt>
                <pt idx="63">
                  <v>50.9</v>
                </pt>
                <pt idx="64">
                  <v>50.3</v>
                </pt>
                <pt idx="65">
                  <v>49.2</v>
                </pt>
                <pt idx="66">
                  <v>48.9</v>
                </pt>
                <pt idx="67">
                  <v>49.4</v>
                </pt>
                <pt idx="68">
                  <v>47.4</v>
                </pt>
                <pt idx="69">
                  <v>47.6</v>
                </pt>
                <pt idx="70">
                  <v>47</v>
                </pt>
                <pt idx="71">
                  <v>48.3</v>
                </pt>
                <pt idx="72">
                  <v>49.8</v>
                </pt>
                <pt idx="73">
                  <v>48.8</v>
                </pt>
                <pt idx="74">
                  <v>47.7</v>
                </pt>
                <pt idx="75">
                  <v>48.7</v>
                </pt>
                <pt idx="76">
                  <v>49.7</v>
                </pt>
                <pt idx="77">
                  <v>52.3</v>
                </pt>
                <pt idx="78">
                  <v>51.7</v>
                </pt>
                <pt idx="79">
                  <v>53.5</v>
                </pt>
                <pt idx="80">
                  <v>54.7</v>
                </pt>
                <pt idx="81">
                  <v>53.6</v>
                </pt>
                <pt idx="82">
                  <v>55.3</v>
                </pt>
                <pt idx="83">
                  <v>53.5</v>
                </pt>
                <pt idx="84">
                  <v>52.8</v>
                </pt>
                <pt idx="85">
                  <v>52.9</v>
                </pt>
                <pt idx="86">
                  <v>54.9</v>
                </pt>
                <pt idx="87">
                  <v>55.7</v>
                </pt>
                <pt idx="88">
                  <v>55.6</v>
                </pt>
                <pt idx="89">
                  <v>51.8</v>
                </pt>
                <pt idx="90">
                  <v>48.9</v>
                </pt>
                <pt idx="91">
                  <v>46.4</v>
                </pt>
                <pt idx="92">
                  <v>46.8</v>
                </pt>
                <pt idx="93">
                  <v>49</v>
                </pt>
                <pt idx="94">
                  <v>46.4</v>
                </pt>
                <pt idx="95">
                  <v>42.7</v>
                </pt>
                <pt idx="96">
                  <v>44.3</v>
                </pt>
                <pt idx="97">
                  <v>44.7</v>
                </pt>
                <pt idx="98">
                  <v>44.2</v>
                </pt>
                <pt idx="99">
                  <v>44.2</v>
                </pt>
                <pt idx="100">
                  <v>46.4</v>
                </pt>
                <pt idx="101">
                  <v>47.2</v>
                </pt>
                <pt idx="102">
                  <v>46.8</v>
                </pt>
                <pt idx="103">
                  <v>45.3</v>
                </pt>
                <pt idx="104">
                  <v>47.9</v>
                </pt>
                <pt idx="105">
                  <v>46.7</v>
                </pt>
                <pt idx="106">
                  <v>48</v>
                </pt>
                <pt idx="107">
                  <v>50</v>
                </pt>
                <pt idx="108">
                  <v>49</v>
                </pt>
                <pt idx="109">
                  <v>49.5</v>
                </pt>
                <pt idx="110">
                  <v>49.5</v>
                </pt>
                <pt idx="111">
                  <v>51.3</v>
                </pt>
                <pt idx="112">
                  <v>52.4</v>
                </pt>
                <pt idx="113">
                  <v>48.1</v>
                </pt>
                <pt idx="114">
                  <v>33.4</v>
                </pt>
                <pt idx="115">
                  <v>40.9</v>
                </pt>
                <pt idx="116">
                  <v>53.9</v>
                </pt>
                <pt idx="117">
                  <v>56.9</v>
                </pt>
                <pt idx="118">
                  <v>54.3</v>
                </pt>
                <pt idx="119">
                  <v>52.8</v>
                </pt>
                <pt idx="120">
                  <v>53.9</v>
                </pt>
                <pt idx="121">
                  <v>51.4</v>
                </pt>
                <pt idx="122">
                  <v>50.8</v>
                </pt>
                <pt idx="123">
                  <v>54.4</v>
                </pt>
                <pt idx="124">
                  <v>51.7</v>
                </pt>
                <pt idx="125">
                  <v>52.6</v>
                </pt>
                <pt idx="126">
                  <v>50.4</v>
                </pt>
                <pt idx="127">
                  <v>49.3</v>
                </pt>
                <pt idx="128">
                  <v>51.3</v>
                </pt>
                <pt idx="129">
                  <v>54</v>
                </pt>
                <pt idx="130">
                  <v>54.1</v>
                </pt>
                <pt idx="131">
                  <v>52.5</v>
                </pt>
                <pt idx="132">
                  <v>51.2</v>
                </pt>
                <pt idx="133">
                  <v>52</v>
                </pt>
                <pt idx="134">
                  <v>52.1</v>
                </pt>
                <pt idx="135">
                  <v>50.5</v>
                </pt>
                <pt idx="136">
                  <v>50.4</v>
                </pt>
                <pt idx="137">
                  <v>49.4</v>
                </pt>
                <pt idx="138">
                  <v>49.2</v>
                </pt>
                <pt idx="139">
                  <v>49.2</v>
                </pt>
                <pt idx="140">
                  <v>48.1</v>
                </pt>
                <pt idx="141">
                  <v>46.9</v>
                </pt>
                <pt idx="142">
                  <v>47.4</v>
                </pt>
                <pt idx="143">
                  <v>46.9</v>
                </pt>
                <pt idx="144">
                  <v>46.4</v>
                </pt>
                <pt idx="145">
                  <v>45.7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9.xml><?xml version="1.0" encoding="utf-8"?>
<chartSpace xmlns="http://schemas.openxmlformats.org/drawingml/2006/chart">
  <chart>
    <title>
      <tx>
        <strRef>
          <f>CzechRepublic!$K$2</f>
          <strCache>
            <ptCount val="1"/>
            <pt idx="0">
              <v>Czech Republic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CzechRepublic!$B$5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CzechRepublic!$A$6:$A$151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CzechRepublic!$B$6:$B$151</f>
              <numCache>
                <formatCode>General</formatCode>
                <ptCount val="146"/>
                <pt idx="0">
                  <v>57.2</v>
                </pt>
                <pt idx="1">
                  <v>57.3</v>
                </pt>
                <pt idx="2">
                  <v>58.4</v>
                </pt>
                <pt idx="3">
                  <v>60.5</v>
                </pt>
                <pt idx="4">
                  <v>59.8</v>
                </pt>
                <pt idx="5">
                  <v>58.6</v>
                </pt>
                <pt idx="6">
                  <v>59</v>
                </pt>
                <pt idx="7">
                  <v>55.9</v>
                </pt>
                <pt idx="8">
                  <v>55.1</v>
                </pt>
                <pt idx="9">
                  <v>53.4</v>
                </pt>
                <pt idx="10">
                  <v>53.4</v>
                </pt>
                <pt idx="11">
                  <v>52.3</v>
                </pt>
                <pt idx="12">
                  <v>51.7</v>
                </pt>
                <pt idx="13">
                  <v>48.6</v>
                </pt>
                <pt idx="14">
                  <v>49.2</v>
                </pt>
                <pt idx="15">
                  <v>48.8</v>
                </pt>
                <pt idx="16">
                  <v>50.5</v>
                </pt>
                <pt idx="17">
                  <v>52.1</v>
                </pt>
                <pt idx="18">
                  <v>49.7</v>
                </pt>
                <pt idx="19">
                  <v>47.6</v>
                </pt>
                <pt idx="20">
                  <v>49.4</v>
                </pt>
                <pt idx="21">
                  <v>49.5</v>
                </pt>
                <pt idx="22">
                  <v>48.7</v>
                </pt>
                <pt idx="23">
                  <v>48</v>
                </pt>
                <pt idx="24">
                  <v>47.2</v>
                </pt>
                <pt idx="25">
                  <v>48.2</v>
                </pt>
                <pt idx="26">
                  <v>46</v>
                </pt>
                <pt idx="27">
                  <v>48.3</v>
                </pt>
                <pt idx="28">
                  <v>49.9</v>
                </pt>
                <pt idx="29">
                  <v>49.1</v>
                </pt>
                <pt idx="30">
                  <v>49.5</v>
                </pt>
                <pt idx="31">
                  <v>50.1</v>
                </pt>
                <pt idx="32">
                  <v>51</v>
                </pt>
                <pt idx="33">
                  <v>52</v>
                </pt>
                <pt idx="34">
                  <v>53.9</v>
                </pt>
                <pt idx="35">
                  <v>53.4</v>
                </pt>
                <pt idx="36">
                  <v>54.5</v>
                </pt>
                <pt idx="37">
                  <v>55.4</v>
                </pt>
                <pt idx="38">
                  <v>54.9</v>
                </pt>
                <pt idx="39">
                  <v>55.9</v>
                </pt>
                <pt idx="40">
                  <v>56.5</v>
                </pt>
                <pt idx="41">
                  <v>55.5</v>
                </pt>
                <pt idx="42">
                  <v>56.5</v>
                </pt>
                <pt idx="43">
                  <v>57.3</v>
                </pt>
                <pt idx="44">
                  <v>54.7</v>
                </pt>
                <pt idx="45">
                  <v>56.4638888888889</v>
                </pt>
                <pt idx="46">
                  <v>54.3</v>
                </pt>
                <pt idx="47">
                  <v>55.6</v>
                </pt>
                <pt idx="48">
                  <v>54.4</v>
                </pt>
                <pt idx="49">
                  <v>55.6</v>
                </pt>
                <pt idx="50">
                  <v>53.3</v>
                </pt>
                <pt idx="51">
                  <v>56.1</v>
                </pt>
                <pt idx="52">
                  <v>55.6</v>
                </pt>
                <pt idx="53">
                  <v>56.1</v>
                </pt>
                <pt idx="54">
                  <v>54.7</v>
                </pt>
                <pt idx="55">
                  <v>55.5</v>
                </pt>
                <pt idx="56">
                  <v>56.9</v>
                </pt>
                <pt idx="57">
                  <v>57.5</v>
                </pt>
                <pt idx="58">
                  <v>56.6</v>
                </pt>
                <pt idx="59">
                  <v>55.5</v>
                </pt>
                <pt idx="60">
                  <v>54</v>
                </pt>
                <pt idx="61">
                  <v>54.2</v>
                </pt>
                <pt idx="62">
                  <v>55.6</v>
                </pt>
                <pt idx="63">
                  <v>56.9</v>
                </pt>
                <pt idx="64">
                  <v>55.5</v>
                </pt>
                <pt idx="65">
                  <v>54.3</v>
                </pt>
                <pt idx="66">
                  <v>53.6</v>
                </pt>
                <pt idx="67">
                  <v>53.3</v>
                </pt>
                <pt idx="68">
                  <v>51.8</v>
                </pt>
                <pt idx="69">
                  <v>49.3</v>
                </pt>
                <pt idx="70">
                  <v>50.1</v>
                </pt>
                <pt idx="71">
                  <v>52</v>
                </pt>
                <pt idx="72">
                  <v>53.3</v>
                </pt>
                <pt idx="73">
                  <v>52.2</v>
                </pt>
                <pt idx="74">
                  <v>53.8</v>
                </pt>
                <pt idx="75">
                  <v>55.7</v>
                </pt>
                <pt idx="76">
                  <v>57.6</v>
                </pt>
                <pt idx="77">
                  <v>57.5</v>
                </pt>
                <pt idx="78">
                  <v>57.5</v>
                </pt>
                <pt idx="79">
                  <v>56.4</v>
                </pt>
                <pt idx="80">
                  <v>56.4</v>
                </pt>
                <pt idx="81">
                  <v>55.3</v>
                </pt>
                <pt idx="82">
                  <v>54.9</v>
                </pt>
                <pt idx="83">
                  <v>56.6</v>
                </pt>
                <pt idx="84">
                  <v>58.5</v>
                </pt>
                <pt idx="85">
                  <v>58.7</v>
                </pt>
                <pt idx="86">
                  <v>59.8</v>
                </pt>
                <pt idx="87">
                  <v>59.8</v>
                </pt>
                <pt idx="88">
                  <v>58.8</v>
                </pt>
                <pt idx="89">
                  <v>57.3</v>
                </pt>
                <pt idx="90">
                  <v>57.2</v>
                </pt>
                <pt idx="91">
                  <v>56.5</v>
                </pt>
                <pt idx="92">
                  <v>56.8</v>
                </pt>
                <pt idx="93">
                  <v>55.4</v>
                </pt>
                <pt idx="94">
                  <v>54.9</v>
                </pt>
                <pt idx="95">
                  <v>53.4</v>
                </pt>
                <pt idx="96">
                  <v>52.5</v>
                </pt>
                <pt idx="97">
                  <v>51.8</v>
                </pt>
                <pt idx="98">
                  <v>49.7</v>
                </pt>
                <pt idx="99">
                  <v>49</v>
                </pt>
                <pt idx="100">
                  <v>48.6</v>
                </pt>
                <pt idx="101">
                  <v>47.3</v>
                </pt>
                <pt idx="102">
                  <v>46.6</v>
                </pt>
                <pt idx="103">
                  <v>46.6</v>
                </pt>
                <pt idx="104">
                  <v>45.9</v>
                </pt>
                <pt idx="105">
                  <v>43.1</v>
                </pt>
                <pt idx="106">
                  <v>44.9</v>
                </pt>
                <pt idx="107">
                  <v>44.9</v>
                </pt>
                <pt idx="108">
                  <v>45</v>
                </pt>
                <pt idx="109">
                  <v>43.5</v>
                </pt>
                <pt idx="110">
                  <v>43.6</v>
                </pt>
                <pt idx="111">
                  <v>45.2</v>
                </pt>
                <pt idx="112">
                  <v>46.5</v>
                </pt>
                <pt idx="113">
                  <v>41.3</v>
                </pt>
                <pt idx="114">
                  <v>35.1</v>
                </pt>
                <pt idx="115">
                  <v>39.6</v>
                </pt>
                <pt idx="116">
                  <v>44.9</v>
                </pt>
                <pt idx="117">
                  <v>47</v>
                </pt>
                <pt idx="118">
                  <v>49.1</v>
                </pt>
                <pt idx="119">
                  <v>50.7</v>
                </pt>
                <pt idx="120">
                  <v>51.9</v>
                </pt>
                <pt idx="121">
                  <v>53.9</v>
                </pt>
                <pt idx="122">
                  <v>57</v>
                </pt>
                <pt idx="123">
                  <v>57</v>
                </pt>
                <pt idx="124">
                  <v>56.5</v>
                </pt>
                <pt idx="125">
                  <v>58</v>
                </pt>
                <pt idx="126">
                  <v>58.9</v>
                </pt>
                <pt idx="127">
                  <v>61.8</v>
                </pt>
                <pt idx="128">
                  <v>62.7</v>
                </pt>
                <pt idx="129">
                  <v>62</v>
                </pt>
                <pt idx="130">
                  <v>61</v>
                </pt>
                <pt idx="131">
                  <v>58</v>
                </pt>
                <pt idx="132">
                  <v>55.1</v>
                </pt>
                <pt idx="133">
                  <v>57.1</v>
                </pt>
                <pt idx="134">
                  <v>59.1</v>
                </pt>
                <pt idx="135">
                  <v>59</v>
                </pt>
                <pt idx="136">
                  <v>56.5</v>
                </pt>
                <pt idx="137">
                  <v>54.7</v>
                </pt>
                <pt idx="138">
                  <v>54.4</v>
                </pt>
                <pt idx="139">
                  <v>52.3</v>
                </pt>
                <pt idx="140">
                  <v>49</v>
                </pt>
                <pt idx="141">
                  <v>46.8</v>
                </pt>
                <pt idx="142">
                  <v>46.8</v>
                </pt>
                <pt idx="143">
                  <v>44.7</v>
                </pt>
                <pt idx="144">
                  <v>41.7</v>
                </pt>
                <pt idx="145">
                  <v>41.6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0.xml><?xml version="1.0" encoding="utf-8"?>
<chartSpace xmlns="http://schemas.openxmlformats.org/drawingml/2006/chart">
  <chart>
    <title>
      <tx>
        <strRef>
          <f>Poland!$K$2</f>
          <strCache>
            <ptCount val="1"/>
            <pt idx="0">
              <v>Poland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Poland!$B$5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Poland!$A$6:$A$151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Poland!$B$6:$B$151</f>
              <numCache>
                <formatCode>General</formatCode>
                <ptCount val="146"/>
                <pt idx="0">
                  <v>55.6</v>
                </pt>
                <pt idx="1">
                  <v>55.9</v>
                </pt>
                <pt idx="2">
                  <v>56.3</v>
                </pt>
                <pt idx="3">
                  <v>55.6</v>
                </pt>
                <pt idx="4">
                  <v>53.8</v>
                </pt>
                <pt idx="5">
                  <v>54.8</v>
                </pt>
                <pt idx="6">
                  <v>54.4</v>
                </pt>
                <pt idx="7">
                  <v>52.6</v>
                </pt>
                <pt idx="8">
                  <v>51.2</v>
                </pt>
                <pt idx="9">
                  <v>52.9</v>
                </pt>
                <pt idx="10">
                  <v>51.8</v>
                </pt>
                <pt idx="11">
                  <v>50.2</v>
                </pt>
                <pt idx="12">
                  <v>51.7</v>
                </pt>
                <pt idx="13">
                  <v>49.5</v>
                </pt>
                <pt idx="14">
                  <v>48.8</v>
                </pt>
                <pt idx="15">
                  <v>52.2</v>
                </pt>
                <pt idx="16">
                  <v>50</v>
                </pt>
                <pt idx="17">
                  <v>50.1</v>
                </pt>
                <pt idx="18">
                  <v>49.2</v>
                </pt>
                <pt idx="19">
                  <v>48.9</v>
                </pt>
                <pt idx="20">
                  <v>48</v>
                </pt>
                <pt idx="21">
                  <v>49.7</v>
                </pt>
                <pt idx="22">
                  <v>48.3</v>
                </pt>
                <pt idx="23">
                  <v>47</v>
                </pt>
                <pt idx="24">
                  <v>47.3</v>
                </pt>
                <pt idx="25">
                  <v>48.2</v>
                </pt>
                <pt idx="26">
                  <v>48.3</v>
                </pt>
                <pt idx="27">
                  <v>48.6</v>
                </pt>
                <pt idx="28">
                  <v>48.9</v>
                </pt>
                <pt idx="29">
                  <v>48</v>
                </pt>
                <pt idx="30">
                  <v>48</v>
                </pt>
                <pt idx="31">
                  <v>46.9</v>
                </pt>
                <pt idx="32">
                  <v>48</v>
                </pt>
                <pt idx="33">
                  <v>49.3</v>
                </pt>
                <pt idx="34">
                  <v>51.1</v>
                </pt>
                <pt idx="35">
                  <v>52.6</v>
                </pt>
                <pt idx="36">
                  <v>53.4</v>
                </pt>
                <pt idx="37">
                  <v>54.4</v>
                </pt>
                <pt idx="38">
                  <v>53.2</v>
                </pt>
                <pt idx="39">
                  <v>55.4</v>
                </pt>
                <pt idx="40">
                  <v>55.9</v>
                </pt>
                <pt idx="41">
                  <v>54</v>
                </pt>
                <pt idx="42">
                  <v>51.1</v>
                </pt>
                <pt idx="43">
                  <v>50.8</v>
                </pt>
                <pt idx="44">
                  <v>50.3</v>
                </pt>
                <pt idx="45">
                  <v>49.4</v>
                </pt>
                <pt idx="46">
                  <v>49</v>
                </pt>
                <pt idx="47">
                  <v>49.5</v>
                </pt>
                <pt idx="48">
                  <v>51.2</v>
                </pt>
                <pt idx="49">
                  <v>53.2</v>
                </pt>
                <pt idx="50">
                  <v>52.8</v>
                </pt>
                <pt idx="51">
                  <v>55.2</v>
                </pt>
                <pt idx="52">
                  <v>55.1</v>
                </pt>
                <pt idx="53">
                  <v>54.8</v>
                </pt>
                <pt idx="54">
                  <v>54</v>
                </pt>
                <pt idx="55">
                  <v>52.4</v>
                </pt>
                <pt idx="56">
                  <v>54.3</v>
                </pt>
                <pt idx="57">
                  <v>54.5</v>
                </pt>
                <pt idx="58">
                  <v>51.1</v>
                </pt>
                <pt idx="59">
                  <v>50.9</v>
                </pt>
                <pt idx="60">
                  <v>52.2</v>
                </pt>
                <pt idx="61">
                  <v>52.1</v>
                </pt>
                <pt idx="62">
                  <v>52.1</v>
                </pt>
                <pt idx="63">
                  <v>50.9</v>
                </pt>
                <pt idx="64">
                  <v>52.8</v>
                </pt>
                <pt idx="65">
                  <v>53.8</v>
                </pt>
                <pt idx="66">
                  <v>51</v>
                </pt>
                <pt idx="67">
                  <v>52.1</v>
                </pt>
                <pt idx="68">
                  <v>51.8</v>
                </pt>
                <pt idx="69">
                  <v>50.3</v>
                </pt>
                <pt idx="70">
                  <v>51.5</v>
                </pt>
                <pt idx="71">
                  <v>52.2</v>
                </pt>
                <pt idx="72">
                  <v>50.2</v>
                </pt>
                <pt idx="73">
                  <v>51.9</v>
                </pt>
                <pt idx="74">
                  <v>54.3</v>
                </pt>
                <pt idx="75">
                  <v>54.8</v>
                </pt>
                <pt idx="76">
                  <v>54.2</v>
                </pt>
                <pt idx="77">
                  <v>53.5</v>
                </pt>
                <pt idx="78">
                  <v>54.1</v>
                </pt>
                <pt idx="79">
                  <v>52.7</v>
                </pt>
                <pt idx="80">
                  <v>53.1</v>
                </pt>
                <pt idx="81">
                  <v>52.3</v>
                </pt>
                <pt idx="82">
                  <v>52.5</v>
                </pt>
                <pt idx="83">
                  <v>53.7</v>
                </pt>
                <pt idx="84">
                  <v>53.4</v>
                </pt>
                <pt idx="85">
                  <v>54.2</v>
                </pt>
                <pt idx="86">
                  <v>55</v>
                </pt>
                <pt idx="87">
                  <v>54.6</v>
                </pt>
                <pt idx="88">
                  <v>53.7</v>
                </pt>
                <pt idx="89">
                  <v>53.7</v>
                </pt>
                <pt idx="90">
                  <v>53.9</v>
                </pt>
                <pt idx="91">
                  <v>53.3</v>
                </pt>
                <pt idx="92">
                  <v>54.2</v>
                </pt>
                <pt idx="93">
                  <v>52.9</v>
                </pt>
                <pt idx="94">
                  <v>51.4</v>
                </pt>
                <pt idx="95">
                  <v>50.5</v>
                </pt>
                <pt idx="96">
                  <v>50.4</v>
                </pt>
                <pt idx="97">
                  <v>49.5</v>
                </pt>
                <pt idx="98">
                  <v>47.6</v>
                </pt>
                <pt idx="99">
                  <v>48.2</v>
                </pt>
                <pt idx="100">
                  <v>47.6</v>
                </pt>
                <pt idx="101">
                  <v>48.7</v>
                </pt>
                <pt idx="102">
                  <v>49</v>
                </pt>
                <pt idx="103">
                  <v>48.8</v>
                </pt>
                <pt idx="104">
                  <v>48.4</v>
                </pt>
                <pt idx="105">
                  <v>47.4</v>
                </pt>
                <pt idx="106">
                  <v>48.8</v>
                </pt>
                <pt idx="107">
                  <v>47.8</v>
                </pt>
                <pt idx="108">
                  <v>45.6</v>
                </pt>
                <pt idx="109">
                  <v>46.7</v>
                </pt>
                <pt idx="110">
                  <v>48</v>
                </pt>
                <pt idx="111">
                  <v>47.4</v>
                </pt>
                <pt idx="112">
                  <v>48.2</v>
                </pt>
                <pt idx="113">
                  <v>42.4</v>
                </pt>
                <pt idx="114">
                  <v>31.9</v>
                </pt>
                <pt idx="115">
                  <v>40.6</v>
                </pt>
                <pt idx="116">
                  <v>47.2</v>
                </pt>
                <pt idx="117">
                  <v>52.8</v>
                </pt>
                <pt idx="118">
                  <v>50.6</v>
                </pt>
                <pt idx="119">
                  <v>50.8</v>
                </pt>
                <pt idx="120">
                  <v>50.8</v>
                </pt>
                <pt idx="121">
                  <v>50.8</v>
                </pt>
                <pt idx="122">
                  <v>51.7</v>
                </pt>
                <pt idx="123">
                  <v>51.9</v>
                </pt>
                <pt idx="124">
                  <v>53.4</v>
                </pt>
                <pt idx="125">
                  <v>54.3</v>
                </pt>
                <pt idx="126">
                  <v>53.7</v>
                </pt>
                <pt idx="127">
                  <v>57.2</v>
                </pt>
                <pt idx="128">
                  <v>59.4</v>
                </pt>
                <pt idx="129">
                  <v>57.6</v>
                </pt>
                <pt idx="130">
                  <v>56</v>
                </pt>
                <pt idx="131">
                  <v>53.4</v>
                </pt>
                <pt idx="132">
                  <v>53.8</v>
                </pt>
                <pt idx="133">
                  <v>54.4</v>
                </pt>
                <pt idx="134">
                  <v>56.1</v>
                </pt>
                <pt idx="135">
                  <v>54.5</v>
                </pt>
                <pt idx="136">
                  <v>54.7</v>
                </pt>
                <pt idx="137">
                  <v>52.7</v>
                </pt>
                <pt idx="138">
                  <v>52.4</v>
                </pt>
                <pt idx="139">
                  <v>48.5</v>
                </pt>
                <pt idx="140">
                  <v>44.4</v>
                </pt>
                <pt idx="141">
                  <v>42.1</v>
                </pt>
                <pt idx="142">
                  <v>40.9</v>
                </pt>
                <pt idx="143">
                  <v>43</v>
                </pt>
                <pt idx="144">
                  <v>42</v>
                </pt>
                <pt idx="145">
                  <v>43.4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1.xml><?xml version="1.0" encoding="utf-8"?>
<chartSpace xmlns="http://schemas.openxmlformats.org/drawingml/2006/chart">
  <chart>
    <title>
      <tx>
        <strRef>
          <f>Denmark!$K$2</f>
          <strCache>
            <ptCount val="1"/>
            <pt idx="0">
              <v>Denmark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Denmark!$B$5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Denmark!$A$6:$A$352</f>
              <numCache>
                <formatCode>m/d/yyyy</formatCode>
                <ptCount val="347"/>
                <pt idx="0">
                  <v>34335</v>
                </pt>
                <pt idx="1">
                  <v>34366</v>
                </pt>
                <pt idx="2">
                  <v>34394</v>
                </pt>
                <pt idx="3">
                  <v>34425</v>
                </pt>
                <pt idx="4">
                  <v>34455</v>
                </pt>
                <pt idx="5">
                  <v>34486</v>
                </pt>
                <pt idx="6">
                  <v>34516</v>
                </pt>
                <pt idx="7">
                  <v>34547</v>
                </pt>
                <pt idx="8">
                  <v>34578</v>
                </pt>
                <pt idx="9">
                  <v>34608</v>
                </pt>
                <pt idx="10">
                  <v>34639</v>
                </pt>
                <pt idx="11">
                  <v>34669</v>
                </pt>
                <pt idx="12">
                  <v>34700</v>
                </pt>
                <pt idx="13">
                  <v>34731</v>
                </pt>
                <pt idx="14">
                  <v>34759</v>
                </pt>
                <pt idx="15">
                  <v>34790</v>
                </pt>
                <pt idx="16">
                  <v>34820</v>
                </pt>
                <pt idx="17">
                  <v>34851</v>
                </pt>
                <pt idx="18">
                  <v>34881</v>
                </pt>
                <pt idx="19">
                  <v>34912</v>
                </pt>
                <pt idx="20">
                  <v>34943</v>
                </pt>
                <pt idx="21">
                  <v>34973</v>
                </pt>
                <pt idx="22">
                  <v>35004</v>
                </pt>
                <pt idx="23">
                  <v>35034</v>
                </pt>
                <pt idx="24">
                  <v>35065</v>
                </pt>
                <pt idx="25">
                  <v>35096</v>
                </pt>
                <pt idx="26">
                  <v>35125</v>
                </pt>
                <pt idx="27">
                  <v>35156</v>
                </pt>
                <pt idx="28">
                  <v>35186</v>
                </pt>
                <pt idx="29">
                  <v>35217</v>
                </pt>
                <pt idx="30">
                  <v>35247</v>
                </pt>
                <pt idx="31">
                  <v>35278</v>
                </pt>
                <pt idx="32">
                  <v>35309</v>
                </pt>
                <pt idx="33">
                  <v>35339</v>
                </pt>
                <pt idx="34">
                  <v>35370</v>
                </pt>
                <pt idx="35">
                  <v>35400</v>
                </pt>
                <pt idx="36">
                  <v>35431</v>
                </pt>
                <pt idx="37">
                  <v>35462</v>
                </pt>
                <pt idx="38">
                  <v>35490</v>
                </pt>
                <pt idx="39">
                  <v>35521</v>
                </pt>
                <pt idx="40">
                  <v>35551</v>
                </pt>
                <pt idx="41">
                  <v>35582</v>
                </pt>
                <pt idx="42">
                  <v>35612</v>
                </pt>
                <pt idx="43">
                  <v>35643</v>
                </pt>
                <pt idx="44">
                  <v>35674</v>
                </pt>
                <pt idx="45">
                  <v>35704</v>
                </pt>
                <pt idx="46">
                  <v>35735</v>
                </pt>
                <pt idx="47">
                  <v>35765</v>
                </pt>
                <pt idx="48">
                  <v>35796</v>
                </pt>
                <pt idx="49">
                  <v>35827</v>
                </pt>
                <pt idx="50">
                  <v>35855</v>
                </pt>
                <pt idx="51">
                  <v>35886</v>
                </pt>
                <pt idx="52">
                  <v>35916</v>
                </pt>
                <pt idx="53">
                  <v>35947</v>
                </pt>
                <pt idx="54">
                  <v>35977</v>
                </pt>
                <pt idx="55">
                  <v>36008</v>
                </pt>
                <pt idx="56">
                  <v>36039</v>
                </pt>
                <pt idx="57">
                  <v>36069</v>
                </pt>
                <pt idx="58">
                  <v>36100</v>
                </pt>
                <pt idx="59">
                  <v>36130</v>
                </pt>
                <pt idx="60">
                  <v>36161</v>
                </pt>
                <pt idx="61">
                  <v>36192</v>
                </pt>
                <pt idx="62">
                  <v>36220</v>
                </pt>
                <pt idx="63">
                  <v>36251</v>
                </pt>
                <pt idx="64">
                  <v>36281</v>
                </pt>
                <pt idx="65">
                  <v>36312</v>
                </pt>
                <pt idx="66">
                  <v>36342</v>
                </pt>
                <pt idx="67">
                  <v>36373</v>
                </pt>
                <pt idx="68">
                  <v>36404</v>
                </pt>
                <pt idx="69">
                  <v>36434</v>
                </pt>
                <pt idx="70">
                  <v>36465</v>
                </pt>
                <pt idx="71">
                  <v>36495</v>
                </pt>
                <pt idx="72">
                  <v>36526</v>
                </pt>
                <pt idx="73">
                  <v>36557</v>
                </pt>
                <pt idx="74">
                  <v>36586</v>
                </pt>
                <pt idx="75">
                  <v>36617</v>
                </pt>
                <pt idx="76">
                  <v>36647</v>
                </pt>
                <pt idx="77">
                  <v>36678</v>
                </pt>
                <pt idx="78">
                  <v>36708</v>
                </pt>
                <pt idx="79">
                  <v>36739</v>
                </pt>
                <pt idx="80">
                  <v>36770</v>
                </pt>
                <pt idx="81">
                  <v>36800</v>
                </pt>
                <pt idx="82">
                  <v>36831</v>
                </pt>
                <pt idx="83">
                  <v>36861</v>
                </pt>
                <pt idx="84">
                  <v>36892</v>
                </pt>
                <pt idx="85">
                  <v>36923</v>
                </pt>
                <pt idx="86">
                  <v>36951</v>
                </pt>
                <pt idx="87">
                  <v>36982</v>
                </pt>
                <pt idx="88">
                  <v>37012</v>
                </pt>
                <pt idx="89">
                  <v>37043</v>
                </pt>
                <pt idx="90">
                  <v>37073</v>
                </pt>
                <pt idx="91">
                  <v>37104</v>
                </pt>
                <pt idx="92">
                  <v>37135</v>
                </pt>
                <pt idx="93">
                  <v>37165</v>
                </pt>
                <pt idx="94">
                  <v>37196</v>
                </pt>
                <pt idx="95">
                  <v>37226</v>
                </pt>
                <pt idx="96">
                  <v>37257</v>
                </pt>
                <pt idx="97">
                  <v>37288</v>
                </pt>
                <pt idx="98">
                  <v>37316</v>
                </pt>
                <pt idx="99">
                  <v>37347</v>
                </pt>
                <pt idx="100">
                  <v>37377</v>
                </pt>
                <pt idx="101">
                  <v>37408</v>
                </pt>
                <pt idx="102">
                  <v>37438</v>
                </pt>
                <pt idx="103">
                  <v>37469</v>
                </pt>
                <pt idx="104">
                  <v>37500</v>
                </pt>
                <pt idx="105">
                  <v>37530</v>
                </pt>
                <pt idx="106">
                  <v>37561</v>
                </pt>
                <pt idx="107">
                  <v>37591</v>
                </pt>
                <pt idx="108">
                  <v>37622</v>
                </pt>
                <pt idx="109">
                  <v>37653</v>
                </pt>
                <pt idx="110">
                  <v>37681</v>
                </pt>
                <pt idx="111">
                  <v>37712</v>
                </pt>
                <pt idx="112">
                  <v>37742</v>
                </pt>
                <pt idx="113">
                  <v>37773</v>
                </pt>
                <pt idx="114">
                  <v>37803</v>
                </pt>
                <pt idx="115">
                  <v>37834</v>
                </pt>
                <pt idx="116">
                  <v>37865</v>
                </pt>
                <pt idx="117">
                  <v>37895</v>
                </pt>
                <pt idx="118">
                  <v>37926</v>
                </pt>
                <pt idx="119">
                  <v>37956</v>
                </pt>
                <pt idx="120">
                  <v>37987</v>
                </pt>
                <pt idx="121">
                  <v>38018</v>
                </pt>
                <pt idx="122">
                  <v>38047</v>
                </pt>
                <pt idx="123">
                  <v>38078</v>
                </pt>
                <pt idx="124">
                  <v>38108</v>
                </pt>
                <pt idx="125">
                  <v>38139</v>
                </pt>
                <pt idx="126">
                  <v>38169</v>
                </pt>
                <pt idx="127">
                  <v>38200</v>
                </pt>
                <pt idx="128">
                  <v>38231</v>
                </pt>
                <pt idx="129">
                  <v>38261</v>
                </pt>
                <pt idx="130">
                  <v>38292</v>
                </pt>
                <pt idx="131">
                  <v>38322</v>
                </pt>
                <pt idx="132">
                  <v>38353</v>
                </pt>
                <pt idx="133">
                  <v>38384</v>
                </pt>
                <pt idx="134">
                  <v>38412</v>
                </pt>
                <pt idx="135">
                  <v>38443</v>
                </pt>
                <pt idx="136">
                  <v>38473</v>
                </pt>
                <pt idx="137">
                  <v>38504</v>
                </pt>
                <pt idx="138">
                  <v>38534</v>
                </pt>
                <pt idx="139">
                  <v>38565</v>
                </pt>
                <pt idx="140">
                  <v>38596</v>
                </pt>
                <pt idx="141">
                  <v>38626</v>
                </pt>
                <pt idx="142">
                  <v>38657</v>
                </pt>
                <pt idx="143">
                  <v>38687</v>
                </pt>
                <pt idx="144">
                  <v>38718</v>
                </pt>
                <pt idx="145">
                  <v>38749</v>
                </pt>
                <pt idx="146">
                  <v>38777</v>
                </pt>
                <pt idx="147">
                  <v>38808</v>
                </pt>
                <pt idx="148">
                  <v>38838</v>
                </pt>
                <pt idx="149">
                  <v>38869</v>
                </pt>
                <pt idx="150">
                  <v>38899</v>
                </pt>
                <pt idx="151">
                  <v>38930</v>
                </pt>
                <pt idx="152">
                  <v>38961</v>
                </pt>
                <pt idx="153">
                  <v>38991</v>
                </pt>
                <pt idx="154">
                  <v>39022</v>
                </pt>
                <pt idx="155">
                  <v>39052</v>
                </pt>
                <pt idx="156">
                  <v>39083</v>
                </pt>
                <pt idx="157">
                  <v>39114</v>
                </pt>
                <pt idx="158">
                  <v>39142</v>
                </pt>
                <pt idx="159">
                  <v>39173</v>
                </pt>
                <pt idx="160">
                  <v>39203</v>
                </pt>
                <pt idx="161">
                  <v>39234</v>
                </pt>
                <pt idx="162">
                  <v>39264</v>
                </pt>
                <pt idx="163">
                  <v>39295</v>
                </pt>
                <pt idx="164">
                  <v>39326</v>
                </pt>
                <pt idx="165">
                  <v>39356</v>
                </pt>
                <pt idx="166">
                  <v>39387</v>
                </pt>
                <pt idx="167">
                  <v>39417</v>
                </pt>
                <pt idx="168">
                  <v>39448</v>
                </pt>
                <pt idx="169">
                  <v>39479</v>
                </pt>
                <pt idx="170">
                  <v>39508</v>
                </pt>
                <pt idx="171">
                  <v>39539</v>
                </pt>
                <pt idx="172">
                  <v>39569</v>
                </pt>
                <pt idx="173">
                  <v>39600</v>
                </pt>
                <pt idx="174">
                  <v>39630</v>
                </pt>
                <pt idx="175">
                  <v>39661</v>
                </pt>
                <pt idx="176">
                  <v>39692</v>
                </pt>
                <pt idx="177">
                  <v>39722</v>
                </pt>
                <pt idx="178">
                  <v>39753</v>
                </pt>
                <pt idx="179">
                  <v>39783</v>
                </pt>
                <pt idx="180">
                  <v>39814</v>
                </pt>
                <pt idx="181">
                  <v>39845</v>
                </pt>
                <pt idx="182">
                  <v>39873</v>
                </pt>
                <pt idx="183">
                  <v>39904</v>
                </pt>
                <pt idx="184">
                  <v>39934</v>
                </pt>
                <pt idx="185">
                  <v>39965</v>
                </pt>
                <pt idx="186">
                  <v>39995</v>
                </pt>
                <pt idx="187">
                  <v>40026</v>
                </pt>
                <pt idx="188">
                  <v>40057</v>
                </pt>
                <pt idx="189">
                  <v>40087</v>
                </pt>
                <pt idx="190">
                  <v>40118</v>
                </pt>
                <pt idx="191">
                  <v>40148</v>
                </pt>
                <pt idx="192">
                  <v>40179</v>
                </pt>
                <pt idx="193">
                  <v>40210</v>
                </pt>
                <pt idx="194">
                  <v>40238</v>
                </pt>
                <pt idx="195">
                  <v>40269</v>
                </pt>
                <pt idx="196">
                  <v>40299</v>
                </pt>
                <pt idx="197">
                  <v>40330</v>
                </pt>
                <pt idx="198">
                  <v>40360</v>
                </pt>
                <pt idx="199">
                  <v>40391</v>
                </pt>
                <pt idx="200">
                  <v>40422</v>
                </pt>
                <pt idx="201">
                  <v>40452</v>
                </pt>
                <pt idx="202">
                  <v>40483</v>
                </pt>
                <pt idx="203">
                  <v>40513</v>
                </pt>
                <pt idx="204">
                  <v>40544</v>
                </pt>
                <pt idx="205">
                  <v>40575</v>
                </pt>
                <pt idx="206">
                  <v>40603</v>
                </pt>
                <pt idx="207">
                  <v>40634</v>
                </pt>
                <pt idx="208">
                  <v>40664</v>
                </pt>
                <pt idx="209">
                  <v>40695</v>
                </pt>
                <pt idx="210">
                  <v>40725</v>
                </pt>
                <pt idx="211">
                  <v>40756</v>
                </pt>
                <pt idx="212">
                  <v>40787</v>
                </pt>
                <pt idx="213">
                  <v>40817</v>
                </pt>
                <pt idx="214">
                  <v>40848</v>
                </pt>
                <pt idx="215">
                  <v>40878</v>
                </pt>
                <pt idx="216">
                  <v>40909</v>
                </pt>
                <pt idx="217">
                  <v>40940</v>
                </pt>
                <pt idx="218">
                  <v>40969</v>
                </pt>
                <pt idx="219">
                  <v>41000</v>
                </pt>
                <pt idx="220">
                  <v>41030</v>
                </pt>
                <pt idx="221">
                  <v>41061</v>
                </pt>
                <pt idx="222">
                  <v>41091</v>
                </pt>
                <pt idx="223">
                  <v>41122</v>
                </pt>
                <pt idx="224">
                  <v>41153</v>
                </pt>
                <pt idx="225">
                  <v>41183</v>
                </pt>
                <pt idx="226">
                  <v>41214</v>
                </pt>
                <pt idx="227">
                  <v>41244</v>
                </pt>
                <pt idx="228">
                  <v>41275</v>
                </pt>
                <pt idx="229">
                  <v>41306</v>
                </pt>
                <pt idx="230">
                  <v>41334</v>
                </pt>
                <pt idx="231">
                  <v>41365</v>
                </pt>
                <pt idx="232">
                  <v>41395</v>
                </pt>
                <pt idx="233">
                  <v>41426</v>
                </pt>
                <pt idx="234">
                  <v>41456</v>
                </pt>
                <pt idx="235">
                  <v>41487</v>
                </pt>
                <pt idx="236">
                  <v>41518</v>
                </pt>
                <pt idx="237">
                  <v>41548</v>
                </pt>
                <pt idx="238">
                  <v>41579</v>
                </pt>
                <pt idx="239">
                  <v>41609</v>
                </pt>
                <pt idx="240">
                  <v>41640</v>
                </pt>
                <pt idx="241">
                  <v>41671</v>
                </pt>
                <pt idx="242">
                  <v>41699</v>
                </pt>
                <pt idx="243">
                  <v>41730</v>
                </pt>
                <pt idx="244">
                  <v>41760</v>
                </pt>
                <pt idx="245">
                  <v>41791</v>
                </pt>
                <pt idx="246">
                  <v>41821</v>
                </pt>
                <pt idx="247">
                  <v>41852</v>
                </pt>
                <pt idx="248">
                  <v>41883</v>
                </pt>
                <pt idx="249">
                  <v>41913</v>
                </pt>
                <pt idx="250">
                  <v>41944</v>
                </pt>
                <pt idx="251">
                  <v>41974</v>
                </pt>
                <pt idx="252">
                  <v>42005</v>
                </pt>
                <pt idx="253">
                  <v>42036</v>
                </pt>
                <pt idx="254">
                  <v>42064</v>
                </pt>
                <pt idx="255">
                  <v>42095</v>
                </pt>
                <pt idx="256">
                  <v>42125</v>
                </pt>
                <pt idx="257">
                  <v>42156</v>
                </pt>
                <pt idx="258">
                  <v>42186</v>
                </pt>
                <pt idx="259">
                  <v>42217</v>
                </pt>
                <pt idx="260">
                  <v>42248</v>
                </pt>
                <pt idx="261">
                  <v>42278</v>
                </pt>
                <pt idx="262">
                  <v>42309</v>
                </pt>
                <pt idx="263">
                  <v>42339</v>
                </pt>
                <pt idx="264">
                  <v>42370</v>
                </pt>
                <pt idx="265">
                  <v>42401</v>
                </pt>
                <pt idx="266">
                  <v>42430</v>
                </pt>
                <pt idx="267">
                  <v>42461</v>
                </pt>
                <pt idx="268">
                  <v>42491</v>
                </pt>
                <pt idx="269">
                  <v>42522</v>
                </pt>
                <pt idx="270">
                  <v>42552</v>
                </pt>
                <pt idx="271">
                  <v>42583</v>
                </pt>
                <pt idx="272">
                  <v>42614</v>
                </pt>
                <pt idx="273">
                  <v>42644</v>
                </pt>
                <pt idx="274">
                  <v>42675</v>
                </pt>
                <pt idx="275">
                  <v>42705</v>
                </pt>
                <pt idx="276">
                  <v>42736</v>
                </pt>
                <pt idx="277">
                  <v>42767</v>
                </pt>
                <pt idx="278">
                  <v>42795</v>
                </pt>
                <pt idx="279">
                  <v>42826</v>
                </pt>
                <pt idx="280">
                  <v>42856</v>
                </pt>
                <pt idx="281">
                  <v>42887</v>
                </pt>
                <pt idx="282">
                  <v>42917</v>
                </pt>
                <pt idx="283">
                  <v>42948</v>
                </pt>
                <pt idx="284">
                  <v>42979</v>
                </pt>
                <pt idx="285">
                  <v>43009</v>
                </pt>
                <pt idx="286">
                  <v>43040</v>
                </pt>
                <pt idx="287">
                  <v>43070</v>
                </pt>
                <pt idx="288">
                  <v>43101</v>
                </pt>
                <pt idx="289">
                  <v>43132</v>
                </pt>
                <pt idx="290">
                  <v>43160</v>
                </pt>
                <pt idx="291">
                  <v>43191</v>
                </pt>
                <pt idx="292">
                  <v>43221</v>
                </pt>
                <pt idx="293">
                  <v>43252</v>
                </pt>
                <pt idx="294">
                  <v>43282</v>
                </pt>
                <pt idx="295">
                  <v>43313</v>
                </pt>
                <pt idx="296">
                  <v>43344</v>
                </pt>
                <pt idx="297">
                  <v>43374</v>
                </pt>
                <pt idx="298">
                  <v>43405</v>
                </pt>
                <pt idx="299">
                  <v>43435</v>
                </pt>
                <pt idx="300">
                  <v>43466</v>
                </pt>
                <pt idx="301">
                  <v>43497</v>
                </pt>
                <pt idx="302">
                  <v>43525</v>
                </pt>
                <pt idx="303">
                  <v>43556</v>
                </pt>
                <pt idx="304">
                  <v>43586</v>
                </pt>
                <pt idx="305">
                  <v>43617</v>
                </pt>
                <pt idx="306">
                  <v>43647</v>
                </pt>
                <pt idx="307">
                  <v>43678</v>
                </pt>
                <pt idx="308">
                  <v>43709</v>
                </pt>
                <pt idx="309">
                  <v>43739</v>
                </pt>
                <pt idx="310">
                  <v>43770</v>
                </pt>
                <pt idx="311">
                  <v>43800</v>
                </pt>
                <pt idx="312">
                  <v>43831</v>
                </pt>
                <pt idx="313">
                  <v>43862</v>
                </pt>
                <pt idx="314">
                  <v>43891</v>
                </pt>
                <pt idx="315">
                  <v>43922</v>
                </pt>
                <pt idx="316">
                  <v>43952</v>
                </pt>
                <pt idx="317">
                  <v>43983</v>
                </pt>
                <pt idx="318">
                  <v>44013</v>
                </pt>
                <pt idx="319">
                  <v>44044</v>
                </pt>
                <pt idx="320">
                  <v>44075</v>
                </pt>
                <pt idx="321">
                  <v>44105</v>
                </pt>
                <pt idx="322">
                  <v>44136</v>
                </pt>
                <pt idx="323">
                  <v>44166</v>
                </pt>
                <pt idx="324">
                  <v>44197</v>
                </pt>
                <pt idx="325">
                  <v>44228</v>
                </pt>
                <pt idx="326">
                  <v>44256</v>
                </pt>
                <pt idx="327">
                  <v>44287</v>
                </pt>
                <pt idx="328">
                  <v>44317</v>
                </pt>
                <pt idx="329">
                  <v>44348</v>
                </pt>
                <pt idx="330">
                  <v>44378</v>
                </pt>
                <pt idx="331">
                  <v>44409</v>
                </pt>
                <pt idx="332">
                  <v>44440</v>
                </pt>
                <pt idx="333">
                  <v>44470</v>
                </pt>
                <pt idx="334">
                  <v>44501</v>
                </pt>
                <pt idx="335">
                  <v>44531</v>
                </pt>
                <pt idx="336">
                  <v>44562</v>
                </pt>
                <pt idx="337">
                  <v>44593</v>
                </pt>
                <pt idx="338">
                  <v>44621</v>
                </pt>
                <pt idx="339">
                  <v>44652</v>
                </pt>
                <pt idx="340">
                  <v>44682</v>
                </pt>
                <pt idx="341">
                  <v>44713</v>
                </pt>
                <pt idx="342">
                  <v>44743</v>
                </pt>
                <pt idx="343">
                  <v>44774</v>
                </pt>
                <pt idx="344">
                  <v>44805</v>
                </pt>
                <pt idx="345">
                  <v>44835</v>
                </pt>
                <pt idx="346">
                  <v>44866</v>
                </pt>
              </numCache>
            </numRef>
          </cat>
          <val>
            <numRef>
              <f>Denmark!$B$6:$B$352</f>
              <numCache>
                <formatCode>General</formatCode>
                <ptCount val="347"/>
                <pt idx="0">
                  <v>62.8</v>
                </pt>
                <pt idx="1">
                  <v>67.53</v>
                </pt>
                <pt idx="2">
                  <v>61.89</v>
                </pt>
                <pt idx="3">
                  <v>60.57</v>
                </pt>
                <pt idx="4">
                  <v>63.1</v>
                </pt>
                <pt idx="5">
                  <v>62.94</v>
                </pt>
                <pt idx="6">
                  <v>63.1</v>
                </pt>
                <pt idx="7">
                  <v>59.49</v>
                </pt>
                <pt idx="8">
                  <v>59.36</v>
                </pt>
                <pt idx="9">
                  <v>61.33</v>
                </pt>
                <pt idx="10">
                  <v>60.53</v>
                </pt>
                <pt idx="11">
                  <v>62.29</v>
                </pt>
                <pt idx="12">
                  <v>62.95</v>
                </pt>
                <pt idx="13">
                  <v>63.78</v>
                </pt>
                <pt idx="14">
                  <v>61.91</v>
                </pt>
                <pt idx="15">
                  <v>59.68</v>
                </pt>
                <pt idx="16">
                  <v>58.91</v>
                </pt>
                <pt idx="17">
                  <v>58.16</v>
                </pt>
                <pt idx="18">
                  <v>65.40000000000001</v>
                </pt>
                <pt idx="19">
                  <v>56.52</v>
                </pt>
                <pt idx="20">
                  <v>55.66</v>
                </pt>
                <pt idx="21">
                  <v>53.13</v>
                </pt>
                <pt idx="22">
                  <v>55.08</v>
                </pt>
                <pt idx="23">
                  <v>54.03</v>
                </pt>
                <pt idx="24">
                  <v>50.16</v>
                </pt>
                <pt idx="25">
                  <v>46.38</v>
                </pt>
                <pt idx="26">
                  <v>52.65</v>
                </pt>
                <pt idx="27">
                  <v>54.64</v>
                </pt>
                <pt idx="28">
                  <v>48.99</v>
                </pt>
                <pt idx="29">
                  <v>50.64</v>
                </pt>
                <pt idx="30">
                  <v>54.72</v>
                </pt>
                <pt idx="31">
                  <v>56.46</v>
                </pt>
                <pt idx="32">
                  <v>59.28</v>
                </pt>
                <pt idx="33">
                  <v>57.49</v>
                </pt>
                <pt idx="34">
                  <v>61.57</v>
                </pt>
                <pt idx="35">
                  <v>60.71</v>
                </pt>
                <pt idx="36">
                  <v>62.72</v>
                </pt>
                <pt idx="37">
                  <v>57.65</v>
                </pt>
                <pt idx="38">
                  <v>60.39</v>
                </pt>
                <pt idx="39">
                  <v>60.87</v>
                </pt>
                <pt idx="40">
                  <v>64.19</v>
                </pt>
                <pt idx="41">
                  <v>63.39</v>
                </pt>
                <pt idx="42">
                  <v>54.92</v>
                </pt>
                <pt idx="43">
                  <v>61.25</v>
                </pt>
                <pt idx="44">
                  <v>61.84</v>
                </pt>
                <pt idx="45">
                  <v>58.84</v>
                </pt>
                <pt idx="46">
                  <v>56.3</v>
                </pt>
                <pt idx="47">
                  <v>56.74</v>
                </pt>
                <pt idx="48">
                  <v>55.77</v>
                </pt>
                <pt idx="49">
                  <v>55.65</v>
                </pt>
                <pt idx="50">
                  <v>58.86</v>
                </pt>
                <pt idx="51">
                  <v>58.81</v>
                </pt>
                <pt idx="52">
                  <v>60.33</v>
                </pt>
                <pt idx="53">
                  <v>57.46</v>
                </pt>
                <pt idx="54">
                  <v>50.71</v>
                </pt>
                <pt idx="55">
                  <v>62.84</v>
                </pt>
                <pt idx="56">
                  <v>51.54</v>
                </pt>
                <pt idx="57">
                  <v>54.96</v>
                </pt>
                <pt idx="58">
                  <v>48.18</v>
                </pt>
                <pt idx="59">
                  <v>49.94</v>
                </pt>
                <pt idx="60">
                  <v>53.69</v>
                </pt>
                <pt idx="61">
                  <v>55.51</v>
                </pt>
                <pt idx="62">
                  <v>45.32</v>
                </pt>
                <pt idx="63">
                  <v>50.98</v>
                </pt>
                <pt idx="64">
                  <v>48.33</v>
                </pt>
                <pt idx="65">
                  <v>51.51</v>
                </pt>
                <pt idx="66">
                  <v>53.07</v>
                </pt>
                <pt idx="67">
                  <v>49.58</v>
                </pt>
                <pt idx="68">
                  <v>52.05</v>
                </pt>
                <pt idx="69">
                  <v>69.79000000000001</v>
                </pt>
                <pt idx="70">
                  <v>64.63</v>
                </pt>
                <pt idx="71">
                  <v>46.56</v>
                </pt>
                <pt idx="72">
                  <v>56.5</v>
                </pt>
                <pt idx="73">
                  <v>60.09</v>
                </pt>
                <pt idx="74">
                  <v>58.03</v>
                </pt>
                <pt idx="75">
                  <v>54.9</v>
                </pt>
                <pt idx="76">
                  <v>55.18</v>
                </pt>
                <pt idx="77">
                  <v>53.67</v>
                </pt>
                <pt idx="78">
                  <v>64.06999999999999</v>
                </pt>
                <pt idx="79">
                  <v>56.81</v>
                </pt>
                <pt idx="80">
                  <v>56.21</v>
                </pt>
                <pt idx="81">
                  <v>59.71</v>
                </pt>
                <pt idx="82">
                  <v>54.29</v>
                </pt>
                <pt idx="83">
                  <v>55.54</v>
                </pt>
                <pt idx="84">
                  <v>52.88</v>
                </pt>
                <pt idx="85">
                  <v>51.59</v>
                </pt>
                <pt idx="86">
                  <v>52.49</v>
                </pt>
                <pt idx="87">
                  <v>49.61</v>
                </pt>
                <pt idx="88">
                  <v>52.89</v>
                </pt>
                <pt idx="89">
                  <v>53.97</v>
                </pt>
                <pt idx="90">
                  <v>50.42</v>
                </pt>
                <pt idx="91">
                  <v>53.21</v>
                </pt>
                <pt idx="92">
                  <v>47.75</v>
                </pt>
                <pt idx="93">
                  <v>46.09</v>
                </pt>
                <pt idx="94">
                  <v>50.81</v>
                </pt>
                <pt idx="95">
                  <v>46.1</v>
                </pt>
                <pt idx="96">
                  <v>52.42</v>
                </pt>
                <pt idx="97">
                  <v>53.28</v>
                </pt>
                <pt idx="98">
                  <v>53.02</v>
                </pt>
                <pt idx="99">
                  <v>55.71</v>
                </pt>
                <pt idx="100">
                  <v>52.26</v>
                </pt>
                <pt idx="101">
                  <v>53.98</v>
                </pt>
                <pt idx="102">
                  <v>54.33</v>
                </pt>
                <pt idx="103">
                  <v>53.11</v>
                </pt>
                <pt idx="104">
                  <v>52.08</v>
                </pt>
                <pt idx="105">
                  <v>47.57</v>
                </pt>
                <pt idx="106">
                  <v>47.96</v>
                </pt>
                <pt idx="107">
                  <v>48.71</v>
                </pt>
                <pt idx="108">
                  <v>46.3</v>
                </pt>
                <pt idx="109">
                  <v>46.27</v>
                </pt>
                <pt idx="110">
                  <v>49.92</v>
                </pt>
                <pt idx="111">
                  <v>52.91</v>
                </pt>
                <pt idx="112">
                  <v>50.11</v>
                </pt>
                <pt idx="113">
                  <v>47.14</v>
                </pt>
                <pt idx="114">
                  <v>49.65</v>
                </pt>
                <pt idx="115">
                  <v>49.78</v>
                </pt>
                <pt idx="116">
                  <v>59.65</v>
                </pt>
                <pt idx="117">
                  <v>54.14</v>
                </pt>
                <pt idx="118">
                  <v>57.7</v>
                </pt>
                <pt idx="119">
                  <v>60.4</v>
                </pt>
                <pt idx="120">
                  <v>46.37</v>
                </pt>
                <pt idx="121">
                  <v>56.97</v>
                </pt>
                <pt idx="122">
                  <v>58.99</v>
                </pt>
                <pt idx="123">
                  <v>59.16</v>
                </pt>
                <pt idx="124">
                  <v>61.27</v>
                </pt>
                <pt idx="125">
                  <v>51.93</v>
                </pt>
                <pt idx="126">
                  <v>56.18</v>
                </pt>
                <pt idx="127">
                  <v>62.38</v>
                </pt>
                <pt idx="128">
                  <v>57.36</v>
                </pt>
                <pt idx="129">
                  <v>56.87</v>
                </pt>
                <pt idx="130">
                  <v>54.39</v>
                </pt>
                <pt idx="131">
                  <v>57.58</v>
                </pt>
                <pt idx="132">
                  <v>59.37</v>
                </pt>
                <pt idx="133">
                  <v>55.3</v>
                </pt>
                <pt idx="134">
                  <v>56.66</v>
                </pt>
                <pt idx="135">
                  <v>52.88</v>
                </pt>
                <pt idx="136">
                  <v>53.51</v>
                </pt>
                <pt idx="137">
                  <v>58.58</v>
                </pt>
                <pt idx="138">
                  <v>56.43</v>
                </pt>
                <pt idx="139">
                  <v>56.34</v>
                </pt>
                <pt idx="140">
                  <v>61.16</v>
                </pt>
                <pt idx="141">
                  <v>68.93000000000001</v>
                </pt>
                <pt idx="142">
                  <v>57.53</v>
                </pt>
                <pt idx="143">
                  <v>59.8</v>
                </pt>
                <pt idx="144">
                  <v>58.97</v>
                </pt>
                <pt idx="145">
                  <v>60.32</v>
                </pt>
                <pt idx="146">
                  <v>52.93</v>
                </pt>
                <pt idx="147">
                  <v>55.97</v>
                </pt>
                <pt idx="148">
                  <v>56.87</v>
                </pt>
                <pt idx="149">
                  <v>56.69</v>
                </pt>
                <pt idx="150">
                  <v>58.32</v>
                </pt>
                <pt idx="151">
                  <v>63.49</v>
                </pt>
                <pt idx="152">
                  <v>62.87</v>
                </pt>
                <pt idx="153">
                  <v>62.65</v>
                </pt>
                <pt idx="154">
                  <v>66.77</v>
                </pt>
                <pt idx="155">
                  <v>62.5</v>
                </pt>
                <pt idx="156">
                  <v>55.72</v>
                </pt>
                <pt idx="157">
                  <v>60.51</v>
                </pt>
                <pt idx="158">
                  <v>65.52</v>
                </pt>
                <pt idx="159">
                  <v>63.43</v>
                </pt>
                <pt idx="160">
                  <v>62.81</v>
                </pt>
                <pt idx="161">
                  <v>59.06</v>
                </pt>
                <pt idx="162">
                  <v>63.94</v>
                </pt>
                <pt idx="163">
                  <v>55.08</v>
                </pt>
                <pt idx="164">
                  <v>57.16</v>
                </pt>
                <pt idx="165">
                  <v>59.94</v>
                </pt>
                <pt idx="166">
                  <v>57.03</v>
                </pt>
                <pt idx="167">
                  <v>55.62</v>
                </pt>
                <pt idx="168">
                  <v>56.34</v>
                </pt>
                <pt idx="169">
                  <v>64.81999999999999</v>
                </pt>
                <pt idx="170">
                  <v>57.03</v>
                </pt>
                <pt idx="171">
                  <v>44.91</v>
                </pt>
                <pt idx="172">
                  <v>66.78</v>
                </pt>
                <pt idx="173">
                  <v>62.6</v>
                </pt>
                <pt idx="174">
                  <v>38.91</v>
                </pt>
                <pt idx="175">
                  <v>48.73</v>
                </pt>
                <pt idx="176">
                  <v>52.91</v>
                </pt>
                <pt idx="177">
                  <v>40.79</v>
                </pt>
                <pt idx="178">
                  <v>45.47</v>
                </pt>
                <pt idx="179">
                  <v>40.3</v>
                </pt>
                <pt idx="180">
                  <v>25.32</v>
                </pt>
                <pt idx="181">
                  <v>25.02</v>
                </pt>
                <pt idx="182">
                  <v>30.56</v>
                </pt>
                <pt idx="183">
                  <v>34.45</v>
                </pt>
                <pt idx="184">
                  <v>27.75</v>
                </pt>
                <pt idx="185">
                  <v>42</v>
                </pt>
                <pt idx="186">
                  <v>47.7</v>
                </pt>
                <pt idx="187">
                  <v>42.59</v>
                </pt>
                <pt idx="188">
                  <v>42.73</v>
                </pt>
                <pt idx="189">
                  <v>49.89</v>
                </pt>
                <pt idx="190">
                  <v>50.67</v>
                </pt>
                <pt idx="191">
                  <v>49.48</v>
                </pt>
                <pt idx="192">
                  <v>50.96</v>
                </pt>
                <pt idx="193">
                  <v>48.93</v>
                </pt>
                <pt idx="194">
                  <v>51.66</v>
                </pt>
                <pt idx="195">
                  <v>49.02</v>
                </pt>
                <pt idx="196">
                  <v>51.33</v>
                </pt>
                <pt idx="197">
                  <v>50.2</v>
                </pt>
                <pt idx="198">
                  <v>54.3</v>
                </pt>
                <pt idx="199">
                  <v>54.73</v>
                </pt>
                <pt idx="200">
                  <v>56.27</v>
                </pt>
                <pt idx="201">
                  <v>56.89</v>
                </pt>
                <pt idx="202">
                  <v>55.8</v>
                </pt>
                <pt idx="203">
                  <v>62.4</v>
                </pt>
                <pt idx="204">
                  <v>57.21</v>
                </pt>
                <pt idx="205">
                  <v>60.78</v>
                </pt>
                <pt idx="206">
                  <v>62.07</v>
                </pt>
                <pt idx="207">
                  <v>63.05</v>
                </pt>
                <pt idx="208">
                  <v>58.59</v>
                </pt>
                <pt idx="209">
                  <v>58.05</v>
                </pt>
                <pt idx="210">
                  <v>58.37</v>
                </pt>
                <pt idx="211">
                  <v>55.07</v>
                </pt>
                <pt idx="212">
                  <v>64.40000000000001</v>
                </pt>
                <pt idx="213">
                  <v>43.91</v>
                </pt>
                <pt idx="214">
                  <v>47.79</v>
                </pt>
                <pt idx="215">
                  <v>58.44</v>
                </pt>
                <pt idx="216">
                  <v>52.12</v>
                </pt>
                <pt idx="217">
                  <v>53.88</v>
                </pt>
                <pt idx="218">
                  <v>50.34</v>
                </pt>
                <pt idx="219">
                  <v>63.6</v>
                </pt>
                <pt idx="220">
                  <v>51.42</v>
                </pt>
                <pt idx="221">
                  <v>52.69</v>
                </pt>
                <pt idx="222">
                  <v>47.21</v>
                </pt>
                <pt idx="223">
                  <v>51.06</v>
                </pt>
                <pt idx="224">
                  <v>52.09</v>
                </pt>
                <pt idx="225">
                  <v>57.41</v>
                </pt>
                <pt idx="226">
                  <v>56.29</v>
                </pt>
                <pt idx="227">
                  <v>57.62</v>
                </pt>
                <pt idx="228">
                  <v>55.27</v>
                </pt>
                <pt idx="229">
                  <v>61.23</v>
                </pt>
                <pt idx="230">
                  <v>49.81</v>
                </pt>
                <pt idx="231">
                  <v>49.29</v>
                </pt>
                <pt idx="232">
                  <v>54.75</v>
                </pt>
                <pt idx="233">
                  <v>57.73</v>
                </pt>
                <pt idx="234">
                  <v>59.18</v>
                </pt>
                <pt idx="235">
                  <v>60.29</v>
                </pt>
                <pt idx="236">
                  <v>55.74</v>
                </pt>
                <pt idx="237">
                  <v>55.71</v>
                </pt>
                <pt idx="238">
                  <v>57.85</v>
                </pt>
                <pt idx="239">
                  <v>53.45</v>
                </pt>
                <pt idx="240">
                  <v>55.6</v>
                </pt>
                <pt idx="241">
                  <v>56.77</v>
                </pt>
                <pt idx="242">
                  <v>60.3</v>
                </pt>
                <pt idx="243">
                  <v>60.5</v>
                </pt>
                <pt idx="244">
                  <v>58.71</v>
                </pt>
                <pt idx="245">
                  <v>51.76</v>
                </pt>
                <pt idx="246">
                  <v>49.75</v>
                </pt>
                <pt idx="247">
                  <v>48.13</v>
                </pt>
                <pt idx="248">
                  <v>51.33</v>
                </pt>
                <pt idx="249">
                  <v>54.04</v>
                </pt>
                <pt idx="250">
                  <v>51.5</v>
                </pt>
                <pt idx="251">
                  <v>53.85</v>
                </pt>
                <pt idx="252">
                  <v>55.25</v>
                </pt>
                <pt idx="253">
                  <v>57.96</v>
                </pt>
                <pt idx="254">
                  <v>58.54</v>
                </pt>
                <pt idx="255">
                  <v>53.3</v>
                </pt>
                <pt idx="256">
                  <v>52.73</v>
                </pt>
                <pt idx="257">
                  <v>54.46</v>
                </pt>
                <pt idx="258">
                  <v>52.31</v>
                </pt>
                <pt idx="259">
                  <v>62.51</v>
                </pt>
                <pt idx="260">
                  <v>69.37</v>
                </pt>
                <pt idx="261">
                  <v>55.62</v>
                </pt>
                <pt idx="262">
                  <v>61.47</v>
                </pt>
                <pt idx="263">
                  <v>54.76</v>
                </pt>
                <pt idx="264">
                  <v>54.46</v>
                </pt>
                <pt idx="265">
                  <v>50.93</v>
                </pt>
                <pt idx="266">
                  <v>55.11</v>
                </pt>
                <pt idx="267">
                  <v>63.28</v>
                </pt>
                <pt idx="268">
                  <v>61.65</v>
                </pt>
                <pt idx="269">
                  <v>59.75</v>
                </pt>
                <pt idx="270">
                  <v>59.53</v>
                </pt>
                <pt idx="271">
                  <v>53.62</v>
                </pt>
                <pt idx="272">
                  <v>58.98</v>
                </pt>
                <pt idx="273">
                  <v>57.31</v>
                </pt>
                <pt idx="274">
                  <v>57.22</v>
                </pt>
                <pt idx="275">
                  <v>62.52</v>
                </pt>
                <pt idx="276">
                  <v>57.57</v>
                </pt>
                <pt idx="277">
                  <v>56.51</v>
                </pt>
                <pt idx="278">
                  <v>56.62</v>
                </pt>
                <pt idx="279">
                  <v>49.11</v>
                </pt>
                <pt idx="280">
                  <v>57.99</v>
                </pt>
                <pt idx="281">
                  <v>63.61</v>
                </pt>
                <pt idx="282">
                  <v>63.72</v>
                </pt>
                <pt idx="283">
                  <v>60.57</v>
                </pt>
                <pt idx="284">
                  <v>61.78</v>
                </pt>
                <pt idx="285">
                  <v>58.57</v>
                </pt>
                <pt idx="286">
                  <v>58.31</v>
                </pt>
                <pt idx="287">
                  <v>61.04</v>
                </pt>
                <pt idx="288">
                  <v>66.65000000000001</v>
                </pt>
                <pt idx="289">
                  <v>70.75</v>
                </pt>
                <pt idx="290">
                  <v>61.05</v>
                </pt>
                <pt idx="291">
                  <v>54.24</v>
                </pt>
                <pt idx="292">
                  <v>47.78</v>
                </pt>
                <pt idx="293">
                  <v>49.8</v>
                </pt>
                <pt idx="294">
                  <v>55.7</v>
                </pt>
                <pt idx="295">
                  <v>59.15</v>
                </pt>
                <pt idx="296">
                  <v>53.7</v>
                </pt>
                <pt idx="297">
                  <v>66.8</v>
                </pt>
                <pt idx="298">
                  <v>58.2</v>
                </pt>
                <pt idx="299">
                  <v>57.5</v>
                </pt>
                <pt idx="300">
                  <v>51.1</v>
                </pt>
                <pt idx="301">
                  <v>61.6</v>
                </pt>
                <pt idx="302">
                  <v>56.6</v>
                </pt>
                <pt idx="303">
                  <v>59.6</v>
                </pt>
                <pt idx="304">
                  <v>47.6</v>
                </pt>
                <pt idx="305">
                  <v>45</v>
                </pt>
                <pt idx="306">
                  <v>49.5</v>
                </pt>
                <pt idx="307">
                  <v>48.7</v>
                </pt>
                <pt idx="308">
                  <v>50.2</v>
                </pt>
                <pt idx="309">
                  <v>49.5</v>
                </pt>
                <pt idx="310">
                  <v>53</v>
                </pt>
                <pt idx="311">
                  <v>50.7</v>
                </pt>
                <pt idx="312">
                  <v>53.2</v>
                </pt>
                <pt idx="313">
                  <v>49.2</v>
                </pt>
                <pt idx="314">
                  <v>46.8</v>
                </pt>
                <pt idx="315">
                  <v>38.6</v>
                </pt>
                <pt idx="316">
                  <v>54</v>
                </pt>
                <pt idx="317">
                  <v>52.2</v>
                </pt>
                <pt idx="318">
                  <v>57.4</v>
                </pt>
                <pt idx="319">
                  <v>52.3</v>
                </pt>
                <pt idx="320">
                  <v>54.4</v>
                </pt>
                <pt idx="321">
                  <v>61.8</v>
                </pt>
                <pt idx="322">
                  <v>47.7</v>
                </pt>
                <pt idx="323">
                  <v>41.9</v>
                </pt>
                <pt idx="324">
                  <v>42.1</v>
                </pt>
                <pt idx="325">
                  <v>40.8</v>
                </pt>
                <pt idx="326">
                  <v>67.59999999999999</v>
                </pt>
                <pt idx="327">
                  <v>72</v>
                </pt>
                <pt idx="328">
                  <v>67.7</v>
                </pt>
                <pt idx="329">
                  <v>62.1</v>
                </pt>
                <pt idx="330">
                  <v>69.8</v>
                </pt>
                <pt idx="331">
                  <v>67.3</v>
                </pt>
                <pt idx="332">
                  <v>65.2</v>
                </pt>
                <pt idx="333">
                  <v>71.90000000000001</v>
                </pt>
                <pt idx="334">
                  <v>68.2</v>
                </pt>
                <pt idx="335">
                  <v>64.40000000000001</v>
                </pt>
                <pt idx="336">
                  <v>60.9</v>
                </pt>
                <pt idx="337">
                  <v>50.66</v>
                </pt>
                <pt idx="338">
                  <v>62.1</v>
                </pt>
                <pt idx="339">
                  <v>63</v>
                </pt>
                <pt idx="340">
                  <v>60.7</v>
                </pt>
                <pt idx="341">
                  <v>71.3</v>
                </pt>
                <pt idx="342">
                  <v>38</v>
                </pt>
                <pt idx="343">
                  <v>48</v>
                </pt>
                <pt idx="344">
                  <v>49.8</v>
                </pt>
                <pt idx="345">
                  <v>52.09</v>
                </pt>
                <pt idx="346">
                  <v>45.48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2.xml><?xml version="1.0" encoding="utf-8"?>
<chartSpace xmlns="http://schemas.openxmlformats.org/drawingml/2006/chart">
  <chart>
    <title>
      <tx>
        <strRef>
          <f>Vietnam!$K$2</f>
          <strCache>
            <ptCount val="1"/>
            <pt idx="0">
              <v>Vietnam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Vietnam!$B$5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Vietnam!$A$6:$A$130</f>
              <numCache>
                <formatCode>m/d/yyyy</formatCode>
                <ptCount val="125"/>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pt idx="122">
                  <v>44805</v>
                </pt>
                <pt idx="123">
                  <v>44835</v>
                </pt>
                <pt idx="124">
                  <v>44866</v>
                </pt>
              </numCache>
            </numRef>
          </cat>
          <val>
            <numRef>
              <f>Vietnam!$B$6:$B$130</f>
              <numCache>
                <formatCode>General</formatCode>
                <ptCount val="125"/>
                <pt idx="0">
                  <v>43.6</v>
                </pt>
                <pt idx="1">
                  <v>47.9</v>
                </pt>
                <pt idx="2">
                  <v>49.2</v>
                </pt>
                <pt idx="3">
                  <v>48.7</v>
                </pt>
                <pt idx="4">
                  <v>50.5</v>
                </pt>
                <pt idx="5">
                  <v>49.3</v>
                </pt>
                <pt idx="6">
                  <v>50.1</v>
                </pt>
                <pt idx="7">
                  <v>48.3</v>
                </pt>
                <pt idx="8">
                  <v>48.8</v>
                </pt>
                <pt idx="9">
                  <v>51</v>
                </pt>
                <pt idx="10">
                  <v>48.8</v>
                </pt>
                <pt idx="11">
                  <v>51</v>
                </pt>
                <pt idx="12">
                  <v>46.4</v>
                </pt>
                <pt idx="13">
                  <v>48.5</v>
                </pt>
                <pt idx="14">
                  <v>51.5</v>
                </pt>
                <pt idx="15">
                  <v>51.5</v>
                </pt>
                <pt idx="16">
                  <v>50.3</v>
                </pt>
                <pt idx="17">
                  <v>51.8</v>
                </pt>
                <pt idx="18">
                  <v>52.1</v>
                </pt>
                <pt idx="19">
                  <v>51</v>
                </pt>
                <pt idx="20">
                  <v>51.3</v>
                </pt>
                <pt idx="21">
                  <v>53.1</v>
                </pt>
                <pt idx="22">
                  <v>52.5</v>
                </pt>
                <pt idx="23">
                  <v>52.3</v>
                </pt>
                <pt idx="24">
                  <v>51.7</v>
                </pt>
                <pt idx="25">
                  <v>50.3</v>
                </pt>
                <pt idx="26">
                  <v>51.7</v>
                </pt>
                <pt idx="27">
                  <v>51</v>
                </pt>
                <pt idx="28">
                  <v>52.7</v>
                </pt>
                <pt idx="29">
                  <v>51.5</v>
                </pt>
                <pt idx="30">
                  <v>51.5</v>
                </pt>
                <pt idx="31">
                  <v>51.7</v>
                </pt>
                <pt idx="32">
                  <v>50.7</v>
                </pt>
                <pt idx="33">
                  <v>53.5</v>
                </pt>
                <pt idx="34">
                  <v>54.8</v>
                </pt>
                <pt idx="35">
                  <v>52.2</v>
                </pt>
                <pt idx="36">
                  <v>52.6</v>
                </pt>
                <pt idx="37">
                  <v>51.3</v>
                </pt>
                <pt idx="38">
                  <v>49.5</v>
                </pt>
                <pt idx="39">
                  <v>50.1</v>
                </pt>
                <pt idx="40">
                  <v>49.4</v>
                </pt>
                <pt idx="41">
                  <v>51.3</v>
                </pt>
                <pt idx="42">
                  <v>51.5</v>
                </pt>
                <pt idx="43">
                  <v>50.3</v>
                </pt>
                <pt idx="44">
                  <v>50.7</v>
                </pt>
                <pt idx="45">
                  <v>52.3</v>
                </pt>
                <pt idx="46">
                  <v>52.7</v>
                </pt>
                <pt idx="47">
                  <v>52.6</v>
                </pt>
                <pt idx="48">
                  <v>51.9</v>
                </pt>
                <pt idx="49">
                  <v>52.2</v>
                </pt>
                <pt idx="50">
                  <v>52.9</v>
                </pt>
                <pt idx="51">
                  <v>51.7</v>
                </pt>
                <pt idx="52">
                  <v>54</v>
                </pt>
                <pt idx="53">
                  <v>52.4</v>
                </pt>
                <pt idx="54">
                  <v>51.9</v>
                </pt>
                <pt idx="55">
                  <v>54.2</v>
                </pt>
                <pt idx="56">
                  <v>54.6</v>
                </pt>
                <pt idx="57">
                  <v>54.1</v>
                </pt>
                <pt idx="58">
                  <v>51.6</v>
                </pt>
                <pt idx="59">
                  <v>52.5</v>
                </pt>
                <pt idx="60">
                  <v>51.7</v>
                </pt>
                <pt idx="61">
                  <v>51.8</v>
                </pt>
                <pt idx="62">
                  <v>53.3</v>
                </pt>
                <pt idx="63">
                  <v>51.6</v>
                </pt>
                <pt idx="64">
                  <v>51.4</v>
                </pt>
                <pt idx="65">
                  <v>52.5</v>
                </pt>
                <pt idx="66">
                  <v>53.4</v>
                </pt>
                <pt idx="67">
                  <v>53.5</v>
                </pt>
                <pt idx="68">
                  <v>51.6</v>
                </pt>
                <pt idx="69">
                  <v>52.9</v>
                </pt>
                <pt idx="70">
                  <v>53.9</v>
                </pt>
                <pt idx="71">
                  <v>55.7</v>
                </pt>
                <pt idx="72">
                  <v>54.9</v>
                </pt>
                <pt idx="73">
                  <v>53.7</v>
                </pt>
                <pt idx="74">
                  <v>51.5</v>
                </pt>
                <pt idx="75">
                  <v>53.9</v>
                </pt>
                <pt idx="76">
                  <v>56.5</v>
                </pt>
                <pt idx="77">
                  <v>53.8</v>
                </pt>
                <pt idx="78">
                  <v>51.9</v>
                </pt>
                <pt idx="79">
                  <v>51.2</v>
                </pt>
                <pt idx="80">
                  <v>51.9</v>
                </pt>
                <pt idx="81">
                  <v>52.5</v>
                </pt>
                <pt idx="82">
                  <v>52</v>
                </pt>
                <pt idx="83">
                  <v>52.5</v>
                </pt>
                <pt idx="84">
                  <v>52.6</v>
                </pt>
                <pt idx="85">
                  <v>51.4</v>
                </pt>
                <pt idx="86">
                  <v>50.5</v>
                </pt>
                <pt idx="87">
                  <v>50</v>
                </pt>
                <pt idx="88">
                  <v>51</v>
                </pt>
                <pt idx="89">
                  <v>50.8</v>
                </pt>
                <pt idx="90">
                  <v>50.6</v>
                </pt>
                <pt idx="91">
                  <v>49</v>
                </pt>
                <pt idx="92">
                  <v>41.9</v>
                </pt>
                <pt idx="93">
                  <v>32.7</v>
                </pt>
                <pt idx="94">
                  <v>42.7</v>
                </pt>
                <pt idx="95">
                  <v>51.1</v>
                </pt>
                <pt idx="96">
                  <v>47.6</v>
                </pt>
                <pt idx="97">
                  <v>45.7</v>
                </pt>
                <pt idx="98">
                  <v>52.2</v>
                </pt>
                <pt idx="99">
                  <v>51.8</v>
                </pt>
                <pt idx="100">
                  <v>49.9</v>
                </pt>
                <pt idx="101">
                  <v>51.7</v>
                </pt>
                <pt idx="102">
                  <v>51.3</v>
                </pt>
                <pt idx="103">
                  <v>51.6</v>
                </pt>
                <pt idx="104">
                  <v>53.6</v>
                </pt>
                <pt idx="105">
                  <v>54.7</v>
                </pt>
                <pt idx="106">
                  <v>53.1</v>
                </pt>
                <pt idx="107">
                  <v>44.1</v>
                </pt>
                <pt idx="108">
                  <v>45.1</v>
                </pt>
                <pt idx="109">
                  <v>40.2</v>
                </pt>
                <pt idx="110">
                  <v>40.2</v>
                </pt>
                <pt idx="111">
                  <v>52.1</v>
                </pt>
                <pt idx="112">
                  <v>52.2</v>
                </pt>
                <pt idx="113">
                  <v>52.5</v>
                </pt>
                <pt idx="114">
                  <v>53.7</v>
                </pt>
                <pt idx="115">
                  <v>54.3</v>
                </pt>
                <pt idx="116">
                  <v>51.7</v>
                </pt>
                <pt idx="117">
                  <v>51.7</v>
                </pt>
                <pt idx="118">
                  <v>54.7</v>
                </pt>
                <pt idx="119">
                  <v>54</v>
                </pt>
                <pt idx="120">
                  <v>51.2</v>
                </pt>
                <pt idx="121">
                  <v>52.7</v>
                </pt>
                <pt idx="122">
                  <v>52.5</v>
                </pt>
                <pt idx="123">
                  <v>50.6</v>
                </pt>
                <pt idx="124">
                  <v>47.4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3.xml><?xml version="1.0" encoding="utf-8"?>
<chartSpace xmlns="http://schemas.openxmlformats.org/drawingml/2006/chart">
  <chart>
    <title>
      <tx>
        <strRef>
          <f>Thailand!$K$2</f>
          <strCache>
            <ptCount val="1"/>
            <pt idx="0">
              <v>Thailand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Thailand!$B$5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Thailand!$A$6:$A$82</f>
              <numCache>
                <formatCode>m/d/yyyy</formatCode>
                <ptCount val="77"/>
                <pt idx="0">
                  <v>42552</v>
                </pt>
                <pt idx="1">
                  <v>42583</v>
                </pt>
                <pt idx="2">
                  <v>42614</v>
                </pt>
                <pt idx="3">
                  <v>42644</v>
                </pt>
                <pt idx="4">
                  <v>42675</v>
                </pt>
                <pt idx="5">
                  <v>42705</v>
                </pt>
                <pt idx="6">
                  <v>42736</v>
                </pt>
                <pt idx="7">
                  <v>42767</v>
                </pt>
                <pt idx="8">
                  <v>42795</v>
                </pt>
                <pt idx="9">
                  <v>42826</v>
                </pt>
                <pt idx="10">
                  <v>42856</v>
                </pt>
                <pt idx="11">
                  <v>42887</v>
                </pt>
                <pt idx="12">
                  <v>42917</v>
                </pt>
                <pt idx="13">
                  <v>42948</v>
                </pt>
                <pt idx="14">
                  <v>42979</v>
                </pt>
                <pt idx="15">
                  <v>43009</v>
                </pt>
                <pt idx="16">
                  <v>43040</v>
                </pt>
                <pt idx="17">
                  <v>43070</v>
                </pt>
                <pt idx="18">
                  <v>43101</v>
                </pt>
                <pt idx="19">
                  <v>43132</v>
                </pt>
                <pt idx="20">
                  <v>43160</v>
                </pt>
                <pt idx="21">
                  <v>43191</v>
                </pt>
                <pt idx="22">
                  <v>43221</v>
                </pt>
                <pt idx="23">
                  <v>43252</v>
                </pt>
                <pt idx="24">
                  <v>43282</v>
                </pt>
                <pt idx="25">
                  <v>43313</v>
                </pt>
                <pt idx="26">
                  <v>43344</v>
                </pt>
                <pt idx="27">
                  <v>43374</v>
                </pt>
                <pt idx="28">
                  <v>43405</v>
                </pt>
                <pt idx="29">
                  <v>43435</v>
                </pt>
                <pt idx="30">
                  <v>43466</v>
                </pt>
                <pt idx="31">
                  <v>43497</v>
                </pt>
                <pt idx="32">
                  <v>43525</v>
                </pt>
                <pt idx="33">
                  <v>43556</v>
                </pt>
                <pt idx="34">
                  <v>43586</v>
                </pt>
                <pt idx="35">
                  <v>43617</v>
                </pt>
                <pt idx="36">
                  <v>43647</v>
                </pt>
                <pt idx="37">
                  <v>43678</v>
                </pt>
                <pt idx="38">
                  <v>43709</v>
                </pt>
                <pt idx="39">
                  <v>43739</v>
                </pt>
                <pt idx="40">
                  <v>43770</v>
                </pt>
                <pt idx="41">
                  <v>43800</v>
                </pt>
                <pt idx="42">
                  <v>43831</v>
                </pt>
                <pt idx="43">
                  <v>43862</v>
                </pt>
                <pt idx="44">
                  <v>43891</v>
                </pt>
                <pt idx="45">
                  <v>43922</v>
                </pt>
                <pt idx="46">
                  <v>43952</v>
                </pt>
                <pt idx="47">
                  <v>43983</v>
                </pt>
                <pt idx="48">
                  <v>44013</v>
                </pt>
                <pt idx="49">
                  <v>44044</v>
                </pt>
                <pt idx="50">
                  <v>44075</v>
                </pt>
                <pt idx="51">
                  <v>44105</v>
                </pt>
                <pt idx="52">
                  <v>44136</v>
                </pt>
                <pt idx="53">
                  <v>44166</v>
                </pt>
                <pt idx="54">
                  <v>44197</v>
                </pt>
                <pt idx="55">
                  <v>44228</v>
                </pt>
                <pt idx="56">
                  <v>44256</v>
                </pt>
                <pt idx="57">
                  <v>44287</v>
                </pt>
                <pt idx="58">
                  <v>44317</v>
                </pt>
                <pt idx="59">
                  <v>44348</v>
                </pt>
                <pt idx="60">
                  <v>44378</v>
                </pt>
                <pt idx="61">
                  <v>44409</v>
                </pt>
                <pt idx="62">
                  <v>44440</v>
                </pt>
                <pt idx="63">
                  <v>44470</v>
                </pt>
                <pt idx="64">
                  <v>44501</v>
                </pt>
                <pt idx="65">
                  <v>44531</v>
                </pt>
                <pt idx="66">
                  <v>44562</v>
                </pt>
                <pt idx="67">
                  <v>44593</v>
                </pt>
                <pt idx="68">
                  <v>44621</v>
                </pt>
                <pt idx="69">
                  <v>44652</v>
                </pt>
                <pt idx="70">
                  <v>44682</v>
                </pt>
                <pt idx="71">
                  <v>44713</v>
                </pt>
                <pt idx="72">
                  <v>44743</v>
                </pt>
                <pt idx="73">
                  <v>44774</v>
                </pt>
                <pt idx="74">
                  <v>44805</v>
                </pt>
                <pt idx="75">
                  <v>44835</v>
                </pt>
                <pt idx="76">
                  <v>44866</v>
                </pt>
              </numCache>
            </numRef>
          </cat>
          <val>
            <numRef>
              <f>Thailand!$B$6:$B$82</f>
              <numCache>
                <formatCode>General</formatCode>
                <ptCount val="77"/>
                <pt idx="0">
                  <v>49.3</v>
                </pt>
                <pt idx="1">
                  <v>49.8</v>
                </pt>
                <pt idx="2">
                  <v>48.8</v>
                </pt>
                <pt idx="3">
                  <v>48.8</v>
                </pt>
                <pt idx="4">
                  <v>48.2</v>
                </pt>
                <pt idx="5">
                  <v>50.6</v>
                </pt>
                <pt idx="6">
                  <v>50.6</v>
                </pt>
                <pt idx="7">
                  <v>50.6</v>
                </pt>
                <pt idx="8">
                  <v>50.2</v>
                </pt>
                <pt idx="9">
                  <v>49.8</v>
                </pt>
                <pt idx="10">
                  <v>49.7</v>
                </pt>
                <pt idx="11">
                  <v>50.4</v>
                </pt>
                <pt idx="12">
                  <v>49.6</v>
                </pt>
                <pt idx="13">
                  <v>49.5</v>
                </pt>
                <pt idx="14">
                  <v>50.3</v>
                </pt>
                <pt idx="15">
                  <v>49.8</v>
                </pt>
                <pt idx="16">
                  <v>50</v>
                </pt>
                <pt idx="17">
                  <v>50.4</v>
                </pt>
                <pt idx="18">
                  <v>50.6</v>
                </pt>
                <pt idx="19">
                  <v>50.9</v>
                </pt>
                <pt idx="20">
                  <v>49.1</v>
                </pt>
                <pt idx="21">
                  <v>49.5</v>
                </pt>
                <pt idx="22">
                  <v>51.1</v>
                </pt>
                <pt idx="23">
                  <v>50.2</v>
                </pt>
                <pt idx="24">
                  <v>50.1</v>
                </pt>
                <pt idx="25">
                  <v>49.9</v>
                </pt>
                <pt idx="26">
                  <v>50</v>
                </pt>
                <pt idx="27">
                  <v>48.9</v>
                </pt>
                <pt idx="28">
                  <v>49.8</v>
                </pt>
                <pt idx="29">
                  <v>50.3</v>
                </pt>
                <pt idx="30">
                  <v>50.2</v>
                </pt>
                <pt idx="31">
                  <v>49.9</v>
                </pt>
                <pt idx="32">
                  <v>50.3</v>
                </pt>
                <pt idx="33">
                  <v>51</v>
                </pt>
                <pt idx="34">
                  <v>50.7</v>
                </pt>
                <pt idx="35">
                  <v>50.6</v>
                </pt>
                <pt idx="36">
                  <v>50.3</v>
                </pt>
                <pt idx="37">
                  <v>50</v>
                </pt>
                <pt idx="38">
                  <v>50.6</v>
                </pt>
                <pt idx="39">
                  <v>50</v>
                </pt>
                <pt idx="40">
                  <v>49.3</v>
                </pt>
                <pt idx="41">
                  <v>50.1</v>
                </pt>
                <pt idx="42">
                  <v>49.9</v>
                </pt>
                <pt idx="43">
                  <v>49.5</v>
                </pt>
                <pt idx="44">
                  <v>46.7</v>
                </pt>
                <pt idx="45">
                  <v>36.8</v>
                </pt>
                <pt idx="46">
                  <v>41.6</v>
                </pt>
                <pt idx="47">
                  <v>43.5</v>
                </pt>
                <pt idx="48">
                  <v>45.9</v>
                </pt>
                <pt idx="49">
                  <v>49.7</v>
                </pt>
                <pt idx="50">
                  <v>49.9</v>
                </pt>
                <pt idx="51">
                  <v>50.8</v>
                </pt>
                <pt idx="52">
                  <v>50.4</v>
                </pt>
                <pt idx="53">
                  <v>50.8</v>
                </pt>
                <pt idx="54">
                  <v>49</v>
                </pt>
                <pt idx="55">
                  <v>47.2</v>
                </pt>
                <pt idx="56">
                  <v>48.8</v>
                </pt>
                <pt idx="57">
                  <v>50.7</v>
                </pt>
                <pt idx="58">
                  <v>47.8</v>
                </pt>
                <pt idx="59">
                  <v>49.5</v>
                </pt>
                <pt idx="60">
                  <v>48.7</v>
                </pt>
                <pt idx="61">
                  <v>48.3</v>
                </pt>
                <pt idx="62">
                  <v>48.9</v>
                </pt>
                <pt idx="63">
                  <v>50.9</v>
                </pt>
                <pt idx="64">
                  <v>50.6</v>
                </pt>
                <pt idx="65">
                  <v>49.5</v>
                </pt>
                <pt idx="66">
                  <v>51.7</v>
                </pt>
                <pt idx="67">
                  <v>52.5</v>
                </pt>
                <pt idx="68">
                  <v>51.8</v>
                </pt>
                <pt idx="69">
                  <v>51.9</v>
                </pt>
                <pt idx="70">
                  <v>51.9</v>
                </pt>
                <pt idx="71">
                  <v>50.7</v>
                </pt>
                <pt idx="72">
                  <v>52.4</v>
                </pt>
                <pt idx="73">
                  <v>53.7</v>
                </pt>
                <pt idx="74">
                  <v>55.7</v>
                </pt>
                <pt idx="75">
                  <v>51.6</v>
                </pt>
                <pt idx="76">
                  <v>51.1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4.xml><?xml version="1.0" encoding="utf-8"?>
<chartSpace xmlns="http://schemas.openxmlformats.org/drawingml/2006/chart">
  <chart>
    <title>
      <tx>
        <strRef>
          <f>'South Africa'!$K$2</f>
          <strCache>
            <ptCount val="1"/>
            <pt idx="0">
              <v>South Africa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 Africa'!$B$5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 Africa'!$A$6:$A$280</f>
              <numCache>
                <formatCode>m/d/yyyy</formatCode>
                <ptCount val="275"/>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numCache>
            </numRef>
          </cat>
          <val>
            <numRef>
              <f>'South Africa'!$B$6:$B$280</f>
              <numCache>
                <formatCode>General</formatCode>
                <ptCount val="275"/>
                <pt idx="0">
                  <v>56.66</v>
                </pt>
                <pt idx="1">
                  <v>57.26</v>
                </pt>
                <pt idx="2">
                  <v>49.83</v>
                </pt>
                <pt idx="3">
                  <v>52.72</v>
                </pt>
                <pt idx="4">
                  <v>50.05</v>
                </pt>
                <pt idx="5">
                  <v>49.65</v>
                </pt>
                <pt idx="6">
                  <v>49.18</v>
                </pt>
                <pt idx="7">
                  <v>51.48</v>
                </pt>
                <pt idx="8">
                  <v>53.75</v>
                </pt>
                <pt idx="9">
                  <v>56.34</v>
                </pt>
                <pt idx="10">
                  <v>51.73</v>
                </pt>
                <pt idx="11">
                  <v>50.48</v>
                </pt>
                <pt idx="12">
                  <v>49.29</v>
                </pt>
                <pt idx="13">
                  <v>53.48</v>
                </pt>
                <pt idx="14">
                  <v>53.61</v>
                </pt>
                <pt idx="15">
                  <v>52.38</v>
                </pt>
                <pt idx="16">
                  <v>55.01</v>
                </pt>
                <pt idx="17">
                  <v>56.17</v>
                </pt>
                <pt idx="18">
                  <v>51.34</v>
                </pt>
                <pt idx="19">
                  <v>51.22</v>
                </pt>
                <pt idx="20">
                  <v>48.76</v>
                </pt>
                <pt idx="21">
                  <v>50.25</v>
                </pt>
                <pt idx="22">
                  <v>54.35</v>
                </pt>
                <pt idx="23">
                  <v>55.35</v>
                </pt>
                <pt idx="24">
                  <v>55.53</v>
                </pt>
                <pt idx="25">
                  <v>53.87</v>
                </pt>
                <pt idx="26">
                  <v>53.63</v>
                </pt>
                <pt idx="27">
                  <v>60.87</v>
                </pt>
                <pt idx="28">
                  <v>58.74</v>
                </pt>
                <pt idx="29">
                  <v>56.43</v>
                </pt>
                <pt idx="30">
                  <v>54.63</v>
                </pt>
                <pt idx="31">
                  <v>55.58</v>
                </pt>
                <pt idx="32">
                  <v>57.74</v>
                </pt>
                <pt idx="33">
                  <v>56.38</v>
                </pt>
                <pt idx="34">
                  <v>54.54</v>
                </pt>
                <pt idx="35">
                  <v>55.28</v>
                </pt>
                <pt idx="36">
                  <v>56.84</v>
                </pt>
                <pt idx="37">
                  <v>52.39</v>
                </pt>
                <pt idx="38">
                  <v>49.15</v>
                </pt>
                <pt idx="39">
                  <v>48.99</v>
                </pt>
                <pt idx="40">
                  <v>46.13</v>
                </pt>
                <pt idx="41">
                  <v>45.22</v>
                </pt>
                <pt idx="42">
                  <v>47.89</v>
                </pt>
                <pt idx="43">
                  <v>48.44</v>
                </pt>
                <pt idx="44">
                  <v>45.46</v>
                </pt>
                <pt idx="45">
                  <v>47.73</v>
                </pt>
                <pt idx="46">
                  <v>53.1</v>
                </pt>
                <pt idx="47">
                  <v>51.55</v>
                </pt>
                <pt idx="48">
                  <v>54.61</v>
                </pt>
                <pt idx="49">
                  <v>54.29</v>
                </pt>
                <pt idx="50">
                  <v>55.84</v>
                </pt>
                <pt idx="51">
                  <v>56.95</v>
                </pt>
                <pt idx="52">
                  <v>56.6</v>
                </pt>
                <pt idx="53">
                  <v>56.83</v>
                </pt>
                <pt idx="54">
                  <v>55.54</v>
                </pt>
                <pt idx="55">
                  <v>57.5</v>
                </pt>
                <pt idx="56">
                  <v>57.5</v>
                </pt>
                <pt idx="57">
                  <v>55.37</v>
                </pt>
                <pt idx="58">
                  <v>54.08</v>
                </pt>
                <pt idx="59">
                  <v>54.34</v>
                </pt>
                <pt idx="60">
                  <v>51.54</v>
                </pt>
                <pt idx="61">
                  <v>55.55</v>
                </pt>
                <pt idx="62">
                  <v>57.65</v>
                </pt>
                <pt idx="63">
                  <v>54.64</v>
                </pt>
                <pt idx="64">
                  <v>53.75</v>
                </pt>
                <pt idx="65">
                  <v>57.12</v>
                </pt>
                <pt idx="66">
                  <v>57.43</v>
                </pt>
                <pt idx="67">
                  <v>55.2</v>
                </pt>
                <pt idx="68">
                  <v>54.96</v>
                </pt>
                <pt idx="69">
                  <v>52.77</v>
                </pt>
                <pt idx="70">
                  <v>52.02</v>
                </pt>
                <pt idx="71">
                  <v>53.31</v>
                </pt>
                <pt idx="72">
                  <v>49.78</v>
                </pt>
                <pt idx="73">
                  <v>50.11</v>
                </pt>
                <pt idx="74">
                  <v>52.17</v>
                </pt>
                <pt idx="75">
                  <v>54.63</v>
                </pt>
                <pt idx="76">
                  <v>57</v>
                </pt>
                <pt idx="77">
                  <v>58.8</v>
                </pt>
                <pt idx="78">
                  <v>60.27</v>
                </pt>
                <pt idx="79">
                  <v>58.68</v>
                </pt>
                <pt idx="80">
                  <v>56.6</v>
                </pt>
                <pt idx="81">
                  <v>56.73</v>
                </pt>
                <pt idx="82">
                  <v>56.34</v>
                </pt>
                <pt idx="83">
                  <v>55.49</v>
                </pt>
                <pt idx="84">
                  <v>57.79</v>
                </pt>
                <pt idx="85">
                  <v>60.18</v>
                </pt>
                <pt idx="86">
                  <v>60.35</v>
                </pt>
                <pt idx="87">
                  <v>57.89</v>
                </pt>
                <pt idx="88">
                  <v>56.91</v>
                </pt>
                <pt idx="89">
                  <v>56.33</v>
                </pt>
                <pt idx="90">
                  <v>57.52</v>
                </pt>
                <pt idx="91">
                  <v>54.42</v>
                </pt>
                <pt idx="92">
                  <v>51.63</v>
                </pt>
                <pt idx="93">
                  <v>54.4</v>
                </pt>
                <pt idx="94">
                  <v>53.96</v>
                </pt>
                <pt idx="95">
                  <v>53.23</v>
                </pt>
                <pt idx="96">
                  <v>51.3</v>
                </pt>
                <pt idx="97">
                  <v>45.75</v>
                </pt>
                <pt idx="98">
                  <v>44.21</v>
                </pt>
                <pt idx="99">
                  <v>53.72</v>
                </pt>
                <pt idx="100">
                  <v>48.8</v>
                </pt>
                <pt idx="101">
                  <v>45.37</v>
                </pt>
                <pt idx="102">
                  <v>44.8</v>
                </pt>
                <pt idx="103">
                  <v>48.3</v>
                </pt>
                <pt idx="104">
                  <v>47.07</v>
                </pt>
                <pt idx="105">
                  <v>45.16</v>
                </pt>
                <pt idx="106">
                  <v>38.97</v>
                </pt>
                <pt idx="107">
                  <v>40.24</v>
                </pt>
                <pt idx="108">
                  <v>39.9</v>
                </pt>
                <pt idx="109">
                  <v>37.59</v>
                </pt>
                <pt idx="110">
                  <v>35.76</v>
                </pt>
                <pt idx="111">
                  <v>35.09</v>
                </pt>
                <pt idx="112">
                  <v>37.52</v>
                </pt>
                <pt idx="113">
                  <v>39.7</v>
                </pt>
                <pt idx="114">
                  <v>39.43</v>
                </pt>
                <pt idx="115">
                  <v>40.66</v>
                </pt>
                <pt idx="116">
                  <v>47.46</v>
                </pt>
                <pt idx="117">
                  <v>47.74</v>
                </pt>
                <pt idx="118">
                  <v>49.48</v>
                </pt>
                <pt idx="119">
                  <v>52.58</v>
                </pt>
                <pt idx="120">
                  <v>52.14</v>
                </pt>
                <pt idx="121">
                  <v>55.72</v>
                </pt>
                <pt idx="122">
                  <v>53.65</v>
                </pt>
                <pt idx="123">
                  <v>53.24</v>
                </pt>
                <pt idx="124">
                  <v>51.19</v>
                </pt>
                <pt idx="125">
                  <v>50.84</v>
                </pt>
                <pt idx="126">
                  <v>52.65</v>
                </pt>
                <pt idx="127">
                  <v>51.95</v>
                </pt>
                <pt idx="128">
                  <v>50.14</v>
                </pt>
                <pt idx="129">
                  <v>51.35</v>
                </pt>
                <pt idx="130">
                  <v>52.54</v>
                </pt>
                <pt idx="131">
                  <v>52.81</v>
                </pt>
                <pt idx="132">
                  <v>53.56</v>
                </pt>
                <pt idx="133">
                  <v>51.49</v>
                </pt>
                <pt idx="134">
                  <v>54.71</v>
                </pt>
                <pt idx="135">
                  <v>54.16</v>
                </pt>
                <pt idx="136">
                  <v>54.1</v>
                </pt>
                <pt idx="137">
                  <v>55.16</v>
                </pt>
                <pt idx="138">
                  <v>46.16</v>
                </pt>
                <pt idx="139">
                  <v>47.73</v>
                </pt>
                <pt idx="140">
                  <v>52.45</v>
                </pt>
                <pt idx="141">
                  <v>52.18</v>
                </pt>
                <pt idx="142">
                  <v>51.66</v>
                </pt>
                <pt idx="143">
                  <v>51.4</v>
                </pt>
                <pt idx="144">
                  <v>52.94</v>
                </pt>
                <pt idx="145">
                  <v>53.51</v>
                </pt>
                <pt idx="146">
                  <v>53.51</v>
                </pt>
                <pt idx="147">
                  <v>52.19</v>
                </pt>
                <pt idx="148">
                  <v>52.57</v>
                </pt>
                <pt idx="149">
                  <v>49.09</v>
                </pt>
                <pt idx="150">
                  <v>51.13</v>
                </pt>
                <pt idx="151">
                  <v>49.56</v>
                </pt>
                <pt idx="152">
                  <v>48.42</v>
                </pt>
                <pt idx="153">
                  <v>48.23</v>
                </pt>
                <pt idx="154">
                  <v>49.15</v>
                </pt>
                <pt idx="155">
                  <v>48.92</v>
                </pt>
                <pt idx="156">
                  <v>49.08</v>
                </pt>
                <pt idx="157">
                  <v>51.42</v>
                </pt>
                <pt idx="158">
                  <v>49.04</v>
                </pt>
                <pt idx="159">
                  <v>49.8</v>
                </pt>
                <pt idx="160">
                  <v>50.21</v>
                </pt>
                <pt idx="161">
                  <v>51.96</v>
                </pt>
                <pt idx="162">
                  <v>52.15</v>
                </pt>
                <pt idx="163">
                  <v>55.26</v>
                </pt>
                <pt idx="164">
                  <v>49.43</v>
                </pt>
                <pt idx="165">
                  <v>51.43</v>
                </pt>
                <pt idx="166">
                  <v>52</v>
                </pt>
                <pt idx="167">
                  <v>51</v>
                </pt>
                <pt idx="168">
                  <v>49.96</v>
                </pt>
                <pt idx="169">
                  <v>50.69</v>
                </pt>
                <pt idx="170">
                  <v>50.29</v>
                </pt>
                <pt idx="171">
                  <v>47.3</v>
                </pt>
                <pt idx="172">
                  <v>44.41</v>
                </pt>
                <pt idx="173">
                  <v>46.59</v>
                </pt>
                <pt idx="174">
                  <v>45.45</v>
                </pt>
                <pt idx="175">
                  <v>49</v>
                </pt>
                <pt idx="176">
                  <v>50.35</v>
                </pt>
                <pt idx="177">
                  <v>50.13</v>
                </pt>
                <pt idx="178">
                  <v>53.12</v>
                </pt>
                <pt idx="179">
                  <v>51.1</v>
                </pt>
                <pt idx="180">
                  <v>53.24</v>
                </pt>
                <pt idx="181">
                  <v>47.66</v>
                </pt>
                <pt idx="182">
                  <v>47.88</v>
                </pt>
                <pt idx="183">
                  <v>44.92</v>
                </pt>
                <pt idx="184">
                  <v>50.52</v>
                </pt>
                <pt idx="185">
                  <v>50.31</v>
                </pt>
                <pt idx="186">
                  <v>50.25</v>
                </pt>
                <pt idx="187">
                  <v>50.52</v>
                </pt>
                <pt idx="188">
                  <v>50.14</v>
                </pt>
                <pt idx="189">
                  <v>48.74</v>
                </pt>
                <pt idx="190">
                  <v>44.73</v>
                </pt>
                <pt idx="191">
                  <v>47.2</v>
                </pt>
                <pt idx="192">
                  <v>43.27</v>
                </pt>
                <pt idx="193">
                  <v>46.84</v>
                </pt>
                <pt idx="194">
                  <v>49.54</v>
                </pt>
                <pt idx="195">
                  <v>53.33</v>
                </pt>
                <pt idx="196">
                  <v>50.72</v>
                </pt>
                <pt idx="197">
                  <v>52.14</v>
                </pt>
                <pt idx="198">
                  <v>51.25</v>
                </pt>
                <pt idx="199">
                  <v>47.94</v>
                </pt>
                <pt idx="200">
                  <v>49.85</v>
                </pt>
                <pt idx="201">
                  <v>46.47</v>
                </pt>
                <pt idx="202">
                  <v>49.22</v>
                </pt>
                <pt idx="203">
                  <v>48.56</v>
                </pt>
                <pt idx="204">
                  <v>50.08</v>
                </pt>
                <pt idx="205">
                  <v>51.22</v>
                </pt>
                <pt idx="206">
                  <v>50.81</v>
                </pt>
                <pt idx="207">
                  <v>43.53</v>
                </pt>
                <pt idx="208">
                  <v>50.11</v>
                </pt>
                <pt idx="209">
                  <v>45.98</v>
                </pt>
                <pt idx="210">
                  <v>42.1</v>
                </pt>
                <pt idx="211">
                  <v>46.1</v>
                </pt>
                <pt idx="212">
                  <v>46.4</v>
                </pt>
                <pt idx="213">
                  <v>48.4</v>
                </pt>
                <pt idx="214">
                  <v>48.9</v>
                </pt>
                <pt idx="215">
                  <v>45.9</v>
                </pt>
                <pt idx="216">
                  <v>49.2</v>
                </pt>
                <pt idx="217">
                  <v>50</v>
                </pt>
                <pt idx="218">
                  <v>46.7</v>
                </pt>
                <pt idx="219">
                  <v>49.1</v>
                </pt>
                <pt idx="220">
                  <v>49.4</v>
                </pt>
                <pt idx="221">
                  <v>48</v>
                </pt>
                <pt idx="222">
                  <v>49.9</v>
                </pt>
                <pt idx="223">
                  <v>45.2</v>
                </pt>
                <pt idx="224">
                  <v>44.5</v>
                </pt>
                <pt idx="225">
                  <v>42.4</v>
                </pt>
                <pt idx="226">
                  <v>49.5</v>
                </pt>
                <pt idx="227">
                  <v>50.7</v>
                </pt>
                <pt idx="228">
                  <v>49.9</v>
                </pt>
                <pt idx="229">
                  <v>46.2</v>
                </pt>
                <pt idx="230">
                  <v>45</v>
                </pt>
                <pt idx="231">
                  <v>47.2</v>
                </pt>
                <pt idx="232">
                  <v>45.4</v>
                </pt>
                <pt idx="233">
                  <v>46.2</v>
                </pt>
                <pt idx="234">
                  <v>52.1</v>
                </pt>
                <pt idx="235">
                  <v>45.7</v>
                </pt>
                <pt idx="236">
                  <v>41.6</v>
                </pt>
                <pt idx="237">
                  <v>48.1</v>
                </pt>
                <pt idx="238">
                  <v>47.7</v>
                </pt>
                <pt idx="239">
                  <v>47.1</v>
                </pt>
                <pt idx="240">
                  <v>45.2</v>
                </pt>
                <pt idx="241">
                  <v>44.3</v>
                </pt>
                <pt idx="242">
                  <v>48.1</v>
                </pt>
                <pt idx="243">
                  <v>46.1</v>
                </pt>
                <pt idx="244">
                  <v>50.2</v>
                </pt>
                <pt idx="245">
                  <v>53.9</v>
                </pt>
                <pt idx="246">
                  <v>51.2</v>
                </pt>
                <pt idx="247">
                  <v>57.3</v>
                </pt>
                <pt idx="248">
                  <v>58.3</v>
                </pt>
                <pt idx="249">
                  <v>60.9</v>
                </pt>
                <pt idx="250">
                  <v>52.6</v>
                </pt>
                <pt idx="251">
                  <v>50.3</v>
                </pt>
                <pt idx="252">
                  <v>50.3</v>
                </pt>
                <pt idx="253">
                  <v>53</v>
                </pt>
                <pt idx="254">
                  <v>57.4</v>
                </pt>
                <pt idx="255">
                  <v>56.2</v>
                </pt>
                <pt idx="256">
                  <v>57.8</v>
                </pt>
                <pt idx="257">
                  <v>57.4</v>
                </pt>
                <pt idx="258">
                  <v>43.5</v>
                </pt>
                <pt idx="259">
                  <v>57.9</v>
                </pt>
                <pt idx="260">
                  <v>54.7</v>
                </pt>
                <pt idx="261">
                  <v>53.6</v>
                </pt>
                <pt idx="262">
                  <v>57.2</v>
                </pt>
                <pt idx="263">
                  <v>54.1</v>
                </pt>
                <pt idx="264">
                  <v>57.1</v>
                </pt>
                <pt idx="265">
                  <v>58.6</v>
                </pt>
                <pt idx="266">
                  <v>60</v>
                </pt>
                <pt idx="267">
                  <v>50.7</v>
                </pt>
                <pt idx="268">
                  <v>54.8</v>
                </pt>
                <pt idx="269">
                  <v>52.2</v>
                </pt>
                <pt idx="270">
                  <v>47.6</v>
                </pt>
                <pt idx="271">
                  <v>52.1</v>
                </pt>
                <pt idx="272">
                  <v>48.2</v>
                </pt>
                <pt idx="273">
                  <v>50</v>
                </pt>
                <pt idx="274">
                  <v>52.6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5.xml><?xml version="1.0" encoding="utf-8"?>
<chartSpace xmlns="http://schemas.openxmlformats.org/drawingml/2006/chart">
  <chart>
    <title>
      <tx>
        <strRef>
          <f>'Hong Kong'!$K$2</f>
          <strCache>
            <ptCount val="1"/>
            <pt idx="0">
              <v>Hong Kong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'Hong Kong'!$B$5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'Hong Kong'!$A$6:$A$130</f>
              <numCache>
                <formatCode>m/d/yyyy</formatCode>
                <ptCount val="125"/>
                <pt idx="0">
                  <v>41061</v>
                </pt>
                <pt idx="1">
                  <v>41091</v>
                </pt>
                <pt idx="2">
                  <v>41122</v>
                </pt>
                <pt idx="3">
                  <v>41153</v>
                </pt>
                <pt idx="4">
                  <v>41183</v>
                </pt>
                <pt idx="5">
                  <v>41214</v>
                </pt>
                <pt idx="6">
                  <v>41244</v>
                </pt>
                <pt idx="7">
                  <v>41275</v>
                </pt>
                <pt idx="8">
                  <v>41306</v>
                </pt>
                <pt idx="9">
                  <v>41334</v>
                </pt>
                <pt idx="10">
                  <v>41365</v>
                </pt>
                <pt idx="11">
                  <v>41395</v>
                </pt>
                <pt idx="12">
                  <v>41426</v>
                </pt>
                <pt idx="13">
                  <v>41456</v>
                </pt>
                <pt idx="14">
                  <v>41487</v>
                </pt>
                <pt idx="15">
                  <v>41518</v>
                </pt>
                <pt idx="16">
                  <v>41548</v>
                </pt>
                <pt idx="17">
                  <v>41579</v>
                </pt>
                <pt idx="18">
                  <v>41609</v>
                </pt>
                <pt idx="19">
                  <v>41640</v>
                </pt>
                <pt idx="20">
                  <v>41671</v>
                </pt>
                <pt idx="21">
                  <v>41699</v>
                </pt>
                <pt idx="22">
                  <v>41730</v>
                </pt>
                <pt idx="23">
                  <v>41760</v>
                </pt>
                <pt idx="24">
                  <v>41791</v>
                </pt>
                <pt idx="25">
                  <v>41821</v>
                </pt>
                <pt idx="26">
                  <v>41852</v>
                </pt>
                <pt idx="27">
                  <v>41883</v>
                </pt>
                <pt idx="28">
                  <v>41913</v>
                </pt>
                <pt idx="29">
                  <v>41944</v>
                </pt>
                <pt idx="30">
                  <v>41974</v>
                </pt>
                <pt idx="31">
                  <v>42005</v>
                </pt>
                <pt idx="32">
                  <v>42036</v>
                </pt>
                <pt idx="33">
                  <v>42064</v>
                </pt>
                <pt idx="34">
                  <v>42095</v>
                </pt>
                <pt idx="35">
                  <v>42125</v>
                </pt>
                <pt idx="36">
                  <v>42156</v>
                </pt>
                <pt idx="37">
                  <v>42186</v>
                </pt>
                <pt idx="38">
                  <v>42217</v>
                </pt>
                <pt idx="39">
                  <v>42248</v>
                </pt>
                <pt idx="40">
                  <v>42278</v>
                </pt>
                <pt idx="41">
                  <v>42309</v>
                </pt>
                <pt idx="42">
                  <v>42339</v>
                </pt>
                <pt idx="43">
                  <v>42370</v>
                </pt>
                <pt idx="44">
                  <v>42401</v>
                </pt>
                <pt idx="45">
                  <v>42430</v>
                </pt>
                <pt idx="46">
                  <v>42461</v>
                </pt>
                <pt idx="47">
                  <v>42491</v>
                </pt>
                <pt idx="48">
                  <v>42522</v>
                </pt>
                <pt idx="49">
                  <v>42552</v>
                </pt>
                <pt idx="50">
                  <v>42583</v>
                </pt>
                <pt idx="51">
                  <v>42614</v>
                </pt>
                <pt idx="52">
                  <v>42644</v>
                </pt>
                <pt idx="53">
                  <v>42675</v>
                </pt>
                <pt idx="54">
                  <v>42705</v>
                </pt>
                <pt idx="55">
                  <v>42736</v>
                </pt>
                <pt idx="56">
                  <v>42767</v>
                </pt>
                <pt idx="57">
                  <v>42795</v>
                </pt>
                <pt idx="58">
                  <v>42826</v>
                </pt>
                <pt idx="59">
                  <v>42856</v>
                </pt>
                <pt idx="60">
                  <v>42887</v>
                </pt>
                <pt idx="61">
                  <v>42917</v>
                </pt>
                <pt idx="62">
                  <v>42948</v>
                </pt>
                <pt idx="63">
                  <v>42979</v>
                </pt>
                <pt idx="64">
                  <v>43009</v>
                </pt>
                <pt idx="65">
                  <v>43040</v>
                </pt>
                <pt idx="66">
                  <v>43070</v>
                </pt>
                <pt idx="67">
                  <v>43101</v>
                </pt>
                <pt idx="68">
                  <v>43132</v>
                </pt>
                <pt idx="69">
                  <v>43160</v>
                </pt>
                <pt idx="70">
                  <v>43191</v>
                </pt>
                <pt idx="71">
                  <v>43221</v>
                </pt>
                <pt idx="72">
                  <v>43252</v>
                </pt>
                <pt idx="73">
                  <v>43282</v>
                </pt>
                <pt idx="74">
                  <v>43313</v>
                </pt>
                <pt idx="75">
                  <v>43344</v>
                </pt>
                <pt idx="76">
                  <v>43374</v>
                </pt>
                <pt idx="77">
                  <v>43405</v>
                </pt>
                <pt idx="78">
                  <v>43435</v>
                </pt>
                <pt idx="79">
                  <v>43466</v>
                </pt>
                <pt idx="80">
                  <v>43497</v>
                </pt>
                <pt idx="81">
                  <v>43525</v>
                </pt>
                <pt idx="82">
                  <v>43556</v>
                </pt>
                <pt idx="83">
                  <v>43586</v>
                </pt>
                <pt idx="84">
                  <v>43617</v>
                </pt>
                <pt idx="85">
                  <v>43647</v>
                </pt>
                <pt idx="86">
                  <v>43678</v>
                </pt>
                <pt idx="87">
                  <v>43709</v>
                </pt>
                <pt idx="88">
                  <v>43739</v>
                </pt>
                <pt idx="89">
                  <v>43770</v>
                </pt>
                <pt idx="90">
                  <v>43800</v>
                </pt>
                <pt idx="91">
                  <v>43831</v>
                </pt>
                <pt idx="92">
                  <v>43862</v>
                </pt>
                <pt idx="93">
                  <v>43891</v>
                </pt>
                <pt idx="94">
                  <v>43922</v>
                </pt>
                <pt idx="95">
                  <v>43952</v>
                </pt>
                <pt idx="96">
                  <v>43983</v>
                </pt>
                <pt idx="97">
                  <v>44013</v>
                </pt>
                <pt idx="98">
                  <v>44044</v>
                </pt>
                <pt idx="99">
                  <v>44075</v>
                </pt>
                <pt idx="100">
                  <v>44105</v>
                </pt>
                <pt idx="101">
                  <v>44136</v>
                </pt>
                <pt idx="102">
                  <v>44166</v>
                </pt>
                <pt idx="103">
                  <v>44197</v>
                </pt>
                <pt idx="104">
                  <v>44228</v>
                </pt>
                <pt idx="105">
                  <v>44256</v>
                </pt>
                <pt idx="106">
                  <v>44287</v>
                </pt>
                <pt idx="107">
                  <v>44317</v>
                </pt>
                <pt idx="108">
                  <v>44348</v>
                </pt>
                <pt idx="109">
                  <v>44378</v>
                </pt>
                <pt idx="110">
                  <v>44409</v>
                </pt>
                <pt idx="111">
                  <v>44440</v>
                </pt>
                <pt idx="112">
                  <v>44470</v>
                </pt>
                <pt idx="113">
                  <v>44501</v>
                </pt>
                <pt idx="114">
                  <v>44531</v>
                </pt>
                <pt idx="115">
                  <v>44562</v>
                </pt>
                <pt idx="116">
                  <v>44593</v>
                </pt>
                <pt idx="117">
                  <v>44621</v>
                </pt>
                <pt idx="118">
                  <v>44652</v>
                </pt>
                <pt idx="119">
                  <v>44682</v>
                </pt>
                <pt idx="120">
                  <v>44713</v>
                </pt>
                <pt idx="121">
                  <v>44743</v>
                </pt>
                <pt idx="122">
                  <v>44774</v>
                </pt>
                <pt idx="123">
                  <v>44805</v>
                </pt>
                <pt idx="124">
                  <v>44835</v>
                </pt>
              </numCache>
            </numRef>
          </cat>
          <val>
            <numRef>
              <f>'Hong Kong'!$B$6:$B$130</f>
              <numCache>
                <formatCode>General</formatCode>
                <ptCount val="125"/>
                <pt idx="0">
                  <v>49.8</v>
                </pt>
                <pt idx="1">
                  <v>50.3</v>
                </pt>
                <pt idx="2">
                  <v>50.5</v>
                </pt>
                <pt idx="3">
                  <v>49.6</v>
                </pt>
                <pt idx="4">
                  <v>50.5</v>
                </pt>
                <pt idx="5">
                  <v>52.2</v>
                </pt>
                <pt idx="6">
                  <v>51.7</v>
                </pt>
                <pt idx="7">
                  <v>52.5</v>
                </pt>
                <pt idx="8">
                  <v>51.2</v>
                </pt>
                <pt idx="9">
                  <v>50.5</v>
                </pt>
                <pt idx="10">
                  <v>49.9</v>
                </pt>
                <pt idx="11">
                  <v>49.8</v>
                </pt>
                <pt idx="12">
                  <v>48.7</v>
                </pt>
                <pt idx="13">
                  <v>49.7</v>
                </pt>
                <pt idx="14">
                  <v>49.7</v>
                </pt>
                <pt idx="15">
                  <v>50</v>
                </pt>
                <pt idx="16">
                  <v>50.1</v>
                </pt>
                <pt idx="17">
                  <v>52.1</v>
                </pt>
                <pt idx="18">
                  <v>51.2</v>
                </pt>
                <pt idx="19">
                  <v>52.7</v>
                </pt>
                <pt idx="20">
                  <v>53.3</v>
                </pt>
                <pt idx="21">
                  <v>49.9</v>
                </pt>
                <pt idx="22">
                  <v>49.7</v>
                </pt>
                <pt idx="23">
                  <v>49.1</v>
                </pt>
                <pt idx="24">
                  <v>50.1</v>
                </pt>
                <pt idx="25">
                  <v>50.4</v>
                </pt>
                <pt idx="26">
                  <v>49.6</v>
                </pt>
                <pt idx="27">
                  <v>49.8</v>
                </pt>
                <pt idx="28">
                  <v>47.7</v>
                </pt>
                <pt idx="29">
                  <v>48.8</v>
                </pt>
                <pt idx="30">
                  <v>50.3</v>
                </pt>
                <pt idx="31">
                  <v>49.4</v>
                </pt>
                <pt idx="32">
                  <v>50.7</v>
                </pt>
                <pt idx="33">
                  <v>49.6</v>
                </pt>
                <pt idx="34">
                  <v>48.6</v>
                </pt>
                <pt idx="35">
                  <v>47.6</v>
                </pt>
                <pt idx="36">
                  <v>49.2</v>
                </pt>
                <pt idx="37">
                  <v>48.2</v>
                </pt>
                <pt idx="38">
                  <v>44.4</v>
                </pt>
                <pt idx="39">
                  <v>45.7</v>
                </pt>
                <pt idx="40">
                  <v>46.6</v>
                </pt>
                <pt idx="41">
                  <v>46.6</v>
                </pt>
                <pt idx="42">
                  <v>46.4</v>
                </pt>
                <pt idx="43">
                  <v>46.1</v>
                </pt>
                <pt idx="44">
                  <v>46.4</v>
                </pt>
                <pt idx="45">
                  <v>45.5</v>
                </pt>
                <pt idx="46">
                  <v>45.3</v>
                </pt>
                <pt idx="47">
                  <v>47.2</v>
                </pt>
                <pt idx="48">
                  <v>45.4</v>
                </pt>
                <pt idx="49">
                  <v>47.2</v>
                </pt>
                <pt idx="50">
                  <v>49</v>
                </pt>
                <pt idx="51">
                  <v>49.3</v>
                </pt>
                <pt idx="52">
                  <v>48.2</v>
                </pt>
                <pt idx="53">
                  <v>49.5</v>
                </pt>
                <pt idx="54">
                  <v>50.3</v>
                </pt>
                <pt idx="55">
                  <v>49.9</v>
                </pt>
                <pt idx="56">
                  <v>49.6</v>
                </pt>
                <pt idx="57">
                  <v>49.9</v>
                </pt>
                <pt idx="58">
                  <v>51.1</v>
                </pt>
                <pt idx="59">
                  <v>50.5</v>
                </pt>
                <pt idx="60">
                  <v>51.1</v>
                </pt>
                <pt idx="61">
                  <v>51.3</v>
                </pt>
                <pt idx="62">
                  <v>49.7</v>
                </pt>
                <pt idx="63">
                  <v>51.2</v>
                </pt>
                <pt idx="64">
                  <v>50.3</v>
                </pt>
                <pt idx="65">
                  <v>50.7</v>
                </pt>
                <pt idx="66">
                  <v>51.5</v>
                </pt>
                <pt idx="67">
                  <v>51.1</v>
                </pt>
                <pt idx="68">
                  <v>51.7</v>
                </pt>
                <pt idx="69">
                  <v>50.6</v>
                </pt>
                <pt idx="70">
                  <v>49.1</v>
                </pt>
                <pt idx="71">
                  <v>47.8</v>
                </pt>
                <pt idx="72">
                  <v>47.7</v>
                </pt>
                <pt idx="73">
                  <v>48.2</v>
                </pt>
                <pt idx="74">
                  <v>48.5</v>
                </pt>
                <pt idx="75">
                  <v>47.9</v>
                </pt>
                <pt idx="76">
                  <v>48.6</v>
                </pt>
                <pt idx="77">
                  <v>47.1</v>
                </pt>
                <pt idx="78">
                  <v>48</v>
                </pt>
                <pt idx="79">
                  <v>48.2</v>
                </pt>
                <pt idx="80">
                  <v>48.4</v>
                </pt>
                <pt idx="81">
                  <v>48</v>
                </pt>
                <pt idx="82">
                  <v>48.4</v>
                </pt>
                <pt idx="83">
                  <v>46.9</v>
                </pt>
                <pt idx="84">
                  <v>47.9</v>
                </pt>
                <pt idx="85">
                  <v>43.8</v>
                </pt>
                <pt idx="86">
                  <v>40.8</v>
                </pt>
                <pt idx="87">
                  <v>41.5</v>
                </pt>
                <pt idx="88">
                  <v>39.3</v>
                </pt>
                <pt idx="89">
                  <v>38.5</v>
                </pt>
                <pt idx="90">
                  <v>42.1</v>
                </pt>
                <pt idx="91">
                  <v>46.8</v>
                </pt>
                <pt idx="92">
                  <v>33.1</v>
                </pt>
                <pt idx="93">
                  <v>34.9</v>
                </pt>
                <pt idx="94">
                  <v>36.9</v>
                </pt>
                <pt idx="95">
                  <v>43.9</v>
                </pt>
                <pt idx="96">
                  <v>49.6</v>
                </pt>
                <pt idx="97">
                  <v>44.5</v>
                </pt>
                <pt idx="98">
                  <v>44</v>
                </pt>
                <pt idx="99">
                  <v>47.7</v>
                </pt>
                <pt idx="100">
                  <v>49.8</v>
                </pt>
                <pt idx="101">
                  <v>50.1</v>
                </pt>
                <pt idx="102">
                  <v>43.5</v>
                </pt>
                <pt idx="103">
                  <v>47.8</v>
                </pt>
                <pt idx="104">
                  <v>50.2</v>
                </pt>
                <pt idx="105">
                  <v>50.5</v>
                </pt>
                <pt idx="106">
                  <v>50.3</v>
                </pt>
                <pt idx="107">
                  <v>52.5</v>
                </pt>
                <pt idx="108">
                  <v>51.4</v>
                </pt>
                <pt idx="109">
                  <v>51.3</v>
                </pt>
                <pt idx="110">
                  <v>53.3</v>
                </pt>
                <pt idx="111">
                  <v>51.7</v>
                </pt>
                <pt idx="112">
                  <v>50.8</v>
                </pt>
                <pt idx="113">
                  <v>52.6</v>
                </pt>
                <pt idx="114">
                  <v>50.8</v>
                </pt>
                <pt idx="115">
                  <v>48.9</v>
                </pt>
                <pt idx="116">
                  <v>42.9</v>
                </pt>
                <pt idx="117">
                  <v>42</v>
                </pt>
                <pt idx="118">
                  <v>51.7</v>
                </pt>
                <pt idx="119">
                  <v>54.9</v>
                </pt>
                <pt idx="120">
                  <v>52.4</v>
                </pt>
                <pt idx="121">
                  <v>52.3</v>
                </pt>
                <pt idx="122">
                  <v>51.2</v>
                </pt>
                <pt idx="123">
                  <v>48</v>
                </pt>
                <pt idx="124">
                  <v>49.3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6.xml><?xml version="1.0" encoding="utf-8"?>
<chartSpace xmlns="http://schemas.openxmlformats.org/drawingml/2006/chart">
  <chart>
    <title>
      <tx>
        <strRef>
          <f>'Saudi Arabia'!$K$2</f>
          <strCache>
            <ptCount val="1"/>
            <pt idx="0">
              <v>Saudi Arabia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'Saudi Arabia'!$B$5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'Saudi Arabia'!$A$6:$A$96</f>
              <numCache>
                <formatCode>m/d/yyyy</formatCode>
                <ptCount val="91"/>
                <pt idx="0">
                  <v>42095</v>
                </pt>
                <pt idx="1">
                  <v>42125</v>
                </pt>
                <pt idx="2">
                  <v>42156</v>
                </pt>
                <pt idx="3">
                  <v>42186</v>
                </pt>
                <pt idx="4">
                  <v>42217</v>
                </pt>
                <pt idx="5">
                  <v>42248</v>
                </pt>
                <pt idx="6">
                  <v>42278</v>
                </pt>
                <pt idx="7">
                  <v>42309</v>
                </pt>
                <pt idx="8">
                  <v>42339</v>
                </pt>
                <pt idx="9">
                  <v>42370</v>
                </pt>
                <pt idx="10">
                  <v>42401</v>
                </pt>
                <pt idx="11">
                  <v>42430</v>
                </pt>
                <pt idx="12">
                  <v>42461</v>
                </pt>
                <pt idx="13">
                  <v>42491</v>
                </pt>
                <pt idx="14">
                  <v>42522</v>
                </pt>
                <pt idx="15">
                  <v>42552</v>
                </pt>
                <pt idx="16">
                  <v>42583</v>
                </pt>
                <pt idx="17">
                  <v>42614</v>
                </pt>
                <pt idx="18">
                  <v>42644</v>
                </pt>
                <pt idx="19">
                  <v>42675</v>
                </pt>
                <pt idx="20">
                  <v>42705</v>
                </pt>
                <pt idx="21">
                  <v>42736</v>
                </pt>
                <pt idx="22">
                  <v>42767</v>
                </pt>
                <pt idx="23">
                  <v>42795</v>
                </pt>
                <pt idx="24">
                  <v>42826</v>
                </pt>
                <pt idx="25">
                  <v>42856</v>
                </pt>
                <pt idx="26">
                  <v>42887</v>
                </pt>
                <pt idx="27">
                  <v>42917</v>
                </pt>
                <pt idx="28">
                  <v>42948</v>
                </pt>
                <pt idx="29">
                  <v>42979</v>
                </pt>
                <pt idx="30">
                  <v>43009</v>
                </pt>
                <pt idx="31">
                  <v>43040</v>
                </pt>
                <pt idx="32">
                  <v>43070</v>
                </pt>
                <pt idx="33">
                  <v>43101</v>
                </pt>
                <pt idx="34">
                  <v>43132</v>
                </pt>
                <pt idx="35">
                  <v>43160</v>
                </pt>
                <pt idx="36">
                  <v>43191</v>
                </pt>
                <pt idx="37">
                  <v>43221</v>
                </pt>
                <pt idx="38">
                  <v>43252</v>
                </pt>
                <pt idx="39">
                  <v>43282</v>
                </pt>
                <pt idx="40">
                  <v>43313</v>
                </pt>
                <pt idx="41">
                  <v>43344</v>
                </pt>
                <pt idx="42">
                  <v>43374</v>
                </pt>
                <pt idx="43">
                  <v>43405</v>
                </pt>
                <pt idx="44">
                  <v>43435</v>
                </pt>
                <pt idx="45">
                  <v>43466</v>
                </pt>
                <pt idx="46">
                  <v>43497</v>
                </pt>
                <pt idx="47">
                  <v>43525</v>
                </pt>
                <pt idx="48">
                  <v>43556</v>
                </pt>
                <pt idx="49">
                  <v>43586</v>
                </pt>
                <pt idx="50">
                  <v>43617</v>
                </pt>
                <pt idx="51">
                  <v>43647</v>
                </pt>
                <pt idx="52">
                  <v>43678</v>
                </pt>
                <pt idx="53">
                  <v>43709</v>
                </pt>
                <pt idx="54">
                  <v>43739</v>
                </pt>
                <pt idx="55">
                  <v>43770</v>
                </pt>
                <pt idx="56">
                  <v>43800</v>
                </pt>
                <pt idx="57">
                  <v>43831</v>
                </pt>
                <pt idx="58">
                  <v>43862</v>
                </pt>
                <pt idx="59">
                  <v>43891</v>
                </pt>
                <pt idx="60">
                  <v>43922</v>
                </pt>
                <pt idx="61">
                  <v>43952</v>
                </pt>
                <pt idx="62">
                  <v>43983</v>
                </pt>
                <pt idx="63">
                  <v>44013</v>
                </pt>
                <pt idx="64">
                  <v>44044</v>
                </pt>
                <pt idx="65">
                  <v>44075</v>
                </pt>
                <pt idx="66">
                  <v>44105</v>
                </pt>
                <pt idx="67">
                  <v>44136</v>
                </pt>
                <pt idx="68">
                  <v>44166</v>
                </pt>
                <pt idx="69">
                  <v>44197</v>
                </pt>
                <pt idx="70">
                  <v>44228</v>
                </pt>
                <pt idx="71">
                  <v>44256</v>
                </pt>
                <pt idx="72">
                  <v>44287</v>
                </pt>
                <pt idx="73">
                  <v>44317</v>
                </pt>
                <pt idx="74">
                  <v>44348</v>
                </pt>
                <pt idx="75">
                  <v>44378</v>
                </pt>
                <pt idx="76">
                  <v>44409</v>
                </pt>
                <pt idx="77">
                  <v>44440</v>
                </pt>
                <pt idx="78">
                  <v>44470</v>
                </pt>
                <pt idx="79">
                  <v>44501</v>
                </pt>
                <pt idx="80">
                  <v>44531</v>
                </pt>
                <pt idx="81">
                  <v>44562</v>
                </pt>
                <pt idx="82">
                  <v>44593</v>
                </pt>
                <pt idx="83">
                  <v>44621</v>
                </pt>
                <pt idx="84">
                  <v>44652</v>
                </pt>
                <pt idx="85">
                  <v>44682</v>
                </pt>
                <pt idx="86">
                  <v>44713</v>
                </pt>
                <pt idx="87">
                  <v>44743</v>
                </pt>
                <pt idx="88">
                  <v>44774</v>
                </pt>
                <pt idx="89">
                  <v>44805</v>
                </pt>
                <pt idx="90">
                  <v>44835</v>
                </pt>
              </numCache>
            </numRef>
          </cat>
          <val>
            <numRef>
              <f>'Saudi Arabia'!$B$6:$B$96</f>
              <numCache>
                <formatCode>General</formatCode>
                <ptCount val="91"/>
                <pt idx="0">
                  <v>60.1</v>
                </pt>
                <pt idx="1">
                  <v>57</v>
                </pt>
                <pt idx="2">
                  <v>56.1</v>
                </pt>
                <pt idx="3">
                  <v>57.7</v>
                </pt>
                <pt idx="4">
                  <v>58.7</v>
                </pt>
                <pt idx="5">
                  <v>56.5</v>
                </pt>
                <pt idx="6">
                  <v>55.7</v>
                </pt>
                <pt idx="7">
                  <v>56.3</v>
                </pt>
                <pt idx="8">
                  <v>54.4</v>
                </pt>
                <pt idx="9">
                  <v>53.9</v>
                </pt>
                <pt idx="10">
                  <v>54.4</v>
                </pt>
                <pt idx="11">
                  <v>54.5</v>
                </pt>
                <pt idx="12">
                  <v>54.2</v>
                </pt>
                <pt idx="13">
                  <v>54.8</v>
                </pt>
                <pt idx="14">
                  <v>54.4</v>
                </pt>
                <pt idx="15">
                  <v>56</v>
                </pt>
                <pt idx="16">
                  <v>56.6</v>
                </pt>
                <pt idx="17">
                  <v>55.3</v>
                </pt>
                <pt idx="18">
                  <v>53.2</v>
                </pt>
                <pt idx="19">
                  <v>55</v>
                </pt>
                <pt idx="20">
                  <v>55.5</v>
                </pt>
                <pt idx="21">
                  <v>56.7</v>
                </pt>
                <pt idx="22">
                  <v>57</v>
                </pt>
                <pt idx="23">
                  <v>56.4</v>
                </pt>
                <pt idx="24">
                  <v>56.5</v>
                </pt>
                <pt idx="25">
                  <v>55.3</v>
                </pt>
                <pt idx="26">
                  <v>54.3</v>
                </pt>
                <pt idx="27">
                  <v>55.7</v>
                </pt>
                <pt idx="28">
                  <v>55.8</v>
                </pt>
                <pt idx="29">
                  <v>55.5</v>
                </pt>
                <pt idx="30">
                  <v>55.6</v>
                </pt>
                <pt idx="31">
                  <v>57.5</v>
                </pt>
                <pt idx="32">
                  <v>57.3</v>
                </pt>
                <pt idx="33">
                  <v>53</v>
                </pt>
                <pt idx="34">
                  <v>53.2</v>
                </pt>
                <pt idx="35">
                  <v>52.8</v>
                </pt>
                <pt idx="36">
                  <v>51.4</v>
                </pt>
                <pt idx="37">
                  <v>53.2</v>
                </pt>
                <pt idx="38">
                  <v>55</v>
                </pt>
                <pt idx="39">
                  <v>54.9</v>
                </pt>
                <pt idx="40">
                  <v>55.1</v>
                </pt>
                <pt idx="41">
                  <v>53.4</v>
                </pt>
                <pt idx="42">
                  <v>53.8</v>
                </pt>
                <pt idx="43">
                  <v>55.2</v>
                </pt>
                <pt idx="44">
                  <v>54.5</v>
                </pt>
                <pt idx="45">
                  <v>56.2</v>
                </pt>
                <pt idx="46">
                  <v>56.6</v>
                </pt>
                <pt idx="47">
                  <v>56.8</v>
                </pt>
                <pt idx="48">
                  <v>57.3</v>
                </pt>
                <pt idx="49">
                  <v>57.3</v>
                </pt>
                <pt idx="50">
                  <v>57.4</v>
                </pt>
                <pt idx="51">
                  <v>56.6</v>
                </pt>
                <pt idx="52">
                  <v>57</v>
                </pt>
                <pt idx="53">
                  <v>57.3</v>
                </pt>
                <pt idx="54">
                  <v>57.8</v>
                </pt>
                <pt idx="55">
                  <v>58.3</v>
                </pt>
                <pt idx="56">
                  <v>56.9</v>
                </pt>
                <pt idx="57">
                  <v>54.9</v>
                </pt>
                <pt idx="58">
                  <v>52.5</v>
                </pt>
                <pt idx="59">
                  <v>42.4</v>
                </pt>
                <pt idx="60">
                  <v>44.4</v>
                </pt>
                <pt idx="61">
                  <v>48.1</v>
                </pt>
                <pt idx="62">
                  <v>47.7</v>
                </pt>
                <pt idx="63">
                  <v>48.8</v>
                </pt>
                <pt idx="64">
                  <v>50</v>
                </pt>
                <pt idx="65">
                  <v>50.7</v>
                </pt>
                <pt idx="66">
                  <v>51</v>
                </pt>
                <pt idx="67">
                  <v>54.7</v>
                </pt>
                <pt idx="68">
                  <v>57</v>
                </pt>
                <pt idx="69">
                  <v>57.1</v>
                </pt>
                <pt idx="70">
                  <v>53.9</v>
                </pt>
                <pt idx="71">
                  <v>53.3</v>
                </pt>
                <pt idx="72">
                  <v>55.2</v>
                </pt>
                <pt idx="73">
                  <v>56.4</v>
                </pt>
                <pt idx="74">
                  <v>56.4</v>
                </pt>
                <pt idx="75">
                  <v>55.8</v>
                </pt>
                <pt idx="76">
                  <v>54.1</v>
                </pt>
                <pt idx="77">
                  <v>58.6</v>
                </pt>
                <pt idx="78">
                  <v>57.7</v>
                </pt>
                <pt idx="79">
                  <v>56.9</v>
                </pt>
                <pt idx="80">
                  <v>53.9</v>
                </pt>
                <pt idx="81">
                  <v>53.2</v>
                </pt>
                <pt idx="82">
                  <v>56.2</v>
                </pt>
                <pt idx="83">
                  <v>56.8</v>
                </pt>
                <pt idx="84">
                  <v>55.7</v>
                </pt>
                <pt idx="85">
                  <v>55.7</v>
                </pt>
                <pt idx="86">
                  <v>57</v>
                </pt>
                <pt idx="87">
                  <v>56.3</v>
                </pt>
                <pt idx="88">
                  <v>57.7</v>
                </pt>
                <pt idx="89">
                  <v>56.6</v>
                </pt>
                <pt idx="90">
                  <v>57.2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7.xml><?xml version="1.0" encoding="utf-8"?>
<chartSpace xmlns="http://schemas.openxmlformats.org/drawingml/2006/chart">
  <chart>
    <title>
      <tx>
        <strRef>
          <f>NewZealand!$K$2</f>
          <strCache>
            <ptCount val="1"/>
            <pt idx="0">
              <v>New Zealand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NewZealand!$B$5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NewZealand!$A$6:$A$248</f>
              <numCache>
                <formatCode>m/d/yyyy</formatCode>
                <ptCount val="243"/>
                <pt idx="0">
                  <v>37469</v>
                </pt>
                <pt idx="1">
                  <v>37500</v>
                </pt>
                <pt idx="2">
                  <v>37530</v>
                </pt>
                <pt idx="3">
                  <v>37561</v>
                </pt>
                <pt idx="4">
                  <v>37591</v>
                </pt>
                <pt idx="5">
                  <v>37622</v>
                </pt>
                <pt idx="6">
                  <v>37653</v>
                </pt>
                <pt idx="7">
                  <v>37681</v>
                </pt>
                <pt idx="8">
                  <v>37712</v>
                </pt>
                <pt idx="9">
                  <v>37742</v>
                </pt>
                <pt idx="10">
                  <v>37773</v>
                </pt>
                <pt idx="11">
                  <v>37803</v>
                </pt>
                <pt idx="12">
                  <v>37834</v>
                </pt>
                <pt idx="13">
                  <v>37865</v>
                </pt>
                <pt idx="14">
                  <v>37895</v>
                </pt>
                <pt idx="15">
                  <v>37926</v>
                </pt>
                <pt idx="16">
                  <v>37956</v>
                </pt>
                <pt idx="17">
                  <v>37987</v>
                </pt>
                <pt idx="18">
                  <v>38018</v>
                </pt>
                <pt idx="19">
                  <v>38047</v>
                </pt>
                <pt idx="20">
                  <v>38078</v>
                </pt>
                <pt idx="21">
                  <v>38108</v>
                </pt>
                <pt idx="22">
                  <v>38139</v>
                </pt>
                <pt idx="23">
                  <v>38169</v>
                </pt>
                <pt idx="24">
                  <v>38200</v>
                </pt>
                <pt idx="25">
                  <v>38231</v>
                </pt>
                <pt idx="26">
                  <v>38261</v>
                </pt>
                <pt idx="27">
                  <v>38292</v>
                </pt>
                <pt idx="28">
                  <v>38322</v>
                </pt>
                <pt idx="29">
                  <v>38353</v>
                </pt>
                <pt idx="30">
                  <v>38384</v>
                </pt>
                <pt idx="31">
                  <v>38412</v>
                </pt>
                <pt idx="32">
                  <v>38443</v>
                </pt>
                <pt idx="33">
                  <v>38473</v>
                </pt>
                <pt idx="34">
                  <v>38504</v>
                </pt>
                <pt idx="35">
                  <v>38534</v>
                </pt>
                <pt idx="36">
                  <v>38565</v>
                </pt>
                <pt idx="37">
                  <v>38596</v>
                </pt>
                <pt idx="38">
                  <v>38626</v>
                </pt>
                <pt idx="39">
                  <v>38657</v>
                </pt>
                <pt idx="40">
                  <v>38687</v>
                </pt>
                <pt idx="41">
                  <v>38718</v>
                </pt>
                <pt idx="42">
                  <v>38749</v>
                </pt>
                <pt idx="43">
                  <v>38777</v>
                </pt>
                <pt idx="44">
                  <v>38808</v>
                </pt>
                <pt idx="45">
                  <v>38838</v>
                </pt>
                <pt idx="46">
                  <v>38869</v>
                </pt>
                <pt idx="47">
                  <v>38899</v>
                </pt>
                <pt idx="48">
                  <v>38930</v>
                </pt>
                <pt idx="49">
                  <v>38961</v>
                </pt>
                <pt idx="50">
                  <v>38991</v>
                </pt>
                <pt idx="51">
                  <v>39022</v>
                </pt>
                <pt idx="52">
                  <v>39052</v>
                </pt>
                <pt idx="53">
                  <v>39083</v>
                </pt>
                <pt idx="54">
                  <v>39114</v>
                </pt>
                <pt idx="55">
                  <v>39142</v>
                </pt>
                <pt idx="56">
                  <v>39173</v>
                </pt>
                <pt idx="57">
                  <v>39203</v>
                </pt>
                <pt idx="58">
                  <v>39234</v>
                </pt>
                <pt idx="59">
                  <v>39264</v>
                </pt>
                <pt idx="60">
                  <v>39295</v>
                </pt>
                <pt idx="61">
                  <v>39326</v>
                </pt>
                <pt idx="62">
                  <v>39356</v>
                </pt>
                <pt idx="63">
                  <v>39387</v>
                </pt>
                <pt idx="64">
                  <v>39417</v>
                </pt>
                <pt idx="65">
                  <v>39448</v>
                </pt>
                <pt idx="66">
                  <v>39479</v>
                </pt>
                <pt idx="67">
                  <v>39508</v>
                </pt>
                <pt idx="68">
                  <v>39539</v>
                </pt>
                <pt idx="69">
                  <v>39569</v>
                </pt>
                <pt idx="70">
                  <v>39600</v>
                </pt>
                <pt idx="71">
                  <v>39630</v>
                </pt>
                <pt idx="72">
                  <v>39661</v>
                </pt>
                <pt idx="73">
                  <v>39692</v>
                </pt>
                <pt idx="74">
                  <v>39722</v>
                </pt>
                <pt idx="75">
                  <v>39753</v>
                </pt>
                <pt idx="76">
                  <v>39783</v>
                </pt>
                <pt idx="77">
                  <v>39814</v>
                </pt>
                <pt idx="78">
                  <v>39845</v>
                </pt>
                <pt idx="79">
                  <v>39873</v>
                </pt>
                <pt idx="80">
                  <v>39904</v>
                </pt>
                <pt idx="81">
                  <v>39934</v>
                </pt>
                <pt idx="82">
                  <v>39965</v>
                </pt>
                <pt idx="83">
                  <v>39995</v>
                </pt>
                <pt idx="84">
                  <v>40026</v>
                </pt>
                <pt idx="85">
                  <v>40057</v>
                </pt>
                <pt idx="86">
                  <v>40087</v>
                </pt>
                <pt idx="87">
                  <v>40118</v>
                </pt>
                <pt idx="88">
                  <v>40148</v>
                </pt>
                <pt idx="89">
                  <v>40179</v>
                </pt>
                <pt idx="90">
                  <v>40210</v>
                </pt>
                <pt idx="91">
                  <v>40238</v>
                </pt>
                <pt idx="92">
                  <v>40269</v>
                </pt>
                <pt idx="93">
                  <v>40299</v>
                </pt>
                <pt idx="94">
                  <v>40330</v>
                </pt>
                <pt idx="95">
                  <v>40360</v>
                </pt>
                <pt idx="96">
                  <v>40391</v>
                </pt>
                <pt idx="97">
                  <v>40422</v>
                </pt>
                <pt idx="98">
                  <v>40452</v>
                </pt>
                <pt idx="99">
                  <v>40483</v>
                </pt>
                <pt idx="100">
                  <v>40513</v>
                </pt>
                <pt idx="101">
                  <v>40544</v>
                </pt>
                <pt idx="102">
                  <v>40575</v>
                </pt>
                <pt idx="103">
                  <v>40603</v>
                </pt>
                <pt idx="104">
                  <v>40634</v>
                </pt>
                <pt idx="105">
                  <v>40664</v>
                </pt>
                <pt idx="106">
                  <v>40695</v>
                </pt>
                <pt idx="107">
                  <v>40725</v>
                </pt>
                <pt idx="108">
                  <v>40756</v>
                </pt>
                <pt idx="109">
                  <v>40787</v>
                </pt>
                <pt idx="110">
                  <v>40817</v>
                </pt>
                <pt idx="111">
                  <v>40848</v>
                </pt>
                <pt idx="112">
                  <v>40878</v>
                </pt>
                <pt idx="113">
                  <v>40909</v>
                </pt>
                <pt idx="114">
                  <v>40940</v>
                </pt>
                <pt idx="115">
                  <v>40969</v>
                </pt>
                <pt idx="116">
                  <v>41000</v>
                </pt>
                <pt idx="117">
                  <v>41030</v>
                </pt>
                <pt idx="118">
                  <v>41061</v>
                </pt>
                <pt idx="119">
                  <v>41091</v>
                </pt>
                <pt idx="120">
                  <v>41122</v>
                </pt>
                <pt idx="121">
                  <v>41153</v>
                </pt>
                <pt idx="122">
                  <v>41183</v>
                </pt>
                <pt idx="123">
                  <v>41214</v>
                </pt>
                <pt idx="124">
                  <v>41244</v>
                </pt>
                <pt idx="125">
                  <v>41275</v>
                </pt>
                <pt idx="126">
                  <v>41306</v>
                </pt>
                <pt idx="127">
                  <v>41334</v>
                </pt>
                <pt idx="128">
                  <v>41365</v>
                </pt>
                <pt idx="129">
                  <v>41395</v>
                </pt>
                <pt idx="130">
                  <v>41426</v>
                </pt>
                <pt idx="131">
                  <v>41456</v>
                </pt>
                <pt idx="132">
                  <v>41487</v>
                </pt>
                <pt idx="133">
                  <v>41518</v>
                </pt>
                <pt idx="134">
                  <v>41548</v>
                </pt>
                <pt idx="135">
                  <v>41579</v>
                </pt>
                <pt idx="136">
                  <v>41609</v>
                </pt>
                <pt idx="137">
                  <v>41640</v>
                </pt>
                <pt idx="138">
                  <v>41671</v>
                </pt>
                <pt idx="139">
                  <v>41699</v>
                </pt>
                <pt idx="140">
                  <v>41730</v>
                </pt>
                <pt idx="141">
                  <v>41760</v>
                </pt>
                <pt idx="142">
                  <v>41791</v>
                </pt>
                <pt idx="143">
                  <v>41821</v>
                </pt>
                <pt idx="144">
                  <v>41852</v>
                </pt>
                <pt idx="145">
                  <v>41883</v>
                </pt>
                <pt idx="146">
                  <v>41913</v>
                </pt>
                <pt idx="147">
                  <v>41944</v>
                </pt>
                <pt idx="148">
                  <v>41974</v>
                </pt>
                <pt idx="149">
                  <v>42005</v>
                </pt>
                <pt idx="150">
                  <v>42036</v>
                </pt>
                <pt idx="151">
                  <v>42064</v>
                </pt>
                <pt idx="152">
                  <v>42095</v>
                </pt>
                <pt idx="153">
                  <v>42125</v>
                </pt>
                <pt idx="154">
                  <v>42156</v>
                </pt>
                <pt idx="155">
                  <v>42186</v>
                </pt>
                <pt idx="156">
                  <v>42217</v>
                </pt>
                <pt idx="157">
                  <v>42248</v>
                </pt>
                <pt idx="158">
                  <v>42278</v>
                </pt>
                <pt idx="159">
                  <v>42309</v>
                </pt>
                <pt idx="160">
                  <v>42339</v>
                </pt>
                <pt idx="161">
                  <v>42370</v>
                </pt>
                <pt idx="162">
                  <v>42401</v>
                </pt>
                <pt idx="163">
                  <v>42430</v>
                </pt>
                <pt idx="164">
                  <v>42461</v>
                </pt>
                <pt idx="165">
                  <v>42491</v>
                </pt>
                <pt idx="166">
                  <v>42522</v>
                </pt>
                <pt idx="167">
                  <v>42552</v>
                </pt>
                <pt idx="168">
                  <v>42583</v>
                </pt>
                <pt idx="169">
                  <v>42614</v>
                </pt>
                <pt idx="170">
                  <v>42644</v>
                </pt>
                <pt idx="171">
                  <v>42675</v>
                </pt>
                <pt idx="172">
                  <v>42705</v>
                </pt>
                <pt idx="173">
                  <v>42736</v>
                </pt>
                <pt idx="174">
                  <v>42767</v>
                </pt>
                <pt idx="175">
                  <v>42795</v>
                </pt>
                <pt idx="176">
                  <v>42826</v>
                </pt>
                <pt idx="177">
                  <v>42856</v>
                </pt>
                <pt idx="178">
                  <v>42887</v>
                </pt>
                <pt idx="179">
                  <v>42917</v>
                </pt>
                <pt idx="180">
                  <v>42948</v>
                </pt>
                <pt idx="181">
                  <v>42979</v>
                </pt>
                <pt idx="182">
                  <v>43009</v>
                </pt>
                <pt idx="183">
                  <v>43040</v>
                </pt>
                <pt idx="184">
                  <v>43070</v>
                </pt>
                <pt idx="185">
                  <v>43101</v>
                </pt>
                <pt idx="186">
                  <v>43132</v>
                </pt>
                <pt idx="187">
                  <v>43160</v>
                </pt>
                <pt idx="188">
                  <v>43191</v>
                </pt>
                <pt idx="189">
                  <v>43221</v>
                </pt>
                <pt idx="190">
                  <v>43252</v>
                </pt>
                <pt idx="191">
                  <v>43282</v>
                </pt>
                <pt idx="192">
                  <v>43313</v>
                </pt>
                <pt idx="193">
                  <v>43344</v>
                </pt>
                <pt idx="194">
                  <v>43374</v>
                </pt>
                <pt idx="195">
                  <v>43405</v>
                </pt>
                <pt idx="196">
                  <v>43435</v>
                </pt>
                <pt idx="197">
                  <v>43466</v>
                </pt>
                <pt idx="198">
                  <v>43497</v>
                </pt>
                <pt idx="199">
                  <v>43525</v>
                </pt>
                <pt idx="200">
                  <v>43556</v>
                </pt>
                <pt idx="201">
                  <v>43586</v>
                </pt>
                <pt idx="202">
                  <v>43617</v>
                </pt>
                <pt idx="203">
                  <v>43647</v>
                </pt>
                <pt idx="204">
                  <v>43678</v>
                </pt>
                <pt idx="205">
                  <v>43709</v>
                </pt>
                <pt idx="206">
                  <v>43739</v>
                </pt>
                <pt idx="207">
                  <v>43770</v>
                </pt>
                <pt idx="208">
                  <v>43800</v>
                </pt>
                <pt idx="209">
                  <v>43831</v>
                </pt>
                <pt idx="210">
                  <v>43862</v>
                </pt>
                <pt idx="211">
                  <v>43891</v>
                </pt>
                <pt idx="212">
                  <v>43922</v>
                </pt>
                <pt idx="213">
                  <v>43952</v>
                </pt>
                <pt idx="214">
                  <v>43983</v>
                </pt>
                <pt idx="215">
                  <v>44013</v>
                </pt>
                <pt idx="216">
                  <v>44044</v>
                </pt>
                <pt idx="217">
                  <v>44075</v>
                </pt>
                <pt idx="218">
                  <v>44105</v>
                </pt>
                <pt idx="219">
                  <v>44136</v>
                </pt>
                <pt idx="220">
                  <v>44166</v>
                </pt>
                <pt idx="221">
                  <v>44197</v>
                </pt>
                <pt idx="222">
                  <v>44228</v>
                </pt>
                <pt idx="223">
                  <v>44256</v>
                </pt>
                <pt idx="224">
                  <v>44287</v>
                </pt>
                <pt idx="225">
                  <v>44317</v>
                </pt>
                <pt idx="226">
                  <v>44348</v>
                </pt>
                <pt idx="227">
                  <v>44378</v>
                </pt>
                <pt idx="228">
                  <v>44409</v>
                </pt>
                <pt idx="229">
                  <v>44440</v>
                </pt>
                <pt idx="230">
                  <v>44470</v>
                </pt>
                <pt idx="231">
                  <v>44501</v>
                </pt>
                <pt idx="232">
                  <v>44531</v>
                </pt>
                <pt idx="233">
                  <v>44562</v>
                </pt>
                <pt idx="234">
                  <v>44593</v>
                </pt>
                <pt idx="235">
                  <v>44621</v>
                </pt>
                <pt idx="236">
                  <v>44652</v>
                </pt>
                <pt idx="237">
                  <v>44682</v>
                </pt>
                <pt idx="238">
                  <v>44713</v>
                </pt>
                <pt idx="239">
                  <v>44743</v>
                </pt>
                <pt idx="240">
                  <v>44774</v>
                </pt>
                <pt idx="241">
                  <v>44805</v>
                </pt>
                <pt idx="242">
                  <v>44835</v>
                </pt>
              </numCache>
            </numRef>
          </cat>
          <val>
            <numRef>
              <f>NewZealand!$B$6:$B$248</f>
              <numCache>
                <formatCode>0.00</formatCode>
                <ptCount val="243"/>
                <pt idx="0">
                  <v>56.907262129678</v>
                </pt>
                <pt idx="1">
                  <v>58.5589449632434</v>
                </pt>
                <pt idx="2">
                  <v>57.9466923988663</v>
                </pt>
                <pt idx="3">
                  <v>57.0457520757297</v>
                </pt>
                <pt idx="4">
                  <v>57.1628551423891</v>
                </pt>
                <pt idx="5">
                  <v>56.0373126472842</v>
                </pt>
                <pt idx="6">
                  <v>54.4537214107044</v>
                </pt>
                <pt idx="7">
                  <v>52.8036302096001</v>
                </pt>
                <pt idx="8">
                  <v>53.3207423548318</v>
                </pt>
                <pt idx="9">
                  <v>51.8564124097293</v>
                </pt>
                <pt idx="10">
                  <v>53.4376487626112</v>
                </pt>
                <pt idx="11">
                  <v>53.0699070792162</v>
                </pt>
                <pt idx="12">
                  <v>50.5682358998851</v>
                </pt>
                <pt idx="13">
                  <v>57.8430291760094</v>
                </pt>
                <pt idx="14">
                  <v>60.8664062994677</v>
                </pt>
                <pt idx="15">
                  <v>56.3868823573509</v>
                </pt>
                <pt idx="16">
                  <v>54.8457516440857</v>
                </pt>
                <pt idx="17">
                  <v>55.7939197179694</v>
                </pt>
                <pt idx="18">
                  <v>56.8004721684877</v>
                </pt>
                <pt idx="19">
                  <v>59.0129037737941</v>
                </pt>
                <pt idx="20">
                  <v>58.7416869677263</v>
                </pt>
                <pt idx="21">
                  <v>56.1940744843941</v>
                </pt>
                <pt idx="22">
                  <v>62.7727740280589</v>
                </pt>
                <pt idx="23">
                  <v>58.7710208740845</v>
                </pt>
                <pt idx="24">
                  <v>57.4270852912371</v>
                </pt>
                <pt idx="25">
                  <v>55.0493220788692</v>
                </pt>
                <pt idx="26">
                  <v>52.9171551177009</v>
                </pt>
                <pt idx="27">
                  <v>57.8669354166724</v>
                </pt>
                <pt idx="28">
                  <v>58.9814226071519</v>
                </pt>
                <pt idx="29">
                  <v>57.034440617634</v>
                </pt>
                <pt idx="30">
                  <v>56.2559835845108</v>
                </pt>
                <pt idx="31">
                  <v>51.639603525794</v>
                </pt>
                <pt idx="32">
                  <v>51.5818588801095</v>
                </pt>
                <pt idx="33">
                  <v>51.2975424148141</v>
                </pt>
                <pt idx="34">
                  <v>52.9270116328412</v>
                </pt>
                <pt idx="35">
                  <v>49.2378624062758</v>
                </pt>
                <pt idx="36">
                  <v>51.8116698565872</v>
                </pt>
                <pt idx="37">
                  <v>50.5719307328397</v>
                </pt>
                <pt idx="38">
                  <v>45.8954807328845</v>
                </pt>
                <pt idx="39">
                  <v>44.2705995249608</v>
                </pt>
                <pt idx="40">
                  <v>48.4790254674981</v>
                </pt>
                <pt idx="41">
                  <v>48.5853450687797</v>
                </pt>
                <pt idx="42">
                  <v>52.1905524192794</v>
                </pt>
                <pt idx="43">
                  <v>53.5430588149714</v>
                </pt>
                <pt idx="44">
                  <v>52.0142512588664</v>
                </pt>
                <pt idx="45">
                  <v>57.2024324538472</v>
                </pt>
                <pt idx="46">
                  <v>53.8447374020008</v>
                </pt>
                <pt idx="47">
                  <v>53.378118046287</v>
                </pt>
                <pt idx="48">
                  <v>52.4970992830634</v>
                </pt>
                <pt idx="49">
                  <v>51.2626591513288</v>
                </pt>
                <pt idx="50">
                  <v>56.5320799903232</v>
                </pt>
                <pt idx="51">
                  <v>54.8195852581759</v>
                </pt>
                <pt idx="52">
                  <v>54.2386669238499</v>
                </pt>
                <pt idx="53">
                  <v>56.0360313510977</v>
                </pt>
                <pt idx="54">
                  <v>54.7427757055842</v>
                </pt>
                <pt idx="55">
                  <v>57.5702506990957</v>
                </pt>
                <pt idx="56">
                  <v>53.2606163112084</v>
                </pt>
                <pt idx="57">
                  <v>55.407160874264</v>
                </pt>
                <pt idx="58">
                  <v>51.416409801705</v>
                </pt>
                <pt idx="59">
                  <v>54.021529677242</v>
                </pt>
                <pt idx="60">
                  <v>56.5988110506082</v>
                </pt>
                <pt idx="61">
                  <v>54.2282350566784</v>
                </pt>
                <pt idx="62">
                  <v>57.4337841735763</v>
                </pt>
                <pt idx="63">
                  <v>57.1557244653067</v>
                </pt>
                <pt idx="64">
                  <v>53.1534995907173</v>
                </pt>
                <pt idx="65">
                  <v>53.0808173064804</v>
                </pt>
                <pt idx="66">
                  <v>52.5683619019129</v>
                </pt>
                <pt idx="67">
                  <v>48.1140014100388</v>
                </pt>
                <pt idx="68">
                  <v>50.3796200413739</v>
                </pt>
                <pt idx="69">
                  <v>48.2548671052373</v>
                </pt>
                <pt idx="70">
                  <v>44.324455950641</v>
                </pt>
                <pt idx="71">
                  <v>48.1735627816922</v>
                </pt>
                <pt idx="72">
                  <v>46.0942129342399</v>
                </pt>
                <pt idx="73">
                  <v>46.8163025345749</v>
                </pt>
                <pt idx="74">
                  <v>44.0456686433936</v>
                </pt>
                <pt idx="75">
                  <v>36.0837961755269</v>
                </pt>
                <pt idx="76">
                  <v>42.4353982409497</v>
                </pt>
                <pt idx="77">
                  <v>42.236706316595</v>
                </pt>
                <pt idx="78">
                  <v>38.9363837498537</v>
                </pt>
                <pt idx="79">
                  <v>41.5630783373374</v>
                </pt>
                <pt idx="80">
                  <v>43.3482954319385</v>
                </pt>
                <pt idx="81">
                  <v>41.8747224523421</v>
                </pt>
                <pt idx="82">
                  <v>45.5610293561352</v>
                </pt>
                <pt idx="83">
                  <v>49.7341834054072</v>
                </pt>
                <pt idx="84">
                  <v>49.6423502738644</v>
                </pt>
                <pt idx="85">
                  <v>52.6800292705146</v>
                </pt>
                <pt idx="86">
                  <v>51.7262292777555</v>
                </pt>
                <pt idx="87">
                  <v>53.3261982858724</v>
                </pt>
                <pt idx="88">
                  <v>53.1454156225943</v>
                </pt>
                <pt idx="89">
                  <v>51.8236410678467</v>
                </pt>
                <pt idx="90">
                  <v>52.5334134474359</v>
                </pt>
                <pt idx="91">
                  <v>55.832523203119</v>
                </pt>
                <pt idx="92">
                  <v>58.4019949666218</v>
                </pt>
                <pt idx="93">
                  <v>51.8006228698843</v>
                </pt>
                <pt idx="94">
                  <v>54.8859164581427</v>
                </pt>
                <pt idx="95">
                  <v>50.2569438138579</v>
                </pt>
                <pt idx="96">
                  <v>50.2889133409545</v>
                </pt>
                <pt idx="97">
                  <v>50.9892799734238</v>
                </pt>
                <pt idx="98">
                  <v>51.4252261099097</v>
                </pt>
                <pt idx="99">
                  <v>54.9544836853158</v>
                </pt>
                <pt idx="100">
                  <v>53.2138368223341</v>
                </pt>
                <pt idx="101">
                  <v>52.9414187104486</v>
                </pt>
                <pt idx="102">
                  <v>51.2961480601499</v>
                </pt>
                <pt idx="103">
                  <v>49.030116711296</v>
                </pt>
                <pt idx="104">
                  <v>53.0485447056205</v>
                </pt>
                <pt idx="105">
                  <v>52.8901271533159</v>
                </pt>
                <pt idx="106">
                  <v>54.2766863057518</v>
                </pt>
                <pt idx="107">
                  <v>52.9147851310544</v>
                </pt>
                <pt idx="108">
                  <v>53.2760228348821</v>
                </pt>
                <pt idx="109">
                  <v>51.1649272067922</v>
                </pt>
                <pt idx="110">
                  <v>47.0556250366551</v>
                </pt>
                <pt idx="111">
                  <v>47.8189290340678</v>
                </pt>
                <pt idx="112">
                  <v>52.0794686386442</v>
                </pt>
                <pt idx="113">
                  <v>50.6209489737154</v>
                </pt>
                <pt idx="114">
                  <v>55.9368080680046</v>
                </pt>
                <pt idx="115">
                  <v>53.627871720274</v>
                </pt>
                <pt idx="116">
                  <v>48.5125048508928</v>
                </pt>
                <pt idx="117">
                  <v>54.1857897882967</v>
                </pt>
                <pt idx="118">
                  <v>50.472370512699</v>
                </pt>
                <pt idx="119">
                  <v>49.6009354328354</v>
                </pt>
                <pt idx="120">
                  <v>47.4290948312378</v>
                </pt>
                <pt idx="121">
                  <v>48.4487093394229</v>
                </pt>
                <pt idx="122">
                  <v>51.3162739387645</v>
                </pt>
                <pt idx="123">
                  <v>50.8031709504404</v>
                </pt>
                <pt idx="124">
                  <v>50.1760982117169</v>
                </pt>
                <pt idx="125">
                  <v>55.6506802235411</v>
                </pt>
                <pt idx="126">
                  <v>55.2103499826913</v>
                </pt>
                <pt idx="127">
                  <v>52.7071688076255</v>
                </pt>
                <pt idx="128">
                  <v>56.1208592612442</v>
                </pt>
                <pt idx="129">
                  <v>59.0737508404527</v>
                </pt>
                <pt idx="130">
                  <v>55.0752933288219</v>
                </pt>
                <pt idx="131">
                  <v>60.2613920323612</v>
                </pt>
                <pt idx="132">
                  <v>56.7231859878615</v>
                </pt>
                <pt idx="133">
                  <v>52.7868939881118</v>
                </pt>
                <pt idx="134">
                  <v>55.4918511261242</v>
                </pt>
                <pt idx="135">
                  <v>57.3899226525149</v>
                </pt>
                <pt idx="136">
                  <v>55.7245210774209</v>
                </pt>
                <pt idx="137">
                  <v>57.1972119095941</v>
                </pt>
                <pt idx="138">
                  <v>56.0261272877251</v>
                </pt>
                <pt idx="139">
                  <v>57.9512438717493</v>
                </pt>
                <pt idx="140">
                  <v>55.4325461314546</v>
                </pt>
                <pt idx="141">
                  <v>53.9562293982542</v>
                </pt>
                <pt idx="142">
                  <v>53.3320549988047</v>
                </pt>
                <pt idx="143">
                  <v>54.7532486987351</v>
                </pt>
                <pt idx="144">
                  <v>56.3908671788302</v>
                </pt>
                <pt idx="145">
                  <v>57.2985417258584</v>
                </pt>
                <pt idx="146">
                  <v>58.5179627874654</v>
                </pt>
                <pt idx="147">
                  <v>54.6177249057541</v>
                </pt>
                <pt idx="148">
                  <v>56.6517514841744</v>
                </pt>
                <pt idx="149">
                  <v>51.5607487261562</v>
                </pt>
                <pt idx="150">
                  <v>56.6859926423443</v>
                </pt>
                <pt idx="151">
                  <v>54.7822942728314</v>
                </pt>
                <pt idx="152">
                  <v>52.3374487038734</v>
                </pt>
                <pt idx="153">
                  <v>51.4456692441713</v>
                </pt>
                <pt idx="154">
                  <v>55.1807836368314</v>
                </pt>
                <pt idx="155">
                  <v>54.3814448281616</v>
                </pt>
                <pt idx="156">
                  <v>54.8707969074682</v>
                </pt>
                <pt idx="157">
                  <v>54.0967098657682</v>
                </pt>
                <pt idx="158">
                  <v>53.1406959969631</v>
                </pt>
                <pt idx="159">
                  <v>55.0326358859927</v>
                </pt>
                <pt idx="160">
                  <v>56.9856027270748</v>
                </pt>
                <pt idx="161">
                  <v>59.789243036005</v>
                </pt>
                <pt idx="162">
                  <v>56.0789103941194</v>
                </pt>
                <pt idx="163">
                  <v>54.1786540644768</v>
                </pt>
                <pt idx="164">
                  <v>56.5463209703122</v>
                </pt>
                <pt idx="165">
                  <v>56.3274783477963</v>
                </pt>
                <pt idx="166">
                  <v>57.5597930084429</v>
                </pt>
                <pt idx="167">
                  <v>55.9499781978048</v>
                </pt>
                <pt idx="168">
                  <v>54.647059284907</v>
                </pt>
                <pt idx="169">
                  <v>57.2000322698041</v>
                </pt>
                <pt idx="170">
                  <v>54.7701694624791</v>
                </pt>
                <pt idx="171">
                  <v>54.2946996597062</v>
                </pt>
                <pt idx="172">
                  <v>54.6328503036431</v>
                </pt>
                <pt idx="173">
                  <v>53.201234556973</v>
                </pt>
                <pt idx="174">
                  <v>56.0520938037381</v>
                </pt>
                <pt idx="175">
                  <v>58.7228290929402</v>
                </pt>
                <pt idx="176">
                  <v>56.5912099880293</v>
                </pt>
                <pt idx="177">
                  <v>57.6796522807713</v>
                </pt>
                <pt idx="178">
                  <v>55.9080618063196</v>
                </pt>
                <pt idx="179">
                  <v>55.831645577076</v>
                </pt>
                <pt idx="180">
                  <v>57.8875336583496</v>
                </pt>
                <pt idx="181">
                  <v>57.5865651905984</v>
                </pt>
                <pt idx="182">
                  <v>56.8314314778171</v>
                </pt>
                <pt idx="183">
                  <v>57.427575830615</v>
                </pt>
                <pt idx="184">
                  <v>50.9648930060402</v>
                </pt>
                <pt idx="185">
                  <v>55.3991300439726</v>
                </pt>
                <pt idx="186">
                  <v>53.4528751329017</v>
                </pt>
                <pt idx="187">
                  <v>53.1388928325548</v>
                </pt>
                <pt idx="188">
                  <v>59.2035308013539</v>
                </pt>
                <pt idx="189">
                  <v>54.3282300911429</v>
                </pt>
                <pt idx="190">
                  <v>52.7245397256422</v>
                </pt>
                <pt idx="191">
                  <v>51.2462636215065</v>
                </pt>
                <pt idx="192">
                  <v>52.1322105973522</v>
                </pt>
                <pt idx="193">
                  <v>51.8709457657821</v>
                </pt>
                <pt idx="194">
                  <v>53.5</v>
                </pt>
                <pt idx="195">
                  <v>53.5</v>
                </pt>
                <pt idx="196">
                  <v>55.1</v>
                </pt>
                <pt idx="197">
                  <v>53.1</v>
                </pt>
                <pt idx="198">
                  <v>53.4</v>
                </pt>
                <pt idx="199">
                  <v>51.9</v>
                </pt>
                <pt idx="200">
                  <v>52.7</v>
                </pt>
                <pt idx="201">
                  <v>50.2</v>
                </pt>
                <pt idx="202">
                  <v>51.3</v>
                </pt>
                <pt idx="203">
                  <v>48.1</v>
                </pt>
                <pt idx="204">
                  <v>48.4</v>
                </pt>
                <pt idx="205">
                  <v>48.4</v>
                </pt>
                <pt idx="206">
                  <v>52.6</v>
                </pt>
                <pt idx="207">
                  <v>51.4</v>
                </pt>
                <pt idx="208">
                  <v>49.3</v>
                </pt>
                <pt idx="209">
                  <v>49.6</v>
                </pt>
                <pt idx="210">
                  <v>53.2</v>
                </pt>
                <pt idx="211">
                  <v>38</v>
                </pt>
                <pt idx="212">
                  <v>26.1</v>
                </pt>
                <pt idx="213">
                  <v>39.7</v>
                </pt>
                <pt idx="214">
                  <v>56.3</v>
                </pt>
                <pt idx="215">
                  <v>59</v>
                </pt>
                <pt idx="216">
                  <v>51</v>
                </pt>
                <pt idx="217">
                  <v>54</v>
                </pt>
                <pt idx="218">
                  <v>51.7</v>
                </pt>
                <pt idx="219">
                  <v>55.3</v>
                </pt>
                <pt idx="220">
                  <v>48.7</v>
                </pt>
                <pt idx="221">
                  <v>58.05</v>
                </pt>
                <pt idx="222">
                  <v>54.21</v>
                </pt>
                <pt idx="223">
                  <v>63.6</v>
                </pt>
                <pt idx="224">
                  <v>58.3</v>
                </pt>
                <pt idx="225">
                  <v>58.6</v>
                </pt>
                <pt idx="226">
                  <v>60.9</v>
                </pt>
                <pt idx="227">
                  <v>62.2</v>
                </pt>
                <pt idx="228">
                  <v>39.7</v>
                </pt>
                <pt idx="229">
                  <v>51.4</v>
                </pt>
                <pt idx="230">
                  <v>54.3</v>
                </pt>
                <pt idx="231">
                  <v>50.6</v>
                </pt>
                <pt idx="232">
                  <v>53.7</v>
                </pt>
                <pt idx="233">
                  <v>52.1</v>
                </pt>
                <pt idx="234">
                  <v>53.6</v>
                </pt>
                <pt idx="235">
                  <v>53.8</v>
                </pt>
                <pt idx="236">
                  <v>51.2</v>
                </pt>
                <pt idx="237">
                  <v>52.9</v>
                </pt>
                <pt idx="238">
                  <v>49.74</v>
                </pt>
                <pt idx="239">
                  <v>52.7</v>
                </pt>
                <pt idx="240">
                  <v>54.9</v>
                </pt>
                <pt idx="241">
                  <v>52</v>
                </pt>
                <pt idx="242">
                  <v>49.3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0.00"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s>
</file>

<file path=xl/drawings/_rels/drawing6.xml.rels><Relationships xmlns="http://schemas.openxmlformats.org/package/2006/relationships"><Relationship Type="http://schemas.openxmlformats.org/officeDocument/2006/relationships/chart" Target="/xl/charts/chart11.xml" Id="rId1"/></Relationships>
</file>

<file path=xl/drawings/_rels/drawing7.xml.rels><Relationships xmlns="http://schemas.openxmlformats.org/package/2006/relationships"><Relationship Type="http://schemas.openxmlformats.org/officeDocument/2006/relationships/chart" Target="/xl/charts/chart12.xml" Id="rId1"/></Relationships>
</file>

<file path=xl/drawings/_rels/drawing8.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s>
</file>

<file path=xl/drawings/_rels/drawing9.xml.rels><Relationships xmlns="http://schemas.openxmlformats.org/package/2006/relationships"><Relationship Type="http://schemas.openxmlformats.org/officeDocument/2006/relationships/chart" Target="/xl/charts/chart15.xml" Id="rId1"/></Relationships>
</file>

<file path=xl/drawings/_rels/drawing10.xml.rels><Relationships xmlns="http://schemas.openxmlformats.org/package/2006/relationships"><Relationship Type="http://schemas.openxmlformats.org/officeDocument/2006/relationships/chart" Target="/xl/charts/chart16.xml" Id="rId1"/></Relationships>
</file>

<file path=xl/drawings/_rels/drawing11.xml.rels><Relationships xmlns="http://schemas.openxmlformats.org/package/2006/relationships"><Relationship Type="http://schemas.openxmlformats.org/officeDocument/2006/relationships/chart" Target="/xl/charts/chart17.xml" Id="rId1"/></Relationships>
</file>

<file path=xl/drawings/_rels/drawing12.xml.rels><Relationships xmlns="http://schemas.openxmlformats.org/package/2006/relationships"><Relationship Type="http://schemas.openxmlformats.org/officeDocument/2006/relationships/chart" Target="/xl/charts/chart18.xml" Id="rId1"/></Relationships>
</file>

<file path=xl/drawings/_rels/drawing13.xml.rels><Relationships xmlns="http://schemas.openxmlformats.org/package/2006/relationships"><Relationship Type="http://schemas.openxmlformats.org/officeDocument/2006/relationships/chart" Target="/xl/charts/chart19.xml" Id="rId1"/></Relationships>
</file>

<file path=xl/drawings/_rels/drawing14.xml.rels><Relationships xmlns="http://schemas.openxmlformats.org/package/2006/relationships"><Relationship Type="http://schemas.openxmlformats.org/officeDocument/2006/relationships/chart" Target="/xl/charts/chart20.xml" Id="rId1"/></Relationships>
</file>

<file path=xl/drawings/_rels/drawing15.xml.rels><Relationships xmlns="http://schemas.openxmlformats.org/package/2006/relationships"><Relationship Type="http://schemas.openxmlformats.org/officeDocument/2006/relationships/chart" Target="/xl/charts/chart21.xml" Id="rId1"/></Relationships>
</file>

<file path=xl/drawings/_rels/drawing16.xml.rels><Relationships xmlns="http://schemas.openxmlformats.org/package/2006/relationships"><Relationship Type="http://schemas.openxmlformats.org/officeDocument/2006/relationships/chart" Target="/xl/charts/chart22.xml" Id="rId1"/></Relationships>
</file>

<file path=xl/drawings/_rels/drawing17.xml.rels><Relationships xmlns="http://schemas.openxmlformats.org/package/2006/relationships"><Relationship Type="http://schemas.openxmlformats.org/officeDocument/2006/relationships/chart" Target="/xl/charts/chart23.xml" Id="rId1"/></Relationships>
</file>

<file path=xl/drawings/_rels/drawing18.xml.rels><Relationships xmlns="http://schemas.openxmlformats.org/package/2006/relationships"><Relationship Type="http://schemas.openxmlformats.org/officeDocument/2006/relationships/chart" Target="/xl/charts/chart24.xml" Id="rId1"/></Relationships>
</file>

<file path=xl/drawings/_rels/drawing19.xml.rels><Relationships xmlns="http://schemas.openxmlformats.org/package/2006/relationships"><Relationship Type="http://schemas.openxmlformats.org/officeDocument/2006/relationships/chart" Target="/xl/charts/chart25.xml" Id="rId1"/></Relationships>
</file>

<file path=xl/drawings/_rels/drawing20.xml.rels><Relationships xmlns="http://schemas.openxmlformats.org/package/2006/relationships"><Relationship Type="http://schemas.openxmlformats.org/officeDocument/2006/relationships/chart" Target="/xl/charts/chart26.xml" Id="rId1"/></Relationships>
</file>

<file path=xl/drawings/_rels/drawing21.xml.rels><Relationships xmlns="http://schemas.openxmlformats.org/package/2006/relationships"><Relationship Type="http://schemas.openxmlformats.org/officeDocument/2006/relationships/chart" Target="/xl/charts/chart27.xml" Id="rId1"/></Relationships>
</file>

<file path=xl/drawings/_rels/drawing22.xml.rels><Relationships xmlns="http://schemas.openxmlformats.org/package/2006/relationships"><Relationship Type="http://schemas.openxmlformats.org/officeDocument/2006/relationships/chart" Target="/xl/charts/chart28.xml" Id="rId1"/></Relationships>
</file>

<file path=xl/drawings/_rels/drawing23.xml.rels><Relationships xmlns="http://schemas.openxmlformats.org/package/2006/relationships"><Relationship Type="http://schemas.openxmlformats.org/officeDocument/2006/relationships/chart" Target="/xl/charts/chart29.xml" Id="rId1"/></Relationships>
</file>

<file path=xl/drawings/_rels/drawing24.xml.rels><Relationships xmlns="http://schemas.openxmlformats.org/package/2006/relationships"><Relationship Type="http://schemas.openxmlformats.org/officeDocument/2006/relationships/chart" Target="/xl/charts/chart30.xml" Id="rId1"/></Relationships>
</file>

<file path=xl/drawings/_rels/drawing25.xml.rels><Relationships xmlns="http://schemas.openxmlformats.org/package/2006/relationships"><Relationship Type="http://schemas.openxmlformats.org/officeDocument/2006/relationships/chart" Target="/xl/charts/chart31.xml" Id="rId1"/></Relationships>
</file>

<file path=xl/drawings/_rels/drawing26.xml.rels><Relationships xmlns="http://schemas.openxmlformats.org/package/2006/relationships"><Relationship Type="http://schemas.openxmlformats.org/officeDocument/2006/relationships/chart" Target="/xl/charts/chart32.xml" Id="rId1"/></Relationships>
</file>

<file path=xl/drawings/_rels/drawing27.xml.rels><Relationships xmlns="http://schemas.openxmlformats.org/package/2006/relationships"><Relationship Type="http://schemas.openxmlformats.org/officeDocument/2006/relationships/chart" Target="/xl/charts/chart33.xml" Id="rId1"/></Relationships>
</file>

<file path=xl/drawings/_rels/drawing28.xml.rels><Relationships xmlns="http://schemas.openxmlformats.org/package/2006/relationships"><Relationship Type="http://schemas.openxmlformats.org/officeDocument/2006/relationships/chart" Target="/xl/charts/chart34.xml" Id="rId1"/></Relationships>
</file>

<file path=xl/drawings/_rels/drawing29.xml.rels><Relationships xmlns="http://schemas.openxmlformats.org/package/2006/relationships"><Relationship Type="http://schemas.openxmlformats.org/officeDocument/2006/relationships/chart" Target="/xl/charts/chart35.xml" Id="rId1"/></Relationships>
</file>

<file path=xl/drawings/_rels/drawing30.xml.rels><Relationships xmlns="http://schemas.openxmlformats.org/package/2006/relationships"><Relationship Type="http://schemas.openxmlformats.org/officeDocument/2006/relationships/chart" Target="/xl/charts/chart36.xml" Id="rId1"/></Relationships>
</file>

<file path=xl/drawings/_rels/drawing31.xml.rels><Relationships xmlns="http://schemas.openxmlformats.org/package/2006/relationships"><Relationship Type="http://schemas.openxmlformats.org/officeDocument/2006/relationships/chart" Target="/xl/charts/chart37.xml" Id="rId1"/></Relationships>
</file>

<file path=xl/drawings/drawing1.xml><?xml version="1.0" encoding="utf-8"?>
<wsDr xmlns="http://schemas.openxmlformats.org/drawingml/2006/spreadsheetDrawing">
  <twoCellAnchor>
    <from>
      <col>6</col>
      <colOff>487891</colOff>
      <row>130</row>
      <rowOff>21166</rowOff>
    </from>
    <to>
      <col>16</col>
      <colOff>152398</colOff>
      <row>149</row>
      <rowOff>135467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474133</colOff>
      <row>107</row>
      <rowOff>67736</rowOff>
    </from>
    <to>
      <col>16</col>
      <colOff>228600</colOff>
      <row>129</row>
      <rowOff>50800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4</col>
      <colOff>408781</colOff>
      <row>133</row>
      <rowOff>49389</rowOff>
    </from>
    <to>
      <col>14</col>
      <colOff>87312</colOff>
      <row>153</row>
      <rowOff>33514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153458</colOff>
      <row>203</row>
      <rowOff>55562</rowOff>
    </from>
    <to>
      <col>17</col>
      <colOff>55563</colOff>
      <row>225</row>
      <rowOff>31219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311150</colOff>
      <row>154</row>
      <rowOff>148167</rowOff>
    </from>
    <to>
      <col>16</col>
      <colOff>524933</colOff>
      <row>173</row>
      <rowOff>135466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352776</colOff>
      <row>174</row>
      <rowOff>84673</rowOff>
    </from>
    <to>
      <col>16</col>
      <colOff>550333</colOff>
      <row>194</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7</col>
      <colOff>347133</colOff>
      <row>174</row>
      <rowOff>28575</rowOff>
    </from>
    <to>
      <col>16</col>
      <colOff>670983</colOff>
      <row>190</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329669</colOff>
      <row>155</row>
      <rowOff>49742</rowOff>
    </from>
    <to>
      <col>17</col>
      <colOff>105834</colOff>
      <row>173</row>
      <rowOff>68792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352425</colOff>
      <row>202</row>
      <rowOff>31755</rowOff>
    </from>
    <to>
      <col>17</col>
      <colOff>563562</colOff>
      <row>223</row>
      <rowOff>87311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3</col>
      <colOff>344108</colOff>
      <row>163</row>
      <rowOff>143933</rowOff>
    </from>
    <to>
      <col>13</col>
      <colOff>466876</colOff>
      <row>187</row>
      <rowOff>110066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348722</colOff>
      <row>163</row>
      <rowOff>166159</rowOff>
    </from>
    <to>
      <col>15</col>
      <colOff>268288</colOff>
      <row>191</row>
      <rowOff>34396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404811</colOff>
      <row>157</row>
      <rowOff>113398</rowOff>
    </from>
    <to>
      <col>15</col>
      <colOff>452437</colOff>
      <row>183</row>
      <rowOff>63501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6</col>
      <colOff>317499</colOff>
      <row>164</row>
      <rowOff>177801</rowOff>
    </from>
    <to>
      <col>16</col>
      <colOff>584199</colOff>
      <row>186</row>
      <rowOff>147110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245531</colOff>
      <row>198</row>
      <rowOff>146053</rowOff>
    </from>
    <to>
      <col>16</col>
      <colOff>512233</colOff>
      <row>222</row>
      <rowOff>44450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3</col>
      <colOff>212724</colOff>
      <row>180</row>
      <rowOff>128591</rowOff>
    </from>
    <to>
      <col>13</col>
      <colOff>0</colOff>
      <row>203</row>
      <rowOff>41275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596901</colOff>
      <row>177</row>
      <rowOff>65318</rowOff>
    </from>
    <to>
      <col>14</col>
      <colOff>431801</colOff>
      <row>202</row>
      <rowOff>31448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261408</colOff>
      <row>128</row>
      <rowOff>102128</rowOff>
    </from>
    <to>
      <col>14</col>
      <colOff>240243</colOff>
      <row>153</row>
      <rowOff>25929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514350</colOff>
      <row>123</row>
      <rowOff>91023</rowOff>
    </from>
    <to>
      <col>16</col>
      <colOff>45590</colOff>
      <row>148</row>
      <rowOff>126185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328790</colOff>
      <row>135</row>
      <rowOff>109363</rowOff>
    </from>
    <to>
      <col>13</col>
      <colOff>476956</colOff>
      <row>157</row>
      <rowOff>29634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209550</colOff>
      <row>133</row>
      <rowOff>76200</rowOff>
    </from>
    <to>
      <col>12</col>
      <colOff>558800</colOff>
      <row>154</row>
      <rowOff>114300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421922</colOff>
      <row>124</row>
      <rowOff>77612</rowOff>
    </from>
    <to>
      <col>13</col>
      <colOff>396522</colOff>
      <row>146</row>
      <rowOff>64912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336549</colOff>
      <row>159</row>
      <rowOff>15877</rowOff>
    </from>
    <to>
      <col>14</col>
      <colOff>158750</colOff>
      <row>183</row>
      <rowOff>57151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7.xml><?xml version="1.0" encoding="utf-8"?>
<wsDr xmlns="http://schemas.openxmlformats.org/drawingml/2006/spreadsheetDrawing">
  <twoCellAnchor>
    <from>
      <col>3</col>
      <colOff>438150</colOff>
      <row>126</row>
      <rowOff>177800</rowOff>
    </from>
    <to>
      <col>12</col>
      <colOff>171450</colOff>
      <row>147</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8.xml><?xml version="1.0" encoding="utf-8"?>
<wsDr xmlns="http://schemas.openxmlformats.org/drawingml/2006/spreadsheetDrawing">
  <twoCellAnchor>
    <from>
      <col>4</col>
      <colOff>295275</colOff>
      <row>131</row>
      <rowOff>85725</rowOff>
    </from>
    <to>
      <col>13</col>
      <colOff>219074</colOff>
      <row>151</row>
      <rowOff>3175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9.xml><?xml version="1.0" encoding="utf-8"?>
<wsDr xmlns="http://schemas.openxmlformats.org/drawingml/2006/spreadsheetDrawing">
  <twoCellAnchor>
    <from>
      <col>3</col>
      <colOff>292100</colOff>
      <row>132</row>
      <rowOff>40217</rowOff>
    </from>
    <to>
      <col>12</col>
      <colOff>5645</colOff>
      <row>152</row>
      <rowOff>21167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0.xml><?xml version="1.0" encoding="utf-8"?>
<wsDr xmlns="http://schemas.openxmlformats.org/drawingml/2006/spreadsheetDrawing">
  <twoCellAnchor>
    <from>
      <col>3</col>
      <colOff>341313</colOff>
      <row>137</row>
      <rowOff>120649</rowOff>
    </from>
    <to>
      <col>12</col>
      <colOff>354013</colOff>
      <row>157</row>
      <rowOff>63499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1.xml><?xml version="1.0" encoding="utf-8"?>
<wsDr xmlns="http://schemas.openxmlformats.org/drawingml/2006/spreadsheetDrawing">
  <twoCellAnchor>
    <from>
      <col>3</col>
      <colOff>576791</colOff>
      <row>135</row>
      <rowOff>7760</rowOff>
    </from>
    <to>
      <col>12</col>
      <colOff>297745</colOff>
      <row>155</row>
      <rowOff>35277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2.xml><?xml version="1.0" encoding="utf-8"?>
<wsDr xmlns="http://schemas.openxmlformats.org/drawingml/2006/spreadsheetDrawing">
  <twoCellAnchor>
    <from>
      <col>3</col>
      <colOff>311150</colOff>
      <row>130</row>
      <rowOff>133350</rowOff>
    </from>
    <to>
      <col>12</col>
      <colOff>577850</colOff>
      <row>151</row>
      <rowOff>114300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3.xml><?xml version="1.0" encoding="utf-8"?>
<wsDr xmlns="http://schemas.openxmlformats.org/drawingml/2006/spreadsheetDrawing">
  <twoCellAnchor>
    <from>
      <col>3</col>
      <colOff>400050</colOff>
      <row>135</row>
      <rowOff>165100</rowOff>
    </from>
    <to>
      <col>12</col>
      <colOff>488950</colOff>
      <row>156</row>
      <rowOff>69850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4.xml><?xml version="1.0" encoding="utf-8"?>
<wsDr xmlns="http://schemas.openxmlformats.org/drawingml/2006/spreadsheetDrawing">
  <twoCellAnchor>
    <from>
      <col>3</col>
      <colOff>354189</colOff>
      <row>137</row>
      <rowOff>134938</rowOff>
    </from>
    <to>
      <col>12</col>
      <colOff>112889</colOff>
      <row>158</row>
      <rowOff>26987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5.xml><?xml version="1.0" encoding="utf-8"?>
<wsDr xmlns="http://schemas.openxmlformats.org/drawingml/2006/spreadsheetDrawing">
  <twoCellAnchor>
    <from>
      <col>3</col>
      <colOff>404813</colOff>
      <row>335</row>
      <rowOff>120650</rowOff>
    </from>
    <to>
      <col>13</col>
      <colOff>455613</colOff>
      <row>358</row>
      <rowOff>119063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6.xml><?xml version="1.0" encoding="utf-8"?>
<wsDr xmlns="http://schemas.openxmlformats.org/drawingml/2006/spreadsheetDrawing">
  <twoCellAnchor>
    <from>
      <col>3</col>
      <colOff>285750</colOff>
      <row>113</row>
      <rowOff>50800</rowOff>
    </from>
    <to>
      <col>12</col>
      <colOff>12700</colOff>
      <row>133</row>
      <rowOff>6350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7.xml><?xml version="1.0" encoding="utf-8"?>
<wsDr xmlns="http://schemas.openxmlformats.org/drawingml/2006/spreadsheetDrawing">
  <twoCellAnchor>
    <from>
      <col>3</col>
      <colOff>228600</colOff>
      <row>61</row>
      <rowOff>120656</rowOff>
    </from>
    <to>
      <col>12</col>
      <colOff>596900</colOff>
      <row>86</row>
      <rowOff>19050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8.xml><?xml version="1.0" encoding="utf-8"?>
<wsDr xmlns="http://schemas.openxmlformats.org/drawingml/2006/spreadsheetDrawing">
  <twoCellAnchor>
    <from>
      <col>3</col>
      <colOff>211665</colOff>
      <row>264</row>
      <rowOff>165804</rowOff>
    </from>
    <to>
      <col>12</col>
      <colOff>183444</colOff>
      <row>284</row>
      <rowOff>141110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9.xml><?xml version="1.0" encoding="utf-8"?>
<wsDr xmlns="http://schemas.openxmlformats.org/drawingml/2006/spreadsheetDrawing">
  <twoCellAnchor>
    <from>
      <col>3</col>
      <colOff>206828</colOff>
      <row>112</row>
      <rowOff>105228</rowOff>
    </from>
    <to>
      <col>13</col>
      <colOff>168728</colOff>
      <row>134</row>
      <rowOff>54429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0.xml><?xml version="1.0" encoding="utf-8"?>
<wsDr xmlns="http://schemas.openxmlformats.org/drawingml/2006/spreadsheetDrawing">
  <twoCellAnchor>
    <from>
      <col>3</col>
      <colOff>600075</colOff>
      <row>77</row>
      <rowOff>161925</rowOff>
    </from>
    <to>
      <col>12</col>
      <colOff>612775</colOff>
      <row>98</row>
      <rowOff>11113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1.xml><?xml version="1.0" encoding="utf-8"?>
<wsDr xmlns="http://schemas.openxmlformats.org/drawingml/2006/spreadsheetDrawing">
  <twoCellAnchor>
    <from>
      <col>3</col>
      <colOff>452966</colOff>
      <row>229</row>
      <rowOff>53622</rowOff>
    </from>
    <to>
      <col>13</col>
      <colOff>186266</colOff>
      <row>250</row>
      <rowOff>66323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F146" headerRowCount="1" totalsRowShown="0" headerRowDxfId="275" dataDxfId="273" headerRowBorderDxfId="274" tableBorderDxfId="272" totalsRowBorderDxfId="271">
  <autoFilter ref="A5:F146"/>
  <tableColumns count="6">
    <tableColumn id="1" name="Date" dataDxfId="270"/>
    <tableColumn id="2" name="PMI" dataDxfId="269">
      <calculatedColumnFormula>IF(VLOOKUP(Table1[[#This Row],[Date]],'DB Global PMI'!$A:$F,2)=0,"",VLOOKUP(Table1[[#This Row],[Date]],'DB Global PMI'!$A:$F,2))</calculatedColumnFormula>
    </tableColumn>
    <tableColumn id="3" name="mom" dataDxfId="268">
      <calculatedColumnFormula>Table1[[#This Row],[PMI]]-B5</calculatedColumnFormula>
    </tableColumn>
    <tableColumn id="4" name="ACWI" dataDxfId="267">
      <calculatedColumnFormula>IF(VLOOKUP(Table1[[#This Row],[Date]],'DB Global PMI'!$A:$F,3)=0,"",VLOOKUP(Table1[[#This Row],[Date]],'DB Global PMI'!$A:$F,3))</calculatedColumnFormula>
    </tableColumn>
    <tableColumn id="5" name="PMI yoy" dataDxfId="266"/>
    <tableColumn id="6" name="ACWI yoy" dataDxfId="265"/>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D151" headerRowCount="1" totalsRowShown="0" headerRowDxfId="264" dataDxfId="262" headerRowBorderDxfId="263" tableBorderDxfId="261" totalsRowBorderDxfId="260">
  <autoFilter ref="A5:D151"/>
  <tableColumns count="4">
    <tableColumn id="1" name="Date" dataDxfId="259"/>
    <tableColumn id="2" name="PMI" dataDxfId="258">
      <calculatedColumnFormula>IF(VLOOKUP(A6,'DB Country PMI'!$A:$AZ,MATCH($A$1,'DB Country PMI'!$A$1:$AZ$1,),)=0,#N/A,VLOOKUP(A6,'DB Country PMI'!$A:$AZ,MATCH($A$1,'DB Country PMI'!$A$1:$AZ$1,),))</calculatedColumnFormula>
    </tableColumn>
    <tableColumn id="3" name="mom" dataDxfId="257">
      <calculatedColumnFormula>Table1346811[[#This Row],[PMI]]-B5</calculatedColumnFormula>
    </tableColumn>
    <tableColumn id="4" name="ISM Manufacturing" dataDxfId="256">
      <calculatedColumnFormula>IF(VLOOKUP(Table1346811[[#This Row],[Date]],'DB US ISM Manufacturing'!$A:$B,2)=0,#N/A,VLOOKUP(Table1346811[[#This Row],[Date]],'DB US ISM Manufacturing'!$A:$B,2))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121415161718192021" displayName="Table1346811121415161718192021" ref="A5:F220" headerRowCount="1" totalsRowShown="0" headerRowDxfId="255" dataDxfId="253" headerRowBorderDxfId="254" tableBorderDxfId="252" totalsRowBorderDxfId="251">
  <autoFilter ref="A5:F220"/>
  <tableColumns count="6">
    <tableColumn id="1" name="Date" dataDxfId="250"/>
    <tableColumn id="2" name="Caixin PMI" dataDxfId="249">
      <calculatedColumnFormula>IF(VLOOKUP(A6,'DB Country PMI'!$A:$AZ,MATCH($A$2,'DB Country PMI'!$A$1:$AZ$1,),)=0,#N/A,VLOOKUP(A6,'DB Country PMI'!$A:$AZ,MATCH($A$2,'DB Country PMI'!$A$1:$AZ$1,),))</calculatedColumnFormula>
    </tableColumn>
    <tableColumn id="3" name="mom" dataDxfId="248">
      <calculatedColumnFormula>Table1346811121415161718192021[[#This Row],[Caixin PMI]]-B5</calculatedColumnFormula>
    </tableColumn>
    <tableColumn id="4" name="Official PMI" dataDxfId="247">
      <calculatedColumnFormula>IF(VLOOKUP(Table1346811121415161718192021[[#This Row],[Date]],'DB China Official PMI'!$A:$C,2)=0,#N/A,VLOOKUP(Table1346811121415161718192021[[#This Row],[Date]],'DB China Official PMI'!$A:$C,2))</calculatedColumnFormula>
    </tableColumn>
    <tableColumn id="5" name="mom2" dataDxfId="246">
      <calculatedColumnFormula>Table1346811121415161718192021[[#This Row],[Official PMI]]-D5</calculatedColumnFormula>
    </tableColumn>
    <tableColumn id="6" name="GDP yoy %" dataDxfId="245">
      <calculatedColumnFormula>IF(VLOOKUP(Table1346811121415161718192021[[#This Row],[Date]],'DB China Official PMI'!$A:$C,3)=0,"",VLOOKUP(Table1346811121415161718192021[[#This Row],[Date]],'DB China Official PMI'!$A:$C,3))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1214" displayName="Table13468111214" ref="A5:G221" headerRowCount="1" totalsRowShown="0" headerRowDxfId="244" dataDxfId="242" headerRowBorderDxfId="243" tableBorderDxfId="241" totalsRowBorderDxfId="240">
  <autoFilter ref="A5:G221"/>
  <tableColumns count="7">
    <tableColumn id="1" name="Date" dataDxfId="239"/>
    <tableColumn id="2" name="Euro Area PMI" dataDxfId="238">
      <calculatedColumnFormula>IF(VLOOKUP(A6,'DB Country PMI'!$A:$AZ,MATCH($A$1,'DB Country PMI'!$A$1:$AZ$1,),)=0,#N/A,VLOOKUP(A6,'DB Country PMI'!$A:$AZ,MATCH($A$1,'DB Country PMI'!$A$1:$AZ$1,),))</calculatedColumnFormula>
    </tableColumn>
    <tableColumn id="3" name="mom" dataDxfId="237">
      <calculatedColumnFormula>Table13468111214[[#This Row],[Euro Area PMI]]-B5</calculatedColumnFormula>
    </tableColumn>
    <tableColumn id="4" name="EZU" dataDxfId="236">
      <calculatedColumnFormula>IF(VLOOKUP(Table13468111214[[#This Row],[Date]],'DB Global PMI'!$A:$F,4)=0,#N/A,VLOOKUP(Table13468111214[[#This Row],[Date]],'DB Global PMI'!$A:$F,4))</calculatedColumnFormula>
    </tableColumn>
    <tableColumn id="5" name="PMI yoy" dataDxfId="235"/>
    <tableColumn id="6" name="EZU yoy" dataDxfId="234"/>
    <tableColumn id="7" name="Euro Area GDP qoq %" dataDxfId="233">
      <calculatedColumnFormula>IF(VLOOKUP(Table13468111214[[#This Row],[Date]],'DB Global PMI'!$A:$F,6)=0,"",VLOOKUP(Table13468111214[[#This Row],[Date]],'DB Global PMI'!$A:$F,6))</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121415161718192022" displayName="Table1346811121415161718192022" ref="A5:C183" headerRowCount="1" totalsRowShown="0" headerRowDxfId="232" dataDxfId="230" headerRowBorderDxfId="231" tableBorderDxfId="229" totalsRowBorderDxfId="228">
  <autoFilter ref="A5:C183"/>
  <tableColumns count="3">
    <tableColumn id="1" name="Date" dataDxfId="227"/>
    <tableColumn id="2" name="PMI" dataDxfId="226">
      <calculatedColumnFormula>IF(VLOOKUP(A6,'DB Country PMI'!$A:$AZ,MATCH($A$1,'DB Country PMI'!$A$1:$AZ$1,),)=0,#N/A,VLOOKUP(A6,'DB Country PMI'!$A:$AZ,MATCH($A$1,'DB Country PMI'!$A$1:$AZ$1,),))</calculatedColumnFormula>
    </tableColumn>
    <tableColumn id="3" name="mom" dataDxfId="225">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121415" displayName="Table1346811121415" ref="A5:C184" headerRowCount="1" totalsRowShown="0" headerRowDxfId="224" dataDxfId="222" headerRowBorderDxfId="223" tableBorderDxfId="221" totalsRowBorderDxfId="220">
  <autoFilter ref="A5:C184"/>
  <tableColumns count="3">
    <tableColumn id="1" name="Date" dataDxfId="219"/>
    <tableColumn id="2" name="PMI" dataDxfId="218">
      <calculatedColumnFormula>IF(VLOOKUP(A6,'DB Country PMI'!$A:$AZ,MATCH($A$1,'DB Country PMI'!$A$1:$AZ$1,),)=0,#N/A,VLOOKUP(A6,'DB Country PMI'!$A:$AZ,MATCH($A$1,'DB Country PMI'!$A$1:$AZ$1,),))</calculatedColumnFormula>
    </tableColumn>
    <tableColumn id="3" name="mom" dataDxfId="217">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12141516" displayName="Table134681112141516" ref="A5:C177" headerRowCount="1" totalsRowShown="0" headerRowDxfId="216" dataDxfId="214" headerRowBorderDxfId="215" tableBorderDxfId="213" totalsRowBorderDxfId="212">
  <autoFilter ref="A5:C177"/>
  <tableColumns count="3">
    <tableColumn id="1" name="Date" dataDxfId="211"/>
    <tableColumn id="2" name="PMI" dataDxfId="210">
      <calculatedColumnFormula>IF(VLOOKUP(A6,'DB Country PMI'!$A:$AZ,MATCH($A$1,'DB Country PMI'!$A$1:$AZ$1,),)=0,#N/A,VLOOKUP(A6,'DB Country PMI'!$A:$AZ,MATCH($A$1,'DB Country PMI'!$A$1:$AZ$1,),))</calculatedColumnFormula>
    </tableColumn>
    <tableColumn id="3" name="mom" dataDxfId="209">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8" name="Table134681112" displayName="Table134681112" ref="A5:F221" headerRowCount="1" totalsRowShown="0" headerRowDxfId="208" dataDxfId="206" headerRowBorderDxfId="207" tableBorderDxfId="205" totalsRowBorderDxfId="204">
  <autoFilter ref="A5:F221"/>
  <tableColumns count="6">
    <tableColumn id="1" name="Date" dataDxfId="203"/>
    <tableColumn id="2" name="PMI" dataDxfId="202">
      <calculatedColumnFormula>IF(VLOOKUP(A6,'DB Country PMI'!$A:$AZ,MATCH($A$1,'DB Country PMI'!$A$1:$AZ$1,),)=0,#N/A,VLOOKUP(A6,'DB Country PMI'!$A:$AZ,MATCH($A$1,'DB Country PMI'!$A$1:$AZ$1,),))</calculatedColumnFormula>
    </tableColumn>
    <tableColumn id="3" name="mom" dataDxfId="201">
      <calculatedColumnFormula>Table134681112[[#This Row],[PMI]]-B5</calculatedColumnFormula>
    </tableColumn>
    <tableColumn id="4" name="EWU" dataDxfId="200">
      <calculatedColumnFormula>IF(VLOOKUP(Table134681112[[#This Row],[Date]],'DB Global PMI'!$A:$F,5)=0,#N/A,VLOOKUP(Table134681112[[#This Row],[Date]],'DB Global PMI'!$A:$F,5))</calculatedColumnFormula>
    </tableColumn>
    <tableColumn id="5" name="PMI yoy" dataDxfId="199"/>
    <tableColumn id="6" name="EWU yoy" dataDxfId="198"/>
  </tableColumns>
  <tableStyleInfo name="TableStyleMedium2" showFirstColumn="0" showLastColumn="0" showRowStripes="1" showColumnStripes="0"/>
</table>
</file>

<file path=xl/tables/table9.xml><?xml version="1.0" encoding="utf-8"?>
<table xmlns="http://schemas.openxmlformats.org/spreadsheetml/2006/main" id="9" name="Table13468111214151617" displayName="Table13468111214151617" ref="A5:C197" headerRowCount="1" totalsRowShown="0" headerRowDxfId="197" dataDxfId="195" headerRowBorderDxfId="196" tableBorderDxfId="194" totalsRowBorderDxfId="193">
  <autoFilter ref="A5:C197"/>
  <tableColumns count="3">
    <tableColumn id="1" name="Date" dataDxfId="192"/>
    <tableColumn id="2" name="PMI" dataDxfId="191">
      <calculatedColumnFormula>IF(VLOOKUP(A6,'DB Country PMI'!$A:$AZ,MATCH($A$1,'DB Country PMI'!$A$1:$AZ$1,),)=0,#N/A,VLOOKUP(A6,'DB Country PMI'!$A:$AZ,MATCH($A$1,'DB Country PMI'!$A$1:$AZ$1,),))</calculatedColumnFormula>
    </tableColumn>
    <tableColumn id="3" name="mom" dataDxfId="190">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121415161718" displayName="Table1346811121415161718" ref="A5:C197" headerRowCount="1" totalsRowShown="0" headerRowDxfId="189" dataDxfId="187" headerRowBorderDxfId="188" tableBorderDxfId="186" totalsRowBorderDxfId="185">
  <autoFilter ref="A5:C197"/>
  <tableColumns count="3">
    <tableColumn id="1" name="Date" dataDxfId="184"/>
    <tableColumn id="2" name="PMI" dataDxfId="183">
      <calculatedColumnFormula>IF(VLOOKUP(A6,'DB Country PMI'!$A:$AZ,MATCH($A$1,'DB Country PMI'!$A$1:$AZ$1,),)=0,#N/A,VLOOKUP(A6,'DB Country PMI'!$A:$AZ,MATCH($A$1,'DB Country PMI'!$A$1:$AZ$1,),))</calculatedColumnFormula>
    </tableColumn>
    <tableColumn id="3" name="mom" dataDxfId="182">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12141516171819202223" displayName="Table134681112141516171819202223" ref="A5:C151" headerRowCount="1" totalsRowShown="0" headerRowDxfId="181" dataDxfId="179" headerRowBorderDxfId="180" tableBorderDxfId="178" totalsRowBorderDxfId="177">
  <autoFilter ref="A5:C151"/>
  <tableColumns count="3">
    <tableColumn id="1" name="Date" dataDxfId="176"/>
    <tableColumn id="2" name="PMI" dataDxfId="175">
      <calculatedColumnFormula>IF(VLOOKUP(A6,'DB Country PMI'!$A:$AZ,MATCH($A$1,'DB Country PMI'!$A$1:$AZ$1,),)=0,#N/A,VLOOKUP(A6,'DB Country PMI'!$A:$AZ,MATCH($A$1,'DB Country PMI'!$A$1:$AZ$1,),))</calculatedColumnFormula>
    </tableColumn>
    <tableColumn id="3" name="mom" dataDxfId="174">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1214151617181920222526" displayName="Table13468111214151617181920222526" ref="A5:C145" headerRowCount="1" totalsRowShown="0" headerRowDxfId="173" dataDxfId="171" headerRowBorderDxfId="172" tableBorderDxfId="170" totalsRowBorderDxfId="169">
  <autoFilter ref="A5:C145"/>
  <tableColumns count="3">
    <tableColumn id="1" name="Date" dataDxfId="168"/>
    <tableColumn id="2" name="PMI" dataDxfId="167">
      <calculatedColumnFormula>IF(VLOOKUP(A6,'DB Country PMI'!$A:$AZ,MATCH($A$1,'DB Country PMI'!$A$1:$AZ$1,),)=0,#N/A,VLOOKUP(A6,'DB Country PMI'!$A:$AZ,MATCH($A$1,'DB Country PMI'!$A$1:$AZ$1,),))</calculatedColumnFormula>
    </tableColumn>
    <tableColumn id="3" name="mom" dataDxfId="166">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12141516171819202225" displayName="Table134681112141516171819202225" ref="A5:C151" headerRowCount="1" totalsRowShown="0" headerRowDxfId="165" dataDxfId="163" headerRowBorderDxfId="164" tableBorderDxfId="162" totalsRowBorderDxfId="161">
  <autoFilter ref="A5:C151"/>
  <tableColumns count="3">
    <tableColumn id="1" name="Date" dataDxfId="160"/>
    <tableColumn id="2" name="PMI" dataDxfId="159">
      <calculatedColumnFormula>IF(VLOOKUP(A6,'DB Country PMI'!$A:$AZ,MATCH($A$1,'DB Country PMI'!$A$1:$AZ$1,),)=0,#N/A,VLOOKUP(A6,'DB Country PMI'!$A:$AZ,MATCH($A$1,'DB Country PMI'!$A$1:$AZ$1,),))</calculatedColumnFormula>
    </tableColumn>
    <tableColumn id="3" name="mom" dataDxfId="158">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1214151617181920222324" displayName="Table13468111214151617181920222324" ref="A5:C151" headerRowCount="1" totalsRowShown="0" headerRowDxfId="157" dataDxfId="155" headerRowBorderDxfId="156" tableBorderDxfId="154" totalsRowBorderDxfId="153">
  <autoFilter ref="A5:C151"/>
  <tableColumns count="3">
    <tableColumn id="1" name="Date" dataDxfId="152"/>
    <tableColumn id="2" name="PMI" dataDxfId="151">
      <calculatedColumnFormula>IF(VLOOKUP(A6,'DB Country PMI'!$A:$AZ,MATCH($A$1,'DB Country PMI'!$A$1:$AZ$1,),)=0,#N/A,VLOOKUP(A6,'DB Country PMI'!$A:$AZ,MATCH($A$1,'DB Country PMI'!$A$1:$AZ$1,),))</calculatedColumnFormula>
    </tableColumn>
    <tableColumn id="3" name="mom" dataDxfId="150">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 displayName="Table13468" ref="A5:C145" headerRowCount="1" totalsRowShown="0" headerRowDxfId="149" dataDxfId="147" headerRowBorderDxfId="148" tableBorderDxfId="146" totalsRowBorderDxfId="145">
  <autoFilter ref="A5:C145"/>
  <tableColumns count="3">
    <tableColumn id="1" name="Date" dataDxfId="144"/>
    <tableColumn id="2" name="PMI" dataDxfId="143">
      <calculatedColumnFormula>IF(VLOOKUP(A6,'DB Country PMI'!$A:$AZ,MATCH($A$1,'DB Country PMI'!$A$1:$AZ$1,),)=0,#N/A,VLOOKUP(A6,'DB Country PMI'!$A:$AZ,MATCH($A$1,'DB Country PMI'!$A$1:$AZ$1,),))</calculatedColumnFormula>
    </tableColumn>
    <tableColumn id="3" name="mom" dataDxfId="142">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6" name="Table1346811121415161718192022252627" displayName="Table1346811121415161718192022252627" ref="A5:C180" headerRowCount="1" totalsRowShown="0" headerRowDxfId="141" dataDxfId="139" headerRowBorderDxfId="140" tableBorderDxfId="138" totalsRowBorderDxfId="137">
  <autoFilter ref="A5:C180"/>
  <tableColumns count="3">
    <tableColumn id="1" name="Date" dataDxfId="136"/>
    <tableColumn id="2" name="PMI" dataDxfId="135">
      <calculatedColumnFormula>IF(VLOOKUP(A6,'DB Country PMI'!$A:$AZ,MATCH($A$1,'DB Country PMI'!$A$1:$AZ$1,),)=0,#N/A,VLOOKUP(A6,'DB Country PMI'!$A:$AZ,MATCH($A$1,'DB Country PMI'!$A$1:$AZ$1,),))</calculatedColumnFormula>
    </tableColumn>
    <tableColumn id="3" name="mom" dataDxfId="134">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id="17" name="Table13468111214151617181920222530" displayName="Table13468111214151617181920222530" ref="A5:C145" headerRowCount="1" totalsRowShown="0" headerRowDxfId="133" dataDxfId="131" headerRowBorderDxfId="132" tableBorderDxfId="130" totalsRowBorderDxfId="129">
  <autoFilter ref="A5:C145"/>
  <tableColumns count="3">
    <tableColumn id="1" name="Date" dataDxfId="128"/>
    <tableColumn id="2" name="PMI" dataDxfId="127">
      <calculatedColumnFormula>IF(VLOOKUP(A6,'DB Country PMI'!$A:$AZ,MATCH($A$1,'DB Country PMI'!$A$1:$AZ$1,),)=0,#N/A,VLOOKUP(A6,'DB Country PMI'!$A:$AZ,MATCH($A$1,'DB Country PMI'!$A$1:$AZ$1,),))</calculatedColumnFormula>
    </tableColumn>
    <tableColumn id="3" name="mom" dataDxfId="126">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id="18" name="Table1346811121415161718192022252629" displayName="Table1346811121415161718192022252629" ref="A5:C149" headerRowCount="1" totalsRowShown="0" headerRowDxfId="125" dataDxfId="123" headerRowBorderDxfId="124" tableBorderDxfId="122" totalsRowBorderDxfId="121">
  <autoFilter ref="A5:C149"/>
  <tableColumns count="3">
    <tableColumn id="1" name="Date" dataDxfId="120"/>
    <tableColumn id="2" name="PMI" dataDxfId="119">
      <calculatedColumnFormula>IF(VLOOKUP(A6,'DB Country PMI'!$A:$AZ,MATCH($A$1,'DB Country PMI'!$A$1:$AZ$1,),)=0,#N/A,VLOOKUP(A6,'DB Country PMI'!$A:$AZ,MATCH($A$1,'DB Country PMI'!$A$1:$AZ$1,),))</calculatedColumnFormula>
    </tableColumn>
    <tableColumn id="3" name="mom" dataDxfId="118">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id="19" name="Table1346811121415161718192022253033" displayName="Table1346811121415161718192022253033" ref="A5:C151" headerRowCount="1" totalsRowShown="0" headerRowDxfId="117" dataDxfId="115" headerRowBorderDxfId="116" tableBorderDxfId="114" totalsRowBorderDxfId="113">
  <autoFilter ref="A5:C151"/>
  <tableColumns count="3">
    <tableColumn id="1" name="Date" dataDxfId="112"/>
    <tableColumn id="2" name="PMI" dataDxfId="111">
      <calculatedColumnFormula>IF(VLOOKUP(A6,'DB Country PMI'!$A:$AZ,MATCH($A$1,'DB Country PMI'!$A$1:$AZ$1,),)=0,#N/A,VLOOKUP(A6,'DB Country PMI'!$A:$AZ,MATCH($A$1,'DB Country PMI'!$A$1:$AZ$1,),))</calculatedColumnFormula>
    </tableColumn>
    <tableColumn id="3" name="mom" dataDxfId="110">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id="20" name="Table134681112141516171819" displayName="Table134681112141516171819" ref="A5:C151" headerRowCount="1" totalsRowShown="0" headerRowDxfId="109" dataDxfId="107" headerRowBorderDxfId="108" tableBorderDxfId="106" totalsRowBorderDxfId="105">
  <autoFilter ref="A5:C151"/>
  <tableColumns count="3">
    <tableColumn id="1" name="Date" dataDxfId="104"/>
    <tableColumn id="2" name="PMI" dataDxfId="103">
      <calculatedColumnFormula>IF(VLOOKUP(A6,'DB Country PMI'!$A:$AZ,MATCH($A$1,'DB Country PMI'!$A$1:$AZ$1,),)=0,#N/A,VLOOKUP(A6,'DB Country PMI'!$A:$AZ,MATCH($A$1,'DB Country PMI'!$A$1:$AZ$1,),))</calculatedColumnFormula>
    </tableColumn>
    <tableColumn id="3" name="mom" dataDxfId="102">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id="21" name="Table13468111214151617181920" displayName="Table13468111214151617181920" ref="A5:C151" headerRowCount="1" totalsRowShown="0" headerRowDxfId="101" dataDxfId="99" headerRowBorderDxfId="100" tableBorderDxfId="98" totalsRowBorderDxfId="97">
  <autoFilter ref="A5:C151"/>
  <tableColumns count="3">
    <tableColumn id="1" name="Date" dataDxfId="96"/>
    <tableColumn id="2" name="PMI" dataDxfId="95">
      <calculatedColumnFormula>IF(VLOOKUP(A6,'DB Country PMI'!$A:$AZ,MATCH($A$1,'DB Country PMI'!$A$1:$AZ$1,),)=0,#N/A,VLOOKUP(A6,'DB Country PMI'!$A:$AZ,MATCH($A$1,'DB Country PMI'!$A$1:$AZ$1,),))</calculatedColumnFormula>
    </tableColumn>
    <tableColumn id="3" name="mom" dataDxfId="94">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id="22" name="Table134681112141516171819202225303334" displayName="Table134681112141516171819202225303334" ref="A5:C151" headerRowCount="1" totalsRowShown="0" headerRowDxfId="93" dataDxfId="91" headerRowBorderDxfId="92" tableBorderDxfId="90" totalsRowBorderDxfId="89">
  <autoFilter ref="A5:C151"/>
  <tableColumns count="3">
    <tableColumn id="1" name="Date" dataDxfId="88"/>
    <tableColumn id="2" name="PMI" dataDxfId="87">
      <calculatedColumnFormula>IF(VLOOKUP(A6,'DB Country PMI'!$A:$AZ,MATCH($A$1,'DB Country PMI'!$A$1:$AZ$1,),)=0,#N/A,VLOOKUP(A6,'DB Country PMI'!$A:$AZ,MATCH($A$1,'DB Country PMI'!$A$1:$AZ$1,),))</calculatedColumnFormula>
    </tableColumn>
    <tableColumn id="3" name="mom" dataDxfId="86">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id="23" name="Table13468111214151617181920222530333435" displayName="Table13468111214151617181920222530333435" ref="A5:C151" headerRowCount="1" totalsRowShown="0" headerRowDxfId="85" dataDxfId="83" headerRowBorderDxfId="84" tableBorderDxfId="82" totalsRowBorderDxfId="81">
  <autoFilter ref="A5:C151"/>
  <tableColumns count="3">
    <tableColumn id="1" name="Date" dataDxfId="80"/>
    <tableColumn id="2" name="PMI" dataDxfId="79">
      <calculatedColumnFormula>IF(VLOOKUP(A6,'DB Country PMI'!$A:$AZ,MATCH($A$1,'DB Country PMI'!$A$1:$AZ$1,),)=0,#N/A,VLOOKUP(A6,'DB Country PMI'!$A:$AZ,MATCH($A$1,'DB Country PMI'!$A$1:$AZ$1,),))</calculatedColumnFormula>
    </tableColumn>
    <tableColumn id="3" name="mom" dataDxfId="78">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id="24" name="Table1346811121415161718192022253033343536" displayName="Table1346811121415161718192022253033343536" ref="A5:C151" headerRowCount="1" totalsRowShown="0" headerRowDxfId="77" dataDxfId="75" headerRowBorderDxfId="76" tableBorderDxfId="74" totalsRowBorderDxfId="73">
  <autoFilter ref="A5:C151"/>
  <tableColumns count="3">
    <tableColumn id="1" name="Date" dataDxfId="72"/>
    <tableColumn id="2" name="PMI" dataDxfId="71">
      <calculatedColumnFormula>IF(VLOOKUP(A6,'DB Country PMI'!$A:$AZ,MATCH($A$1,'DB Country PMI'!$A$1:$AZ$1,),)=0,#N/A,VLOOKUP(A6,'DB Country PMI'!$A:$AZ,MATCH($A$1,'DB Country PMI'!$A$1:$AZ$1,),))</calculatedColumnFormula>
    </tableColumn>
    <tableColumn id="3" name="mom" dataDxfId="70">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id="25" name="Table13" displayName="Table13" ref="A5:C352" headerRowCount="1" totalsRowShown="0" headerRowDxfId="69" dataDxfId="67" headerRowBorderDxfId="68" tableBorderDxfId="66" totalsRowBorderDxfId="65">
  <autoFilter ref="A5:C352"/>
  <tableColumns count="3">
    <tableColumn id="1" name="Date" dataDxfId="64"/>
    <tableColumn id="2" name="PMI" dataDxfId="63">
      <calculatedColumnFormula>IF(VLOOKUP(A6,'DB Country PMI'!$A:$AZ,MATCH($A$1,'DB Country PMI'!$A$1:$AZ$1,),)=0,#N/A,VLOOKUP(A6,'DB Country PMI'!$A:$AZ,MATCH($A$1,'DB Country PMI'!$A$1:$AZ$1,),))</calculatedColumnFormula>
    </tableColumn>
    <tableColumn id="3" name="mom" dataDxfId="62">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id="26" name="Table134" displayName="Table134" ref="A5:C130" headerRowCount="1" totalsRowShown="0" headerRowDxfId="61" dataDxfId="59" headerRowBorderDxfId="60" tableBorderDxfId="58" totalsRowBorderDxfId="57">
  <autoFilter ref="A5:C130"/>
  <tableColumns count="3">
    <tableColumn id="1" name="Date" dataDxfId="56"/>
    <tableColumn id="2" name="PMI" dataDxfId="55">
      <calculatedColumnFormula>IF(VLOOKUP(A6,'DB Country PMI'!$A:$AZ,MATCH($A$1,'DB Country PMI'!$A$1:$AZ$1,),)=0,#N/A,VLOOKUP(A6,'DB Country PMI'!$A:$AZ,MATCH($A$1,'DB Country PMI'!$A$1:$AZ$1,),))</calculatedColumnFormula>
    </tableColumn>
    <tableColumn id="3" name="mom" dataDxfId="54">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id="27" name="Table1345" displayName="Table1345" ref="A5:C82" headerRowCount="1" totalsRowShown="0" headerRowDxfId="53" dataDxfId="51" headerRowBorderDxfId="52" tableBorderDxfId="50" totalsRowBorderDxfId="49">
  <autoFilter ref="A5:C82"/>
  <tableColumns count="3">
    <tableColumn id="1" name="Date" dataDxfId="48"/>
    <tableColumn id="2" name="PMI" dataDxfId="47">
      <calculatedColumnFormula>IF(VLOOKUP(A6,'DB Country PMI'!$A:$AZ,MATCH($A$1,'DB Country PMI'!$A$1:$AZ$1,),)=0,#N/A,VLOOKUP(A6,'DB Country PMI'!$A:$AZ,MATCH($A$1,'DB Country PMI'!$A$1:$AZ$1,),))</calculatedColumnFormula>
    </tableColumn>
    <tableColumn id="3" name="mom" dataDxfId="46">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28" name="Table1346" displayName="Table1346" ref="A5:C280" headerRowCount="1" totalsRowShown="0" headerRowDxfId="45" dataDxfId="43" headerRowBorderDxfId="44" tableBorderDxfId="42" totalsRowBorderDxfId="41">
  <autoFilter ref="A5:C280"/>
  <tableColumns count="3">
    <tableColumn id="1" name="Date" dataDxfId="40"/>
    <tableColumn id="2" name="PMI" dataDxfId="39">
      <calculatedColumnFormula>IF(VLOOKUP(A6,'DB Country PMI'!$A:$AZ,MATCH($A$1,'DB Country PMI'!$A$1:$AZ$1,),)=0,#N/A,VLOOKUP(A6,'DB Country PMI'!$A:$AZ,MATCH($A$1,'DB Country PMI'!$A$1:$AZ$1,),))</calculatedColumnFormula>
    </tableColumn>
    <tableColumn id="3" name="mom" dataDxfId="38">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29" name="Table13467" displayName="Table13467" ref="A5:C130" headerRowCount="1" totalsRowShown="0" headerRowDxfId="37" dataDxfId="35" headerRowBorderDxfId="36" tableBorderDxfId="34" totalsRowBorderDxfId="33">
  <autoFilter ref="A5:C130"/>
  <tableColumns count="3">
    <tableColumn id="1" name="Date" dataDxfId="32"/>
    <tableColumn id="2" name="PMI" dataDxfId="31">
      <calculatedColumnFormula>IF(VLOOKUP(A6,'DB Country PMI'!$A:$AZ,MATCH($A$1,'DB Country PMI'!$A$1:$AZ$1,),)=0,#N/A,VLOOKUP(A6,'DB Country PMI'!$A:$AZ,MATCH($A$1,'DB Country PMI'!$A$1:$AZ$1,),))</calculatedColumnFormula>
    </tableColumn>
    <tableColumn id="3" name="mom" dataDxfId="30">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id="30" name="Table134689" displayName="Table134689" ref="A5:C96" headerRowCount="1" totalsRowShown="0" headerRowDxfId="29" dataDxfId="27" headerRowBorderDxfId="28" tableBorderDxfId="26" totalsRowBorderDxfId="25">
  <autoFilter ref="A5:C96"/>
  <tableColumns count="3">
    <tableColumn id="1" name="Date" dataDxfId="24"/>
    <tableColumn id="2" name="PMI" dataDxfId="23">
      <calculatedColumnFormula>IF(VLOOKUP(A6,'DB Country PMI'!$A:$AZ,MATCH($A$1,'DB Country PMI'!$A$1:$AZ$1,),)=0,#N/A,VLOOKUP(A6,'DB Country PMI'!$A:$AZ,MATCH($A$1,'DB Country PMI'!$A$1:$AZ$1,),))</calculatedColumnFormula>
    </tableColumn>
    <tableColumn id="3" name="mom" dataDxfId="22">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31" name="Table1346811121415161718192022253032" displayName="Table1346811121415161718192022253032" ref="A5:C248" headerRowCount="1" totalsRowShown="0" headerRowDxfId="21" dataDxfId="19" headerRowBorderDxfId="20" tableBorderDxfId="18" totalsRowBorderDxfId="17">
  <autoFilter ref="A5:C248"/>
  <tableColumns count="3">
    <tableColumn id="1" name="Date" dataDxfId="16"/>
    <tableColumn id="2" name="PMI" dataDxfId="15">
      <calculatedColumnFormula>IF(VLOOKUP(A6,'DB Country PMI'!$A:$AZ,MATCH($A$1,'DB Country PMI'!$A$1:$AZ$1,),)=0,#N/A,VLOOKUP(A6,'DB Country PMI'!$A:$AZ,MATCH($A$1,'DB Country PMI'!$A$1:$AZ$1,),))</calculatedColumnFormula>
    </tableColumn>
    <tableColumn id="3" name="mom" dataDxfId="14">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markiteconomics.com/Public/Release/PressReleases?language=en" TargetMode="External" Id="rId1"/></Relationships>
</file>

<file path=xl/worksheets/_rels/sheet7.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8.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9.xml.rels><Relationships xmlns="http://schemas.openxmlformats.org/package/2006/relationships"><Relationship Type="http://schemas.openxmlformats.org/officeDocument/2006/relationships/hyperlink" Target="https://tradingeconomics.com/china/business-confidence" TargetMode="External" Id="rId1"/><Relationship Type="http://schemas.openxmlformats.org/officeDocument/2006/relationships/drawing" Target="/xl/drawings/drawing3.xml" Id="rId2"/><Relationship Type="http://schemas.openxmlformats.org/officeDocument/2006/relationships/table" Target="/xl/tables/table3.xml" Id="rId3"/></Relationships>
</file>

<file path=xl/worksheets/_rels/sheet10.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_rels/sheet11.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5.xml" Id="rId2"/></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6.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7.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8.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9.xml" Id="rId2"/></Relationships>
</file>

<file path=xl/worksheets/_rels/sheet16.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10.xml" Id="rId2"/></Relationships>
</file>

<file path=xl/worksheets/_rels/sheet17.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1.xml" Id="rId2"/></Relationships>
</file>

<file path=xl/worksheets/_rels/sheet18.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2.xml" Id="rId2"/></Relationships>
</file>

<file path=xl/worksheets/_rels/sheet19.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3.xml" Id="rId2"/></Relationships>
</file>

<file path=xl/worksheets/_rels/sheet20.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4.xml" Id="rId2"/></Relationships>
</file>

<file path=xl/worksheets/_rels/sheet21.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5.xml" Id="rId2"/></Relationships>
</file>

<file path=xl/worksheets/_rels/sheet22.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6.xml" Id="rId2"/></Relationships>
</file>

<file path=xl/worksheets/_rels/sheet23.xml.rels><Relationships xmlns="http://schemas.openxmlformats.org/package/2006/relationships"><Relationship Type="http://schemas.openxmlformats.org/officeDocument/2006/relationships/drawing" Target="/xl/drawings/drawing17.xml" Id="rId1"/><Relationship Type="http://schemas.openxmlformats.org/officeDocument/2006/relationships/table" Target="/xl/tables/table17.xml" Id="rId2"/></Relationships>
</file>

<file path=xl/worksheets/_rels/sheet24.xml.rels><Relationships xmlns="http://schemas.openxmlformats.org/package/2006/relationships"><Relationship Type="http://schemas.openxmlformats.org/officeDocument/2006/relationships/drawing" Target="/xl/drawings/drawing18.xml" Id="rId1"/><Relationship Type="http://schemas.openxmlformats.org/officeDocument/2006/relationships/table" Target="/xl/tables/table18.xml" Id="rId2"/></Relationships>
</file>

<file path=xl/worksheets/_rels/sheet25.xml.rels><Relationships xmlns="http://schemas.openxmlformats.org/package/2006/relationships"><Relationship Type="http://schemas.openxmlformats.org/officeDocument/2006/relationships/drawing" Target="/xl/drawings/drawing19.xml" Id="rId1"/><Relationship Type="http://schemas.openxmlformats.org/officeDocument/2006/relationships/table" Target="/xl/tables/table19.xml" Id="rId2"/></Relationships>
</file>

<file path=xl/worksheets/_rels/sheet26.xml.rels><Relationships xmlns="http://schemas.openxmlformats.org/package/2006/relationships"><Relationship Type="http://schemas.openxmlformats.org/officeDocument/2006/relationships/drawing" Target="/xl/drawings/drawing20.xml" Id="rId1"/><Relationship Type="http://schemas.openxmlformats.org/officeDocument/2006/relationships/table" Target="/xl/tables/table20.xml" Id="rId2"/></Relationships>
</file>

<file path=xl/worksheets/_rels/sheet27.xml.rels><Relationships xmlns="http://schemas.openxmlformats.org/package/2006/relationships"><Relationship Type="http://schemas.openxmlformats.org/officeDocument/2006/relationships/drawing" Target="/xl/drawings/drawing21.xml" Id="rId1"/><Relationship Type="http://schemas.openxmlformats.org/officeDocument/2006/relationships/table" Target="/xl/tables/table21.xml" Id="rId2"/></Relationships>
</file>

<file path=xl/worksheets/_rels/sheet28.xml.rels><Relationships xmlns="http://schemas.openxmlformats.org/package/2006/relationships"><Relationship Type="http://schemas.openxmlformats.org/officeDocument/2006/relationships/drawing" Target="/xl/drawings/drawing22.xml" Id="rId1"/><Relationship Type="http://schemas.openxmlformats.org/officeDocument/2006/relationships/table" Target="/xl/tables/table22.xml" Id="rId2"/></Relationships>
</file>

<file path=xl/worksheets/_rels/sheet29.xml.rels><Relationships xmlns="http://schemas.openxmlformats.org/package/2006/relationships"><Relationship Type="http://schemas.openxmlformats.org/officeDocument/2006/relationships/drawing" Target="/xl/drawings/drawing23.xml" Id="rId1"/><Relationship Type="http://schemas.openxmlformats.org/officeDocument/2006/relationships/table" Target="/xl/tables/table23.xml" Id="rId2"/></Relationships>
</file>

<file path=xl/worksheets/_rels/sheet30.xml.rels><Relationships xmlns="http://schemas.openxmlformats.org/package/2006/relationships"><Relationship Type="http://schemas.openxmlformats.org/officeDocument/2006/relationships/drawing" Target="/xl/drawings/drawing24.xml" Id="rId1"/><Relationship Type="http://schemas.openxmlformats.org/officeDocument/2006/relationships/table" Target="/xl/tables/table24.xml" Id="rId2"/></Relationships>
</file>

<file path=xl/worksheets/_rels/sheet31.xml.rels><Relationships xmlns="http://schemas.openxmlformats.org/package/2006/relationships"><Relationship Type="http://schemas.openxmlformats.org/officeDocument/2006/relationships/drawing" Target="/xl/drawings/drawing25.xml" Id="rId1"/><Relationship Type="http://schemas.openxmlformats.org/officeDocument/2006/relationships/table" Target="/xl/tables/table25.xml" Id="rId2"/></Relationships>
</file>

<file path=xl/worksheets/_rels/sheet32.xml.rels><Relationships xmlns="http://schemas.openxmlformats.org/package/2006/relationships"><Relationship Type="http://schemas.openxmlformats.org/officeDocument/2006/relationships/drawing" Target="/xl/drawings/drawing26.xml" Id="rId1"/><Relationship Type="http://schemas.openxmlformats.org/officeDocument/2006/relationships/table" Target="/xl/tables/table26.xml" Id="rId2"/></Relationships>
</file>

<file path=xl/worksheets/_rels/sheet33.xml.rels><Relationships xmlns="http://schemas.openxmlformats.org/package/2006/relationships"><Relationship Type="http://schemas.openxmlformats.org/officeDocument/2006/relationships/drawing" Target="/xl/drawings/drawing27.xml" Id="rId1"/><Relationship Type="http://schemas.openxmlformats.org/officeDocument/2006/relationships/table" Target="/xl/tables/table27.xml" Id="rId2"/></Relationships>
</file>

<file path=xl/worksheets/_rels/sheet34.xml.rels><Relationships xmlns="http://schemas.openxmlformats.org/package/2006/relationships"><Relationship Type="http://schemas.openxmlformats.org/officeDocument/2006/relationships/drawing" Target="/xl/drawings/drawing28.xml" Id="rId1"/><Relationship Type="http://schemas.openxmlformats.org/officeDocument/2006/relationships/table" Target="/xl/tables/table28.xml" Id="rId2"/></Relationships>
</file>

<file path=xl/worksheets/_rels/sheet35.xml.rels><Relationships xmlns="http://schemas.openxmlformats.org/package/2006/relationships"><Relationship Type="http://schemas.openxmlformats.org/officeDocument/2006/relationships/drawing" Target="/xl/drawings/drawing29.xml" Id="rId1"/><Relationship Type="http://schemas.openxmlformats.org/officeDocument/2006/relationships/table" Target="/xl/tables/table29.xml" Id="rId2"/></Relationships>
</file>

<file path=xl/worksheets/_rels/sheet36.xml.rels><Relationships xmlns="http://schemas.openxmlformats.org/package/2006/relationships"><Relationship Type="http://schemas.openxmlformats.org/officeDocument/2006/relationships/drawing" Target="/xl/drawings/drawing30.xml" Id="rId1"/><Relationship Type="http://schemas.openxmlformats.org/officeDocument/2006/relationships/table" Target="/xl/tables/table30.xml" Id="rId2"/></Relationships>
</file>

<file path=xl/worksheets/_rels/sheet37.xml.rels><Relationships xmlns="http://schemas.openxmlformats.org/package/2006/relationships"><Relationship Type="http://schemas.openxmlformats.org/officeDocument/2006/relationships/drawing" Target="/xl/drawings/drawing31.xml" Id="rId1"/><Relationship Type="http://schemas.openxmlformats.org/officeDocument/2006/relationships/table" Target="/xl/tables/table31.xml" Id="rId2"/></Relationships>
</file>

<file path=xl/worksheets/sheet1.xml><?xml version="1.0" encoding="utf-8"?>
<worksheet xmlns="http://schemas.openxmlformats.org/spreadsheetml/2006/main">
  <sheetPr>
    <tabColor rgb="FFFFFF00"/>
    <outlinePr summaryBelow="1" summaryRight="1"/>
    <pageSetUpPr/>
  </sheetPr>
  <dimension ref="B1:S46"/>
  <sheetViews>
    <sheetView tabSelected="1" topLeftCell="A7" zoomScale="140" zoomScaleNormal="140" workbookViewId="0">
      <selection activeCell="Y8" sqref="Y8"/>
    </sheetView>
  </sheetViews>
  <sheetFormatPr baseColWidth="8" defaultColWidth="9.1796875" defaultRowHeight="14.5"/>
  <cols>
    <col width="4" customWidth="1" style="69" min="1" max="1"/>
    <col width="12.81640625" customWidth="1" style="69" min="2" max="5"/>
    <col width="13.6328125" customWidth="1" style="69" min="6" max="6"/>
    <col width="12.81640625" customWidth="1" style="69" min="7" max="10"/>
    <col width="2" customWidth="1" style="69" min="11" max="13"/>
    <col width="9.1796875" customWidth="1" style="69" min="14" max="14"/>
    <col width="15.453125" customWidth="1" style="69" min="15" max="15"/>
    <col width="12.6328125" customWidth="1" style="69" min="16" max="18"/>
    <col width="11.6328125" customWidth="1" style="69" min="19" max="19"/>
    <col width="9.1796875" customWidth="1" style="69" min="20" max="68"/>
    <col width="9.1796875" customWidth="1" style="69" min="69" max="16384"/>
  </cols>
  <sheetData>
    <row r="1">
      <c r="B1" s="73" t="n"/>
    </row>
    <row r="2" ht="16" customHeight="1" thickBot="1">
      <c r="B2" s="74" t="n"/>
      <c r="C2" s="74" t="n"/>
      <c r="D2" s="74" t="n"/>
      <c r="E2" s="74" t="n"/>
      <c r="F2" s="74" t="n"/>
      <c r="G2" s="74" t="n"/>
      <c r="H2" s="74" t="n"/>
      <c r="I2" s="74" t="n"/>
      <c r="J2" s="74" t="n"/>
    </row>
    <row r="3" ht="16" customHeight="1" thickBot="1">
      <c r="B3" s="75" t="inlineStr">
        <is>
          <t>PMI Manufacturing</t>
        </is>
      </c>
      <c r="C3" s="71" t="n"/>
      <c r="D3" s="71" t="n"/>
      <c r="E3" s="71" t="n"/>
      <c r="F3" s="71" t="n"/>
      <c r="G3" s="71" t="n"/>
      <c r="H3" s="71" t="n"/>
      <c r="I3" s="71" t="n"/>
      <c r="J3" s="72" t="n"/>
    </row>
    <row r="5">
      <c r="B5" s="66" t="inlineStr">
        <is>
          <t>Definition</t>
        </is>
      </c>
      <c r="C5" s="76" t="n"/>
      <c r="D5" s="76" t="n"/>
      <c r="E5" s="76" t="n"/>
      <c r="F5" s="76" t="n"/>
      <c r="G5" s="76" t="n"/>
      <c r="H5" s="76" t="n"/>
      <c r="I5" s="76" t="n"/>
      <c r="J5" s="67" t="n"/>
    </row>
    <row r="7" ht="225.75" customHeight="1">
      <c r="B7" s="77"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c r="B8" s="1" t="n"/>
      <c r="C8" s="68" t="n"/>
      <c r="D8" s="68" t="n"/>
      <c r="E8" s="68" t="n"/>
      <c r="F8" s="68" t="n"/>
      <c r="G8" s="68" t="n"/>
      <c r="H8" s="68" t="n"/>
      <c r="I8" s="68" t="n"/>
      <c r="J8" s="68" t="n"/>
    </row>
    <row r="9" ht="16" customHeight="1" thickBot="1">
      <c r="B9" s="2" t="n"/>
      <c r="C9" s="3" t="n"/>
      <c r="D9" s="3" t="n"/>
      <c r="E9" s="3" t="n"/>
    </row>
    <row r="10" ht="16" customHeight="1" thickBot="1">
      <c r="B10" s="66" t="inlineStr">
        <is>
          <t>Process / TO DO LIST</t>
        </is>
      </c>
      <c r="C10" s="76" t="n"/>
      <c r="D10" s="76" t="n"/>
      <c r="E10" s="76" t="n"/>
      <c r="F10" s="76" t="n"/>
      <c r="G10" s="76" t="n"/>
      <c r="H10" s="76" t="n"/>
      <c r="I10" s="76" t="n"/>
      <c r="J10" s="67" t="n"/>
      <c r="N10" s="70" t="inlineStr">
        <is>
          <t>Summary</t>
        </is>
      </c>
      <c r="O10" s="71" t="n"/>
      <c r="P10" s="71" t="n"/>
      <c r="Q10" s="71" t="n"/>
      <c r="R10" s="71" t="n"/>
      <c r="S10" s="72" t="n"/>
    </row>
    <row r="11">
      <c r="N11" s="4" t="inlineStr">
        <is>
          <t>* input new month</t>
        </is>
      </c>
    </row>
    <row r="12" ht="16" customHeight="1" thickBot="1">
      <c r="B12" s="66" t="inlineStr">
        <is>
          <t>TO DO LIST</t>
        </is>
      </c>
      <c r="C12" s="76" t="n"/>
      <c r="D12" s="76" t="n"/>
      <c r="E12" s="76" t="n"/>
      <c r="F12" s="67" t="n"/>
      <c r="G12" s="66" t="inlineStr">
        <is>
          <t>Comments</t>
        </is>
      </c>
      <c r="H12" s="76" t="n"/>
      <c r="I12" s="76" t="n"/>
      <c r="J12" s="67" t="n"/>
    </row>
    <row r="13">
      <c r="P13" s="5" t="n">
        <v>44866</v>
      </c>
      <c r="Q13" s="6">
        <f>DATE(YEAR(P13),MONTH(P13)-1,DAY(P13))</f>
        <v/>
      </c>
      <c r="R13" s="7" t="n"/>
      <c r="S13" s="59" t="inlineStr">
        <is>
          <t>%</t>
        </is>
      </c>
    </row>
    <row r="14" ht="16" customHeight="1" thickBot="1">
      <c r="B14" s="69" t="inlineStr">
        <is>
          <t>https://www.markiteconomics.com/Public/Release/PressReleases?language=en</t>
        </is>
      </c>
      <c r="G14" s="69" t="inlineStr">
        <is>
          <t>Global PMI Calendar. Update Global Index Number in Tab</t>
        </is>
      </c>
      <c r="O14" s="69" t="inlineStr">
        <is>
          <t>Country</t>
        </is>
      </c>
      <c r="P14" s="8" t="inlineStr">
        <is>
          <t>ISM</t>
        </is>
      </c>
      <c r="Q14" s="8" t="inlineStr">
        <is>
          <t>ISM</t>
        </is>
      </c>
      <c r="R14" s="9" t="inlineStr">
        <is>
          <t>Change %</t>
        </is>
      </c>
      <c r="S14" s="60" t="inlineStr">
        <is>
          <t>World GDP</t>
        </is>
      </c>
    </row>
    <row r="15" ht="30.75" customHeight="1">
      <c r="G15" s="68" t="inlineStr">
        <is>
          <t>JPMorgan Global Manufacturing PMI</t>
        </is>
      </c>
      <c r="N15" s="66" t="inlineStr">
        <is>
          <t>Global</t>
        </is>
      </c>
      <c r="O15" s="67" t="n"/>
      <c r="P15" s="24">
        <f>VLOOKUP($P$13,Summary!$B:$AB,MATCH(Note!N15,Summary!$B$2:$AB$2,),)</f>
        <v/>
      </c>
      <c r="Q15" s="24">
        <f>VLOOKUP($Q$13,Summary!$B:$AB,MATCH(Note!N15,Summary!$B$2:$AB$2,),)</f>
        <v/>
      </c>
      <c r="R15" s="56">
        <f>P15-Q15</f>
        <v/>
      </c>
      <c r="S15" s="58" t="n"/>
    </row>
    <row r="16">
      <c r="B16" s="68" t="inlineStr">
        <is>
          <t>https://tradingeconomics.com/country-list/manufacturing-pmi</t>
        </is>
      </c>
      <c r="G16" s="69" t="inlineStr">
        <is>
          <t>Database</t>
        </is>
      </c>
      <c r="N16" s="66" t="inlineStr">
        <is>
          <t>US</t>
        </is>
      </c>
      <c r="O16" s="67" t="n"/>
      <c r="P16" s="24">
        <f>VLOOKUP($P$13,Summary!$B:$AB,MATCH(Note!N16,Summary!$B$2:$AB$2,),)</f>
        <v/>
      </c>
      <c r="Q16" s="24">
        <f>VLOOKUP($Q$13,Summary!$B:$AB,MATCH(Note!N16,Summary!$B$2:$AB$2,),)</f>
        <v/>
      </c>
      <c r="R16" s="56">
        <f>P16-Q16</f>
        <v/>
      </c>
      <c r="S16" s="57" t="n">
        <v>0.241</v>
      </c>
    </row>
    <row r="17">
      <c r="B17" s="69" t="n"/>
      <c r="G17" s="69" t="inlineStr">
        <is>
          <t>Update each month for each country</t>
        </is>
      </c>
      <c r="N17" s="66" t="inlineStr">
        <is>
          <t xml:space="preserve">China </t>
        </is>
      </c>
      <c r="O17" s="67" t="n"/>
      <c r="P17" s="24">
        <f>VLOOKUP($P$13,Summary!$B:$AB,MATCH(Note!N17,Summary!$B$2:$AB$2,),)</f>
        <v/>
      </c>
      <c r="Q17" s="24">
        <f>VLOOKUP($Q$13,Summary!$B:$AB,MATCH(Note!N17,Summary!$B$2:$AB$2,),)</f>
        <v/>
      </c>
      <c r="R17" s="56">
        <f>P17-Q17</f>
        <v/>
      </c>
      <c r="S17" s="57" t="n">
        <v>0.152</v>
      </c>
    </row>
    <row r="18">
      <c r="B18" s="69" t="n"/>
      <c r="N18" s="66" t="inlineStr">
        <is>
          <t>Eurozone</t>
        </is>
      </c>
      <c r="O18" s="67" t="n"/>
      <c r="P18" s="24">
        <f>VLOOKUP($P$13,Summary!$B:$AB,MATCH(Note!N18,Summary!$B$2:$AB$2,),)</f>
        <v/>
      </c>
      <c r="Q18" s="24">
        <f>VLOOKUP($Q$13,Summary!$B:$AB,MATCH(Note!N18,Summary!$B$2:$AB$2,),)</f>
        <v/>
      </c>
      <c r="R18" s="56">
        <f>P18-Q18</f>
        <v/>
      </c>
      <c r="S18" s="57" t="n">
        <v>0.156</v>
      </c>
    </row>
    <row r="19">
      <c r="N19" s="66" t="inlineStr">
        <is>
          <t xml:space="preserve">Japan </t>
        </is>
      </c>
      <c r="O19" s="67" t="n"/>
      <c r="P19" s="24">
        <f>VLOOKUP($P$13,Summary!$B:$AB,MATCH(Note!N19,Summary!$B$2:$AB$2,),)</f>
        <v/>
      </c>
      <c r="Q19" s="24">
        <f>VLOOKUP($Q$13,Summary!$B:$AB,MATCH(Note!N19,Summary!$B$2:$AB$2,),)</f>
        <v/>
      </c>
      <c r="R19" s="56">
        <f>P19-Q19</f>
        <v/>
      </c>
      <c r="S19" s="57" t="n">
        <v>0.06</v>
      </c>
    </row>
    <row r="20">
      <c r="B20" s="69" t="n"/>
      <c r="G20" s="69" t="n"/>
      <c r="N20" s="66" t="inlineStr">
        <is>
          <t>Germany</t>
        </is>
      </c>
      <c r="O20" s="67" t="n"/>
      <c r="P20" s="24">
        <f>VLOOKUP($P$13,Summary!$B:$AB,MATCH(Note!N20,Summary!$B$2:$AB$2,),)</f>
        <v/>
      </c>
      <c r="Q20" s="24">
        <f>VLOOKUP($Q$13,Summary!$B:$AB,MATCH(Note!N20,Summary!$B$2:$AB$2,),)</f>
        <v/>
      </c>
      <c r="R20" s="56">
        <f>P20-Q20</f>
        <v/>
      </c>
      <c r="S20" s="57" t="n">
        <v>0.04564243244249699</v>
      </c>
    </row>
    <row r="21">
      <c r="B21" s="69" t="n"/>
      <c r="G21" s="69" t="n"/>
      <c r="N21" s="66" t="inlineStr">
        <is>
          <t>France</t>
        </is>
      </c>
      <c r="O21" s="67" t="n"/>
      <c r="P21" s="24">
        <f>VLOOKUP($P$13,Summary!$B:$AB,MATCH(Note!N21,Summary!$B$2:$AB$2,),)</f>
        <v/>
      </c>
      <c r="Q21" s="24">
        <f>VLOOKUP($Q$13,Summary!$B:$AB,MATCH(Note!N21,Summary!$B$2:$AB$2,),)</f>
        <v/>
      </c>
      <c r="R21" s="56">
        <f>P21-Q21</f>
        <v/>
      </c>
      <c r="S21" s="57" t="n">
        <v>0.03206266059259443</v>
      </c>
    </row>
    <row r="22">
      <c r="B22" s="69" t="n"/>
      <c r="G22" s="69" t="n"/>
      <c r="N22" s="66" t="inlineStr">
        <is>
          <t>UK</t>
        </is>
      </c>
      <c r="O22" s="67" t="n"/>
      <c r="P22" s="24">
        <f>VLOOKUP($P$13,Summary!$B:$AB,MATCH(Note!N22,Summary!$B$2:$AB$2,),)</f>
        <v/>
      </c>
      <c r="Q22" s="24">
        <f>VLOOKUP($Q$13,Summary!$B:$AB,MATCH(Note!N22,Summary!$B$2:$AB$2,),)</f>
        <v/>
      </c>
      <c r="R22" s="56">
        <f>P22-Q22</f>
        <v/>
      </c>
      <c r="S22" s="57" t="n">
        <v>0.033</v>
      </c>
    </row>
    <row r="23">
      <c r="B23" s="69" t="n"/>
      <c r="N23" s="66" t="inlineStr">
        <is>
          <t xml:space="preserve">Italy </t>
        </is>
      </c>
      <c r="O23" s="67" t="n"/>
      <c r="P23" s="24">
        <f>VLOOKUP($P$13,Summary!$B:$AB,MATCH(Note!N23,Summary!$B$2:$AB$2,),)</f>
        <v/>
      </c>
      <c r="Q23" s="24">
        <f>VLOOKUP($Q$13,Summary!$B:$AB,MATCH(Note!N23,Summary!$B$2:$AB$2,),)</f>
        <v/>
      </c>
      <c r="R23" s="56">
        <f>P23-Q23</f>
        <v/>
      </c>
      <c r="S23" s="57" t="n">
        <v>0.024</v>
      </c>
    </row>
    <row r="24">
      <c r="B24" s="69" t="n"/>
      <c r="N24" s="66" t="inlineStr">
        <is>
          <t>Spain</t>
        </is>
      </c>
      <c r="O24" s="67" t="n"/>
      <c r="P24" s="24">
        <f>VLOOKUP($P$13,Summary!$B:$AB,MATCH(Note!N24,Summary!$B$2:$AB$2,),)</f>
        <v/>
      </c>
      <c r="Q24" s="24">
        <f>VLOOKUP($Q$13,Summary!$B:$AB,MATCH(Note!N24,Summary!$B$2:$AB$2,),)</f>
        <v/>
      </c>
      <c r="R24" s="56">
        <f>P24-Q24</f>
        <v/>
      </c>
      <c r="S24" s="57" t="n">
        <v>0.01627338290239694</v>
      </c>
    </row>
    <row r="25">
      <c r="N25" s="66" t="inlineStr">
        <is>
          <t>Brazil</t>
        </is>
      </c>
      <c r="O25" s="67" t="n"/>
      <c r="P25" s="24">
        <f>VLOOKUP($P$13,Summary!$B:$AB,MATCH(Note!N25,Summary!$B$2:$AB$2,),)</f>
        <v/>
      </c>
      <c r="Q25" s="24">
        <f>VLOOKUP($Q$13,Summary!$B:$AB,MATCH(Note!N25,Summary!$B$2:$AB$2,),)</f>
        <v/>
      </c>
      <c r="R25" s="56">
        <f>P25-Q25</f>
        <v/>
      </c>
      <c r="S25" s="57" t="n">
        <v>0.02552103375082236</v>
      </c>
    </row>
    <row r="26">
      <c r="N26" s="66" t="inlineStr">
        <is>
          <t>Mexico</t>
        </is>
      </c>
      <c r="O26" s="67" t="n"/>
      <c r="P26" s="24">
        <f>VLOOKUP($P$13,Summary!$B:$AB,MATCH(Note!N26,Summary!$B$2:$AB$2,),)</f>
        <v/>
      </c>
      <c r="Q26" s="24">
        <f>VLOOKUP($Q$13,Summary!$B:$AB,MATCH(Note!N26,Summary!$B$2:$AB$2,),)</f>
        <v/>
      </c>
      <c r="R26" s="56">
        <f>P26-Q26</f>
        <v/>
      </c>
      <c r="S26" s="57" t="n">
        <v>0.0142873102369633</v>
      </c>
    </row>
    <row r="27">
      <c r="N27" s="66" t="inlineStr">
        <is>
          <t>Russia</t>
        </is>
      </c>
      <c r="O27" s="67" t="n"/>
      <c r="P27" s="24">
        <f>VLOOKUP($P$13,Summary!$B:$AB,MATCH(Note!N27,Summary!$B$2:$AB$2,),)</f>
        <v/>
      </c>
      <c r="Q27" s="24">
        <f>VLOOKUP($Q$13,Summary!$B:$AB,MATCH(Note!N27,Summary!$B$2:$AB$2,),)</f>
        <v/>
      </c>
      <c r="R27" s="56">
        <f>P27-Q27</f>
        <v/>
      </c>
      <c r="S27" s="57" t="n">
        <v>0.01958764166283934</v>
      </c>
    </row>
    <row r="28">
      <c r="N28" s="66" t="inlineStr">
        <is>
          <t>India</t>
        </is>
      </c>
      <c r="O28" s="67" t="n"/>
      <c r="P28" s="24">
        <f>VLOOKUP($P$13,Summary!$B:$AB,MATCH(Note!N28,Summary!$B$2:$AB$2,),)</f>
        <v/>
      </c>
      <c r="Q28" s="24">
        <f>VLOOKUP($Q$13,Summary!$B:$AB,MATCH(Note!N28,Summary!$B$2:$AB$2,),)</f>
        <v/>
      </c>
      <c r="R28" s="56">
        <f>P28-Q28</f>
        <v/>
      </c>
      <c r="S28" s="57" t="n">
        <v>0.03228609376745572</v>
      </c>
    </row>
    <row r="29">
      <c r="N29" s="66" t="inlineStr">
        <is>
          <t>Canada</t>
        </is>
      </c>
      <c r="O29" s="67" t="n"/>
      <c r="P29" s="24">
        <f>VLOOKUP($P$13,Summary!$B:$AB,MATCH(Note!N29,Summary!$B$2:$AB$2,),)</f>
        <v/>
      </c>
      <c r="Q29" s="24">
        <f>VLOOKUP($Q$13,Summary!$B:$AB,MATCH(Note!N29,Summary!$B$2:$AB$2,),)</f>
        <v/>
      </c>
      <c r="R29" s="56">
        <f>P29-Q29</f>
        <v/>
      </c>
      <c r="S29" s="57" t="n">
        <v>0.02051861322476136</v>
      </c>
    </row>
    <row r="30">
      <c r="N30" s="66" t="inlineStr">
        <is>
          <t>Australia</t>
        </is>
      </c>
      <c r="O30" s="67" t="n"/>
      <c r="P30" s="24">
        <f>VLOOKUP($P$13,Summary!$B:$AB,MATCH(Note!N30,Summary!$B$2:$AB$2,),)</f>
        <v/>
      </c>
      <c r="Q30" s="24">
        <f>VLOOKUP($Q$13,Summary!$B:$AB,MATCH(Note!N30,Summary!$B$2:$AB$2,),)</f>
        <v/>
      </c>
      <c r="R30" s="56">
        <f>P30-Q30</f>
        <v/>
      </c>
      <c r="S30" s="57" t="n">
        <v>0.01642233835230446</v>
      </c>
    </row>
    <row r="31">
      <c r="N31" s="66" t="inlineStr">
        <is>
          <t>Indonesia</t>
        </is>
      </c>
      <c r="O31" s="67" t="n"/>
      <c r="P31" s="24">
        <f>VLOOKUP($P$13,Summary!$B:$AB,MATCH(Note!N31,Summary!$B$2:$AB$2,),)</f>
        <v/>
      </c>
      <c r="Q31" s="24">
        <f>VLOOKUP($Q$13,Summary!$B:$AB,MATCH(Note!N31,Summary!$B$2:$AB$2,),)</f>
        <v/>
      </c>
      <c r="R31" s="56">
        <f>P31-Q31</f>
        <v/>
      </c>
      <c r="S31" s="57" t="n">
        <v>0.01261156142550366</v>
      </c>
    </row>
    <row r="32">
      <c r="N32" s="66" t="inlineStr">
        <is>
          <t xml:space="preserve">S Korea </t>
        </is>
      </c>
      <c r="O32" s="67" t="n"/>
      <c r="P32" s="24">
        <f>VLOOKUP($P$13,Summary!$B:$AB,MATCH(Note!N32,Summary!$B$2:$AB$2,),)</f>
        <v/>
      </c>
      <c r="Q32" s="24">
        <f>VLOOKUP($Q$13,Summary!$B:$AB,MATCH(Note!N32,Summary!$B$2:$AB$2,),)</f>
        <v/>
      </c>
      <c r="R32" s="56">
        <f>P32-Q32</f>
        <v/>
      </c>
      <c r="S32" s="57" t="n">
        <v>0.019</v>
      </c>
    </row>
    <row r="33">
      <c r="N33" s="66" t="inlineStr">
        <is>
          <t>Taiwan</t>
        </is>
      </c>
      <c r="O33" s="67" t="n"/>
      <c r="P33" s="24">
        <f>VLOOKUP($P$13,Summary!$B:$AB,MATCH(Note!N33,Summary!$B$2:$AB$2,),)</f>
        <v/>
      </c>
      <c r="Q33" s="24">
        <f>VLOOKUP($Q$13,Summary!$B:$AB,MATCH(Note!N33,Summary!$B$2:$AB$2,),)</f>
        <v/>
      </c>
      <c r="R33" s="56">
        <f>P33-Q33</f>
        <v/>
      </c>
      <c r="S33" s="57" t="n">
        <v>0.007112622733084247</v>
      </c>
    </row>
    <row r="34">
      <c r="N34" s="66" t="inlineStr">
        <is>
          <t>Greece</t>
        </is>
      </c>
      <c r="O34" s="67" t="n"/>
      <c r="P34" s="24">
        <f>VLOOKUP($P$13,Summary!$B:$AB,MATCH(Note!N34,Summary!$B$2:$AB$2,),)</f>
        <v/>
      </c>
      <c r="Q34" s="24">
        <f>VLOOKUP($Q$13,Summary!$B:$AB,MATCH(Note!N34,Summary!$B$2:$AB$2,),)</f>
        <v/>
      </c>
      <c r="R34" s="56">
        <f>P34-Q34</f>
        <v/>
      </c>
      <c r="S34" s="57" t="n">
        <v>0.002482590831792058</v>
      </c>
    </row>
    <row r="35">
      <c r="N35" s="66" t="inlineStr">
        <is>
          <t>Ireland</t>
        </is>
      </c>
      <c r="O35" s="67" t="n"/>
      <c r="P35" s="24">
        <f>VLOOKUP($P$13,Summary!$B:$AB,MATCH(Note!N35,Summary!$B$2:$AB$2,),)</f>
        <v/>
      </c>
      <c r="Q35" s="24">
        <f>VLOOKUP($Q$13,Summary!$B:$AB,MATCH(Note!N35,Summary!$B$2:$AB$2,),)</f>
        <v/>
      </c>
      <c r="R35" s="56">
        <f>P35-Q35</f>
        <v/>
      </c>
      <c r="S35" s="57" t="n">
        <v>0.004145926689092737</v>
      </c>
    </row>
    <row r="36">
      <c r="N36" s="66" t="inlineStr">
        <is>
          <t>Turkey</t>
        </is>
      </c>
      <c r="O36" s="67" t="n"/>
      <c r="P36" s="24">
        <f>VLOOKUP($P$13,Summary!$B:$AB,MATCH(Note!N36,Summary!$B$2:$AB$2,),)</f>
        <v/>
      </c>
      <c r="Q36" s="24">
        <f>VLOOKUP($Q$13,Summary!$B:$AB,MATCH(Note!N36,Summary!$B$2:$AB$2,),)</f>
        <v/>
      </c>
      <c r="R36" s="56">
        <f>P36-Q36</f>
        <v/>
      </c>
      <c r="S36" s="57" t="n">
        <v>0.01056342398927521</v>
      </c>
    </row>
    <row r="37">
      <c r="N37" s="66" t="inlineStr">
        <is>
          <t xml:space="preserve">Czech </t>
        </is>
      </c>
      <c r="O37" s="67" t="n"/>
      <c r="P37" s="24">
        <f>VLOOKUP($P$13,Summary!$B:$AB,MATCH(Note!N37,Summary!$B$2:$AB$2,),)</f>
        <v/>
      </c>
      <c r="Q37" s="24">
        <f>VLOOKUP($Q$13,Summary!$B:$AB,MATCH(Note!N37,Summary!$B$2:$AB$2,),)</f>
        <v/>
      </c>
      <c r="R37" s="56">
        <f>P37-Q37</f>
        <v/>
      </c>
      <c r="S37" s="57" t="n">
        <v>0.003</v>
      </c>
    </row>
    <row r="38">
      <c r="N38" s="66" t="inlineStr">
        <is>
          <t>Poland</t>
        </is>
      </c>
      <c r="O38" s="67" t="n"/>
      <c r="P38" s="24">
        <f>VLOOKUP($P$13,Summary!$B:$AB,MATCH(Note!N38,Summary!$B$2:$AB$2,),)</f>
        <v/>
      </c>
      <c r="Q38" s="24">
        <f>VLOOKUP($Q$13,Summary!$B:$AB,MATCH(Note!N38,Summary!$B$2:$AB$2,),)</f>
        <v/>
      </c>
      <c r="R38" s="56">
        <f>P38-Q38</f>
        <v/>
      </c>
      <c r="S38" s="57" t="n">
        <v>0.006516800933454153</v>
      </c>
    </row>
    <row r="39">
      <c r="N39" s="66" t="inlineStr">
        <is>
          <t>Denmark</t>
        </is>
      </c>
      <c r="O39" s="67" t="n"/>
      <c r="P39" s="24">
        <f>VLOOKUP($P$13,Summary!$B:$AB,MATCH(Note!N39,Summary!$B$2:$AB$2,),)</f>
        <v/>
      </c>
      <c r="Q39" s="24">
        <f>VLOOKUP($Q$13,Summary!$B:$AB,MATCH(Note!N39,Summary!$B$2:$AB$2,),)</f>
        <v/>
      </c>
      <c r="R39" s="56">
        <f>P39-Q39</f>
        <v/>
      </c>
      <c r="S39" s="57" t="n">
        <v>0.004034210101662094</v>
      </c>
    </row>
    <row r="41" ht="30" customHeight="1"/>
    <row r="44">
      <c r="B44" s="78" t="n"/>
    </row>
    <row r="45">
      <c r="B45" s="68" t="n"/>
    </row>
    <row r="46">
      <c r="B46" s="79" t="n"/>
    </row>
  </sheetData>
  <mergeCells count="50">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 ref="N19:O19"/>
    <mergeCell ref="B20:F20"/>
    <mergeCell ref="G20:J20"/>
    <mergeCell ref="N20:O20"/>
    <mergeCell ref="B21:F21"/>
    <mergeCell ref="G21:J21"/>
    <mergeCell ref="N21:O21"/>
    <mergeCell ref="B18:F18"/>
    <mergeCell ref="B12:F12"/>
    <mergeCell ref="G12:J12"/>
    <mergeCell ref="B14:F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 ref="N37:O37"/>
    <mergeCell ref="N38:O38"/>
    <mergeCell ref="N39:O39"/>
    <mergeCell ref="B45:S45"/>
    <mergeCell ref="N32:O32"/>
    <mergeCell ref="N33:O33"/>
    <mergeCell ref="N34:O34"/>
    <mergeCell ref="N35:O35"/>
    <mergeCell ref="N36:O36"/>
  </mergeCells>
  <conditionalFormatting sqref="R15:R39">
    <cfRule type="cellIs" priority="7" operator="lessThan" dxfId="0">
      <formula>0</formula>
    </cfRule>
    <cfRule type="cellIs" priority="8" operator="greaterThan" dxfId="12">
      <formula>0</formula>
    </cfRule>
  </conditionalFormatting>
  <conditionalFormatting sqref="S16:S39">
    <cfRule type="dataBar" priority="1">
      <dataBar>
        <cfvo type="min"/>
        <cfvo type="max"/>
        <color rgb="FF638EC6"/>
      </dataBar>
    </cfRule>
  </conditionalFormatting>
  <hyperlinks>
    <hyperlink xmlns:r="http://schemas.openxmlformats.org/officeDocument/2006/relationships" ref="B14"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BA351"/>
  <sheetViews>
    <sheetView zoomScale="160" zoomScaleNormal="160" workbookViewId="0">
      <pane ySplit="1" topLeftCell="A345" activePane="bottomLeft" state="frozen"/>
      <selection activeCell="I319" sqref="I319"/>
      <selection pane="bottomLeft" activeCell="I319" sqref="I319"/>
    </sheetView>
  </sheetViews>
  <sheetFormatPr baseColWidth="8" defaultColWidth="10.81640625" defaultRowHeight="14.5"/>
  <cols>
    <col width="10.81640625" customWidth="1" min="1" max="39"/>
  </cols>
  <sheetData>
    <row r="1">
      <c r="A1" t="inlineStr">
        <is>
          <t>Date</t>
        </is>
      </c>
      <c r="B1" t="inlineStr">
        <is>
          <t>Australia</t>
        </is>
      </c>
      <c r="C1" t="inlineStr">
        <is>
          <t>Austria</t>
        </is>
      </c>
      <c r="D1" t="inlineStr">
        <is>
          <t>Brazil</t>
        </is>
      </c>
      <c r="E1" t="inlineStr">
        <is>
          <t>Canada</t>
        </is>
      </c>
      <c r="F1" t="inlineStr">
        <is>
          <t>China</t>
        </is>
      </c>
      <c r="G1" t="inlineStr">
        <is>
          <t>Colombia</t>
        </is>
      </c>
      <c r="H1" t="inlineStr">
        <is>
          <t>Czech Republic</t>
        </is>
      </c>
      <c r="I1" t="inlineStr">
        <is>
          <t>Denmark</t>
        </is>
      </c>
      <c r="J1" t="inlineStr">
        <is>
          <t>Egypt</t>
        </is>
      </c>
      <c r="K1" t="inlineStr">
        <is>
          <t>Euro Area</t>
        </is>
      </c>
      <c r="L1" t="inlineStr">
        <is>
          <t>France</t>
        </is>
      </c>
      <c r="M1" t="inlineStr">
        <is>
          <t>Germany</t>
        </is>
      </c>
      <c r="N1" t="inlineStr">
        <is>
          <t>Greece</t>
        </is>
      </c>
      <c r="O1" t="inlineStr">
        <is>
          <t>Hong Kong</t>
        </is>
      </c>
      <c r="P1" t="inlineStr">
        <is>
          <t>Hungary</t>
        </is>
      </c>
      <c r="Q1" t="inlineStr">
        <is>
          <t>India</t>
        </is>
      </c>
      <c r="R1" t="inlineStr">
        <is>
          <t>Indonesia</t>
        </is>
      </c>
      <c r="S1" t="inlineStr">
        <is>
          <t>Ireland</t>
        </is>
      </c>
      <c r="T1" t="inlineStr">
        <is>
          <t>Israel</t>
        </is>
      </c>
      <c r="U1" t="inlineStr">
        <is>
          <t>Italy</t>
        </is>
      </c>
      <c r="V1" t="inlineStr">
        <is>
          <t>Japan</t>
        </is>
      </c>
      <c r="W1" t="inlineStr">
        <is>
          <t>Kazakhstan</t>
        </is>
      </c>
      <c r="X1" t="inlineStr">
        <is>
          <t>Kenya</t>
        </is>
      </c>
      <c r="Y1" t="inlineStr">
        <is>
          <t>Lebanon</t>
        </is>
      </c>
      <c r="Z1" t="inlineStr">
        <is>
          <t>Malaysia</t>
        </is>
      </c>
      <c r="AA1" t="inlineStr">
        <is>
          <t>Mexico</t>
        </is>
      </c>
      <c r="AB1" t="inlineStr">
        <is>
          <t>Myanmar</t>
        </is>
      </c>
      <c r="AC1" t="inlineStr">
        <is>
          <t>Netherlands</t>
        </is>
      </c>
      <c r="AD1" t="inlineStr">
        <is>
          <t>New Zealand</t>
        </is>
      </c>
      <c r="AE1" t="inlineStr">
        <is>
          <t>Nigeria</t>
        </is>
      </c>
      <c r="AF1" t="inlineStr">
        <is>
          <t>Norway</t>
        </is>
      </c>
      <c r="AG1" t="inlineStr">
        <is>
          <t>Philippines</t>
        </is>
      </c>
      <c r="AH1" t="inlineStr">
        <is>
          <t>Poland</t>
        </is>
      </c>
      <c r="AI1" t="inlineStr">
        <is>
          <t>Puerto Rico</t>
        </is>
      </c>
      <c r="AJ1" t="inlineStr">
        <is>
          <t>Qatar</t>
        </is>
      </c>
      <c r="AK1" t="inlineStr">
        <is>
          <t>Russia</t>
        </is>
      </c>
      <c r="AL1" t="inlineStr">
        <is>
          <t>Saudi Arabia</t>
        </is>
      </c>
      <c r="AM1" t="inlineStr">
        <is>
          <t>Singapore</t>
        </is>
      </c>
      <c r="AN1" t="inlineStr">
        <is>
          <t>South Africa</t>
        </is>
      </c>
      <c r="AO1" t="inlineStr">
        <is>
          <t>South Korea</t>
        </is>
      </c>
      <c r="AP1" t="inlineStr">
        <is>
          <t>Spain</t>
        </is>
      </c>
      <c r="AQ1" t="inlineStr">
        <is>
          <t>Sri Lanka</t>
        </is>
      </c>
      <c r="AR1" t="inlineStr">
        <is>
          <t>Sweden</t>
        </is>
      </c>
      <c r="AS1" t="inlineStr">
        <is>
          <t>Switzerland</t>
        </is>
      </c>
      <c r="AT1" t="inlineStr">
        <is>
          <t>Taiwan</t>
        </is>
      </c>
      <c r="AU1" t="inlineStr">
        <is>
          <t>Thailand</t>
        </is>
      </c>
      <c r="AV1" t="inlineStr">
        <is>
          <t>Turkey</t>
        </is>
      </c>
      <c r="AW1" t="inlineStr">
        <is>
          <t>United Arab Emirates</t>
        </is>
      </c>
      <c r="AX1" t="inlineStr">
        <is>
          <t>United Kingdom</t>
        </is>
      </c>
      <c r="AY1" t="inlineStr">
        <is>
          <t>United States</t>
        </is>
      </c>
      <c r="AZ1" t="inlineStr">
        <is>
          <t>Vietnam</t>
        </is>
      </c>
      <c r="BA1" t="inlineStr">
        <is>
          <t>World</t>
        </is>
      </c>
    </row>
    <row r="2">
      <c r="A2" s="81" t="n">
        <v>34335</v>
      </c>
      <c r="I2" t="n">
        <v>62.8</v>
      </c>
    </row>
    <row r="3">
      <c r="A3" s="81" t="n">
        <v>34366</v>
      </c>
      <c r="I3" t="n">
        <v>67.53</v>
      </c>
    </row>
    <row r="4">
      <c r="A4" s="81" t="n">
        <v>34394</v>
      </c>
      <c r="I4" t="n">
        <v>61.89</v>
      </c>
    </row>
    <row r="5">
      <c r="A5" s="81" t="n">
        <v>34425</v>
      </c>
      <c r="I5" t="n">
        <v>60.57</v>
      </c>
    </row>
    <row r="6">
      <c r="A6" s="81" t="n">
        <v>34455</v>
      </c>
      <c r="I6" t="n">
        <v>63.1</v>
      </c>
    </row>
    <row r="7">
      <c r="A7" s="81" t="n">
        <v>34486</v>
      </c>
      <c r="I7" t="n">
        <v>62.94</v>
      </c>
    </row>
    <row r="8">
      <c r="A8" s="81" t="n">
        <v>34516</v>
      </c>
      <c r="I8" t="n">
        <v>63.1</v>
      </c>
    </row>
    <row r="9">
      <c r="A9" s="81" t="n">
        <v>34547</v>
      </c>
      <c r="I9" t="n">
        <v>59.49</v>
      </c>
    </row>
    <row r="10">
      <c r="A10" s="81" t="n">
        <v>34578</v>
      </c>
      <c r="I10" t="n">
        <v>59.36</v>
      </c>
    </row>
    <row r="11">
      <c r="A11" s="81" t="n">
        <v>34608</v>
      </c>
      <c r="I11" t="n">
        <v>61.33</v>
      </c>
    </row>
    <row r="12">
      <c r="A12" s="81" t="n">
        <v>34639</v>
      </c>
      <c r="I12" t="n">
        <v>60.53</v>
      </c>
    </row>
    <row r="13">
      <c r="A13" s="81" t="n">
        <v>34669</v>
      </c>
      <c r="I13" t="n">
        <v>62.29</v>
      </c>
    </row>
    <row r="14">
      <c r="A14" s="81" t="n">
        <v>34700</v>
      </c>
      <c r="I14" t="n">
        <v>62.95</v>
      </c>
    </row>
    <row r="15">
      <c r="A15" s="81" t="n">
        <v>34731</v>
      </c>
      <c r="I15" t="n">
        <v>63.78</v>
      </c>
    </row>
    <row r="16">
      <c r="A16" s="81" t="n">
        <v>34759</v>
      </c>
      <c r="I16" t="n">
        <v>61.91</v>
      </c>
    </row>
    <row r="17">
      <c r="A17" s="81" t="n">
        <v>34790</v>
      </c>
      <c r="I17" t="n">
        <v>59.68</v>
      </c>
    </row>
    <row r="18">
      <c r="A18" s="81" t="n">
        <v>34820</v>
      </c>
      <c r="I18" t="n">
        <v>58.91</v>
      </c>
    </row>
    <row r="19">
      <c r="A19" s="81" t="n">
        <v>34851</v>
      </c>
      <c r="I19" t="n">
        <v>58.16</v>
      </c>
    </row>
    <row r="20">
      <c r="A20" s="81" t="n">
        <v>34881</v>
      </c>
      <c r="I20" t="n">
        <v>65.40000000000001</v>
      </c>
    </row>
    <row r="21">
      <c r="A21" s="81" t="n">
        <v>34912</v>
      </c>
      <c r="I21" t="n">
        <v>56.52</v>
      </c>
    </row>
    <row r="22">
      <c r="A22" s="81" t="n">
        <v>34943</v>
      </c>
      <c r="I22" t="n">
        <v>55.66</v>
      </c>
    </row>
    <row r="23">
      <c r="A23" s="81" t="n">
        <v>34973</v>
      </c>
      <c r="I23" t="n">
        <v>53.13</v>
      </c>
    </row>
    <row r="24">
      <c r="A24" s="81" t="n">
        <v>35004</v>
      </c>
      <c r="I24" t="n">
        <v>55.08</v>
      </c>
    </row>
    <row r="25">
      <c r="A25" s="81" t="n">
        <v>35034</v>
      </c>
      <c r="I25" t="n">
        <v>54.03</v>
      </c>
    </row>
    <row r="26">
      <c r="A26" s="81" t="n">
        <v>35065</v>
      </c>
      <c r="I26" t="n">
        <v>50.16</v>
      </c>
    </row>
    <row r="27">
      <c r="A27" s="81" t="n">
        <v>35096</v>
      </c>
      <c r="I27" t="n">
        <v>46.38</v>
      </c>
    </row>
    <row r="28">
      <c r="A28" s="81" t="n">
        <v>35125</v>
      </c>
      <c r="I28" t="n">
        <v>52.65</v>
      </c>
    </row>
    <row r="29">
      <c r="A29" s="81" t="n">
        <v>35156</v>
      </c>
      <c r="I29" t="n">
        <v>54.64</v>
      </c>
    </row>
    <row r="30">
      <c r="A30" s="81" t="n">
        <v>35186</v>
      </c>
      <c r="I30" t="n">
        <v>48.99</v>
      </c>
    </row>
    <row r="31">
      <c r="A31" s="81" t="n">
        <v>35217</v>
      </c>
      <c r="I31" t="n">
        <v>50.64</v>
      </c>
    </row>
    <row r="32">
      <c r="A32" s="81" t="n">
        <v>35247</v>
      </c>
      <c r="I32" t="n">
        <v>54.72</v>
      </c>
    </row>
    <row r="33">
      <c r="A33" s="81" t="n">
        <v>35278</v>
      </c>
      <c r="I33" t="n">
        <v>56.46</v>
      </c>
    </row>
    <row r="34">
      <c r="A34" s="81" t="n">
        <v>35309</v>
      </c>
      <c r="I34" t="n">
        <v>59.28</v>
      </c>
    </row>
    <row r="35">
      <c r="A35" s="81" t="n">
        <v>35339</v>
      </c>
      <c r="I35" t="n">
        <v>57.49</v>
      </c>
    </row>
    <row r="36">
      <c r="A36" s="81" t="n">
        <v>35370</v>
      </c>
      <c r="I36" t="n">
        <v>61.57</v>
      </c>
    </row>
    <row r="37">
      <c r="A37" s="81" t="n">
        <v>35400</v>
      </c>
      <c r="I37" t="n">
        <v>60.71</v>
      </c>
    </row>
    <row r="38">
      <c r="A38" s="81" t="n">
        <v>35431</v>
      </c>
      <c r="I38" t="n">
        <v>62.72</v>
      </c>
    </row>
    <row r="39">
      <c r="A39" s="81" t="n">
        <v>35462</v>
      </c>
      <c r="I39" t="n">
        <v>57.65</v>
      </c>
    </row>
    <row r="40">
      <c r="A40" s="81" t="n">
        <v>35490</v>
      </c>
      <c r="I40" t="n">
        <v>60.39</v>
      </c>
    </row>
    <row r="41">
      <c r="A41" s="81" t="n">
        <v>35521</v>
      </c>
      <c r="I41" t="n">
        <v>60.87</v>
      </c>
    </row>
    <row r="42">
      <c r="A42" s="81" t="n">
        <v>35551</v>
      </c>
      <c r="I42" t="n">
        <v>64.19</v>
      </c>
    </row>
    <row r="43">
      <c r="A43" s="81" t="n">
        <v>35582</v>
      </c>
      <c r="I43" t="n">
        <v>63.39</v>
      </c>
    </row>
    <row r="44">
      <c r="A44" s="81" t="n">
        <v>35612</v>
      </c>
      <c r="I44" t="n">
        <v>54.92</v>
      </c>
    </row>
    <row r="45">
      <c r="A45" s="81" t="n">
        <v>35643</v>
      </c>
      <c r="I45" t="n">
        <v>61.25</v>
      </c>
    </row>
    <row r="46">
      <c r="A46" s="81" t="n">
        <v>35674</v>
      </c>
      <c r="I46" t="n">
        <v>61.84</v>
      </c>
    </row>
    <row r="47">
      <c r="A47" s="81" t="n">
        <v>35704</v>
      </c>
      <c r="I47" t="n">
        <v>58.84</v>
      </c>
    </row>
    <row r="48">
      <c r="A48" s="81" t="n">
        <v>35735</v>
      </c>
      <c r="I48" t="n">
        <v>56.3</v>
      </c>
    </row>
    <row r="49">
      <c r="A49" s="81" t="n">
        <v>35765</v>
      </c>
      <c r="I49" t="n">
        <v>56.74</v>
      </c>
    </row>
    <row r="50">
      <c r="A50" s="81" t="n">
        <v>35796</v>
      </c>
      <c r="I50" t="n">
        <v>55.77</v>
      </c>
    </row>
    <row r="51">
      <c r="A51" s="81" t="n">
        <v>35827</v>
      </c>
      <c r="I51" t="n">
        <v>55.65</v>
      </c>
    </row>
    <row r="52">
      <c r="A52" s="81" t="n">
        <v>35855</v>
      </c>
      <c r="I52" t="n">
        <v>58.86</v>
      </c>
    </row>
    <row r="53">
      <c r="A53" s="81" t="n">
        <v>35886</v>
      </c>
      <c r="I53" t="n">
        <v>58.81</v>
      </c>
    </row>
    <row r="54">
      <c r="A54" s="81" t="n">
        <v>35916</v>
      </c>
      <c r="I54" t="n">
        <v>60.33</v>
      </c>
    </row>
    <row r="55">
      <c r="A55" s="81" t="n">
        <v>35947</v>
      </c>
      <c r="I55" t="n">
        <v>57.46</v>
      </c>
    </row>
    <row r="56">
      <c r="A56" s="81" t="n">
        <v>35977</v>
      </c>
      <c r="I56" t="n">
        <v>50.71</v>
      </c>
    </row>
    <row r="57">
      <c r="A57" s="81" t="n">
        <v>36008</v>
      </c>
      <c r="I57" t="n">
        <v>62.84</v>
      </c>
    </row>
    <row r="58">
      <c r="A58" s="81" t="n">
        <v>36039</v>
      </c>
      <c r="I58" t="n">
        <v>51.54</v>
      </c>
    </row>
    <row r="59">
      <c r="A59" s="81" t="n">
        <v>36069</v>
      </c>
      <c r="I59" t="n">
        <v>54.96</v>
      </c>
    </row>
    <row r="60">
      <c r="A60" s="81" t="n">
        <v>36100</v>
      </c>
      <c r="I60" t="n">
        <v>48.18</v>
      </c>
    </row>
    <row r="61">
      <c r="A61" s="81" t="n">
        <v>36130</v>
      </c>
      <c r="I61" t="n">
        <v>49.94</v>
      </c>
    </row>
    <row r="62">
      <c r="A62" s="81" t="n">
        <v>36161</v>
      </c>
      <c r="I62" t="n">
        <v>53.69</v>
      </c>
    </row>
    <row r="63">
      <c r="A63" s="81" t="n">
        <v>36192</v>
      </c>
      <c r="I63" t="n">
        <v>55.51</v>
      </c>
    </row>
    <row r="64">
      <c r="A64" s="81" t="n">
        <v>36220</v>
      </c>
      <c r="I64" t="n">
        <v>45.32</v>
      </c>
    </row>
    <row r="65">
      <c r="A65" s="81" t="n">
        <v>36251</v>
      </c>
      <c r="I65" t="n">
        <v>50.98</v>
      </c>
    </row>
    <row r="66">
      <c r="A66" s="81" t="n">
        <v>36281</v>
      </c>
      <c r="I66" t="n">
        <v>48.33</v>
      </c>
    </row>
    <row r="67">
      <c r="A67" s="81" t="n">
        <v>36312</v>
      </c>
      <c r="I67" t="n">
        <v>51.51</v>
      </c>
    </row>
    <row r="68">
      <c r="A68" s="81" t="n">
        <v>36342</v>
      </c>
      <c r="I68" t="n">
        <v>53.07</v>
      </c>
    </row>
    <row r="69">
      <c r="A69" s="81" t="n">
        <v>36373</v>
      </c>
      <c r="I69" t="n">
        <v>49.58</v>
      </c>
    </row>
    <row r="70">
      <c r="A70" s="81" t="n">
        <v>36404</v>
      </c>
      <c r="I70" t="n">
        <v>52.05</v>
      </c>
    </row>
    <row r="71">
      <c r="A71" s="81" t="n">
        <v>36434</v>
      </c>
      <c r="I71" t="n">
        <v>69.79000000000001</v>
      </c>
    </row>
    <row r="72">
      <c r="A72" s="81" t="n">
        <v>36465</v>
      </c>
      <c r="I72" t="n">
        <v>64.63</v>
      </c>
    </row>
    <row r="73">
      <c r="A73" s="81" t="n">
        <v>36495</v>
      </c>
      <c r="I73" t="n">
        <v>46.56</v>
      </c>
    </row>
    <row r="74">
      <c r="A74" s="81" t="n">
        <v>36526</v>
      </c>
      <c r="I74" t="n">
        <v>56.5</v>
      </c>
      <c r="AN74" t="n">
        <v>56.66</v>
      </c>
    </row>
    <row r="75">
      <c r="A75" s="81" t="n">
        <v>36557</v>
      </c>
      <c r="I75" t="n">
        <v>60.09</v>
      </c>
      <c r="AN75" t="n">
        <v>57.26</v>
      </c>
    </row>
    <row r="76">
      <c r="A76" s="81" t="n">
        <v>36586</v>
      </c>
      <c r="I76" t="n">
        <v>58.03</v>
      </c>
      <c r="AN76" t="n">
        <v>49.83</v>
      </c>
    </row>
    <row r="77">
      <c r="A77" s="81" t="n">
        <v>36617</v>
      </c>
      <c r="I77" t="n">
        <v>54.9</v>
      </c>
      <c r="AN77" t="n">
        <v>52.72</v>
      </c>
    </row>
    <row r="78">
      <c r="A78" s="81" t="n">
        <v>36647</v>
      </c>
      <c r="I78" t="n">
        <v>55.18</v>
      </c>
      <c r="AN78" t="n">
        <v>50.05</v>
      </c>
    </row>
    <row r="79">
      <c r="A79" s="81" t="n">
        <v>36678</v>
      </c>
      <c r="I79" t="n">
        <v>53.67</v>
      </c>
      <c r="AN79" t="n">
        <v>49.65</v>
      </c>
    </row>
    <row r="80">
      <c r="A80" s="81" t="n">
        <v>36708</v>
      </c>
      <c r="I80" t="n">
        <v>64.06999999999999</v>
      </c>
      <c r="AN80" t="n">
        <v>49.18</v>
      </c>
    </row>
    <row r="81">
      <c r="A81" s="81" t="n">
        <v>36739</v>
      </c>
      <c r="I81" t="n">
        <v>56.81</v>
      </c>
      <c r="AN81" t="n">
        <v>51.48</v>
      </c>
    </row>
    <row r="82">
      <c r="A82" s="81" t="n">
        <v>36770</v>
      </c>
      <c r="I82" t="n">
        <v>56.21</v>
      </c>
      <c r="AN82" t="n">
        <v>53.75</v>
      </c>
    </row>
    <row r="83">
      <c r="A83" s="81" t="n">
        <v>36800</v>
      </c>
      <c r="I83" t="n">
        <v>59.71</v>
      </c>
      <c r="AN83" t="n">
        <v>56.34</v>
      </c>
    </row>
    <row r="84">
      <c r="A84" s="81" t="n">
        <v>36831</v>
      </c>
      <c r="I84" t="n">
        <v>54.29</v>
      </c>
      <c r="AN84" t="n">
        <v>51.73</v>
      </c>
    </row>
    <row r="85">
      <c r="A85" s="81" t="n">
        <v>36861</v>
      </c>
      <c r="I85" t="n">
        <v>55.54</v>
      </c>
      <c r="AN85" t="n">
        <v>50.48</v>
      </c>
    </row>
    <row r="86">
      <c r="A86" s="81" t="n">
        <v>36892</v>
      </c>
      <c r="I86" t="n">
        <v>52.88</v>
      </c>
      <c r="AN86" t="n">
        <v>49.29</v>
      </c>
    </row>
    <row r="87">
      <c r="A87" s="81" t="n">
        <v>36923</v>
      </c>
      <c r="I87" t="n">
        <v>51.59</v>
      </c>
      <c r="AN87" t="n">
        <v>53.48</v>
      </c>
    </row>
    <row r="88">
      <c r="A88" s="81" t="n">
        <v>36951</v>
      </c>
      <c r="I88" t="n">
        <v>52.49</v>
      </c>
      <c r="AN88" t="n">
        <v>53.61</v>
      </c>
    </row>
    <row r="89">
      <c r="A89" s="81" t="n">
        <v>36982</v>
      </c>
      <c r="I89" t="n">
        <v>49.61</v>
      </c>
      <c r="AN89" t="n">
        <v>52.38</v>
      </c>
    </row>
    <row r="90">
      <c r="A90" s="81" t="n">
        <v>37012</v>
      </c>
      <c r="I90" t="n">
        <v>52.89</v>
      </c>
      <c r="AN90" t="n">
        <v>55.01</v>
      </c>
    </row>
    <row r="91">
      <c r="A91" s="81" t="n">
        <v>37043</v>
      </c>
      <c r="I91" t="n">
        <v>53.97</v>
      </c>
      <c r="AN91" t="n">
        <v>56.17</v>
      </c>
    </row>
    <row r="92">
      <c r="A92" s="81" t="n">
        <v>37073</v>
      </c>
      <c r="I92" t="n">
        <v>50.42</v>
      </c>
      <c r="AN92" t="n">
        <v>51.34</v>
      </c>
    </row>
    <row r="93">
      <c r="A93" s="81" t="n">
        <v>37104</v>
      </c>
      <c r="I93" t="n">
        <v>53.21</v>
      </c>
      <c r="AN93" t="n">
        <v>51.22</v>
      </c>
    </row>
    <row r="94">
      <c r="A94" s="81" t="n">
        <v>37135</v>
      </c>
      <c r="I94" t="n">
        <v>47.75</v>
      </c>
      <c r="AN94" t="n">
        <v>48.76</v>
      </c>
    </row>
    <row r="95">
      <c r="A95" s="81" t="n">
        <v>37165</v>
      </c>
      <c r="I95" t="n">
        <v>46.09</v>
      </c>
      <c r="AN95" t="n">
        <v>50.25</v>
      </c>
    </row>
    <row r="96">
      <c r="A96" s="81" t="n">
        <v>37196</v>
      </c>
      <c r="I96" t="n">
        <v>50.81</v>
      </c>
      <c r="AN96" t="n">
        <v>54.35</v>
      </c>
    </row>
    <row r="97">
      <c r="A97" s="81" t="n">
        <v>37226</v>
      </c>
      <c r="I97" t="n">
        <v>46.1</v>
      </c>
      <c r="AN97" t="n">
        <v>55.35</v>
      </c>
    </row>
    <row r="98">
      <c r="A98" s="81" t="n">
        <v>37257</v>
      </c>
      <c r="I98" t="n">
        <v>52.42</v>
      </c>
      <c r="AN98" t="n">
        <v>55.53</v>
      </c>
    </row>
    <row r="99">
      <c r="A99" s="81" t="n">
        <v>37288</v>
      </c>
      <c r="I99" t="n">
        <v>53.28</v>
      </c>
      <c r="AN99" t="n">
        <v>53.87</v>
      </c>
    </row>
    <row r="100">
      <c r="A100" s="81" t="n">
        <v>37316</v>
      </c>
      <c r="I100" t="n">
        <v>53.02</v>
      </c>
      <c r="AN100" t="n">
        <v>53.63</v>
      </c>
    </row>
    <row r="101">
      <c r="A101" s="81" t="n">
        <v>37347</v>
      </c>
      <c r="I101" t="n">
        <v>55.71</v>
      </c>
      <c r="AN101" t="n">
        <v>60.87</v>
      </c>
    </row>
    <row r="102">
      <c r="A102" s="81" t="n">
        <v>37377</v>
      </c>
      <c r="I102" t="n">
        <v>52.26</v>
      </c>
      <c r="AN102" t="n">
        <v>58.74</v>
      </c>
    </row>
    <row r="103">
      <c r="A103" s="81" t="n">
        <v>37408</v>
      </c>
      <c r="I103" t="n">
        <v>53.98</v>
      </c>
      <c r="AN103" t="n">
        <v>56.43</v>
      </c>
    </row>
    <row r="104">
      <c r="A104" s="81" t="n">
        <v>37438</v>
      </c>
      <c r="I104" t="n">
        <v>54.33</v>
      </c>
      <c r="AN104" t="n">
        <v>54.63</v>
      </c>
    </row>
    <row r="105">
      <c r="A105" s="81" t="n">
        <v>37469</v>
      </c>
      <c r="I105" t="n">
        <v>53.11</v>
      </c>
      <c r="AD105" t="n">
        <v>56.907262129678</v>
      </c>
      <c r="AN105" t="n">
        <v>55.58</v>
      </c>
    </row>
    <row r="106">
      <c r="A106" s="81" t="n">
        <v>37500</v>
      </c>
      <c r="I106" t="n">
        <v>52.08</v>
      </c>
      <c r="AD106" t="n">
        <v>58.5589449632434</v>
      </c>
      <c r="AN106" t="n">
        <v>57.74</v>
      </c>
    </row>
    <row r="107">
      <c r="A107" s="81" t="n">
        <v>37530</v>
      </c>
      <c r="I107" t="n">
        <v>47.57</v>
      </c>
      <c r="AD107" t="n">
        <v>57.9466923988663</v>
      </c>
      <c r="AN107" t="n">
        <v>56.38</v>
      </c>
    </row>
    <row r="108">
      <c r="A108" s="81" t="n">
        <v>37561</v>
      </c>
      <c r="I108" t="n">
        <v>47.96</v>
      </c>
      <c r="AD108" t="n">
        <v>57.0457520757297</v>
      </c>
      <c r="AN108" t="n">
        <v>54.54</v>
      </c>
    </row>
    <row r="109">
      <c r="A109" s="81" t="n">
        <v>37591</v>
      </c>
      <c r="I109" t="n">
        <v>48.71</v>
      </c>
      <c r="AD109" t="n">
        <v>57.1628551423891</v>
      </c>
      <c r="AN109" t="n">
        <v>55.28</v>
      </c>
    </row>
    <row r="110">
      <c r="A110" s="81" t="n">
        <v>37622</v>
      </c>
      <c r="I110" t="n">
        <v>46.3</v>
      </c>
      <c r="AD110" t="n">
        <v>56.0373126472842</v>
      </c>
      <c r="AN110" t="n">
        <v>56.84</v>
      </c>
    </row>
    <row r="111">
      <c r="A111" s="81" t="n">
        <v>37653</v>
      </c>
      <c r="I111" t="n">
        <v>46.27</v>
      </c>
      <c r="AD111" t="n">
        <v>54.4537214107044</v>
      </c>
      <c r="AN111" t="n">
        <v>52.39</v>
      </c>
    </row>
    <row r="112">
      <c r="A112" s="81" t="n">
        <v>37681</v>
      </c>
      <c r="I112" t="n">
        <v>49.92</v>
      </c>
      <c r="AD112" t="n">
        <v>52.8036302096001</v>
      </c>
      <c r="AN112" t="n">
        <v>49.15</v>
      </c>
    </row>
    <row r="113">
      <c r="A113" s="81" t="n">
        <v>37712</v>
      </c>
      <c r="I113" t="n">
        <v>52.91</v>
      </c>
      <c r="AD113" t="n">
        <v>53.3207423548318</v>
      </c>
      <c r="AN113" t="n">
        <v>48.99</v>
      </c>
    </row>
    <row r="114">
      <c r="A114" s="81" t="n">
        <v>37742</v>
      </c>
      <c r="I114" t="n">
        <v>50.11</v>
      </c>
      <c r="AD114" t="n">
        <v>51.8564124097293</v>
      </c>
      <c r="AN114" t="n">
        <v>46.13</v>
      </c>
    </row>
    <row r="115">
      <c r="A115" s="81" t="n">
        <v>37773</v>
      </c>
      <c r="I115" t="n">
        <v>47.14</v>
      </c>
      <c r="AD115" t="n">
        <v>53.4376487626112</v>
      </c>
      <c r="AN115" t="n">
        <v>45.22</v>
      </c>
    </row>
    <row r="116">
      <c r="A116" s="81" t="n">
        <v>37803</v>
      </c>
      <c r="I116" t="n">
        <v>49.65</v>
      </c>
      <c r="AD116" t="n">
        <v>53.0699070792162</v>
      </c>
      <c r="AN116" t="n">
        <v>47.89</v>
      </c>
    </row>
    <row r="117">
      <c r="A117" s="81" t="n">
        <v>37834</v>
      </c>
      <c r="I117" t="n">
        <v>49.78</v>
      </c>
      <c r="AD117" t="n">
        <v>50.5682358998851</v>
      </c>
      <c r="AN117" t="n">
        <v>48.44</v>
      </c>
    </row>
    <row r="118">
      <c r="A118" s="81" t="n">
        <v>37865</v>
      </c>
      <c r="I118" t="n">
        <v>59.65</v>
      </c>
      <c r="AD118" t="n">
        <v>57.8430291760094</v>
      </c>
      <c r="AN118" t="n">
        <v>45.46</v>
      </c>
    </row>
    <row r="119">
      <c r="A119" s="81" t="n">
        <v>37895</v>
      </c>
      <c r="I119" t="n">
        <v>54.14</v>
      </c>
      <c r="AD119" t="n">
        <v>60.8664062994677</v>
      </c>
      <c r="AN119" t="n">
        <v>47.73</v>
      </c>
    </row>
    <row r="120">
      <c r="A120" s="81" t="n">
        <v>37926</v>
      </c>
      <c r="I120" t="n">
        <v>57.7</v>
      </c>
      <c r="AD120" t="n">
        <v>56.3868823573509</v>
      </c>
      <c r="AN120" t="n">
        <v>53.1</v>
      </c>
    </row>
    <row r="121">
      <c r="A121" s="81" t="n">
        <v>37956</v>
      </c>
      <c r="I121" t="n">
        <v>60.4</v>
      </c>
      <c r="AD121" t="n">
        <v>54.8457516440857</v>
      </c>
      <c r="AN121" t="n">
        <v>51.55</v>
      </c>
    </row>
    <row r="122">
      <c r="A122" s="81" t="n">
        <v>37987</v>
      </c>
      <c r="I122" t="n">
        <v>46.37</v>
      </c>
      <c r="AD122" t="n">
        <v>55.7939197179694</v>
      </c>
      <c r="AN122" t="n">
        <v>54.61</v>
      </c>
    </row>
    <row r="123">
      <c r="A123" s="81" t="n">
        <v>38018</v>
      </c>
      <c r="I123" t="n">
        <v>56.97</v>
      </c>
      <c r="AD123" t="n">
        <v>56.8004721684877</v>
      </c>
      <c r="AN123" t="n">
        <v>54.29</v>
      </c>
    </row>
    <row r="124">
      <c r="A124" s="81" t="n">
        <v>38047</v>
      </c>
      <c r="I124" t="n">
        <v>58.99</v>
      </c>
      <c r="AD124" t="n">
        <v>59.0129037737941</v>
      </c>
      <c r="AN124" t="n">
        <v>55.84</v>
      </c>
    </row>
    <row r="125">
      <c r="A125" s="81" t="n">
        <v>38078</v>
      </c>
      <c r="I125" t="n">
        <v>59.16</v>
      </c>
      <c r="AD125" t="n">
        <v>58.7416869677263</v>
      </c>
      <c r="AN125" t="n">
        <v>56.95</v>
      </c>
    </row>
    <row r="126">
      <c r="A126" s="81" t="n">
        <v>38108</v>
      </c>
      <c r="I126" t="n">
        <v>61.27</v>
      </c>
      <c r="AD126" t="n">
        <v>56.1940744843941</v>
      </c>
      <c r="AN126" t="n">
        <v>56.6</v>
      </c>
    </row>
    <row r="127">
      <c r="A127" s="81" t="n">
        <v>38139</v>
      </c>
      <c r="I127" t="n">
        <v>51.93</v>
      </c>
      <c r="AD127" t="n">
        <v>62.7727740280589</v>
      </c>
      <c r="AN127" t="n">
        <v>56.83</v>
      </c>
    </row>
    <row r="128">
      <c r="A128" s="81" t="n">
        <v>38169</v>
      </c>
      <c r="I128" t="n">
        <v>56.18</v>
      </c>
      <c r="AD128" t="n">
        <v>58.7710208740845</v>
      </c>
      <c r="AN128" t="n">
        <v>55.54</v>
      </c>
    </row>
    <row r="129">
      <c r="A129" s="81" t="n">
        <v>38200</v>
      </c>
      <c r="I129" t="n">
        <v>62.38</v>
      </c>
      <c r="AD129" t="n">
        <v>57.4270852912371</v>
      </c>
      <c r="AN129" t="n">
        <v>57.5</v>
      </c>
    </row>
    <row r="130">
      <c r="A130" s="81" t="n">
        <v>38231</v>
      </c>
      <c r="I130" t="n">
        <v>57.36</v>
      </c>
      <c r="AD130" t="n">
        <v>55.0493220788692</v>
      </c>
      <c r="AN130" t="n">
        <v>57.5</v>
      </c>
    </row>
    <row r="131">
      <c r="A131" s="81" t="n">
        <v>38261</v>
      </c>
      <c r="I131" t="n">
        <v>56.87</v>
      </c>
      <c r="AD131" t="n">
        <v>52.9171551177009</v>
      </c>
      <c r="AN131" t="n">
        <v>55.37</v>
      </c>
    </row>
    <row r="132">
      <c r="A132" s="81" t="n">
        <v>38292</v>
      </c>
      <c r="I132" t="n">
        <v>54.39</v>
      </c>
      <c r="AD132" t="n">
        <v>57.8669354166724</v>
      </c>
      <c r="AN132" t="n">
        <v>54.08</v>
      </c>
    </row>
    <row r="133">
      <c r="A133" s="81" t="n">
        <v>38322</v>
      </c>
      <c r="I133" t="n">
        <v>57.58</v>
      </c>
      <c r="K133" t="n">
        <v>51.4</v>
      </c>
      <c r="AD133" t="n">
        <v>58.9814226071519</v>
      </c>
      <c r="AN133" t="n">
        <v>54.34</v>
      </c>
      <c r="AX133" t="n">
        <v>53.7</v>
      </c>
    </row>
    <row r="134">
      <c r="A134" s="81" t="n">
        <v>38353</v>
      </c>
      <c r="F134" t="n">
        <v>52.1</v>
      </c>
      <c r="I134" t="n">
        <v>59.37</v>
      </c>
      <c r="K134" t="n">
        <v>51.9</v>
      </c>
      <c r="AD134" t="n">
        <v>57.034440617634</v>
      </c>
      <c r="AN134" t="n">
        <v>51.54</v>
      </c>
      <c r="AX134" t="n">
        <v>51.8</v>
      </c>
    </row>
    <row r="135">
      <c r="A135" s="81" t="n">
        <v>38384</v>
      </c>
      <c r="F135" t="n">
        <v>52.9</v>
      </c>
      <c r="I135" t="n">
        <v>55.3</v>
      </c>
      <c r="K135" t="n">
        <v>51.9</v>
      </c>
      <c r="AD135" t="n">
        <v>56.2559835845108</v>
      </c>
      <c r="AN135" t="n">
        <v>55.55</v>
      </c>
      <c r="AX135" t="n">
        <v>51.8</v>
      </c>
    </row>
    <row r="136">
      <c r="A136" s="81" t="n">
        <v>38412</v>
      </c>
      <c r="F136" t="n">
        <v>55.2</v>
      </c>
      <c r="I136" t="n">
        <v>56.66</v>
      </c>
      <c r="K136" t="n">
        <v>50.4</v>
      </c>
      <c r="AD136" t="n">
        <v>51.639603525794</v>
      </c>
      <c r="AN136" t="n">
        <v>57.65</v>
      </c>
      <c r="AX136" t="n">
        <v>52</v>
      </c>
    </row>
    <row r="137">
      <c r="A137" s="81" t="n">
        <v>38443</v>
      </c>
      <c r="F137" t="n">
        <v>54.4</v>
      </c>
      <c r="I137" t="n">
        <v>52.88</v>
      </c>
      <c r="K137" t="n">
        <v>49.2</v>
      </c>
      <c r="AD137" t="n">
        <v>51.5818588801095</v>
      </c>
      <c r="AN137" t="n">
        <v>54.64</v>
      </c>
      <c r="AX137" t="n">
        <v>49.5</v>
      </c>
    </row>
    <row r="138">
      <c r="A138" s="81" t="n">
        <v>38473</v>
      </c>
      <c r="F138" t="n">
        <v>53.3</v>
      </c>
      <c r="I138" t="n">
        <v>53.51</v>
      </c>
      <c r="K138" t="n">
        <v>48.7</v>
      </c>
      <c r="AD138" t="n">
        <v>51.2975424148141</v>
      </c>
      <c r="AN138" t="n">
        <v>53.75</v>
      </c>
      <c r="AX138" t="n">
        <v>47.3</v>
      </c>
    </row>
    <row r="139">
      <c r="A139" s="81" t="n">
        <v>38504</v>
      </c>
      <c r="F139" t="n">
        <v>51</v>
      </c>
      <c r="I139" t="n">
        <v>58.58</v>
      </c>
      <c r="K139" t="n">
        <v>49.9</v>
      </c>
      <c r="AD139" t="n">
        <v>52.9270116328412</v>
      </c>
      <c r="AN139" t="n">
        <v>57.12</v>
      </c>
      <c r="AX139" t="n">
        <v>49.6</v>
      </c>
    </row>
    <row r="140">
      <c r="A140" s="81" t="n">
        <v>38534</v>
      </c>
      <c r="F140" t="n">
        <v>51.5</v>
      </c>
      <c r="I140" t="n">
        <v>56.43</v>
      </c>
      <c r="K140" t="n">
        <v>50.8</v>
      </c>
      <c r="AD140" t="n">
        <v>49.2378624062758</v>
      </c>
      <c r="AN140" t="n">
        <v>57.43</v>
      </c>
      <c r="AX140" t="n">
        <v>49.2</v>
      </c>
    </row>
    <row r="141">
      <c r="A141" s="81" t="n">
        <v>38565</v>
      </c>
      <c r="F141" t="n">
        <v>50.6</v>
      </c>
      <c r="I141" t="n">
        <v>56.34</v>
      </c>
      <c r="K141" t="n">
        <v>50.4</v>
      </c>
      <c r="AD141" t="n">
        <v>51.8116698565872</v>
      </c>
      <c r="AN141" t="n">
        <v>55.2</v>
      </c>
      <c r="AX141" t="n">
        <v>50.1</v>
      </c>
    </row>
    <row r="142">
      <c r="A142" s="81" t="n">
        <v>38596</v>
      </c>
      <c r="F142" t="n">
        <v>50.9</v>
      </c>
      <c r="I142" t="n">
        <v>61.16</v>
      </c>
      <c r="K142" t="n">
        <v>51.7</v>
      </c>
      <c r="AD142" t="n">
        <v>50.5719307328397</v>
      </c>
      <c r="AN142" t="n">
        <v>54.96</v>
      </c>
      <c r="AX142" t="n">
        <v>51.5</v>
      </c>
    </row>
    <row r="143">
      <c r="A143" s="81" t="n">
        <v>38626</v>
      </c>
      <c r="F143" t="n">
        <v>50.1</v>
      </c>
      <c r="I143" t="n">
        <v>68.93000000000001</v>
      </c>
      <c r="K143" t="n">
        <v>52.7</v>
      </c>
      <c r="AD143" t="n">
        <v>45.8954807328845</v>
      </c>
      <c r="AN143" t="n">
        <v>52.77</v>
      </c>
      <c r="AX143" t="n">
        <v>51.7</v>
      </c>
    </row>
    <row r="144">
      <c r="A144" s="81" t="n">
        <v>38657</v>
      </c>
      <c r="F144" t="n">
        <v>49.8</v>
      </c>
      <c r="I144" t="n">
        <v>57.53</v>
      </c>
      <c r="K144" t="n">
        <v>52.8</v>
      </c>
      <c r="AD144" t="n">
        <v>44.2705995249608</v>
      </c>
      <c r="AN144" t="n">
        <v>52.02</v>
      </c>
      <c r="AX144" t="n">
        <v>51</v>
      </c>
    </row>
    <row r="145">
      <c r="A145" s="81" t="n">
        <v>38687</v>
      </c>
      <c r="F145" t="n">
        <v>50.1</v>
      </c>
      <c r="I145" t="n">
        <v>59.8</v>
      </c>
      <c r="K145" t="n">
        <v>53.6</v>
      </c>
      <c r="AD145" t="n">
        <v>48.4790254674981</v>
      </c>
      <c r="AN145" t="n">
        <v>53.31</v>
      </c>
      <c r="AX145" t="n">
        <v>51.1</v>
      </c>
    </row>
    <row r="146">
      <c r="A146" s="81" t="n">
        <v>38718</v>
      </c>
      <c r="F146" t="n">
        <v>50.2</v>
      </c>
      <c r="I146" t="n">
        <v>58.97</v>
      </c>
      <c r="K146" t="n">
        <v>53.5</v>
      </c>
      <c r="AD146" t="n">
        <v>48.5853450687797</v>
      </c>
      <c r="AN146" t="n">
        <v>49.78</v>
      </c>
      <c r="AX146" t="n">
        <v>51.7</v>
      </c>
    </row>
    <row r="147">
      <c r="A147" s="81" t="n">
        <v>38749</v>
      </c>
      <c r="F147" t="n">
        <v>50.7</v>
      </c>
      <c r="I147" t="n">
        <v>60.32</v>
      </c>
      <c r="K147" t="n">
        <v>54.5</v>
      </c>
      <c r="AD147" t="n">
        <v>52.1905524192794</v>
      </c>
      <c r="AN147" t="n">
        <v>50.11</v>
      </c>
      <c r="AX147" t="n">
        <v>51.7</v>
      </c>
    </row>
    <row r="148">
      <c r="A148" s="81" t="n">
        <v>38777</v>
      </c>
      <c r="F148" t="n">
        <v>51</v>
      </c>
      <c r="I148" t="n">
        <v>52.93</v>
      </c>
      <c r="K148" t="n">
        <v>56.1</v>
      </c>
      <c r="AD148" t="n">
        <v>53.5430588149714</v>
      </c>
      <c r="AN148" t="n">
        <v>52.17</v>
      </c>
      <c r="AX148" t="n">
        <v>50.8</v>
      </c>
    </row>
    <row r="149">
      <c r="A149" s="81" t="n">
        <v>38808</v>
      </c>
      <c r="F149" t="n">
        <v>52.7</v>
      </c>
      <c r="I149" t="n">
        <v>55.97</v>
      </c>
      <c r="K149" t="n">
        <v>56.7</v>
      </c>
      <c r="AD149" t="n">
        <v>52.0142512588664</v>
      </c>
      <c r="AN149" t="n">
        <v>54.63</v>
      </c>
      <c r="AX149" t="n">
        <v>54.1</v>
      </c>
    </row>
    <row r="150">
      <c r="A150" s="81" t="n">
        <v>38838</v>
      </c>
      <c r="F150" t="n">
        <v>52.8</v>
      </c>
      <c r="I150" t="n">
        <v>56.87</v>
      </c>
      <c r="K150" t="n">
        <v>57</v>
      </c>
      <c r="AD150" t="n">
        <v>57.2024324538472</v>
      </c>
      <c r="AN150" t="n">
        <v>57</v>
      </c>
      <c r="AX150" t="n">
        <v>53.2</v>
      </c>
    </row>
    <row r="151">
      <c r="A151" s="81" t="n">
        <v>38869</v>
      </c>
      <c r="F151" t="n">
        <v>52.9</v>
      </c>
      <c r="I151" t="n">
        <v>56.69</v>
      </c>
      <c r="K151" t="n">
        <v>57.7</v>
      </c>
      <c r="AD151" t="n">
        <v>53.8447374020008</v>
      </c>
      <c r="AN151" t="n">
        <v>58.8</v>
      </c>
      <c r="AX151" t="n">
        <v>55.1</v>
      </c>
    </row>
    <row r="152">
      <c r="A152" s="81" t="n">
        <v>38899</v>
      </c>
      <c r="F152" t="n">
        <v>53</v>
      </c>
      <c r="I152" t="n">
        <v>58.32</v>
      </c>
      <c r="K152" t="n">
        <v>57.4</v>
      </c>
      <c r="AD152" t="n">
        <v>53.378118046287</v>
      </c>
      <c r="AN152" t="n">
        <v>60.27</v>
      </c>
      <c r="AX152" t="n">
        <v>53.8</v>
      </c>
    </row>
    <row r="153">
      <c r="A153" s="81" t="n">
        <v>38930</v>
      </c>
      <c r="F153" t="n">
        <v>52.6</v>
      </c>
      <c r="I153" t="n">
        <v>63.49</v>
      </c>
      <c r="K153" t="n">
        <v>56.5</v>
      </c>
      <c r="AD153" t="n">
        <v>52.4970992830634</v>
      </c>
      <c r="AN153" t="n">
        <v>58.68</v>
      </c>
      <c r="AX153" t="n">
        <v>53.1</v>
      </c>
    </row>
    <row r="154">
      <c r="A154" s="81" t="n">
        <v>38961</v>
      </c>
      <c r="F154" t="n">
        <v>52.4</v>
      </c>
      <c r="I154" t="n">
        <v>62.87</v>
      </c>
      <c r="K154" t="n">
        <v>56.6</v>
      </c>
      <c r="AD154" t="n">
        <v>51.2626591513288</v>
      </c>
      <c r="AN154" t="n">
        <v>56.6</v>
      </c>
      <c r="AX154" t="n">
        <v>54.4</v>
      </c>
    </row>
    <row r="155">
      <c r="A155" s="81" t="n">
        <v>38991</v>
      </c>
      <c r="F155" t="n">
        <v>52.1</v>
      </c>
      <c r="I155" t="n">
        <v>62.65</v>
      </c>
      <c r="K155" t="n">
        <v>57</v>
      </c>
      <c r="AD155" t="n">
        <v>56.5320799903232</v>
      </c>
      <c r="AN155" t="n">
        <v>56.73</v>
      </c>
      <c r="AX155" t="n">
        <v>53.7</v>
      </c>
    </row>
    <row r="156">
      <c r="A156" s="81" t="n">
        <v>39022</v>
      </c>
      <c r="F156" t="n">
        <v>53</v>
      </c>
      <c r="I156" t="n">
        <v>66.77</v>
      </c>
      <c r="K156" t="n">
        <v>56.6</v>
      </c>
      <c r="AD156" t="n">
        <v>54.8195852581759</v>
      </c>
      <c r="AN156" t="n">
        <v>56.34</v>
      </c>
      <c r="AX156" t="n">
        <v>53.6</v>
      </c>
    </row>
    <row r="157">
      <c r="A157" s="81" t="n">
        <v>39052</v>
      </c>
      <c r="F157" t="n">
        <v>52.4</v>
      </c>
      <c r="I157" t="n">
        <v>62.5</v>
      </c>
      <c r="K157" t="n">
        <v>56.5</v>
      </c>
      <c r="U157" t="n">
        <v>55</v>
      </c>
      <c r="AD157" t="n">
        <v>54.2386669238499</v>
      </c>
      <c r="AN157" t="n">
        <v>55.49</v>
      </c>
      <c r="AP157" t="n">
        <v>57.2</v>
      </c>
      <c r="AX157" t="n">
        <v>51.9</v>
      </c>
    </row>
    <row r="158">
      <c r="A158" s="81" t="n">
        <v>39083</v>
      </c>
      <c r="F158" t="n">
        <v>52</v>
      </c>
      <c r="I158" t="n">
        <v>55.72</v>
      </c>
      <c r="K158" t="n">
        <v>55.5</v>
      </c>
      <c r="U158" t="n">
        <v>53.5</v>
      </c>
      <c r="AD158" t="n">
        <v>56.0360313510977</v>
      </c>
      <c r="AN158" t="n">
        <v>57.79</v>
      </c>
      <c r="AP158" t="n">
        <v>56.2</v>
      </c>
      <c r="AX158" t="n">
        <v>52.8</v>
      </c>
    </row>
    <row r="159">
      <c r="A159" s="81" t="n">
        <v>39114</v>
      </c>
      <c r="F159" t="n">
        <v>53</v>
      </c>
      <c r="I159" t="n">
        <v>60.51</v>
      </c>
      <c r="K159" t="n">
        <v>55.6</v>
      </c>
      <c r="U159" t="n">
        <v>54.2</v>
      </c>
      <c r="AD159" t="n">
        <v>54.7427757055842</v>
      </c>
      <c r="AN159" t="n">
        <v>60.18</v>
      </c>
      <c r="AP159" t="n">
        <v>56.2</v>
      </c>
      <c r="AX159" t="n">
        <v>55.4</v>
      </c>
    </row>
    <row r="160">
      <c r="A160" s="81" t="n">
        <v>39142</v>
      </c>
      <c r="F160" t="n">
        <v>52.3</v>
      </c>
      <c r="I160" t="n">
        <v>65.52</v>
      </c>
      <c r="K160" t="n">
        <v>55.4</v>
      </c>
      <c r="U160" t="n">
        <v>53.8</v>
      </c>
      <c r="AD160" t="n">
        <v>57.5702506990957</v>
      </c>
      <c r="AN160" t="n">
        <v>60.35</v>
      </c>
      <c r="AP160" t="n">
        <v>55.4</v>
      </c>
      <c r="AX160" t="n">
        <v>54.4</v>
      </c>
    </row>
    <row r="161">
      <c r="A161" s="81" t="n">
        <v>39173</v>
      </c>
      <c r="F161" t="n">
        <v>53.3</v>
      </c>
      <c r="I161" t="n">
        <v>63.43</v>
      </c>
      <c r="K161" t="n">
        <v>55.4</v>
      </c>
      <c r="U161" t="n">
        <v>53.9</v>
      </c>
      <c r="AD161" t="n">
        <v>53.2606163112084</v>
      </c>
      <c r="AN161" t="n">
        <v>57.89</v>
      </c>
      <c r="AP161" t="n">
        <v>56</v>
      </c>
      <c r="AX161" t="n">
        <v>53.9</v>
      </c>
    </row>
    <row r="162">
      <c r="A162" s="81" t="n">
        <v>39203</v>
      </c>
      <c r="F162" t="n">
        <v>54.1</v>
      </c>
      <c r="I162" t="n">
        <v>62.81</v>
      </c>
      <c r="K162" t="n">
        <v>55</v>
      </c>
      <c r="U162" t="n">
        <v>55</v>
      </c>
      <c r="AD162" t="n">
        <v>55.407160874264</v>
      </c>
      <c r="AN162" t="n">
        <v>56.91</v>
      </c>
      <c r="AP162" t="n">
        <v>53.3</v>
      </c>
      <c r="AX162" t="n">
        <v>54.9</v>
      </c>
    </row>
    <row r="163">
      <c r="A163" s="81" t="n">
        <v>39234</v>
      </c>
      <c r="F163" t="n">
        <v>55</v>
      </c>
      <c r="I163" t="n">
        <v>59.06</v>
      </c>
      <c r="K163" t="n">
        <v>55.6</v>
      </c>
      <c r="U163" t="n">
        <v>54</v>
      </c>
      <c r="AD163" t="n">
        <v>51.416409801705</v>
      </c>
      <c r="AN163" t="n">
        <v>56.33</v>
      </c>
      <c r="AP163" t="n">
        <v>55.1</v>
      </c>
      <c r="AX163" t="n">
        <v>54.3</v>
      </c>
    </row>
    <row r="164">
      <c r="A164" s="81" t="n">
        <v>39264</v>
      </c>
      <c r="F164" t="n">
        <v>53.2</v>
      </c>
      <c r="I164" t="n">
        <v>63.94</v>
      </c>
      <c r="K164" t="n">
        <v>54.9</v>
      </c>
      <c r="U164" t="n">
        <v>53.3</v>
      </c>
      <c r="AD164" t="n">
        <v>54.021529677242</v>
      </c>
      <c r="AN164" t="n">
        <v>57.52</v>
      </c>
      <c r="AP164" t="n">
        <v>53.2</v>
      </c>
      <c r="AX164" t="n">
        <v>55.7</v>
      </c>
    </row>
    <row r="165">
      <c r="A165" s="81" t="n">
        <v>39295</v>
      </c>
      <c r="F165" t="n">
        <v>53.4</v>
      </c>
      <c r="I165" t="n">
        <v>55.08</v>
      </c>
      <c r="K165" t="n">
        <v>54.3</v>
      </c>
      <c r="U165" t="n">
        <v>53.6</v>
      </c>
      <c r="AD165" t="n">
        <v>56.5988110506082</v>
      </c>
      <c r="AN165" t="n">
        <v>54.42</v>
      </c>
      <c r="AP165" t="n">
        <v>52.2</v>
      </c>
      <c r="AX165" t="n">
        <v>56.3</v>
      </c>
    </row>
    <row r="166">
      <c r="A166" s="81" t="n">
        <v>39326</v>
      </c>
      <c r="F166" t="n">
        <v>55</v>
      </c>
      <c r="I166" t="n">
        <v>57.16</v>
      </c>
      <c r="K166" t="n">
        <v>53.2</v>
      </c>
      <c r="U166" t="n">
        <v>52.4</v>
      </c>
      <c r="AD166" t="n">
        <v>54.2282350566784</v>
      </c>
      <c r="AN166" t="n">
        <v>51.63</v>
      </c>
      <c r="AP166" t="n">
        <v>50.8</v>
      </c>
      <c r="AX166" t="n">
        <v>55.1</v>
      </c>
    </row>
    <row r="167">
      <c r="A167" s="81" t="n">
        <v>39356</v>
      </c>
      <c r="F167" t="n">
        <v>55.2</v>
      </c>
      <c r="I167" t="n">
        <v>59.94</v>
      </c>
      <c r="K167" t="n">
        <v>51.5</v>
      </c>
      <c r="U167" t="n">
        <v>51.3</v>
      </c>
      <c r="AD167" t="n">
        <v>57.4337841735763</v>
      </c>
      <c r="AN167" t="n">
        <v>54.4</v>
      </c>
      <c r="AP167" t="n">
        <v>49.6</v>
      </c>
      <c r="AX167" t="n">
        <v>52.9</v>
      </c>
    </row>
    <row r="168">
      <c r="A168" s="81" t="n">
        <v>39387</v>
      </c>
      <c r="F168" t="n">
        <v>52.8</v>
      </c>
      <c r="I168" t="n">
        <v>57.03</v>
      </c>
      <c r="K168" t="n">
        <v>52.8</v>
      </c>
      <c r="U168" t="n">
        <v>51.3</v>
      </c>
      <c r="AD168" t="n">
        <v>57.1557244653067</v>
      </c>
      <c r="AN168" t="n">
        <v>53.96</v>
      </c>
      <c r="AP168" t="n">
        <v>50.7</v>
      </c>
      <c r="AX168" t="n">
        <v>54.4</v>
      </c>
    </row>
    <row r="169">
      <c r="A169" s="81" t="n">
        <v>39417</v>
      </c>
      <c r="F169" t="n">
        <v>53.3</v>
      </c>
      <c r="I169" t="n">
        <v>55.62</v>
      </c>
      <c r="K169" t="n">
        <v>52.6</v>
      </c>
      <c r="U169" t="n">
        <v>50.7</v>
      </c>
      <c r="AD169" t="n">
        <v>53.1534995907173</v>
      </c>
      <c r="AN169" t="n">
        <v>53.23</v>
      </c>
      <c r="AP169" t="n">
        <v>49.5</v>
      </c>
      <c r="AX169" t="n">
        <v>52.9</v>
      </c>
    </row>
    <row r="170">
      <c r="A170" s="81" t="n">
        <v>39448</v>
      </c>
      <c r="F170" t="n">
        <v>53.2</v>
      </c>
      <c r="I170" t="n">
        <v>56.34</v>
      </c>
      <c r="K170" t="n">
        <v>52.8</v>
      </c>
      <c r="U170" t="n">
        <v>50.8</v>
      </c>
      <c r="AD170" t="n">
        <v>53.0808173064804</v>
      </c>
      <c r="AN170" t="n">
        <v>51.3</v>
      </c>
      <c r="AP170" t="n">
        <v>49.8</v>
      </c>
      <c r="AX170" t="n">
        <v>50.6</v>
      </c>
    </row>
    <row r="171">
      <c r="A171" s="81" t="n">
        <v>39478</v>
      </c>
      <c r="M171" t="n">
        <v>54.4</v>
      </c>
    </row>
    <row r="172">
      <c r="A172" s="81" t="n">
        <v>39479</v>
      </c>
      <c r="F172" t="n">
        <v>52.8</v>
      </c>
      <c r="I172" t="n">
        <v>64.81999999999999</v>
      </c>
      <c r="K172" t="n">
        <v>52.3</v>
      </c>
      <c r="M172" t="n">
        <v>54.3</v>
      </c>
      <c r="U172" t="n">
        <v>50.6</v>
      </c>
      <c r="V172" t="n">
        <v>50.8</v>
      </c>
      <c r="AD172" t="n">
        <v>52.5683619019129</v>
      </c>
      <c r="AN172" t="n">
        <v>45.75</v>
      </c>
      <c r="AP172" t="n">
        <v>46.7</v>
      </c>
      <c r="AX172" t="n">
        <v>51.3</v>
      </c>
    </row>
    <row r="173">
      <c r="A173" s="81" t="n">
        <v>39508</v>
      </c>
      <c r="F173" t="n">
        <v>54.4</v>
      </c>
      <c r="I173" t="n">
        <v>57.03</v>
      </c>
      <c r="K173" t="n">
        <v>52</v>
      </c>
      <c r="M173" t="n">
        <v>54.9</v>
      </c>
      <c r="U173" t="n">
        <v>49.4</v>
      </c>
      <c r="V173" t="n">
        <v>49.5</v>
      </c>
      <c r="AD173" t="n">
        <v>48.1140014100388</v>
      </c>
      <c r="AN173" t="n">
        <v>44.21</v>
      </c>
      <c r="AP173" t="n">
        <v>46.4</v>
      </c>
      <c r="AX173" t="n">
        <v>51.3</v>
      </c>
    </row>
    <row r="174">
      <c r="A174" s="81" t="n">
        <v>39539</v>
      </c>
      <c r="F174" t="n">
        <v>55.4</v>
      </c>
      <c r="I174" t="n">
        <v>44.91</v>
      </c>
      <c r="K174" t="n">
        <v>50.7</v>
      </c>
      <c r="M174" t="n">
        <v>53.6</v>
      </c>
      <c r="U174" t="n">
        <v>48.2</v>
      </c>
      <c r="V174" t="n">
        <v>48.6</v>
      </c>
      <c r="AD174" t="n">
        <v>50.3796200413739</v>
      </c>
      <c r="AN174" t="n">
        <v>53.72</v>
      </c>
      <c r="AP174" t="n">
        <v>45.2</v>
      </c>
      <c r="AX174" t="n">
        <v>51</v>
      </c>
    </row>
    <row r="175">
      <c r="A175" s="81" t="n">
        <v>39569</v>
      </c>
      <c r="B175" t="n">
        <v>51.4</v>
      </c>
      <c r="F175" t="n">
        <v>54.7</v>
      </c>
      <c r="I175" t="n">
        <v>66.78</v>
      </c>
      <c r="K175" t="n">
        <v>50.6</v>
      </c>
      <c r="M175" t="n">
        <v>53.5</v>
      </c>
      <c r="U175" t="n">
        <v>48</v>
      </c>
      <c r="V175" t="n">
        <v>47.7</v>
      </c>
      <c r="AD175" t="n">
        <v>48.2548671052373</v>
      </c>
      <c r="AN175" t="n">
        <v>48.8</v>
      </c>
      <c r="AP175" t="n">
        <v>43.8</v>
      </c>
      <c r="AX175" t="n">
        <v>50</v>
      </c>
    </row>
    <row r="176">
      <c r="A176" s="81" t="n">
        <v>39600</v>
      </c>
      <c r="B176" t="n">
        <v>51.2</v>
      </c>
      <c r="F176" t="n">
        <v>53.3</v>
      </c>
      <c r="I176" t="n">
        <v>62.6</v>
      </c>
      <c r="K176" t="n">
        <v>49.2</v>
      </c>
      <c r="M176" t="n">
        <v>52.3</v>
      </c>
      <c r="U176" t="n">
        <v>46.9</v>
      </c>
      <c r="V176" t="n">
        <v>46.5</v>
      </c>
      <c r="AD176" t="n">
        <v>44.324455950641</v>
      </c>
      <c r="AN176" t="n">
        <v>45.37</v>
      </c>
      <c r="AP176" t="n">
        <v>40.6</v>
      </c>
      <c r="AX176" t="n">
        <v>45.8</v>
      </c>
    </row>
    <row r="177">
      <c r="A177" s="81" t="n">
        <v>39630</v>
      </c>
      <c r="B177" t="n">
        <v>52.7</v>
      </c>
      <c r="F177" t="n">
        <v>53.3</v>
      </c>
      <c r="I177" t="n">
        <v>38.91</v>
      </c>
      <c r="K177" t="n">
        <v>47.4</v>
      </c>
      <c r="M177" t="n">
        <v>50.9</v>
      </c>
      <c r="U177" t="n">
        <v>45.3</v>
      </c>
      <c r="V177" t="n">
        <v>47</v>
      </c>
      <c r="AD177" t="n">
        <v>48.1735627816922</v>
      </c>
      <c r="AN177" t="n">
        <v>44.8</v>
      </c>
      <c r="AP177" t="n">
        <v>39.2</v>
      </c>
      <c r="AX177" t="n">
        <v>44.3</v>
      </c>
    </row>
    <row r="178">
      <c r="A178" s="81" t="n">
        <v>39661</v>
      </c>
      <c r="B178" t="n">
        <v>51.2</v>
      </c>
      <c r="F178" t="n">
        <v>49.2</v>
      </c>
      <c r="I178" t="n">
        <v>48.73</v>
      </c>
      <c r="K178" t="n">
        <v>47.6</v>
      </c>
      <c r="L178" t="n">
        <v>45.1</v>
      </c>
      <c r="M178" t="n">
        <v>49.9</v>
      </c>
      <c r="U178" t="n">
        <v>47.1</v>
      </c>
      <c r="V178" t="n">
        <v>46.9</v>
      </c>
      <c r="AD178" t="n">
        <v>46.0942129342399</v>
      </c>
      <c r="AN178" t="n">
        <v>48.3</v>
      </c>
      <c r="AP178" t="n">
        <v>42.4</v>
      </c>
      <c r="AX178" t="n">
        <v>45.9</v>
      </c>
    </row>
    <row r="179">
      <c r="A179" s="81" t="n">
        <v>39692</v>
      </c>
      <c r="B179" t="n">
        <v>47</v>
      </c>
      <c r="F179" t="n">
        <v>47.7</v>
      </c>
      <c r="I179" t="n">
        <v>52.91</v>
      </c>
      <c r="K179" t="n">
        <v>45</v>
      </c>
      <c r="L179" t="n">
        <v>43.6</v>
      </c>
      <c r="M179" t="n">
        <v>48.1</v>
      </c>
      <c r="U179" t="n">
        <v>44.4</v>
      </c>
      <c r="V179" t="n">
        <v>44.3</v>
      </c>
      <c r="AD179" t="n">
        <v>46.8163025345749</v>
      </c>
      <c r="AN179" t="n">
        <v>47.07</v>
      </c>
      <c r="AP179" t="n">
        <v>38.3</v>
      </c>
      <c r="AX179" t="n">
        <v>41</v>
      </c>
    </row>
    <row r="180">
      <c r="A180" s="81" t="n">
        <v>39722</v>
      </c>
      <c r="B180" t="n">
        <v>46.9</v>
      </c>
      <c r="F180" t="n">
        <v>45.2</v>
      </c>
      <c r="I180" t="n">
        <v>40.79</v>
      </c>
      <c r="K180" t="n">
        <v>38.9</v>
      </c>
      <c r="L180" t="n">
        <v>40.8</v>
      </c>
      <c r="M180" t="n">
        <v>43.3</v>
      </c>
      <c r="U180" t="n">
        <v>39.7</v>
      </c>
      <c r="V180" t="n">
        <v>42.2</v>
      </c>
      <c r="AD180" t="n">
        <v>44.0456686433936</v>
      </c>
      <c r="AN180" t="n">
        <v>45.16</v>
      </c>
      <c r="AP180" t="n">
        <v>34.6</v>
      </c>
      <c r="AX180" t="n">
        <v>41.5</v>
      </c>
    </row>
    <row r="181">
      <c r="A181" s="81" t="n">
        <v>39753</v>
      </c>
      <c r="B181" t="n">
        <v>40.4</v>
      </c>
      <c r="F181" t="n">
        <v>40.9</v>
      </c>
      <c r="I181" t="n">
        <v>45.47</v>
      </c>
      <c r="K181" t="n">
        <v>35.6</v>
      </c>
      <c r="L181" t="n">
        <v>37.9</v>
      </c>
      <c r="M181" t="n">
        <v>36.7</v>
      </c>
      <c r="U181" t="n">
        <v>34.9</v>
      </c>
      <c r="V181" t="n">
        <v>36.7</v>
      </c>
      <c r="AD181" t="n">
        <v>36.0837961755269</v>
      </c>
      <c r="AN181" t="n">
        <v>38.97</v>
      </c>
      <c r="AP181" t="n">
        <v>29.4</v>
      </c>
      <c r="AX181" t="n">
        <v>34.4</v>
      </c>
    </row>
    <row r="182">
      <c r="A182" s="81" t="n">
        <v>39783</v>
      </c>
      <c r="B182" t="n">
        <v>33.7</v>
      </c>
      <c r="F182" t="n">
        <v>41.2</v>
      </c>
      <c r="I182" t="n">
        <v>40.3</v>
      </c>
      <c r="K182" t="n">
        <v>33.9</v>
      </c>
      <c r="L182" t="n">
        <v>35.9</v>
      </c>
      <c r="M182" t="n">
        <v>33.5</v>
      </c>
      <c r="U182" t="n">
        <v>35.5</v>
      </c>
      <c r="V182" t="n">
        <v>30.8</v>
      </c>
      <c r="AD182" t="n">
        <v>42.4353982409497</v>
      </c>
      <c r="AN182" t="n">
        <v>40.24</v>
      </c>
      <c r="AP182" t="n">
        <v>28.5</v>
      </c>
      <c r="AX182" t="n">
        <v>34.9</v>
      </c>
    </row>
    <row r="183">
      <c r="A183" s="81" t="n">
        <v>39814</v>
      </c>
      <c r="B183" t="n">
        <v>36.6</v>
      </c>
      <c r="F183" t="n">
        <v>42.2</v>
      </c>
      <c r="I183" t="n">
        <v>25.32</v>
      </c>
      <c r="K183" t="n">
        <v>34.4</v>
      </c>
      <c r="L183" t="n">
        <v>38.1</v>
      </c>
      <c r="M183" t="n">
        <v>32</v>
      </c>
      <c r="U183" t="n">
        <v>36.1</v>
      </c>
      <c r="V183" t="n">
        <v>29.6</v>
      </c>
      <c r="AD183" t="n">
        <v>42.236706316595</v>
      </c>
      <c r="AN183" t="n">
        <v>39.9</v>
      </c>
      <c r="AP183" t="n">
        <v>31.5</v>
      </c>
      <c r="AX183" t="n">
        <v>35.8</v>
      </c>
    </row>
    <row r="184">
      <c r="A184" s="81" t="n">
        <v>39845</v>
      </c>
      <c r="B184" t="n">
        <v>31.7</v>
      </c>
      <c r="F184" t="n">
        <v>45.1</v>
      </c>
      <c r="I184" t="n">
        <v>25.02</v>
      </c>
      <c r="K184" t="n">
        <v>33.5</v>
      </c>
      <c r="L184" t="n">
        <v>32.3</v>
      </c>
      <c r="M184" t="n">
        <v>32.2</v>
      </c>
      <c r="U184" t="n">
        <v>35</v>
      </c>
      <c r="V184" t="n">
        <v>31.6</v>
      </c>
      <c r="AD184" t="n">
        <v>38.9363837498537</v>
      </c>
      <c r="AN184" t="n">
        <v>37.59</v>
      </c>
      <c r="AP184" t="n">
        <v>31.8</v>
      </c>
      <c r="AX184" t="n">
        <v>34.7</v>
      </c>
    </row>
    <row r="185">
      <c r="A185" s="81" t="n">
        <v>39873</v>
      </c>
      <c r="B185" t="n">
        <v>33.4</v>
      </c>
      <c r="F185" t="n">
        <v>44.8</v>
      </c>
      <c r="I185" t="n">
        <v>30.56</v>
      </c>
      <c r="K185" t="n">
        <v>33.9</v>
      </c>
      <c r="L185" t="n">
        <v>36.3</v>
      </c>
      <c r="M185" t="n">
        <v>32.4</v>
      </c>
      <c r="U185" t="n">
        <v>34.6</v>
      </c>
      <c r="V185" t="n">
        <v>33.8</v>
      </c>
      <c r="AD185" t="n">
        <v>41.5630783373374</v>
      </c>
      <c r="AN185" t="n">
        <v>35.76</v>
      </c>
      <c r="AP185" t="n">
        <v>32.9</v>
      </c>
      <c r="AX185" t="n">
        <v>39.1</v>
      </c>
    </row>
    <row r="186">
      <c r="A186" s="81" t="n">
        <v>39904</v>
      </c>
      <c r="B186" t="n">
        <v>30.1</v>
      </c>
      <c r="F186" t="n">
        <v>50.1</v>
      </c>
      <c r="I186" t="n">
        <v>34.45</v>
      </c>
      <c r="K186" t="n">
        <v>36.8</v>
      </c>
      <c r="L186" t="n">
        <v>40</v>
      </c>
      <c r="M186" t="n">
        <v>35</v>
      </c>
      <c r="U186" t="n">
        <v>37.2</v>
      </c>
      <c r="V186" t="n">
        <v>41.4</v>
      </c>
      <c r="AD186" t="n">
        <v>43.3482954319385</v>
      </c>
      <c r="AN186" t="n">
        <v>35.09</v>
      </c>
      <c r="AP186" t="n">
        <v>34.6</v>
      </c>
      <c r="AX186" t="n">
        <v>42.9</v>
      </c>
    </row>
    <row r="187">
      <c r="A187" s="81" t="n">
        <v>39934</v>
      </c>
      <c r="B187" t="n">
        <v>37.5</v>
      </c>
      <c r="F187" t="n">
        <v>51.2</v>
      </c>
      <c r="I187" t="n">
        <v>27.75</v>
      </c>
      <c r="K187" t="n">
        <v>40.7</v>
      </c>
      <c r="L187" t="n">
        <v>43.1</v>
      </c>
      <c r="M187" t="n">
        <v>39.6</v>
      </c>
      <c r="U187" t="n">
        <v>41.1</v>
      </c>
      <c r="V187" t="n">
        <v>46.6</v>
      </c>
      <c r="AD187" t="n">
        <v>41.8747224523421</v>
      </c>
      <c r="AN187" t="n">
        <v>37.52</v>
      </c>
      <c r="AP187" t="n">
        <v>39.8</v>
      </c>
      <c r="AX187" t="n">
        <v>45.4</v>
      </c>
    </row>
    <row r="188">
      <c r="A188" s="81" t="n">
        <v>39965</v>
      </c>
      <c r="B188" t="n">
        <v>38.4</v>
      </c>
      <c r="F188" t="n">
        <v>51.8</v>
      </c>
      <c r="I188" t="n">
        <v>42</v>
      </c>
      <c r="K188" t="n">
        <v>42.6</v>
      </c>
      <c r="L188" t="n">
        <v>45.9</v>
      </c>
      <c r="M188" t="n">
        <v>40.9</v>
      </c>
      <c r="U188" t="n">
        <v>42.7</v>
      </c>
      <c r="V188" t="n">
        <v>48.2</v>
      </c>
      <c r="AD188" t="n">
        <v>45.5610293561352</v>
      </c>
      <c r="AN188" t="n">
        <v>39.7</v>
      </c>
      <c r="AP188" t="n">
        <v>42.8</v>
      </c>
      <c r="AX188" t="n">
        <v>47</v>
      </c>
    </row>
    <row r="189">
      <c r="A189" s="81" t="n">
        <v>39995</v>
      </c>
      <c r="B189" t="n">
        <v>44.5</v>
      </c>
      <c r="F189" t="n">
        <v>52.8</v>
      </c>
      <c r="I189" t="n">
        <v>47.7</v>
      </c>
      <c r="K189" t="n">
        <v>46.3</v>
      </c>
      <c r="L189" t="n">
        <v>50.2</v>
      </c>
      <c r="M189" t="n">
        <v>45.2</v>
      </c>
      <c r="U189" t="n">
        <v>45.4</v>
      </c>
      <c r="V189" t="n">
        <v>50.4</v>
      </c>
      <c r="AD189" t="n">
        <v>49.7341834054072</v>
      </c>
      <c r="AN189" t="n">
        <v>39.43</v>
      </c>
      <c r="AP189" t="n">
        <v>47.3</v>
      </c>
      <c r="AX189" t="n">
        <v>50.8</v>
      </c>
    </row>
    <row r="190">
      <c r="A190" s="81" t="n">
        <v>40026</v>
      </c>
      <c r="B190" t="n">
        <v>51.7</v>
      </c>
      <c r="F190" t="n">
        <v>55.1</v>
      </c>
      <c r="I190" t="n">
        <v>42.59</v>
      </c>
      <c r="K190" t="n">
        <v>48.2</v>
      </c>
      <c r="L190" t="n">
        <v>52.5</v>
      </c>
      <c r="M190" t="n">
        <v>49</v>
      </c>
      <c r="U190" t="n">
        <v>44.2</v>
      </c>
      <c r="V190" t="n">
        <v>53.6</v>
      </c>
      <c r="AD190" t="n">
        <v>49.6423502738644</v>
      </c>
      <c r="AN190" t="n">
        <v>40.66</v>
      </c>
      <c r="AP190" t="n">
        <v>47.2</v>
      </c>
      <c r="AX190" t="n">
        <v>49.7</v>
      </c>
    </row>
    <row r="191">
      <c r="A191" s="81" t="n">
        <v>40057</v>
      </c>
      <c r="B191" t="n">
        <v>52</v>
      </c>
      <c r="F191" t="n">
        <v>55</v>
      </c>
      <c r="I191" t="n">
        <v>42.73</v>
      </c>
      <c r="K191" t="n">
        <v>49.3</v>
      </c>
      <c r="L191" t="n">
        <v>53</v>
      </c>
      <c r="M191" t="n">
        <v>49.6</v>
      </c>
      <c r="U191" t="n">
        <v>47.6</v>
      </c>
      <c r="V191" t="n">
        <v>54.5</v>
      </c>
      <c r="AD191" t="n">
        <v>52.6800292705146</v>
      </c>
      <c r="AN191" t="n">
        <v>47.46</v>
      </c>
      <c r="AP191" t="n">
        <v>45.8</v>
      </c>
      <c r="AX191" t="n">
        <v>49.5</v>
      </c>
    </row>
    <row r="192">
      <c r="A192" s="81" t="n">
        <v>40087</v>
      </c>
      <c r="B192" t="n">
        <v>51.7</v>
      </c>
      <c r="F192" t="n">
        <v>55.4</v>
      </c>
      <c r="I192" t="n">
        <v>49.89</v>
      </c>
      <c r="K192" t="n">
        <v>50.7</v>
      </c>
      <c r="L192" t="n">
        <v>54.2</v>
      </c>
      <c r="M192" t="n">
        <v>51.1</v>
      </c>
      <c r="U192" t="n">
        <v>49.2</v>
      </c>
      <c r="V192" t="n">
        <v>54.3</v>
      </c>
      <c r="AD192" t="n">
        <v>51.7262292777555</v>
      </c>
      <c r="AN192" t="n">
        <v>47.74</v>
      </c>
      <c r="AP192" t="n">
        <v>46.3</v>
      </c>
      <c r="AX192" t="n">
        <v>53.7</v>
      </c>
    </row>
    <row r="193">
      <c r="A193" s="81" t="n">
        <v>40118</v>
      </c>
      <c r="B193" t="n">
        <v>51.2</v>
      </c>
      <c r="F193" t="n">
        <v>55.7</v>
      </c>
      <c r="I193" t="n">
        <v>50.67</v>
      </c>
      <c r="K193" t="n">
        <v>51.2</v>
      </c>
      <c r="L193" t="n">
        <v>54.4</v>
      </c>
      <c r="M193" t="n">
        <v>52.4</v>
      </c>
      <c r="U193" t="n">
        <v>50.1</v>
      </c>
      <c r="V193" t="n">
        <v>52.3</v>
      </c>
      <c r="AD193" t="n">
        <v>53.3261982858724</v>
      </c>
      <c r="AN193" t="n">
        <v>49.48</v>
      </c>
      <c r="AP193" t="n">
        <v>45.3</v>
      </c>
      <c r="AX193" t="n">
        <v>51.8</v>
      </c>
    </row>
    <row r="194">
      <c r="A194" s="81" t="n">
        <v>40148</v>
      </c>
      <c r="B194" t="n">
        <v>48.5</v>
      </c>
      <c r="F194" t="n">
        <v>56.1</v>
      </c>
      <c r="I194" t="n">
        <v>49.48</v>
      </c>
      <c r="K194" t="n">
        <v>51.6</v>
      </c>
      <c r="L194" t="n">
        <v>54.7</v>
      </c>
      <c r="M194" t="n">
        <v>53.1</v>
      </c>
      <c r="U194" t="n">
        <v>50.8</v>
      </c>
      <c r="V194" t="n">
        <v>53.8</v>
      </c>
      <c r="AD194" t="n">
        <v>53.1454156225943</v>
      </c>
      <c r="AN194" t="n">
        <v>52.58</v>
      </c>
      <c r="AP194" t="n">
        <v>45.2</v>
      </c>
      <c r="AX194" t="n">
        <v>54.1</v>
      </c>
    </row>
    <row r="195">
      <c r="A195" s="81" t="n">
        <v>40179</v>
      </c>
      <c r="B195" t="n">
        <v>51</v>
      </c>
      <c r="F195" t="n">
        <v>57.4</v>
      </c>
      <c r="I195" t="n">
        <v>50.96</v>
      </c>
      <c r="K195" t="n">
        <v>52.4</v>
      </c>
      <c r="L195" t="n">
        <v>54.6</v>
      </c>
      <c r="M195" t="n">
        <v>53.4</v>
      </c>
      <c r="U195" t="n">
        <v>51.7</v>
      </c>
      <c r="V195" t="n">
        <v>52.5</v>
      </c>
      <c r="AD195" t="n">
        <v>51.8236410678467</v>
      </c>
      <c r="AN195" t="n">
        <v>52.14</v>
      </c>
      <c r="AP195" t="n">
        <v>45.3</v>
      </c>
      <c r="AX195" t="n">
        <v>56.7</v>
      </c>
    </row>
    <row r="196">
      <c r="A196" s="81" t="n">
        <v>40210</v>
      </c>
      <c r="B196" t="n">
        <v>53.8</v>
      </c>
      <c r="F196" t="n">
        <v>55.8</v>
      </c>
      <c r="I196" t="n">
        <v>48.93</v>
      </c>
      <c r="K196" t="n">
        <v>54.2</v>
      </c>
      <c r="L196" t="n">
        <v>56.3</v>
      </c>
      <c r="M196" t="n">
        <v>57.2</v>
      </c>
      <c r="U196" t="n">
        <v>51.6</v>
      </c>
      <c r="V196" t="n">
        <v>52.5</v>
      </c>
      <c r="AD196" t="n">
        <v>52.5334134474359</v>
      </c>
      <c r="AN196" t="n">
        <v>55.72</v>
      </c>
      <c r="AP196" t="n">
        <v>49.1</v>
      </c>
      <c r="AX196" t="n">
        <v>56.6</v>
      </c>
    </row>
    <row r="197">
      <c r="A197" s="81" t="n">
        <v>40238</v>
      </c>
      <c r="B197" t="n">
        <v>50.2</v>
      </c>
      <c r="F197" t="n">
        <v>57</v>
      </c>
      <c r="I197" t="n">
        <v>51.66</v>
      </c>
      <c r="K197" t="n">
        <v>56.6</v>
      </c>
      <c r="L197" t="n">
        <v>56.7</v>
      </c>
      <c r="M197" t="n">
        <v>59.6</v>
      </c>
      <c r="U197" t="n">
        <v>53.7</v>
      </c>
      <c r="V197" t="n">
        <v>52.4</v>
      </c>
      <c r="AD197" t="n">
        <v>55.832523203119</v>
      </c>
      <c r="AN197" t="n">
        <v>53.65</v>
      </c>
      <c r="AP197" t="n">
        <v>51.8</v>
      </c>
      <c r="AX197" t="n">
        <v>57.2</v>
      </c>
    </row>
    <row r="198">
      <c r="A198" s="81" t="n">
        <v>40269</v>
      </c>
      <c r="B198" t="n">
        <v>59.8</v>
      </c>
      <c r="F198" t="n">
        <v>55.4</v>
      </c>
      <c r="I198" t="n">
        <v>49.02</v>
      </c>
      <c r="K198" t="n">
        <v>57.6</v>
      </c>
      <c r="L198" t="n">
        <v>56.6</v>
      </c>
      <c r="M198" t="n">
        <v>61.5</v>
      </c>
      <c r="U198" t="n">
        <v>54.3</v>
      </c>
      <c r="V198" t="n">
        <v>53.5</v>
      </c>
      <c r="AD198" t="n">
        <v>58.4019949666218</v>
      </c>
      <c r="AN198" t="n">
        <v>53.24</v>
      </c>
      <c r="AP198" t="n">
        <v>53.3</v>
      </c>
      <c r="AX198" t="n">
        <v>58</v>
      </c>
    </row>
    <row r="199">
      <c r="A199" s="81" t="n">
        <v>40299</v>
      </c>
      <c r="B199" t="n">
        <v>56.3</v>
      </c>
      <c r="F199" t="n">
        <v>52.7</v>
      </c>
      <c r="I199" t="n">
        <v>51.33</v>
      </c>
      <c r="K199" t="n">
        <v>55.8</v>
      </c>
      <c r="L199" t="n">
        <v>55.8</v>
      </c>
      <c r="M199" t="n">
        <v>58.4</v>
      </c>
      <c r="U199" t="n">
        <v>54</v>
      </c>
      <c r="V199" t="n">
        <v>54.7</v>
      </c>
      <c r="AD199" t="n">
        <v>51.8006228698843</v>
      </c>
      <c r="AN199" t="n">
        <v>51.19</v>
      </c>
      <c r="AP199" t="n">
        <v>51.5</v>
      </c>
      <c r="AX199" t="n">
        <v>58</v>
      </c>
    </row>
    <row r="200">
      <c r="A200" s="81" t="n">
        <v>40330</v>
      </c>
      <c r="B200" t="n">
        <v>52.9</v>
      </c>
      <c r="F200" t="n">
        <v>50.4</v>
      </c>
      <c r="I200" t="n">
        <v>50.2</v>
      </c>
      <c r="K200" t="n">
        <v>55.6</v>
      </c>
      <c r="L200" t="n">
        <v>53.7</v>
      </c>
      <c r="M200" t="n">
        <v>58.1</v>
      </c>
      <c r="U200" t="n">
        <v>54.3</v>
      </c>
      <c r="V200" t="n">
        <v>53.9</v>
      </c>
      <c r="AD200" t="n">
        <v>54.8859164581427</v>
      </c>
      <c r="AN200" t="n">
        <v>50.84</v>
      </c>
      <c r="AP200" t="n">
        <v>51.2</v>
      </c>
      <c r="AX200" t="n">
        <v>57.5</v>
      </c>
    </row>
    <row r="201">
      <c r="A201" s="81" t="n">
        <v>40360</v>
      </c>
      <c r="B201" t="n">
        <v>54.4</v>
      </c>
      <c r="F201" t="n">
        <v>49.4</v>
      </c>
      <c r="I201" t="n">
        <v>54.3</v>
      </c>
      <c r="K201" t="n">
        <v>56.7</v>
      </c>
      <c r="L201" t="n">
        <v>54.7</v>
      </c>
      <c r="M201" t="n">
        <v>61.2</v>
      </c>
      <c r="U201" t="n">
        <v>54.4</v>
      </c>
      <c r="V201" t="n">
        <v>52.8</v>
      </c>
      <c r="AD201" t="n">
        <v>50.2569438138579</v>
      </c>
      <c r="AN201" t="n">
        <v>52.65</v>
      </c>
      <c r="AP201" t="n">
        <v>51.6</v>
      </c>
      <c r="AX201" t="n">
        <v>57.3</v>
      </c>
    </row>
    <row r="202">
      <c r="A202" s="81" t="n">
        <v>40391</v>
      </c>
      <c r="B202" t="n">
        <v>51.7</v>
      </c>
      <c r="F202" t="n">
        <v>51.9</v>
      </c>
      <c r="I202" t="n">
        <v>54.73</v>
      </c>
      <c r="K202" t="n">
        <v>55.1</v>
      </c>
      <c r="L202" t="n">
        <v>55.4</v>
      </c>
      <c r="M202" t="n">
        <v>58.2</v>
      </c>
      <c r="U202" t="n">
        <v>52.8</v>
      </c>
      <c r="V202" t="n">
        <v>50.1</v>
      </c>
      <c r="AD202" t="n">
        <v>50.2889133409545</v>
      </c>
      <c r="AN202" t="n">
        <v>51.95</v>
      </c>
      <c r="AP202" t="n">
        <v>51.2</v>
      </c>
      <c r="AX202" t="n">
        <v>54.3</v>
      </c>
    </row>
    <row r="203">
      <c r="A203" s="81" t="n">
        <v>40422</v>
      </c>
      <c r="B203" t="n">
        <v>47.3</v>
      </c>
      <c r="F203" t="n">
        <v>52.9</v>
      </c>
      <c r="I203" t="n">
        <v>56.27</v>
      </c>
      <c r="K203" t="n">
        <v>53.7</v>
      </c>
      <c r="L203" t="n">
        <v>55.2</v>
      </c>
      <c r="M203" t="n">
        <v>55.3</v>
      </c>
      <c r="U203" t="n">
        <v>52.6</v>
      </c>
      <c r="V203" t="n">
        <v>49.5</v>
      </c>
      <c r="AD203" t="n">
        <v>50.9892799734238</v>
      </c>
      <c r="AN203" t="n">
        <v>50.14</v>
      </c>
      <c r="AP203" t="n">
        <v>49.6</v>
      </c>
      <c r="AX203" t="n">
        <v>53.4</v>
      </c>
    </row>
    <row r="204">
      <c r="A204" s="81" t="n">
        <v>40452</v>
      </c>
      <c r="B204" t="n">
        <v>49.4</v>
      </c>
      <c r="D204" t="n">
        <v>49.5</v>
      </c>
      <c r="F204" t="n">
        <v>54.8</v>
      </c>
      <c r="H204" t="n">
        <v>57.2</v>
      </c>
      <c r="I204" t="n">
        <v>56.89</v>
      </c>
      <c r="K204" t="n">
        <v>54.6</v>
      </c>
      <c r="L204" t="n">
        <v>57.5</v>
      </c>
      <c r="M204" t="n">
        <v>56.6</v>
      </c>
      <c r="Q204" t="n">
        <v>57.2</v>
      </c>
      <c r="S204" t="n">
        <v>50.9</v>
      </c>
      <c r="U204" t="n">
        <v>53</v>
      </c>
      <c r="V204" t="n">
        <v>47.2</v>
      </c>
      <c r="AD204" t="n">
        <v>51.4252261099097</v>
      </c>
      <c r="AH204" t="n">
        <v>55.6</v>
      </c>
      <c r="AK204" t="n">
        <v>51.8</v>
      </c>
      <c r="AN204" t="n">
        <v>51.35</v>
      </c>
      <c r="AP204" t="n">
        <v>51.2</v>
      </c>
      <c r="AT204" t="n">
        <v>48.6</v>
      </c>
      <c r="AV204" t="n">
        <v>54.3</v>
      </c>
      <c r="AX204" t="n">
        <v>54.9</v>
      </c>
      <c r="AY204" t="n">
        <v>56.9</v>
      </c>
    </row>
    <row r="205">
      <c r="A205" s="81" t="n">
        <v>40482</v>
      </c>
      <c r="N205" t="n">
        <v>43.6</v>
      </c>
    </row>
    <row r="206">
      <c r="A206" s="81" t="n">
        <v>40483</v>
      </c>
      <c r="B206" t="n">
        <v>47.6</v>
      </c>
      <c r="D206" t="n">
        <v>49.9</v>
      </c>
      <c r="F206" t="n">
        <v>55.3</v>
      </c>
      <c r="H206" t="n">
        <v>57.3</v>
      </c>
      <c r="I206" t="n">
        <v>55.8</v>
      </c>
      <c r="K206" t="n">
        <v>55.3</v>
      </c>
      <c r="L206" t="n">
        <v>56.3</v>
      </c>
      <c r="M206" t="n">
        <v>58.1</v>
      </c>
      <c r="N206" t="n">
        <v>43.9</v>
      </c>
      <c r="Q206" t="n">
        <v>58.4</v>
      </c>
      <c r="S206" t="n">
        <v>51.2</v>
      </c>
      <c r="U206" t="n">
        <v>52</v>
      </c>
      <c r="V206" t="n">
        <v>47.3</v>
      </c>
      <c r="AD206" t="n">
        <v>54.9544836853158</v>
      </c>
      <c r="AH206" t="n">
        <v>55.9</v>
      </c>
      <c r="AK206" t="n">
        <v>51.1</v>
      </c>
      <c r="AN206" t="n">
        <v>52.54</v>
      </c>
      <c r="AP206" t="n">
        <v>50</v>
      </c>
      <c r="AT206" t="n">
        <v>51.7</v>
      </c>
      <c r="AV206" t="n">
        <v>56.4</v>
      </c>
      <c r="AX206" t="n">
        <v>58</v>
      </c>
      <c r="AY206" t="n">
        <v>56.6</v>
      </c>
    </row>
    <row r="207">
      <c r="A207" s="81" t="n">
        <v>40513</v>
      </c>
      <c r="B207" t="n">
        <v>46.3</v>
      </c>
      <c r="D207" t="n">
        <v>52.4</v>
      </c>
      <c r="F207" t="n">
        <v>54.4</v>
      </c>
      <c r="H207" t="n">
        <v>58.4</v>
      </c>
      <c r="I207" t="n">
        <v>62.4</v>
      </c>
      <c r="K207" t="n">
        <v>57.1</v>
      </c>
      <c r="L207" t="n">
        <v>54.3</v>
      </c>
      <c r="M207" t="n">
        <v>60.9</v>
      </c>
      <c r="N207" t="n">
        <v>43.1</v>
      </c>
      <c r="Q207" t="n">
        <v>56.7</v>
      </c>
      <c r="S207" t="n">
        <v>52.2</v>
      </c>
      <c r="U207" t="n">
        <v>54.7</v>
      </c>
      <c r="V207" t="n">
        <v>48.3</v>
      </c>
      <c r="AD207" t="n">
        <v>53.2138368223341</v>
      </c>
      <c r="AH207" t="n">
        <v>56.3</v>
      </c>
      <c r="AK207" t="n">
        <v>53.5</v>
      </c>
      <c r="AN207" t="n">
        <v>52.81</v>
      </c>
      <c r="AO207" t="n">
        <v>53.9</v>
      </c>
      <c r="AP207" t="n">
        <v>51.5</v>
      </c>
      <c r="AT207" t="n">
        <v>51.7</v>
      </c>
      <c r="AV207" t="n">
        <v>56.4</v>
      </c>
      <c r="AX207" t="n">
        <v>58.3</v>
      </c>
      <c r="AY207" t="n">
        <v>57</v>
      </c>
    </row>
    <row r="208">
      <c r="A208" s="81" t="n">
        <v>40544</v>
      </c>
      <c r="B208" t="n">
        <v>46.7</v>
      </c>
      <c r="D208" t="n">
        <v>53.1</v>
      </c>
      <c r="F208" t="n">
        <v>54.5</v>
      </c>
      <c r="H208" t="n">
        <v>60.5</v>
      </c>
      <c r="I208" t="n">
        <v>57.21</v>
      </c>
      <c r="K208" t="n">
        <v>57.3</v>
      </c>
      <c r="L208" t="n">
        <v>54.9</v>
      </c>
      <c r="M208" t="n">
        <v>60.5</v>
      </c>
      <c r="N208" t="n">
        <v>42.8</v>
      </c>
      <c r="Q208" t="n">
        <v>56.8</v>
      </c>
      <c r="S208" t="n">
        <v>55.8</v>
      </c>
      <c r="U208" t="n">
        <v>56.6</v>
      </c>
      <c r="V208" t="n">
        <v>51.4</v>
      </c>
      <c r="AD208" t="n">
        <v>52.9414187104486</v>
      </c>
      <c r="AH208" t="n">
        <v>55.6</v>
      </c>
      <c r="AK208" t="n">
        <v>53.5</v>
      </c>
      <c r="AN208" t="n">
        <v>53.56</v>
      </c>
      <c r="AO208" t="n">
        <v>53.5</v>
      </c>
      <c r="AP208" t="n">
        <v>52</v>
      </c>
      <c r="AT208" t="n">
        <v>54.6</v>
      </c>
      <c r="AV208" t="n">
        <v>57.2</v>
      </c>
      <c r="AX208" t="n">
        <v>62</v>
      </c>
      <c r="AY208" t="n">
        <v>60.8</v>
      </c>
    </row>
    <row r="209">
      <c r="A209" s="81" t="n">
        <v>40575</v>
      </c>
      <c r="B209" t="n">
        <v>51.1</v>
      </c>
      <c r="D209" t="n">
        <v>54.6</v>
      </c>
      <c r="F209" t="n">
        <v>51.7</v>
      </c>
      <c r="H209" t="n">
        <v>59.8</v>
      </c>
      <c r="I209" t="n">
        <v>60.78</v>
      </c>
      <c r="K209" t="n">
        <v>59</v>
      </c>
      <c r="L209" t="n">
        <v>56.6</v>
      </c>
      <c r="M209" t="n">
        <v>62.7</v>
      </c>
      <c r="N209" t="n">
        <v>43.8</v>
      </c>
      <c r="Q209" t="n">
        <v>57.9</v>
      </c>
      <c r="S209" t="n">
        <v>56.7</v>
      </c>
      <c r="U209" t="n">
        <v>59</v>
      </c>
      <c r="V209" t="n">
        <v>52.9</v>
      </c>
      <c r="AD209" t="n">
        <v>51.2961480601499</v>
      </c>
      <c r="AH209" t="n">
        <v>53.8</v>
      </c>
      <c r="AK209" t="n">
        <v>56.4</v>
      </c>
      <c r="AN209" t="n">
        <v>51.49</v>
      </c>
      <c r="AO209" t="n">
        <v>53.4</v>
      </c>
      <c r="AP209" t="n">
        <v>52.1</v>
      </c>
      <c r="AT209" t="n">
        <v>55.8</v>
      </c>
      <c r="AV209" t="n">
        <v>58.5</v>
      </c>
      <c r="AX209" t="n">
        <v>64.5</v>
      </c>
      <c r="AY209" t="n">
        <v>61.4</v>
      </c>
    </row>
    <row r="210">
      <c r="A210" s="81" t="n">
        <v>40603</v>
      </c>
      <c r="B210" t="n">
        <v>47.9</v>
      </c>
      <c r="D210" t="n">
        <v>53.2</v>
      </c>
      <c r="F210" t="n">
        <v>51.8</v>
      </c>
      <c r="H210" t="n">
        <v>58.6</v>
      </c>
      <c r="I210" t="n">
        <v>62.07</v>
      </c>
      <c r="K210" t="n">
        <v>57.5</v>
      </c>
      <c r="L210" t="n">
        <v>56.9</v>
      </c>
      <c r="M210" t="n">
        <v>60.9</v>
      </c>
      <c r="N210" t="n">
        <v>45.4</v>
      </c>
      <c r="Q210" t="n">
        <v>57.9</v>
      </c>
      <c r="S210" t="n">
        <v>55.7</v>
      </c>
      <c r="U210" t="n">
        <v>56.2</v>
      </c>
      <c r="V210" t="n">
        <v>46.4</v>
      </c>
      <c r="AD210" t="n">
        <v>49.030116711296</v>
      </c>
      <c r="AH210" t="n">
        <v>54.8</v>
      </c>
      <c r="AK210" t="n">
        <v>55.1</v>
      </c>
      <c r="AN210" t="n">
        <v>54.71</v>
      </c>
      <c r="AO210" t="n">
        <v>52.8</v>
      </c>
      <c r="AP210" t="n">
        <v>51.6</v>
      </c>
      <c r="AT210" t="n">
        <v>55.6</v>
      </c>
      <c r="AV210" t="n">
        <v>56.1</v>
      </c>
      <c r="AX210" t="n">
        <v>57.1</v>
      </c>
      <c r="AY210" t="n">
        <v>61.2</v>
      </c>
    </row>
    <row r="211">
      <c r="A211" s="81" t="n">
        <v>40634</v>
      </c>
      <c r="B211" t="n">
        <v>48.4</v>
      </c>
      <c r="D211" t="n">
        <v>52.5</v>
      </c>
      <c r="E211" t="n">
        <v>56.3</v>
      </c>
      <c r="F211" t="n">
        <v>51.8</v>
      </c>
      <c r="H211" t="n">
        <v>59</v>
      </c>
      <c r="I211" t="n">
        <v>63.05</v>
      </c>
      <c r="K211" t="n">
        <v>58</v>
      </c>
      <c r="L211" t="n">
        <v>57.5</v>
      </c>
      <c r="M211" t="n">
        <v>62</v>
      </c>
      <c r="N211" t="n">
        <v>46.8</v>
      </c>
      <c r="Q211" t="n">
        <v>58</v>
      </c>
      <c r="R211" t="n">
        <v>48.1</v>
      </c>
      <c r="S211" t="n">
        <v>56</v>
      </c>
      <c r="U211" t="n">
        <v>55.5</v>
      </c>
      <c r="V211" t="n">
        <v>45.7</v>
      </c>
      <c r="AA211" t="n">
        <v>56.1</v>
      </c>
      <c r="AD211" t="n">
        <v>53.0485447056205</v>
      </c>
      <c r="AH211" t="n">
        <v>54.4</v>
      </c>
      <c r="AK211" t="n">
        <v>52.1</v>
      </c>
      <c r="AN211" t="n">
        <v>54.16</v>
      </c>
      <c r="AO211" t="n">
        <v>51.7</v>
      </c>
      <c r="AP211" t="n">
        <v>50.6</v>
      </c>
      <c r="AT211" t="n">
        <v>58.2</v>
      </c>
      <c r="AV211" t="n">
        <v>52.7</v>
      </c>
      <c r="AX211" t="n">
        <v>54.6</v>
      </c>
      <c r="AY211" t="n">
        <v>60.4</v>
      </c>
    </row>
    <row r="212">
      <c r="A212" s="81" t="n">
        <v>40664</v>
      </c>
      <c r="B212" t="n">
        <v>47.7</v>
      </c>
      <c r="D212" t="n">
        <v>53</v>
      </c>
      <c r="E212" t="n">
        <v>54.8</v>
      </c>
      <c r="F212" t="n">
        <v>51.6</v>
      </c>
      <c r="H212" t="n">
        <v>55.9</v>
      </c>
      <c r="I212" t="n">
        <v>58.59</v>
      </c>
      <c r="K212" t="n">
        <v>54.6</v>
      </c>
      <c r="L212" t="n">
        <v>54.9</v>
      </c>
      <c r="M212" t="n">
        <v>57.7</v>
      </c>
      <c r="N212" t="n">
        <v>44.5</v>
      </c>
      <c r="Q212" t="n">
        <v>57.5</v>
      </c>
      <c r="R212" t="n">
        <v>48</v>
      </c>
      <c r="S212" t="n">
        <v>51.8</v>
      </c>
      <c r="U212" t="n">
        <v>52.8</v>
      </c>
      <c r="V212" t="n">
        <v>51.3</v>
      </c>
      <c r="AA212" t="n">
        <v>54.5</v>
      </c>
      <c r="AD212" t="n">
        <v>52.8901271533159</v>
      </c>
      <c r="AH212" t="n">
        <v>52.6</v>
      </c>
      <c r="AK212" t="n">
        <v>50.9</v>
      </c>
      <c r="AN212" t="n">
        <v>54.1</v>
      </c>
      <c r="AO212" t="n">
        <v>51.2</v>
      </c>
      <c r="AP212" t="n">
        <v>48.2</v>
      </c>
      <c r="AT212" t="n">
        <v>54.9</v>
      </c>
      <c r="AV212" t="n">
        <v>50.6</v>
      </c>
      <c r="AX212" t="n">
        <v>52.1</v>
      </c>
      <c r="AY212" t="n">
        <v>53.5</v>
      </c>
    </row>
    <row r="213">
      <c r="A213" s="81" t="n">
        <v>40695</v>
      </c>
      <c r="B213" t="n">
        <v>52.9</v>
      </c>
      <c r="D213" t="n">
        <v>49</v>
      </c>
      <c r="E213" t="n">
        <v>52.8</v>
      </c>
      <c r="F213" t="n">
        <v>50.1</v>
      </c>
      <c r="H213" t="n">
        <v>55.1</v>
      </c>
      <c r="I213" t="n">
        <v>58.05</v>
      </c>
      <c r="K213" t="n">
        <v>52</v>
      </c>
      <c r="L213" t="n">
        <v>50.1</v>
      </c>
      <c r="M213" t="n">
        <v>54.9</v>
      </c>
      <c r="N213" t="n">
        <v>45.5</v>
      </c>
      <c r="Q213" t="n">
        <v>55.3</v>
      </c>
      <c r="R213" t="n">
        <v>50.5</v>
      </c>
      <c r="S213" t="n">
        <v>49.8</v>
      </c>
      <c r="U213" t="n">
        <v>49.9</v>
      </c>
      <c r="V213" t="n">
        <v>50.7</v>
      </c>
      <c r="AA213" t="n">
        <v>55.1</v>
      </c>
      <c r="AD213" t="n">
        <v>54.2766863057518</v>
      </c>
      <c r="AH213" t="n">
        <v>51.2</v>
      </c>
      <c r="AK213" t="n">
        <v>50.6</v>
      </c>
      <c r="AN213" t="n">
        <v>55.16</v>
      </c>
      <c r="AO213" t="n">
        <v>51.2</v>
      </c>
      <c r="AP213" t="n">
        <v>47.3</v>
      </c>
      <c r="AT213" t="n">
        <v>49.9</v>
      </c>
      <c r="AV213" t="n">
        <v>52.3</v>
      </c>
      <c r="AX213" t="n">
        <v>51.3</v>
      </c>
      <c r="AY213" t="n">
        <v>55.3</v>
      </c>
    </row>
    <row r="214">
      <c r="A214" s="81" t="n">
        <v>40725</v>
      </c>
      <c r="B214" t="n">
        <v>43.4</v>
      </c>
      <c r="D214" t="n">
        <v>47.8</v>
      </c>
      <c r="E214" t="n">
        <v>53.1</v>
      </c>
      <c r="F214" t="n">
        <v>49.3</v>
      </c>
      <c r="H214" t="n">
        <v>53.4</v>
      </c>
      <c r="I214" t="n">
        <v>58.37</v>
      </c>
      <c r="K214" t="n">
        <v>50.4</v>
      </c>
      <c r="L214" t="n">
        <v>50.5</v>
      </c>
      <c r="M214" t="n">
        <v>52</v>
      </c>
      <c r="N214" t="n">
        <v>45.2</v>
      </c>
      <c r="Q214" t="n">
        <v>56.3</v>
      </c>
      <c r="R214" t="n">
        <v>51</v>
      </c>
      <c r="S214" t="n">
        <v>48.2</v>
      </c>
      <c r="U214" t="n">
        <v>50.1</v>
      </c>
      <c r="V214" t="n">
        <v>52.1</v>
      </c>
      <c r="AA214" t="n">
        <v>54.8</v>
      </c>
      <c r="AD214" t="n">
        <v>52.9147851310544</v>
      </c>
      <c r="AH214" t="n">
        <v>52.9</v>
      </c>
      <c r="AK214" t="n">
        <v>49.8</v>
      </c>
      <c r="AN214" t="n">
        <v>46.16</v>
      </c>
      <c r="AO214" t="n">
        <v>51.1</v>
      </c>
      <c r="AP214" t="n">
        <v>45.6</v>
      </c>
      <c r="AT214" t="n">
        <v>46.1</v>
      </c>
      <c r="AV214" t="n">
        <v>52.3</v>
      </c>
      <c r="AX214" t="n">
        <v>49.1</v>
      </c>
      <c r="AY214" t="n">
        <v>50.9</v>
      </c>
    </row>
    <row r="215">
      <c r="A215" s="81" t="n">
        <v>40756</v>
      </c>
      <c r="B215" t="n">
        <v>43.3</v>
      </c>
      <c r="D215" t="n">
        <v>46</v>
      </c>
      <c r="E215" t="n">
        <v>54.9</v>
      </c>
      <c r="F215" t="n">
        <v>49.9</v>
      </c>
      <c r="H215" t="n">
        <v>53.4</v>
      </c>
      <c r="I215" t="n">
        <v>55.07</v>
      </c>
      <c r="K215" t="n">
        <v>49</v>
      </c>
      <c r="L215" t="n">
        <v>49.1</v>
      </c>
      <c r="M215" t="n">
        <v>50.9</v>
      </c>
      <c r="N215" t="n">
        <v>43.3</v>
      </c>
      <c r="Q215" t="n">
        <v>52.6</v>
      </c>
      <c r="R215" t="n">
        <v>50.9</v>
      </c>
      <c r="S215" t="n">
        <v>49.7</v>
      </c>
      <c r="U215" t="n">
        <v>47</v>
      </c>
      <c r="V215" t="n">
        <v>51.9</v>
      </c>
      <c r="AA215" t="n">
        <v>51.7</v>
      </c>
      <c r="AD215" t="n">
        <v>53.2760228348821</v>
      </c>
      <c r="AH215" t="n">
        <v>51.8</v>
      </c>
      <c r="AK215" t="n">
        <v>49.9</v>
      </c>
      <c r="AN215" t="n">
        <v>47.73</v>
      </c>
      <c r="AO215" t="n">
        <v>51.3</v>
      </c>
      <c r="AP215" t="n">
        <v>45.3</v>
      </c>
      <c r="AT215" t="n">
        <v>45.2</v>
      </c>
      <c r="AV215" t="n">
        <v>49.8</v>
      </c>
      <c r="AX215" t="n">
        <v>49</v>
      </c>
      <c r="AY215" t="n">
        <v>50.6</v>
      </c>
    </row>
    <row r="216">
      <c r="A216" s="81" t="n">
        <v>40787</v>
      </c>
      <c r="B216" t="n">
        <v>42.3</v>
      </c>
      <c r="D216" t="n">
        <v>45.5</v>
      </c>
      <c r="E216" t="n">
        <v>55</v>
      </c>
      <c r="F216" t="n">
        <v>49.9</v>
      </c>
      <c r="H216" t="n">
        <v>52.3</v>
      </c>
      <c r="I216" t="n">
        <v>64.40000000000001</v>
      </c>
      <c r="K216" t="n">
        <v>48.5</v>
      </c>
      <c r="L216" t="n">
        <v>48.2</v>
      </c>
      <c r="M216" t="n">
        <v>50.3</v>
      </c>
      <c r="N216" t="n">
        <v>43.2</v>
      </c>
      <c r="Q216" t="n">
        <v>50.4</v>
      </c>
      <c r="R216" t="n">
        <v>49.8</v>
      </c>
      <c r="S216" t="n">
        <v>47.3</v>
      </c>
      <c r="U216" t="n">
        <v>48.3</v>
      </c>
      <c r="V216" t="n">
        <v>49.3</v>
      </c>
      <c r="AA216" t="n">
        <v>53.2</v>
      </c>
      <c r="AD216" t="n">
        <v>51.1649272067922</v>
      </c>
      <c r="AH216" t="n">
        <v>50.2</v>
      </c>
      <c r="AK216" t="n">
        <v>50</v>
      </c>
      <c r="AN216" t="n">
        <v>52.45</v>
      </c>
      <c r="AO216" t="n">
        <v>49.7</v>
      </c>
      <c r="AP216" t="n">
        <v>43.7</v>
      </c>
      <c r="AT216" t="n">
        <v>44.5</v>
      </c>
      <c r="AV216" t="n">
        <v>51.5</v>
      </c>
      <c r="AX216" t="n">
        <v>51.1</v>
      </c>
      <c r="AY216" t="n">
        <v>51.6</v>
      </c>
    </row>
    <row r="217">
      <c r="A217" s="81" t="n">
        <v>40817</v>
      </c>
      <c r="B217" t="n">
        <v>47.4</v>
      </c>
      <c r="D217" t="n">
        <v>46.5</v>
      </c>
      <c r="E217" t="n">
        <v>53.7</v>
      </c>
      <c r="F217" t="n">
        <v>51</v>
      </c>
      <c r="H217" t="n">
        <v>51.7</v>
      </c>
      <c r="I217" t="n">
        <v>43.91</v>
      </c>
      <c r="K217" t="n">
        <v>47.1</v>
      </c>
      <c r="L217" t="n">
        <v>48.5</v>
      </c>
      <c r="M217" t="n">
        <v>49.1</v>
      </c>
      <c r="N217" t="n">
        <v>40.5</v>
      </c>
      <c r="Q217" t="n">
        <v>51</v>
      </c>
      <c r="R217" t="n">
        <v>51.3</v>
      </c>
      <c r="S217" t="n">
        <v>50.1</v>
      </c>
      <c r="U217" t="n">
        <v>43.3</v>
      </c>
      <c r="V217" t="n">
        <v>50.6</v>
      </c>
      <c r="AA217" t="n">
        <v>54.8</v>
      </c>
      <c r="AD217" t="n">
        <v>47.0556250366551</v>
      </c>
      <c r="AH217" t="n">
        <v>51.7</v>
      </c>
      <c r="AK217" t="n">
        <v>50.4</v>
      </c>
      <c r="AN217" t="n">
        <v>52.18</v>
      </c>
      <c r="AO217" t="n">
        <v>47.4</v>
      </c>
      <c r="AP217" t="n">
        <v>43.9</v>
      </c>
      <c r="AT217" t="n">
        <v>48</v>
      </c>
      <c r="AV217" t="n">
        <v>53.3</v>
      </c>
      <c r="AX217" t="n">
        <v>47.4</v>
      </c>
      <c r="AY217" t="n">
        <v>50.8</v>
      </c>
    </row>
    <row r="218">
      <c r="A218" s="81" t="n">
        <v>40848</v>
      </c>
      <c r="B218" t="n">
        <v>47.8</v>
      </c>
      <c r="D218" t="n">
        <v>48.7</v>
      </c>
      <c r="E218" t="n">
        <v>53.3</v>
      </c>
      <c r="F218" t="n">
        <v>47.7</v>
      </c>
      <c r="H218" t="n">
        <v>48.6</v>
      </c>
      <c r="I218" t="n">
        <v>47.79</v>
      </c>
      <c r="K218" t="n">
        <v>46.4</v>
      </c>
      <c r="L218" t="n">
        <v>47.3</v>
      </c>
      <c r="M218" t="n">
        <v>47.9</v>
      </c>
      <c r="N218" t="n">
        <v>40.9</v>
      </c>
      <c r="Q218" t="n">
        <v>52</v>
      </c>
      <c r="R218" t="n">
        <v>50.1</v>
      </c>
      <c r="S218" t="n">
        <v>48.5</v>
      </c>
      <c r="U218" t="n">
        <v>44</v>
      </c>
      <c r="V218" t="n">
        <v>49.1</v>
      </c>
      <c r="AA218" t="n">
        <v>53.9</v>
      </c>
      <c r="AD218" t="n">
        <v>47.8189290340678</v>
      </c>
      <c r="AH218" t="n">
        <v>49.5</v>
      </c>
      <c r="AK218" t="n">
        <v>52.6</v>
      </c>
      <c r="AN218" t="n">
        <v>51.66</v>
      </c>
      <c r="AO218" t="n">
        <v>48</v>
      </c>
      <c r="AP218" t="n">
        <v>43.8</v>
      </c>
      <c r="AT218" t="n">
        <v>47.1</v>
      </c>
      <c r="AV218" t="n">
        <v>52.3</v>
      </c>
      <c r="AX218" t="n">
        <v>47.6</v>
      </c>
      <c r="AY218" t="n">
        <v>52.7</v>
      </c>
    </row>
    <row r="219">
      <c r="A219" s="81" t="n">
        <v>40878</v>
      </c>
      <c r="B219" t="n">
        <v>50.2</v>
      </c>
      <c r="D219" t="n">
        <v>49.3</v>
      </c>
      <c r="E219" t="n">
        <v>54</v>
      </c>
      <c r="F219" t="n">
        <v>48.7</v>
      </c>
      <c r="H219" t="n">
        <v>49.2</v>
      </c>
      <c r="I219" t="n">
        <v>58.44</v>
      </c>
      <c r="K219" t="n">
        <v>46.9</v>
      </c>
      <c r="L219" t="n">
        <v>48.9</v>
      </c>
      <c r="M219" t="n">
        <v>48.4</v>
      </c>
      <c r="N219" t="n">
        <v>42</v>
      </c>
      <c r="Q219" t="n">
        <v>57</v>
      </c>
      <c r="R219" t="n">
        <v>48.1</v>
      </c>
      <c r="S219" t="n">
        <v>49.8</v>
      </c>
      <c r="U219" t="n">
        <v>44.3</v>
      </c>
      <c r="V219" t="n">
        <v>50.2</v>
      </c>
      <c r="AA219" t="n">
        <v>53.1</v>
      </c>
      <c r="AD219" t="n">
        <v>52.0794686386442</v>
      </c>
      <c r="AH219" t="n">
        <v>48.8</v>
      </c>
      <c r="AK219" t="n">
        <v>51.6</v>
      </c>
      <c r="AN219" t="n">
        <v>51.4</v>
      </c>
      <c r="AO219" t="n">
        <v>47.1</v>
      </c>
      <c r="AP219" t="n">
        <v>43.7</v>
      </c>
      <c r="AT219" t="n">
        <v>47.1</v>
      </c>
      <c r="AV219" t="n">
        <v>52</v>
      </c>
      <c r="AX219" t="n">
        <v>49.6</v>
      </c>
      <c r="AY219" t="n">
        <v>53.2</v>
      </c>
    </row>
    <row r="220">
      <c r="A220" s="81" t="n">
        <v>40909</v>
      </c>
      <c r="B220" t="n">
        <v>51.6</v>
      </c>
      <c r="D220" t="n">
        <v>50.6</v>
      </c>
      <c r="E220" t="n">
        <v>50.6</v>
      </c>
      <c r="F220" t="n">
        <v>48.8</v>
      </c>
      <c r="H220" t="n">
        <v>48.8</v>
      </c>
      <c r="I220" t="n">
        <v>52.12</v>
      </c>
      <c r="K220" t="n">
        <v>48.8</v>
      </c>
      <c r="L220" t="n">
        <v>48.5</v>
      </c>
      <c r="M220" t="n">
        <v>51</v>
      </c>
      <c r="N220" t="n">
        <v>41</v>
      </c>
      <c r="Q220" t="n">
        <v>57.5</v>
      </c>
      <c r="R220" t="n">
        <v>48.5</v>
      </c>
      <c r="S220" t="n">
        <v>49.3</v>
      </c>
      <c r="U220" t="n">
        <v>46.8</v>
      </c>
      <c r="V220" t="n">
        <v>50.7</v>
      </c>
      <c r="AA220" t="n">
        <v>52.2</v>
      </c>
      <c r="AD220" t="n">
        <v>50.6209489737154</v>
      </c>
      <c r="AH220" t="n">
        <v>52.2</v>
      </c>
      <c r="AK220" t="n">
        <v>50.8</v>
      </c>
      <c r="AN220" t="n">
        <v>52.94</v>
      </c>
      <c r="AO220" t="n">
        <v>49.2</v>
      </c>
      <c r="AP220" t="n">
        <v>45.1</v>
      </c>
      <c r="AT220" t="n">
        <v>47.1</v>
      </c>
      <c r="AV220" t="n">
        <v>51.7</v>
      </c>
      <c r="AX220" t="n">
        <v>50.8</v>
      </c>
      <c r="AY220" t="n">
        <v>54.3</v>
      </c>
    </row>
    <row r="221">
      <c r="A221" s="81" t="n">
        <v>40940</v>
      </c>
      <c r="B221" t="n">
        <v>51.3</v>
      </c>
      <c r="D221" t="n">
        <v>51.4</v>
      </c>
      <c r="E221" t="n">
        <v>51.8</v>
      </c>
      <c r="F221" t="n">
        <v>49.6</v>
      </c>
      <c r="H221" t="n">
        <v>50.5</v>
      </c>
      <c r="I221" t="n">
        <v>53.88</v>
      </c>
      <c r="K221" t="n">
        <v>49</v>
      </c>
      <c r="L221" t="n">
        <v>50</v>
      </c>
      <c r="M221" t="n">
        <v>50.2</v>
      </c>
      <c r="N221" t="n">
        <v>37.7</v>
      </c>
      <c r="Q221" t="n">
        <v>56.6</v>
      </c>
      <c r="R221" t="n">
        <v>50.6</v>
      </c>
      <c r="S221" t="n">
        <v>49.7</v>
      </c>
      <c r="U221" t="n">
        <v>47.8</v>
      </c>
      <c r="V221" t="n">
        <v>50.5</v>
      </c>
      <c r="AA221" t="n">
        <v>53.7</v>
      </c>
      <c r="AD221" t="n">
        <v>55.9368080680046</v>
      </c>
      <c r="AH221" t="n">
        <v>50</v>
      </c>
      <c r="AK221" t="n">
        <v>50.7</v>
      </c>
      <c r="AN221" t="n">
        <v>53.51</v>
      </c>
      <c r="AO221" t="n">
        <v>50.7</v>
      </c>
      <c r="AP221" t="n">
        <v>45</v>
      </c>
      <c r="AT221" t="n">
        <v>48.9</v>
      </c>
      <c r="AV221" t="n">
        <v>49.6</v>
      </c>
      <c r="AX221" t="n">
        <v>51.1</v>
      </c>
      <c r="AY221" t="n">
        <v>53.6</v>
      </c>
    </row>
    <row r="222">
      <c r="A222" s="81" t="n">
        <v>40969</v>
      </c>
      <c r="B222" t="n">
        <v>49.5</v>
      </c>
      <c r="D222" t="n">
        <v>51.1</v>
      </c>
      <c r="E222" t="n">
        <v>52.4</v>
      </c>
      <c r="F222" t="n">
        <v>48.3</v>
      </c>
      <c r="H222" t="n">
        <v>52.1</v>
      </c>
      <c r="I222" t="n">
        <v>50.34</v>
      </c>
      <c r="K222" t="n">
        <v>47.7</v>
      </c>
      <c r="L222" t="n">
        <v>46.7</v>
      </c>
      <c r="M222" t="n">
        <v>48.4</v>
      </c>
      <c r="N222" t="n">
        <v>41.3</v>
      </c>
      <c r="Q222" t="n">
        <v>54.7</v>
      </c>
      <c r="R222" t="n">
        <v>50.8</v>
      </c>
      <c r="S222" t="n">
        <v>51.5</v>
      </c>
      <c r="U222" t="n">
        <v>47.9</v>
      </c>
      <c r="V222" t="n">
        <v>51.1</v>
      </c>
      <c r="AA222" t="n">
        <v>53.8</v>
      </c>
      <c r="AD222" t="n">
        <v>53.627871720274</v>
      </c>
      <c r="AH222" t="n">
        <v>50.1</v>
      </c>
      <c r="AK222" t="n">
        <v>50.8</v>
      </c>
      <c r="AN222" t="n">
        <v>53.51</v>
      </c>
      <c r="AO222" t="n">
        <v>52</v>
      </c>
      <c r="AP222" t="n">
        <v>44.5</v>
      </c>
      <c r="AT222" t="n">
        <v>52.7</v>
      </c>
      <c r="AV222" t="n">
        <v>49.6</v>
      </c>
      <c r="AX222" t="n">
        <v>52</v>
      </c>
      <c r="AY222" t="n">
        <v>56</v>
      </c>
    </row>
    <row r="223">
      <c r="A223" s="81" t="n">
        <v>41000</v>
      </c>
      <c r="B223" t="n">
        <v>43.9</v>
      </c>
      <c r="D223" t="n">
        <v>49.3</v>
      </c>
      <c r="E223" t="n">
        <v>53.3</v>
      </c>
      <c r="F223" t="n">
        <v>49.3</v>
      </c>
      <c r="H223" t="n">
        <v>49.7</v>
      </c>
      <c r="I223" t="n">
        <v>63.6</v>
      </c>
      <c r="K223" t="n">
        <v>45.9</v>
      </c>
      <c r="L223" t="n">
        <v>46.9</v>
      </c>
      <c r="M223" t="n">
        <v>46.2</v>
      </c>
      <c r="N223" t="n">
        <v>40.7</v>
      </c>
      <c r="Q223" t="n">
        <v>54.9</v>
      </c>
      <c r="R223" t="n">
        <v>50.5</v>
      </c>
      <c r="S223" t="n">
        <v>50.1</v>
      </c>
      <c r="U223" t="n">
        <v>43.8</v>
      </c>
      <c r="V223" t="n">
        <v>50.7</v>
      </c>
      <c r="AA223" t="n">
        <v>56.3</v>
      </c>
      <c r="AD223" t="n">
        <v>48.5125048508928</v>
      </c>
      <c r="AH223" t="n">
        <v>49.2</v>
      </c>
      <c r="AK223" t="n">
        <v>52.9</v>
      </c>
      <c r="AN223" t="n">
        <v>52.19</v>
      </c>
      <c r="AO223" t="n">
        <v>51.9</v>
      </c>
      <c r="AP223" t="n">
        <v>43.5</v>
      </c>
      <c r="AT223" t="n">
        <v>54.1</v>
      </c>
      <c r="AV223" t="n">
        <v>52.3</v>
      </c>
      <c r="AX223" t="n">
        <v>50.2</v>
      </c>
      <c r="AY223" t="n">
        <v>56</v>
      </c>
    </row>
    <row r="224">
      <c r="A224" s="81" t="n">
        <v>41030</v>
      </c>
      <c r="B224" t="n">
        <v>42.4</v>
      </c>
      <c r="D224" t="n">
        <v>49.3</v>
      </c>
      <c r="E224" t="n">
        <v>54.7</v>
      </c>
      <c r="F224" t="n">
        <v>48.4</v>
      </c>
      <c r="H224" t="n">
        <v>47.6</v>
      </c>
      <c r="I224" t="n">
        <v>51.42</v>
      </c>
      <c r="K224" t="n">
        <v>45.1</v>
      </c>
      <c r="L224" t="n">
        <v>44.7</v>
      </c>
      <c r="M224" t="n">
        <v>45.2</v>
      </c>
      <c r="N224" t="n">
        <v>43.1</v>
      </c>
      <c r="Q224" t="n">
        <v>54.8</v>
      </c>
      <c r="R224" t="n">
        <v>48.1</v>
      </c>
      <c r="S224" t="n">
        <v>51.2</v>
      </c>
      <c r="U224" t="n">
        <v>44.8</v>
      </c>
      <c r="V224" t="n">
        <v>50.7</v>
      </c>
      <c r="AA224" t="n">
        <v>55.2</v>
      </c>
      <c r="AD224" t="n">
        <v>54.1857897882967</v>
      </c>
      <c r="AH224" t="n">
        <v>48.9</v>
      </c>
      <c r="AK224" t="n">
        <v>53.2</v>
      </c>
      <c r="AN224" t="n">
        <v>52.57</v>
      </c>
      <c r="AO224" t="n">
        <v>51</v>
      </c>
      <c r="AP224" t="n">
        <v>42</v>
      </c>
      <c r="AT224" t="n">
        <v>51.2</v>
      </c>
      <c r="AV224" t="n">
        <v>50.2</v>
      </c>
      <c r="AX224" t="n">
        <v>46.8</v>
      </c>
      <c r="AY224" t="n">
        <v>54</v>
      </c>
    </row>
    <row r="225">
      <c r="A225" s="81" t="n">
        <v>41061</v>
      </c>
      <c r="B225" t="n">
        <v>47.2</v>
      </c>
      <c r="D225" t="n">
        <v>48.5</v>
      </c>
      <c r="E225" t="n">
        <v>54.8</v>
      </c>
      <c r="F225" t="n">
        <v>48.2</v>
      </c>
      <c r="H225" t="n">
        <v>49.4</v>
      </c>
      <c r="I225" t="n">
        <v>52.69</v>
      </c>
      <c r="K225" t="n">
        <v>45.1</v>
      </c>
      <c r="L225" t="n">
        <v>45.2</v>
      </c>
      <c r="M225" t="n">
        <v>45</v>
      </c>
      <c r="N225" t="n">
        <v>40.1</v>
      </c>
      <c r="O225" t="n">
        <v>49.8</v>
      </c>
      <c r="Q225" t="n">
        <v>55</v>
      </c>
      <c r="R225" t="n">
        <v>50.2</v>
      </c>
      <c r="S225" t="n">
        <v>53.1</v>
      </c>
      <c r="U225" t="n">
        <v>44.6</v>
      </c>
      <c r="V225" t="n">
        <v>52.6</v>
      </c>
      <c r="AA225" t="n">
        <v>55.9</v>
      </c>
      <c r="AD225" t="n">
        <v>50.472370512699</v>
      </c>
      <c r="AH225" t="n">
        <v>48</v>
      </c>
      <c r="AK225" t="n">
        <v>51</v>
      </c>
      <c r="AN225" t="n">
        <v>49.09</v>
      </c>
      <c r="AO225" t="n">
        <v>49.4</v>
      </c>
      <c r="AP225" t="n">
        <v>41.1</v>
      </c>
      <c r="AT225" t="n">
        <v>50.5</v>
      </c>
      <c r="AV225" t="n">
        <v>51.4</v>
      </c>
      <c r="AX225" t="n">
        <v>48.8</v>
      </c>
      <c r="AY225" t="n">
        <v>52.5</v>
      </c>
    </row>
    <row r="226">
      <c r="A226" s="81" t="n">
        <v>41091</v>
      </c>
      <c r="B226" t="n">
        <v>40.3</v>
      </c>
      <c r="D226" t="n">
        <v>48.7</v>
      </c>
      <c r="E226" t="n">
        <v>53</v>
      </c>
      <c r="F226" t="n">
        <v>49.3</v>
      </c>
      <c r="H226" t="n">
        <v>49.5</v>
      </c>
      <c r="I226" t="n">
        <v>47.21</v>
      </c>
      <c r="K226" t="n">
        <v>44</v>
      </c>
      <c r="L226" t="n">
        <v>43.4</v>
      </c>
      <c r="M226" t="n">
        <v>43</v>
      </c>
      <c r="N226" t="n">
        <v>41.9</v>
      </c>
      <c r="O226" t="n">
        <v>50.3</v>
      </c>
      <c r="Q226" t="n">
        <v>52.9</v>
      </c>
      <c r="R226" t="n">
        <v>51.3</v>
      </c>
      <c r="S226" t="n">
        <v>53.9</v>
      </c>
      <c r="U226" t="n">
        <v>44.3</v>
      </c>
      <c r="V226" t="n">
        <v>52</v>
      </c>
      <c r="AA226" t="n">
        <v>55.2</v>
      </c>
      <c r="AD226" t="n">
        <v>49.6009354328354</v>
      </c>
      <c r="AH226" t="n">
        <v>49.7</v>
      </c>
      <c r="AK226" t="n">
        <v>52</v>
      </c>
      <c r="AN226" t="n">
        <v>51.13</v>
      </c>
      <c r="AO226" t="n">
        <v>47.2</v>
      </c>
      <c r="AP226" t="n">
        <v>42.3</v>
      </c>
      <c r="AT226" t="n">
        <v>49.2</v>
      </c>
      <c r="AV226" t="n">
        <v>49.4</v>
      </c>
      <c r="AX226" t="n">
        <v>45.5</v>
      </c>
      <c r="AY226" t="n">
        <v>51.4</v>
      </c>
      <c r="AZ226" t="n">
        <v>43.6</v>
      </c>
    </row>
    <row r="227">
      <c r="A227" s="81" t="n">
        <v>41122</v>
      </c>
      <c r="B227" t="n">
        <v>45.3</v>
      </c>
      <c r="D227" t="n">
        <v>49.3</v>
      </c>
      <c r="E227" t="n">
        <v>53</v>
      </c>
      <c r="F227" t="n">
        <v>47.7</v>
      </c>
      <c r="H227" t="n">
        <v>48.7</v>
      </c>
      <c r="I227" t="n">
        <v>51.06</v>
      </c>
      <c r="K227" t="n">
        <v>45.1</v>
      </c>
      <c r="L227" t="n">
        <v>46</v>
      </c>
      <c r="M227" t="n">
        <v>44.7</v>
      </c>
      <c r="N227" t="n">
        <v>42.1</v>
      </c>
      <c r="O227" t="n">
        <v>50.5</v>
      </c>
      <c r="Q227" t="n">
        <v>52.8</v>
      </c>
      <c r="R227" t="n">
        <v>51.4</v>
      </c>
      <c r="S227" t="n">
        <v>50.9</v>
      </c>
      <c r="U227" t="n">
        <v>43.6</v>
      </c>
      <c r="V227" t="n">
        <v>52.1</v>
      </c>
      <c r="AA227" t="n">
        <v>55.1</v>
      </c>
      <c r="AD227" t="n">
        <v>47.4290948312378</v>
      </c>
      <c r="AH227" t="n">
        <v>48.3</v>
      </c>
      <c r="AK227" t="n">
        <v>51</v>
      </c>
      <c r="AN227" t="n">
        <v>49.56</v>
      </c>
      <c r="AO227" t="n">
        <v>47.5</v>
      </c>
      <c r="AP227" t="n">
        <v>44</v>
      </c>
      <c r="AT227" t="n">
        <v>47.5</v>
      </c>
      <c r="AV227" t="n">
        <v>50</v>
      </c>
      <c r="AX227" t="n">
        <v>49.1</v>
      </c>
      <c r="AY227" t="n">
        <v>51.5</v>
      </c>
      <c r="AZ227" t="n">
        <v>47.9</v>
      </c>
    </row>
    <row r="228">
      <c r="A228" s="81" t="n">
        <v>41153</v>
      </c>
      <c r="B228" t="n">
        <v>44.1</v>
      </c>
      <c r="D228" t="n">
        <v>49.8</v>
      </c>
      <c r="E228" t="n">
        <v>52.4</v>
      </c>
      <c r="F228" t="n">
        <v>47.9</v>
      </c>
      <c r="H228" t="n">
        <v>48</v>
      </c>
      <c r="I228" t="n">
        <v>52.09</v>
      </c>
      <c r="K228" t="n">
        <v>46.1</v>
      </c>
      <c r="L228" t="n">
        <v>42.7</v>
      </c>
      <c r="M228" t="n">
        <v>47.4</v>
      </c>
      <c r="N228" t="n">
        <v>42.2</v>
      </c>
      <c r="O228" t="n">
        <v>49.6</v>
      </c>
      <c r="Q228" t="n">
        <v>52.8</v>
      </c>
      <c r="R228" t="n">
        <v>51.6</v>
      </c>
      <c r="S228" t="n">
        <v>51.8</v>
      </c>
      <c r="U228" t="n">
        <v>45.7</v>
      </c>
      <c r="V228" t="n">
        <v>48</v>
      </c>
      <c r="AA228" t="n">
        <v>54.4</v>
      </c>
      <c r="AD228" t="n">
        <v>48.4487093394229</v>
      </c>
      <c r="AH228" t="n">
        <v>47</v>
      </c>
      <c r="AK228" t="n">
        <v>52.4</v>
      </c>
      <c r="AN228" t="n">
        <v>48.42</v>
      </c>
      <c r="AO228" t="n">
        <v>45.7</v>
      </c>
      <c r="AP228" t="n">
        <v>44.5</v>
      </c>
      <c r="AT228" t="n">
        <v>46.1</v>
      </c>
      <c r="AV228" t="n">
        <v>52.2</v>
      </c>
      <c r="AX228" t="n">
        <v>48.2</v>
      </c>
      <c r="AY228" t="n">
        <v>51.1</v>
      </c>
      <c r="AZ228" t="n">
        <v>49.2</v>
      </c>
    </row>
    <row r="229">
      <c r="A229" s="81" t="n">
        <v>41183</v>
      </c>
      <c r="B229" t="n">
        <v>45.2</v>
      </c>
      <c r="D229" t="n">
        <v>50.2</v>
      </c>
      <c r="E229" t="n">
        <v>51.4</v>
      </c>
      <c r="F229" t="n">
        <v>49.5</v>
      </c>
      <c r="H229" t="n">
        <v>47.2</v>
      </c>
      <c r="I229" t="n">
        <v>57.41</v>
      </c>
      <c r="K229" t="n">
        <v>45.4</v>
      </c>
      <c r="L229" t="n">
        <v>43.7</v>
      </c>
      <c r="M229" t="n">
        <v>46</v>
      </c>
      <c r="N229" t="n">
        <v>41</v>
      </c>
      <c r="O229" t="n">
        <v>50.5</v>
      </c>
      <c r="Q229" t="n">
        <v>52.9</v>
      </c>
      <c r="R229" t="n">
        <v>50.5</v>
      </c>
      <c r="S229" t="n">
        <v>52.1</v>
      </c>
      <c r="U229" t="n">
        <v>45.5</v>
      </c>
      <c r="V229" t="n">
        <v>46.9</v>
      </c>
      <c r="AA229" t="n">
        <v>55.5</v>
      </c>
      <c r="AD229" t="n">
        <v>51.3162739387645</v>
      </c>
      <c r="AH229" t="n">
        <v>47.3</v>
      </c>
      <c r="AK229" t="n">
        <v>52.9</v>
      </c>
      <c r="AN229" t="n">
        <v>48.23</v>
      </c>
      <c r="AO229" t="n">
        <v>47.4</v>
      </c>
      <c r="AP229" t="n">
        <v>43.5</v>
      </c>
      <c r="AT229" t="n">
        <v>45.6</v>
      </c>
      <c r="AV229" t="n">
        <v>52.5</v>
      </c>
      <c r="AX229" t="n">
        <v>48</v>
      </c>
      <c r="AY229" t="n">
        <v>51</v>
      </c>
      <c r="AZ229" t="n">
        <v>48.7</v>
      </c>
    </row>
    <row r="230">
      <c r="A230" s="81" t="n">
        <v>41214</v>
      </c>
      <c r="B230" t="n">
        <v>43.6</v>
      </c>
      <c r="D230" t="n">
        <v>52.2</v>
      </c>
      <c r="E230" t="n">
        <v>50.4</v>
      </c>
      <c r="F230" t="n">
        <v>50.5</v>
      </c>
      <c r="H230" t="n">
        <v>48.2</v>
      </c>
      <c r="I230" t="n">
        <v>56.29</v>
      </c>
      <c r="K230" t="n">
        <v>46.2</v>
      </c>
      <c r="L230" t="n">
        <v>44.5</v>
      </c>
      <c r="M230" t="n">
        <v>46.8</v>
      </c>
      <c r="N230" t="n">
        <v>41.8</v>
      </c>
      <c r="O230" t="n">
        <v>52.2</v>
      </c>
      <c r="Q230" t="n">
        <v>53.7</v>
      </c>
      <c r="R230" t="n">
        <v>51.9</v>
      </c>
      <c r="S230" t="n">
        <v>52.4</v>
      </c>
      <c r="U230" t="n">
        <v>45.1</v>
      </c>
      <c r="V230" t="n">
        <v>46.5</v>
      </c>
      <c r="AA230" t="n">
        <v>55.6</v>
      </c>
      <c r="AD230" t="n">
        <v>50.8031709504404</v>
      </c>
      <c r="AH230" t="n">
        <v>48.2</v>
      </c>
      <c r="AK230" t="n">
        <v>52.2</v>
      </c>
      <c r="AN230" t="n">
        <v>49.15</v>
      </c>
      <c r="AO230" t="n">
        <v>48.2</v>
      </c>
      <c r="AP230" t="n">
        <v>45.3</v>
      </c>
      <c r="AT230" t="n">
        <v>47.8</v>
      </c>
      <c r="AV230" t="n">
        <v>51.6</v>
      </c>
      <c r="AX230" t="n">
        <v>48.4</v>
      </c>
      <c r="AY230" t="n">
        <v>52.8</v>
      </c>
      <c r="AZ230" t="n">
        <v>50.5</v>
      </c>
    </row>
    <row r="231">
      <c r="A231" s="81" t="n">
        <v>41244</v>
      </c>
      <c r="B231" t="n">
        <v>44.3</v>
      </c>
      <c r="D231" t="n">
        <v>51.1</v>
      </c>
      <c r="E231" t="n">
        <v>50.4</v>
      </c>
      <c r="F231" t="n">
        <v>51.5</v>
      </c>
      <c r="H231" t="n">
        <v>46</v>
      </c>
      <c r="I231" t="n">
        <v>57.62</v>
      </c>
      <c r="K231" t="n">
        <v>46.1</v>
      </c>
      <c r="L231" t="n">
        <v>44.6</v>
      </c>
      <c r="M231" t="n">
        <v>46</v>
      </c>
      <c r="N231" t="n">
        <v>41.4</v>
      </c>
      <c r="O231" t="n">
        <v>51.7</v>
      </c>
      <c r="Q231" t="n">
        <v>54.7</v>
      </c>
      <c r="R231" t="n">
        <v>51.5</v>
      </c>
      <c r="S231" t="n">
        <v>51.4</v>
      </c>
      <c r="U231" t="n">
        <v>46.7</v>
      </c>
      <c r="V231" t="n">
        <v>45</v>
      </c>
      <c r="AA231" t="n">
        <v>57.1</v>
      </c>
      <c r="AD231" t="n">
        <v>50.1760982117169</v>
      </c>
      <c r="AH231" t="n">
        <v>48.3</v>
      </c>
      <c r="AK231" t="n">
        <v>50</v>
      </c>
      <c r="AN231" t="n">
        <v>48.92</v>
      </c>
      <c r="AO231" t="n">
        <v>50.1</v>
      </c>
      <c r="AP231" t="n">
        <v>44.6</v>
      </c>
      <c r="AT231" t="n">
        <v>47.4</v>
      </c>
      <c r="AV231" t="n">
        <v>53.1</v>
      </c>
      <c r="AX231" t="n">
        <v>50.7</v>
      </c>
      <c r="AY231" t="n">
        <v>54</v>
      </c>
      <c r="AZ231" t="n">
        <v>49.3</v>
      </c>
    </row>
    <row r="232">
      <c r="A232" s="81" t="n">
        <v>41275</v>
      </c>
      <c r="B232" t="n">
        <v>40.2</v>
      </c>
      <c r="D232" t="n">
        <v>53.2</v>
      </c>
      <c r="E232" t="n">
        <v>50.5</v>
      </c>
      <c r="F232" t="n">
        <v>52.3</v>
      </c>
      <c r="H232" t="n">
        <v>48.3</v>
      </c>
      <c r="I232" t="n">
        <v>55.27</v>
      </c>
      <c r="K232" t="n">
        <v>47.9</v>
      </c>
      <c r="L232" t="n">
        <v>42.9</v>
      </c>
      <c r="M232" t="n">
        <v>49.8</v>
      </c>
      <c r="N232" t="n">
        <v>41.7</v>
      </c>
      <c r="O232" t="n">
        <v>52.5</v>
      </c>
      <c r="Q232" t="n">
        <v>53.2</v>
      </c>
      <c r="R232" t="n">
        <v>49.7</v>
      </c>
      <c r="S232" t="n">
        <v>50.3</v>
      </c>
      <c r="U232" t="n">
        <v>47.8</v>
      </c>
      <c r="V232" t="n">
        <v>47.7</v>
      </c>
      <c r="AA232" t="n">
        <v>55</v>
      </c>
      <c r="AD232" t="n">
        <v>55.6506802235411</v>
      </c>
      <c r="AH232" t="n">
        <v>48.6</v>
      </c>
      <c r="AK232" t="n">
        <v>52</v>
      </c>
      <c r="AN232" t="n">
        <v>49.08</v>
      </c>
      <c r="AO232" t="n">
        <v>49.9</v>
      </c>
      <c r="AP232" t="n">
        <v>46.1</v>
      </c>
      <c r="AT232" t="n">
        <v>51.5</v>
      </c>
      <c r="AV232" t="n">
        <v>54</v>
      </c>
      <c r="AX232" t="n">
        <v>50.9</v>
      </c>
      <c r="AY232" t="n">
        <v>55.8</v>
      </c>
      <c r="AZ232" t="n">
        <v>50.1</v>
      </c>
    </row>
    <row r="233">
      <c r="A233" s="81" t="n">
        <v>41306</v>
      </c>
      <c r="B233" t="n">
        <v>45.6</v>
      </c>
      <c r="D233" t="n">
        <v>52.5</v>
      </c>
      <c r="E233" t="n">
        <v>51.7</v>
      </c>
      <c r="F233" t="n">
        <v>50.4</v>
      </c>
      <c r="H233" t="n">
        <v>49.9</v>
      </c>
      <c r="I233" t="n">
        <v>61.23</v>
      </c>
      <c r="K233" t="n">
        <v>47.9</v>
      </c>
      <c r="L233" t="n">
        <v>43.9</v>
      </c>
      <c r="M233" t="n">
        <v>50.3</v>
      </c>
      <c r="N233" t="n">
        <v>43</v>
      </c>
      <c r="O233" t="n">
        <v>51.2</v>
      </c>
      <c r="Q233" t="n">
        <v>54.2</v>
      </c>
      <c r="R233" t="n">
        <v>50.5</v>
      </c>
      <c r="S233" t="n">
        <v>51.5</v>
      </c>
      <c r="U233" t="n">
        <v>45.8</v>
      </c>
      <c r="V233" t="n">
        <v>48.5</v>
      </c>
      <c r="AA233" t="n">
        <v>53.4</v>
      </c>
      <c r="AD233" t="n">
        <v>55.2103499826913</v>
      </c>
      <c r="AH233" t="n">
        <v>48.9</v>
      </c>
      <c r="AK233" t="n">
        <v>52</v>
      </c>
      <c r="AN233" t="n">
        <v>51.42</v>
      </c>
      <c r="AO233" t="n">
        <v>50.9</v>
      </c>
      <c r="AP233" t="n">
        <v>46.8</v>
      </c>
      <c r="AT233" t="n">
        <v>51.5</v>
      </c>
      <c r="AV233" t="n">
        <v>53.5</v>
      </c>
      <c r="AX233" t="n">
        <v>48.2</v>
      </c>
      <c r="AY233" t="n">
        <v>54.3</v>
      </c>
      <c r="AZ233" t="n">
        <v>48.3</v>
      </c>
    </row>
    <row r="234">
      <c r="A234" s="81" t="n">
        <v>41334</v>
      </c>
      <c r="B234" t="n">
        <v>44.4</v>
      </c>
      <c r="D234" t="n">
        <v>51.8</v>
      </c>
      <c r="E234" t="n">
        <v>49.3</v>
      </c>
      <c r="F234" t="n">
        <v>51.6</v>
      </c>
      <c r="H234" t="n">
        <v>49.1</v>
      </c>
      <c r="I234" t="n">
        <v>49.81</v>
      </c>
      <c r="K234" t="n">
        <v>46.8</v>
      </c>
      <c r="L234" t="n">
        <v>44</v>
      </c>
      <c r="M234" t="n">
        <v>49</v>
      </c>
      <c r="N234" t="n">
        <v>42.1</v>
      </c>
      <c r="O234" t="n">
        <v>50.5</v>
      </c>
      <c r="Q234" t="n">
        <v>52</v>
      </c>
      <c r="R234" t="n">
        <v>51.3</v>
      </c>
      <c r="S234" t="n">
        <v>48.6</v>
      </c>
      <c r="U234" t="n">
        <v>44.5</v>
      </c>
      <c r="V234" t="n">
        <v>50.4</v>
      </c>
      <c r="AA234" t="n">
        <v>52.2</v>
      </c>
      <c r="AD234" t="n">
        <v>52.7071688076255</v>
      </c>
      <c r="AH234" t="n">
        <v>48</v>
      </c>
      <c r="AK234" t="n">
        <v>50.8</v>
      </c>
      <c r="AN234" t="n">
        <v>49.04</v>
      </c>
      <c r="AO234" t="n">
        <v>52</v>
      </c>
      <c r="AP234" t="n">
        <v>44.2</v>
      </c>
      <c r="AT234" t="n">
        <v>50.2</v>
      </c>
      <c r="AV234" t="n">
        <v>52.3</v>
      </c>
      <c r="AX234" t="n">
        <v>49.3</v>
      </c>
      <c r="AY234" t="n">
        <v>54.6</v>
      </c>
      <c r="AZ234" t="n">
        <v>48.8</v>
      </c>
    </row>
    <row r="235">
      <c r="A235" s="81" t="n">
        <v>41365</v>
      </c>
      <c r="B235" t="n">
        <v>36.7</v>
      </c>
      <c r="D235" t="n">
        <v>50.8</v>
      </c>
      <c r="E235" t="n">
        <v>50.1</v>
      </c>
      <c r="F235" t="n">
        <v>50.4</v>
      </c>
      <c r="H235" t="n">
        <v>49.5</v>
      </c>
      <c r="I235" t="n">
        <v>49.29</v>
      </c>
      <c r="K235" t="n">
        <v>46.7</v>
      </c>
      <c r="L235" t="n">
        <v>44.4</v>
      </c>
      <c r="M235" t="n">
        <v>48.1</v>
      </c>
      <c r="N235" t="n">
        <v>45</v>
      </c>
      <c r="O235" t="n">
        <v>49.9</v>
      </c>
      <c r="Q235" t="n">
        <v>51</v>
      </c>
      <c r="R235" t="n">
        <v>51.7</v>
      </c>
      <c r="S235" t="n">
        <v>48</v>
      </c>
      <c r="U235" t="n">
        <v>45.5</v>
      </c>
      <c r="V235" t="n">
        <v>51.1</v>
      </c>
      <c r="AA235" t="n">
        <v>51.7</v>
      </c>
      <c r="AD235" t="n">
        <v>56.1208592612442</v>
      </c>
      <c r="AH235" t="n">
        <v>48</v>
      </c>
      <c r="AK235" t="n">
        <v>50.6</v>
      </c>
      <c r="AN235" t="n">
        <v>49.8</v>
      </c>
      <c r="AO235" t="n">
        <v>52.6</v>
      </c>
      <c r="AP235" t="n">
        <v>44.7</v>
      </c>
      <c r="AT235" t="n">
        <v>51.2</v>
      </c>
      <c r="AV235" t="n">
        <v>51.3</v>
      </c>
      <c r="AX235" t="n">
        <v>50.6</v>
      </c>
      <c r="AY235" t="n">
        <v>52.1</v>
      </c>
      <c r="AZ235" t="n">
        <v>51</v>
      </c>
    </row>
    <row r="236">
      <c r="A236" s="81" t="n">
        <v>41395</v>
      </c>
      <c r="B236" t="n">
        <v>43.8</v>
      </c>
      <c r="D236" t="n">
        <v>50.4</v>
      </c>
      <c r="E236" t="n">
        <v>53.2</v>
      </c>
      <c r="F236" t="n">
        <v>49.2</v>
      </c>
      <c r="H236" t="n">
        <v>50.1</v>
      </c>
      <c r="I236" t="n">
        <v>54.75</v>
      </c>
      <c r="K236" t="n">
        <v>48.3</v>
      </c>
      <c r="L236" t="n">
        <v>46.4</v>
      </c>
      <c r="M236" t="n">
        <v>49.4</v>
      </c>
      <c r="N236" t="n">
        <v>45.3</v>
      </c>
      <c r="O236" t="n">
        <v>49.8</v>
      </c>
      <c r="Q236" t="n">
        <v>50.1</v>
      </c>
      <c r="R236" t="n">
        <v>51.6</v>
      </c>
      <c r="S236" t="n">
        <v>49.7</v>
      </c>
      <c r="U236" t="n">
        <v>47.3</v>
      </c>
      <c r="V236" t="n">
        <v>51.5</v>
      </c>
      <c r="AA236" t="n">
        <v>51.8</v>
      </c>
      <c r="AD236" t="n">
        <v>59.0737508404527</v>
      </c>
      <c r="AH236" t="n">
        <v>46.9</v>
      </c>
      <c r="AK236" t="n">
        <v>50.4</v>
      </c>
      <c r="AN236" t="n">
        <v>50.21</v>
      </c>
      <c r="AO236" t="n">
        <v>51.1</v>
      </c>
      <c r="AP236" t="n">
        <v>48.1</v>
      </c>
      <c r="AT236" t="n">
        <v>50.7</v>
      </c>
      <c r="AV236" t="n">
        <v>51.1</v>
      </c>
      <c r="AX236" t="n">
        <v>52.1</v>
      </c>
      <c r="AY236" t="n">
        <v>52.3</v>
      </c>
      <c r="AZ236" t="n">
        <v>48.8</v>
      </c>
    </row>
    <row r="237">
      <c r="A237" s="81" t="n">
        <v>41426</v>
      </c>
      <c r="B237" t="n">
        <v>49.6</v>
      </c>
      <c r="D237" t="n">
        <v>50.4</v>
      </c>
      <c r="E237" t="n">
        <v>52.4</v>
      </c>
      <c r="F237" t="n">
        <v>48.2</v>
      </c>
      <c r="H237" t="n">
        <v>51</v>
      </c>
      <c r="I237" t="n">
        <v>57.73</v>
      </c>
      <c r="K237" t="n">
        <v>48.8</v>
      </c>
      <c r="L237" t="n">
        <v>48.4</v>
      </c>
      <c r="M237" t="n">
        <v>48.6</v>
      </c>
      <c r="N237" t="n">
        <v>45.4</v>
      </c>
      <c r="O237" t="n">
        <v>48.7</v>
      </c>
      <c r="Q237" t="n">
        <v>50.3</v>
      </c>
      <c r="R237" t="n">
        <v>51</v>
      </c>
      <c r="S237" t="n">
        <v>50.3</v>
      </c>
      <c r="U237" t="n">
        <v>49.1</v>
      </c>
      <c r="V237" t="n">
        <v>52.3</v>
      </c>
      <c r="AA237" t="n">
        <v>51.3</v>
      </c>
      <c r="AD237" t="n">
        <v>55.0752933288219</v>
      </c>
      <c r="AH237" t="n">
        <v>48</v>
      </c>
      <c r="AK237" t="n">
        <v>51.7</v>
      </c>
      <c r="AN237" t="n">
        <v>51.96</v>
      </c>
      <c r="AO237" t="n">
        <v>49.4</v>
      </c>
      <c r="AP237" t="n">
        <v>50</v>
      </c>
      <c r="AT237" t="n">
        <v>47.1</v>
      </c>
      <c r="AV237" t="n">
        <v>51.2</v>
      </c>
      <c r="AX237" t="n">
        <v>53</v>
      </c>
      <c r="AY237" t="n">
        <v>51.9</v>
      </c>
      <c r="AZ237" t="n">
        <v>51</v>
      </c>
    </row>
    <row r="238">
      <c r="A238" s="81" t="n">
        <v>41456</v>
      </c>
      <c r="B238" t="n">
        <v>42</v>
      </c>
      <c r="D238" t="n">
        <v>48.5</v>
      </c>
      <c r="E238" t="n">
        <v>52</v>
      </c>
      <c r="F238" t="n">
        <v>47.7</v>
      </c>
      <c r="H238" t="n">
        <v>52</v>
      </c>
      <c r="I238" t="n">
        <v>59.18</v>
      </c>
      <c r="K238" t="n">
        <v>50.3</v>
      </c>
      <c r="L238" t="n">
        <v>49.7</v>
      </c>
      <c r="M238" t="n">
        <v>50.7</v>
      </c>
      <c r="N238" t="n">
        <v>47</v>
      </c>
      <c r="O238" t="n">
        <v>49.7</v>
      </c>
      <c r="Q238" t="n">
        <v>50.1</v>
      </c>
      <c r="R238" t="n">
        <v>50.7</v>
      </c>
      <c r="S238" t="n">
        <v>51</v>
      </c>
      <c r="U238" t="n">
        <v>50.4</v>
      </c>
      <c r="V238" t="n">
        <v>50.7</v>
      </c>
      <c r="AA238" t="n">
        <v>49.7</v>
      </c>
      <c r="AD238" t="n">
        <v>60.2613920323612</v>
      </c>
      <c r="AH238" t="n">
        <v>49.3</v>
      </c>
      <c r="AK238" t="n">
        <v>49.2</v>
      </c>
      <c r="AN238" t="n">
        <v>52.15</v>
      </c>
      <c r="AO238" t="n">
        <v>47.2</v>
      </c>
      <c r="AP238" t="n">
        <v>49.8</v>
      </c>
      <c r="AT238" t="n">
        <v>49.5</v>
      </c>
      <c r="AV238" t="n">
        <v>49.8</v>
      </c>
      <c r="AX238" t="n">
        <v>54.7</v>
      </c>
      <c r="AY238" t="n">
        <v>53.7</v>
      </c>
      <c r="AZ238" t="n">
        <v>46.4</v>
      </c>
    </row>
    <row r="239">
      <c r="A239" s="81" t="n">
        <v>41487</v>
      </c>
      <c r="B239" t="n">
        <v>46.4</v>
      </c>
      <c r="D239" t="n">
        <v>49.4</v>
      </c>
      <c r="E239" t="n">
        <v>52.1</v>
      </c>
      <c r="F239" t="n">
        <v>50.1</v>
      </c>
      <c r="H239" t="n">
        <v>53.9</v>
      </c>
      <c r="I239" t="n">
        <v>60.29</v>
      </c>
      <c r="K239" t="n">
        <v>51.4</v>
      </c>
      <c r="L239" t="n">
        <v>49.7</v>
      </c>
      <c r="M239" t="n">
        <v>51.8</v>
      </c>
      <c r="N239" t="n">
        <v>48.7</v>
      </c>
      <c r="O239" t="n">
        <v>49.7</v>
      </c>
      <c r="Q239" t="n">
        <v>48.5</v>
      </c>
      <c r="R239" t="n">
        <v>48.5</v>
      </c>
      <c r="S239" t="n">
        <v>52</v>
      </c>
      <c r="U239" t="n">
        <v>51.3</v>
      </c>
      <c r="V239" t="n">
        <v>52.2</v>
      </c>
      <c r="AA239" t="n">
        <v>50.8</v>
      </c>
      <c r="AD239" t="n">
        <v>56.7231859878615</v>
      </c>
      <c r="AH239" t="n">
        <v>51.1</v>
      </c>
      <c r="AK239" t="n">
        <v>49.4</v>
      </c>
      <c r="AN239" t="n">
        <v>55.26</v>
      </c>
      <c r="AO239" t="n">
        <v>47.5</v>
      </c>
      <c r="AP239" t="n">
        <v>51.1</v>
      </c>
      <c r="AT239" t="n">
        <v>48.6</v>
      </c>
      <c r="AV239" t="n">
        <v>50.9</v>
      </c>
      <c r="AX239" t="n">
        <v>57.3</v>
      </c>
      <c r="AY239" t="n">
        <v>53.7</v>
      </c>
      <c r="AZ239" t="n">
        <v>48.5</v>
      </c>
    </row>
    <row r="240">
      <c r="A240" s="81" t="n">
        <v>41518</v>
      </c>
      <c r="B240" t="n">
        <v>51.7</v>
      </c>
      <c r="D240" t="n">
        <v>49.9</v>
      </c>
      <c r="E240" t="n">
        <v>54.2</v>
      </c>
      <c r="F240" t="n">
        <v>50.2</v>
      </c>
      <c r="H240" t="n">
        <v>53.4</v>
      </c>
      <c r="I240" t="n">
        <v>55.74</v>
      </c>
      <c r="K240" t="n">
        <v>51.1</v>
      </c>
      <c r="L240" t="n">
        <v>49.8</v>
      </c>
      <c r="M240" t="n">
        <v>51.1</v>
      </c>
      <c r="N240" t="n">
        <v>47.5</v>
      </c>
      <c r="O240" t="n">
        <v>50</v>
      </c>
      <c r="Q240" t="n">
        <v>49.6</v>
      </c>
      <c r="R240" t="n">
        <v>50.2</v>
      </c>
      <c r="S240" t="n">
        <v>52.7</v>
      </c>
      <c r="U240" t="n">
        <v>50.8</v>
      </c>
      <c r="V240" t="n">
        <v>52.5</v>
      </c>
      <c r="AA240" t="n">
        <v>50</v>
      </c>
      <c r="AD240" t="n">
        <v>52.7868939881118</v>
      </c>
      <c r="AH240" t="n">
        <v>52.6</v>
      </c>
      <c r="AK240" t="n">
        <v>49.4</v>
      </c>
      <c r="AN240" t="n">
        <v>49.43</v>
      </c>
      <c r="AO240" t="n">
        <v>49.7</v>
      </c>
      <c r="AP240" t="n">
        <v>50.7</v>
      </c>
      <c r="AT240" t="n">
        <v>50</v>
      </c>
      <c r="AV240" t="n">
        <v>54</v>
      </c>
      <c r="AX240" t="n">
        <v>56.7</v>
      </c>
      <c r="AY240" t="n">
        <v>52.8</v>
      </c>
      <c r="AZ240" t="n">
        <v>51.5</v>
      </c>
    </row>
    <row r="241">
      <c r="A241" s="81" t="n">
        <v>41548</v>
      </c>
      <c r="B241" t="n">
        <v>53.2</v>
      </c>
      <c r="D241" t="n">
        <v>50.2</v>
      </c>
      <c r="E241" t="n">
        <v>55.6</v>
      </c>
      <c r="F241" t="n">
        <v>50.9</v>
      </c>
      <c r="H241" t="n">
        <v>54.5</v>
      </c>
      <c r="I241" t="n">
        <v>55.71</v>
      </c>
      <c r="K241" t="n">
        <v>51.3</v>
      </c>
      <c r="L241" t="n">
        <v>49.1</v>
      </c>
      <c r="M241" t="n">
        <v>51.7</v>
      </c>
      <c r="N241" t="n">
        <v>47.3</v>
      </c>
      <c r="O241" t="n">
        <v>50.1</v>
      </c>
      <c r="Q241" t="n">
        <v>49.6</v>
      </c>
      <c r="R241" t="n">
        <v>50.9</v>
      </c>
      <c r="S241" t="n">
        <v>54.9</v>
      </c>
      <c r="U241" t="n">
        <v>50.7</v>
      </c>
      <c r="V241" t="n">
        <v>54.2</v>
      </c>
      <c r="AA241" t="n">
        <v>50.2</v>
      </c>
      <c r="AD241" t="n">
        <v>55.4918511261242</v>
      </c>
      <c r="AH241" t="n">
        <v>53.4</v>
      </c>
      <c r="AK241" t="n">
        <v>51.8</v>
      </c>
      <c r="AN241" t="n">
        <v>51.43</v>
      </c>
      <c r="AO241" t="n">
        <v>50.2</v>
      </c>
      <c r="AP241" t="n">
        <v>50.9</v>
      </c>
      <c r="AT241" t="n">
        <v>52</v>
      </c>
      <c r="AV241" t="n">
        <v>53.3</v>
      </c>
      <c r="AX241" t="n">
        <v>56.5</v>
      </c>
      <c r="AY241" t="n">
        <v>51.8</v>
      </c>
      <c r="AZ241" t="n">
        <v>51.5</v>
      </c>
    </row>
    <row r="242">
      <c r="A242" s="81" t="n">
        <v>41579</v>
      </c>
      <c r="B242" t="n">
        <v>47.7</v>
      </c>
      <c r="D242" t="n">
        <v>49.7</v>
      </c>
      <c r="E242" t="n">
        <v>55.3</v>
      </c>
      <c r="F242" t="n">
        <v>50.8</v>
      </c>
      <c r="H242" t="n">
        <v>55.4</v>
      </c>
      <c r="I242" t="n">
        <v>57.85</v>
      </c>
      <c r="K242" t="n">
        <v>51.6</v>
      </c>
      <c r="L242" t="n">
        <v>48.4</v>
      </c>
      <c r="M242" t="n">
        <v>52.7</v>
      </c>
      <c r="N242" t="n">
        <v>49.2</v>
      </c>
      <c r="O242" t="n">
        <v>52.1</v>
      </c>
      <c r="Q242" t="n">
        <v>51.3</v>
      </c>
      <c r="R242" t="n">
        <v>50.3</v>
      </c>
      <c r="S242" t="n">
        <v>52.4</v>
      </c>
      <c r="U242" t="n">
        <v>51.4</v>
      </c>
      <c r="V242" t="n">
        <v>55.1</v>
      </c>
      <c r="AA242" t="n">
        <v>51.9</v>
      </c>
      <c r="AD242" t="n">
        <v>57.3899226525149</v>
      </c>
      <c r="AH242" t="n">
        <v>54.4</v>
      </c>
      <c r="AK242" t="n">
        <v>49.4</v>
      </c>
      <c r="AN242" t="n">
        <v>52</v>
      </c>
      <c r="AO242" t="n">
        <v>50.4</v>
      </c>
      <c r="AP242" t="n">
        <v>48.6</v>
      </c>
      <c r="AT242" t="n">
        <v>53</v>
      </c>
      <c r="AV242" t="n">
        <v>55</v>
      </c>
      <c r="AX242" t="n">
        <v>58.1</v>
      </c>
      <c r="AY242" t="n">
        <v>54.7</v>
      </c>
      <c r="AZ242" t="n">
        <v>50.3</v>
      </c>
    </row>
    <row r="243">
      <c r="A243" s="81" t="n">
        <v>41609</v>
      </c>
      <c r="B243" t="n">
        <v>47.6</v>
      </c>
      <c r="D243" t="n">
        <v>50.5</v>
      </c>
      <c r="E243" t="n">
        <v>53.5</v>
      </c>
      <c r="F243" t="n">
        <v>50.5</v>
      </c>
      <c r="H243" t="n">
        <v>54.9</v>
      </c>
      <c r="I243" t="n">
        <v>53.45</v>
      </c>
      <c r="K243" t="n">
        <v>52.7</v>
      </c>
      <c r="L243" t="n">
        <v>47</v>
      </c>
      <c r="M243" t="n">
        <v>54.3</v>
      </c>
      <c r="N243" t="n">
        <v>49.6</v>
      </c>
      <c r="O243" t="n">
        <v>51.2</v>
      </c>
      <c r="Q243" t="n">
        <v>50.7</v>
      </c>
      <c r="R243" t="n">
        <v>50.9</v>
      </c>
      <c r="S243" t="n">
        <v>53.5</v>
      </c>
      <c r="U243" t="n">
        <v>53.3</v>
      </c>
      <c r="V243" t="n">
        <v>55.2</v>
      </c>
      <c r="AA243" t="n">
        <v>52.6</v>
      </c>
      <c r="AD243" t="n">
        <v>55.7245210774209</v>
      </c>
      <c r="AH243" t="n">
        <v>53.2</v>
      </c>
      <c r="AK243" t="n">
        <v>48.8</v>
      </c>
      <c r="AN243" t="n">
        <v>51</v>
      </c>
      <c r="AO243" t="n">
        <v>50.8</v>
      </c>
      <c r="AP243" t="n">
        <v>50.8</v>
      </c>
      <c r="AT243" t="n">
        <v>53.4</v>
      </c>
      <c r="AV243" t="n">
        <v>53.5</v>
      </c>
      <c r="AX243" t="n">
        <v>57.3</v>
      </c>
      <c r="AY243" t="n">
        <v>55</v>
      </c>
      <c r="AZ243" t="n">
        <v>51.8</v>
      </c>
    </row>
    <row r="244">
      <c r="A244" s="81" t="n">
        <v>41640</v>
      </c>
      <c r="B244" t="n">
        <v>46.7</v>
      </c>
      <c r="D244" t="n">
        <v>51.7</v>
      </c>
      <c r="E244" t="n">
        <v>51.7</v>
      </c>
      <c r="F244" t="n">
        <v>49.5</v>
      </c>
      <c r="H244" t="n">
        <v>55.9</v>
      </c>
      <c r="I244" t="n">
        <v>55.6</v>
      </c>
      <c r="K244" t="n">
        <v>54</v>
      </c>
      <c r="L244" t="n">
        <v>49.3</v>
      </c>
      <c r="M244" t="n">
        <v>56.6</v>
      </c>
      <c r="N244" t="n">
        <v>51.2</v>
      </c>
      <c r="O244" t="n">
        <v>52.7</v>
      </c>
      <c r="Q244" t="n">
        <v>51.4</v>
      </c>
      <c r="R244" t="n">
        <v>51</v>
      </c>
      <c r="S244" t="n">
        <v>52.8</v>
      </c>
      <c r="U244" t="n">
        <v>53.1</v>
      </c>
      <c r="V244" t="n">
        <v>56.6</v>
      </c>
      <c r="AA244" t="n">
        <v>54</v>
      </c>
      <c r="AD244" t="n">
        <v>57.1972119095941</v>
      </c>
      <c r="AH244" t="n">
        <v>55.4</v>
      </c>
      <c r="AK244" t="n">
        <v>48</v>
      </c>
      <c r="AN244" t="n">
        <v>49.96</v>
      </c>
      <c r="AO244" t="n">
        <v>50.9</v>
      </c>
      <c r="AP244" t="n">
        <v>52.2</v>
      </c>
      <c r="AT244" t="n">
        <v>55.5</v>
      </c>
      <c r="AV244" t="n">
        <v>52.7</v>
      </c>
      <c r="AX244" t="n">
        <v>56.7</v>
      </c>
      <c r="AY244" t="n">
        <v>53.7</v>
      </c>
      <c r="AZ244" t="n">
        <v>52.1</v>
      </c>
    </row>
    <row r="245">
      <c r="A245" s="81" t="n">
        <v>41671</v>
      </c>
      <c r="B245" t="n">
        <v>48.6</v>
      </c>
      <c r="D245" t="n">
        <v>50.4</v>
      </c>
      <c r="E245" t="n">
        <v>52.9</v>
      </c>
      <c r="F245" t="n">
        <v>48.5</v>
      </c>
      <c r="H245" t="n">
        <v>56.5</v>
      </c>
      <c r="I245" t="n">
        <v>56.77</v>
      </c>
      <c r="K245" t="n">
        <v>53.2</v>
      </c>
      <c r="L245" t="n">
        <v>49.7</v>
      </c>
      <c r="M245" t="n">
        <v>54.8</v>
      </c>
      <c r="N245" t="n">
        <v>51.3</v>
      </c>
      <c r="O245" t="n">
        <v>53.3</v>
      </c>
      <c r="Q245" t="n">
        <v>52.5</v>
      </c>
      <c r="R245" t="n">
        <v>50.5</v>
      </c>
      <c r="S245" t="n">
        <v>52.9</v>
      </c>
      <c r="U245" t="n">
        <v>52.3</v>
      </c>
      <c r="V245" t="n">
        <v>55.5</v>
      </c>
      <c r="AA245" t="n">
        <v>52</v>
      </c>
      <c r="AD245" t="n">
        <v>56.0261272877251</v>
      </c>
      <c r="AH245" t="n">
        <v>55.9</v>
      </c>
      <c r="AK245" t="n">
        <v>48.5</v>
      </c>
      <c r="AN245" t="n">
        <v>50.69</v>
      </c>
      <c r="AO245" t="n">
        <v>49.8</v>
      </c>
      <c r="AP245" t="n">
        <v>52.5</v>
      </c>
      <c r="AT245" t="n">
        <v>54.7</v>
      </c>
      <c r="AV245" t="n">
        <v>53.4</v>
      </c>
      <c r="AX245" t="n">
        <v>56.9</v>
      </c>
      <c r="AY245" t="n">
        <v>57.1</v>
      </c>
      <c r="AZ245" t="n">
        <v>51</v>
      </c>
    </row>
    <row r="246">
      <c r="A246" s="81" t="n">
        <v>41699</v>
      </c>
      <c r="B246" t="n">
        <v>49.7</v>
      </c>
      <c r="D246" t="n">
        <v>50.6</v>
      </c>
      <c r="E246" t="n">
        <v>53.3</v>
      </c>
      <c r="F246" t="n">
        <v>48</v>
      </c>
      <c r="H246" t="n">
        <v>55.5</v>
      </c>
      <c r="I246" t="n">
        <v>60.3</v>
      </c>
      <c r="K246" t="n">
        <v>53</v>
      </c>
      <c r="L246" t="n">
        <v>52.1</v>
      </c>
      <c r="M246" t="n">
        <v>53.7</v>
      </c>
      <c r="N246" t="n">
        <v>49.7</v>
      </c>
      <c r="O246" t="n">
        <v>49.9</v>
      </c>
      <c r="Q246" t="n">
        <v>51.3</v>
      </c>
      <c r="R246" t="n">
        <v>50.1</v>
      </c>
      <c r="S246" t="n">
        <v>55.5</v>
      </c>
      <c r="U246" t="n">
        <v>52.4</v>
      </c>
      <c r="V246" t="n">
        <v>53.9</v>
      </c>
      <c r="AA246" t="n">
        <v>51.7</v>
      </c>
      <c r="AD246" t="n">
        <v>57.9512438717493</v>
      </c>
      <c r="AH246" t="n">
        <v>54</v>
      </c>
      <c r="AK246" t="n">
        <v>48.3</v>
      </c>
      <c r="AN246" t="n">
        <v>50.29</v>
      </c>
      <c r="AO246" t="n">
        <v>50.4</v>
      </c>
      <c r="AP246" t="n">
        <v>52.8</v>
      </c>
      <c r="AT246" t="n">
        <v>52.7</v>
      </c>
      <c r="AV246" t="n">
        <v>51.7</v>
      </c>
      <c r="AX246" t="n">
        <v>55.3</v>
      </c>
      <c r="AY246" t="n">
        <v>55.5</v>
      </c>
      <c r="AZ246" t="n">
        <v>51.3</v>
      </c>
    </row>
    <row r="247">
      <c r="A247" s="81" t="n">
        <v>41730</v>
      </c>
      <c r="B247" t="n">
        <v>44.8</v>
      </c>
      <c r="D247" t="n">
        <v>49.3</v>
      </c>
      <c r="E247" t="n">
        <v>52.9</v>
      </c>
      <c r="F247" t="n">
        <v>48.1</v>
      </c>
      <c r="H247" t="n">
        <v>56.5</v>
      </c>
      <c r="I247" t="n">
        <v>60.5</v>
      </c>
      <c r="K247" t="n">
        <v>54</v>
      </c>
      <c r="L247" t="n">
        <v>51.2</v>
      </c>
      <c r="M247" t="n">
        <v>54.1</v>
      </c>
      <c r="N247" t="n">
        <v>51.1</v>
      </c>
      <c r="O247" t="n">
        <v>49.7</v>
      </c>
      <c r="Q247" t="n">
        <v>51.3</v>
      </c>
      <c r="R247" t="n">
        <v>51.1</v>
      </c>
      <c r="S247" t="n">
        <v>56.1</v>
      </c>
      <c r="U247" t="n">
        <v>54</v>
      </c>
      <c r="V247" t="n">
        <v>49.4</v>
      </c>
      <c r="AA247" t="n">
        <v>51.8</v>
      </c>
      <c r="AD247" t="n">
        <v>55.4325461314546</v>
      </c>
      <c r="AH247" t="n">
        <v>51.1</v>
      </c>
      <c r="AK247" t="n">
        <v>48.5</v>
      </c>
      <c r="AN247" t="n">
        <v>47.3</v>
      </c>
      <c r="AO247" t="n">
        <v>50.2</v>
      </c>
      <c r="AP247" t="n">
        <v>52.7</v>
      </c>
      <c r="AT247" t="n">
        <v>52.3</v>
      </c>
      <c r="AV247" t="n">
        <v>51.1</v>
      </c>
      <c r="AX247" t="n">
        <v>57.3</v>
      </c>
      <c r="AY247" t="n">
        <v>55.4</v>
      </c>
      <c r="AZ247" t="n">
        <v>53.1</v>
      </c>
    </row>
    <row r="248">
      <c r="A248" s="81" t="n">
        <v>41760</v>
      </c>
      <c r="B248" t="n">
        <v>49.2</v>
      </c>
      <c r="D248" t="n">
        <v>48.8</v>
      </c>
      <c r="E248" t="n">
        <v>52.2</v>
      </c>
      <c r="F248" t="n">
        <v>49.4</v>
      </c>
      <c r="H248" t="n">
        <v>57.3</v>
      </c>
      <c r="I248" t="n">
        <v>58.71</v>
      </c>
      <c r="K248" t="n">
        <v>52.2</v>
      </c>
      <c r="L248" t="n">
        <v>49.6</v>
      </c>
      <c r="M248" t="n">
        <v>52.3</v>
      </c>
      <c r="N248" t="n">
        <v>51</v>
      </c>
      <c r="O248" t="n">
        <v>49.1</v>
      </c>
      <c r="Q248" t="n">
        <v>51.4</v>
      </c>
      <c r="R248" t="n">
        <v>52.4</v>
      </c>
      <c r="S248" t="n">
        <v>55</v>
      </c>
      <c r="U248" t="n">
        <v>53.2</v>
      </c>
      <c r="V248" t="n">
        <v>49.9</v>
      </c>
      <c r="AA248" t="n">
        <v>51.9</v>
      </c>
      <c r="AD248" t="n">
        <v>53.9562293982542</v>
      </c>
      <c r="AH248" t="n">
        <v>50.8</v>
      </c>
      <c r="AK248" t="n">
        <v>48.9</v>
      </c>
      <c r="AN248" t="n">
        <v>44.41</v>
      </c>
      <c r="AO248" t="n">
        <v>49.5</v>
      </c>
      <c r="AP248" t="n">
        <v>52.9</v>
      </c>
      <c r="AT248" t="n">
        <v>52.4</v>
      </c>
      <c r="AV248" t="n">
        <v>50.1</v>
      </c>
      <c r="AX248" t="n">
        <v>57</v>
      </c>
      <c r="AY248" t="n">
        <v>56.4</v>
      </c>
      <c r="AZ248" t="n">
        <v>52.5</v>
      </c>
    </row>
    <row r="249">
      <c r="A249" s="81" t="n">
        <v>41791</v>
      </c>
      <c r="B249" t="n">
        <v>48.9</v>
      </c>
      <c r="D249" t="n">
        <v>48.7</v>
      </c>
      <c r="E249" t="n">
        <v>53.5</v>
      </c>
      <c r="F249" t="n">
        <v>50.7</v>
      </c>
      <c r="H249" t="n">
        <v>54.7</v>
      </c>
      <c r="I249" t="n">
        <v>51.76</v>
      </c>
      <c r="K249" t="n">
        <v>51.8</v>
      </c>
      <c r="L249" t="n">
        <v>48.2</v>
      </c>
      <c r="M249" t="n">
        <v>52</v>
      </c>
      <c r="N249" t="n">
        <v>49.4</v>
      </c>
      <c r="O249" t="n">
        <v>50.1</v>
      </c>
      <c r="Q249" t="n">
        <v>51.5</v>
      </c>
      <c r="R249" t="n">
        <v>52.7</v>
      </c>
      <c r="S249" t="n">
        <v>55.3</v>
      </c>
      <c r="U249" t="n">
        <v>52.6</v>
      </c>
      <c r="V249" t="n">
        <v>51.5</v>
      </c>
      <c r="AA249" t="n">
        <v>51.8</v>
      </c>
      <c r="AD249" t="n">
        <v>53.3320549988047</v>
      </c>
      <c r="AH249" t="n">
        <v>50.3</v>
      </c>
      <c r="AK249" t="n">
        <v>49.1</v>
      </c>
      <c r="AN249" t="n">
        <v>46.59</v>
      </c>
      <c r="AO249" t="n">
        <v>48.4</v>
      </c>
      <c r="AP249" t="n">
        <v>54.6</v>
      </c>
      <c r="AT249" t="n">
        <v>54</v>
      </c>
      <c r="AV249" t="n">
        <v>48.8</v>
      </c>
      <c r="AX249" t="n">
        <v>57.5</v>
      </c>
      <c r="AY249" t="n">
        <v>57.3</v>
      </c>
      <c r="AZ249" t="n">
        <v>52.3</v>
      </c>
    </row>
    <row r="250">
      <c r="A250" s="81" t="n">
        <v>41821</v>
      </c>
      <c r="B250" t="n">
        <v>50.7</v>
      </c>
      <c r="D250" t="n">
        <v>49.1</v>
      </c>
      <c r="E250" t="n">
        <v>54.3</v>
      </c>
      <c r="F250" t="n">
        <v>51.7</v>
      </c>
      <c r="H250" t="n">
        <v>56.4638888888889</v>
      </c>
      <c r="I250" t="n">
        <v>49.75</v>
      </c>
      <c r="K250" t="n">
        <v>51.8</v>
      </c>
      <c r="L250" t="n">
        <v>47.8</v>
      </c>
      <c r="M250" t="n">
        <v>52.4</v>
      </c>
      <c r="N250" t="n">
        <v>48.7</v>
      </c>
      <c r="O250" t="n">
        <v>50.4</v>
      </c>
      <c r="Q250" t="n">
        <v>53</v>
      </c>
      <c r="R250" t="n">
        <v>52.4</v>
      </c>
      <c r="S250" t="n">
        <v>55.4</v>
      </c>
      <c r="U250" t="n">
        <v>51.9</v>
      </c>
      <c r="V250" t="n">
        <v>50.5</v>
      </c>
      <c r="AA250" t="n">
        <v>51.5</v>
      </c>
      <c r="AD250" t="n">
        <v>54.7532486987351</v>
      </c>
      <c r="AH250" t="n">
        <v>49.4</v>
      </c>
      <c r="AK250" t="n">
        <v>51</v>
      </c>
      <c r="AN250" t="n">
        <v>45.45</v>
      </c>
      <c r="AO250" t="n">
        <v>48.5066666666667</v>
      </c>
      <c r="AP250" t="n">
        <v>53.9</v>
      </c>
      <c r="AT250" t="n">
        <v>55.8</v>
      </c>
      <c r="AV250" t="n">
        <v>48.5</v>
      </c>
      <c r="AX250" t="n">
        <v>55.4</v>
      </c>
      <c r="AY250" t="n">
        <v>55.8</v>
      </c>
      <c r="AZ250" t="n">
        <v>51.7</v>
      </c>
    </row>
    <row r="251">
      <c r="A251" s="81" t="n">
        <v>41852</v>
      </c>
      <c r="B251" t="n">
        <v>47.3</v>
      </c>
      <c r="D251" t="n">
        <v>50.2</v>
      </c>
      <c r="E251" t="n">
        <v>54.8</v>
      </c>
      <c r="F251" t="n">
        <v>50.2</v>
      </c>
      <c r="H251" t="n">
        <v>54.3</v>
      </c>
      <c r="I251" t="n">
        <v>48.13</v>
      </c>
      <c r="K251" t="n">
        <v>50.7</v>
      </c>
      <c r="L251" t="n">
        <v>46.9</v>
      </c>
      <c r="M251" t="n">
        <v>51.4</v>
      </c>
      <c r="N251" t="n">
        <v>50.1</v>
      </c>
      <c r="O251" t="n">
        <v>49.6</v>
      </c>
      <c r="Q251" t="n">
        <v>52.4</v>
      </c>
      <c r="R251" t="n">
        <v>49.5</v>
      </c>
      <c r="S251" t="n">
        <v>57.3</v>
      </c>
      <c r="U251" t="n">
        <v>49.8</v>
      </c>
      <c r="V251" t="n">
        <v>52.2</v>
      </c>
      <c r="AA251" t="n">
        <v>52.1</v>
      </c>
      <c r="AD251" t="n">
        <v>56.3908671788302</v>
      </c>
      <c r="AH251" t="n">
        <v>49</v>
      </c>
      <c r="AK251" t="n">
        <v>51</v>
      </c>
      <c r="AN251" t="n">
        <v>49</v>
      </c>
      <c r="AO251" t="n">
        <v>50.3</v>
      </c>
      <c r="AP251" t="n">
        <v>52.8</v>
      </c>
      <c r="AT251" t="n">
        <v>56.1</v>
      </c>
      <c r="AV251" t="n">
        <v>50</v>
      </c>
      <c r="AX251" t="n">
        <v>52.5</v>
      </c>
      <c r="AY251" t="n">
        <v>57.9</v>
      </c>
      <c r="AZ251" t="n">
        <v>50.3</v>
      </c>
    </row>
    <row r="252">
      <c r="A252" s="81" t="n">
        <v>41883</v>
      </c>
      <c r="B252" t="n">
        <v>46.5</v>
      </c>
      <c r="D252" t="n">
        <v>49.3</v>
      </c>
      <c r="E252" t="n">
        <v>53.5</v>
      </c>
      <c r="F252" t="n">
        <v>51.1</v>
      </c>
      <c r="H252" t="n">
        <v>55.6</v>
      </c>
      <c r="I252" t="n">
        <v>51.33</v>
      </c>
      <c r="K252" t="n">
        <v>50.3</v>
      </c>
      <c r="L252" t="n">
        <v>48.8</v>
      </c>
      <c r="M252" t="n">
        <v>49.9</v>
      </c>
      <c r="N252" t="n">
        <v>48.4</v>
      </c>
      <c r="O252" t="n">
        <v>49.8</v>
      </c>
      <c r="Q252" t="n">
        <v>51</v>
      </c>
      <c r="R252" t="n">
        <v>50.7</v>
      </c>
      <c r="S252" t="n">
        <v>55.7</v>
      </c>
      <c r="U252" t="n">
        <v>50.7</v>
      </c>
      <c r="V252" t="n">
        <v>51.7</v>
      </c>
      <c r="AA252" t="n">
        <v>52.6</v>
      </c>
      <c r="AD252" t="n">
        <v>57.2985417258584</v>
      </c>
      <c r="AH252" t="n">
        <v>49.5</v>
      </c>
      <c r="AK252" t="n">
        <v>50.4</v>
      </c>
      <c r="AN252" t="n">
        <v>50.35</v>
      </c>
      <c r="AO252" t="n">
        <v>48.8</v>
      </c>
      <c r="AP252" t="n">
        <v>52.6</v>
      </c>
      <c r="AT252" t="n">
        <v>53.3</v>
      </c>
      <c r="AV252" t="n">
        <v>50.4</v>
      </c>
      <c r="AX252" t="n">
        <v>51.6</v>
      </c>
      <c r="AY252" t="n">
        <v>57.5</v>
      </c>
      <c r="AZ252" t="n">
        <v>51.7</v>
      </c>
    </row>
    <row r="253">
      <c r="A253" s="81" t="n">
        <v>41913</v>
      </c>
      <c r="B253" t="n">
        <v>49.42</v>
      </c>
      <c r="D253" t="n">
        <v>49.1</v>
      </c>
      <c r="E253" t="n">
        <v>55.3</v>
      </c>
      <c r="F253" t="n">
        <v>50.8</v>
      </c>
      <c r="H253" t="n">
        <v>54.4</v>
      </c>
      <c r="I253" t="n">
        <v>54.04</v>
      </c>
      <c r="K253" t="n">
        <v>50.6</v>
      </c>
      <c r="L253" t="n">
        <v>48.5</v>
      </c>
      <c r="M253" t="n">
        <v>51.4</v>
      </c>
      <c r="N253" t="n">
        <v>48.8</v>
      </c>
      <c r="O253" t="n">
        <v>47.7</v>
      </c>
      <c r="Q253" t="n">
        <v>51.6</v>
      </c>
      <c r="R253" t="n">
        <v>49.2</v>
      </c>
      <c r="S253" t="n">
        <v>56.6</v>
      </c>
      <c r="U253" t="n">
        <v>49</v>
      </c>
      <c r="V253" t="n">
        <v>52.4</v>
      </c>
      <c r="AA253" t="n">
        <v>53.3</v>
      </c>
      <c r="AD253" t="n">
        <v>58.5179627874654</v>
      </c>
      <c r="AH253" t="n">
        <v>51.2</v>
      </c>
      <c r="AK253" t="n">
        <v>50.3</v>
      </c>
      <c r="AN253" t="n">
        <v>50.13</v>
      </c>
      <c r="AO253" t="n">
        <v>48.7</v>
      </c>
      <c r="AP253" t="n">
        <v>52.6</v>
      </c>
      <c r="AT253" t="n">
        <v>52</v>
      </c>
      <c r="AV253" t="n">
        <v>51.5</v>
      </c>
      <c r="AX253" t="n">
        <v>53.2</v>
      </c>
      <c r="AY253" t="n">
        <v>55.9</v>
      </c>
      <c r="AZ253" t="n">
        <v>51</v>
      </c>
    </row>
    <row r="254">
      <c r="A254" s="81" t="n">
        <v>41944</v>
      </c>
      <c r="B254" t="n">
        <v>50.1</v>
      </c>
      <c r="D254" t="n">
        <v>48.7</v>
      </c>
      <c r="E254" t="n">
        <v>55.3</v>
      </c>
      <c r="F254" t="n">
        <v>50.3</v>
      </c>
      <c r="H254" t="n">
        <v>55.6</v>
      </c>
      <c r="I254" t="n">
        <v>51.5</v>
      </c>
      <c r="K254" t="n">
        <v>50.1</v>
      </c>
      <c r="L254" t="n">
        <v>48.4</v>
      </c>
      <c r="M254" t="n">
        <v>49.5</v>
      </c>
      <c r="N254" t="n">
        <v>49.1</v>
      </c>
      <c r="O254" t="n">
        <v>48.8</v>
      </c>
      <c r="Q254" t="n">
        <v>53.3</v>
      </c>
      <c r="R254" t="n">
        <v>48</v>
      </c>
      <c r="S254" t="n">
        <v>56.2</v>
      </c>
      <c r="U254" t="n">
        <v>49</v>
      </c>
      <c r="V254" t="n">
        <v>52</v>
      </c>
      <c r="AA254" t="n">
        <v>54.3</v>
      </c>
      <c r="AD254" t="n">
        <v>54.6177249057541</v>
      </c>
      <c r="AH254" t="n">
        <v>53.2</v>
      </c>
      <c r="AK254" t="n">
        <v>51.7</v>
      </c>
      <c r="AN254" t="n">
        <v>53.12</v>
      </c>
      <c r="AO254" t="n">
        <v>49</v>
      </c>
      <c r="AP254" t="n">
        <v>54.7</v>
      </c>
      <c r="AT254" t="n">
        <v>51.4</v>
      </c>
      <c r="AV254" t="n">
        <v>52.2</v>
      </c>
      <c r="AX254" t="n">
        <v>53.5</v>
      </c>
      <c r="AY254" t="n">
        <v>54.8</v>
      </c>
      <c r="AZ254" t="n">
        <v>52.7</v>
      </c>
    </row>
    <row r="255">
      <c r="A255" s="81" t="n">
        <v>41974</v>
      </c>
      <c r="B255" t="n">
        <v>46.9</v>
      </c>
      <c r="D255" t="n">
        <v>50.2</v>
      </c>
      <c r="E255" t="n">
        <v>53.9</v>
      </c>
      <c r="F255" t="n">
        <v>50.1</v>
      </c>
      <c r="H255" t="n">
        <v>53.3</v>
      </c>
      <c r="I255" t="n">
        <v>53.85</v>
      </c>
      <c r="K255" t="n">
        <v>50.6</v>
      </c>
      <c r="L255" t="n">
        <v>47.5</v>
      </c>
      <c r="M255" t="n">
        <v>51.2</v>
      </c>
      <c r="N255" t="n">
        <v>49.4</v>
      </c>
      <c r="O255" t="n">
        <v>50.3</v>
      </c>
      <c r="Q255" t="n">
        <v>54.5</v>
      </c>
      <c r="R255" t="n">
        <v>47.6</v>
      </c>
      <c r="S255" t="n">
        <v>56.9</v>
      </c>
      <c r="U255" t="n">
        <v>48.4</v>
      </c>
      <c r="V255" t="n">
        <v>52</v>
      </c>
      <c r="AA255" t="n">
        <v>55.3</v>
      </c>
      <c r="AD255" t="n">
        <v>56.6517514841744</v>
      </c>
      <c r="AH255" t="n">
        <v>52.8</v>
      </c>
      <c r="AK255" t="n">
        <v>48.9</v>
      </c>
      <c r="AN255" t="n">
        <v>51.1</v>
      </c>
      <c r="AO255" t="n">
        <v>49.9</v>
      </c>
      <c r="AP255" t="n">
        <v>53.8</v>
      </c>
      <c r="AT255" t="n">
        <v>50</v>
      </c>
      <c r="AV255" t="n">
        <v>51.4</v>
      </c>
      <c r="AX255" t="n">
        <v>52.5</v>
      </c>
      <c r="AY255" t="n">
        <v>53.9</v>
      </c>
      <c r="AZ255" t="n">
        <v>51.5</v>
      </c>
    </row>
    <row r="256">
      <c r="A256" s="81" t="n">
        <v>42005</v>
      </c>
      <c r="B256" t="n">
        <v>49</v>
      </c>
      <c r="D256" t="n">
        <v>50.7</v>
      </c>
      <c r="E256" t="n">
        <v>51</v>
      </c>
      <c r="F256" t="n">
        <v>49.8</v>
      </c>
      <c r="H256" t="n">
        <v>56.1</v>
      </c>
      <c r="I256" t="n">
        <v>55.25</v>
      </c>
      <c r="K256" t="n">
        <v>51</v>
      </c>
      <c r="L256" t="n">
        <v>49.2</v>
      </c>
      <c r="M256" t="n">
        <v>50.9</v>
      </c>
      <c r="N256" t="n">
        <v>48.3</v>
      </c>
      <c r="O256" t="n">
        <v>49.4</v>
      </c>
      <c r="Q256" t="n">
        <v>52.9</v>
      </c>
      <c r="R256" t="n">
        <v>48.5</v>
      </c>
      <c r="S256" t="n">
        <v>55.1</v>
      </c>
      <c r="U256" t="n">
        <v>49.9</v>
      </c>
      <c r="V256" t="n">
        <v>52.2</v>
      </c>
      <c r="AA256" t="n">
        <v>55.6</v>
      </c>
      <c r="AD256" t="n">
        <v>51.5607487261562</v>
      </c>
      <c r="AH256" t="n">
        <v>55.2</v>
      </c>
      <c r="AK256" t="n">
        <v>47.6</v>
      </c>
      <c r="AN256" t="n">
        <v>53.24</v>
      </c>
      <c r="AO256" t="n">
        <v>51.1</v>
      </c>
      <c r="AP256" t="n">
        <v>54.7</v>
      </c>
      <c r="AT256" t="n">
        <v>51.7</v>
      </c>
      <c r="AV256" t="n">
        <v>49.8</v>
      </c>
      <c r="AX256" t="n">
        <v>53</v>
      </c>
      <c r="AY256" t="n">
        <v>53.7</v>
      </c>
      <c r="AZ256" t="n">
        <v>51.5</v>
      </c>
    </row>
    <row r="257">
      <c r="A257" s="81" t="n">
        <v>42036</v>
      </c>
      <c r="B257" t="n">
        <v>45.4</v>
      </c>
      <c r="D257" t="n">
        <v>49.6</v>
      </c>
      <c r="E257" t="n">
        <v>48.7</v>
      </c>
      <c r="F257" t="n">
        <v>49.9</v>
      </c>
      <c r="H257" t="n">
        <v>55.6</v>
      </c>
      <c r="I257" t="n">
        <v>57.96</v>
      </c>
      <c r="K257" t="n">
        <v>51</v>
      </c>
      <c r="L257" t="n">
        <v>47.6</v>
      </c>
      <c r="M257" t="n">
        <v>51.1</v>
      </c>
      <c r="N257" t="n">
        <v>48.4</v>
      </c>
      <c r="O257" t="n">
        <v>50.7</v>
      </c>
      <c r="Q257" t="n">
        <v>51.2</v>
      </c>
      <c r="R257" t="n">
        <v>47.5</v>
      </c>
      <c r="S257" t="n">
        <v>57.5</v>
      </c>
      <c r="U257" t="n">
        <v>51.9</v>
      </c>
      <c r="V257" t="n">
        <v>51.6</v>
      </c>
      <c r="AA257" t="n">
        <v>54.4</v>
      </c>
      <c r="AD257" t="n">
        <v>56.6859926423443</v>
      </c>
      <c r="AH257" t="n">
        <v>55.1</v>
      </c>
      <c r="AK257" t="n">
        <v>49.7</v>
      </c>
      <c r="AN257" t="n">
        <v>47.66</v>
      </c>
      <c r="AO257" t="n">
        <v>51.1</v>
      </c>
      <c r="AP257" t="n">
        <v>54.2</v>
      </c>
      <c r="AT257" t="n">
        <v>52.1</v>
      </c>
      <c r="AV257" t="n">
        <v>49.6</v>
      </c>
      <c r="AX257" t="n">
        <v>54.1</v>
      </c>
      <c r="AY257" t="n">
        <v>54.3</v>
      </c>
      <c r="AZ257" t="n">
        <v>51.7</v>
      </c>
    </row>
    <row r="258">
      <c r="A258" s="81" t="n">
        <v>42064</v>
      </c>
      <c r="B258" t="n">
        <v>46.3</v>
      </c>
      <c r="D258" t="n">
        <v>46.2</v>
      </c>
      <c r="E258" t="n">
        <v>48.9</v>
      </c>
      <c r="F258" t="n">
        <v>50.1</v>
      </c>
      <c r="H258" t="n">
        <v>56.1</v>
      </c>
      <c r="I258" t="n">
        <v>58.54</v>
      </c>
      <c r="K258" t="n">
        <v>52.2</v>
      </c>
      <c r="L258" t="n">
        <v>48.8</v>
      </c>
      <c r="M258" t="n">
        <v>52.8</v>
      </c>
      <c r="N258" t="n">
        <v>48.9</v>
      </c>
      <c r="O258" t="n">
        <v>49.6</v>
      </c>
      <c r="Q258" t="n">
        <v>52.1</v>
      </c>
      <c r="R258" t="n">
        <v>46.4</v>
      </c>
      <c r="S258" t="n">
        <v>56.8</v>
      </c>
      <c r="U258" t="n">
        <v>53.3</v>
      </c>
      <c r="V258" t="n">
        <v>50.3</v>
      </c>
      <c r="AA258" t="n">
        <v>53.8</v>
      </c>
      <c r="AD258" t="n">
        <v>54.7822942728314</v>
      </c>
      <c r="AH258" t="n">
        <v>54.8</v>
      </c>
      <c r="AK258" t="n">
        <v>48.1</v>
      </c>
      <c r="AN258" t="n">
        <v>47.88</v>
      </c>
      <c r="AO258" t="n">
        <v>49.2</v>
      </c>
      <c r="AP258" t="n">
        <v>54.3</v>
      </c>
      <c r="AT258" t="n">
        <v>51</v>
      </c>
      <c r="AV258" t="n">
        <v>48</v>
      </c>
      <c r="AX258" t="n">
        <v>54.4</v>
      </c>
      <c r="AY258" t="n">
        <v>55.3</v>
      </c>
      <c r="AZ258" t="n">
        <v>50.7</v>
      </c>
    </row>
    <row r="259">
      <c r="A259" s="81" t="n">
        <v>42095</v>
      </c>
      <c r="B259" t="n">
        <v>48</v>
      </c>
      <c r="D259" t="n">
        <v>46</v>
      </c>
      <c r="E259" t="n">
        <v>49</v>
      </c>
      <c r="F259" t="n">
        <v>50.1</v>
      </c>
      <c r="H259" t="n">
        <v>54.7</v>
      </c>
      <c r="I259" t="n">
        <v>53.3</v>
      </c>
      <c r="K259" t="n">
        <v>52</v>
      </c>
      <c r="L259" t="n">
        <v>48</v>
      </c>
      <c r="M259" t="n">
        <v>52.1</v>
      </c>
      <c r="N259" t="n">
        <v>46.5</v>
      </c>
      <c r="O259" t="n">
        <v>48.6</v>
      </c>
      <c r="Q259" t="n">
        <v>51.3</v>
      </c>
      <c r="R259" t="n">
        <v>46.7</v>
      </c>
      <c r="S259" t="n">
        <v>55.8</v>
      </c>
      <c r="U259" t="n">
        <v>53.8</v>
      </c>
      <c r="V259" t="n">
        <v>49.9</v>
      </c>
      <c r="AA259" t="n">
        <v>53.8</v>
      </c>
      <c r="AD259" t="n">
        <v>52.3374487038734</v>
      </c>
      <c r="AH259" t="n">
        <v>54</v>
      </c>
      <c r="AK259" t="n">
        <v>48.9</v>
      </c>
      <c r="AL259" t="n">
        <v>60.1</v>
      </c>
      <c r="AN259" t="n">
        <v>44.92</v>
      </c>
      <c r="AO259" t="n">
        <v>48.8</v>
      </c>
      <c r="AP259" t="n">
        <v>54.2</v>
      </c>
      <c r="AT259" t="n">
        <v>49.2</v>
      </c>
      <c r="AV259" t="n">
        <v>48.5</v>
      </c>
      <c r="AX259" t="n">
        <v>51.9</v>
      </c>
      <c r="AY259" t="n">
        <v>54.1</v>
      </c>
      <c r="AZ259" t="n">
        <v>53.5</v>
      </c>
    </row>
    <row r="260">
      <c r="A260" s="81" t="n">
        <v>42125</v>
      </c>
      <c r="B260" t="n">
        <v>52.29</v>
      </c>
      <c r="D260" t="n">
        <v>45.9</v>
      </c>
      <c r="E260" t="n">
        <v>49.8</v>
      </c>
      <c r="F260" t="n">
        <v>50.2</v>
      </c>
      <c r="H260" t="n">
        <v>55.5</v>
      </c>
      <c r="I260" t="n">
        <v>52.73</v>
      </c>
      <c r="K260" t="n">
        <v>52.2</v>
      </c>
      <c r="L260" t="n">
        <v>49.4</v>
      </c>
      <c r="M260" t="n">
        <v>51.1</v>
      </c>
      <c r="N260" t="n">
        <v>48</v>
      </c>
      <c r="O260" t="n">
        <v>47.6</v>
      </c>
      <c r="Q260" t="n">
        <v>52.6</v>
      </c>
      <c r="R260" t="n">
        <v>47.1</v>
      </c>
      <c r="S260" t="n">
        <v>57.1</v>
      </c>
      <c r="U260" t="n">
        <v>54.8</v>
      </c>
      <c r="V260" t="n">
        <v>50.9</v>
      </c>
      <c r="AA260" t="n">
        <v>53.3</v>
      </c>
      <c r="AD260" t="n">
        <v>51.4456692441713</v>
      </c>
      <c r="AH260" t="n">
        <v>52.4</v>
      </c>
      <c r="AK260" t="n">
        <v>47.6</v>
      </c>
      <c r="AL260" t="n">
        <v>57</v>
      </c>
      <c r="AN260" t="n">
        <v>50.52</v>
      </c>
      <c r="AO260" t="n">
        <v>47.8</v>
      </c>
      <c r="AP260" t="n">
        <v>55.8</v>
      </c>
      <c r="AT260" t="n">
        <v>49.3</v>
      </c>
      <c r="AV260" t="n">
        <v>50.2</v>
      </c>
      <c r="AX260" t="n">
        <v>52.2</v>
      </c>
      <c r="AY260" t="n">
        <v>53.8</v>
      </c>
      <c r="AZ260" t="n">
        <v>54.8</v>
      </c>
    </row>
    <row r="261">
      <c r="A261" s="81" t="n">
        <v>42156</v>
      </c>
      <c r="B261" t="n">
        <v>44.2</v>
      </c>
      <c r="D261" t="n">
        <v>46.5</v>
      </c>
      <c r="E261" t="n">
        <v>51.3</v>
      </c>
      <c r="F261" t="n">
        <v>50.2</v>
      </c>
      <c r="H261" t="n">
        <v>56.9</v>
      </c>
      <c r="I261" t="n">
        <v>54.46</v>
      </c>
      <c r="K261" t="n">
        <v>52.5</v>
      </c>
      <c r="L261" t="n">
        <v>50.7</v>
      </c>
      <c r="M261" t="n">
        <v>51.9</v>
      </c>
      <c r="N261" t="n">
        <v>46.9</v>
      </c>
      <c r="O261" t="n">
        <v>49.2</v>
      </c>
      <c r="Q261" t="n">
        <v>51.3</v>
      </c>
      <c r="R261" t="n">
        <v>47.8</v>
      </c>
      <c r="S261" t="n">
        <v>54.6</v>
      </c>
      <c r="U261" t="n">
        <v>54.1</v>
      </c>
      <c r="V261" t="n">
        <v>50.1</v>
      </c>
      <c r="AA261" t="n">
        <v>52</v>
      </c>
      <c r="AD261" t="n">
        <v>55.1807836368314</v>
      </c>
      <c r="AH261" t="n">
        <v>54.3</v>
      </c>
      <c r="AK261" t="n">
        <v>48.7</v>
      </c>
      <c r="AL261" t="n">
        <v>56.1</v>
      </c>
      <c r="AN261" t="n">
        <v>50.31</v>
      </c>
      <c r="AO261" t="n">
        <v>46.1</v>
      </c>
      <c r="AP261" t="n">
        <v>54.5</v>
      </c>
      <c r="AT261" t="n">
        <v>46.3</v>
      </c>
      <c r="AV261" t="n">
        <v>49</v>
      </c>
      <c r="AX261" t="n">
        <v>51.9</v>
      </c>
      <c r="AY261" t="n">
        <v>53.6</v>
      </c>
      <c r="AZ261" t="n">
        <v>52.2</v>
      </c>
    </row>
    <row r="262">
      <c r="A262" s="81" t="n">
        <v>42186</v>
      </c>
      <c r="B262" t="n">
        <v>50.4</v>
      </c>
      <c r="D262" t="n">
        <v>47.2</v>
      </c>
      <c r="E262" t="n">
        <v>50.8</v>
      </c>
      <c r="F262" t="n">
        <v>50</v>
      </c>
      <c r="H262" t="n">
        <v>57.5</v>
      </c>
      <c r="I262" t="n">
        <v>52.31</v>
      </c>
      <c r="K262" t="n">
        <v>52.4</v>
      </c>
      <c r="L262" t="n">
        <v>49.6</v>
      </c>
      <c r="M262" t="n">
        <v>51.8</v>
      </c>
      <c r="N262" t="n">
        <v>30.2</v>
      </c>
      <c r="O262" t="n">
        <v>48.2</v>
      </c>
      <c r="Q262" t="n">
        <v>52.7</v>
      </c>
      <c r="R262" t="n">
        <v>47.3</v>
      </c>
      <c r="S262" t="n">
        <v>56.7</v>
      </c>
      <c r="U262" t="n">
        <v>55.3</v>
      </c>
      <c r="V262" t="n">
        <v>51.2</v>
      </c>
      <c r="AA262" t="n">
        <v>52.9</v>
      </c>
      <c r="AD262" t="n">
        <v>54.3814448281616</v>
      </c>
      <c r="AH262" t="n">
        <v>54.5</v>
      </c>
      <c r="AK262" t="n">
        <v>48.3</v>
      </c>
      <c r="AL262" t="n">
        <v>57.7</v>
      </c>
      <c r="AN262" t="n">
        <v>50.25</v>
      </c>
      <c r="AO262" t="n">
        <v>47.6</v>
      </c>
      <c r="AP262" t="n">
        <v>53.6</v>
      </c>
      <c r="AT262" t="n">
        <v>47.1</v>
      </c>
      <c r="AV262" t="n">
        <v>50.1</v>
      </c>
      <c r="AX262" t="n">
        <v>52.5</v>
      </c>
      <c r="AY262" t="n">
        <v>53.8</v>
      </c>
      <c r="AZ262" t="n">
        <v>52.6</v>
      </c>
    </row>
    <row r="263">
      <c r="A263" s="81" t="n">
        <v>42217</v>
      </c>
      <c r="B263" t="n">
        <v>51.7</v>
      </c>
      <c r="D263" t="n">
        <v>45.8</v>
      </c>
      <c r="E263" t="n">
        <v>49.4</v>
      </c>
      <c r="F263" t="n">
        <v>47.3</v>
      </c>
      <c r="H263" t="n">
        <v>56.6</v>
      </c>
      <c r="I263" t="n">
        <v>62.51</v>
      </c>
      <c r="K263" t="n">
        <v>52.3</v>
      </c>
      <c r="L263" t="n">
        <v>48.3</v>
      </c>
      <c r="M263" t="n">
        <v>53.3</v>
      </c>
      <c r="N263" t="n">
        <v>39.1</v>
      </c>
      <c r="O263" t="n">
        <v>44.4</v>
      </c>
      <c r="Q263" t="n">
        <v>52.3</v>
      </c>
      <c r="R263" t="n">
        <v>48.4</v>
      </c>
      <c r="S263" t="n">
        <v>53.6</v>
      </c>
      <c r="U263" t="n">
        <v>53.8</v>
      </c>
      <c r="V263" t="n">
        <v>51.7</v>
      </c>
      <c r="AA263" t="n">
        <v>52.4</v>
      </c>
      <c r="AD263" t="n">
        <v>54.8707969074682</v>
      </c>
      <c r="AH263" t="n">
        <v>51.1</v>
      </c>
      <c r="AK263" t="n">
        <v>47.9</v>
      </c>
      <c r="AL263" t="n">
        <v>58.7</v>
      </c>
      <c r="AN263" t="n">
        <v>50.52</v>
      </c>
      <c r="AO263" t="n">
        <v>47.9</v>
      </c>
      <c r="AP263" t="n">
        <v>53.2</v>
      </c>
      <c r="AT263" t="n">
        <v>46.1</v>
      </c>
      <c r="AV263" t="n">
        <v>49.3</v>
      </c>
      <c r="AX263" t="n">
        <v>51.6</v>
      </c>
      <c r="AY263" t="n">
        <v>53</v>
      </c>
      <c r="AZ263" t="n">
        <v>51.3</v>
      </c>
    </row>
    <row r="264">
      <c r="A264" s="81" t="n">
        <v>42248</v>
      </c>
      <c r="B264" t="n">
        <v>52.1</v>
      </c>
      <c r="D264" t="n">
        <v>47</v>
      </c>
      <c r="E264" t="n">
        <v>48.6</v>
      </c>
      <c r="F264" t="n">
        <v>47.2</v>
      </c>
      <c r="H264" t="n">
        <v>55.5</v>
      </c>
      <c r="I264" t="n">
        <v>69.37</v>
      </c>
      <c r="K264" t="n">
        <v>52</v>
      </c>
      <c r="L264" t="n">
        <v>50.6</v>
      </c>
      <c r="M264" t="n">
        <v>52.3</v>
      </c>
      <c r="N264" t="n">
        <v>43.3</v>
      </c>
      <c r="O264" t="n">
        <v>45.7</v>
      </c>
      <c r="Q264" t="n">
        <v>51.2</v>
      </c>
      <c r="R264" t="n">
        <v>47.4</v>
      </c>
      <c r="S264" t="n">
        <v>53.8</v>
      </c>
      <c r="U264" t="n">
        <v>52.7</v>
      </c>
      <c r="V264" t="n">
        <v>51</v>
      </c>
      <c r="AA264" t="n">
        <v>52.1</v>
      </c>
      <c r="AD264" t="n">
        <v>54.0967098657682</v>
      </c>
      <c r="AH264" t="n">
        <v>50.9</v>
      </c>
      <c r="AK264" t="n">
        <v>49.1</v>
      </c>
      <c r="AL264" t="n">
        <v>56.5</v>
      </c>
      <c r="AN264" t="n">
        <v>50.14</v>
      </c>
      <c r="AO264" t="n">
        <v>49.2</v>
      </c>
      <c r="AP264" t="n">
        <v>51.7</v>
      </c>
      <c r="AT264" t="n">
        <v>46.9</v>
      </c>
      <c r="AV264" t="n">
        <v>48.8</v>
      </c>
      <c r="AX264" t="n">
        <v>51.6</v>
      </c>
      <c r="AY264" t="n">
        <v>53.1</v>
      </c>
      <c r="AZ264" t="n">
        <v>49.5</v>
      </c>
    </row>
    <row r="265">
      <c r="A265" s="81" t="n">
        <v>42278</v>
      </c>
      <c r="B265" t="n">
        <v>50.2</v>
      </c>
      <c r="D265" t="n">
        <v>44.1</v>
      </c>
      <c r="E265" t="n">
        <v>48</v>
      </c>
      <c r="F265" t="n">
        <v>48.3</v>
      </c>
      <c r="H265" t="n">
        <v>54</v>
      </c>
      <c r="I265" t="n">
        <v>55.62</v>
      </c>
      <c r="K265" t="n">
        <v>52.3</v>
      </c>
      <c r="L265" t="n">
        <v>50.6</v>
      </c>
      <c r="M265" t="n">
        <v>52.1</v>
      </c>
      <c r="N265" t="n">
        <v>47.3</v>
      </c>
      <c r="O265" t="n">
        <v>46.6</v>
      </c>
      <c r="Q265" t="n">
        <v>50.7</v>
      </c>
      <c r="R265" t="n">
        <v>47.8</v>
      </c>
      <c r="S265" t="n">
        <v>53.6</v>
      </c>
      <c r="U265" t="n">
        <v>54.1</v>
      </c>
      <c r="V265" t="n">
        <v>52.4</v>
      </c>
      <c r="AA265" t="n">
        <v>53</v>
      </c>
      <c r="AD265" t="n">
        <v>53.1406959969631</v>
      </c>
      <c r="AH265" t="n">
        <v>52.2</v>
      </c>
      <c r="AK265" t="n">
        <v>50.2</v>
      </c>
      <c r="AL265" t="n">
        <v>55.7</v>
      </c>
      <c r="AN265" t="n">
        <v>48.74</v>
      </c>
      <c r="AO265" t="n">
        <v>49.1</v>
      </c>
      <c r="AP265" t="n">
        <v>51.3</v>
      </c>
      <c r="AT265" t="n">
        <v>47.8</v>
      </c>
      <c r="AV265" t="n">
        <v>49.5</v>
      </c>
      <c r="AX265" t="n">
        <v>54.3</v>
      </c>
      <c r="AY265" t="n">
        <v>54.1</v>
      </c>
      <c r="AZ265" t="n">
        <v>50.1</v>
      </c>
    </row>
    <row r="266">
      <c r="A266" s="81" t="n">
        <v>42309</v>
      </c>
      <c r="B266" t="n">
        <v>52.5</v>
      </c>
      <c r="D266" t="n">
        <v>43.8</v>
      </c>
      <c r="E266" t="n">
        <v>48.6</v>
      </c>
      <c r="F266" t="n">
        <v>48.6</v>
      </c>
      <c r="H266" t="n">
        <v>54.2</v>
      </c>
      <c r="I266" t="n">
        <v>61.47</v>
      </c>
      <c r="K266" t="n">
        <v>52.8</v>
      </c>
      <c r="L266" t="n">
        <v>50.6</v>
      </c>
      <c r="M266" t="n">
        <v>52.9</v>
      </c>
      <c r="N266" t="n">
        <v>48.1</v>
      </c>
      <c r="O266" t="n">
        <v>46.6</v>
      </c>
      <c r="Q266" t="n">
        <v>50.3</v>
      </c>
      <c r="R266" t="n">
        <v>46.9</v>
      </c>
      <c r="S266" t="n">
        <v>53.3</v>
      </c>
      <c r="U266" t="n">
        <v>54.9</v>
      </c>
      <c r="V266" t="n">
        <v>52.6</v>
      </c>
      <c r="AA266" t="n">
        <v>53</v>
      </c>
      <c r="AD266" t="n">
        <v>55.0326358859927</v>
      </c>
      <c r="AH266" t="n">
        <v>52.1</v>
      </c>
      <c r="AK266" t="n">
        <v>50.1</v>
      </c>
      <c r="AL266" t="n">
        <v>56.3</v>
      </c>
      <c r="AN266" t="n">
        <v>44.73</v>
      </c>
      <c r="AO266" t="n">
        <v>49.1</v>
      </c>
      <c r="AP266" t="n">
        <v>53.1</v>
      </c>
      <c r="AT266" t="n">
        <v>49.5</v>
      </c>
      <c r="AV266" t="n">
        <v>50.9</v>
      </c>
      <c r="AX266" t="n">
        <v>52.3</v>
      </c>
      <c r="AY266" t="n">
        <v>52.8</v>
      </c>
      <c r="AZ266" t="n">
        <v>49.4</v>
      </c>
    </row>
    <row r="267">
      <c r="A267" s="81" t="n">
        <v>42339</v>
      </c>
      <c r="B267" t="n">
        <v>51.9</v>
      </c>
      <c r="D267" t="n">
        <v>45.6</v>
      </c>
      <c r="E267" t="n">
        <v>47.5</v>
      </c>
      <c r="F267" t="n">
        <v>48.2</v>
      </c>
      <c r="H267" t="n">
        <v>55.6</v>
      </c>
      <c r="I267" t="n">
        <v>54.76</v>
      </c>
      <c r="K267" t="n">
        <v>53.2</v>
      </c>
      <c r="L267" t="n">
        <v>51.4</v>
      </c>
      <c r="M267" t="n">
        <v>53.2</v>
      </c>
      <c r="N267" t="n">
        <v>50.2</v>
      </c>
      <c r="O267" t="n">
        <v>46.4</v>
      </c>
      <c r="Q267" t="n">
        <v>49.1</v>
      </c>
      <c r="R267" t="n">
        <v>47.8</v>
      </c>
      <c r="S267" t="n">
        <v>54.2</v>
      </c>
      <c r="U267" t="n">
        <v>55.6</v>
      </c>
      <c r="V267" t="n">
        <v>52.6</v>
      </c>
      <c r="AA267" t="n">
        <v>52.4</v>
      </c>
      <c r="AD267" t="n">
        <v>56.9856027270748</v>
      </c>
      <c r="AH267" t="n">
        <v>52.1</v>
      </c>
      <c r="AK267" t="n">
        <v>48.7</v>
      </c>
      <c r="AL267" t="n">
        <v>54.4</v>
      </c>
      <c r="AN267" t="n">
        <v>47.2</v>
      </c>
      <c r="AO267" t="n">
        <v>50.7</v>
      </c>
      <c r="AP267" t="n">
        <v>53</v>
      </c>
      <c r="AT267" t="n">
        <v>51.7</v>
      </c>
      <c r="AV267" t="n">
        <v>52.2</v>
      </c>
      <c r="AX267" t="n">
        <v>51</v>
      </c>
      <c r="AY267" t="n">
        <v>51.2</v>
      </c>
      <c r="AZ267" t="n">
        <v>51.3</v>
      </c>
    </row>
    <row r="268">
      <c r="A268" s="81" t="n">
        <v>42370</v>
      </c>
      <c r="B268" t="n">
        <v>51.5</v>
      </c>
      <c r="D268" t="n">
        <v>47.4</v>
      </c>
      <c r="E268" t="n">
        <v>49.3</v>
      </c>
      <c r="F268" t="n">
        <v>48.4</v>
      </c>
      <c r="H268" t="n">
        <v>56.9</v>
      </c>
      <c r="I268" t="n">
        <v>54.46</v>
      </c>
      <c r="K268" t="n">
        <v>52.3</v>
      </c>
      <c r="L268" t="n">
        <v>50</v>
      </c>
      <c r="M268" t="n">
        <v>52.3</v>
      </c>
      <c r="N268" t="n">
        <v>50</v>
      </c>
      <c r="O268" t="n">
        <v>46.1</v>
      </c>
      <c r="Q268" t="n">
        <v>51.1</v>
      </c>
      <c r="R268" t="n">
        <v>48.9</v>
      </c>
      <c r="S268" t="n">
        <v>54.3</v>
      </c>
      <c r="U268" t="n">
        <v>53.2</v>
      </c>
      <c r="V268" t="n">
        <v>52.3</v>
      </c>
      <c r="AA268" t="n">
        <v>52.2</v>
      </c>
      <c r="AD268" t="n">
        <v>59.789243036005</v>
      </c>
      <c r="AH268" t="n">
        <v>50.9</v>
      </c>
      <c r="AK268" t="n">
        <v>49.8</v>
      </c>
      <c r="AL268" t="n">
        <v>53.9</v>
      </c>
      <c r="AN268" t="n">
        <v>43.27</v>
      </c>
      <c r="AO268" t="n">
        <v>49.5</v>
      </c>
      <c r="AP268" t="n">
        <v>55.4</v>
      </c>
      <c r="AT268" t="n">
        <v>50.6</v>
      </c>
      <c r="AV268" t="n">
        <v>50.9</v>
      </c>
      <c r="AX268" t="n">
        <v>52.2</v>
      </c>
      <c r="AY268" t="n">
        <v>52.4</v>
      </c>
      <c r="AZ268" t="n">
        <v>51.5</v>
      </c>
    </row>
    <row r="269">
      <c r="A269" s="81" t="n">
        <v>42401</v>
      </c>
      <c r="B269" t="n">
        <v>53.5</v>
      </c>
      <c r="D269" t="n">
        <v>44.5</v>
      </c>
      <c r="E269" t="n">
        <v>49.4</v>
      </c>
      <c r="F269" t="n">
        <v>48</v>
      </c>
      <c r="H269" t="n">
        <v>55.5</v>
      </c>
      <c r="I269" t="n">
        <v>50.93</v>
      </c>
      <c r="K269" t="n">
        <v>51.2</v>
      </c>
      <c r="L269" t="n">
        <v>50.2</v>
      </c>
      <c r="M269" t="n">
        <v>50.5</v>
      </c>
      <c r="N269" t="n">
        <v>48.4</v>
      </c>
      <c r="O269" t="n">
        <v>46.4</v>
      </c>
      <c r="Q269" t="n">
        <v>51.1</v>
      </c>
      <c r="R269" t="n">
        <v>48.7</v>
      </c>
      <c r="S269" t="n">
        <v>52.9</v>
      </c>
      <c r="U269" t="n">
        <v>52.2</v>
      </c>
      <c r="V269" t="n">
        <v>50.1</v>
      </c>
      <c r="AA269" t="n">
        <v>53.1</v>
      </c>
      <c r="AD269" t="n">
        <v>56.0789103941194</v>
      </c>
      <c r="AH269" t="n">
        <v>52.8</v>
      </c>
      <c r="AK269" t="n">
        <v>49.3</v>
      </c>
      <c r="AL269" t="n">
        <v>54.4</v>
      </c>
      <c r="AN269" t="n">
        <v>46.84</v>
      </c>
      <c r="AO269" t="n">
        <v>48.7</v>
      </c>
      <c r="AP269" t="n">
        <v>54.1</v>
      </c>
      <c r="AT269" t="n">
        <v>49.4</v>
      </c>
      <c r="AV269" t="n">
        <v>50.3</v>
      </c>
      <c r="AX269" t="n">
        <v>50.8</v>
      </c>
      <c r="AY269" t="n">
        <v>51.3</v>
      </c>
      <c r="AZ269" t="n">
        <v>50.3</v>
      </c>
    </row>
    <row r="270">
      <c r="A270" s="81" t="n">
        <v>42430</v>
      </c>
      <c r="B270" t="n">
        <v>58.1</v>
      </c>
      <c r="D270" t="n">
        <v>46</v>
      </c>
      <c r="E270" t="n">
        <v>51.5</v>
      </c>
      <c r="F270" t="n">
        <v>49.7</v>
      </c>
      <c r="H270" t="n">
        <v>54.3</v>
      </c>
      <c r="I270" t="n">
        <v>55.11</v>
      </c>
      <c r="K270" t="n">
        <v>51.6</v>
      </c>
      <c r="L270" t="n">
        <v>49.6</v>
      </c>
      <c r="M270" t="n">
        <v>50.7</v>
      </c>
      <c r="N270" t="n">
        <v>49</v>
      </c>
      <c r="O270" t="n">
        <v>45.5</v>
      </c>
      <c r="Q270" t="n">
        <v>52.4</v>
      </c>
      <c r="R270" t="n">
        <v>50.6</v>
      </c>
      <c r="S270" t="n">
        <v>54.9</v>
      </c>
      <c r="U270" t="n">
        <v>53.5</v>
      </c>
      <c r="V270" t="n">
        <v>49.1</v>
      </c>
      <c r="AA270" t="n">
        <v>53.2</v>
      </c>
      <c r="AD270" t="n">
        <v>54.1786540644768</v>
      </c>
      <c r="AH270" t="n">
        <v>53.8</v>
      </c>
      <c r="AK270" t="n">
        <v>48.3</v>
      </c>
      <c r="AL270" t="n">
        <v>54.5</v>
      </c>
      <c r="AN270" t="n">
        <v>49.54</v>
      </c>
      <c r="AO270" t="n">
        <v>49.5</v>
      </c>
      <c r="AP270" t="n">
        <v>53.4</v>
      </c>
      <c r="AT270" t="n">
        <v>51.1</v>
      </c>
      <c r="AV270" t="n">
        <v>49.2</v>
      </c>
      <c r="AX270" t="n">
        <v>51.1</v>
      </c>
      <c r="AY270" t="n">
        <v>51.5</v>
      </c>
      <c r="AZ270" t="n">
        <v>50.7</v>
      </c>
    </row>
    <row r="271">
      <c r="A271" s="81" t="n">
        <v>42461</v>
      </c>
      <c r="B271" t="n">
        <v>53.4</v>
      </c>
      <c r="D271" t="n">
        <v>42.6</v>
      </c>
      <c r="E271" t="n">
        <v>52.2</v>
      </c>
      <c r="F271" t="n">
        <v>49.4</v>
      </c>
      <c r="H271" t="n">
        <v>53.6</v>
      </c>
      <c r="I271" t="n">
        <v>63.28</v>
      </c>
      <c r="K271" t="n">
        <v>51.7</v>
      </c>
      <c r="L271" t="n">
        <v>48</v>
      </c>
      <c r="M271" t="n">
        <v>51.8</v>
      </c>
      <c r="N271" t="n">
        <v>49.7</v>
      </c>
      <c r="O271" t="n">
        <v>45.3</v>
      </c>
      <c r="Q271" t="n">
        <v>50.5</v>
      </c>
      <c r="R271" t="n">
        <v>50.9</v>
      </c>
      <c r="S271" t="n">
        <v>52.6</v>
      </c>
      <c r="U271" t="n">
        <v>53.9</v>
      </c>
      <c r="V271" t="n">
        <v>48.2</v>
      </c>
      <c r="AA271" t="n">
        <v>52.4</v>
      </c>
      <c r="AD271" t="n">
        <v>56.5463209703122</v>
      </c>
      <c r="AH271" t="n">
        <v>51</v>
      </c>
      <c r="AK271" t="n">
        <v>48</v>
      </c>
      <c r="AL271" t="n">
        <v>54.2</v>
      </c>
      <c r="AN271" t="n">
        <v>53.33</v>
      </c>
      <c r="AO271" t="n">
        <v>50</v>
      </c>
      <c r="AP271" t="n">
        <v>53.5</v>
      </c>
      <c r="AT271" t="n">
        <v>49.7</v>
      </c>
      <c r="AV271" t="n">
        <v>48.9</v>
      </c>
      <c r="AX271" t="n">
        <v>50</v>
      </c>
      <c r="AY271" t="n">
        <v>50.8</v>
      </c>
      <c r="AZ271" t="n">
        <v>52.3</v>
      </c>
    </row>
    <row r="272">
      <c r="A272" s="81" t="n">
        <v>42491</v>
      </c>
      <c r="B272" t="n">
        <v>51</v>
      </c>
      <c r="D272" t="n">
        <v>41.6</v>
      </c>
      <c r="E272" t="n">
        <v>52.1</v>
      </c>
      <c r="F272" t="n">
        <v>49.2</v>
      </c>
      <c r="H272" t="n">
        <v>53.3</v>
      </c>
      <c r="I272" t="n">
        <v>61.65</v>
      </c>
      <c r="K272" t="n">
        <v>51.5</v>
      </c>
      <c r="L272" t="n">
        <v>48.4</v>
      </c>
      <c r="M272" t="n">
        <v>52.1</v>
      </c>
      <c r="N272" t="n">
        <v>48.4</v>
      </c>
      <c r="O272" t="n">
        <v>47.2</v>
      </c>
      <c r="Q272" t="n">
        <v>50.7</v>
      </c>
      <c r="R272" t="n">
        <v>50.6</v>
      </c>
      <c r="S272" t="n">
        <v>51.5</v>
      </c>
      <c r="U272" t="n">
        <v>52.4</v>
      </c>
      <c r="V272" t="n">
        <v>47.7</v>
      </c>
      <c r="AA272" t="n">
        <v>53.6</v>
      </c>
      <c r="AD272" t="n">
        <v>56.3274783477963</v>
      </c>
      <c r="AH272" t="n">
        <v>52.1</v>
      </c>
      <c r="AK272" t="n">
        <v>49.6</v>
      </c>
      <c r="AL272" t="n">
        <v>54.8</v>
      </c>
      <c r="AN272" t="n">
        <v>50.72</v>
      </c>
      <c r="AO272" t="n">
        <v>50.1</v>
      </c>
      <c r="AP272" t="n">
        <v>51.8</v>
      </c>
      <c r="AT272" t="n">
        <v>48.5</v>
      </c>
      <c r="AV272" t="n">
        <v>49.4</v>
      </c>
      <c r="AX272" t="n">
        <v>50.7</v>
      </c>
      <c r="AY272" t="n">
        <v>50.7</v>
      </c>
      <c r="AZ272" t="n">
        <v>52.7</v>
      </c>
    </row>
    <row r="273">
      <c r="A273" s="81" t="n">
        <v>42522</v>
      </c>
      <c r="B273" t="n">
        <v>51.8</v>
      </c>
      <c r="D273" t="n">
        <v>43.2</v>
      </c>
      <c r="E273" t="n">
        <v>51.8</v>
      </c>
      <c r="F273" t="n">
        <v>48.6</v>
      </c>
      <c r="H273" t="n">
        <v>51.8</v>
      </c>
      <c r="I273" t="n">
        <v>59.75</v>
      </c>
      <c r="K273" t="n">
        <v>52.8</v>
      </c>
      <c r="L273" t="n">
        <v>48.3</v>
      </c>
      <c r="M273" t="n">
        <v>54.5</v>
      </c>
      <c r="N273" t="n">
        <v>50.4</v>
      </c>
      <c r="O273" t="n">
        <v>45.4</v>
      </c>
      <c r="Q273" t="n">
        <v>51.7</v>
      </c>
      <c r="R273" t="n">
        <v>51.9</v>
      </c>
      <c r="S273" t="n">
        <v>53</v>
      </c>
      <c r="U273" t="n">
        <v>53.5</v>
      </c>
      <c r="V273" t="n">
        <v>48.1</v>
      </c>
      <c r="AA273" t="n">
        <v>51.1</v>
      </c>
      <c r="AD273" t="n">
        <v>57.5597930084429</v>
      </c>
      <c r="AH273" t="n">
        <v>51.8</v>
      </c>
      <c r="AK273" t="n">
        <v>51.5</v>
      </c>
      <c r="AL273" t="n">
        <v>54.4</v>
      </c>
      <c r="AN273" t="n">
        <v>52.14</v>
      </c>
      <c r="AO273" t="n">
        <v>50.5</v>
      </c>
      <c r="AP273" t="n">
        <v>52.2</v>
      </c>
      <c r="AT273" t="n">
        <v>50.5</v>
      </c>
      <c r="AV273" t="n">
        <v>47.4</v>
      </c>
      <c r="AX273" t="n">
        <v>53.2</v>
      </c>
      <c r="AY273" t="n">
        <v>51.3</v>
      </c>
      <c r="AZ273" t="n">
        <v>52.6</v>
      </c>
    </row>
    <row r="274">
      <c r="A274" s="81" t="n">
        <v>42552</v>
      </c>
      <c r="B274" t="n">
        <v>56.4</v>
      </c>
      <c r="D274" t="n">
        <v>46</v>
      </c>
      <c r="E274" t="n">
        <v>51.9</v>
      </c>
      <c r="F274" t="n">
        <v>50.6</v>
      </c>
      <c r="H274" t="n">
        <v>49.3</v>
      </c>
      <c r="I274" t="n">
        <v>59.53</v>
      </c>
      <c r="K274" t="n">
        <v>52</v>
      </c>
      <c r="L274" t="n">
        <v>48.6</v>
      </c>
      <c r="M274" t="n">
        <v>53.8</v>
      </c>
      <c r="N274" t="n">
        <v>48.7</v>
      </c>
      <c r="O274" t="n">
        <v>47.2</v>
      </c>
      <c r="Q274" t="n">
        <v>51.8</v>
      </c>
      <c r="R274" t="n">
        <v>48.4</v>
      </c>
      <c r="S274" t="n">
        <v>50.2</v>
      </c>
      <c r="U274" t="n">
        <v>51.2</v>
      </c>
      <c r="V274" t="n">
        <v>49.3</v>
      </c>
      <c r="AA274" t="n">
        <v>50.6</v>
      </c>
      <c r="AD274" t="n">
        <v>55.9499781978048</v>
      </c>
      <c r="AH274" t="n">
        <v>50.3</v>
      </c>
      <c r="AK274" t="n">
        <v>49.5</v>
      </c>
      <c r="AL274" t="n">
        <v>56</v>
      </c>
      <c r="AN274" t="n">
        <v>51.25</v>
      </c>
      <c r="AO274" t="n">
        <v>50.1</v>
      </c>
      <c r="AP274" t="n">
        <v>51</v>
      </c>
      <c r="AT274" t="n">
        <v>51</v>
      </c>
      <c r="AU274" t="n">
        <v>49.3</v>
      </c>
      <c r="AV274" t="n">
        <v>47.6</v>
      </c>
      <c r="AX274" t="n">
        <v>48.5</v>
      </c>
      <c r="AY274" t="n">
        <v>52.9</v>
      </c>
      <c r="AZ274" t="n">
        <v>51.9</v>
      </c>
    </row>
    <row r="275">
      <c r="A275" s="81" t="n">
        <v>42583</v>
      </c>
      <c r="B275" t="n">
        <v>46.9</v>
      </c>
      <c r="D275" t="n">
        <v>45.7</v>
      </c>
      <c r="E275" t="n">
        <v>51.1</v>
      </c>
      <c r="F275" t="n">
        <v>50</v>
      </c>
      <c r="H275" t="n">
        <v>50.1</v>
      </c>
      <c r="I275" t="n">
        <v>53.62</v>
      </c>
      <c r="K275" t="n">
        <v>51.7</v>
      </c>
      <c r="L275" t="n">
        <v>48.3</v>
      </c>
      <c r="M275" t="n">
        <v>53.6</v>
      </c>
      <c r="N275" t="n">
        <v>50.4</v>
      </c>
      <c r="O275" t="n">
        <v>49</v>
      </c>
      <c r="Q275" t="n">
        <v>52.6</v>
      </c>
      <c r="R275" t="n">
        <v>50.4</v>
      </c>
      <c r="S275" t="n">
        <v>51.7</v>
      </c>
      <c r="U275" t="n">
        <v>49.8</v>
      </c>
      <c r="V275" t="n">
        <v>49.5</v>
      </c>
      <c r="AA275" t="n">
        <v>50.9</v>
      </c>
      <c r="AD275" t="n">
        <v>54.647059284907</v>
      </c>
      <c r="AH275" t="n">
        <v>51.5</v>
      </c>
      <c r="AK275" t="n">
        <v>50.8</v>
      </c>
      <c r="AL275" t="n">
        <v>56.6</v>
      </c>
      <c r="AN275" t="n">
        <v>47.94</v>
      </c>
      <c r="AO275" t="n">
        <v>48.6</v>
      </c>
      <c r="AP275" t="n">
        <v>51</v>
      </c>
      <c r="AT275" t="n">
        <v>51.8</v>
      </c>
      <c r="AU275" t="n">
        <v>49.8</v>
      </c>
      <c r="AV275" t="n">
        <v>47</v>
      </c>
      <c r="AX275" t="n">
        <v>53.2</v>
      </c>
      <c r="AY275" t="n">
        <v>52</v>
      </c>
      <c r="AZ275" t="n">
        <v>52.2</v>
      </c>
    </row>
    <row r="276">
      <c r="A276" s="81" t="n">
        <v>42614</v>
      </c>
      <c r="B276" t="n">
        <v>49.8</v>
      </c>
      <c r="D276" t="n">
        <v>46</v>
      </c>
      <c r="E276" t="n">
        <v>50.3</v>
      </c>
      <c r="F276" t="n">
        <v>50.1</v>
      </c>
      <c r="H276" t="n">
        <v>52</v>
      </c>
      <c r="I276" t="n">
        <v>58.98</v>
      </c>
      <c r="K276" t="n">
        <v>52.6</v>
      </c>
      <c r="L276" t="n">
        <v>49.7</v>
      </c>
      <c r="M276" t="n">
        <v>54.3</v>
      </c>
      <c r="N276" t="n">
        <v>49.2</v>
      </c>
      <c r="O276" t="n">
        <v>49.3</v>
      </c>
      <c r="Q276" t="n">
        <v>52.1</v>
      </c>
      <c r="R276" t="n">
        <v>50.9</v>
      </c>
      <c r="S276" t="n">
        <v>51.3</v>
      </c>
      <c r="U276" t="n">
        <v>51</v>
      </c>
      <c r="V276" t="n">
        <v>50.4</v>
      </c>
      <c r="AA276" t="n">
        <v>51.9</v>
      </c>
      <c r="AD276" t="n">
        <v>57.2000322698041</v>
      </c>
      <c r="AH276" t="n">
        <v>52.2</v>
      </c>
      <c r="AK276" t="n">
        <v>51.1</v>
      </c>
      <c r="AL276" t="n">
        <v>55.3</v>
      </c>
      <c r="AN276" t="n">
        <v>49.85</v>
      </c>
      <c r="AO276" t="n">
        <v>47.6</v>
      </c>
      <c r="AP276" t="n">
        <v>52.3</v>
      </c>
      <c r="AT276" t="n">
        <v>52.2</v>
      </c>
      <c r="AU276" t="n">
        <v>48.8</v>
      </c>
      <c r="AV276" t="n">
        <v>48.3</v>
      </c>
      <c r="AX276" t="n">
        <v>55.6</v>
      </c>
      <c r="AY276" t="n">
        <v>51.5</v>
      </c>
      <c r="AZ276" t="n">
        <v>52.9</v>
      </c>
    </row>
    <row r="277">
      <c r="A277" s="81" t="n">
        <v>42644</v>
      </c>
      <c r="B277" t="n">
        <v>50.9</v>
      </c>
      <c r="D277" t="n">
        <v>46.3</v>
      </c>
      <c r="E277" t="n">
        <v>51.1</v>
      </c>
      <c r="F277" t="n">
        <v>51.2</v>
      </c>
      <c r="H277" t="n">
        <v>53.3</v>
      </c>
      <c r="I277" t="n">
        <v>57.31</v>
      </c>
      <c r="K277" t="n">
        <v>53.5</v>
      </c>
      <c r="L277" t="n">
        <v>51.8</v>
      </c>
      <c r="M277" t="n">
        <v>55</v>
      </c>
      <c r="N277" t="n">
        <v>48.6</v>
      </c>
      <c r="O277" t="n">
        <v>48.2</v>
      </c>
      <c r="Q277" t="n">
        <v>54.4</v>
      </c>
      <c r="R277" t="n">
        <v>48.7</v>
      </c>
      <c r="S277" t="n">
        <v>52.1</v>
      </c>
      <c r="U277" t="n">
        <v>50.9</v>
      </c>
      <c r="V277" t="n">
        <v>51.4</v>
      </c>
      <c r="AA277" t="n">
        <v>51.8</v>
      </c>
      <c r="AD277" t="n">
        <v>54.7701694624791</v>
      </c>
      <c r="AH277" t="n">
        <v>50.2</v>
      </c>
      <c r="AK277" t="n">
        <v>52.4</v>
      </c>
      <c r="AL277" t="n">
        <v>53.2</v>
      </c>
      <c r="AN277" t="n">
        <v>46.47</v>
      </c>
      <c r="AO277" t="n">
        <v>48</v>
      </c>
      <c r="AP277" t="n">
        <v>53.3</v>
      </c>
      <c r="AT277" t="n">
        <v>52.7</v>
      </c>
      <c r="AU277" t="n">
        <v>48.8</v>
      </c>
      <c r="AV277" t="n">
        <v>49.8</v>
      </c>
      <c r="AX277" t="n">
        <v>53.8</v>
      </c>
      <c r="AY277" t="n">
        <v>53.4</v>
      </c>
      <c r="AZ277" t="n">
        <v>51.7</v>
      </c>
    </row>
    <row r="278">
      <c r="A278" s="81" t="n">
        <v>42675</v>
      </c>
      <c r="B278" t="n">
        <v>54.2</v>
      </c>
      <c r="D278" t="n">
        <v>46.2</v>
      </c>
      <c r="E278" t="n">
        <v>51.5</v>
      </c>
      <c r="F278" t="n">
        <v>50.9</v>
      </c>
      <c r="H278" t="n">
        <v>52.2</v>
      </c>
      <c r="I278" t="n">
        <v>57.22</v>
      </c>
      <c r="K278" t="n">
        <v>53.7</v>
      </c>
      <c r="L278" t="n">
        <v>51.7</v>
      </c>
      <c r="M278" t="n">
        <v>54.3</v>
      </c>
      <c r="N278" t="n">
        <v>48.3</v>
      </c>
      <c r="O278" t="n">
        <v>49.5</v>
      </c>
      <c r="Q278" t="n">
        <v>52.3</v>
      </c>
      <c r="R278" t="n">
        <v>49.7</v>
      </c>
      <c r="S278" t="n">
        <v>53.7</v>
      </c>
      <c r="U278" t="n">
        <v>52.2</v>
      </c>
      <c r="V278" t="n">
        <v>51.3</v>
      </c>
      <c r="AA278" t="n">
        <v>51.1</v>
      </c>
      <c r="AD278" t="n">
        <v>54.2946996597062</v>
      </c>
      <c r="AH278" t="n">
        <v>51.9</v>
      </c>
      <c r="AK278" t="n">
        <v>53.6</v>
      </c>
      <c r="AL278" t="n">
        <v>55</v>
      </c>
      <c r="AN278" t="n">
        <v>49.22</v>
      </c>
      <c r="AO278" t="n">
        <v>48</v>
      </c>
      <c r="AP278" t="n">
        <v>54.5</v>
      </c>
      <c r="AT278" t="n">
        <v>54.7</v>
      </c>
      <c r="AU278" t="n">
        <v>48.2</v>
      </c>
      <c r="AV278" t="n">
        <v>48.8</v>
      </c>
      <c r="AX278" t="n">
        <v>53.2</v>
      </c>
      <c r="AY278" t="n">
        <v>54.1</v>
      </c>
      <c r="AZ278" t="n">
        <v>54</v>
      </c>
    </row>
    <row r="279">
      <c r="A279" s="81" t="n">
        <v>42705</v>
      </c>
      <c r="B279" t="n">
        <v>55.4</v>
      </c>
      <c r="D279" t="n">
        <v>45.2</v>
      </c>
      <c r="E279" t="n">
        <v>51.8</v>
      </c>
      <c r="F279" t="n">
        <v>51.9</v>
      </c>
      <c r="H279" t="n">
        <v>53.8</v>
      </c>
      <c r="I279" t="n">
        <v>62.52</v>
      </c>
      <c r="K279" t="n">
        <v>54.9</v>
      </c>
      <c r="L279" t="n">
        <v>53.5</v>
      </c>
      <c r="M279" t="n">
        <v>55.6</v>
      </c>
      <c r="N279" t="n">
        <v>49.3</v>
      </c>
      <c r="O279" t="n">
        <v>50.3</v>
      </c>
      <c r="Q279" t="n">
        <v>49.6</v>
      </c>
      <c r="R279" t="n">
        <v>49</v>
      </c>
      <c r="S279" t="n">
        <v>55.7</v>
      </c>
      <c r="U279" t="n">
        <v>53.2</v>
      </c>
      <c r="V279" t="n">
        <v>52.4</v>
      </c>
      <c r="AA279" t="n">
        <v>50.2</v>
      </c>
      <c r="AD279" t="n">
        <v>54.6328503036431</v>
      </c>
      <c r="AH279" t="n">
        <v>54.3</v>
      </c>
      <c r="AK279" t="n">
        <v>53.7</v>
      </c>
      <c r="AL279" t="n">
        <v>55.5</v>
      </c>
      <c r="AN279" t="n">
        <v>48.56</v>
      </c>
      <c r="AO279" t="n">
        <v>49.4</v>
      </c>
      <c r="AP279" t="n">
        <v>55.3</v>
      </c>
      <c r="AT279" t="n">
        <v>56.2</v>
      </c>
      <c r="AU279" t="n">
        <v>50.6</v>
      </c>
      <c r="AV279" t="n">
        <v>47.7</v>
      </c>
      <c r="AX279" t="n">
        <v>55.6</v>
      </c>
      <c r="AY279" t="n">
        <v>54.3</v>
      </c>
      <c r="AZ279" t="n">
        <v>52.4</v>
      </c>
    </row>
    <row r="280">
      <c r="A280" s="81" t="n">
        <v>42736</v>
      </c>
      <c r="B280" t="n">
        <v>51.2</v>
      </c>
      <c r="D280" t="n">
        <v>44</v>
      </c>
      <c r="E280" t="n">
        <v>53.5</v>
      </c>
      <c r="F280" t="n">
        <v>51</v>
      </c>
      <c r="H280" t="n">
        <v>55.7</v>
      </c>
      <c r="I280" t="n">
        <v>57.57</v>
      </c>
      <c r="K280" t="n">
        <v>55.2</v>
      </c>
      <c r="L280" t="n">
        <v>53.6</v>
      </c>
      <c r="M280" t="n">
        <v>56.4</v>
      </c>
      <c r="N280" t="n">
        <v>46.6</v>
      </c>
      <c r="O280" t="n">
        <v>49.9</v>
      </c>
      <c r="Q280" t="n">
        <v>50.4</v>
      </c>
      <c r="R280" t="n">
        <v>50.4</v>
      </c>
      <c r="S280" t="n">
        <v>55.5</v>
      </c>
      <c r="U280" t="n">
        <v>53</v>
      </c>
      <c r="V280" t="n">
        <v>52.7</v>
      </c>
      <c r="AA280" t="n">
        <v>50.8</v>
      </c>
      <c r="AD280" t="n">
        <v>53.201234556973</v>
      </c>
      <c r="AH280" t="n">
        <v>54.8</v>
      </c>
      <c r="AK280" t="n">
        <v>54.7</v>
      </c>
      <c r="AL280" t="n">
        <v>56.7</v>
      </c>
      <c r="AN280" t="n">
        <v>50.08</v>
      </c>
      <c r="AO280" t="n">
        <v>49</v>
      </c>
      <c r="AP280" t="n">
        <v>55.6</v>
      </c>
      <c r="AT280" t="n">
        <v>55.6</v>
      </c>
      <c r="AU280" t="n">
        <v>50.6</v>
      </c>
      <c r="AV280" t="n">
        <v>48.7</v>
      </c>
      <c r="AX280" t="n">
        <v>55.2</v>
      </c>
      <c r="AY280" t="n">
        <v>55</v>
      </c>
      <c r="AZ280" t="n">
        <v>51.9</v>
      </c>
    </row>
    <row r="281">
      <c r="A281" s="81" t="n">
        <v>42767</v>
      </c>
      <c r="B281" t="n">
        <v>59.3</v>
      </c>
      <c r="D281" t="n">
        <v>46.9</v>
      </c>
      <c r="E281" t="n">
        <v>54.7</v>
      </c>
      <c r="F281" t="n">
        <v>51.7</v>
      </c>
      <c r="H281" t="n">
        <v>57.6</v>
      </c>
      <c r="I281" t="n">
        <v>56.51</v>
      </c>
      <c r="K281" t="n">
        <v>55.4</v>
      </c>
      <c r="L281" t="n">
        <v>52.2</v>
      </c>
      <c r="M281" t="n">
        <v>56.8</v>
      </c>
      <c r="N281" t="n">
        <v>47.7</v>
      </c>
      <c r="O281" t="n">
        <v>49.6</v>
      </c>
      <c r="Q281" t="n">
        <v>50.7</v>
      </c>
      <c r="R281" t="n">
        <v>49.3</v>
      </c>
      <c r="S281" t="n">
        <v>53.8</v>
      </c>
      <c r="U281" t="n">
        <v>55</v>
      </c>
      <c r="V281" t="n">
        <v>53.3</v>
      </c>
      <c r="AA281" t="n">
        <v>50.6</v>
      </c>
      <c r="AD281" t="n">
        <v>56.0520938037381</v>
      </c>
      <c r="AH281" t="n">
        <v>54.2</v>
      </c>
      <c r="AK281" t="n">
        <v>52.5</v>
      </c>
      <c r="AL281" t="n">
        <v>57</v>
      </c>
      <c r="AN281" t="n">
        <v>51.22</v>
      </c>
      <c r="AO281" t="n">
        <v>49.2</v>
      </c>
      <c r="AP281" t="n">
        <v>54.8</v>
      </c>
      <c r="AT281" t="n">
        <v>54.5</v>
      </c>
      <c r="AU281" t="n">
        <v>50.6</v>
      </c>
      <c r="AV281" t="n">
        <v>49.7</v>
      </c>
      <c r="AX281" t="n">
        <v>54.5</v>
      </c>
      <c r="AY281" t="n">
        <v>54.2</v>
      </c>
      <c r="AZ281" t="n">
        <v>54.2</v>
      </c>
    </row>
    <row r="282">
      <c r="A282" s="81" t="n">
        <v>42795</v>
      </c>
      <c r="B282" t="n">
        <v>57.5</v>
      </c>
      <c r="D282" t="n">
        <v>49.6</v>
      </c>
      <c r="E282" t="n">
        <v>55.5</v>
      </c>
      <c r="F282" t="n">
        <v>51.2</v>
      </c>
      <c r="H282" t="n">
        <v>57.5</v>
      </c>
      <c r="I282" t="n">
        <v>56.62</v>
      </c>
      <c r="K282" t="n">
        <v>56.2</v>
      </c>
      <c r="L282" t="n">
        <v>53.3</v>
      </c>
      <c r="M282" t="n">
        <v>58.3</v>
      </c>
      <c r="N282" t="n">
        <v>46.7</v>
      </c>
      <c r="O282" t="n">
        <v>49.9</v>
      </c>
      <c r="Q282" t="n">
        <v>52.5</v>
      </c>
      <c r="R282" t="n">
        <v>50.5</v>
      </c>
      <c r="S282" t="n">
        <v>53.6</v>
      </c>
      <c r="U282" t="n">
        <v>55.7</v>
      </c>
      <c r="V282" t="n">
        <v>52.4</v>
      </c>
      <c r="AA282" t="n">
        <v>51.5</v>
      </c>
      <c r="AD282" t="n">
        <v>58.7228290929402</v>
      </c>
      <c r="AH282" t="n">
        <v>53.5</v>
      </c>
      <c r="AK282" t="n">
        <v>52.4</v>
      </c>
      <c r="AL282" t="n">
        <v>56.4</v>
      </c>
      <c r="AN282" t="n">
        <v>50.81</v>
      </c>
      <c r="AO282" t="n">
        <v>48.4</v>
      </c>
      <c r="AP282" t="n">
        <v>53.9</v>
      </c>
      <c r="AT282" t="n">
        <v>56.2</v>
      </c>
      <c r="AU282" t="n">
        <v>50.2</v>
      </c>
      <c r="AV282" t="n">
        <v>52.3</v>
      </c>
      <c r="AX282" t="n">
        <v>54.1</v>
      </c>
      <c r="AY282" t="n">
        <v>53.3</v>
      </c>
      <c r="AZ282" t="n">
        <v>54.6</v>
      </c>
    </row>
    <row r="283">
      <c r="A283" s="81" t="n">
        <v>42826</v>
      </c>
      <c r="B283" t="n">
        <v>59.2</v>
      </c>
      <c r="D283" t="n">
        <v>50.1</v>
      </c>
      <c r="E283" t="n">
        <v>55.9</v>
      </c>
      <c r="F283" t="n">
        <v>50.3</v>
      </c>
      <c r="H283" t="n">
        <v>57.5</v>
      </c>
      <c r="I283" t="n">
        <v>49.11</v>
      </c>
      <c r="K283" t="n">
        <v>56.7</v>
      </c>
      <c r="L283" t="n">
        <v>55.1</v>
      </c>
      <c r="M283" t="n">
        <v>58.2</v>
      </c>
      <c r="N283" t="n">
        <v>48.2</v>
      </c>
      <c r="O283" t="n">
        <v>51.1</v>
      </c>
      <c r="Q283" t="n">
        <v>52.5</v>
      </c>
      <c r="R283" t="n">
        <v>51.2</v>
      </c>
      <c r="S283" t="n">
        <v>55</v>
      </c>
      <c r="U283" t="n">
        <v>56.2</v>
      </c>
      <c r="V283" t="n">
        <v>52.7</v>
      </c>
      <c r="AA283" t="n">
        <v>50.7</v>
      </c>
      <c r="AD283" t="n">
        <v>56.5912099880293</v>
      </c>
      <c r="AH283" t="n">
        <v>54.1</v>
      </c>
      <c r="AK283" t="n">
        <v>50.8</v>
      </c>
      <c r="AL283" t="n">
        <v>56.5</v>
      </c>
      <c r="AN283" t="n">
        <v>43.53</v>
      </c>
      <c r="AO283" t="n">
        <v>49.4</v>
      </c>
      <c r="AP283" t="n">
        <v>54.5</v>
      </c>
      <c r="AT283" t="n">
        <v>54.4</v>
      </c>
      <c r="AU283" t="n">
        <v>49.8</v>
      </c>
      <c r="AV283" t="n">
        <v>51.7</v>
      </c>
      <c r="AX283" t="n">
        <v>57.8</v>
      </c>
      <c r="AY283" t="n">
        <v>52.8</v>
      </c>
      <c r="AZ283" t="n">
        <v>54.1</v>
      </c>
    </row>
    <row r="284">
      <c r="A284" s="81" t="n">
        <v>42856</v>
      </c>
      <c r="B284" t="n">
        <v>54.8</v>
      </c>
      <c r="D284" t="n">
        <v>52</v>
      </c>
      <c r="E284" t="n">
        <v>55.1</v>
      </c>
      <c r="F284" t="n">
        <v>49.6</v>
      </c>
      <c r="H284" t="n">
        <v>56.4</v>
      </c>
      <c r="I284" t="n">
        <v>57.99</v>
      </c>
      <c r="K284" t="n">
        <v>57</v>
      </c>
      <c r="L284" t="n">
        <v>53.8</v>
      </c>
      <c r="M284" t="n">
        <v>59.5</v>
      </c>
      <c r="N284" t="n">
        <v>49.6</v>
      </c>
      <c r="O284" t="n">
        <v>50.5</v>
      </c>
      <c r="Q284" t="n">
        <v>51.6</v>
      </c>
      <c r="R284" t="n">
        <v>50.6</v>
      </c>
      <c r="S284" t="n">
        <v>55.9</v>
      </c>
      <c r="U284" t="n">
        <v>55.1</v>
      </c>
      <c r="V284" t="n">
        <v>53.1</v>
      </c>
      <c r="AA284" t="n">
        <v>51.2</v>
      </c>
      <c r="AD284" t="n">
        <v>57.6796522807713</v>
      </c>
      <c r="AH284" t="n">
        <v>52.7</v>
      </c>
      <c r="AK284" t="n">
        <v>52.4</v>
      </c>
      <c r="AL284" t="n">
        <v>55.3</v>
      </c>
      <c r="AN284" t="n">
        <v>50.11</v>
      </c>
      <c r="AO284" t="n">
        <v>49.2</v>
      </c>
      <c r="AP284" t="n">
        <v>55.4</v>
      </c>
      <c r="AT284" t="n">
        <v>53.1</v>
      </c>
      <c r="AU284" t="n">
        <v>49.7</v>
      </c>
      <c r="AV284" t="n">
        <v>53.5</v>
      </c>
      <c r="AX284" t="n">
        <v>56.6</v>
      </c>
      <c r="AY284" t="n">
        <v>52.7</v>
      </c>
      <c r="AZ284" t="n">
        <v>51.6</v>
      </c>
    </row>
    <row r="285">
      <c r="A285" s="81" t="n">
        <v>42887</v>
      </c>
      <c r="B285" t="n">
        <v>55</v>
      </c>
      <c r="D285" t="n">
        <v>50.5</v>
      </c>
      <c r="E285" t="n">
        <v>54.7</v>
      </c>
      <c r="F285" t="n">
        <v>50.4</v>
      </c>
      <c r="H285" t="n">
        <v>56.4</v>
      </c>
      <c r="I285" t="n">
        <v>63.61</v>
      </c>
      <c r="K285" t="n">
        <v>57.4</v>
      </c>
      <c r="L285" t="n">
        <v>54.8</v>
      </c>
      <c r="M285" t="n">
        <v>59.6</v>
      </c>
      <c r="N285" t="n">
        <v>50.5</v>
      </c>
      <c r="O285" t="n">
        <v>51.1</v>
      </c>
      <c r="Q285" t="n">
        <v>50.9</v>
      </c>
      <c r="R285" t="n">
        <v>49.5</v>
      </c>
      <c r="S285" t="n">
        <v>56</v>
      </c>
      <c r="U285" t="n">
        <v>55.2</v>
      </c>
      <c r="V285" t="n">
        <v>52.4</v>
      </c>
      <c r="AA285" t="n">
        <v>52.3</v>
      </c>
      <c r="AD285" t="n">
        <v>55.9080618063196</v>
      </c>
      <c r="AH285" t="n">
        <v>53.1</v>
      </c>
      <c r="AK285" t="n">
        <v>50.3</v>
      </c>
      <c r="AL285" t="n">
        <v>54.3</v>
      </c>
      <c r="AN285" t="n">
        <v>45.98</v>
      </c>
      <c r="AO285" t="n">
        <v>50.1</v>
      </c>
      <c r="AP285" t="n">
        <v>54.7</v>
      </c>
      <c r="AT285" t="n">
        <v>53.3</v>
      </c>
      <c r="AU285" t="n">
        <v>50.4</v>
      </c>
      <c r="AV285" t="n">
        <v>54.7</v>
      </c>
      <c r="AX285" t="n">
        <v>54.4</v>
      </c>
      <c r="AY285" t="n">
        <v>52</v>
      </c>
      <c r="AZ285" t="n">
        <v>52.5</v>
      </c>
    </row>
    <row r="286">
      <c r="A286" s="81" t="n">
        <v>42917</v>
      </c>
      <c r="B286" t="n">
        <v>56</v>
      </c>
      <c r="D286" t="n">
        <v>50</v>
      </c>
      <c r="E286" t="n">
        <v>55.5</v>
      </c>
      <c r="F286" t="n">
        <v>51.1</v>
      </c>
      <c r="H286" t="n">
        <v>55.3</v>
      </c>
      <c r="I286" t="n">
        <v>63.72</v>
      </c>
      <c r="K286" t="n">
        <v>56.6</v>
      </c>
      <c r="L286" t="n">
        <v>54.9</v>
      </c>
      <c r="M286" t="n">
        <v>58.1</v>
      </c>
      <c r="N286" t="n">
        <v>50.5</v>
      </c>
      <c r="O286" t="n">
        <v>51.3</v>
      </c>
      <c r="Q286" t="n">
        <v>47.9</v>
      </c>
      <c r="R286" t="n">
        <v>48.6</v>
      </c>
      <c r="S286" t="n">
        <v>54.6</v>
      </c>
      <c r="U286" t="n">
        <v>55.1</v>
      </c>
      <c r="V286" t="n">
        <v>52.1</v>
      </c>
      <c r="AA286" t="n">
        <v>51.2</v>
      </c>
      <c r="AD286" t="n">
        <v>55.831645577076</v>
      </c>
      <c r="AH286" t="n">
        <v>52.3</v>
      </c>
      <c r="AK286" t="n">
        <v>52.7</v>
      </c>
      <c r="AL286" t="n">
        <v>55.7</v>
      </c>
      <c r="AN286" t="n">
        <v>42.1</v>
      </c>
      <c r="AO286" t="n">
        <v>49.1</v>
      </c>
      <c r="AP286" t="n">
        <v>54</v>
      </c>
      <c r="AT286" t="n">
        <v>53.6</v>
      </c>
      <c r="AU286" t="n">
        <v>49.6</v>
      </c>
      <c r="AV286" t="n">
        <v>53.6</v>
      </c>
      <c r="AX286" t="n">
        <v>55.3</v>
      </c>
      <c r="AY286" t="n">
        <v>53.3</v>
      </c>
      <c r="AZ286" t="n">
        <v>51.7</v>
      </c>
    </row>
    <row r="287">
      <c r="A287" s="81" t="n">
        <v>42948</v>
      </c>
      <c r="B287" t="n">
        <v>59.8</v>
      </c>
      <c r="D287" t="n">
        <v>50.9</v>
      </c>
      <c r="E287" t="n">
        <v>54.6</v>
      </c>
      <c r="F287" t="n">
        <v>51.6</v>
      </c>
      <c r="H287" t="n">
        <v>54.9</v>
      </c>
      <c r="I287" t="n">
        <v>60.57</v>
      </c>
      <c r="K287" t="n">
        <v>57.4</v>
      </c>
      <c r="L287" t="n">
        <v>55.8</v>
      </c>
      <c r="M287" t="n">
        <v>59.3</v>
      </c>
      <c r="N287" t="n">
        <v>52.2</v>
      </c>
      <c r="O287" t="n">
        <v>49.7</v>
      </c>
      <c r="Q287" t="n">
        <v>51.2</v>
      </c>
      <c r="R287" t="n">
        <v>50.7</v>
      </c>
      <c r="S287" t="n">
        <v>56.1</v>
      </c>
      <c r="U287" t="n">
        <v>56.3</v>
      </c>
      <c r="V287" t="n">
        <v>52.2</v>
      </c>
      <c r="AA287" t="n">
        <v>52.2</v>
      </c>
      <c r="AD287" t="n">
        <v>57.8875336583496</v>
      </c>
      <c r="AH287" t="n">
        <v>52.5</v>
      </c>
      <c r="AK287" t="n">
        <v>51.6</v>
      </c>
      <c r="AL287" t="n">
        <v>55.8</v>
      </c>
      <c r="AN287" t="n">
        <v>46.1</v>
      </c>
      <c r="AO287" t="n">
        <v>49.9</v>
      </c>
      <c r="AP287" t="n">
        <v>52.4</v>
      </c>
      <c r="AT287" t="n">
        <v>54.3</v>
      </c>
      <c r="AU287" t="n">
        <v>49.5</v>
      </c>
      <c r="AV287" t="n">
        <v>55.3</v>
      </c>
      <c r="AX287" t="n">
        <v>56.8</v>
      </c>
      <c r="AY287" t="n">
        <v>52.8</v>
      </c>
      <c r="AZ287" t="n">
        <v>51.8</v>
      </c>
    </row>
    <row r="288">
      <c r="A288" s="81" t="n">
        <v>42979</v>
      </c>
      <c r="B288" t="n">
        <v>54.2</v>
      </c>
      <c r="D288" t="n">
        <v>50.9</v>
      </c>
      <c r="E288" t="n">
        <v>55</v>
      </c>
      <c r="F288" t="n">
        <v>51</v>
      </c>
      <c r="H288" t="n">
        <v>56.6</v>
      </c>
      <c r="I288" t="n">
        <v>61.78</v>
      </c>
      <c r="K288" t="n">
        <v>58.1</v>
      </c>
      <c r="L288" t="n">
        <v>56.1</v>
      </c>
      <c r="M288" t="n">
        <v>60.6</v>
      </c>
      <c r="N288" t="n">
        <v>52.8</v>
      </c>
      <c r="O288" t="n">
        <v>51.2</v>
      </c>
      <c r="Q288" t="n">
        <v>51.2</v>
      </c>
      <c r="R288" t="n">
        <v>50.4</v>
      </c>
      <c r="S288" t="n">
        <v>55.4</v>
      </c>
      <c r="U288" t="n">
        <v>56.3</v>
      </c>
      <c r="V288" t="n">
        <v>52.9</v>
      </c>
      <c r="AA288" t="n">
        <v>52.8</v>
      </c>
      <c r="AD288" t="n">
        <v>57.5865651905984</v>
      </c>
      <c r="AH288" t="n">
        <v>53.7</v>
      </c>
      <c r="AK288" t="n">
        <v>51.9</v>
      </c>
      <c r="AL288" t="n">
        <v>55.5</v>
      </c>
      <c r="AN288" t="n">
        <v>46.4</v>
      </c>
      <c r="AO288" t="n">
        <v>50.6</v>
      </c>
      <c r="AP288" t="n">
        <v>54.3</v>
      </c>
      <c r="AT288" t="n">
        <v>54.2</v>
      </c>
      <c r="AU288" t="n">
        <v>50.3</v>
      </c>
      <c r="AV288" t="n">
        <v>53.5</v>
      </c>
      <c r="AX288" t="n">
        <v>56</v>
      </c>
      <c r="AY288" t="n">
        <v>53.1</v>
      </c>
      <c r="AZ288" t="n">
        <v>53.3</v>
      </c>
    </row>
    <row r="289">
      <c r="A289" s="81" t="n">
        <v>43009</v>
      </c>
      <c r="B289" t="n">
        <v>51.1</v>
      </c>
      <c r="D289" t="n">
        <v>51.2</v>
      </c>
      <c r="E289" t="n">
        <v>54.3</v>
      </c>
      <c r="F289" t="n">
        <v>51</v>
      </c>
      <c r="H289" t="n">
        <v>58.5</v>
      </c>
      <c r="I289" t="n">
        <v>58.57</v>
      </c>
      <c r="K289" t="n">
        <v>58.5</v>
      </c>
      <c r="L289" t="n">
        <v>56.1</v>
      </c>
      <c r="M289" t="n">
        <v>60.6</v>
      </c>
      <c r="N289" t="n">
        <v>52.1</v>
      </c>
      <c r="O289" t="n">
        <v>50.3</v>
      </c>
      <c r="Q289" t="n">
        <v>50.3</v>
      </c>
      <c r="R289" t="n">
        <v>50.1</v>
      </c>
      <c r="S289" t="n">
        <v>54.4</v>
      </c>
      <c r="U289" t="n">
        <v>57.8</v>
      </c>
      <c r="V289" t="n">
        <v>52.8</v>
      </c>
      <c r="AA289" t="n">
        <v>49.2</v>
      </c>
      <c r="AD289" t="n">
        <v>56.8314314778171</v>
      </c>
      <c r="AH289" t="n">
        <v>53.4</v>
      </c>
      <c r="AK289" t="n">
        <v>51.1</v>
      </c>
      <c r="AL289" t="n">
        <v>55.6</v>
      </c>
      <c r="AN289" t="n">
        <v>48.4</v>
      </c>
      <c r="AO289" t="n">
        <v>50.2</v>
      </c>
      <c r="AP289" t="n">
        <v>55.8</v>
      </c>
      <c r="AT289" t="n">
        <v>53.6</v>
      </c>
      <c r="AU289" t="n">
        <v>49.8</v>
      </c>
      <c r="AV289" t="n">
        <v>52.8</v>
      </c>
      <c r="AX289" t="n">
        <v>56.2</v>
      </c>
      <c r="AY289" t="n">
        <v>54.6</v>
      </c>
      <c r="AZ289" t="n">
        <v>51.6</v>
      </c>
    </row>
    <row r="290">
      <c r="A290" s="81" t="n">
        <v>43040</v>
      </c>
      <c r="B290" t="n">
        <v>57.3</v>
      </c>
      <c r="D290" t="n">
        <v>53.5</v>
      </c>
      <c r="E290" t="n">
        <v>54.4</v>
      </c>
      <c r="F290" t="n">
        <v>50.8</v>
      </c>
      <c r="H290" t="n">
        <v>58.7</v>
      </c>
      <c r="I290" t="n">
        <v>58.31</v>
      </c>
      <c r="K290" t="n">
        <v>60.1</v>
      </c>
      <c r="L290" t="n">
        <v>57.7</v>
      </c>
      <c r="M290" t="n">
        <v>62.5</v>
      </c>
      <c r="N290" t="n">
        <v>52.2</v>
      </c>
      <c r="O290" t="n">
        <v>50.7</v>
      </c>
      <c r="Q290" t="n">
        <v>52.6</v>
      </c>
      <c r="R290" t="n">
        <v>50.4</v>
      </c>
      <c r="S290" t="n">
        <v>58.1</v>
      </c>
      <c r="U290" t="n">
        <v>58.3</v>
      </c>
      <c r="V290" t="n">
        <v>53.6</v>
      </c>
      <c r="AA290" t="n">
        <v>52.4</v>
      </c>
      <c r="AD290" t="n">
        <v>57.427575830615</v>
      </c>
      <c r="AH290" t="n">
        <v>54.2</v>
      </c>
      <c r="AK290" t="n">
        <v>51.5</v>
      </c>
      <c r="AL290" t="n">
        <v>57.5</v>
      </c>
      <c r="AN290" t="n">
        <v>48.9</v>
      </c>
      <c r="AO290" t="n">
        <v>51.2</v>
      </c>
      <c r="AP290" t="n">
        <v>56.1</v>
      </c>
      <c r="AT290" t="n">
        <v>56.3</v>
      </c>
      <c r="AU290" t="n">
        <v>50</v>
      </c>
      <c r="AV290" t="n">
        <v>52.9</v>
      </c>
      <c r="AX290" t="n">
        <v>58.3</v>
      </c>
      <c r="AY290" t="n">
        <v>53.9</v>
      </c>
      <c r="AZ290" t="n">
        <v>51.4</v>
      </c>
    </row>
    <row r="291">
      <c r="A291" s="81" t="n">
        <v>43070</v>
      </c>
      <c r="B291" t="n">
        <v>56.2</v>
      </c>
      <c r="D291" t="n">
        <v>52.4</v>
      </c>
      <c r="E291" t="n">
        <v>54.7</v>
      </c>
      <c r="F291" t="n">
        <v>51.5</v>
      </c>
      <c r="H291" t="n">
        <v>59.8</v>
      </c>
      <c r="I291" t="n">
        <v>61.04</v>
      </c>
      <c r="K291" t="n">
        <v>60.6</v>
      </c>
      <c r="L291" t="n">
        <v>58.8</v>
      </c>
      <c r="M291" t="n">
        <v>63.3</v>
      </c>
      <c r="N291" t="n">
        <v>53.1</v>
      </c>
      <c r="O291" t="n">
        <v>51.5</v>
      </c>
      <c r="Q291" t="n">
        <v>54.7</v>
      </c>
      <c r="R291" t="n">
        <v>49.3</v>
      </c>
      <c r="S291" t="n">
        <v>59.1</v>
      </c>
      <c r="U291" t="n">
        <v>57.4</v>
      </c>
      <c r="V291" t="n">
        <v>54</v>
      </c>
      <c r="AA291" t="n">
        <v>51.7</v>
      </c>
      <c r="AD291" t="n">
        <v>50.9648930060402</v>
      </c>
      <c r="AH291" t="n">
        <v>55</v>
      </c>
      <c r="AK291" t="n">
        <v>52</v>
      </c>
      <c r="AL291" t="n">
        <v>57.3</v>
      </c>
      <c r="AN291" t="n">
        <v>45.9</v>
      </c>
      <c r="AO291" t="n">
        <v>49.9</v>
      </c>
      <c r="AP291" t="n">
        <v>55.8</v>
      </c>
      <c r="AT291" t="n">
        <v>56.6</v>
      </c>
      <c r="AU291" t="n">
        <v>50.4</v>
      </c>
      <c r="AV291" t="n">
        <v>54.9</v>
      </c>
      <c r="AX291" t="n">
        <v>56</v>
      </c>
      <c r="AY291" t="n">
        <v>55.1</v>
      </c>
      <c r="AZ291" t="n">
        <v>52.5</v>
      </c>
    </row>
    <row r="292">
      <c r="A292" s="81" t="n">
        <v>43101</v>
      </c>
      <c r="B292" t="n">
        <v>58.7</v>
      </c>
      <c r="D292" t="n">
        <v>51.2</v>
      </c>
      <c r="E292" t="n">
        <v>55.9</v>
      </c>
      <c r="F292" t="n">
        <v>51.6</v>
      </c>
      <c r="H292" t="n">
        <v>59.8</v>
      </c>
      <c r="I292" t="n">
        <v>66.65000000000001</v>
      </c>
      <c r="K292" t="n">
        <v>59.6</v>
      </c>
      <c r="L292" t="n">
        <v>58.4</v>
      </c>
      <c r="M292" t="n">
        <v>61.1</v>
      </c>
      <c r="N292" t="n">
        <v>55.2</v>
      </c>
      <c r="O292" t="n">
        <v>51.1</v>
      </c>
      <c r="Q292" t="n">
        <v>52.4</v>
      </c>
      <c r="R292" t="n">
        <v>49.9</v>
      </c>
      <c r="S292" t="n">
        <v>57.6</v>
      </c>
      <c r="U292" t="n">
        <v>59</v>
      </c>
      <c r="V292" t="n">
        <v>54.8</v>
      </c>
      <c r="AA292" t="n">
        <v>52.6</v>
      </c>
      <c r="AD292" t="n">
        <v>55.3991300439726</v>
      </c>
      <c r="AH292" t="n">
        <v>54.6</v>
      </c>
      <c r="AK292" t="n">
        <v>52.1</v>
      </c>
      <c r="AL292" t="n">
        <v>53</v>
      </c>
      <c r="AN292" t="n">
        <v>49.2</v>
      </c>
      <c r="AO292" t="n">
        <v>50.7</v>
      </c>
      <c r="AP292" t="n">
        <v>55.2</v>
      </c>
      <c r="AT292" t="n">
        <v>56.9</v>
      </c>
      <c r="AU292" t="n">
        <v>50.6</v>
      </c>
      <c r="AV292" t="n">
        <v>55.7</v>
      </c>
      <c r="AX292" t="n">
        <v>55</v>
      </c>
      <c r="AY292" t="n">
        <v>55.5</v>
      </c>
      <c r="AZ292" t="n">
        <v>53.4</v>
      </c>
    </row>
    <row r="293">
      <c r="A293" s="81" t="n">
        <v>43132</v>
      </c>
      <c r="B293" t="n">
        <v>57.5</v>
      </c>
      <c r="D293" t="n">
        <v>53.2</v>
      </c>
      <c r="E293" t="n">
        <v>55.6</v>
      </c>
      <c r="F293" t="n">
        <v>51.5</v>
      </c>
      <c r="H293" t="n">
        <v>58.8</v>
      </c>
      <c r="I293" t="n">
        <v>70.75</v>
      </c>
      <c r="K293" t="n">
        <v>58.6</v>
      </c>
      <c r="L293" t="n">
        <v>55.9</v>
      </c>
      <c r="M293" t="n">
        <v>60.6</v>
      </c>
      <c r="N293" t="n">
        <v>56.1</v>
      </c>
      <c r="O293" t="n">
        <v>51.7</v>
      </c>
      <c r="Q293" t="n">
        <v>52.1</v>
      </c>
      <c r="R293" t="n">
        <v>51.4</v>
      </c>
      <c r="S293" t="n">
        <v>56.2</v>
      </c>
      <c r="U293" t="n">
        <v>56.8</v>
      </c>
      <c r="V293" t="n">
        <v>54.1</v>
      </c>
      <c r="AA293" t="n">
        <v>51.6</v>
      </c>
      <c r="AD293" t="n">
        <v>53.4528751329017</v>
      </c>
      <c r="AH293" t="n">
        <v>53.7</v>
      </c>
      <c r="AK293" t="n">
        <v>50.2</v>
      </c>
      <c r="AL293" t="n">
        <v>53.2</v>
      </c>
      <c r="AN293" t="n">
        <v>50</v>
      </c>
      <c r="AO293" t="n">
        <v>50.3</v>
      </c>
      <c r="AP293" t="n">
        <v>56</v>
      </c>
      <c r="AT293" t="n">
        <v>56</v>
      </c>
      <c r="AU293" t="n">
        <v>50.9</v>
      </c>
      <c r="AV293" t="n">
        <v>55.6</v>
      </c>
      <c r="AX293" t="n">
        <v>54.9</v>
      </c>
      <c r="AY293" t="n">
        <v>55.3</v>
      </c>
      <c r="AZ293" t="n">
        <v>53.5</v>
      </c>
    </row>
    <row r="294">
      <c r="A294" s="81" t="n">
        <v>43160</v>
      </c>
      <c r="B294" t="n">
        <v>63.1</v>
      </c>
      <c r="D294" t="n">
        <v>53.4</v>
      </c>
      <c r="E294" t="n">
        <v>55.7</v>
      </c>
      <c r="F294" t="n">
        <v>51</v>
      </c>
      <c r="H294" t="n">
        <v>57.3</v>
      </c>
      <c r="I294" t="n">
        <v>61.05</v>
      </c>
      <c r="K294" t="n">
        <v>56.6</v>
      </c>
      <c r="L294" t="n">
        <v>53.7</v>
      </c>
      <c r="M294" t="n">
        <v>58.4</v>
      </c>
      <c r="N294" t="n">
        <v>55</v>
      </c>
      <c r="O294" t="n">
        <v>50.6</v>
      </c>
      <c r="Q294" t="n">
        <v>51</v>
      </c>
      <c r="R294" t="n">
        <v>50.7</v>
      </c>
      <c r="S294" t="n">
        <v>54.1</v>
      </c>
      <c r="U294" t="n">
        <v>55.1</v>
      </c>
      <c r="V294" t="n">
        <v>53.2</v>
      </c>
      <c r="AA294" t="n">
        <v>52.4</v>
      </c>
      <c r="AD294" t="n">
        <v>53.1388928325548</v>
      </c>
      <c r="AH294" t="n">
        <v>53.7</v>
      </c>
      <c r="AK294" t="n">
        <v>50.6</v>
      </c>
      <c r="AL294" t="n">
        <v>52.8</v>
      </c>
      <c r="AN294" t="n">
        <v>46.7</v>
      </c>
      <c r="AO294" t="n">
        <v>49.1</v>
      </c>
      <c r="AP294" t="n">
        <v>54.8</v>
      </c>
      <c r="AT294" t="n">
        <v>55.3</v>
      </c>
      <c r="AU294" t="n">
        <v>49.1</v>
      </c>
      <c r="AV294" t="n">
        <v>51.8</v>
      </c>
      <c r="AX294" t="n">
        <v>54.9</v>
      </c>
      <c r="AY294" t="n">
        <v>55.6</v>
      </c>
      <c r="AZ294" t="n">
        <v>51.6</v>
      </c>
    </row>
    <row r="295">
      <c r="A295" s="81" t="n">
        <v>43191</v>
      </c>
      <c r="B295" t="n">
        <v>58.3</v>
      </c>
      <c r="D295" t="n">
        <v>52.3</v>
      </c>
      <c r="E295" t="n">
        <v>55.5</v>
      </c>
      <c r="F295" t="n">
        <v>51.1</v>
      </c>
      <c r="H295" t="n">
        <v>57.2</v>
      </c>
      <c r="I295" t="n">
        <v>54.24</v>
      </c>
      <c r="K295" t="n">
        <v>56.2</v>
      </c>
      <c r="L295" t="n">
        <v>53.8</v>
      </c>
      <c r="M295" t="n">
        <v>58.1</v>
      </c>
      <c r="N295" t="n">
        <v>52.9</v>
      </c>
      <c r="O295" t="n">
        <v>49.1</v>
      </c>
      <c r="Q295" t="n">
        <v>51.6</v>
      </c>
      <c r="R295" t="n">
        <v>51.6</v>
      </c>
      <c r="S295" t="n">
        <v>55.3</v>
      </c>
      <c r="U295" t="n">
        <v>53.5</v>
      </c>
      <c r="V295" t="n">
        <v>53.8</v>
      </c>
      <c r="AA295" t="n">
        <v>51.6</v>
      </c>
      <c r="AD295" t="n">
        <v>59.2035308013539</v>
      </c>
      <c r="AH295" t="n">
        <v>53.9</v>
      </c>
      <c r="AK295" t="n">
        <v>51.3</v>
      </c>
      <c r="AL295" t="n">
        <v>51.4</v>
      </c>
      <c r="AN295" t="n">
        <v>49.1</v>
      </c>
      <c r="AO295" t="n">
        <v>48.4</v>
      </c>
      <c r="AP295" t="n">
        <v>54.4</v>
      </c>
      <c r="AT295" t="n">
        <v>54.8</v>
      </c>
      <c r="AU295" t="n">
        <v>49.5</v>
      </c>
      <c r="AV295" t="n">
        <v>48.9</v>
      </c>
      <c r="AX295" t="n">
        <v>53.9</v>
      </c>
      <c r="AY295" t="n">
        <v>56.5</v>
      </c>
      <c r="AZ295" t="n">
        <v>52.9</v>
      </c>
    </row>
    <row r="296">
      <c r="A296" s="81" t="n">
        <v>43221</v>
      </c>
      <c r="B296" t="n">
        <v>57.5</v>
      </c>
      <c r="D296" t="n">
        <v>50.7</v>
      </c>
      <c r="E296" t="n">
        <v>56.2</v>
      </c>
      <c r="F296" t="n">
        <v>51.1</v>
      </c>
      <c r="H296" t="n">
        <v>56.5</v>
      </c>
      <c r="I296" t="n">
        <v>47.78</v>
      </c>
      <c r="K296" t="n">
        <v>55.5</v>
      </c>
      <c r="L296" t="n">
        <v>55.1</v>
      </c>
      <c r="M296" t="n">
        <v>56.9</v>
      </c>
      <c r="N296" t="n">
        <v>54.2</v>
      </c>
      <c r="O296" t="n">
        <v>47.8</v>
      </c>
      <c r="Q296" t="n">
        <v>51.2</v>
      </c>
      <c r="R296" t="n">
        <v>51.7</v>
      </c>
      <c r="S296" t="n">
        <v>55.4</v>
      </c>
      <c r="U296" t="n">
        <v>52.7</v>
      </c>
      <c r="V296" t="n">
        <v>52.8</v>
      </c>
      <c r="AA296" t="n">
        <v>51</v>
      </c>
      <c r="AD296" t="n">
        <v>54.3282300911429</v>
      </c>
      <c r="AH296" t="n">
        <v>53.3</v>
      </c>
      <c r="AK296" t="n">
        <v>49.8</v>
      </c>
      <c r="AL296" t="n">
        <v>53.2</v>
      </c>
      <c r="AN296" t="n">
        <v>49.4</v>
      </c>
      <c r="AO296" t="n">
        <v>48.9</v>
      </c>
      <c r="AP296" t="n">
        <v>53.4</v>
      </c>
      <c r="AT296" t="n">
        <v>53.4</v>
      </c>
      <c r="AU296" t="n">
        <v>51.1</v>
      </c>
      <c r="AV296" t="n">
        <v>46.4</v>
      </c>
      <c r="AX296" t="n">
        <v>54.4</v>
      </c>
      <c r="AY296" t="n">
        <v>56.4</v>
      </c>
      <c r="AZ296" t="n">
        <v>53.9</v>
      </c>
    </row>
    <row r="297">
      <c r="A297" s="81" t="n">
        <v>43252</v>
      </c>
      <c r="B297" t="n">
        <v>57.4</v>
      </c>
      <c r="D297" t="n">
        <v>49.8</v>
      </c>
      <c r="E297" t="n">
        <v>57.1</v>
      </c>
      <c r="F297" t="n">
        <v>51</v>
      </c>
      <c r="H297" t="n">
        <v>56.8</v>
      </c>
      <c r="I297" t="n">
        <v>49.8</v>
      </c>
      <c r="K297" t="n">
        <v>54.9</v>
      </c>
      <c r="L297" t="n">
        <v>52.5</v>
      </c>
      <c r="M297" t="n">
        <v>55.9</v>
      </c>
      <c r="N297" t="n">
        <v>53.5</v>
      </c>
      <c r="O297" t="n">
        <v>47.7</v>
      </c>
      <c r="Q297" t="n">
        <v>53.1</v>
      </c>
      <c r="R297" t="n">
        <v>50.3</v>
      </c>
      <c r="S297" t="n">
        <v>56.6</v>
      </c>
      <c r="U297" t="n">
        <v>53.3</v>
      </c>
      <c r="V297" t="n">
        <v>53</v>
      </c>
      <c r="AA297" t="n">
        <v>52.1</v>
      </c>
      <c r="AD297" t="n">
        <v>52.7245397256422</v>
      </c>
      <c r="AH297" t="n">
        <v>54.2</v>
      </c>
      <c r="AK297" t="n">
        <v>49.5</v>
      </c>
      <c r="AL297" t="n">
        <v>55</v>
      </c>
      <c r="AN297" t="n">
        <v>48</v>
      </c>
      <c r="AO297" t="n">
        <v>49.8</v>
      </c>
      <c r="AP297" t="n">
        <v>53.4</v>
      </c>
      <c r="AT297" t="n">
        <v>54.5</v>
      </c>
      <c r="AU297" t="n">
        <v>50.2</v>
      </c>
      <c r="AV297" t="n">
        <v>46.8</v>
      </c>
      <c r="AX297" t="n">
        <v>54.4</v>
      </c>
      <c r="AY297" t="n">
        <v>55.4</v>
      </c>
      <c r="AZ297" t="n">
        <v>55.7</v>
      </c>
    </row>
    <row r="298">
      <c r="A298" s="81" t="n">
        <v>43282</v>
      </c>
      <c r="B298" t="n">
        <v>52</v>
      </c>
      <c r="D298" t="n">
        <v>50.5</v>
      </c>
      <c r="E298" t="n">
        <v>56.9</v>
      </c>
      <c r="F298" t="n">
        <v>50.8</v>
      </c>
      <c r="H298" t="n">
        <v>55.4</v>
      </c>
      <c r="I298" t="n">
        <v>55.7</v>
      </c>
      <c r="K298" t="n">
        <v>55.1</v>
      </c>
      <c r="L298" t="n">
        <v>53.3</v>
      </c>
      <c r="M298" t="n">
        <v>56.9</v>
      </c>
      <c r="N298" t="n">
        <v>53.5</v>
      </c>
      <c r="O298" t="n">
        <v>48.2</v>
      </c>
      <c r="Q298" t="n">
        <v>52.3</v>
      </c>
      <c r="R298" t="n">
        <v>50.5</v>
      </c>
      <c r="S298" t="n">
        <v>56.3</v>
      </c>
      <c r="U298" t="n">
        <v>51.5</v>
      </c>
      <c r="V298" t="n">
        <v>52.3</v>
      </c>
      <c r="AA298" t="n">
        <v>52.1</v>
      </c>
      <c r="AD298" t="n">
        <v>51.2462636215065</v>
      </c>
      <c r="AH298" t="n">
        <v>52.9</v>
      </c>
      <c r="AK298" t="n">
        <v>48.1</v>
      </c>
      <c r="AL298" t="n">
        <v>54.9</v>
      </c>
      <c r="AN298" t="n">
        <v>49.9</v>
      </c>
      <c r="AO298" t="n">
        <v>48.3</v>
      </c>
      <c r="AP298" t="n">
        <v>52.9</v>
      </c>
      <c r="AT298" t="n">
        <v>53.1</v>
      </c>
      <c r="AU298" t="n">
        <v>50.1</v>
      </c>
      <c r="AV298" t="n">
        <v>49</v>
      </c>
      <c r="AX298" t="n">
        <v>54</v>
      </c>
      <c r="AY298" t="n">
        <v>55.3</v>
      </c>
      <c r="AZ298" t="n">
        <v>54.9</v>
      </c>
    </row>
    <row r="299">
      <c r="A299" s="81" t="n">
        <v>43313</v>
      </c>
      <c r="B299" t="n">
        <v>56.7</v>
      </c>
      <c r="D299" t="n">
        <v>51.1</v>
      </c>
      <c r="E299" t="n">
        <v>56.8</v>
      </c>
      <c r="F299" t="n">
        <v>50.6</v>
      </c>
      <c r="H299" t="n">
        <v>54.9</v>
      </c>
      <c r="I299" t="n">
        <v>59.15</v>
      </c>
      <c r="K299" t="n">
        <v>54.6</v>
      </c>
      <c r="L299" t="n">
        <v>53.5</v>
      </c>
      <c r="M299" t="n">
        <v>55.9</v>
      </c>
      <c r="N299" t="n">
        <v>53.9</v>
      </c>
      <c r="O299" t="n">
        <v>48.5</v>
      </c>
      <c r="Q299" t="n">
        <v>51.7</v>
      </c>
      <c r="R299" t="n">
        <v>51.9</v>
      </c>
      <c r="S299" t="n">
        <v>57.5</v>
      </c>
      <c r="U299" t="n">
        <v>50.1</v>
      </c>
      <c r="V299" t="n">
        <v>52.5</v>
      </c>
      <c r="AA299" t="n">
        <v>50.7</v>
      </c>
      <c r="AD299" t="n">
        <v>52.1322105973522</v>
      </c>
      <c r="AH299" t="n">
        <v>51.4</v>
      </c>
      <c r="AK299" t="n">
        <v>48.9</v>
      </c>
      <c r="AL299" t="n">
        <v>55.1</v>
      </c>
      <c r="AN299" t="n">
        <v>45.2</v>
      </c>
      <c r="AO299" t="n">
        <v>49.9</v>
      </c>
      <c r="AP299" t="n">
        <v>53</v>
      </c>
      <c r="AT299" t="n">
        <v>53</v>
      </c>
      <c r="AU299" t="n">
        <v>49.9</v>
      </c>
      <c r="AV299" t="n">
        <v>46.4</v>
      </c>
      <c r="AX299" t="n">
        <v>52.8</v>
      </c>
      <c r="AY299" t="n">
        <v>54.5</v>
      </c>
      <c r="AZ299" t="n">
        <v>53.7</v>
      </c>
    </row>
    <row r="300">
      <c r="A300" s="81" t="n">
        <v>43344</v>
      </c>
      <c r="B300" t="n">
        <v>59</v>
      </c>
      <c r="D300" t="n">
        <v>50.9</v>
      </c>
      <c r="E300" t="n">
        <v>54.8</v>
      </c>
      <c r="F300" t="n">
        <v>50</v>
      </c>
      <c r="H300" t="n">
        <v>53.4</v>
      </c>
      <c r="I300" t="n">
        <v>53.7</v>
      </c>
      <c r="K300" t="n">
        <v>53.2</v>
      </c>
      <c r="L300" t="n">
        <v>52.5</v>
      </c>
      <c r="M300" t="n">
        <v>53.7</v>
      </c>
      <c r="N300" t="n">
        <v>53.6</v>
      </c>
      <c r="O300" t="n">
        <v>47.9</v>
      </c>
      <c r="Q300" t="n">
        <v>52.2</v>
      </c>
      <c r="R300" t="n">
        <v>50.7</v>
      </c>
      <c r="S300" t="n">
        <v>56.3</v>
      </c>
      <c r="U300" t="n">
        <v>50</v>
      </c>
      <c r="V300" t="n">
        <v>52.5</v>
      </c>
      <c r="AA300" t="n">
        <v>51.7</v>
      </c>
      <c r="AD300" t="n">
        <v>51.8709457657821</v>
      </c>
      <c r="AH300" t="n">
        <v>50.5</v>
      </c>
      <c r="AK300" t="n">
        <v>50</v>
      </c>
      <c r="AL300" t="n">
        <v>53.4</v>
      </c>
      <c r="AN300" t="n">
        <v>44.5</v>
      </c>
      <c r="AO300" t="n">
        <v>51.3</v>
      </c>
      <c r="AP300" t="n">
        <v>51.4</v>
      </c>
      <c r="AT300" t="n">
        <v>50.8</v>
      </c>
      <c r="AU300" t="n">
        <v>50</v>
      </c>
      <c r="AV300" t="n">
        <v>42.7</v>
      </c>
      <c r="AX300" t="n">
        <v>53.8</v>
      </c>
      <c r="AY300" t="n">
        <v>55.6</v>
      </c>
      <c r="AZ300" t="n">
        <v>51.5</v>
      </c>
    </row>
    <row r="301">
      <c r="A301" s="81" t="n">
        <v>43374</v>
      </c>
      <c r="B301" t="n">
        <v>58.3</v>
      </c>
      <c r="D301" t="n">
        <v>51.1</v>
      </c>
      <c r="E301" t="n">
        <v>53.9</v>
      </c>
      <c r="F301" t="n">
        <v>50.1</v>
      </c>
      <c r="H301" t="n">
        <v>52.5</v>
      </c>
      <c r="I301" t="n">
        <v>66.8</v>
      </c>
      <c r="K301" t="n">
        <v>52</v>
      </c>
      <c r="L301" t="n">
        <v>51.2</v>
      </c>
      <c r="M301" t="n">
        <v>52.2</v>
      </c>
      <c r="N301" t="n">
        <v>53.1</v>
      </c>
      <c r="O301" t="n">
        <v>48.6</v>
      </c>
      <c r="Q301" t="n">
        <v>53.1</v>
      </c>
      <c r="R301" t="n">
        <v>50.5</v>
      </c>
      <c r="S301" t="n">
        <v>54.9</v>
      </c>
      <c r="U301" t="n">
        <v>49.2</v>
      </c>
      <c r="V301" t="n">
        <v>52.9</v>
      </c>
      <c r="AA301" t="n">
        <v>50.7</v>
      </c>
      <c r="AD301" t="n">
        <v>53.5</v>
      </c>
      <c r="AH301" t="n">
        <v>50.4</v>
      </c>
      <c r="AK301" t="n">
        <v>51.3</v>
      </c>
      <c r="AL301" t="n">
        <v>53.8</v>
      </c>
      <c r="AN301" t="n">
        <v>42.4</v>
      </c>
      <c r="AO301" t="n">
        <v>51</v>
      </c>
      <c r="AP301" t="n">
        <v>51.8</v>
      </c>
      <c r="AT301" t="n">
        <v>48.7</v>
      </c>
      <c r="AU301" t="n">
        <v>48.9</v>
      </c>
      <c r="AV301" t="n">
        <v>44.3</v>
      </c>
      <c r="AX301" t="n">
        <v>51.1</v>
      </c>
      <c r="AY301" t="n">
        <v>55.7</v>
      </c>
      <c r="AZ301" t="n">
        <v>53.9</v>
      </c>
    </row>
    <row r="302">
      <c r="A302" s="81" t="n">
        <v>43405</v>
      </c>
      <c r="B302" t="n">
        <v>51.3</v>
      </c>
      <c r="D302" t="n">
        <v>52.7</v>
      </c>
      <c r="E302" t="n">
        <v>54.9</v>
      </c>
      <c r="F302" t="n">
        <v>50.2</v>
      </c>
      <c r="H302" t="n">
        <v>51.8</v>
      </c>
      <c r="I302" t="n">
        <v>58.2</v>
      </c>
      <c r="K302" t="n">
        <v>51.8</v>
      </c>
      <c r="L302" t="n">
        <v>50.8</v>
      </c>
      <c r="M302" t="n">
        <v>51.8</v>
      </c>
      <c r="N302" t="n">
        <v>54</v>
      </c>
      <c r="O302" t="n">
        <v>47.1</v>
      </c>
      <c r="Q302" t="n">
        <v>54</v>
      </c>
      <c r="R302" t="n">
        <v>50.4</v>
      </c>
      <c r="S302" t="n">
        <v>55.4</v>
      </c>
      <c r="U302" t="n">
        <v>48.6</v>
      </c>
      <c r="V302" t="n">
        <v>52.2</v>
      </c>
      <c r="AA302" t="n">
        <v>49.7</v>
      </c>
      <c r="AD302" t="n">
        <v>53.5</v>
      </c>
      <c r="AH302" t="n">
        <v>49.5</v>
      </c>
      <c r="AK302" t="n">
        <v>52.6</v>
      </c>
      <c r="AL302" t="n">
        <v>55.2</v>
      </c>
      <c r="AN302" t="n">
        <v>49.5</v>
      </c>
      <c r="AO302" t="n">
        <v>48.6</v>
      </c>
      <c r="AP302" t="n">
        <v>52.6</v>
      </c>
      <c r="AT302" t="n">
        <v>48.4</v>
      </c>
      <c r="AU302" t="n">
        <v>49.8</v>
      </c>
      <c r="AV302" t="n">
        <v>44.7</v>
      </c>
      <c r="AX302" t="n">
        <v>53.1</v>
      </c>
      <c r="AY302" t="n">
        <v>55.3</v>
      </c>
      <c r="AZ302" t="n">
        <v>56.5</v>
      </c>
    </row>
    <row r="303">
      <c r="A303" s="81" t="n">
        <v>43435</v>
      </c>
      <c r="B303" t="n">
        <v>49.5</v>
      </c>
      <c r="D303" t="n">
        <v>52.6</v>
      </c>
      <c r="E303" t="n">
        <v>53.6</v>
      </c>
      <c r="F303" t="n">
        <v>49.7</v>
      </c>
      <c r="H303" t="n">
        <v>49.7</v>
      </c>
      <c r="I303" t="n">
        <v>57.5</v>
      </c>
      <c r="K303" t="n">
        <v>51.4</v>
      </c>
      <c r="L303" t="n">
        <v>49.7</v>
      </c>
      <c r="M303" t="n">
        <v>51.5</v>
      </c>
      <c r="N303" t="n">
        <v>53.8</v>
      </c>
      <c r="O303" t="n">
        <v>48</v>
      </c>
      <c r="Q303" t="n">
        <v>53.2</v>
      </c>
      <c r="R303" t="n">
        <v>51.2</v>
      </c>
      <c r="S303" t="n">
        <v>54.5</v>
      </c>
      <c r="U303" t="n">
        <v>49.2</v>
      </c>
      <c r="V303" t="n">
        <v>52.4</v>
      </c>
      <c r="AA303" t="n">
        <v>49.7</v>
      </c>
      <c r="AD303" t="n">
        <v>55.1</v>
      </c>
      <c r="AH303" t="n">
        <v>47.6</v>
      </c>
      <c r="AK303" t="n">
        <v>51.7</v>
      </c>
      <c r="AL303" t="n">
        <v>54.5</v>
      </c>
      <c r="AN303" t="n">
        <v>50.7</v>
      </c>
      <c r="AO303" t="n">
        <v>49.8</v>
      </c>
      <c r="AP303" t="n">
        <v>51.1</v>
      </c>
      <c r="AT303" t="n">
        <v>47.7</v>
      </c>
      <c r="AU303" t="n">
        <v>50.3</v>
      </c>
      <c r="AV303" t="n">
        <v>44.2</v>
      </c>
      <c r="AX303" t="n">
        <v>54.2</v>
      </c>
      <c r="AY303" t="n">
        <v>53.8</v>
      </c>
      <c r="AZ303" t="n">
        <v>53.8</v>
      </c>
    </row>
    <row r="304">
      <c r="A304" s="81" t="n">
        <v>43466</v>
      </c>
      <c r="B304" t="n">
        <v>52.5</v>
      </c>
      <c r="D304" t="n">
        <v>52.7</v>
      </c>
      <c r="E304" t="n">
        <v>53</v>
      </c>
      <c r="F304" t="n">
        <v>48.3</v>
      </c>
      <c r="H304" t="n">
        <v>49</v>
      </c>
      <c r="I304" t="n">
        <v>51.1</v>
      </c>
      <c r="K304" t="n">
        <v>50.5</v>
      </c>
      <c r="L304" t="n">
        <v>51.2</v>
      </c>
      <c r="M304" t="n">
        <v>49.7</v>
      </c>
      <c r="N304" t="n">
        <v>53.7</v>
      </c>
      <c r="O304" t="n">
        <v>48.2</v>
      </c>
      <c r="Q304" t="n">
        <v>53.9</v>
      </c>
      <c r="R304" t="n">
        <v>49.9</v>
      </c>
      <c r="S304" t="n">
        <v>52.6</v>
      </c>
      <c r="U304" t="n">
        <v>47.8</v>
      </c>
      <c r="V304" t="n">
        <v>50.3</v>
      </c>
      <c r="AA304" t="n">
        <v>50.9</v>
      </c>
      <c r="AD304" t="n">
        <v>53.1</v>
      </c>
      <c r="AH304" t="n">
        <v>48.2</v>
      </c>
      <c r="AK304" t="n">
        <v>50.9</v>
      </c>
      <c r="AL304" t="n">
        <v>56.2</v>
      </c>
      <c r="AN304" t="n">
        <v>49.9</v>
      </c>
      <c r="AO304" t="n">
        <v>48.3</v>
      </c>
      <c r="AP304" t="n">
        <v>52.4</v>
      </c>
      <c r="AT304" t="n">
        <v>47.5</v>
      </c>
      <c r="AU304" t="n">
        <v>50.2</v>
      </c>
      <c r="AV304" t="n">
        <v>44.2</v>
      </c>
      <c r="AX304" t="n">
        <v>52.8</v>
      </c>
      <c r="AY304" t="n">
        <v>54.9</v>
      </c>
      <c r="AZ304" t="n">
        <v>51.9</v>
      </c>
    </row>
    <row r="305">
      <c r="A305" s="81" t="n">
        <v>43497</v>
      </c>
      <c r="B305" t="n">
        <v>54</v>
      </c>
      <c r="D305" t="n">
        <v>53.4</v>
      </c>
      <c r="E305" t="n">
        <v>52.6</v>
      </c>
      <c r="F305" t="n">
        <v>49.9</v>
      </c>
      <c r="H305" t="n">
        <v>48.6</v>
      </c>
      <c r="I305" t="n">
        <v>61.6</v>
      </c>
      <c r="K305" t="n">
        <v>49.3</v>
      </c>
      <c r="L305" t="n">
        <v>51.5</v>
      </c>
      <c r="M305" t="n">
        <v>47.6</v>
      </c>
      <c r="N305" t="n">
        <v>54.2</v>
      </c>
      <c r="O305" t="n">
        <v>48.4</v>
      </c>
      <c r="Q305" t="n">
        <v>54.3</v>
      </c>
      <c r="R305" t="n">
        <v>50.1</v>
      </c>
      <c r="S305" t="n">
        <v>54</v>
      </c>
      <c r="U305" t="n">
        <v>47.7</v>
      </c>
      <c r="V305" t="n">
        <v>48.9</v>
      </c>
      <c r="AA305" t="n">
        <v>52.6</v>
      </c>
      <c r="AD305" t="n">
        <v>53.4</v>
      </c>
      <c r="AH305" t="n">
        <v>47.6</v>
      </c>
      <c r="AK305" t="n">
        <v>50.1</v>
      </c>
      <c r="AL305" t="n">
        <v>56.6</v>
      </c>
      <c r="AN305" t="n">
        <v>46.2</v>
      </c>
      <c r="AO305" t="n">
        <v>47.2</v>
      </c>
      <c r="AP305" t="n">
        <v>49.9</v>
      </c>
      <c r="AT305" t="n">
        <v>46.3</v>
      </c>
      <c r="AU305" t="n">
        <v>49.9</v>
      </c>
      <c r="AV305" t="n">
        <v>46.4</v>
      </c>
      <c r="AX305" t="n">
        <v>52</v>
      </c>
      <c r="AY305" t="n">
        <v>53</v>
      </c>
      <c r="AZ305" t="n">
        <v>51.2</v>
      </c>
    </row>
    <row r="306">
      <c r="A306" s="81" t="n">
        <v>43525</v>
      </c>
      <c r="B306" t="n">
        <v>51</v>
      </c>
      <c r="D306" t="n">
        <v>52.8</v>
      </c>
      <c r="E306" t="n">
        <v>50.5</v>
      </c>
      <c r="F306" t="n">
        <v>50.8</v>
      </c>
      <c r="H306" t="n">
        <v>47.3</v>
      </c>
      <c r="I306" t="n">
        <v>56.6</v>
      </c>
      <c r="K306" t="n">
        <v>47.5</v>
      </c>
      <c r="L306" t="n">
        <v>49.7</v>
      </c>
      <c r="M306" t="n">
        <v>44.1</v>
      </c>
      <c r="N306" t="n">
        <v>54.7</v>
      </c>
      <c r="O306" t="n">
        <v>48</v>
      </c>
      <c r="Q306" t="n">
        <v>52.6</v>
      </c>
      <c r="R306" t="n">
        <v>51.2</v>
      </c>
      <c r="S306" t="n">
        <v>53.9</v>
      </c>
      <c r="U306" t="n">
        <v>47.4</v>
      </c>
      <c r="V306" t="n">
        <v>49.2</v>
      </c>
      <c r="AA306" t="n">
        <v>49.8</v>
      </c>
      <c r="AD306" t="n">
        <v>51.9</v>
      </c>
      <c r="AH306" t="n">
        <v>48.7</v>
      </c>
      <c r="AK306" t="n">
        <v>52.8</v>
      </c>
      <c r="AL306" t="n">
        <v>56.8</v>
      </c>
      <c r="AN306" t="n">
        <v>45</v>
      </c>
      <c r="AO306" t="n">
        <v>48.8</v>
      </c>
      <c r="AP306" t="n">
        <v>50.9</v>
      </c>
      <c r="AT306" t="n">
        <v>49</v>
      </c>
      <c r="AU306" t="n">
        <v>50.3</v>
      </c>
      <c r="AV306" t="n">
        <v>47.2</v>
      </c>
      <c r="AX306" t="n">
        <v>55.1</v>
      </c>
      <c r="AY306" t="n">
        <v>52.4</v>
      </c>
      <c r="AZ306" t="n">
        <v>51.9</v>
      </c>
    </row>
    <row r="307">
      <c r="A307" s="81" t="n">
        <v>43556</v>
      </c>
      <c r="B307" t="n">
        <v>54.8</v>
      </c>
      <c r="D307" t="n">
        <v>51.5</v>
      </c>
      <c r="E307" t="n">
        <v>49.7</v>
      </c>
      <c r="F307" t="n">
        <v>50.2</v>
      </c>
      <c r="H307" t="n">
        <v>46.6</v>
      </c>
      <c r="I307" t="n">
        <v>59.6</v>
      </c>
      <c r="K307" t="n">
        <v>47.9</v>
      </c>
      <c r="L307" t="n">
        <v>50</v>
      </c>
      <c r="M307" t="n">
        <v>44.4</v>
      </c>
      <c r="N307" t="n">
        <v>56.6</v>
      </c>
      <c r="O307" t="n">
        <v>48.4</v>
      </c>
      <c r="Q307" t="n">
        <v>51.8</v>
      </c>
      <c r="R307" t="n">
        <v>50.4</v>
      </c>
      <c r="S307" t="n">
        <v>52.5</v>
      </c>
      <c r="U307" t="n">
        <v>49.1</v>
      </c>
      <c r="V307" t="n">
        <v>49.5</v>
      </c>
      <c r="AA307" t="n">
        <v>50.1</v>
      </c>
      <c r="AD307" t="n">
        <v>52.7</v>
      </c>
      <c r="AH307" t="n">
        <v>49</v>
      </c>
      <c r="AK307" t="n">
        <v>51.8</v>
      </c>
      <c r="AL307" t="n">
        <v>57.3</v>
      </c>
      <c r="AN307" t="n">
        <v>47.2</v>
      </c>
      <c r="AO307" t="n">
        <v>50.2</v>
      </c>
      <c r="AP307" t="n">
        <v>51.8</v>
      </c>
      <c r="AT307" t="n">
        <v>48.2</v>
      </c>
      <c r="AU307" t="n">
        <v>51</v>
      </c>
      <c r="AV307" t="n">
        <v>46.8</v>
      </c>
      <c r="AX307" t="n">
        <v>53.1</v>
      </c>
      <c r="AY307" t="n">
        <v>52.6</v>
      </c>
      <c r="AZ307" t="n">
        <v>52.5</v>
      </c>
    </row>
    <row r="308">
      <c r="A308" s="81" t="n">
        <v>43586</v>
      </c>
      <c r="B308" t="n">
        <v>52.7</v>
      </c>
      <c r="D308" t="n">
        <v>50.2</v>
      </c>
      <c r="E308" t="n">
        <v>49.1</v>
      </c>
      <c r="F308" t="n">
        <v>50.2</v>
      </c>
      <c r="H308" t="n">
        <v>46.6</v>
      </c>
      <c r="I308" t="n">
        <v>47.6</v>
      </c>
      <c r="K308" t="n">
        <v>47.7</v>
      </c>
      <c r="L308" t="n">
        <v>50.6</v>
      </c>
      <c r="M308" t="n">
        <v>44.3</v>
      </c>
      <c r="N308" t="n">
        <v>54.2</v>
      </c>
      <c r="O308" t="n">
        <v>46.9</v>
      </c>
      <c r="Q308" t="n">
        <v>52.7</v>
      </c>
      <c r="R308" t="n">
        <v>51.6</v>
      </c>
      <c r="S308" t="n">
        <v>50.4</v>
      </c>
      <c r="U308" t="n">
        <v>49.7</v>
      </c>
      <c r="V308" t="n">
        <v>49.8</v>
      </c>
      <c r="AA308" t="n">
        <v>50</v>
      </c>
      <c r="AD308" t="n">
        <v>50.2</v>
      </c>
      <c r="AH308" t="n">
        <v>48.8</v>
      </c>
      <c r="AK308" t="n">
        <v>49.8</v>
      </c>
      <c r="AL308" t="n">
        <v>57.3</v>
      </c>
      <c r="AN308" t="n">
        <v>45.4</v>
      </c>
      <c r="AO308" t="n">
        <v>48.4</v>
      </c>
      <c r="AP308" t="n">
        <v>50.1</v>
      </c>
      <c r="AT308" t="n">
        <v>48.4</v>
      </c>
      <c r="AU308" t="n">
        <v>50.7</v>
      </c>
      <c r="AV308" t="n">
        <v>45.3</v>
      </c>
      <c r="AX308" t="n">
        <v>49.4</v>
      </c>
      <c r="AY308" t="n">
        <v>50.5</v>
      </c>
      <c r="AZ308" t="n">
        <v>52</v>
      </c>
    </row>
    <row r="309">
      <c r="A309" s="81" t="n">
        <v>43617</v>
      </c>
      <c r="B309" t="n">
        <v>49.4</v>
      </c>
      <c r="D309" t="n">
        <v>51</v>
      </c>
      <c r="E309" t="n">
        <v>49.2</v>
      </c>
      <c r="F309" t="n">
        <v>49.4</v>
      </c>
      <c r="H309" t="n">
        <v>45.9</v>
      </c>
      <c r="I309" t="n">
        <v>45</v>
      </c>
      <c r="K309" t="n">
        <v>47.6</v>
      </c>
      <c r="L309" t="n">
        <v>51.9</v>
      </c>
      <c r="M309" t="n">
        <v>45</v>
      </c>
      <c r="N309" t="n">
        <v>52.4</v>
      </c>
      <c r="O309" t="n">
        <v>47.9</v>
      </c>
      <c r="Q309" t="n">
        <v>52.1</v>
      </c>
      <c r="R309" t="n">
        <v>50.6</v>
      </c>
      <c r="S309" t="n">
        <v>49.8</v>
      </c>
      <c r="U309" t="n">
        <v>48.4</v>
      </c>
      <c r="V309" t="n">
        <v>49.3</v>
      </c>
      <c r="AA309" t="n">
        <v>49.2</v>
      </c>
      <c r="AD309" t="n">
        <v>51.3</v>
      </c>
      <c r="AH309" t="n">
        <v>48.4</v>
      </c>
      <c r="AK309" t="n">
        <v>48.6</v>
      </c>
      <c r="AL309" t="n">
        <v>57.4</v>
      </c>
      <c r="AN309" t="n">
        <v>46.2</v>
      </c>
      <c r="AO309" t="n">
        <v>47.5</v>
      </c>
      <c r="AP309" t="n">
        <v>47.9</v>
      </c>
      <c r="AT309" t="n">
        <v>45.5</v>
      </c>
      <c r="AU309" t="n">
        <v>50.6</v>
      </c>
      <c r="AV309" t="n">
        <v>47.9</v>
      </c>
      <c r="AX309" t="n">
        <v>48</v>
      </c>
      <c r="AY309" t="n">
        <v>50.6</v>
      </c>
      <c r="AZ309" t="n">
        <v>52.5</v>
      </c>
    </row>
    <row r="310">
      <c r="A310" s="81" t="n">
        <v>43647</v>
      </c>
      <c r="B310" t="n">
        <v>51.3</v>
      </c>
      <c r="D310" t="n">
        <v>49.9</v>
      </c>
      <c r="E310" t="n">
        <v>50.2</v>
      </c>
      <c r="F310" t="n">
        <v>49.9</v>
      </c>
      <c r="H310" t="n">
        <v>43.1</v>
      </c>
      <c r="I310" t="n">
        <v>49.5</v>
      </c>
      <c r="K310" t="n">
        <v>46.5</v>
      </c>
      <c r="L310" t="n">
        <v>49.7</v>
      </c>
      <c r="M310" t="n">
        <v>43.2</v>
      </c>
      <c r="N310" t="n">
        <v>54.6</v>
      </c>
      <c r="O310" t="n">
        <v>43.8</v>
      </c>
      <c r="Q310" t="n">
        <v>52.5</v>
      </c>
      <c r="R310" t="n">
        <v>49.6</v>
      </c>
      <c r="S310" t="n">
        <v>48.7</v>
      </c>
      <c r="U310" t="n">
        <v>48.5</v>
      </c>
      <c r="V310" t="n">
        <v>49.4</v>
      </c>
      <c r="AA310" t="n">
        <v>49.8</v>
      </c>
      <c r="AD310" t="n">
        <v>48.1</v>
      </c>
      <c r="AH310" t="n">
        <v>47.4</v>
      </c>
      <c r="AK310" t="n">
        <v>49.3</v>
      </c>
      <c r="AL310" t="n">
        <v>56.6</v>
      </c>
      <c r="AN310" t="n">
        <v>52.1</v>
      </c>
      <c r="AO310" t="n">
        <v>47.3</v>
      </c>
      <c r="AP310" t="n">
        <v>48.2</v>
      </c>
      <c r="AT310" t="n">
        <v>48.1</v>
      </c>
      <c r="AU310" t="n">
        <v>50.3</v>
      </c>
      <c r="AV310" t="n">
        <v>46.7</v>
      </c>
      <c r="AX310" t="n">
        <v>48</v>
      </c>
      <c r="AY310" t="n">
        <v>50</v>
      </c>
      <c r="AZ310" t="n">
        <v>52.6</v>
      </c>
    </row>
    <row r="311">
      <c r="A311" s="81" t="n">
        <v>43678</v>
      </c>
      <c r="B311" t="n">
        <v>53.1</v>
      </c>
      <c r="D311" t="n">
        <v>52.5</v>
      </c>
      <c r="E311" t="n">
        <v>49.1</v>
      </c>
      <c r="F311" t="n">
        <v>50.4</v>
      </c>
      <c r="H311" t="n">
        <v>44.9</v>
      </c>
      <c r="I311" t="n">
        <v>48.7</v>
      </c>
      <c r="K311" t="n">
        <v>47</v>
      </c>
      <c r="L311" t="n">
        <v>51.1</v>
      </c>
      <c r="M311" t="n">
        <v>43.5</v>
      </c>
      <c r="N311" t="n">
        <v>54.9</v>
      </c>
      <c r="O311" t="n">
        <v>40.8</v>
      </c>
      <c r="Q311" t="n">
        <v>51.4</v>
      </c>
      <c r="R311" t="n">
        <v>49</v>
      </c>
      <c r="S311" t="n">
        <v>48.6</v>
      </c>
      <c r="U311" t="n">
        <v>48.7</v>
      </c>
      <c r="V311" t="n">
        <v>49.3</v>
      </c>
      <c r="AA311" t="n">
        <v>49</v>
      </c>
      <c r="AD311" t="n">
        <v>48.4</v>
      </c>
      <c r="AH311" t="n">
        <v>48.8</v>
      </c>
      <c r="AK311" t="n">
        <v>49.1</v>
      </c>
      <c r="AL311" t="n">
        <v>57</v>
      </c>
      <c r="AN311" t="n">
        <v>45.7</v>
      </c>
      <c r="AO311" t="n">
        <v>49</v>
      </c>
      <c r="AP311" t="n">
        <v>48.8</v>
      </c>
      <c r="AT311" t="n">
        <v>47.9</v>
      </c>
      <c r="AU311" t="n">
        <v>50</v>
      </c>
      <c r="AV311" t="n">
        <v>48</v>
      </c>
      <c r="AX311" t="n">
        <v>47.4</v>
      </c>
      <c r="AY311" t="n">
        <v>50.3</v>
      </c>
      <c r="AZ311" t="n">
        <v>51.4</v>
      </c>
    </row>
    <row r="312">
      <c r="A312" s="81" t="n">
        <v>43709</v>
      </c>
      <c r="B312" t="n">
        <v>54.7</v>
      </c>
      <c r="D312" t="n">
        <v>53.4</v>
      </c>
      <c r="E312" t="n">
        <v>51</v>
      </c>
      <c r="F312" t="n">
        <v>51.4</v>
      </c>
      <c r="H312" t="n">
        <v>44.9</v>
      </c>
      <c r="I312" t="n">
        <v>50.2</v>
      </c>
      <c r="K312" t="n">
        <v>45.7</v>
      </c>
      <c r="L312" t="n">
        <v>50.1</v>
      </c>
      <c r="M312" t="n">
        <v>41.7</v>
      </c>
      <c r="N312" t="n">
        <v>53.6</v>
      </c>
      <c r="O312" t="n">
        <v>41.5</v>
      </c>
      <c r="Q312" t="n">
        <v>51.4</v>
      </c>
      <c r="R312" t="n">
        <v>49.1</v>
      </c>
      <c r="S312" t="n">
        <v>48.7</v>
      </c>
      <c r="U312" t="n">
        <v>47.8</v>
      </c>
      <c r="V312" t="n">
        <v>48.9</v>
      </c>
      <c r="AA312" t="n">
        <v>49.1</v>
      </c>
      <c r="AD312" t="n">
        <v>48.4</v>
      </c>
      <c r="AH312" t="n">
        <v>47.8</v>
      </c>
      <c r="AK312" t="n">
        <v>46.3</v>
      </c>
      <c r="AL312" t="n">
        <v>57.3</v>
      </c>
      <c r="AN312" t="n">
        <v>41.6</v>
      </c>
      <c r="AO312" t="n">
        <v>48</v>
      </c>
      <c r="AP312" t="n">
        <v>47.7</v>
      </c>
      <c r="AT312" t="n">
        <v>50</v>
      </c>
      <c r="AU312" t="n">
        <v>50.6</v>
      </c>
      <c r="AV312" t="n">
        <v>50</v>
      </c>
      <c r="AX312" t="n">
        <v>48.3</v>
      </c>
      <c r="AY312" t="n">
        <v>51.1</v>
      </c>
      <c r="AZ312" t="n">
        <v>50.5</v>
      </c>
    </row>
    <row r="313">
      <c r="A313" s="81" t="n">
        <v>43739</v>
      </c>
      <c r="B313" t="n">
        <v>51.6</v>
      </c>
      <c r="D313" t="n">
        <v>52.2</v>
      </c>
      <c r="E313" t="n">
        <v>51.2</v>
      </c>
      <c r="F313" t="n">
        <v>51.7</v>
      </c>
      <c r="H313" t="n">
        <v>45</v>
      </c>
      <c r="I313" t="n">
        <v>49.5</v>
      </c>
      <c r="K313" t="n">
        <v>45.9</v>
      </c>
      <c r="L313" t="n">
        <v>50.7</v>
      </c>
      <c r="M313" t="n">
        <v>42.1</v>
      </c>
      <c r="N313" t="n">
        <v>53.5</v>
      </c>
      <c r="O313" t="n">
        <v>39.3</v>
      </c>
      <c r="Q313" t="n">
        <v>50.6</v>
      </c>
      <c r="R313" t="n">
        <v>47.7</v>
      </c>
      <c r="S313" t="n">
        <v>50.7</v>
      </c>
      <c r="U313" t="n">
        <v>47.7</v>
      </c>
      <c r="V313" t="n">
        <v>48.4</v>
      </c>
      <c r="AA313" t="n">
        <v>50.4</v>
      </c>
      <c r="AD313" t="n">
        <v>52.6</v>
      </c>
      <c r="AH313" t="n">
        <v>45.6</v>
      </c>
      <c r="AK313" t="n">
        <v>47.2</v>
      </c>
      <c r="AL313" t="n">
        <v>57.8</v>
      </c>
      <c r="AN313" t="n">
        <v>48.1</v>
      </c>
      <c r="AO313" t="n">
        <v>48.4</v>
      </c>
      <c r="AP313" t="n">
        <v>46.8</v>
      </c>
      <c r="AT313" t="n">
        <v>49.8</v>
      </c>
      <c r="AU313" t="n">
        <v>50</v>
      </c>
      <c r="AV313" t="n">
        <v>49</v>
      </c>
      <c r="AX313" t="n">
        <v>49.6</v>
      </c>
      <c r="AY313" t="n">
        <v>51.3</v>
      </c>
      <c r="AZ313" t="n">
        <v>50</v>
      </c>
    </row>
    <row r="314">
      <c r="A314" s="81" t="n">
        <v>43770</v>
      </c>
      <c r="B314" t="n">
        <v>48.1</v>
      </c>
      <c r="D314" t="n">
        <v>52.9</v>
      </c>
      <c r="E314" t="n">
        <v>51.4</v>
      </c>
      <c r="F314" t="n">
        <v>51.8</v>
      </c>
      <c r="H314" t="n">
        <v>43.5</v>
      </c>
      <c r="I314" t="n">
        <v>53</v>
      </c>
      <c r="K314" t="n">
        <v>46.9</v>
      </c>
      <c r="L314" t="n">
        <v>51.7</v>
      </c>
      <c r="M314" t="n">
        <v>44.1</v>
      </c>
      <c r="N314" t="n">
        <v>54.1</v>
      </c>
      <c r="O314" t="n">
        <v>38.5</v>
      </c>
      <c r="Q314" t="n">
        <v>51.2</v>
      </c>
      <c r="R314" t="n">
        <v>48.2</v>
      </c>
      <c r="S314" t="n">
        <v>49.7</v>
      </c>
      <c r="U314" t="n">
        <v>47.6</v>
      </c>
      <c r="V314" t="n">
        <v>48.9</v>
      </c>
      <c r="AA314" t="n">
        <v>48</v>
      </c>
      <c r="AD314" t="n">
        <v>51.4</v>
      </c>
      <c r="AH314" t="n">
        <v>46.7</v>
      </c>
      <c r="AK314" t="n">
        <v>45.6</v>
      </c>
      <c r="AL314" t="n">
        <v>58.3</v>
      </c>
      <c r="AN314" t="n">
        <v>47.7</v>
      </c>
      <c r="AO314" t="n">
        <v>49.4</v>
      </c>
      <c r="AP314" t="n">
        <v>47.5</v>
      </c>
      <c r="AT314" t="n">
        <v>49.8</v>
      </c>
      <c r="AU314" t="n">
        <v>49.3</v>
      </c>
      <c r="AV314" t="n">
        <v>49.5</v>
      </c>
      <c r="AX314" t="n">
        <v>48.9</v>
      </c>
      <c r="AY314" t="n">
        <v>52.6</v>
      </c>
      <c r="AZ314" t="n">
        <v>51</v>
      </c>
    </row>
    <row r="315">
      <c r="A315" s="81" t="n">
        <v>43800</v>
      </c>
      <c r="B315" t="n">
        <v>48.3</v>
      </c>
      <c r="D315" t="n">
        <v>50.2</v>
      </c>
      <c r="E315" t="n">
        <v>50.4</v>
      </c>
      <c r="F315" t="n">
        <v>51.5</v>
      </c>
      <c r="H315" t="n">
        <v>43.6</v>
      </c>
      <c r="I315" t="n">
        <v>50.7</v>
      </c>
      <c r="K315" t="n">
        <v>46.3</v>
      </c>
      <c r="L315" t="n">
        <v>50.4</v>
      </c>
      <c r="M315" t="n">
        <v>43.7</v>
      </c>
      <c r="N315" t="n">
        <v>53.9</v>
      </c>
      <c r="O315" t="n">
        <v>42.1</v>
      </c>
      <c r="Q315" t="n">
        <v>52.7</v>
      </c>
      <c r="R315" t="n">
        <v>49.5</v>
      </c>
      <c r="S315" t="n">
        <v>49.5</v>
      </c>
      <c r="U315" t="n">
        <v>46.2</v>
      </c>
      <c r="V315" t="n">
        <v>48.4</v>
      </c>
      <c r="AA315" t="n">
        <v>47.1</v>
      </c>
      <c r="AD315" t="n">
        <v>49.3</v>
      </c>
      <c r="AH315" t="n">
        <v>48</v>
      </c>
      <c r="AK315" t="n">
        <v>47.5</v>
      </c>
      <c r="AL315" t="n">
        <v>56.9</v>
      </c>
      <c r="AN315" t="n">
        <v>47.1</v>
      </c>
      <c r="AO315" t="n">
        <v>50.1</v>
      </c>
      <c r="AP315" t="n">
        <v>47.4</v>
      </c>
      <c r="AT315" t="n">
        <v>50.8</v>
      </c>
      <c r="AU315" t="n">
        <v>50.1</v>
      </c>
      <c r="AV315" t="n">
        <v>49.5</v>
      </c>
      <c r="AX315" t="n">
        <v>47.5</v>
      </c>
      <c r="AY315" t="n">
        <v>52.4</v>
      </c>
      <c r="AZ315" t="n">
        <v>50.8</v>
      </c>
    </row>
    <row r="316">
      <c r="A316" s="81" t="n">
        <v>43831</v>
      </c>
      <c r="B316" t="n">
        <v>45.4</v>
      </c>
      <c r="D316" t="n">
        <v>51</v>
      </c>
      <c r="E316" t="n">
        <v>50.6</v>
      </c>
      <c r="F316" t="n">
        <v>51.1</v>
      </c>
      <c r="H316" t="n">
        <v>45.2</v>
      </c>
      <c r="I316" t="n">
        <v>53.2</v>
      </c>
      <c r="K316" t="n">
        <v>47.9</v>
      </c>
      <c r="L316" t="n">
        <v>51.1</v>
      </c>
      <c r="M316" t="n">
        <v>45.3</v>
      </c>
      <c r="N316" t="n">
        <v>54.4</v>
      </c>
      <c r="O316" t="n">
        <v>46.8</v>
      </c>
      <c r="Q316" t="n">
        <v>55.3</v>
      </c>
      <c r="R316" t="n">
        <v>49.3</v>
      </c>
      <c r="S316" t="n">
        <v>51.4</v>
      </c>
      <c r="U316" t="n">
        <v>48.9</v>
      </c>
      <c r="V316" t="n">
        <v>48.8</v>
      </c>
      <c r="AA316" t="n">
        <v>49</v>
      </c>
      <c r="AD316" t="n">
        <v>49.6</v>
      </c>
      <c r="AH316" t="n">
        <v>47.4</v>
      </c>
      <c r="AK316" t="n">
        <v>47.9</v>
      </c>
      <c r="AL316" t="n">
        <v>54.9</v>
      </c>
      <c r="AN316" t="n">
        <v>45.2</v>
      </c>
      <c r="AO316" t="n">
        <v>49.8</v>
      </c>
      <c r="AP316" t="n">
        <v>48.5</v>
      </c>
      <c r="AT316" t="n">
        <v>51.8</v>
      </c>
      <c r="AU316" t="n">
        <v>49.9</v>
      </c>
      <c r="AV316" t="n">
        <v>51.3</v>
      </c>
      <c r="AX316" t="n">
        <v>50</v>
      </c>
      <c r="AY316" t="n">
        <v>51.9</v>
      </c>
      <c r="AZ316" t="n">
        <v>50.6</v>
      </c>
    </row>
    <row r="317">
      <c r="A317" s="81" t="n">
        <v>43862</v>
      </c>
      <c r="B317" t="n">
        <v>44.3</v>
      </c>
      <c r="D317" t="n">
        <v>52.3</v>
      </c>
      <c r="E317" t="n">
        <v>51.8</v>
      </c>
      <c r="F317" t="n">
        <v>40.3</v>
      </c>
      <c r="H317" t="n">
        <v>46.5</v>
      </c>
      <c r="I317" t="n">
        <v>49.2</v>
      </c>
      <c r="K317" t="n">
        <v>49.2</v>
      </c>
      <c r="L317" t="n">
        <v>49.8</v>
      </c>
      <c r="M317" t="n">
        <v>48</v>
      </c>
      <c r="N317" t="n">
        <v>56.2</v>
      </c>
      <c r="O317" t="n">
        <v>33.1</v>
      </c>
      <c r="Q317" t="n">
        <v>54.5</v>
      </c>
      <c r="R317" t="n">
        <v>51.9</v>
      </c>
      <c r="S317" t="n">
        <v>51.2</v>
      </c>
      <c r="U317" t="n">
        <v>48.7</v>
      </c>
      <c r="V317" t="n">
        <v>47.8</v>
      </c>
      <c r="AA317" t="n">
        <v>50</v>
      </c>
      <c r="AD317" t="n">
        <v>53.2</v>
      </c>
      <c r="AH317" t="n">
        <v>48.2</v>
      </c>
      <c r="AK317" t="n">
        <v>48.2</v>
      </c>
      <c r="AL317" t="n">
        <v>52.5</v>
      </c>
      <c r="AN317" t="n">
        <v>44.3</v>
      </c>
      <c r="AO317" t="n">
        <v>48.7</v>
      </c>
      <c r="AP317" t="n">
        <v>50.4</v>
      </c>
      <c r="AT317" t="n">
        <v>49.9</v>
      </c>
      <c r="AU317" t="n">
        <v>49.5</v>
      </c>
      <c r="AV317" t="n">
        <v>52.4</v>
      </c>
      <c r="AX317" t="n">
        <v>51.7</v>
      </c>
      <c r="AY317" t="n">
        <v>50.7</v>
      </c>
      <c r="AZ317" t="n">
        <v>49</v>
      </c>
    </row>
    <row r="318">
      <c r="A318" s="81" t="n">
        <v>43891</v>
      </c>
      <c r="B318" t="n">
        <v>53.7</v>
      </c>
      <c r="D318" t="n">
        <v>48.4</v>
      </c>
      <c r="E318" t="n">
        <v>46.1</v>
      </c>
      <c r="F318" t="n">
        <v>50.1</v>
      </c>
      <c r="H318" t="n">
        <v>41.3</v>
      </c>
      <c r="I318" t="n">
        <v>46.8</v>
      </c>
      <c r="K318" t="n">
        <v>44.5</v>
      </c>
      <c r="L318" t="n">
        <v>43.2</v>
      </c>
      <c r="M318" t="n">
        <v>45.4</v>
      </c>
      <c r="N318" t="n">
        <v>42.5</v>
      </c>
      <c r="O318" t="n">
        <v>34.9</v>
      </c>
      <c r="Q318" t="n">
        <v>51.8</v>
      </c>
      <c r="R318" t="n">
        <v>45.3</v>
      </c>
      <c r="S318" t="n">
        <v>45.1</v>
      </c>
      <c r="U318" t="n">
        <v>40.3</v>
      </c>
      <c r="V318" t="n">
        <v>44.2</v>
      </c>
      <c r="AA318" t="n">
        <v>46.9</v>
      </c>
      <c r="AD318" t="n">
        <v>38</v>
      </c>
      <c r="AH318" t="n">
        <v>42.4</v>
      </c>
      <c r="AK318" t="n">
        <v>47.5</v>
      </c>
      <c r="AL318" t="n">
        <v>42.4</v>
      </c>
      <c r="AN318" t="n">
        <v>48.1</v>
      </c>
      <c r="AO318" t="n">
        <v>44.2</v>
      </c>
      <c r="AP318" t="n">
        <v>45.7</v>
      </c>
      <c r="AT318" t="n">
        <v>50.4</v>
      </c>
      <c r="AU318" t="n">
        <v>46.7</v>
      </c>
      <c r="AV318" t="n">
        <v>48.1</v>
      </c>
      <c r="AX318" t="n">
        <v>47.8</v>
      </c>
      <c r="AY318" t="n">
        <v>48.5</v>
      </c>
      <c r="AZ318" t="n">
        <v>41.9</v>
      </c>
    </row>
    <row r="319">
      <c r="A319" s="81" t="n">
        <v>43922</v>
      </c>
      <c r="B319" t="n">
        <v>35.8</v>
      </c>
      <c r="D319" t="n">
        <v>36</v>
      </c>
      <c r="E319" t="n">
        <v>33</v>
      </c>
      <c r="F319" t="n">
        <v>49.4</v>
      </c>
      <c r="H319" t="n">
        <v>35.1</v>
      </c>
      <c r="I319" t="n">
        <v>38.6</v>
      </c>
      <c r="K319" t="n">
        <v>33.4</v>
      </c>
      <c r="L319" t="n">
        <v>31.5</v>
      </c>
      <c r="M319" t="n">
        <v>34.5</v>
      </c>
      <c r="N319" t="n">
        <v>29.5</v>
      </c>
      <c r="O319" t="n">
        <v>36.9</v>
      </c>
      <c r="Q319" t="n">
        <v>27.4</v>
      </c>
      <c r="R319" t="n">
        <v>27.5</v>
      </c>
      <c r="S319" t="n">
        <v>36</v>
      </c>
      <c r="U319" t="n">
        <v>31.1</v>
      </c>
      <c r="V319" t="n">
        <v>41.9</v>
      </c>
      <c r="AA319" t="n">
        <v>35</v>
      </c>
      <c r="AD319" t="n">
        <v>26.1</v>
      </c>
      <c r="AH319" t="n">
        <v>31.9</v>
      </c>
      <c r="AK319" t="n">
        <v>31.3</v>
      </c>
      <c r="AL319" t="n">
        <v>44.4</v>
      </c>
      <c r="AN319" t="n">
        <v>46.1</v>
      </c>
      <c r="AO319" t="n">
        <v>41.6</v>
      </c>
      <c r="AP319" t="n">
        <v>30.8</v>
      </c>
      <c r="AT319" t="n">
        <v>42.2</v>
      </c>
      <c r="AU319" t="n">
        <v>36.8</v>
      </c>
      <c r="AV319" t="n">
        <v>33.4</v>
      </c>
      <c r="AX319" t="n">
        <v>32.6</v>
      </c>
      <c r="AY319" t="n">
        <v>36.1</v>
      </c>
      <c r="AZ319" t="n">
        <v>32.7</v>
      </c>
    </row>
    <row r="320">
      <c r="A320" s="81" t="n">
        <v>43952</v>
      </c>
      <c r="B320" t="n">
        <v>41.6</v>
      </c>
      <c r="D320" t="n">
        <v>38.3</v>
      </c>
      <c r="E320" t="n">
        <v>40.6</v>
      </c>
      <c r="F320" t="n">
        <v>50.7</v>
      </c>
      <c r="H320" t="n">
        <v>39.6</v>
      </c>
      <c r="I320" t="n">
        <v>54</v>
      </c>
      <c r="K320" t="n">
        <v>39.4</v>
      </c>
      <c r="L320" t="n">
        <v>40.6</v>
      </c>
      <c r="M320" t="n">
        <v>36.6</v>
      </c>
      <c r="N320" t="n">
        <v>41.1</v>
      </c>
      <c r="O320" t="n">
        <v>43.9</v>
      </c>
      <c r="Q320" t="n">
        <v>30.8</v>
      </c>
      <c r="R320" t="n">
        <v>28.6</v>
      </c>
      <c r="S320" t="n">
        <v>39.2</v>
      </c>
      <c r="U320" t="n">
        <v>45.4</v>
      </c>
      <c r="V320" t="n">
        <v>38.4</v>
      </c>
      <c r="AA320" t="n">
        <v>38.3</v>
      </c>
      <c r="AD320" t="n">
        <v>39.7</v>
      </c>
      <c r="AH320" t="n">
        <v>40.6</v>
      </c>
      <c r="AK320" t="n">
        <v>36.2</v>
      </c>
      <c r="AL320" t="n">
        <v>48.1</v>
      </c>
      <c r="AN320" t="n">
        <v>50.2</v>
      </c>
      <c r="AO320" t="n">
        <v>41.3</v>
      </c>
      <c r="AP320" t="n">
        <v>38.3</v>
      </c>
      <c r="AT320" t="n">
        <v>41.9</v>
      </c>
      <c r="AU320" t="n">
        <v>41.6</v>
      </c>
      <c r="AV320" t="n">
        <v>40.9</v>
      </c>
      <c r="AX320" t="n">
        <v>40.7</v>
      </c>
      <c r="AY320" t="n">
        <v>39.8</v>
      </c>
      <c r="AZ320" t="n">
        <v>42.7</v>
      </c>
    </row>
    <row r="321">
      <c r="A321" s="81" t="n">
        <v>43983</v>
      </c>
      <c r="B321" t="n">
        <v>51.5</v>
      </c>
      <c r="D321" t="n">
        <v>51.6</v>
      </c>
      <c r="E321" t="n">
        <v>47.8</v>
      </c>
      <c r="F321" t="n">
        <v>51.2</v>
      </c>
      <c r="H321" t="n">
        <v>44.9</v>
      </c>
      <c r="I321" t="n">
        <v>52.2</v>
      </c>
      <c r="K321" t="n">
        <v>47.4</v>
      </c>
      <c r="L321" t="n">
        <v>52.3</v>
      </c>
      <c r="M321" t="n">
        <v>45.2</v>
      </c>
      <c r="N321" t="n">
        <v>49.4</v>
      </c>
      <c r="O321" t="n">
        <v>49.6</v>
      </c>
      <c r="Q321" t="n">
        <v>47.2</v>
      </c>
      <c r="R321" t="n">
        <v>39.1</v>
      </c>
      <c r="S321" t="n">
        <v>51</v>
      </c>
      <c r="U321" t="n">
        <v>47.5</v>
      </c>
      <c r="V321" t="n">
        <v>40.1</v>
      </c>
      <c r="AA321" t="n">
        <v>38.6</v>
      </c>
      <c r="AD321" t="n">
        <v>56.3</v>
      </c>
      <c r="AH321" t="n">
        <v>47.2</v>
      </c>
      <c r="AK321" t="n">
        <v>49.4</v>
      </c>
      <c r="AL321" t="n">
        <v>47.7</v>
      </c>
      <c r="AN321" t="n">
        <v>53.9</v>
      </c>
      <c r="AO321" t="n">
        <v>43.4</v>
      </c>
      <c r="AP321" t="n">
        <v>49</v>
      </c>
      <c r="AT321" t="n">
        <v>46.2</v>
      </c>
      <c r="AU321" t="n">
        <v>43.5</v>
      </c>
      <c r="AV321" t="n">
        <v>53.9</v>
      </c>
      <c r="AX321" t="n">
        <v>50.1</v>
      </c>
      <c r="AY321" t="n">
        <v>49.8</v>
      </c>
      <c r="AZ321" t="n">
        <v>51.1</v>
      </c>
    </row>
    <row r="322">
      <c r="A322" s="81" t="n">
        <v>44013</v>
      </c>
      <c r="B322" t="n">
        <v>53.5</v>
      </c>
      <c r="D322" t="n">
        <v>58.2</v>
      </c>
      <c r="E322" t="n">
        <v>52.9</v>
      </c>
      <c r="F322" t="n">
        <v>52.8</v>
      </c>
      <c r="H322" t="n">
        <v>47</v>
      </c>
      <c r="I322" t="n">
        <v>57.4</v>
      </c>
      <c r="K322" t="n">
        <v>51.8</v>
      </c>
      <c r="L322" t="n">
        <v>52.4</v>
      </c>
      <c r="M322" t="n">
        <v>51</v>
      </c>
      <c r="N322" t="n">
        <v>48.6</v>
      </c>
      <c r="O322" t="n">
        <v>44.5</v>
      </c>
      <c r="Q322" t="n">
        <v>46</v>
      </c>
      <c r="R322" t="n">
        <v>46.9</v>
      </c>
      <c r="S322" t="n">
        <v>57.3</v>
      </c>
      <c r="U322" t="n">
        <v>51.9</v>
      </c>
      <c r="V322" t="n">
        <v>45.2</v>
      </c>
      <c r="AA322" t="n">
        <v>40.4</v>
      </c>
      <c r="AD322" t="n">
        <v>59</v>
      </c>
      <c r="AH322" t="n">
        <v>52.8</v>
      </c>
      <c r="AK322" t="n">
        <v>48.4</v>
      </c>
      <c r="AL322" t="n">
        <v>48.8</v>
      </c>
      <c r="AN322" t="n">
        <v>51.2</v>
      </c>
      <c r="AO322" t="n">
        <v>46.9</v>
      </c>
      <c r="AP322" t="n">
        <v>53.5</v>
      </c>
      <c r="AT322" t="n">
        <v>50.6</v>
      </c>
      <c r="AU322" t="n">
        <v>45.9</v>
      </c>
      <c r="AV322" t="n">
        <v>56.9</v>
      </c>
      <c r="AX322" t="n">
        <v>53.3</v>
      </c>
      <c r="AY322" t="n">
        <v>50.9</v>
      </c>
      <c r="AZ322" t="n">
        <v>47.6</v>
      </c>
    </row>
    <row r="323">
      <c r="A323" s="81" t="n">
        <v>44044</v>
      </c>
      <c r="B323" t="n">
        <v>49.3</v>
      </c>
      <c r="D323" t="n">
        <v>64.7</v>
      </c>
      <c r="E323" t="n">
        <v>55.1</v>
      </c>
      <c r="F323" t="n">
        <v>53.1</v>
      </c>
      <c r="H323" t="n">
        <v>49.1</v>
      </c>
      <c r="I323" t="n">
        <v>52.3</v>
      </c>
      <c r="K323" t="n">
        <v>51.7</v>
      </c>
      <c r="L323" t="n">
        <v>49.8</v>
      </c>
      <c r="M323" t="n">
        <v>52.2</v>
      </c>
      <c r="N323" t="n">
        <v>49.4</v>
      </c>
      <c r="O323" t="n">
        <v>44</v>
      </c>
      <c r="Q323" t="n">
        <v>52</v>
      </c>
      <c r="R323" t="n">
        <v>50.8</v>
      </c>
      <c r="S323" t="n">
        <v>52.3</v>
      </c>
      <c r="U323" t="n">
        <v>53.1</v>
      </c>
      <c r="V323" t="n">
        <v>47.2</v>
      </c>
      <c r="AA323" t="n">
        <v>41.3</v>
      </c>
      <c r="AD323" t="n">
        <v>51</v>
      </c>
      <c r="AH323" t="n">
        <v>50.6</v>
      </c>
      <c r="AK323" t="n">
        <v>51.1</v>
      </c>
      <c r="AL323" t="n">
        <v>50</v>
      </c>
      <c r="AN323" t="n">
        <v>57.3</v>
      </c>
      <c r="AO323" t="n">
        <v>48.5</v>
      </c>
      <c r="AP323" t="n">
        <v>49.9</v>
      </c>
      <c r="AT323" t="n">
        <v>52.2</v>
      </c>
      <c r="AU323" t="n">
        <v>49.7</v>
      </c>
      <c r="AV323" t="n">
        <v>54.3</v>
      </c>
      <c r="AX323" t="n">
        <v>55.2</v>
      </c>
      <c r="AY323" t="n">
        <v>53.1</v>
      </c>
      <c r="AZ323" t="n">
        <v>45.7</v>
      </c>
    </row>
    <row r="324">
      <c r="A324" s="81" t="n">
        <v>44075</v>
      </c>
      <c r="B324" t="n">
        <v>46.7</v>
      </c>
      <c r="D324" t="n">
        <v>64.90000000000001</v>
      </c>
      <c r="E324" t="n">
        <v>56</v>
      </c>
      <c r="F324" t="n">
        <v>53</v>
      </c>
      <c r="H324" t="n">
        <v>50.7</v>
      </c>
      <c r="I324" t="n">
        <v>54.4</v>
      </c>
      <c r="K324" t="n">
        <v>53.7</v>
      </c>
      <c r="L324" t="n">
        <v>51.2</v>
      </c>
      <c r="M324" t="n">
        <v>56.4</v>
      </c>
      <c r="N324" t="n">
        <v>50</v>
      </c>
      <c r="O324" t="n">
        <v>47.7</v>
      </c>
      <c r="Q324" t="n">
        <v>56.8</v>
      </c>
      <c r="R324" t="n">
        <v>47.2</v>
      </c>
      <c r="S324" t="n">
        <v>50</v>
      </c>
      <c r="U324" t="n">
        <v>53.2</v>
      </c>
      <c r="V324" t="n">
        <v>47.7</v>
      </c>
      <c r="AA324" t="n">
        <v>42.1</v>
      </c>
      <c r="AD324" t="n">
        <v>54</v>
      </c>
      <c r="AH324" t="n">
        <v>50.8</v>
      </c>
      <c r="AK324" t="n">
        <v>48.9</v>
      </c>
      <c r="AL324" t="n">
        <v>50.7</v>
      </c>
      <c r="AN324" t="n">
        <v>58.3</v>
      </c>
      <c r="AO324" t="n">
        <v>49.8</v>
      </c>
      <c r="AP324" t="n">
        <v>50.8</v>
      </c>
      <c r="AT324" t="n">
        <v>55.2</v>
      </c>
      <c r="AU324" t="n">
        <v>49.9</v>
      </c>
      <c r="AV324" t="n">
        <v>52.8</v>
      </c>
      <c r="AX324" t="n">
        <v>54.1</v>
      </c>
      <c r="AY324" t="n">
        <v>53.2</v>
      </c>
      <c r="AZ324" t="n">
        <v>52.2</v>
      </c>
    </row>
    <row r="325">
      <c r="A325" s="81" t="n">
        <v>44105</v>
      </c>
      <c r="B325" t="n">
        <v>56.3</v>
      </c>
      <c r="D325" t="n">
        <v>66.7</v>
      </c>
      <c r="E325" t="n">
        <v>55.5</v>
      </c>
      <c r="F325" t="n">
        <v>53.6</v>
      </c>
      <c r="H325" t="n">
        <v>51.9</v>
      </c>
      <c r="I325" t="n">
        <v>61.8</v>
      </c>
      <c r="K325" t="n">
        <v>54.8</v>
      </c>
      <c r="L325" t="n">
        <v>51.3</v>
      </c>
      <c r="M325" t="n">
        <v>58.2</v>
      </c>
      <c r="N325" t="n">
        <v>48.7</v>
      </c>
      <c r="O325" t="n">
        <v>49.8</v>
      </c>
      <c r="Q325" t="n">
        <v>58.9</v>
      </c>
      <c r="R325" t="n">
        <v>47.8</v>
      </c>
      <c r="S325" t="n">
        <v>50.3</v>
      </c>
      <c r="U325" t="n">
        <v>53.8</v>
      </c>
      <c r="V325" t="n">
        <v>48.7</v>
      </c>
      <c r="AA325" t="n">
        <v>43.6</v>
      </c>
      <c r="AD325" t="n">
        <v>51.7</v>
      </c>
      <c r="AH325" t="n">
        <v>50.8</v>
      </c>
      <c r="AK325" t="n">
        <v>46.9</v>
      </c>
      <c r="AL325" t="n">
        <v>51</v>
      </c>
      <c r="AN325" t="n">
        <v>60.9</v>
      </c>
      <c r="AO325" t="n">
        <v>51.2</v>
      </c>
      <c r="AP325" t="n">
        <v>52.5</v>
      </c>
      <c r="AT325" t="n">
        <v>55.1</v>
      </c>
      <c r="AU325" t="n">
        <v>50.8</v>
      </c>
      <c r="AV325" t="n">
        <v>53.9</v>
      </c>
      <c r="AX325" t="n">
        <v>53.7</v>
      </c>
      <c r="AY325" t="n">
        <v>53.4</v>
      </c>
      <c r="AZ325" t="n">
        <v>51.8</v>
      </c>
    </row>
    <row r="326">
      <c r="A326" s="81" t="n">
        <v>44136</v>
      </c>
      <c r="B326" t="n">
        <v>52.1</v>
      </c>
      <c r="D326" t="n">
        <v>64</v>
      </c>
      <c r="E326" t="n">
        <v>55.8</v>
      </c>
      <c r="F326" t="n">
        <v>54.9</v>
      </c>
      <c r="H326" t="n">
        <v>53.9</v>
      </c>
      <c r="I326" t="n">
        <v>47.7</v>
      </c>
      <c r="K326" t="n">
        <v>53.8</v>
      </c>
      <c r="L326" t="n">
        <v>49.6</v>
      </c>
      <c r="M326" t="n">
        <v>57.8</v>
      </c>
      <c r="N326" t="n">
        <v>42.3</v>
      </c>
      <c r="O326" t="n">
        <v>50.1</v>
      </c>
      <c r="Q326" t="n">
        <v>56.3</v>
      </c>
      <c r="R326" t="n">
        <v>50.6</v>
      </c>
      <c r="S326" t="n">
        <v>52.2</v>
      </c>
      <c r="U326" t="n">
        <v>51.5</v>
      </c>
      <c r="V326" t="n">
        <v>49</v>
      </c>
      <c r="AA326" t="n">
        <v>43.7</v>
      </c>
      <c r="AD326" t="n">
        <v>55.3</v>
      </c>
      <c r="AH326" t="n">
        <v>50.8</v>
      </c>
      <c r="AK326" t="n">
        <v>46.3</v>
      </c>
      <c r="AL326" t="n">
        <v>54.7</v>
      </c>
      <c r="AN326" t="n">
        <v>52.6</v>
      </c>
      <c r="AO326" t="n">
        <v>52.9</v>
      </c>
      <c r="AP326" t="n">
        <v>49.8</v>
      </c>
      <c r="AT326" t="n">
        <v>56.9</v>
      </c>
      <c r="AU326" t="n">
        <v>50.4</v>
      </c>
      <c r="AV326" t="n">
        <v>51.4</v>
      </c>
      <c r="AX326" t="n">
        <v>55.6</v>
      </c>
      <c r="AY326" t="n">
        <v>56.7</v>
      </c>
      <c r="AZ326" t="n">
        <v>49.9</v>
      </c>
    </row>
    <row r="327">
      <c r="A327" s="81" t="n">
        <v>44166</v>
      </c>
      <c r="B327" t="n">
        <v>55.3</v>
      </c>
      <c r="D327" t="n">
        <v>61.5</v>
      </c>
      <c r="E327" t="n">
        <v>57.9</v>
      </c>
      <c r="F327" t="n">
        <v>53</v>
      </c>
      <c r="H327" t="n">
        <v>57</v>
      </c>
      <c r="I327" t="n">
        <v>41.9</v>
      </c>
      <c r="K327" t="n">
        <v>55.2</v>
      </c>
      <c r="L327" t="n">
        <v>51.1</v>
      </c>
      <c r="M327" t="n">
        <v>58.3</v>
      </c>
      <c r="N327" t="n">
        <v>46.9</v>
      </c>
      <c r="O327" t="n">
        <v>43.5</v>
      </c>
      <c r="Q327" t="n">
        <v>56.4</v>
      </c>
      <c r="R327" t="n">
        <v>51.3</v>
      </c>
      <c r="S327" t="n">
        <v>57.2</v>
      </c>
      <c r="U327" t="n">
        <v>52.8</v>
      </c>
      <c r="V327" t="n">
        <v>50</v>
      </c>
      <c r="AA327" t="n">
        <v>42.4</v>
      </c>
      <c r="AD327" t="n">
        <v>48.7</v>
      </c>
      <c r="AH327" t="n">
        <v>51.7</v>
      </c>
      <c r="AK327" t="n">
        <v>49.7</v>
      </c>
      <c r="AL327" t="n">
        <v>57</v>
      </c>
      <c r="AN327" t="n">
        <v>50.3</v>
      </c>
      <c r="AO327" t="n">
        <v>52.9</v>
      </c>
      <c r="AP327" t="n">
        <v>51</v>
      </c>
      <c r="AT327" t="n">
        <v>59.4</v>
      </c>
      <c r="AU327" t="n">
        <v>50.8</v>
      </c>
      <c r="AV327" t="n">
        <v>50.8</v>
      </c>
      <c r="AX327" t="n">
        <v>57.5</v>
      </c>
      <c r="AY327" t="n">
        <v>57.1</v>
      </c>
      <c r="AZ327" t="n">
        <v>51.7</v>
      </c>
    </row>
    <row r="328">
      <c r="A328" s="81" t="n">
        <v>44197</v>
      </c>
      <c r="B328" t="n">
        <v>55.3</v>
      </c>
      <c r="D328" t="n">
        <v>56.5</v>
      </c>
      <c r="E328" t="n">
        <v>54.4</v>
      </c>
      <c r="F328" t="n">
        <v>51.5</v>
      </c>
      <c r="H328" t="n">
        <v>57</v>
      </c>
      <c r="I328" t="n">
        <v>42.1</v>
      </c>
      <c r="K328" t="n">
        <v>54.8</v>
      </c>
      <c r="L328" t="n">
        <v>51.6</v>
      </c>
      <c r="M328" t="n">
        <v>57.1</v>
      </c>
      <c r="N328" t="n">
        <v>50</v>
      </c>
      <c r="O328" t="n">
        <v>47.8</v>
      </c>
      <c r="Q328" t="n">
        <v>57.7</v>
      </c>
      <c r="R328" t="n">
        <v>52.2</v>
      </c>
      <c r="S328" t="n">
        <v>51.8</v>
      </c>
      <c r="U328" t="n">
        <v>55.1</v>
      </c>
      <c r="V328" t="n">
        <v>49.8</v>
      </c>
      <c r="AA328" t="n">
        <v>43</v>
      </c>
      <c r="AD328" t="n">
        <v>58.05</v>
      </c>
      <c r="AH328" t="n">
        <v>51.9</v>
      </c>
      <c r="AK328" t="n">
        <v>50.9</v>
      </c>
      <c r="AL328" t="n">
        <v>57.1</v>
      </c>
      <c r="AN328" t="n">
        <v>50.3</v>
      </c>
      <c r="AO328" t="n">
        <v>53.2</v>
      </c>
      <c r="AP328" t="n">
        <v>49.3</v>
      </c>
      <c r="AT328" t="n">
        <v>60.2</v>
      </c>
      <c r="AU328" t="n">
        <v>49</v>
      </c>
      <c r="AV328" t="n">
        <v>54.4</v>
      </c>
      <c r="AX328" t="n">
        <v>54.1</v>
      </c>
      <c r="AY328" t="n">
        <v>59.2</v>
      </c>
      <c r="AZ328" t="n">
        <v>51.3</v>
      </c>
    </row>
    <row r="329">
      <c r="A329" s="81" t="n">
        <v>44228</v>
      </c>
      <c r="B329" t="n">
        <v>58.8</v>
      </c>
      <c r="D329" t="n">
        <v>58.4</v>
      </c>
      <c r="E329" t="n">
        <v>54.8</v>
      </c>
      <c r="F329" t="n">
        <v>50.9</v>
      </c>
      <c r="H329" t="n">
        <v>56.5</v>
      </c>
      <c r="I329" t="n">
        <v>40.8</v>
      </c>
      <c r="K329" t="n">
        <v>57.9</v>
      </c>
      <c r="L329" t="n">
        <v>56.1</v>
      </c>
      <c r="M329" t="n">
        <v>60.7</v>
      </c>
      <c r="N329" t="n">
        <v>49.4</v>
      </c>
      <c r="O329" t="n">
        <v>50.2</v>
      </c>
      <c r="Q329" t="n">
        <v>57.5</v>
      </c>
      <c r="R329" t="n">
        <v>50.9</v>
      </c>
      <c r="S329" t="n">
        <v>52</v>
      </c>
      <c r="U329" t="n">
        <v>56.9</v>
      </c>
      <c r="V329" t="n">
        <v>51.4</v>
      </c>
      <c r="AA329" t="n">
        <v>44.2</v>
      </c>
      <c r="AD329" t="n">
        <v>54.21</v>
      </c>
      <c r="AH329" t="n">
        <v>53.4</v>
      </c>
      <c r="AK329" t="n">
        <v>51.5</v>
      </c>
      <c r="AL329" t="n">
        <v>53.9</v>
      </c>
      <c r="AN329" t="n">
        <v>53</v>
      </c>
      <c r="AO329" t="n">
        <v>55.3</v>
      </c>
      <c r="AP329" t="n">
        <v>52.9</v>
      </c>
      <c r="AT329" t="n">
        <v>60.4</v>
      </c>
      <c r="AU329" t="n">
        <v>47.2</v>
      </c>
      <c r="AV329" t="n">
        <v>51.7</v>
      </c>
      <c r="AX329" t="n">
        <v>55.1</v>
      </c>
      <c r="AY329" t="n">
        <v>58.6</v>
      </c>
      <c r="AZ329" t="n">
        <v>51.6</v>
      </c>
    </row>
    <row r="330">
      <c r="A330" s="81" t="n">
        <v>44256</v>
      </c>
      <c r="B330" t="n">
        <v>59.9</v>
      </c>
      <c r="D330" t="n">
        <v>52.8</v>
      </c>
      <c r="E330" t="n">
        <v>58.5</v>
      </c>
      <c r="F330" t="n">
        <v>50.6</v>
      </c>
      <c r="H330" t="n">
        <v>58</v>
      </c>
      <c r="I330" t="n">
        <v>67.59999999999999</v>
      </c>
      <c r="K330" t="n">
        <v>62.5</v>
      </c>
      <c r="L330" t="n">
        <v>59.3</v>
      </c>
      <c r="M330" t="n">
        <v>66.59999999999999</v>
      </c>
      <c r="N330" t="n">
        <v>51.8</v>
      </c>
      <c r="O330" t="n">
        <v>50.5</v>
      </c>
      <c r="Q330" t="n">
        <v>55.4</v>
      </c>
      <c r="R330" t="n">
        <v>53.2</v>
      </c>
      <c r="S330" t="n">
        <v>57.1</v>
      </c>
      <c r="U330" t="n">
        <v>59.8</v>
      </c>
      <c r="V330" t="n">
        <v>52.7</v>
      </c>
      <c r="AA330" t="n">
        <v>45.6</v>
      </c>
      <c r="AD330" t="n">
        <v>63.6</v>
      </c>
      <c r="AH330" t="n">
        <v>54.3</v>
      </c>
      <c r="AK330" t="n">
        <v>51.1</v>
      </c>
      <c r="AL330" t="n">
        <v>53.3</v>
      </c>
      <c r="AN330" t="n">
        <v>57.4</v>
      </c>
      <c r="AO330" t="n">
        <v>55.3</v>
      </c>
      <c r="AP330" t="n">
        <v>56.9</v>
      </c>
      <c r="AT330" t="n">
        <v>60.8</v>
      </c>
      <c r="AU330" t="n">
        <v>48.8</v>
      </c>
      <c r="AV330" t="n">
        <v>52.6</v>
      </c>
      <c r="AX330" t="n">
        <v>58.9</v>
      </c>
      <c r="AY330" t="n">
        <v>59.1</v>
      </c>
      <c r="AZ330" t="n">
        <v>53.6</v>
      </c>
    </row>
    <row r="331">
      <c r="A331" s="81" t="n">
        <v>44287</v>
      </c>
      <c r="B331" t="n">
        <v>61.7</v>
      </c>
      <c r="D331" t="n">
        <v>52.3</v>
      </c>
      <c r="E331" t="n">
        <v>57.2</v>
      </c>
      <c r="F331" t="n">
        <v>51.9</v>
      </c>
      <c r="H331" t="n">
        <v>58.9</v>
      </c>
      <c r="I331" t="n">
        <v>72</v>
      </c>
      <c r="K331" t="n">
        <v>62.9</v>
      </c>
      <c r="L331" t="n">
        <v>58.9</v>
      </c>
      <c r="M331" t="n">
        <v>66.2</v>
      </c>
      <c r="N331" t="n">
        <v>54.4</v>
      </c>
      <c r="O331" t="n">
        <v>50.3</v>
      </c>
      <c r="Q331" t="n">
        <v>55.5</v>
      </c>
      <c r="R331" t="n">
        <v>54.6</v>
      </c>
      <c r="S331" t="n">
        <v>60.8</v>
      </c>
      <c r="U331" t="n">
        <v>60.7</v>
      </c>
      <c r="V331" t="n">
        <v>53.6</v>
      </c>
      <c r="AA331" t="n">
        <v>48.4</v>
      </c>
      <c r="AD331" t="n">
        <v>58.3</v>
      </c>
      <c r="AH331" t="n">
        <v>53.7</v>
      </c>
      <c r="AK331" t="n">
        <v>50.4</v>
      </c>
      <c r="AL331" t="n">
        <v>55.2</v>
      </c>
      <c r="AN331" t="n">
        <v>56.2</v>
      </c>
      <c r="AO331" t="n">
        <v>54.6</v>
      </c>
      <c r="AP331" t="n">
        <v>57.7</v>
      </c>
      <c r="AT331" t="n">
        <v>62.4</v>
      </c>
      <c r="AU331" t="n">
        <v>50.7</v>
      </c>
      <c r="AV331" t="n">
        <v>50.4</v>
      </c>
      <c r="AX331" t="n">
        <v>60.9</v>
      </c>
      <c r="AY331" t="n">
        <v>60.5</v>
      </c>
      <c r="AZ331" t="n">
        <v>54.7</v>
      </c>
    </row>
    <row r="332">
      <c r="A332" s="81" t="n">
        <v>44317</v>
      </c>
      <c r="B332" t="n">
        <v>61.8</v>
      </c>
      <c r="D332" t="n">
        <v>53.7</v>
      </c>
      <c r="E332" t="n">
        <v>57</v>
      </c>
      <c r="F332" t="n">
        <v>52</v>
      </c>
      <c r="H332" t="n">
        <v>61.8</v>
      </c>
      <c r="I332" t="n">
        <v>67.7</v>
      </c>
      <c r="K332" t="n">
        <v>63.1</v>
      </c>
      <c r="L332" t="n">
        <v>59.4</v>
      </c>
      <c r="M332" t="n">
        <v>64.40000000000001</v>
      </c>
      <c r="N332" t="n">
        <v>58</v>
      </c>
      <c r="O332" t="n">
        <v>52.5</v>
      </c>
      <c r="Q332" t="n">
        <v>50.8</v>
      </c>
      <c r="R332" t="n">
        <v>55.3</v>
      </c>
      <c r="S332" t="n">
        <v>64.09999999999999</v>
      </c>
      <c r="U332" t="n">
        <v>62.3</v>
      </c>
      <c r="V332" t="n">
        <v>53</v>
      </c>
      <c r="AA332" t="n">
        <v>47.6</v>
      </c>
      <c r="AD332" t="n">
        <v>58.6</v>
      </c>
      <c r="AH332" t="n">
        <v>57.2</v>
      </c>
      <c r="AK332" t="n">
        <v>51.9</v>
      </c>
      <c r="AL332" t="n">
        <v>56.4</v>
      </c>
      <c r="AN332" t="n">
        <v>57.8</v>
      </c>
      <c r="AO332" t="n">
        <v>53.7</v>
      </c>
      <c r="AP332" t="n">
        <v>59.4</v>
      </c>
      <c r="AT332" t="n">
        <v>62</v>
      </c>
      <c r="AU332" t="n">
        <v>47.8</v>
      </c>
      <c r="AV332" t="n">
        <v>49.3</v>
      </c>
      <c r="AX332" t="n">
        <v>65.59999999999999</v>
      </c>
      <c r="AY332" t="n">
        <v>62.6</v>
      </c>
      <c r="AZ332" t="n">
        <v>53.1</v>
      </c>
    </row>
    <row r="333">
      <c r="A333" s="81" t="n">
        <v>44348</v>
      </c>
      <c r="B333" t="n">
        <v>63.2</v>
      </c>
      <c r="D333" t="n">
        <v>56.4</v>
      </c>
      <c r="E333" t="n">
        <v>56.5</v>
      </c>
      <c r="F333" t="n">
        <v>51.3</v>
      </c>
      <c r="H333" t="n">
        <v>62.7</v>
      </c>
      <c r="I333" t="n">
        <v>62.1</v>
      </c>
      <c r="K333" t="n">
        <v>63.4</v>
      </c>
      <c r="L333" t="n">
        <v>59</v>
      </c>
      <c r="M333" t="n">
        <v>65.09999999999999</v>
      </c>
      <c r="N333" t="n">
        <v>58.6</v>
      </c>
      <c r="O333" t="n">
        <v>51.4</v>
      </c>
      <c r="Q333" t="n">
        <v>48.1</v>
      </c>
      <c r="R333" t="n">
        <v>53.5</v>
      </c>
      <c r="S333" t="n">
        <v>64</v>
      </c>
      <c r="U333" t="n">
        <v>62.2</v>
      </c>
      <c r="V333" t="n">
        <v>52.4</v>
      </c>
      <c r="AA333" t="n">
        <v>48.8</v>
      </c>
      <c r="AD333" t="n">
        <v>60.9</v>
      </c>
      <c r="AH333" t="n">
        <v>59.4</v>
      </c>
      <c r="AK333" t="n">
        <v>49.2</v>
      </c>
      <c r="AL333" t="n">
        <v>56.4</v>
      </c>
      <c r="AN333" t="n">
        <v>57.4</v>
      </c>
      <c r="AO333" t="n">
        <v>53.9</v>
      </c>
      <c r="AP333" t="n">
        <v>60.4</v>
      </c>
      <c r="AT333" t="n">
        <v>57.6</v>
      </c>
      <c r="AU333" t="n">
        <v>49.5</v>
      </c>
      <c r="AV333" t="n">
        <v>51.3</v>
      </c>
      <c r="AX333" t="n">
        <v>63.9</v>
      </c>
      <c r="AY333" t="n">
        <v>62.1</v>
      </c>
      <c r="AZ333" t="n">
        <v>44.1</v>
      </c>
    </row>
    <row r="334">
      <c r="A334" s="81" t="n">
        <v>44378</v>
      </c>
      <c r="B334" t="n">
        <v>60.8</v>
      </c>
      <c r="D334" t="n">
        <v>56.7</v>
      </c>
      <c r="E334" t="n">
        <v>56.2</v>
      </c>
      <c r="F334" t="n">
        <v>50.3</v>
      </c>
      <c r="H334" t="n">
        <v>62</v>
      </c>
      <c r="I334" t="n">
        <v>69.8</v>
      </c>
      <c r="K334" t="n">
        <v>62.8</v>
      </c>
      <c r="L334" t="n">
        <v>58</v>
      </c>
      <c r="M334" t="n">
        <v>65.90000000000001</v>
      </c>
      <c r="N334" t="n">
        <v>57.4</v>
      </c>
      <c r="O334" t="n">
        <v>51.3</v>
      </c>
      <c r="Q334" t="n">
        <v>55.3</v>
      </c>
      <c r="R334" t="n">
        <v>40.1</v>
      </c>
      <c r="S334" t="n">
        <v>63.3</v>
      </c>
      <c r="U334" t="n">
        <v>60.3</v>
      </c>
      <c r="V334" t="n">
        <v>53</v>
      </c>
      <c r="AA334" t="n">
        <v>49.6</v>
      </c>
      <c r="AD334" t="n">
        <v>62.2</v>
      </c>
      <c r="AH334" t="n">
        <v>57.6</v>
      </c>
      <c r="AK334" t="n">
        <v>47.5</v>
      </c>
      <c r="AL334" t="n">
        <v>55.8</v>
      </c>
      <c r="AN334" t="n">
        <v>43.5</v>
      </c>
      <c r="AO334" t="n">
        <v>53</v>
      </c>
      <c r="AP334" t="n">
        <v>59</v>
      </c>
      <c r="AT334" t="n">
        <v>59.7</v>
      </c>
      <c r="AU334" t="n">
        <v>48.7</v>
      </c>
      <c r="AV334" t="n">
        <v>54</v>
      </c>
      <c r="AX334" t="n">
        <v>60.4</v>
      </c>
      <c r="AY334" t="n">
        <v>63.4</v>
      </c>
      <c r="AZ334" t="n">
        <v>45.1</v>
      </c>
    </row>
    <row r="335">
      <c r="A335" s="81" t="n">
        <v>44409</v>
      </c>
      <c r="B335" t="n">
        <v>51.6</v>
      </c>
      <c r="D335" t="n">
        <v>53.6</v>
      </c>
      <c r="E335" t="n">
        <v>57.2</v>
      </c>
      <c r="F335" t="n">
        <v>49.2</v>
      </c>
      <c r="H335" t="n">
        <v>61</v>
      </c>
      <c r="I335" t="n">
        <v>67.3</v>
      </c>
      <c r="K335" t="n">
        <v>61.4</v>
      </c>
      <c r="L335" t="n">
        <v>57.5</v>
      </c>
      <c r="M335" t="n">
        <v>62.6</v>
      </c>
      <c r="N335" t="n">
        <v>59.3</v>
      </c>
      <c r="O335" t="n">
        <v>53.3</v>
      </c>
      <c r="Q335" t="n">
        <v>52.3</v>
      </c>
      <c r="R335" t="n">
        <v>43.7</v>
      </c>
      <c r="S335" t="n">
        <v>62.8</v>
      </c>
      <c r="U335" t="n">
        <v>60.9</v>
      </c>
      <c r="V335" t="n">
        <v>52.7</v>
      </c>
      <c r="AA335" t="n">
        <v>47.1</v>
      </c>
      <c r="AD335" t="n">
        <v>39.7</v>
      </c>
      <c r="AH335" t="n">
        <v>56</v>
      </c>
      <c r="AK335" t="n">
        <v>46.5</v>
      </c>
      <c r="AL335" t="n">
        <v>54.1</v>
      </c>
      <c r="AN335" t="n">
        <v>57.9</v>
      </c>
      <c r="AO335" t="n">
        <v>51.2</v>
      </c>
      <c r="AP335" t="n">
        <v>59.5</v>
      </c>
      <c r="AT335" t="n">
        <v>58.5</v>
      </c>
      <c r="AU335" t="n">
        <v>48.3</v>
      </c>
      <c r="AV335" t="n">
        <v>54.1</v>
      </c>
      <c r="AX335" t="n">
        <v>60.3</v>
      </c>
      <c r="AY335" t="n">
        <v>61.1</v>
      </c>
      <c r="AZ335" t="n">
        <v>40.2</v>
      </c>
    </row>
    <row r="336">
      <c r="A336" s="81" t="n">
        <v>44440</v>
      </c>
      <c r="B336" t="n">
        <v>51.2</v>
      </c>
      <c r="D336" t="n">
        <v>54.4</v>
      </c>
      <c r="E336" t="n">
        <v>57</v>
      </c>
      <c r="F336" t="n">
        <v>50</v>
      </c>
      <c r="H336" t="n">
        <v>58</v>
      </c>
      <c r="I336" t="n">
        <v>65.2</v>
      </c>
      <c r="K336" t="n">
        <v>58.6</v>
      </c>
      <c r="L336" t="n">
        <v>55</v>
      </c>
      <c r="M336" t="n">
        <v>58.4</v>
      </c>
      <c r="N336" t="n">
        <v>58.4</v>
      </c>
      <c r="O336" t="n">
        <v>51.7</v>
      </c>
      <c r="Q336" t="n">
        <v>53.7</v>
      </c>
      <c r="R336" t="n">
        <v>52.2</v>
      </c>
      <c r="S336" t="n">
        <v>60.3</v>
      </c>
      <c r="U336" t="n">
        <v>59.7</v>
      </c>
      <c r="V336" t="n">
        <v>51.5</v>
      </c>
      <c r="AA336" t="n">
        <v>48.6</v>
      </c>
      <c r="AD336" t="n">
        <v>51.4</v>
      </c>
      <c r="AH336" t="n">
        <v>53.4</v>
      </c>
      <c r="AI336" t="n">
        <v>53.2</v>
      </c>
      <c r="AK336" t="n">
        <v>49.8</v>
      </c>
      <c r="AL336" t="n">
        <v>58.6</v>
      </c>
      <c r="AN336" t="n">
        <v>54.7</v>
      </c>
      <c r="AO336" t="n">
        <v>52.4</v>
      </c>
      <c r="AP336" t="n">
        <v>58.1</v>
      </c>
      <c r="AT336" t="n">
        <v>54.7</v>
      </c>
      <c r="AU336" t="n">
        <v>48.9</v>
      </c>
      <c r="AV336" t="n">
        <v>52.5</v>
      </c>
      <c r="AX336" t="n">
        <v>57.1</v>
      </c>
      <c r="AY336" t="n">
        <v>60.7</v>
      </c>
      <c r="AZ336" t="n">
        <v>40.2</v>
      </c>
    </row>
    <row r="337">
      <c r="A337" s="81" t="n">
        <v>44470</v>
      </c>
      <c r="B337" t="n">
        <v>50.4</v>
      </c>
      <c r="D337" t="n">
        <v>51.7</v>
      </c>
      <c r="E337" t="n">
        <v>57.7</v>
      </c>
      <c r="F337" t="n">
        <v>50.6</v>
      </c>
      <c r="H337" t="n">
        <v>55.1</v>
      </c>
      <c r="I337" t="n">
        <v>71.90000000000001</v>
      </c>
      <c r="K337" t="n">
        <v>58.3</v>
      </c>
      <c r="L337" t="n">
        <v>53.6</v>
      </c>
      <c r="M337" t="n">
        <v>57.8</v>
      </c>
      <c r="N337" t="n">
        <v>58.9</v>
      </c>
      <c r="O337" t="n">
        <v>50.8</v>
      </c>
      <c r="Q337" t="n">
        <v>55.9</v>
      </c>
      <c r="R337" t="n">
        <v>57.2</v>
      </c>
      <c r="S337" t="n">
        <v>62.1</v>
      </c>
      <c r="U337" t="n">
        <v>61.1</v>
      </c>
      <c r="V337" t="n">
        <v>53.2</v>
      </c>
      <c r="AA337" t="n">
        <v>49.3</v>
      </c>
      <c r="AD337" t="n">
        <v>54.3</v>
      </c>
      <c r="AH337" t="n">
        <v>53.8</v>
      </c>
      <c r="AK337" t="n">
        <v>51.6</v>
      </c>
      <c r="AL337" t="n">
        <v>57.7</v>
      </c>
      <c r="AN337" t="n">
        <v>53.6</v>
      </c>
      <c r="AO337" t="n">
        <v>50.2</v>
      </c>
      <c r="AP337" t="n">
        <v>57.4</v>
      </c>
      <c r="AT337" t="n">
        <v>55.2</v>
      </c>
      <c r="AU337" t="n">
        <v>50.9</v>
      </c>
      <c r="AV337" t="n">
        <v>51.2</v>
      </c>
      <c r="AX337" t="n">
        <v>57.8</v>
      </c>
      <c r="AY337" t="n">
        <v>58.4</v>
      </c>
      <c r="AZ337" t="n">
        <v>52.1</v>
      </c>
    </row>
    <row r="338">
      <c r="A338" s="81" t="n">
        <v>44501</v>
      </c>
      <c r="B338" t="n">
        <v>54.8</v>
      </c>
      <c r="D338" t="n">
        <v>49.8</v>
      </c>
      <c r="E338" t="n">
        <v>57.2</v>
      </c>
      <c r="F338" t="n">
        <v>49.9</v>
      </c>
      <c r="H338" t="n">
        <v>57.1</v>
      </c>
      <c r="I338" t="n">
        <v>68.2</v>
      </c>
      <c r="K338" t="n">
        <v>58.4</v>
      </c>
      <c r="L338" t="n">
        <v>55.9</v>
      </c>
      <c r="M338" t="n">
        <v>57.4</v>
      </c>
      <c r="N338" t="n">
        <v>58.8</v>
      </c>
      <c r="O338" t="n">
        <v>52.6</v>
      </c>
      <c r="Q338" t="n">
        <v>57.6</v>
      </c>
      <c r="R338" t="n">
        <v>53.9</v>
      </c>
      <c r="S338" t="n">
        <v>59.9</v>
      </c>
      <c r="U338" t="n">
        <v>62.8</v>
      </c>
      <c r="V338" t="n">
        <v>54.5</v>
      </c>
      <c r="AA338" t="n">
        <v>49.4</v>
      </c>
      <c r="AD338" t="n">
        <v>50.6</v>
      </c>
      <c r="AH338" t="n">
        <v>54.4</v>
      </c>
      <c r="AK338" t="n">
        <v>51.7</v>
      </c>
      <c r="AL338" t="n">
        <v>56.9</v>
      </c>
      <c r="AN338" t="n">
        <v>57.2</v>
      </c>
      <c r="AO338" t="n">
        <v>50.9</v>
      </c>
      <c r="AP338" t="n">
        <v>57.1</v>
      </c>
      <c r="AT338" t="n">
        <v>54.9</v>
      </c>
      <c r="AU338" t="n">
        <v>50.6</v>
      </c>
      <c r="AV338" t="n">
        <v>52</v>
      </c>
      <c r="AX338" t="n">
        <v>58.1</v>
      </c>
      <c r="AY338" t="n">
        <v>58.3</v>
      </c>
      <c r="AZ338" t="n">
        <v>52.2</v>
      </c>
    </row>
    <row r="339">
      <c r="A339" s="81" t="n">
        <v>44531</v>
      </c>
      <c r="B339" t="n">
        <v>48.4</v>
      </c>
      <c r="D339" t="n">
        <v>49.8</v>
      </c>
      <c r="E339" t="n">
        <v>55.5</v>
      </c>
      <c r="F339" t="n">
        <v>50.9</v>
      </c>
      <c r="H339" t="n">
        <v>59.1</v>
      </c>
      <c r="I339" t="n">
        <v>64.40000000000001</v>
      </c>
      <c r="J339" t="n">
        <v>49</v>
      </c>
      <c r="K339" t="n">
        <v>58</v>
      </c>
      <c r="L339" t="n">
        <v>55.6</v>
      </c>
      <c r="M339" t="n">
        <v>57.4</v>
      </c>
      <c r="N339" t="n">
        <v>59</v>
      </c>
      <c r="O339" t="n">
        <v>50.8</v>
      </c>
      <c r="Q339" t="n">
        <v>55.5</v>
      </c>
      <c r="R339" t="n">
        <v>53.5</v>
      </c>
      <c r="S339" t="n">
        <v>58.3</v>
      </c>
      <c r="T339" t="n">
        <v>47.83</v>
      </c>
      <c r="U339" t="n">
        <v>62</v>
      </c>
      <c r="V339" t="n">
        <v>54.3</v>
      </c>
      <c r="X339" t="n">
        <v>53.7</v>
      </c>
      <c r="Y339" t="n">
        <v>46.7</v>
      </c>
      <c r="Z339" t="n">
        <v>52.8</v>
      </c>
      <c r="AA339" t="n">
        <v>49.4</v>
      </c>
      <c r="AD339" t="n">
        <v>53.7</v>
      </c>
      <c r="AE339" t="n">
        <v>52</v>
      </c>
      <c r="AH339" t="n">
        <v>56.1</v>
      </c>
      <c r="AJ339" t="n">
        <v>61.4</v>
      </c>
      <c r="AK339" t="n">
        <v>51.6</v>
      </c>
      <c r="AL339" t="n">
        <v>53.9</v>
      </c>
      <c r="AM339" t="n">
        <v>50.7</v>
      </c>
      <c r="AN339" t="n">
        <v>54.1</v>
      </c>
      <c r="AO339" t="n">
        <v>51.9</v>
      </c>
      <c r="AP339" t="n">
        <v>56.2</v>
      </c>
      <c r="AQ339" t="n">
        <v>58.1</v>
      </c>
      <c r="AT339" t="n">
        <v>55.5</v>
      </c>
      <c r="AU339" t="n">
        <v>49.5</v>
      </c>
      <c r="AV339" t="n">
        <v>52.1</v>
      </c>
      <c r="AW339" t="n">
        <v>55.6</v>
      </c>
      <c r="AX339" t="n">
        <v>57.9</v>
      </c>
      <c r="AY339" t="n">
        <v>57.7</v>
      </c>
      <c r="AZ339" t="n">
        <v>52.5</v>
      </c>
    </row>
    <row r="340">
      <c r="A340" s="81" t="n">
        <v>44562</v>
      </c>
      <c r="B340" t="n">
        <v>48.4</v>
      </c>
      <c r="C340" t="n">
        <v>61.5</v>
      </c>
      <c r="D340" t="n">
        <v>47.8</v>
      </c>
      <c r="E340" t="n">
        <v>56.2</v>
      </c>
      <c r="F340" t="n">
        <v>49.1</v>
      </c>
      <c r="G340" t="n">
        <v>52.6</v>
      </c>
      <c r="H340" t="n">
        <v>59</v>
      </c>
      <c r="I340" t="n">
        <v>60.9</v>
      </c>
      <c r="J340" t="n">
        <v>47.9</v>
      </c>
      <c r="K340" t="n">
        <v>59</v>
      </c>
      <c r="L340" t="n">
        <v>55.5</v>
      </c>
      <c r="M340" t="n">
        <v>60.5</v>
      </c>
      <c r="N340" t="n">
        <v>57.9</v>
      </c>
      <c r="O340" t="n">
        <v>48.9</v>
      </c>
      <c r="P340" t="n">
        <v>50.7</v>
      </c>
      <c r="Q340" t="n">
        <v>54</v>
      </c>
      <c r="R340" t="n">
        <v>53.7</v>
      </c>
      <c r="S340" t="n">
        <v>59.4</v>
      </c>
      <c r="T340" t="n">
        <v>42.9</v>
      </c>
      <c r="U340" t="n">
        <v>58.3</v>
      </c>
      <c r="V340" t="n">
        <v>55.4</v>
      </c>
      <c r="W340" t="n">
        <v>43.8</v>
      </c>
      <c r="X340" t="n">
        <v>47.6</v>
      </c>
      <c r="Y340" t="n">
        <v>47.1</v>
      </c>
      <c r="Z340" t="n">
        <v>50.5</v>
      </c>
      <c r="AA340" t="n">
        <v>46.1</v>
      </c>
      <c r="AB340" t="n">
        <v>48.5</v>
      </c>
      <c r="AC340" t="n">
        <v>60.1</v>
      </c>
      <c r="AD340" t="n">
        <v>52.1</v>
      </c>
      <c r="AF340" t="n">
        <v>56.5</v>
      </c>
      <c r="AG340" t="n">
        <v>50</v>
      </c>
      <c r="AH340" t="n">
        <v>54.5</v>
      </c>
      <c r="AJ340" t="n">
        <v>57.6</v>
      </c>
      <c r="AK340" t="n">
        <v>51.8</v>
      </c>
      <c r="AL340" t="n">
        <v>53.2</v>
      </c>
      <c r="AM340" t="n">
        <v>50.6</v>
      </c>
      <c r="AN340" t="n">
        <v>57.1</v>
      </c>
      <c r="AO340" t="n">
        <v>52.8</v>
      </c>
      <c r="AP340" t="n">
        <v>56.2</v>
      </c>
      <c r="AQ340" t="n">
        <v>58.7</v>
      </c>
      <c r="AR340" t="n">
        <v>62.4</v>
      </c>
      <c r="AS340" t="n">
        <v>63.8</v>
      </c>
      <c r="AT340" t="n">
        <v>55.1</v>
      </c>
      <c r="AU340" t="n">
        <v>51.7</v>
      </c>
      <c r="AV340" t="n">
        <v>50.5</v>
      </c>
      <c r="AW340" t="n">
        <v>54.1</v>
      </c>
      <c r="AX340" t="n">
        <v>56.9</v>
      </c>
      <c r="AY340" t="n">
        <v>55</v>
      </c>
      <c r="AZ340" t="n">
        <v>53.7</v>
      </c>
    </row>
    <row r="341">
      <c r="A341" s="81" t="n">
        <v>44593</v>
      </c>
      <c r="B341" t="n">
        <v>53.2</v>
      </c>
      <c r="C341" t="n">
        <v>58.4</v>
      </c>
      <c r="D341" t="n">
        <v>49.6</v>
      </c>
      <c r="E341" t="n">
        <v>56.6</v>
      </c>
      <c r="F341" t="n">
        <v>50.4</v>
      </c>
      <c r="G341" t="n">
        <v>52</v>
      </c>
      <c r="H341" t="n">
        <v>56.5</v>
      </c>
      <c r="I341" t="n">
        <v>50.66</v>
      </c>
      <c r="J341" t="n">
        <v>48.1</v>
      </c>
      <c r="K341" t="n">
        <v>58.4</v>
      </c>
      <c r="L341" t="n">
        <v>57.6</v>
      </c>
      <c r="M341" t="n">
        <v>58.5</v>
      </c>
      <c r="N341" t="n">
        <v>57.8</v>
      </c>
      <c r="O341" t="n">
        <v>42.9</v>
      </c>
      <c r="P341" t="n">
        <v>53.2</v>
      </c>
      <c r="Q341" t="n">
        <v>54.9</v>
      </c>
      <c r="R341" t="n">
        <v>51.2</v>
      </c>
      <c r="S341" t="n">
        <v>57.8</v>
      </c>
      <c r="T341" t="n">
        <v>49.7</v>
      </c>
      <c r="U341" t="n">
        <v>58.3</v>
      </c>
      <c r="V341" t="n">
        <v>52.9</v>
      </c>
      <c r="W341" t="n">
        <v>50.1</v>
      </c>
      <c r="X341" t="n">
        <v>52.9</v>
      </c>
      <c r="Y341" t="n">
        <v>47.5</v>
      </c>
      <c r="Z341" t="n">
        <v>50.9</v>
      </c>
      <c r="AA341" t="n">
        <v>48</v>
      </c>
      <c r="AB341" t="n">
        <v>47.3</v>
      </c>
      <c r="AC341" t="n">
        <v>60.6</v>
      </c>
      <c r="AD341" t="n">
        <v>53.6</v>
      </c>
      <c r="AE341" t="n">
        <v>50.1</v>
      </c>
      <c r="AF341" t="n">
        <v>55.9</v>
      </c>
      <c r="AG341" t="n">
        <v>52.8</v>
      </c>
      <c r="AH341" t="n">
        <v>54.7</v>
      </c>
      <c r="AJ341" t="n">
        <v>61.4</v>
      </c>
      <c r="AK341" t="n">
        <v>48.6</v>
      </c>
      <c r="AL341" t="n">
        <v>56.2</v>
      </c>
      <c r="AM341" t="n">
        <v>50.2</v>
      </c>
      <c r="AN341" t="n">
        <v>58.6</v>
      </c>
      <c r="AO341" t="n">
        <v>53.8</v>
      </c>
      <c r="AP341" t="n">
        <v>56.9</v>
      </c>
      <c r="AQ341" t="n">
        <v>52.5</v>
      </c>
      <c r="AR341" t="n">
        <v>58.6</v>
      </c>
      <c r="AS341" t="n">
        <v>62.6</v>
      </c>
      <c r="AT341" t="n">
        <v>54.3</v>
      </c>
      <c r="AU341" t="n">
        <v>52.5</v>
      </c>
      <c r="AV341" t="n">
        <v>50.4</v>
      </c>
      <c r="AW341" t="n">
        <v>54.8</v>
      </c>
      <c r="AX341" t="n">
        <v>57.3</v>
      </c>
      <c r="AY341" t="n">
        <v>57.5</v>
      </c>
      <c r="AZ341" t="n">
        <v>54.3</v>
      </c>
    </row>
    <row r="342">
      <c r="A342" s="81" t="n">
        <v>44621</v>
      </c>
      <c r="B342" t="n">
        <v>55.7</v>
      </c>
      <c r="C342" t="n">
        <v>59.3</v>
      </c>
      <c r="D342" t="n">
        <v>52.3</v>
      </c>
      <c r="E342" t="n">
        <v>58.9</v>
      </c>
      <c r="F342" t="n">
        <v>48.1</v>
      </c>
      <c r="G342" t="n">
        <v>52.1</v>
      </c>
      <c r="H342" t="n">
        <v>54.7</v>
      </c>
      <c r="I342" t="n">
        <v>62.1</v>
      </c>
      <c r="J342" t="n">
        <v>46.5</v>
      </c>
      <c r="K342" t="n">
        <v>57</v>
      </c>
      <c r="L342" t="n">
        <v>54.8</v>
      </c>
      <c r="M342" t="n">
        <v>57.6</v>
      </c>
      <c r="N342" t="n">
        <v>54.6</v>
      </c>
      <c r="O342" t="n">
        <v>42</v>
      </c>
      <c r="P342" t="n">
        <v>57.57</v>
      </c>
      <c r="Q342" t="n">
        <v>54</v>
      </c>
      <c r="R342" t="n">
        <v>51.3</v>
      </c>
      <c r="S342" t="n">
        <v>59.4</v>
      </c>
      <c r="T342" t="n">
        <v>47.4</v>
      </c>
      <c r="U342" t="n">
        <v>55.8</v>
      </c>
      <c r="V342" t="n">
        <v>53.2</v>
      </c>
      <c r="W342" t="n">
        <v>46.8</v>
      </c>
      <c r="X342" t="n">
        <v>50.5</v>
      </c>
      <c r="Y342" t="n">
        <v>47.4</v>
      </c>
      <c r="Z342" t="n">
        <v>49.6</v>
      </c>
      <c r="AA342" t="n">
        <v>49.2</v>
      </c>
      <c r="AB342" t="n">
        <v>47.1</v>
      </c>
      <c r="AC342" t="n">
        <v>58.4</v>
      </c>
      <c r="AD342" t="n">
        <v>53.8</v>
      </c>
      <c r="AF342" t="n">
        <v>59.6</v>
      </c>
      <c r="AG342" t="n">
        <v>53.2</v>
      </c>
      <c r="AH342" t="n">
        <v>52.7</v>
      </c>
      <c r="AJ342" t="n">
        <v>61.8</v>
      </c>
      <c r="AK342" t="n">
        <v>44.1</v>
      </c>
      <c r="AL342" t="n">
        <v>56.8</v>
      </c>
      <c r="AM342" t="n">
        <v>50.1</v>
      </c>
      <c r="AN342" t="n">
        <v>60</v>
      </c>
      <c r="AO342" t="n">
        <v>51.2</v>
      </c>
      <c r="AP342" t="n">
        <v>54.2</v>
      </c>
      <c r="AQ342" t="n">
        <v>57.8</v>
      </c>
      <c r="AR342" t="n">
        <v>57.3</v>
      </c>
      <c r="AS342" t="n">
        <v>64</v>
      </c>
      <c r="AT342" t="n">
        <v>54.1</v>
      </c>
      <c r="AU342" t="n">
        <v>51.8</v>
      </c>
      <c r="AV342" t="n">
        <v>49.4</v>
      </c>
      <c r="AW342" t="n">
        <v>54.8</v>
      </c>
      <c r="AX342" t="n">
        <v>55.5</v>
      </c>
      <c r="AY342" t="n">
        <v>58.5</v>
      </c>
      <c r="AZ342" t="n">
        <v>51.7</v>
      </c>
    </row>
    <row r="343">
      <c r="A343" s="81" t="n">
        <v>44652</v>
      </c>
      <c r="B343" t="n">
        <v>58.5</v>
      </c>
      <c r="C343" t="n">
        <v>57.9</v>
      </c>
      <c r="D343" t="n">
        <v>51.8</v>
      </c>
      <c r="E343" t="n">
        <v>56.2</v>
      </c>
      <c r="F343" t="n">
        <v>46</v>
      </c>
      <c r="G343" t="n">
        <v>54.4</v>
      </c>
      <c r="H343" t="n">
        <v>54.4</v>
      </c>
      <c r="I343" t="n">
        <v>63</v>
      </c>
      <c r="J343" t="n">
        <v>46.9</v>
      </c>
      <c r="K343" t="n">
        <v>55.5</v>
      </c>
      <c r="L343" t="n">
        <v>55.7</v>
      </c>
      <c r="M343" t="n">
        <v>54.6</v>
      </c>
      <c r="N343" t="n">
        <v>54.8</v>
      </c>
      <c r="O343" t="n">
        <v>51.7</v>
      </c>
      <c r="P343" t="n">
        <v>58.9</v>
      </c>
      <c r="Q343" t="n">
        <v>54.7</v>
      </c>
      <c r="R343" t="n">
        <v>51.9</v>
      </c>
      <c r="S343" t="n">
        <v>59.1</v>
      </c>
      <c r="T343" t="n">
        <v>51.2</v>
      </c>
      <c r="U343" t="n">
        <v>54.5</v>
      </c>
      <c r="V343" t="n">
        <v>53.5</v>
      </c>
      <c r="W343" t="n">
        <v>49</v>
      </c>
      <c r="X343" t="n">
        <v>49.5</v>
      </c>
      <c r="Y343" t="n">
        <v>47.9</v>
      </c>
      <c r="Z343" t="n">
        <v>51.6</v>
      </c>
      <c r="AA343" t="n">
        <v>49.3</v>
      </c>
      <c r="AB343" t="n">
        <v>50.4</v>
      </c>
      <c r="AC343" t="n">
        <v>59.9</v>
      </c>
      <c r="AD343" t="n">
        <v>51.2</v>
      </c>
      <c r="AF343" t="n">
        <v>60.6</v>
      </c>
      <c r="AG343" t="n">
        <v>54.3</v>
      </c>
      <c r="AH343" t="n">
        <v>52.4</v>
      </c>
      <c r="AJ343" t="n">
        <v>63.6</v>
      </c>
      <c r="AK343" t="n">
        <v>48.2</v>
      </c>
      <c r="AL343" t="n">
        <v>55.7</v>
      </c>
      <c r="AM343" t="n">
        <v>50.3</v>
      </c>
      <c r="AN343" t="n">
        <v>50.7</v>
      </c>
      <c r="AO343" t="n">
        <v>52.1</v>
      </c>
      <c r="AP343" t="n">
        <v>53.3</v>
      </c>
      <c r="AQ343" t="n">
        <v>36.4</v>
      </c>
      <c r="AR343" t="n">
        <v>55</v>
      </c>
      <c r="AS343" t="n">
        <v>62.5</v>
      </c>
      <c r="AT343" t="n">
        <v>51.7</v>
      </c>
      <c r="AU343" t="n">
        <v>51.9</v>
      </c>
      <c r="AV343" t="n">
        <v>49.2</v>
      </c>
      <c r="AW343" t="n">
        <v>54.6</v>
      </c>
      <c r="AX343" t="n">
        <v>55.3</v>
      </c>
      <c r="AY343" t="n">
        <v>59.2</v>
      </c>
      <c r="AZ343" t="n">
        <v>51.7</v>
      </c>
    </row>
    <row r="344">
      <c r="A344" s="81" t="n">
        <v>44682</v>
      </c>
      <c r="B344" t="n">
        <v>52.4</v>
      </c>
      <c r="C344" t="n">
        <v>56.6</v>
      </c>
      <c r="D344" t="n">
        <v>54.2</v>
      </c>
      <c r="E344" t="n">
        <v>56.8</v>
      </c>
      <c r="F344" t="n">
        <v>48.1</v>
      </c>
      <c r="G344" t="n">
        <v>53.9</v>
      </c>
      <c r="H344" t="n">
        <v>52.3</v>
      </c>
      <c r="I344" t="n">
        <v>60.7</v>
      </c>
      <c r="J344" t="n">
        <v>47</v>
      </c>
      <c r="K344" t="n">
        <v>54.4</v>
      </c>
      <c r="L344" t="n">
        <v>54.5</v>
      </c>
      <c r="M344" t="n">
        <v>54.7</v>
      </c>
      <c r="N344" t="n">
        <v>53.8</v>
      </c>
      <c r="O344" t="n">
        <v>54.9</v>
      </c>
      <c r="P344" t="n">
        <v>51.5</v>
      </c>
      <c r="Q344" t="n">
        <v>54.6</v>
      </c>
      <c r="R344" t="n">
        <v>50.8</v>
      </c>
      <c r="S344" t="n">
        <v>56.4</v>
      </c>
      <c r="T344" t="n">
        <v>52.6</v>
      </c>
      <c r="U344" t="n">
        <v>51.9</v>
      </c>
      <c r="V344" t="n">
        <v>53.2</v>
      </c>
      <c r="W344" t="n">
        <v>52</v>
      </c>
      <c r="X344" t="n">
        <v>48.2</v>
      </c>
      <c r="Y344" t="n">
        <v>48.6</v>
      </c>
      <c r="Z344" t="n">
        <v>50.1</v>
      </c>
      <c r="AA344" t="n">
        <v>50.6</v>
      </c>
      <c r="AB344" t="n">
        <v>49.9</v>
      </c>
      <c r="AC344" t="n">
        <v>57.8</v>
      </c>
      <c r="AD344" t="n">
        <v>52.9</v>
      </c>
      <c r="AF344" t="n">
        <v>54.9</v>
      </c>
      <c r="AG344" t="n">
        <v>54.1</v>
      </c>
      <c r="AH344" t="n">
        <v>48.5</v>
      </c>
      <c r="AJ344" t="n">
        <v>67.5</v>
      </c>
      <c r="AK344" t="n">
        <v>50.8</v>
      </c>
      <c r="AL344" t="n">
        <v>55.7</v>
      </c>
      <c r="AM344" t="n">
        <v>50.4</v>
      </c>
      <c r="AN344" t="n">
        <v>54.8</v>
      </c>
      <c r="AO344" t="n">
        <v>51.8</v>
      </c>
      <c r="AP344" t="n">
        <v>53.8</v>
      </c>
      <c r="AQ344" t="n">
        <v>50.3</v>
      </c>
      <c r="AR344" t="n">
        <v>55.2</v>
      </c>
      <c r="AS344" t="n">
        <v>60</v>
      </c>
      <c r="AT344" t="n">
        <v>50</v>
      </c>
      <c r="AU344" t="n">
        <v>51.9</v>
      </c>
      <c r="AV344" t="n">
        <v>49.2</v>
      </c>
      <c r="AW344" t="n">
        <v>55.6</v>
      </c>
      <c r="AX344" t="n">
        <v>54.6</v>
      </c>
      <c r="AY344" t="n">
        <v>57.5</v>
      </c>
      <c r="AZ344" t="n">
        <v>54.7</v>
      </c>
    </row>
    <row r="345">
      <c r="A345" s="81" t="n">
        <v>44713</v>
      </c>
      <c r="B345" t="n">
        <v>54</v>
      </c>
      <c r="C345" t="n">
        <v>51.2</v>
      </c>
      <c r="D345" t="n">
        <v>54.1</v>
      </c>
      <c r="E345" t="n">
        <v>54.6</v>
      </c>
      <c r="F345" t="n">
        <v>51.7</v>
      </c>
      <c r="G345" t="n">
        <v>55.7</v>
      </c>
      <c r="H345" t="n">
        <v>49</v>
      </c>
      <c r="I345" t="n">
        <v>71.3</v>
      </c>
      <c r="J345" t="n">
        <v>45.2</v>
      </c>
      <c r="K345" t="n">
        <v>52</v>
      </c>
      <c r="L345" t="n">
        <v>51</v>
      </c>
      <c r="M345" t="n">
        <v>52</v>
      </c>
      <c r="N345" t="n">
        <v>51.1</v>
      </c>
      <c r="O345" t="n">
        <v>52.4</v>
      </c>
      <c r="P345" t="n">
        <v>57</v>
      </c>
      <c r="Q345" t="n">
        <v>53.9</v>
      </c>
      <c r="R345" t="n">
        <v>50.2</v>
      </c>
      <c r="S345" t="n">
        <v>53.1</v>
      </c>
      <c r="T345" t="n">
        <v>53.4</v>
      </c>
      <c r="U345" t="n">
        <v>50.9</v>
      </c>
      <c r="V345" t="n">
        <v>52.7</v>
      </c>
      <c r="W345" t="n">
        <v>53</v>
      </c>
      <c r="X345" t="n">
        <v>46.8</v>
      </c>
      <c r="Y345" t="n">
        <v>49.1</v>
      </c>
      <c r="Z345" t="n">
        <v>50.4</v>
      </c>
      <c r="AA345" t="n">
        <v>52.2</v>
      </c>
      <c r="AB345" t="n">
        <v>48.2</v>
      </c>
      <c r="AC345" t="n">
        <v>55.9</v>
      </c>
      <c r="AD345" t="n">
        <v>49.74</v>
      </c>
      <c r="AF345" t="n">
        <v>56.4</v>
      </c>
      <c r="AG345" t="n">
        <v>53.8</v>
      </c>
      <c r="AH345" t="n">
        <v>44.4</v>
      </c>
      <c r="AI345" t="n">
        <v>51.6</v>
      </c>
      <c r="AJ345" t="n">
        <v>67.5</v>
      </c>
      <c r="AK345" t="n">
        <v>50.9</v>
      </c>
      <c r="AL345" t="n">
        <v>57</v>
      </c>
      <c r="AM345" t="n">
        <v>50.3</v>
      </c>
      <c r="AN345" t="n">
        <v>52.2</v>
      </c>
      <c r="AO345" t="n">
        <v>51.3</v>
      </c>
      <c r="AP345" t="n">
        <v>52.6</v>
      </c>
      <c r="AQ345" t="n">
        <v>44.1</v>
      </c>
      <c r="AR345" t="n">
        <v>53.7</v>
      </c>
      <c r="AS345" t="n">
        <v>59.1</v>
      </c>
      <c r="AT345" t="n">
        <v>49.8</v>
      </c>
      <c r="AU345" t="n">
        <v>50.7</v>
      </c>
      <c r="AV345" t="n">
        <v>48.1</v>
      </c>
      <c r="AW345" t="n">
        <v>54.8</v>
      </c>
      <c r="AX345" t="n">
        <v>53.4</v>
      </c>
      <c r="AY345" t="n">
        <v>52.4</v>
      </c>
      <c r="AZ345" t="n">
        <v>54</v>
      </c>
    </row>
    <row r="346">
      <c r="A346" s="81" t="n">
        <v>44743</v>
      </c>
      <c r="B346" t="n">
        <v>52.5</v>
      </c>
      <c r="C346" t="n">
        <v>51.7</v>
      </c>
      <c r="D346" t="n">
        <v>54</v>
      </c>
      <c r="E346" t="n">
        <v>52.5</v>
      </c>
      <c r="F346" t="n">
        <v>50.4</v>
      </c>
      <c r="G346" t="n">
        <v>49.5</v>
      </c>
      <c r="H346" t="n">
        <v>46.8</v>
      </c>
      <c r="I346" t="n">
        <v>38</v>
      </c>
      <c r="J346" t="n">
        <v>46.4</v>
      </c>
      <c r="K346" t="n">
        <v>49.8</v>
      </c>
      <c r="L346" t="n">
        <v>49.5</v>
      </c>
      <c r="M346" t="n">
        <v>49.3</v>
      </c>
      <c r="N346" t="n">
        <v>49.1</v>
      </c>
      <c r="O346" t="n">
        <v>52.3</v>
      </c>
      <c r="P346" t="n">
        <v>57.8</v>
      </c>
      <c r="Q346" t="n">
        <v>56.4</v>
      </c>
      <c r="R346" t="n">
        <v>51.3</v>
      </c>
      <c r="S346" t="n">
        <v>51.8</v>
      </c>
      <c r="T346" t="n">
        <v>57.6</v>
      </c>
      <c r="U346" t="n">
        <v>48.5</v>
      </c>
      <c r="V346" t="n">
        <v>52.1</v>
      </c>
      <c r="W346" t="n">
        <v>52.8</v>
      </c>
      <c r="X346" t="n">
        <v>46.3</v>
      </c>
      <c r="Y346" t="n">
        <v>49.9</v>
      </c>
      <c r="Z346" t="n">
        <v>50.6</v>
      </c>
      <c r="AA346" t="n">
        <v>48.5</v>
      </c>
      <c r="AB346" t="n">
        <v>46.5</v>
      </c>
      <c r="AC346" t="n">
        <v>54.5</v>
      </c>
      <c r="AD346" t="n">
        <v>52.7</v>
      </c>
      <c r="AF346" t="n">
        <v>54.6</v>
      </c>
      <c r="AG346" t="n">
        <v>50.8</v>
      </c>
      <c r="AH346" t="n">
        <v>42.1</v>
      </c>
      <c r="AJ346" t="n">
        <v>61.5</v>
      </c>
      <c r="AK346" t="n">
        <v>50.3</v>
      </c>
      <c r="AL346" t="n">
        <v>56.3</v>
      </c>
      <c r="AM346" t="n">
        <v>50.1</v>
      </c>
      <c r="AN346" t="n">
        <v>47.6</v>
      </c>
      <c r="AO346" t="n">
        <v>49.8</v>
      </c>
      <c r="AP346" t="n">
        <v>48.7</v>
      </c>
      <c r="AQ346" t="n">
        <v>41.4</v>
      </c>
      <c r="AR346" t="n">
        <v>53.1</v>
      </c>
      <c r="AS346" t="n">
        <v>58</v>
      </c>
      <c r="AT346" t="n">
        <v>44.6</v>
      </c>
      <c r="AU346" t="n">
        <v>52.4</v>
      </c>
      <c r="AV346" t="n">
        <v>46.9</v>
      </c>
      <c r="AW346" t="n">
        <v>55.4</v>
      </c>
      <c r="AX346" t="n">
        <v>52.1</v>
      </c>
      <c r="AY346" t="n">
        <v>52.2</v>
      </c>
      <c r="AZ346" t="n">
        <v>51.2</v>
      </c>
    </row>
    <row r="347">
      <c r="A347" s="81" t="n">
        <v>44774</v>
      </c>
      <c r="B347" t="n">
        <v>49.3</v>
      </c>
      <c r="C347" t="n">
        <v>48.8</v>
      </c>
      <c r="D347" t="n">
        <v>51.9</v>
      </c>
      <c r="E347" t="n">
        <v>48.7</v>
      </c>
      <c r="F347" t="n">
        <v>49.5</v>
      </c>
      <c r="G347" t="n">
        <v>52.4</v>
      </c>
      <c r="H347" t="n">
        <v>46.8</v>
      </c>
      <c r="I347" t="n">
        <v>48</v>
      </c>
      <c r="J347" t="n">
        <v>47.6</v>
      </c>
      <c r="K347" t="n">
        <v>49.6</v>
      </c>
      <c r="L347" t="n">
        <v>50.6</v>
      </c>
      <c r="M347" t="n">
        <v>49.1</v>
      </c>
      <c r="N347" t="n">
        <v>48.8</v>
      </c>
      <c r="O347" t="n">
        <v>51.2</v>
      </c>
      <c r="P347" t="n">
        <v>57.8</v>
      </c>
      <c r="Q347" t="n">
        <v>56.2</v>
      </c>
      <c r="R347" t="n">
        <v>51.7</v>
      </c>
      <c r="S347" t="n">
        <v>51.1</v>
      </c>
      <c r="T347" t="n">
        <v>49.5</v>
      </c>
      <c r="U347" t="n">
        <v>48</v>
      </c>
      <c r="V347" t="n">
        <v>51.5</v>
      </c>
      <c r="W347" t="n">
        <v>52</v>
      </c>
      <c r="X347" t="n">
        <v>44.2</v>
      </c>
      <c r="Y347" t="n">
        <v>50.1</v>
      </c>
      <c r="Z347" t="n">
        <v>50.3</v>
      </c>
      <c r="AA347" t="n">
        <v>48.5</v>
      </c>
      <c r="AB347" t="n">
        <v>46.5</v>
      </c>
      <c r="AC347" t="n">
        <v>52.6</v>
      </c>
      <c r="AD347" t="n">
        <v>54.9</v>
      </c>
      <c r="AE347" t="n">
        <v>52.3</v>
      </c>
      <c r="AF347" t="n">
        <v>52.3</v>
      </c>
      <c r="AG347" t="n">
        <v>51.2</v>
      </c>
      <c r="AH347" t="n">
        <v>40.9</v>
      </c>
      <c r="AI347" t="n">
        <v>57.5</v>
      </c>
      <c r="AJ347" t="n">
        <v>53.7</v>
      </c>
      <c r="AK347" t="n">
        <v>51.7</v>
      </c>
      <c r="AL347" t="n">
        <v>57.7</v>
      </c>
      <c r="AM347" t="n">
        <v>50</v>
      </c>
      <c r="AN347" t="n">
        <v>52.1</v>
      </c>
      <c r="AO347" t="n">
        <v>47.6</v>
      </c>
      <c r="AP347" t="n">
        <v>49.9</v>
      </c>
      <c r="AQ347" t="n">
        <v>49.6</v>
      </c>
      <c r="AR347" t="n">
        <v>50.6</v>
      </c>
      <c r="AS347" t="n">
        <v>56.4</v>
      </c>
      <c r="AT347" t="n">
        <v>42.7</v>
      </c>
      <c r="AU347" t="n">
        <v>53.7</v>
      </c>
      <c r="AV347" t="n">
        <v>47.4</v>
      </c>
      <c r="AW347" t="n">
        <v>56.7</v>
      </c>
      <c r="AX347" t="n">
        <v>47.3</v>
      </c>
      <c r="AY347" t="n">
        <v>51.5</v>
      </c>
      <c r="AZ347" t="n">
        <v>52.7</v>
      </c>
    </row>
    <row r="348">
      <c r="A348" s="81" t="n">
        <v>44805</v>
      </c>
      <c r="B348" t="n">
        <v>50.2</v>
      </c>
      <c r="C348" t="n">
        <v>48.8</v>
      </c>
      <c r="D348" t="n">
        <v>51.1</v>
      </c>
      <c r="E348" t="n">
        <v>49.8</v>
      </c>
      <c r="F348" t="n">
        <v>48.1</v>
      </c>
      <c r="G348" t="n">
        <v>52.8</v>
      </c>
      <c r="H348" t="n">
        <v>44.7</v>
      </c>
      <c r="I348" t="n">
        <v>49.8</v>
      </c>
      <c r="J348" t="n">
        <v>47.6</v>
      </c>
      <c r="K348" t="n">
        <v>48.4</v>
      </c>
      <c r="L348" t="n">
        <v>47.7</v>
      </c>
      <c r="M348" t="n">
        <v>47.8</v>
      </c>
      <c r="N348" t="n">
        <v>49.7</v>
      </c>
      <c r="O348" t="n">
        <v>48</v>
      </c>
      <c r="P348" t="n">
        <v>49.62</v>
      </c>
      <c r="Q348" t="n">
        <v>55.1</v>
      </c>
      <c r="R348" t="n">
        <v>53.7</v>
      </c>
      <c r="S348" t="n">
        <v>51.5</v>
      </c>
      <c r="T348" t="n">
        <v>51.3</v>
      </c>
      <c r="U348" t="n">
        <v>48.3</v>
      </c>
      <c r="V348" t="n">
        <v>50.8</v>
      </c>
      <c r="W348" t="n">
        <v>48.9</v>
      </c>
      <c r="X348" t="n">
        <v>51.7</v>
      </c>
      <c r="Y348" t="n">
        <v>48.8</v>
      </c>
      <c r="Z348" t="n">
        <v>49.1</v>
      </c>
      <c r="AA348" t="n">
        <v>50.3</v>
      </c>
      <c r="AB348" t="n">
        <v>43.1</v>
      </c>
      <c r="AC348" t="n">
        <v>49</v>
      </c>
      <c r="AD348" t="n">
        <v>52</v>
      </c>
      <c r="AF348" t="n">
        <v>50</v>
      </c>
      <c r="AG348" t="n">
        <v>52.9</v>
      </c>
      <c r="AH348" t="n">
        <v>43</v>
      </c>
      <c r="AI348" t="n">
        <v>48.8</v>
      </c>
      <c r="AJ348" t="n">
        <v>50.7</v>
      </c>
      <c r="AK348" t="n">
        <v>52</v>
      </c>
      <c r="AL348" t="n">
        <v>56.6</v>
      </c>
      <c r="AM348" t="n">
        <v>49.9</v>
      </c>
      <c r="AN348" t="n">
        <v>48.2</v>
      </c>
      <c r="AO348" t="n">
        <v>47.3</v>
      </c>
      <c r="AP348" t="n">
        <v>49</v>
      </c>
      <c r="AQ348" t="n">
        <v>42.6</v>
      </c>
      <c r="AR348" t="n">
        <v>49.2</v>
      </c>
      <c r="AS348" t="n">
        <v>57.1</v>
      </c>
      <c r="AT348" t="n">
        <v>42.2</v>
      </c>
      <c r="AU348" t="n">
        <v>55.7</v>
      </c>
      <c r="AV348" t="n">
        <v>46.9</v>
      </c>
      <c r="AW348" t="n">
        <v>56.1</v>
      </c>
      <c r="AX348" t="n">
        <v>48.4</v>
      </c>
      <c r="AY348" t="n">
        <v>52</v>
      </c>
      <c r="AZ348" t="n">
        <v>52.5</v>
      </c>
      <c r="BA348" t="n">
        <v>49.8</v>
      </c>
    </row>
    <row r="349">
      <c r="A349" s="81" t="n">
        <v>44835</v>
      </c>
      <c r="B349" t="n">
        <v>49.6</v>
      </c>
      <c r="C349" t="n">
        <v>46.6</v>
      </c>
      <c r="D349" t="n">
        <v>50.8</v>
      </c>
      <c r="E349" t="n">
        <v>48.8</v>
      </c>
      <c r="F349" t="n">
        <v>49.2</v>
      </c>
      <c r="G349" t="n">
        <v>50</v>
      </c>
      <c r="H349" t="n">
        <v>41.7</v>
      </c>
      <c r="I349" t="n">
        <v>52.09</v>
      </c>
      <c r="J349" t="n">
        <v>47.7</v>
      </c>
      <c r="K349" t="n">
        <v>46.4</v>
      </c>
      <c r="L349" t="n">
        <v>47.2</v>
      </c>
      <c r="M349" t="n">
        <v>45.1</v>
      </c>
      <c r="N349" t="n">
        <v>48.1</v>
      </c>
      <c r="O349" t="n">
        <v>49.3</v>
      </c>
      <c r="P349" t="n">
        <v>56.4</v>
      </c>
      <c r="Q349" t="n">
        <v>55.3</v>
      </c>
      <c r="R349" t="n">
        <v>51.8</v>
      </c>
      <c r="S349" t="n">
        <v>51.4</v>
      </c>
      <c r="T349" t="n">
        <v>53.6</v>
      </c>
      <c r="U349" t="n">
        <v>46.5</v>
      </c>
      <c r="V349" t="n">
        <v>50.7</v>
      </c>
      <c r="W349" t="n">
        <v>51.5</v>
      </c>
      <c r="X349" t="n">
        <v>50.2</v>
      </c>
      <c r="Y349" t="n">
        <v>49.1</v>
      </c>
      <c r="Z349" t="n">
        <v>48.7</v>
      </c>
      <c r="AA349" t="n">
        <v>50.3</v>
      </c>
      <c r="AB349" t="n">
        <v>45.7</v>
      </c>
      <c r="AC349" t="n">
        <v>47.9</v>
      </c>
      <c r="AD349" t="n">
        <v>49.3</v>
      </c>
      <c r="AF349" t="n">
        <v>53.1</v>
      </c>
      <c r="AG349" t="n">
        <v>52.6</v>
      </c>
      <c r="AH349" t="n">
        <v>42</v>
      </c>
      <c r="AI349" t="n">
        <v>53.7</v>
      </c>
      <c r="AJ349" t="n">
        <v>48.4</v>
      </c>
      <c r="AK349" t="n">
        <v>50.7</v>
      </c>
      <c r="AL349" t="n">
        <v>57.2</v>
      </c>
      <c r="AM349" t="n">
        <v>49.7</v>
      </c>
      <c r="AN349" t="n">
        <v>50</v>
      </c>
      <c r="AO349" t="n">
        <v>48.2</v>
      </c>
      <c r="AP349" t="n">
        <v>44.7</v>
      </c>
      <c r="AQ349" t="n">
        <v>38.4</v>
      </c>
      <c r="AR349" t="n">
        <v>46.8</v>
      </c>
      <c r="AS349" t="n">
        <v>54.9</v>
      </c>
      <c r="AT349" t="n">
        <v>41.5</v>
      </c>
      <c r="AU349" t="n">
        <v>51.6</v>
      </c>
      <c r="AV349" t="n">
        <v>46.4</v>
      </c>
      <c r="AW349" t="n">
        <v>56.6</v>
      </c>
      <c r="AX349" t="n">
        <v>46.2</v>
      </c>
      <c r="AY349" t="n">
        <v>50.4</v>
      </c>
      <c r="AZ349" t="n">
        <v>50.6</v>
      </c>
      <c r="BA349" t="n">
        <v>49.4</v>
      </c>
    </row>
    <row r="350">
      <c r="A350" s="81" t="n">
        <v>44866</v>
      </c>
      <c r="B350" t="n">
        <v>44.7</v>
      </c>
      <c r="C350" t="n">
        <v>46.6</v>
      </c>
      <c r="D350" t="n">
        <v>44.3</v>
      </c>
      <c r="E350" t="n">
        <v>49.6</v>
      </c>
      <c r="F350" t="n">
        <v>49.4</v>
      </c>
      <c r="G350" t="n">
        <v>47.3</v>
      </c>
      <c r="H350" t="n">
        <v>41.6</v>
      </c>
      <c r="I350" t="n">
        <v>45.48</v>
      </c>
      <c r="J350" t="n">
        <v>45.4</v>
      </c>
      <c r="K350" t="n">
        <v>47.1</v>
      </c>
      <c r="L350" t="n">
        <v>48.3</v>
      </c>
      <c r="M350" t="n">
        <v>46.2</v>
      </c>
      <c r="N350" t="n">
        <v>48.4</v>
      </c>
      <c r="O350" t="n">
        <v>48.7</v>
      </c>
      <c r="P350" t="n">
        <v>54.7</v>
      </c>
      <c r="Q350" t="n">
        <v>55.7</v>
      </c>
      <c r="R350" t="n">
        <v>50.3</v>
      </c>
      <c r="S350" t="n">
        <v>48.7</v>
      </c>
      <c r="U350" t="n">
        <v>48.4</v>
      </c>
      <c r="V350" t="n">
        <v>49</v>
      </c>
      <c r="X350" t="n">
        <v>50.9</v>
      </c>
      <c r="Y350" t="n">
        <v>48.1</v>
      </c>
      <c r="Z350" t="n">
        <v>47.9</v>
      </c>
      <c r="AA350" t="n">
        <v>50.6</v>
      </c>
      <c r="AB350" t="n">
        <v>44.6</v>
      </c>
      <c r="AC350" t="n">
        <v>46</v>
      </c>
      <c r="AD350" t="n">
        <v>47.35</v>
      </c>
      <c r="AF350" t="n">
        <v>51.2</v>
      </c>
      <c r="AG350" t="n">
        <v>52.7</v>
      </c>
      <c r="AH350" t="n">
        <v>43.4</v>
      </c>
      <c r="AJ350" t="n">
        <v>48.8</v>
      </c>
      <c r="AK350" t="n">
        <v>53.2</v>
      </c>
      <c r="AL350" t="n">
        <v>58.5</v>
      </c>
      <c r="AM350" t="n">
        <v>49.8</v>
      </c>
      <c r="AN350" t="n">
        <v>52.6</v>
      </c>
      <c r="AO350" t="n">
        <v>49</v>
      </c>
      <c r="AP350" t="n">
        <v>45.7</v>
      </c>
      <c r="AQ350" t="n">
        <v>42.1</v>
      </c>
      <c r="AR350" t="n">
        <v>45.8</v>
      </c>
      <c r="AS350" t="n">
        <v>53.9</v>
      </c>
      <c r="AT350" t="n">
        <v>41.6</v>
      </c>
      <c r="AU350" t="n">
        <v>51.1</v>
      </c>
      <c r="AV350" t="n">
        <v>45.7</v>
      </c>
      <c r="AW350" t="n">
        <v>54.4</v>
      </c>
      <c r="AX350" t="n">
        <v>46.5</v>
      </c>
      <c r="AY350" t="n">
        <v>47.7</v>
      </c>
      <c r="AZ350" t="n">
        <v>47.4</v>
      </c>
      <c r="BA350" t="n">
        <v>48.8</v>
      </c>
    </row>
    <row r="351">
      <c r="A351" s="81" t="n">
        <v>44896</v>
      </c>
      <c r="C351" t="n">
        <v>47.3</v>
      </c>
      <c r="K351" t="n">
        <v>47.8</v>
      </c>
      <c r="L351" t="n">
        <v>48.9</v>
      </c>
      <c r="M351" t="n">
        <v>47.4</v>
      </c>
      <c r="V351" t="n">
        <v>48.8</v>
      </c>
      <c r="AK351" t="n">
        <v>53</v>
      </c>
      <c r="AX351" t="n">
        <v>44.7</v>
      </c>
      <c r="AY351" t="n">
        <v>46.2</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F337"/>
  <sheetViews>
    <sheetView zoomScale="120" zoomScaleNormal="120" workbookViewId="0">
      <pane ySplit="1" topLeftCell="A311" activePane="bottomLeft" state="frozen"/>
      <selection activeCell="I319" sqref="I319"/>
      <selection pane="bottomLeft" activeCell="I319" sqref="I319"/>
    </sheetView>
  </sheetViews>
  <sheetFormatPr baseColWidth="8" defaultColWidth="10.81640625" defaultRowHeight="14.5"/>
  <cols>
    <col width="10.81640625" customWidth="1" min="1" max="5"/>
    <col width="17.36328125" customWidth="1" min="6" max="6"/>
    <col width="10.81640625" customWidth="1" min="7" max="40"/>
  </cols>
  <sheetData>
    <row r="1">
      <c r="A1" t="inlineStr">
        <is>
          <t>DATE</t>
        </is>
      </c>
      <c r="B1" t="inlineStr">
        <is>
          <t>Global</t>
        </is>
      </c>
      <c r="C1" t="inlineStr">
        <is>
          <t>ACWI</t>
        </is>
      </c>
      <c r="D1" t="inlineStr">
        <is>
          <t>EZU</t>
        </is>
      </c>
      <c r="E1" t="inlineStr">
        <is>
          <t>EWU</t>
        </is>
      </c>
      <c r="F1" t="inlineStr">
        <is>
          <t>EuroGDPQoQ</t>
        </is>
      </c>
    </row>
    <row r="2">
      <c r="A2" s="81" t="n">
        <v>34700</v>
      </c>
      <c r="B2" t="n">
        <v/>
      </c>
      <c r="C2" t="n">
        <v/>
      </c>
      <c r="D2" t="n">
        <v/>
      </c>
      <c r="E2" t="n">
        <v/>
      </c>
      <c r="F2" t="n">
        <v/>
      </c>
    </row>
    <row r="3">
      <c r="A3" s="81" t="n">
        <v>34731</v>
      </c>
      <c r="B3" t="n">
        <v/>
      </c>
      <c r="C3" t="n">
        <v/>
      </c>
      <c r="D3" t="n">
        <v/>
      </c>
      <c r="E3" t="n">
        <v/>
      </c>
      <c r="F3" t="n">
        <v/>
      </c>
    </row>
    <row r="4">
      <c r="A4" s="81" t="n">
        <v>34759</v>
      </c>
      <c r="B4" t="n">
        <v/>
      </c>
      <c r="C4" t="n">
        <v/>
      </c>
      <c r="D4" t="n">
        <v/>
      </c>
      <c r="E4" t="n">
        <v/>
      </c>
      <c r="F4" t="n">
        <v/>
      </c>
    </row>
    <row r="5">
      <c r="A5" s="81" t="n">
        <v>34790</v>
      </c>
      <c r="B5" t="n">
        <v/>
      </c>
      <c r="C5" t="n">
        <v/>
      </c>
      <c r="D5" t="n">
        <v/>
      </c>
      <c r="E5" t="n">
        <v/>
      </c>
      <c r="F5" t="n">
        <v>0.005888609028489226</v>
      </c>
    </row>
    <row r="6">
      <c r="A6" s="81" t="n">
        <v>34820</v>
      </c>
      <c r="B6" t="n">
        <v/>
      </c>
      <c r="C6" t="n">
        <v/>
      </c>
      <c r="D6" t="n">
        <v/>
      </c>
      <c r="E6" t="n">
        <v/>
      </c>
      <c r="F6" t="n">
        <v/>
      </c>
    </row>
    <row r="7">
      <c r="A7" s="81" t="n">
        <v>34851</v>
      </c>
      <c r="B7" t="n">
        <v/>
      </c>
      <c r="C7" t="n">
        <v/>
      </c>
      <c r="D7" t="n">
        <v/>
      </c>
      <c r="E7" t="n">
        <v/>
      </c>
      <c r="F7" t="n">
        <v/>
      </c>
    </row>
    <row r="8">
      <c r="A8" s="81" t="n">
        <v>34881</v>
      </c>
      <c r="B8" t="n">
        <v/>
      </c>
      <c r="C8" t="n">
        <v/>
      </c>
      <c r="D8" t="n">
        <v/>
      </c>
      <c r="E8" t="n">
        <v/>
      </c>
      <c r="F8" t="n">
        <v>0.002454750897362149</v>
      </c>
    </row>
    <row r="9">
      <c r="A9" s="81" t="n">
        <v>34912</v>
      </c>
      <c r="B9" t="n">
        <v/>
      </c>
      <c r="C9" t="n">
        <v/>
      </c>
      <c r="D9" t="n">
        <v/>
      </c>
      <c r="E9" t="n">
        <v/>
      </c>
      <c r="F9" t="n">
        <v/>
      </c>
    </row>
    <row r="10">
      <c r="A10" s="81" t="n">
        <v>34943</v>
      </c>
      <c r="B10" t="n">
        <v/>
      </c>
      <c r="C10" t="n">
        <v/>
      </c>
      <c r="D10" t="n">
        <v/>
      </c>
      <c r="E10" t="n">
        <v/>
      </c>
      <c r="F10" t="n">
        <v/>
      </c>
    </row>
    <row r="11">
      <c r="A11" s="81" t="n">
        <v>34973</v>
      </c>
      <c r="B11" t="n">
        <v/>
      </c>
      <c r="C11" t="n">
        <v/>
      </c>
      <c r="D11" t="n">
        <v/>
      </c>
      <c r="E11" t="n">
        <v/>
      </c>
      <c r="F11" t="n">
        <v>0.003252911654201806</v>
      </c>
    </row>
    <row r="12">
      <c r="A12" s="81" t="n">
        <v>35004</v>
      </c>
      <c r="B12" t="n">
        <v/>
      </c>
      <c r="C12" t="n">
        <v/>
      </c>
      <c r="D12" t="n">
        <v/>
      </c>
      <c r="E12" t="n">
        <v/>
      </c>
      <c r="F12" t="n">
        <v/>
      </c>
    </row>
    <row r="13">
      <c r="A13" s="81" t="n">
        <v>35034</v>
      </c>
      <c r="B13" t="n">
        <v/>
      </c>
      <c r="C13" t="n">
        <v/>
      </c>
      <c r="D13" t="n">
        <v/>
      </c>
      <c r="E13" t="n">
        <v/>
      </c>
      <c r="F13" t="n">
        <v/>
      </c>
    </row>
    <row r="14">
      <c r="A14" s="81" t="n">
        <v>35065</v>
      </c>
      <c r="B14" t="n">
        <v/>
      </c>
      <c r="C14" t="n">
        <v/>
      </c>
      <c r="D14" t="n">
        <v/>
      </c>
      <c r="E14" t="n">
        <v/>
      </c>
      <c r="F14" t="n">
        <v>0.002039426033407843</v>
      </c>
    </row>
    <row r="15">
      <c r="A15" s="81" t="n">
        <v>35096</v>
      </c>
      <c r="B15" t="n">
        <v/>
      </c>
      <c r="C15" t="n">
        <v/>
      </c>
      <c r="D15" t="n">
        <v/>
      </c>
      <c r="E15" t="n">
        <v/>
      </c>
      <c r="F15" t="n">
        <v/>
      </c>
    </row>
    <row r="16">
      <c r="A16" s="81" t="n">
        <v>35125</v>
      </c>
      <c r="B16" t="n">
        <v/>
      </c>
      <c r="C16" t="n">
        <v/>
      </c>
      <c r="D16" t="n">
        <v/>
      </c>
      <c r="E16" t="n">
        <v/>
      </c>
      <c r="F16" t="n">
        <v/>
      </c>
    </row>
    <row r="17">
      <c r="A17" s="81" t="n">
        <v>35156</v>
      </c>
      <c r="B17" t="n">
        <v/>
      </c>
      <c r="C17" t="n">
        <v/>
      </c>
      <c r="D17" t="n">
        <v/>
      </c>
      <c r="E17" t="n">
        <v/>
      </c>
      <c r="F17" t="n">
        <v>0.006917948872167555</v>
      </c>
    </row>
    <row r="18">
      <c r="A18" s="81" t="n">
        <v>35186</v>
      </c>
      <c r="B18" t="n">
        <v/>
      </c>
      <c r="C18" t="n">
        <v/>
      </c>
      <c r="D18" t="n">
        <v/>
      </c>
      <c r="E18" t="n">
        <v/>
      </c>
      <c r="F18" t="n">
        <v/>
      </c>
    </row>
    <row r="19">
      <c r="A19" s="81" t="n">
        <v>35217</v>
      </c>
      <c r="B19" t="n">
        <v/>
      </c>
      <c r="C19" t="n">
        <v/>
      </c>
      <c r="D19" t="n">
        <v/>
      </c>
      <c r="E19" t="n">
        <v/>
      </c>
      <c r="F19" t="n">
        <v/>
      </c>
    </row>
    <row r="20">
      <c r="A20" s="81" t="n">
        <v>35247</v>
      </c>
      <c r="B20" t="n">
        <v/>
      </c>
      <c r="C20" t="n">
        <v/>
      </c>
      <c r="D20" t="n">
        <v/>
      </c>
      <c r="E20" t="n">
        <v/>
      </c>
      <c r="F20" t="n">
        <v>0.005161067909919468</v>
      </c>
    </row>
    <row r="21">
      <c r="A21" s="81" t="n">
        <v>35278</v>
      </c>
      <c r="B21" t="n">
        <v/>
      </c>
      <c r="C21" t="n">
        <v/>
      </c>
      <c r="D21" t="n">
        <v/>
      </c>
      <c r="E21" t="n">
        <v/>
      </c>
      <c r="F21" t="n">
        <v/>
      </c>
    </row>
    <row r="22">
      <c r="A22" s="81" t="n">
        <v>35309</v>
      </c>
      <c r="B22" t="n">
        <v/>
      </c>
      <c r="C22" t="n">
        <v/>
      </c>
      <c r="D22" t="n">
        <v/>
      </c>
      <c r="E22" t="n">
        <v/>
      </c>
      <c r="F22" t="n">
        <v/>
      </c>
    </row>
    <row r="23">
      <c r="A23" s="81" t="n">
        <v>35339</v>
      </c>
      <c r="B23" t="n">
        <v/>
      </c>
      <c r="C23" t="n">
        <v/>
      </c>
      <c r="D23" t="n">
        <v/>
      </c>
      <c r="E23" t="n">
        <v/>
      </c>
      <c r="F23" t="n">
        <v>0.004730740528212398</v>
      </c>
    </row>
    <row r="24">
      <c r="A24" s="81" t="n">
        <v>35370</v>
      </c>
      <c r="B24" t="n">
        <v/>
      </c>
      <c r="C24" t="n">
        <v/>
      </c>
      <c r="D24" t="n">
        <v/>
      </c>
      <c r="E24" t="n">
        <v/>
      </c>
      <c r="F24" t="n">
        <v/>
      </c>
    </row>
    <row r="25">
      <c r="A25" s="81" t="n">
        <v>35400</v>
      </c>
      <c r="B25" t="n">
        <v/>
      </c>
      <c r="C25" t="n">
        <v/>
      </c>
      <c r="D25" t="n">
        <v/>
      </c>
      <c r="E25" t="n">
        <v/>
      </c>
      <c r="F25" t="n">
        <v/>
      </c>
    </row>
    <row r="26">
      <c r="A26" s="81" t="n">
        <v>35431</v>
      </c>
      <c r="B26" t="n">
        <v/>
      </c>
      <c r="C26" t="n">
        <v/>
      </c>
      <c r="D26" t="n">
        <v/>
      </c>
      <c r="E26" t="n">
        <v/>
      </c>
      <c r="F26" t="n">
        <v>0.002551869117519909</v>
      </c>
    </row>
    <row r="27">
      <c r="A27" s="81" t="n">
        <v>35462</v>
      </c>
      <c r="B27" t="n">
        <v/>
      </c>
      <c r="C27" t="n">
        <v/>
      </c>
      <c r="D27" t="n">
        <v/>
      </c>
      <c r="E27" t="n">
        <v/>
      </c>
      <c r="F27" t="n">
        <v/>
      </c>
    </row>
    <row r="28">
      <c r="A28" s="81" t="n">
        <v>35490</v>
      </c>
      <c r="B28" t="n">
        <v/>
      </c>
      <c r="C28" t="n">
        <v/>
      </c>
      <c r="D28" t="n">
        <v/>
      </c>
      <c r="E28" t="n">
        <v/>
      </c>
      <c r="F28" t="n">
        <v/>
      </c>
    </row>
    <row r="29">
      <c r="A29" s="81" t="n">
        <v>35521</v>
      </c>
      <c r="B29" t="n">
        <v/>
      </c>
      <c r="C29" t="n">
        <v/>
      </c>
      <c r="D29" t="n">
        <v/>
      </c>
      <c r="E29" t="n">
        <v/>
      </c>
      <c r="F29" t="n">
        <v>0.01218632600809531</v>
      </c>
    </row>
    <row r="30">
      <c r="A30" s="81" t="n">
        <v>35551</v>
      </c>
      <c r="B30" t="n">
        <v/>
      </c>
      <c r="C30" t="n">
        <v/>
      </c>
      <c r="D30" t="n">
        <v/>
      </c>
      <c r="E30" t="n">
        <v/>
      </c>
      <c r="F30" t="n">
        <v/>
      </c>
    </row>
    <row r="31">
      <c r="A31" s="81" t="n">
        <v>35582</v>
      </c>
      <c r="B31" t="n">
        <v/>
      </c>
      <c r="C31" t="n">
        <v/>
      </c>
      <c r="D31" t="n">
        <v/>
      </c>
      <c r="E31" t="n">
        <v/>
      </c>
      <c r="F31" t="n">
        <v/>
      </c>
    </row>
    <row r="32">
      <c r="A32" s="81" t="n">
        <v>35612</v>
      </c>
      <c r="B32" t="n">
        <v/>
      </c>
      <c r="C32" t="n">
        <v/>
      </c>
      <c r="D32" t="n">
        <v/>
      </c>
      <c r="E32" t="n">
        <v/>
      </c>
      <c r="F32" t="n">
        <v>0.008145663257978018</v>
      </c>
    </row>
    <row r="33">
      <c r="A33" s="81" t="n">
        <v>35643</v>
      </c>
      <c r="B33" t="n">
        <v/>
      </c>
      <c r="C33" t="n">
        <v/>
      </c>
      <c r="D33" t="n">
        <v/>
      </c>
      <c r="E33" t="n">
        <v/>
      </c>
      <c r="F33" t="n">
        <v/>
      </c>
    </row>
    <row r="34">
      <c r="A34" s="81" t="n">
        <v>35674</v>
      </c>
      <c r="B34" t="n">
        <v/>
      </c>
      <c r="C34" t="n">
        <v/>
      </c>
      <c r="D34" t="n">
        <v/>
      </c>
      <c r="E34" t="n">
        <v/>
      </c>
      <c r="F34" t="n">
        <v/>
      </c>
    </row>
    <row r="35">
      <c r="A35" s="81" t="n">
        <v>35704</v>
      </c>
      <c r="B35" t="n">
        <v/>
      </c>
      <c r="C35" t="n">
        <v/>
      </c>
      <c r="D35" t="n">
        <v/>
      </c>
      <c r="E35" t="n">
        <v/>
      </c>
      <c r="F35" t="n">
        <v>0.01122425018656592</v>
      </c>
    </row>
    <row r="36">
      <c r="A36" s="81" t="n">
        <v>35735</v>
      </c>
      <c r="B36" t="n">
        <v/>
      </c>
      <c r="C36" t="n">
        <v/>
      </c>
      <c r="D36" t="n">
        <v/>
      </c>
      <c r="E36" t="n">
        <v/>
      </c>
      <c r="F36" t="n">
        <v/>
      </c>
    </row>
    <row r="37">
      <c r="A37" s="81" t="n">
        <v>35765</v>
      </c>
      <c r="B37" t="n">
        <v/>
      </c>
      <c r="C37" t="n">
        <v/>
      </c>
      <c r="D37" t="n">
        <v/>
      </c>
      <c r="E37" t="n">
        <v/>
      </c>
      <c r="F37" t="n">
        <v/>
      </c>
    </row>
    <row r="38">
      <c r="A38" s="81" t="n">
        <v>35796</v>
      </c>
      <c r="B38" t="n">
        <v/>
      </c>
      <c r="C38" t="n">
        <v/>
      </c>
      <c r="D38" t="n">
        <v/>
      </c>
      <c r="E38" t="n">
        <v/>
      </c>
      <c r="F38" t="n">
        <v>0.006442279287845395</v>
      </c>
    </row>
    <row r="39">
      <c r="A39" s="81" t="n">
        <v>35827</v>
      </c>
      <c r="B39" t="n">
        <v/>
      </c>
      <c r="C39" t="n">
        <v/>
      </c>
      <c r="D39" t="n">
        <v/>
      </c>
      <c r="E39" t="n">
        <v/>
      </c>
      <c r="F39" t="n">
        <v/>
      </c>
    </row>
    <row r="40">
      <c r="A40" s="81" t="n">
        <v>35855</v>
      </c>
      <c r="B40" t="n">
        <v/>
      </c>
      <c r="C40" t="n">
        <v/>
      </c>
      <c r="D40" t="n">
        <v/>
      </c>
      <c r="E40" t="n">
        <v/>
      </c>
      <c r="F40" t="n">
        <v/>
      </c>
    </row>
    <row r="41">
      <c r="A41" s="81" t="n">
        <v>35886</v>
      </c>
      <c r="B41" t="n">
        <v/>
      </c>
      <c r="C41" t="n">
        <v/>
      </c>
      <c r="D41" t="n">
        <v/>
      </c>
      <c r="E41" t="n">
        <v/>
      </c>
      <c r="F41" t="n">
        <v>0.004390204687372035</v>
      </c>
    </row>
    <row r="42">
      <c r="A42" s="81" t="n">
        <v>35916</v>
      </c>
      <c r="B42" t="n">
        <v/>
      </c>
      <c r="C42" t="n">
        <v/>
      </c>
      <c r="D42" t="n">
        <v/>
      </c>
      <c r="E42" t="n">
        <v/>
      </c>
      <c r="F42" t="n">
        <v/>
      </c>
    </row>
    <row r="43">
      <c r="A43" s="81" t="n">
        <v>35947</v>
      </c>
      <c r="B43" t="n">
        <v/>
      </c>
      <c r="C43" t="n">
        <v/>
      </c>
      <c r="D43" t="n">
        <v/>
      </c>
      <c r="E43" t="n">
        <v/>
      </c>
      <c r="F43" t="n">
        <v/>
      </c>
    </row>
    <row r="44">
      <c r="A44" s="81" t="n">
        <v>35977</v>
      </c>
      <c r="B44" t="n">
        <v/>
      </c>
      <c r="C44" t="n">
        <v/>
      </c>
      <c r="D44" t="n">
        <v/>
      </c>
      <c r="E44" t="n">
        <v/>
      </c>
      <c r="F44" t="n">
        <v>0.006037250533676559</v>
      </c>
    </row>
    <row r="45">
      <c r="A45" s="81" t="n">
        <v>36008</v>
      </c>
      <c r="B45" t="n">
        <v/>
      </c>
      <c r="C45" t="n">
        <v/>
      </c>
      <c r="D45" t="n">
        <v/>
      </c>
      <c r="E45" t="n">
        <v/>
      </c>
      <c r="F45" t="n">
        <v/>
      </c>
    </row>
    <row r="46">
      <c r="A46" s="81" t="n">
        <v>36039</v>
      </c>
      <c r="B46" t="n">
        <v/>
      </c>
      <c r="C46" t="n">
        <v/>
      </c>
      <c r="D46" t="n">
        <v/>
      </c>
      <c r="E46" t="n">
        <v/>
      </c>
      <c r="F46" t="n">
        <v/>
      </c>
    </row>
    <row r="47">
      <c r="A47" s="81" t="n">
        <v>36069</v>
      </c>
      <c r="B47" t="n">
        <v/>
      </c>
      <c r="C47" t="n">
        <v/>
      </c>
      <c r="D47" t="n">
        <v/>
      </c>
      <c r="E47" t="n">
        <v/>
      </c>
      <c r="F47" t="n">
        <v>0.001237559341233936</v>
      </c>
    </row>
    <row r="48">
      <c r="A48" s="81" t="n">
        <v>36100</v>
      </c>
      <c r="B48" t="n">
        <v/>
      </c>
      <c r="C48" t="n">
        <v/>
      </c>
      <c r="D48" t="n">
        <v/>
      </c>
      <c r="E48" t="n">
        <v/>
      </c>
      <c r="F48" t="n">
        <v/>
      </c>
    </row>
    <row r="49">
      <c r="A49" s="81" t="n">
        <v>36130</v>
      </c>
      <c r="B49" t="n">
        <v/>
      </c>
      <c r="C49" t="n">
        <v/>
      </c>
      <c r="D49" t="n">
        <v/>
      </c>
      <c r="E49" t="n">
        <v/>
      </c>
      <c r="F49" t="n">
        <v/>
      </c>
    </row>
    <row r="50">
      <c r="A50" s="81" t="n">
        <v>36161</v>
      </c>
      <c r="B50" t="n">
        <v/>
      </c>
      <c r="C50" t="n">
        <v/>
      </c>
      <c r="D50" t="n">
        <v/>
      </c>
      <c r="E50" t="n">
        <v/>
      </c>
      <c r="F50" t="n">
        <v>0.01109789716032528</v>
      </c>
    </row>
    <row r="51">
      <c r="A51" s="81" t="n">
        <v>36192</v>
      </c>
      <c r="B51" t="n">
        <v/>
      </c>
      <c r="C51" t="n">
        <v/>
      </c>
      <c r="D51" t="n">
        <v/>
      </c>
      <c r="E51" t="n">
        <v/>
      </c>
      <c r="F51" t="n">
        <v/>
      </c>
    </row>
    <row r="52">
      <c r="A52" s="81" t="n">
        <v>36220</v>
      </c>
      <c r="B52" t="n">
        <v/>
      </c>
      <c r="C52" t="n">
        <v/>
      </c>
      <c r="D52" t="n">
        <v/>
      </c>
      <c r="E52" t="n">
        <v/>
      </c>
      <c r="F52" t="n">
        <v/>
      </c>
    </row>
    <row r="53">
      <c r="A53" s="81" t="n">
        <v>36251</v>
      </c>
      <c r="B53" t="n">
        <v/>
      </c>
      <c r="C53" t="n">
        <v/>
      </c>
      <c r="D53" t="n">
        <v/>
      </c>
      <c r="E53" t="n">
        <v/>
      </c>
      <c r="F53" t="n">
        <v>0.004517733050493445</v>
      </c>
    </row>
    <row r="54">
      <c r="A54" s="81" t="n">
        <v>36281</v>
      </c>
      <c r="B54" t="n">
        <v/>
      </c>
      <c r="C54" t="n">
        <v/>
      </c>
      <c r="D54" t="n">
        <v/>
      </c>
      <c r="E54" t="n">
        <v/>
      </c>
      <c r="F54" t="n">
        <v/>
      </c>
    </row>
    <row r="55">
      <c r="A55" s="81" t="n">
        <v>36312</v>
      </c>
      <c r="B55" t="n">
        <v/>
      </c>
      <c r="C55" t="n">
        <v/>
      </c>
      <c r="D55" t="n">
        <v/>
      </c>
      <c r="E55" t="n">
        <v/>
      </c>
      <c r="F55" t="n">
        <v/>
      </c>
    </row>
    <row r="56">
      <c r="A56" s="81" t="n">
        <v>36342</v>
      </c>
      <c r="B56" t="n">
        <v/>
      </c>
      <c r="C56" t="n">
        <v/>
      </c>
      <c r="D56" t="n">
        <v/>
      </c>
      <c r="E56" t="n">
        <v/>
      </c>
      <c r="F56" t="n">
        <v>0.01134238025419884</v>
      </c>
    </row>
    <row r="57">
      <c r="A57" s="81" t="n">
        <v>36373</v>
      </c>
      <c r="B57" t="n">
        <v/>
      </c>
      <c r="C57" t="n">
        <v/>
      </c>
      <c r="D57" t="n">
        <v/>
      </c>
      <c r="E57" t="n">
        <v/>
      </c>
      <c r="F57" t="n">
        <v/>
      </c>
    </row>
    <row r="58">
      <c r="A58" s="81" t="n">
        <v>36404</v>
      </c>
      <c r="B58" t="n">
        <v/>
      </c>
      <c r="C58" t="n">
        <v/>
      </c>
      <c r="D58" t="n">
        <v/>
      </c>
      <c r="E58" t="n">
        <v/>
      </c>
      <c r="F58" t="n">
        <v/>
      </c>
    </row>
    <row r="59">
      <c r="A59" s="81" t="n">
        <v>36434</v>
      </c>
      <c r="B59" t="n">
        <v/>
      </c>
      <c r="C59" t="n">
        <v/>
      </c>
      <c r="D59" t="n">
        <v/>
      </c>
      <c r="E59" t="n">
        <v/>
      </c>
      <c r="F59" t="n">
        <v>0.01153080309700627</v>
      </c>
    </row>
    <row r="60">
      <c r="A60" s="81" t="n">
        <v>36465</v>
      </c>
      <c r="B60" t="n">
        <v/>
      </c>
      <c r="C60" t="n">
        <v/>
      </c>
      <c r="D60" t="n">
        <v/>
      </c>
      <c r="E60" t="n">
        <v/>
      </c>
      <c r="F60" t="n">
        <v/>
      </c>
    </row>
    <row r="61">
      <c r="A61" s="81" t="n">
        <v>36495</v>
      </c>
      <c r="B61" t="n">
        <v/>
      </c>
      <c r="C61" t="n">
        <v/>
      </c>
      <c r="D61" t="n">
        <v/>
      </c>
      <c r="E61" t="n">
        <v/>
      </c>
      <c r="F61" t="n">
        <v/>
      </c>
    </row>
    <row r="62">
      <c r="A62" s="81" t="n">
        <v>36526</v>
      </c>
      <c r="B62" t="n">
        <v/>
      </c>
      <c r="C62" t="n">
        <v/>
      </c>
      <c r="D62" t="n">
        <v/>
      </c>
      <c r="E62" t="n">
        <v/>
      </c>
      <c r="F62" t="n">
        <v>0.0124239926509724</v>
      </c>
    </row>
    <row r="63">
      <c r="A63" s="81" t="n">
        <v>36557</v>
      </c>
      <c r="B63" t="n">
        <v/>
      </c>
      <c r="C63" t="n">
        <v/>
      </c>
      <c r="D63" t="n">
        <v/>
      </c>
      <c r="E63" t="n">
        <v/>
      </c>
      <c r="F63" t="n">
        <v/>
      </c>
    </row>
    <row r="64">
      <c r="A64" s="81" t="n">
        <v>36586</v>
      </c>
      <c r="B64" t="n">
        <v/>
      </c>
      <c r="C64" t="n">
        <v/>
      </c>
      <c r="D64" t="n">
        <v/>
      </c>
      <c r="E64" t="n">
        <v/>
      </c>
      <c r="F64" t="n">
        <v/>
      </c>
    </row>
    <row r="65">
      <c r="A65" s="81" t="n">
        <v>36617</v>
      </c>
      <c r="B65" t="n">
        <v/>
      </c>
      <c r="C65" t="n">
        <v/>
      </c>
      <c r="D65" t="n">
        <v/>
      </c>
      <c r="E65" t="n">
        <v/>
      </c>
      <c r="F65" t="n">
        <v>0.009176304806625003</v>
      </c>
    </row>
    <row r="66">
      <c r="A66" s="81" t="n">
        <v>36647</v>
      </c>
      <c r="B66" t="n">
        <v/>
      </c>
      <c r="C66" t="n">
        <v/>
      </c>
      <c r="D66" t="n">
        <v/>
      </c>
      <c r="E66" t="n">
        <v/>
      </c>
      <c r="F66" t="n">
        <v/>
      </c>
    </row>
    <row r="67">
      <c r="A67" s="81" t="n">
        <v>36678</v>
      </c>
      <c r="B67" t="n">
        <v/>
      </c>
      <c r="C67" t="n">
        <v/>
      </c>
      <c r="D67" t="n">
        <v/>
      </c>
      <c r="E67" t="n">
        <v/>
      </c>
      <c r="F67" t="n">
        <v/>
      </c>
    </row>
    <row r="68">
      <c r="A68" s="81" t="n">
        <v>36708</v>
      </c>
      <c r="B68" t="n">
        <v/>
      </c>
      <c r="C68" t="n">
        <v/>
      </c>
      <c r="D68" t="n">
        <v/>
      </c>
      <c r="E68" t="n">
        <v/>
      </c>
      <c r="F68" t="n">
        <v>0.005578144026998745</v>
      </c>
    </row>
    <row r="69">
      <c r="A69" s="81" t="n">
        <v>36739</v>
      </c>
      <c r="B69" t="n">
        <v/>
      </c>
      <c r="C69" t="n">
        <v/>
      </c>
      <c r="D69" t="n">
        <v/>
      </c>
      <c r="E69" t="n">
        <v/>
      </c>
      <c r="F69" t="n">
        <v/>
      </c>
    </row>
    <row r="70">
      <c r="A70" s="81" t="n">
        <v>36770</v>
      </c>
      <c r="B70" t="n">
        <v/>
      </c>
      <c r="C70" t="n">
        <v/>
      </c>
      <c r="D70" t="n">
        <v/>
      </c>
      <c r="E70" t="n">
        <v/>
      </c>
      <c r="F70" t="n">
        <v/>
      </c>
    </row>
    <row r="71">
      <c r="A71" s="81" t="n">
        <v>36800</v>
      </c>
      <c r="B71" t="n">
        <v/>
      </c>
      <c r="C71" t="n">
        <v/>
      </c>
      <c r="D71" t="n">
        <v/>
      </c>
      <c r="E71" t="n">
        <v/>
      </c>
      <c r="F71" t="n">
        <v>0.006831763990174998</v>
      </c>
    </row>
    <row r="72">
      <c r="A72" s="81" t="n">
        <v>36831</v>
      </c>
      <c r="B72" t="n">
        <v/>
      </c>
      <c r="C72" t="n">
        <v/>
      </c>
      <c r="D72" t="n">
        <v/>
      </c>
      <c r="E72" t="n">
        <v/>
      </c>
      <c r="F72" t="n">
        <v/>
      </c>
    </row>
    <row r="73">
      <c r="A73" s="81" t="n">
        <v>36861</v>
      </c>
      <c r="B73" t="n">
        <v/>
      </c>
      <c r="C73" t="n">
        <v/>
      </c>
      <c r="D73" t="n">
        <v/>
      </c>
      <c r="E73" t="n">
        <v/>
      </c>
      <c r="F73" t="n">
        <v/>
      </c>
    </row>
    <row r="74">
      <c r="A74" s="81" t="n">
        <v>36892</v>
      </c>
      <c r="B74" t="n">
        <v/>
      </c>
      <c r="C74" t="n">
        <v/>
      </c>
      <c r="D74" t="n">
        <v/>
      </c>
      <c r="E74" t="n">
        <v/>
      </c>
      <c r="F74" t="n">
        <v>0.009975607645751752</v>
      </c>
    </row>
    <row r="75">
      <c r="A75" s="81" t="n">
        <v>36923</v>
      </c>
      <c r="B75" t="n">
        <v/>
      </c>
      <c r="C75" t="n">
        <v/>
      </c>
      <c r="D75" t="n">
        <v/>
      </c>
      <c r="E75" t="n">
        <v/>
      </c>
      <c r="F75" t="n">
        <v/>
      </c>
    </row>
    <row r="76">
      <c r="A76" s="81" t="n">
        <v>36951</v>
      </c>
      <c r="B76" t="n">
        <v/>
      </c>
      <c r="C76" t="n">
        <v/>
      </c>
      <c r="D76" t="n">
        <v/>
      </c>
      <c r="E76" t="n">
        <v/>
      </c>
      <c r="F76" t="n">
        <v/>
      </c>
    </row>
    <row r="77">
      <c r="A77" s="81" t="n">
        <v>36982</v>
      </c>
      <c r="B77" t="n">
        <v/>
      </c>
      <c r="C77" t="n">
        <v/>
      </c>
      <c r="D77" t="n">
        <v/>
      </c>
      <c r="E77" t="n">
        <v/>
      </c>
      <c r="F77" t="n">
        <v>0.0008759078376479437</v>
      </c>
    </row>
    <row r="78">
      <c r="A78" s="81" t="n">
        <v>37012</v>
      </c>
      <c r="B78" t="n">
        <v/>
      </c>
      <c r="C78" t="n">
        <v/>
      </c>
      <c r="D78" t="n">
        <v/>
      </c>
      <c r="E78" t="n">
        <v/>
      </c>
      <c r="F78" t="n">
        <v/>
      </c>
    </row>
    <row r="79">
      <c r="A79" s="81" t="n">
        <v>37043</v>
      </c>
      <c r="B79" t="n">
        <v/>
      </c>
      <c r="C79" t="n">
        <v/>
      </c>
      <c r="D79" t="n">
        <v/>
      </c>
      <c r="E79" t="n">
        <v/>
      </c>
      <c r="F79" t="n">
        <v/>
      </c>
    </row>
    <row r="80">
      <c r="A80" s="81" t="n">
        <v>37073</v>
      </c>
      <c r="B80" t="n">
        <v/>
      </c>
      <c r="C80" t="n">
        <v/>
      </c>
      <c r="D80" t="n">
        <v/>
      </c>
      <c r="E80" t="n">
        <v/>
      </c>
      <c r="F80" t="n">
        <v>0.000825214958945236</v>
      </c>
    </row>
    <row r="81">
      <c r="A81" s="81" t="n">
        <v>37104</v>
      </c>
      <c r="B81" t="n">
        <v/>
      </c>
      <c r="C81" t="n">
        <v/>
      </c>
      <c r="D81" t="n">
        <v/>
      </c>
      <c r="E81" t="n">
        <v/>
      </c>
      <c r="F81" t="n">
        <v/>
      </c>
    </row>
    <row r="82">
      <c r="A82" s="81" t="n">
        <v>37135</v>
      </c>
      <c r="B82" t="n">
        <v/>
      </c>
      <c r="C82" t="n">
        <v/>
      </c>
      <c r="D82" t="n">
        <v/>
      </c>
      <c r="E82" t="n">
        <v/>
      </c>
      <c r="F82" t="n">
        <v/>
      </c>
    </row>
    <row r="83">
      <c r="A83" s="81" t="n">
        <v>37165</v>
      </c>
      <c r="B83" t="n">
        <v/>
      </c>
      <c r="C83" t="n">
        <v/>
      </c>
      <c r="D83" t="n">
        <v/>
      </c>
      <c r="E83" t="n">
        <v/>
      </c>
      <c r="F83" t="n">
        <v>0.001040027408258559</v>
      </c>
    </row>
    <row r="84">
      <c r="A84" s="81" t="n">
        <v>37196</v>
      </c>
      <c r="B84" t="n">
        <v/>
      </c>
      <c r="C84" t="n">
        <v/>
      </c>
      <c r="D84" t="n">
        <v/>
      </c>
      <c r="E84" t="n">
        <v/>
      </c>
      <c r="F84" t="n">
        <v/>
      </c>
    </row>
    <row r="85">
      <c r="A85" s="81" t="n">
        <v>37226</v>
      </c>
      <c r="B85" t="n">
        <v/>
      </c>
      <c r="C85" t="n">
        <v/>
      </c>
      <c r="D85" t="n">
        <v/>
      </c>
      <c r="E85" t="n">
        <v/>
      </c>
      <c r="F85" t="n">
        <v/>
      </c>
    </row>
    <row r="86">
      <c r="A86" s="81" t="n">
        <v>37257</v>
      </c>
      <c r="B86" t="n">
        <v/>
      </c>
      <c r="C86" t="n">
        <v/>
      </c>
      <c r="D86" t="n">
        <v/>
      </c>
      <c r="E86" t="n">
        <v/>
      </c>
      <c r="F86" t="n">
        <v>0.001395471733602888</v>
      </c>
    </row>
    <row r="87">
      <c r="A87" s="81" t="n">
        <v>37288</v>
      </c>
      <c r="B87" t="n">
        <v/>
      </c>
      <c r="C87" t="n">
        <v/>
      </c>
      <c r="D87" t="n">
        <v/>
      </c>
      <c r="E87" t="n">
        <v/>
      </c>
      <c r="F87" t="n">
        <v/>
      </c>
    </row>
    <row r="88">
      <c r="A88" s="81" t="n">
        <v>37316</v>
      </c>
      <c r="B88" t="n">
        <v/>
      </c>
      <c r="C88" t="n">
        <v/>
      </c>
      <c r="D88" t="n">
        <v/>
      </c>
      <c r="E88" t="n">
        <v/>
      </c>
      <c r="F88" t="n">
        <v/>
      </c>
    </row>
    <row r="89">
      <c r="A89" s="81" t="n">
        <v>37347</v>
      </c>
      <c r="B89" t="n">
        <v/>
      </c>
      <c r="C89" t="n">
        <v/>
      </c>
      <c r="D89" t="n">
        <v/>
      </c>
      <c r="E89" t="n">
        <v/>
      </c>
      <c r="F89" t="n">
        <v>0.005186115596658552</v>
      </c>
    </row>
    <row r="90">
      <c r="A90" s="81" t="n">
        <v>37377</v>
      </c>
      <c r="B90" t="n">
        <v/>
      </c>
      <c r="C90" t="n">
        <v/>
      </c>
      <c r="D90" t="n">
        <v/>
      </c>
      <c r="E90" t="n">
        <v/>
      </c>
      <c r="F90" t="n">
        <v/>
      </c>
    </row>
    <row r="91">
      <c r="A91" s="81" t="n">
        <v>37408</v>
      </c>
      <c r="B91" t="n">
        <v/>
      </c>
      <c r="C91" t="n">
        <v/>
      </c>
      <c r="D91" t="n">
        <v/>
      </c>
      <c r="E91" t="n">
        <v/>
      </c>
      <c r="F91" t="n">
        <v/>
      </c>
    </row>
    <row r="92">
      <c r="A92" s="81" t="n">
        <v>37438</v>
      </c>
      <c r="B92" t="n">
        <v/>
      </c>
      <c r="C92" t="n">
        <v/>
      </c>
      <c r="D92" t="n">
        <v/>
      </c>
      <c r="E92" t="n">
        <v/>
      </c>
      <c r="F92" t="n">
        <v>0.00360825662089467</v>
      </c>
    </row>
    <row r="93">
      <c r="A93" s="81" t="n">
        <v>37469</v>
      </c>
      <c r="B93" t="n">
        <v/>
      </c>
      <c r="C93" t="n">
        <v/>
      </c>
      <c r="D93" t="n">
        <v/>
      </c>
      <c r="E93" t="n">
        <v/>
      </c>
      <c r="F93" t="n">
        <v/>
      </c>
    </row>
    <row r="94">
      <c r="A94" s="81" t="n">
        <v>37500</v>
      </c>
      <c r="B94" t="n">
        <v/>
      </c>
      <c r="C94" t="n">
        <v/>
      </c>
      <c r="D94" t="n">
        <v/>
      </c>
      <c r="E94" t="n">
        <v/>
      </c>
      <c r="F94" t="n">
        <v/>
      </c>
    </row>
    <row r="95">
      <c r="A95" s="81" t="n">
        <v>37530</v>
      </c>
      <c r="B95" t="n">
        <v/>
      </c>
      <c r="C95" t="n">
        <v/>
      </c>
      <c r="D95" t="n">
        <v/>
      </c>
      <c r="E95" t="n">
        <v/>
      </c>
      <c r="F95" t="n">
        <v>0.002413709310855201</v>
      </c>
    </row>
    <row r="96">
      <c r="A96" s="81" t="n">
        <v>37561</v>
      </c>
      <c r="B96" t="n">
        <v/>
      </c>
      <c r="C96" t="n">
        <v/>
      </c>
      <c r="D96" t="n">
        <v/>
      </c>
      <c r="E96" t="n">
        <v/>
      </c>
      <c r="F96" t="n">
        <v/>
      </c>
    </row>
    <row r="97">
      <c r="A97" s="81" t="n">
        <v>37591</v>
      </c>
      <c r="B97" t="n">
        <v/>
      </c>
      <c r="C97" t="n">
        <v/>
      </c>
      <c r="D97" t="n">
        <v/>
      </c>
      <c r="E97" t="n">
        <v/>
      </c>
      <c r="F97" t="n">
        <v/>
      </c>
    </row>
    <row r="98">
      <c r="A98" s="81" t="n">
        <v>37622</v>
      </c>
      <c r="B98" t="n">
        <v/>
      </c>
      <c r="C98" t="n">
        <v/>
      </c>
      <c r="D98" t="n">
        <v/>
      </c>
      <c r="E98" t="n">
        <v/>
      </c>
      <c r="F98" t="n">
        <v>-0.003185939767864378</v>
      </c>
    </row>
    <row r="99">
      <c r="A99" s="81" t="n">
        <v>37653</v>
      </c>
      <c r="B99" t="n">
        <v/>
      </c>
      <c r="C99" t="n">
        <v/>
      </c>
      <c r="D99" t="n">
        <v/>
      </c>
      <c r="E99" t="n">
        <v/>
      </c>
      <c r="F99" t="n">
        <v/>
      </c>
    </row>
    <row r="100">
      <c r="A100" s="81" t="n">
        <v>37681</v>
      </c>
      <c r="B100" t="n">
        <v/>
      </c>
      <c r="C100" t="n">
        <v/>
      </c>
      <c r="D100" t="n">
        <v/>
      </c>
      <c r="E100" t="n">
        <v/>
      </c>
      <c r="F100" t="n">
        <v/>
      </c>
    </row>
    <row r="101">
      <c r="A101" s="81" t="n">
        <v>37712</v>
      </c>
      <c r="B101" t="n">
        <v/>
      </c>
      <c r="C101" t="n">
        <v/>
      </c>
      <c r="D101" t="n">
        <v/>
      </c>
      <c r="E101" t="n">
        <v/>
      </c>
      <c r="F101" t="n">
        <v>0.0008971955930652095</v>
      </c>
    </row>
    <row r="102">
      <c r="A102" s="81" t="n">
        <v>37742</v>
      </c>
      <c r="B102" t="n">
        <v/>
      </c>
      <c r="C102" t="n">
        <v/>
      </c>
      <c r="D102" t="n">
        <v/>
      </c>
      <c r="E102" t="n">
        <v/>
      </c>
      <c r="F102" t="n">
        <v/>
      </c>
    </row>
    <row r="103">
      <c r="A103" s="81" t="n">
        <v>37773</v>
      </c>
      <c r="B103" t="n">
        <v/>
      </c>
      <c r="C103" t="n">
        <v/>
      </c>
      <c r="D103" t="n">
        <v/>
      </c>
      <c r="E103" t="n">
        <v/>
      </c>
      <c r="F103" t="n">
        <v/>
      </c>
    </row>
    <row r="104">
      <c r="A104" s="81" t="n">
        <v>37803</v>
      </c>
      <c r="B104" t="n">
        <v/>
      </c>
      <c r="C104" t="n">
        <v/>
      </c>
      <c r="D104" t="n">
        <v/>
      </c>
      <c r="E104" t="n">
        <v/>
      </c>
      <c r="F104" t="n">
        <v>0.005166284835737661</v>
      </c>
    </row>
    <row r="105">
      <c r="A105" s="81" t="n">
        <v>37834</v>
      </c>
      <c r="B105" t="n">
        <v/>
      </c>
      <c r="C105" t="n">
        <v/>
      </c>
      <c r="D105" t="n">
        <v/>
      </c>
      <c r="E105" t="n">
        <v/>
      </c>
      <c r="F105" t="n">
        <v/>
      </c>
    </row>
    <row r="106">
      <c r="A106" s="81" t="n">
        <v>37865</v>
      </c>
      <c r="B106" t="n">
        <v/>
      </c>
      <c r="C106" t="n">
        <v/>
      </c>
      <c r="D106" t="n">
        <v/>
      </c>
      <c r="E106" t="n">
        <v/>
      </c>
      <c r="F106" t="n">
        <v/>
      </c>
    </row>
    <row r="107">
      <c r="A107" s="81" t="n">
        <v>37895</v>
      </c>
      <c r="B107" t="n">
        <v/>
      </c>
      <c r="C107" t="n">
        <v/>
      </c>
      <c r="D107" t="n">
        <v/>
      </c>
      <c r="E107" t="n">
        <v/>
      </c>
      <c r="F107" t="n">
        <v>0.007376856215090179</v>
      </c>
    </row>
    <row r="108">
      <c r="A108" s="81" t="n">
        <v>37926</v>
      </c>
      <c r="B108" t="n">
        <v/>
      </c>
      <c r="C108" t="n">
        <v/>
      </c>
      <c r="D108" t="n">
        <v/>
      </c>
      <c r="E108" t="n">
        <v/>
      </c>
      <c r="F108" t="n">
        <v/>
      </c>
    </row>
    <row r="109">
      <c r="A109" s="81" t="n">
        <v>37956</v>
      </c>
      <c r="B109" t="n">
        <v/>
      </c>
      <c r="C109" t="n">
        <v/>
      </c>
      <c r="D109" t="n">
        <v/>
      </c>
      <c r="E109" t="n">
        <v/>
      </c>
      <c r="F109" t="n">
        <v/>
      </c>
    </row>
    <row r="110">
      <c r="A110" s="81" t="n">
        <v>37987</v>
      </c>
      <c r="B110" t="n">
        <v/>
      </c>
      <c r="C110" t="n">
        <v/>
      </c>
      <c r="D110" t="n">
        <v/>
      </c>
      <c r="E110" t="n">
        <v/>
      </c>
      <c r="F110" t="n">
        <v>0.00506198216887174</v>
      </c>
    </row>
    <row r="111">
      <c r="A111" s="81" t="n">
        <v>38018</v>
      </c>
      <c r="B111" t="n">
        <v/>
      </c>
      <c r="C111" t="n">
        <v/>
      </c>
      <c r="D111" t="n">
        <v/>
      </c>
      <c r="E111" t="n">
        <v/>
      </c>
      <c r="F111" t="n">
        <v/>
      </c>
    </row>
    <row r="112">
      <c r="A112" s="81" t="n">
        <v>38047</v>
      </c>
      <c r="B112" t="n">
        <v/>
      </c>
      <c r="C112" t="n">
        <v/>
      </c>
      <c r="D112" t="n">
        <v/>
      </c>
      <c r="E112" t="n">
        <v/>
      </c>
      <c r="F112" t="n">
        <v/>
      </c>
    </row>
    <row r="113">
      <c r="A113" s="81" t="n">
        <v>38078</v>
      </c>
      <c r="B113" t="n">
        <v/>
      </c>
      <c r="C113" t="n">
        <v/>
      </c>
      <c r="D113" t="n">
        <v/>
      </c>
      <c r="E113" t="n">
        <v/>
      </c>
      <c r="F113" t="n">
        <v>0.006132061674834014</v>
      </c>
    </row>
    <row r="114">
      <c r="A114" s="81" t="n">
        <v>38108</v>
      </c>
      <c r="B114" t="n">
        <v/>
      </c>
      <c r="C114" t="n">
        <v/>
      </c>
      <c r="D114" t="n">
        <v/>
      </c>
      <c r="E114" t="n">
        <v/>
      </c>
      <c r="F114" t="n">
        <v/>
      </c>
    </row>
    <row r="115">
      <c r="A115" s="81" t="n">
        <v>38139</v>
      </c>
      <c r="B115" t="n">
        <v/>
      </c>
      <c r="C115" t="n">
        <v/>
      </c>
      <c r="D115" t="n">
        <v/>
      </c>
      <c r="E115" t="n">
        <v/>
      </c>
      <c r="F115" t="n">
        <v/>
      </c>
    </row>
    <row r="116">
      <c r="A116" s="81" t="n">
        <v>38169</v>
      </c>
      <c r="B116" t="n">
        <v/>
      </c>
      <c r="C116" t="n">
        <v/>
      </c>
      <c r="D116" t="n">
        <v/>
      </c>
      <c r="E116" t="n">
        <v/>
      </c>
      <c r="F116" t="n">
        <v>0.002250182206260339</v>
      </c>
    </row>
    <row r="117">
      <c r="A117" s="81" t="n">
        <v>38200</v>
      </c>
      <c r="B117" t="n">
        <v/>
      </c>
      <c r="C117" t="n">
        <v/>
      </c>
      <c r="D117" t="n">
        <v/>
      </c>
      <c r="E117" t="n">
        <v/>
      </c>
      <c r="F117" t="n">
        <v/>
      </c>
    </row>
    <row r="118">
      <c r="A118" s="81" t="n">
        <v>38231</v>
      </c>
      <c r="B118" t="n">
        <v/>
      </c>
      <c r="C118" t="n">
        <v/>
      </c>
      <c r="D118" t="n">
        <v/>
      </c>
      <c r="E118" t="n">
        <v/>
      </c>
      <c r="F118" t="n">
        <v/>
      </c>
    </row>
    <row r="119">
      <c r="A119" s="81" t="n">
        <v>38261</v>
      </c>
      <c r="B119" t="n">
        <v/>
      </c>
      <c r="C119" t="n">
        <v/>
      </c>
      <c r="D119" t="n">
        <v/>
      </c>
      <c r="E119" t="n">
        <v/>
      </c>
      <c r="F119" t="n">
        <v>0.003970909785465816</v>
      </c>
    </row>
    <row r="120">
      <c r="A120" s="81" t="n">
        <v>38292</v>
      </c>
      <c r="B120" t="n">
        <v/>
      </c>
      <c r="C120" t="n">
        <v/>
      </c>
      <c r="D120" t="n">
        <v/>
      </c>
      <c r="E120" t="n">
        <v/>
      </c>
      <c r="F120" t="n">
        <v/>
      </c>
    </row>
    <row r="121">
      <c r="A121" s="81" t="n">
        <v>38322</v>
      </c>
      <c r="B121" t="n">
        <v/>
      </c>
      <c r="C121" t="n">
        <v/>
      </c>
      <c r="D121" t="n">
        <v>21.58071708679199</v>
      </c>
      <c r="E121" t="n">
        <v>18.00841331481934</v>
      </c>
      <c r="F121" t="n">
        <v/>
      </c>
    </row>
    <row r="122">
      <c r="A122" s="81" t="n">
        <v>38353</v>
      </c>
      <c r="B122" t="n">
        <v/>
      </c>
      <c r="C122" t="n">
        <v/>
      </c>
      <c r="D122" t="n">
        <v>21.49020767211914</v>
      </c>
      <c r="E122" t="n">
        <v>17.90951919555664</v>
      </c>
      <c r="F122" t="n">
        <v>0.002079008425802162</v>
      </c>
    </row>
    <row r="123">
      <c r="A123" s="81" t="n">
        <v>38384</v>
      </c>
      <c r="B123" t="n">
        <v/>
      </c>
      <c r="C123" t="n">
        <v/>
      </c>
      <c r="D123" t="n">
        <v>22.42548561096191</v>
      </c>
      <c r="E123" t="n">
        <v>18.85319519042969</v>
      </c>
      <c r="F123" t="n">
        <v/>
      </c>
    </row>
    <row r="124">
      <c r="A124" s="81" t="n">
        <v>38412</v>
      </c>
      <c r="B124" t="n">
        <v/>
      </c>
      <c r="C124" t="n">
        <v/>
      </c>
      <c r="D124" t="n">
        <v>21.88368988037109</v>
      </c>
      <c r="E124" t="n">
        <v>18.39658546447754</v>
      </c>
      <c r="F124" t="n">
        <v/>
      </c>
    </row>
    <row r="125">
      <c r="A125" s="81" t="n">
        <v>38443</v>
      </c>
      <c r="B125" t="n">
        <v/>
      </c>
      <c r="C125" t="n">
        <v/>
      </c>
      <c r="D125" t="n">
        <v>21.12699508666992</v>
      </c>
      <c r="E125" t="n">
        <v>18.17334365844727</v>
      </c>
      <c r="F125" t="n">
        <v>0.006154369590930122</v>
      </c>
    </row>
    <row r="126">
      <c r="A126" s="81" t="n">
        <v>38473</v>
      </c>
      <c r="B126" t="n">
        <v/>
      </c>
      <c r="C126" t="n">
        <v/>
      </c>
      <c r="D126" t="n">
        <v>21.22082710266113</v>
      </c>
      <c r="E126" t="n">
        <v>18.03128814697266</v>
      </c>
      <c r="F126" t="n">
        <v/>
      </c>
    </row>
    <row r="127">
      <c r="A127" s="81" t="n">
        <v>38504</v>
      </c>
      <c r="B127" t="n">
        <v/>
      </c>
      <c r="C127" t="n">
        <v/>
      </c>
      <c r="D127" t="n">
        <v>21.53258514404297</v>
      </c>
      <c r="E127" t="n">
        <v>18.23422622680664</v>
      </c>
      <c r="F127" t="n">
        <v/>
      </c>
    </row>
    <row r="128">
      <c r="A128" s="81" t="n">
        <v>38534</v>
      </c>
      <c r="B128" t="n">
        <v/>
      </c>
      <c r="C128" t="n">
        <v/>
      </c>
      <c r="D128" t="n">
        <v>22.51326370239258</v>
      </c>
      <c r="E128" t="n">
        <v>18.36614036560059</v>
      </c>
      <c r="F128" t="n">
        <v>0.00732764268577181</v>
      </c>
    </row>
    <row r="129">
      <c r="A129" s="81" t="n">
        <v>38565</v>
      </c>
      <c r="B129" t="n">
        <v/>
      </c>
      <c r="C129" t="n">
        <v/>
      </c>
      <c r="D129" t="n">
        <v>22.88253211975098</v>
      </c>
      <c r="E129" t="n">
        <v>19.09672164916992</v>
      </c>
      <c r="F129" t="n">
        <v/>
      </c>
    </row>
    <row r="130">
      <c r="A130" s="81" t="n">
        <v>38596</v>
      </c>
      <c r="B130" t="n">
        <v/>
      </c>
      <c r="C130" t="n">
        <v/>
      </c>
      <c r="D130" t="n">
        <v>23.28207015991211</v>
      </c>
      <c r="E130" t="n">
        <v>19.23878479003906</v>
      </c>
      <c r="F130" t="n">
        <v/>
      </c>
    </row>
    <row r="131">
      <c r="A131" s="81" t="n">
        <v>38626</v>
      </c>
      <c r="B131" t="n">
        <v/>
      </c>
      <c r="C131" t="n">
        <v/>
      </c>
      <c r="D131" t="n">
        <v>22.40429878234863</v>
      </c>
      <c r="E131" t="n">
        <v>18.77202033996582</v>
      </c>
      <c r="F131" t="n">
        <v>0.006390846493875452</v>
      </c>
    </row>
    <row r="132">
      <c r="A132" s="81" t="n">
        <v>38657</v>
      </c>
      <c r="B132" t="n">
        <v/>
      </c>
      <c r="C132" t="n">
        <v/>
      </c>
      <c r="D132" t="n">
        <v>22.81593894958496</v>
      </c>
      <c r="E132" t="n">
        <v>18.80246543884277</v>
      </c>
      <c r="F132" t="n">
        <v/>
      </c>
    </row>
    <row r="133">
      <c r="A133" s="81" t="n">
        <v>38687</v>
      </c>
      <c r="B133" t="n">
        <v/>
      </c>
      <c r="C133" t="n">
        <v/>
      </c>
      <c r="D133" t="n">
        <v>23.50301933288574</v>
      </c>
      <c r="E133" t="n">
        <v>18.85319519042969</v>
      </c>
      <c r="F133" t="n">
        <v/>
      </c>
    </row>
    <row r="134">
      <c r="A134" s="81" t="n">
        <v>38718</v>
      </c>
      <c r="B134" t="n">
        <v/>
      </c>
      <c r="C134" t="n">
        <v/>
      </c>
      <c r="D134" t="n">
        <v>25.51089096069336</v>
      </c>
      <c r="E134" t="n">
        <v>20.61868858337402</v>
      </c>
      <c r="F134" t="n">
        <v>0.008731075876649541</v>
      </c>
    </row>
    <row r="135">
      <c r="A135" s="81" t="n">
        <v>38749</v>
      </c>
      <c r="B135" t="n">
        <v/>
      </c>
      <c r="C135" t="n">
        <v/>
      </c>
      <c r="D135" t="n">
        <v>25.69557762145996</v>
      </c>
      <c r="E135" t="n">
        <v>20.50362396240234</v>
      </c>
      <c r="F135" t="n">
        <v/>
      </c>
    </row>
    <row r="136">
      <c r="A136" s="81" t="n">
        <v>38777</v>
      </c>
      <c r="B136" t="n">
        <v/>
      </c>
      <c r="C136" t="n">
        <v/>
      </c>
      <c r="D136" t="n">
        <v>26.82522201538086</v>
      </c>
      <c r="E136" t="n">
        <v>21.08943557739258</v>
      </c>
      <c r="F136" t="n">
        <v/>
      </c>
    </row>
    <row r="137">
      <c r="A137" s="81" t="n">
        <v>38808</v>
      </c>
      <c r="B137" t="n">
        <v/>
      </c>
      <c r="C137" t="n">
        <v/>
      </c>
      <c r="D137" t="n">
        <v>28.02565765380859</v>
      </c>
      <c r="E137" t="n">
        <v>22.43891143798828</v>
      </c>
      <c r="F137" t="n">
        <v>0.01104205733804205</v>
      </c>
    </row>
    <row r="138">
      <c r="A138" s="81" t="n">
        <v>38838</v>
      </c>
      <c r="B138" t="n">
        <v/>
      </c>
      <c r="C138" t="n">
        <v/>
      </c>
      <c r="D138" t="n">
        <v>27.02837753295898</v>
      </c>
      <c r="E138" t="n">
        <v>21.84262847900391</v>
      </c>
      <c r="F138" t="n">
        <v/>
      </c>
    </row>
    <row r="139">
      <c r="A139" s="81" t="n">
        <v>38869</v>
      </c>
      <c r="B139" t="n">
        <v/>
      </c>
      <c r="C139" t="n">
        <v/>
      </c>
      <c r="D139" t="n">
        <v>27.10532760620117</v>
      </c>
      <c r="E139" t="n">
        <v>22.02047157287598</v>
      </c>
      <c r="F139" t="n">
        <v/>
      </c>
    </row>
    <row r="140">
      <c r="A140" s="81" t="n">
        <v>38899</v>
      </c>
      <c r="B140" t="n">
        <v/>
      </c>
      <c r="C140" t="n">
        <v/>
      </c>
      <c r="D140" t="n">
        <v>27.42852401733398</v>
      </c>
      <c r="E140" t="n">
        <v>22.59582138061523</v>
      </c>
      <c r="F140" t="n">
        <v>0.005944216053640459</v>
      </c>
    </row>
    <row r="141">
      <c r="A141" s="81" t="n">
        <v>38930</v>
      </c>
      <c r="B141" t="n">
        <v/>
      </c>
      <c r="C141" t="n">
        <v/>
      </c>
      <c r="D141" t="n">
        <v>28.49351501464844</v>
      </c>
      <c r="E141" t="n">
        <v>23.08749771118164</v>
      </c>
      <c r="F141" t="n">
        <v/>
      </c>
    </row>
    <row r="142">
      <c r="A142" s="81" t="n">
        <v>38961</v>
      </c>
      <c r="B142" t="n">
        <v/>
      </c>
      <c r="C142" t="n">
        <v/>
      </c>
      <c r="D142" t="n">
        <v>28.99216842651367</v>
      </c>
      <c r="E142" t="n">
        <v>22.89919281005859</v>
      </c>
      <c r="F142" t="n">
        <v/>
      </c>
    </row>
    <row r="143">
      <c r="A143" s="81" t="n">
        <v>38991</v>
      </c>
      <c r="B143" t="n">
        <v/>
      </c>
      <c r="C143" t="n">
        <v/>
      </c>
      <c r="D143" t="n">
        <v>29.98022651672363</v>
      </c>
      <c r="E143" t="n">
        <v>23.95575714111328</v>
      </c>
      <c r="F143" t="n">
        <v>0.01173620356979928</v>
      </c>
    </row>
    <row r="144">
      <c r="A144" s="81" t="n">
        <v>39022</v>
      </c>
      <c r="B144" t="n">
        <v/>
      </c>
      <c r="C144" t="n">
        <v/>
      </c>
      <c r="D144" t="n">
        <v>31.3653507232666</v>
      </c>
      <c r="E144" t="n">
        <v>24.63572120666504</v>
      </c>
      <c r="F144" t="n">
        <v/>
      </c>
    </row>
    <row r="145">
      <c r="A145" s="81" t="n">
        <v>39052</v>
      </c>
      <c r="B145" t="n">
        <v/>
      </c>
      <c r="C145" t="n">
        <v/>
      </c>
      <c r="D145" t="n">
        <v>31.81166839599609</v>
      </c>
      <c r="E145" t="n">
        <v>24.48927688598633</v>
      </c>
      <c r="F145" t="n">
        <v/>
      </c>
    </row>
    <row r="146">
      <c r="A146" s="81" t="n">
        <v>39083</v>
      </c>
      <c r="B146" t="n">
        <v/>
      </c>
      <c r="C146" t="n">
        <v/>
      </c>
      <c r="D146" t="n">
        <v>32.85491561889648</v>
      </c>
      <c r="E146" t="n">
        <v>25.51086616516113</v>
      </c>
      <c r="F146" t="n">
        <v>0.006000599096584409</v>
      </c>
    </row>
    <row r="147">
      <c r="A147" s="81" t="n">
        <v>39114</v>
      </c>
      <c r="B147" t="n">
        <v/>
      </c>
      <c r="C147" t="n">
        <v/>
      </c>
      <c r="D147" t="n">
        <v>32.55724716186523</v>
      </c>
      <c r="E147" t="n">
        <v>25.13204765319824</v>
      </c>
      <c r="F147" t="n">
        <v/>
      </c>
    </row>
    <row r="148">
      <c r="A148" s="81" t="n">
        <v>39142</v>
      </c>
      <c r="B148" t="n">
        <v/>
      </c>
      <c r="C148" t="n">
        <v/>
      </c>
      <c r="D148" t="n">
        <v>33.91090774536133</v>
      </c>
      <c r="E148" t="n">
        <v>26.05203437805176</v>
      </c>
      <c r="F148" t="n">
        <v/>
      </c>
    </row>
    <row r="149">
      <c r="A149" s="81" t="n">
        <v>39173</v>
      </c>
      <c r="B149" t="n">
        <v/>
      </c>
      <c r="C149" t="n">
        <v/>
      </c>
      <c r="D149" t="n">
        <v>36.03544235229492</v>
      </c>
      <c r="E149" t="n">
        <v>26.89626502990723</v>
      </c>
      <c r="F149" t="n">
        <v>0.007220810725550743</v>
      </c>
    </row>
    <row r="150">
      <c r="A150" s="81" t="n">
        <v>39203</v>
      </c>
      <c r="B150" t="n">
        <v/>
      </c>
      <c r="C150" t="n">
        <v/>
      </c>
      <c r="D150" t="n">
        <v>37.39851379394531</v>
      </c>
      <c r="E150" t="n">
        <v>27.46990776062012</v>
      </c>
      <c r="F150" t="n">
        <v/>
      </c>
    </row>
    <row r="151">
      <c r="A151" s="81" t="n">
        <v>39234</v>
      </c>
      <c r="B151" t="n">
        <v/>
      </c>
      <c r="C151" t="n">
        <v/>
      </c>
      <c r="D151" t="n">
        <v>36.97548675537109</v>
      </c>
      <c r="E151" t="n">
        <v>27.65390396118164</v>
      </c>
      <c r="F151" t="n">
        <v/>
      </c>
    </row>
    <row r="152">
      <c r="A152" s="81" t="n">
        <v>39264</v>
      </c>
      <c r="B152" t="n">
        <v/>
      </c>
      <c r="C152" t="n">
        <v/>
      </c>
      <c r="D152" t="n">
        <v>35.81296539306641</v>
      </c>
      <c r="E152" t="n">
        <v>26.72308731079102</v>
      </c>
      <c r="F152" t="n">
        <v>0.004513588218056784</v>
      </c>
    </row>
    <row r="153">
      <c r="A153" s="81" t="n">
        <v>39295</v>
      </c>
      <c r="B153" t="n">
        <v/>
      </c>
      <c r="C153" t="n">
        <v/>
      </c>
      <c r="D153" t="n">
        <v>35.80356597900391</v>
      </c>
      <c r="E153" t="n">
        <v>26.77720642089844</v>
      </c>
      <c r="F153" t="n">
        <v/>
      </c>
    </row>
    <row r="154">
      <c r="A154" s="81" t="n">
        <v>39326</v>
      </c>
      <c r="B154" t="n">
        <v/>
      </c>
      <c r="C154" t="n">
        <v/>
      </c>
      <c r="D154" t="n">
        <v>37.88421249389648</v>
      </c>
      <c r="E154" t="n">
        <v>27.84872245788574</v>
      </c>
      <c r="F154" t="n">
        <v/>
      </c>
    </row>
    <row r="155">
      <c r="A155" s="81" t="n">
        <v>39356</v>
      </c>
      <c r="B155" t="n">
        <v/>
      </c>
      <c r="C155" t="n">
        <v/>
      </c>
      <c r="D155" t="n">
        <v>39.76118087768555</v>
      </c>
      <c r="E155" t="n">
        <v>29.46141815185547</v>
      </c>
      <c r="F155" t="n">
        <v>0.005090836146678046</v>
      </c>
    </row>
    <row r="156">
      <c r="A156" s="81" t="n">
        <v>39387</v>
      </c>
      <c r="B156" t="n">
        <v/>
      </c>
      <c r="C156" t="n">
        <v/>
      </c>
      <c r="D156" t="n">
        <v>38.6581916809082</v>
      </c>
      <c r="E156" t="n">
        <v>27.72966766357422</v>
      </c>
      <c r="F156" t="n">
        <v/>
      </c>
    </row>
    <row r="157">
      <c r="A157" s="81" t="n">
        <v>39417</v>
      </c>
      <c r="B157" t="n">
        <v/>
      </c>
      <c r="C157" t="n">
        <v/>
      </c>
      <c r="D157" t="n">
        <v>37.38911437988281</v>
      </c>
      <c r="E157" t="n">
        <v>26.06286430358887</v>
      </c>
      <c r="F157" t="n">
        <v/>
      </c>
    </row>
    <row r="158">
      <c r="A158" s="81" t="n">
        <v>39448</v>
      </c>
      <c r="B158" t="n">
        <v/>
      </c>
      <c r="C158" t="n">
        <v/>
      </c>
      <c r="D158" t="n">
        <v>34.38788986206055</v>
      </c>
      <c r="E158" t="n">
        <v>24.82069969177246</v>
      </c>
      <c r="F158" t="n">
        <v>0.005170018134278373</v>
      </c>
    </row>
    <row r="159">
      <c r="A159" s="81" t="n">
        <v>39479</v>
      </c>
      <c r="B159" t="n">
        <v/>
      </c>
      <c r="C159" t="n">
        <v/>
      </c>
      <c r="D159" t="n">
        <v>34.10507583618164</v>
      </c>
      <c r="E159" t="n">
        <v>24.52948570251465</v>
      </c>
      <c r="F159" t="n">
        <v/>
      </c>
    </row>
    <row r="160">
      <c r="A160" s="81" t="n">
        <v>39508</v>
      </c>
      <c r="B160" t="n">
        <v/>
      </c>
      <c r="C160" t="n">
        <v/>
      </c>
      <c r="D160" t="n">
        <v>34.96638488769531</v>
      </c>
      <c r="E160" t="n">
        <v>24.14865684509277</v>
      </c>
      <c r="F160" t="n">
        <v/>
      </c>
    </row>
    <row r="161">
      <c r="A161" s="81" t="n">
        <v>39539</v>
      </c>
      <c r="B161" t="n">
        <v/>
      </c>
      <c r="C161" t="n">
        <v/>
      </c>
      <c r="D161" t="n">
        <v>36.36117172241211</v>
      </c>
      <c r="E161" t="n">
        <v>25.58233833312988</v>
      </c>
      <c r="F161" t="n">
        <v>-0.003375135400820901</v>
      </c>
    </row>
    <row r="162">
      <c r="A162" s="81" t="n">
        <v>39569</v>
      </c>
      <c r="B162" t="n">
        <v/>
      </c>
      <c r="C162" t="n">
        <v/>
      </c>
      <c r="D162" t="n">
        <v>36.79182815551758</v>
      </c>
      <c r="E162" t="n">
        <v>25.52634048461914</v>
      </c>
      <c r="F162" t="n">
        <v/>
      </c>
    </row>
    <row r="163">
      <c r="A163" s="81" t="n">
        <v>39600</v>
      </c>
      <c r="B163" t="n">
        <v/>
      </c>
      <c r="C163" t="n">
        <v/>
      </c>
      <c r="D163" t="n">
        <v>31.49224090576172</v>
      </c>
      <c r="E163" t="n">
        <v>23.20780181884766</v>
      </c>
      <c r="F163" t="n">
        <v/>
      </c>
    </row>
    <row r="164">
      <c r="A164" s="81" t="n">
        <v>39630</v>
      </c>
      <c r="B164" t="n">
        <v/>
      </c>
      <c r="C164" t="n">
        <v/>
      </c>
      <c r="D164" t="n">
        <v>31.85244750976562</v>
      </c>
      <c r="E164" t="n">
        <v>22.76374816894531</v>
      </c>
      <c r="F164" t="n">
        <v>-0.005284995408960556</v>
      </c>
    </row>
    <row r="165">
      <c r="A165" s="81" t="n">
        <v>39661</v>
      </c>
      <c r="B165" t="n">
        <v/>
      </c>
      <c r="C165" t="n">
        <v/>
      </c>
      <c r="D165" t="n">
        <v>30.59967803955078</v>
      </c>
      <c r="E165" t="n">
        <v>21.99618148803711</v>
      </c>
      <c r="F165" t="n">
        <v/>
      </c>
    </row>
    <row r="166">
      <c r="A166" s="81" t="n">
        <v>39692</v>
      </c>
      <c r="B166" t="n">
        <v/>
      </c>
      <c r="C166" t="n">
        <v/>
      </c>
      <c r="D166" t="n">
        <v>26.46818923950195</v>
      </c>
      <c r="E166" t="n">
        <v>19.07481002807617</v>
      </c>
      <c r="F166" t="n">
        <v/>
      </c>
    </row>
    <row r="167">
      <c r="A167" s="81" t="n">
        <v>39722</v>
      </c>
      <c r="B167" t="n">
        <v/>
      </c>
      <c r="C167" t="n">
        <v/>
      </c>
      <c r="D167" t="n">
        <v>19.96441650390625</v>
      </c>
      <c r="E167" t="n">
        <v>15.30567169189453</v>
      </c>
      <c r="F167" t="n">
        <v>-0.01820969430111454</v>
      </c>
    </row>
    <row r="168">
      <c r="A168" s="81" t="n">
        <v>39753</v>
      </c>
      <c r="B168" t="n">
        <v/>
      </c>
      <c r="C168" t="n">
        <v/>
      </c>
      <c r="D168" t="n">
        <v>18.47841644287109</v>
      </c>
      <c r="E168" t="n">
        <v>14.32042598724365</v>
      </c>
      <c r="F168" t="n">
        <v/>
      </c>
    </row>
    <row r="169">
      <c r="A169" s="81" t="n">
        <v>39783</v>
      </c>
      <c r="B169" t="n">
        <v/>
      </c>
      <c r="C169" t="n">
        <v/>
      </c>
      <c r="D169" t="n">
        <v>20.39756393432617</v>
      </c>
      <c r="E169" t="n">
        <v>14.03401565551758</v>
      </c>
      <c r="F169" t="n">
        <v/>
      </c>
    </row>
    <row r="170">
      <c r="A170" s="81" t="n">
        <v>39814</v>
      </c>
      <c r="B170" t="n">
        <v/>
      </c>
      <c r="C170" t="n">
        <v/>
      </c>
      <c r="D170" t="n">
        <v>17.20463562011719</v>
      </c>
      <c r="E170" t="n">
        <v>13.08317470550537</v>
      </c>
      <c r="F170" t="n">
        <v>-0.03093596519703931</v>
      </c>
    </row>
    <row r="171">
      <c r="A171" s="81" t="n">
        <v>39845</v>
      </c>
      <c r="B171" t="n">
        <v/>
      </c>
      <c r="C171" t="n">
        <v/>
      </c>
      <c r="D171" t="n">
        <v>15.12786293029785</v>
      </c>
      <c r="E171" t="n">
        <v>11.81021690368652</v>
      </c>
      <c r="F171" t="n">
        <v/>
      </c>
    </row>
    <row r="172">
      <c r="A172" s="81" t="n">
        <v>39873</v>
      </c>
      <c r="B172" t="n">
        <v/>
      </c>
      <c r="C172" t="n">
        <v/>
      </c>
      <c r="D172" t="n">
        <v>16.62775230407715</v>
      </c>
      <c r="E172" t="n">
        <v>12.35240077972412</v>
      </c>
      <c r="F172" t="n">
        <v/>
      </c>
    </row>
    <row r="173">
      <c r="A173" s="81" t="n">
        <v>39904</v>
      </c>
      <c r="B173" t="n">
        <v/>
      </c>
      <c r="C173" t="n">
        <v/>
      </c>
      <c r="D173" t="n">
        <v>19.06423187255859</v>
      </c>
      <c r="E173" t="n">
        <v>13.82572841644287</v>
      </c>
      <c r="F173" t="n">
        <v>-0.0002479623509994235</v>
      </c>
    </row>
    <row r="174">
      <c r="A174" s="81" t="n">
        <v>39934</v>
      </c>
      <c r="B174" t="n">
        <v/>
      </c>
      <c r="C174" t="n">
        <v/>
      </c>
      <c r="D174" t="n">
        <v>21.5821475982666</v>
      </c>
      <c r="E174" t="n">
        <v>16.18305778503418</v>
      </c>
      <c r="F174" t="n">
        <v/>
      </c>
    </row>
    <row r="175">
      <c r="A175" s="81" t="n">
        <v>39965</v>
      </c>
      <c r="B175" t="n">
        <v/>
      </c>
      <c r="C175" t="n">
        <v/>
      </c>
      <c r="D175" t="n">
        <v>20.57090377807617</v>
      </c>
      <c r="E175" t="n">
        <v>15.57015514373779</v>
      </c>
      <c r="F175" t="n">
        <v/>
      </c>
    </row>
    <row r="176">
      <c r="A176" s="81" t="n">
        <v>39995</v>
      </c>
      <c r="B176" t="n">
        <v/>
      </c>
      <c r="C176" t="n">
        <v/>
      </c>
      <c r="D176" t="n">
        <v>23.3708324432373</v>
      </c>
      <c r="E176" t="n">
        <v>17.19697189331055</v>
      </c>
      <c r="F176" t="n">
        <v>0.004024979403741463</v>
      </c>
    </row>
    <row r="177">
      <c r="A177" s="81" t="n">
        <v>40026</v>
      </c>
      <c r="B177" t="n">
        <v/>
      </c>
      <c r="C177" t="n">
        <v/>
      </c>
      <c r="D177" t="n">
        <v>24.83281326293945</v>
      </c>
      <c r="E177" t="n">
        <v>17.94101142883301</v>
      </c>
      <c r="F177" t="n">
        <v/>
      </c>
    </row>
    <row r="178">
      <c r="A178" s="81" t="n">
        <v>40057</v>
      </c>
      <c r="B178" t="n">
        <v/>
      </c>
      <c r="C178" t="n">
        <v/>
      </c>
      <c r="D178" t="n">
        <v>26.46188163757324</v>
      </c>
      <c r="E178" t="n">
        <v>18.6130542755127</v>
      </c>
      <c r="F178" t="n">
        <v/>
      </c>
    </row>
    <row r="179">
      <c r="A179" s="81" t="n">
        <v>40087</v>
      </c>
      <c r="B179" t="n">
        <v/>
      </c>
      <c r="C179" t="n">
        <v/>
      </c>
      <c r="D179" t="n">
        <v>25.25052833557129</v>
      </c>
      <c r="E179" t="n">
        <v>18.58905029296875</v>
      </c>
      <c r="F179" t="n">
        <v>0.004231328985635955</v>
      </c>
    </row>
    <row r="180">
      <c r="A180" s="81" t="n">
        <v>40118</v>
      </c>
      <c r="B180" t="n">
        <v/>
      </c>
      <c r="C180" t="n">
        <v/>
      </c>
      <c r="D180" t="n">
        <v>26.48276901245117</v>
      </c>
      <c r="E180" t="n">
        <v>19.52510452270508</v>
      </c>
      <c r="F180" t="n">
        <v/>
      </c>
    </row>
    <row r="181">
      <c r="A181" s="81" t="n">
        <v>40148</v>
      </c>
      <c r="B181" t="n">
        <v/>
      </c>
      <c r="C181" t="n">
        <v/>
      </c>
      <c r="D181" t="n">
        <v>26.0859489440918</v>
      </c>
      <c r="E181" t="n">
        <v>19.44110107421875</v>
      </c>
      <c r="F181" t="n">
        <v/>
      </c>
    </row>
    <row r="182">
      <c r="A182" s="81" t="n">
        <v>40179</v>
      </c>
      <c r="B182" t="n">
        <v/>
      </c>
      <c r="C182" t="n">
        <v/>
      </c>
      <c r="D182" t="n">
        <v>24.20331954956055</v>
      </c>
      <c r="E182" t="n">
        <v>18.73365783691406</v>
      </c>
      <c r="F182" t="n">
        <v>0.004419265756777226</v>
      </c>
    </row>
    <row r="183">
      <c r="A183" s="81" t="n">
        <v>40210</v>
      </c>
      <c r="B183" t="n">
        <v/>
      </c>
      <c r="C183" t="n">
        <v/>
      </c>
      <c r="D183" t="n">
        <v>23.48051834106445</v>
      </c>
      <c r="E183" t="n">
        <v>18.57582092285156</v>
      </c>
      <c r="F183" t="n">
        <v/>
      </c>
    </row>
    <row r="184">
      <c r="A184" s="81" t="n">
        <v>40238</v>
      </c>
      <c r="B184" t="n">
        <v/>
      </c>
      <c r="C184" t="n">
        <v/>
      </c>
      <c r="D184" t="n">
        <v>25.21383666992188</v>
      </c>
      <c r="E184" t="n">
        <v>19.75350570678711</v>
      </c>
      <c r="F184" t="n">
        <v/>
      </c>
    </row>
    <row r="185">
      <c r="A185" s="81" t="n">
        <v>40269</v>
      </c>
      <c r="B185" t="n">
        <v/>
      </c>
      <c r="C185" t="n">
        <v/>
      </c>
      <c r="D185" t="n">
        <v>23.96472358703613</v>
      </c>
      <c r="E185" t="n">
        <v>19.32857131958008</v>
      </c>
      <c r="F185" t="n">
        <v>0.009697860162736336</v>
      </c>
    </row>
    <row r="186">
      <c r="A186" s="81" t="n">
        <v>40299</v>
      </c>
      <c r="B186" t="n">
        <v/>
      </c>
      <c r="C186" t="n">
        <v/>
      </c>
      <c r="D186" t="n">
        <v>20.9401912689209</v>
      </c>
      <c r="E186" t="n">
        <v>17.20388221740723</v>
      </c>
      <c r="F186" t="n">
        <v/>
      </c>
    </row>
    <row r="187">
      <c r="A187" s="81" t="n">
        <v>40330</v>
      </c>
      <c r="B187" t="n">
        <v/>
      </c>
      <c r="C187" t="n">
        <v/>
      </c>
      <c r="D187" t="n">
        <v>20.0349292755127</v>
      </c>
      <c r="E187" t="n">
        <v>16.31758117675781</v>
      </c>
      <c r="F187" t="n">
        <v/>
      </c>
    </row>
    <row r="188">
      <c r="A188" s="81" t="n">
        <v>40360</v>
      </c>
      <c r="B188" t="n">
        <v/>
      </c>
      <c r="C188" t="n">
        <v/>
      </c>
      <c r="D188" t="n">
        <v>23.52496719360352</v>
      </c>
      <c r="E188" t="n">
        <v>19.01400756835938</v>
      </c>
      <c r="F188" t="n">
        <v>0.004179358840282454</v>
      </c>
    </row>
    <row r="189">
      <c r="A189" s="81" t="n">
        <v>40391</v>
      </c>
      <c r="B189" t="n">
        <v/>
      </c>
      <c r="C189" t="n">
        <v/>
      </c>
      <c r="D189" t="n">
        <v>21.88452339172363</v>
      </c>
      <c r="E189" t="n">
        <v>18.48274803161621</v>
      </c>
      <c r="F189" t="n">
        <v/>
      </c>
    </row>
    <row r="190">
      <c r="A190" s="81" t="n">
        <v>40422</v>
      </c>
      <c r="B190" t="n">
        <v/>
      </c>
      <c r="C190" t="n">
        <v/>
      </c>
      <c r="D190" t="n">
        <v>24.80723571777344</v>
      </c>
      <c r="E190" t="n">
        <v>20.2124195098877</v>
      </c>
      <c r="F190" t="n">
        <v/>
      </c>
    </row>
    <row r="191">
      <c r="A191" s="81" t="n">
        <v>40452</v>
      </c>
      <c r="B191" t="n">
        <v>53.7</v>
      </c>
      <c r="C191" t="n">
        <v>34.46394348144531</v>
      </c>
      <c r="D191" t="n">
        <v>26.31157493591309</v>
      </c>
      <c r="E191" t="n">
        <v>21.06489372253418</v>
      </c>
      <c r="F191" t="n">
        <v>0.005908231298489107</v>
      </c>
    </row>
    <row r="192">
      <c r="A192" s="81" t="n">
        <v>40483</v>
      </c>
      <c r="B192" t="n">
        <v>54</v>
      </c>
      <c r="C192" t="n">
        <v>33.71054840087891</v>
      </c>
      <c r="D192" t="n">
        <v>23.39602279663086</v>
      </c>
      <c r="E192" t="n">
        <v>19.96532249450684</v>
      </c>
      <c r="F192" t="n">
        <v/>
      </c>
    </row>
    <row r="193">
      <c r="A193" s="81" t="n">
        <v>40513</v>
      </c>
      <c r="B193" t="n">
        <v>54.9</v>
      </c>
      <c r="C193" t="n">
        <v>35.98609924316406</v>
      </c>
      <c r="D193" t="n">
        <v>25.26570320129395</v>
      </c>
      <c r="E193" t="n">
        <v>21.46024894714355</v>
      </c>
      <c r="F193" t="n">
        <v/>
      </c>
    </row>
    <row r="194">
      <c r="A194" s="81" t="n">
        <v>40544</v>
      </c>
      <c r="B194" t="n">
        <v>57.2</v>
      </c>
      <c r="C194" t="n">
        <v>36.7254638671875</v>
      </c>
      <c r="D194" t="n">
        <v>27.08938598632812</v>
      </c>
      <c r="E194" t="n">
        <v>21.91374588012695</v>
      </c>
      <c r="F194" t="n">
        <v>0.00909580495396386</v>
      </c>
    </row>
    <row r="195">
      <c r="A195" s="81" t="n">
        <v>40575</v>
      </c>
      <c r="B195" t="n">
        <v>58.2</v>
      </c>
      <c r="C195" t="n">
        <v>37.86658096313477</v>
      </c>
      <c r="D195" t="n">
        <v>27.88379669189453</v>
      </c>
      <c r="E195" t="n">
        <v>22.91209602355957</v>
      </c>
      <c r="F195" t="n">
        <v/>
      </c>
    </row>
    <row r="196">
      <c r="A196" s="81" t="n">
        <v>40603</v>
      </c>
      <c r="B196" t="n">
        <v>56</v>
      </c>
      <c r="C196" t="n">
        <v>37.54055404663086</v>
      </c>
      <c r="D196" t="n">
        <v>27.97768020629883</v>
      </c>
      <c r="E196" t="n">
        <v>22.35052108764648</v>
      </c>
      <c r="F196" t="n">
        <v/>
      </c>
    </row>
    <row r="197">
      <c r="A197" s="81" t="n">
        <v>40634</v>
      </c>
      <c r="B197" t="n">
        <v>55.5</v>
      </c>
      <c r="C197" t="n">
        <v>39.34926223754883</v>
      </c>
      <c r="D197" t="n">
        <v>30.20925712585449</v>
      </c>
      <c r="E197" t="n">
        <v>23.84804534912109</v>
      </c>
      <c r="F197" t="n">
        <v>-0.000224757433624218</v>
      </c>
    </row>
    <row r="198">
      <c r="A198" s="81" t="n">
        <v>40664</v>
      </c>
      <c r="B198" t="n">
        <v>53.1</v>
      </c>
      <c r="C198" t="n">
        <v>38.58076095581055</v>
      </c>
      <c r="D198" t="n">
        <v>28.7720947265625</v>
      </c>
      <c r="E198" t="n">
        <v>23.28647232055664</v>
      </c>
      <c r="F198" t="n">
        <v/>
      </c>
    </row>
    <row r="199">
      <c r="A199" s="81" t="n">
        <v>40695</v>
      </c>
      <c r="B199" t="n">
        <v>52.8</v>
      </c>
      <c r="C199" t="n">
        <v>37.45516586303711</v>
      </c>
      <c r="D199" t="n">
        <v>28.04268264770508</v>
      </c>
      <c r="E199" t="n">
        <v>22.22572898864746</v>
      </c>
      <c r="F199" t="n">
        <v/>
      </c>
    </row>
    <row r="200">
      <c r="A200" s="81" t="n">
        <v>40725</v>
      </c>
      <c r="B200" t="n">
        <v>50.9</v>
      </c>
      <c r="C200" t="n">
        <v>37.03727340698242</v>
      </c>
      <c r="D200" t="n">
        <v>26.51310920715332</v>
      </c>
      <c r="E200" t="n">
        <v>22.5208740234375</v>
      </c>
      <c r="F200" t="n">
        <v>0.001528009020713608</v>
      </c>
    </row>
    <row r="201">
      <c r="A201" s="81" t="n">
        <v>40756</v>
      </c>
      <c r="B201" t="n">
        <v>50.4</v>
      </c>
      <c r="C201" t="n">
        <v>34.31150817871094</v>
      </c>
      <c r="D201" t="n">
        <v>23.27835655212402</v>
      </c>
      <c r="E201" t="n">
        <v>20.79436111450195</v>
      </c>
      <c r="F201" t="n">
        <v/>
      </c>
    </row>
    <row r="202">
      <c r="A202" s="81" t="n">
        <v>40787</v>
      </c>
      <c r="B202" t="n">
        <v>50.1</v>
      </c>
      <c r="C202" t="n">
        <v>30.72954177856445</v>
      </c>
      <c r="D202" t="n">
        <v>20.17654609680176</v>
      </c>
      <c r="E202" t="n">
        <v>18.75046920776367</v>
      </c>
      <c r="F202" t="n">
        <v/>
      </c>
    </row>
    <row r="203">
      <c r="A203" s="81" t="n">
        <v>40817</v>
      </c>
      <c r="B203" t="n">
        <v>49.5</v>
      </c>
      <c r="C203" t="n">
        <v>34.20939254760742</v>
      </c>
      <c r="D203" t="n">
        <v>22.72446250915527</v>
      </c>
      <c r="E203" t="n">
        <v>21.17520713806152</v>
      </c>
      <c r="F203" t="n">
        <v>-0.004234834458831302</v>
      </c>
    </row>
    <row r="204">
      <c r="A204" s="81" t="n">
        <v>40848</v>
      </c>
      <c r="B204" t="n">
        <v>49.6</v>
      </c>
      <c r="C204" t="n">
        <v>33.81663131713867</v>
      </c>
      <c r="D204" t="n">
        <v>21.76437759399414</v>
      </c>
      <c r="E204" t="n">
        <v>20.83244514465332</v>
      </c>
      <c r="F204" t="n">
        <v/>
      </c>
    </row>
    <row r="205">
      <c r="A205" s="81" t="n">
        <v>40878</v>
      </c>
      <c r="B205" t="n">
        <v>50.4</v>
      </c>
      <c r="C205" t="n">
        <v>33.12537002563477</v>
      </c>
      <c r="D205" t="n">
        <v>20.60489463806152</v>
      </c>
      <c r="E205" t="n">
        <v>20.51507186889648</v>
      </c>
      <c r="F205" t="n">
        <v/>
      </c>
    </row>
    <row r="206">
      <c r="A206" s="81" t="n">
        <v>40909</v>
      </c>
      <c r="B206" t="n">
        <v>51</v>
      </c>
      <c r="C206" t="n">
        <v>35.33008575439453</v>
      </c>
      <c r="D206" t="n">
        <v>22.31722640991211</v>
      </c>
      <c r="E206" t="n">
        <v>21.49223709106445</v>
      </c>
      <c r="F206" t="n">
        <v>-0.002149700873127423</v>
      </c>
    </row>
    <row r="207">
      <c r="A207" s="81" t="n">
        <v>40940</v>
      </c>
      <c r="B207" t="n">
        <v>51.2</v>
      </c>
      <c r="C207" t="n">
        <v>37.07752227783203</v>
      </c>
      <c r="D207" t="n">
        <v>23.54254913330078</v>
      </c>
      <c r="E207" t="n">
        <v>22.58746910095215</v>
      </c>
      <c r="F207" t="n">
        <v/>
      </c>
    </row>
    <row r="208">
      <c r="A208" s="81" t="n">
        <v>40969</v>
      </c>
      <c r="B208" t="n">
        <v>51.6</v>
      </c>
      <c r="C208" t="n">
        <v>37.49055480957031</v>
      </c>
      <c r="D208" t="n">
        <v>23.57243537902832</v>
      </c>
      <c r="E208" t="n">
        <v>22.29111099243164</v>
      </c>
      <c r="F208" t="n">
        <v/>
      </c>
    </row>
    <row r="209">
      <c r="A209" s="81" t="n">
        <v>41000</v>
      </c>
      <c r="B209" t="n">
        <v>51.3</v>
      </c>
      <c r="C209" t="n">
        <v>37.0616340637207</v>
      </c>
      <c r="D209" t="n">
        <v>22.24999237060547</v>
      </c>
      <c r="E209" t="n">
        <v>22.61323738098145</v>
      </c>
      <c r="F209" t="n">
        <v>-0.002638823464713449</v>
      </c>
    </row>
    <row r="210">
      <c r="A210" s="81" t="n">
        <v>41030</v>
      </c>
      <c r="B210" t="n">
        <v>50.3</v>
      </c>
      <c r="C210" t="n">
        <v>33.62235641479492</v>
      </c>
      <c r="D210" t="n">
        <v>19.38095474243164</v>
      </c>
      <c r="E210" t="n">
        <v>20.03623199462891</v>
      </c>
      <c r="F210" t="n">
        <v/>
      </c>
    </row>
    <row r="211">
      <c r="A211" s="81" t="n">
        <v>41061</v>
      </c>
      <c r="B211" t="n">
        <v>49.7</v>
      </c>
      <c r="C211" t="n">
        <v>34.84557342529297</v>
      </c>
      <c r="D211" t="n">
        <v>20.50914001464844</v>
      </c>
      <c r="E211" t="n">
        <v>20.98972320556641</v>
      </c>
      <c r="F211" t="n">
        <v/>
      </c>
    </row>
    <row r="212">
      <c r="A212" s="81" t="n">
        <v>41091</v>
      </c>
      <c r="B212" t="n">
        <v>48.8</v>
      </c>
      <c r="C212" t="n">
        <v>35.61767578125</v>
      </c>
      <c r="D212" t="n">
        <v>20.90468788146973</v>
      </c>
      <c r="E212" t="n">
        <v>21.67182731628418</v>
      </c>
      <c r="F212" t="n">
        <v>-0.0009907163742234103</v>
      </c>
    </row>
    <row r="213">
      <c r="A213" s="81" t="n">
        <v>41122</v>
      </c>
      <c r="B213" t="n">
        <v>48.7</v>
      </c>
      <c r="C213" t="n">
        <v>36.60816955566406</v>
      </c>
      <c r="D213" t="n">
        <v>22.28910255432129</v>
      </c>
      <c r="E213" t="n">
        <v>22.38410377502441</v>
      </c>
      <c r="F213" t="n">
        <v/>
      </c>
    </row>
    <row r="214">
      <c r="A214" s="81" t="n">
        <v>41153</v>
      </c>
      <c r="B214" t="n">
        <v>48.7</v>
      </c>
      <c r="C214" t="n">
        <v>37.59867095947266</v>
      </c>
      <c r="D214" t="n">
        <v>23.1120662689209</v>
      </c>
      <c r="E214" t="n">
        <v>22.9512939453125</v>
      </c>
      <c r="F214" t="n">
        <v/>
      </c>
    </row>
    <row r="215">
      <c r="A215" s="81" t="n">
        <v>41183</v>
      </c>
      <c r="B215" t="n">
        <v>48.9</v>
      </c>
      <c r="C215" t="n">
        <v>37.4054069519043</v>
      </c>
      <c r="D215" t="n">
        <v>23.70428657531738</v>
      </c>
      <c r="E215" t="n">
        <v>23.05681610107422</v>
      </c>
      <c r="F215" t="n">
        <v>-0.004449012942242542</v>
      </c>
    </row>
    <row r="216">
      <c r="A216" s="81" t="n">
        <v>41214</v>
      </c>
      <c r="B216" t="n">
        <v>49.6</v>
      </c>
      <c r="C216" t="n">
        <v>38.00131988525391</v>
      </c>
      <c r="D216" t="n">
        <v>24.51186370849609</v>
      </c>
      <c r="E216" t="n">
        <v>23.32062339782715</v>
      </c>
      <c r="F216" t="n">
        <v/>
      </c>
    </row>
    <row r="217">
      <c r="A217" s="81" t="n">
        <v>41244</v>
      </c>
      <c r="B217" t="n">
        <v>50</v>
      </c>
      <c r="C217" t="n">
        <v>38.71802139282227</v>
      </c>
      <c r="D217" t="n">
        <v>25.73476219177246</v>
      </c>
      <c r="E217" t="n">
        <v>23.6635799407959</v>
      </c>
      <c r="F217" t="n">
        <v/>
      </c>
    </row>
    <row r="218">
      <c r="A218" s="81" t="n">
        <v>41275</v>
      </c>
      <c r="B218" t="n">
        <v>51.5</v>
      </c>
      <c r="C218" t="n">
        <v>40.57704925537109</v>
      </c>
      <c r="D218" t="n">
        <v>26.8033390045166</v>
      </c>
      <c r="E218" t="n">
        <v>24.70919990539551</v>
      </c>
      <c r="F218" t="n">
        <v>-0.003324045172696367</v>
      </c>
    </row>
    <row r="219">
      <c r="A219" s="81" t="n">
        <v>41306</v>
      </c>
      <c r="B219" t="n">
        <v>50.9</v>
      </c>
      <c r="C219" t="n">
        <v>40.53638076782227</v>
      </c>
      <c r="D219" t="n">
        <v>25.56816291809082</v>
      </c>
      <c r="E219" t="n">
        <v>24.0402946472168</v>
      </c>
      <c r="F219" t="n">
        <v/>
      </c>
    </row>
    <row r="220">
      <c r="A220" s="81" t="n">
        <v>41334</v>
      </c>
      <c r="B220" t="n">
        <v>51.2</v>
      </c>
      <c r="C220" t="n">
        <v>41.27651214599609</v>
      </c>
      <c r="D220" t="n">
        <v>25.20532989501953</v>
      </c>
      <c r="E220" t="n">
        <v>24.44163513183594</v>
      </c>
      <c r="F220" t="n">
        <v/>
      </c>
    </row>
    <row r="221">
      <c r="A221" s="81" t="n">
        <v>41365</v>
      </c>
      <c r="B221" t="n">
        <v>50.4</v>
      </c>
      <c r="C221" t="n">
        <v>42.44771575927734</v>
      </c>
      <c r="D221" t="n">
        <v>26.65666389465332</v>
      </c>
      <c r="E221" t="n">
        <v>25.13729667663574</v>
      </c>
      <c r="F221" t="n">
        <v>0.005147360676686371</v>
      </c>
    </row>
    <row r="222">
      <c r="A222" s="81" t="n">
        <v>41395</v>
      </c>
      <c r="B222" t="n">
        <v>50.6</v>
      </c>
      <c r="C222" t="n">
        <v>42.28504180908203</v>
      </c>
      <c r="D222" t="n">
        <v>27.00405502319336</v>
      </c>
      <c r="E222" t="n">
        <v>25.11053657531738</v>
      </c>
      <c r="F222" t="n">
        <v/>
      </c>
    </row>
    <row r="223">
      <c r="A223" s="81" t="n">
        <v>41426</v>
      </c>
      <c r="B223" t="n">
        <v>50.6</v>
      </c>
      <c r="C223" t="n">
        <v>40.6665153503418</v>
      </c>
      <c r="D223" t="n">
        <v>25.07408905029297</v>
      </c>
      <c r="E223" t="n">
        <v>23.62557983398438</v>
      </c>
      <c r="F223" t="n">
        <v/>
      </c>
    </row>
    <row r="224">
      <c r="A224" s="81" t="n">
        <v>41456</v>
      </c>
      <c r="B224" t="n">
        <v>50.8</v>
      </c>
      <c r="C224" t="n">
        <v>43.07118225097656</v>
      </c>
      <c r="D224" t="n">
        <v>27.9346752166748</v>
      </c>
      <c r="E224" t="n">
        <v>25.50984573364258</v>
      </c>
      <c r="F224" t="n">
        <v>0.003038803676596945</v>
      </c>
    </row>
    <row r="225">
      <c r="A225" s="81" t="n">
        <v>41487</v>
      </c>
      <c r="B225" t="n">
        <v>51.6</v>
      </c>
      <c r="C225" t="n">
        <v>42.08274459838867</v>
      </c>
      <c r="D225" t="n">
        <v>27.42850112915039</v>
      </c>
      <c r="E225" t="n">
        <v>25.31977081298828</v>
      </c>
      <c r="F225" t="n">
        <v/>
      </c>
    </row>
    <row r="226">
      <c r="A226" s="81" t="n">
        <v>41518</v>
      </c>
      <c r="B226" t="n">
        <v>51.8</v>
      </c>
      <c r="C226" t="n">
        <v>44.4138069152832</v>
      </c>
      <c r="D226" t="n">
        <v>29.84074974060059</v>
      </c>
      <c r="E226" t="n">
        <v>26.63668441772461</v>
      </c>
      <c r="F226" t="n">
        <v/>
      </c>
    </row>
    <row r="227">
      <c r="A227" s="81" t="n">
        <v>41548</v>
      </c>
      <c r="B227" t="n">
        <v>52.1</v>
      </c>
      <c r="C227" t="n">
        <v>46.16828155517578</v>
      </c>
      <c r="D227" t="n">
        <v>31.46211242675781</v>
      </c>
      <c r="E227" t="n">
        <v>27.62774848937988</v>
      </c>
      <c r="F227" t="n">
        <v>0.002878766551284823</v>
      </c>
    </row>
    <row r="228">
      <c r="A228" s="81" t="n">
        <v>41579</v>
      </c>
      <c r="B228" t="n">
        <v>53.1</v>
      </c>
      <c r="C228" t="n">
        <v>46.88489532470703</v>
      </c>
      <c r="D228" t="n">
        <v>31.92082405090332</v>
      </c>
      <c r="E228" t="n">
        <v>27.84496879577637</v>
      </c>
      <c r="F228" t="n">
        <v/>
      </c>
    </row>
    <row r="229">
      <c r="A229" s="81" t="n">
        <v>41609</v>
      </c>
      <c r="B229" t="n">
        <v>53.3</v>
      </c>
      <c r="C229" t="n">
        <v>47.46149063110352</v>
      </c>
      <c r="D229" t="n">
        <v>32.72755432128906</v>
      </c>
      <c r="E229" t="n">
        <v>28.34728813171387</v>
      </c>
      <c r="F229" t="n">
        <v/>
      </c>
    </row>
    <row r="230">
      <c r="A230" s="81" t="n">
        <v>41640</v>
      </c>
      <c r="B230" t="n">
        <v>52.9</v>
      </c>
      <c r="C230" t="n">
        <v>45.63754272460938</v>
      </c>
      <c r="D230" t="n">
        <v>31.15884780883789</v>
      </c>
      <c r="E230" t="n">
        <v>27.3553638458252</v>
      </c>
      <c r="F230" t="n">
        <v>0.004141561641280461</v>
      </c>
    </row>
    <row r="231">
      <c r="A231" s="81" t="n">
        <v>41671</v>
      </c>
      <c r="B231" t="n">
        <v>53.3</v>
      </c>
      <c r="C231" t="n">
        <v>48.01286315917969</v>
      </c>
      <c r="D231" t="n">
        <v>33.33290100097656</v>
      </c>
      <c r="E231" t="n">
        <v>29.21019744873047</v>
      </c>
      <c r="F231" t="n">
        <v/>
      </c>
    </row>
    <row r="232">
      <c r="A232" s="81" t="n">
        <v>41699</v>
      </c>
      <c r="B232" t="n">
        <v>52.4</v>
      </c>
      <c r="C232" t="n">
        <v>48.28693008422852</v>
      </c>
      <c r="D232" t="n">
        <v>33.53920745849609</v>
      </c>
      <c r="E232" t="n">
        <v>28.28964996337891</v>
      </c>
      <c r="F232" t="n">
        <v/>
      </c>
    </row>
    <row r="233">
      <c r="A233" s="81" t="n">
        <v>41730</v>
      </c>
      <c r="B233" t="n">
        <v>51.9</v>
      </c>
      <c r="C233" t="n">
        <v>48.86000823974609</v>
      </c>
      <c r="D233" t="n">
        <v>34.15810012817383</v>
      </c>
      <c r="E233" t="n">
        <v>29.56742095947266</v>
      </c>
      <c r="F233" t="n">
        <v>0.001950123720347438</v>
      </c>
    </row>
    <row r="234">
      <c r="A234" s="81" t="n">
        <v>41760</v>
      </c>
      <c r="B234" t="n">
        <v>52.2</v>
      </c>
      <c r="C234" t="n">
        <v>49.84002304077148</v>
      </c>
      <c r="D234" t="n">
        <v>34.4437370300293</v>
      </c>
      <c r="E234" t="n">
        <v>29.85595321655273</v>
      </c>
      <c r="F234" t="n">
        <v/>
      </c>
    </row>
    <row r="235">
      <c r="A235" s="81" t="n">
        <v>41791</v>
      </c>
      <c r="B235" t="n">
        <v>52.6</v>
      </c>
      <c r="C235" t="n">
        <v>50.04764938354492</v>
      </c>
      <c r="D235" t="n">
        <v>33.5788688659668</v>
      </c>
      <c r="E235" t="n">
        <v>28.68809509277344</v>
      </c>
      <c r="F235" t="n">
        <v/>
      </c>
    </row>
    <row r="236">
      <c r="A236" s="81" t="n">
        <v>41821</v>
      </c>
      <c r="B236" t="n">
        <v>52.5</v>
      </c>
      <c r="C236" t="n">
        <v>50.01356887817383</v>
      </c>
      <c r="D236" t="n">
        <v>32.18682861328125</v>
      </c>
      <c r="E236" t="n">
        <v>29.37614250183105</v>
      </c>
      <c r="F236" t="n">
        <v>0.004939181884855341</v>
      </c>
    </row>
    <row r="237">
      <c r="A237" s="81" t="n">
        <v>41852</v>
      </c>
      <c r="B237" t="n">
        <v>52.6</v>
      </c>
      <c r="C237" t="n">
        <v>51.30201721191406</v>
      </c>
      <c r="D237" t="n">
        <v>32.24344253540039</v>
      </c>
      <c r="E237" t="n">
        <v>29.60677146911621</v>
      </c>
      <c r="F237" t="n">
        <v/>
      </c>
    </row>
    <row r="238">
      <c r="A238" s="81" t="n">
        <v>41883</v>
      </c>
      <c r="B238" t="n">
        <v>52.2</v>
      </c>
      <c r="C238" t="n">
        <v>49.60093688964844</v>
      </c>
      <c r="D238" t="n">
        <v>31.13550186157227</v>
      </c>
      <c r="E238" t="n">
        <v>27.93472099304199</v>
      </c>
      <c r="F238" t="n">
        <v/>
      </c>
    </row>
    <row r="239">
      <c r="A239" s="81" t="n">
        <v>41913</v>
      </c>
      <c r="B239" t="n">
        <v>52.2</v>
      </c>
      <c r="C239" t="n">
        <v>50.1988410949707</v>
      </c>
      <c r="D239" t="n">
        <v>30.24591827392578</v>
      </c>
      <c r="E239" t="n">
        <v>27.40139770507812</v>
      </c>
      <c r="F239" t="n">
        <v>0.003558540848885159</v>
      </c>
    </row>
    <row r="240">
      <c r="A240" s="81" t="n">
        <v>41944</v>
      </c>
      <c r="B240" t="n">
        <v>51.8</v>
      </c>
      <c r="C240" t="n">
        <v>50.88937759399414</v>
      </c>
      <c r="D240" t="n">
        <v>31.41855430603027</v>
      </c>
      <c r="E240" t="n">
        <v>27.43022537231445</v>
      </c>
      <c r="F240" t="n">
        <v/>
      </c>
    </row>
    <row r="241">
      <c r="A241" s="81" t="n">
        <v>41974</v>
      </c>
      <c r="B241" t="n">
        <v>51.6</v>
      </c>
      <c r="C241" t="n">
        <v>49.26408767700195</v>
      </c>
      <c r="D241" t="n">
        <v>29.38059234619141</v>
      </c>
      <c r="E241" t="n">
        <v>25.98880195617676</v>
      </c>
      <c r="F241" t="n">
        <v/>
      </c>
    </row>
    <row r="242">
      <c r="A242" s="81" t="n">
        <v>42005</v>
      </c>
      <c r="B242" t="n">
        <v>51.7</v>
      </c>
      <c r="C242" t="n">
        <v>49.03554153442383</v>
      </c>
      <c r="D242" t="n">
        <v>29.87894058227539</v>
      </c>
      <c r="E242" t="n">
        <v>26.52299118041992</v>
      </c>
      <c r="F242" t="n">
        <v>0.006376936063688275</v>
      </c>
    </row>
    <row r="243">
      <c r="A243" s="81" t="n">
        <v>42036</v>
      </c>
      <c r="B243" t="n">
        <v>52</v>
      </c>
      <c r="C243" t="n">
        <v>51.73661041259766</v>
      </c>
      <c r="D243" t="n">
        <v>31.7361888885498</v>
      </c>
      <c r="E243" t="n">
        <v>28.08143615722656</v>
      </c>
      <c r="F243" t="n">
        <v/>
      </c>
    </row>
    <row r="244">
      <c r="A244" s="81" t="n">
        <v>42064</v>
      </c>
      <c r="B244" t="n">
        <v>51.8</v>
      </c>
      <c r="C244" t="n">
        <v>50.98065567016602</v>
      </c>
      <c r="D244" t="n">
        <v>31.42665100097656</v>
      </c>
      <c r="E244" t="n">
        <v>26.47888374328613</v>
      </c>
      <c r="F244" t="n">
        <v/>
      </c>
    </row>
    <row r="245">
      <c r="A245" s="81" t="n">
        <v>42095</v>
      </c>
      <c r="B245" t="n">
        <v>51</v>
      </c>
      <c r="C245" t="n">
        <v>52.44161224365234</v>
      </c>
      <c r="D245" t="n">
        <v>32.12718963623047</v>
      </c>
      <c r="E245" t="n">
        <v>28.24316215515137</v>
      </c>
      <c r="F245" t="n">
        <v>0.004606899460288354</v>
      </c>
    </row>
    <row r="246">
      <c r="A246" s="81" t="n">
        <v>42125</v>
      </c>
      <c r="B246" t="n">
        <v>51.2</v>
      </c>
      <c r="C246" t="n">
        <v>52.44161224365234</v>
      </c>
      <c r="D246" t="n">
        <v>31.92354011535645</v>
      </c>
      <c r="E246" t="n">
        <v>28.41958618164062</v>
      </c>
      <c r="F246" t="n">
        <v/>
      </c>
    </row>
    <row r="247">
      <c r="A247" s="81" t="n">
        <v>42156</v>
      </c>
      <c r="B247" t="n">
        <v>51</v>
      </c>
      <c r="C247" t="n">
        <v>50.49650192260742</v>
      </c>
      <c r="D247" t="n">
        <v>30.57948875427246</v>
      </c>
      <c r="E247" t="n">
        <v>26.83173751831055</v>
      </c>
      <c r="F247" t="n">
        <v/>
      </c>
    </row>
    <row r="248">
      <c r="A248" s="81" t="n">
        <v>42186</v>
      </c>
      <c r="B248" t="n">
        <v>51</v>
      </c>
      <c r="C248" t="n">
        <v>51.51056671142578</v>
      </c>
      <c r="D248" t="n">
        <v>32.06950378417969</v>
      </c>
      <c r="E248" t="n">
        <v>27.75506019592285</v>
      </c>
      <c r="F248" t="n">
        <v>0.004168230329365794</v>
      </c>
    </row>
    <row r="249">
      <c r="A249" s="81" t="n">
        <v>42217</v>
      </c>
      <c r="B249" t="n">
        <v>50.7</v>
      </c>
      <c r="C249" t="n">
        <v>48.00435256958008</v>
      </c>
      <c r="D249" t="n">
        <v>29.85639381408691</v>
      </c>
      <c r="E249" t="n">
        <v>25.53944396972656</v>
      </c>
      <c r="F249" t="n">
        <v/>
      </c>
    </row>
    <row r="250">
      <c r="A250" s="81" t="n">
        <v>42248</v>
      </c>
      <c r="B250" t="n">
        <v>50.6</v>
      </c>
      <c r="C250" t="n">
        <v>46.35436630249023</v>
      </c>
      <c r="D250" t="n">
        <v>28.46386528015137</v>
      </c>
      <c r="E250" t="n">
        <v>24.53643417358398</v>
      </c>
      <c r="F250" t="n">
        <v/>
      </c>
    </row>
    <row r="251">
      <c r="A251" s="81" t="n">
        <v>42278</v>
      </c>
      <c r="B251" t="n">
        <v>51.4</v>
      </c>
      <c r="C251" t="n">
        <v>49.9035530090332</v>
      </c>
      <c r="D251" t="n">
        <v>30.54436302185059</v>
      </c>
      <c r="E251" t="n">
        <v>26.15322875976562</v>
      </c>
      <c r="F251" t="n">
        <v>0.004621030137627779</v>
      </c>
    </row>
    <row r="252">
      <c r="A252" s="81" t="n">
        <v>42309</v>
      </c>
      <c r="B252" t="n">
        <v>51.2</v>
      </c>
      <c r="C252" t="n">
        <v>49.63714981079102</v>
      </c>
      <c r="D252" t="n">
        <v>30.30398941040039</v>
      </c>
      <c r="E252" t="n">
        <v>25.71908950805664</v>
      </c>
      <c r="F252" t="n">
        <v/>
      </c>
    </row>
    <row r="253">
      <c r="A253" s="81" t="n">
        <v>42339</v>
      </c>
      <c r="B253" t="n">
        <v>50.9</v>
      </c>
      <c r="C253" t="n">
        <v>47.96997451782227</v>
      </c>
      <c r="D253" t="n">
        <v>29.0440845489502</v>
      </c>
      <c r="E253" t="n">
        <v>24.16217231750488</v>
      </c>
      <c r="F253" t="n">
        <v/>
      </c>
    </row>
    <row r="254">
      <c r="A254" s="81" t="n">
        <v>42370</v>
      </c>
      <c r="B254" t="n">
        <v>50.9</v>
      </c>
      <c r="C254" t="n">
        <v>46.01519775390625</v>
      </c>
      <c r="D254" t="n">
        <v>27.57959365844727</v>
      </c>
      <c r="E254" t="n">
        <v>23.45659446716309</v>
      </c>
      <c r="F254" t="n">
        <v>0.005558264577996221</v>
      </c>
    </row>
    <row r="255">
      <c r="A255" s="81" t="n">
        <v>42401</v>
      </c>
      <c r="B255" t="n">
        <v>50</v>
      </c>
      <c r="C255" t="n">
        <v>45.44066619873047</v>
      </c>
      <c r="D255" t="n">
        <v>26.41659545898438</v>
      </c>
      <c r="E255" t="n">
        <v>22.72357940673828</v>
      </c>
      <c r="F255" t="n">
        <v/>
      </c>
    </row>
    <row r="256">
      <c r="A256" s="81" t="n">
        <v>42430</v>
      </c>
      <c r="B256" t="n">
        <v>50.5</v>
      </c>
      <c r="C256" t="n">
        <v>48.80083847045898</v>
      </c>
      <c r="D256" t="n">
        <v>28.56814193725586</v>
      </c>
      <c r="E256" t="n">
        <v>23.94527435302734</v>
      </c>
      <c r="F256" t="n">
        <v/>
      </c>
    </row>
    <row r="257">
      <c r="A257" s="81" t="n">
        <v>42461</v>
      </c>
      <c r="B257" t="n">
        <v>50.1</v>
      </c>
      <c r="C257" t="n">
        <v>49.45372009277344</v>
      </c>
      <c r="D257" t="n">
        <v>29.29916572570801</v>
      </c>
      <c r="E257" t="n">
        <v>24.9073600769043</v>
      </c>
      <c r="F257" t="n">
        <v>0.002338366509995496</v>
      </c>
    </row>
    <row r="258">
      <c r="A258" s="81" t="n">
        <v>42491</v>
      </c>
      <c r="B258" t="n">
        <v>50</v>
      </c>
      <c r="C258" t="n">
        <v>49.61912155151367</v>
      </c>
      <c r="D258" t="n">
        <v>28.23586082458496</v>
      </c>
      <c r="E258" t="n">
        <v>24.61721038818359</v>
      </c>
      <c r="F258" t="n">
        <v/>
      </c>
    </row>
    <row r="259">
      <c r="A259" s="81" t="n">
        <v>42522</v>
      </c>
      <c r="B259" t="n">
        <v>50.9</v>
      </c>
      <c r="C259" t="n">
        <v>48.94882202148438</v>
      </c>
      <c r="D259" t="n">
        <v>26.80703735351562</v>
      </c>
      <c r="E259" t="n">
        <v>23.47187042236328</v>
      </c>
      <c r="F259" t="n">
        <v/>
      </c>
    </row>
    <row r="260">
      <c r="A260" s="81" t="n">
        <v>42552</v>
      </c>
      <c r="B260" t="n">
        <v>51</v>
      </c>
      <c r="C260" t="n">
        <v>51.46428298950195</v>
      </c>
      <c r="D260" t="n">
        <v>28.80241775512695</v>
      </c>
      <c r="E260" t="n">
        <v>24.41600608825684</v>
      </c>
      <c r="F260" t="n">
        <v>0.00476872353145435</v>
      </c>
    </row>
    <row r="261">
      <c r="A261" s="81" t="n">
        <v>42583</v>
      </c>
      <c r="B261" t="n">
        <v>50.9</v>
      </c>
      <c r="C261" t="n">
        <v>51.64068222045898</v>
      </c>
      <c r="D261" t="n">
        <v>29.12594223022461</v>
      </c>
      <c r="E261" t="n">
        <v>24.68207740783691</v>
      </c>
      <c r="F261" t="n">
        <v/>
      </c>
    </row>
    <row r="262">
      <c r="A262" s="81" t="n">
        <v>42614</v>
      </c>
      <c r="B262" t="n">
        <v>51</v>
      </c>
      <c r="C262" t="n">
        <v>52.12577819824219</v>
      </c>
      <c r="D262" t="n">
        <v>29.36433219909668</v>
      </c>
      <c r="E262" t="n">
        <v>24.7916316986084</v>
      </c>
      <c r="F262" t="n">
        <v/>
      </c>
    </row>
    <row r="263">
      <c r="A263" s="81" t="n">
        <v>42644</v>
      </c>
      <c r="B263" t="n">
        <v>52</v>
      </c>
      <c r="C263" t="n">
        <v>51.12913131713867</v>
      </c>
      <c r="D263" t="n">
        <v>29.06634712219238</v>
      </c>
      <c r="E263" t="n">
        <v>23.4769229888916</v>
      </c>
      <c r="F263" t="n">
        <v>0.007571322890104813</v>
      </c>
    </row>
    <row r="264">
      <c r="A264" s="81" t="n">
        <v>42675</v>
      </c>
      <c r="B264" t="n">
        <v>52.1</v>
      </c>
      <c r="C264" t="n">
        <v>51.65831756591797</v>
      </c>
      <c r="D264" t="n">
        <v>27.9084644317627</v>
      </c>
      <c r="E264" t="n">
        <v>23.52388000488281</v>
      </c>
      <c r="F264" t="n">
        <v/>
      </c>
    </row>
    <row r="265">
      <c r="A265" s="81" t="n">
        <v>42705</v>
      </c>
      <c r="B265" t="n">
        <v>52.7</v>
      </c>
      <c r="C265" t="n">
        <v>52.18751525878906</v>
      </c>
      <c r="D265" t="n">
        <v>29.45798873901367</v>
      </c>
      <c r="E265" t="n">
        <v>24.01689529418945</v>
      </c>
      <c r="F265" t="n">
        <v/>
      </c>
    </row>
    <row r="266">
      <c r="A266" s="81" t="n">
        <v>42736</v>
      </c>
      <c r="B266" t="n">
        <v>52.7</v>
      </c>
      <c r="C266" t="n">
        <v>54.203125</v>
      </c>
      <c r="D266" t="n">
        <v>30.28462219238281</v>
      </c>
      <c r="E266" t="n">
        <v>24.95241928100586</v>
      </c>
      <c r="F266" t="n">
        <v>0.006829487932795342</v>
      </c>
    </row>
    <row r="267">
      <c r="A267" s="81" t="n">
        <v>42767</v>
      </c>
      <c r="B267" t="n">
        <v>53</v>
      </c>
      <c r="C267" t="n">
        <v>55.56509017944336</v>
      </c>
      <c r="D267" t="n">
        <v>30.34460639953613</v>
      </c>
      <c r="E267" t="n">
        <v>25.31738090515137</v>
      </c>
      <c r="F267" t="n">
        <v/>
      </c>
    </row>
    <row r="268">
      <c r="A268" s="81" t="n">
        <v>42795</v>
      </c>
      <c r="B268" t="n">
        <v>53</v>
      </c>
      <c r="C268" t="n">
        <v>56.31285095214844</v>
      </c>
      <c r="D268" t="n">
        <v>32.22132110595703</v>
      </c>
      <c r="E268" t="n">
        <v>25.82515525817871</v>
      </c>
      <c r="F268" t="n">
        <v/>
      </c>
    </row>
    <row r="269">
      <c r="A269" s="81" t="n">
        <v>42826</v>
      </c>
      <c r="B269" t="n">
        <v>52.7</v>
      </c>
      <c r="C269" t="n">
        <v>57.2208366394043</v>
      </c>
      <c r="D269" t="n">
        <v>33.62672805786133</v>
      </c>
      <c r="E269" t="n">
        <v>26.26152801513672</v>
      </c>
      <c r="F269" t="n">
        <v>0.007887524293034848</v>
      </c>
    </row>
    <row r="270">
      <c r="A270" s="81" t="n">
        <v>42856</v>
      </c>
      <c r="B270" t="n">
        <v>52.6</v>
      </c>
      <c r="C270" t="n">
        <v>58.48488998413086</v>
      </c>
      <c r="D270" t="n">
        <v>35.28921890258789</v>
      </c>
      <c r="E270" t="n">
        <v>27.45956230163574</v>
      </c>
      <c r="F270" t="n">
        <v/>
      </c>
    </row>
    <row r="271">
      <c r="A271" s="81" t="n">
        <v>42887</v>
      </c>
      <c r="B271" t="n">
        <v>52.6</v>
      </c>
      <c r="C271" t="n">
        <v>58.29795455932617</v>
      </c>
      <c r="D271" t="n">
        <v>34.56081390380859</v>
      </c>
      <c r="E271" t="n">
        <v>26.44400978088379</v>
      </c>
      <c r="F271" t="n">
        <v/>
      </c>
    </row>
    <row r="272">
      <c r="A272" s="81" t="n">
        <v>42917</v>
      </c>
      <c r="B272" t="n">
        <v>52.8</v>
      </c>
      <c r="C272" t="n">
        <v>60.55635070800781</v>
      </c>
      <c r="D272" t="n">
        <v>36.23170852661133</v>
      </c>
      <c r="E272" t="n">
        <v>27.66788673400879</v>
      </c>
      <c r="F272" t="n">
        <v>0.007760442137866973</v>
      </c>
    </row>
    <row r="273">
      <c r="A273" s="81" t="n">
        <v>42948</v>
      </c>
      <c r="B273" t="n">
        <v>53.2</v>
      </c>
      <c r="C273" t="n">
        <v>60.79937362670898</v>
      </c>
      <c r="D273" t="n">
        <v>36.40577697753906</v>
      </c>
      <c r="E273" t="n">
        <v>27.44083976745605</v>
      </c>
      <c r="F273" t="n">
        <v/>
      </c>
    </row>
    <row r="274">
      <c r="A274" s="81" t="n">
        <v>42979</v>
      </c>
      <c r="B274" t="n">
        <v>53.3</v>
      </c>
      <c r="C274" t="n">
        <v>61.94245529174805</v>
      </c>
      <c r="D274" t="n">
        <v>37.70256805419922</v>
      </c>
      <c r="E274" t="n">
        <v>28.25984191894531</v>
      </c>
      <c r="F274" t="n">
        <v/>
      </c>
    </row>
    <row r="275">
      <c r="A275" s="81" t="n">
        <v>43009</v>
      </c>
      <c r="B275" t="n">
        <v>53.5</v>
      </c>
      <c r="C275" t="n">
        <v>63.2745475769043</v>
      </c>
      <c r="D275" t="n">
        <v>38.14643478393555</v>
      </c>
      <c r="E275" t="n">
        <v>28.43012809753418</v>
      </c>
      <c r="F275" t="n">
        <v>0.008091295999694992</v>
      </c>
    </row>
    <row r="276">
      <c r="A276" s="81" t="n">
        <v>43040</v>
      </c>
      <c r="B276" t="n">
        <v>54.1</v>
      </c>
      <c r="C276" t="n">
        <v>64.55264282226562</v>
      </c>
      <c r="D276" t="n">
        <v>38.05068969726562</v>
      </c>
      <c r="E276" t="n">
        <v>28.3976936340332</v>
      </c>
      <c r="F276" t="n">
        <v/>
      </c>
    </row>
    <row r="277">
      <c r="A277" s="81" t="n">
        <v>43070</v>
      </c>
      <c r="B277" t="n">
        <v>54.5</v>
      </c>
      <c r="C277" t="n">
        <v>64.88566589355469</v>
      </c>
      <c r="D277" t="n">
        <v>37.75477981567383</v>
      </c>
      <c r="E277" t="n">
        <v>29.04641342163086</v>
      </c>
      <c r="F277" t="n">
        <v/>
      </c>
    </row>
    <row r="278">
      <c r="A278" s="81" t="n">
        <v>43101</v>
      </c>
      <c r="B278" t="n">
        <v>54.4</v>
      </c>
      <c r="C278" t="n">
        <v>69.22254180908203</v>
      </c>
      <c r="D278" t="n">
        <v>40.57744216918945</v>
      </c>
      <c r="E278" t="n">
        <v>30.70130348205566</v>
      </c>
      <c r="F278" t="n">
        <v>-3.510066650091764e-05</v>
      </c>
    </row>
    <row r="279">
      <c r="A279" s="81" t="n">
        <v>43132</v>
      </c>
      <c r="B279" t="n">
        <v>54.1</v>
      </c>
      <c r="C279" t="n">
        <v>66.12478637695312</v>
      </c>
      <c r="D279" t="n">
        <v>38.14734649658203</v>
      </c>
      <c r="E279" t="n">
        <v>28.64408683776855</v>
      </c>
      <c r="F279" t="n">
        <v/>
      </c>
    </row>
    <row r="280">
      <c r="A280" s="81" t="n">
        <v>43160</v>
      </c>
      <c r="B280" t="n">
        <v>53.3</v>
      </c>
      <c r="C280" t="n">
        <v>65.13459014892578</v>
      </c>
      <c r="D280" t="n">
        <v>37.89385223388672</v>
      </c>
      <c r="E280" t="n">
        <v>28.71018600463867</v>
      </c>
      <c r="F280" t="n">
        <v/>
      </c>
    </row>
    <row r="281">
      <c r="A281" s="81" t="n">
        <v>43191</v>
      </c>
      <c r="B281" t="n">
        <v>53.5</v>
      </c>
      <c r="C281" t="n">
        <v>65.39803314208984</v>
      </c>
      <c r="D281" t="n">
        <v>38.7504997253418</v>
      </c>
      <c r="E281" t="n">
        <v>29.9494743347168</v>
      </c>
      <c r="F281" t="n">
        <v>0.005393534397974045</v>
      </c>
    </row>
    <row r="282">
      <c r="A282" s="81" t="n">
        <v>43221</v>
      </c>
      <c r="B282" t="n">
        <v>53.1</v>
      </c>
      <c r="C282" t="n">
        <v>65.70691680908203</v>
      </c>
      <c r="D282" t="n">
        <v>37.36062622070312</v>
      </c>
      <c r="E282" t="n">
        <v>29.76770782470703</v>
      </c>
      <c r="F282" t="n">
        <v/>
      </c>
    </row>
    <row r="283">
      <c r="A283" s="81" t="n">
        <v>43252</v>
      </c>
      <c r="B283" t="n">
        <v>53</v>
      </c>
      <c r="C283" t="n">
        <v>64.60771942138672</v>
      </c>
      <c r="D283" t="n">
        <v>35.84835815429688</v>
      </c>
      <c r="E283" t="n">
        <v>28.7349681854248</v>
      </c>
      <c r="F283" t="n">
        <v/>
      </c>
    </row>
    <row r="284">
      <c r="A284" s="81" t="n">
        <v>43282</v>
      </c>
      <c r="B284" t="n">
        <v>52.8</v>
      </c>
      <c r="C284" t="n">
        <v>67.32460784912109</v>
      </c>
      <c r="D284" t="n">
        <v>38.12031936645508</v>
      </c>
      <c r="E284" t="n">
        <v>29.69309616088867</v>
      </c>
      <c r="F284" t="n">
        <v>8.699966473854685e-05</v>
      </c>
    </row>
    <row r="285">
      <c r="A285" s="81" t="n">
        <v>43313</v>
      </c>
      <c r="B285" t="n">
        <v>52.6</v>
      </c>
      <c r="C285" t="n">
        <v>67.79303741455078</v>
      </c>
      <c r="D285" t="n">
        <v>36.91143035888672</v>
      </c>
      <c r="E285" t="n">
        <v>28.39069175720215</v>
      </c>
      <c r="F285" t="n">
        <v/>
      </c>
    </row>
    <row r="286">
      <c r="A286" s="81" t="n">
        <v>43344</v>
      </c>
      <c r="B286" t="n">
        <v>52.2</v>
      </c>
      <c r="C286" t="n">
        <v>68.20635986328125</v>
      </c>
      <c r="D286" t="n">
        <v>36.72336959838867</v>
      </c>
      <c r="E286" t="n">
        <v>28.8558349609375</v>
      </c>
      <c r="F286" t="n">
        <v/>
      </c>
    </row>
    <row r="287">
      <c r="A287" s="81" t="n">
        <v>43374</v>
      </c>
      <c r="B287" t="n">
        <v>52</v>
      </c>
      <c r="C287" t="n">
        <v>63.13633346557617</v>
      </c>
      <c r="D287" t="n">
        <v>33.46385192871094</v>
      </c>
      <c r="E287" t="n">
        <v>26.9022274017334</v>
      </c>
      <c r="F287" t="n">
        <v>0.006465919737490724</v>
      </c>
    </row>
    <row r="288">
      <c r="A288" s="81" t="n">
        <v>43405</v>
      </c>
      <c r="B288" t="n">
        <v>52</v>
      </c>
      <c r="C288" t="n">
        <v>64.13748931884766</v>
      </c>
      <c r="D288" t="n">
        <v>33.34744644165039</v>
      </c>
      <c r="E288" t="n">
        <v>26.58085823059082</v>
      </c>
      <c r="F288" t="n">
        <v/>
      </c>
    </row>
    <row r="289">
      <c r="A289" s="81" t="n">
        <v>43435</v>
      </c>
      <c r="B289" t="n">
        <v>51.5</v>
      </c>
      <c r="C289" t="n">
        <v>58.92970275878906</v>
      </c>
      <c r="D289" t="n">
        <v>31.39531326293945</v>
      </c>
      <c r="E289" t="n">
        <v>24.82176971435547</v>
      </c>
      <c r="F289" t="n">
        <v/>
      </c>
    </row>
    <row r="290">
      <c r="A290" s="81" t="n">
        <v>43466</v>
      </c>
      <c r="B290" t="n">
        <v>50.7</v>
      </c>
      <c r="C290" t="n">
        <v>64.29935455322266</v>
      </c>
      <c r="D290" t="n">
        <v>33.62771606445312</v>
      </c>
      <c r="E290" t="n">
        <v>27.21231079101562</v>
      </c>
      <c r="F290" t="n">
        <v>0.006281530002931163</v>
      </c>
    </row>
    <row r="291">
      <c r="A291" s="81" t="n">
        <v>43497</v>
      </c>
      <c r="B291" t="n">
        <v>50.6</v>
      </c>
      <c r="C291" t="n">
        <v>65.88550567626953</v>
      </c>
      <c r="D291" t="n">
        <v>34.68111801147461</v>
      </c>
      <c r="E291" t="n">
        <v>28.14560127258301</v>
      </c>
      <c r="F291" t="n">
        <v/>
      </c>
    </row>
    <row r="292">
      <c r="A292" s="81" t="n">
        <v>43525</v>
      </c>
      <c r="B292" t="n">
        <v>50.5</v>
      </c>
      <c r="C292" t="n">
        <v>66.92438507080078</v>
      </c>
      <c r="D292" t="n">
        <v>34.75313949584961</v>
      </c>
      <c r="E292" t="n">
        <v>28.52582740783691</v>
      </c>
      <c r="F292" t="n">
        <v/>
      </c>
    </row>
    <row r="293">
      <c r="A293" s="81" t="n">
        <v>43556</v>
      </c>
      <c r="B293" t="n">
        <v>50.4</v>
      </c>
      <c r="C293" t="n">
        <v>69.21549224853516</v>
      </c>
      <c r="D293" t="n">
        <v>36.49079895019531</v>
      </c>
      <c r="E293" t="n">
        <v>29.17394828796387</v>
      </c>
      <c r="F293" t="n">
        <v>0.00313693459033283</v>
      </c>
    </row>
    <row r="294">
      <c r="A294" s="81" t="n">
        <v>43586</v>
      </c>
      <c r="B294" t="n">
        <v>49.8</v>
      </c>
      <c r="C294" t="n">
        <v>65.01359558105469</v>
      </c>
      <c r="D294" t="n">
        <v>34.14090728759766</v>
      </c>
      <c r="E294" t="n">
        <v>27.3851432800293</v>
      </c>
      <c r="F294" t="n">
        <v/>
      </c>
    </row>
    <row r="295">
      <c r="A295" s="81" t="n">
        <v>43617</v>
      </c>
      <c r="B295" t="n">
        <v>49.4</v>
      </c>
      <c r="C295" t="n">
        <v>68.37139892578125</v>
      </c>
      <c r="D295" t="n">
        <v>35.61746978759766</v>
      </c>
      <c r="E295" t="n">
        <v>27.9295654296875</v>
      </c>
      <c r="F295" t="n">
        <v/>
      </c>
    </row>
    <row r="296">
      <c r="A296" s="81" t="n">
        <v>43647</v>
      </c>
      <c r="B296" t="n">
        <v>49.3</v>
      </c>
      <c r="C296" t="n">
        <v>69.28022003173828</v>
      </c>
      <c r="D296" t="n">
        <v>35.58132553100586</v>
      </c>
      <c r="E296" t="n">
        <v>27.95261383056641</v>
      </c>
      <c r="F296" t="n">
        <v>0.002074514789335913</v>
      </c>
    </row>
    <row r="297">
      <c r="A297" s="81" t="n">
        <v>43678</v>
      </c>
      <c r="B297" t="n">
        <v>49.5</v>
      </c>
      <c r="C297" t="n">
        <v>67.74922180175781</v>
      </c>
      <c r="D297" t="n">
        <v>35.0451545715332</v>
      </c>
      <c r="E297" t="n">
        <v>26.88910484313965</v>
      </c>
      <c r="F297" t="n">
        <v/>
      </c>
    </row>
    <row r="298">
      <c r="A298" s="81" t="n">
        <v>43709</v>
      </c>
      <c r="B298" t="n">
        <v>49.7</v>
      </c>
      <c r="C298" t="n">
        <v>69.27082824707031</v>
      </c>
      <c r="D298" t="n">
        <v>35.95109939575195</v>
      </c>
      <c r="E298" t="n">
        <v>27.85512542724609</v>
      </c>
      <c r="F298" t="n">
        <v/>
      </c>
    </row>
    <row r="299">
      <c r="A299" s="81" t="n">
        <v>43739</v>
      </c>
      <c r="B299" t="n">
        <v>49.8</v>
      </c>
      <c r="C299" t="n">
        <v>71.16815185546875</v>
      </c>
      <c r="D299" t="n">
        <v>37.36547470092773</v>
      </c>
      <c r="E299" t="n">
        <v>28.83000755310059</v>
      </c>
      <c r="F299" t="n">
        <v>0.0001576409878780286</v>
      </c>
    </row>
    <row r="300">
      <c r="A300" s="81" t="n">
        <v>43770</v>
      </c>
      <c r="B300" t="n">
        <v>50.3</v>
      </c>
      <c r="C300" t="n">
        <v>72.83064270019531</v>
      </c>
      <c r="D300" t="n">
        <v>37.70751953125</v>
      </c>
      <c r="E300" t="n">
        <v>29.18451309204102</v>
      </c>
      <c r="F300" t="n">
        <v/>
      </c>
    </row>
    <row r="301">
      <c r="A301" s="81" t="n">
        <v>43800</v>
      </c>
      <c r="B301" t="n">
        <v>50.1</v>
      </c>
      <c r="C301" t="n">
        <v>74.43679046630859</v>
      </c>
      <c r="D301" t="n">
        <v>38.75212097167969</v>
      </c>
      <c r="E301" t="n">
        <v>30.221435546875</v>
      </c>
      <c r="F301" t="n">
        <v/>
      </c>
    </row>
    <row r="302">
      <c r="A302" s="81" t="n">
        <v>43831</v>
      </c>
      <c r="B302" t="n">
        <v>50.4</v>
      </c>
      <c r="C302" t="n">
        <v>74.25371551513672</v>
      </c>
      <c r="D302" t="n">
        <v>37.57479095458984</v>
      </c>
      <c r="E302" t="n">
        <v>29.44472694396973</v>
      </c>
      <c r="F302" t="n">
        <v>-0.03363783079240897</v>
      </c>
    </row>
    <row r="303">
      <c r="A303" s="81" t="n">
        <v>43862</v>
      </c>
      <c r="B303" t="n">
        <v>47.1</v>
      </c>
      <c r="C303" t="n">
        <v>68.69252777099609</v>
      </c>
      <c r="D303" t="n">
        <v>34.79938507080078</v>
      </c>
      <c r="E303" t="n">
        <v>26.43169021606445</v>
      </c>
      <c r="F303" t="n">
        <v/>
      </c>
    </row>
    <row r="304">
      <c r="A304" s="81" t="n">
        <v>43891</v>
      </c>
      <c r="B304" t="n">
        <v>47.3</v>
      </c>
      <c r="C304" t="n">
        <v>59.48092269897461</v>
      </c>
      <c r="D304" t="n">
        <v>28.32032585144043</v>
      </c>
      <c r="E304" t="n">
        <v>21.54227828979492</v>
      </c>
      <c r="F304" t="n">
        <v/>
      </c>
    </row>
    <row r="305">
      <c r="A305" s="81" t="n">
        <v>43922</v>
      </c>
      <c r="B305" t="n">
        <v>39.6</v>
      </c>
      <c r="C305" t="n">
        <v>65.32728576660156</v>
      </c>
      <c r="D305" t="n">
        <v>30.06540298461914</v>
      </c>
      <c r="E305" t="n">
        <v>22.77816200256348</v>
      </c>
      <c r="F305" t="n">
        <v>-0.1145008073653633</v>
      </c>
    </row>
    <row r="306">
      <c r="A306" s="81" t="n">
        <v>43952</v>
      </c>
      <c r="B306" t="n">
        <v>42.4</v>
      </c>
      <c r="C306" t="n">
        <v>68.65449523925781</v>
      </c>
      <c r="D306" t="n">
        <v>32.28387069702148</v>
      </c>
      <c r="E306" t="n">
        <v>23.21117401123047</v>
      </c>
      <c r="F306" t="n">
        <v/>
      </c>
    </row>
    <row r="307">
      <c r="A307" s="81" t="n">
        <v>43983</v>
      </c>
      <c r="B307" t="n">
        <v>47.8</v>
      </c>
      <c r="C307" t="n">
        <v>70.08045196533203</v>
      </c>
      <c r="D307" t="n">
        <v>33.86186981201172</v>
      </c>
      <c r="E307" t="n">
        <v>23.23824119567871</v>
      </c>
      <c r="F307" t="n">
        <v/>
      </c>
    </row>
    <row r="308">
      <c r="A308" s="81" t="n">
        <v>44013</v>
      </c>
      <c r="B308" t="n">
        <v>50.6</v>
      </c>
      <c r="C308" t="n">
        <v>74.46009826660156</v>
      </c>
      <c r="D308" t="n">
        <v>35.2772102355957</v>
      </c>
      <c r="E308" t="n">
        <v>23.74909782409668</v>
      </c>
      <c r="F308" t="n">
        <v>0.1235111337444042</v>
      </c>
    </row>
    <row r="309">
      <c r="A309" s="81" t="n">
        <v>44044</v>
      </c>
      <c r="B309" t="n">
        <v>51.8</v>
      </c>
      <c r="C309" t="n">
        <v>78.94667053222656</v>
      </c>
      <c r="D309" t="n">
        <v>36.88795852661133</v>
      </c>
      <c r="E309" t="n">
        <v>24.39938163757324</v>
      </c>
      <c r="F309" t="n">
        <v/>
      </c>
    </row>
    <row r="310">
      <c r="A310" s="81" t="n">
        <v>44075</v>
      </c>
      <c r="B310" t="n">
        <v>52.4</v>
      </c>
      <c r="C310" t="n">
        <v>76.61710357666016</v>
      </c>
      <c r="D310" t="n">
        <v>35.51133346557617</v>
      </c>
      <c r="E310" t="n">
        <v>23.34610557556152</v>
      </c>
      <c r="F310" t="n">
        <v/>
      </c>
    </row>
    <row r="311">
      <c r="A311" s="81" t="n">
        <v>44105</v>
      </c>
      <c r="B311" t="n">
        <v>53</v>
      </c>
      <c r="C311" t="n">
        <v>74.91065979003906</v>
      </c>
      <c r="D311" t="n">
        <v>33.60091781616211</v>
      </c>
      <c r="E311" t="n">
        <v>22.2928295135498</v>
      </c>
      <c r="F311" t="n">
        <v>-0.002623450635427683</v>
      </c>
    </row>
    <row r="312">
      <c r="A312" s="81" t="n">
        <v>44136</v>
      </c>
      <c r="B312" t="n">
        <v>53.8</v>
      </c>
      <c r="C312" t="n">
        <v>83.72086334228516</v>
      </c>
      <c r="D312" t="n">
        <v>40.21245956420898</v>
      </c>
      <c r="E312" t="n">
        <v>25.88313102722168</v>
      </c>
      <c r="F312" t="n">
        <v/>
      </c>
    </row>
    <row r="313">
      <c r="A313" s="81" t="n">
        <v>44166</v>
      </c>
      <c r="B313" t="n">
        <v>53.8</v>
      </c>
      <c r="C313" t="n">
        <v>86.97076416015625</v>
      </c>
      <c r="D313" t="n">
        <v>41.28005218505859</v>
      </c>
      <c r="E313" t="n">
        <v>26.82649993896484</v>
      </c>
      <c r="F313" t="n">
        <v/>
      </c>
    </row>
    <row r="314">
      <c r="A314" s="81" t="n">
        <v>44197</v>
      </c>
      <c r="B314" t="n">
        <v>53.6</v>
      </c>
      <c r="C314" t="n">
        <v>87.37460327148438</v>
      </c>
      <c r="D314" t="n">
        <v>41.14378356933594</v>
      </c>
      <c r="E314" t="n">
        <v>27.0683650970459</v>
      </c>
      <c r="F314" t="n">
        <v>-0.0006209683402426656</v>
      </c>
    </row>
    <row r="315">
      <c r="A315" s="81" t="n">
        <v>44228</v>
      </c>
      <c r="B315" t="n">
        <v>53.9</v>
      </c>
      <c r="C315" t="n">
        <v>89.37443542480469</v>
      </c>
      <c r="D315" t="n">
        <v>42.54025650024414</v>
      </c>
      <c r="E315" t="n">
        <v>28.13368797302246</v>
      </c>
      <c r="F315" t="n">
        <v/>
      </c>
    </row>
    <row r="316">
      <c r="A316" s="81" t="n">
        <v>44256</v>
      </c>
      <c r="B316" t="n">
        <v>55</v>
      </c>
      <c r="C316" t="n">
        <v>91.92495727539062</v>
      </c>
      <c r="D316" t="n">
        <v>44.10772705078125</v>
      </c>
      <c r="E316" t="n">
        <v>29.00446701049805</v>
      </c>
      <c r="F316" t="n">
        <v/>
      </c>
    </row>
    <row r="317">
      <c r="A317" s="81" t="n">
        <v>44287</v>
      </c>
      <c r="B317" t="n">
        <v>55.9</v>
      </c>
      <c r="C317" t="n">
        <v>95.82802581787109</v>
      </c>
      <c r="D317" t="n">
        <v>46.15969467163086</v>
      </c>
      <c r="E317" t="n">
        <v>30.1346321105957</v>
      </c>
      <c r="F317" t="n">
        <v>0.01986212346888342</v>
      </c>
    </row>
    <row r="318">
      <c r="A318" s="81" t="n">
        <v>44317</v>
      </c>
      <c r="B318" t="n">
        <v>56</v>
      </c>
      <c r="C318" t="n">
        <v>97.23854064941406</v>
      </c>
      <c r="D318" t="n">
        <v>48.18315887451172</v>
      </c>
      <c r="E318" t="n">
        <v>31.30185317993164</v>
      </c>
      <c r="F318" t="n">
        <v/>
      </c>
    </row>
    <row r="319">
      <c r="A319" s="81" t="n">
        <v>44348</v>
      </c>
      <c r="B319" t="n">
        <v>55.5</v>
      </c>
      <c r="C319" t="n">
        <v>97.76023101806641</v>
      </c>
      <c r="D319" t="n">
        <v>46.88167572021484</v>
      </c>
      <c r="E319" t="n">
        <v>30.29211807250977</v>
      </c>
      <c r="F319" t="n">
        <v/>
      </c>
    </row>
    <row r="320">
      <c r="A320" s="81" t="n">
        <v>44378</v>
      </c>
      <c r="B320" t="n">
        <v>55.4</v>
      </c>
      <c r="C320" t="n">
        <v>99.35981750488281</v>
      </c>
      <c r="D320" t="n">
        <v>47.80789566040039</v>
      </c>
      <c r="E320" t="n">
        <v>30.89048385620117</v>
      </c>
      <c r="F320" t="n">
        <v>0.02250640829915882</v>
      </c>
    </row>
    <row r="321">
      <c r="A321" s="81" t="n">
        <v>44409</v>
      </c>
      <c r="B321" t="n">
        <v>54.1</v>
      </c>
      <c r="C321" t="n">
        <v>101.5200271606445</v>
      </c>
      <c r="D321" t="n">
        <v>48.74775695800781</v>
      </c>
      <c r="E321" t="n">
        <v>31.09773635864258</v>
      </c>
      <c r="F321" t="n">
        <v/>
      </c>
    </row>
    <row r="322">
      <c r="A322" s="81" t="n">
        <v>44440</v>
      </c>
      <c r="B322" t="n">
        <v>54.1</v>
      </c>
      <c r="C322" t="n">
        <v>97.22880554199219</v>
      </c>
      <c r="D322" t="n">
        <v>46.14876937866211</v>
      </c>
      <c r="E322" t="n">
        <v>30.38176536560059</v>
      </c>
      <c r="F322" t="n">
        <v/>
      </c>
    </row>
    <row r="323">
      <c r="A323" s="81" t="n">
        <v>44470</v>
      </c>
      <c r="B323" t="n">
        <v>54.2</v>
      </c>
      <c r="C323" t="n">
        <v>102.4736251831055</v>
      </c>
      <c r="D323" t="n">
        <v>48.25864791870117</v>
      </c>
      <c r="E323" t="n">
        <v>31.72892379760742</v>
      </c>
      <c r="F323" t="n">
        <v>0.005352043282738927</v>
      </c>
    </row>
    <row r="324">
      <c r="A324" s="81" t="n">
        <v>44501</v>
      </c>
      <c r="B324" t="n">
        <v>54.2</v>
      </c>
      <c r="C324" t="n">
        <v>100.1090698242188</v>
      </c>
      <c r="D324" t="n">
        <v>45.65007019042969</v>
      </c>
      <c r="E324" t="n">
        <v>30.18392944335938</v>
      </c>
      <c r="F324" t="n">
        <v/>
      </c>
    </row>
    <row r="325">
      <c r="A325" s="81" t="n">
        <v>44531</v>
      </c>
      <c r="B325" t="n">
        <v>54.3</v>
      </c>
      <c r="C325" t="n">
        <v>102.9309616088867</v>
      </c>
      <c r="D325" t="n">
        <v>47.0023078918457</v>
      </c>
      <c r="E325" t="n">
        <v>31.22020721435547</v>
      </c>
      <c r="F325" t="n">
        <v/>
      </c>
    </row>
    <row r="326">
      <c r="A326" s="81" t="n">
        <v>44562</v>
      </c>
      <c r="B326" t="n">
        <v>53.2</v>
      </c>
      <c r="C326" t="n">
        <v>99.27207183837891</v>
      </c>
      <c r="D326" t="n">
        <v>46.11867904663086</v>
      </c>
      <c r="E326" t="n">
        <v>32.79575729370117</v>
      </c>
      <c r="F326" t="n">
        <v>0.00611327279210289</v>
      </c>
    </row>
    <row r="327">
      <c r="A327" s="81" t="n">
        <v>44593</v>
      </c>
      <c r="B327" t="n">
        <v>53.6</v>
      </c>
      <c r="C327" t="n">
        <v>96.23403167724609</v>
      </c>
      <c r="D327" t="n">
        <v>42.71185684204102</v>
      </c>
      <c r="E327" t="n">
        <v>32.40867614746094</v>
      </c>
      <c r="F327" t="n">
        <v/>
      </c>
    </row>
    <row r="328">
      <c r="A328" s="81" t="n">
        <v>44621</v>
      </c>
      <c r="B328" t="n">
        <v>52.9</v>
      </c>
      <c r="C328" t="n">
        <v>98.10207366943359</v>
      </c>
      <c r="D328" t="n">
        <v>42.11809539794922</v>
      </c>
      <c r="E328" t="n">
        <v>32.55382919311523</v>
      </c>
      <c r="F328" t="n">
        <v/>
      </c>
    </row>
    <row r="329">
      <c r="A329" s="81" t="n">
        <v>44652</v>
      </c>
      <c r="B329" t="n">
        <v>52.2</v>
      </c>
      <c r="C329" t="n">
        <v>90.18744659423828</v>
      </c>
      <c r="D329" t="n">
        <v>39.04221725463867</v>
      </c>
      <c r="E329" t="n">
        <v>31.2570972442627</v>
      </c>
      <c r="F329" t="n">
        <v>0.007951096645584181</v>
      </c>
    </row>
    <row r="330">
      <c r="A330" s="81" t="n">
        <v>44682</v>
      </c>
      <c r="B330" t="n">
        <v>52.3</v>
      </c>
      <c r="C330" t="n">
        <v>90.59055328369141</v>
      </c>
      <c r="D330" t="n">
        <v>40.73589324951172</v>
      </c>
      <c r="E330" t="n">
        <v>32.09900665283203</v>
      </c>
      <c r="F330" t="n">
        <v/>
      </c>
    </row>
    <row r="331">
      <c r="A331" s="81" t="n">
        <v>44713</v>
      </c>
      <c r="B331" t="n">
        <v>52.2</v>
      </c>
      <c r="C331" t="n">
        <v>82.47929382324219</v>
      </c>
      <c r="D331" t="n">
        <v>35.3823127746582</v>
      </c>
      <c r="E331" t="n">
        <v>28.99264907836914</v>
      </c>
      <c r="F331" t="n">
        <v/>
      </c>
    </row>
    <row r="332">
      <c r="A332" s="81" t="n">
        <v>44743</v>
      </c>
      <c r="B332" t="n">
        <v/>
      </c>
      <c r="C332" t="n">
        <v>89.13095855712891</v>
      </c>
      <c r="D332" t="n">
        <v>37.99519348144531</v>
      </c>
      <c r="E332" t="n">
        <v>30.44909477233887</v>
      </c>
      <c r="F332" t="n">
        <v>0.003184090836015212</v>
      </c>
    </row>
    <row r="333">
      <c r="A333" s="81" t="n">
        <v>44774</v>
      </c>
      <c r="B333" t="n">
        <v/>
      </c>
      <c r="C333" t="n">
        <v>85.24103546142578</v>
      </c>
      <c r="D333" t="n">
        <v>35.17741775512695</v>
      </c>
      <c r="E333" t="n">
        <v>28.47891807556152</v>
      </c>
      <c r="F333" t="n">
        <v/>
      </c>
    </row>
    <row r="334">
      <c r="A334" s="81" t="n">
        <v>44805</v>
      </c>
      <c r="B334" t="n">
        <v/>
      </c>
      <c r="C334" t="n">
        <v>77.23294067382812</v>
      </c>
      <c r="D334" t="n">
        <v>31.84188270568848</v>
      </c>
      <c r="E334" t="n">
        <v>25.81917762756348</v>
      </c>
      <c r="F334" t="n">
        <v/>
      </c>
    </row>
    <row r="335">
      <c r="A335" s="81" t="n">
        <v>44834</v>
      </c>
      <c r="B335" t="n">
        <v/>
      </c>
      <c r="C335" t="n">
        <v>77.83000183105469</v>
      </c>
      <c r="D335" t="n">
        <v>31.97999954223633</v>
      </c>
      <c r="E335" t="n">
        <v>26.20999908447266</v>
      </c>
      <c r="F335" t="n">
        <v/>
      </c>
    </row>
    <row r="336">
      <c r="A336" s="81" t="n">
        <v>44835</v>
      </c>
      <c r="B336" t="n">
        <v/>
      </c>
      <c r="C336" t="n">
        <v>82.13504028320312</v>
      </c>
      <c r="D336" t="n">
        <v>35.05793380737305</v>
      </c>
      <c r="E336" t="n">
        <v>27.62189102172852</v>
      </c>
      <c r="F336" t="n">
        <v/>
      </c>
    </row>
    <row r="337">
      <c r="A337" s="81" t="n">
        <v>44866</v>
      </c>
      <c r="B337" t="n">
        <v/>
      </c>
      <c r="C337" t="n">
        <v>88.98210906982422</v>
      </c>
      <c r="D337" t="n">
        <v>40.36491394042969</v>
      </c>
      <c r="E337" t="n">
        <v>31.05985069274902</v>
      </c>
      <c r="F337" t="n">
        <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C218"/>
  <sheetViews>
    <sheetView zoomScale="200" zoomScaleNormal="200" workbookViewId="0">
      <pane ySplit="1" topLeftCell="A203" activePane="bottomLeft" state="frozen"/>
      <selection pane="bottomLeft" activeCell="H18" sqref="H18"/>
    </sheetView>
  </sheetViews>
  <sheetFormatPr baseColWidth="8" defaultColWidth="10.81640625" defaultRowHeight="14.5"/>
  <cols>
    <col width="10.81640625" customWidth="1" min="1" max="1"/>
    <col width="21.81640625" customWidth="1" min="2" max="2"/>
    <col width="10.81640625" customWidth="1" min="3" max="35"/>
  </cols>
  <sheetData>
    <row r="1">
      <c r="A1" t="inlineStr">
        <is>
          <t>DATE</t>
        </is>
      </c>
      <c r="B1" t="inlineStr">
        <is>
          <t>China Business Confidence</t>
        </is>
      </c>
      <c r="C1" t="inlineStr">
        <is>
          <t>China GDP</t>
        </is>
      </c>
    </row>
    <row r="2">
      <c r="A2" s="81" t="n">
        <v>38353</v>
      </c>
      <c r="B2" t="n">
        <v>55.7</v>
      </c>
    </row>
    <row r="3">
      <c r="A3" s="81" t="n">
        <v>38384</v>
      </c>
      <c r="B3" t="n">
        <v>54.4</v>
      </c>
    </row>
    <row r="4">
      <c r="A4" s="81" t="n">
        <v>38412</v>
      </c>
      <c r="B4" t="n">
        <v>63.4</v>
      </c>
    </row>
    <row r="5">
      <c r="A5" s="81" t="n">
        <v>38443</v>
      </c>
      <c r="B5" t="n">
        <v>56.9</v>
      </c>
      <c r="C5" t="n">
        <v>0.111</v>
      </c>
    </row>
    <row r="6">
      <c r="A6" s="81" t="n">
        <v>38473</v>
      </c>
      <c r="B6" t="n">
        <v>52.1</v>
      </c>
    </row>
    <row r="7">
      <c r="A7" s="81" t="n">
        <v>38504</v>
      </c>
      <c r="B7" t="n">
        <v>52.1</v>
      </c>
    </row>
    <row r="8">
      <c r="A8" s="81" t="n">
        <v>38534</v>
      </c>
      <c r="B8" t="n">
        <v>51.2</v>
      </c>
      <c r="C8" t="n">
        <v>0.111</v>
      </c>
    </row>
    <row r="9">
      <c r="A9" s="81" t="n">
        <v>38565</v>
      </c>
      <c r="B9" t="n">
        <v>54.1</v>
      </c>
    </row>
    <row r="10">
      <c r="A10" s="81" t="n">
        <v>38596</v>
      </c>
      <c r="B10" t="n">
        <v>56.9</v>
      </c>
    </row>
    <row r="11">
      <c r="A11" s="81" t="n">
        <v>38626</v>
      </c>
      <c r="B11" t="n">
        <v>54.1</v>
      </c>
      <c r="C11" t="n">
        <v>0.108</v>
      </c>
    </row>
    <row r="12">
      <c r="A12" s="81" t="n">
        <v>38657</v>
      </c>
      <c r="B12" t="n">
        <v>54.1</v>
      </c>
    </row>
    <row r="13">
      <c r="A13" s="81" t="n">
        <v>38687</v>
      </c>
      <c r="B13" t="n">
        <v>54.3</v>
      </c>
    </row>
    <row r="14">
      <c r="A14" s="81" t="n">
        <v>38718</v>
      </c>
      <c r="B14" t="n">
        <v>52.1</v>
      </c>
      <c r="C14" t="n">
        <v>0.124</v>
      </c>
    </row>
    <row r="15">
      <c r="A15" s="81" t="n">
        <v>38749</v>
      </c>
      <c r="B15" t="n">
        <v>52.1</v>
      </c>
    </row>
    <row r="16">
      <c r="A16" s="81" t="n">
        <v>38777</v>
      </c>
      <c r="B16" t="n">
        <v>55.3</v>
      </c>
    </row>
    <row r="17">
      <c r="A17" s="81" t="n">
        <v>38808</v>
      </c>
      <c r="B17" t="n">
        <v>58.1</v>
      </c>
      <c r="C17" t="n">
        <v>0.125</v>
      </c>
    </row>
    <row r="18">
      <c r="A18" s="81" t="n">
        <v>38838</v>
      </c>
      <c r="B18" t="n">
        <v>54.8</v>
      </c>
    </row>
    <row r="19">
      <c r="A19" s="81" t="n">
        <v>38869</v>
      </c>
      <c r="B19" t="n">
        <v>54.1</v>
      </c>
    </row>
    <row r="20">
      <c r="A20" s="81" t="n">
        <v>38899</v>
      </c>
      <c r="B20" t="n">
        <v>52.4</v>
      </c>
      <c r="C20" t="n">
        <v>0.137</v>
      </c>
    </row>
    <row r="21">
      <c r="A21" s="81" t="n">
        <v>38930</v>
      </c>
      <c r="B21" t="n">
        <v>53.1</v>
      </c>
    </row>
    <row r="22">
      <c r="A22" s="81" t="n">
        <v>38961</v>
      </c>
      <c r="B22" t="n">
        <v>57</v>
      </c>
    </row>
    <row r="23">
      <c r="A23" s="81" t="n">
        <v>38991</v>
      </c>
      <c r="B23" t="n">
        <v>54.7</v>
      </c>
      <c r="C23" t="n">
        <v>0.122</v>
      </c>
    </row>
    <row r="24">
      <c r="A24" s="81" t="n">
        <v>39022</v>
      </c>
      <c r="B24" t="n">
        <v>55.3</v>
      </c>
    </row>
    <row r="25">
      <c r="A25" s="81" t="n">
        <v>39052</v>
      </c>
      <c r="B25" t="n">
        <v>54.8</v>
      </c>
    </row>
    <row r="26">
      <c r="A26" s="81" t="n">
        <v>39083</v>
      </c>
      <c r="B26" t="n">
        <v>55.1</v>
      </c>
      <c r="C26" t="n">
        <v>0.125</v>
      </c>
    </row>
    <row r="27">
      <c r="A27" s="81" t="n">
        <v>39114</v>
      </c>
      <c r="B27" t="n">
        <v>53.1</v>
      </c>
    </row>
    <row r="28">
      <c r="A28" s="81" t="n">
        <v>39142</v>
      </c>
      <c r="B28" t="n">
        <v>56.1</v>
      </c>
    </row>
    <row r="29">
      <c r="A29" s="81" t="n">
        <v>39173</v>
      </c>
      <c r="B29" t="n">
        <v>58.6</v>
      </c>
      <c r="C29" t="n">
        <v>0.138</v>
      </c>
    </row>
    <row r="30">
      <c r="A30" s="81" t="n">
        <v>39203</v>
      </c>
      <c r="B30" t="n">
        <v>55.7</v>
      </c>
    </row>
    <row r="31">
      <c r="A31" s="81" t="n">
        <v>39234</v>
      </c>
      <c r="B31" t="n">
        <v>54.5</v>
      </c>
    </row>
    <row r="32">
      <c r="A32" s="81" t="n">
        <v>39264</v>
      </c>
      <c r="B32" t="n">
        <v>53.3</v>
      </c>
      <c r="C32" t="n">
        <v>0.15</v>
      </c>
    </row>
    <row r="33">
      <c r="A33" s="81" t="n">
        <v>39295</v>
      </c>
      <c r="B33" t="n">
        <v>54</v>
      </c>
    </row>
    <row r="34">
      <c r="A34" s="81" t="n">
        <v>39326</v>
      </c>
      <c r="B34" t="n">
        <v>56.1</v>
      </c>
    </row>
    <row r="35">
      <c r="A35" s="81" t="n">
        <v>39356</v>
      </c>
      <c r="B35" t="n">
        <v>53.2</v>
      </c>
      <c r="C35" t="n">
        <v>0.143</v>
      </c>
    </row>
    <row r="36">
      <c r="A36" s="81" t="n">
        <v>39387</v>
      </c>
      <c r="B36" t="n">
        <v>55.4</v>
      </c>
    </row>
    <row r="37">
      <c r="A37" s="81" t="n">
        <v>39417</v>
      </c>
      <c r="B37" t="n">
        <v>55.3</v>
      </c>
    </row>
    <row r="38">
      <c r="A38" s="81" t="n">
        <v>39448</v>
      </c>
      <c r="B38" t="n">
        <v>53</v>
      </c>
      <c r="C38" t="n">
        <v>0.139</v>
      </c>
    </row>
    <row r="39">
      <c r="A39" s="81" t="n">
        <v>39479</v>
      </c>
      <c r="B39" t="n">
        <v>53.4</v>
      </c>
    </row>
    <row r="40">
      <c r="A40" s="81" t="n">
        <v>39508</v>
      </c>
      <c r="B40" t="n">
        <v>58.4</v>
      </c>
    </row>
    <row r="41">
      <c r="A41" s="81" t="n">
        <v>39539</v>
      </c>
      <c r="B41" t="n">
        <v>59.2</v>
      </c>
      <c r="C41" t="n">
        <v>0.115</v>
      </c>
    </row>
    <row r="42">
      <c r="A42" s="81" t="n">
        <v>39569</v>
      </c>
      <c r="B42" t="n">
        <v>53.3</v>
      </c>
    </row>
    <row r="43">
      <c r="A43" s="81" t="n">
        <v>39600</v>
      </c>
      <c r="B43" t="n">
        <v>52</v>
      </c>
    </row>
    <row r="44">
      <c r="A44" s="81" t="n">
        <v>39630</v>
      </c>
      <c r="B44" t="n">
        <v>48.4</v>
      </c>
      <c r="C44" t="n">
        <v>0.109</v>
      </c>
    </row>
    <row r="45">
      <c r="A45" s="81" t="n">
        <v>39661</v>
      </c>
      <c r="B45" t="n">
        <v>48.4</v>
      </c>
    </row>
    <row r="46">
      <c r="A46" s="81" t="n">
        <v>39692</v>
      </c>
      <c r="B46" t="n">
        <v>51.2</v>
      </c>
    </row>
    <row r="47">
      <c r="A47" s="81" t="n">
        <v>39722</v>
      </c>
      <c r="B47" t="n">
        <v>44.6</v>
      </c>
      <c r="C47" t="n">
        <v>0.095</v>
      </c>
    </row>
    <row r="48">
      <c r="A48" s="81" t="n">
        <v>39753</v>
      </c>
      <c r="B48" t="n">
        <v>38.8</v>
      </c>
    </row>
    <row r="49">
      <c r="A49" s="81" t="n">
        <v>39783</v>
      </c>
      <c r="B49" t="n">
        <v>41.2</v>
      </c>
    </row>
    <row r="50">
      <c r="A50" s="81" t="n">
        <v>39814</v>
      </c>
      <c r="B50" t="n">
        <v>45.3</v>
      </c>
      <c r="C50" t="n">
        <v>0.07099999999999999</v>
      </c>
    </row>
    <row r="51">
      <c r="A51" s="81" t="n">
        <v>39845</v>
      </c>
      <c r="B51" t="n">
        <v>49</v>
      </c>
    </row>
    <row r="52">
      <c r="A52" s="81" t="n">
        <v>39873</v>
      </c>
      <c r="B52" t="n">
        <v>52.4</v>
      </c>
    </row>
    <row r="53">
      <c r="A53" s="81" t="n">
        <v>39904</v>
      </c>
      <c r="B53" t="n">
        <v>53.5</v>
      </c>
      <c r="C53" t="n">
        <v>0.064</v>
      </c>
    </row>
    <row r="54">
      <c r="A54" s="81" t="n">
        <v>39934</v>
      </c>
      <c r="B54" t="n">
        <v>53.1</v>
      </c>
    </row>
    <row r="55">
      <c r="A55" s="81" t="n">
        <v>39965</v>
      </c>
      <c r="B55" t="n">
        <v>53.2</v>
      </c>
    </row>
    <row r="56">
      <c r="A56" s="81" t="n">
        <v>39995</v>
      </c>
      <c r="B56" t="n">
        <v>53.3</v>
      </c>
      <c r="C56" t="n">
        <v>0.08199999999999999</v>
      </c>
    </row>
    <row r="57">
      <c r="A57" s="81" t="n">
        <v>40026</v>
      </c>
      <c r="B57" t="n">
        <v>54</v>
      </c>
    </row>
    <row r="58">
      <c r="A58" s="81" t="n">
        <v>40057</v>
      </c>
      <c r="B58" t="n">
        <v>54.3</v>
      </c>
    </row>
    <row r="59">
      <c r="A59" s="81" t="n">
        <v>40087</v>
      </c>
      <c r="B59" t="n">
        <v>55.2</v>
      </c>
      <c r="C59" t="n">
        <v>0.106</v>
      </c>
    </row>
    <row r="60">
      <c r="A60" s="81" t="n">
        <v>40118</v>
      </c>
      <c r="B60" t="n">
        <v>55.2</v>
      </c>
    </row>
    <row r="61">
      <c r="A61" s="81" t="n">
        <v>40148</v>
      </c>
      <c r="B61" t="n">
        <v>56.6</v>
      </c>
    </row>
    <row r="62">
      <c r="A62" s="81" t="n">
        <v>40179</v>
      </c>
      <c r="B62" t="n">
        <v>55.8</v>
      </c>
      <c r="C62" t="n">
        <v>0.119</v>
      </c>
    </row>
    <row r="63">
      <c r="A63" s="81" t="n">
        <v>40210</v>
      </c>
      <c r="B63" t="n">
        <v>52</v>
      </c>
    </row>
    <row r="64">
      <c r="A64" s="81" t="n">
        <v>40238</v>
      </c>
      <c r="B64" t="n">
        <v>55.1</v>
      </c>
    </row>
    <row r="65">
      <c r="A65" s="81" t="n">
        <v>40269</v>
      </c>
      <c r="B65" t="n">
        <v>55.7</v>
      </c>
      <c r="C65" t="n">
        <v>0.122</v>
      </c>
    </row>
    <row r="66">
      <c r="A66" s="81" t="n">
        <v>40299</v>
      </c>
      <c r="B66" t="n">
        <v>53.9</v>
      </c>
    </row>
    <row r="67">
      <c r="A67" s="81" t="n">
        <v>40330</v>
      </c>
      <c r="B67" t="n">
        <v>52.1</v>
      </c>
    </row>
    <row r="68">
      <c r="A68" s="81" t="n">
        <v>40360</v>
      </c>
      <c r="B68" t="n">
        <v>51.2</v>
      </c>
      <c r="C68" t="n">
        <v>0.108</v>
      </c>
    </row>
    <row r="69">
      <c r="A69" s="81" t="n">
        <v>40391</v>
      </c>
      <c r="B69" t="n">
        <v>51.7</v>
      </c>
    </row>
    <row r="70">
      <c r="A70" s="81" t="n">
        <v>40422</v>
      </c>
      <c r="B70" t="n">
        <v>53.8</v>
      </c>
    </row>
    <row r="71">
      <c r="A71" s="81" t="n">
        <v>40452</v>
      </c>
      <c r="B71" t="n">
        <v>54.7</v>
      </c>
      <c r="C71" t="n">
        <v>0.099</v>
      </c>
    </row>
    <row r="72">
      <c r="A72" s="81" t="n">
        <v>40483</v>
      </c>
      <c r="B72" t="n">
        <v>55.2</v>
      </c>
    </row>
    <row r="73">
      <c r="A73" s="81" t="n">
        <v>40513</v>
      </c>
      <c r="B73" t="n">
        <v>53.9</v>
      </c>
    </row>
    <row r="74">
      <c r="A74" s="81" t="n">
        <v>40544</v>
      </c>
      <c r="B74" t="n">
        <v>52.9</v>
      </c>
      <c r="C74" t="n">
        <v>0.099</v>
      </c>
    </row>
    <row r="75">
      <c r="A75" s="81" t="n">
        <v>40575</v>
      </c>
      <c r="B75" t="n">
        <v>52.2</v>
      </c>
    </row>
    <row r="76">
      <c r="A76" s="81" t="n">
        <v>40603</v>
      </c>
      <c r="B76" t="n">
        <v>53.4</v>
      </c>
    </row>
    <row r="77">
      <c r="A77" s="81" t="n">
        <v>40634</v>
      </c>
      <c r="B77" t="n">
        <v>52.9</v>
      </c>
      <c r="C77" t="n">
        <v>0.102</v>
      </c>
    </row>
    <row r="78">
      <c r="A78" s="81" t="n">
        <v>40664</v>
      </c>
      <c r="B78" t="n">
        <v>52</v>
      </c>
    </row>
    <row r="79">
      <c r="A79" s="81" t="n">
        <v>40695</v>
      </c>
      <c r="B79" t="n">
        <v>50.9</v>
      </c>
    </row>
    <row r="80">
      <c r="A80" s="81" t="n">
        <v>40725</v>
      </c>
      <c r="B80" t="n">
        <v>50.7</v>
      </c>
      <c r="C80" t="n">
        <v>0.1</v>
      </c>
    </row>
    <row r="81">
      <c r="A81" s="81" t="n">
        <v>40756</v>
      </c>
      <c r="B81" t="n">
        <v>50.9</v>
      </c>
    </row>
    <row r="82">
      <c r="A82" s="81" t="n">
        <v>40787</v>
      </c>
      <c r="B82" t="n">
        <v>51.2</v>
      </c>
    </row>
    <row r="83">
      <c r="A83" s="81" t="n">
        <v>40817</v>
      </c>
      <c r="B83" t="n">
        <v>50.4</v>
      </c>
      <c r="C83" t="n">
        <v>0.094</v>
      </c>
    </row>
    <row r="84">
      <c r="A84" s="81" t="n">
        <v>40848</v>
      </c>
      <c r="B84" t="n">
        <v>49</v>
      </c>
    </row>
    <row r="85">
      <c r="A85" s="81" t="n">
        <v>40878</v>
      </c>
      <c r="B85" t="n">
        <v>50.3</v>
      </c>
    </row>
    <row r="86">
      <c r="A86" s="81" t="n">
        <v>40909</v>
      </c>
      <c r="B86" t="n">
        <v>50.5</v>
      </c>
      <c r="C86" t="n">
        <v>0.08800000000000001</v>
      </c>
    </row>
    <row r="87">
      <c r="A87" s="81" t="n">
        <v>40940</v>
      </c>
      <c r="B87" t="n">
        <v>51</v>
      </c>
    </row>
    <row r="88">
      <c r="A88" s="81" t="n">
        <v>40969</v>
      </c>
      <c r="B88" t="n">
        <v>53.1</v>
      </c>
    </row>
    <row r="89">
      <c r="A89" s="81" t="n">
        <v>41000</v>
      </c>
      <c r="B89" t="n">
        <v>53.3</v>
      </c>
      <c r="C89" t="n">
        <v>0.081</v>
      </c>
    </row>
    <row r="90">
      <c r="A90" s="81" t="n">
        <v>41030</v>
      </c>
      <c r="B90" t="n">
        <v>50.4</v>
      </c>
    </row>
    <row r="91">
      <c r="A91" s="81" t="n">
        <v>41061</v>
      </c>
      <c r="B91" t="n">
        <v>50.2</v>
      </c>
    </row>
    <row r="92">
      <c r="A92" s="81" t="n">
        <v>41091</v>
      </c>
      <c r="B92" t="n">
        <v>50.1</v>
      </c>
      <c r="C92" t="n">
        <v>0.077</v>
      </c>
    </row>
    <row r="93">
      <c r="A93" s="81" t="n">
        <v>41122</v>
      </c>
      <c r="B93" t="n">
        <v>49.2</v>
      </c>
    </row>
    <row r="94">
      <c r="A94" s="81" t="n">
        <v>41153</v>
      </c>
      <c r="B94" t="n">
        <v>49.8</v>
      </c>
    </row>
    <row r="95">
      <c r="A95" s="81" t="n">
        <v>41183</v>
      </c>
      <c r="B95" t="n">
        <v>50.2</v>
      </c>
      <c r="C95" t="n">
        <v>0.075</v>
      </c>
    </row>
    <row r="96">
      <c r="A96" s="81" t="n">
        <v>41214</v>
      </c>
      <c r="B96" t="n">
        <v>50.6</v>
      </c>
    </row>
    <row r="97">
      <c r="A97" s="81" t="n">
        <v>41244</v>
      </c>
      <c r="B97" t="n">
        <v>50.6</v>
      </c>
    </row>
    <row r="98">
      <c r="A98" s="81" t="n">
        <v>41275</v>
      </c>
      <c r="B98" t="n">
        <v>50.4</v>
      </c>
      <c r="C98" t="n">
        <v>0.081</v>
      </c>
    </row>
    <row r="99">
      <c r="A99" s="81" t="n">
        <v>41306</v>
      </c>
      <c r="B99" t="n">
        <v>50.1</v>
      </c>
    </row>
    <row r="100">
      <c r="A100" s="81" t="n">
        <v>41334</v>
      </c>
      <c r="B100" t="n">
        <v>50.9</v>
      </c>
    </row>
    <row r="101">
      <c r="A101" s="81" t="n">
        <v>41365</v>
      </c>
      <c r="B101" t="n">
        <v>50.6</v>
      </c>
      <c r="C101" t="n">
        <v>0.079</v>
      </c>
    </row>
    <row r="102">
      <c r="A102" s="81" t="n">
        <v>41395</v>
      </c>
      <c r="B102" t="n">
        <v>50.8</v>
      </c>
    </row>
    <row r="103">
      <c r="A103" s="81" t="n">
        <v>41426</v>
      </c>
      <c r="B103" t="n">
        <v>50.1</v>
      </c>
    </row>
    <row r="104">
      <c r="A104" s="81" t="n">
        <v>41456</v>
      </c>
      <c r="B104" t="n">
        <v>50.3</v>
      </c>
      <c r="C104" t="n">
        <v>0.076</v>
      </c>
    </row>
    <row r="105">
      <c r="A105" s="81" t="n">
        <v>41487</v>
      </c>
      <c r="B105" t="n">
        <v>51</v>
      </c>
    </row>
    <row r="106">
      <c r="A106" s="81" t="n">
        <v>41518</v>
      </c>
      <c r="B106" t="n">
        <v>51.1</v>
      </c>
    </row>
    <row r="107">
      <c r="A107" s="81" t="n">
        <v>41548</v>
      </c>
      <c r="B107" t="n">
        <v>51.4</v>
      </c>
      <c r="C107" t="n">
        <v>0.079</v>
      </c>
    </row>
    <row r="108">
      <c r="A108" s="81" t="n">
        <v>41579</v>
      </c>
      <c r="B108" t="n">
        <v>51.4</v>
      </c>
    </row>
    <row r="109">
      <c r="A109" s="81" t="n">
        <v>41609</v>
      </c>
      <c r="B109" t="n">
        <v>51</v>
      </c>
    </row>
    <row r="110">
      <c r="A110" s="81" t="n">
        <v>41640</v>
      </c>
      <c r="B110" t="n">
        <v>50.5</v>
      </c>
      <c r="C110" t="n">
        <v>0.077</v>
      </c>
    </row>
    <row r="111">
      <c r="A111" s="81" t="n">
        <v>41671</v>
      </c>
      <c r="B111" t="n">
        <v>50.2</v>
      </c>
    </row>
    <row r="112">
      <c r="A112" s="81" t="n">
        <v>41699</v>
      </c>
      <c r="B112" t="n">
        <v>50.3</v>
      </c>
    </row>
    <row r="113">
      <c r="A113" s="81" t="n">
        <v>41730</v>
      </c>
      <c r="B113" t="n">
        <v>50.4</v>
      </c>
      <c r="C113" t="n">
        <v>0.075</v>
      </c>
    </row>
    <row r="114">
      <c r="A114" s="81" t="n">
        <v>41760</v>
      </c>
      <c r="B114" t="n">
        <v>50.8</v>
      </c>
    </row>
    <row r="115">
      <c r="A115" s="81" t="n">
        <v>41791</v>
      </c>
      <c r="B115" t="n">
        <v>51</v>
      </c>
    </row>
    <row r="116">
      <c r="A116" s="81" t="n">
        <v>41821</v>
      </c>
      <c r="B116" t="n">
        <v>51.7</v>
      </c>
      <c r="C116" t="n">
        <v>0.076</v>
      </c>
    </row>
    <row r="117">
      <c r="A117" s="81" t="n">
        <v>41852</v>
      </c>
      <c r="B117" t="n">
        <v>51.1</v>
      </c>
    </row>
    <row r="118">
      <c r="A118" s="81" t="n">
        <v>41883</v>
      </c>
      <c r="B118" t="n">
        <v>51.1</v>
      </c>
    </row>
    <row r="119">
      <c r="A119" s="81" t="n">
        <v>41913</v>
      </c>
      <c r="B119" t="n">
        <v>50.8</v>
      </c>
      <c r="C119" t="n">
        <v>0.07200000000000001</v>
      </c>
    </row>
    <row r="120">
      <c r="A120" s="81" t="n">
        <v>41944</v>
      </c>
      <c r="B120" t="n">
        <v>50.3</v>
      </c>
    </row>
    <row r="121">
      <c r="A121" s="81" t="n">
        <v>41974</v>
      </c>
      <c r="B121" t="n">
        <v>50.1</v>
      </c>
    </row>
    <row r="122">
      <c r="A122" s="81" t="n">
        <v>42005</v>
      </c>
      <c r="B122" t="n">
        <v>49.8</v>
      </c>
      <c r="C122" t="n">
        <v>0.073</v>
      </c>
    </row>
    <row r="123">
      <c r="A123" s="81" t="n">
        <v>42036</v>
      </c>
      <c r="B123" t="n">
        <v>49.9</v>
      </c>
    </row>
    <row r="124">
      <c r="A124" s="81" t="n">
        <v>42064</v>
      </c>
      <c r="B124" t="n">
        <v>50.1</v>
      </c>
    </row>
    <row r="125">
      <c r="A125" s="81" t="n">
        <v>42095</v>
      </c>
      <c r="B125" t="n">
        <v>50.1</v>
      </c>
      <c r="C125" t="n">
        <v>0.07099999999999999</v>
      </c>
    </row>
    <row r="126">
      <c r="A126" s="81" t="n">
        <v>42125</v>
      </c>
      <c r="B126" t="n">
        <v>50.2</v>
      </c>
    </row>
    <row r="127">
      <c r="A127" s="81" t="n">
        <v>42156</v>
      </c>
      <c r="B127" t="n">
        <v>50.2</v>
      </c>
    </row>
    <row r="128">
      <c r="A128" s="81" t="n">
        <v>42186</v>
      </c>
      <c r="B128" t="n">
        <v>50</v>
      </c>
      <c r="C128" t="n">
        <v>0.07099999999999999</v>
      </c>
    </row>
    <row r="129">
      <c r="A129" s="81" t="n">
        <v>42217</v>
      </c>
      <c r="B129" t="n">
        <v>49.7</v>
      </c>
    </row>
    <row r="130">
      <c r="A130" s="81" t="n">
        <v>42248</v>
      </c>
      <c r="B130" t="n">
        <v>49.8</v>
      </c>
    </row>
    <row r="131">
      <c r="A131" s="81" t="n">
        <v>42278</v>
      </c>
      <c r="B131" t="n">
        <v>49.8</v>
      </c>
      <c r="C131" t="n">
        <v>0.07000000000000001</v>
      </c>
    </row>
    <row r="132">
      <c r="A132" s="81" t="n">
        <v>42309</v>
      </c>
      <c r="B132" t="n">
        <v>49.6</v>
      </c>
    </row>
    <row r="133">
      <c r="A133" s="81" t="n">
        <v>42339</v>
      </c>
      <c r="B133" t="n">
        <v>49.7</v>
      </c>
    </row>
    <row r="134">
      <c r="A134" s="81" t="n">
        <v>42370</v>
      </c>
      <c r="B134" t="n">
        <v>49.4</v>
      </c>
      <c r="C134" t="n">
        <v>0.06900000000000001</v>
      </c>
    </row>
    <row r="135">
      <c r="A135" s="81" t="n">
        <v>42401</v>
      </c>
      <c r="B135" t="n">
        <v>49</v>
      </c>
    </row>
    <row r="136">
      <c r="A136" s="81" t="n">
        <v>42430</v>
      </c>
      <c r="B136" t="n">
        <v>50.2</v>
      </c>
    </row>
    <row r="137">
      <c r="A137" s="81" t="n">
        <v>42461</v>
      </c>
      <c r="B137" t="n">
        <v>50.1</v>
      </c>
      <c r="C137" t="n">
        <v>0.06900000000000001</v>
      </c>
    </row>
    <row r="138">
      <c r="A138" s="81" t="n">
        <v>42491</v>
      </c>
      <c r="B138" t="n">
        <v>50.1</v>
      </c>
    </row>
    <row r="139">
      <c r="A139" s="81" t="n">
        <v>42522</v>
      </c>
      <c r="B139" t="n">
        <v>50</v>
      </c>
    </row>
    <row r="140">
      <c r="A140" s="81" t="n">
        <v>42552</v>
      </c>
      <c r="B140" t="n">
        <v>49.9</v>
      </c>
      <c r="C140" t="n">
        <v>0.068</v>
      </c>
    </row>
    <row r="141">
      <c r="A141" s="81" t="n">
        <v>42583</v>
      </c>
      <c r="B141" t="n">
        <v>50.4</v>
      </c>
    </row>
    <row r="142">
      <c r="A142" s="81" t="n">
        <v>42614</v>
      </c>
      <c r="B142" t="n">
        <v>50.4</v>
      </c>
    </row>
    <row r="143">
      <c r="A143" s="81" t="n">
        <v>42644</v>
      </c>
      <c r="B143" t="n">
        <v>51.2</v>
      </c>
      <c r="C143" t="n">
        <v>0.068</v>
      </c>
    </row>
    <row r="144">
      <c r="A144" s="81" t="n">
        <v>42675</v>
      </c>
      <c r="B144" t="n">
        <v>51.7</v>
      </c>
    </row>
    <row r="145">
      <c r="A145" s="81" t="n">
        <v>42705</v>
      </c>
      <c r="B145" t="n">
        <v>51.4</v>
      </c>
    </row>
    <row r="146">
      <c r="A146" s="81" t="n">
        <v>42736</v>
      </c>
      <c r="B146" t="n">
        <v>51.3</v>
      </c>
      <c r="C146" t="n">
        <v>0.06900000000000001</v>
      </c>
    </row>
    <row r="147">
      <c r="A147" s="81" t="n">
        <v>42767</v>
      </c>
      <c r="B147" t="n">
        <v>51.6</v>
      </c>
    </row>
    <row r="148">
      <c r="A148" s="81" t="n">
        <v>42795</v>
      </c>
      <c r="B148" t="n">
        <v>51.8</v>
      </c>
    </row>
    <row r="149">
      <c r="A149" s="81" t="n">
        <v>42826</v>
      </c>
      <c r="B149" t="n">
        <v>51.2</v>
      </c>
      <c r="C149" t="n">
        <v>0.07000000000000001</v>
      </c>
    </row>
    <row r="150">
      <c r="A150" s="81" t="n">
        <v>42856</v>
      </c>
      <c r="B150" t="n">
        <v>51.2</v>
      </c>
    </row>
    <row r="151">
      <c r="A151" s="81" t="n">
        <v>42887</v>
      </c>
      <c r="B151" t="n">
        <v>51.7</v>
      </c>
    </row>
    <row r="152">
      <c r="A152" s="81" t="n">
        <v>42917</v>
      </c>
      <c r="B152" t="n">
        <v>51.4</v>
      </c>
      <c r="C152" t="n">
        <v>0.07000000000000001</v>
      </c>
    </row>
    <row r="153">
      <c r="A153" s="81" t="n">
        <v>42948</v>
      </c>
      <c r="B153" t="n">
        <v>51.7</v>
      </c>
    </row>
    <row r="154">
      <c r="A154" s="81" t="n">
        <v>42979</v>
      </c>
      <c r="B154" t="n">
        <v>52.4</v>
      </c>
    </row>
    <row r="155">
      <c r="A155" s="81" t="n">
        <v>43009</v>
      </c>
      <c r="B155" t="n">
        <v>51.6</v>
      </c>
      <c r="C155" t="n">
        <v>0.06900000000000001</v>
      </c>
    </row>
    <row r="156">
      <c r="A156" s="81" t="n">
        <v>43040</v>
      </c>
      <c r="B156" t="n">
        <v>51.8</v>
      </c>
    </row>
    <row r="157">
      <c r="A157" s="81" t="n">
        <v>43070</v>
      </c>
      <c r="B157" t="n">
        <v>51.6</v>
      </c>
    </row>
    <row r="158">
      <c r="A158" s="81" t="n">
        <v>43101</v>
      </c>
      <c r="B158" t="n">
        <v>51.3</v>
      </c>
      <c r="C158" t="n">
        <v>0.068</v>
      </c>
    </row>
    <row r="159">
      <c r="A159" s="81" t="n">
        <v>43132</v>
      </c>
      <c r="B159" t="n">
        <v>50.3</v>
      </c>
    </row>
    <row r="160">
      <c r="A160" s="81" t="n">
        <v>43160</v>
      </c>
      <c r="B160" t="n">
        <v>51.5</v>
      </c>
    </row>
    <row r="161">
      <c r="A161" s="81" t="n">
        <v>43191</v>
      </c>
      <c r="B161" t="n">
        <v>51.4</v>
      </c>
      <c r="C161" t="n">
        <v>0.06900000000000001</v>
      </c>
    </row>
    <row r="162">
      <c r="A162" s="81" t="n">
        <v>43221</v>
      </c>
      <c r="B162" t="n">
        <v>51.9</v>
      </c>
    </row>
    <row r="163">
      <c r="A163" s="81" t="n">
        <v>43252</v>
      </c>
      <c r="B163" t="n">
        <v>51.5</v>
      </c>
    </row>
    <row r="164">
      <c r="A164" s="81" t="n">
        <v>43282</v>
      </c>
      <c r="B164" t="n">
        <v>51.2</v>
      </c>
      <c r="C164" t="n">
        <v>0.06900000000000001</v>
      </c>
    </row>
    <row r="165">
      <c r="A165" s="81" t="n">
        <v>43313</v>
      </c>
      <c r="B165" t="n">
        <v>51.3</v>
      </c>
    </row>
    <row r="166">
      <c r="A166" s="81" t="n">
        <v>43344</v>
      </c>
      <c r="B166" t="n">
        <v>50.8</v>
      </c>
    </row>
    <row r="167">
      <c r="A167" s="81" t="n">
        <v>43374</v>
      </c>
      <c r="B167" t="n">
        <v>50.2</v>
      </c>
      <c r="C167" t="n">
        <v>0.067</v>
      </c>
    </row>
    <row r="168">
      <c r="A168" s="81" t="n">
        <v>43405</v>
      </c>
      <c r="B168" t="n">
        <v>50</v>
      </c>
    </row>
    <row r="169">
      <c r="A169" s="81" t="n">
        <v>43435</v>
      </c>
      <c r="B169" t="n">
        <v>49.4</v>
      </c>
    </row>
    <row r="170">
      <c r="A170" s="81" t="n">
        <v>43466</v>
      </c>
      <c r="B170" t="n">
        <v>49.5</v>
      </c>
      <c r="C170" t="n">
        <v>0.065</v>
      </c>
    </row>
    <row r="171">
      <c r="A171" s="81" t="n">
        <v>43497</v>
      </c>
      <c r="B171" t="n">
        <v>49.2</v>
      </c>
    </row>
    <row r="172">
      <c r="A172" s="81" t="n">
        <v>43525</v>
      </c>
      <c r="B172" t="n">
        <v>50.5</v>
      </c>
    </row>
    <row r="173">
      <c r="A173" s="81" t="n">
        <v>43556</v>
      </c>
      <c r="B173" t="n">
        <v>50.1</v>
      </c>
      <c r="C173" t="n">
        <v>0.063</v>
      </c>
    </row>
    <row r="174">
      <c r="A174" s="81" t="n">
        <v>43586</v>
      </c>
      <c r="B174" t="n">
        <v>49.4</v>
      </c>
    </row>
    <row r="175">
      <c r="A175" s="81" t="n">
        <v>43617</v>
      </c>
      <c r="B175" t="n">
        <v>49.4</v>
      </c>
    </row>
    <row r="176">
      <c r="A176" s="81" t="n">
        <v>43647</v>
      </c>
      <c r="B176" t="n">
        <v>49.7</v>
      </c>
      <c r="C176" t="n">
        <v>0.06</v>
      </c>
    </row>
    <row r="177">
      <c r="A177" s="81" t="n">
        <v>43678</v>
      </c>
      <c r="B177" t="n">
        <v>49.5</v>
      </c>
    </row>
    <row r="178">
      <c r="A178" s="81" t="n">
        <v>43709</v>
      </c>
      <c r="B178" t="n">
        <v>49.8</v>
      </c>
    </row>
    <row r="179">
      <c r="A179" s="81" t="n">
        <v>43739</v>
      </c>
      <c r="B179" t="n">
        <v>49.3</v>
      </c>
      <c r="C179" t="n">
        <v>0.059</v>
      </c>
    </row>
    <row r="180">
      <c r="A180" s="81" t="n">
        <v>43770</v>
      </c>
      <c r="B180" t="n">
        <v>50.2</v>
      </c>
    </row>
    <row r="181">
      <c r="A181" s="81" t="n">
        <v>43800</v>
      </c>
      <c r="B181" t="n">
        <v>50.2</v>
      </c>
    </row>
    <row r="182">
      <c r="A182" s="81" t="n">
        <v>43831</v>
      </c>
      <c r="B182" t="n">
        <v>50</v>
      </c>
      <c r="C182" t="n">
        <v>0.058</v>
      </c>
    </row>
    <row r="183">
      <c r="A183" s="81" t="n">
        <v>43862</v>
      </c>
      <c r="B183" t="n">
        <v>35.7</v>
      </c>
    </row>
    <row r="184">
      <c r="A184" s="81" t="n">
        <v>43891</v>
      </c>
      <c r="B184" t="n">
        <v>52</v>
      </c>
    </row>
    <row r="185">
      <c r="A185" s="81" t="n">
        <v>43922</v>
      </c>
      <c r="B185" t="n">
        <v>50.8</v>
      </c>
      <c r="C185" t="n">
        <v>-0.06900000000000001</v>
      </c>
    </row>
    <row r="186">
      <c r="A186" s="81" t="n">
        <v>43952</v>
      </c>
      <c r="B186" t="n">
        <v>50.6</v>
      </c>
    </row>
    <row r="187">
      <c r="A187" s="81" t="n">
        <v>43983</v>
      </c>
      <c r="B187" t="n">
        <v>50.9</v>
      </c>
    </row>
    <row r="188">
      <c r="A188" s="81" t="n">
        <v>44013</v>
      </c>
      <c r="B188" t="n">
        <v>51.1</v>
      </c>
      <c r="C188" t="n">
        <v>0.031</v>
      </c>
    </row>
    <row r="189">
      <c r="A189" s="81" t="n">
        <v>44044</v>
      </c>
      <c r="B189" t="n">
        <v>51</v>
      </c>
    </row>
    <row r="190">
      <c r="A190" s="81" t="n">
        <v>44075</v>
      </c>
      <c r="B190" t="n">
        <v>51.5</v>
      </c>
    </row>
    <row r="191">
      <c r="A191" s="81" t="n">
        <v>44105</v>
      </c>
      <c r="B191" t="n">
        <v>51.4</v>
      </c>
      <c r="C191" t="n">
        <v>0.048</v>
      </c>
    </row>
    <row r="192">
      <c r="A192" s="81" t="n">
        <v>44136</v>
      </c>
      <c r="B192" t="n">
        <v>52.1</v>
      </c>
    </row>
    <row r="193">
      <c r="A193" s="81" t="n">
        <v>44166</v>
      </c>
      <c r="B193" t="n">
        <v>51.9</v>
      </c>
    </row>
    <row r="194">
      <c r="A194" s="81" t="n">
        <v>44197</v>
      </c>
      <c r="B194" t="n">
        <v>51.3</v>
      </c>
      <c r="C194" t="n">
        <v>0.064</v>
      </c>
    </row>
    <row r="195">
      <c r="A195" s="81" t="n">
        <v>44228</v>
      </c>
      <c r="B195" t="n">
        <v>50.6</v>
      </c>
    </row>
    <row r="196">
      <c r="A196" s="81" t="n">
        <v>44256</v>
      </c>
      <c r="B196" t="n">
        <v>51.9</v>
      </c>
    </row>
    <row r="197">
      <c r="A197" s="81" t="n">
        <v>44287</v>
      </c>
      <c r="B197" t="n">
        <v>51.1</v>
      </c>
      <c r="C197" t="n">
        <v>0.183</v>
      </c>
    </row>
    <row r="198">
      <c r="A198" s="81" t="n">
        <v>44317</v>
      </c>
      <c r="B198" t="n">
        <v>51</v>
      </c>
    </row>
    <row r="199">
      <c r="A199" s="81" t="n">
        <v>44348</v>
      </c>
      <c r="B199" t="n">
        <v>50.9</v>
      </c>
    </row>
    <row r="200">
      <c r="A200" s="81" t="n">
        <v>44378</v>
      </c>
      <c r="B200" t="n">
        <v>50.4</v>
      </c>
      <c r="C200" t="n">
        <v>0.079</v>
      </c>
    </row>
    <row r="201">
      <c r="A201" s="81" t="n">
        <v>44409</v>
      </c>
      <c r="B201" t="n">
        <v>50.1</v>
      </c>
    </row>
    <row r="202">
      <c r="A202" s="81" t="n">
        <v>44440</v>
      </c>
      <c r="B202" t="n">
        <v>49.6</v>
      </c>
    </row>
    <row r="203">
      <c r="A203" s="81" t="n">
        <v>44470</v>
      </c>
      <c r="B203" t="n">
        <v>49.2</v>
      </c>
      <c r="C203" t="n">
        <v>0.049</v>
      </c>
    </row>
    <row r="204">
      <c r="A204" s="81" t="n">
        <v>44501</v>
      </c>
      <c r="B204" t="n">
        <v>50.1</v>
      </c>
    </row>
    <row r="205">
      <c r="A205" s="81" t="n">
        <v>44531</v>
      </c>
      <c r="B205" t="n">
        <v>50.3</v>
      </c>
    </row>
    <row r="206">
      <c r="A206" s="81" t="n">
        <v>44562</v>
      </c>
      <c r="B206" t="n">
        <v>50.1</v>
      </c>
      <c r="C206" t="n">
        <v>0.04</v>
      </c>
    </row>
    <row r="207">
      <c r="A207" s="81" t="n">
        <v>44593</v>
      </c>
      <c r="B207" t="n">
        <v>50.2</v>
      </c>
    </row>
    <row r="208">
      <c r="A208" s="81" t="n">
        <v>44621</v>
      </c>
      <c r="B208" t="n">
        <v>49.5</v>
      </c>
    </row>
    <row r="209">
      <c r="A209" s="81" t="n">
        <v>44652</v>
      </c>
      <c r="B209" t="n">
        <v>47.4</v>
      </c>
      <c r="C209" t="n">
        <v>0.048</v>
      </c>
    </row>
    <row r="210">
      <c r="A210" s="81" t="n">
        <v>44682</v>
      </c>
      <c r="B210" t="n">
        <v>49.6</v>
      </c>
    </row>
    <row r="211">
      <c r="A211" s="81" t="n">
        <v>44713</v>
      </c>
      <c r="B211" t="n">
        <v>50.2</v>
      </c>
    </row>
    <row r="212">
      <c r="A212" s="81" t="n">
        <v>44743</v>
      </c>
      <c r="B212" t="n">
        <v>49</v>
      </c>
      <c r="C212" t="n">
        <v>0.004</v>
      </c>
    </row>
    <row r="213">
      <c r="A213" s="81" t="n">
        <v>44774</v>
      </c>
      <c r="B213" t="n">
        <v>49.4</v>
      </c>
    </row>
    <row r="214">
      <c r="A214" s="81" t="n">
        <v>44805</v>
      </c>
      <c r="B214" t="n">
        <v>50.1</v>
      </c>
    </row>
    <row r="215">
      <c r="A215" s="81" t="n">
        <v>44835</v>
      </c>
      <c r="B215" t="n">
        <v>49.2</v>
      </c>
      <c r="C215" t="n">
        <v>0.039</v>
      </c>
    </row>
    <row r="216">
      <c r="A216" s="81" t="n">
        <v>44866</v>
      </c>
      <c r="B216" t="n">
        <v>48</v>
      </c>
    </row>
    <row r="217">
      <c r="A217" s="81" t="n">
        <v>44896</v>
      </c>
      <c r="B217" t="n">
        <v>47</v>
      </c>
    </row>
    <row r="218">
      <c r="A218" s="81" t="n">
        <v>44927</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B147"/>
  <sheetViews>
    <sheetView zoomScale="200" zoomScaleNormal="200" workbookViewId="0">
      <pane ySplit="1" topLeftCell="A128" activePane="bottomLeft" state="frozen"/>
      <selection pane="bottomLeft" activeCell="G20" sqref="G20"/>
    </sheetView>
  </sheetViews>
  <sheetFormatPr baseColWidth="8" defaultColWidth="10.81640625" defaultRowHeight="14.5"/>
  <cols>
    <col width="10.81640625" customWidth="1" min="1" max="35"/>
  </cols>
  <sheetData>
    <row r="1">
      <c r="A1" t="inlineStr">
        <is>
          <t>DATE</t>
        </is>
      </c>
      <c r="B1" t="inlineStr">
        <is>
          <t>ISM Manufacturing</t>
        </is>
      </c>
    </row>
    <row r="2">
      <c r="A2" s="81" t="n">
        <v>40452</v>
      </c>
      <c r="B2" t="n">
        <v>56.9</v>
      </c>
    </row>
    <row r="3">
      <c r="A3" s="81" t="n">
        <v>40483</v>
      </c>
      <c r="B3" t="n">
        <v>57.3</v>
      </c>
    </row>
    <row r="4">
      <c r="A4" s="81" t="n">
        <v>40513</v>
      </c>
      <c r="B4" t="n">
        <v>56.6</v>
      </c>
    </row>
    <row r="5">
      <c r="A5" s="81" t="n">
        <v>40544</v>
      </c>
      <c r="B5" t="n">
        <v>59.1</v>
      </c>
    </row>
    <row r="6">
      <c r="A6" s="81" t="n">
        <v>40575</v>
      </c>
      <c r="B6" t="n">
        <v>59.2</v>
      </c>
    </row>
    <row r="7">
      <c r="A7" s="81" t="n">
        <v>40603</v>
      </c>
      <c r="B7" t="n">
        <v>58.4</v>
      </c>
    </row>
    <row r="8">
      <c r="A8" s="81" t="n">
        <v>40634</v>
      </c>
      <c r="B8" t="n">
        <v>57.9</v>
      </c>
    </row>
    <row r="9">
      <c r="A9" s="81" t="n">
        <v>40664</v>
      </c>
      <c r="B9" t="n">
        <v>54.8</v>
      </c>
    </row>
    <row r="10">
      <c r="A10" s="81" t="n">
        <v>40695</v>
      </c>
      <c r="B10" t="n">
        <v>55.8</v>
      </c>
    </row>
    <row r="11">
      <c r="A11" s="81" t="n">
        <v>40725</v>
      </c>
      <c r="B11" t="n">
        <v>52.9</v>
      </c>
    </row>
    <row r="12">
      <c r="A12" s="81" t="n">
        <v>40756</v>
      </c>
      <c r="B12" t="n">
        <v>52.6</v>
      </c>
    </row>
    <row r="13">
      <c r="A13" s="81" t="n">
        <v>40787</v>
      </c>
      <c r="B13" t="n">
        <v>53.7</v>
      </c>
    </row>
    <row r="14">
      <c r="A14" s="81" t="n">
        <v>40817</v>
      </c>
      <c r="B14" t="n">
        <v>51.4</v>
      </c>
    </row>
    <row r="15">
      <c r="A15" s="81" t="n">
        <v>40848</v>
      </c>
      <c r="B15" t="n">
        <v>51.8</v>
      </c>
    </row>
    <row r="16">
      <c r="A16" s="81" t="n">
        <v>40878</v>
      </c>
      <c r="B16" t="n">
        <v>53</v>
      </c>
    </row>
    <row r="17">
      <c r="A17" s="81" t="n">
        <v>40909</v>
      </c>
      <c r="B17" t="n">
        <v>52.6</v>
      </c>
    </row>
    <row r="18">
      <c r="A18" s="81" t="n">
        <v>40940</v>
      </c>
      <c r="B18" t="n">
        <v>53.1</v>
      </c>
    </row>
    <row r="19">
      <c r="A19" s="81" t="n">
        <v>40969</v>
      </c>
      <c r="B19" t="n">
        <v>53.5</v>
      </c>
    </row>
    <row r="20">
      <c r="A20" s="81" t="n">
        <v>41000</v>
      </c>
      <c r="B20" t="n">
        <v>53.5</v>
      </c>
    </row>
    <row r="21">
      <c r="A21" s="81" t="n">
        <v>41030</v>
      </c>
      <c r="B21" t="n">
        <v>52.6</v>
      </c>
    </row>
    <row r="22">
      <c r="A22" s="81" t="n">
        <v>41061</v>
      </c>
      <c r="B22" t="n">
        <v>49.7</v>
      </c>
    </row>
    <row r="23">
      <c r="A23" s="81" t="n">
        <v>41091</v>
      </c>
      <c r="B23" t="n">
        <v>50</v>
      </c>
    </row>
    <row r="24">
      <c r="A24" s="81" t="n">
        <v>41122</v>
      </c>
      <c r="B24" t="n">
        <v>50.2</v>
      </c>
    </row>
    <row r="25">
      <c r="A25" s="81" t="n">
        <v>41153</v>
      </c>
      <c r="B25" t="n">
        <v>51.8</v>
      </c>
    </row>
    <row r="26">
      <c r="A26" s="81" t="n">
        <v>41183</v>
      </c>
      <c r="B26" t="n">
        <v>50.7</v>
      </c>
    </row>
    <row r="27">
      <c r="A27" s="81" t="n">
        <v>41214</v>
      </c>
      <c r="B27" t="n">
        <v>48.9</v>
      </c>
    </row>
    <row r="28">
      <c r="A28" s="81" t="n">
        <v>41244</v>
      </c>
      <c r="B28" t="n">
        <v>49.8</v>
      </c>
    </row>
    <row r="29">
      <c r="A29" s="81" t="n">
        <v>41275</v>
      </c>
      <c r="B29" t="n">
        <v>52</v>
      </c>
    </row>
    <row r="30">
      <c r="A30" s="81" t="n">
        <v>41306</v>
      </c>
      <c r="B30" t="n">
        <v>53.6</v>
      </c>
    </row>
    <row r="31">
      <c r="A31" s="81" t="n">
        <v>41334</v>
      </c>
      <c r="B31" t="n">
        <v>52</v>
      </c>
    </row>
    <row r="32">
      <c r="A32" s="81" t="n">
        <v>41365</v>
      </c>
      <c r="B32" t="n">
        <v>49.7</v>
      </c>
    </row>
    <row r="33">
      <c r="A33" s="81" t="n">
        <v>41395</v>
      </c>
      <c r="B33" t="n">
        <v>50.5</v>
      </c>
    </row>
    <row r="34">
      <c r="A34" s="81" t="n">
        <v>41426</v>
      </c>
      <c r="B34" t="n">
        <v>51.5</v>
      </c>
    </row>
    <row r="35">
      <c r="A35" s="81" t="n">
        <v>41456</v>
      </c>
      <c r="B35" t="n">
        <v>53.5</v>
      </c>
    </row>
    <row r="36">
      <c r="A36" s="81" t="n">
        <v>41487</v>
      </c>
      <c r="B36" t="n">
        <v>55.9</v>
      </c>
    </row>
    <row r="37">
      <c r="A37" s="81" t="n">
        <v>41518</v>
      </c>
      <c r="B37" t="n">
        <v>54.8</v>
      </c>
    </row>
    <row r="38">
      <c r="A38" s="81" t="n">
        <v>41548</v>
      </c>
      <c r="B38" t="n">
        <v>55.3</v>
      </c>
    </row>
    <row r="39">
      <c r="A39" s="81" t="n">
        <v>41579</v>
      </c>
      <c r="B39" t="n">
        <v>56.3</v>
      </c>
    </row>
    <row r="40">
      <c r="A40" s="81" t="n">
        <v>41609</v>
      </c>
      <c r="B40" t="n">
        <v>55.9</v>
      </c>
    </row>
    <row r="41">
      <c r="A41" s="81" t="n">
        <v>41640</v>
      </c>
      <c r="B41" t="n">
        <v>51.7</v>
      </c>
    </row>
    <row r="42">
      <c r="A42" s="81" t="n">
        <v>41671</v>
      </c>
      <c r="B42" t="n">
        <v>54.6</v>
      </c>
    </row>
    <row r="43">
      <c r="A43" s="81" t="n">
        <v>41699</v>
      </c>
      <c r="B43" t="n">
        <v>55.3</v>
      </c>
    </row>
    <row r="44">
      <c r="A44" s="81" t="n">
        <v>41730</v>
      </c>
      <c r="B44" t="n">
        <v>55.7</v>
      </c>
    </row>
    <row r="45">
      <c r="A45" s="81" t="n">
        <v>41760</v>
      </c>
      <c r="B45" t="n">
        <v>55.8</v>
      </c>
    </row>
    <row r="46">
      <c r="A46" s="81" t="n">
        <v>41791</v>
      </c>
      <c r="B46" t="n">
        <v>54.9</v>
      </c>
    </row>
    <row r="47">
      <c r="A47" s="81" t="n">
        <v>41821</v>
      </c>
      <c r="B47" t="n">
        <v>55.3</v>
      </c>
    </row>
    <row r="48">
      <c r="A48" s="81" t="n">
        <v>41852</v>
      </c>
      <c r="B48" t="n">
        <v>58.2</v>
      </c>
    </row>
    <row r="49">
      <c r="A49" s="81" t="n">
        <v>41883</v>
      </c>
      <c r="B49" t="n">
        <v>55.5</v>
      </c>
    </row>
    <row r="50">
      <c r="A50" s="81" t="n">
        <v>41913</v>
      </c>
      <c r="B50" t="n">
        <v>56.8</v>
      </c>
    </row>
    <row r="51">
      <c r="A51" s="81" t="n">
        <v>41944</v>
      </c>
      <c r="B51" t="n">
        <v>57</v>
      </c>
    </row>
    <row r="52">
      <c r="A52" s="81" t="n">
        <v>41974</v>
      </c>
      <c r="B52" t="n">
        <v>54.7</v>
      </c>
    </row>
    <row r="53">
      <c r="A53" s="81" t="n">
        <v>42005</v>
      </c>
      <c r="B53" t="n">
        <v>53.9</v>
      </c>
    </row>
    <row r="54">
      <c r="A54" s="81" t="n">
        <v>42036</v>
      </c>
      <c r="B54" t="n">
        <v>53</v>
      </c>
    </row>
    <row r="55">
      <c r="A55" s="81" t="n">
        <v>42064</v>
      </c>
      <c r="B55" t="n">
        <v>51.8</v>
      </c>
    </row>
    <row r="56">
      <c r="A56" s="81" t="n">
        <v>42095</v>
      </c>
      <c r="B56" t="n">
        <v>51.6</v>
      </c>
    </row>
    <row r="57">
      <c r="A57" s="81" t="n">
        <v>42125</v>
      </c>
      <c r="B57" t="n">
        <v>52.9</v>
      </c>
    </row>
    <row r="58">
      <c r="A58" s="81" t="n">
        <v>42156</v>
      </c>
      <c r="B58" t="n">
        <v>52.3</v>
      </c>
    </row>
    <row r="59">
      <c r="A59" s="81" t="n">
        <v>42186</v>
      </c>
      <c r="B59" t="n">
        <v>51.9</v>
      </c>
    </row>
    <row r="60">
      <c r="A60" s="81" t="n">
        <v>42217</v>
      </c>
      <c r="B60" t="n">
        <v>50.8</v>
      </c>
    </row>
    <row r="61">
      <c r="A61" s="81" t="n">
        <v>42248</v>
      </c>
      <c r="B61" t="n">
        <v>50.1</v>
      </c>
    </row>
    <row r="62">
      <c r="A62" s="81" t="n">
        <v>42278</v>
      </c>
      <c r="B62" t="n">
        <v>49.6</v>
      </c>
    </row>
    <row r="63">
      <c r="A63" s="81" t="n">
        <v>42309</v>
      </c>
      <c r="B63" t="n">
        <v>49.1</v>
      </c>
    </row>
    <row r="64">
      <c r="A64" s="81" t="n">
        <v>42339</v>
      </c>
      <c r="B64" t="n">
        <v>48.4</v>
      </c>
    </row>
    <row r="65">
      <c r="A65" s="81" t="n">
        <v>42370</v>
      </c>
      <c r="B65" t="n">
        <v>47.8</v>
      </c>
    </row>
    <row r="66">
      <c r="A66" s="81" t="n">
        <v>42401</v>
      </c>
      <c r="B66" t="n">
        <v>49.4</v>
      </c>
    </row>
    <row r="67">
      <c r="A67" s="81" t="n">
        <v>42430</v>
      </c>
      <c r="B67" t="n">
        <v>51.2</v>
      </c>
    </row>
    <row r="68">
      <c r="A68" s="81" t="n">
        <v>42461</v>
      </c>
      <c r="B68" t="n">
        <v>50.8</v>
      </c>
    </row>
    <row r="69">
      <c r="A69" s="81" t="n">
        <v>42491</v>
      </c>
      <c r="B69" t="n">
        <v>50.9</v>
      </c>
    </row>
    <row r="70">
      <c r="A70" s="81" t="n">
        <v>42522</v>
      </c>
      <c r="B70" t="n">
        <v>52.5</v>
      </c>
    </row>
    <row r="71">
      <c r="A71" s="81" t="n">
        <v>42552</v>
      </c>
      <c r="B71" t="n">
        <v>52.9</v>
      </c>
    </row>
    <row r="72">
      <c r="A72" s="81" t="n">
        <v>42583</v>
      </c>
      <c r="B72" t="n">
        <v>49.9</v>
      </c>
    </row>
    <row r="73">
      <c r="A73" s="81" t="n">
        <v>42614</v>
      </c>
      <c r="B73" t="n">
        <v>51.4</v>
      </c>
    </row>
    <row r="74">
      <c r="A74" s="81" t="n">
        <v>42644</v>
      </c>
      <c r="B74" t="n">
        <v>51.8</v>
      </c>
    </row>
    <row r="75">
      <c r="A75" s="81" t="n">
        <v>42675</v>
      </c>
      <c r="B75" t="n">
        <v>53.4</v>
      </c>
    </row>
    <row r="76">
      <c r="A76" s="81" t="n">
        <v>42705</v>
      </c>
      <c r="B76" t="n">
        <v>54.3</v>
      </c>
    </row>
    <row r="77">
      <c r="A77" s="81" t="n">
        <v>42736</v>
      </c>
      <c r="B77" t="n">
        <v>55.6</v>
      </c>
    </row>
    <row r="78">
      <c r="A78" s="81" t="n">
        <v>42767</v>
      </c>
      <c r="B78" t="n">
        <v>57.6</v>
      </c>
    </row>
    <row r="79">
      <c r="A79" s="81" t="n">
        <v>42795</v>
      </c>
      <c r="B79" t="n">
        <v>56.6</v>
      </c>
    </row>
    <row r="80">
      <c r="A80" s="81" t="n">
        <v>42826</v>
      </c>
      <c r="B80" t="n">
        <v>55.3</v>
      </c>
    </row>
    <row r="81">
      <c r="A81" s="81" t="n">
        <v>42856</v>
      </c>
      <c r="B81" t="n">
        <v>55.5</v>
      </c>
    </row>
    <row r="82">
      <c r="A82" s="81" t="n">
        <v>42887</v>
      </c>
      <c r="B82" t="n">
        <v>56.7</v>
      </c>
    </row>
    <row r="83">
      <c r="A83" s="81" t="n">
        <v>42917</v>
      </c>
      <c r="B83" t="n">
        <v>56.5</v>
      </c>
    </row>
    <row r="84">
      <c r="A84" s="81" t="n">
        <v>42948</v>
      </c>
      <c r="B84" t="n">
        <v>59.3</v>
      </c>
    </row>
    <row r="85">
      <c r="A85" s="81" t="n">
        <v>42979</v>
      </c>
      <c r="B85" t="n">
        <v>60.2</v>
      </c>
    </row>
    <row r="86">
      <c r="A86" s="81" t="n">
        <v>43009</v>
      </c>
      <c r="B86" t="n">
        <v>58.5</v>
      </c>
    </row>
    <row r="87">
      <c r="A87" s="81" t="n">
        <v>43040</v>
      </c>
      <c r="B87" t="n">
        <v>58.2</v>
      </c>
    </row>
    <row r="88">
      <c r="A88" s="81" t="n">
        <v>43070</v>
      </c>
      <c r="B88" t="n">
        <v>59.3</v>
      </c>
    </row>
    <row r="89">
      <c r="A89" s="81" t="n">
        <v>43101</v>
      </c>
      <c r="B89" t="n">
        <v>59.1</v>
      </c>
    </row>
    <row r="90">
      <c r="A90" s="81" t="n">
        <v>43132</v>
      </c>
      <c r="B90" t="n">
        <v>60.8</v>
      </c>
    </row>
    <row r="91">
      <c r="A91" s="81" t="n">
        <v>43160</v>
      </c>
      <c r="B91" t="n">
        <v>59.3</v>
      </c>
    </row>
    <row r="92">
      <c r="A92" s="81" t="n">
        <v>43191</v>
      </c>
      <c r="B92" t="n">
        <v>57.3</v>
      </c>
    </row>
    <row r="93">
      <c r="A93" s="81" t="n">
        <v>43221</v>
      </c>
      <c r="B93" t="n">
        <v>58.7</v>
      </c>
    </row>
    <row r="94">
      <c r="A94" s="81" t="n">
        <v>43252</v>
      </c>
      <c r="B94" t="n">
        <v>60.2</v>
      </c>
    </row>
    <row r="95">
      <c r="A95" s="81" t="n">
        <v>43282</v>
      </c>
      <c r="B95" t="n">
        <v>58.1</v>
      </c>
    </row>
    <row r="96">
      <c r="A96" s="81" t="n">
        <v>43313</v>
      </c>
      <c r="B96" t="n">
        <v>61.3</v>
      </c>
    </row>
    <row r="97">
      <c r="A97" s="81" t="n">
        <v>43344</v>
      </c>
      <c r="B97" t="n">
        <v>59.8</v>
      </c>
    </row>
    <row r="98">
      <c r="A98" s="81" t="n">
        <v>43374</v>
      </c>
      <c r="B98" t="n">
        <v>57.7</v>
      </c>
    </row>
    <row r="99">
      <c r="A99" s="81" t="n">
        <v>43405</v>
      </c>
      <c r="B99" t="n">
        <v>59.3</v>
      </c>
    </row>
    <row r="100">
      <c r="A100" s="81" t="n">
        <v>43435</v>
      </c>
      <c r="B100" t="n">
        <v>54.3</v>
      </c>
    </row>
    <row r="101">
      <c r="A101" s="81" t="n">
        <v>43466</v>
      </c>
      <c r="B101" t="n">
        <v>56.6</v>
      </c>
    </row>
    <row r="102">
      <c r="A102" s="81" t="n">
        <v>43497</v>
      </c>
      <c r="B102" t="n">
        <v>54.3</v>
      </c>
    </row>
    <row r="103">
      <c r="A103" s="81" t="n">
        <v>43525</v>
      </c>
      <c r="B103" t="n">
        <v>54.3</v>
      </c>
    </row>
    <row r="104">
      <c r="A104" s="81" t="n">
        <v>43556</v>
      </c>
      <c r="B104" t="n">
        <v>52.8</v>
      </c>
    </row>
    <row r="105">
      <c r="A105" s="81" t="n">
        <v>43586</v>
      </c>
      <c r="B105" t="n">
        <v>52.1</v>
      </c>
    </row>
    <row r="106">
      <c r="A106" s="81" t="n">
        <v>43617</v>
      </c>
      <c r="B106" t="n">
        <v>51.7</v>
      </c>
    </row>
    <row r="107">
      <c r="A107" s="81" t="n">
        <v>43647</v>
      </c>
      <c r="B107" t="n">
        <v>51.2</v>
      </c>
    </row>
    <row r="108">
      <c r="A108" s="81" t="n">
        <v>43678</v>
      </c>
      <c r="B108" t="n">
        <v>49.1</v>
      </c>
    </row>
    <row r="109">
      <c r="A109" s="81" t="n">
        <v>43709</v>
      </c>
      <c r="B109" t="n">
        <v>47.8</v>
      </c>
    </row>
    <row r="110">
      <c r="A110" s="81" t="n">
        <v>43739</v>
      </c>
      <c r="B110" t="n">
        <v>48.3</v>
      </c>
    </row>
    <row r="111">
      <c r="A111" s="81" t="n">
        <v>43770</v>
      </c>
      <c r="B111" t="n">
        <v>48.1</v>
      </c>
    </row>
    <row r="112">
      <c r="A112" s="81" t="n">
        <v>43800</v>
      </c>
      <c r="B112" t="n">
        <v>47.8</v>
      </c>
    </row>
    <row r="113">
      <c r="A113" s="81" t="n">
        <v>43831</v>
      </c>
      <c r="B113" t="n">
        <v>50.9</v>
      </c>
    </row>
    <row r="114">
      <c r="A114" s="81" t="n">
        <v>43862</v>
      </c>
      <c r="B114" t="n">
        <v>50.1</v>
      </c>
    </row>
    <row r="115">
      <c r="A115" s="81" t="n">
        <v>43891</v>
      </c>
      <c r="B115" t="n">
        <v>49.1</v>
      </c>
    </row>
    <row r="116">
      <c r="A116" s="81" t="n">
        <v>43922</v>
      </c>
      <c r="B116" t="n">
        <v>41.5</v>
      </c>
    </row>
    <row r="117">
      <c r="A117" s="81" t="n">
        <v>43952</v>
      </c>
      <c r="B117" t="n">
        <v>43.1</v>
      </c>
    </row>
    <row r="118">
      <c r="A118" s="81" t="n">
        <v>43983</v>
      </c>
      <c r="B118" t="n">
        <v>52.6</v>
      </c>
    </row>
    <row r="119">
      <c r="A119" s="81" t="n">
        <v>44013</v>
      </c>
      <c r="B119" t="n">
        <v>54.2</v>
      </c>
    </row>
    <row r="120">
      <c r="A120" s="81" t="n">
        <v>44044</v>
      </c>
      <c r="B120" t="n">
        <v>56</v>
      </c>
    </row>
    <row r="121">
      <c r="A121" s="81" t="n">
        <v>44075</v>
      </c>
      <c r="B121" t="n">
        <v>57.8</v>
      </c>
    </row>
    <row r="122">
      <c r="A122" s="81" t="n">
        <v>44105</v>
      </c>
      <c r="B122" t="n">
        <v>59.3</v>
      </c>
    </row>
    <row r="123">
      <c r="A123" s="81" t="n">
        <v>44136</v>
      </c>
      <c r="B123" t="n">
        <v>57.5</v>
      </c>
    </row>
    <row r="124">
      <c r="A124" s="81" t="n">
        <v>44166</v>
      </c>
      <c r="B124" t="n">
        <v>60.5</v>
      </c>
    </row>
    <row r="125">
      <c r="A125" s="81" t="n">
        <v>44197</v>
      </c>
      <c r="B125" t="n">
        <v>58.7</v>
      </c>
    </row>
    <row r="126">
      <c r="A126" s="81" t="n">
        <v>44228</v>
      </c>
      <c r="B126" t="n">
        <v>60.8</v>
      </c>
    </row>
    <row r="127">
      <c r="A127" s="81" t="n">
        <v>44256</v>
      </c>
      <c r="B127" t="n">
        <v>64.7</v>
      </c>
    </row>
    <row r="128">
      <c r="A128" s="81" t="n">
        <v>44287</v>
      </c>
      <c r="B128" t="n">
        <v>60.7</v>
      </c>
    </row>
    <row r="129">
      <c r="A129" s="81" t="n">
        <v>44317</v>
      </c>
      <c r="B129" t="n">
        <v>61.2</v>
      </c>
    </row>
    <row r="130">
      <c r="A130" s="81" t="n">
        <v>44348</v>
      </c>
      <c r="B130" t="n">
        <v>60.6</v>
      </c>
    </row>
    <row r="131">
      <c r="A131" s="81" t="n">
        <v>44378</v>
      </c>
      <c r="B131" t="n">
        <v>59.5</v>
      </c>
    </row>
    <row r="132">
      <c r="A132" s="81" t="n">
        <v>44409</v>
      </c>
      <c r="B132" t="n">
        <v>59.9</v>
      </c>
    </row>
    <row r="133">
      <c r="A133" s="81" t="n">
        <v>44440</v>
      </c>
      <c r="B133" t="n">
        <v>60.3</v>
      </c>
    </row>
    <row r="134">
      <c r="A134" s="81" t="n">
        <v>44470</v>
      </c>
      <c r="B134" t="n">
        <v>60.7</v>
      </c>
    </row>
    <row r="135">
      <c r="A135" s="81" t="n">
        <v>44501</v>
      </c>
      <c r="B135" t="n">
        <v>61.1</v>
      </c>
    </row>
    <row r="136">
      <c r="A136" s="81" t="n">
        <v>44531</v>
      </c>
      <c r="B136" t="n">
        <v>61.5</v>
      </c>
    </row>
    <row r="137">
      <c r="A137" s="81" t="n">
        <v>44562</v>
      </c>
      <c r="B137" t="n">
        <v>57.6</v>
      </c>
    </row>
    <row r="138">
      <c r="A138" s="81" t="n">
        <v>44593</v>
      </c>
      <c r="B138" t="n">
        <v>58.6</v>
      </c>
    </row>
    <row r="139">
      <c r="A139" s="81" t="n">
        <v>44621</v>
      </c>
      <c r="B139" t="n">
        <v>57.1</v>
      </c>
    </row>
    <row r="140">
      <c r="A140" s="81" t="n">
        <v>44652</v>
      </c>
      <c r="B140" t="n">
        <v>55.4</v>
      </c>
    </row>
    <row r="141">
      <c r="A141" s="81" t="n">
        <v>44682</v>
      </c>
      <c r="B141" t="n">
        <v>56.1</v>
      </c>
    </row>
    <row r="142">
      <c r="A142" s="81" t="n">
        <v>44713</v>
      </c>
      <c r="B142" t="n">
        <v>53</v>
      </c>
    </row>
    <row r="143">
      <c r="A143" s="81" t="n">
        <v>44743</v>
      </c>
      <c r="B143" t="n">
        <v>52.8</v>
      </c>
    </row>
    <row r="144">
      <c r="A144" s="81" t="n">
        <v>44774</v>
      </c>
      <c r="B144" t="n">
        <v>52.8</v>
      </c>
    </row>
    <row r="145">
      <c r="A145" s="81" t="n">
        <v>44805</v>
      </c>
      <c r="B145" t="n">
        <v>50.9</v>
      </c>
    </row>
    <row r="146">
      <c r="A146" s="81" t="n">
        <v>44835</v>
      </c>
      <c r="B146" t="n">
        <v>50.2</v>
      </c>
    </row>
    <row r="147">
      <c r="A147" s="81" t="n">
        <v>44866</v>
      </c>
      <c r="B147" t="n">
        <v>49</v>
      </c>
    </row>
  </sheetData>
  <pageMargins left="0.7" right="0.7" top="0.75" bottom="0.75" header="0.3" footer="0.3"/>
</worksheet>
</file>

<file path=xl/worksheets/sheet6.xml><?xml version="1.0" encoding="utf-8"?>
<worksheet xmlns="http://schemas.openxmlformats.org/spreadsheetml/2006/main">
  <sheetPr>
    <tabColor rgb="FFFF0000"/>
    <outlinePr summaryBelow="1" summaryRight="1"/>
    <pageSetUpPr/>
  </sheetPr>
  <dimension ref="B1:AJ104"/>
  <sheetViews>
    <sheetView zoomScale="120" zoomScaleNormal="120" workbookViewId="0">
      <pane xSplit="2" ySplit="11" topLeftCell="C80" activePane="bottomRight" state="frozen"/>
      <selection activeCell="I319" sqref="I319"/>
      <selection pane="topRight" activeCell="I319" sqref="I319"/>
      <selection pane="bottomLeft" activeCell="I319" sqref="I319"/>
      <selection pane="bottomRight" activeCell="I319" sqref="I319"/>
    </sheetView>
  </sheetViews>
  <sheetFormatPr baseColWidth="8" defaultColWidth="9.1796875" defaultRowHeight="14.5"/>
  <cols>
    <col width="9.1796875" customWidth="1" style="69" min="1" max="1"/>
    <col width="17.81640625" customWidth="1" min="2" max="2"/>
    <col width="6.1796875" customWidth="1" min="3" max="27"/>
    <col width="7.36328125" customWidth="1" min="28" max="28"/>
    <col width="9.1796875" customWidth="1" style="69" min="29" max="29"/>
    <col width="12.36328125" customWidth="1" style="69" min="30" max="30"/>
    <col width="9.1796875" customWidth="1" style="69" min="31" max="31"/>
    <col width="10.453125" customWidth="1" style="69" min="32" max="32"/>
    <col width="10.6328125" bestFit="1" customWidth="1" style="69" min="33" max="33"/>
    <col width="9.1796875" customWidth="1" style="69" min="34" max="74"/>
    <col width="9.1796875" customWidth="1" min="75" max="122"/>
  </cols>
  <sheetData>
    <row r="1" ht="16" customFormat="1" customHeight="1" s="69" thickBot="1">
      <c r="AD1" s="31" t="inlineStr">
        <is>
          <t>*to update</t>
        </is>
      </c>
      <c r="AE1" s="69" t="inlineStr">
        <is>
          <t>Last month</t>
        </is>
      </c>
      <c r="AG1" s="62" t="n">
        <v>44866</v>
      </c>
      <c r="AJ1" s="4" t="inlineStr">
        <is>
          <t>*modify max/min/avg</t>
        </is>
      </c>
    </row>
    <row r="2" ht="66" customHeight="1">
      <c r="B2" s="36" t="n"/>
      <c r="C2" s="37" t="inlineStr">
        <is>
          <t>Global</t>
        </is>
      </c>
      <c r="D2" s="37" t="inlineStr">
        <is>
          <t>US ISM</t>
        </is>
      </c>
      <c r="E2" s="37" t="inlineStr">
        <is>
          <t>US</t>
        </is>
      </c>
      <c r="F2" s="37" t="inlineStr">
        <is>
          <t xml:space="preserve">China </t>
        </is>
      </c>
      <c r="G2" s="37" t="inlineStr">
        <is>
          <t>Eurozone</t>
        </is>
      </c>
      <c r="H2" s="37" t="inlineStr">
        <is>
          <t xml:space="preserve">Japan </t>
        </is>
      </c>
      <c r="I2" s="37" t="inlineStr">
        <is>
          <t>Germany</t>
        </is>
      </c>
      <c r="J2" s="37" t="inlineStr">
        <is>
          <t>France</t>
        </is>
      </c>
      <c r="K2" s="37" t="inlineStr">
        <is>
          <t>UK</t>
        </is>
      </c>
      <c r="L2" s="37" t="inlineStr">
        <is>
          <t xml:space="preserve">Italy </t>
        </is>
      </c>
      <c r="M2" s="37" t="inlineStr">
        <is>
          <t>Spain</t>
        </is>
      </c>
      <c r="N2" s="37" t="inlineStr">
        <is>
          <t>Brazil</t>
        </is>
      </c>
      <c r="O2" s="37" t="inlineStr">
        <is>
          <t>Mexico</t>
        </is>
      </c>
      <c r="P2" s="37" t="inlineStr">
        <is>
          <t>Russia</t>
        </is>
      </c>
      <c r="Q2" s="37" t="inlineStr">
        <is>
          <t>India</t>
        </is>
      </c>
      <c r="R2" s="37" t="inlineStr">
        <is>
          <t>Canada</t>
        </is>
      </c>
      <c r="S2" s="37" t="inlineStr">
        <is>
          <t>Australia</t>
        </is>
      </c>
      <c r="T2" s="38" t="inlineStr">
        <is>
          <t>Indonesia</t>
        </is>
      </c>
      <c r="U2" s="37" t="inlineStr">
        <is>
          <t xml:space="preserve">S Korea </t>
        </is>
      </c>
      <c r="V2" s="37" t="inlineStr">
        <is>
          <t>Taiwan</t>
        </is>
      </c>
      <c r="W2" s="37" t="inlineStr">
        <is>
          <t>Greece</t>
        </is>
      </c>
      <c r="X2" s="37" t="inlineStr">
        <is>
          <t>Ireland</t>
        </is>
      </c>
      <c r="Y2" s="37" t="inlineStr">
        <is>
          <t>Turkey</t>
        </is>
      </c>
      <c r="Z2" s="37" t="inlineStr">
        <is>
          <t xml:space="preserve">Czech </t>
        </is>
      </c>
      <c r="AA2" s="37" t="inlineStr">
        <is>
          <t>Poland</t>
        </is>
      </c>
      <c r="AB2" s="39" t="inlineStr">
        <is>
          <t>Denmark</t>
        </is>
      </c>
    </row>
    <row r="3">
      <c r="B3" s="32" t="inlineStr">
        <is>
          <t>max 12m</t>
        </is>
      </c>
      <c r="C3" s="28">
        <f>MAX(OFFSET(C$12,COUNT(C$12:C$105),0,-13,1))</f>
        <v/>
      </c>
      <c r="D3" s="28">
        <f>MAX(OFFSET(D$12,COUNT(D$12:D$105),0,-13,1))</f>
        <v/>
      </c>
      <c r="E3" s="28">
        <f>MAX(OFFSET(E$12,COUNT(E$12:E$105),0,-13,1))</f>
        <v/>
      </c>
      <c r="F3" s="28">
        <f>MAX(OFFSET(F$12,COUNT(F$12:F$105),0,-13,1))</f>
        <v/>
      </c>
      <c r="G3" s="28">
        <f>MAX(OFFSET(G$12,COUNT(G$12:G$105),0,-13,1))</f>
        <v/>
      </c>
      <c r="H3" s="28">
        <f>MAX(OFFSET(H$12,COUNT(H$12:H$105),0,-13,1))</f>
        <v/>
      </c>
      <c r="I3" s="28">
        <f>MAX(OFFSET(I$12,COUNT(I$12:I$105),0,-13,1))</f>
        <v/>
      </c>
      <c r="J3" s="28">
        <f>MAX(OFFSET(J$12,COUNT(J$12:J$105),0,-13,1))</f>
        <v/>
      </c>
      <c r="K3" s="28">
        <f>MAX(OFFSET(K$12,COUNT(K$12:K$105),0,-13,1))</f>
        <v/>
      </c>
      <c r="L3" s="28">
        <f>MAX(OFFSET(L$12,COUNT(L$12:L$105),0,-13,1))</f>
        <v/>
      </c>
      <c r="M3" s="28">
        <f>MAX(OFFSET(M$12,COUNT(M$12:M$105),0,-13,1))</f>
        <v/>
      </c>
      <c r="N3" s="28">
        <f>MAX(OFFSET(N$12,COUNT(N$12:N$105),0,-13,1))</f>
        <v/>
      </c>
      <c r="O3" s="28">
        <f>MAX(OFFSET(O$12,COUNT(O$12:O$105),0,-13,1))</f>
        <v/>
      </c>
      <c r="P3" s="28">
        <f>MAX(OFFSET(P$12,COUNT(P$12:P$105),0,-13,1))</f>
        <v/>
      </c>
      <c r="Q3" s="28">
        <f>MAX(OFFSET(Q$12,COUNT(Q$12:Q$105),0,-13,1))</f>
        <v/>
      </c>
      <c r="R3" s="28">
        <f>MAX(OFFSET(R$12,COUNT(R$12:R$105),0,-13,1))</f>
        <v/>
      </c>
      <c r="S3" s="28">
        <f>MAX(OFFSET(S$12,COUNT(S$12:S$105),0,-13,1))</f>
        <v/>
      </c>
      <c r="T3" s="28">
        <f>MAX(OFFSET(T$12,COUNT(T$12:T$105),0,-13,1))</f>
        <v/>
      </c>
      <c r="U3" s="28">
        <f>MAX(OFFSET(U$12,COUNT(U$12:U$105),0,-13,1))</f>
        <v/>
      </c>
      <c r="V3" s="28">
        <f>MAX(OFFSET(V$12,COUNT(V$12:V$105),0,-13,1))</f>
        <v/>
      </c>
      <c r="W3" s="28">
        <f>MAX(OFFSET(W$12,COUNT(W$12:W$105),0,-13,1))</f>
        <v/>
      </c>
      <c r="X3" s="28">
        <f>MAX(OFFSET(X$12,COUNT(X$12:X$105),0,-13,1))</f>
        <v/>
      </c>
      <c r="Y3" s="28">
        <f>MAX(OFFSET(Y$12,COUNT(Y$12:Y$105),0,-13,1))</f>
        <v/>
      </c>
      <c r="Z3" s="28">
        <f>MAX(OFFSET(Z$12,COUNT(Z$12:Z$105),0,-13,1))</f>
        <v/>
      </c>
      <c r="AA3" s="28">
        <f>MAX(OFFSET(AA$12,COUNT(AA$12:AA$105),0,-13,1))</f>
        <v/>
      </c>
      <c r="AB3" s="28">
        <f>MAX(OFFSET(AB$12,COUNT(AB$12:AB$105),0,-13,1))</f>
        <v/>
      </c>
      <c r="AE3" s="69" t="inlineStr">
        <is>
          <t>Previous month</t>
        </is>
      </c>
      <c r="AG3" s="27">
        <f>DATE(YEAR(AG1),MONTH(AG1)-1,DAY(AG1))</f>
        <v/>
      </c>
    </row>
    <row r="4">
      <c r="B4" s="32" t="inlineStr">
        <is>
          <t>min 12m</t>
        </is>
      </c>
      <c r="C4" s="28">
        <f>MIN(OFFSET(C$12,COUNT(C$12:C$105),0,-13,1))</f>
        <v/>
      </c>
      <c r="D4" s="28">
        <f>MIN(OFFSET(D$12,COUNT(D$12:D$105),0,-13,1))</f>
        <v/>
      </c>
      <c r="E4" s="28">
        <f>MIN(OFFSET(E$12,COUNT(E$12:E$105),0,-13,1))</f>
        <v/>
      </c>
      <c r="F4" s="28">
        <f>MIN(OFFSET(F$12,COUNT(F$12:F$105),0,-13,1))</f>
        <v/>
      </c>
      <c r="G4" s="28">
        <f>MIN(OFFSET(G$12,COUNT(G$12:G$105),0,-13,1))</f>
        <v/>
      </c>
      <c r="H4" s="28">
        <f>MIN(OFFSET(H$12,COUNT(H$12:H$105),0,-13,1))</f>
        <v/>
      </c>
      <c r="I4" s="28">
        <f>MIN(OFFSET(I$12,COUNT(I$12:I$105),0,-13,1))</f>
        <v/>
      </c>
      <c r="J4" s="28">
        <f>MIN(OFFSET(J$12,COUNT(J$12:J$105),0,-13,1))</f>
        <v/>
      </c>
      <c r="K4" s="28">
        <f>MIN(OFFSET(K$12,COUNT(K$12:K$105),0,-13,1))</f>
        <v/>
      </c>
      <c r="L4" s="28">
        <f>MIN(OFFSET(L$12,COUNT(L$12:L$105),0,-13,1))</f>
        <v/>
      </c>
      <c r="M4" s="28">
        <f>MIN(OFFSET(M$12,COUNT(M$12:M$105),0,-13,1))</f>
        <v/>
      </c>
      <c r="N4" s="28">
        <f>MIN(OFFSET(N$12,COUNT(N$12:N$105),0,-13,1))</f>
        <v/>
      </c>
      <c r="O4" s="28">
        <f>MIN(OFFSET(O$12,COUNT(O$12:O$105),0,-13,1))</f>
        <v/>
      </c>
      <c r="P4" s="28">
        <f>MIN(OFFSET(P$12,COUNT(P$12:P$105),0,-13,1))</f>
        <v/>
      </c>
      <c r="Q4" s="28">
        <f>MIN(OFFSET(Q$12,COUNT(Q$12:Q$105),0,-13,1))</f>
        <v/>
      </c>
      <c r="R4" s="28">
        <f>MIN(OFFSET(R$12,COUNT(R$12:R$105),0,-13,1))</f>
        <v/>
      </c>
      <c r="S4" s="28">
        <f>MIN(OFFSET(S$12,COUNT(S$12:S$105),0,-13,1))</f>
        <v/>
      </c>
      <c r="T4" s="28">
        <f>MIN(OFFSET(T$12,COUNT(T$12:T$105),0,-13,1))</f>
        <v/>
      </c>
      <c r="U4" s="28">
        <f>MIN(OFFSET(U$12,COUNT(U$12:U$105),0,-13,1))</f>
        <v/>
      </c>
      <c r="V4" s="28">
        <f>MIN(OFFSET(V$12,COUNT(V$12:V$105),0,-13,1))</f>
        <v/>
      </c>
      <c r="W4" s="28">
        <f>MIN(OFFSET(W$12,COUNT(W$12:W$105),0,-13,1))</f>
        <v/>
      </c>
      <c r="X4" s="28">
        <f>MIN(OFFSET(X$12,COUNT(X$12:X$105),0,-13,1))</f>
        <v/>
      </c>
      <c r="Y4" s="28">
        <f>MIN(OFFSET(Y$12,COUNT(Y$12:Y$105),0,-13,1))</f>
        <v/>
      </c>
      <c r="Z4" s="28">
        <f>MIN(OFFSET(Z$12,COUNT(Z$12:Z$105),0,-13,1))</f>
        <v/>
      </c>
      <c r="AA4" s="28">
        <f>MIN(OFFSET(AA$12,COUNT(AA$12:AA$105),0,-13,1))</f>
        <v/>
      </c>
      <c r="AB4" s="28">
        <f>MIN(OFFSET(AB$12,COUNT(AB$12:AB$105),0,-13,1))</f>
        <v/>
      </c>
      <c r="AF4" s="69" t="inlineStr">
        <is>
          <t>12 months</t>
        </is>
      </c>
      <c r="AG4" s="27">
        <f>DATE(YEAR(AG1),MONTH(AG1)-12,DAY(AG1))</f>
        <v/>
      </c>
    </row>
    <row r="5" ht="16" customHeight="1" thickBot="1">
      <c r="B5" s="32" t="inlineStr">
        <is>
          <t>12m avg</t>
        </is>
      </c>
      <c r="C5" s="40">
        <f>AVERAGE(OFFSET(C$12,COUNT(C$12:C$105),0,-13,1))</f>
        <v/>
      </c>
      <c r="D5" s="40">
        <f>AVERAGE(OFFSET(D$12,COUNT(D$12:D$105),0,-13,1))</f>
        <v/>
      </c>
      <c r="E5" s="40">
        <f>AVERAGE(OFFSET(E$12,COUNT(E$12:E$105),0,-13,1))</f>
        <v/>
      </c>
      <c r="F5" s="40">
        <f>AVERAGE(OFFSET(F$12,COUNT(F$12:F$105),0,-13,1))</f>
        <v/>
      </c>
      <c r="G5" s="40">
        <f>AVERAGE(OFFSET(G$12,COUNT(G$12:G$105),0,-13,1))</f>
        <v/>
      </c>
      <c r="H5" s="40">
        <f>AVERAGE(OFFSET(H$12,COUNT(H$12:H$105),0,-13,1))</f>
        <v/>
      </c>
      <c r="I5" s="40">
        <f>AVERAGE(OFFSET(I$12,COUNT(I$12:I$105),0,-13,1))</f>
        <v/>
      </c>
      <c r="J5" s="40">
        <f>AVERAGE(OFFSET(J$12,COUNT(J$12:J$105),0,-13,1))</f>
        <v/>
      </c>
      <c r="K5" s="40">
        <f>AVERAGE(OFFSET(K$12,COUNT(K$12:K$105),0,-13,1))</f>
        <v/>
      </c>
      <c r="L5" s="40">
        <f>AVERAGE(OFFSET(L$12,COUNT(L$12:L$105),0,-13,1))</f>
        <v/>
      </c>
      <c r="M5" s="40">
        <f>AVERAGE(OFFSET(M$12,COUNT(M$12:M$105),0,-13,1))</f>
        <v/>
      </c>
      <c r="N5" s="40">
        <f>AVERAGE(OFFSET(N$12,COUNT(N$12:N$105),0,-13,1))</f>
        <v/>
      </c>
      <c r="O5" s="40">
        <f>AVERAGE(OFFSET(O$12,COUNT(O$12:O$105),0,-13,1))</f>
        <v/>
      </c>
      <c r="P5" s="40">
        <f>AVERAGE(OFFSET(P$12,COUNT(P$12:P$105),0,-13,1))</f>
        <v/>
      </c>
      <c r="Q5" s="40">
        <f>AVERAGE(OFFSET(Q$12,COUNT(Q$12:Q$105),0,-13,1))</f>
        <v/>
      </c>
      <c r="R5" s="40">
        <f>AVERAGE(OFFSET(R$12,COUNT(R$12:R$105),0,-13,1))</f>
        <v/>
      </c>
      <c r="S5" s="40">
        <f>AVERAGE(OFFSET(S$12,COUNT(S$12:S$105),0,-13,1))</f>
        <v/>
      </c>
      <c r="T5" s="40">
        <f>AVERAGE(OFFSET(T$12,COUNT(T$12:T$105),0,-13,1))</f>
        <v/>
      </c>
      <c r="U5" s="40">
        <f>AVERAGE(OFFSET(U$12,COUNT(U$12:U$105),0,-13,1))</f>
        <v/>
      </c>
      <c r="V5" s="40">
        <f>AVERAGE(OFFSET(V$12,COUNT(V$12:V$105),0,-13,1))</f>
        <v/>
      </c>
      <c r="W5" s="40">
        <f>AVERAGE(OFFSET(W$12,COUNT(W$12:W$105),0,-13,1))</f>
        <v/>
      </c>
      <c r="X5" s="40">
        <f>AVERAGE(OFFSET(X$12,COUNT(X$12:X$105),0,-13,1))</f>
        <v/>
      </c>
      <c r="Y5" s="40">
        <f>AVERAGE(OFFSET(Y$12,COUNT(Y$12:Y$105),0,-13,1))</f>
        <v/>
      </c>
      <c r="Z5" s="40">
        <f>AVERAGE(OFFSET(Z$12,COUNT(Z$12:Z$105),0,-13,1))</f>
        <v/>
      </c>
      <c r="AA5" s="40">
        <f>AVERAGE(OFFSET(AA$12,COUNT(AA$12:AA$105),0,-13,1))</f>
        <v/>
      </c>
      <c r="AB5" s="40">
        <f>AVERAGE(OFFSET(AB$12,COUNT(AB$12:AB$105),0,-13,1))</f>
        <v/>
      </c>
    </row>
    <row r="6">
      <c r="B6" s="49" t="inlineStr">
        <is>
          <t>Last vs 12m avg</t>
        </is>
      </c>
      <c r="C6" s="41">
        <f>IF((VLOOKUP($AG$1,$B:$AA,MATCH(C2,$B$2:$AA$2,),))&gt;C5,"above","below")</f>
        <v/>
      </c>
      <c r="D6" s="42">
        <f>IF((VLOOKUP($AG$1,$B:$AA,MATCH(D2,$B$2:$AA$2,),))&gt;D5,"above","below")</f>
        <v/>
      </c>
      <c r="E6" s="42">
        <f>IF((VLOOKUP($AG$1,$B:$AA,MATCH(E2,$B$2:$AA$2,),))&gt;E5,"above","below")</f>
        <v/>
      </c>
      <c r="F6" s="42">
        <f>IF((VLOOKUP($AG$1,$B:$AA,MATCH(F2,$B$2:$AA$2,),))&gt;F5,"above","below")</f>
        <v/>
      </c>
      <c r="G6" s="42">
        <f>IF((VLOOKUP($AG$1,$B:$AA,MATCH(G2,$B$2:$AA$2,),))&gt;G5,"above","below")</f>
        <v/>
      </c>
      <c r="H6" s="42">
        <f>IF((VLOOKUP($AG$1,$B:$AA,MATCH(H2,$B$2:$AA$2,),))&gt;H5,"above","below")</f>
        <v/>
      </c>
      <c r="I6" s="42">
        <f>IF((VLOOKUP($AG$1,$B:$AA,MATCH(I2,$B$2:$AA$2,),))&gt;I5,"above","below")</f>
        <v/>
      </c>
      <c r="J6" s="42">
        <f>IF((VLOOKUP($AG$1,$B:$AA,MATCH(J2,$B$2:$AA$2,),))&gt;J5,"above","below")</f>
        <v/>
      </c>
      <c r="K6" s="42">
        <f>IF((VLOOKUP($AG$1,$B:$AA,MATCH(K2,$B$2:$AA$2,),))&gt;K5,"above","below")</f>
        <v/>
      </c>
      <c r="L6" s="42">
        <f>IF((VLOOKUP($AG$1,$B:$AA,MATCH(L2,$B$2:$AA$2,),))&gt;L5,"above","below")</f>
        <v/>
      </c>
      <c r="M6" s="42">
        <f>IF((VLOOKUP($AG$1,$B:$AA,MATCH(M2,$B$2:$AA$2,),))&gt;M5,"above","below")</f>
        <v/>
      </c>
      <c r="N6" s="42">
        <f>IF((VLOOKUP($AG$1,$B:$AA,MATCH(N2,$B$2:$AA$2,),))&gt;N5,"above","below")</f>
        <v/>
      </c>
      <c r="O6" s="42">
        <f>IF((VLOOKUP($AG$1,$B:$AA,MATCH(O2,$B$2:$AA$2,),))&gt;O5,"above","below")</f>
        <v/>
      </c>
      <c r="P6" s="42">
        <f>IF((VLOOKUP($AG$1,$B:$AA,MATCH(P2,$B$2:$AA$2,),))&gt;P5,"above","below")</f>
        <v/>
      </c>
      <c r="Q6" s="42">
        <f>IF((VLOOKUP($AG$1,$B:$AA,MATCH(Q2,$B$2:$AA$2,),))&gt;Q5,"above","below")</f>
        <v/>
      </c>
      <c r="R6" s="42">
        <f>IF((VLOOKUP($AG$1,$B:$AA,MATCH(R2,$B$2:$AA$2,),))&gt;R5,"above","below")</f>
        <v/>
      </c>
      <c r="S6" s="42">
        <f>IF((VLOOKUP($AG$1,$B:$AA,MATCH(S2,$B$2:$AA$2,),))&gt;S5,"above","below")</f>
        <v/>
      </c>
      <c r="T6" s="42">
        <f>IF((VLOOKUP($AG$1,$B:$AA,MATCH(T2,$B$2:$AA$2,),))&gt;T5,"above","below")</f>
        <v/>
      </c>
      <c r="U6" s="42">
        <f>IF((VLOOKUP($AG$1,$B:$AA,MATCH(U2,$B$2:$AA$2,),))&gt;U5,"above","below")</f>
        <v/>
      </c>
      <c r="V6" s="42">
        <f>IF((VLOOKUP($AG$1,$B:$AA,MATCH(V2,$B$2:$AA$2,),))&gt;V5,"above","below")</f>
        <v/>
      </c>
      <c r="W6" s="42">
        <f>IF((VLOOKUP($AG$1,$B:$AA,MATCH(W2,$B$2:$AA$2,),))&gt;W5,"above","below")</f>
        <v/>
      </c>
      <c r="X6" s="42">
        <f>IF((VLOOKUP($AG$1,$B:$AA,MATCH(X2,$B$2:$AA$2,),))&gt;X5,"above","below")</f>
        <v/>
      </c>
      <c r="Y6" s="42">
        <f>IF((VLOOKUP($AG$1,$B:$AA,MATCH(Y2,$B$2:$AA$2,),))&gt;Y5,"above","below")</f>
        <v/>
      </c>
      <c r="Z6" s="42">
        <f>IF((VLOOKUP($AG$1,$B:$AA,MATCH(Z2,$B$2:$AA$2,),))&gt;Z5,"above","below")</f>
        <v/>
      </c>
      <c r="AA6" s="42">
        <f>IF((VLOOKUP($AG$1,$B:$AA,MATCH(AA2,$B$2:$AA$2,),))&gt;AA5,"above","below")</f>
        <v/>
      </c>
      <c r="AB6" s="43">
        <f>IF((VLOOKUP($AG$1,$B:$AB,MATCH(AB2,$B$2:$AB$2,),))&gt;AB5,"above","below")</f>
        <v/>
      </c>
    </row>
    <row r="7">
      <c r="B7" s="49" t="inlineStr">
        <is>
          <t>Y/Y</t>
        </is>
      </c>
      <c r="C7" s="44">
        <f>VLOOKUP($AG$1,$B:$AA,MATCH(C2,$B$2:$AA$2,),)-VLOOKUP($AG$4,$B:$AA,MATCH(C2,$B$2:$AA$2,),)</f>
        <v/>
      </c>
      <c r="D7" s="28">
        <f>VLOOKUP($AG$1,$B:$AA,MATCH(D2,$B$2:$AA$2,),)-VLOOKUP($AG$4,$B:$AA,MATCH(D2,$B$2:$AA$2,),)</f>
        <v/>
      </c>
      <c r="E7" s="28">
        <f>VLOOKUP($AG$1,$B:$AA,MATCH(E2,$B$2:$AA$2,),)-VLOOKUP($AG$4,$B:$AA,MATCH(E2,$B$2:$AA$2,),)</f>
        <v/>
      </c>
      <c r="F7" s="28">
        <f>VLOOKUP($AG$1,$B:$AA,MATCH(F2,$B$2:$AA$2,),)-VLOOKUP($AG$4,$B:$AA,MATCH(F2,$B$2:$AA$2,),)</f>
        <v/>
      </c>
      <c r="G7" s="28">
        <f>VLOOKUP($AG$1,$B:$AA,MATCH(G2,$B$2:$AA$2,),)-VLOOKUP($AG$4,$B:$AA,MATCH(G2,$B$2:$AA$2,),)</f>
        <v/>
      </c>
      <c r="H7" s="28">
        <f>VLOOKUP($AG$1,$B:$AA,MATCH(H2,$B$2:$AA$2,),)-VLOOKUP($AG$4,$B:$AA,MATCH(H2,$B$2:$AA$2,),)</f>
        <v/>
      </c>
      <c r="I7" s="28">
        <f>VLOOKUP($AG$1,$B:$AA,MATCH(I2,$B$2:$AA$2,),)-VLOOKUP($AG$4,$B:$AA,MATCH(I2,$B$2:$AA$2,),)</f>
        <v/>
      </c>
      <c r="J7" s="28">
        <f>VLOOKUP($AG$1,$B:$AA,MATCH(J2,$B$2:$AA$2,),)-VLOOKUP($AG$4,$B:$AA,MATCH(J2,$B$2:$AA$2,),)</f>
        <v/>
      </c>
      <c r="K7" s="28">
        <f>VLOOKUP($AG$1,$B:$AA,MATCH(K2,$B$2:$AA$2,),)-VLOOKUP($AG$4,$B:$AA,MATCH(K2,$B$2:$AA$2,),)</f>
        <v/>
      </c>
      <c r="L7" s="28">
        <f>VLOOKUP($AG$1,$B:$AA,MATCH(L2,$B$2:$AA$2,),)-VLOOKUP($AG$4,$B:$AA,MATCH(L2,$B$2:$AA$2,),)</f>
        <v/>
      </c>
      <c r="M7" s="28">
        <f>VLOOKUP($AG$1,$B:$AA,MATCH(M2,$B$2:$AA$2,),)-VLOOKUP($AG$4,$B:$AA,MATCH(M2,$B$2:$AA$2,),)</f>
        <v/>
      </c>
      <c r="N7" s="28">
        <f>VLOOKUP($AG$1,$B:$AA,MATCH(N2,$B$2:$AA$2,),)-VLOOKUP($AG$4,$B:$AA,MATCH(N2,$B$2:$AA$2,),)</f>
        <v/>
      </c>
      <c r="O7" s="28">
        <f>VLOOKUP($AG$1,$B:$AA,MATCH(O2,$B$2:$AA$2,),)-VLOOKUP($AG$4,$B:$AA,MATCH(O2,$B$2:$AA$2,),)</f>
        <v/>
      </c>
      <c r="P7" s="28">
        <f>VLOOKUP($AG$1,$B:$AA,MATCH(P2,$B$2:$AA$2,),)-VLOOKUP($AG$4,$B:$AA,MATCH(P2,$B$2:$AA$2,),)</f>
        <v/>
      </c>
      <c r="Q7" s="28">
        <f>VLOOKUP($AG$1,$B:$AA,MATCH(Q2,$B$2:$AA$2,),)-VLOOKUP($AG$4,$B:$AA,MATCH(Q2,$B$2:$AA$2,),)</f>
        <v/>
      </c>
      <c r="R7" s="28">
        <f>VLOOKUP($AG$1,$B:$AA,MATCH(R2,$B$2:$AA$2,),)-VLOOKUP($AG$4,$B:$AA,MATCH(R2,$B$2:$AA$2,),)</f>
        <v/>
      </c>
      <c r="S7" s="28">
        <f>VLOOKUP($AG$1,$B:$AA,MATCH(S2,$B$2:$AA$2,),)-VLOOKUP($AG$4,$B:$AA,MATCH(S2,$B$2:$AA$2,),)</f>
        <v/>
      </c>
      <c r="T7" s="28">
        <f>VLOOKUP($AG$1,$B:$AA,MATCH(T2,$B$2:$AA$2,),)-VLOOKUP($AG$4,$B:$AA,MATCH(T2,$B$2:$AA$2,),)</f>
        <v/>
      </c>
      <c r="U7" s="28">
        <f>VLOOKUP($AG$1,$B:$AA,MATCH(U2,$B$2:$AA$2,),)-VLOOKUP($AG$4,$B:$AA,MATCH(U2,$B$2:$AA$2,),)</f>
        <v/>
      </c>
      <c r="V7" s="28">
        <f>VLOOKUP($AG$1,$B:$AA,MATCH(V2,$B$2:$AA$2,),)-VLOOKUP($AG$4,$B:$AA,MATCH(V2,$B$2:$AA$2,),)</f>
        <v/>
      </c>
      <c r="W7" s="28">
        <f>VLOOKUP($AG$1,$B:$AA,MATCH(W2,$B$2:$AA$2,),)-VLOOKUP($AG$4,$B:$AA,MATCH(W2,$B$2:$AA$2,),)</f>
        <v/>
      </c>
      <c r="X7" s="28">
        <f>VLOOKUP($AG$1,$B:$AA,MATCH(X2,$B$2:$AA$2,),)-VLOOKUP($AG$4,$B:$AA,MATCH(X2,$B$2:$AA$2,),)</f>
        <v/>
      </c>
      <c r="Y7" s="28">
        <f>VLOOKUP($AG$1,$B:$AA,MATCH(Y2,$B$2:$AA$2,),)-VLOOKUP($AG$4,$B:$AA,MATCH(Y2,$B$2:$AA$2,),)</f>
        <v/>
      </c>
      <c r="Z7" s="28">
        <f>VLOOKUP($AG$1,$B:$AA,MATCH(Z2,$B$2:$AA$2,),)-VLOOKUP($AG$4,$B:$AA,MATCH(Z2,$B$2:$AA$2,),)</f>
        <v/>
      </c>
      <c r="AA7" s="28">
        <f>VLOOKUP($AG$1,$B:$AA,MATCH(AA2,$B$2:$AA$2,),)-VLOOKUP($AG$4,$B:$AA,MATCH(AA2,$B$2:$AA$2,),)</f>
        <v/>
      </c>
      <c r="AB7" s="33">
        <f>VLOOKUP($AG$1,$B:$AB,MATCH(AB2,$B$2:$AB$2,),)-VLOOKUP($AG$4,$B:$AB,MATCH(AB2,$B$2:$AB$2,),)</f>
        <v/>
      </c>
    </row>
    <row r="8">
      <c r="B8" s="49" t="inlineStr">
        <is>
          <t>M/M</t>
        </is>
      </c>
      <c r="C8" s="44">
        <f>VLOOKUP($AG$1,$B:$AA,MATCH(C2,$B$2:$AA$2,),)-VLOOKUP($AG$3,$B:$AA,MATCH(C2,$B$2:$AA$2,),)</f>
        <v/>
      </c>
      <c r="D8" s="28">
        <f>VLOOKUP($AG$1,$B:$AA,MATCH(D2,$B$2:$AA$2,),)-VLOOKUP($AG$3,$B:$AA,MATCH(D2,$B$2:$AA$2,),)</f>
        <v/>
      </c>
      <c r="E8" s="28">
        <f>VLOOKUP($AG$1,$B:$AA,MATCH(E2,$B$2:$AA$2,),)-VLOOKUP($AG$3,$B:$AA,MATCH(E2,$B$2:$AA$2,),)</f>
        <v/>
      </c>
      <c r="F8" s="28">
        <f>VLOOKUP($AG$1,$B:$AA,MATCH(F2,$B$2:$AA$2,),)-VLOOKUP($AG$3,$B:$AA,MATCH(F2,$B$2:$AA$2,),)</f>
        <v/>
      </c>
      <c r="G8" s="28">
        <f>VLOOKUP($AG$1,$B:$AA,MATCH(G2,$B$2:$AA$2,),)-VLOOKUP($AG$3,$B:$AA,MATCH(G2,$B$2:$AA$2,),)</f>
        <v/>
      </c>
      <c r="H8" s="28">
        <f>VLOOKUP($AG$1,$B:$AA,MATCH(H2,$B$2:$AA$2,),)-VLOOKUP($AG$3,$B:$AA,MATCH(H2,$B$2:$AA$2,),)</f>
        <v/>
      </c>
      <c r="I8" s="28">
        <f>VLOOKUP($AG$1,$B:$AA,MATCH(I2,$B$2:$AA$2,),)-VLOOKUP($AG$3,$B:$AA,MATCH(I2,$B$2:$AA$2,),)</f>
        <v/>
      </c>
      <c r="J8" s="28">
        <f>VLOOKUP($AG$1,$B:$AA,MATCH(J2,$B$2:$AA$2,),)-VLOOKUP($AG$3,$B:$AA,MATCH(J2,$B$2:$AA$2,),)</f>
        <v/>
      </c>
      <c r="K8" s="28">
        <f>VLOOKUP($AG$1,$B:$AA,MATCH(K2,$B$2:$AA$2,),)-VLOOKUP($AG$3,$B:$AA,MATCH(K2,$B$2:$AA$2,),)</f>
        <v/>
      </c>
      <c r="L8" s="28">
        <f>VLOOKUP($AG$1,$B:$AA,MATCH(L2,$B$2:$AA$2,),)-VLOOKUP($AG$3,$B:$AA,MATCH(L2,$B$2:$AA$2,),)</f>
        <v/>
      </c>
      <c r="M8" s="28">
        <f>VLOOKUP($AG$1,$B:$AA,MATCH(M2,$B$2:$AA$2,),)-VLOOKUP($AG$3,$B:$AA,MATCH(M2,$B$2:$AA$2,),)</f>
        <v/>
      </c>
      <c r="N8" s="28">
        <f>VLOOKUP($AG$1,$B:$AA,MATCH(N2,$B$2:$AA$2,),)-VLOOKUP($AG$3,$B:$AA,MATCH(N2,$B$2:$AA$2,),)</f>
        <v/>
      </c>
      <c r="O8" s="28">
        <f>VLOOKUP($AG$1,$B:$AA,MATCH(O2,$B$2:$AA$2,),)-VLOOKUP($AG$3,$B:$AA,MATCH(O2,$B$2:$AA$2,),)</f>
        <v/>
      </c>
      <c r="P8" s="28">
        <f>VLOOKUP($AG$1,$B:$AA,MATCH(P2,$B$2:$AA$2,),)-VLOOKUP($AG$3,$B:$AA,MATCH(P2,$B$2:$AA$2,),)</f>
        <v/>
      </c>
      <c r="Q8" s="28">
        <f>VLOOKUP($AG$1,$B:$AA,MATCH(Q2,$B$2:$AA$2,),)-VLOOKUP($AG$3,$B:$AA,MATCH(Q2,$B$2:$AA$2,),)</f>
        <v/>
      </c>
      <c r="R8" s="28">
        <f>VLOOKUP($AG$1,$B:$AA,MATCH(R2,$B$2:$AA$2,),)-VLOOKUP($AG$3,$B:$AA,MATCH(R2,$B$2:$AA$2,),)</f>
        <v/>
      </c>
      <c r="S8" s="28">
        <f>VLOOKUP($AG$1,$B:$AA,MATCH(S2,$B$2:$AA$2,),)-VLOOKUP($AG$3,$B:$AA,MATCH(S2,$B$2:$AA$2,),)</f>
        <v/>
      </c>
      <c r="T8" s="28">
        <f>VLOOKUP($AG$1,$B:$AA,MATCH(T2,$B$2:$AA$2,),)-VLOOKUP($AG$3,$B:$AA,MATCH(T2,$B$2:$AA$2,),)</f>
        <v/>
      </c>
      <c r="U8" s="28">
        <f>VLOOKUP($AG$1,$B:$AA,MATCH(U2,$B$2:$AA$2,),)-VLOOKUP($AG$3,$B:$AA,MATCH(U2,$B$2:$AA$2,),)</f>
        <v/>
      </c>
      <c r="V8" s="28">
        <f>VLOOKUP($AG$1,$B:$AA,MATCH(V2,$B$2:$AA$2,),)-VLOOKUP($AG$3,$B:$AA,MATCH(V2,$B$2:$AA$2,),)</f>
        <v/>
      </c>
      <c r="W8" s="28">
        <f>VLOOKUP($AG$1,$B:$AA,MATCH(W2,$B$2:$AA$2,),)-VLOOKUP($AG$3,$B:$AA,MATCH(W2,$B$2:$AA$2,),)</f>
        <v/>
      </c>
      <c r="X8" s="28">
        <f>VLOOKUP($AG$1,$B:$AA,MATCH(X2,$B$2:$AA$2,),)-VLOOKUP($AG$3,$B:$AA,MATCH(X2,$B$2:$AA$2,),)</f>
        <v/>
      </c>
      <c r="Y8" s="28">
        <f>VLOOKUP($AG$1,$B:$AA,MATCH(Y2,$B$2:$AA$2,),)-VLOOKUP($AG$3,$B:$AA,MATCH(Y2,$B$2:$AA$2,),)</f>
        <v/>
      </c>
      <c r="Z8" s="28">
        <f>VLOOKUP($AG$1,$B:$AA,MATCH(Z2,$B$2:$AA$2,),)-VLOOKUP($AG$3,$B:$AA,MATCH(Z2,$B$2:$AA$2,),)</f>
        <v/>
      </c>
      <c r="AA8" s="28">
        <f>VLOOKUP($AG$1,$B:$AA,MATCH(AA2,$B$2:$AA$2,),)-VLOOKUP($AG$3,$B:$AA,MATCH(AA2,$B$2:$AA$2,),)</f>
        <v/>
      </c>
      <c r="AB8" s="33">
        <f>VLOOKUP($AG$1,$B:$AB,MATCH(AB2,$B$2:$AB$2,),)-VLOOKUP($AG$3,$B:$AB,MATCH(AB2,$B$2:$AB$2,),)</f>
        <v/>
      </c>
    </row>
    <row r="9" ht="66.75" customHeight="1">
      <c r="B9" s="50" t="inlineStr">
        <is>
          <t>Growth / Contraction</t>
        </is>
      </c>
      <c r="C9" s="46">
        <f>IF(VLOOKUP($AG$1,$B:$AB,MATCH(C2,$B$2:$AB$2,),)&gt;50,"Growth","Contraction")</f>
        <v/>
      </c>
      <c r="D9" s="47">
        <f>IF(VLOOKUP($AG$1,$B:$AB,MATCH(D2,$B$2:$AB$2,),)&gt;50,"Growth","Contraction")</f>
        <v/>
      </c>
      <c r="E9" s="47">
        <f>IF(VLOOKUP($AG$1,$B:$AB,MATCH(E2,$B$2:$AB$2,),)&gt;50,"Growth","Contraction")</f>
        <v/>
      </c>
      <c r="F9" s="47">
        <f>IF(VLOOKUP($AG$1,$B:$AB,MATCH(F2,$B$2:$AB$2,),)&gt;50,"Growth","Contraction")</f>
        <v/>
      </c>
      <c r="G9" s="47">
        <f>IF(VLOOKUP($AG$1,$B:$AB,MATCH(G2,$B$2:$AB$2,),)&gt;50,"Growth","Contraction")</f>
        <v/>
      </c>
      <c r="H9" s="47">
        <f>IF(VLOOKUP($AG$1,$B:$AB,MATCH(H2,$B$2:$AB$2,),)&gt;50,"Growth","Contraction")</f>
        <v/>
      </c>
      <c r="I9" s="47">
        <f>IF(VLOOKUP($AG$1,$B:$AB,MATCH(I2,$B$2:$AB$2,),)&gt;50,"Growth","Contraction")</f>
        <v/>
      </c>
      <c r="J9" s="47">
        <f>IF(VLOOKUP($AG$1,$B:$AB,MATCH(J2,$B$2:$AB$2,),)&gt;50,"Growth","Contraction")</f>
        <v/>
      </c>
      <c r="K9" s="47">
        <f>IF(VLOOKUP($AG$1,$B:$AB,MATCH(K2,$B$2:$AB$2,),)&gt;50,"Growth","Contraction")</f>
        <v/>
      </c>
      <c r="L9" s="47">
        <f>IF(VLOOKUP($AG$1,$B:$AB,MATCH(L2,$B$2:$AB$2,),)&gt;50,"Growth","Contraction")</f>
        <v/>
      </c>
      <c r="M9" s="47">
        <f>IF(VLOOKUP($AG$1,$B:$AB,MATCH(M2,$B$2:$AB$2,),)&gt;50,"Growth","Contraction")</f>
        <v/>
      </c>
      <c r="N9" s="47">
        <f>IF(VLOOKUP($AG$1,$B:$AB,MATCH(N2,$B$2:$AB$2,),)&gt;50,"Growth","Contraction")</f>
        <v/>
      </c>
      <c r="O9" s="47">
        <f>IF(VLOOKUP($AG$1,$B:$AB,MATCH(O2,$B$2:$AB$2,),)&gt;50,"Growth","Contraction")</f>
        <v/>
      </c>
      <c r="P9" s="47">
        <f>IF(VLOOKUP($AG$1,$B:$AB,MATCH(P2,$B$2:$AB$2,),)&gt;50,"Growth","Contraction")</f>
        <v/>
      </c>
      <c r="Q9" s="47">
        <f>IF(VLOOKUP($AG$1,$B:$AB,MATCH(Q2,$B$2:$AB$2,),)&gt;50,"Growth","Contraction")</f>
        <v/>
      </c>
      <c r="R9" s="47">
        <f>IF(VLOOKUP($AG$1,$B:$AB,MATCH(R2,$B$2:$AB$2,),)&gt;50,"Growth","Contraction")</f>
        <v/>
      </c>
      <c r="S9" s="47">
        <f>IF(VLOOKUP($AG$1,$B:$AB,MATCH(S2,$B$2:$AB$2,),)&gt;50,"Growth","Contraction")</f>
        <v/>
      </c>
      <c r="T9" s="47">
        <f>IF(VLOOKUP($AG$1,$B:$AB,MATCH(T2,$B$2:$AB$2,),)&gt;50,"Growth","Contraction")</f>
        <v/>
      </c>
      <c r="U9" s="47">
        <f>IF(VLOOKUP($AG$1,$B:$AB,MATCH(U2,$B$2:$AB$2,),)&gt;50,"Growth","Contraction")</f>
        <v/>
      </c>
      <c r="V9" s="47">
        <f>IF(VLOOKUP($AG$1,$B:$AB,MATCH(V2,$B$2:$AB$2,),)&gt;50,"Growth","Contraction")</f>
        <v/>
      </c>
      <c r="W9" s="47">
        <f>IF(VLOOKUP($AG$1,$B:$AB,MATCH(W2,$B$2:$AB$2,),)&gt;50,"Growth","Contraction")</f>
        <v/>
      </c>
      <c r="X9" s="47">
        <f>IF(VLOOKUP($AG$1,$B:$AB,MATCH(X2,$B$2:$AB$2,),)&gt;50,"Growth","Contraction")</f>
        <v/>
      </c>
      <c r="Y9" s="47">
        <f>IF(VLOOKUP($AG$1,$B:$AB,MATCH(Y2,$B$2:$AB$2,),)&gt;50,"Growth","Contraction")</f>
        <v/>
      </c>
      <c r="Z9" s="47">
        <f>IF(VLOOKUP($AG$1,$B:$AB,MATCH(Z2,$B$2:$AB$2,),)&gt;50,"Growth","Contraction")</f>
        <v/>
      </c>
      <c r="AA9" s="47">
        <f>IF(VLOOKUP($AG$1,$B:$AB,MATCH(AA2,$B$2:$AB$2,),)&gt;50,"Growth","Contraction")</f>
        <v/>
      </c>
      <c r="AB9" s="48">
        <f>IF(VLOOKUP($AG$1,$B:$AB,MATCH(AB2,$B$2:$AB$2,),)&gt;50,"Growth","Contraction")</f>
        <v/>
      </c>
    </row>
    <row r="10" ht="26.25" customHeight="1" thickBot="1">
      <c r="B10" s="51" t="inlineStr">
        <is>
          <t>Slower/Faster</t>
        </is>
      </c>
      <c r="C10" s="45">
        <f>IF(C8&gt;0,"+","-")</f>
        <v/>
      </c>
      <c r="D10" s="34">
        <f>IF(D8&gt;0,"+","-")</f>
        <v/>
      </c>
      <c r="E10" s="34">
        <f>IF(E8&gt;0,"+","-")</f>
        <v/>
      </c>
      <c r="F10" s="34">
        <f>IF(F8&gt;0,"+","-")</f>
        <v/>
      </c>
      <c r="G10" s="34">
        <f>IF(G8&gt;0,"+","-")</f>
        <v/>
      </c>
      <c r="H10" s="34">
        <f>IF(H8&gt;0,"+","-")</f>
        <v/>
      </c>
      <c r="I10" s="34">
        <f>IF(I8&gt;0,"+","-")</f>
        <v/>
      </c>
      <c r="J10" s="34">
        <f>IF(J8&gt;0,"+","-")</f>
        <v/>
      </c>
      <c r="K10" s="34">
        <f>IF(K8&gt;0,"+","-")</f>
        <v/>
      </c>
      <c r="L10" s="34">
        <f>IF(L8&gt;0,"+","-")</f>
        <v/>
      </c>
      <c r="M10" s="34">
        <f>IF(M8&gt;0,"+","-")</f>
        <v/>
      </c>
      <c r="N10" s="34">
        <f>IF(N8&gt;0,"+","-")</f>
        <v/>
      </c>
      <c r="O10" s="34">
        <f>IF(O8&gt;0,"+","-")</f>
        <v/>
      </c>
      <c r="P10" s="34">
        <f>IF(P8&gt;0,"+","-")</f>
        <v/>
      </c>
      <c r="Q10" s="34">
        <f>IF(Q8&gt;0,"+","-")</f>
        <v/>
      </c>
      <c r="R10" s="34">
        <f>IF(R8&gt;0,"+","-")</f>
        <v/>
      </c>
      <c r="S10" s="34">
        <f>IF(S8&gt;0,"+","-")</f>
        <v/>
      </c>
      <c r="T10" s="34">
        <f>IF(T8&gt;0,"+","-")</f>
        <v/>
      </c>
      <c r="U10" s="34">
        <f>IF(U8&gt;0,"+","-")</f>
        <v/>
      </c>
      <c r="V10" s="34">
        <f>IF(V8&gt;0,"+","-")</f>
        <v/>
      </c>
      <c r="W10" s="34">
        <f>IF(W8&gt;0,"+","-")</f>
        <v/>
      </c>
      <c r="X10" s="34">
        <f>IF(X8&gt;0,"+","-")</f>
        <v/>
      </c>
      <c r="Y10" s="34">
        <f>IF(Y8&gt;0,"+","-")</f>
        <v/>
      </c>
      <c r="Z10" s="34">
        <f>IF(Z8&gt;0,"+","-")</f>
        <v/>
      </c>
      <c r="AA10" s="34">
        <f>IF(AA8&gt;0,"+","-")</f>
        <v/>
      </c>
      <c r="AB10" s="35">
        <f>IF(AB8&gt;0,"+","-")</f>
        <v/>
      </c>
    </row>
    <row r="11" ht="26.25" customHeight="1">
      <c r="B11" s="69" t="n"/>
      <c r="C11" s="69" t="n"/>
      <c r="D11" s="69" t="n"/>
      <c r="E11" s="69" t="n"/>
      <c r="F11" s="69" t="n"/>
      <c r="G11" s="69" t="n"/>
      <c r="H11" s="69" t="n"/>
      <c r="I11" s="69" t="n"/>
      <c r="J11" s="69" t="n"/>
      <c r="K11" s="69" t="n"/>
      <c r="L11" s="69" t="n"/>
      <c r="M11" s="69" t="n"/>
      <c r="N11" s="69" t="n"/>
      <c r="O11" s="69" t="n"/>
      <c r="P11" s="69" t="n"/>
      <c r="Q11" s="69" t="n"/>
      <c r="R11" s="69" t="n"/>
      <c r="S11" s="69" t="n"/>
      <c r="T11" s="69" t="n"/>
      <c r="U11" s="69" t="n"/>
      <c r="V11" s="69" t="n"/>
      <c r="W11" s="69" t="n"/>
      <c r="X11" s="69" t="n"/>
      <c r="Y11" s="69" t="n"/>
      <c r="Z11" s="69" t="n"/>
      <c r="AA11" s="69" t="n"/>
      <c r="AB11" s="69" t="n"/>
    </row>
    <row r="12">
      <c r="B12" s="29" t="n">
        <v>42064</v>
      </c>
      <c r="C12" s="30">
        <f>VLOOKUP(B12,Global!$A:$B,2,)</f>
        <v/>
      </c>
      <c r="D12" s="30">
        <f>VLOOKUP(B12,US!$A:$D,4,)</f>
        <v/>
      </c>
      <c r="E12" s="30">
        <f>VLOOKUP(B12,US!$A:$B,2,)</f>
        <v/>
      </c>
      <c r="F12" s="30">
        <f>VLOOKUP(B12,China!$A:$B,2,)</f>
        <v/>
      </c>
      <c r="G12" s="30">
        <f>VLOOKUP(B12,'Euro Area'!A:B,2,)</f>
        <v/>
      </c>
      <c r="H12" s="30">
        <f>VLOOKUP(B12,Japan!$A:$B,2,)</f>
        <v/>
      </c>
      <c r="I12" s="30">
        <f>VLOOKUP(B12,Germany!$A:$B,2,)</f>
        <v/>
      </c>
      <c r="J12" s="30">
        <f>VLOOKUP(B12,France!$A:$B,2,)</f>
        <v/>
      </c>
      <c r="K12" s="30">
        <f>VLOOKUP(B12,UK!$A:$B,2,)</f>
        <v/>
      </c>
      <c r="L12" s="30">
        <f>VLOOKUP(B12,Italy!$A:$B,2,)</f>
        <v/>
      </c>
      <c r="M12" s="30">
        <f>VLOOKUP(B12,Spain!$A:$B,2,)</f>
        <v/>
      </c>
      <c r="N12" s="30">
        <f>VLOOKUP(B12,Brazil!$A:$B,2,)</f>
        <v/>
      </c>
      <c r="O12" s="30">
        <f>VLOOKUP(B12,Mexico!$A:$B,2,)</f>
        <v/>
      </c>
      <c r="P12" s="30">
        <f>VLOOKUP(B12,Russia!$A:$B,2,)</f>
        <v/>
      </c>
      <c r="Q12" s="30">
        <f>VLOOKUP(B12,India!$A:$B,2,)</f>
        <v/>
      </c>
      <c r="R12" s="30">
        <f>VLOOKUP(B12,Canada!$A:$B,2,)</f>
        <v/>
      </c>
      <c r="S12" s="30">
        <f>VLOOKUP(B12,Australia!$A:$B,2,)</f>
        <v/>
      </c>
      <c r="T12" s="30">
        <f>VLOOKUP(B12,Indonesia!$A:$B,2,)</f>
        <v/>
      </c>
      <c r="U12" s="30">
        <f>VLOOKUP(B12,SouthKorea!$A:$B,2,)</f>
        <v/>
      </c>
      <c r="V12" s="30">
        <f>VLOOKUP(B12,Taiwan!$A:$B,2,)</f>
        <v/>
      </c>
      <c r="W12" s="30">
        <f>VLOOKUP(B12,Greece!$A:$B,2,)</f>
        <v/>
      </c>
      <c r="X12" s="30">
        <f>VLOOKUP(B12,Ireland!$A:$B,2,)</f>
        <v/>
      </c>
      <c r="Y12" s="30">
        <f>VLOOKUP(B12,Turkey!$A:$B,2,)</f>
        <v/>
      </c>
      <c r="Z12" s="30">
        <f>VLOOKUP(B12,CzechRepublic!$A:$B,2,)</f>
        <v/>
      </c>
      <c r="AA12" s="30">
        <f>VLOOKUP(B12,Poland!$A:$B,2,)</f>
        <v/>
      </c>
      <c r="AB12" s="30">
        <f>VLOOKUP(B12,Denmark!$A:$B,2,)</f>
        <v/>
      </c>
    </row>
    <row r="13">
      <c r="B13" s="29" t="n">
        <v>42095</v>
      </c>
      <c r="C13" s="30">
        <f>VLOOKUP(B13,Global!$A:$B,2,)</f>
        <v/>
      </c>
      <c r="D13" s="30">
        <f>VLOOKUP(B13,US!$A:$D,4,)</f>
        <v/>
      </c>
      <c r="E13" s="30">
        <f>VLOOKUP(B13,US!$A:$B,2,)</f>
        <v/>
      </c>
      <c r="F13" s="30">
        <f>VLOOKUP(B13,China!$A:$B,2,)</f>
        <v/>
      </c>
      <c r="G13" s="30">
        <f>VLOOKUP(B13,'Euro Area'!A:B,2,)</f>
        <v/>
      </c>
      <c r="H13" s="30">
        <f>VLOOKUP(B13,Japan!$A:$B,2,)</f>
        <v/>
      </c>
      <c r="I13" s="30">
        <f>VLOOKUP(B13,Germany!$A:$B,2,)</f>
        <v/>
      </c>
      <c r="J13" s="30">
        <f>VLOOKUP(B13,France!$A:$B,2,)</f>
        <v/>
      </c>
      <c r="K13" s="30">
        <f>VLOOKUP(B13,UK!$A:$B,2,)</f>
        <v/>
      </c>
      <c r="L13" s="30">
        <f>VLOOKUP(B13,Italy!$A:$B,2,)</f>
        <v/>
      </c>
      <c r="M13" s="30">
        <f>VLOOKUP(B13,Spain!$A:$B,2,)</f>
        <v/>
      </c>
      <c r="N13" s="30">
        <f>VLOOKUP(B13,Brazil!$A:$B,2,)</f>
        <v/>
      </c>
      <c r="O13" s="30">
        <f>VLOOKUP(B13,Mexico!$A:$B,2,)</f>
        <v/>
      </c>
      <c r="P13" s="30">
        <f>VLOOKUP(B13,Russia!$A:$B,2,)</f>
        <v/>
      </c>
      <c r="Q13" s="30">
        <f>VLOOKUP(B13,India!$A:$B,2,)</f>
        <v/>
      </c>
      <c r="R13" s="30">
        <f>VLOOKUP(B13,Canada!$A:$B,2,)</f>
        <v/>
      </c>
      <c r="S13" s="30">
        <f>VLOOKUP(B13,Australia!$A:$B,2,)</f>
        <v/>
      </c>
      <c r="T13" s="30">
        <f>VLOOKUP(B13,Indonesia!$A:$B,2,)</f>
        <v/>
      </c>
      <c r="U13" s="30">
        <f>VLOOKUP(B13,SouthKorea!$A:$B,2,)</f>
        <v/>
      </c>
      <c r="V13" s="30">
        <f>VLOOKUP(B13,Taiwan!$A:$B,2,)</f>
        <v/>
      </c>
      <c r="W13" s="30">
        <f>VLOOKUP(B13,Greece!$A:$B,2,)</f>
        <v/>
      </c>
      <c r="X13" s="30">
        <f>VLOOKUP(B13,Ireland!$A:$B,2,)</f>
        <v/>
      </c>
      <c r="Y13" s="30">
        <f>VLOOKUP(B13,Turkey!$A:$B,2,)</f>
        <v/>
      </c>
      <c r="Z13" s="30">
        <f>VLOOKUP(B13,CzechRepublic!$A:$B,2,)</f>
        <v/>
      </c>
      <c r="AA13" s="30">
        <f>VLOOKUP(B13,Poland!$A:$B,2,)</f>
        <v/>
      </c>
      <c r="AB13" s="30">
        <f>VLOOKUP(B13,Denmark!$A:$B,2,)</f>
        <v/>
      </c>
    </row>
    <row r="14">
      <c r="B14" s="29" t="n">
        <v>42125</v>
      </c>
      <c r="C14" s="30">
        <f>VLOOKUP(B14,Global!$A:$B,2,)</f>
        <v/>
      </c>
      <c r="D14" s="30">
        <f>VLOOKUP(B14,US!$A:$D,4,)</f>
        <v/>
      </c>
      <c r="E14" s="30">
        <f>VLOOKUP(B14,US!$A:$B,2,)</f>
        <v/>
      </c>
      <c r="F14" s="30">
        <f>VLOOKUP(B14,China!$A:$B,2,)</f>
        <v/>
      </c>
      <c r="G14" s="30">
        <f>VLOOKUP(B14,'Euro Area'!A:B,2,)</f>
        <v/>
      </c>
      <c r="H14" s="30">
        <f>VLOOKUP(B14,Japan!$A:$B,2,)</f>
        <v/>
      </c>
      <c r="I14" s="30">
        <f>VLOOKUP(B14,Germany!$A:$B,2,)</f>
        <v/>
      </c>
      <c r="J14" s="30">
        <f>VLOOKUP(B14,France!$A:$B,2,)</f>
        <v/>
      </c>
      <c r="K14" s="30">
        <f>VLOOKUP(B14,UK!$A:$B,2,)</f>
        <v/>
      </c>
      <c r="L14" s="30">
        <f>VLOOKUP(B14,Italy!$A:$B,2,)</f>
        <v/>
      </c>
      <c r="M14" s="30">
        <f>VLOOKUP(B14,Spain!$A:$B,2,)</f>
        <v/>
      </c>
      <c r="N14" s="30">
        <f>VLOOKUP(B14,Brazil!$A:$B,2,)</f>
        <v/>
      </c>
      <c r="O14" s="30">
        <f>VLOOKUP(B14,Mexico!$A:$B,2,)</f>
        <v/>
      </c>
      <c r="P14" s="30">
        <f>VLOOKUP(B14,Russia!$A:$B,2,)</f>
        <v/>
      </c>
      <c r="Q14" s="30">
        <f>VLOOKUP(B14,India!$A:$B,2,)</f>
        <v/>
      </c>
      <c r="R14" s="30">
        <f>VLOOKUP(B14,Canada!$A:$B,2,)</f>
        <v/>
      </c>
      <c r="S14" s="30">
        <f>VLOOKUP(B14,Australia!$A:$B,2,)</f>
        <v/>
      </c>
      <c r="T14" s="30">
        <f>VLOOKUP(B14,Indonesia!$A:$B,2,)</f>
        <v/>
      </c>
      <c r="U14" s="30">
        <f>VLOOKUP(B14,SouthKorea!$A:$B,2,)</f>
        <v/>
      </c>
      <c r="V14" s="30">
        <f>VLOOKUP(B14,Taiwan!$A:$B,2,)</f>
        <v/>
      </c>
      <c r="W14" s="30">
        <f>VLOOKUP(B14,Greece!$A:$B,2,)</f>
        <v/>
      </c>
      <c r="X14" s="30">
        <f>VLOOKUP(B14,Ireland!$A:$B,2,)</f>
        <v/>
      </c>
      <c r="Y14" s="30">
        <f>VLOOKUP(B14,Turkey!$A:$B,2,)</f>
        <v/>
      </c>
      <c r="Z14" s="30">
        <f>VLOOKUP(B14,CzechRepublic!$A:$B,2,)</f>
        <v/>
      </c>
      <c r="AA14" s="30">
        <f>VLOOKUP(B14,Poland!$A:$B,2,)</f>
        <v/>
      </c>
      <c r="AB14" s="30">
        <f>VLOOKUP(B14,Denmark!$A:$B,2,)</f>
        <v/>
      </c>
    </row>
    <row r="15">
      <c r="B15" s="29" t="n">
        <v>42156</v>
      </c>
      <c r="C15" s="30">
        <f>VLOOKUP(B15,Global!$A:$B,2,)</f>
        <v/>
      </c>
      <c r="D15" s="30">
        <f>VLOOKUP(B15,US!$A:$D,4,)</f>
        <v/>
      </c>
      <c r="E15" s="30">
        <f>VLOOKUP(B15,US!$A:$B,2,)</f>
        <v/>
      </c>
      <c r="F15" s="30">
        <f>VLOOKUP(B15,China!$A:$B,2,)</f>
        <v/>
      </c>
      <c r="G15" s="30">
        <f>VLOOKUP(B15,'Euro Area'!A:B,2,)</f>
        <v/>
      </c>
      <c r="H15" s="30">
        <f>VLOOKUP(B15,Japan!$A:$B,2,)</f>
        <v/>
      </c>
      <c r="I15" s="30">
        <f>VLOOKUP(B15,Germany!$A:$B,2,)</f>
        <v/>
      </c>
      <c r="J15" s="30">
        <f>VLOOKUP(B15,France!$A:$B,2,)</f>
        <v/>
      </c>
      <c r="K15" s="30">
        <f>VLOOKUP(B15,UK!$A:$B,2,)</f>
        <v/>
      </c>
      <c r="L15" s="30">
        <f>VLOOKUP(B15,Italy!$A:$B,2,)</f>
        <v/>
      </c>
      <c r="M15" s="30">
        <f>VLOOKUP(B15,Spain!$A:$B,2,)</f>
        <v/>
      </c>
      <c r="N15" s="30">
        <f>VLOOKUP(B15,Brazil!$A:$B,2,)</f>
        <v/>
      </c>
      <c r="O15" s="30">
        <f>VLOOKUP(B15,Mexico!$A:$B,2,)</f>
        <v/>
      </c>
      <c r="P15" s="30">
        <f>VLOOKUP(B15,Russia!$A:$B,2,)</f>
        <v/>
      </c>
      <c r="Q15" s="30">
        <f>VLOOKUP(B15,India!$A:$B,2,)</f>
        <v/>
      </c>
      <c r="R15" s="30">
        <f>VLOOKUP(B15,Canada!$A:$B,2,)</f>
        <v/>
      </c>
      <c r="S15" s="30">
        <f>VLOOKUP(B15,Australia!$A:$B,2,)</f>
        <v/>
      </c>
      <c r="T15" s="30">
        <f>VLOOKUP(B15,Indonesia!$A:$B,2,)</f>
        <v/>
      </c>
      <c r="U15" s="30">
        <f>VLOOKUP(B15,SouthKorea!$A:$B,2,)</f>
        <v/>
      </c>
      <c r="V15" s="30">
        <f>VLOOKUP(B15,Taiwan!$A:$B,2,)</f>
        <v/>
      </c>
      <c r="W15" s="30">
        <f>VLOOKUP(B15,Greece!$A:$B,2,)</f>
        <v/>
      </c>
      <c r="X15" s="30">
        <f>VLOOKUP(B15,Ireland!$A:$B,2,)</f>
        <v/>
      </c>
      <c r="Y15" s="30">
        <f>VLOOKUP(B15,Turkey!$A:$B,2,)</f>
        <v/>
      </c>
      <c r="Z15" s="30">
        <f>VLOOKUP(B15,CzechRepublic!$A:$B,2,)</f>
        <v/>
      </c>
      <c r="AA15" s="30">
        <f>VLOOKUP(B15,Poland!$A:$B,2,)</f>
        <v/>
      </c>
      <c r="AB15" s="30">
        <f>VLOOKUP(B15,Denmark!$A:$B,2,)</f>
        <v/>
      </c>
    </row>
    <row r="16">
      <c r="B16" s="29" t="n">
        <v>42186</v>
      </c>
      <c r="C16" s="30">
        <f>VLOOKUP(B16,Global!$A:$B,2,)</f>
        <v/>
      </c>
      <c r="D16" s="30">
        <f>VLOOKUP(B16,US!$A:$D,4,)</f>
        <v/>
      </c>
      <c r="E16" s="30">
        <f>VLOOKUP(B16,US!$A:$B,2,)</f>
        <v/>
      </c>
      <c r="F16" s="30">
        <f>VLOOKUP(B16,China!$A:$B,2,)</f>
        <v/>
      </c>
      <c r="G16" s="30">
        <f>VLOOKUP(B16,'Euro Area'!A:B,2,)</f>
        <v/>
      </c>
      <c r="H16" s="30">
        <f>VLOOKUP(B16,Japan!$A:$B,2,)</f>
        <v/>
      </c>
      <c r="I16" s="30">
        <f>VLOOKUP(B16,Germany!$A:$B,2,)</f>
        <v/>
      </c>
      <c r="J16" s="30">
        <f>VLOOKUP(B16,France!$A:$B,2,)</f>
        <v/>
      </c>
      <c r="K16" s="30">
        <f>VLOOKUP(B16,UK!$A:$B,2,)</f>
        <v/>
      </c>
      <c r="L16" s="30">
        <f>VLOOKUP(B16,Italy!$A:$B,2,)</f>
        <v/>
      </c>
      <c r="M16" s="30">
        <f>VLOOKUP(B16,Spain!$A:$B,2,)</f>
        <v/>
      </c>
      <c r="N16" s="30">
        <f>VLOOKUP(B16,Brazil!$A:$B,2,)</f>
        <v/>
      </c>
      <c r="O16" s="30">
        <f>VLOOKUP(B16,Mexico!$A:$B,2,)</f>
        <v/>
      </c>
      <c r="P16" s="30">
        <f>VLOOKUP(B16,Russia!$A:$B,2,)</f>
        <v/>
      </c>
      <c r="Q16" s="30">
        <f>VLOOKUP(B16,India!$A:$B,2,)</f>
        <v/>
      </c>
      <c r="R16" s="30">
        <f>VLOOKUP(B16,Canada!$A:$B,2,)</f>
        <v/>
      </c>
      <c r="S16" s="30">
        <f>VLOOKUP(B16,Australia!$A:$B,2,)</f>
        <v/>
      </c>
      <c r="T16" s="30">
        <f>VLOOKUP(B16,Indonesia!$A:$B,2,)</f>
        <v/>
      </c>
      <c r="U16" s="30">
        <f>VLOOKUP(B16,SouthKorea!$A:$B,2,)</f>
        <v/>
      </c>
      <c r="V16" s="30">
        <f>VLOOKUP(B16,Taiwan!$A:$B,2,)</f>
        <v/>
      </c>
      <c r="W16" s="30">
        <f>VLOOKUP(B16,Greece!$A:$B,2,)</f>
        <v/>
      </c>
      <c r="X16" s="30">
        <f>VLOOKUP(B16,Ireland!$A:$B,2,)</f>
        <v/>
      </c>
      <c r="Y16" s="30">
        <f>VLOOKUP(B16,Turkey!$A:$B,2,)</f>
        <v/>
      </c>
      <c r="Z16" s="30">
        <f>VLOOKUP(B16,CzechRepublic!$A:$B,2,)</f>
        <v/>
      </c>
      <c r="AA16" s="30">
        <f>VLOOKUP(B16,Poland!$A:$B,2,)</f>
        <v/>
      </c>
      <c r="AB16" s="30">
        <f>VLOOKUP(B16,Denmark!$A:$B,2,)</f>
        <v/>
      </c>
    </row>
    <row r="17">
      <c r="B17" s="29" t="n">
        <v>42217</v>
      </c>
      <c r="C17" s="30">
        <f>VLOOKUP(B17,Global!$A:$B,2,)</f>
        <v/>
      </c>
      <c r="D17" s="30">
        <f>VLOOKUP(B17,US!$A:$D,4,)</f>
        <v/>
      </c>
      <c r="E17" s="30">
        <f>VLOOKUP(B17,US!$A:$B,2,)</f>
        <v/>
      </c>
      <c r="F17" s="30">
        <f>VLOOKUP(B17,China!$A:$B,2,)</f>
        <v/>
      </c>
      <c r="G17" s="30">
        <f>VLOOKUP(B17,'Euro Area'!A:B,2,)</f>
        <v/>
      </c>
      <c r="H17" s="30">
        <f>VLOOKUP(B17,Japan!$A:$B,2,)</f>
        <v/>
      </c>
      <c r="I17" s="30">
        <f>VLOOKUP(B17,Germany!$A:$B,2,)</f>
        <v/>
      </c>
      <c r="J17" s="30">
        <f>VLOOKUP(B17,France!$A:$B,2,)</f>
        <v/>
      </c>
      <c r="K17" s="30">
        <f>VLOOKUP(B17,UK!$A:$B,2,)</f>
        <v/>
      </c>
      <c r="L17" s="30">
        <f>VLOOKUP(B17,Italy!$A:$B,2,)</f>
        <v/>
      </c>
      <c r="M17" s="30">
        <f>VLOOKUP(B17,Spain!$A:$B,2,)</f>
        <v/>
      </c>
      <c r="N17" s="30">
        <f>VLOOKUP(B17,Brazil!$A:$B,2,)</f>
        <v/>
      </c>
      <c r="O17" s="30">
        <f>VLOOKUP(B17,Mexico!$A:$B,2,)</f>
        <v/>
      </c>
      <c r="P17" s="30">
        <f>VLOOKUP(B17,Russia!$A:$B,2,)</f>
        <v/>
      </c>
      <c r="Q17" s="30">
        <f>VLOOKUP(B17,India!$A:$B,2,)</f>
        <v/>
      </c>
      <c r="R17" s="30">
        <f>VLOOKUP(B17,Canada!$A:$B,2,)</f>
        <v/>
      </c>
      <c r="S17" s="30">
        <f>VLOOKUP(B17,Australia!$A:$B,2,)</f>
        <v/>
      </c>
      <c r="T17" s="30">
        <f>VLOOKUP(B17,Indonesia!$A:$B,2,)</f>
        <v/>
      </c>
      <c r="U17" s="30">
        <f>VLOOKUP(B17,SouthKorea!$A:$B,2,)</f>
        <v/>
      </c>
      <c r="V17" s="30">
        <f>VLOOKUP(B17,Taiwan!$A:$B,2,)</f>
        <v/>
      </c>
      <c r="W17" s="30">
        <f>VLOOKUP(B17,Greece!$A:$B,2,)</f>
        <v/>
      </c>
      <c r="X17" s="30">
        <f>VLOOKUP(B17,Ireland!$A:$B,2,)</f>
        <v/>
      </c>
      <c r="Y17" s="30">
        <f>VLOOKUP(B17,Turkey!$A:$B,2,)</f>
        <v/>
      </c>
      <c r="Z17" s="30">
        <f>VLOOKUP(B17,CzechRepublic!$A:$B,2,)</f>
        <v/>
      </c>
      <c r="AA17" s="30">
        <f>VLOOKUP(B17,Poland!$A:$B,2,)</f>
        <v/>
      </c>
      <c r="AB17" s="30">
        <f>VLOOKUP(B17,Denmark!$A:$B,2,)</f>
        <v/>
      </c>
    </row>
    <row r="18">
      <c r="B18" s="29" t="n">
        <v>42248</v>
      </c>
      <c r="C18" s="30">
        <f>VLOOKUP(B18,Global!$A:$B,2,)</f>
        <v/>
      </c>
      <c r="D18" s="30">
        <f>VLOOKUP(B18,US!$A:$D,4,)</f>
        <v/>
      </c>
      <c r="E18" s="30">
        <f>VLOOKUP(B18,US!$A:$B,2,)</f>
        <v/>
      </c>
      <c r="F18" s="30">
        <f>VLOOKUP(B18,China!$A:$B,2,)</f>
        <v/>
      </c>
      <c r="G18" s="30">
        <f>VLOOKUP(B18,'Euro Area'!A:B,2,)</f>
        <v/>
      </c>
      <c r="H18" s="30">
        <f>VLOOKUP(B18,Japan!$A:$B,2,)</f>
        <v/>
      </c>
      <c r="I18" s="30">
        <f>VLOOKUP(B18,Germany!$A:$B,2,)</f>
        <v/>
      </c>
      <c r="J18" s="30">
        <f>VLOOKUP(B18,France!$A:$B,2,)</f>
        <v/>
      </c>
      <c r="K18" s="30">
        <f>VLOOKUP(B18,UK!$A:$B,2,)</f>
        <v/>
      </c>
      <c r="L18" s="30">
        <f>VLOOKUP(B18,Italy!$A:$B,2,)</f>
        <v/>
      </c>
      <c r="M18" s="30">
        <f>VLOOKUP(B18,Spain!$A:$B,2,)</f>
        <v/>
      </c>
      <c r="N18" s="30">
        <f>VLOOKUP(B18,Brazil!$A:$B,2,)</f>
        <v/>
      </c>
      <c r="O18" s="30">
        <f>VLOOKUP(B18,Mexico!$A:$B,2,)</f>
        <v/>
      </c>
      <c r="P18" s="30">
        <f>VLOOKUP(B18,Russia!$A:$B,2,)</f>
        <v/>
      </c>
      <c r="Q18" s="30">
        <f>VLOOKUP(B18,India!$A:$B,2,)</f>
        <v/>
      </c>
      <c r="R18" s="30">
        <f>VLOOKUP(B18,Canada!$A:$B,2,)</f>
        <v/>
      </c>
      <c r="S18" s="30">
        <f>VLOOKUP(B18,Australia!$A:$B,2,)</f>
        <v/>
      </c>
      <c r="T18" s="30">
        <f>VLOOKUP(B18,Indonesia!$A:$B,2,)</f>
        <v/>
      </c>
      <c r="U18" s="30">
        <f>VLOOKUP(B18,SouthKorea!$A:$B,2,)</f>
        <v/>
      </c>
      <c r="V18" s="30">
        <f>VLOOKUP(B18,Taiwan!$A:$B,2,)</f>
        <v/>
      </c>
      <c r="W18" s="30">
        <f>VLOOKUP(B18,Greece!$A:$B,2,)</f>
        <v/>
      </c>
      <c r="X18" s="30">
        <f>VLOOKUP(B18,Ireland!$A:$B,2,)</f>
        <v/>
      </c>
      <c r="Y18" s="30">
        <f>VLOOKUP(B18,Turkey!$A:$B,2,)</f>
        <v/>
      </c>
      <c r="Z18" s="30">
        <f>VLOOKUP(B18,CzechRepublic!$A:$B,2,)</f>
        <v/>
      </c>
      <c r="AA18" s="30">
        <f>VLOOKUP(B18,Poland!$A:$B,2,)</f>
        <v/>
      </c>
      <c r="AB18" s="30">
        <f>VLOOKUP(B18,Denmark!$A:$B,2,)</f>
        <v/>
      </c>
    </row>
    <row r="19">
      <c r="B19" s="29" t="n">
        <v>42278</v>
      </c>
      <c r="C19" s="30">
        <f>VLOOKUP(B19,Global!$A:$B,2,)</f>
        <v/>
      </c>
      <c r="D19" s="30">
        <f>VLOOKUP(B19,US!$A:$D,4,)</f>
        <v/>
      </c>
      <c r="E19" s="30">
        <f>VLOOKUP(B19,US!$A:$B,2,)</f>
        <v/>
      </c>
      <c r="F19" s="30">
        <f>VLOOKUP(B19,China!$A:$B,2,)</f>
        <v/>
      </c>
      <c r="G19" s="30">
        <f>VLOOKUP(B19,'Euro Area'!A:B,2,)</f>
        <v/>
      </c>
      <c r="H19" s="30">
        <f>VLOOKUP(B19,Japan!$A:$B,2,)</f>
        <v/>
      </c>
      <c r="I19" s="30">
        <f>VLOOKUP(B19,Germany!$A:$B,2,)</f>
        <v/>
      </c>
      <c r="J19" s="30">
        <f>VLOOKUP(B19,France!$A:$B,2,)</f>
        <v/>
      </c>
      <c r="K19" s="30">
        <f>VLOOKUP(B19,UK!$A:$B,2,)</f>
        <v/>
      </c>
      <c r="L19" s="30">
        <f>VLOOKUP(B19,Italy!$A:$B,2,)</f>
        <v/>
      </c>
      <c r="M19" s="30">
        <f>VLOOKUP(B19,Spain!$A:$B,2,)</f>
        <v/>
      </c>
      <c r="N19" s="30">
        <f>VLOOKUP(B19,Brazil!$A:$B,2,)</f>
        <v/>
      </c>
      <c r="O19" s="30">
        <f>VLOOKUP(B19,Mexico!$A:$B,2,)</f>
        <v/>
      </c>
      <c r="P19" s="30">
        <f>VLOOKUP(B19,Russia!$A:$B,2,)</f>
        <v/>
      </c>
      <c r="Q19" s="30">
        <f>VLOOKUP(B19,India!$A:$B,2,)</f>
        <v/>
      </c>
      <c r="R19" s="30">
        <f>VLOOKUP(B19,Canada!$A:$B,2,)</f>
        <v/>
      </c>
      <c r="S19" s="30">
        <f>VLOOKUP(B19,Australia!$A:$B,2,)</f>
        <v/>
      </c>
      <c r="T19" s="30">
        <f>VLOOKUP(B19,Indonesia!$A:$B,2,)</f>
        <v/>
      </c>
      <c r="U19" s="30">
        <f>VLOOKUP(B19,SouthKorea!$A:$B,2,)</f>
        <v/>
      </c>
      <c r="V19" s="30">
        <f>VLOOKUP(B19,Taiwan!$A:$B,2,)</f>
        <v/>
      </c>
      <c r="W19" s="30">
        <f>VLOOKUP(B19,Greece!$A:$B,2,)</f>
        <v/>
      </c>
      <c r="X19" s="30">
        <f>VLOOKUP(B19,Ireland!$A:$B,2,)</f>
        <v/>
      </c>
      <c r="Y19" s="30">
        <f>VLOOKUP(B19,Turkey!$A:$B,2,)</f>
        <v/>
      </c>
      <c r="Z19" s="30">
        <f>VLOOKUP(B19,CzechRepublic!$A:$B,2,)</f>
        <v/>
      </c>
      <c r="AA19" s="30">
        <f>VLOOKUP(B19,Poland!$A:$B,2,)</f>
        <v/>
      </c>
      <c r="AB19" s="30">
        <f>VLOOKUP(B19,Denmark!$A:$B,2,)</f>
        <v/>
      </c>
    </row>
    <row r="20">
      <c r="B20" s="29" t="n">
        <v>42309</v>
      </c>
      <c r="C20" s="30">
        <f>VLOOKUP(B20,Global!$A:$B,2,)</f>
        <v/>
      </c>
      <c r="D20" s="30">
        <f>VLOOKUP(B20,US!$A:$D,4,)</f>
        <v/>
      </c>
      <c r="E20" s="30">
        <f>VLOOKUP(B20,US!$A:$B,2,)</f>
        <v/>
      </c>
      <c r="F20" s="30">
        <f>VLOOKUP(B20,China!$A:$B,2,)</f>
        <v/>
      </c>
      <c r="G20" s="30">
        <f>VLOOKUP(B20,'Euro Area'!A:B,2,)</f>
        <v/>
      </c>
      <c r="H20" s="30">
        <f>VLOOKUP(B20,Japan!$A:$B,2,)</f>
        <v/>
      </c>
      <c r="I20" s="30">
        <f>VLOOKUP(B20,Germany!$A:$B,2,)</f>
        <v/>
      </c>
      <c r="J20" s="30">
        <f>VLOOKUP(B20,France!$A:$B,2,)</f>
        <v/>
      </c>
      <c r="K20" s="30">
        <f>VLOOKUP(B20,UK!$A:$B,2,)</f>
        <v/>
      </c>
      <c r="L20" s="30">
        <f>VLOOKUP(B20,Italy!$A:$B,2,)</f>
        <v/>
      </c>
      <c r="M20" s="30">
        <f>VLOOKUP(B20,Spain!$A:$B,2,)</f>
        <v/>
      </c>
      <c r="N20" s="30">
        <f>VLOOKUP(B20,Brazil!$A:$B,2,)</f>
        <v/>
      </c>
      <c r="O20" s="30">
        <f>VLOOKUP(B20,Mexico!$A:$B,2,)</f>
        <v/>
      </c>
      <c r="P20" s="30">
        <f>VLOOKUP(B20,Russia!$A:$B,2,)</f>
        <v/>
      </c>
      <c r="Q20" s="30">
        <f>VLOOKUP(B20,India!$A:$B,2,)</f>
        <v/>
      </c>
      <c r="R20" s="30">
        <f>VLOOKUP(B20,Canada!$A:$B,2,)</f>
        <v/>
      </c>
      <c r="S20" s="30">
        <f>VLOOKUP(B20,Australia!$A:$B,2,)</f>
        <v/>
      </c>
      <c r="T20" s="30">
        <f>VLOOKUP(B20,Indonesia!$A:$B,2,)</f>
        <v/>
      </c>
      <c r="U20" s="30">
        <f>VLOOKUP(B20,SouthKorea!$A:$B,2,)</f>
        <v/>
      </c>
      <c r="V20" s="30">
        <f>VLOOKUP(B20,Taiwan!$A:$B,2,)</f>
        <v/>
      </c>
      <c r="W20" s="30">
        <f>VLOOKUP(B20,Greece!$A:$B,2,)</f>
        <v/>
      </c>
      <c r="X20" s="30">
        <f>VLOOKUP(B20,Ireland!$A:$B,2,)</f>
        <v/>
      </c>
      <c r="Y20" s="30">
        <f>VLOOKUP(B20,Turkey!$A:$B,2,)</f>
        <v/>
      </c>
      <c r="Z20" s="30">
        <f>VLOOKUP(B20,CzechRepublic!$A:$B,2,)</f>
        <v/>
      </c>
      <c r="AA20" s="30">
        <f>VLOOKUP(B20,Poland!$A:$B,2,)</f>
        <v/>
      </c>
      <c r="AB20" s="30">
        <f>VLOOKUP(B20,Denmark!$A:$B,2,)</f>
        <v/>
      </c>
    </row>
    <row r="21">
      <c r="B21" s="29" t="n">
        <v>42339</v>
      </c>
      <c r="C21" s="30">
        <f>VLOOKUP(B21,Global!$A:$B,2,)</f>
        <v/>
      </c>
      <c r="D21" s="30">
        <f>VLOOKUP(B21,US!$A:$D,4,)</f>
        <v/>
      </c>
      <c r="E21" s="30">
        <f>VLOOKUP(B21,US!$A:$B,2,)</f>
        <v/>
      </c>
      <c r="F21" s="30">
        <f>VLOOKUP(B21,China!$A:$B,2,)</f>
        <v/>
      </c>
      <c r="G21" s="30">
        <f>VLOOKUP(B21,'Euro Area'!A:B,2,)</f>
        <v/>
      </c>
      <c r="H21" s="30">
        <f>VLOOKUP(B21,Japan!$A:$B,2,)</f>
        <v/>
      </c>
      <c r="I21" s="30">
        <f>VLOOKUP(B21,Germany!$A:$B,2,)</f>
        <v/>
      </c>
      <c r="J21" s="30">
        <f>VLOOKUP(B21,France!$A:$B,2,)</f>
        <v/>
      </c>
      <c r="K21" s="30">
        <f>VLOOKUP(B21,UK!$A:$B,2,)</f>
        <v/>
      </c>
      <c r="L21" s="30">
        <f>VLOOKUP(B21,Italy!$A:$B,2,)</f>
        <v/>
      </c>
      <c r="M21" s="30">
        <f>VLOOKUP(B21,Spain!$A:$B,2,)</f>
        <v/>
      </c>
      <c r="N21" s="30">
        <f>VLOOKUP(B21,Brazil!$A:$B,2,)</f>
        <v/>
      </c>
      <c r="O21" s="30">
        <f>VLOOKUP(B21,Mexico!$A:$B,2,)</f>
        <v/>
      </c>
      <c r="P21" s="30">
        <f>VLOOKUP(B21,Russia!$A:$B,2,)</f>
        <v/>
      </c>
      <c r="Q21" s="30">
        <f>VLOOKUP(B21,India!$A:$B,2,)</f>
        <v/>
      </c>
      <c r="R21" s="30">
        <f>VLOOKUP(B21,Canada!$A:$B,2,)</f>
        <v/>
      </c>
      <c r="S21" s="30">
        <f>VLOOKUP(B21,Australia!$A:$B,2,)</f>
        <v/>
      </c>
      <c r="T21" s="30">
        <f>VLOOKUP(B21,Indonesia!$A:$B,2,)</f>
        <v/>
      </c>
      <c r="U21" s="30">
        <f>VLOOKUP(B21,SouthKorea!$A:$B,2,)</f>
        <v/>
      </c>
      <c r="V21" s="30">
        <f>VLOOKUP(B21,Taiwan!$A:$B,2,)</f>
        <v/>
      </c>
      <c r="W21" s="30">
        <f>VLOOKUP(B21,Greece!$A:$B,2,)</f>
        <v/>
      </c>
      <c r="X21" s="30">
        <f>VLOOKUP(B21,Ireland!$A:$B,2,)</f>
        <v/>
      </c>
      <c r="Y21" s="30">
        <f>VLOOKUP(B21,Turkey!$A:$B,2,)</f>
        <v/>
      </c>
      <c r="Z21" s="30">
        <f>VLOOKUP(B21,CzechRepublic!$A:$B,2,)</f>
        <v/>
      </c>
      <c r="AA21" s="30">
        <f>VLOOKUP(B21,Poland!$A:$B,2,)</f>
        <v/>
      </c>
      <c r="AB21" s="30">
        <f>VLOOKUP(B21,Denmark!$A:$B,2,)</f>
        <v/>
      </c>
    </row>
    <row r="22">
      <c r="B22" s="29" t="n">
        <v>42370</v>
      </c>
      <c r="C22" s="30">
        <f>VLOOKUP(B22,Global!$A:$B,2,)</f>
        <v/>
      </c>
      <c r="D22" s="30">
        <f>VLOOKUP(B22,US!$A:$D,4,)</f>
        <v/>
      </c>
      <c r="E22" s="30">
        <f>VLOOKUP(B22,US!$A:$B,2,)</f>
        <v/>
      </c>
      <c r="F22" s="30">
        <f>VLOOKUP(B22,China!$A:$B,2,)</f>
        <v/>
      </c>
      <c r="G22" s="30">
        <f>VLOOKUP(B22,'Euro Area'!A:B,2,)</f>
        <v/>
      </c>
      <c r="H22" s="30">
        <f>VLOOKUP(B22,Japan!$A:$B,2,)</f>
        <v/>
      </c>
      <c r="I22" s="30">
        <f>VLOOKUP(B22,Germany!$A:$B,2,)</f>
        <v/>
      </c>
      <c r="J22" s="30">
        <f>VLOOKUP(B22,France!$A:$B,2,)</f>
        <v/>
      </c>
      <c r="K22" s="30">
        <f>VLOOKUP(B22,UK!$A:$B,2,)</f>
        <v/>
      </c>
      <c r="L22" s="30">
        <f>VLOOKUP(B22,Italy!$A:$B,2,)</f>
        <v/>
      </c>
      <c r="M22" s="30">
        <f>VLOOKUP(B22,Spain!$A:$B,2,)</f>
        <v/>
      </c>
      <c r="N22" s="30">
        <f>VLOOKUP(B22,Brazil!$A:$B,2,)</f>
        <v/>
      </c>
      <c r="O22" s="30">
        <f>VLOOKUP(B22,Mexico!$A:$B,2,)</f>
        <v/>
      </c>
      <c r="P22" s="30">
        <f>VLOOKUP(B22,Russia!$A:$B,2,)</f>
        <v/>
      </c>
      <c r="Q22" s="30">
        <f>VLOOKUP(B22,India!$A:$B,2,)</f>
        <v/>
      </c>
      <c r="R22" s="30">
        <f>VLOOKUP(B22,Canada!$A:$B,2,)</f>
        <v/>
      </c>
      <c r="S22" s="30">
        <f>VLOOKUP(B22,Australia!$A:$B,2,)</f>
        <v/>
      </c>
      <c r="T22" s="30">
        <f>VLOOKUP(B22,Indonesia!$A:$B,2,)</f>
        <v/>
      </c>
      <c r="U22" s="30">
        <f>VLOOKUP(B22,SouthKorea!$A:$B,2,)</f>
        <v/>
      </c>
      <c r="V22" s="30">
        <f>VLOOKUP(B22,Taiwan!$A:$B,2,)</f>
        <v/>
      </c>
      <c r="W22" s="30">
        <f>VLOOKUP(B22,Greece!$A:$B,2,)</f>
        <v/>
      </c>
      <c r="X22" s="30">
        <f>VLOOKUP(B22,Ireland!$A:$B,2,)</f>
        <v/>
      </c>
      <c r="Y22" s="30">
        <f>VLOOKUP(B22,Turkey!$A:$B,2,)</f>
        <v/>
      </c>
      <c r="Z22" s="30">
        <f>VLOOKUP(B22,CzechRepublic!$A:$B,2,)</f>
        <v/>
      </c>
      <c r="AA22" s="30">
        <f>VLOOKUP(B22,Poland!$A:$B,2,)</f>
        <v/>
      </c>
      <c r="AB22" s="30">
        <f>VLOOKUP(B22,Denmark!$A:$B,2,)</f>
        <v/>
      </c>
    </row>
    <row r="23">
      <c r="B23" s="29" t="n">
        <v>42401</v>
      </c>
      <c r="C23" s="30">
        <f>VLOOKUP(B23,Global!$A:$B,2,)</f>
        <v/>
      </c>
      <c r="D23" s="30">
        <f>VLOOKUP(B23,US!$A:$D,4,)</f>
        <v/>
      </c>
      <c r="E23" s="30">
        <f>VLOOKUP(B23,US!$A:$B,2,)</f>
        <v/>
      </c>
      <c r="F23" s="30">
        <f>VLOOKUP(B23,China!$A:$B,2,)</f>
        <v/>
      </c>
      <c r="G23" s="30">
        <f>VLOOKUP(B23,'Euro Area'!A:B,2,)</f>
        <v/>
      </c>
      <c r="H23" s="30">
        <f>VLOOKUP(B23,Japan!$A:$B,2,)</f>
        <v/>
      </c>
      <c r="I23" s="30">
        <f>VLOOKUP(B23,Germany!$A:$B,2,)</f>
        <v/>
      </c>
      <c r="J23" s="30">
        <f>VLOOKUP(B23,France!$A:$B,2,)</f>
        <v/>
      </c>
      <c r="K23" s="30">
        <f>VLOOKUP(B23,UK!$A:$B,2,)</f>
        <v/>
      </c>
      <c r="L23" s="30">
        <f>VLOOKUP(B23,Italy!$A:$B,2,)</f>
        <v/>
      </c>
      <c r="M23" s="30">
        <f>VLOOKUP(B23,Spain!$A:$B,2,)</f>
        <v/>
      </c>
      <c r="N23" s="30">
        <f>VLOOKUP(B23,Brazil!$A:$B,2,)</f>
        <v/>
      </c>
      <c r="O23" s="30">
        <f>VLOOKUP(B23,Mexico!$A:$B,2,)</f>
        <v/>
      </c>
      <c r="P23" s="30">
        <f>VLOOKUP(B23,Russia!$A:$B,2,)</f>
        <v/>
      </c>
      <c r="Q23" s="30">
        <f>VLOOKUP(B23,India!$A:$B,2,)</f>
        <v/>
      </c>
      <c r="R23" s="30">
        <f>VLOOKUP(B23,Canada!$A:$B,2,)</f>
        <v/>
      </c>
      <c r="S23" s="30">
        <f>VLOOKUP(B23,Australia!$A:$B,2,)</f>
        <v/>
      </c>
      <c r="T23" s="30">
        <f>VLOOKUP(B23,Indonesia!$A:$B,2,)</f>
        <v/>
      </c>
      <c r="U23" s="30">
        <f>VLOOKUP(B23,SouthKorea!$A:$B,2,)</f>
        <v/>
      </c>
      <c r="V23" s="30">
        <f>VLOOKUP(B23,Taiwan!$A:$B,2,)</f>
        <v/>
      </c>
      <c r="W23" s="30">
        <f>VLOOKUP(B23,Greece!$A:$B,2,)</f>
        <v/>
      </c>
      <c r="X23" s="30">
        <f>VLOOKUP(B23,Ireland!$A:$B,2,)</f>
        <v/>
      </c>
      <c r="Y23" s="30">
        <f>VLOOKUP(B23,Turkey!$A:$B,2,)</f>
        <v/>
      </c>
      <c r="Z23" s="30">
        <f>VLOOKUP(B23,CzechRepublic!$A:$B,2,)</f>
        <v/>
      </c>
      <c r="AA23" s="30">
        <f>VLOOKUP(B23,Poland!$A:$B,2,)</f>
        <v/>
      </c>
      <c r="AB23" s="30">
        <f>VLOOKUP(B23,Denmark!$A:$B,2,)</f>
        <v/>
      </c>
    </row>
    <row r="24">
      <c r="B24" s="29" t="n">
        <v>42430</v>
      </c>
      <c r="C24" s="30">
        <f>VLOOKUP(B24,Global!$A:$B,2,)</f>
        <v/>
      </c>
      <c r="D24" s="30">
        <f>VLOOKUP(B24,US!$A:$D,4,)</f>
        <v/>
      </c>
      <c r="E24" s="30">
        <f>VLOOKUP(B24,US!$A:$B,2,)</f>
        <v/>
      </c>
      <c r="F24" s="30">
        <f>VLOOKUP(B24,China!$A:$B,2,)</f>
        <v/>
      </c>
      <c r="G24" s="30">
        <f>VLOOKUP(B24,'Euro Area'!A:B,2,)</f>
        <v/>
      </c>
      <c r="H24" s="30">
        <f>VLOOKUP(B24,Japan!$A:$B,2,)</f>
        <v/>
      </c>
      <c r="I24" s="30">
        <f>VLOOKUP(B24,Germany!$A:$B,2,)</f>
        <v/>
      </c>
      <c r="J24" s="30">
        <f>VLOOKUP(B24,France!$A:$B,2,)</f>
        <v/>
      </c>
      <c r="K24" s="30">
        <f>VLOOKUP(B24,UK!$A:$B,2,)</f>
        <v/>
      </c>
      <c r="L24" s="30">
        <f>VLOOKUP(B24,Italy!$A:$B,2,)</f>
        <v/>
      </c>
      <c r="M24" s="30">
        <f>VLOOKUP(B24,Spain!$A:$B,2,)</f>
        <v/>
      </c>
      <c r="N24" s="30">
        <f>VLOOKUP(B24,Brazil!$A:$B,2,)</f>
        <v/>
      </c>
      <c r="O24" s="30">
        <f>VLOOKUP(B24,Mexico!$A:$B,2,)</f>
        <v/>
      </c>
      <c r="P24" s="30">
        <f>VLOOKUP(B24,Russia!$A:$B,2,)</f>
        <v/>
      </c>
      <c r="Q24" s="30">
        <f>VLOOKUP(B24,India!$A:$B,2,)</f>
        <v/>
      </c>
      <c r="R24" s="30">
        <f>VLOOKUP(B24,Canada!$A:$B,2,)</f>
        <v/>
      </c>
      <c r="S24" s="30">
        <f>VLOOKUP(B24,Australia!$A:$B,2,)</f>
        <v/>
      </c>
      <c r="T24" s="30">
        <f>VLOOKUP(B24,Indonesia!$A:$B,2,)</f>
        <v/>
      </c>
      <c r="U24" s="30">
        <f>VLOOKUP(B24,SouthKorea!$A:$B,2,)</f>
        <v/>
      </c>
      <c r="V24" s="30">
        <f>VLOOKUP(B24,Taiwan!$A:$B,2,)</f>
        <v/>
      </c>
      <c r="W24" s="30">
        <f>VLOOKUP(B24,Greece!$A:$B,2,)</f>
        <v/>
      </c>
      <c r="X24" s="30">
        <f>VLOOKUP(B24,Ireland!$A:$B,2,)</f>
        <v/>
      </c>
      <c r="Y24" s="30">
        <f>VLOOKUP(B24,Turkey!$A:$B,2,)</f>
        <v/>
      </c>
      <c r="Z24" s="30">
        <f>VLOOKUP(B24,CzechRepublic!$A:$B,2,)</f>
        <v/>
      </c>
      <c r="AA24" s="30">
        <f>VLOOKUP(B24,Poland!$A:$B,2,)</f>
        <v/>
      </c>
      <c r="AB24" s="30">
        <f>VLOOKUP(B24,Denmark!$A:$B,2,)</f>
        <v/>
      </c>
    </row>
    <row r="25">
      <c r="B25" s="29" t="n">
        <v>42461</v>
      </c>
      <c r="C25" s="30">
        <f>VLOOKUP(B25,Global!$A:$B,2,)</f>
        <v/>
      </c>
      <c r="D25" s="30">
        <f>VLOOKUP(B25,US!$A:$D,4,)</f>
        <v/>
      </c>
      <c r="E25" s="30">
        <f>VLOOKUP(B25,US!$A:$B,2,)</f>
        <v/>
      </c>
      <c r="F25" s="30">
        <f>VLOOKUP(B25,China!$A:$B,2,)</f>
        <v/>
      </c>
      <c r="G25" s="30">
        <f>VLOOKUP(B25,'Euro Area'!A:B,2,)</f>
        <v/>
      </c>
      <c r="H25" s="30">
        <f>VLOOKUP(B25,Japan!$A:$B,2,)</f>
        <v/>
      </c>
      <c r="I25" s="30">
        <f>VLOOKUP(B25,Germany!$A:$B,2,)</f>
        <v/>
      </c>
      <c r="J25" s="30">
        <f>VLOOKUP(B25,France!$A:$B,2,)</f>
        <v/>
      </c>
      <c r="K25" s="30">
        <f>VLOOKUP(B25,UK!$A:$B,2,)</f>
        <v/>
      </c>
      <c r="L25" s="30">
        <f>VLOOKUP(B25,Italy!$A:$B,2,)</f>
        <v/>
      </c>
      <c r="M25" s="30">
        <f>VLOOKUP(B25,Spain!$A:$B,2,)</f>
        <v/>
      </c>
      <c r="N25" s="30">
        <f>VLOOKUP(B25,Brazil!$A:$B,2,)</f>
        <v/>
      </c>
      <c r="O25" s="30">
        <f>VLOOKUP(B25,Mexico!$A:$B,2,)</f>
        <v/>
      </c>
      <c r="P25" s="30">
        <f>VLOOKUP(B25,Russia!$A:$B,2,)</f>
        <v/>
      </c>
      <c r="Q25" s="30">
        <f>VLOOKUP(B25,India!$A:$B,2,)</f>
        <v/>
      </c>
      <c r="R25" s="30">
        <f>VLOOKUP(B25,Canada!$A:$B,2,)</f>
        <v/>
      </c>
      <c r="S25" s="30">
        <f>VLOOKUP(B25,Australia!$A:$B,2,)</f>
        <v/>
      </c>
      <c r="T25" s="30">
        <f>VLOOKUP(B25,Indonesia!$A:$B,2,)</f>
        <v/>
      </c>
      <c r="U25" s="30">
        <f>VLOOKUP(B25,SouthKorea!$A:$B,2,)</f>
        <v/>
      </c>
      <c r="V25" s="30">
        <f>VLOOKUP(B25,Taiwan!$A:$B,2,)</f>
        <v/>
      </c>
      <c r="W25" s="30">
        <f>VLOOKUP(B25,Greece!$A:$B,2,)</f>
        <v/>
      </c>
      <c r="X25" s="30">
        <f>VLOOKUP(B25,Ireland!$A:$B,2,)</f>
        <v/>
      </c>
      <c r="Y25" s="30">
        <f>VLOOKUP(B25,Turkey!$A:$B,2,)</f>
        <v/>
      </c>
      <c r="Z25" s="30">
        <f>VLOOKUP(B25,CzechRepublic!$A:$B,2,)</f>
        <v/>
      </c>
      <c r="AA25" s="30">
        <f>VLOOKUP(B25,Poland!$A:$B,2,)</f>
        <v/>
      </c>
      <c r="AB25" s="30">
        <f>VLOOKUP(B25,Denmark!$A:$B,2,)</f>
        <v/>
      </c>
    </row>
    <row r="26">
      <c r="B26" s="29" t="n">
        <v>42491</v>
      </c>
      <c r="C26" s="30">
        <f>VLOOKUP(B26,Global!$A:$B,2,)</f>
        <v/>
      </c>
      <c r="D26" s="30">
        <f>VLOOKUP(B26,US!$A:$D,4,)</f>
        <v/>
      </c>
      <c r="E26" s="30">
        <f>VLOOKUP(B26,US!$A:$B,2,)</f>
        <v/>
      </c>
      <c r="F26" s="30">
        <f>VLOOKUP(B26,China!$A:$B,2,)</f>
        <v/>
      </c>
      <c r="G26" s="30">
        <f>VLOOKUP(B26,'Euro Area'!A:B,2,)</f>
        <v/>
      </c>
      <c r="H26" s="30">
        <f>VLOOKUP(B26,Japan!$A:$B,2,)</f>
        <v/>
      </c>
      <c r="I26" s="30">
        <f>VLOOKUP(B26,Germany!$A:$B,2,)</f>
        <v/>
      </c>
      <c r="J26" s="30">
        <f>VLOOKUP(B26,France!$A:$B,2,)</f>
        <v/>
      </c>
      <c r="K26" s="30">
        <f>VLOOKUP(B26,UK!$A:$B,2,)</f>
        <v/>
      </c>
      <c r="L26" s="30">
        <f>VLOOKUP(B26,Italy!$A:$B,2,)</f>
        <v/>
      </c>
      <c r="M26" s="30">
        <f>VLOOKUP(B26,Spain!$A:$B,2,)</f>
        <v/>
      </c>
      <c r="N26" s="30">
        <f>VLOOKUP(B26,Brazil!$A:$B,2,)</f>
        <v/>
      </c>
      <c r="O26" s="30">
        <f>VLOOKUP(B26,Mexico!$A:$B,2,)</f>
        <v/>
      </c>
      <c r="P26" s="30">
        <f>VLOOKUP(B26,Russia!$A:$B,2,)</f>
        <v/>
      </c>
      <c r="Q26" s="30">
        <f>VLOOKUP(B26,India!$A:$B,2,)</f>
        <v/>
      </c>
      <c r="R26" s="30">
        <f>VLOOKUP(B26,Canada!$A:$B,2,)</f>
        <v/>
      </c>
      <c r="S26" s="30">
        <f>VLOOKUP(B26,Australia!$A:$B,2,)</f>
        <v/>
      </c>
      <c r="T26" s="30">
        <f>VLOOKUP(B26,Indonesia!$A:$B,2,)</f>
        <v/>
      </c>
      <c r="U26" s="30">
        <f>VLOOKUP(B26,SouthKorea!$A:$B,2,)</f>
        <v/>
      </c>
      <c r="V26" s="30">
        <f>VLOOKUP(B26,Taiwan!$A:$B,2,)</f>
        <v/>
      </c>
      <c r="W26" s="30">
        <f>VLOOKUP(B26,Greece!$A:$B,2,)</f>
        <v/>
      </c>
      <c r="X26" s="30">
        <f>VLOOKUP(B26,Ireland!$A:$B,2,)</f>
        <v/>
      </c>
      <c r="Y26" s="30">
        <f>VLOOKUP(B26,Turkey!$A:$B,2,)</f>
        <v/>
      </c>
      <c r="Z26" s="30">
        <f>VLOOKUP(B26,CzechRepublic!$A:$B,2,)</f>
        <v/>
      </c>
      <c r="AA26" s="30">
        <f>VLOOKUP(B26,Poland!$A:$B,2,)</f>
        <v/>
      </c>
      <c r="AB26" s="30">
        <f>VLOOKUP(B26,Denmark!$A:$B,2,)</f>
        <v/>
      </c>
    </row>
    <row r="27">
      <c r="B27" s="29" t="n">
        <v>42522</v>
      </c>
      <c r="C27" s="30">
        <f>VLOOKUP(B27,Global!$A:$B,2,)</f>
        <v/>
      </c>
      <c r="D27" s="30">
        <f>VLOOKUP(B27,US!$A:$D,4,)</f>
        <v/>
      </c>
      <c r="E27" s="30">
        <f>VLOOKUP(B27,US!$A:$B,2,)</f>
        <v/>
      </c>
      <c r="F27" s="30">
        <f>VLOOKUP(B27,China!$A:$B,2,)</f>
        <v/>
      </c>
      <c r="G27" s="30">
        <f>VLOOKUP(B27,'Euro Area'!A:B,2,)</f>
        <v/>
      </c>
      <c r="H27" s="30">
        <f>VLOOKUP(B27,Japan!$A:$B,2,)</f>
        <v/>
      </c>
      <c r="I27" s="30">
        <f>VLOOKUP(B27,Germany!$A:$B,2,)</f>
        <v/>
      </c>
      <c r="J27" s="30">
        <f>VLOOKUP(B27,France!$A:$B,2,)</f>
        <v/>
      </c>
      <c r="K27" s="30">
        <f>VLOOKUP(B27,UK!$A:$B,2,)</f>
        <v/>
      </c>
      <c r="L27" s="30">
        <f>VLOOKUP(B27,Italy!$A:$B,2,)</f>
        <v/>
      </c>
      <c r="M27" s="30">
        <f>VLOOKUP(B27,Spain!$A:$B,2,)</f>
        <v/>
      </c>
      <c r="N27" s="30">
        <f>VLOOKUP(B27,Brazil!$A:$B,2,)</f>
        <v/>
      </c>
      <c r="O27" s="30">
        <f>VLOOKUP(B27,Mexico!$A:$B,2,)</f>
        <v/>
      </c>
      <c r="P27" s="30">
        <f>VLOOKUP(B27,Russia!$A:$B,2,)</f>
        <v/>
      </c>
      <c r="Q27" s="30">
        <f>VLOOKUP(B27,India!$A:$B,2,)</f>
        <v/>
      </c>
      <c r="R27" s="30">
        <f>VLOOKUP(B27,Canada!$A:$B,2,)</f>
        <v/>
      </c>
      <c r="S27" s="30">
        <f>VLOOKUP(B27,Australia!$A:$B,2,)</f>
        <v/>
      </c>
      <c r="T27" s="30">
        <f>VLOOKUP(B27,Indonesia!$A:$B,2,)</f>
        <v/>
      </c>
      <c r="U27" s="30">
        <f>VLOOKUP(B27,SouthKorea!$A:$B,2,)</f>
        <v/>
      </c>
      <c r="V27" s="30">
        <f>VLOOKUP(B27,Taiwan!$A:$B,2,)</f>
        <v/>
      </c>
      <c r="W27" s="30">
        <f>VLOOKUP(B27,Greece!$A:$B,2,)</f>
        <v/>
      </c>
      <c r="X27" s="30">
        <f>VLOOKUP(B27,Ireland!$A:$B,2,)</f>
        <v/>
      </c>
      <c r="Y27" s="30">
        <f>VLOOKUP(B27,Turkey!$A:$B,2,)</f>
        <v/>
      </c>
      <c r="Z27" s="30">
        <f>VLOOKUP(B27,CzechRepublic!$A:$B,2,)</f>
        <v/>
      </c>
      <c r="AA27" s="30">
        <f>VLOOKUP(B27,Poland!$A:$B,2,)</f>
        <v/>
      </c>
      <c r="AB27" s="30">
        <f>VLOOKUP(B27,Denmark!$A:$B,2,)</f>
        <v/>
      </c>
    </row>
    <row r="28">
      <c r="B28" s="29" t="n">
        <v>42552</v>
      </c>
      <c r="C28" s="30">
        <f>VLOOKUP(B28,Global!$A:$B,2,)</f>
        <v/>
      </c>
      <c r="D28" s="30">
        <f>VLOOKUP(B28,US!$A:$D,4,)</f>
        <v/>
      </c>
      <c r="E28" s="30">
        <f>VLOOKUP(B28,US!$A:$B,2,)</f>
        <v/>
      </c>
      <c r="F28" s="30">
        <f>VLOOKUP(B28,China!$A:$B,2,)</f>
        <v/>
      </c>
      <c r="G28" s="30">
        <f>VLOOKUP(B28,'Euro Area'!A:B,2,)</f>
        <v/>
      </c>
      <c r="H28" s="30">
        <f>VLOOKUP(B28,Japan!$A:$B,2,)</f>
        <v/>
      </c>
      <c r="I28" s="30">
        <f>VLOOKUP(B28,Germany!$A:$B,2,)</f>
        <v/>
      </c>
      <c r="J28" s="30">
        <f>VLOOKUP(B28,France!$A:$B,2,)</f>
        <v/>
      </c>
      <c r="K28" s="30">
        <f>VLOOKUP(B28,UK!$A:$B,2,)</f>
        <v/>
      </c>
      <c r="L28" s="30">
        <f>VLOOKUP(B28,Italy!$A:$B,2,)</f>
        <v/>
      </c>
      <c r="M28" s="30">
        <f>VLOOKUP(B28,Spain!$A:$B,2,)</f>
        <v/>
      </c>
      <c r="N28" s="30">
        <f>VLOOKUP(B28,Brazil!$A:$B,2,)</f>
        <v/>
      </c>
      <c r="O28" s="30">
        <f>VLOOKUP(B28,Mexico!$A:$B,2,)</f>
        <v/>
      </c>
      <c r="P28" s="30">
        <f>VLOOKUP(B28,Russia!$A:$B,2,)</f>
        <v/>
      </c>
      <c r="Q28" s="30">
        <f>VLOOKUP(B28,India!$A:$B,2,)</f>
        <v/>
      </c>
      <c r="R28" s="30">
        <f>VLOOKUP(B28,Canada!$A:$B,2,)</f>
        <v/>
      </c>
      <c r="S28" s="30">
        <f>VLOOKUP(B28,Australia!$A:$B,2,)</f>
        <v/>
      </c>
      <c r="T28" s="30">
        <f>VLOOKUP(B28,Indonesia!$A:$B,2,)</f>
        <v/>
      </c>
      <c r="U28" s="30">
        <f>VLOOKUP(B28,SouthKorea!$A:$B,2,)</f>
        <v/>
      </c>
      <c r="V28" s="30">
        <f>VLOOKUP(B28,Taiwan!$A:$B,2,)</f>
        <v/>
      </c>
      <c r="W28" s="30">
        <f>VLOOKUP(B28,Greece!$A:$B,2,)</f>
        <v/>
      </c>
      <c r="X28" s="30">
        <f>VLOOKUP(B28,Ireland!$A:$B,2,)</f>
        <v/>
      </c>
      <c r="Y28" s="30">
        <f>VLOOKUP(B28,Turkey!$A:$B,2,)</f>
        <v/>
      </c>
      <c r="Z28" s="30">
        <f>VLOOKUP(B28,CzechRepublic!$A:$B,2,)</f>
        <v/>
      </c>
      <c r="AA28" s="30">
        <f>VLOOKUP(B28,Poland!$A:$B,2,)</f>
        <v/>
      </c>
      <c r="AB28" s="30">
        <f>VLOOKUP(B28,Denmark!$A:$B,2,)</f>
        <v/>
      </c>
    </row>
    <row r="29">
      <c r="B29" s="29" t="n">
        <v>42583</v>
      </c>
      <c r="C29" s="30">
        <f>VLOOKUP(B29,Global!$A:$B,2,)</f>
        <v/>
      </c>
      <c r="D29" s="30">
        <f>VLOOKUP(B29,US!$A:$D,4,)</f>
        <v/>
      </c>
      <c r="E29" s="30">
        <f>VLOOKUP(B29,US!$A:$B,2,)</f>
        <v/>
      </c>
      <c r="F29" s="30">
        <f>VLOOKUP(B29,China!$A:$B,2,)</f>
        <v/>
      </c>
      <c r="G29" s="30">
        <f>VLOOKUP(B29,'Euro Area'!A:B,2,)</f>
        <v/>
      </c>
      <c r="H29" s="30">
        <f>VLOOKUP(B29,Japan!$A:$B,2,)</f>
        <v/>
      </c>
      <c r="I29" s="30">
        <f>VLOOKUP(B29,Germany!$A:$B,2,)</f>
        <v/>
      </c>
      <c r="J29" s="30">
        <f>VLOOKUP(B29,France!$A:$B,2,)</f>
        <v/>
      </c>
      <c r="K29" s="30">
        <f>VLOOKUP(B29,UK!$A:$B,2,)</f>
        <v/>
      </c>
      <c r="L29" s="30">
        <f>VLOOKUP(B29,Italy!$A:$B,2,)</f>
        <v/>
      </c>
      <c r="M29" s="30">
        <f>VLOOKUP(B29,Spain!$A:$B,2,)</f>
        <v/>
      </c>
      <c r="N29" s="30">
        <f>VLOOKUP(B29,Brazil!$A:$B,2,)</f>
        <v/>
      </c>
      <c r="O29" s="30">
        <f>VLOOKUP(B29,Mexico!$A:$B,2,)</f>
        <v/>
      </c>
      <c r="P29" s="30">
        <f>VLOOKUP(B29,Russia!$A:$B,2,)</f>
        <v/>
      </c>
      <c r="Q29" s="30">
        <f>VLOOKUP(B29,India!$A:$B,2,)</f>
        <v/>
      </c>
      <c r="R29" s="30">
        <f>VLOOKUP(B29,Canada!$A:$B,2,)</f>
        <v/>
      </c>
      <c r="S29" s="30">
        <f>VLOOKUP(B29,Australia!$A:$B,2,)</f>
        <v/>
      </c>
      <c r="T29" s="30">
        <f>VLOOKUP(B29,Indonesia!$A:$B,2,)</f>
        <v/>
      </c>
      <c r="U29" s="30">
        <f>VLOOKUP(B29,SouthKorea!$A:$B,2,)</f>
        <v/>
      </c>
      <c r="V29" s="30">
        <f>VLOOKUP(B29,Taiwan!$A:$B,2,)</f>
        <v/>
      </c>
      <c r="W29" s="30">
        <f>VLOOKUP(B29,Greece!$A:$B,2,)</f>
        <v/>
      </c>
      <c r="X29" s="30">
        <f>VLOOKUP(B29,Ireland!$A:$B,2,)</f>
        <v/>
      </c>
      <c r="Y29" s="30">
        <f>VLOOKUP(B29,Turkey!$A:$B,2,)</f>
        <v/>
      </c>
      <c r="Z29" s="30">
        <f>VLOOKUP(B29,CzechRepublic!$A:$B,2,)</f>
        <v/>
      </c>
      <c r="AA29" s="30">
        <f>VLOOKUP(B29,Poland!$A:$B,2,)</f>
        <v/>
      </c>
      <c r="AB29" s="30">
        <f>VLOOKUP(B29,Denmark!$A:$B,2,)</f>
        <v/>
      </c>
    </row>
    <row r="30">
      <c r="B30" s="29" t="n">
        <v>42614</v>
      </c>
      <c r="C30" s="30">
        <f>VLOOKUP(B30,Global!$A:$B,2,)</f>
        <v/>
      </c>
      <c r="D30" s="30">
        <f>VLOOKUP(B30,US!$A:$D,4,)</f>
        <v/>
      </c>
      <c r="E30" s="30">
        <f>VLOOKUP(B30,US!$A:$B,2,)</f>
        <v/>
      </c>
      <c r="F30" s="30">
        <f>VLOOKUP(B30,China!$A:$B,2,)</f>
        <v/>
      </c>
      <c r="G30" s="30">
        <f>VLOOKUP(B30,'Euro Area'!A:B,2,)</f>
        <v/>
      </c>
      <c r="H30" s="30">
        <f>VLOOKUP(B30,Japan!$A:$B,2,)</f>
        <v/>
      </c>
      <c r="I30" s="30">
        <f>VLOOKUP(B30,Germany!$A:$B,2,)</f>
        <v/>
      </c>
      <c r="J30" s="30">
        <f>VLOOKUP(B30,France!$A:$B,2,)</f>
        <v/>
      </c>
      <c r="K30" s="30">
        <f>VLOOKUP(B30,UK!$A:$B,2,)</f>
        <v/>
      </c>
      <c r="L30" s="30">
        <f>VLOOKUP(B30,Italy!$A:$B,2,)</f>
        <v/>
      </c>
      <c r="M30" s="30">
        <f>VLOOKUP(B30,Spain!$A:$B,2,)</f>
        <v/>
      </c>
      <c r="N30" s="30">
        <f>VLOOKUP(B30,Brazil!$A:$B,2,)</f>
        <v/>
      </c>
      <c r="O30" s="30">
        <f>VLOOKUP(B30,Mexico!$A:$B,2,)</f>
        <v/>
      </c>
      <c r="P30" s="30">
        <f>VLOOKUP(B30,Russia!$A:$B,2,)</f>
        <v/>
      </c>
      <c r="Q30" s="30">
        <f>VLOOKUP(B30,India!$A:$B,2,)</f>
        <v/>
      </c>
      <c r="R30" s="30">
        <f>VLOOKUP(B30,Canada!$A:$B,2,)</f>
        <v/>
      </c>
      <c r="S30" s="30">
        <f>VLOOKUP(B30,Australia!$A:$B,2,)</f>
        <v/>
      </c>
      <c r="T30" s="30">
        <f>VLOOKUP(B30,Indonesia!$A:$B,2,)</f>
        <v/>
      </c>
      <c r="U30" s="30">
        <f>VLOOKUP(B30,SouthKorea!$A:$B,2,)</f>
        <v/>
      </c>
      <c r="V30" s="30">
        <f>VLOOKUP(B30,Taiwan!$A:$B,2,)</f>
        <v/>
      </c>
      <c r="W30" s="30">
        <f>VLOOKUP(B30,Greece!$A:$B,2,)</f>
        <v/>
      </c>
      <c r="X30" s="30">
        <f>VLOOKUP(B30,Ireland!$A:$B,2,)</f>
        <v/>
      </c>
      <c r="Y30" s="30">
        <f>VLOOKUP(B30,Turkey!$A:$B,2,)</f>
        <v/>
      </c>
      <c r="Z30" s="30">
        <f>VLOOKUP(B30,CzechRepublic!$A:$B,2,)</f>
        <v/>
      </c>
      <c r="AA30" s="30">
        <f>VLOOKUP(B30,Poland!$A:$B,2,)</f>
        <v/>
      </c>
      <c r="AB30" s="30">
        <f>VLOOKUP(B30,Denmark!$A:$B,2,)</f>
        <v/>
      </c>
    </row>
    <row r="31">
      <c r="B31" s="29" t="n">
        <v>42644</v>
      </c>
      <c r="C31" s="30">
        <f>VLOOKUP(B31,Global!$A:$B,2,)</f>
        <v/>
      </c>
      <c r="D31" s="30">
        <f>VLOOKUP(B31,US!$A:$D,4,)</f>
        <v/>
      </c>
      <c r="E31" s="30">
        <f>VLOOKUP(B31,US!$A:$B,2,)</f>
        <v/>
      </c>
      <c r="F31" s="30">
        <f>VLOOKUP(B31,China!$A:$B,2,)</f>
        <v/>
      </c>
      <c r="G31" s="30">
        <f>VLOOKUP(B31,'Euro Area'!A:B,2,)</f>
        <v/>
      </c>
      <c r="H31" s="30">
        <f>VLOOKUP(B31,Japan!$A:$B,2,)</f>
        <v/>
      </c>
      <c r="I31" s="30">
        <f>VLOOKUP(B31,Germany!$A:$B,2,)</f>
        <v/>
      </c>
      <c r="J31" s="30">
        <f>VLOOKUP(B31,France!$A:$B,2,)</f>
        <v/>
      </c>
      <c r="K31" s="30">
        <f>VLOOKUP(B31,UK!$A:$B,2,)</f>
        <v/>
      </c>
      <c r="L31" s="30">
        <f>VLOOKUP(B31,Italy!$A:$B,2,)</f>
        <v/>
      </c>
      <c r="M31" s="30">
        <f>VLOOKUP(B31,Spain!$A:$B,2,)</f>
        <v/>
      </c>
      <c r="N31" s="30">
        <f>VLOOKUP(B31,Brazil!$A:$B,2,)</f>
        <v/>
      </c>
      <c r="O31" s="30">
        <f>VLOOKUP(B31,Mexico!$A:$B,2,)</f>
        <v/>
      </c>
      <c r="P31" s="30">
        <f>VLOOKUP(B31,Russia!$A:$B,2,)</f>
        <v/>
      </c>
      <c r="Q31" s="30">
        <f>VLOOKUP(B31,India!$A:$B,2,)</f>
        <v/>
      </c>
      <c r="R31" s="30">
        <f>VLOOKUP(B31,Canada!$A:$B,2,)</f>
        <v/>
      </c>
      <c r="S31" s="30">
        <f>VLOOKUP(B31,Australia!$A:$B,2,)</f>
        <v/>
      </c>
      <c r="T31" s="30">
        <f>VLOOKUP(B31,Indonesia!$A:$B,2,)</f>
        <v/>
      </c>
      <c r="U31" s="30">
        <f>VLOOKUP(B31,SouthKorea!$A:$B,2,)</f>
        <v/>
      </c>
      <c r="V31" s="30">
        <f>VLOOKUP(B31,Taiwan!$A:$B,2,)</f>
        <v/>
      </c>
      <c r="W31" s="30">
        <f>VLOOKUP(B31,Greece!$A:$B,2,)</f>
        <v/>
      </c>
      <c r="X31" s="30">
        <f>VLOOKUP(B31,Ireland!$A:$B,2,)</f>
        <v/>
      </c>
      <c r="Y31" s="30">
        <f>VLOOKUP(B31,Turkey!$A:$B,2,)</f>
        <v/>
      </c>
      <c r="Z31" s="30">
        <f>VLOOKUP(B31,CzechRepublic!$A:$B,2,)</f>
        <v/>
      </c>
      <c r="AA31" s="30">
        <f>VLOOKUP(B31,Poland!$A:$B,2,)</f>
        <v/>
      </c>
      <c r="AB31" s="30">
        <f>VLOOKUP(B31,Denmark!$A:$B,2,)</f>
        <v/>
      </c>
    </row>
    <row r="32">
      <c r="B32" s="29" t="n">
        <v>42675</v>
      </c>
      <c r="C32" s="30">
        <f>VLOOKUP(B32,Global!$A:$B,2,)</f>
        <v/>
      </c>
      <c r="D32" s="30">
        <f>VLOOKUP(B32,US!$A:$D,4,)</f>
        <v/>
      </c>
      <c r="E32" s="30">
        <f>VLOOKUP(B32,US!$A:$B,2,)</f>
        <v/>
      </c>
      <c r="F32" s="30">
        <f>VLOOKUP(B32,China!$A:$B,2,)</f>
        <v/>
      </c>
      <c r="G32" s="30">
        <f>VLOOKUP(B32,'Euro Area'!A:B,2,)</f>
        <v/>
      </c>
      <c r="H32" s="30">
        <f>VLOOKUP(B32,Japan!$A:$B,2,)</f>
        <v/>
      </c>
      <c r="I32" s="30">
        <f>VLOOKUP(B32,Germany!$A:$B,2,)</f>
        <v/>
      </c>
      <c r="J32" s="30">
        <f>VLOOKUP(B32,France!$A:$B,2,)</f>
        <v/>
      </c>
      <c r="K32" s="30">
        <f>VLOOKUP(B32,UK!$A:$B,2,)</f>
        <v/>
      </c>
      <c r="L32" s="30">
        <f>VLOOKUP(B32,Italy!$A:$B,2,)</f>
        <v/>
      </c>
      <c r="M32" s="30">
        <f>VLOOKUP(B32,Spain!$A:$B,2,)</f>
        <v/>
      </c>
      <c r="N32" s="30">
        <f>VLOOKUP(B32,Brazil!$A:$B,2,)</f>
        <v/>
      </c>
      <c r="O32" s="30">
        <f>VLOOKUP(B32,Mexico!$A:$B,2,)</f>
        <v/>
      </c>
      <c r="P32" s="30">
        <f>VLOOKUP(B32,Russia!$A:$B,2,)</f>
        <v/>
      </c>
      <c r="Q32" s="30">
        <f>VLOOKUP(B32,India!$A:$B,2,)</f>
        <v/>
      </c>
      <c r="R32" s="30">
        <f>VLOOKUP(B32,Canada!$A:$B,2,)</f>
        <v/>
      </c>
      <c r="S32" s="30">
        <f>VLOOKUP(B32,Australia!$A:$B,2,)</f>
        <v/>
      </c>
      <c r="T32" s="30">
        <f>VLOOKUP(B32,Indonesia!$A:$B,2,)</f>
        <v/>
      </c>
      <c r="U32" s="30">
        <f>VLOOKUP(B32,SouthKorea!$A:$B,2,)</f>
        <v/>
      </c>
      <c r="V32" s="30">
        <f>VLOOKUP(B32,Taiwan!$A:$B,2,)</f>
        <v/>
      </c>
      <c r="W32" s="30">
        <f>VLOOKUP(B32,Greece!$A:$B,2,)</f>
        <v/>
      </c>
      <c r="X32" s="30">
        <f>VLOOKUP(B32,Ireland!$A:$B,2,)</f>
        <v/>
      </c>
      <c r="Y32" s="30">
        <f>VLOOKUP(B32,Turkey!$A:$B,2,)</f>
        <v/>
      </c>
      <c r="Z32" s="30">
        <f>VLOOKUP(B32,CzechRepublic!$A:$B,2,)</f>
        <v/>
      </c>
      <c r="AA32" s="30">
        <f>VLOOKUP(B32,Poland!$A:$B,2,)</f>
        <v/>
      </c>
      <c r="AB32" s="30">
        <f>VLOOKUP(B32,Denmark!$A:$B,2,)</f>
        <v/>
      </c>
    </row>
    <row r="33">
      <c r="B33" s="29" t="n">
        <v>42705</v>
      </c>
      <c r="C33" s="30">
        <f>VLOOKUP(B33,Global!$A:$B,2,)</f>
        <v/>
      </c>
      <c r="D33" s="30">
        <f>VLOOKUP(B33,US!$A:$D,4,)</f>
        <v/>
      </c>
      <c r="E33" s="30">
        <f>VLOOKUP(B33,US!$A:$B,2,)</f>
        <v/>
      </c>
      <c r="F33" s="30">
        <f>VLOOKUP(B33,China!$A:$B,2,)</f>
        <v/>
      </c>
      <c r="G33" s="30">
        <f>VLOOKUP(B33,'Euro Area'!A:B,2,)</f>
        <v/>
      </c>
      <c r="H33" s="30">
        <f>VLOOKUP(B33,Japan!$A:$B,2,)</f>
        <v/>
      </c>
      <c r="I33" s="30">
        <f>VLOOKUP(B33,Germany!$A:$B,2,)</f>
        <v/>
      </c>
      <c r="J33" s="30">
        <f>VLOOKUP(B33,France!$A:$B,2,)</f>
        <v/>
      </c>
      <c r="K33" s="30">
        <f>VLOOKUP(B33,UK!$A:$B,2,)</f>
        <v/>
      </c>
      <c r="L33" s="30">
        <f>VLOOKUP(B33,Italy!$A:$B,2,)</f>
        <v/>
      </c>
      <c r="M33" s="30">
        <f>VLOOKUP(B33,Spain!$A:$B,2,)</f>
        <v/>
      </c>
      <c r="N33" s="30">
        <f>VLOOKUP(B33,Brazil!$A:$B,2,)</f>
        <v/>
      </c>
      <c r="O33" s="30">
        <f>VLOOKUP(B33,Mexico!$A:$B,2,)</f>
        <v/>
      </c>
      <c r="P33" s="30">
        <f>VLOOKUP(B33,Russia!$A:$B,2,)</f>
        <v/>
      </c>
      <c r="Q33" s="30">
        <f>VLOOKUP(B33,India!$A:$B,2,)</f>
        <v/>
      </c>
      <c r="R33" s="30">
        <f>VLOOKUP(B33,Canada!$A:$B,2,)</f>
        <v/>
      </c>
      <c r="S33" s="30">
        <f>VLOOKUP(B33,Australia!$A:$B,2,)</f>
        <v/>
      </c>
      <c r="T33" s="30">
        <f>VLOOKUP(B33,Indonesia!$A:$B,2,)</f>
        <v/>
      </c>
      <c r="U33" s="30">
        <f>VLOOKUP(B33,SouthKorea!$A:$B,2,)</f>
        <v/>
      </c>
      <c r="V33" s="30">
        <f>VLOOKUP(B33,Taiwan!$A:$B,2,)</f>
        <v/>
      </c>
      <c r="W33" s="30">
        <f>VLOOKUP(B33,Greece!$A:$B,2,)</f>
        <v/>
      </c>
      <c r="X33" s="30">
        <f>VLOOKUP(B33,Ireland!$A:$B,2,)</f>
        <v/>
      </c>
      <c r="Y33" s="30">
        <f>VLOOKUP(B33,Turkey!$A:$B,2,)</f>
        <v/>
      </c>
      <c r="Z33" s="30">
        <f>VLOOKUP(B33,CzechRepublic!$A:$B,2,)</f>
        <v/>
      </c>
      <c r="AA33" s="30">
        <f>VLOOKUP(B33,Poland!$A:$B,2,)</f>
        <v/>
      </c>
      <c r="AB33" s="30">
        <f>VLOOKUP(B33,Denmark!$A:$B,2,)</f>
        <v/>
      </c>
    </row>
    <row r="34">
      <c r="B34" s="29" t="n">
        <v>42736</v>
      </c>
      <c r="C34" s="30">
        <f>VLOOKUP(B34,Global!$A:$B,2,)</f>
        <v/>
      </c>
      <c r="D34" s="30">
        <f>VLOOKUP(B34,US!$A:$D,4,)</f>
        <v/>
      </c>
      <c r="E34" s="30">
        <f>VLOOKUP(B34,US!$A:$B,2,)</f>
        <v/>
      </c>
      <c r="F34" s="30">
        <f>VLOOKUP(B34,China!$A:$B,2,)</f>
        <v/>
      </c>
      <c r="G34" s="30">
        <f>VLOOKUP(B34,'Euro Area'!A:B,2,)</f>
        <v/>
      </c>
      <c r="H34" s="30">
        <f>VLOOKUP(B34,Japan!$A:$B,2,)</f>
        <v/>
      </c>
      <c r="I34" s="30">
        <f>VLOOKUP(B34,Germany!$A:$B,2,)</f>
        <v/>
      </c>
      <c r="J34" s="30">
        <f>VLOOKUP(B34,France!$A:$B,2,)</f>
        <v/>
      </c>
      <c r="K34" s="30">
        <f>VLOOKUP(B34,UK!$A:$B,2,)</f>
        <v/>
      </c>
      <c r="L34" s="30">
        <f>VLOOKUP(B34,Italy!$A:$B,2,)</f>
        <v/>
      </c>
      <c r="M34" s="30">
        <f>VLOOKUP(B34,Spain!$A:$B,2,)</f>
        <v/>
      </c>
      <c r="N34" s="30">
        <f>VLOOKUP(B34,Brazil!$A:$B,2,)</f>
        <v/>
      </c>
      <c r="O34" s="30">
        <f>VLOOKUP(B34,Mexico!$A:$B,2,)</f>
        <v/>
      </c>
      <c r="P34" s="30">
        <f>VLOOKUP(B34,Russia!$A:$B,2,)</f>
        <v/>
      </c>
      <c r="Q34" s="30">
        <f>VLOOKUP(B34,India!$A:$B,2,)</f>
        <v/>
      </c>
      <c r="R34" s="30">
        <f>VLOOKUP(B34,Canada!$A:$B,2,)</f>
        <v/>
      </c>
      <c r="S34" s="30">
        <f>VLOOKUP(B34,Australia!$A:$B,2,)</f>
        <v/>
      </c>
      <c r="T34" s="30">
        <f>VLOOKUP(B34,Indonesia!$A:$B,2,)</f>
        <v/>
      </c>
      <c r="U34" s="30">
        <f>VLOOKUP(B34,SouthKorea!$A:$B,2,)</f>
        <v/>
      </c>
      <c r="V34" s="30">
        <f>VLOOKUP(B34,Taiwan!$A:$B,2,)</f>
        <v/>
      </c>
      <c r="W34" s="30">
        <f>VLOOKUP(B34,Greece!$A:$B,2,)</f>
        <v/>
      </c>
      <c r="X34" s="30">
        <f>VLOOKUP(B34,Ireland!$A:$B,2,)</f>
        <v/>
      </c>
      <c r="Y34" s="30">
        <f>VLOOKUP(B34,Turkey!$A:$B,2,)</f>
        <v/>
      </c>
      <c r="Z34" s="30">
        <f>VLOOKUP(B34,CzechRepublic!$A:$B,2,)</f>
        <v/>
      </c>
      <c r="AA34" s="30">
        <f>VLOOKUP(B34,Poland!$A:$B,2,)</f>
        <v/>
      </c>
      <c r="AB34" s="30">
        <f>VLOOKUP(B34,Denmark!$A:$B,2,)</f>
        <v/>
      </c>
    </row>
    <row r="35">
      <c r="B35" s="29" t="n">
        <v>42767</v>
      </c>
      <c r="C35" s="30">
        <f>VLOOKUP(B35,Global!$A:$B,2,)</f>
        <v/>
      </c>
      <c r="D35" s="30">
        <f>VLOOKUP(B35,US!$A:$D,4,)</f>
        <v/>
      </c>
      <c r="E35" s="30">
        <f>VLOOKUP(B35,US!$A:$B,2,)</f>
        <v/>
      </c>
      <c r="F35" s="30">
        <f>VLOOKUP(B35,China!$A:$B,2,)</f>
        <v/>
      </c>
      <c r="G35" s="30">
        <f>VLOOKUP(B35,'Euro Area'!A:B,2,)</f>
        <v/>
      </c>
      <c r="H35" s="30">
        <f>VLOOKUP(B35,Japan!$A:$B,2,)</f>
        <v/>
      </c>
      <c r="I35" s="30">
        <f>VLOOKUP(B35,Germany!$A:$B,2,)</f>
        <v/>
      </c>
      <c r="J35" s="30">
        <f>VLOOKUP(B35,France!$A:$B,2,)</f>
        <v/>
      </c>
      <c r="K35" s="30">
        <f>VLOOKUP(B35,UK!$A:$B,2,)</f>
        <v/>
      </c>
      <c r="L35" s="30">
        <f>VLOOKUP(B35,Italy!$A:$B,2,)</f>
        <v/>
      </c>
      <c r="M35" s="30">
        <f>VLOOKUP(B35,Spain!$A:$B,2,)</f>
        <v/>
      </c>
      <c r="N35" s="30">
        <f>VLOOKUP(B35,Brazil!$A:$B,2,)</f>
        <v/>
      </c>
      <c r="O35" s="30">
        <f>VLOOKUP(B35,Mexico!$A:$B,2,)</f>
        <v/>
      </c>
      <c r="P35" s="30">
        <f>VLOOKUP(B35,Russia!$A:$B,2,)</f>
        <v/>
      </c>
      <c r="Q35" s="30">
        <f>VLOOKUP(B35,India!$A:$B,2,)</f>
        <v/>
      </c>
      <c r="R35" s="30">
        <f>VLOOKUP(B35,Canada!$A:$B,2,)</f>
        <v/>
      </c>
      <c r="S35" s="30">
        <f>VLOOKUP(B35,Australia!$A:$B,2,)</f>
        <v/>
      </c>
      <c r="T35" s="30">
        <f>VLOOKUP(B35,Indonesia!$A:$B,2,)</f>
        <v/>
      </c>
      <c r="U35" s="30">
        <f>VLOOKUP(B35,SouthKorea!$A:$B,2,)</f>
        <v/>
      </c>
      <c r="V35" s="30">
        <f>VLOOKUP(B35,Taiwan!$A:$B,2,)</f>
        <v/>
      </c>
      <c r="W35" s="30">
        <f>VLOOKUP(B35,Greece!$A:$B,2,)</f>
        <v/>
      </c>
      <c r="X35" s="30">
        <f>VLOOKUP(B35,Ireland!$A:$B,2,)</f>
        <v/>
      </c>
      <c r="Y35" s="30">
        <f>VLOOKUP(B35,Turkey!$A:$B,2,)</f>
        <v/>
      </c>
      <c r="Z35" s="30">
        <f>VLOOKUP(B35,CzechRepublic!$A:$B,2,)</f>
        <v/>
      </c>
      <c r="AA35" s="30">
        <f>VLOOKUP(B35,Poland!$A:$B,2,)</f>
        <v/>
      </c>
      <c r="AB35" s="30">
        <f>VLOOKUP(B35,Denmark!$A:$B,2,)</f>
        <v/>
      </c>
    </row>
    <row r="36">
      <c r="B36" s="29" t="n">
        <v>42795</v>
      </c>
      <c r="C36" s="30">
        <f>VLOOKUP(B36,Global!$A:$B,2,)</f>
        <v/>
      </c>
      <c r="D36" s="30">
        <f>VLOOKUP(B36,US!$A:$D,4,)</f>
        <v/>
      </c>
      <c r="E36" s="30">
        <f>VLOOKUP(B36,US!$A:$B,2,)</f>
        <v/>
      </c>
      <c r="F36" s="30">
        <f>VLOOKUP(B36,China!$A:$B,2,)</f>
        <v/>
      </c>
      <c r="G36" s="30">
        <f>VLOOKUP(B36,'Euro Area'!A:B,2,)</f>
        <v/>
      </c>
      <c r="H36" s="30">
        <f>VLOOKUP(B36,Japan!$A:$B,2,)</f>
        <v/>
      </c>
      <c r="I36" s="30">
        <f>VLOOKUP(B36,Germany!$A:$B,2,)</f>
        <v/>
      </c>
      <c r="J36" s="30">
        <f>VLOOKUP(B36,France!$A:$B,2,)</f>
        <v/>
      </c>
      <c r="K36" s="30">
        <f>VLOOKUP(B36,UK!$A:$B,2,)</f>
        <v/>
      </c>
      <c r="L36" s="30">
        <f>VLOOKUP(B36,Italy!$A:$B,2,)</f>
        <v/>
      </c>
      <c r="M36" s="30">
        <f>VLOOKUP(B36,Spain!$A:$B,2,)</f>
        <v/>
      </c>
      <c r="N36" s="30">
        <f>VLOOKUP(B36,Brazil!$A:$B,2,)</f>
        <v/>
      </c>
      <c r="O36" s="30">
        <f>VLOOKUP(B36,Mexico!$A:$B,2,)</f>
        <v/>
      </c>
      <c r="P36" s="30">
        <f>VLOOKUP(B36,Russia!$A:$B,2,)</f>
        <v/>
      </c>
      <c r="Q36" s="30">
        <f>VLOOKUP(B36,India!$A:$B,2,)</f>
        <v/>
      </c>
      <c r="R36" s="30">
        <f>VLOOKUP(B36,Canada!$A:$B,2,)</f>
        <v/>
      </c>
      <c r="S36" s="30">
        <f>VLOOKUP(B36,Australia!$A:$B,2,)</f>
        <v/>
      </c>
      <c r="T36" s="30">
        <f>VLOOKUP(B36,Indonesia!$A:$B,2,)</f>
        <v/>
      </c>
      <c r="U36" s="30">
        <f>VLOOKUP(B36,SouthKorea!$A:$B,2,)</f>
        <v/>
      </c>
      <c r="V36" s="30">
        <f>VLOOKUP(B36,Taiwan!$A:$B,2,)</f>
        <v/>
      </c>
      <c r="W36" s="30">
        <f>VLOOKUP(B36,Greece!$A:$B,2,)</f>
        <v/>
      </c>
      <c r="X36" s="30">
        <f>VLOOKUP(B36,Ireland!$A:$B,2,)</f>
        <v/>
      </c>
      <c r="Y36" s="30">
        <f>VLOOKUP(B36,Turkey!$A:$B,2,)</f>
        <v/>
      </c>
      <c r="Z36" s="30">
        <f>VLOOKUP(B36,CzechRepublic!$A:$B,2,)</f>
        <v/>
      </c>
      <c r="AA36" s="30">
        <f>VLOOKUP(B36,Poland!$A:$B,2,)</f>
        <v/>
      </c>
      <c r="AB36" s="30">
        <f>VLOOKUP(B36,Denmark!$A:$B,2,)</f>
        <v/>
      </c>
    </row>
    <row r="37">
      <c r="B37" s="29" t="n">
        <v>42826</v>
      </c>
      <c r="C37" s="30">
        <f>VLOOKUP(B37,Global!$A:$B,2,)</f>
        <v/>
      </c>
      <c r="D37" s="30">
        <f>VLOOKUP(B37,US!$A:$D,4,)</f>
        <v/>
      </c>
      <c r="E37" s="30">
        <f>VLOOKUP(B37,US!$A:$B,2,)</f>
        <v/>
      </c>
      <c r="F37" s="30">
        <f>VLOOKUP(B37,China!$A:$B,2,)</f>
        <v/>
      </c>
      <c r="G37" s="30">
        <f>VLOOKUP(B37,'Euro Area'!A:B,2,)</f>
        <v/>
      </c>
      <c r="H37" s="30">
        <f>VLOOKUP(B37,Japan!$A:$B,2,)</f>
        <v/>
      </c>
      <c r="I37" s="30">
        <f>VLOOKUP(B37,Germany!$A:$B,2,)</f>
        <v/>
      </c>
      <c r="J37" s="30">
        <f>VLOOKUP(B37,France!$A:$B,2,)</f>
        <v/>
      </c>
      <c r="K37" s="30">
        <f>VLOOKUP(B37,UK!$A:$B,2,)</f>
        <v/>
      </c>
      <c r="L37" s="30">
        <f>VLOOKUP(B37,Italy!$A:$B,2,)</f>
        <v/>
      </c>
      <c r="M37" s="30">
        <f>VLOOKUP(B37,Spain!$A:$B,2,)</f>
        <v/>
      </c>
      <c r="N37" s="30">
        <f>VLOOKUP(B37,Brazil!$A:$B,2,)</f>
        <v/>
      </c>
      <c r="O37" s="30">
        <f>VLOOKUP(B37,Mexico!$A:$B,2,)</f>
        <v/>
      </c>
      <c r="P37" s="30">
        <f>VLOOKUP(B37,Russia!$A:$B,2,)</f>
        <v/>
      </c>
      <c r="Q37" s="30">
        <f>VLOOKUP(B37,India!$A:$B,2,)</f>
        <v/>
      </c>
      <c r="R37" s="30">
        <f>VLOOKUP(B37,Canada!$A:$B,2,)</f>
        <v/>
      </c>
      <c r="S37" s="30">
        <f>VLOOKUP(B37,Australia!$A:$B,2,)</f>
        <v/>
      </c>
      <c r="T37" s="30">
        <f>VLOOKUP(B37,Indonesia!$A:$B,2,)</f>
        <v/>
      </c>
      <c r="U37" s="30">
        <f>VLOOKUP(B37,SouthKorea!$A:$B,2,)</f>
        <v/>
      </c>
      <c r="V37" s="30">
        <f>VLOOKUP(B37,Taiwan!$A:$B,2,)</f>
        <v/>
      </c>
      <c r="W37" s="30">
        <f>VLOOKUP(B37,Greece!$A:$B,2,)</f>
        <v/>
      </c>
      <c r="X37" s="30">
        <f>VLOOKUP(B37,Ireland!$A:$B,2,)</f>
        <v/>
      </c>
      <c r="Y37" s="30">
        <f>VLOOKUP(B37,Turkey!$A:$B,2,)</f>
        <v/>
      </c>
      <c r="Z37" s="30">
        <f>VLOOKUP(B37,CzechRepublic!$A:$B,2,)</f>
        <v/>
      </c>
      <c r="AA37" s="30">
        <f>VLOOKUP(B37,Poland!$A:$B,2,)</f>
        <v/>
      </c>
      <c r="AB37" s="30">
        <f>VLOOKUP(B37,Denmark!$A:$B,2,)</f>
        <v/>
      </c>
    </row>
    <row r="38">
      <c r="B38" s="29" t="n">
        <v>42856</v>
      </c>
      <c r="C38" s="30">
        <f>VLOOKUP(B38,Global!$A:$B,2,)</f>
        <v/>
      </c>
      <c r="D38" s="30">
        <f>VLOOKUP(B38,US!$A:$D,4,)</f>
        <v/>
      </c>
      <c r="E38" s="30">
        <f>VLOOKUP(B38,US!$A:$B,2,)</f>
        <v/>
      </c>
      <c r="F38" s="30">
        <f>VLOOKUP(B38,China!$A:$B,2,)</f>
        <v/>
      </c>
      <c r="G38" s="30">
        <f>VLOOKUP(B38,'Euro Area'!A:B,2,)</f>
        <v/>
      </c>
      <c r="H38" s="30">
        <f>VLOOKUP(B38,Japan!$A:$B,2,)</f>
        <v/>
      </c>
      <c r="I38" s="30">
        <f>VLOOKUP(B38,Germany!$A:$B,2,)</f>
        <v/>
      </c>
      <c r="J38" s="30">
        <f>VLOOKUP(B38,France!$A:$B,2,)</f>
        <v/>
      </c>
      <c r="K38" s="30">
        <f>VLOOKUP(B38,UK!$A:$B,2,)</f>
        <v/>
      </c>
      <c r="L38" s="30">
        <f>VLOOKUP(B38,Italy!$A:$B,2,)</f>
        <v/>
      </c>
      <c r="M38" s="30">
        <f>VLOOKUP(B38,Spain!$A:$B,2,)</f>
        <v/>
      </c>
      <c r="N38" s="30">
        <f>VLOOKUP(B38,Brazil!$A:$B,2,)</f>
        <v/>
      </c>
      <c r="O38" s="30">
        <f>VLOOKUP(B38,Mexico!$A:$B,2,)</f>
        <v/>
      </c>
      <c r="P38" s="30">
        <f>VLOOKUP(B38,Russia!$A:$B,2,)</f>
        <v/>
      </c>
      <c r="Q38" s="30">
        <f>VLOOKUP(B38,India!$A:$B,2,)</f>
        <v/>
      </c>
      <c r="R38" s="30">
        <f>VLOOKUP(B38,Canada!$A:$B,2,)</f>
        <v/>
      </c>
      <c r="S38" s="30">
        <f>VLOOKUP(B38,Australia!$A:$B,2,)</f>
        <v/>
      </c>
      <c r="T38" s="30">
        <f>VLOOKUP(B38,Indonesia!$A:$B,2,)</f>
        <v/>
      </c>
      <c r="U38" s="30">
        <f>VLOOKUP(B38,SouthKorea!$A:$B,2,)</f>
        <v/>
      </c>
      <c r="V38" s="30">
        <f>VLOOKUP(B38,Taiwan!$A:$B,2,)</f>
        <v/>
      </c>
      <c r="W38" s="30">
        <f>VLOOKUP(B38,Greece!$A:$B,2,)</f>
        <v/>
      </c>
      <c r="X38" s="30">
        <f>VLOOKUP(B38,Ireland!$A:$B,2,)</f>
        <v/>
      </c>
      <c r="Y38" s="30">
        <f>VLOOKUP(B38,Turkey!$A:$B,2,)</f>
        <v/>
      </c>
      <c r="Z38" s="30">
        <f>VLOOKUP(B38,CzechRepublic!$A:$B,2,)</f>
        <v/>
      </c>
      <c r="AA38" s="30">
        <f>VLOOKUP(B38,Poland!$A:$B,2,)</f>
        <v/>
      </c>
      <c r="AB38" s="30">
        <f>VLOOKUP(B38,Denmark!$A:$B,2,)</f>
        <v/>
      </c>
    </row>
    <row r="39">
      <c r="B39" s="29" t="n">
        <v>42887</v>
      </c>
      <c r="C39" s="30">
        <f>VLOOKUP(B39,Global!$A:$B,2,)</f>
        <v/>
      </c>
      <c r="D39" s="30">
        <f>VLOOKUP(B39,US!$A:$D,4,)</f>
        <v/>
      </c>
      <c r="E39" s="30">
        <f>VLOOKUP(B39,US!$A:$B,2,)</f>
        <v/>
      </c>
      <c r="F39" s="30">
        <f>VLOOKUP(B39,China!$A:$B,2,)</f>
        <v/>
      </c>
      <c r="G39" s="30">
        <f>VLOOKUP(B39,'Euro Area'!A:B,2,)</f>
        <v/>
      </c>
      <c r="H39" s="30">
        <f>VLOOKUP(B39,Japan!$A:$B,2,)</f>
        <v/>
      </c>
      <c r="I39" s="30">
        <f>VLOOKUP(B39,Germany!$A:$B,2,)</f>
        <v/>
      </c>
      <c r="J39" s="30">
        <f>VLOOKUP(B39,France!$A:$B,2,)</f>
        <v/>
      </c>
      <c r="K39" s="30">
        <f>VLOOKUP(B39,UK!$A:$B,2,)</f>
        <v/>
      </c>
      <c r="L39" s="30">
        <f>VLOOKUP(B39,Italy!$A:$B,2,)</f>
        <v/>
      </c>
      <c r="M39" s="30">
        <f>VLOOKUP(B39,Spain!$A:$B,2,)</f>
        <v/>
      </c>
      <c r="N39" s="30">
        <f>VLOOKUP(B39,Brazil!$A:$B,2,)</f>
        <v/>
      </c>
      <c r="O39" s="30">
        <f>VLOOKUP(B39,Mexico!$A:$B,2,)</f>
        <v/>
      </c>
      <c r="P39" s="30">
        <f>VLOOKUP(B39,Russia!$A:$B,2,)</f>
        <v/>
      </c>
      <c r="Q39" s="30">
        <f>VLOOKUP(B39,India!$A:$B,2,)</f>
        <v/>
      </c>
      <c r="R39" s="30">
        <f>VLOOKUP(B39,Canada!$A:$B,2,)</f>
        <v/>
      </c>
      <c r="S39" s="30">
        <f>VLOOKUP(B39,Australia!$A:$B,2,)</f>
        <v/>
      </c>
      <c r="T39" s="30">
        <f>VLOOKUP(B39,Indonesia!$A:$B,2,)</f>
        <v/>
      </c>
      <c r="U39" s="30">
        <f>VLOOKUP(B39,SouthKorea!$A:$B,2,)</f>
        <v/>
      </c>
      <c r="V39" s="30">
        <f>VLOOKUP(B39,Taiwan!$A:$B,2,)</f>
        <v/>
      </c>
      <c r="W39" s="30">
        <f>VLOOKUP(B39,Greece!$A:$B,2,)</f>
        <v/>
      </c>
      <c r="X39" s="30">
        <f>VLOOKUP(B39,Ireland!$A:$B,2,)</f>
        <v/>
      </c>
      <c r="Y39" s="30">
        <f>VLOOKUP(B39,Turkey!$A:$B,2,)</f>
        <v/>
      </c>
      <c r="Z39" s="30">
        <f>VLOOKUP(B39,CzechRepublic!$A:$B,2,)</f>
        <v/>
      </c>
      <c r="AA39" s="30">
        <f>VLOOKUP(B39,Poland!$A:$B,2,)</f>
        <v/>
      </c>
      <c r="AB39" s="30">
        <f>VLOOKUP(B39,Denmark!$A:$B,2,)</f>
        <v/>
      </c>
    </row>
    <row r="40">
      <c r="B40" s="29" t="n">
        <v>42917</v>
      </c>
      <c r="C40" s="30">
        <f>VLOOKUP(B40,Global!$A:$B,2,)</f>
        <v/>
      </c>
      <c r="D40" s="30">
        <f>VLOOKUP(B40,US!$A:$D,4,)</f>
        <v/>
      </c>
      <c r="E40" s="30">
        <f>VLOOKUP(B40,US!$A:$B,2,)</f>
        <v/>
      </c>
      <c r="F40" s="30">
        <f>VLOOKUP(B40,China!$A:$B,2,)</f>
        <v/>
      </c>
      <c r="G40" s="30">
        <f>VLOOKUP(B40,'Euro Area'!A:B,2,)</f>
        <v/>
      </c>
      <c r="H40" s="30">
        <f>VLOOKUP(B40,Japan!$A:$B,2,)</f>
        <v/>
      </c>
      <c r="I40" s="30">
        <f>VLOOKUP(B40,Germany!$A:$B,2,)</f>
        <v/>
      </c>
      <c r="J40" s="30">
        <f>VLOOKUP(B40,France!$A:$B,2,)</f>
        <v/>
      </c>
      <c r="K40" s="30">
        <f>VLOOKUP(B40,UK!$A:$B,2,)</f>
        <v/>
      </c>
      <c r="L40" s="30">
        <f>VLOOKUP(B40,Italy!$A:$B,2,)</f>
        <v/>
      </c>
      <c r="M40" s="30">
        <f>VLOOKUP(B40,Spain!$A:$B,2,)</f>
        <v/>
      </c>
      <c r="N40" s="30">
        <f>VLOOKUP(B40,Brazil!$A:$B,2,)</f>
        <v/>
      </c>
      <c r="O40" s="30">
        <f>VLOOKUP(B40,Mexico!$A:$B,2,)</f>
        <v/>
      </c>
      <c r="P40" s="30">
        <f>VLOOKUP(B40,Russia!$A:$B,2,)</f>
        <v/>
      </c>
      <c r="Q40" s="30">
        <f>VLOOKUP(B40,India!$A:$B,2,)</f>
        <v/>
      </c>
      <c r="R40" s="30">
        <f>VLOOKUP(B40,Canada!$A:$B,2,)</f>
        <v/>
      </c>
      <c r="S40" s="30">
        <f>VLOOKUP(B40,Australia!$A:$B,2,)</f>
        <v/>
      </c>
      <c r="T40" s="30">
        <f>VLOOKUP(B40,Indonesia!$A:$B,2,)</f>
        <v/>
      </c>
      <c r="U40" s="30">
        <f>VLOOKUP(B40,SouthKorea!$A:$B,2,)</f>
        <v/>
      </c>
      <c r="V40" s="30">
        <f>VLOOKUP(B40,Taiwan!$A:$B,2,)</f>
        <v/>
      </c>
      <c r="W40" s="30">
        <f>VLOOKUP(B40,Greece!$A:$B,2,)</f>
        <v/>
      </c>
      <c r="X40" s="30">
        <f>VLOOKUP(B40,Ireland!$A:$B,2,)</f>
        <v/>
      </c>
      <c r="Y40" s="30">
        <f>VLOOKUP(B40,Turkey!$A:$B,2,)</f>
        <v/>
      </c>
      <c r="Z40" s="30">
        <f>VLOOKUP(B40,CzechRepublic!$A:$B,2,)</f>
        <v/>
      </c>
      <c r="AA40" s="30">
        <f>VLOOKUP(B40,Poland!$A:$B,2,)</f>
        <v/>
      </c>
      <c r="AB40" s="30">
        <f>VLOOKUP(B40,Denmark!$A:$B,2,)</f>
        <v/>
      </c>
    </row>
    <row r="41">
      <c r="B41" s="29" t="n">
        <v>42948</v>
      </c>
      <c r="C41" s="30">
        <f>VLOOKUP(B41,Global!$A:$B,2,)</f>
        <v/>
      </c>
      <c r="D41" s="30">
        <f>VLOOKUP(B41,US!$A:$D,4,)</f>
        <v/>
      </c>
      <c r="E41" s="30">
        <f>VLOOKUP(B41,US!$A:$B,2,)</f>
        <v/>
      </c>
      <c r="F41" s="30">
        <f>VLOOKUP(B41,China!$A:$B,2,)</f>
        <v/>
      </c>
      <c r="G41" s="30">
        <f>VLOOKUP(B41,'Euro Area'!A:B,2,)</f>
        <v/>
      </c>
      <c r="H41" s="30">
        <f>VLOOKUP(B41,Japan!$A:$B,2,)</f>
        <v/>
      </c>
      <c r="I41" s="30">
        <f>VLOOKUP(B41,Germany!$A:$B,2,)</f>
        <v/>
      </c>
      <c r="J41" s="30">
        <f>VLOOKUP(B41,France!$A:$B,2,)</f>
        <v/>
      </c>
      <c r="K41" s="30">
        <f>VLOOKUP(B41,UK!$A:$B,2,)</f>
        <v/>
      </c>
      <c r="L41" s="30">
        <f>VLOOKUP(B41,Italy!$A:$B,2,)</f>
        <v/>
      </c>
      <c r="M41" s="30">
        <f>VLOOKUP(B41,Spain!$A:$B,2,)</f>
        <v/>
      </c>
      <c r="N41" s="30">
        <f>VLOOKUP(B41,Brazil!$A:$B,2,)</f>
        <v/>
      </c>
      <c r="O41" s="30">
        <f>VLOOKUP(B41,Mexico!$A:$B,2,)</f>
        <v/>
      </c>
      <c r="P41" s="30">
        <f>VLOOKUP(B41,Russia!$A:$B,2,)</f>
        <v/>
      </c>
      <c r="Q41" s="30">
        <f>VLOOKUP(B41,India!$A:$B,2,)</f>
        <v/>
      </c>
      <c r="R41" s="30">
        <f>VLOOKUP(B41,Canada!$A:$B,2,)</f>
        <v/>
      </c>
      <c r="S41" s="30">
        <f>VLOOKUP(B41,Australia!$A:$B,2,)</f>
        <v/>
      </c>
      <c r="T41" s="30">
        <f>VLOOKUP(B41,Indonesia!$A:$B,2,)</f>
        <v/>
      </c>
      <c r="U41" s="30">
        <f>VLOOKUP(B41,SouthKorea!$A:$B,2,)</f>
        <v/>
      </c>
      <c r="V41" s="30">
        <f>VLOOKUP(B41,Taiwan!$A:$B,2,)</f>
        <v/>
      </c>
      <c r="W41" s="30">
        <f>VLOOKUP(B41,Greece!$A:$B,2,)</f>
        <v/>
      </c>
      <c r="X41" s="30">
        <f>VLOOKUP(B41,Ireland!$A:$B,2,)</f>
        <v/>
      </c>
      <c r="Y41" s="30">
        <f>VLOOKUP(B41,Turkey!$A:$B,2,)</f>
        <v/>
      </c>
      <c r="Z41" s="30">
        <f>VLOOKUP(B41,CzechRepublic!$A:$B,2,)</f>
        <v/>
      </c>
      <c r="AA41" s="30">
        <f>VLOOKUP(B41,Poland!$A:$B,2,)</f>
        <v/>
      </c>
      <c r="AB41" s="30">
        <f>VLOOKUP(B41,Denmark!$A:$B,2,)</f>
        <v/>
      </c>
    </row>
    <row r="42">
      <c r="B42" s="29" t="n">
        <v>42979</v>
      </c>
      <c r="C42" s="30">
        <f>VLOOKUP(B42,Global!$A:$B,2,)</f>
        <v/>
      </c>
      <c r="D42" s="30">
        <f>VLOOKUP(B42,US!$A:$D,4,)</f>
        <v/>
      </c>
      <c r="E42" s="30">
        <f>VLOOKUP(B42,US!$A:$B,2,)</f>
        <v/>
      </c>
      <c r="F42" s="30">
        <f>VLOOKUP(B42,China!$A:$B,2,)</f>
        <v/>
      </c>
      <c r="G42" s="30">
        <f>VLOOKUP(B42,'Euro Area'!A:B,2,)</f>
        <v/>
      </c>
      <c r="H42" s="30">
        <f>VLOOKUP(B42,Japan!$A:$B,2,)</f>
        <v/>
      </c>
      <c r="I42" s="30">
        <f>VLOOKUP(B42,Germany!$A:$B,2,)</f>
        <v/>
      </c>
      <c r="J42" s="30">
        <f>VLOOKUP(B42,France!$A:$B,2,)</f>
        <v/>
      </c>
      <c r="K42" s="30">
        <f>VLOOKUP(B42,UK!$A:$B,2,)</f>
        <v/>
      </c>
      <c r="L42" s="30">
        <f>VLOOKUP(B42,Italy!$A:$B,2,)</f>
        <v/>
      </c>
      <c r="M42" s="30">
        <f>VLOOKUP(B42,Spain!$A:$B,2,)</f>
        <v/>
      </c>
      <c r="N42" s="30">
        <f>VLOOKUP(B42,Brazil!$A:$B,2,)</f>
        <v/>
      </c>
      <c r="O42" s="30">
        <f>VLOOKUP(B42,Mexico!$A:$B,2,)</f>
        <v/>
      </c>
      <c r="P42" s="30">
        <f>VLOOKUP(B42,Russia!$A:$B,2,)</f>
        <v/>
      </c>
      <c r="Q42" s="30">
        <f>VLOOKUP(B42,India!$A:$B,2,)</f>
        <v/>
      </c>
      <c r="R42" s="30">
        <f>VLOOKUP(B42,Canada!$A:$B,2,)</f>
        <v/>
      </c>
      <c r="S42" s="30">
        <f>VLOOKUP(B42,Australia!$A:$B,2,)</f>
        <v/>
      </c>
      <c r="T42" s="30">
        <f>VLOOKUP(B42,Indonesia!$A:$B,2,)</f>
        <v/>
      </c>
      <c r="U42" s="30">
        <f>VLOOKUP(B42,SouthKorea!$A:$B,2,)</f>
        <v/>
      </c>
      <c r="V42" s="30">
        <f>VLOOKUP(B42,Taiwan!$A:$B,2,)</f>
        <v/>
      </c>
      <c r="W42" s="30">
        <f>VLOOKUP(B42,Greece!$A:$B,2,)</f>
        <v/>
      </c>
      <c r="X42" s="30">
        <f>VLOOKUP(B42,Ireland!$A:$B,2,)</f>
        <v/>
      </c>
      <c r="Y42" s="30">
        <f>VLOOKUP(B42,Turkey!$A:$B,2,)</f>
        <v/>
      </c>
      <c r="Z42" s="30">
        <f>VLOOKUP(B42,CzechRepublic!$A:$B,2,)</f>
        <v/>
      </c>
      <c r="AA42" s="30">
        <f>VLOOKUP(B42,Poland!$A:$B,2,)</f>
        <v/>
      </c>
      <c r="AB42" s="30">
        <f>VLOOKUP(B42,Denmark!$A:$B,2,)</f>
        <v/>
      </c>
    </row>
    <row r="43">
      <c r="B43" s="29" t="n">
        <v>43009</v>
      </c>
      <c r="C43" s="30">
        <f>VLOOKUP(B43,Global!$A:$B,2,)</f>
        <v/>
      </c>
      <c r="D43" s="30">
        <f>VLOOKUP(B43,US!$A:$D,4,)</f>
        <v/>
      </c>
      <c r="E43" s="30">
        <f>VLOOKUP(B43,US!$A:$B,2,)</f>
        <v/>
      </c>
      <c r="F43" s="30">
        <f>VLOOKUP(B43,China!$A:$B,2,)</f>
        <v/>
      </c>
      <c r="G43" s="30">
        <f>VLOOKUP(B43,'Euro Area'!A:B,2,)</f>
        <v/>
      </c>
      <c r="H43" s="30">
        <f>VLOOKUP(B43,Japan!$A:$B,2,)</f>
        <v/>
      </c>
      <c r="I43" s="30">
        <f>VLOOKUP(B43,Germany!$A:$B,2,)</f>
        <v/>
      </c>
      <c r="J43" s="30">
        <f>VLOOKUP(B43,France!$A:$B,2,)</f>
        <v/>
      </c>
      <c r="K43" s="30">
        <f>VLOOKUP(B43,UK!$A:$B,2,)</f>
        <v/>
      </c>
      <c r="L43" s="30">
        <f>VLOOKUP(B43,Italy!$A:$B,2,)</f>
        <v/>
      </c>
      <c r="M43" s="30">
        <f>VLOOKUP(B43,Spain!$A:$B,2,)</f>
        <v/>
      </c>
      <c r="N43" s="30">
        <f>VLOOKUP(B43,Brazil!$A:$B,2,)</f>
        <v/>
      </c>
      <c r="O43" s="30">
        <f>VLOOKUP(B43,Mexico!$A:$B,2,)</f>
        <v/>
      </c>
      <c r="P43" s="30">
        <f>VLOOKUP(B43,Russia!$A:$B,2,)</f>
        <v/>
      </c>
      <c r="Q43" s="30">
        <f>VLOOKUP(B43,India!$A:$B,2,)</f>
        <v/>
      </c>
      <c r="R43" s="30">
        <f>VLOOKUP(B43,Canada!$A:$B,2,)</f>
        <v/>
      </c>
      <c r="S43" s="30">
        <f>VLOOKUP(B43,Australia!$A:$B,2,)</f>
        <v/>
      </c>
      <c r="T43" s="30">
        <f>VLOOKUP(B43,Indonesia!$A:$B,2,)</f>
        <v/>
      </c>
      <c r="U43" s="30">
        <f>VLOOKUP(B43,SouthKorea!$A:$B,2,)</f>
        <v/>
      </c>
      <c r="V43" s="30">
        <f>VLOOKUP(B43,Taiwan!$A:$B,2,)</f>
        <v/>
      </c>
      <c r="W43" s="30">
        <f>VLOOKUP(B43,Greece!$A:$B,2,)</f>
        <v/>
      </c>
      <c r="X43" s="30">
        <f>VLOOKUP(B43,Ireland!$A:$B,2,)</f>
        <v/>
      </c>
      <c r="Y43" s="30">
        <f>VLOOKUP(B43,Turkey!$A:$B,2,)</f>
        <v/>
      </c>
      <c r="Z43" s="30">
        <f>VLOOKUP(B43,CzechRepublic!$A:$B,2,)</f>
        <v/>
      </c>
      <c r="AA43" s="30">
        <f>VLOOKUP(B43,Poland!$A:$B,2,)</f>
        <v/>
      </c>
      <c r="AB43" s="30">
        <f>VLOOKUP(B43,Denmark!$A:$B,2,)</f>
        <v/>
      </c>
    </row>
    <row r="44">
      <c r="B44" s="29" t="n">
        <v>43040</v>
      </c>
      <c r="C44" s="30">
        <f>VLOOKUP(B44,Global!$A:$B,2,)</f>
        <v/>
      </c>
      <c r="D44" s="30">
        <f>VLOOKUP(B44,US!$A:$D,4,)</f>
        <v/>
      </c>
      <c r="E44" s="30">
        <f>VLOOKUP(B44,US!$A:$B,2,)</f>
        <v/>
      </c>
      <c r="F44" s="30">
        <f>VLOOKUP(B44,China!$A:$B,2,)</f>
        <v/>
      </c>
      <c r="G44" s="30">
        <f>VLOOKUP(B44,'Euro Area'!A:B,2,)</f>
        <v/>
      </c>
      <c r="H44" s="30">
        <f>VLOOKUP(B44,Japan!$A:$B,2,)</f>
        <v/>
      </c>
      <c r="I44" s="30">
        <f>VLOOKUP(B44,Germany!$A:$B,2,)</f>
        <v/>
      </c>
      <c r="J44" s="30">
        <f>VLOOKUP(B44,France!$A:$B,2,)</f>
        <v/>
      </c>
      <c r="K44" s="30">
        <f>VLOOKUP(B44,UK!$A:$B,2,)</f>
        <v/>
      </c>
      <c r="L44" s="30">
        <f>VLOOKUP(B44,Italy!$A:$B,2,)</f>
        <v/>
      </c>
      <c r="M44" s="30">
        <f>VLOOKUP(B44,Spain!$A:$B,2,)</f>
        <v/>
      </c>
      <c r="N44" s="30">
        <f>VLOOKUP(B44,Brazil!$A:$B,2,)</f>
        <v/>
      </c>
      <c r="O44" s="30">
        <f>VLOOKUP(B44,Mexico!$A:$B,2,)</f>
        <v/>
      </c>
      <c r="P44" s="30">
        <f>VLOOKUP(B44,Russia!$A:$B,2,)</f>
        <v/>
      </c>
      <c r="Q44" s="30">
        <f>VLOOKUP(B44,India!$A:$B,2,)</f>
        <v/>
      </c>
      <c r="R44" s="30">
        <f>VLOOKUP(B44,Canada!$A:$B,2,)</f>
        <v/>
      </c>
      <c r="S44" s="30">
        <f>VLOOKUP(B44,Australia!$A:$B,2,)</f>
        <v/>
      </c>
      <c r="T44" s="30">
        <f>VLOOKUP(B44,Indonesia!$A:$B,2,)</f>
        <v/>
      </c>
      <c r="U44" s="30">
        <f>VLOOKUP(B44,SouthKorea!$A:$B,2,)</f>
        <v/>
      </c>
      <c r="V44" s="30">
        <f>VLOOKUP(B44,Taiwan!$A:$B,2,)</f>
        <v/>
      </c>
      <c r="W44" s="30">
        <f>VLOOKUP(B44,Greece!$A:$B,2,)</f>
        <v/>
      </c>
      <c r="X44" s="30">
        <f>VLOOKUP(B44,Ireland!$A:$B,2,)</f>
        <v/>
      </c>
      <c r="Y44" s="30">
        <f>VLOOKUP(B44,Turkey!$A:$B,2,)</f>
        <v/>
      </c>
      <c r="Z44" s="30">
        <f>VLOOKUP(B44,CzechRepublic!$A:$B,2,)</f>
        <v/>
      </c>
      <c r="AA44" s="30">
        <f>VLOOKUP(B44,Poland!$A:$B,2,)</f>
        <v/>
      </c>
      <c r="AB44" s="30">
        <f>VLOOKUP(B44,Denmark!$A:$B,2,)</f>
        <v/>
      </c>
    </row>
    <row r="45">
      <c r="B45" s="29" t="n">
        <v>43070</v>
      </c>
      <c r="C45" s="30">
        <f>VLOOKUP(B45,Global!$A:$B,2,)</f>
        <v/>
      </c>
      <c r="D45" s="30">
        <f>VLOOKUP(B45,US!$A:$D,4,)</f>
        <v/>
      </c>
      <c r="E45" s="30">
        <f>VLOOKUP(B45,US!$A:$B,2,)</f>
        <v/>
      </c>
      <c r="F45" s="30">
        <f>VLOOKUP(B45,China!$A:$B,2,)</f>
        <v/>
      </c>
      <c r="G45" s="30">
        <f>VLOOKUP(B45,'Euro Area'!A:B,2,)</f>
        <v/>
      </c>
      <c r="H45" s="30">
        <f>VLOOKUP(B45,Japan!$A:$B,2,)</f>
        <v/>
      </c>
      <c r="I45" s="30">
        <f>VLOOKUP(B45,Germany!$A:$B,2,)</f>
        <v/>
      </c>
      <c r="J45" s="30">
        <f>VLOOKUP(B45,France!$A:$B,2,)</f>
        <v/>
      </c>
      <c r="K45" s="30">
        <f>VLOOKUP(B45,UK!$A:$B,2,)</f>
        <v/>
      </c>
      <c r="L45" s="30">
        <f>VLOOKUP(B45,Italy!$A:$B,2,)</f>
        <v/>
      </c>
      <c r="M45" s="30">
        <f>VLOOKUP(B45,Spain!$A:$B,2,)</f>
        <v/>
      </c>
      <c r="N45" s="30">
        <f>VLOOKUP(B45,Brazil!$A:$B,2,)</f>
        <v/>
      </c>
      <c r="O45" s="30">
        <f>VLOOKUP(B45,Mexico!$A:$B,2,)</f>
        <v/>
      </c>
      <c r="P45" s="30">
        <f>VLOOKUP(B45,Russia!$A:$B,2,)</f>
        <v/>
      </c>
      <c r="Q45" s="30">
        <f>VLOOKUP(B45,India!$A:$B,2,)</f>
        <v/>
      </c>
      <c r="R45" s="30">
        <f>VLOOKUP(B45,Canada!$A:$B,2,)</f>
        <v/>
      </c>
      <c r="S45" s="30">
        <f>VLOOKUP(B45,Australia!$A:$B,2,)</f>
        <v/>
      </c>
      <c r="T45" s="30">
        <f>VLOOKUP(B45,Indonesia!$A:$B,2,)</f>
        <v/>
      </c>
      <c r="U45" s="30">
        <f>VLOOKUP(B45,SouthKorea!$A:$B,2,)</f>
        <v/>
      </c>
      <c r="V45" s="30">
        <f>VLOOKUP(B45,Taiwan!$A:$B,2,)</f>
        <v/>
      </c>
      <c r="W45" s="30">
        <f>VLOOKUP(B45,Greece!$A:$B,2,)</f>
        <v/>
      </c>
      <c r="X45" s="30">
        <f>VLOOKUP(B45,Ireland!$A:$B,2,)</f>
        <v/>
      </c>
      <c r="Y45" s="30">
        <f>VLOOKUP(B45,Turkey!$A:$B,2,)</f>
        <v/>
      </c>
      <c r="Z45" s="30">
        <f>VLOOKUP(B45,CzechRepublic!$A:$B,2,)</f>
        <v/>
      </c>
      <c r="AA45" s="30">
        <f>VLOOKUP(B45,Poland!$A:$B,2,)</f>
        <v/>
      </c>
      <c r="AB45" s="30">
        <f>VLOOKUP(B45,Denmark!$A:$B,2,)</f>
        <v/>
      </c>
    </row>
    <row r="46">
      <c r="B46" s="29" t="n">
        <v>43101</v>
      </c>
      <c r="C46" s="30">
        <f>VLOOKUP(B46,Global!$A:$B,2,)</f>
        <v/>
      </c>
      <c r="D46" s="30">
        <f>VLOOKUP(B46,US!$A:$D,4,)</f>
        <v/>
      </c>
      <c r="E46" s="30">
        <f>VLOOKUP(B46,US!$A:$B,2,)</f>
        <v/>
      </c>
      <c r="F46" s="30">
        <f>VLOOKUP(B46,China!$A:$B,2,)</f>
        <v/>
      </c>
      <c r="G46" s="30">
        <f>VLOOKUP(B46,'Euro Area'!A:B,2,)</f>
        <v/>
      </c>
      <c r="H46" s="30">
        <f>VLOOKUP(B46,Japan!$A:$B,2,)</f>
        <v/>
      </c>
      <c r="I46" s="30">
        <f>VLOOKUP(B46,Germany!$A:$B,2,)</f>
        <v/>
      </c>
      <c r="J46" s="30">
        <f>VLOOKUP(B46,France!$A:$B,2,)</f>
        <v/>
      </c>
      <c r="K46" s="30">
        <f>VLOOKUP(B46,UK!$A:$B,2,)</f>
        <v/>
      </c>
      <c r="L46" s="30">
        <f>VLOOKUP(B46,Italy!$A:$B,2,)</f>
        <v/>
      </c>
      <c r="M46" s="30">
        <f>VLOOKUP(B46,Spain!$A:$B,2,)</f>
        <v/>
      </c>
      <c r="N46" s="30">
        <f>VLOOKUP(B46,Brazil!$A:$B,2,)</f>
        <v/>
      </c>
      <c r="O46" s="30">
        <f>VLOOKUP(B46,Mexico!$A:$B,2,)</f>
        <v/>
      </c>
      <c r="P46" s="30">
        <f>VLOOKUP(B46,Russia!$A:$B,2,)</f>
        <v/>
      </c>
      <c r="Q46" s="30">
        <f>VLOOKUP(B46,India!$A:$B,2,)</f>
        <v/>
      </c>
      <c r="R46" s="30">
        <f>VLOOKUP(B46,Canada!$A:$B,2,)</f>
        <v/>
      </c>
      <c r="S46" s="30">
        <f>VLOOKUP(B46,Australia!$A:$B,2,)</f>
        <v/>
      </c>
      <c r="T46" s="30">
        <f>VLOOKUP(B46,Indonesia!$A:$B,2,)</f>
        <v/>
      </c>
      <c r="U46" s="30">
        <f>VLOOKUP(B46,SouthKorea!$A:$B,2,)</f>
        <v/>
      </c>
      <c r="V46" s="30">
        <f>VLOOKUP(B46,Taiwan!$A:$B,2,)</f>
        <v/>
      </c>
      <c r="W46" s="30">
        <f>VLOOKUP(B46,Greece!$A:$B,2,)</f>
        <v/>
      </c>
      <c r="X46" s="30">
        <f>VLOOKUP(B46,Ireland!$A:$B,2,)</f>
        <v/>
      </c>
      <c r="Y46" s="30">
        <f>VLOOKUP(B46,Turkey!$A:$B,2,)</f>
        <v/>
      </c>
      <c r="Z46" s="30">
        <f>VLOOKUP(B46,CzechRepublic!$A:$B,2,)</f>
        <v/>
      </c>
      <c r="AA46" s="30">
        <f>VLOOKUP(B46,Poland!$A:$B,2,)</f>
        <v/>
      </c>
      <c r="AB46" s="30">
        <f>VLOOKUP(B46,Denmark!$A:$B,2,)</f>
        <v/>
      </c>
    </row>
    <row r="47">
      <c r="B47" s="29" t="n">
        <v>43132</v>
      </c>
      <c r="C47" s="30">
        <f>VLOOKUP(B47,Global!$A:$B,2,)</f>
        <v/>
      </c>
      <c r="D47" s="30">
        <f>VLOOKUP(B47,US!$A:$D,4,)</f>
        <v/>
      </c>
      <c r="E47" s="30">
        <f>VLOOKUP(B47,US!$A:$B,2,)</f>
        <v/>
      </c>
      <c r="F47" s="30">
        <f>VLOOKUP(B47,China!$A:$B,2,)</f>
        <v/>
      </c>
      <c r="G47" s="30">
        <f>VLOOKUP(B47,'Euro Area'!A:B,2,)</f>
        <v/>
      </c>
      <c r="H47" s="30">
        <f>VLOOKUP(B47,Japan!$A:$B,2,)</f>
        <v/>
      </c>
      <c r="I47" s="30">
        <f>VLOOKUP(B47,Germany!$A:$B,2,)</f>
        <v/>
      </c>
      <c r="J47" s="30">
        <f>VLOOKUP(B47,France!$A:$B,2,)</f>
        <v/>
      </c>
      <c r="K47" s="30">
        <f>VLOOKUP(B47,UK!$A:$B,2,)</f>
        <v/>
      </c>
      <c r="L47" s="30">
        <f>VLOOKUP(B47,Italy!$A:$B,2,)</f>
        <v/>
      </c>
      <c r="M47" s="30">
        <f>VLOOKUP(B47,Spain!$A:$B,2,)</f>
        <v/>
      </c>
      <c r="N47" s="30">
        <f>VLOOKUP(B47,Brazil!$A:$B,2,)</f>
        <v/>
      </c>
      <c r="O47" s="30">
        <f>VLOOKUP(B47,Mexico!$A:$B,2,)</f>
        <v/>
      </c>
      <c r="P47" s="30">
        <f>VLOOKUP(B47,Russia!$A:$B,2,)</f>
        <v/>
      </c>
      <c r="Q47" s="30">
        <f>VLOOKUP(B47,India!$A:$B,2,)</f>
        <v/>
      </c>
      <c r="R47" s="30">
        <f>VLOOKUP(B47,Canada!$A:$B,2,)</f>
        <v/>
      </c>
      <c r="S47" s="30">
        <f>VLOOKUP(B47,Australia!$A:$B,2,)</f>
        <v/>
      </c>
      <c r="T47" s="30">
        <f>VLOOKUP(B47,Indonesia!$A:$B,2,)</f>
        <v/>
      </c>
      <c r="U47" s="30">
        <f>VLOOKUP(B47,SouthKorea!$A:$B,2,)</f>
        <v/>
      </c>
      <c r="V47" s="30">
        <f>VLOOKUP(B47,Taiwan!$A:$B,2,)</f>
        <v/>
      </c>
      <c r="W47" s="30">
        <f>VLOOKUP(B47,Greece!$A:$B,2,)</f>
        <v/>
      </c>
      <c r="X47" s="30">
        <f>VLOOKUP(B47,Ireland!$A:$B,2,)</f>
        <v/>
      </c>
      <c r="Y47" s="30">
        <f>VLOOKUP(B47,Turkey!$A:$B,2,)</f>
        <v/>
      </c>
      <c r="Z47" s="30">
        <f>VLOOKUP(B47,CzechRepublic!$A:$B,2,)</f>
        <v/>
      </c>
      <c r="AA47" s="30">
        <f>VLOOKUP(B47,Poland!$A:$B,2,)</f>
        <v/>
      </c>
      <c r="AB47" s="30">
        <f>VLOOKUP(B47,Denmark!$A:$B,2,)</f>
        <v/>
      </c>
    </row>
    <row r="48">
      <c r="B48" s="29" t="n">
        <v>43160</v>
      </c>
      <c r="C48" s="30">
        <f>VLOOKUP(B48,Global!$A:$B,2,)</f>
        <v/>
      </c>
      <c r="D48" s="30">
        <f>VLOOKUP(B48,US!$A:$D,4,)</f>
        <v/>
      </c>
      <c r="E48" s="30">
        <f>VLOOKUP(B48,US!$A:$B,2,)</f>
        <v/>
      </c>
      <c r="F48" s="30">
        <f>VLOOKUP(B48,China!$A:$B,2,)</f>
        <v/>
      </c>
      <c r="G48" s="30">
        <f>VLOOKUP(B48,'Euro Area'!A:B,2,)</f>
        <v/>
      </c>
      <c r="H48" s="30">
        <f>VLOOKUP(B48,Japan!$A:$B,2,)</f>
        <v/>
      </c>
      <c r="I48" s="30">
        <f>VLOOKUP(B48,Germany!$A:$B,2,)</f>
        <v/>
      </c>
      <c r="J48" s="30">
        <f>VLOOKUP(B48,France!$A:$B,2,)</f>
        <v/>
      </c>
      <c r="K48" s="30">
        <f>VLOOKUP(B48,UK!$A:$B,2,)</f>
        <v/>
      </c>
      <c r="L48" s="30">
        <f>VLOOKUP(B48,Italy!$A:$B,2,)</f>
        <v/>
      </c>
      <c r="M48" s="30">
        <f>VLOOKUP(B48,Spain!$A:$B,2,)</f>
        <v/>
      </c>
      <c r="N48" s="30">
        <f>VLOOKUP(B48,Brazil!$A:$B,2,)</f>
        <v/>
      </c>
      <c r="O48" s="30">
        <f>VLOOKUP(B48,Mexico!$A:$B,2,)</f>
        <v/>
      </c>
      <c r="P48" s="30">
        <f>VLOOKUP(B48,Russia!$A:$B,2,)</f>
        <v/>
      </c>
      <c r="Q48" s="30">
        <f>VLOOKUP(B48,India!$A:$B,2,)</f>
        <v/>
      </c>
      <c r="R48" s="30">
        <f>VLOOKUP(B48,Canada!$A:$B,2,)</f>
        <v/>
      </c>
      <c r="S48" s="30">
        <f>VLOOKUP(B48,Australia!$A:$B,2,)</f>
        <v/>
      </c>
      <c r="T48" s="30">
        <f>VLOOKUP(B48,Indonesia!$A:$B,2,)</f>
        <v/>
      </c>
      <c r="U48" s="30">
        <f>VLOOKUP(B48,SouthKorea!$A:$B,2,)</f>
        <v/>
      </c>
      <c r="V48" s="30">
        <f>VLOOKUP(B48,Taiwan!$A:$B,2,)</f>
        <v/>
      </c>
      <c r="W48" s="30">
        <f>VLOOKUP(B48,Greece!$A:$B,2,)</f>
        <v/>
      </c>
      <c r="X48" s="30">
        <f>VLOOKUP(B48,Ireland!$A:$B,2,)</f>
        <v/>
      </c>
      <c r="Y48" s="30">
        <f>VLOOKUP(B48,Turkey!$A:$B,2,)</f>
        <v/>
      </c>
      <c r="Z48" s="30">
        <f>VLOOKUP(B48,CzechRepublic!$A:$B,2,)</f>
        <v/>
      </c>
      <c r="AA48" s="30">
        <f>VLOOKUP(B48,Poland!$A:$B,2,)</f>
        <v/>
      </c>
      <c r="AB48" s="30">
        <f>VLOOKUP(B48,Denmark!$A:$B,2,)</f>
        <v/>
      </c>
    </row>
    <row r="49">
      <c r="B49" s="29" t="n">
        <v>43191</v>
      </c>
      <c r="C49" s="30">
        <f>VLOOKUP(B49,Global!$A:$B,2,)</f>
        <v/>
      </c>
      <c r="D49" s="30">
        <f>VLOOKUP(B49,US!$A:$D,4,)</f>
        <v/>
      </c>
      <c r="E49" s="30">
        <f>VLOOKUP(B49,US!$A:$B,2,)</f>
        <v/>
      </c>
      <c r="F49" s="30">
        <f>VLOOKUP(B49,China!$A:$B,2,)</f>
        <v/>
      </c>
      <c r="G49" s="30">
        <f>VLOOKUP(B49,'Euro Area'!A:B,2,)</f>
        <v/>
      </c>
      <c r="H49" s="30">
        <f>VLOOKUP(B49,Japan!$A:$B,2,)</f>
        <v/>
      </c>
      <c r="I49" s="30">
        <f>VLOOKUP(B49,Germany!$A:$B,2,)</f>
        <v/>
      </c>
      <c r="J49" s="30">
        <f>VLOOKUP(B49,France!$A:$B,2,)</f>
        <v/>
      </c>
      <c r="K49" s="30">
        <f>VLOOKUP(B49,UK!$A:$B,2,)</f>
        <v/>
      </c>
      <c r="L49" s="30">
        <f>VLOOKUP(B49,Italy!$A:$B,2,)</f>
        <v/>
      </c>
      <c r="M49" s="30">
        <f>VLOOKUP(B49,Spain!$A:$B,2,)</f>
        <v/>
      </c>
      <c r="N49" s="30">
        <f>VLOOKUP(B49,Brazil!$A:$B,2,)</f>
        <v/>
      </c>
      <c r="O49" s="30">
        <f>VLOOKUP(B49,Mexico!$A:$B,2,)</f>
        <v/>
      </c>
      <c r="P49" s="30">
        <f>VLOOKUP(B49,Russia!$A:$B,2,)</f>
        <v/>
      </c>
      <c r="Q49" s="30">
        <f>VLOOKUP(B49,India!$A:$B,2,)</f>
        <v/>
      </c>
      <c r="R49" s="30">
        <f>VLOOKUP(B49,Canada!$A:$B,2,)</f>
        <v/>
      </c>
      <c r="S49" s="30">
        <f>VLOOKUP(B49,Australia!$A:$B,2,)</f>
        <v/>
      </c>
      <c r="T49" s="30">
        <f>VLOOKUP(B49,Indonesia!$A:$B,2,)</f>
        <v/>
      </c>
      <c r="U49" s="30">
        <f>VLOOKUP(B49,SouthKorea!$A:$B,2,)</f>
        <v/>
      </c>
      <c r="V49" s="30">
        <f>VLOOKUP(B49,Taiwan!$A:$B,2,)</f>
        <v/>
      </c>
      <c r="W49" s="30">
        <f>VLOOKUP(B49,Greece!$A:$B,2,)</f>
        <v/>
      </c>
      <c r="X49" s="30">
        <f>VLOOKUP(B49,Ireland!$A:$B,2,)</f>
        <v/>
      </c>
      <c r="Y49" s="30">
        <f>VLOOKUP(B49,Turkey!$A:$B,2,)</f>
        <v/>
      </c>
      <c r="Z49" s="30">
        <f>VLOOKUP(B49,CzechRepublic!$A:$B,2,)</f>
        <v/>
      </c>
      <c r="AA49" s="30">
        <f>VLOOKUP(B49,Poland!$A:$B,2,)</f>
        <v/>
      </c>
      <c r="AB49" s="30">
        <f>VLOOKUP(B49,Denmark!$A:$B,2,)</f>
        <v/>
      </c>
    </row>
    <row r="50" customFormat="1" s="69">
      <c r="B50" s="29" t="n">
        <v>43221</v>
      </c>
      <c r="C50" s="30">
        <f>VLOOKUP(B50,Global!$A:$B,2,)</f>
        <v/>
      </c>
      <c r="D50" s="30">
        <f>VLOOKUP(B50,US!$A:$D,4,)</f>
        <v/>
      </c>
      <c r="E50" s="30">
        <f>VLOOKUP(B50,US!$A:$B,2,)</f>
        <v/>
      </c>
      <c r="F50" s="30">
        <f>VLOOKUP(B50,China!$A:$B,2,)</f>
        <v/>
      </c>
      <c r="G50" s="30">
        <f>VLOOKUP(B50,'Euro Area'!A:B,2,)</f>
        <v/>
      </c>
      <c r="H50" s="30">
        <f>VLOOKUP(B50,Japan!$A:$B,2,)</f>
        <v/>
      </c>
      <c r="I50" s="30">
        <f>VLOOKUP(B50,Germany!$A:$B,2,)</f>
        <v/>
      </c>
      <c r="J50" s="30">
        <f>VLOOKUP(B50,France!$A:$B,2,)</f>
        <v/>
      </c>
      <c r="K50" s="30">
        <f>VLOOKUP(B50,UK!$A:$B,2,)</f>
        <v/>
      </c>
      <c r="L50" s="30">
        <f>VLOOKUP(B50,Italy!$A:$B,2,)</f>
        <v/>
      </c>
      <c r="M50" s="30">
        <f>VLOOKUP(B50,Spain!$A:$B,2,)</f>
        <v/>
      </c>
      <c r="N50" s="30">
        <f>VLOOKUP(B50,Brazil!$A:$B,2,)</f>
        <v/>
      </c>
      <c r="O50" s="30">
        <f>VLOOKUP(B50,Mexico!$A:$B,2,)</f>
        <v/>
      </c>
      <c r="P50" s="30">
        <f>VLOOKUP(B50,Russia!$A:$B,2,)</f>
        <v/>
      </c>
      <c r="Q50" s="30">
        <f>VLOOKUP(B50,India!$A:$B,2,)</f>
        <v/>
      </c>
      <c r="R50" s="30">
        <f>VLOOKUP(B50,Canada!$A:$B,2,)</f>
        <v/>
      </c>
      <c r="S50" s="30">
        <f>VLOOKUP(B50,Australia!$A:$B,2,)</f>
        <v/>
      </c>
      <c r="T50" s="30">
        <f>VLOOKUP(B50,Indonesia!$A:$B,2,)</f>
        <v/>
      </c>
      <c r="U50" s="30">
        <f>VLOOKUP(B50,SouthKorea!$A:$B,2,)</f>
        <v/>
      </c>
      <c r="V50" s="30">
        <f>VLOOKUP(B50,Taiwan!$A:$B,2,)</f>
        <v/>
      </c>
      <c r="W50" s="30">
        <f>VLOOKUP(B50,Greece!$A:$B,2,)</f>
        <v/>
      </c>
      <c r="X50" s="30">
        <f>VLOOKUP(B50,Ireland!$A:$B,2,)</f>
        <v/>
      </c>
      <c r="Y50" s="30">
        <f>VLOOKUP(B50,Turkey!$A:$B,2,)</f>
        <v/>
      </c>
      <c r="Z50" s="30">
        <f>VLOOKUP(B50,CzechRepublic!$A:$B,2,)</f>
        <v/>
      </c>
      <c r="AA50" s="30">
        <f>VLOOKUP(B50,Poland!$A:$B,2,)</f>
        <v/>
      </c>
      <c r="AB50" s="30">
        <f>VLOOKUP(B50,Denmark!$A:$B,2,)</f>
        <v/>
      </c>
    </row>
    <row r="51" customFormat="1" s="69">
      <c r="B51" s="29" t="n">
        <v>43252</v>
      </c>
      <c r="C51" s="30">
        <f>VLOOKUP(B51,Global!$A:$B,2,)</f>
        <v/>
      </c>
      <c r="D51" s="30">
        <f>VLOOKUP(B51,US!$A:$D,4,)</f>
        <v/>
      </c>
      <c r="E51" s="30">
        <f>VLOOKUP(B51,US!$A:$B,2,)</f>
        <v/>
      </c>
      <c r="F51" s="30">
        <f>VLOOKUP(B51,China!$A:$B,2,)</f>
        <v/>
      </c>
      <c r="G51" s="30">
        <f>VLOOKUP(B51,'Euro Area'!A:B,2,)</f>
        <v/>
      </c>
      <c r="H51" s="30">
        <f>VLOOKUP(B51,Japan!$A:$B,2,)</f>
        <v/>
      </c>
      <c r="I51" s="30">
        <f>VLOOKUP(B51,Germany!$A:$B,2,)</f>
        <v/>
      </c>
      <c r="J51" s="30">
        <f>VLOOKUP(B51,France!$A:$B,2,)</f>
        <v/>
      </c>
      <c r="K51" s="30">
        <f>VLOOKUP(B51,UK!$A:$B,2,)</f>
        <v/>
      </c>
      <c r="L51" s="30">
        <f>VLOOKUP(B51,Italy!$A:$B,2,)</f>
        <v/>
      </c>
      <c r="M51" s="30">
        <f>VLOOKUP(B51,Spain!$A:$B,2,)</f>
        <v/>
      </c>
      <c r="N51" s="30">
        <f>VLOOKUP(B51,Brazil!$A:$B,2,)</f>
        <v/>
      </c>
      <c r="O51" s="30">
        <f>VLOOKUP(B51,Mexico!$A:$B,2,)</f>
        <v/>
      </c>
      <c r="P51" s="30">
        <f>VLOOKUP(B51,Russia!$A:$B,2,)</f>
        <v/>
      </c>
      <c r="Q51" s="30">
        <f>VLOOKUP(B51,India!$A:$B,2,)</f>
        <v/>
      </c>
      <c r="R51" s="30">
        <f>VLOOKUP(B51,Canada!$A:$B,2,)</f>
        <v/>
      </c>
      <c r="S51" s="30">
        <f>VLOOKUP(B51,Australia!$A:$B,2,)</f>
        <v/>
      </c>
      <c r="T51" s="30">
        <f>VLOOKUP(B51,Indonesia!$A:$B,2,)</f>
        <v/>
      </c>
      <c r="U51" s="30">
        <f>VLOOKUP(B51,SouthKorea!$A:$B,2,)</f>
        <v/>
      </c>
      <c r="V51" s="30">
        <f>VLOOKUP(B51,Taiwan!$A:$B,2,)</f>
        <v/>
      </c>
      <c r="W51" s="30">
        <f>VLOOKUP(B51,Greece!$A:$B,2,)</f>
        <v/>
      </c>
      <c r="X51" s="30">
        <f>VLOOKUP(B51,Ireland!$A:$B,2,)</f>
        <v/>
      </c>
      <c r="Y51" s="30">
        <f>VLOOKUP(B51,Turkey!$A:$B,2,)</f>
        <v/>
      </c>
      <c r="Z51" s="30">
        <f>VLOOKUP(B51,CzechRepublic!$A:$B,2,)</f>
        <v/>
      </c>
      <c r="AA51" s="30">
        <f>VLOOKUP(B51,Poland!$A:$B,2,)</f>
        <v/>
      </c>
      <c r="AB51" s="30">
        <f>VLOOKUP(B51,Denmark!$A:$B,2,)</f>
        <v/>
      </c>
    </row>
    <row r="52" customFormat="1" s="69">
      <c r="B52" s="29" t="n">
        <v>43282</v>
      </c>
      <c r="C52" s="30">
        <f>VLOOKUP(B52,Global!$A:$B,2,)</f>
        <v/>
      </c>
      <c r="D52" s="30">
        <f>VLOOKUP(B52,US!$A:$D,4,)</f>
        <v/>
      </c>
      <c r="E52" s="30">
        <f>VLOOKUP(B52,US!$A:$B,2,)</f>
        <v/>
      </c>
      <c r="F52" s="30">
        <f>VLOOKUP(B52,China!$A:$B,2,)</f>
        <v/>
      </c>
      <c r="G52" s="30">
        <f>VLOOKUP(B52,'Euro Area'!A:B,2,)</f>
        <v/>
      </c>
      <c r="H52" s="30">
        <f>VLOOKUP(B52,Japan!$A:$B,2,)</f>
        <v/>
      </c>
      <c r="I52" s="30">
        <f>VLOOKUP(B52,Germany!$A:$B,2,)</f>
        <v/>
      </c>
      <c r="J52" s="30">
        <f>VLOOKUP(B52,France!$A:$B,2,)</f>
        <v/>
      </c>
      <c r="K52" s="30">
        <f>VLOOKUP(B52,UK!$A:$B,2,)</f>
        <v/>
      </c>
      <c r="L52" s="30">
        <f>VLOOKUP(B52,Italy!$A:$B,2,)</f>
        <v/>
      </c>
      <c r="M52" s="30">
        <f>VLOOKUP(B52,Spain!$A:$B,2,)</f>
        <v/>
      </c>
      <c r="N52" s="30">
        <f>VLOOKUP(B52,Brazil!$A:$B,2,)</f>
        <v/>
      </c>
      <c r="O52" s="30">
        <f>VLOOKUP(B52,Mexico!$A:$B,2,)</f>
        <v/>
      </c>
      <c r="P52" s="30">
        <f>VLOOKUP(B52,Russia!$A:$B,2,)</f>
        <v/>
      </c>
      <c r="Q52" s="30">
        <f>VLOOKUP(B52,India!$A:$B,2,)</f>
        <v/>
      </c>
      <c r="R52" s="30">
        <f>VLOOKUP(B52,Canada!$A:$B,2,)</f>
        <v/>
      </c>
      <c r="S52" s="30">
        <f>VLOOKUP(B52,Australia!$A:$B,2,)</f>
        <v/>
      </c>
      <c r="T52" s="30">
        <f>VLOOKUP(B52,Indonesia!$A:$B,2,)</f>
        <v/>
      </c>
      <c r="U52" s="30">
        <f>VLOOKUP(B52,SouthKorea!$A:$B,2,)</f>
        <v/>
      </c>
      <c r="V52" s="30">
        <f>VLOOKUP(B52,Taiwan!$A:$B,2,)</f>
        <v/>
      </c>
      <c r="W52" s="30">
        <f>VLOOKUP(B52,Greece!$A:$B,2,)</f>
        <v/>
      </c>
      <c r="X52" s="30">
        <f>VLOOKUP(B52,Ireland!$A:$B,2,)</f>
        <v/>
      </c>
      <c r="Y52" s="30">
        <f>VLOOKUP(B52,Turkey!$A:$B,2,)</f>
        <v/>
      </c>
      <c r="Z52" s="30">
        <f>VLOOKUP(B52,CzechRepublic!$A:$B,2,)</f>
        <v/>
      </c>
      <c r="AA52" s="30">
        <f>VLOOKUP(B52,Poland!$A:$B,2,)</f>
        <v/>
      </c>
      <c r="AB52" s="30">
        <f>VLOOKUP(B52,Denmark!$A:$B,2,)</f>
        <v/>
      </c>
    </row>
    <row r="53" customFormat="1" s="69">
      <c r="B53" s="29" t="n">
        <v>43313</v>
      </c>
      <c r="C53" s="30">
        <f>VLOOKUP(B53,Global!$A:$B,2,)</f>
        <v/>
      </c>
      <c r="D53" s="30">
        <f>VLOOKUP(B53,US!$A:$D,4,)</f>
        <v/>
      </c>
      <c r="E53" s="30">
        <f>VLOOKUP(B53,US!$A:$B,2,)</f>
        <v/>
      </c>
      <c r="F53" s="30">
        <f>VLOOKUP(B53,China!$A:$B,2,)</f>
        <v/>
      </c>
      <c r="G53" s="30">
        <f>VLOOKUP(B53,'Euro Area'!A:B,2,)</f>
        <v/>
      </c>
      <c r="H53" s="30">
        <f>VLOOKUP(B53,Japan!$A:$B,2,)</f>
        <v/>
      </c>
      <c r="I53" s="30">
        <f>VLOOKUP(B53,Germany!$A:$B,2,)</f>
        <v/>
      </c>
      <c r="J53" s="30">
        <f>VLOOKUP(B53,France!$A:$B,2,)</f>
        <v/>
      </c>
      <c r="K53" s="30">
        <f>VLOOKUP(B53,UK!$A:$B,2,)</f>
        <v/>
      </c>
      <c r="L53" s="30">
        <f>VLOOKUP(B53,Italy!$A:$B,2,)</f>
        <v/>
      </c>
      <c r="M53" s="30">
        <f>VLOOKUP(B53,Spain!$A:$B,2,)</f>
        <v/>
      </c>
      <c r="N53" s="30">
        <f>VLOOKUP(B53,Brazil!$A:$B,2,)</f>
        <v/>
      </c>
      <c r="O53" s="30">
        <f>VLOOKUP(B53,Mexico!$A:$B,2,)</f>
        <v/>
      </c>
      <c r="P53" s="30">
        <f>VLOOKUP(B53,Russia!$A:$B,2,)</f>
        <v/>
      </c>
      <c r="Q53" s="30">
        <f>VLOOKUP(B53,India!$A:$B,2,)</f>
        <v/>
      </c>
      <c r="R53" s="30">
        <f>VLOOKUP(B53,Canada!$A:$B,2,)</f>
        <v/>
      </c>
      <c r="S53" s="30">
        <f>VLOOKUP(B53,Australia!$A:$B,2,)</f>
        <v/>
      </c>
      <c r="T53" s="30">
        <f>VLOOKUP(B53,Indonesia!$A:$B,2,)</f>
        <v/>
      </c>
      <c r="U53" s="30">
        <f>VLOOKUP(B53,SouthKorea!$A:$B,2,)</f>
        <v/>
      </c>
      <c r="V53" s="30">
        <f>VLOOKUP(B53,Taiwan!$A:$B,2,)</f>
        <v/>
      </c>
      <c r="W53" s="30">
        <f>VLOOKUP(B53,Greece!$A:$B,2,)</f>
        <v/>
      </c>
      <c r="X53" s="30">
        <f>VLOOKUP(B53,Ireland!$A:$B,2,)</f>
        <v/>
      </c>
      <c r="Y53" s="30">
        <f>VLOOKUP(B53,Turkey!$A:$B,2,)</f>
        <v/>
      </c>
      <c r="Z53" s="30">
        <f>VLOOKUP(B53,CzechRepublic!$A:$B,2,)</f>
        <v/>
      </c>
      <c r="AA53" s="30">
        <f>VLOOKUP(B53,Poland!$A:$B,2,)</f>
        <v/>
      </c>
      <c r="AB53" s="30">
        <f>VLOOKUP(B53,Denmark!$A:$B,2,)</f>
        <v/>
      </c>
    </row>
    <row r="54" customFormat="1" s="69">
      <c r="B54" s="29" t="n">
        <v>43344</v>
      </c>
      <c r="C54" s="30">
        <f>VLOOKUP(B54,Global!$A:$B,2,)</f>
        <v/>
      </c>
      <c r="D54" s="30">
        <f>VLOOKUP(B54,US!$A:$D,4,)</f>
        <v/>
      </c>
      <c r="E54" s="30">
        <f>VLOOKUP(B54,US!$A:$B,2,)</f>
        <v/>
      </c>
      <c r="F54" s="30">
        <f>VLOOKUP(B54,China!$A:$B,2,)</f>
        <v/>
      </c>
      <c r="G54" s="30">
        <f>VLOOKUP(B54,'Euro Area'!A:B,2,)</f>
        <v/>
      </c>
      <c r="H54" s="30">
        <f>VLOOKUP(B54,Japan!$A:$B,2,)</f>
        <v/>
      </c>
      <c r="I54" s="30">
        <f>VLOOKUP(B54,Germany!$A:$B,2,)</f>
        <v/>
      </c>
      <c r="J54" s="30">
        <f>VLOOKUP(B54,France!$A:$B,2,)</f>
        <v/>
      </c>
      <c r="K54" s="30">
        <f>VLOOKUP(B54,UK!$A:$B,2,)</f>
        <v/>
      </c>
      <c r="L54" s="30">
        <f>VLOOKUP(B54,Italy!$A:$B,2,)</f>
        <v/>
      </c>
      <c r="M54" s="30">
        <f>VLOOKUP(B54,Spain!$A:$B,2,)</f>
        <v/>
      </c>
      <c r="N54" s="30">
        <f>VLOOKUP(B54,Brazil!$A:$B,2,)</f>
        <v/>
      </c>
      <c r="O54" s="30">
        <f>VLOOKUP(B54,Mexico!$A:$B,2,)</f>
        <v/>
      </c>
      <c r="P54" s="30">
        <f>VLOOKUP(B54,Russia!$A:$B,2,)</f>
        <v/>
      </c>
      <c r="Q54" s="30">
        <f>VLOOKUP(B54,India!$A:$B,2,)</f>
        <v/>
      </c>
      <c r="R54" s="30">
        <f>VLOOKUP(B54,Canada!$A:$B,2,)</f>
        <v/>
      </c>
      <c r="S54" s="30">
        <f>VLOOKUP(B54,Australia!$A:$B,2,)</f>
        <v/>
      </c>
      <c r="T54" s="30">
        <f>VLOOKUP(B54,Indonesia!$A:$B,2,)</f>
        <v/>
      </c>
      <c r="U54" s="30">
        <f>VLOOKUP(B54,SouthKorea!$A:$B,2,)</f>
        <v/>
      </c>
      <c r="V54" s="30">
        <f>VLOOKUP(B54,Taiwan!$A:$B,2,)</f>
        <v/>
      </c>
      <c r="W54" s="30">
        <f>VLOOKUP(B54,Greece!$A:$B,2,)</f>
        <v/>
      </c>
      <c r="X54" s="30">
        <f>VLOOKUP(B54,Ireland!$A:$B,2,)</f>
        <v/>
      </c>
      <c r="Y54" s="30">
        <f>VLOOKUP(B54,Turkey!$A:$B,2,)</f>
        <v/>
      </c>
      <c r="Z54" s="30">
        <f>VLOOKUP(B54,CzechRepublic!$A:$B,2,)</f>
        <v/>
      </c>
      <c r="AA54" s="30">
        <f>VLOOKUP(B54,Poland!$A:$B,2,)</f>
        <v/>
      </c>
      <c r="AB54" s="30">
        <f>VLOOKUP(B54,Denmark!$A:$B,2,)</f>
        <v/>
      </c>
    </row>
    <row r="55" customFormat="1" s="69">
      <c r="B55" s="29" t="n">
        <v>43374</v>
      </c>
      <c r="C55" s="30">
        <f>VLOOKUP(B55,Global!$A:$B,2,)</f>
        <v/>
      </c>
      <c r="D55" s="30">
        <f>VLOOKUP(B55,US!$A:$D,4,)</f>
        <v/>
      </c>
      <c r="E55" s="30">
        <f>VLOOKUP(B55,US!$A:$B,2,)</f>
        <v/>
      </c>
      <c r="F55" s="30">
        <f>VLOOKUP(B55,China!$A:$B,2,)</f>
        <v/>
      </c>
      <c r="G55" s="30">
        <f>VLOOKUP(B55,'Euro Area'!A:B,2,)</f>
        <v/>
      </c>
      <c r="H55" s="30">
        <f>VLOOKUP(B55,Japan!$A:$B,2,)</f>
        <v/>
      </c>
      <c r="I55" s="30">
        <f>VLOOKUP(B55,Germany!$A:$B,2,)</f>
        <v/>
      </c>
      <c r="J55" s="30">
        <f>VLOOKUP(B55,France!$A:$B,2,)</f>
        <v/>
      </c>
      <c r="K55" s="30">
        <f>VLOOKUP(B55,UK!$A:$B,2,)</f>
        <v/>
      </c>
      <c r="L55" s="30">
        <f>VLOOKUP(B55,Italy!$A:$B,2,)</f>
        <v/>
      </c>
      <c r="M55" s="30">
        <f>VLOOKUP(B55,Spain!$A:$B,2,)</f>
        <v/>
      </c>
      <c r="N55" s="30">
        <f>VLOOKUP(B55,Brazil!$A:$B,2,)</f>
        <v/>
      </c>
      <c r="O55" s="30">
        <f>VLOOKUP(B55,Mexico!$A:$B,2,)</f>
        <v/>
      </c>
      <c r="P55" s="30">
        <f>VLOOKUP(B55,Russia!$A:$B,2,)</f>
        <v/>
      </c>
      <c r="Q55" s="30">
        <f>VLOOKUP(B55,India!$A:$B,2,)</f>
        <v/>
      </c>
      <c r="R55" s="30">
        <f>VLOOKUP(B55,Canada!$A:$B,2,)</f>
        <v/>
      </c>
      <c r="S55" s="30">
        <f>VLOOKUP(B55,Australia!$A:$B,2,)</f>
        <v/>
      </c>
      <c r="T55" s="30">
        <f>VLOOKUP(B55,Indonesia!$A:$B,2,)</f>
        <v/>
      </c>
      <c r="U55" s="30">
        <f>VLOOKUP(B55,SouthKorea!$A:$B,2,)</f>
        <v/>
      </c>
      <c r="V55" s="30">
        <f>VLOOKUP(B55,Taiwan!$A:$B,2,)</f>
        <v/>
      </c>
      <c r="W55" s="30">
        <f>VLOOKUP(B55,Greece!$A:$B,2,)</f>
        <v/>
      </c>
      <c r="X55" s="30">
        <f>VLOOKUP(B55,Ireland!$A:$B,2,)</f>
        <v/>
      </c>
      <c r="Y55" s="30">
        <f>VLOOKUP(B55,Turkey!$A:$B,2,)</f>
        <v/>
      </c>
      <c r="Z55" s="30">
        <f>VLOOKUP(B55,CzechRepublic!$A:$B,2,)</f>
        <v/>
      </c>
      <c r="AA55" s="30">
        <f>VLOOKUP(B55,Poland!$A:$B,2,)</f>
        <v/>
      </c>
      <c r="AB55" s="30">
        <f>VLOOKUP(B55,Denmark!$A:$B,2,)</f>
        <v/>
      </c>
    </row>
    <row r="56" customFormat="1" s="69">
      <c r="B56" s="29" t="n">
        <v>43405</v>
      </c>
      <c r="C56" s="30">
        <f>VLOOKUP(B56,Global!$A:$B,2,)</f>
        <v/>
      </c>
      <c r="D56" s="30">
        <f>VLOOKUP(B56,US!$A:$D,4,)</f>
        <v/>
      </c>
      <c r="E56" s="30">
        <f>VLOOKUP(B56,US!$A:$B,2,)</f>
        <v/>
      </c>
      <c r="F56" s="30">
        <f>VLOOKUP(B56,China!$A:$B,2,)</f>
        <v/>
      </c>
      <c r="G56" s="30">
        <f>VLOOKUP(B56,'Euro Area'!A:B,2,)</f>
        <v/>
      </c>
      <c r="H56" s="30">
        <f>VLOOKUP(B56,Japan!$A:$B,2,)</f>
        <v/>
      </c>
      <c r="I56" s="30">
        <f>VLOOKUP(B56,Germany!$A:$B,2,)</f>
        <v/>
      </c>
      <c r="J56" s="30">
        <f>VLOOKUP(B56,France!$A:$B,2,)</f>
        <v/>
      </c>
      <c r="K56" s="30">
        <f>VLOOKUP(B56,UK!$A:$B,2,)</f>
        <v/>
      </c>
      <c r="L56" s="30">
        <f>VLOOKUP(B56,Italy!$A:$B,2,)</f>
        <v/>
      </c>
      <c r="M56" s="30">
        <f>VLOOKUP(B56,Spain!$A:$B,2,)</f>
        <v/>
      </c>
      <c r="N56" s="30">
        <f>VLOOKUP(B56,Brazil!$A:$B,2,)</f>
        <v/>
      </c>
      <c r="O56" s="30">
        <f>VLOOKUP(B56,Mexico!$A:$B,2,)</f>
        <v/>
      </c>
      <c r="P56" s="30">
        <f>VLOOKUP(B56,Russia!$A:$B,2,)</f>
        <v/>
      </c>
      <c r="Q56" s="30">
        <f>VLOOKUP(B56,India!$A:$B,2,)</f>
        <v/>
      </c>
      <c r="R56" s="30">
        <f>VLOOKUP(B56,Canada!$A:$B,2,)</f>
        <v/>
      </c>
      <c r="S56" s="30">
        <f>VLOOKUP(B56,Australia!$A:$B,2,)</f>
        <v/>
      </c>
      <c r="T56" s="30">
        <f>VLOOKUP(B56,Indonesia!$A:$B,2,)</f>
        <v/>
      </c>
      <c r="U56" s="30">
        <f>VLOOKUP(B56,SouthKorea!$A:$B,2,)</f>
        <v/>
      </c>
      <c r="V56" s="30">
        <f>VLOOKUP(B56,Taiwan!$A:$B,2,)</f>
        <v/>
      </c>
      <c r="W56" s="30">
        <f>VLOOKUP(B56,Greece!$A:$B,2,)</f>
        <v/>
      </c>
      <c r="X56" s="30">
        <f>VLOOKUP(B56,Ireland!$A:$B,2,)</f>
        <v/>
      </c>
      <c r="Y56" s="30">
        <f>VLOOKUP(B56,Turkey!$A:$B,2,)</f>
        <v/>
      </c>
      <c r="Z56" s="30">
        <f>VLOOKUP(B56,CzechRepublic!$A:$B,2,)</f>
        <v/>
      </c>
      <c r="AA56" s="30">
        <f>VLOOKUP(B56,Poland!$A:$B,2,)</f>
        <v/>
      </c>
      <c r="AB56" s="30">
        <f>VLOOKUP(B56,Denmark!$A:$B,2,)</f>
        <v/>
      </c>
    </row>
    <row r="57" customFormat="1" s="69">
      <c r="B57" s="29" t="n">
        <v>43435</v>
      </c>
      <c r="C57" s="30">
        <f>VLOOKUP(B57,Global!$A:$B,2,)</f>
        <v/>
      </c>
      <c r="D57" s="30">
        <f>VLOOKUP(B57,US!$A:$D,4,)</f>
        <v/>
      </c>
      <c r="E57" s="30">
        <f>VLOOKUP(B57,US!$A:$B,2,)</f>
        <v/>
      </c>
      <c r="F57" s="30">
        <f>VLOOKUP(B57,China!$A:$B,2,)</f>
        <v/>
      </c>
      <c r="G57" s="30">
        <f>VLOOKUP(B57,'Euro Area'!A:B,2,)</f>
        <v/>
      </c>
      <c r="H57" s="30">
        <f>VLOOKUP(B57,Japan!$A:$B,2,)</f>
        <v/>
      </c>
      <c r="I57" s="30">
        <f>VLOOKUP(B57,Germany!$A:$B,2,)</f>
        <v/>
      </c>
      <c r="J57" s="30">
        <f>VLOOKUP(B57,France!$A:$B,2,)</f>
        <v/>
      </c>
      <c r="K57" s="30">
        <f>VLOOKUP(B57,UK!$A:$B,2,)</f>
        <v/>
      </c>
      <c r="L57" s="30">
        <f>VLOOKUP(B57,Italy!$A:$B,2,)</f>
        <v/>
      </c>
      <c r="M57" s="30">
        <f>VLOOKUP(B57,Spain!$A:$B,2,)</f>
        <v/>
      </c>
      <c r="N57" s="30">
        <f>VLOOKUP(B57,Brazil!$A:$B,2,)</f>
        <v/>
      </c>
      <c r="O57" s="30">
        <f>VLOOKUP(B57,Mexico!$A:$B,2,)</f>
        <v/>
      </c>
      <c r="P57" s="30">
        <f>VLOOKUP(B57,Russia!$A:$B,2,)</f>
        <v/>
      </c>
      <c r="Q57" s="30">
        <f>VLOOKUP(B57,India!$A:$B,2,)</f>
        <v/>
      </c>
      <c r="R57" s="30">
        <f>VLOOKUP(B57,Canada!$A:$B,2,)</f>
        <v/>
      </c>
      <c r="S57" s="30">
        <f>VLOOKUP(B57,Australia!$A:$B,2,)</f>
        <v/>
      </c>
      <c r="T57" s="30">
        <f>VLOOKUP(B57,Indonesia!$A:$B,2,)</f>
        <v/>
      </c>
      <c r="U57" s="30">
        <f>VLOOKUP(B57,SouthKorea!$A:$B,2,)</f>
        <v/>
      </c>
      <c r="V57" s="30">
        <f>VLOOKUP(B57,Taiwan!$A:$B,2,)</f>
        <v/>
      </c>
      <c r="W57" s="30">
        <f>VLOOKUP(B57,Greece!$A:$B,2,)</f>
        <v/>
      </c>
      <c r="X57" s="30">
        <f>VLOOKUP(B57,Ireland!$A:$B,2,)</f>
        <v/>
      </c>
      <c r="Y57" s="30">
        <f>VLOOKUP(B57,Turkey!$A:$B,2,)</f>
        <v/>
      </c>
      <c r="Z57" s="30">
        <f>VLOOKUP(B57,CzechRepublic!$A:$B,2,)</f>
        <v/>
      </c>
      <c r="AA57" s="30">
        <f>VLOOKUP(B57,Poland!$A:$B,2,)</f>
        <v/>
      </c>
      <c r="AB57" s="30">
        <f>VLOOKUP(B57,Denmark!$A:$B,2,)</f>
        <v/>
      </c>
    </row>
    <row r="58" customFormat="1" s="69">
      <c r="B58" s="29" t="n">
        <v>43466</v>
      </c>
      <c r="C58" s="30">
        <f>VLOOKUP(B58,Global!$A:$B,2,)</f>
        <v/>
      </c>
      <c r="D58" s="30">
        <f>VLOOKUP(B58,US!$A:$D,4,)</f>
        <v/>
      </c>
      <c r="E58" s="30">
        <f>VLOOKUP(B58,US!$A:$B,2,)</f>
        <v/>
      </c>
      <c r="F58" s="30">
        <f>VLOOKUP(B58,China!$A:$B,2,)</f>
        <v/>
      </c>
      <c r="G58" s="30">
        <f>VLOOKUP(B58,'Euro Area'!A:B,2,)</f>
        <v/>
      </c>
      <c r="H58" s="30">
        <f>VLOOKUP(B58,Japan!$A:$B,2,)</f>
        <v/>
      </c>
      <c r="I58" s="30">
        <f>VLOOKUP(B58,Germany!$A:$B,2,)</f>
        <v/>
      </c>
      <c r="J58" s="30">
        <f>VLOOKUP(B58,France!$A:$B,2,)</f>
        <v/>
      </c>
      <c r="K58" s="30">
        <f>VLOOKUP(B58,UK!$A:$B,2,)</f>
        <v/>
      </c>
      <c r="L58" s="30">
        <f>VLOOKUP(B58,Italy!$A:$B,2,)</f>
        <v/>
      </c>
      <c r="M58" s="30">
        <f>VLOOKUP(B58,Spain!$A:$B,2,)</f>
        <v/>
      </c>
      <c r="N58" s="30">
        <f>VLOOKUP(B58,Brazil!$A:$B,2,)</f>
        <v/>
      </c>
      <c r="O58" s="30">
        <f>VLOOKUP(B58,Mexico!$A:$B,2,)</f>
        <v/>
      </c>
      <c r="P58" s="30">
        <f>VLOOKUP(B58,Russia!$A:$B,2,)</f>
        <v/>
      </c>
      <c r="Q58" s="30">
        <f>VLOOKUP(B58,India!$A:$B,2,)</f>
        <v/>
      </c>
      <c r="R58" s="30">
        <f>VLOOKUP(B58,Canada!$A:$B,2,)</f>
        <v/>
      </c>
      <c r="S58" s="30">
        <f>VLOOKUP(B58,Australia!$A:$B,2,)</f>
        <v/>
      </c>
      <c r="T58" s="30">
        <f>VLOOKUP(B58,Indonesia!$A:$B,2,)</f>
        <v/>
      </c>
      <c r="U58" s="30">
        <f>VLOOKUP(B58,SouthKorea!$A:$B,2,)</f>
        <v/>
      </c>
      <c r="V58" s="30">
        <f>VLOOKUP(B58,Taiwan!$A:$B,2,)</f>
        <v/>
      </c>
      <c r="W58" s="30">
        <f>VLOOKUP(B58,Greece!$A:$B,2,)</f>
        <v/>
      </c>
      <c r="X58" s="30">
        <f>VLOOKUP(B58,Ireland!$A:$B,2,)</f>
        <v/>
      </c>
      <c r="Y58" s="30">
        <f>VLOOKUP(B58,Turkey!$A:$B,2,)</f>
        <v/>
      </c>
      <c r="Z58" s="30">
        <f>VLOOKUP(B58,CzechRepublic!$A:$B,2,)</f>
        <v/>
      </c>
      <c r="AA58" s="30">
        <f>VLOOKUP(B58,Poland!$A:$B,2,)</f>
        <v/>
      </c>
      <c r="AB58" s="30">
        <f>VLOOKUP(B58,Denmark!$A:$B,2,)</f>
        <v/>
      </c>
    </row>
    <row r="59" customFormat="1" s="69">
      <c r="B59" s="29" t="n">
        <v>43497</v>
      </c>
      <c r="C59" s="30">
        <f>VLOOKUP(B59,Global!$A:$B,2,)</f>
        <v/>
      </c>
      <c r="D59" s="30">
        <f>VLOOKUP(B59,US!$A:$D,4,)</f>
        <v/>
      </c>
      <c r="E59" s="30">
        <f>VLOOKUP(B59,US!$A:$B,2,)</f>
        <v/>
      </c>
      <c r="F59" s="30">
        <f>VLOOKUP(B59,China!$A:$B,2,)</f>
        <v/>
      </c>
      <c r="G59" s="30">
        <f>VLOOKUP(B59,'Euro Area'!A:B,2,)</f>
        <v/>
      </c>
      <c r="H59" s="30">
        <f>VLOOKUP(B59,Japan!$A:$B,2,)</f>
        <v/>
      </c>
      <c r="I59" s="30">
        <f>VLOOKUP(B59,Germany!$A:$B,2,)</f>
        <v/>
      </c>
      <c r="J59" s="30">
        <f>VLOOKUP(B59,France!$A:$B,2,)</f>
        <v/>
      </c>
      <c r="K59" s="30">
        <f>VLOOKUP(B59,UK!$A:$B,2,)</f>
        <v/>
      </c>
      <c r="L59" s="30">
        <f>VLOOKUP(B59,Italy!$A:$B,2,)</f>
        <v/>
      </c>
      <c r="M59" s="30">
        <f>VLOOKUP(B59,Spain!$A:$B,2,)</f>
        <v/>
      </c>
      <c r="N59" s="30">
        <f>VLOOKUP(B59,Brazil!$A:$B,2,)</f>
        <v/>
      </c>
      <c r="O59" s="30">
        <f>VLOOKUP(B59,Mexico!$A:$B,2,)</f>
        <v/>
      </c>
      <c r="P59" s="30">
        <f>VLOOKUP(B59,Russia!$A:$B,2,)</f>
        <v/>
      </c>
      <c r="Q59" s="30">
        <f>VLOOKUP(B59,India!$A:$B,2,)</f>
        <v/>
      </c>
      <c r="R59" s="30">
        <f>VLOOKUP(B59,Canada!$A:$B,2,)</f>
        <v/>
      </c>
      <c r="S59" s="30">
        <f>VLOOKUP(B59,Australia!$A:$B,2,)</f>
        <v/>
      </c>
      <c r="T59" s="30">
        <f>VLOOKUP(B59,Indonesia!$A:$B,2,)</f>
        <v/>
      </c>
      <c r="U59" s="30">
        <f>VLOOKUP(B59,SouthKorea!$A:$B,2,)</f>
        <v/>
      </c>
      <c r="V59" s="30">
        <f>VLOOKUP(B59,Taiwan!$A:$B,2,)</f>
        <v/>
      </c>
      <c r="W59" s="30">
        <f>VLOOKUP(B59,Greece!$A:$B,2,)</f>
        <v/>
      </c>
      <c r="X59" s="30">
        <f>VLOOKUP(B59,Ireland!$A:$B,2,)</f>
        <v/>
      </c>
      <c r="Y59" s="30">
        <f>VLOOKUP(B59,Turkey!$A:$B,2,)</f>
        <v/>
      </c>
      <c r="Z59" s="30">
        <f>VLOOKUP(B59,CzechRepublic!$A:$B,2,)</f>
        <v/>
      </c>
      <c r="AA59" s="30">
        <f>VLOOKUP(B59,Poland!$A:$B,2,)</f>
        <v/>
      </c>
      <c r="AB59" s="30">
        <f>VLOOKUP(B59,Denmark!$A:$B,2,)</f>
        <v/>
      </c>
    </row>
    <row r="60" customFormat="1" s="69">
      <c r="B60" s="29" t="n">
        <v>43525</v>
      </c>
      <c r="C60" s="30">
        <f>VLOOKUP(B60,Global!$A:$B,2,)</f>
        <v/>
      </c>
      <c r="D60" s="30">
        <f>VLOOKUP(B60,US!$A:$D,4,)</f>
        <v/>
      </c>
      <c r="E60" s="30">
        <f>VLOOKUP(B60,US!$A:$B,2,)</f>
        <v/>
      </c>
      <c r="F60" s="30">
        <f>VLOOKUP(B60,China!$A:$B,2,)</f>
        <v/>
      </c>
      <c r="G60" s="30">
        <f>VLOOKUP(B60,'Euro Area'!A:B,2,)</f>
        <v/>
      </c>
      <c r="H60" s="30">
        <f>VLOOKUP(B60,Japan!$A:$B,2,)</f>
        <v/>
      </c>
      <c r="I60" s="30">
        <f>VLOOKUP(B60,Germany!$A:$B,2,)</f>
        <v/>
      </c>
      <c r="J60" s="30">
        <f>VLOOKUP(B60,France!$A:$B,2,)</f>
        <v/>
      </c>
      <c r="K60" s="30">
        <f>VLOOKUP(B60,UK!$A:$B,2,)</f>
        <v/>
      </c>
      <c r="L60" s="30">
        <f>VLOOKUP(B60,Italy!$A:$B,2,)</f>
        <v/>
      </c>
      <c r="M60" s="30">
        <f>VLOOKUP(B60,Spain!$A:$B,2,)</f>
        <v/>
      </c>
      <c r="N60" s="30">
        <f>VLOOKUP(B60,Brazil!$A:$B,2,)</f>
        <v/>
      </c>
      <c r="O60" s="30">
        <f>VLOOKUP(B60,Mexico!$A:$B,2,)</f>
        <v/>
      </c>
      <c r="P60" s="30">
        <f>VLOOKUP(B60,Russia!$A:$B,2,)</f>
        <v/>
      </c>
      <c r="Q60" s="30">
        <f>VLOOKUP(B60,India!$A:$B,2,)</f>
        <v/>
      </c>
      <c r="R60" s="30">
        <f>VLOOKUP(B60,Canada!$A:$B,2,)</f>
        <v/>
      </c>
      <c r="S60" s="30">
        <f>VLOOKUP(B60,Australia!$A:$B,2,)</f>
        <v/>
      </c>
      <c r="T60" s="30">
        <f>VLOOKUP(B60,Indonesia!$A:$B,2,)</f>
        <v/>
      </c>
      <c r="U60" s="30">
        <f>VLOOKUP(B60,SouthKorea!$A:$B,2,)</f>
        <v/>
      </c>
      <c r="V60" s="30">
        <f>VLOOKUP(B60,Taiwan!$A:$B,2,)</f>
        <v/>
      </c>
      <c r="W60" s="30">
        <f>VLOOKUP(B60,Greece!$A:$B,2,)</f>
        <v/>
      </c>
      <c r="X60" s="30">
        <f>VLOOKUP(B60,Ireland!$A:$B,2,)</f>
        <v/>
      </c>
      <c r="Y60" s="30">
        <f>VLOOKUP(B60,Turkey!$A:$B,2,)</f>
        <v/>
      </c>
      <c r="Z60" s="30">
        <f>VLOOKUP(B60,CzechRepublic!$A:$B,2,)</f>
        <v/>
      </c>
      <c r="AA60" s="30">
        <f>VLOOKUP(B60,Poland!$A:$B,2,)</f>
        <v/>
      </c>
      <c r="AB60" s="30">
        <f>VLOOKUP(B60,Denmark!$A:$B,2,)</f>
        <v/>
      </c>
    </row>
    <row r="61" customFormat="1" s="69">
      <c r="B61" s="29" t="n">
        <v>43556</v>
      </c>
      <c r="C61" s="30">
        <f>VLOOKUP(B61,Global!$A:$B,2,)</f>
        <v/>
      </c>
      <c r="D61" s="30">
        <f>VLOOKUP(B61,US!$A:$D,4,)</f>
        <v/>
      </c>
      <c r="E61" s="30">
        <f>VLOOKUP(B61,US!$A:$B,2,)</f>
        <v/>
      </c>
      <c r="F61" s="30">
        <f>VLOOKUP(B61,China!$A:$B,2,)</f>
        <v/>
      </c>
      <c r="G61" s="30">
        <f>VLOOKUP(B61,'Euro Area'!A:B,2,)</f>
        <v/>
      </c>
      <c r="H61" s="30">
        <f>VLOOKUP(B61,Japan!$A:$B,2,)</f>
        <v/>
      </c>
      <c r="I61" s="30">
        <f>VLOOKUP(B61,Germany!$A:$B,2,)</f>
        <v/>
      </c>
      <c r="J61" s="30">
        <f>VLOOKUP(B61,France!$A:$B,2,)</f>
        <v/>
      </c>
      <c r="K61" s="30">
        <f>VLOOKUP(B61,UK!$A:$B,2,)</f>
        <v/>
      </c>
      <c r="L61" s="30">
        <f>VLOOKUP(B61,Italy!$A:$B,2,)</f>
        <v/>
      </c>
      <c r="M61" s="30">
        <f>VLOOKUP(B61,Spain!$A:$B,2,)</f>
        <v/>
      </c>
      <c r="N61" s="30">
        <f>VLOOKUP(B61,Brazil!$A:$B,2,)</f>
        <v/>
      </c>
      <c r="O61" s="30">
        <f>VLOOKUP(B61,Mexico!$A:$B,2,)</f>
        <v/>
      </c>
      <c r="P61" s="30">
        <f>VLOOKUP(B61,Russia!$A:$B,2,)</f>
        <v/>
      </c>
      <c r="Q61" s="30">
        <f>VLOOKUP(B61,India!$A:$B,2,)</f>
        <v/>
      </c>
      <c r="R61" s="30">
        <f>VLOOKUP(B61,Canada!$A:$B,2,)</f>
        <v/>
      </c>
      <c r="S61" s="30">
        <f>VLOOKUP(B61,Australia!$A:$B,2,)</f>
        <v/>
      </c>
      <c r="T61" s="30">
        <f>VLOOKUP(B61,Indonesia!$A:$B,2,)</f>
        <v/>
      </c>
      <c r="U61" s="30">
        <f>VLOOKUP(B61,SouthKorea!$A:$B,2,)</f>
        <v/>
      </c>
      <c r="V61" s="30">
        <f>VLOOKUP(B61,Taiwan!$A:$B,2,)</f>
        <v/>
      </c>
      <c r="W61" s="30">
        <f>VLOOKUP(B61,Greece!$A:$B,2,)</f>
        <v/>
      </c>
      <c r="X61" s="30">
        <f>VLOOKUP(B61,Ireland!$A:$B,2,)</f>
        <v/>
      </c>
      <c r="Y61" s="30">
        <f>VLOOKUP(B61,Turkey!$A:$B,2,)</f>
        <v/>
      </c>
      <c r="Z61" s="30">
        <f>VLOOKUP(B61,CzechRepublic!$A:$B,2,)</f>
        <v/>
      </c>
      <c r="AA61" s="30">
        <f>VLOOKUP(B61,Poland!$A:$B,2,)</f>
        <v/>
      </c>
      <c r="AB61" s="30">
        <f>VLOOKUP(B61,Denmark!$A:$B,2,)</f>
        <v/>
      </c>
    </row>
    <row r="62" customFormat="1" s="69">
      <c r="B62" s="29" t="n">
        <v>43586</v>
      </c>
      <c r="C62" s="30">
        <f>VLOOKUP(B62,Global!$A:$B,2,)</f>
        <v/>
      </c>
      <c r="D62" s="30">
        <f>VLOOKUP(B62,US!$A:$D,4,)</f>
        <v/>
      </c>
      <c r="E62" s="30">
        <f>VLOOKUP(B62,US!$A:$B,2,)</f>
        <v/>
      </c>
      <c r="F62" s="30">
        <f>VLOOKUP(B62,China!$A:$B,2,)</f>
        <v/>
      </c>
      <c r="G62" s="30">
        <f>VLOOKUP(B62,'Euro Area'!A:B,2,)</f>
        <v/>
      </c>
      <c r="H62" s="30">
        <f>VLOOKUP(B62,Japan!$A:$B,2,)</f>
        <v/>
      </c>
      <c r="I62" s="30">
        <f>VLOOKUP(B62,Germany!$A:$B,2,)</f>
        <v/>
      </c>
      <c r="J62" s="30">
        <f>VLOOKUP(B62,France!$A:$B,2,)</f>
        <v/>
      </c>
      <c r="K62" s="30">
        <f>VLOOKUP(B62,UK!$A:$B,2,)</f>
        <v/>
      </c>
      <c r="L62" s="30">
        <f>VLOOKUP(B62,Italy!$A:$B,2,)</f>
        <v/>
      </c>
      <c r="M62" s="30">
        <f>VLOOKUP(B62,Spain!$A:$B,2,)</f>
        <v/>
      </c>
      <c r="N62" s="30">
        <f>VLOOKUP(B62,Brazil!$A:$B,2,)</f>
        <v/>
      </c>
      <c r="O62" s="30">
        <f>VLOOKUP(B62,Mexico!$A:$B,2,)</f>
        <v/>
      </c>
      <c r="P62" s="30">
        <f>VLOOKUP(B62,Russia!$A:$B,2,)</f>
        <v/>
      </c>
      <c r="Q62" s="30">
        <f>VLOOKUP(B62,India!$A:$B,2,)</f>
        <v/>
      </c>
      <c r="R62" s="30">
        <f>VLOOKUP(B62,Canada!$A:$B,2,)</f>
        <v/>
      </c>
      <c r="S62" s="30">
        <f>VLOOKUP(B62,Australia!$A:$B,2,)</f>
        <v/>
      </c>
      <c r="T62" s="30">
        <f>VLOOKUP(B62,Indonesia!$A:$B,2,)</f>
        <v/>
      </c>
      <c r="U62" s="30">
        <f>VLOOKUP(B62,SouthKorea!$A:$B,2,)</f>
        <v/>
      </c>
      <c r="V62" s="30">
        <f>VLOOKUP(B62,Taiwan!$A:$B,2,)</f>
        <v/>
      </c>
      <c r="W62" s="30">
        <f>VLOOKUP(B62,Greece!$A:$B,2,)</f>
        <v/>
      </c>
      <c r="X62" s="30">
        <f>VLOOKUP(B62,Ireland!$A:$B,2,)</f>
        <v/>
      </c>
      <c r="Y62" s="30">
        <f>VLOOKUP(B62,Turkey!$A:$B,2,)</f>
        <v/>
      </c>
      <c r="Z62" s="30">
        <f>VLOOKUP(B62,CzechRepublic!$A:$B,2,)</f>
        <v/>
      </c>
      <c r="AA62" s="30">
        <f>VLOOKUP(B62,Poland!$A:$B,2,)</f>
        <v/>
      </c>
      <c r="AB62" s="30">
        <f>VLOOKUP(B62,Denmark!$A:$B,2,)</f>
        <v/>
      </c>
    </row>
    <row r="63" customFormat="1" s="69">
      <c r="B63" s="29" t="n">
        <v>43617</v>
      </c>
      <c r="C63" s="30">
        <f>VLOOKUP(B63,Global!$A:$B,2,)</f>
        <v/>
      </c>
      <c r="D63" s="30">
        <f>VLOOKUP(B63,US!$A:$D,4,)</f>
        <v/>
      </c>
      <c r="E63" s="30">
        <f>VLOOKUP(B63,US!$A:$B,2,)</f>
        <v/>
      </c>
      <c r="F63" s="30">
        <f>VLOOKUP(B63,China!$A:$B,2,)</f>
        <v/>
      </c>
      <c r="G63" s="30">
        <f>VLOOKUP(B63,'Euro Area'!A:B,2,)</f>
        <v/>
      </c>
      <c r="H63" s="30">
        <f>VLOOKUP(B63,Japan!$A:$B,2,)</f>
        <v/>
      </c>
      <c r="I63" s="30">
        <f>VLOOKUP(B63,Germany!$A:$B,2,)</f>
        <v/>
      </c>
      <c r="J63" s="30">
        <f>VLOOKUP(B63,France!$A:$B,2,)</f>
        <v/>
      </c>
      <c r="K63" s="30">
        <f>VLOOKUP(B63,UK!$A:$B,2,)</f>
        <v/>
      </c>
      <c r="L63" s="30">
        <f>VLOOKUP(B63,Italy!$A:$B,2,)</f>
        <v/>
      </c>
      <c r="M63" s="30">
        <f>VLOOKUP(B63,Spain!$A:$B,2,)</f>
        <v/>
      </c>
      <c r="N63" s="30">
        <f>VLOOKUP(B63,Brazil!$A:$B,2,)</f>
        <v/>
      </c>
      <c r="O63" s="30">
        <f>VLOOKUP(B63,Mexico!$A:$B,2,)</f>
        <v/>
      </c>
      <c r="P63" s="30">
        <f>VLOOKUP(B63,Russia!$A:$B,2,)</f>
        <v/>
      </c>
      <c r="Q63" s="30">
        <f>VLOOKUP(B63,India!$A:$B,2,)</f>
        <v/>
      </c>
      <c r="R63" s="30">
        <f>VLOOKUP(B63,Canada!$A:$B,2,)</f>
        <v/>
      </c>
      <c r="S63" s="30">
        <f>VLOOKUP(B63,Australia!$A:$B,2,)</f>
        <v/>
      </c>
      <c r="T63" s="30">
        <f>VLOOKUP(B63,Indonesia!$A:$B,2,)</f>
        <v/>
      </c>
      <c r="U63" s="30">
        <f>VLOOKUP(B63,SouthKorea!$A:$B,2,)</f>
        <v/>
      </c>
      <c r="V63" s="30">
        <f>VLOOKUP(B63,Taiwan!$A:$B,2,)</f>
        <v/>
      </c>
      <c r="W63" s="30">
        <f>VLOOKUP(B63,Greece!$A:$B,2,)</f>
        <v/>
      </c>
      <c r="X63" s="30">
        <f>VLOOKUP(B63,Ireland!$A:$B,2,)</f>
        <v/>
      </c>
      <c r="Y63" s="30">
        <f>VLOOKUP(B63,Turkey!$A:$B,2,)</f>
        <v/>
      </c>
      <c r="Z63" s="30">
        <f>VLOOKUP(B63,CzechRepublic!$A:$B,2,)</f>
        <v/>
      </c>
      <c r="AA63" s="30">
        <f>VLOOKUP(B63,Poland!$A:$B,2,)</f>
        <v/>
      </c>
      <c r="AB63" s="30">
        <f>VLOOKUP(B63,Denmark!$A:$B,2,)</f>
        <v/>
      </c>
    </row>
    <row r="64" customFormat="1" s="69">
      <c r="B64" s="29" t="n">
        <v>43647</v>
      </c>
      <c r="C64" s="30">
        <f>VLOOKUP(B64,Global!$A:$B,2,)</f>
        <v/>
      </c>
      <c r="D64" s="30">
        <f>VLOOKUP(B64,US!$A:$D,4,)</f>
        <v/>
      </c>
      <c r="E64" s="30">
        <f>VLOOKUP(B64,US!$A:$B,2,)</f>
        <v/>
      </c>
      <c r="F64" s="30">
        <f>VLOOKUP(B64,China!$A:$B,2,)</f>
        <v/>
      </c>
      <c r="G64" s="30">
        <f>VLOOKUP(B64,'Euro Area'!A:B,2,)</f>
        <v/>
      </c>
      <c r="H64" s="30">
        <f>VLOOKUP(B64,Japan!$A:$B,2,)</f>
        <v/>
      </c>
      <c r="I64" s="30">
        <f>VLOOKUP(B64,Germany!$A:$B,2,)</f>
        <v/>
      </c>
      <c r="J64" s="30">
        <f>VLOOKUP(B64,France!$A:$B,2,)</f>
        <v/>
      </c>
      <c r="K64" s="30">
        <f>VLOOKUP(B64,UK!$A:$B,2,)</f>
        <v/>
      </c>
      <c r="L64" s="30">
        <f>VLOOKUP(B64,Italy!$A:$B,2,)</f>
        <v/>
      </c>
      <c r="M64" s="30">
        <f>VLOOKUP(B64,Spain!$A:$B,2,)</f>
        <v/>
      </c>
      <c r="N64" s="30">
        <f>VLOOKUP(B64,Brazil!$A:$B,2,)</f>
        <v/>
      </c>
      <c r="O64" s="30">
        <f>VLOOKUP(B64,Mexico!$A:$B,2,)</f>
        <v/>
      </c>
      <c r="P64" s="30">
        <f>VLOOKUP(B64,Russia!$A:$B,2,)</f>
        <v/>
      </c>
      <c r="Q64" s="30">
        <f>VLOOKUP(B64,India!$A:$B,2,)</f>
        <v/>
      </c>
      <c r="R64" s="30">
        <f>VLOOKUP(B64,Canada!$A:$B,2,)</f>
        <v/>
      </c>
      <c r="S64" s="30">
        <f>VLOOKUP(B64,Australia!$A:$B,2,)</f>
        <v/>
      </c>
      <c r="T64" s="30">
        <f>VLOOKUP(B64,Indonesia!$A:$B,2,)</f>
        <v/>
      </c>
      <c r="U64" s="30">
        <f>VLOOKUP(B64,SouthKorea!$A:$B,2,)</f>
        <v/>
      </c>
      <c r="V64" s="30">
        <f>VLOOKUP(B64,Taiwan!$A:$B,2,)</f>
        <v/>
      </c>
      <c r="W64" s="30">
        <f>VLOOKUP(B64,Greece!$A:$B,2,)</f>
        <v/>
      </c>
      <c r="X64" s="30">
        <f>VLOOKUP(B64,Ireland!$A:$B,2,)</f>
        <v/>
      </c>
      <c r="Y64" s="30">
        <f>VLOOKUP(B64,Turkey!$A:$B,2,)</f>
        <v/>
      </c>
      <c r="Z64" s="30">
        <f>VLOOKUP(B64,CzechRepublic!$A:$B,2,)</f>
        <v/>
      </c>
      <c r="AA64" s="30">
        <f>VLOOKUP(B64,Poland!$A:$B,2,)</f>
        <v/>
      </c>
      <c r="AB64" s="30">
        <f>VLOOKUP(B64,Denmark!$A:$B,2,)</f>
        <v/>
      </c>
    </row>
    <row r="65" customFormat="1" s="69">
      <c r="B65" s="29" t="n">
        <v>43678</v>
      </c>
      <c r="C65" s="30">
        <f>VLOOKUP(B65,Global!$A:$B,2,)</f>
        <v/>
      </c>
      <c r="D65" s="30">
        <f>VLOOKUP(B65,US!$A:$D,4,)</f>
        <v/>
      </c>
      <c r="E65" s="30">
        <f>VLOOKUP(B65,US!$A:$B,2,)</f>
        <v/>
      </c>
      <c r="F65" s="30">
        <f>VLOOKUP(B65,China!$A:$B,2,)</f>
        <v/>
      </c>
      <c r="G65" s="30">
        <f>VLOOKUP(B65,'Euro Area'!A:B,2,)</f>
        <v/>
      </c>
      <c r="H65" s="30">
        <f>VLOOKUP(B65,Japan!$A:$B,2,)</f>
        <v/>
      </c>
      <c r="I65" s="30">
        <f>VLOOKUP(B65,Germany!$A:$B,2,)</f>
        <v/>
      </c>
      <c r="J65" s="30">
        <f>VLOOKUP(B65,France!$A:$B,2,)</f>
        <v/>
      </c>
      <c r="K65" s="30">
        <f>VLOOKUP(B65,UK!$A:$B,2,)</f>
        <v/>
      </c>
      <c r="L65" s="30">
        <f>VLOOKUP(B65,Italy!$A:$B,2,)</f>
        <v/>
      </c>
      <c r="M65" s="30">
        <f>VLOOKUP(B65,Spain!$A:$B,2,)</f>
        <v/>
      </c>
      <c r="N65" s="30">
        <f>VLOOKUP(B65,Brazil!$A:$B,2,)</f>
        <v/>
      </c>
      <c r="O65" s="30">
        <f>VLOOKUP(B65,Mexico!$A:$B,2,)</f>
        <v/>
      </c>
      <c r="P65" s="30">
        <f>VLOOKUP(B65,Russia!$A:$B,2,)</f>
        <v/>
      </c>
      <c r="Q65" s="30">
        <f>VLOOKUP(B65,India!$A:$B,2,)</f>
        <v/>
      </c>
      <c r="R65" s="30">
        <f>VLOOKUP(B65,Canada!$A:$B,2,)</f>
        <v/>
      </c>
      <c r="S65" s="30">
        <f>VLOOKUP(B65,Australia!$A:$B,2,)</f>
        <v/>
      </c>
      <c r="T65" s="30">
        <f>VLOOKUP(B65,Indonesia!$A:$B,2,)</f>
        <v/>
      </c>
      <c r="U65" s="30">
        <f>VLOOKUP(B65,SouthKorea!$A:$B,2,)</f>
        <v/>
      </c>
      <c r="V65" s="30">
        <f>VLOOKUP(B65,Taiwan!$A:$B,2,)</f>
        <v/>
      </c>
      <c r="W65" s="30">
        <f>VLOOKUP(B65,Greece!$A:$B,2,)</f>
        <v/>
      </c>
      <c r="X65" s="30">
        <f>VLOOKUP(B65,Ireland!$A:$B,2,)</f>
        <v/>
      </c>
      <c r="Y65" s="30">
        <f>VLOOKUP(B65,Turkey!$A:$B,2,)</f>
        <v/>
      </c>
      <c r="Z65" s="30">
        <f>VLOOKUP(B65,CzechRepublic!$A:$B,2,)</f>
        <v/>
      </c>
      <c r="AA65" s="30">
        <f>VLOOKUP(B65,Poland!$A:$B,2,)</f>
        <v/>
      </c>
      <c r="AB65" s="30">
        <f>VLOOKUP(B65,Denmark!$A:$B,2,)</f>
        <v/>
      </c>
    </row>
    <row r="66" customFormat="1" s="69">
      <c r="B66" s="29" t="n">
        <v>43709</v>
      </c>
      <c r="C66" s="30">
        <f>VLOOKUP(B66,Global!$A:$B,2,)</f>
        <v/>
      </c>
      <c r="D66" s="30">
        <f>VLOOKUP(B66,US!$A:$D,4,)</f>
        <v/>
      </c>
      <c r="E66" s="30">
        <f>VLOOKUP(B66,US!$A:$B,2,)</f>
        <v/>
      </c>
      <c r="F66" s="30">
        <f>VLOOKUP(B66,China!$A:$B,2,)</f>
        <v/>
      </c>
      <c r="G66" s="30">
        <f>VLOOKUP(B66,'Euro Area'!A:B,2,)</f>
        <v/>
      </c>
      <c r="H66" s="30">
        <f>VLOOKUP(B66,Japan!$A:$B,2,)</f>
        <v/>
      </c>
      <c r="I66" s="30">
        <f>VLOOKUP(B66,Germany!$A:$B,2,)</f>
        <v/>
      </c>
      <c r="J66" s="30">
        <f>VLOOKUP(B66,France!$A:$B,2,)</f>
        <v/>
      </c>
      <c r="K66" s="30">
        <f>VLOOKUP(B66,UK!$A:$B,2,)</f>
        <v/>
      </c>
      <c r="L66" s="30">
        <f>VLOOKUP(B66,Italy!$A:$B,2,)</f>
        <v/>
      </c>
      <c r="M66" s="30">
        <f>VLOOKUP(B66,Spain!$A:$B,2,)</f>
        <v/>
      </c>
      <c r="N66" s="30">
        <f>VLOOKUP(B66,Brazil!$A:$B,2,)</f>
        <v/>
      </c>
      <c r="O66" s="30">
        <f>VLOOKUP(B66,Mexico!$A:$B,2,)</f>
        <v/>
      </c>
      <c r="P66" s="30">
        <f>VLOOKUP(B66,Russia!$A:$B,2,)</f>
        <v/>
      </c>
      <c r="Q66" s="30">
        <f>VLOOKUP(B66,India!$A:$B,2,)</f>
        <v/>
      </c>
      <c r="R66" s="30">
        <f>VLOOKUP(B66,Canada!$A:$B,2,)</f>
        <v/>
      </c>
      <c r="S66" s="30">
        <f>VLOOKUP(B66,Australia!$A:$B,2,)</f>
        <v/>
      </c>
      <c r="T66" s="30">
        <f>VLOOKUP(B66,Indonesia!$A:$B,2,)</f>
        <v/>
      </c>
      <c r="U66" s="30">
        <f>VLOOKUP(B66,SouthKorea!$A:$B,2,)</f>
        <v/>
      </c>
      <c r="V66" s="30">
        <f>VLOOKUP(B66,Taiwan!$A:$B,2,)</f>
        <v/>
      </c>
      <c r="W66" s="30">
        <f>VLOOKUP(B66,Greece!$A:$B,2,)</f>
        <v/>
      </c>
      <c r="X66" s="30">
        <f>VLOOKUP(B66,Ireland!$A:$B,2,)</f>
        <v/>
      </c>
      <c r="Y66" s="30">
        <f>VLOOKUP(B66,Turkey!$A:$B,2,)</f>
        <v/>
      </c>
      <c r="Z66" s="30">
        <f>VLOOKUP(B66,CzechRepublic!$A:$B,2,)</f>
        <v/>
      </c>
      <c r="AA66" s="30">
        <f>VLOOKUP(B66,Poland!$A:$B,2,)</f>
        <v/>
      </c>
      <c r="AB66" s="30">
        <f>VLOOKUP(B66,Denmark!$A:$B,2,)</f>
        <v/>
      </c>
    </row>
    <row r="67" customFormat="1" s="69">
      <c r="B67" s="29" t="n">
        <v>43739</v>
      </c>
      <c r="C67" s="30">
        <f>VLOOKUP(B67,Global!$A:$B,2,)</f>
        <v/>
      </c>
      <c r="D67" s="30">
        <f>VLOOKUP(B67,US!$A:$D,4,)</f>
        <v/>
      </c>
      <c r="E67" s="30">
        <f>VLOOKUP(B67,US!$A:$B,2,)</f>
        <v/>
      </c>
      <c r="F67" s="30">
        <f>VLOOKUP(B67,China!$A:$B,2,)</f>
        <v/>
      </c>
      <c r="G67" s="30">
        <f>VLOOKUP(B67,'Euro Area'!A:B,2,)</f>
        <v/>
      </c>
      <c r="H67" s="30">
        <f>VLOOKUP(B67,Japan!$A:$B,2,)</f>
        <v/>
      </c>
      <c r="I67" s="30">
        <f>VLOOKUP(B67,Germany!$A:$B,2,)</f>
        <v/>
      </c>
      <c r="J67" s="30">
        <f>VLOOKUP(B67,France!$A:$B,2,)</f>
        <v/>
      </c>
      <c r="K67" s="30">
        <f>VLOOKUP(B67,UK!$A:$B,2,)</f>
        <v/>
      </c>
      <c r="L67" s="30">
        <f>VLOOKUP(B67,Italy!$A:$B,2,)</f>
        <v/>
      </c>
      <c r="M67" s="30">
        <f>VLOOKUP(B67,Spain!$A:$B,2,)</f>
        <v/>
      </c>
      <c r="N67" s="30">
        <f>VLOOKUP(B67,Brazil!$A:$B,2,)</f>
        <v/>
      </c>
      <c r="O67" s="30">
        <f>VLOOKUP(B67,Mexico!$A:$B,2,)</f>
        <v/>
      </c>
      <c r="P67" s="30">
        <f>VLOOKUP(B67,Russia!$A:$B,2,)</f>
        <v/>
      </c>
      <c r="Q67" s="30">
        <f>VLOOKUP(B67,India!$A:$B,2,)</f>
        <v/>
      </c>
      <c r="R67" s="30">
        <f>VLOOKUP(B67,Canada!$A:$B,2,)</f>
        <v/>
      </c>
      <c r="S67" s="30">
        <f>VLOOKUP(B67,Australia!$A:$B,2,)</f>
        <v/>
      </c>
      <c r="T67" s="30">
        <f>VLOOKUP(B67,Indonesia!$A:$B,2,)</f>
        <v/>
      </c>
      <c r="U67" s="30">
        <f>VLOOKUP(B67,SouthKorea!$A:$B,2,)</f>
        <v/>
      </c>
      <c r="V67" s="30">
        <f>VLOOKUP(B67,Taiwan!$A:$B,2,)</f>
        <v/>
      </c>
      <c r="W67" s="30">
        <f>VLOOKUP(B67,Greece!$A:$B,2,)</f>
        <v/>
      </c>
      <c r="X67" s="30">
        <f>VLOOKUP(B67,Ireland!$A:$B,2,)</f>
        <v/>
      </c>
      <c r="Y67" s="30">
        <f>VLOOKUP(B67,Turkey!$A:$B,2,)</f>
        <v/>
      </c>
      <c r="Z67" s="30">
        <f>VLOOKUP(B67,CzechRepublic!$A:$B,2,)</f>
        <v/>
      </c>
      <c r="AA67" s="30">
        <f>VLOOKUP(B67,Poland!$A:$B,2,)</f>
        <v/>
      </c>
      <c r="AB67" s="30">
        <f>VLOOKUP(B67,Denmark!$A:$B,2,)</f>
        <v/>
      </c>
    </row>
    <row r="68" customFormat="1" s="69">
      <c r="B68" s="29" t="n">
        <v>43770</v>
      </c>
      <c r="C68" s="30">
        <f>VLOOKUP(B68,Global!$A:$B,2,)</f>
        <v/>
      </c>
      <c r="D68" s="30">
        <f>VLOOKUP(B68,US!$A:$D,4,)</f>
        <v/>
      </c>
      <c r="E68" s="30">
        <f>VLOOKUP(B68,US!$A:$B,2,)</f>
        <v/>
      </c>
      <c r="F68" s="30">
        <f>VLOOKUP(B68,China!$A:$B,2,)</f>
        <v/>
      </c>
      <c r="G68" s="30">
        <f>VLOOKUP(B68,'Euro Area'!A:B,2,)</f>
        <v/>
      </c>
      <c r="H68" s="30">
        <f>VLOOKUP(B68,Japan!$A:$B,2,)</f>
        <v/>
      </c>
      <c r="I68" s="30">
        <f>VLOOKUP(B68,Germany!$A:$B,2,)</f>
        <v/>
      </c>
      <c r="J68" s="30">
        <f>VLOOKUP(B68,France!$A:$B,2,)</f>
        <v/>
      </c>
      <c r="K68" s="30">
        <f>VLOOKUP(B68,UK!$A:$B,2,)</f>
        <v/>
      </c>
      <c r="L68" s="30">
        <f>VLOOKUP(B68,Italy!$A:$B,2,)</f>
        <v/>
      </c>
      <c r="M68" s="30">
        <f>VLOOKUP(B68,Spain!$A:$B,2,)</f>
        <v/>
      </c>
      <c r="N68" s="30">
        <f>VLOOKUP(B68,Brazil!$A:$B,2,)</f>
        <v/>
      </c>
      <c r="O68" s="30">
        <f>VLOOKUP(B68,Mexico!$A:$B,2,)</f>
        <v/>
      </c>
      <c r="P68" s="30">
        <f>VLOOKUP(B68,Russia!$A:$B,2,)</f>
        <v/>
      </c>
      <c r="Q68" s="30">
        <f>VLOOKUP(B68,India!$A:$B,2,)</f>
        <v/>
      </c>
      <c r="R68" s="30">
        <f>VLOOKUP(B68,Canada!$A:$B,2,)</f>
        <v/>
      </c>
      <c r="S68" s="30">
        <f>VLOOKUP(B68,Australia!$A:$B,2,)</f>
        <v/>
      </c>
      <c r="T68" s="30">
        <f>VLOOKUP(B68,Indonesia!$A:$B,2,)</f>
        <v/>
      </c>
      <c r="U68" s="30">
        <f>VLOOKUP(B68,SouthKorea!$A:$B,2,)</f>
        <v/>
      </c>
      <c r="V68" s="30">
        <f>VLOOKUP(B68,Taiwan!$A:$B,2,)</f>
        <v/>
      </c>
      <c r="W68" s="30">
        <f>VLOOKUP(B68,Greece!$A:$B,2,)</f>
        <v/>
      </c>
      <c r="X68" s="30">
        <f>VLOOKUP(B68,Ireland!$A:$B,2,)</f>
        <v/>
      </c>
      <c r="Y68" s="30">
        <f>VLOOKUP(B68,Turkey!$A:$B,2,)</f>
        <v/>
      </c>
      <c r="Z68" s="30">
        <f>VLOOKUP(B68,CzechRepublic!$A:$B,2,)</f>
        <v/>
      </c>
      <c r="AA68" s="30">
        <f>VLOOKUP(B68,Poland!$A:$B,2,)</f>
        <v/>
      </c>
      <c r="AB68" s="30">
        <f>VLOOKUP(B68,Denmark!$A:$B,2,)</f>
        <v/>
      </c>
    </row>
    <row r="69" customFormat="1" s="69">
      <c r="B69" s="29" t="n">
        <v>43800</v>
      </c>
      <c r="C69" s="30">
        <f>VLOOKUP(B69,Global!$A:$B,2,)</f>
        <v/>
      </c>
      <c r="D69" s="30">
        <f>VLOOKUP(B69,US!$A:$D,4,)</f>
        <v/>
      </c>
      <c r="E69" s="30">
        <f>VLOOKUP(B69,US!$A:$B,2,)</f>
        <v/>
      </c>
      <c r="F69" s="30">
        <f>VLOOKUP(B69,China!$A:$B,2,)</f>
        <v/>
      </c>
      <c r="G69" s="30">
        <f>VLOOKUP(B69,'Euro Area'!A:B,2,)</f>
        <v/>
      </c>
      <c r="H69" s="30">
        <f>VLOOKUP(B69,Japan!$A:$B,2,)</f>
        <v/>
      </c>
      <c r="I69" s="30">
        <f>VLOOKUP(B69,Germany!$A:$B,2,)</f>
        <v/>
      </c>
      <c r="J69" s="30">
        <f>VLOOKUP(B69,France!$A:$B,2,)</f>
        <v/>
      </c>
      <c r="K69" s="30">
        <f>VLOOKUP(B69,UK!$A:$B,2,)</f>
        <v/>
      </c>
      <c r="L69" s="30">
        <f>VLOOKUP(B69,Italy!$A:$B,2,)</f>
        <v/>
      </c>
      <c r="M69" s="30">
        <f>VLOOKUP(B69,Spain!$A:$B,2,)</f>
        <v/>
      </c>
      <c r="N69" s="30">
        <f>VLOOKUP(B69,Brazil!$A:$B,2,)</f>
        <v/>
      </c>
      <c r="O69" s="30">
        <f>VLOOKUP(B69,Mexico!$A:$B,2,)</f>
        <v/>
      </c>
      <c r="P69" s="30">
        <f>VLOOKUP(B69,Russia!$A:$B,2,)</f>
        <v/>
      </c>
      <c r="Q69" s="30">
        <f>VLOOKUP(B69,India!$A:$B,2,)</f>
        <v/>
      </c>
      <c r="R69" s="30">
        <f>VLOOKUP(B69,Canada!$A:$B,2,)</f>
        <v/>
      </c>
      <c r="S69" s="30">
        <f>VLOOKUP(B69,Australia!$A:$B,2,)</f>
        <v/>
      </c>
      <c r="T69" s="30">
        <f>VLOOKUP(B69,Indonesia!$A:$B,2,)</f>
        <v/>
      </c>
      <c r="U69" s="30">
        <f>VLOOKUP(B69,SouthKorea!$A:$B,2,)</f>
        <v/>
      </c>
      <c r="V69" s="30">
        <f>VLOOKUP(B69,Taiwan!$A:$B,2,)</f>
        <v/>
      </c>
      <c r="W69" s="30">
        <f>VLOOKUP(B69,Greece!$A:$B,2,)</f>
        <v/>
      </c>
      <c r="X69" s="30">
        <f>VLOOKUP(B69,Ireland!$A:$B,2,)</f>
        <v/>
      </c>
      <c r="Y69" s="30">
        <f>VLOOKUP(B69,Turkey!$A:$B,2,)</f>
        <v/>
      </c>
      <c r="Z69" s="30">
        <f>VLOOKUP(B69,CzechRepublic!$A:$B,2,)</f>
        <v/>
      </c>
      <c r="AA69" s="30">
        <f>VLOOKUP(B69,Poland!$A:$B,2,)</f>
        <v/>
      </c>
      <c r="AB69" s="30">
        <f>VLOOKUP(B69,Denmark!$A:$B,2,)</f>
        <v/>
      </c>
    </row>
    <row r="70" customFormat="1" s="69">
      <c r="B70" s="29" t="n">
        <v>43831</v>
      </c>
      <c r="C70" s="30">
        <f>VLOOKUP(B70,Global!$A:$B,2,)</f>
        <v/>
      </c>
      <c r="D70" s="30">
        <f>VLOOKUP(B70,US!$A:$D,4,)</f>
        <v/>
      </c>
      <c r="E70" s="30">
        <f>VLOOKUP(B70,US!$A:$B,2,)</f>
        <v/>
      </c>
      <c r="F70" s="30">
        <f>VLOOKUP(B70,China!$A:$B,2,)</f>
        <v/>
      </c>
      <c r="G70" s="30">
        <f>VLOOKUP(B70,'Euro Area'!A:B,2,)</f>
        <v/>
      </c>
      <c r="H70" s="30">
        <f>VLOOKUP(B70,Japan!$A:$B,2,)</f>
        <v/>
      </c>
      <c r="I70" s="30">
        <f>VLOOKUP(B70,Germany!$A:$B,2,)</f>
        <v/>
      </c>
      <c r="J70" s="30">
        <f>VLOOKUP(B70,France!$A:$B,2,)</f>
        <v/>
      </c>
      <c r="K70" s="30">
        <f>VLOOKUP(B70,UK!$A:$B,2,)</f>
        <v/>
      </c>
      <c r="L70" s="30">
        <f>VLOOKUP(B70,Italy!$A:$B,2,)</f>
        <v/>
      </c>
      <c r="M70" s="30">
        <f>VLOOKUP(B70,Spain!$A:$B,2,)</f>
        <v/>
      </c>
      <c r="N70" s="30">
        <f>VLOOKUP(B70,Brazil!$A:$B,2,)</f>
        <v/>
      </c>
      <c r="O70" s="30">
        <f>VLOOKUP(B70,Mexico!$A:$B,2,)</f>
        <v/>
      </c>
      <c r="P70" s="30">
        <f>VLOOKUP(B70,Russia!$A:$B,2,)</f>
        <v/>
      </c>
      <c r="Q70" s="30">
        <f>VLOOKUP(B70,India!$A:$B,2,)</f>
        <v/>
      </c>
      <c r="R70" s="30">
        <f>VLOOKUP(B70,Canada!$A:$B,2,)</f>
        <v/>
      </c>
      <c r="S70" s="30">
        <f>VLOOKUP(B70,Australia!$A:$B,2,)</f>
        <v/>
      </c>
      <c r="T70" s="30">
        <f>VLOOKUP(B70,Indonesia!$A:$B,2,)</f>
        <v/>
      </c>
      <c r="U70" s="30">
        <f>VLOOKUP(B70,SouthKorea!$A:$B,2,)</f>
        <v/>
      </c>
      <c r="V70" s="30">
        <f>VLOOKUP(B70,Taiwan!$A:$B,2,)</f>
        <v/>
      </c>
      <c r="W70" s="30">
        <f>VLOOKUP(B70,Greece!$A:$B,2,)</f>
        <v/>
      </c>
      <c r="X70" s="30">
        <f>VLOOKUP(B70,Ireland!$A:$B,2,)</f>
        <v/>
      </c>
      <c r="Y70" s="30">
        <f>VLOOKUP(B70,Turkey!$A:$B,2,)</f>
        <v/>
      </c>
      <c r="Z70" s="30">
        <f>VLOOKUP(B70,CzechRepublic!$A:$B,2,)</f>
        <v/>
      </c>
      <c r="AA70" s="30">
        <f>VLOOKUP(B70,Poland!$A:$B,2,)</f>
        <v/>
      </c>
      <c r="AB70" s="30">
        <f>VLOOKUP(B70,Denmark!$A:$B,2,)</f>
        <v/>
      </c>
    </row>
    <row r="71" customFormat="1" s="69">
      <c r="B71" s="29" t="n">
        <v>43862</v>
      </c>
      <c r="C71" s="30">
        <f>VLOOKUP(B71,Global!$A:$B,2,)</f>
        <v/>
      </c>
      <c r="D71" s="30">
        <f>VLOOKUP(B71,US!$A:$D,4,)</f>
        <v/>
      </c>
      <c r="E71" s="30">
        <f>VLOOKUP(B71,US!$A:$B,2,)</f>
        <v/>
      </c>
      <c r="F71" s="30">
        <f>VLOOKUP(B71,China!$A:$B,2,)</f>
        <v/>
      </c>
      <c r="G71" s="30">
        <f>VLOOKUP(B71,'Euro Area'!A:B,2,)</f>
        <v/>
      </c>
      <c r="H71" s="30">
        <f>VLOOKUP(B71,Japan!$A:$B,2,)</f>
        <v/>
      </c>
      <c r="I71" s="30">
        <f>VLOOKUP(B71,Germany!$A:$B,2,)</f>
        <v/>
      </c>
      <c r="J71" s="30">
        <f>VLOOKUP(B71,France!$A:$B,2,)</f>
        <v/>
      </c>
      <c r="K71" s="30">
        <f>VLOOKUP(B71,UK!$A:$B,2,)</f>
        <v/>
      </c>
      <c r="L71" s="30">
        <f>VLOOKUP(B71,Italy!$A:$B,2,)</f>
        <v/>
      </c>
      <c r="M71" s="30">
        <f>VLOOKUP(B71,Spain!$A:$B,2,)</f>
        <v/>
      </c>
      <c r="N71" s="30">
        <f>VLOOKUP(B71,Brazil!$A:$B,2,)</f>
        <v/>
      </c>
      <c r="O71" s="30">
        <f>VLOOKUP(B71,Mexico!$A:$B,2,)</f>
        <v/>
      </c>
      <c r="P71" s="30">
        <f>VLOOKUP(B71,Russia!$A:$B,2,)</f>
        <v/>
      </c>
      <c r="Q71" s="30">
        <f>VLOOKUP(B71,India!$A:$B,2,)</f>
        <v/>
      </c>
      <c r="R71" s="30">
        <f>VLOOKUP(B71,Canada!$A:$B,2,)</f>
        <v/>
      </c>
      <c r="S71" s="30">
        <f>VLOOKUP(B71,Australia!$A:$B,2,)</f>
        <v/>
      </c>
      <c r="T71" s="30">
        <f>VLOOKUP(B71,Indonesia!$A:$B,2,)</f>
        <v/>
      </c>
      <c r="U71" s="30">
        <f>VLOOKUP(B71,SouthKorea!$A:$B,2,)</f>
        <v/>
      </c>
      <c r="V71" s="30">
        <f>VLOOKUP(B71,Taiwan!$A:$B,2,)</f>
        <v/>
      </c>
      <c r="W71" s="30">
        <f>VLOOKUP(B71,Greece!$A:$B,2,)</f>
        <v/>
      </c>
      <c r="X71" s="30">
        <f>VLOOKUP(B71,Ireland!$A:$B,2,)</f>
        <v/>
      </c>
      <c r="Y71" s="30">
        <f>VLOOKUP(B71,Turkey!$A:$B,2,)</f>
        <v/>
      </c>
      <c r="Z71" s="30">
        <f>VLOOKUP(B71,CzechRepublic!$A:$B,2,)</f>
        <v/>
      </c>
      <c r="AA71" s="30">
        <f>VLOOKUP(B71,Poland!$A:$B,2,)</f>
        <v/>
      </c>
      <c r="AB71" s="30">
        <f>VLOOKUP(B71,Denmark!$A:$B,2,)</f>
        <v/>
      </c>
    </row>
    <row r="72" customFormat="1" s="69">
      <c r="B72" s="29" t="n">
        <v>43891</v>
      </c>
      <c r="C72" s="30">
        <f>VLOOKUP(B72,Global!$A:$B,2,)</f>
        <v/>
      </c>
      <c r="D72" s="30">
        <f>VLOOKUP(B72,US!$A:$D,4,)</f>
        <v/>
      </c>
      <c r="E72" s="30">
        <f>VLOOKUP(B72,US!$A:$B,2,)</f>
        <v/>
      </c>
      <c r="F72" s="30">
        <f>VLOOKUP(B72,China!$A:$B,2,)</f>
        <v/>
      </c>
      <c r="G72" s="30">
        <f>VLOOKUP(B72,'Euro Area'!A:B,2,)</f>
        <v/>
      </c>
      <c r="H72" s="30">
        <f>VLOOKUP(B72,Japan!$A:$B,2,)</f>
        <v/>
      </c>
      <c r="I72" s="30">
        <f>VLOOKUP(B72,Germany!$A:$B,2,)</f>
        <v/>
      </c>
      <c r="J72" s="30">
        <f>VLOOKUP(B72,France!$A:$B,2,)</f>
        <v/>
      </c>
      <c r="K72" s="30">
        <f>VLOOKUP(B72,UK!$A:$B,2,)</f>
        <v/>
      </c>
      <c r="L72" s="30">
        <f>VLOOKUP(B72,Italy!$A:$B,2,)</f>
        <v/>
      </c>
      <c r="M72" s="30">
        <f>VLOOKUP(B72,Spain!$A:$B,2,)</f>
        <v/>
      </c>
      <c r="N72" s="30">
        <f>VLOOKUP(B72,Brazil!$A:$B,2,)</f>
        <v/>
      </c>
      <c r="O72" s="30">
        <f>VLOOKUP(B72,Mexico!$A:$B,2,)</f>
        <v/>
      </c>
      <c r="P72" s="30">
        <f>VLOOKUP(B72,Russia!$A:$B,2,)</f>
        <v/>
      </c>
      <c r="Q72" s="30">
        <f>VLOOKUP(B72,India!$A:$B,2,)</f>
        <v/>
      </c>
      <c r="R72" s="30">
        <f>VLOOKUP(B72,Canada!$A:$B,2,)</f>
        <v/>
      </c>
      <c r="S72" s="30">
        <f>VLOOKUP(B72,Australia!$A:$B,2,)</f>
        <v/>
      </c>
      <c r="T72" s="30">
        <f>VLOOKUP(B72,Indonesia!$A:$B,2,)</f>
        <v/>
      </c>
      <c r="U72" s="30">
        <f>VLOOKUP(B72,SouthKorea!$A:$B,2,)</f>
        <v/>
      </c>
      <c r="V72" s="30">
        <f>VLOOKUP(B72,Taiwan!$A:$B,2,)</f>
        <v/>
      </c>
      <c r="W72" s="30">
        <f>VLOOKUP(B72,Greece!$A:$B,2,)</f>
        <v/>
      </c>
      <c r="X72" s="30">
        <f>VLOOKUP(B72,Ireland!$A:$B,2,)</f>
        <v/>
      </c>
      <c r="Y72" s="30">
        <f>VLOOKUP(B72,Turkey!$A:$B,2,)</f>
        <v/>
      </c>
      <c r="Z72" s="30">
        <f>VLOOKUP(B72,CzechRepublic!$A:$B,2,)</f>
        <v/>
      </c>
      <c r="AA72" s="30">
        <f>VLOOKUP(B72,Poland!$A:$B,2,)</f>
        <v/>
      </c>
      <c r="AB72" s="30">
        <f>VLOOKUP(B72,Denmark!$A:$B,2,)</f>
        <v/>
      </c>
    </row>
    <row r="73" customFormat="1" s="69">
      <c r="B73" s="29" t="n">
        <v>43922</v>
      </c>
      <c r="C73" s="30">
        <f>VLOOKUP(B73,Global!$A:$B,2,)</f>
        <v/>
      </c>
      <c r="D73" s="30">
        <f>VLOOKUP(B73,US!$A:$D,4,)</f>
        <v/>
      </c>
      <c r="E73" s="30">
        <f>VLOOKUP(B73,US!$A:$B,2,)</f>
        <v/>
      </c>
      <c r="F73" s="30">
        <f>VLOOKUP(B73,China!$A:$B,2,)</f>
        <v/>
      </c>
      <c r="G73" s="30">
        <f>VLOOKUP(B73,'Euro Area'!A:B,2,)</f>
        <v/>
      </c>
      <c r="H73" s="30">
        <f>VLOOKUP(B73,Japan!$A:$B,2,)</f>
        <v/>
      </c>
      <c r="I73" s="30">
        <f>VLOOKUP(B73,Germany!$A:$B,2,)</f>
        <v/>
      </c>
      <c r="J73" s="30">
        <f>VLOOKUP(B73,France!$A:$B,2,)</f>
        <v/>
      </c>
      <c r="K73" s="30">
        <f>VLOOKUP(B73,UK!$A:$B,2,)</f>
        <v/>
      </c>
      <c r="L73" s="30">
        <f>VLOOKUP(B73,Italy!$A:$B,2,)</f>
        <v/>
      </c>
      <c r="M73" s="30">
        <f>VLOOKUP(B73,Spain!$A:$B,2,)</f>
        <v/>
      </c>
      <c r="N73" s="30">
        <f>VLOOKUP(B73,Brazil!$A:$B,2,)</f>
        <v/>
      </c>
      <c r="O73" s="30">
        <f>VLOOKUP(B73,Mexico!$A:$B,2,)</f>
        <v/>
      </c>
      <c r="P73" s="30">
        <f>VLOOKUP(B73,Russia!$A:$B,2,)</f>
        <v/>
      </c>
      <c r="Q73" s="30">
        <f>VLOOKUP(B73,India!$A:$B,2,)</f>
        <v/>
      </c>
      <c r="R73" s="30">
        <f>VLOOKUP(B73,Canada!$A:$B,2,)</f>
        <v/>
      </c>
      <c r="S73" s="30">
        <f>VLOOKUP(B73,Australia!$A:$B,2,)</f>
        <v/>
      </c>
      <c r="T73" s="30">
        <f>VLOOKUP(B73,Indonesia!$A:$B,2,)</f>
        <v/>
      </c>
      <c r="U73" s="30">
        <f>VLOOKUP(B73,SouthKorea!$A:$B,2,)</f>
        <v/>
      </c>
      <c r="V73" s="30">
        <f>VLOOKUP(B73,Taiwan!$A:$B,2,)</f>
        <v/>
      </c>
      <c r="W73" s="30">
        <f>VLOOKUP(B73,Greece!$A:$B,2,)</f>
        <v/>
      </c>
      <c r="X73" s="30">
        <f>VLOOKUP(B73,Ireland!$A:$B,2,)</f>
        <v/>
      </c>
      <c r="Y73" s="30">
        <f>VLOOKUP(B73,Turkey!$A:$B,2,)</f>
        <v/>
      </c>
      <c r="Z73" s="30">
        <f>VLOOKUP(B73,CzechRepublic!$A:$B,2,)</f>
        <v/>
      </c>
      <c r="AA73" s="30">
        <f>VLOOKUP(B73,Poland!$A:$B,2,)</f>
        <v/>
      </c>
      <c r="AB73" s="30">
        <f>VLOOKUP(B73,Denmark!$A:$B,2,)</f>
        <v/>
      </c>
    </row>
    <row r="74" customFormat="1" s="69">
      <c r="B74" s="29" t="n">
        <v>43952</v>
      </c>
      <c r="C74" s="30">
        <f>VLOOKUP(B74,Global!$A:$B,2,)</f>
        <v/>
      </c>
      <c r="D74" s="30">
        <f>VLOOKUP(B74,US!$A:$D,4,)</f>
        <v/>
      </c>
      <c r="E74" s="30">
        <f>VLOOKUP(B74,US!$A:$B,2,)</f>
        <v/>
      </c>
      <c r="F74" s="30">
        <f>VLOOKUP(B74,China!$A:$B,2,)</f>
        <v/>
      </c>
      <c r="G74" s="30">
        <f>VLOOKUP(B74,'Euro Area'!A:B,2,)</f>
        <v/>
      </c>
      <c r="H74" s="30">
        <f>VLOOKUP(B74,Japan!$A:$B,2,)</f>
        <v/>
      </c>
      <c r="I74" s="30">
        <f>VLOOKUP(B74,Germany!$A:$B,2,)</f>
        <v/>
      </c>
      <c r="J74" s="30">
        <f>VLOOKUP(B74,France!$A:$B,2,)</f>
        <v/>
      </c>
      <c r="K74" s="30">
        <f>VLOOKUP(B74,UK!$A:$B,2,)</f>
        <v/>
      </c>
      <c r="L74" s="30">
        <f>VLOOKUP(B74,Italy!$A:$B,2,)</f>
        <v/>
      </c>
      <c r="M74" s="30">
        <f>VLOOKUP(B74,Spain!$A:$B,2,)</f>
        <v/>
      </c>
      <c r="N74" s="30">
        <f>VLOOKUP(B74,Brazil!$A:$B,2,)</f>
        <v/>
      </c>
      <c r="O74" s="30">
        <f>VLOOKUP(B74,Mexico!$A:$B,2,)</f>
        <v/>
      </c>
      <c r="P74" s="30">
        <f>VLOOKUP(B74,Russia!$A:$B,2,)</f>
        <v/>
      </c>
      <c r="Q74" s="30">
        <f>VLOOKUP(B74,India!$A:$B,2,)</f>
        <v/>
      </c>
      <c r="R74" s="30">
        <f>VLOOKUP(B74,Canada!$A:$B,2,)</f>
        <v/>
      </c>
      <c r="S74" s="30">
        <f>VLOOKUP(B74,Australia!$A:$B,2,)</f>
        <v/>
      </c>
      <c r="T74" s="30">
        <f>VLOOKUP(B74,Indonesia!$A:$B,2,)</f>
        <v/>
      </c>
      <c r="U74" s="30">
        <f>VLOOKUP(B74,SouthKorea!$A:$B,2,)</f>
        <v/>
      </c>
      <c r="V74" s="30">
        <f>VLOOKUP(B74,Taiwan!$A:$B,2,)</f>
        <v/>
      </c>
      <c r="W74" s="30">
        <f>VLOOKUP(B74,Greece!$A:$B,2,)</f>
        <v/>
      </c>
      <c r="X74" s="30">
        <f>VLOOKUP(B74,Ireland!$A:$B,2,)</f>
        <v/>
      </c>
      <c r="Y74" s="30">
        <f>VLOOKUP(B74,Turkey!$A:$B,2,)</f>
        <v/>
      </c>
      <c r="Z74" s="30">
        <f>VLOOKUP(B74,CzechRepublic!$A:$B,2,)</f>
        <v/>
      </c>
      <c r="AA74" s="30">
        <f>VLOOKUP(B74,Poland!$A:$B,2,)</f>
        <v/>
      </c>
      <c r="AB74" s="30">
        <f>VLOOKUP(B74,Denmark!$A:$B,2,)</f>
        <v/>
      </c>
    </row>
    <row r="75" customFormat="1" s="69">
      <c r="B75" s="29" t="n">
        <v>43983</v>
      </c>
      <c r="C75" s="30">
        <f>VLOOKUP(B75,Global!$A:$B,2,)</f>
        <v/>
      </c>
      <c r="D75" s="30">
        <f>VLOOKUP(B75,US!$A:$D,4,)</f>
        <v/>
      </c>
      <c r="E75" s="30">
        <f>VLOOKUP(B75,US!$A:$B,2,)</f>
        <v/>
      </c>
      <c r="F75" s="30">
        <f>VLOOKUP(B75,China!$A:$B,2,)</f>
        <v/>
      </c>
      <c r="G75" s="30">
        <f>VLOOKUP(B75,'Euro Area'!A:B,2,)</f>
        <v/>
      </c>
      <c r="H75" s="30">
        <f>VLOOKUP(B75,Japan!$A:$B,2,)</f>
        <v/>
      </c>
      <c r="I75" s="30">
        <f>VLOOKUP(B75,Germany!$A:$B,2,)</f>
        <v/>
      </c>
      <c r="J75" s="30">
        <f>VLOOKUP(B75,France!$A:$B,2,)</f>
        <v/>
      </c>
      <c r="K75" s="30">
        <f>VLOOKUP(B75,UK!$A:$B,2,)</f>
        <v/>
      </c>
      <c r="L75" s="30">
        <f>VLOOKUP(B75,Italy!$A:$B,2,)</f>
        <v/>
      </c>
      <c r="M75" s="30">
        <f>VLOOKUP(B75,Spain!$A:$B,2,)</f>
        <v/>
      </c>
      <c r="N75" s="30">
        <f>VLOOKUP(B75,Brazil!$A:$B,2,)</f>
        <v/>
      </c>
      <c r="O75" s="30">
        <f>VLOOKUP(B75,Mexico!$A:$B,2,)</f>
        <v/>
      </c>
      <c r="P75" s="30">
        <f>VLOOKUP(B75,Russia!$A:$B,2,)</f>
        <v/>
      </c>
      <c r="Q75" s="30">
        <f>VLOOKUP(B75,India!$A:$B,2,)</f>
        <v/>
      </c>
      <c r="R75" s="30">
        <f>VLOOKUP(B75,Canada!$A:$B,2,)</f>
        <v/>
      </c>
      <c r="S75" s="30">
        <f>VLOOKUP(B75,Australia!$A:$B,2,)</f>
        <v/>
      </c>
      <c r="T75" s="30">
        <f>VLOOKUP(B75,Indonesia!$A:$B,2,)</f>
        <v/>
      </c>
      <c r="U75" s="30">
        <f>VLOOKUP(B75,SouthKorea!$A:$B,2,)</f>
        <v/>
      </c>
      <c r="V75" s="30">
        <f>VLOOKUP(B75,Taiwan!$A:$B,2,)</f>
        <v/>
      </c>
      <c r="W75" s="30">
        <f>VLOOKUP(B75,Greece!$A:$B,2,)</f>
        <v/>
      </c>
      <c r="X75" s="30">
        <f>VLOOKUP(B75,Ireland!$A:$B,2,)</f>
        <v/>
      </c>
      <c r="Y75" s="30">
        <f>VLOOKUP(B75,Turkey!$A:$B,2,)</f>
        <v/>
      </c>
      <c r="Z75" s="30">
        <f>VLOOKUP(B75,CzechRepublic!$A:$B,2,)</f>
        <v/>
      </c>
      <c r="AA75" s="30">
        <f>VLOOKUP(B75,Poland!$A:$B,2,)</f>
        <v/>
      </c>
      <c r="AB75" s="30">
        <f>VLOOKUP(B75,Denmark!$A:$B,2,)</f>
        <v/>
      </c>
    </row>
    <row r="76" customFormat="1" s="69">
      <c r="B76" s="29" t="n">
        <v>44013</v>
      </c>
      <c r="C76" s="30">
        <f>VLOOKUP(B76,Global!$A:$B,2,)</f>
        <v/>
      </c>
      <c r="D76" s="30">
        <f>VLOOKUP(B76,US!$A:$D,4,)</f>
        <v/>
      </c>
      <c r="E76" s="30">
        <f>VLOOKUP(B76,US!$A:$B,2,)</f>
        <v/>
      </c>
      <c r="F76" s="30">
        <f>VLOOKUP(B76,China!$A:$B,2,)</f>
        <v/>
      </c>
      <c r="G76" s="30">
        <f>VLOOKUP(B76,'Euro Area'!A:B,2,)</f>
        <v/>
      </c>
      <c r="H76" s="30">
        <f>VLOOKUP(B76,Japan!$A:$B,2,)</f>
        <v/>
      </c>
      <c r="I76" s="30">
        <f>VLOOKUP(B76,Germany!$A:$B,2,)</f>
        <v/>
      </c>
      <c r="J76" s="30">
        <f>VLOOKUP(B76,France!$A:$B,2,)</f>
        <v/>
      </c>
      <c r="K76" s="30">
        <f>VLOOKUP(B76,UK!$A:$B,2,)</f>
        <v/>
      </c>
      <c r="L76" s="30">
        <f>VLOOKUP(B76,Italy!$A:$B,2,)</f>
        <v/>
      </c>
      <c r="M76" s="30">
        <f>VLOOKUP(B76,Spain!$A:$B,2,)</f>
        <v/>
      </c>
      <c r="N76" s="30">
        <f>VLOOKUP(B76,Brazil!$A:$B,2,)</f>
        <v/>
      </c>
      <c r="O76" s="30">
        <f>VLOOKUP(B76,Mexico!$A:$B,2,)</f>
        <v/>
      </c>
      <c r="P76" s="30">
        <f>VLOOKUP(B76,Russia!$A:$B,2,)</f>
        <v/>
      </c>
      <c r="Q76" s="30">
        <f>VLOOKUP(B76,India!$A:$B,2,)</f>
        <v/>
      </c>
      <c r="R76" s="30">
        <f>VLOOKUP(B76,Canada!$A:$B,2,)</f>
        <v/>
      </c>
      <c r="S76" s="30">
        <f>VLOOKUP(B76,Australia!$A:$B,2,)</f>
        <v/>
      </c>
      <c r="T76" s="30">
        <f>VLOOKUP(B76,Indonesia!$A:$B,2,)</f>
        <v/>
      </c>
      <c r="U76" s="30">
        <f>VLOOKUP(B76,SouthKorea!$A:$B,2,)</f>
        <v/>
      </c>
      <c r="V76" s="30">
        <f>VLOOKUP(B76,Taiwan!$A:$B,2,)</f>
        <v/>
      </c>
      <c r="W76" s="30">
        <f>VLOOKUP(B76,Greece!$A:$B,2,)</f>
        <v/>
      </c>
      <c r="X76" s="30">
        <f>VLOOKUP(B76,Ireland!$A:$B,2,)</f>
        <v/>
      </c>
      <c r="Y76" s="30">
        <f>VLOOKUP(B76,Turkey!$A:$B,2,)</f>
        <v/>
      </c>
      <c r="Z76" s="30">
        <f>VLOOKUP(B76,CzechRepublic!$A:$B,2,)</f>
        <v/>
      </c>
      <c r="AA76" s="30">
        <f>VLOOKUP(B76,Poland!$A:$B,2,)</f>
        <v/>
      </c>
      <c r="AB76" s="30">
        <f>VLOOKUP(B76,Denmark!$A:$B,2,)</f>
        <v/>
      </c>
    </row>
    <row r="77" customFormat="1" s="69">
      <c r="B77" s="29" t="n">
        <v>44044</v>
      </c>
      <c r="C77" s="30">
        <f>VLOOKUP(B77,Global!$A:$B,2,)</f>
        <v/>
      </c>
      <c r="D77" s="30">
        <f>VLOOKUP(B77,US!$A:$D,4,)</f>
        <v/>
      </c>
      <c r="E77" s="30">
        <f>VLOOKUP(B77,US!$A:$B,2,)</f>
        <v/>
      </c>
      <c r="F77" s="30">
        <f>VLOOKUP(B77,China!$A:$B,2,)</f>
        <v/>
      </c>
      <c r="G77" s="30">
        <f>VLOOKUP(B77,'Euro Area'!A:B,2,)</f>
        <v/>
      </c>
      <c r="H77" s="30">
        <f>VLOOKUP(B77,Japan!$A:$B,2,)</f>
        <v/>
      </c>
      <c r="I77" s="30">
        <f>VLOOKUP(B77,Germany!$A:$B,2,)</f>
        <v/>
      </c>
      <c r="J77" s="30">
        <f>VLOOKUP(B77,France!$A:$B,2,)</f>
        <v/>
      </c>
      <c r="K77" s="30">
        <f>VLOOKUP(B77,UK!$A:$B,2,)</f>
        <v/>
      </c>
      <c r="L77" s="30">
        <f>VLOOKUP(B77,Italy!$A:$B,2,)</f>
        <v/>
      </c>
      <c r="M77" s="30">
        <f>VLOOKUP(B77,Spain!$A:$B,2,)</f>
        <v/>
      </c>
      <c r="N77" s="30">
        <f>VLOOKUP(B77,Brazil!$A:$B,2,)</f>
        <v/>
      </c>
      <c r="O77" s="30">
        <f>VLOOKUP(B77,Mexico!$A:$B,2,)</f>
        <v/>
      </c>
      <c r="P77" s="30">
        <f>VLOOKUP(B77,Russia!$A:$B,2,)</f>
        <v/>
      </c>
      <c r="Q77" s="30">
        <f>VLOOKUP(B77,India!$A:$B,2,)</f>
        <v/>
      </c>
      <c r="R77" s="30">
        <f>VLOOKUP(B77,Canada!$A:$B,2,)</f>
        <v/>
      </c>
      <c r="S77" s="30">
        <f>VLOOKUP(B77,Australia!$A:$B,2,)</f>
        <v/>
      </c>
      <c r="T77" s="30">
        <f>VLOOKUP(B77,Indonesia!$A:$B,2,)</f>
        <v/>
      </c>
      <c r="U77" s="30">
        <f>VLOOKUP(B77,SouthKorea!$A:$B,2,)</f>
        <v/>
      </c>
      <c r="V77" s="30">
        <f>VLOOKUP(B77,Taiwan!$A:$B,2,)</f>
        <v/>
      </c>
      <c r="W77" s="30">
        <f>VLOOKUP(B77,Greece!$A:$B,2,)</f>
        <v/>
      </c>
      <c r="X77" s="30">
        <f>VLOOKUP(B77,Ireland!$A:$B,2,)</f>
        <v/>
      </c>
      <c r="Y77" s="30">
        <f>VLOOKUP(B77,Turkey!$A:$B,2,)</f>
        <v/>
      </c>
      <c r="Z77" s="30">
        <f>VLOOKUP(B77,CzechRepublic!$A:$B,2,)</f>
        <v/>
      </c>
      <c r="AA77" s="30">
        <f>VLOOKUP(B77,Poland!$A:$B,2,)</f>
        <v/>
      </c>
      <c r="AB77" s="30">
        <f>VLOOKUP(B77,Denmark!$A:$B,2,)</f>
        <v/>
      </c>
    </row>
    <row r="78" customFormat="1" s="69">
      <c r="B78" s="29" t="n">
        <v>44075</v>
      </c>
      <c r="C78" s="30">
        <f>VLOOKUP(B78,Global!$A:$B,2,)</f>
        <v/>
      </c>
      <c r="D78" s="30">
        <f>VLOOKUP(B78,US!$A:$D,4,)</f>
        <v/>
      </c>
      <c r="E78" s="30">
        <f>VLOOKUP(B78,US!$A:$B,2,)</f>
        <v/>
      </c>
      <c r="F78" s="30">
        <f>VLOOKUP(B78,China!$A:$B,2,)</f>
        <v/>
      </c>
      <c r="G78" s="30">
        <f>VLOOKUP(B78,'Euro Area'!A:B,2,)</f>
        <v/>
      </c>
      <c r="H78" s="30">
        <f>VLOOKUP(B78,Japan!$A:$B,2,)</f>
        <v/>
      </c>
      <c r="I78" s="30">
        <f>VLOOKUP(B78,Germany!$A:$B,2,)</f>
        <v/>
      </c>
      <c r="J78" s="30">
        <f>VLOOKUP(B78,France!$A:$B,2,)</f>
        <v/>
      </c>
      <c r="K78" s="30">
        <f>VLOOKUP(B78,UK!$A:$B,2,)</f>
        <v/>
      </c>
      <c r="L78" s="30">
        <f>VLOOKUP(B78,Italy!$A:$B,2,)</f>
        <v/>
      </c>
      <c r="M78" s="30">
        <f>VLOOKUP(B78,Spain!$A:$B,2,)</f>
        <v/>
      </c>
      <c r="N78" s="30">
        <f>VLOOKUP(B78,Brazil!$A:$B,2,)</f>
        <v/>
      </c>
      <c r="O78" s="30">
        <f>VLOOKUP(B78,Mexico!$A:$B,2,)</f>
        <v/>
      </c>
      <c r="P78" s="30">
        <f>VLOOKUP(B78,Russia!$A:$B,2,)</f>
        <v/>
      </c>
      <c r="Q78" s="30">
        <f>VLOOKUP(B78,India!$A:$B,2,)</f>
        <v/>
      </c>
      <c r="R78" s="30">
        <f>VLOOKUP(B78,Canada!$A:$B,2,)</f>
        <v/>
      </c>
      <c r="S78" s="30">
        <f>VLOOKUP(B78,Australia!$A:$B,2,)</f>
        <v/>
      </c>
      <c r="T78" s="30">
        <f>VLOOKUP(B78,Indonesia!$A:$B,2,)</f>
        <v/>
      </c>
      <c r="U78" s="30">
        <f>VLOOKUP(B78,SouthKorea!$A:$B,2,)</f>
        <v/>
      </c>
      <c r="V78" s="30">
        <f>VLOOKUP(B78,Taiwan!$A:$B,2,)</f>
        <v/>
      </c>
      <c r="W78" s="30">
        <f>VLOOKUP(B78,Greece!$A:$B,2,)</f>
        <v/>
      </c>
      <c r="X78" s="30">
        <f>VLOOKUP(B78,Ireland!$A:$B,2,)</f>
        <v/>
      </c>
      <c r="Y78" s="30">
        <f>VLOOKUP(B78,Turkey!$A:$B,2,)</f>
        <v/>
      </c>
      <c r="Z78" s="30">
        <f>VLOOKUP(B78,CzechRepublic!$A:$B,2,)</f>
        <v/>
      </c>
      <c r="AA78" s="30">
        <f>VLOOKUP(B78,Poland!$A:$B,2,)</f>
        <v/>
      </c>
      <c r="AB78" s="30">
        <f>VLOOKUP(B78,Denmark!$A:$B,2,)</f>
        <v/>
      </c>
    </row>
    <row r="79" customFormat="1" s="69">
      <c r="B79" s="29" t="n">
        <v>44105</v>
      </c>
      <c r="C79" s="30">
        <f>VLOOKUP(B79,Global!$A:$B,2,)</f>
        <v/>
      </c>
      <c r="D79" s="30">
        <f>VLOOKUP(B79,US!$A:$D,4,)</f>
        <v/>
      </c>
      <c r="E79" s="30">
        <f>VLOOKUP(B79,US!$A:$B,2,)</f>
        <v/>
      </c>
      <c r="F79" s="30">
        <f>VLOOKUP(B79,China!$A:$B,2,)</f>
        <v/>
      </c>
      <c r="G79" s="30">
        <f>VLOOKUP(B79,'Euro Area'!A:B,2,)</f>
        <v/>
      </c>
      <c r="H79" s="30">
        <f>VLOOKUP(B79,Japan!$A:$B,2,)</f>
        <v/>
      </c>
      <c r="I79" s="30">
        <f>VLOOKUP(B79,Germany!$A:$B,2,)</f>
        <v/>
      </c>
      <c r="J79" s="30">
        <f>VLOOKUP(B79,France!$A:$B,2,)</f>
        <v/>
      </c>
      <c r="K79" s="30">
        <f>VLOOKUP(B79,UK!$A:$B,2,)</f>
        <v/>
      </c>
      <c r="L79" s="30">
        <f>VLOOKUP(B79,Italy!$A:$B,2,)</f>
        <v/>
      </c>
      <c r="M79" s="30">
        <f>VLOOKUP(B79,Spain!$A:$B,2,)</f>
        <v/>
      </c>
      <c r="N79" s="30">
        <f>VLOOKUP(B79,Brazil!$A:$B,2,)</f>
        <v/>
      </c>
      <c r="O79" s="30">
        <f>VLOOKUP(B79,Mexico!$A:$B,2,)</f>
        <v/>
      </c>
      <c r="P79" s="30">
        <f>VLOOKUP(B79,Russia!$A:$B,2,)</f>
        <v/>
      </c>
      <c r="Q79" s="30">
        <f>VLOOKUP(B79,India!$A:$B,2,)</f>
        <v/>
      </c>
      <c r="R79" s="30">
        <f>VLOOKUP(B79,Canada!$A:$B,2,)</f>
        <v/>
      </c>
      <c r="S79" s="30">
        <f>VLOOKUP(B79,Australia!$A:$B,2,)</f>
        <v/>
      </c>
      <c r="T79" s="30">
        <f>VLOOKUP(B79,Indonesia!$A:$B,2,)</f>
        <v/>
      </c>
      <c r="U79" s="30">
        <f>VLOOKUP(B79,SouthKorea!$A:$B,2,)</f>
        <v/>
      </c>
      <c r="V79" s="30">
        <f>VLOOKUP(B79,Taiwan!$A:$B,2,)</f>
        <v/>
      </c>
      <c r="W79" s="30">
        <f>VLOOKUP(B79,Greece!$A:$B,2,)</f>
        <v/>
      </c>
      <c r="X79" s="30">
        <f>VLOOKUP(B79,Ireland!$A:$B,2,)</f>
        <v/>
      </c>
      <c r="Y79" s="30">
        <f>VLOOKUP(B79,Turkey!$A:$B,2,)</f>
        <v/>
      </c>
      <c r="Z79" s="30">
        <f>VLOOKUP(B79,CzechRepublic!$A:$B,2,)</f>
        <v/>
      </c>
      <c r="AA79" s="30">
        <f>VLOOKUP(B79,Poland!$A:$B,2,)</f>
        <v/>
      </c>
      <c r="AB79" s="30">
        <f>VLOOKUP(B79,Denmark!$A:$B,2,)</f>
        <v/>
      </c>
    </row>
    <row r="80" customFormat="1" s="69">
      <c r="B80" s="29" t="n">
        <v>44136</v>
      </c>
      <c r="C80" s="30">
        <f>VLOOKUP(B80,Global!$A:$B,2,)</f>
        <v/>
      </c>
      <c r="D80" s="30">
        <f>VLOOKUP(B80,US!$A:$D,4,)</f>
        <v/>
      </c>
      <c r="E80" s="30">
        <f>VLOOKUP(B80,US!$A:$B,2,)</f>
        <v/>
      </c>
      <c r="F80" s="30">
        <f>VLOOKUP(B80,China!$A:$B,2,)</f>
        <v/>
      </c>
      <c r="G80" s="30">
        <f>VLOOKUP(B80,'Euro Area'!A:B,2,)</f>
        <v/>
      </c>
      <c r="H80" s="30">
        <f>VLOOKUP(B80,Japan!$A:$B,2,)</f>
        <v/>
      </c>
      <c r="I80" s="30">
        <f>VLOOKUP(B80,Germany!$A:$B,2,)</f>
        <v/>
      </c>
      <c r="J80" s="30">
        <f>VLOOKUP(B80,France!$A:$B,2,)</f>
        <v/>
      </c>
      <c r="K80" s="30">
        <f>VLOOKUP(B80,UK!$A:$B,2,)</f>
        <v/>
      </c>
      <c r="L80" s="30">
        <f>VLOOKUP(B80,Italy!$A:$B,2,)</f>
        <v/>
      </c>
      <c r="M80" s="30">
        <f>VLOOKUP(B80,Spain!$A:$B,2,)</f>
        <v/>
      </c>
      <c r="N80" s="30">
        <f>VLOOKUP(B80,Brazil!$A:$B,2,)</f>
        <v/>
      </c>
      <c r="O80" s="30">
        <f>VLOOKUP(B80,Mexico!$A:$B,2,)</f>
        <v/>
      </c>
      <c r="P80" s="30">
        <f>VLOOKUP(B80,Russia!$A:$B,2,)</f>
        <v/>
      </c>
      <c r="Q80" s="30">
        <f>VLOOKUP(B80,India!$A:$B,2,)</f>
        <v/>
      </c>
      <c r="R80" s="30">
        <f>VLOOKUP(B80,Canada!$A:$B,2,)</f>
        <v/>
      </c>
      <c r="S80" s="30">
        <f>VLOOKUP(B80,Australia!$A:$B,2,)</f>
        <v/>
      </c>
      <c r="T80" s="30">
        <f>VLOOKUP(B80,Indonesia!$A:$B,2,)</f>
        <v/>
      </c>
      <c r="U80" s="30">
        <f>VLOOKUP(B80,SouthKorea!$A:$B,2,)</f>
        <v/>
      </c>
      <c r="V80" s="30">
        <f>VLOOKUP(B80,Taiwan!$A:$B,2,)</f>
        <v/>
      </c>
      <c r="W80" s="30">
        <f>VLOOKUP(B80,Greece!$A:$B,2,)</f>
        <v/>
      </c>
      <c r="X80" s="30">
        <f>VLOOKUP(B80,Ireland!$A:$B,2,)</f>
        <v/>
      </c>
      <c r="Y80" s="30">
        <f>VLOOKUP(B80,Turkey!$A:$B,2,)</f>
        <v/>
      </c>
      <c r="Z80" s="30">
        <f>VLOOKUP(B80,CzechRepublic!$A:$B,2,)</f>
        <v/>
      </c>
      <c r="AA80" s="30">
        <f>VLOOKUP(B80,Poland!$A:$B,2,)</f>
        <v/>
      </c>
      <c r="AB80" s="30">
        <f>VLOOKUP(B80,Denmark!$A:$B,2,)</f>
        <v/>
      </c>
      <c r="AG80" s="61" t="n"/>
    </row>
    <row r="81" customFormat="1" s="69">
      <c r="B81" s="29" t="n">
        <v>44166</v>
      </c>
      <c r="C81" s="30">
        <f>VLOOKUP(B81,Global!$A:$B,2,)</f>
        <v/>
      </c>
      <c r="D81" s="30">
        <f>VLOOKUP(B81,US!$A:$D,4,)</f>
        <v/>
      </c>
      <c r="E81" s="30">
        <f>VLOOKUP(B81,US!$A:$B,2,)</f>
        <v/>
      </c>
      <c r="F81" s="30">
        <f>VLOOKUP(B81,China!$A:$B,2,)</f>
        <v/>
      </c>
      <c r="G81" s="30">
        <f>VLOOKUP(B81,'Euro Area'!A:B,2,)</f>
        <v/>
      </c>
      <c r="H81" s="30">
        <f>VLOOKUP(B81,Japan!$A:$B,2,)</f>
        <v/>
      </c>
      <c r="I81" s="30">
        <f>VLOOKUP(B81,Germany!$A:$B,2,)</f>
        <v/>
      </c>
      <c r="J81" s="30">
        <f>VLOOKUP(B81,France!$A:$B,2,)</f>
        <v/>
      </c>
      <c r="K81" s="30">
        <f>VLOOKUP(B81,UK!$A:$B,2,)</f>
        <v/>
      </c>
      <c r="L81" s="30">
        <f>VLOOKUP(B81,Italy!$A:$B,2,)</f>
        <v/>
      </c>
      <c r="M81" s="30">
        <f>VLOOKUP(B81,Spain!$A:$B,2,)</f>
        <v/>
      </c>
      <c r="N81" s="30">
        <f>VLOOKUP(B81,Brazil!$A:$B,2,)</f>
        <v/>
      </c>
      <c r="O81" s="30">
        <f>VLOOKUP(B81,Mexico!$A:$B,2,)</f>
        <v/>
      </c>
      <c r="P81" s="30">
        <f>VLOOKUP(B81,Russia!$A:$B,2,)</f>
        <v/>
      </c>
      <c r="Q81" s="30">
        <f>VLOOKUP(B81,India!$A:$B,2,)</f>
        <v/>
      </c>
      <c r="R81" s="30">
        <f>VLOOKUP(B81,Canada!$A:$B,2,)</f>
        <v/>
      </c>
      <c r="S81" s="30">
        <f>VLOOKUP(B81,Australia!$A:$B,2,)</f>
        <v/>
      </c>
      <c r="T81" s="30">
        <f>VLOOKUP(B81,Indonesia!$A:$B,2,)</f>
        <v/>
      </c>
      <c r="U81" s="30">
        <f>VLOOKUP(B81,SouthKorea!$A:$B,2,)</f>
        <v/>
      </c>
      <c r="V81" s="30">
        <f>VLOOKUP(B81,Taiwan!$A:$B,2,)</f>
        <v/>
      </c>
      <c r="W81" s="30">
        <f>VLOOKUP(B81,Greece!$A:$B,2,)</f>
        <v/>
      </c>
      <c r="X81" s="30">
        <f>VLOOKUP(B81,Ireland!$A:$B,2,)</f>
        <v/>
      </c>
      <c r="Y81" s="30">
        <f>VLOOKUP(B81,Turkey!$A:$B,2,)</f>
        <v/>
      </c>
      <c r="Z81" s="30">
        <f>VLOOKUP(B81,CzechRepublic!$A:$B,2,)</f>
        <v/>
      </c>
      <c r="AA81" s="30">
        <f>VLOOKUP(B81,Poland!$A:$B,2,)</f>
        <v/>
      </c>
      <c r="AB81" s="30">
        <f>VLOOKUP(B81,Denmark!$A:$B,2,)</f>
        <v/>
      </c>
    </row>
    <row r="82" customFormat="1" s="69">
      <c r="B82" s="29" t="n">
        <v>44197</v>
      </c>
      <c r="C82" s="30">
        <f>VLOOKUP(B82,Global!$A:$B,2,)</f>
        <v/>
      </c>
      <c r="D82" s="30">
        <f>VLOOKUP(B82,US!$A:$D,4,)</f>
        <v/>
      </c>
      <c r="E82" s="30">
        <f>VLOOKUP(B82,US!$A:$B,2,)</f>
        <v/>
      </c>
      <c r="F82" s="30">
        <f>VLOOKUP(B82,China!$A:$B,2,)</f>
        <v/>
      </c>
      <c r="G82" s="30">
        <f>VLOOKUP(B82,'Euro Area'!A:B,2,)</f>
        <v/>
      </c>
      <c r="H82" s="30">
        <f>VLOOKUP(B82,Japan!$A:$B,2,)</f>
        <v/>
      </c>
      <c r="I82" s="30">
        <f>VLOOKUP(B82,Germany!$A:$B,2,)</f>
        <v/>
      </c>
      <c r="J82" s="30">
        <f>VLOOKUP(B82,France!$A:$B,2,)</f>
        <v/>
      </c>
      <c r="K82" s="30">
        <f>VLOOKUP(B82,UK!$A:$B,2,)</f>
        <v/>
      </c>
      <c r="L82" s="30">
        <f>VLOOKUP(B82,Italy!$A:$B,2,)</f>
        <v/>
      </c>
      <c r="M82" s="30">
        <f>VLOOKUP(B82,Spain!$A:$B,2,)</f>
        <v/>
      </c>
      <c r="N82" s="30">
        <f>VLOOKUP(B82,Brazil!$A:$B,2,)</f>
        <v/>
      </c>
      <c r="O82" s="30">
        <f>VLOOKUP(B82,Mexico!$A:$B,2,)</f>
        <v/>
      </c>
      <c r="P82" s="30">
        <f>VLOOKUP(B82,Russia!$A:$B,2,)</f>
        <v/>
      </c>
      <c r="Q82" s="30">
        <f>VLOOKUP(B82,India!$A:$B,2,)</f>
        <v/>
      </c>
      <c r="R82" s="30">
        <f>VLOOKUP(B82,Canada!$A:$B,2,)</f>
        <v/>
      </c>
      <c r="S82" s="30">
        <f>VLOOKUP(B82,Australia!$A:$B,2,)</f>
        <v/>
      </c>
      <c r="T82" s="30">
        <f>VLOOKUP(B82,Indonesia!$A:$B,2,)</f>
        <v/>
      </c>
      <c r="U82" s="30">
        <f>VLOOKUP(B82,SouthKorea!$A:$B,2,)</f>
        <v/>
      </c>
      <c r="V82" s="30">
        <f>VLOOKUP(B82,Taiwan!$A:$B,2,)</f>
        <v/>
      </c>
      <c r="W82" s="30">
        <f>VLOOKUP(B82,Greece!$A:$B,2,)</f>
        <v/>
      </c>
      <c r="X82" s="30">
        <f>VLOOKUP(B82,Ireland!$A:$B,2,)</f>
        <v/>
      </c>
      <c r="Y82" s="30">
        <f>VLOOKUP(B82,Turkey!$A:$B,2,)</f>
        <v/>
      </c>
      <c r="Z82" s="30">
        <f>VLOOKUP(B82,CzechRepublic!$A:$B,2,)</f>
        <v/>
      </c>
      <c r="AA82" s="30">
        <f>VLOOKUP(B82,Poland!$A:$B,2,)</f>
        <v/>
      </c>
      <c r="AB82" s="30">
        <f>VLOOKUP(B82,Denmark!$A:$B,2,)</f>
        <v/>
      </c>
    </row>
    <row r="83" customFormat="1" s="69">
      <c r="B83" s="29" t="n">
        <v>44228</v>
      </c>
      <c r="C83" s="30">
        <f>VLOOKUP(B83,Global!$A:$B,2,)</f>
        <v/>
      </c>
      <c r="D83" s="30">
        <f>VLOOKUP(B83,US!$A:$D,4,)</f>
        <v/>
      </c>
      <c r="E83" s="30">
        <f>VLOOKUP(B83,US!$A:$B,2,)</f>
        <v/>
      </c>
      <c r="F83" s="30">
        <f>VLOOKUP(B83,China!$A:$B,2,)</f>
        <v/>
      </c>
      <c r="G83" s="30">
        <f>VLOOKUP(B83,'Euro Area'!A:B,2,)</f>
        <v/>
      </c>
      <c r="H83" s="30">
        <f>VLOOKUP(B83,Japan!$A:$B,2,)</f>
        <v/>
      </c>
      <c r="I83" s="30">
        <f>VLOOKUP(B83,Germany!$A:$B,2,)</f>
        <v/>
      </c>
      <c r="J83" s="30">
        <f>VLOOKUP(B83,France!$A:$B,2,)</f>
        <v/>
      </c>
      <c r="K83" s="30">
        <f>VLOOKUP(B83,UK!$A:$B,2,)</f>
        <v/>
      </c>
      <c r="L83" s="30">
        <f>VLOOKUP(B83,Italy!$A:$B,2,)</f>
        <v/>
      </c>
      <c r="M83" s="30">
        <f>VLOOKUP(B83,Spain!$A:$B,2,)</f>
        <v/>
      </c>
      <c r="N83" s="30">
        <f>VLOOKUP(B83,Brazil!$A:$B,2,)</f>
        <v/>
      </c>
      <c r="O83" s="30">
        <f>VLOOKUP(B83,Mexico!$A:$B,2,)</f>
        <v/>
      </c>
      <c r="P83" s="30">
        <f>VLOOKUP(B83,Russia!$A:$B,2,)</f>
        <v/>
      </c>
      <c r="Q83" s="30">
        <f>VLOOKUP(B83,India!$A:$B,2,)</f>
        <v/>
      </c>
      <c r="R83" s="30">
        <f>VLOOKUP(B83,Canada!$A:$B,2,)</f>
        <v/>
      </c>
      <c r="S83" s="30">
        <f>VLOOKUP(B83,Australia!$A:$B,2,)</f>
        <v/>
      </c>
      <c r="T83" s="30">
        <f>VLOOKUP(B83,Indonesia!$A:$B,2,)</f>
        <v/>
      </c>
      <c r="U83" s="30">
        <f>VLOOKUP(B83,SouthKorea!$A:$B,2,)</f>
        <v/>
      </c>
      <c r="V83" s="30">
        <f>VLOOKUP(B83,Taiwan!$A:$B,2,)</f>
        <v/>
      </c>
      <c r="W83" s="30">
        <f>VLOOKUP(B83,Greece!$A:$B,2,)</f>
        <v/>
      </c>
      <c r="X83" s="30">
        <f>VLOOKUP(B83,Ireland!$A:$B,2,)</f>
        <v/>
      </c>
      <c r="Y83" s="30">
        <f>VLOOKUP(B83,Turkey!$A:$B,2,)</f>
        <v/>
      </c>
      <c r="Z83" s="30">
        <f>VLOOKUP(B83,CzechRepublic!$A:$B,2,)</f>
        <v/>
      </c>
      <c r="AA83" s="30">
        <f>VLOOKUP(B83,Poland!$A:$B,2,)</f>
        <v/>
      </c>
      <c r="AB83" s="30">
        <f>VLOOKUP(B83,Denmark!$A:$B,2,)</f>
        <v/>
      </c>
    </row>
    <row r="84" customFormat="1" s="69">
      <c r="B84" s="29" t="n">
        <v>44256</v>
      </c>
      <c r="C84" s="30">
        <f>VLOOKUP(B84,Global!$A:$B,2,)</f>
        <v/>
      </c>
      <c r="D84" s="30">
        <f>VLOOKUP(B84,US!$A:$D,4,)</f>
        <v/>
      </c>
      <c r="E84" s="30">
        <f>VLOOKUP(B84,US!$A:$B,2,)</f>
        <v/>
      </c>
      <c r="F84" s="30">
        <f>VLOOKUP(B84,China!$A:$B,2,)</f>
        <v/>
      </c>
      <c r="G84" s="30">
        <f>VLOOKUP(B84,'Euro Area'!A:B,2,)</f>
        <v/>
      </c>
      <c r="H84" s="30">
        <f>VLOOKUP(B84,Japan!$A:$B,2,)</f>
        <v/>
      </c>
      <c r="I84" s="30">
        <f>VLOOKUP(B84,Germany!$A:$B,2,)</f>
        <v/>
      </c>
      <c r="J84" s="30">
        <f>VLOOKUP(B84,France!$A:$B,2,)</f>
        <v/>
      </c>
      <c r="K84" s="30">
        <f>VLOOKUP(B84,UK!$A:$B,2,)</f>
        <v/>
      </c>
      <c r="L84" s="30">
        <f>VLOOKUP(B84,Italy!$A:$B,2,)</f>
        <v/>
      </c>
      <c r="M84" s="30">
        <f>VLOOKUP(B84,Spain!$A:$B,2,)</f>
        <v/>
      </c>
      <c r="N84" s="30">
        <f>VLOOKUP(B84,Brazil!$A:$B,2,)</f>
        <v/>
      </c>
      <c r="O84" s="30">
        <f>VLOOKUP(B84,Mexico!$A:$B,2,)</f>
        <v/>
      </c>
      <c r="P84" s="30">
        <f>VLOOKUP(B84,Russia!$A:$B,2,)</f>
        <v/>
      </c>
      <c r="Q84" s="30">
        <f>VLOOKUP(B84,India!$A:$B,2,)</f>
        <v/>
      </c>
      <c r="R84" s="30">
        <f>VLOOKUP(B84,Canada!$A:$B,2,)</f>
        <v/>
      </c>
      <c r="S84" s="30">
        <f>VLOOKUP(B84,Australia!$A:$B,2,)</f>
        <v/>
      </c>
      <c r="T84" s="30">
        <f>VLOOKUP(B84,Indonesia!$A:$B,2,)</f>
        <v/>
      </c>
      <c r="U84" s="30">
        <f>VLOOKUP(B84,SouthKorea!$A:$B,2,)</f>
        <v/>
      </c>
      <c r="V84" s="30">
        <f>VLOOKUP(B84,Taiwan!$A:$B,2,)</f>
        <v/>
      </c>
      <c r="W84" s="30">
        <f>VLOOKUP(B84,Greece!$A:$B,2,)</f>
        <v/>
      </c>
      <c r="X84" s="30">
        <f>VLOOKUP(B84,Ireland!$A:$B,2,)</f>
        <v/>
      </c>
      <c r="Y84" s="30">
        <f>VLOOKUP(B84,Turkey!$A:$B,2,)</f>
        <v/>
      </c>
      <c r="Z84" s="30">
        <f>VLOOKUP(B84,CzechRepublic!$A:$B,2,)</f>
        <v/>
      </c>
      <c r="AA84" s="30">
        <f>VLOOKUP(B84,Poland!$A:$B,2,)</f>
        <v/>
      </c>
      <c r="AB84" s="30">
        <f>VLOOKUP(B84,Denmark!$A:$B,2,)</f>
        <v/>
      </c>
    </row>
    <row r="85" customFormat="1" s="69">
      <c r="B85" s="29" t="n">
        <v>44287</v>
      </c>
      <c r="C85" s="30">
        <f>VLOOKUP(B85,Global!$A:$B,2,)</f>
        <v/>
      </c>
      <c r="D85" s="30">
        <f>VLOOKUP(B85,US!$A:$D,4,)</f>
        <v/>
      </c>
      <c r="E85" s="30">
        <f>VLOOKUP(B85,US!$A:$B,2,)</f>
        <v/>
      </c>
      <c r="F85" s="30">
        <f>VLOOKUP(B85,China!$A:$B,2,)</f>
        <v/>
      </c>
      <c r="G85" s="30">
        <f>VLOOKUP(B85,'Euro Area'!A:B,2,)</f>
        <v/>
      </c>
      <c r="H85" s="30">
        <f>VLOOKUP(B85,Japan!$A:$B,2,)</f>
        <v/>
      </c>
      <c r="I85" s="30">
        <f>VLOOKUP(B85,Germany!$A:$B,2,)</f>
        <v/>
      </c>
      <c r="J85" s="30">
        <f>VLOOKUP(B85,France!$A:$B,2,)</f>
        <v/>
      </c>
      <c r="K85" s="30">
        <f>VLOOKUP(B85,UK!$A:$B,2,)</f>
        <v/>
      </c>
      <c r="L85" s="30">
        <f>VLOOKUP(B85,Italy!$A:$B,2,)</f>
        <v/>
      </c>
      <c r="M85" s="30">
        <f>VLOOKUP(B85,Spain!$A:$B,2,)</f>
        <v/>
      </c>
      <c r="N85" s="30">
        <f>VLOOKUP(B85,Brazil!$A:$B,2,)</f>
        <v/>
      </c>
      <c r="O85" s="30">
        <f>VLOOKUP(B85,Mexico!$A:$B,2,)</f>
        <v/>
      </c>
      <c r="P85" s="30">
        <f>VLOOKUP(B85,Russia!$A:$B,2,)</f>
        <v/>
      </c>
      <c r="Q85" s="30">
        <f>VLOOKUP(B85,India!$A:$B,2,)</f>
        <v/>
      </c>
      <c r="R85" s="30">
        <f>VLOOKUP(B85,Canada!$A:$B,2,)</f>
        <v/>
      </c>
      <c r="S85" s="30">
        <f>VLOOKUP(B85,Australia!$A:$B,2,)</f>
        <v/>
      </c>
      <c r="T85" s="30">
        <f>VLOOKUP(B85,Indonesia!$A:$B,2,)</f>
        <v/>
      </c>
      <c r="U85" s="30">
        <f>VLOOKUP(B85,SouthKorea!$A:$B,2,)</f>
        <v/>
      </c>
      <c r="V85" s="30">
        <f>VLOOKUP(B85,Taiwan!$A:$B,2,)</f>
        <v/>
      </c>
      <c r="W85" s="30">
        <f>VLOOKUP(B85,Greece!$A:$B,2,)</f>
        <v/>
      </c>
      <c r="X85" s="30">
        <f>VLOOKUP(B85,Ireland!$A:$B,2,)</f>
        <v/>
      </c>
      <c r="Y85" s="30">
        <f>VLOOKUP(B85,Turkey!$A:$B,2,)</f>
        <v/>
      </c>
      <c r="Z85" s="30">
        <f>VLOOKUP(B85,CzechRepublic!$A:$B,2,)</f>
        <v/>
      </c>
      <c r="AA85" s="30">
        <f>VLOOKUP(B85,Poland!$A:$B,2,)</f>
        <v/>
      </c>
      <c r="AB85" s="30">
        <f>VLOOKUP(B85,Denmark!$A:$B,2,)</f>
        <v/>
      </c>
    </row>
    <row r="86" customFormat="1" s="69">
      <c r="B86" s="29" t="n">
        <v>44317</v>
      </c>
      <c r="C86" s="30">
        <f>VLOOKUP(B86,Global!$A:$B,2,)</f>
        <v/>
      </c>
      <c r="D86" s="30">
        <f>VLOOKUP(B86,US!$A:$D,4,)</f>
        <v/>
      </c>
      <c r="E86" s="30">
        <f>VLOOKUP(B86,US!$A:$B,2,)</f>
        <v/>
      </c>
      <c r="F86" s="30">
        <f>VLOOKUP(B86,China!$A:$B,2,)</f>
        <v/>
      </c>
      <c r="G86" s="30">
        <f>VLOOKUP(B86,'Euro Area'!A:B,2,)</f>
        <v/>
      </c>
      <c r="H86" s="30">
        <f>VLOOKUP(B86,Japan!$A:$B,2,)</f>
        <v/>
      </c>
      <c r="I86" s="30">
        <f>VLOOKUP(B86,Germany!$A:$B,2,)</f>
        <v/>
      </c>
      <c r="J86" s="30">
        <f>VLOOKUP(B86,France!$A:$B,2,)</f>
        <v/>
      </c>
      <c r="K86" s="30">
        <f>VLOOKUP(B86,UK!$A:$B,2,)</f>
        <v/>
      </c>
      <c r="L86" s="30">
        <f>VLOOKUP(B86,Italy!$A:$B,2,)</f>
        <v/>
      </c>
      <c r="M86" s="30">
        <f>VLOOKUP(B86,Spain!$A:$B,2,)</f>
        <v/>
      </c>
      <c r="N86" s="30">
        <f>VLOOKUP(B86,Brazil!$A:$B,2,)</f>
        <v/>
      </c>
      <c r="O86" s="30">
        <f>VLOOKUP(B86,Mexico!$A:$B,2,)</f>
        <v/>
      </c>
      <c r="P86" s="30">
        <f>VLOOKUP(B86,Russia!$A:$B,2,)</f>
        <v/>
      </c>
      <c r="Q86" s="30">
        <f>VLOOKUP(B86,India!$A:$B,2,)</f>
        <v/>
      </c>
      <c r="R86" s="30">
        <f>VLOOKUP(B86,Canada!$A:$B,2,)</f>
        <v/>
      </c>
      <c r="S86" s="30">
        <f>VLOOKUP(B86,Australia!$A:$B,2,)</f>
        <v/>
      </c>
      <c r="T86" s="30">
        <f>VLOOKUP(B86,Indonesia!$A:$B,2,)</f>
        <v/>
      </c>
      <c r="U86" s="30">
        <f>VLOOKUP(B86,SouthKorea!$A:$B,2,)</f>
        <v/>
      </c>
      <c r="V86" s="30">
        <f>VLOOKUP(B86,Taiwan!$A:$B,2,)</f>
        <v/>
      </c>
      <c r="W86" s="30">
        <f>VLOOKUP(B86,Greece!$A:$B,2,)</f>
        <v/>
      </c>
      <c r="X86" s="30">
        <f>VLOOKUP(B86,Ireland!$A:$B,2,)</f>
        <v/>
      </c>
      <c r="Y86" s="30">
        <f>VLOOKUP(B86,Turkey!$A:$B,2,)</f>
        <v/>
      </c>
      <c r="Z86" s="30">
        <f>VLOOKUP(B86,CzechRepublic!$A:$B,2,)</f>
        <v/>
      </c>
      <c r="AA86" s="30">
        <f>VLOOKUP(B86,Poland!$A:$B,2,)</f>
        <v/>
      </c>
      <c r="AB86" s="30">
        <f>VLOOKUP(B86,Denmark!$A:$B,2,)</f>
        <v/>
      </c>
    </row>
    <row r="87" customFormat="1" s="69">
      <c r="B87" s="29" t="n">
        <v>44348</v>
      </c>
      <c r="C87" s="30">
        <f>VLOOKUP(B87,Global!$A:$B,2,)</f>
        <v/>
      </c>
      <c r="D87" s="30">
        <f>VLOOKUP(B87,US!$A:$D,4,)</f>
        <v/>
      </c>
      <c r="E87" s="30">
        <f>VLOOKUP(B87,US!$A:$B,2,)</f>
        <v/>
      </c>
      <c r="F87" s="30">
        <f>VLOOKUP(B87,China!$A:$B,2,)</f>
        <v/>
      </c>
      <c r="G87" s="30">
        <f>VLOOKUP(B87,'Euro Area'!A:B,2,)</f>
        <v/>
      </c>
      <c r="H87" s="30">
        <f>VLOOKUP(B87,Japan!$A:$B,2,)</f>
        <v/>
      </c>
      <c r="I87" s="30">
        <f>VLOOKUP(B87,Germany!$A:$B,2,)</f>
        <v/>
      </c>
      <c r="J87" s="30">
        <f>VLOOKUP(B87,France!$A:$B,2,)</f>
        <v/>
      </c>
      <c r="K87" s="30">
        <f>VLOOKUP(B87,UK!$A:$B,2,)</f>
        <v/>
      </c>
      <c r="L87" s="30">
        <f>VLOOKUP(B87,Italy!$A:$B,2,)</f>
        <v/>
      </c>
      <c r="M87" s="30">
        <f>VLOOKUP(B87,Spain!$A:$B,2,)</f>
        <v/>
      </c>
      <c r="N87" s="30">
        <f>VLOOKUP(B87,Brazil!$A:$B,2,)</f>
        <v/>
      </c>
      <c r="O87" s="30">
        <f>VLOOKUP(B87,Mexico!$A:$B,2,)</f>
        <v/>
      </c>
      <c r="P87" s="30">
        <f>VLOOKUP(B87,Russia!$A:$B,2,)</f>
        <v/>
      </c>
      <c r="Q87" s="30">
        <f>VLOOKUP(B87,India!$A:$B,2,)</f>
        <v/>
      </c>
      <c r="R87" s="30">
        <f>VLOOKUP(B87,Canada!$A:$B,2,)</f>
        <v/>
      </c>
      <c r="S87" s="30">
        <f>VLOOKUP(B87,Australia!$A:$B,2,)</f>
        <v/>
      </c>
      <c r="T87" s="30">
        <f>VLOOKUP(B87,Indonesia!$A:$B,2,)</f>
        <v/>
      </c>
      <c r="U87" s="30">
        <f>VLOOKUP(B87,SouthKorea!$A:$B,2,)</f>
        <v/>
      </c>
      <c r="V87" s="30">
        <f>VLOOKUP(B87,Taiwan!$A:$B,2,)</f>
        <v/>
      </c>
      <c r="W87" s="30">
        <f>VLOOKUP(B87,Greece!$A:$B,2,)</f>
        <v/>
      </c>
      <c r="X87" s="30">
        <f>VLOOKUP(B87,Ireland!$A:$B,2,)</f>
        <v/>
      </c>
      <c r="Y87" s="30">
        <f>VLOOKUP(B87,Turkey!$A:$B,2,)</f>
        <v/>
      </c>
      <c r="Z87" s="30">
        <f>VLOOKUP(B87,CzechRepublic!$A:$B,2,)</f>
        <v/>
      </c>
      <c r="AA87" s="30">
        <f>VLOOKUP(B87,Poland!$A:$B,2,)</f>
        <v/>
      </c>
      <c r="AB87" s="30">
        <f>VLOOKUP(B87,Denmark!$A:$B,2,)</f>
        <v/>
      </c>
    </row>
    <row r="88" customFormat="1" s="69">
      <c r="B88" s="29" t="n">
        <v>44378</v>
      </c>
      <c r="C88" s="30">
        <f>VLOOKUP(B88,Global!$A:$B,2,)</f>
        <v/>
      </c>
      <c r="D88" s="30">
        <f>VLOOKUP(B88,US!$A:$D,4,)</f>
        <v/>
      </c>
      <c r="E88" s="30">
        <f>VLOOKUP(B88,US!$A:$B,2,)</f>
        <v/>
      </c>
      <c r="F88" s="30">
        <f>VLOOKUP(B88,China!$A:$B,2,)</f>
        <v/>
      </c>
      <c r="G88" s="30">
        <f>VLOOKUP(B88,'Euro Area'!A:B,2,)</f>
        <v/>
      </c>
      <c r="H88" s="30">
        <f>VLOOKUP(B88,Japan!$A:$B,2,)</f>
        <v/>
      </c>
      <c r="I88" s="30">
        <f>VLOOKUP(B88,Germany!$A:$B,2,)</f>
        <v/>
      </c>
      <c r="J88" s="30">
        <f>VLOOKUP(B88,France!$A:$B,2,)</f>
        <v/>
      </c>
      <c r="K88" s="30">
        <f>VLOOKUP(B88,UK!$A:$B,2,)</f>
        <v/>
      </c>
      <c r="L88" s="30">
        <f>VLOOKUP(B88,Italy!$A:$B,2,)</f>
        <v/>
      </c>
      <c r="M88" s="30">
        <f>VLOOKUP(B88,Spain!$A:$B,2,)</f>
        <v/>
      </c>
      <c r="N88" s="30">
        <f>VLOOKUP(B88,Brazil!$A:$B,2,)</f>
        <v/>
      </c>
      <c r="O88" s="30">
        <f>VLOOKUP(B88,Mexico!$A:$B,2,)</f>
        <v/>
      </c>
      <c r="P88" s="30">
        <f>VLOOKUP(B88,Russia!$A:$B,2,)</f>
        <v/>
      </c>
      <c r="Q88" s="30">
        <f>VLOOKUP(B88,India!$A:$B,2,)</f>
        <v/>
      </c>
      <c r="R88" s="30">
        <f>VLOOKUP(B88,Canada!$A:$B,2,)</f>
        <v/>
      </c>
      <c r="S88" s="30">
        <f>VLOOKUP(B88,Australia!$A:$B,2,)</f>
        <v/>
      </c>
      <c r="T88" s="30">
        <f>VLOOKUP(B88,Indonesia!$A:$B,2,)</f>
        <v/>
      </c>
      <c r="U88" s="30">
        <f>VLOOKUP(B88,SouthKorea!$A:$B,2,)</f>
        <v/>
      </c>
      <c r="V88" s="30">
        <f>VLOOKUP(B88,Taiwan!$A:$B,2,)</f>
        <v/>
      </c>
      <c r="W88" s="30">
        <f>VLOOKUP(B88,Greece!$A:$B,2,)</f>
        <v/>
      </c>
      <c r="X88" s="30">
        <f>VLOOKUP(B88,Ireland!$A:$B,2,)</f>
        <v/>
      </c>
      <c r="Y88" s="30">
        <f>VLOOKUP(B88,Turkey!$A:$B,2,)</f>
        <v/>
      </c>
      <c r="Z88" s="30">
        <f>VLOOKUP(B88,CzechRepublic!$A:$B,2,)</f>
        <v/>
      </c>
      <c r="AA88" s="30">
        <f>VLOOKUP(B88,Poland!$A:$B,2,)</f>
        <v/>
      </c>
      <c r="AB88" s="30">
        <f>VLOOKUP(B88,Denmark!$A:$B,2,)</f>
        <v/>
      </c>
    </row>
    <row r="89" customFormat="1" s="69">
      <c r="B89" s="29" t="n">
        <v>44409</v>
      </c>
      <c r="C89" s="30">
        <f>VLOOKUP(B89,Global!$A:$B,2,)</f>
        <v/>
      </c>
      <c r="D89" s="30">
        <f>VLOOKUP(B89,US!$A:$D,4,)</f>
        <v/>
      </c>
      <c r="E89" s="30">
        <f>VLOOKUP(B89,US!$A:$B,2,)</f>
        <v/>
      </c>
      <c r="F89" s="30">
        <f>VLOOKUP(B89,China!$A:$B,2,)</f>
        <v/>
      </c>
      <c r="G89" s="30">
        <f>VLOOKUP(B89,'Euro Area'!A:B,2,)</f>
        <v/>
      </c>
      <c r="H89" s="30">
        <f>VLOOKUP(B89,Japan!$A:$B,2,)</f>
        <v/>
      </c>
      <c r="I89" s="30">
        <f>VLOOKUP(B89,Germany!$A:$B,2,)</f>
        <v/>
      </c>
      <c r="J89" s="30">
        <f>VLOOKUP(B89,France!$A:$B,2,)</f>
        <v/>
      </c>
      <c r="K89" s="30">
        <f>VLOOKUP(B89,UK!$A:$B,2,)</f>
        <v/>
      </c>
      <c r="L89" s="30">
        <f>VLOOKUP(B89,Italy!$A:$B,2,)</f>
        <v/>
      </c>
      <c r="M89" s="30">
        <f>VLOOKUP(B89,Spain!$A:$B,2,)</f>
        <v/>
      </c>
      <c r="N89" s="30">
        <f>VLOOKUP(B89,Brazil!$A:$B,2,)</f>
        <v/>
      </c>
      <c r="O89" s="30">
        <f>VLOOKUP(B89,Mexico!$A:$B,2,)</f>
        <v/>
      </c>
      <c r="P89" s="30">
        <f>VLOOKUP(B89,Russia!$A:$B,2,)</f>
        <v/>
      </c>
      <c r="Q89" s="30">
        <f>VLOOKUP(B89,India!$A:$B,2,)</f>
        <v/>
      </c>
      <c r="R89" s="30">
        <f>VLOOKUP(B89,Canada!$A:$B,2,)</f>
        <v/>
      </c>
      <c r="S89" s="30">
        <f>VLOOKUP(B89,Australia!$A:$B,2,)</f>
        <v/>
      </c>
      <c r="T89" s="30">
        <f>VLOOKUP(B89,Indonesia!$A:$B,2,)</f>
        <v/>
      </c>
      <c r="U89" s="30">
        <f>VLOOKUP(B89,SouthKorea!$A:$B,2,)</f>
        <v/>
      </c>
      <c r="V89" s="30">
        <f>VLOOKUP(B89,Taiwan!$A:$B,2,)</f>
        <v/>
      </c>
      <c r="W89" s="30">
        <f>VLOOKUP(B89,Greece!$A:$B,2,)</f>
        <v/>
      </c>
      <c r="X89" s="30">
        <f>VLOOKUP(B89,Ireland!$A:$B,2,)</f>
        <v/>
      </c>
      <c r="Y89" s="30">
        <f>VLOOKUP(B89,Turkey!$A:$B,2,)</f>
        <v/>
      </c>
      <c r="Z89" s="30">
        <f>VLOOKUP(B89,CzechRepublic!$A:$B,2,)</f>
        <v/>
      </c>
      <c r="AA89" s="30">
        <f>VLOOKUP(B89,Poland!$A:$B,2,)</f>
        <v/>
      </c>
      <c r="AB89" s="30">
        <f>VLOOKUP(B89,Denmark!$A:$B,2,)</f>
        <v/>
      </c>
    </row>
    <row r="90" customFormat="1" s="69">
      <c r="B90" s="29" t="n">
        <v>44440</v>
      </c>
      <c r="C90" s="30">
        <f>VLOOKUP(B90,Global!$A:$B,2,)</f>
        <v/>
      </c>
      <c r="D90" s="30">
        <f>VLOOKUP(B90,US!$A:$D,4,)</f>
        <v/>
      </c>
      <c r="E90" s="30">
        <f>VLOOKUP(B90,US!$A:$B,2,)</f>
        <v/>
      </c>
      <c r="F90" s="30">
        <f>VLOOKUP(B90,China!$A:$B,2,)</f>
        <v/>
      </c>
      <c r="G90" s="30">
        <f>VLOOKUP(B90,'Euro Area'!A:B,2,)</f>
        <v/>
      </c>
      <c r="H90" s="30">
        <f>VLOOKUP(B90,Japan!$A:$B,2,)</f>
        <v/>
      </c>
      <c r="I90" s="30">
        <f>VLOOKUP(B90,Germany!$A:$B,2,)</f>
        <v/>
      </c>
      <c r="J90" s="30">
        <f>VLOOKUP(B90,France!$A:$B,2,)</f>
        <v/>
      </c>
      <c r="K90" s="30">
        <f>VLOOKUP(B90,UK!$A:$B,2,)</f>
        <v/>
      </c>
      <c r="L90" s="30">
        <f>VLOOKUP(B90,Italy!$A:$B,2,)</f>
        <v/>
      </c>
      <c r="M90" s="30">
        <f>VLOOKUP(B90,Spain!$A:$B,2,)</f>
        <v/>
      </c>
      <c r="N90" s="30">
        <f>VLOOKUP(B90,Brazil!$A:$B,2,)</f>
        <v/>
      </c>
      <c r="O90" s="30">
        <f>VLOOKUP(B90,Mexico!$A:$B,2,)</f>
        <v/>
      </c>
      <c r="P90" s="30">
        <f>VLOOKUP(B90,Russia!$A:$B,2,)</f>
        <v/>
      </c>
      <c r="Q90" s="30">
        <f>VLOOKUP(B90,India!$A:$B,2,)</f>
        <v/>
      </c>
      <c r="R90" s="30">
        <f>VLOOKUP(B90,Canada!$A:$B,2,)</f>
        <v/>
      </c>
      <c r="S90" s="30">
        <f>VLOOKUP(B90,Australia!$A:$B,2,)</f>
        <v/>
      </c>
      <c r="T90" s="30">
        <f>VLOOKUP(B90,Indonesia!$A:$B,2,)</f>
        <v/>
      </c>
      <c r="U90" s="30">
        <f>VLOOKUP(B90,SouthKorea!$A:$B,2,)</f>
        <v/>
      </c>
      <c r="V90" s="30">
        <f>VLOOKUP(B90,Taiwan!$A:$B,2,)</f>
        <v/>
      </c>
      <c r="W90" s="30">
        <f>VLOOKUP(B90,Greece!$A:$B,2,)</f>
        <v/>
      </c>
      <c r="X90" s="30">
        <f>VLOOKUP(B90,Ireland!$A:$B,2,)</f>
        <v/>
      </c>
      <c r="Y90" s="30">
        <f>VLOOKUP(B90,Turkey!$A:$B,2,)</f>
        <v/>
      </c>
      <c r="Z90" s="30">
        <f>VLOOKUP(B90,CzechRepublic!$A:$B,2,)</f>
        <v/>
      </c>
      <c r="AA90" s="30">
        <f>VLOOKUP(B90,Poland!$A:$B,2,)</f>
        <v/>
      </c>
      <c r="AB90" s="30">
        <f>VLOOKUP(B90,Denmark!$A:$B,2,)</f>
        <v/>
      </c>
    </row>
    <row r="91" customFormat="1" s="69">
      <c r="B91" s="29" t="n">
        <v>44470</v>
      </c>
      <c r="C91" s="30">
        <f>VLOOKUP(B91,Global!$A:$B,2,)</f>
        <v/>
      </c>
      <c r="D91" s="30">
        <f>VLOOKUP(B91,US!$A:$D,4,)</f>
        <v/>
      </c>
      <c r="E91" s="30">
        <f>VLOOKUP(B91,US!$A:$B,2,)</f>
        <v/>
      </c>
      <c r="F91" s="30">
        <f>VLOOKUP(B91,China!$A:$B,2,)</f>
        <v/>
      </c>
      <c r="G91" s="30">
        <f>VLOOKUP(B91,'Euro Area'!A:B,2,)</f>
        <v/>
      </c>
      <c r="H91" s="30">
        <f>VLOOKUP(B91,Japan!$A:$B,2,)</f>
        <v/>
      </c>
      <c r="I91" s="30">
        <f>VLOOKUP(B91,Germany!$A:$B,2,)</f>
        <v/>
      </c>
      <c r="J91" s="30">
        <f>VLOOKUP(B91,France!$A:$B,2,)</f>
        <v/>
      </c>
      <c r="K91" s="30">
        <f>VLOOKUP(B91,UK!$A:$B,2,)</f>
        <v/>
      </c>
      <c r="L91" s="30">
        <f>VLOOKUP(B91,Italy!$A:$B,2,)</f>
        <v/>
      </c>
      <c r="M91" s="30">
        <f>VLOOKUP(B91,Spain!$A:$B,2,)</f>
        <v/>
      </c>
      <c r="N91" s="30">
        <f>VLOOKUP(B91,Brazil!$A:$B,2,)</f>
        <v/>
      </c>
      <c r="O91" s="30">
        <f>VLOOKUP(B91,Mexico!$A:$B,2,)</f>
        <v/>
      </c>
      <c r="P91" s="30">
        <f>VLOOKUP(B91,Russia!$A:$B,2,)</f>
        <v/>
      </c>
      <c r="Q91" s="30">
        <f>VLOOKUP(B91,India!$A:$B,2,)</f>
        <v/>
      </c>
      <c r="R91" s="30">
        <f>VLOOKUP(B91,Canada!$A:$B,2,)</f>
        <v/>
      </c>
      <c r="S91" s="30">
        <f>VLOOKUP(B91,Australia!$A:$B,2,)</f>
        <v/>
      </c>
      <c r="T91" s="30">
        <f>VLOOKUP(B91,Indonesia!$A:$B,2,)</f>
        <v/>
      </c>
      <c r="U91" s="30">
        <f>VLOOKUP(B91,SouthKorea!$A:$B,2,)</f>
        <v/>
      </c>
      <c r="V91" s="30">
        <f>VLOOKUP(B91,Taiwan!$A:$B,2,)</f>
        <v/>
      </c>
      <c r="W91" s="30">
        <f>VLOOKUP(B91,Greece!$A:$B,2,)</f>
        <v/>
      </c>
      <c r="X91" s="30">
        <f>VLOOKUP(B91,Ireland!$A:$B,2,)</f>
        <v/>
      </c>
      <c r="Y91" s="30">
        <f>VLOOKUP(B91,Turkey!$A:$B,2,)</f>
        <v/>
      </c>
      <c r="Z91" s="30">
        <f>VLOOKUP(B91,CzechRepublic!$A:$B,2,)</f>
        <v/>
      </c>
      <c r="AA91" s="30">
        <f>VLOOKUP(B91,Poland!$A:$B,2,)</f>
        <v/>
      </c>
      <c r="AB91" s="30">
        <f>VLOOKUP(B91,Denmark!$A:$B,2,)</f>
        <v/>
      </c>
    </row>
    <row r="92" customFormat="1" s="69">
      <c r="B92" s="29" t="n">
        <v>44501</v>
      </c>
      <c r="C92" s="30">
        <f>VLOOKUP(B92,Global!$A:$B,2,)</f>
        <v/>
      </c>
      <c r="D92" s="30">
        <f>VLOOKUP(B92,US!$A:$D,4,)</f>
        <v/>
      </c>
      <c r="E92" s="30">
        <f>VLOOKUP(B92,US!$A:$B,2,)</f>
        <v/>
      </c>
      <c r="F92" s="30">
        <f>VLOOKUP(B92,China!$A:$B,2,)</f>
        <v/>
      </c>
      <c r="G92" s="30">
        <f>VLOOKUP(B92,'Euro Area'!A:B,2,)</f>
        <v/>
      </c>
      <c r="H92" s="30">
        <f>VLOOKUP(B92,Japan!$A:$B,2,)</f>
        <v/>
      </c>
      <c r="I92" s="30">
        <f>VLOOKUP(B92,Germany!$A:$B,2,)</f>
        <v/>
      </c>
      <c r="J92" s="30">
        <f>VLOOKUP(B92,France!$A:$B,2,)</f>
        <v/>
      </c>
      <c r="K92" s="30">
        <f>VLOOKUP(B92,UK!$A:$B,2,)</f>
        <v/>
      </c>
      <c r="L92" s="30">
        <f>VLOOKUP(B92,Italy!$A:$B,2,)</f>
        <v/>
      </c>
      <c r="M92" s="30">
        <f>VLOOKUP(B92,Spain!$A:$B,2,)</f>
        <v/>
      </c>
      <c r="N92" s="30">
        <f>VLOOKUP(B92,Brazil!$A:$B,2,)</f>
        <v/>
      </c>
      <c r="O92" s="30">
        <f>VLOOKUP(B92,Mexico!$A:$B,2,)</f>
        <v/>
      </c>
      <c r="P92" s="30">
        <f>VLOOKUP(B92,Russia!$A:$B,2,)</f>
        <v/>
      </c>
      <c r="Q92" s="30">
        <f>VLOOKUP(B92,India!$A:$B,2,)</f>
        <v/>
      </c>
      <c r="R92" s="30">
        <f>VLOOKUP(B92,Canada!$A:$B,2,)</f>
        <v/>
      </c>
      <c r="S92" s="30">
        <f>VLOOKUP(B92,Australia!$A:$B,2,)</f>
        <v/>
      </c>
      <c r="T92" s="30">
        <f>VLOOKUP(B92,Indonesia!$A:$B,2,)</f>
        <v/>
      </c>
      <c r="U92" s="30">
        <f>VLOOKUP(B92,SouthKorea!$A:$B,2,)</f>
        <v/>
      </c>
      <c r="V92" s="30">
        <f>VLOOKUP(B92,Taiwan!$A:$B,2,)</f>
        <v/>
      </c>
      <c r="W92" s="30">
        <f>VLOOKUP(B92,Greece!$A:$B,2,)</f>
        <v/>
      </c>
      <c r="X92" s="30">
        <f>VLOOKUP(B92,Ireland!$A:$B,2,)</f>
        <v/>
      </c>
      <c r="Y92" s="30">
        <f>VLOOKUP(B92,Turkey!$A:$B,2,)</f>
        <v/>
      </c>
      <c r="Z92" s="30">
        <f>VLOOKUP(B92,CzechRepublic!$A:$B,2,)</f>
        <v/>
      </c>
      <c r="AA92" s="30">
        <f>VLOOKUP(B92,Poland!$A:$B,2,)</f>
        <v/>
      </c>
      <c r="AB92" s="30">
        <f>VLOOKUP(B92,Denmark!$A:$B,2,)</f>
        <v/>
      </c>
    </row>
    <row r="93" customFormat="1" s="69">
      <c r="B93" s="29" t="n">
        <v>44531</v>
      </c>
      <c r="C93" s="30">
        <f>VLOOKUP(B93,Global!$A:$B,2,)</f>
        <v/>
      </c>
      <c r="D93" s="30">
        <f>VLOOKUP(B93,US!$A:$D,4,)</f>
        <v/>
      </c>
      <c r="E93" s="30">
        <f>VLOOKUP(B93,US!$A:$B,2,)</f>
        <v/>
      </c>
      <c r="F93" s="30">
        <f>VLOOKUP(B93,China!$A:$B,2,)</f>
        <v/>
      </c>
      <c r="G93" s="30">
        <f>VLOOKUP(B93,'Euro Area'!A:B,2,)</f>
        <v/>
      </c>
      <c r="H93" s="30">
        <f>VLOOKUP(B93,Japan!$A:$B,2,)</f>
        <v/>
      </c>
      <c r="I93" s="30">
        <f>VLOOKUP(B93,Germany!$A:$B,2,)</f>
        <v/>
      </c>
      <c r="J93" s="30">
        <f>VLOOKUP(B93,France!$A:$B,2,)</f>
        <v/>
      </c>
      <c r="K93" s="30">
        <f>VLOOKUP(B93,UK!$A:$B,2,)</f>
        <v/>
      </c>
      <c r="L93" s="30">
        <f>VLOOKUP(B93,Italy!$A:$B,2,)</f>
        <v/>
      </c>
      <c r="M93" s="30">
        <f>VLOOKUP(B93,Spain!$A:$B,2,)</f>
        <v/>
      </c>
      <c r="N93" s="30">
        <f>VLOOKUP(B93,Brazil!$A:$B,2,)</f>
        <v/>
      </c>
      <c r="O93" s="30">
        <f>VLOOKUP(B93,Mexico!$A:$B,2,)</f>
        <v/>
      </c>
      <c r="P93" s="30">
        <f>VLOOKUP(B93,Russia!$A:$B,2,)</f>
        <v/>
      </c>
      <c r="Q93" s="30">
        <f>VLOOKUP(B93,India!$A:$B,2,)</f>
        <v/>
      </c>
      <c r="R93" s="30">
        <f>VLOOKUP(B93,Canada!$A:$B,2,)</f>
        <v/>
      </c>
      <c r="S93" s="30">
        <f>VLOOKUP(B93,Australia!$A:$B,2,)</f>
        <v/>
      </c>
      <c r="T93" s="30">
        <f>VLOOKUP(B93,Indonesia!$A:$B,2,)</f>
        <v/>
      </c>
      <c r="U93" s="30">
        <f>VLOOKUP(B93,SouthKorea!$A:$B,2,)</f>
        <v/>
      </c>
      <c r="V93" s="30">
        <f>VLOOKUP(B93,Taiwan!$A:$B,2,)</f>
        <v/>
      </c>
      <c r="W93" s="30">
        <f>VLOOKUP(B93,Greece!$A:$B,2,)</f>
        <v/>
      </c>
      <c r="X93" s="30">
        <f>VLOOKUP(B93,Ireland!$A:$B,2,)</f>
        <v/>
      </c>
      <c r="Y93" s="30">
        <f>VLOOKUP(B93,Turkey!$A:$B,2,)</f>
        <v/>
      </c>
      <c r="Z93" s="30">
        <f>VLOOKUP(B93,CzechRepublic!$A:$B,2,)</f>
        <v/>
      </c>
      <c r="AA93" s="30">
        <f>VLOOKUP(B93,Poland!$A:$B,2,)</f>
        <v/>
      </c>
      <c r="AB93" s="30">
        <f>VLOOKUP(B93,Denmark!$A:$B,2,)</f>
        <v/>
      </c>
    </row>
    <row r="94" customFormat="1" s="69">
      <c r="B94" s="29" t="n">
        <v>44562</v>
      </c>
      <c r="C94" s="30">
        <f>VLOOKUP(B94,Global!$A:$B,2,)</f>
        <v/>
      </c>
      <c r="D94" s="30">
        <f>VLOOKUP(B94,US!$A:$D,4,)</f>
        <v/>
      </c>
      <c r="E94" s="30">
        <f>VLOOKUP(B94,US!$A:$B,2,)</f>
        <v/>
      </c>
      <c r="F94" s="30">
        <f>VLOOKUP(B94,China!$A:$B,2,)</f>
        <v/>
      </c>
      <c r="G94" s="30">
        <f>VLOOKUP(B94,'Euro Area'!A:B,2,)</f>
        <v/>
      </c>
      <c r="H94" s="30">
        <f>VLOOKUP(B94,Japan!$A:$B,2,)</f>
        <v/>
      </c>
      <c r="I94" s="30">
        <f>VLOOKUP(B94,Germany!$A:$B,2,)</f>
        <v/>
      </c>
      <c r="J94" s="30">
        <f>VLOOKUP(B94,France!$A:$B,2,)</f>
        <v/>
      </c>
      <c r="K94" s="30">
        <f>VLOOKUP(B94,UK!$A:$B,2,)</f>
        <v/>
      </c>
      <c r="L94" s="30">
        <f>VLOOKUP(B94,Italy!$A:$B,2,)</f>
        <v/>
      </c>
      <c r="M94" s="30">
        <f>VLOOKUP(B94,Spain!$A:$B,2,)</f>
        <v/>
      </c>
      <c r="N94" s="30">
        <f>VLOOKUP(B94,Brazil!$A:$B,2,)</f>
        <v/>
      </c>
      <c r="O94" s="30">
        <f>VLOOKUP(B94,Mexico!$A:$B,2,)</f>
        <v/>
      </c>
      <c r="P94" s="30">
        <f>VLOOKUP(B94,Russia!$A:$B,2,)</f>
        <v/>
      </c>
      <c r="Q94" s="30">
        <f>VLOOKUP(B94,India!$A:$B,2,)</f>
        <v/>
      </c>
      <c r="R94" s="30">
        <f>VLOOKUP(B94,Canada!$A:$B,2,)</f>
        <v/>
      </c>
      <c r="S94" s="30">
        <f>VLOOKUP(B94,Australia!$A:$B,2,)</f>
        <v/>
      </c>
      <c r="T94" s="30">
        <f>VLOOKUP(B94,Indonesia!$A:$B,2,)</f>
        <v/>
      </c>
      <c r="U94" s="30">
        <f>VLOOKUP(B94,SouthKorea!$A:$B,2,)</f>
        <v/>
      </c>
      <c r="V94" s="30">
        <f>VLOOKUP(B94,Taiwan!$A:$B,2,)</f>
        <v/>
      </c>
      <c r="W94" s="30">
        <f>VLOOKUP(B94,Greece!$A:$B,2,)</f>
        <v/>
      </c>
      <c r="X94" s="30">
        <f>VLOOKUP(B94,Ireland!$A:$B,2,)</f>
        <v/>
      </c>
      <c r="Y94" s="30">
        <f>VLOOKUP(B94,Turkey!$A:$B,2,)</f>
        <v/>
      </c>
      <c r="Z94" s="30">
        <f>VLOOKUP(B94,CzechRepublic!$A:$B,2,)</f>
        <v/>
      </c>
      <c r="AA94" s="30">
        <f>VLOOKUP(B94,Poland!$A:$B,2,)</f>
        <v/>
      </c>
      <c r="AB94" s="30">
        <f>VLOOKUP(B94,Denmark!$A:$B,2,)</f>
        <v/>
      </c>
    </row>
    <row r="95" customFormat="1" s="69">
      <c r="B95" s="29" t="n">
        <v>44593</v>
      </c>
      <c r="C95" s="30">
        <f>VLOOKUP(B95,Global!$A:$B,2,)</f>
        <v/>
      </c>
      <c r="D95" s="30">
        <f>VLOOKUP(B95,US!$A:$D,4,)</f>
        <v/>
      </c>
      <c r="E95" s="30">
        <f>VLOOKUP(B95,US!$A:$B,2,)</f>
        <v/>
      </c>
      <c r="F95" s="30">
        <f>VLOOKUP(B95,China!$A:$B,2,)</f>
        <v/>
      </c>
      <c r="G95" s="30">
        <f>VLOOKUP(B95,'Euro Area'!A:B,2,)</f>
        <v/>
      </c>
      <c r="H95" s="30">
        <f>VLOOKUP(B95,Japan!$A:$B,2,)</f>
        <v/>
      </c>
      <c r="I95" s="30">
        <f>VLOOKUP(B95,Germany!$A:$B,2,)</f>
        <v/>
      </c>
      <c r="J95" s="30">
        <f>VLOOKUP(B95,France!$A:$B,2,)</f>
        <v/>
      </c>
      <c r="K95" s="30">
        <f>VLOOKUP(B95,UK!$A:$B,2,)</f>
        <v/>
      </c>
      <c r="L95" s="30">
        <f>VLOOKUP(B95,Italy!$A:$B,2,)</f>
        <v/>
      </c>
      <c r="M95" s="30">
        <f>VLOOKUP(B95,Spain!$A:$B,2,)</f>
        <v/>
      </c>
      <c r="N95" s="30">
        <f>VLOOKUP(B95,Brazil!$A:$B,2,)</f>
        <v/>
      </c>
      <c r="O95" s="30">
        <f>VLOOKUP(B95,Mexico!$A:$B,2,)</f>
        <v/>
      </c>
      <c r="P95" s="30">
        <f>VLOOKUP(B95,Russia!$A:$B,2,)</f>
        <v/>
      </c>
      <c r="Q95" s="30">
        <f>VLOOKUP(B95,India!$A:$B,2,)</f>
        <v/>
      </c>
      <c r="R95" s="30">
        <f>VLOOKUP(B95,Canada!$A:$B,2,)</f>
        <v/>
      </c>
      <c r="S95" s="30">
        <f>VLOOKUP(B95,Australia!$A:$B,2,)</f>
        <v/>
      </c>
      <c r="T95" s="30">
        <f>VLOOKUP(B95,Indonesia!$A:$B,2,)</f>
        <v/>
      </c>
      <c r="U95" s="30">
        <f>VLOOKUP(B95,SouthKorea!$A:$B,2,)</f>
        <v/>
      </c>
      <c r="V95" s="30">
        <f>VLOOKUP(B95,Taiwan!$A:$B,2,)</f>
        <v/>
      </c>
      <c r="W95" s="30">
        <f>VLOOKUP(B95,Greece!$A:$B,2,)</f>
        <v/>
      </c>
      <c r="X95" s="30">
        <f>VLOOKUP(B95,Ireland!$A:$B,2,)</f>
        <v/>
      </c>
      <c r="Y95" s="30">
        <f>VLOOKUP(B95,Turkey!$A:$B,2,)</f>
        <v/>
      </c>
      <c r="Z95" s="30">
        <f>VLOOKUP(B95,CzechRepublic!$A:$B,2,)</f>
        <v/>
      </c>
      <c r="AA95" s="30">
        <f>VLOOKUP(B95,Poland!$A:$B,2,)</f>
        <v/>
      </c>
      <c r="AB95" s="30">
        <f>VLOOKUP(B95,Denmark!$A:$B,2,)</f>
        <v/>
      </c>
    </row>
    <row r="96" customFormat="1" s="69">
      <c r="B96" s="29" t="n">
        <v>44621</v>
      </c>
      <c r="C96" s="30">
        <f>VLOOKUP(B96,Global!$A:$B,2,)</f>
        <v/>
      </c>
      <c r="D96" s="30">
        <f>VLOOKUP(B96,US!$A:$D,4,)</f>
        <v/>
      </c>
      <c r="E96" s="30">
        <f>VLOOKUP(B96,US!$A:$B,2,)</f>
        <v/>
      </c>
      <c r="F96" s="30">
        <f>VLOOKUP(B96,China!$A:$B,2,)</f>
        <v/>
      </c>
      <c r="G96" s="30">
        <f>VLOOKUP(B96,'Euro Area'!A:B,2,)</f>
        <v/>
      </c>
      <c r="H96" s="30">
        <f>VLOOKUP(B96,Japan!$A:$B,2,)</f>
        <v/>
      </c>
      <c r="I96" s="30">
        <f>VLOOKUP(B96,Germany!$A:$B,2,)</f>
        <v/>
      </c>
      <c r="J96" s="30">
        <f>VLOOKUP(B96,France!$A:$B,2,)</f>
        <v/>
      </c>
      <c r="K96" s="30">
        <f>VLOOKUP(B96,UK!$A:$B,2,)</f>
        <v/>
      </c>
      <c r="L96" s="30">
        <f>VLOOKUP(B96,Italy!$A:$B,2,)</f>
        <v/>
      </c>
      <c r="M96" s="30">
        <f>VLOOKUP(B96,Spain!$A:$B,2,)</f>
        <v/>
      </c>
      <c r="N96" s="30">
        <f>VLOOKUP(B96,Brazil!$A:$B,2,)</f>
        <v/>
      </c>
      <c r="O96" s="30">
        <f>VLOOKUP(B96,Mexico!$A:$B,2,)</f>
        <v/>
      </c>
      <c r="P96" s="30">
        <f>VLOOKUP(B96,Russia!$A:$B,2,)</f>
        <v/>
      </c>
      <c r="Q96" s="30">
        <f>VLOOKUP(B96,India!$A:$B,2,)</f>
        <v/>
      </c>
      <c r="R96" s="30">
        <f>VLOOKUP(B96,Canada!$A:$B,2,)</f>
        <v/>
      </c>
      <c r="S96" s="30">
        <f>VLOOKUP(B96,Australia!$A:$B,2,)</f>
        <v/>
      </c>
      <c r="T96" s="30">
        <f>VLOOKUP(B96,Indonesia!$A:$B,2,)</f>
        <v/>
      </c>
      <c r="U96" s="30">
        <f>VLOOKUP(B96,SouthKorea!$A:$B,2,)</f>
        <v/>
      </c>
      <c r="V96" s="30">
        <f>VLOOKUP(B96,Taiwan!$A:$B,2,)</f>
        <v/>
      </c>
      <c r="W96" s="30">
        <f>VLOOKUP(B96,Greece!$A:$B,2,)</f>
        <v/>
      </c>
      <c r="X96" s="30">
        <f>VLOOKUP(B96,Ireland!$A:$B,2,)</f>
        <v/>
      </c>
      <c r="Y96" s="30">
        <f>VLOOKUP(B96,Turkey!$A:$B,2,)</f>
        <v/>
      </c>
      <c r="Z96" s="30">
        <f>VLOOKUP(B96,CzechRepublic!$A:$B,2,)</f>
        <v/>
      </c>
      <c r="AA96" s="30">
        <f>VLOOKUP(B96,Poland!$A:$B,2,)</f>
        <v/>
      </c>
      <c r="AB96" s="30">
        <f>VLOOKUP(B96,Denmark!$A:$B,2,)</f>
        <v/>
      </c>
    </row>
    <row r="97" customFormat="1" s="69">
      <c r="B97" s="29" t="n">
        <v>44652</v>
      </c>
      <c r="C97" s="30">
        <f>VLOOKUP(B97,Global!$A:$B,2,)</f>
        <v/>
      </c>
      <c r="D97" s="30">
        <f>VLOOKUP(B97,US!$A:$D,4,)</f>
        <v/>
      </c>
      <c r="E97" s="30">
        <f>VLOOKUP(B97,US!$A:$B,2,)</f>
        <v/>
      </c>
      <c r="F97" s="30">
        <f>VLOOKUP(B97,China!$A:$B,2,)</f>
        <v/>
      </c>
      <c r="G97" s="30">
        <f>VLOOKUP(B97,'Euro Area'!A:B,2,)</f>
        <v/>
      </c>
      <c r="H97" s="30">
        <f>VLOOKUP(B97,Japan!$A:$B,2,)</f>
        <v/>
      </c>
      <c r="I97" s="30">
        <f>VLOOKUP(B97,Germany!$A:$B,2,)</f>
        <v/>
      </c>
      <c r="J97" s="30">
        <f>VLOOKUP(B97,France!$A:$B,2,)</f>
        <v/>
      </c>
      <c r="K97" s="30">
        <f>VLOOKUP(B97,UK!$A:$B,2,)</f>
        <v/>
      </c>
      <c r="L97" s="30">
        <f>VLOOKUP(B97,Italy!$A:$B,2,)</f>
        <v/>
      </c>
      <c r="M97" s="30">
        <f>VLOOKUP(B97,Spain!$A:$B,2,)</f>
        <v/>
      </c>
      <c r="N97" s="30">
        <f>VLOOKUP(B97,Brazil!$A:$B,2,)</f>
        <v/>
      </c>
      <c r="O97" s="30">
        <f>VLOOKUP(B97,Mexico!$A:$B,2,)</f>
        <v/>
      </c>
      <c r="P97" s="30">
        <f>VLOOKUP(B97,Russia!$A:$B,2,)</f>
        <v/>
      </c>
      <c r="Q97" s="30">
        <f>VLOOKUP(B97,India!$A:$B,2,)</f>
        <v/>
      </c>
      <c r="R97" s="30">
        <f>VLOOKUP(B97,Canada!$A:$B,2,)</f>
        <v/>
      </c>
      <c r="S97" s="30">
        <f>VLOOKUP(B97,Australia!$A:$B,2,)</f>
        <v/>
      </c>
      <c r="T97" s="30">
        <f>VLOOKUP(B97,Indonesia!$A:$B,2,)</f>
        <v/>
      </c>
      <c r="U97" s="30">
        <f>VLOOKUP(B97,SouthKorea!$A:$B,2,)</f>
        <v/>
      </c>
      <c r="V97" s="30">
        <f>VLOOKUP(B97,Taiwan!$A:$B,2,)</f>
        <v/>
      </c>
      <c r="W97" s="30">
        <f>VLOOKUP(B97,Greece!$A:$B,2,)</f>
        <v/>
      </c>
      <c r="X97" s="30">
        <f>VLOOKUP(B97,Ireland!$A:$B,2,)</f>
        <v/>
      </c>
      <c r="Y97" s="30">
        <f>VLOOKUP(B97,Turkey!$A:$B,2,)</f>
        <v/>
      </c>
      <c r="Z97" s="30">
        <f>VLOOKUP(B97,CzechRepublic!$A:$B,2,)</f>
        <v/>
      </c>
      <c r="AA97" s="30">
        <f>VLOOKUP(B97,Poland!$A:$B,2,)</f>
        <v/>
      </c>
      <c r="AB97" s="30">
        <f>VLOOKUP(B97,Denmark!$A:$B,2,)</f>
        <v/>
      </c>
    </row>
    <row r="98" customFormat="1" s="69">
      <c r="B98" s="29" t="n">
        <v>44682</v>
      </c>
      <c r="C98" s="30">
        <f>VLOOKUP(B98,Global!$A:$B,2,)</f>
        <v/>
      </c>
      <c r="D98" s="30">
        <f>VLOOKUP(B98,US!$A:$D,4,)</f>
        <v/>
      </c>
      <c r="E98" s="30">
        <f>VLOOKUP(B98,US!$A:$B,2,)</f>
        <v/>
      </c>
      <c r="F98" s="30">
        <f>VLOOKUP(B98,China!$A:$B,2,)</f>
        <v/>
      </c>
      <c r="G98" s="30">
        <f>VLOOKUP(B98,'Euro Area'!A:B,2,)</f>
        <v/>
      </c>
      <c r="H98" s="30">
        <f>VLOOKUP(B98,Japan!$A:$B,2,)</f>
        <v/>
      </c>
      <c r="I98" s="30">
        <f>VLOOKUP(B98,Germany!$A:$B,2,)</f>
        <v/>
      </c>
      <c r="J98" s="30">
        <f>VLOOKUP(B98,France!$A:$B,2,)</f>
        <v/>
      </c>
      <c r="K98" s="30">
        <f>VLOOKUP(B98,UK!$A:$B,2,)</f>
        <v/>
      </c>
      <c r="L98" s="30">
        <f>VLOOKUP(B98,Italy!$A:$B,2,)</f>
        <v/>
      </c>
      <c r="M98" s="30">
        <f>VLOOKUP(B98,Spain!$A:$B,2,)</f>
        <v/>
      </c>
      <c r="N98" s="30">
        <f>VLOOKUP(B98,Brazil!$A:$B,2,)</f>
        <v/>
      </c>
      <c r="O98" s="30">
        <f>VLOOKUP(B98,Mexico!$A:$B,2,)</f>
        <v/>
      </c>
      <c r="P98" s="30">
        <f>VLOOKUP(B98,Russia!$A:$B,2,)</f>
        <v/>
      </c>
      <c r="Q98" s="30">
        <f>VLOOKUP(B98,India!$A:$B,2,)</f>
        <v/>
      </c>
      <c r="R98" s="30">
        <f>VLOOKUP(B98,Canada!$A:$B,2,)</f>
        <v/>
      </c>
      <c r="S98" s="30">
        <f>VLOOKUP(B98,Australia!$A:$B,2,)</f>
        <v/>
      </c>
      <c r="T98" s="30">
        <f>VLOOKUP(B98,Indonesia!$A:$B,2,)</f>
        <v/>
      </c>
      <c r="U98" s="30">
        <f>VLOOKUP(B98,SouthKorea!$A:$B,2,)</f>
        <v/>
      </c>
      <c r="V98" s="30">
        <f>VLOOKUP(B98,Taiwan!$A:$B,2,)</f>
        <v/>
      </c>
      <c r="W98" s="30">
        <f>VLOOKUP(B98,Greece!$A:$B,2,)</f>
        <v/>
      </c>
      <c r="X98" s="30">
        <f>VLOOKUP(B98,Ireland!$A:$B,2,)</f>
        <v/>
      </c>
      <c r="Y98" s="30">
        <f>VLOOKUP(B98,Turkey!$A:$B,2,)</f>
        <v/>
      </c>
      <c r="Z98" s="30">
        <f>VLOOKUP(B98,CzechRepublic!$A:$B,2,)</f>
        <v/>
      </c>
      <c r="AA98" s="30">
        <f>VLOOKUP(B98,Poland!$A:$B,2,)</f>
        <v/>
      </c>
      <c r="AB98" s="30">
        <f>VLOOKUP(B98,Denmark!$A:$B,2,)</f>
        <v/>
      </c>
    </row>
    <row r="99" customFormat="1" s="69">
      <c r="B99" s="29" t="n">
        <v>44713</v>
      </c>
      <c r="C99" s="30">
        <f>VLOOKUP(B99,Global!$A:$B,2,)</f>
        <v/>
      </c>
      <c r="D99" s="30">
        <f>VLOOKUP(B99,US!$A:$D,4,)</f>
        <v/>
      </c>
      <c r="E99" s="30">
        <f>VLOOKUP(B99,US!$A:$B,2,)</f>
        <v/>
      </c>
      <c r="F99" s="30">
        <f>VLOOKUP(B99,China!$A:$B,2,)</f>
        <v/>
      </c>
      <c r="G99" s="30">
        <f>VLOOKUP(B99,'Euro Area'!A:B,2,)</f>
        <v/>
      </c>
      <c r="H99" s="30">
        <f>VLOOKUP(B99,Japan!$A:$B,2,)</f>
        <v/>
      </c>
      <c r="I99" s="30">
        <f>VLOOKUP(B99,Germany!$A:$B,2,)</f>
        <v/>
      </c>
      <c r="J99" s="30">
        <f>VLOOKUP(B99,France!$A:$B,2,)</f>
        <v/>
      </c>
      <c r="K99" s="30">
        <f>VLOOKUP(B99,UK!$A:$B,2,)</f>
        <v/>
      </c>
      <c r="L99" s="30">
        <f>VLOOKUP(B99,Italy!$A:$B,2,)</f>
        <v/>
      </c>
      <c r="M99" s="30">
        <f>VLOOKUP(B99,Spain!$A:$B,2,)</f>
        <v/>
      </c>
      <c r="N99" s="30">
        <f>VLOOKUP(B99,Brazil!$A:$B,2,)</f>
        <v/>
      </c>
      <c r="O99" s="30">
        <f>VLOOKUP(B99,Mexico!$A:$B,2,)</f>
        <v/>
      </c>
      <c r="P99" s="30">
        <f>VLOOKUP(B99,Russia!$A:$B,2,)</f>
        <v/>
      </c>
      <c r="Q99" s="30">
        <f>VLOOKUP(B99,India!$A:$B,2,)</f>
        <v/>
      </c>
      <c r="R99" s="30">
        <f>VLOOKUP(B99,Canada!$A:$B,2,)</f>
        <v/>
      </c>
      <c r="S99" s="30">
        <f>VLOOKUP(B99,Australia!$A:$B,2,)</f>
        <v/>
      </c>
      <c r="T99" s="30">
        <f>VLOOKUP(B99,Indonesia!$A:$B,2,)</f>
        <v/>
      </c>
      <c r="U99" s="30">
        <f>VLOOKUP(B99,SouthKorea!$A:$B,2,)</f>
        <v/>
      </c>
      <c r="V99" s="30">
        <f>VLOOKUP(B99,Taiwan!$A:$B,2,)</f>
        <v/>
      </c>
      <c r="W99" s="30">
        <f>VLOOKUP(B99,Greece!$A:$B,2,)</f>
        <v/>
      </c>
      <c r="X99" s="30">
        <f>VLOOKUP(B99,Ireland!$A:$B,2,)</f>
        <v/>
      </c>
      <c r="Y99" s="30">
        <f>VLOOKUP(B99,Turkey!$A:$B,2,)</f>
        <v/>
      </c>
      <c r="Z99" s="30">
        <f>VLOOKUP(B99,CzechRepublic!$A:$B,2,)</f>
        <v/>
      </c>
      <c r="AA99" s="30">
        <f>VLOOKUP(B99,Poland!$A:$B,2,)</f>
        <v/>
      </c>
      <c r="AB99" s="30">
        <f>VLOOKUP(B99,Denmark!$A:$B,2,)</f>
        <v/>
      </c>
    </row>
    <row r="100" customFormat="1" s="69">
      <c r="B100" s="29" t="n">
        <v>44743</v>
      </c>
      <c r="C100" s="30">
        <f>VLOOKUP(B100,Global!$A:$B,2,)</f>
        <v/>
      </c>
      <c r="D100" s="30">
        <f>VLOOKUP(B100,US!$A:$D,4,)</f>
        <v/>
      </c>
      <c r="E100" s="30">
        <f>VLOOKUP(B100,US!$A:$B,2,)</f>
        <v/>
      </c>
      <c r="F100" s="30">
        <f>VLOOKUP(B100,China!$A:$B,2,)</f>
        <v/>
      </c>
      <c r="G100" s="30">
        <f>VLOOKUP(B100,'Euro Area'!A:B,2,)</f>
        <v/>
      </c>
      <c r="H100" s="30">
        <f>VLOOKUP(B100,Japan!$A:$B,2,)</f>
        <v/>
      </c>
      <c r="I100" s="30">
        <f>VLOOKUP(B100,Germany!$A:$B,2,)</f>
        <v/>
      </c>
      <c r="J100" s="30">
        <f>VLOOKUP(B100,France!$A:$B,2,)</f>
        <v/>
      </c>
      <c r="K100" s="30">
        <f>VLOOKUP(B100,UK!$A:$B,2,)</f>
        <v/>
      </c>
      <c r="L100" s="30">
        <f>VLOOKUP(B100,Italy!$A:$B,2,)</f>
        <v/>
      </c>
      <c r="M100" s="30">
        <f>VLOOKUP(B100,Spain!$A:$B,2,)</f>
        <v/>
      </c>
      <c r="N100" s="30">
        <f>VLOOKUP(B100,Brazil!$A:$B,2,)</f>
        <v/>
      </c>
      <c r="O100" s="30">
        <f>VLOOKUP(B100,Mexico!$A:$B,2,)</f>
        <v/>
      </c>
      <c r="P100" s="30">
        <f>VLOOKUP(B100,Russia!$A:$B,2,)</f>
        <v/>
      </c>
      <c r="Q100" s="30">
        <f>VLOOKUP(B100,India!$A:$B,2,)</f>
        <v/>
      </c>
      <c r="R100" s="30">
        <f>VLOOKUP(B100,Canada!$A:$B,2,)</f>
        <v/>
      </c>
      <c r="S100" s="30">
        <f>VLOOKUP(B100,Australia!$A:$B,2,)</f>
        <v/>
      </c>
      <c r="T100" s="30">
        <f>VLOOKUP(B100,Indonesia!$A:$B,2,)</f>
        <v/>
      </c>
      <c r="U100" s="30">
        <f>VLOOKUP(B100,SouthKorea!$A:$B,2,)</f>
        <v/>
      </c>
      <c r="V100" s="30">
        <f>VLOOKUP(B100,Taiwan!$A:$B,2,)</f>
        <v/>
      </c>
      <c r="W100" s="30">
        <f>VLOOKUP(B100,Greece!$A:$B,2,)</f>
        <v/>
      </c>
      <c r="X100" s="30">
        <f>VLOOKUP(B100,Ireland!$A:$B,2,)</f>
        <v/>
      </c>
      <c r="Y100" s="30">
        <f>VLOOKUP(B100,Turkey!$A:$B,2,)</f>
        <v/>
      </c>
      <c r="Z100" s="30">
        <f>VLOOKUP(B100,CzechRepublic!$A:$B,2,)</f>
        <v/>
      </c>
      <c r="AA100" s="30">
        <f>VLOOKUP(B100,Poland!$A:$B,2,)</f>
        <v/>
      </c>
      <c r="AB100" s="30">
        <f>VLOOKUP(B100,Denmark!$A:$B,2,)</f>
        <v/>
      </c>
    </row>
    <row r="101" customFormat="1" s="69">
      <c r="B101" s="29" t="n">
        <v>44774</v>
      </c>
      <c r="C101" s="30">
        <f>VLOOKUP(B101,Global!$A:$B,2,)</f>
        <v/>
      </c>
      <c r="D101" s="30">
        <f>VLOOKUP(B101,US!$A:$D,4,)</f>
        <v/>
      </c>
      <c r="E101" s="30">
        <f>VLOOKUP(B101,US!$A:$B,2,)</f>
        <v/>
      </c>
      <c r="F101" s="30">
        <f>VLOOKUP(B101,China!$A:$B,2,)</f>
        <v/>
      </c>
      <c r="G101" s="30">
        <f>VLOOKUP(B101,'Euro Area'!A:B,2,)</f>
        <v/>
      </c>
      <c r="H101" s="30">
        <f>VLOOKUP(B101,Japan!$A:$B,2,)</f>
        <v/>
      </c>
      <c r="I101" s="30">
        <f>VLOOKUP(B101,Germany!$A:$B,2,)</f>
        <v/>
      </c>
      <c r="J101" s="30">
        <f>VLOOKUP(B101,France!$A:$B,2,)</f>
        <v/>
      </c>
      <c r="K101" s="30">
        <f>VLOOKUP(B101,UK!$A:$B,2,)</f>
        <v/>
      </c>
      <c r="L101" s="30">
        <f>VLOOKUP(B101,Italy!$A:$B,2,)</f>
        <v/>
      </c>
      <c r="M101" s="30">
        <f>VLOOKUP(B101,Spain!$A:$B,2,)</f>
        <v/>
      </c>
      <c r="N101" s="30">
        <f>VLOOKUP(B101,Brazil!$A:$B,2,)</f>
        <v/>
      </c>
      <c r="O101" s="30">
        <f>VLOOKUP(B101,Mexico!$A:$B,2,)</f>
        <v/>
      </c>
      <c r="P101" s="30">
        <f>VLOOKUP(B101,Russia!$A:$B,2,)</f>
        <v/>
      </c>
      <c r="Q101" s="30">
        <f>VLOOKUP(B101,India!$A:$B,2,)</f>
        <v/>
      </c>
      <c r="R101" s="30">
        <f>VLOOKUP(B101,Canada!$A:$B,2,)</f>
        <v/>
      </c>
      <c r="S101" s="30">
        <f>VLOOKUP(B101,Australia!$A:$B,2,)</f>
        <v/>
      </c>
      <c r="T101" s="30">
        <f>VLOOKUP(B101,Indonesia!$A:$B,2,)</f>
        <v/>
      </c>
      <c r="U101" s="30">
        <f>VLOOKUP(B101,SouthKorea!$A:$B,2,)</f>
        <v/>
      </c>
      <c r="V101" s="30">
        <f>VLOOKUP(B101,Taiwan!$A:$B,2,)</f>
        <v/>
      </c>
      <c r="W101" s="30">
        <f>VLOOKUP(B101,Greece!$A:$B,2,)</f>
        <v/>
      </c>
      <c r="X101" s="30">
        <f>VLOOKUP(B101,Ireland!$A:$B,2,)</f>
        <v/>
      </c>
      <c r="Y101" s="30">
        <f>VLOOKUP(B101,Turkey!$A:$B,2,)</f>
        <v/>
      </c>
      <c r="Z101" s="30">
        <f>VLOOKUP(B101,CzechRepublic!$A:$B,2,)</f>
        <v/>
      </c>
      <c r="AA101" s="30">
        <f>VLOOKUP(B101,Poland!$A:$B,2,)</f>
        <v/>
      </c>
      <c r="AB101" s="30">
        <f>VLOOKUP(B101,Denmark!$A:$B,2,)</f>
        <v/>
      </c>
    </row>
    <row r="102" customFormat="1" s="69">
      <c r="B102" s="29" t="n">
        <v>44805</v>
      </c>
      <c r="C102" s="30">
        <f>VLOOKUP(B102,Global!$A:$B,2,)</f>
        <v/>
      </c>
      <c r="D102" s="30">
        <f>VLOOKUP(B102,US!$A:$D,4,)</f>
        <v/>
      </c>
      <c r="E102" s="30">
        <f>VLOOKUP(B102,US!$A:$B,2,)</f>
        <v/>
      </c>
      <c r="F102" s="30">
        <f>VLOOKUP(B102,China!$A:$B,2,)</f>
        <v/>
      </c>
      <c r="G102" s="30">
        <f>VLOOKUP(B102,'Euro Area'!A:B,2,)</f>
        <v/>
      </c>
      <c r="H102" s="30">
        <f>VLOOKUP(B102,Japan!$A:$B,2,)</f>
        <v/>
      </c>
      <c r="I102" s="30">
        <f>VLOOKUP(B102,Germany!$A:$B,2,)</f>
        <v/>
      </c>
      <c r="J102" s="30">
        <f>VLOOKUP(B102,France!$A:$B,2,)</f>
        <v/>
      </c>
      <c r="K102" s="30">
        <f>VLOOKUP(B102,UK!$A:$B,2,)</f>
        <v/>
      </c>
      <c r="L102" s="30">
        <f>VLOOKUP(B102,Italy!$A:$B,2,)</f>
        <v/>
      </c>
      <c r="M102" s="30">
        <f>VLOOKUP(B102,Spain!$A:$B,2,)</f>
        <v/>
      </c>
      <c r="N102" s="30">
        <f>VLOOKUP(B102,Brazil!$A:$B,2,)</f>
        <v/>
      </c>
      <c r="O102" s="30">
        <f>VLOOKUP(B102,Mexico!$A:$B,2,)</f>
        <v/>
      </c>
      <c r="P102" s="30">
        <f>VLOOKUP(B102,Russia!$A:$B,2,)</f>
        <v/>
      </c>
      <c r="Q102" s="30">
        <f>VLOOKUP(B102,India!$A:$B,2,)</f>
        <v/>
      </c>
      <c r="R102" s="30">
        <f>VLOOKUP(B102,Canada!$A:$B,2,)</f>
        <v/>
      </c>
      <c r="S102" s="30">
        <f>VLOOKUP(B102,Australia!$A:$B,2,)</f>
        <v/>
      </c>
      <c r="T102" s="30">
        <f>VLOOKUP(B102,Indonesia!$A:$B,2,)</f>
        <v/>
      </c>
      <c r="U102" s="30">
        <f>VLOOKUP(B102,SouthKorea!$A:$B,2,)</f>
        <v/>
      </c>
      <c r="V102" s="30">
        <f>VLOOKUP(B102,Taiwan!$A:$B,2,)</f>
        <v/>
      </c>
      <c r="W102" s="30">
        <f>VLOOKUP(B102,Greece!$A:$B,2,)</f>
        <v/>
      </c>
      <c r="X102" s="30">
        <f>VLOOKUP(B102,Ireland!$A:$B,2,)</f>
        <v/>
      </c>
      <c r="Y102" s="30">
        <f>VLOOKUP(B102,Turkey!$A:$B,2,)</f>
        <v/>
      </c>
      <c r="Z102" s="30">
        <f>VLOOKUP(B102,CzechRepublic!$A:$B,2,)</f>
        <v/>
      </c>
      <c r="AA102" s="30">
        <f>VLOOKUP(B102,Poland!$A:$B,2,)</f>
        <v/>
      </c>
      <c r="AB102" s="30">
        <f>VLOOKUP(B102,Denmark!$A:$B,2,)</f>
        <v/>
      </c>
    </row>
    <row r="103" customFormat="1" s="69">
      <c r="B103" s="29" t="n">
        <v>44835</v>
      </c>
      <c r="C103" s="30">
        <f>VLOOKUP(B103,Global!$A:$B,2,)</f>
        <v/>
      </c>
      <c r="D103" s="30">
        <f>VLOOKUP(B103,US!$A:$D,4,)</f>
        <v/>
      </c>
      <c r="E103" s="30">
        <f>VLOOKUP(B103,US!$A:$B,2,)</f>
        <v/>
      </c>
      <c r="F103" s="30">
        <f>VLOOKUP(B103,China!$A:$B,2,)</f>
        <v/>
      </c>
      <c r="G103" s="30">
        <f>VLOOKUP(B103,'Euro Area'!A:B,2,)</f>
        <v/>
      </c>
      <c r="H103" s="30">
        <f>VLOOKUP(B103,Japan!$A:$B,2,)</f>
        <v/>
      </c>
      <c r="I103" s="30">
        <f>VLOOKUP(B103,Germany!$A:$B,2,)</f>
        <v/>
      </c>
      <c r="J103" s="30">
        <f>VLOOKUP(B103,France!$A:$B,2,)</f>
        <v/>
      </c>
      <c r="K103" s="30">
        <f>VLOOKUP(B103,UK!$A:$B,2,)</f>
        <v/>
      </c>
      <c r="L103" s="30">
        <f>VLOOKUP(B103,Italy!$A:$B,2,)</f>
        <v/>
      </c>
      <c r="M103" s="30">
        <f>VLOOKUP(B103,Spain!$A:$B,2,)</f>
        <v/>
      </c>
      <c r="N103" s="30">
        <f>VLOOKUP(B103,Brazil!$A:$B,2,)</f>
        <v/>
      </c>
      <c r="O103" s="30">
        <f>VLOOKUP(B103,Mexico!$A:$B,2,)</f>
        <v/>
      </c>
      <c r="P103" s="30">
        <f>VLOOKUP(B103,Russia!$A:$B,2,)</f>
        <v/>
      </c>
      <c r="Q103" s="30">
        <f>VLOOKUP(B103,India!$A:$B,2,)</f>
        <v/>
      </c>
      <c r="R103" s="30">
        <f>VLOOKUP(B103,Canada!$A:$B,2,)</f>
        <v/>
      </c>
      <c r="S103" s="30">
        <f>VLOOKUP(B103,Australia!$A:$B,2,)</f>
        <v/>
      </c>
      <c r="T103" s="30">
        <f>VLOOKUP(B103,Indonesia!$A:$B,2,)</f>
        <v/>
      </c>
      <c r="U103" s="30">
        <f>VLOOKUP(B103,SouthKorea!$A:$B,2,)</f>
        <v/>
      </c>
      <c r="V103" s="30">
        <f>VLOOKUP(B103,Taiwan!$A:$B,2,)</f>
        <v/>
      </c>
      <c r="W103" s="30">
        <f>VLOOKUP(B103,Greece!$A:$B,2,)</f>
        <v/>
      </c>
      <c r="X103" s="30">
        <f>VLOOKUP(B103,Ireland!$A:$B,2,)</f>
        <v/>
      </c>
      <c r="Y103" s="30">
        <f>VLOOKUP(B103,Turkey!$A:$B,2,)</f>
        <v/>
      </c>
      <c r="Z103" s="30">
        <f>VLOOKUP(B103,CzechRepublic!$A:$B,2,)</f>
        <v/>
      </c>
      <c r="AA103" s="30">
        <f>VLOOKUP(B103,Poland!$A:$B,2,)</f>
        <v/>
      </c>
      <c r="AB103" s="30">
        <f>VLOOKUP(B103,Denmark!$A:$B,2,)</f>
        <v/>
      </c>
    </row>
    <row r="104" customFormat="1" s="69">
      <c r="B104" s="29" t="n">
        <v>44866</v>
      </c>
      <c r="C104" s="30">
        <f>VLOOKUP(B104,Global!$A:$B,2,)</f>
        <v/>
      </c>
      <c r="D104" s="30">
        <f>VLOOKUP(B104,US!$A:$D,4,)</f>
        <v/>
      </c>
      <c r="E104" s="30">
        <f>VLOOKUP(B104,US!$A:$B,2,)</f>
        <v/>
      </c>
      <c r="F104" s="30">
        <f>VLOOKUP(B104,China!$A:$B,2,)</f>
        <v/>
      </c>
      <c r="G104" s="30">
        <f>VLOOKUP(B104,'Euro Area'!A:B,2,)</f>
        <v/>
      </c>
      <c r="H104" s="30">
        <f>VLOOKUP(B104,Japan!$A:$B,2,)</f>
        <v/>
      </c>
      <c r="I104" s="30">
        <f>VLOOKUP(B104,Germany!$A:$B,2,)</f>
        <v/>
      </c>
      <c r="J104" s="30">
        <f>VLOOKUP(B104,France!$A:$B,2,)</f>
        <v/>
      </c>
      <c r="K104" s="30">
        <f>VLOOKUP(B104,UK!$A:$B,2,)</f>
        <v/>
      </c>
      <c r="L104" s="30">
        <f>VLOOKUP(B104,Italy!$A:$B,2,)</f>
        <v/>
      </c>
      <c r="M104" s="30">
        <f>VLOOKUP(B104,Spain!$A:$B,2,)</f>
        <v/>
      </c>
      <c r="N104" s="30">
        <f>VLOOKUP(B104,Brazil!$A:$B,2,)</f>
        <v/>
      </c>
      <c r="O104" s="30">
        <f>VLOOKUP(B104,Mexico!$A:$B,2,)</f>
        <v/>
      </c>
      <c r="P104" s="30">
        <f>VLOOKUP(B104,Russia!$A:$B,2,)</f>
        <v/>
      </c>
      <c r="Q104" s="30">
        <f>VLOOKUP(B104,India!$A:$B,2,)</f>
        <v/>
      </c>
      <c r="R104" s="30">
        <f>VLOOKUP(B104,Canada!$A:$B,2,)</f>
        <v/>
      </c>
      <c r="S104" s="30">
        <f>VLOOKUP(B104,Australia!$A:$B,2,)</f>
        <v/>
      </c>
      <c r="T104" s="30">
        <f>VLOOKUP(B104,Indonesia!$A:$B,2,)</f>
        <v/>
      </c>
      <c r="U104" s="30">
        <f>VLOOKUP(B104,SouthKorea!$A:$B,2,)</f>
        <v/>
      </c>
      <c r="V104" s="30">
        <f>VLOOKUP(B104,Taiwan!$A:$B,2,)</f>
        <v/>
      </c>
      <c r="W104" s="30">
        <f>VLOOKUP(B104,Greece!$A:$B,2,)</f>
        <v/>
      </c>
      <c r="X104" s="30">
        <f>VLOOKUP(B104,Ireland!$A:$B,2,)</f>
        <v/>
      </c>
      <c r="Y104" s="30">
        <f>VLOOKUP(B104,Turkey!$A:$B,2,)</f>
        <v/>
      </c>
      <c r="Z104" s="30">
        <f>VLOOKUP(B104,CzechRepublic!$A:$B,2,)</f>
        <v/>
      </c>
      <c r="AA104" s="30">
        <f>VLOOKUP(B104,Poland!$A:$B,2,)</f>
        <v/>
      </c>
      <c r="AB104" s="30">
        <f>VLOOKUP(B104,Denmark!$A:$B,2,)</f>
        <v/>
      </c>
    </row>
    <row r="105" customFormat="1" s="69"/>
    <row r="106" customFormat="1" s="69"/>
    <row r="107" customFormat="1" s="69"/>
    <row r="108" customFormat="1" s="69"/>
    <row r="109" customFormat="1" s="69"/>
    <row r="110" customFormat="1" s="69"/>
    <row r="111" customFormat="1" s="69"/>
    <row r="112" customFormat="1" s="69"/>
    <row r="113" customFormat="1" s="69"/>
    <row r="114" customFormat="1" s="69"/>
    <row r="115" customFormat="1" s="69"/>
    <row r="116" customFormat="1" s="69"/>
    <row r="117" customFormat="1" s="69"/>
    <row r="118" customFormat="1" s="69"/>
    <row r="119" customFormat="1" s="69"/>
    <row r="120" customFormat="1" s="69"/>
    <row r="121" customFormat="1" s="69"/>
    <row r="122" customFormat="1" s="69"/>
    <row r="123" customFormat="1" s="69"/>
    <row r="124" customFormat="1" s="69"/>
    <row r="125" customFormat="1" s="69"/>
    <row r="126" customFormat="1" s="69"/>
    <row r="127" customFormat="1" s="69"/>
    <row r="128" customFormat="1" s="69"/>
    <row r="129" customFormat="1" s="69"/>
    <row r="130" customFormat="1" s="69"/>
    <row r="131" customFormat="1" s="69"/>
    <row r="132" customFormat="1" s="69"/>
    <row r="133" customFormat="1" s="69"/>
    <row r="134" customFormat="1" s="69"/>
    <row r="135" customFormat="1" s="69"/>
    <row r="136" customFormat="1" s="69"/>
    <row r="137" customFormat="1" s="69"/>
    <row r="138" customFormat="1" s="69"/>
    <row r="139" customFormat="1" s="69"/>
    <row r="140" customFormat="1" s="69"/>
    <row r="141" customFormat="1" s="69"/>
    <row r="142" customFormat="1" s="69"/>
    <row r="143" customFormat="1" s="69"/>
    <row r="144" customFormat="1" s="69"/>
    <row r="145" customFormat="1" s="69"/>
    <row r="146" customFormat="1" s="69"/>
    <row r="147" customFormat="1" s="69"/>
    <row r="148" customFormat="1" s="69"/>
    <row r="149" customFormat="1" s="69"/>
    <row r="150" customFormat="1" s="69"/>
    <row r="151" customFormat="1" s="69"/>
    <row r="152" customFormat="1" s="69"/>
    <row r="153" customFormat="1" s="69"/>
    <row r="154" customFormat="1" s="69"/>
    <row r="155" customFormat="1" s="69"/>
    <row r="156" customFormat="1" s="69"/>
    <row r="157" customFormat="1" s="69"/>
    <row r="158" customFormat="1" s="69"/>
    <row r="159" customFormat="1" s="69"/>
    <row r="160" customFormat="1" s="69"/>
    <row r="161" customFormat="1" s="69"/>
    <row r="162" customFormat="1" s="69"/>
    <row r="163" customFormat="1" s="69"/>
    <row r="164" customFormat="1" s="69"/>
    <row r="165" customFormat="1" s="69"/>
    <row r="166" customFormat="1" s="69"/>
    <row r="167" customFormat="1" s="69"/>
    <row r="168" customFormat="1" s="69"/>
    <row r="169" customFormat="1" s="69"/>
    <row r="170" customFormat="1" s="69"/>
    <row r="171" customFormat="1" s="69"/>
    <row r="172" customFormat="1" s="69"/>
    <row r="173" customFormat="1" s="69"/>
    <row r="174" customFormat="1" s="69"/>
    <row r="175" customFormat="1" s="69"/>
    <row r="176" customFormat="1" s="69"/>
    <row r="177" customFormat="1" s="69"/>
    <row r="178" customFormat="1" s="69"/>
    <row r="179" customFormat="1" s="69"/>
    <row r="180" customFormat="1" s="69"/>
    <row r="181" customFormat="1" s="69"/>
    <row r="182" customFormat="1" s="69"/>
    <row r="183" customFormat="1" s="69"/>
    <row r="184" customFormat="1" s="69"/>
    <row r="185" customFormat="1" s="69"/>
    <row r="186" customFormat="1" s="69"/>
    <row r="187" customFormat="1" s="69"/>
    <row r="188" customFormat="1" s="69"/>
    <row r="189" customFormat="1" s="69"/>
    <row r="190" customFormat="1" s="69"/>
    <row r="191" customFormat="1" s="69"/>
    <row r="192" customFormat="1" s="69"/>
    <row r="193" customFormat="1" s="69"/>
    <row r="194" customFormat="1" s="69"/>
    <row r="195" customFormat="1" s="69"/>
    <row r="196" customFormat="1" s="69"/>
    <row r="197" customFormat="1" s="69"/>
    <row r="198" customFormat="1" s="69"/>
    <row r="199" customFormat="1" s="69"/>
    <row r="200" customFormat="1" s="69"/>
    <row r="201" customFormat="1" s="69"/>
    <row r="202" customFormat="1" s="69"/>
    <row r="203" customFormat="1" s="69"/>
    <row r="204" customFormat="1" s="69"/>
    <row r="205" customFormat="1" s="69"/>
    <row r="206" customFormat="1" s="69"/>
    <row r="207" customFormat="1" s="69"/>
    <row r="208" customFormat="1" s="69"/>
    <row r="209" customFormat="1" s="69"/>
    <row r="210" customFormat="1" s="69"/>
    <row r="211" customFormat="1" s="69"/>
    <row r="212" customFormat="1" s="69"/>
    <row r="213" customFormat="1" s="69"/>
    <row r="214" customFormat="1" s="69"/>
    <row r="215" customFormat="1" s="69"/>
    <row r="216" customFormat="1" s="69"/>
    <row r="217" customFormat="1" s="69"/>
    <row r="218" customFormat="1" s="69"/>
    <row r="219" customFormat="1" s="69"/>
    <row r="220" customFormat="1" s="69"/>
    <row r="221" customFormat="1" s="69"/>
    <row r="222" customFormat="1" s="69"/>
    <row r="223" customFormat="1" s="69"/>
    <row r="224" customFormat="1" s="69"/>
    <row r="225" customFormat="1" s="69"/>
    <row r="226" customFormat="1" s="69"/>
    <row r="227" customFormat="1" s="69"/>
    <row r="228" customFormat="1" s="69"/>
    <row r="229" customFormat="1" s="69"/>
    <row r="230" customFormat="1" s="69"/>
    <row r="231" customFormat="1" s="69"/>
    <row r="232" customFormat="1" s="69"/>
    <row r="233" customFormat="1" s="69"/>
    <row r="234" customFormat="1" s="69"/>
    <row r="235" customFormat="1" s="69"/>
    <row r="236" customFormat="1" s="69"/>
    <row r="237" customFormat="1" s="69"/>
    <row r="238" customFormat="1" s="69"/>
    <row r="239" customFormat="1" s="69"/>
    <row r="240" customFormat="1" s="69"/>
    <row r="241" customFormat="1" s="69"/>
    <row r="242" customFormat="1" s="69"/>
    <row r="243" customFormat="1" s="69"/>
    <row r="244" customFormat="1" s="69"/>
    <row r="245" customFormat="1" s="69"/>
    <row r="246" customFormat="1" s="69"/>
    <row r="247" customFormat="1" s="69"/>
    <row r="248" customFormat="1" s="69"/>
    <row r="249" customFormat="1" s="69"/>
    <row r="250" customFormat="1" s="69"/>
    <row r="251" customFormat="1" s="69"/>
    <row r="252" customFormat="1" s="69"/>
    <row r="253" customFormat="1" s="69"/>
    <row r="254" customFormat="1" s="69"/>
    <row r="255" customFormat="1" s="69"/>
    <row r="256" customFormat="1" s="69"/>
    <row r="257" customFormat="1" s="69"/>
    <row r="258" customFormat="1" s="69"/>
    <row r="259" customFormat="1" s="69"/>
    <row r="260" customFormat="1" s="69"/>
    <row r="261" customFormat="1" s="69"/>
    <row r="262" customFormat="1" s="69"/>
    <row r="263" customFormat="1" s="69"/>
    <row r="264" customFormat="1" s="69"/>
    <row r="265" customFormat="1" s="69"/>
    <row r="266" customFormat="1" s="69"/>
    <row r="267" customFormat="1" s="69"/>
    <row r="268" customFormat="1" s="69"/>
    <row r="269" customFormat="1" s="69"/>
    <row r="270" customFormat="1" s="69"/>
    <row r="271" customFormat="1" s="69"/>
    <row r="272" customFormat="1" s="69"/>
    <row r="273" customFormat="1" s="69"/>
    <row r="274" customFormat="1" s="69"/>
    <row r="275" customFormat="1" s="69"/>
    <row r="276" customFormat="1" s="69"/>
    <row r="277" customFormat="1" s="69"/>
    <row r="278" customFormat="1" s="69"/>
    <row r="279" customFormat="1" s="69"/>
    <row r="280" customFormat="1" s="69"/>
    <row r="281" customFormat="1" s="69"/>
    <row r="282" customFormat="1" s="69"/>
    <row r="283" customFormat="1" s="69"/>
    <row r="284" customFormat="1" s="69"/>
    <row r="285" customFormat="1" s="69"/>
    <row r="286" customFormat="1" s="69"/>
    <row r="287" customFormat="1" s="69"/>
    <row r="288" customFormat="1" s="69"/>
    <row r="289" customFormat="1" s="69"/>
    <row r="290" customFormat="1" s="69"/>
    <row r="291" customFormat="1" s="69"/>
    <row r="292" customFormat="1" s="69"/>
    <row r="293" customFormat="1" s="69"/>
    <row r="294" customFormat="1" s="69"/>
    <row r="295" customFormat="1" s="69"/>
    <row r="296" customFormat="1" s="69"/>
    <row r="297" customFormat="1" s="69"/>
    <row r="298" customFormat="1" s="69"/>
    <row r="299" customFormat="1" s="69"/>
    <row r="300" customFormat="1" s="69"/>
    <row r="301" customFormat="1" s="69"/>
    <row r="302" customFormat="1" s="69"/>
    <row r="303" customFormat="1" s="69"/>
    <row r="304" customFormat="1" s="69"/>
    <row r="305" customFormat="1" s="69"/>
    <row r="306" customFormat="1" s="69"/>
    <row r="307" customFormat="1" s="69"/>
    <row r="308" customFormat="1" s="69"/>
    <row r="309" customFormat="1" s="69"/>
    <row r="310" customFormat="1" s="69"/>
    <row r="311" customFormat="1" s="69"/>
    <row r="312" customFormat="1" s="69"/>
    <row r="313" customFormat="1" s="69"/>
    <row r="314" customFormat="1" s="69"/>
    <row r="315" customFormat="1" s="69"/>
    <row r="316" customFormat="1" s="69"/>
    <row r="317" customFormat="1" s="69"/>
    <row r="318" customFormat="1" s="69"/>
    <row r="319" customFormat="1" s="69"/>
    <row r="320" customFormat="1" s="69"/>
    <row r="321" customFormat="1" s="69"/>
    <row r="322" customFormat="1" s="69"/>
    <row r="323" customFormat="1" s="69"/>
    <row r="324" customFormat="1" s="69"/>
    <row r="325" customFormat="1" s="69"/>
    <row r="326" customFormat="1" s="69"/>
    <row r="327" customFormat="1" s="69"/>
    <row r="328" customFormat="1" s="69"/>
    <row r="329" customFormat="1" s="69"/>
    <row r="330" customFormat="1" s="69"/>
    <row r="331" customFormat="1" s="69"/>
    <row r="332" customFormat="1" s="69"/>
    <row r="333" customFormat="1" s="69"/>
    <row r="334" customFormat="1" s="69"/>
    <row r="335" customFormat="1" s="69"/>
    <row r="336" customFormat="1" s="69"/>
    <row r="337" customFormat="1" s="69"/>
    <row r="338" customFormat="1" s="69"/>
    <row r="339" customFormat="1" s="69"/>
    <row r="340" customFormat="1" s="69"/>
    <row r="341" customFormat="1" s="69"/>
    <row r="342" customFormat="1" s="69"/>
    <row r="343" customFormat="1" s="69"/>
    <row r="344" customFormat="1" s="69"/>
    <row r="345" customFormat="1" s="69"/>
    <row r="346" customFormat="1" s="69"/>
    <row r="347" customFormat="1" s="69"/>
  </sheetData>
  <conditionalFormatting sqref="C12:AB104">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priority="15" operator="containsText" dxfId="7" text="below">
      <formula>NOT(ISERROR(SEARCH("below",C6)))</formula>
    </cfRule>
    <cfRule type="containsText" priority="16" operator="containsText" dxfId="6" text="above">
      <formula>NOT(ISERROR(SEARCH("above",C6)))</formula>
    </cfRule>
  </conditionalFormatting>
  <conditionalFormatting sqref="C8:AA8">
    <cfRule type="cellIs" priority="13" operator="lessThan" dxfId="5">
      <formula>0</formula>
    </cfRule>
    <cfRule type="cellIs" priority="14" operator="greaterThan" dxfId="4">
      <formula>0</formula>
    </cfRule>
  </conditionalFormatting>
  <conditionalFormatting sqref="AB6">
    <cfRule type="containsText" priority="7" operator="containsText" dxfId="7" text="below">
      <formula>NOT(ISERROR(SEARCH("below",AB6)))</formula>
    </cfRule>
    <cfRule type="containsText" priority="8" operator="containsText" dxfId="6" text="above">
      <formula>NOT(ISERROR(SEARCH("above",AB6)))</formula>
    </cfRule>
  </conditionalFormatting>
  <conditionalFormatting sqref="AB8">
    <cfRule type="cellIs" priority="5" operator="lessThan" dxfId="5">
      <formula>0</formula>
    </cfRule>
    <cfRule type="cellIs" priority="6" operator="greaterThan" dxfId="4">
      <formula>0</formula>
    </cfRule>
  </conditionalFormatting>
  <conditionalFormatting sqref="C9:AB9">
    <cfRule type="cellIs" priority="3" operator="equal" dxfId="3">
      <formula>"Growth"</formula>
    </cfRule>
    <cfRule type="cellIs" priority="4" operator="equal" dxfId="2">
      <formula>"Contraction"</formula>
    </cfRule>
  </conditionalFormatting>
  <conditionalFormatting sqref="C10:AB10">
    <cfRule type="cellIs" priority="1" operator="equal" dxfId="1">
      <formula>"+"</formula>
    </cfRule>
    <cfRule type="cellIs" priority="2" operator="equal" dxfId="0">
      <formula>"-"</formula>
    </cfRule>
  </conditionalFormatting>
  <pageMargins left="0.7" right="0.7" top="0.75" bottom="0.75" header="0.3" footer="0.3"/>
</worksheet>
</file>

<file path=xl/worksheets/sheet7.xml><?xml version="1.0" encoding="utf-8"?>
<worksheet xmlns="http://schemas.openxmlformats.org/spreadsheetml/2006/main">
  <sheetPr>
    <outlinePr summaryBelow="1" summaryRight="1"/>
    <pageSetUpPr/>
  </sheetPr>
  <dimension ref="A1:K146"/>
  <sheetViews>
    <sheetView zoomScale="110" zoomScaleNormal="110" workbookViewId="0">
      <pane ySplit="5" topLeftCell="A106" activePane="bottomLeft" state="frozen"/>
      <selection activeCell="X324" sqref="X324"/>
      <selection pane="bottomLeft" activeCell="I157" sqref="I157"/>
    </sheetView>
  </sheetViews>
  <sheetFormatPr baseColWidth="8" defaultColWidth="9.1796875" defaultRowHeight="14.5"/>
  <cols>
    <col width="13.453125" customWidth="1" style="69" min="1" max="1"/>
    <col width="11.36328125" customWidth="1" style="69" min="2" max="2"/>
    <col width="9.1796875" customWidth="1" style="69" min="3" max="3"/>
    <col width="13" customWidth="1" style="69" min="4" max="4"/>
    <col width="9.1796875" customWidth="1" style="69" min="5" max="53"/>
    <col width="9.1796875" customWidth="1" style="69" min="54" max="16384"/>
  </cols>
  <sheetData>
    <row r="1">
      <c r="A1" s="69" t="inlineStr">
        <is>
          <t>Global Manufacturing PMI</t>
        </is>
      </c>
    </row>
    <row r="2">
      <c r="K2" s="69">
        <f>A1</f>
        <v/>
      </c>
    </row>
    <row r="4" ht="16" customHeight="1" thickBot="1"/>
    <row r="5" ht="16" customHeight="1" thickBot="1">
      <c r="A5" s="21" t="inlineStr">
        <is>
          <t>Date</t>
        </is>
      </c>
      <c r="B5" s="22" t="inlineStr">
        <is>
          <t>PMI</t>
        </is>
      </c>
      <c r="C5" s="22" t="inlineStr">
        <is>
          <t>mom</t>
        </is>
      </c>
      <c r="D5" s="22" t="inlineStr">
        <is>
          <t>ACWI</t>
        </is>
      </c>
      <c r="E5" s="22" t="inlineStr">
        <is>
          <t>PMI yoy</t>
        </is>
      </c>
      <c r="F5" s="23" t="inlineStr">
        <is>
          <t>ACWI yoy</t>
        </is>
      </c>
    </row>
    <row r="6">
      <c r="A6" s="17" t="n">
        <v>40452</v>
      </c>
      <c r="B6" s="18">
        <f>IF(VLOOKUP(Table1[[#This Row],[Date]],'DB Global PMI'!$A:$F,2)=0,"",VLOOKUP(Table1[[#This Row],[Date]],'DB Global PMI'!$A:$F,2))</f>
        <v/>
      </c>
      <c r="C6" s="18" t="n"/>
      <c r="D6" s="19">
        <f>IF(VLOOKUP(Table1[[#This Row],[Date]],'DB Global PMI'!$A:$F,3)=0,"",VLOOKUP(Table1[[#This Row],[Date]],'DB Global PMI'!$A:$F,3))</f>
        <v/>
      </c>
      <c r="E6" s="18" t="n"/>
      <c r="F6" s="20" t="n"/>
    </row>
    <row r="7">
      <c r="A7" s="10" t="n">
        <v>40483</v>
      </c>
      <c r="B7" s="18">
        <f>IF(VLOOKUP(Table1[[#This Row],[Date]],'DB Global PMI'!$A:$F,2)=0,"",VLOOKUP(Table1[[#This Row],[Date]],'DB Global PMI'!$A:$F,2))</f>
        <v/>
      </c>
      <c r="C7" s="24">
        <f>Table1[[#This Row],[PMI]]-B6</f>
        <v/>
      </c>
      <c r="D7" s="19">
        <f>IF(VLOOKUP(Table1[[#This Row],[Date]],'DB Global PMI'!$A:$F,3)=0,"",VLOOKUP(Table1[[#This Row],[Date]],'DB Global PMI'!$A:$F,3))</f>
        <v/>
      </c>
      <c r="E7" s="24" t="n"/>
      <c r="F7" s="12" t="n"/>
    </row>
    <row r="8">
      <c r="A8" s="10" t="n">
        <v>40513</v>
      </c>
      <c r="B8" s="18">
        <f>IF(VLOOKUP(Table1[[#This Row],[Date]],'DB Global PMI'!$A:$F,2)=0,"",VLOOKUP(Table1[[#This Row],[Date]],'DB Global PMI'!$A:$F,2))</f>
        <v/>
      </c>
      <c r="C8" s="24">
        <f>Table1[[#This Row],[PMI]]-B7</f>
        <v/>
      </c>
      <c r="D8" s="19">
        <f>IF(VLOOKUP(Table1[[#This Row],[Date]],'DB Global PMI'!$A:$F,3)=0,"",VLOOKUP(Table1[[#This Row],[Date]],'DB Global PMI'!$A:$F,3))</f>
        <v/>
      </c>
      <c r="E8" s="24" t="n"/>
      <c r="F8" s="12" t="n"/>
    </row>
    <row r="9">
      <c r="A9" s="10" t="n">
        <v>40544</v>
      </c>
      <c r="B9" s="18">
        <f>IF(VLOOKUP(Table1[[#This Row],[Date]],'DB Global PMI'!$A:$F,2)=0,"",VLOOKUP(Table1[[#This Row],[Date]],'DB Global PMI'!$A:$F,2))</f>
        <v/>
      </c>
      <c r="C9" s="24">
        <f>Table1[[#This Row],[PMI]]-B8</f>
        <v/>
      </c>
      <c r="D9" s="19">
        <f>IF(VLOOKUP(Table1[[#This Row],[Date]],'DB Global PMI'!$A:$F,3)=0,"",VLOOKUP(Table1[[#This Row],[Date]],'DB Global PMI'!$A:$F,3))</f>
        <v/>
      </c>
      <c r="E9" s="24" t="n"/>
      <c r="F9" s="12" t="n"/>
    </row>
    <row r="10">
      <c r="A10" s="10" t="n">
        <v>40575</v>
      </c>
      <c r="B10" s="18">
        <f>IF(VLOOKUP(Table1[[#This Row],[Date]],'DB Global PMI'!$A:$F,2)=0,"",VLOOKUP(Table1[[#This Row],[Date]],'DB Global PMI'!$A:$F,2))</f>
        <v/>
      </c>
      <c r="C10" s="24">
        <f>Table1[[#This Row],[PMI]]-B9</f>
        <v/>
      </c>
      <c r="D10" s="19">
        <f>IF(VLOOKUP(Table1[[#This Row],[Date]],'DB Global PMI'!$A:$F,3)=0,"",VLOOKUP(Table1[[#This Row],[Date]],'DB Global PMI'!$A:$F,3))</f>
        <v/>
      </c>
      <c r="E10" s="24" t="n"/>
      <c r="F10" s="12" t="n"/>
    </row>
    <row r="11">
      <c r="A11" s="10" t="n">
        <v>40603</v>
      </c>
      <c r="B11" s="18">
        <f>IF(VLOOKUP(Table1[[#This Row],[Date]],'DB Global PMI'!$A:$F,2)=0,"",VLOOKUP(Table1[[#This Row],[Date]],'DB Global PMI'!$A:$F,2))</f>
        <v/>
      </c>
      <c r="C11" s="24">
        <f>Table1[[#This Row],[PMI]]-B10</f>
        <v/>
      </c>
      <c r="D11" s="19">
        <f>IF(VLOOKUP(Table1[[#This Row],[Date]],'DB Global PMI'!$A:$F,3)=0,"",VLOOKUP(Table1[[#This Row],[Date]],'DB Global PMI'!$A:$F,3))</f>
        <v/>
      </c>
      <c r="E11" s="24" t="n"/>
      <c r="F11" s="12" t="n"/>
    </row>
    <row r="12">
      <c r="A12" s="10" t="n">
        <v>40634</v>
      </c>
      <c r="B12" s="18">
        <f>IF(VLOOKUP(Table1[[#This Row],[Date]],'DB Global PMI'!$A:$F,2)=0,"",VLOOKUP(Table1[[#This Row],[Date]],'DB Global PMI'!$A:$F,2))</f>
        <v/>
      </c>
      <c r="C12" s="24">
        <f>Table1[[#This Row],[PMI]]-B11</f>
        <v/>
      </c>
      <c r="D12" s="19">
        <f>IF(VLOOKUP(Table1[[#This Row],[Date]],'DB Global PMI'!$A:$F,3)=0,"",VLOOKUP(Table1[[#This Row],[Date]],'DB Global PMI'!$A:$F,3))</f>
        <v/>
      </c>
      <c r="E12" s="24" t="n"/>
      <c r="F12" s="12" t="n"/>
    </row>
    <row r="13">
      <c r="A13" s="10" t="n">
        <v>40664</v>
      </c>
      <c r="B13" s="18">
        <f>IF(VLOOKUP(Table1[[#This Row],[Date]],'DB Global PMI'!$A:$F,2)=0,"",VLOOKUP(Table1[[#This Row],[Date]],'DB Global PMI'!$A:$F,2))</f>
        <v/>
      </c>
      <c r="C13" s="24">
        <f>Table1[[#This Row],[PMI]]-B12</f>
        <v/>
      </c>
      <c r="D13" s="19">
        <f>IF(VLOOKUP(Table1[[#This Row],[Date]],'DB Global PMI'!$A:$F,3)=0,"",VLOOKUP(Table1[[#This Row],[Date]],'DB Global PMI'!$A:$F,3))</f>
        <v/>
      </c>
      <c r="E13" s="24" t="n"/>
      <c r="F13" s="12" t="n"/>
    </row>
    <row r="14">
      <c r="A14" s="10" t="n">
        <v>40695</v>
      </c>
      <c r="B14" s="18">
        <f>IF(VLOOKUP(Table1[[#This Row],[Date]],'DB Global PMI'!$A:$F,2)=0,"",VLOOKUP(Table1[[#This Row],[Date]],'DB Global PMI'!$A:$F,2))</f>
        <v/>
      </c>
      <c r="C14" s="24">
        <f>Table1[[#This Row],[PMI]]-B13</f>
        <v/>
      </c>
      <c r="D14" s="19">
        <f>IF(VLOOKUP(Table1[[#This Row],[Date]],'DB Global PMI'!$A:$F,3)=0,"",VLOOKUP(Table1[[#This Row],[Date]],'DB Global PMI'!$A:$F,3))</f>
        <v/>
      </c>
      <c r="E14" s="24" t="n"/>
      <c r="F14" s="12" t="n"/>
    </row>
    <row r="15">
      <c r="A15" s="10" t="n">
        <v>40725</v>
      </c>
      <c r="B15" s="18">
        <f>IF(VLOOKUP(Table1[[#This Row],[Date]],'DB Global PMI'!$A:$F,2)=0,"",VLOOKUP(Table1[[#This Row],[Date]],'DB Global PMI'!$A:$F,2))</f>
        <v/>
      </c>
      <c r="C15" s="24">
        <f>Table1[[#This Row],[PMI]]-B14</f>
        <v/>
      </c>
      <c r="D15" s="19">
        <f>IF(VLOOKUP(Table1[[#This Row],[Date]],'DB Global PMI'!$A:$F,3)=0,"",VLOOKUP(Table1[[#This Row],[Date]],'DB Global PMI'!$A:$F,3))</f>
        <v/>
      </c>
      <c r="E15" s="24" t="n"/>
      <c r="F15" s="12" t="n"/>
    </row>
    <row r="16">
      <c r="A16" s="10" t="n">
        <v>40756</v>
      </c>
      <c r="B16" s="18">
        <f>IF(VLOOKUP(Table1[[#This Row],[Date]],'DB Global PMI'!$A:$F,2)=0,"",VLOOKUP(Table1[[#This Row],[Date]],'DB Global PMI'!$A:$F,2))</f>
        <v/>
      </c>
      <c r="C16" s="24">
        <f>Table1[[#This Row],[PMI]]-B15</f>
        <v/>
      </c>
      <c r="D16" s="19">
        <f>IF(VLOOKUP(Table1[[#This Row],[Date]],'DB Global PMI'!$A:$F,3)=0,"",VLOOKUP(Table1[[#This Row],[Date]],'DB Global PMI'!$A:$F,3))</f>
        <v/>
      </c>
      <c r="E16" s="24" t="n"/>
      <c r="F16" s="12" t="n"/>
    </row>
    <row r="17">
      <c r="A17" s="10" t="n">
        <v>40787</v>
      </c>
      <c r="B17" s="18">
        <f>IF(VLOOKUP(Table1[[#This Row],[Date]],'DB Global PMI'!$A:$F,2)=0,"",VLOOKUP(Table1[[#This Row],[Date]],'DB Global PMI'!$A:$F,2))</f>
        <v/>
      </c>
      <c r="C17" s="24">
        <f>Table1[[#This Row],[PMI]]-B16</f>
        <v/>
      </c>
      <c r="D17" s="19">
        <f>IF(VLOOKUP(Table1[[#This Row],[Date]],'DB Global PMI'!$A:$F,3)=0,"",VLOOKUP(Table1[[#This Row],[Date]],'DB Global PMI'!$A:$F,3))</f>
        <v/>
      </c>
      <c r="E17" s="24" t="n"/>
      <c r="F17" s="12" t="n"/>
    </row>
    <row r="18">
      <c r="A18" s="10" t="n">
        <v>40817</v>
      </c>
      <c r="B18" s="18">
        <f>IF(VLOOKUP(Table1[[#This Row],[Date]],'DB Global PMI'!$A:$F,2)=0,"",VLOOKUP(Table1[[#This Row],[Date]],'DB Global PMI'!$A:$F,2))</f>
        <v/>
      </c>
      <c r="C18" s="24">
        <f>Table1[[#This Row],[PMI]]-B17</f>
        <v/>
      </c>
      <c r="D18" s="19">
        <f>IF(VLOOKUP(Table1[[#This Row],[Date]],'DB Global PMI'!$A:$F,3)=0,"",VLOOKUP(Table1[[#This Row],[Date]],'DB Global PMI'!$A:$F,3))</f>
        <v/>
      </c>
      <c r="E18" s="24">
        <f>Table1[[#This Row],[PMI]]-B6</f>
        <v/>
      </c>
      <c r="F18" s="13">
        <f>(Table1[[#This Row],[ACWI]]-D6)/D6</f>
        <v/>
      </c>
    </row>
    <row r="19">
      <c r="A19" s="10" t="n">
        <v>40848</v>
      </c>
      <c r="B19" s="18">
        <f>IF(VLOOKUP(Table1[[#This Row],[Date]],'DB Global PMI'!$A:$F,2)=0,"",VLOOKUP(Table1[[#This Row],[Date]],'DB Global PMI'!$A:$F,2))</f>
        <v/>
      </c>
      <c r="C19" s="24">
        <f>Table1[[#This Row],[PMI]]-B18</f>
        <v/>
      </c>
      <c r="D19" s="19">
        <f>IF(VLOOKUP(Table1[[#This Row],[Date]],'DB Global PMI'!$A:$F,3)=0,"",VLOOKUP(Table1[[#This Row],[Date]],'DB Global PMI'!$A:$F,3))</f>
        <v/>
      </c>
      <c r="E19" s="24">
        <f>Table1[[#This Row],[PMI]]-B7</f>
        <v/>
      </c>
      <c r="F19" s="13">
        <f>(Table1[[#This Row],[ACWI]]-D7)/D7</f>
        <v/>
      </c>
    </row>
    <row r="20">
      <c r="A20" s="10" t="n">
        <v>40878</v>
      </c>
      <c r="B20" s="18">
        <f>IF(VLOOKUP(Table1[[#This Row],[Date]],'DB Global PMI'!$A:$F,2)=0,"",VLOOKUP(Table1[[#This Row],[Date]],'DB Global PMI'!$A:$F,2))</f>
        <v/>
      </c>
      <c r="C20" s="24">
        <f>Table1[[#This Row],[PMI]]-B19</f>
        <v/>
      </c>
      <c r="D20" s="19">
        <f>IF(VLOOKUP(Table1[[#This Row],[Date]],'DB Global PMI'!$A:$F,3)=0,"",VLOOKUP(Table1[[#This Row],[Date]],'DB Global PMI'!$A:$F,3))</f>
        <v/>
      </c>
      <c r="E20" s="24">
        <f>Table1[[#This Row],[PMI]]-B8</f>
        <v/>
      </c>
      <c r="F20" s="13">
        <f>(Table1[[#This Row],[ACWI]]-D8)/D8</f>
        <v/>
      </c>
    </row>
    <row r="21">
      <c r="A21" s="10" t="n">
        <v>40909</v>
      </c>
      <c r="B21" s="18">
        <f>IF(VLOOKUP(Table1[[#This Row],[Date]],'DB Global PMI'!$A:$F,2)=0,"",VLOOKUP(Table1[[#This Row],[Date]],'DB Global PMI'!$A:$F,2))</f>
        <v/>
      </c>
      <c r="C21" s="24">
        <f>Table1[[#This Row],[PMI]]-B20</f>
        <v/>
      </c>
      <c r="D21" s="19">
        <f>IF(VLOOKUP(Table1[[#This Row],[Date]],'DB Global PMI'!$A:$F,3)=0,"",VLOOKUP(Table1[[#This Row],[Date]],'DB Global PMI'!$A:$F,3))</f>
        <v/>
      </c>
      <c r="E21" s="24">
        <f>Table1[[#This Row],[PMI]]-B9</f>
        <v/>
      </c>
      <c r="F21" s="13">
        <f>(Table1[[#This Row],[ACWI]]-D9)/D9</f>
        <v/>
      </c>
    </row>
    <row r="22">
      <c r="A22" s="10" t="n">
        <v>40940</v>
      </c>
      <c r="B22" s="18">
        <f>IF(VLOOKUP(Table1[[#This Row],[Date]],'DB Global PMI'!$A:$F,2)=0,"",VLOOKUP(Table1[[#This Row],[Date]],'DB Global PMI'!$A:$F,2))</f>
        <v/>
      </c>
      <c r="C22" s="24">
        <f>Table1[[#This Row],[PMI]]-B21</f>
        <v/>
      </c>
      <c r="D22" s="19">
        <f>IF(VLOOKUP(Table1[[#This Row],[Date]],'DB Global PMI'!$A:$F,3)=0,"",VLOOKUP(Table1[[#This Row],[Date]],'DB Global PMI'!$A:$F,3))</f>
        <v/>
      </c>
      <c r="E22" s="24">
        <f>Table1[[#This Row],[PMI]]-B10</f>
        <v/>
      </c>
      <c r="F22" s="13">
        <f>(Table1[[#This Row],[ACWI]]-D10)/D10</f>
        <v/>
      </c>
    </row>
    <row r="23">
      <c r="A23" s="10" t="n">
        <v>40969</v>
      </c>
      <c r="B23" s="18">
        <f>IF(VLOOKUP(Table1[[#This Row],[Date]],'DB Global PMI'!$A:$F,2)=0,"",VLOOKUP(Table1[[#This Row],[Date]],'DB Global PMI'!$A:$F,2))</f>
        <v/>
      </c>
      <c r="C23" s="24">
        <f>Table1[[#This Row],[PMI]]-B22</f>
        <v/>
      </c>
      <c r="D23" s="19">
        <f>IF(VLOOKUP(Table1[[#This Row],[Date]],'DB Global PMI'!$A:$F,3)=0,"",VLOOKUP(Table1[[#This Row],[Date]],'DB Global PMI'!$A:$F,3))</f>
        <v/>
      </c>
      <c r="E23" s="24">
        <f>Table1[[#This Row],[PMI]]-B11</f>
        <v/>
      </c>
      <c r="F23" s="13">
        <f>(Table1[[#This Row],[ACWI]]-D11)/D11</f>
        <v/>
      </c>
    </row>
    <row r="24">
      <c r="A24" s="10" t="n">
        <v>41000</v>
      </c>
      <c r="B24" s="18">
        <f>IF(VLOOKUP(Table1[[#This Row],[Date]],'DB Global PMI'!$A:$F,2)=0,"",VLOOKUP(Table1[[#This Row],[Date]],'DB Global PMI'!$A:$F,2))</f>
        <v/>
      </c>
      <c r="C24" s="24">
        <f>Table1[[#This Row],[PMI]]-B23</f>
        <v/>
      </c>
      <c r="D24" s="19">
        <f>IF(VLOOKUP(Table1[[#This Row],[Date]],'DB Global PMI'!$A:$F,3)=0,"",VLOOKUP(Table1[[#This Row],[Date]],'DB Global PMI'!$A:$F,3))</f>
        <v/>
      </c>
      <c r="E24" s="24">
        <f>Table1[[#This Row],[PMI]]-B12</f>
        <v/>
      </c>
      <c r="F24" s="13">
        <f>(Table1[[#This Row],[ACWI]]-D12)/D12</f>
        <v/>
      </c>
    </row>
    <row r="25">
      <c r="A25" s="10" t="n">
        <v>41030</v>
      </c>
      <c r="B25" s="18">
        <f>IF(VLOOKUP(Table1[[#This Row],[Date]],'DB Global PMI'!$A:$F,2)=0,"",VLOOKUP(Table1[[#This Row],[Date]],'DB Global PMI'!$A:$F,2))</f>
        <v/>
      </c>
      <c r="C25" s="24">
        <f>Table1[[#This Row],[PMI]]-B24</f>
        <v/>
      </c>
      <c r="D25" s="19">
        <f>IF(VLOOKUP(Table1[[#This Row],[Date]],'DB Global PMI'!$A:$F,3)=0,"",VLOOKUP(Table1[[#This Row],[Date]],'DB Global PMI'!$A:$F,3))</f>
        <v/>
      </c>
      <c r="E25" s="24">
        <f>Table1[[#This Row],[PMI]]-B13</f>
        <v/>
      </c>
      <c r="F25" s="13">
        <f>(Table1[[#This Row],[ACWI]]-D13)/D13</f>
        <v/>
      </c>
    </row>
    <row r="26">
      <c r="A26" s="10" t="n">
        <v>41061</v>
      </c>
      <c r="B26" s="18">
        <f>IF(VLOOKUP(Table1[[#This Row],[Date]],'DB Global PMI'!$A:$F,2)=0,"",VLOOKUP(Table1[[#This Row],[Date]],'DB Global PMI'!$A:$F,2))</f>
        <v/>
      </c>
      <c r="C26" s="24">
        <f>Table1[[#This Row],[PMI]]-B25</f>
        <v/>
      </c>
      <c r="D26" s="19">
        <f>IF(VLOOKUP(Table1[[#This Row],[Date]],'DB Global PMI'!$A:$F,3)=0,"",VLOOKUP(Table1[[#This Row],[Date]],'DB Global PMI'!$A:$F,3))</f>
        <v/>
      </c>
      <c r="E26" s="24">
        <f>Table1[[#This Row],[PMI]]-B14</f>
        <v/>
      </c>
      <c r="F26" s="13">
        <f>(Table1[[#This Row],[ACWI]]-D14)/D14</f>
        <v/>
      </c>
    </row>
    <row r="27">
      <c r="A27" s="10" t="n">
        <v>41091</v>
      </c>
      <c r="B27" s="18">
        <f>IF(VLOOKUP(Table1[[#This Row],[Date]],'DB Global PMI'!$A:$F,2)=0,"",VLOOKUP(Table1[[#This Row],[Date]],'DB Global PMI'!$A:$F,2))</f>
        <v/>
      </c>
      <c r="C27" s="24">
        <f>Table1[[#This Row],[PMI]]-B26</f>
        <v/>
      </c>
      <c r="D27" s="19">
        <f>IF(VLOOKUP(Table1[[#This Row],[Date]],'DB Global PMI'!$A:$F,3)=0,"",VLOOKUP(Table1[[#This Row],[Date]],'DB Global PMI'!$A:$F,3))</f>
        <v/>
      </c>
      <c r="E27" s="24">
        <f>Table1[[#This Row],[PMI]]-B15</f>
        <v/>
      </c>
      <c r="F27" s="13">
        <f>(Table1[[#This Row],[ACWI]]-D15)/D15</f>
        <v/>
      </c>
    </row>
    <row r="28">
      <c r="A28" s="10" t="n">
        <v>41122</v>
      </c>
      <c r="B28" s="18">
        <f>IF(VLOOKUP(Table1[[#This Row],[Date]],'DB Global PMI'!$A:$F,2)=0,"",VLOOKUP(Table1[[#This Row],[Date]],'DB Global PMI'!$A:$F,2))</f>
        <v/>
      </c>
      <c r="C28" s="24">
        <f>Table1[[#This Row],[PMI]]-B27</f>
        <v/>
      </c>
      <c r="D28" s="19">
        <f>IF(VLOOKUP(Table1[[#This Row],[Date]],'DB Global PMI'!$A:$F,3)=0,"",VLOOKUP(Table1[[#This Row],[Date]],'DB Global PMI'!$A:$F,3))</f>
        <v/>
      </c>
      <c r="E28" s="24">
        <f>Table1[[#This Row],[PMI]]-B16</f>
        <v/>
      </c>
      <c r="F28" s="13">
        <f>(Table1[[#This Row],[ACWI]]-D16)/D16</f>
        <v/>
      </c>
    </row>
    <row r="29">
      <c r="A29" s="10" t="n">
        <v>41153</v>
      </c>
      <c r="B29" s="18">
        <f>IF(VLOOKUP(Table1[[#This Row],[Date]],'DB Global PMI'!$A:$F,2)=0,"",VLOOKUP(Table1[[#This Row],[Date]],'DB Global PMI'!$A:$F,2))</f>
        <v/>
      </c>
      <c r="C29" s="24">
        <f>Table1[[#This Row],[PMI]]-B28</f>
        <v/>
      </c>
      <c r="D29" s="19">
        <f>IF(VLOOKUP(Table1[[#This Row],[Date]],'DB Global PMI'!$A:$F,3)=0,"",VLOOKUP(Table1[[#This Row],[Date]],'DB Global PMI'!$A:$F,3))</f>
        <v/>
      </c>
      <c r="E29" s="24">
        <f>Table1[[#This Row],[PMI]]-B17</f>
        <v/>
      </c>
      <c r="F29" s="13">
        <f>(Table1[[#This Row],[ACWI]]-D17)/D17</f>
        <v/>
      </c>
    </row>
    <row r="30">
      <c r="A30" s="10" t="n">
        <v>41183</v>
      </c>
      <c r="B30" s="18">
        <f>IF(VLOOKUP(Table1[[#This Row],[Date]],'DB Global PMI'!$A:$F,2)=0,"",VLOOKUP(Table1[[#This Row],[Date]],'DB Global PMI'!$A:$F,2))</f>
        <v/>
      </c>
      <c r="C30" s="24">
        <f>Table1[[#This Row],[PMI]]-B29</f>
        <v/>
      </c>
      <c r="D30" s="19">
        <f>IF(VLOOKUP(Table1[[#This Row],[Date]],'DB Global PMI'!$A:$F,3)=0,"",VLOOKUP(Table1[[#This Row],[Date]],'DB Global PMI'!$A:$F,3))</f>
        <v/>
      </c>
      <c r="E30" s="24">
        <f>Table1[[#This Row],[PMI]]-B18</f>
        <v/>
      </c>
      <c r="F30" s="13">
        <f>(Table1[[#This Row],[ACWI]]-D18)/D18</f>
        <v/>
      </c>
    </row>
    <row r="31">
      <c r="A31" s="10" t="n">
        <v>41214</v>
      </c>
      <c r="B31" s="18">
        <f>IF(VLOOKUP(Table1[[#This Row],[Date]],'DB Global PMI'!$A:$F,2)=0,"",VLOOKUP(Table1[[#This Row],[Date]],'DB Global PMI'!$A:$F,2))</f>
        <v/>
      </c>
      <c r="C31" s="24">
        <f>Table1[[#This Row],[PMI]]-B30</f>
        <v/>
      </c>
      <c r="D31" s="19">
        <f>IF(VLOOKUP(Table1[[#This Row],[Date]],'DB Global PMI'!$A:$F,3)=0,"",VLOOKUP(Table1[[#This Row],[Date]],'DB Global PMI'!$A:$F,3))</f>
        <v/>
      </c>
      <c r="E31" s="24">
        <f>Table1[[#This Row],[PMI]]-B19</f>
        <v/>
      </c>
      <c r="F31" s="13">
        <f>(Table1[[#This Row],[ACWI]]-D19)/D19</f>
        <v/>
      </c>
    </row>
    <row r="32">
      <c r="A32" s="10" t="n">
        <v>41244</v>
      </c>
      <c r="B32" s="18">
        <f>IF(VLOOKUP(Table1[[#This Row],[Date]],'DB Global PMI'!$A:$F,2)=0,"",VLOOKUP(Table1[[#This Row],[Date]],'DB Global PMI'!$A:$F,2))</f>
        <v/>
      </c>
      <c r="C32" s="24">
        <f>Table1[[#This Row],[PMI]]-B31</f>
        <v/>
      </c>
      <c r="D32" s="19">
        <f>IF(VLOOKUP(Table1[[#This Row],[Date]],'DB Global PMI'!$A:$F,3)=0,"",VLOOKUP(Table1[[#This Row],[Date]],'DB Global PMI'!$A:$F,3))</f>
        <v/>
      </c>
      <c r="E32" s="24">
        <f>Table1[[#This Row],[PMI]]-B20</f>
        <v/>
      </c>
      <c r="F32" s="13">
        <f>(Table1[[#This Row],[ACWI]]-D20)/D20</f>
        <v/>
      </c>
    </row>
    <row r="33">
      <c r="A33" s="10" t="n">
        <v>41275</v>
      </c>
      <c r="B33" s="18">
        <f>IF(VLOOKUP(Table1[[#This Row],[Date]],'DB Global PMI'!$A:$F,2)=0,"",VLOOKUP(Table1[[#This Row],[Date]],'DB Global PMI'!$A:$F,2))</f>
        <v/>
      </c>
      <c r="C33" s="24">
        <f>Table1[[#This Row],[PMI]]-B32</f>
        <v/>
      </c>
      <c r="D33" s="19">
        <f>IF(VLOOKUP(Table1[[#This Row],[Date]],'DB Global PMI'!$A:$F,3)=0,"",VLOOKUP(Table1[[#This Row],[Date]],'DB Global PMI'!$A:$F,3))</f>
        <v/>
      </c>
      <c r="E33" s="24">
        <f>Table1[[#This Row],[PMI]]-B21</f>
        <v/>
      </c>
      <c r="F33" s="13">
        <f>(Table1[[#This Row],[ACWI]]-D21)/D21</f>
        <v/>
      </c>
    </row>
    <row r="34">
      <c r="A34" s="10" t="n">
        <v>41306</v>
      </c>
      <c r="B34" s="18">
        <f>IF(VLOOKUP(Table1[[#This Row],[Date]],'DB Global PMI'!$A:$F,2)=0,"",VLOOKUP(Table1[[#This Row],[Date]],'DB Global PMI'!$A:$F,2))</f>
        <v/>
      </c>
      <c r="C34" s="24">
        <f>Table1[[#This Row],[PMI]]-B33</f>
        <v/>
      </c>
      <c r="D34" s="19">
        <f>IF(VLOOKUP(Table1[[#This Row],[Date]],'DB Global PMI'!$A:$F,3)=0,"",VLOOKUP(Table1[[#This Row],[Date]],'DB Global PMI'!$A:$F,3))</f>
        <v/>
      </c>
      <c r="E34" s="24">
        <f>Table1[[#This Row],[PMI]]-B22</f>
        <v/>
      </c>
      <c r="F34" s="13">
        <f>(Table1[[#This Row],[ACWI]]-D22)/D22</f>
        <v/>
      </c>
    </row>
    <row r="35">
      <c r="A35" s="10" t="n">
        <v>41334</v>
      </c>
      <c r="B35" s="18">
        <f>IF(VLOOKUP(Table1[[#This Row],[Date]],'DB Global PMI'!$A:$F,2)=0,"",VLOOKUP(Table1[[#This Row],[Date]],'DB Global PMI'!$A:$F,2))</f>
        <v/>
      </c>
      <c r="C35" s="24">
        <f>Table1[[#This Row],[PMI]]-B34</f>
        <v/>
      </c>
      <c r="D35" s="19">
        <f>IF(VLOOKUP(Table1[[#This Row],[Date]],'DB Global PMI'!$A:$F,3)=0,"",VLOOKUP(Table1[[#This Row],[Date]],'DB Global PMI'!$A:$F,3))</f>
        <v/>
      </c>
      <c r="E35" s="24">
        <f>Table1[[#This Row],[PMI]]-B23</f>
        <v/>
      </c>
      <c r="F35" s="13">
        <f>(Table1[[#This Row],[ACWI]]-D23)/D23</f>
        <v/>
      </c>
    </row>
    <row r="36">
      <c r="A36" s="10" t="n">
        <v>41365</v>
      </c>
      <c r="B36" s="18">
        <f>IF(VLOOKUP(Table1[[#This Row],[Date]],'DB Global PMI'!$A:$F,2)=0,"",VLOOKUP(Table1[[#This Row],[Date]],'DB Global PMI'!$A:$F,2))</f>
        <v/>
      </c>
      <c r="C36" s="24">
        <f>Table1[[#This Row],[PMI]]-B35</f>
        <v/>
      </c>
      <c r="D36" s="19">
        <f>IF(VLOOKUP(Table1[[#This Row],[Date]],'DB Global PMI'!$A:$F,3)=0,"",VLOOKUP(Table1[[#This Row],[Date]],'DB Global PMI'!$A:$F,3))</f>
        <v/>
      </c>
      <c r="E36" s="24">
        <f>Table1[[#This Row],[PMI]]-B24</f>
        <v/>
      </c>
      <c r="F36" s="13">
        <f>(Table1[[#This Row],[ACWI]]-D24)/D24</f>
        <v/>
      </c>
    </row>
    <row r="37">
      <c r="A37" s="10" t="n">
        <v>41395</v>
      </c>
      <c r="B37" s="18">
        <f>IF(VLOOKUP(Table1[[#This Row],[Date]],'DB Global PMI'!$A:$F,2)=0,"",VLOOKUP(Table1[[#This Row],[Date]],'DB Global PMI'!$A:$F,2))</f>
        <v/>
      </c>
      <c r="C37" s="24">
        <f>Table1[[#This Row],[PMI]]-B36</f>
        <v/>
      </c>
      <c r="D37" s="19">
        <f>IF(VLOOKUP(Table1[[#This Row],[Date]],'DB Global PMI'!$A:$F,3)=0,"",VLOOKUP(Table1[[#This Row],[Date]],'DB Global PMI'!$A:$F,3))</f>
        <v/>
      </c>
      <c r="E37" s="24">
        <f>Table1[[#This Row],[PMI]]-B25</f>
        <v/>
      </c>
      <c r="F37" s="13">
        <f>(Table1[[#This Row],[ACWI]]-D25)/D25</f>
        <v/>
      </c>
    </row>
    <row r="38">
      <c r="A38" s="10" t="n">
        <v>41426</v>
      </c>
      <c r="B38" s="18">
        <f>IF(VLOOKUP(Table1[[#This Row],[Date]],'DB Global PMI'!$A:$F,2)=0,"",VLOOKUP(Table1[[#This Row],[Date]],'DB Global PMI'!$A:$F,2))</f>
        <v/>
      </c>
      <c r="C38" s="24">
        <f>Table1[[#This Row],[PMI]]-B37</f>
        <v/>
      </c>
      <c r="D38" s="19">
        <f>IF(VLOOKUP(Table1[[#This Row],[Date]],'DB Global PMI'!$A:$F,3)=0,"",VLOOKUP(Table1[[#This Row],[Date]],'DB Global PMI'!$A:$F,3))</f>
        <v/>
      </c>
      <c r="E38" s="24">
        <f>Table1[[#This Row],[PMI]]-B26</f>
        <v/>
      </c>
      <c r="F38" s="13">
        <f>(Table1[[#This Row],[ACWI]]-D26)/D26</f>
        <v/>
      </c>
    </row>
    <row r="39">
      <c r="A39" s="10" t="n">
        <v>41456</v>
      </c>
      <c r="B39" s="18">
        <f>IF(VLOOKUP(Table1[[#This Row],[Date]],'DB Global PMI'!$A:$F,2)=0,"",VLOOKUP(Table1[[#This Row],[Date]],'DB Global PMI'!$A:$F,2))</f>
        <v/>
      </c>
      <c r="C39" s="24">
        <f>Table1[[#This Row],[PMI]]-B38</f>
        <v/>
      </c>
      <c r="D39" s="19">
        <f>IF(VLOOKUP(Table1[[#This Row],[Date]],'DB Global PMI'!$A:$F,3)=0,"",VLOOKUP(Table1[[#This Row],[Date]],'DB Global PMI'!$A:$F,3))</f>
        <v/>
      </c>
      <c r="E39" s="24">
        <f>Table1[[#This Row],[PMI]]-B27</f>
        <v/>
      </c>
      <c r="F39" s="13">
        <f>(Table1[[#This Row],[ACWI]]-D27)/D27</f>
        <v/>
      </c>
    </row>
    <row r="40">
      <c r="A40" s="10" t="n">
        <v>41487</v>
      </c>
      <c r="B40" s="18">
        <f>IF(VLOOKUP(Table1[[#This Row],[Date]],'DB Global PMI'!$A:$F,2)=0,"",VLOOKUP(Table1[[#This Row],[Date]],'DB Global PMI'!$A:$F,2))</f>
        <v/>
      </c>
      <c r="C40" s="24">
        <f>Table1[[#This Row],[PMI]]-B39</f>
        <v/>
      </c>
      <c r="D40" s="19">
        <f>IF(VLOOKUP(Table1[[#This Row],[Date]],'DB Global PMI'!$A:$F,3)=0,"",VLOOKUP(Table1[[#This Row],[Date]],'DB Global PMI'!$A:$F,3))</f>
        <v/>
      </c>
      <c r="E40" s="24">
        <f>Table1[[#This Row],[PMI]]-B28</f>
        <v/>
      </c>
      <c r="F40" s="13">
        <f>(Table1[[#This Row],[ACWI]]-D28)/D28</f>
        <v/>
      </c>
    </row>
    <row r="41">
      <c r="A41" s="10" t="n">
        <v>41518</v>
      </c>
      <c r="B41" s="18">
        <f>IF(VLOOKUP(Table1[[#This Row],[Date]],'DB Global PMI'!$A:$F,2)=0,"",VLOOKUP(Table1[[#This Row],[Date]],'DB Global PMI'!$A:$F,2))</f>
        <v/>
      </c>
      <c r="C41" s="24">
        <f>Table1[[#This Row],[PMI]]-B40</f>
        <v/>
      </c>
      <c r="D41" s="19">
        <f>IF(VLOOKUP(Table1[[#This Row],[Date]],'DB Global PMI'!$A:$F,3)=0,"",VLOOKUP(Table1[[#This Row],[Date]],'DB Global PMI'!$A:$F,3))</f>
        <v/>
      </c>
      <c r="E41" s="24">
        <f>Table1[[#This Row],[PMI]]-B29</f>
        <v/>
      </c>
      <c r="F41" s="13">
        <f>(Table1[[#This Row],[ACWI]]-D29)/D29</f>
        <v/>
      </c>
    </row>
    <row r="42">
      <c r="A42" s="10" t="n">
        <v>41548</v>
      </c>
      <c r="B42" s="18">
        <f>IF(VLOOKUP(Table1[[#This Row],[Date]],'DB Global PMI'!$A:$F,2)=0,"",VLOOKUP(Table1[[#This Row],[Date]],'DB Global PMI'!$A:$F,2))</f>
        <v/>
      </c>
      <c r="C42" s="24">
        <f>Table1[[#This Row],[PMI]]-B41</f>
        <v/>
      </c>
      <c r="D42" s="19">
        <f>IF(VLOOKUP(Table1[[#This Row],[Date]],'DB Global PMI'!$A:$F,3)=0,"",VLOOKUP(Table1[[#This Row],[Date]],'DB Global PMI'!$A:$F,3))</f>
        <v/>
      </c>
      <c r="E42" s="24">
        <f>Table1[[#This Row],[PMI]]-B30</f>
        <v/>
      </c>
      <c r="F42" s="13">
        <f>(Table1[[#This Row],[ACWI]]-D30)/D30</f>
        <v/>
      </c>
    </row>
    <row r="43">
      <c r="A43" s="10" t="n">
        <v>41579</v>
      </c>
      <c r="B43" s="18">
        <f>IF(VLOOKUP(Table1[[#This Row],[Date]],'DB Global PMI'!$A:$F,2)=0,"",VLOOKUP(Table1[[#This Row],[Date]],'DB Global PMI'!$A:$F,2))</f>
        <v/>
      </c>
      <c r="C43" s="24">
        <f>Table1[[#This Row],[PMI]]-B42</f>
        <v/>
      </c>
      <c r="D43" s="19">
        <f>IF(VLOOKUP(Table1[[#This Row],[Date]],'DB Global PMI'!$A:$F,3)=0,"",VLOOKUP(Table1[[#This Row],[Date]],'DB Global PMI'!$A:$F,3))</f>
        <v/>
      </c>
      <c r="E43" s="24">
        <f>Table1[[#This Row],[PMI]]-B31</f>
        <v/>
      </c>
      <c r="F43" s="13">
        <f>(Table1[[#This Row],[ACWI]]-D31)/D31</f>
        <v/>
      </c>
    </row>
    <row r="44">
      <c r="A44" s="10" t="n">
        <v>41609</v>
      </c>
      <c r="B44" s="18">
        <f>IF(VLOOKUP(Table1[[#This Row],[Date]],'DB Global PMI'!$A:$F,2)=0,"",VLOOKUP(Table1[[#This Row],[Date]],'DB Global PMI'!$A:$F,2))</f>
        <v/>
      </c>
      <c r="C44" s="24">
        <f>Table1[[#This Row],[PMI]]-B43</f>
        <v/>
      </c>
      <c r="D44" s="19">
        <f>IF(VLOOKUP(Table1[[#This Row],[Date]],'DB Global PMI'!$A:$F,3)=0,"",VLOOKUP(Table1[[#This Row],[Date]],'DB Global PMI'!$A:$F,3))</f>
        <v/>
      </c>
      <c r="E44" s="24">
        <f>Table1[[#This Row],[PMI]]-B32</f>
        <v/>
      </c>
      <c r="F44" s="13">
        <f>(Table1[[#This Row],[ACWI]]-D32)/D32</f>
        <v/>
      </c>
    </row>
    <row r="45">
      <c r="A45" s="10" t="n">
        <v>41640</v>
      </c>
      <c r="B45" s="18">
        <f>IF(VLOOKUP(Table1[[#This Row],[Date]],'DB Global PMI'!$A:$F,2)=0,"",VLOOKUP(Table1[[#This Row],[Date]],'DB Global PMI'!$A:$F,2))</f>
        <v/>
      </c>
      <c r="C45" s="24">
        <f>Table1[[#This Row],[PMI]]-B44</f>
        <v/>
      </c>
      <c r="D45" s="19">
        <f>IF(VLOOKUP(Table1[[#This Row],[Date]],'DB Global PMI'!$A:$F,3)=0,"",VLOOKUP(Table1[[#This Row],[Date]],'DB Global PMI'!$A:$F,3))</f>
        <v/>
      </c>
      <c r="E45" s="24">
        <f>Table1[[#This Row],[PMI]]-B33</f>
        <v/>
      </c>
      <c r="F45" s="13">
        <f>(Table1[[#This Row],[ACWI]]-D33)/D33</f>
        <v/>
      </c>
    </row>
    <row r="46">
      <c r="A46" s="10" t="n">
        <v>41671</v>
      </c>
      <c r="B46" s="18">
        <f>IF(VLOOKUP(Table1[[#This Row],[Date]],'DB Global PMI'!$A:$F,2)=0,"",VLOOKUP(Table1[[#This Row],[Date]],'DB Global PMI'!$A:$F,2))</f>
        <v/>
      </c>
      <c r="C46" s="24">
        <f>Table1[[#This Row],[PMI]]-B45</f>
        <v/>
      </c>
      <c r="D46" s="19">
        <f>IF(VLOOKUP(Table1[[#This Row],[Date]],'DB Global PMI'!$A:$F,3)=0,"",VLOOKUP(Table1[[#This Row],[Date]],'DB Global PMI'!$A:$F,3))</f>
        <v/>
      </c>
      <c r="E46" s="24">
        <f>Table1[[#This Row],[PMI]]-B34</f>
        <v/>
      </c>
      <c r="F46" s="13">
        <f>(Table1[[#This Row],[ACWI]]-D34)/D34</f>
        <v/>
      </c>
    </row>
    <row r="47">
      <c r="A47" s="10" t="n">
        <v>41699</v>
      </c>
      <c r="B47" s="18">
        <f>IF(VLOOKUP(Table1[[#This Row],[Date]],'DB Global PMI'!$A:$F,2)=0,"",VLOOKUP(Table1[[#This Row],[Date]],'DB Global PMI'!$A:$F,2))</f>
        <v/>
      </c>
      <c r="C47" s="24">
        <f>Table1[[#This Row],[PMI]]-B46</f>
        <v/>
      </c>
      <c r="D47" s="19">
        <f>IF(VLOOKUP(Table1[[#This Row],[Date]],'DB Global PMI'!$A:$F,3)=0,"",VLOOKUP(Table1[[#This Row],[Date]],'DB Global PMI'!$A:$F,3))</f>
        <v/>
      </c>
      <c r="E47" s="24">
        <f>Table1[[#This Row],[PMI]]-B35</f>
        <v/>
      </c>
      <c r="F47" s="13">
        <f>(Table1[[#This Row],[ACWI]]-D35)/D35</f>
        <v/>
      </c>
    </row>
    <row r="48">
      <c r="A48" s="10" t="n">
        <v>41730</v>
      </c>
      <c r="B48" s="18">
        <f>IF(VLOOKUP(Table1[[#This Row],[Date]],'DB Global PMI'!$A:$F,2)=0,"",VLOOKUP(Table1[[#This Row],[Date]],'DB Global PMI'!$A:$F,2))</f>
        <v/>
      </c>
      <c r="C48" s="24">
        <f>Table1[[#This Row],[PMI]]-B47</f>
        <v/>
      </c>
      <c r="D48" s="19">
        <f>IF(VLOOKUP(Table1[[#This Row],[Date]],'DB Global PMI'!$A:$F,3)=0,"",VLOOKUP(Table1[[#This Row],[Date]],'DB Global PMI'!$A:$F,3))</f>
        <v/>
      </c>
      <c r="E48" s="24">
        <f>Table1[[#This Row],[PMI]]-B36</f>
        <v/>
      </c>
      <c r="F48" s="13">
        <f>(Table1[[#This Row],[ACWI]]-D36)/D36</f>
        <v/>
      </c>
    </row>
    <row r="49">
      <c r="A49" s="10" t="n">
        <v>41760</v>
      </c>
      <c r="B49" s="18">
        <f>IF(VLOOKUP(Table1[[#This Row],[Date]],'DB Global PMI'!$A:$F,2)=0,"",VLOOKUP(Table1[[#This Row],[Date]],'DB Global PMI'!$A:$F,2))</f>
        <v/>
      </c>
      <c r="C49" s="24">
        <f>Table1[[#This Row],[PMI]]-B48</f>
        <v/>
      </c>
      <c r="D49" s="19">
        <f>IF(VLOOKUP(Table1[[#This Row],[Date]],'DB Global PMI'!$A:$F,3)=0,"",VLOOKUP(Table1[[#This Row],[Date]],'DB Global PMI'!$A:$F,3))</f>
        <v/>
      </c>
      <c r="E49" s="24">
        <f>Table1[[#This Row],[PMI]]-B37</f>
        <v/>
      </c>
      <c r="F49" s="13">
        <f>(Table1[[#This Row],[ACWI]]-D37)/D37</f>
        <v/>
      </c>
    </row>
    <row r="50">
      <c r="A50" s="10" t="n">
        <v>41791</v>
      </c>
      <c r="B50" s="18">
        <f>IF(VLOOKUP(Table1[[#This Row],[Date]],'DB Global PMI'!$A:$F,2)=0,"",VLOOKUP(Table1[[#This Row],[Date]],'DB Global PMI'!$A:$F,2))</f>
        <v/>
      </c>
      <c r="C50" s="24">
        <f>Table1[[#This Row],[PMI]]-B49</f>
        <v/>
      </c>
      <c r="D50" s="19">
        <f>IF(VLOOKUP(Table1[[#This Row],[Date]],'DB Global PMI'!$A:$F,3)=0,"",VLOOKUP(Table1[[#This Row],[Date]],'DB Global PMI'!$A:$F,3))</f>
        <v/>
      </c>
      <c r="E50" s="24">
        <f>Table1[[#This Row],[PMI]]-B38</f>
        <v/>
      </c>
      <c r="F50" s="13">
        <f>(Table1[[#This Row],[ACWI]]-D38)/D38</f>
        <v/>
      </c>
    </row>
    <row r="51">
      <c r="A51" s="10" t="n">
        <v>41821</v>
      </c>
      <c r="B51" s="18">
        <f>IF(VLOOKUP(Table1[[#This Row],[Date]],'DB Global PMI'!$A:$F,2)=0,"",VLOOKUP(Table1[[#This Row],[Date]],'DB Global PMI'!$A:$F,2))</f>
        <v/>
      </c>
      <c r="C51" s="24">
        <f>Table1[[#This Row],[PMI]]-B50</f>
        <v/>
      </c>
      <c r="D51" s="19">
        <f>IF(VLOOKUP(Table1[[#This Row],[Date]],'DB Global PMI'!$A:$F,3)=0,"",VLOOKUP(Table1[[#This Row],[Date]],'DB Global PMI'!$A:$F,3))</f>
        <v/>
      </c>
      <c r="E51" s="24">
        <f>Table1[[#This Row],[PMI]]-B39</f>
        <v/>
      </c>
      <c r="F51" s="13">
        <f>(Table1[[#This Row],[ACWI]]-D39)/D39</f>
        <v/>
      </c>
    </row>
    <row r="52">
      <c r="A52" s="10" t="n">
        <v>41852</v>
      </c>
      <c r="B52" s="18">
        <f>IF(VLOOKUP(Table1[[#This Row],[Date]],'DB Global PMI'!$A:$F,2)=0,"",VLOOKUP(Table1[[#This Row],[Date]],'DB Global PMI'!$A:$F,2))</f>
        <v/>
      </c>
      <c r="C52" s="24">
        <f>Table1[[#This Row],[PMI]]-B51</f>
        <v/>
      </c>
      <c r="D52" s="19">
        <f>IF(VLOOKUP(Table1[[#This Row],[Date]],'DB Global PMI'!$A:$F,3)=0,"",VLOOKUP(Table1[[#This Row],[Date]],'DB Global PMI'!$A:$F,3))</f>
        <v/>
      </c>
      <c r="E52" s="24">
        <f>Table1[[#This Row],[PMI]]-B40</f>
        <v/>
      </c>
      <c r="F52" s="13">
        <f>(Table1[[#This Row],[ACWI]]-D40)/D40</f>
        <v/>
      </c>
    </row>
    <row r="53">
      <c r="A53" s="10" t="n">
        <v>41883</v>
      </c>
      <c r="B53" s="18">
        <f>IF(VLOOKUP(Table1[[#This Row],[Date]],'DB Global PMI'!$A:$F,2)=0,"",VLOOKUP(Table1[[#This Row],[Date]],'DB Global PMI'!$A:$F,2))</f>
        <v/>
      </c>
      <c r="C53" s="24">
        <f>Table1[[#This Row],[PMI]]-B52</f>
        <v/>
      </c>
      <c r="D53" s="19">
        <f>IF(VLOOKUP(Table1[[#This Row],[Date]],'DB Global PMI'!$A:$F,3)=0,"",VLOOKUP(Table1[[#This Row],[Date]],'DB Global PMI'!$A:$F,3))</f>
        <v/>
      </c>
      <c r="E53" s="24">
        <f>Table1[[#This Row],[PMI]]-B41</f>
        <v/>
      </c>
      <c r="F53" s="13">
        <f>(Table1[[#This Row],[ACWI]]-D41)/D41</f>
        <v/>
      </c>
    </row>
    <row r="54">
      <c r="A54" s="10" t="n">
        <v>41913</v>
      </c>
      <c r="B54" s="18">
        <f>IF(VLOOKUP(Table1[[#This Row],[Date]],'DB Global PMI'!$A:$F,2)=0,"",VLOOKUP(Table1[[#This Row],[Date]],'DB Global PMI'!$A:$F,2))</f>
        <v/>
      </c>
      <c r="C54" s="24">
        <f>Table1[[#This Row],[PMI]]-B53</f>
        <v/>
      </c>
      <c r="D54" s="19">
        <f>IF(VLOOKUP(Table1[[#This Row],[Date]],'DB Global PMI'!$A:$F,3)=0,"",VLOOKUP(Table1[[#This Row],[Date]],'DB Global PMI'!$A:$F,3))</f>
        <v/>
      </c>
      <c r="E54" s="24">
        <f>Table1[[#This Row],[PMI]]-B42</f>
        <v/>
      </c>
      <c r="F54" s="13">
        <f>(Table1[[#This Row],[ACWI]]-D42)/D42</f>
        <v/>
      </c>
    </row>
    <row r="55">
      <c r="A55" s="10" t="n">
        <v>41944</v>
      </c>
      <c r="B55" s="18">
        <f>IF(VLOOKUP(Table1[[#This Row],[Date]],'DB Global PMI'!$A:$F,2)=0,"",VLOOKUP(Table1[[#This Row],[Date]],'DB Global PMI'!$A:$F,2))</f>
        <v/>
      </c>
      <c r="C55" s="24">
        <f>Table1[[#This Row],[PMI]]-B54</f>
        <v/>
      </c>
      <c r="D55" s="19">
        <f>IF(VLOOKUP(Table1[[#This Row],[Date]],'DB Global PMI'!$A:$F,3)=0,"",VLOOKUP(Table1[[#This Row],[Date]],'DB Global PMI'!$A:$F,3))</f>
        <v/>
      </c>
      <c r="E55" s="24">
        <f>Table1[[#This Row],[PMI]]-B43</f>
        <v/>
      </c>
      <c r="F55" s="13">
        <f>(Table1[[#This Row],[ACWI]]-D43)/D43</f>
        <v/>
      </c>
    </row>
    <row r="56">
      <c r="A56" s="10" t="n">
        <v>41974</v>
      </c>
      <c r="B56" s="18">
        <f>IF(VLOOKUP(Table1[[#This Row],[Date]],'DB Global PMI'!$A:$F,2)=0,"",VLOOKUP(Table1[[#This Row],[Date]],'DB Global PMI'!$A:$F,2))</f>
        <v/>
      </c>
      <c r="C56" s="24">
        <f>Table1[[#This Row],[PMI]]-B55</f>
        <v/>
      </c>
      <c r="D56" s="19">
        <f>IF(VLOOKUP(Table1[[#This Row],[Date]],'DB Global PMI'!$A:$F,3)=0,"",VLOOKUP(Table1[[#This Row],[Date]],'DB Global PMI'!$A:$F,3))</f>
        <v/>
      </c>
      <c r="E56" s="24">
        <f>Table1[[#This Row],[PMI]]-B44</f>
        <v/>
      </c>
      <c r="F56" s="13">
        <f>(Table1[[#This Row],[ACWI]]-D44)/D44</f>
        <v/>
      </c>
    </row>
    <row r="57">
      <c r="A57" s="10" t="n">
        <v>42005</v>
      </c>
      <c r="B57" s="18">
        <f>IF(VLOOKUP(Table1[[#This Row],[Date]],'DB Global PMI'!$A:$F,2)=0,"",VLOOKUP(Table1[[#This Row],[Date]],'DB Global PMI'!$A:$F,2))</f>
        <v/>
      </c>
      <c r="C57" s="24">
        <f>Table1[[#This Row],[PMI]]-B56</f>
        <v/>
      </c>
      <c r="D57" s="19">
        <f>IF(VLOOKUP(Table1[[#This Row],[Date]],'DB Global PMI'!$A:$F,3)=0,"",VLOOKUP(Table1[[#This Row],[Date]],'DB Global PMI'!$A:$F,3))</f>
        <v/>
      </c>
      <c r="E57" s="24">
        <f>Table1[[#This Row],[PMI]]-B45</f>
        <v/>
      </c>
      <c r="F57" s="13">
        <f>(Table1[[#This Row],[ACWI]]-D45)/D45</f>
        <v/>
      </c>
    </row>
    <row r="58">
      <c r="A58" s="10" t="n">
        <v>42036</v>
      </c>
      <c r="B58" s="18">
        <f>IF(VLOOKUP(Table1[[#This Row],[Date]],'DB Global PMI'!$A:$F,2)=0,"",VLOOKUP(Table1[[#This Row],[Date]],'DB Global PMI'!$A:$F,2))</f>
        <v/>
      </c>
      <c r="C58" s="24">
        <f>Table1[[#This Row],[PMI]]-B57</f>
        <v/>
      </c>
      <c r="D58" s="19">
        <f>IF(VLOOKUP(Table1[[#This Row],[Date]],'DB Global PMI'!$A:$F,3)=0,"",VLOOKUP(Table1[[#This Row],[Date]],'DB Global PMI'!$A:$F,3))</f>
        <v/>
      </c>
      <c r="E58" s="24">
        <f>Table1[[#This Row],[PMI]]-B46</f>
        <v/>
      </c>
      <c r="F58" s="13">
        <f>(Table1[[#This Row],[ACWI]]-D46)/D46</f>
        <v/>
      </c>
    </row>
    <row r="59">
      <c r="A59" s="10" t="n">
        <v>42064</v>
      </c>
      <c r="B59" s="18">
        <f>IF(VLOOKUP(Table1[[#This Row],[Date]],'DB Global PMI'!$A:$F,2)=0,"",VLOOKUP(Table1[[#This Row],[Date]],'DB Global PMI'!$A:$F,2))</f>
        <v/>
      </c>
      <c r="C59" s="24">
        <f>Table1[[#This Row],[PMI]]-B58</f>
        <v/>
      </c>
      <c r="D59" s="19">
        <f>IF(VLOOKUP(Table1[[#This Row],[Date]],'DB Global PMI'!$A:$F,3)=0,"",VLOOKUP(Table1[[#This Row],[Date]],'DB Global PMI'!$A:$F,3))</f>
        <v/>
      </c>
      <c r="E59" s="24">
        <f>Table1[[#This Row],[PMI]]-B47</f>
        <v/>
      </c>
      <c r="F59" s="13">
        <f>(Table1[[#This Row],[ACWI]]-D47)/D47</f>
        <v/>
      </c>
    </row>
    <row r="60">
      <c r="A60" s="10" t="n">
        <v>42095</v>
      </c>
      <c r="B60" s="18">
        <f>IF(VLOOKUP(Table1[[#This Row],[Date]],'DB Global PMI'!$A:$F,2)=0,"",VLOOKUP(Table1[[#This Row],[Date]],'DB Global PMI'!$A:$F,2))</f>
        <v/>
      </c>
      <c r="C60" s="24">
        <f>Table1[[#This Row],[PMI]]-B59</f>
        <v/>
      </c>
      <c r="D60" s="19">
        <f>IF(VLOOKUP(Table1[[#This Row],[Date]],'DB Global PMI'!$A:$F,3)=0,"",VLOOKUP(Table1[[#This Row],[Date]],'DB Global PMI'!$A:$F,3))</f>
        <v/>
      </c>
      <c r="E60" s="24">
        <f>Table1[[#This Row],[PMI]]-B48</f>
        <v/>
      </c>
      <c r="F60" s="13">
        <f>(Table1[[#This Row],[ACWI]]-D48)/D48</f>
        <v/>
      </c>
    </row>
    <row r="61">
      <c r="A61" s="10" t="n">
        <v>42125</v>
      </c>
      <c r="B61" s="18">
        <f>IF(VLOOKUP(Table1[[#This Row],[Date]],'DB Global PMI'!$A:$F,2)=0,"",VLOOKUP(Table1[[#This Row],[Date]],'DB Global PMI'!$A:$F,2))</f>
        <v/>
      </c>
      <c r="C61" s="24">
        <f>Table1[[#This Row],[PMI]]-B60</f>
        <v/>
      </c>
      <c r="D61" s="19">
        <f>IF(VLOOKUP(Table1[[#This Row],[Date]],'DB Global PMI'!$A:$F,3)=0,"",VLOOKUP(Table1[[#This Row],[Date]],'DB Global PMI'!$A:$F,3))</f>
        <v/>
      </c>
      <c r="E61" s="24">
        <f>Table1[[#This Row],[PMI]]-B49</f>
        <v/>
      </c>
      <c r="F61" s="13">
        <f>(Table1[[#This Row],[ACWI]]-D49)/D49</f>
        <v/>
      </c>
    </row>
    <row r="62">
      <c r="A62" s="10" t="n">
        <v>42156</v>
      </c>
      <c r="B62" s="18">
        <f>IF(VLOOKUP(Table1[[#This Row],[Date]],'DB Global PMI'!$A:$F,2)=0,"",VLOOKUP(Table1[[#This Row],[Date]],'DB Global PMI'!$A:$F,2))</f>
        <v/>
      </c>
      <c r="C62" s="24">
        <f>Table1[[#This Row],[PMI]]-B61</f>
        <v/>
      </c>
      <c r="D62" s="19">
        <f>IF(VLOOKUP(Table1[[#This Row],[Date]],'DB Global PMI'!$A:$F,3)=0,"",VLOOKUP(Table1[[#This Row],[Date]],'DB Global PMI'!$A:$F,3))</f>
        <v/>
      </c>
      <c r="E62" s="24">
        <f>Table1[[#This Row],[PMI]]-B50</f>
        <v/>
      </c>
      <c r="F62" s="13">
        <f>(Table1[[#This Row],[ACWI]]-D50)/D50</f>
        <v/>
      </c>
    </row>
    <row r="63">
      <c r="A63" s="10" t="n">
        <v>42186</v>
      </c>
      <c r="B63" s="18">
        <f>IF(VLOOKUP(Table1[[#This Row],[Date]],'DB Global PMI'!$A:$F,2)=0,"",VLOOKUP(Table1[[#This Row],[Date]],'DB Global PMI'!$A:$F,2))</f>
        <v/>
      </c>
      <c r="C63" s="24">
        <f>Table1[[#This Row],[PMI]]-B62</f>
        <v/>
      </c>
      <c r="D63" s="19">
        <f>IF(VLOOKUP(Table1[[#This Row],[Date]],'DB Global PMI'!$A:$F,3)=0,"",VLOOKUP(Table1[[#This Row],[Date]],'DB Global PMI'!$A:$F,3))</f>
        <v/>
      </c>
      <c r="E63" s="24">
        <f>Table1[[#This Row],[PMI]]-B51</f>
        <v/>
      </c>
      <c r="F63" s="13">
        <f>(Table1[[#This Row],[ACWI]]-D51)/D51</f>
        <v/>
      </c>
    </row>
    <row r="64">
      <c r="A64" s="10" t="n">
        <v>42217</v>
      </c>
      <c r="B64" s="18">
        <f>IF(VLOOKUP(Table1[[#This Row],[Date]],'DB Global PMI'!$A:$F,2)=0,"",VLOOKUP(Table1[[#This Row],[Date]],'DB Global PMI'!$A:$F,2))</f>
        <v/>
      </c>
      <c r="C64" s="24">
        <f>Table1[[#This Row],[PMI]]-B63</f>
        <v/>
      </c>
      <c r="D64" s="19">
        <f>IF(VLOOKUP(Table1[[#This Row],[Date]],'DB Global PMI'!$A:$F,3)=0,"",VLOOKUP(Table1[[#This Row],[Date]],'DB Global PMI'!$A:$F,3))</f>
        <v/>
      </c>
      <c r="E64" s="24">
        <f>Table1[[#This Row],[PMI]]-B52</f>
        <v/>
      </c>
      <c r="F64" s="13">
        <f>(Table1[[#This Row],[ACWI]]-D52)/D52</f>
        <v/>
      </c>
    </row>
    <row r="65">
      <c r="A65" s="10" t="n">
        <v>42248</v>
      </c>
      <c r="B65" s="18">
        <f>IF(VLOOKUP(Table1[[#This Row],[Date]],'DB Global PMI'!$A:$F,2)=0,"",VLOOKUP(Table1[[#This Row],[Date]],'DB Global PMI'!$A:$F,2))</f>
        <v/>
      </c>
      <c r="C65" s="24">
        <f>Table1[[#This Row],[PMI]]-B64</f>
        <v/>
      </c>
      <c r="D65" s="19">
        <f>IF(VLOOKUP(Table1[[#This Row],[Date]],'DB Global PMI'!$A:$F,3)=0,"",VLOOKUP(Table1[[#This Row],[Date]],'DB Global PMI'!$A:$F,3))</f>
        <v/>
      </c>
      <c r="E65" s="24">
        <f>Table1[[#This Row],[PMI]]-B53</f>
        <v/>
      </c>
      <c r="F65" s="13">
        <f>(Table1[[#This Row],[ACWI]]-D53)/D53</f>
        <v/>
      </c>
    </row>
    <row r="66">
      <c r="A66" s="10" t="n">
        <v>42278</v>
      </c>
      <c r="B66" s="18">
        <f>IF(VLOOKUP(Table1[[#This Row],[Date]],'DB Global PMI'!$A:$F,2)=0,"",VLOOKUP(Table1[[#This Row],[Date]],'DB Global PMI'!$A:$F,2))</f>
        <v/>
      </c>
      <c r="C66" s="24">
        <f>Table1[[#This Row],[PMI]]-B65</f>
        <v/>
      </c>
      <c r="D66" s="19">
        <f>IF(VLOOKUP(Table1[[#This Row],[Date]],'DB Global PMI'!$A:$F,3)=0,"",VLOOKUP(Table1[[#This Row],[Date]],'DB Global PMI'!$A:$F,3))</f>
        <v/>
      </c>
      <c r="E66" s="24">
        <f>Table1[[#This Row],[PMI]]-B54</f>
        <v/>
      </c>
      <c r="F66" s="13">
        <f>(Table1[[#This Row],[ACWI]]-D54)/D54</f>
        <v/>
      </c>
    </row>
    <row r="67">
      <c r="A67" s="10" t="n">
        <v>42309</v>
      </c>
      <c r="B67" s="18">
        <f>IF(VLOOKUP(Table1[[#This Row],[Date]],'DB Global PMI'!$A:$F,2)=0,"",VLOOKUP(Table1[[#This Row],[Date]],'DB Global PMI'!$A:$F,2))</f>
        <v/>
      </c>
      <c r="C67" s="24">
        <f>Table1[[#This Row],[PMI]]-B66</f>
        <v/>
      </c>
      <c r="D67" s="19">
        <f>IF(VLOOKUP(Table1[[#This Row],[Date]],'DB Global PMI'!$A:$F,3)=0,"",VLOOKUP(Table1[[#This Row],[Date]],'DB Global PMI'!$A:$F,3))</f>
        <v/>
      </c>
      <c r="E67" s="24">
        <f>Table1[[#This Row],[PMI]]-B55</f>
        <v/>
      </c>
      <c r="F67" s="13">
        <f>(Table1[[#This Row],[ACWI]]-D55)/D55</f>
        <v/>
      </c>
    </row>
    <row r="68">
      <c r="A68" s="10" t="n">
        <v>42339</v>
      </c>
      <c r="B68" s="18">
        <f>IF(VLOOKUP(Table1[[#This Row],[Date]],'DB Global PMI'!$A:$F,2)=0,"",VLOOKUP(Table1[[#This Row],[Date]],'DB Global PMI'!$A:$F,2))</f>
        <v/>
      </c>
      <c r="C68" s="24">
        <f>Table1[[#This Row],[PMI]]-B67</f>
        <v/>
      </c>
      <c r="D68" s="19">
        <f>IF(VLOOKUP(Table1[[#This Row],[Date]],'DB Global PMI'!$A:$F,3)=0,"",VLOOKUP(Table1[[#This Row],[Date]],'DB Global PMI'!$A:$F,3))</f>
        <v/>
      </c>
      <c r="E68" s="24">
        <f>Table1[[#This Row],[PMI]]-B56</f>
        <v/>
      </c>
      <c r="F68" s="13">
        <f>(Table1[[#This Row],[ACWI]]-D56)/D56</f>
        <v/>
      </c>
    </row>
    <row r="69">
      <c r="A69" s="10" t="n">
        <v>42370</v>
      </c>
      <c r="B69" s="18">
        <f>IF(VLOOKUP(Table1[[#This Row],[Date]],'DB Global PMI'!$A:$F,2)=0,"",VLOOKUP(Table1[[#This Row],[Date]],'DB Global PMI'!$A:$F,2))</f>
        <v/>
      </c>
      <c r="C69" s="24">
        <f>Table1[[#This Row],[PMI]]-B68</f>
        <v/>
      </c>
      <c r="D69" s="19">
        <f>IF(VLOOKUP(Table1[[#This Row],[Date]],'DB Global PMI'!$A:$F,3)=0,"",VLOOKUP(Table1[[#This Row],[Date]],'DB Global PMI'!$A:$F,3))</f>
        <v/>
      </c>
      <c r="E69" s="24">
        <f>Table1[[#This Row],[PMI]]-B57</f>
        <v/>
      </c>
      <c r="F69" s="13">
        <f>(Table1[[#This Row],[ACWI]]-D57)/D57</f>
        <v/>
      </c>
    </row>
    <row r="70">
      <c r="A70" s="10" t="n">
        <v>42401</v>
      </c>
      <c r="B70" s="18">
        <f>IF(VLOOKUP(Table1[[#This Row],[Date]],'DB Global PMI'!$A:$F,2)=0,"",VLOOKUP(Table1[[#This Row],[Date]],'DB Global PMI'!$A:$F,2))</f>
        <v/>
      </c>
      <c r="C70" s="24">
        <f>Table1[[#This Row],[PMI]]-B69</f>
        <v/>
      </c>
      <c r="D70" s="19">
        <f>IF(VLOOKUP(Table1[[#This Row],[Date]],'DB Global PMI'!$A:$F,3)=0,"",VLOOKUP(Table1[[#This Row],[Date]],'DB Global PMI'!$A:$F,3))</f>
        <v/>
      </c>
      <c r="E70" s="24">
        <f>Table1[[#This Row],[PMI]]-B58</f>
        <v/>
      </c>
      <c r="F70" s="13">
        <f>(Table1[[#This Row],[ACWI]]-D58)/D58</f>
        <v/>
      </c>
    </row>
    <row r="71">
      <c r="A71" s="10" t="n">
        <v>42430</v>
      </c>
      <c r="B71" s="18">
        <f>IF(VLOOKUP(Table1[[#This Row],[Date]],'DB Global PMI'!$A:$F,2)=0,"",VLOOKUP(Table1[[#This Row],[Date]],'DB Global PMI'!$A:$F,2))</f>
        <v/>
      </c>
      <c r="C71" s="24">
        <f>Table1[[#This Row],[PMI]]-B70</f>
        <v/>
      </c>
      <c r="D71" s="19">
        <f>IF(VLOOKUP(Table1[[#This Row],[Date]],'DB Global PMI'!$A:$F,3)=0,"",VLOOKUP(Table1[[#This Row],[Date]],'DB Global PMI'!$A:$F,3))</f>
        <v/>
      </c>
      <c r="E71" s="24">
        <f>Table1[[#This Row],[PMI]]-B59</f>
        <v/>
      </c>
      <c r="F71" s="13">
        <f>(Table1[[#This Row],[ACWI]]-D59)/D59</f>
        <v/>
      </c>
    </row>
    <row r="72">
      <c r="A72" s="10" t="n">
        <v>42461</v>
      </c>
      <c r="B72" s="18">
        <f>IF(VLOOKUP(Table1[[#This Row],[Date]],'DB Global PMI'!$A:$F,2)=0,"",VLOOKUP(Table1[[#This Row],[Date]],'DB Global PMI'!$A:$F,2))</f>
        <v/>
      </c>
      <c r="C72" s="24">
        <f>Table1[[#This Row],[PMI]]-B71</f>
        <v/>
      </c>
      <c r="D72" s="19">
        <f>IF(VLOOKUP(Table1[[#This Row],[Date]],'DB Global PMI'!$A:$F,3)=0,"",VLOOKUP(Table1[[#This Row],[Date]],'DB Global PMI'!$A:$F,3))</f>
        <v/>
      </c>
      <c r="E72" s="24">
        <f>Table1[[#This Row],[PMI]]-B60</f>
        <v/>
      </c>
      <c r="F72" s="13">
        <f>(Table1[[#This Row],[ACWI]]-D60)/D60</f>
        <v/>
      </c>
    </row>
    <row r="73">
      <c r="A73" s="10" t="n">
        <v>42491</v>
      </c>
      <c r="B73" s="18">
        <f>IF(VLOOKUP(Table1[[#This Row],[Date]],'DB Global PMI'!$A:$F,2)=0,"",VLOOKUP(Table1[[#This Row],[Date]],'DB Global PMI'!$A:$F,2))</f>
        <v/>
      </c>
      <c r="C73" s="24">
        <f>Table1[[#This Row],[PMI]]-B72</f>
        <v/>
      </c>
      <c r="D73" s="19">
        <f>IF(VLOOKUP(Table1[[#This Row],[Date]],'DB Global PMI'!$A:$F,3)=0,"",VLOOKUP(Table1[[#This Row],[Date]],'DB Global PMI'!$A:$F,3))</f>
        <v/>
      </c>
      <c r="E73" s="24">
        <f>Table1[[#This Row],[PMI]]-B61</f>
        <v/>
      </c>
      <c r="F73" s="13">
        <f>(Table1[[#This Row],[ACWI]]-D61)/D61</f>
        <v/>
      </c>
    </row>
    <row r="74">
      <c r="A74" s="10" t="n">
        <v>42522</v>
      </c>
      <c r="B74" s="18">
        <f>IF(VLOOKUP(Table1[[#This Row],[Date]],'DB Global PMI'!$A:$F,2)=0,"",VLOOKUP(Table1[[#This Row],[Date]],'DB Global PMI'!$A:$F,2))</f>
        <v/>
      </c>
      <c r="C74" s="24">
        <f>Table1[[#This Row],[PMI]]-B73</f>
        <v/>
      </c>
      <c r="D74" s="19">
        <f>IF(VLOOKUP(Table1[[#This Row],[Date]],'DB Global PMI'!$A:$F,3)=0,"",VLOOKUP(Table1[[#This Row],[Date]],'DB Global PMI'!$A:$F,3))</f>
        <v/>
      </c>
      <c r="E74" s="24">
        <f>Table1[[#This Row],[PMI]]-B62</f>
        <v/>
      </c>
      <c r="F74" s="13">
        <f>(Table1[[#This Row],[ACWI]]-D62)/D62</f>
        <v/>
      </c>
    </row>
    <row r="75">
      <c r="A75" s="10" t="n">
        <v>42552</v>
      </c>
      <c r="B75" s="18">
        <f>IF(VLOOKUP(Table1[[#This Row],[Date]],'DB Global PMI'!$A:$F,2)=0,"",VLOOKUP(Table1[[#This Row],[Date]],'DB Global PMI'!$A:$F,2))</f>
        <v/>
      </c>
      <c r="C75" s="24">
        <f>Table1[[#This Row],[PMI]]-B74</f>
        <v/>
      </c>
      <c r="D75" s="19">
        <f>IF(VLOOKUP(Table1[[#This Row],[Date]],'DB Global PMI'!$A:$F,3)=0,"",VLOOKUP(Table1[[#This Row],[Date]],'DB Global PMI'!$A:$F,3))</f>
        <v/>
      </c>
      <c r="E75" s="24">
        <f>Table1[[#This Row],[PMI]]-B63</f>
        <v/>
      </c>
      <c r="F75" s="13">
        <f>(Table1[[#This Row],[ACWI]]-D63)/D63</f>
        <v/>
      </c>
    </row>
    <row r="76">
      <c r="A76" s="10" t="n">
        <v>42583</v>
      </c>
      <c r="B76" s="18">
        <f>IF(VLOOKUP(Table1[[#This Row],[Date]],'DB Global PMI'!$A:$F,2)=0,"",VLOOKUP(Table1[[#This Row],[Date]],'DB Global PMI'!$A:$F,2))</f>
        <v/>
      </c>
      <c r="C76" s="24">
        <f>Table1[[#This Row],[PMI]]-B75</f>
        <v/>
      </c>
      <c r="D76" s="19">
        <f>IF(VLOOKUP(Table1[[#This Row],[Date]],'DB Global PMI'!$A:$F,3)=0,"",VLOOKUP(Table1[[#This Row],[Date]],'DB Global PMI'!$A:$F,3))</f>
        <v/>
      </c>
      <c r="E76" s="24">
        <f>Table1[[#This Row],[PMI]]-B64</f>
        <v/>
      </c>
      <c r="F76" s="13">
        <f>(Table1[[#This Row],[ACWI]]-D64)/D64</f>
        <v/>
      </c>
    </row>
    <row r="77">
      <c r="A77" s="10" t="n">
        <v>42614</v>
      </c>
      <c r="B77" s="18">
        <f>IF(VLOOKUP(Table1[[#This Row],[Date]],'DB Global PMI'!$A:$F,2)=0,"",VLOOKUP(Table1[[#This Row],[Date]],'DB Global PMI'!$A:$F,2))</f>
        <v/>
      </c>
      <c r="C77" s="24">
        <f>Table1[[#This Row],[PMI]]-B76</f>
        <v/>
      </c>
      <c r="D77" s="19">
        <f>IF(VLOOKUP(Table1[[#This Row],[Date]],'DB Global PMI'!$A:$F,3)=0,"",VLOOKUP(Table1[[#This Row],[Date]],'DB Global PMI'!$A:$F,3))</f>
        <v/>
      </c>
      <c r="E77" s="24">
        <f>Table1[[#This Row],[PMI]]-B65</f>
        <v/>
      </c>
      <c r="F77" s="13">
        <f>(Table1[[#This Row],[ACWI]]-D65)/D65</f>
        <v/>
      </c>
    </row>
    <row r="78">
      <c r="A78" s="10" t="n">
        <v>42644</v>
      </c>
      <c r="B78" s="18">
        <f>IF(VLOOKUP(Table1[[#This Row],[Date]],'DB Global PMI'!$A:$F,2)=0,"",VLOOKUP(Table1[[#This Row],[Date]],'DB Global PMI'!$A:$F,2))</f>
        <v/>
      </c>
      <c r="C78" s="24">
        <f>Table1[[#This Row],[PMI]]-B77</f>
        <v/>
      </c>
      <c r="D78" s="19">
        <f>IF(VLOOKUP(Table1[[#This Row],[Date]],'DB Global PMI'!$A:$F,3)=0,"",VLOOKUP(Table1[[#This Row],[Date]],'DB Global PMI'!$A:$F,3))</f>
        <v/>
      </c>
      <c r="E78" s="24">
        <f>Table1[[#This Row],[PMI]]-B66</f>
        <v/>
      </c>
      <c r="F78" s="13">
        <f>(Table1[[#This Row],[ACWI]]-D66)/D66</f>
        <v/>
      </c>
    </row>
    <row r="79">
      <c r="A79" s="10" t="n">
        <v>42675</v>
      </c>
      <c r="B79" s="18">
        <f>IF(VLOOKUP(Table1[[#This Row],[Date]],'DB Global PMI'!$A:$F,2)=0,"",VLOOKUP(Table1[[#This Row],[Date]],'DB Global PMI'!$A:$F,2))</f>
        <v/>
      </c>
      <c r="C79" s="24">
        <f>Table1[[#This Row],[PMI]]-B78</f>
        <v/>
      </c>
      <c r="D79" s="19">
        <f>IF(VLOOKUP(Table1[[#This Row],[Date]],'DB Global PMI'!$A:$F,3)=0,"",VLOOKUP(Table1[[#This Row],[Date]],'DB Global PMI'!$A:$F,3))</f>
        <v/>
      </c>
      <c r="E79" s="24">
        <f>Table1[[#This Row],[PMI]]-B67</f>
        <v/>
      </c>
      <c r="F79" s="13">
        <f>(Table1[[#This Row],[ACWI]]-D67)/D67</f>
        <v/>
      </c>
    </row>
    <row r="80">
      <c r="A80" s="10" t="n">
        <v>42705</v>
      </c>
      <c r="B80" s="18">
        <f>IF(VLOOKUP(Table1[[#This Row],[Date]],'DB Global PMI'!$A:$F,2)=0,"",VLOOKUP(Table1[[#This Row],[Date]],'DB Global PMI'!$A:$F,2))</f>
        <v/>
      </c>
      <c r="C80" s="24">
        <f>Table1[[#This Row],[PMI]]-B79</f>
        <v/>
      </c>
      <c r="D80" s="19">
        <f>IF(VLOOKUP(Table1[[#This Row],[Date]],'DB Global PMI'!$A:$F,3)=0,"",VLOOKUP(Table1[[#This Row],[Date]],'DB Global PMI'!$A:$F,3))</f>
        <v/>
      </c>
      <c r="E80" s="24">
        <f>Table1[[#This Row],[PMI]]-B68</f>
        <v/>
      </c>
      <c r="F80" s="13">
        <f>(Table1[[#This Row],[ACWI]]-D68)/D68</f>
        <v/>
      </c>
    </row>
    <row r="81">
      <c r="A81" s="10" t="n">
        <v>42736</v>
      </c>
      <c r="B81" s="18">
        <f>IF(VLOOKUP(Table1[[#This Row],[Date]],'DB Global PMI'!$A:$F,2)=0,"",VLOOKUP(Table1[[#This Row],[Date]],'DB Global PMI'!$A:$F,2))</f>
        <v/>
      </c>
      <c r="C81" s="24">
        <f>Table1[[#This Row],[PMI]]-B80</f>
        <v/>
      </c>
      <c r="D81" s="19">
        <f>IF(VLOOKUP(Table1[[#This Row],[Date]],'DB Global PMI'!$A:$F,3)=0,"",VLOOKUP(Table1[[#This Row],[Date]],'DB Global PMI'!$A:$F,3))</f>
        <v/>
      </c>
      <c r="E81" s="24">
        <f>Table1[[#This Row],[PMI]]-B69</f>
        <v/>
      </c>
      <c r="F81" s="13">
        <f>(Table1[[#This Row],[ACWI]]-D69)/D69</f>
        <v/>
      </c>
    </row>
    <row r="82">
      <c r="A82" s="10" t="n">
        <v>42767</v>
      </c>
      <c r="B82" s="18">
        <f>IF(VLOOKUP(Table1[[#This Row],[Date]],'DB Global PMI'!$A:$F,2)=0,"",VLOOKUP(Table1[[#This Row],[Date]],'DB Global PMI'!$A:$F,2))</f>
        <v/>
      </c>
      <c r="C82" s="24">
        <f>Table1[[#This Row],[PMI]]-B81</f>
        <v/>
      </c>
      <c r="D82" s="19">
        <f>IF(VLOOKUP(Table1[[#This Row],[Date]],'DB Global PMI'!$A:$F,3)=0,"",VLOOKUP(Table1[[#This Row],[Date]],'DB Global PMI'!$A:$F,3))</f>
        <v/>
      </c>
      <c r="E82" s="24">
        <f>Table1[[#This Row],[PMI]]-B70</f>
        <v/>
      </c>
      <c r="F82" s="13">
        <f>(Table1[[#This Row],[ACWI]]-D70)/D70</f>
        <v/>
      </c>
    </row>
    <row r="83">
      <c r="A83" s="10" t="n">
        <v>42795</v>
      </c>
      <c r="B83" s="18">
        <f>IF(VLOOKUP(Table1[[#This Row],[Date]],'DB Global PMI'!$A:$F,2)=0,"",VLOOKUP(Table1[[#This Row],[Date]],'DB Global PMI'!$A:$F,2))</f>
        <v/>
      </c>
      <c r="C83" s="24">
        <f>Table1[[#This Row],[PMI]]-B82</f>
        <v/>
      </c>
      <c r="D83" s="19">
        <f>IF(VLOOKUP(Table1[[#This Row],[Date]],'DB Global PMI'!$A:$F,3)=0,"",VLOOKUP(Table1[[#This Row],[Date]],'DB Global PMI'!$A:$F,3))</f>
        <v/>
      </c>
      <c r="E83" s="24">
        <f>Table1[[#This Row],[PMI]]-B71</f>
        <v/>
      </c>
      <c r="F83" s="13">
        <f>(Table1[[#This Row],[ACWI]]-D71)/D71</f>
        <v/>
      </c>
    </row>
    <row r="84">
      <c r="A84" s="10" t="n">
        <v>42826</v>
      </c>
      <c r="B84" s="18">
        <f>IF(VLOOKUP(Table1[[#This Row],[Date]],'DB Global PMI'!$A:$F,2)=0,"",VLOOKUP(Table1[[#This Row],[Date]],'DB Global PMI'!$A:$F,2))</f>
        <v/>
      </c>
      <c r="C84" s="24">
        <f>Table1[[#This Row],[PMI]]-B83</f>
        <v/>
      </c>
      <c r="D84" s="19">
        <f>IF(VLOOKUP(Table1[[#This Row],[Date]],'DB Global PMI'!$A:$F,3)=0,"",VLOOKUP(Table1[[#This Row],[Date]],'DB Global PMI'!$A:$F,3))</f>
        <v/>
      </c>
      <c r="E84" s="24">
        <f>Table1[[#This Row],[PMI]]-B72</f>
        <v/>
      </c>
      <c r="F84" s="13">
        <f>(Table1[[#This Row],[ACWI]]-D72)/D72</f>
        <v/>
      </c>
    </row>
    <row r="85">
      <c r="A85" s="10" t="n">
        <v>42856</v>
      </c>
      <c r="B85" s="18">
        <f>IF(VLOOKUP(Table1[[#This Row],[Date]],'DB Global PMI'!$A:$F,2)=0,"",VLOOKUP(Table1[[#This Row],[Date]],'DB Global PMI'!$A:$F,2))</f>
        <v/>
      </c>
      <c r="C85" s="24">
        <f>Table1[[#This Row],[PMI]]-B84</f>
        <v/>
      </c>
      <c r="D85" s="19">
        <f>IF(VLOOKUP(Table1[[#This Row],[Date]],'DB Global PMI'!$A:$F,3)=0,"",VLOOKUP(Table1[[#This Row],[Date]],'DB Global PMI'!$A:$F,3))</f>
        <v/>
      </c>
      <c r="E85" s="24">
        <f>Table1[[#This Row],[PMI]]-B73</f>
        <v/>
      </c>
      <c r="F85" s="13">
        <f>(Table1[[#This Row],[ACWI]]-D73)/D73</f>
        <v/>
      </c>
    </row>
    <row r="86">
      <c r="A86" s="10" t="n">
        <v>42887</v>
      </c>
      <c r="B86" s="18">
        <f>IF(VLOOKUP(Table1[[#This Row],[Date]],'DB Global PMI'!$A:$F,2)=0,"",VLOOKUP(Table1[[#This Row],[Date]],'DB Global PMI'!$A:$F,2))</f>
        <v/>
      </c>
      <c r="C86" s="24">
        <f>Table1[[#This Row],[PMI]]-B85</f>
        <v/>
      </c>
      <c r="D86" s="19">
        <f>IF(VLOOKUP(Table1[[#This Row],[Date]],'DB Global PMI'!$A:$F,3)=0,"",VLOOKUP(Table1[[#This Row],[Date]],'DB Global PMI'!$A:$F,3))</f>
        <v/>
      </c>
      <c r="E86" s="24">
        <f>Table1[[#This Row],[PMI]]-B74</f>
        <v/>
      </c>
      <c r="F86" s="13">
        <f>(Table1[[#This Row],[ACWI]]-D74)/D74</f>
        <v/>
      </c>
    </row>
    <row r="87">
      <c r="A87" s="10" t="n">
        <v>42917</v>
      </c>
      <c r="B87" s="18">
        <f>IF(VLOOKUP(Table1[[#This Row],[Date]],'DB Global PMI'!$A:$F,2)=0,"",VLOOKUP(Table1[[#This Row],[Date]],'DB Global PMI'!$A:$F,2))</f>
        <v/>
      </c>
      <c r="C87" s="24">
        <f>Table1[[#This Row],[PMI]]-B86</f>
        <v/>
      </c>
      <c r="D87" s="19">
        <f>IF(VLOOKUP(Table1[[#This Row],[Date]],'DB Global PMI'!$A:$F,3)=0,"",VLOOKUP(Table1[[#This Row],[Date]],'DB Global PMI'!$A:$F,3))</f>
        <v/>
      </c>
      <c r="E87" s="24">
        <f>Table1[[#This Row],[PMI]]-B75</f>
        <v/>
      </c>
      <c r="F87" s="13">
        <f>(Table1[[#This Row],[ACWI]]-D75)/D75</f>
        <v/>
      </c>
    </row>
    <row r="88">
      <c r="A88" s="10" t="n">
        <v>42948</v>
      </c>
      <c r="B88" s="18">
        <f>IF(VLOOKUP(Table1[[#This Row],[Date]],'DB Global PMI'!$A:$F,2)=0,"",VLOOKUP(Table1[[#This Row],[Date]],'DB Global PMI'!$A:$F,2))</f>
        <v/>
      </c>
      <c r="C88" s="24">
        <f>Table1[[#This Row],[PMI]]-B87</f>
        <v/>
      </c>
      <c r="D88" s="19">
        <f>IF(VLOOKUP(Table1[[#This Row],[Date]],'DB Global PMI'!$A:$F,3)=0,"",VLOOKUP(Table1[[#This Row],[Date]],'DB Global PMI'!$A:$F,3))</f>
        <v/>
      </c>
      <c r="E88" s="24">
        <f>Table1[[#This Row],[PMI]]-B76</f>
        <v/>
      </c>
      <c r="F88" s="13">
        <f>(Table1[[#This Row],[ACWI]]-D76)/D76</f>
        <v/>
      </c>
    </row>
    <row r="89">
      <c r="A89" s="10" t="n">
        <v>42979</v>
      </c>
      <c r="B89" s="18">
        <f>IF(VLOOKUP(Table1[[#This Row],[Date]],'DB Global PMI'!$A:$F,2)=0,"",VLOOKUP(Table1[[#This Row],[Date]],'DB Global PMI'!$A:$F,2))</f>
        <v/>
      </c>
      <c r="C89" s="24">
        <f>Table1[[#This Row],[PMI]]-B88</f>
        <v/>
      </c>
      <c r="D89" s="19">
        <f>IF(VLOOKUP(Table1[[#This Row],[Date]],'DB Global PMI'!$A:$F,3)=0,"",VLOOKUP(Table1[[#This Row],[Date]],'DB Global PMI'!$A:$F,3))</f>
        <v/>
      </c>
      <c r="E89" s="24">
        <f>Table1[[#This Row],[PMI]]-B77</f>
        <v/>
      </c>
      <c r="F89" s="13">
        <f>(Table1[[#This Row],[ACWI]]-D77)/D77</f>
        <v/>
      </c>
    </row>
    <row r="90">
      <c r="A90" s="10" t="n">
        <v>43009</v>
      </c>
      <c r="B90" s="18">
        <f>IF(VLOOKUP(Table1[[#This Row],[Date]],'DB Global PMI'!$A:$F,2)=0,"",VLOOKUP(Table1[[#This Row],[Date]],'DB Global PMI'!$A:$F,2))</f>
        <v/>
      </c>
      <c r="C90" s="24">
        <f>Table1[[#This Row],[PMI]]-B89</f>
        <v/>
      </c>
      <c r="D90" s="19">
        <f>IF(VLOOKUP(Table1[[#This Row],[Date]],'DB Global PMI'!$A:$F,3)=0,"",VLOOKUP(Table1[[#This Row],[Date]],'DB Global PMI'!$A:$F,3))</f>
        <v/>
      </c>
      <c r="E90" s="24">
        <f>Table1[[#This Row],[PMI]]-B78</f>
        <v/>
      </c>
      <c r="F90" s="13">
        <f>(Table1[[#This Row],[ACWI]]-D78)/D78</f>
        <v/>
      </c>
    </row>
    <row r="91">
      <c r="A91" s="10" t="n">
        <v>43040</v>
      </c>
      <c r="B91" s="18">
        <f>IF(VLOOKUP(Table1[[#This Row],[Date]],'DB Global PMI'!$A:$F,2)=0,"",VLOOKUP(Table1[[#This Row],[Date]],'DB Global PMI'!$A:$F,2))</f>
        <v/>
      </c>
      <c r="C91" s="24">
        <f>Table1[[#This Row],[PMI]]-B90</f>
        <v/>
      </c>
      <c r="D91" s="19">
        <f>IF(VLOOKUP(Table1[[#This Row],[Date]],'DB Global PMI'!$A:$F,3)=0,"",VLOOKUP(Table1[[#This Row],[Date]],'DB Global PMI'!$A:$F,3))</f>
        <v/>
      </c>
      <c r="E91" s="24">
        <f>Table1[[#This Row],[PMI]]-B79</f>
        <v/>
      </c>
      <c r="F91" s="13">
        <f>(Table1[[#This Row],[ACWI]]-D79)/D79</f>
        <v/>
      </c>
    </row>
    <row r="92">
      <c r="A92" s="10" t="n">
        <v>43070</v>
      </c>
      <c r="B92" s="18">
        <f>IF(VLOOKUP(Table1[[#This Row],[Date]],'DB Global PMI'!$A:$F,2)=0,"",VLOOKUP(Table1[[#This Row],[Date]],'DB Global PMI'!$A:$F,2))</f>
        <v/>
      </c>
      <c r="C92" s="24">
        <f>Table1[[#This Row],[PMI]]-B91</f>
        <v/>
      </c>
      <c r="D92" s="19">
        <f>IF(VLOOKUP(Table1[[#This Row],[Date]],'DB Global PMI'!$A:$F,3)=0,"",VLOOKUP(Table1[[#This Row],[Date]],'DB Global PMI'!$A:$F,3))</f>
        <v/>
      </c>
      <c r="E92" s="24">
        <f>Table1[[#This Row],[PMI]]-B80</f>
        <v/>
      </c>
      <c r="F92" s="13">
        <f>(Table1[[#This Row],[ACWI]]-D80)/D80</f>
        <v/>
      </c>
    </row>
    <row r="93">
      <c r="A93" s="10" t="n">
        <v>43101</v>
      </c>
      <c r="B93" s="18">
        <f>IF(VLOOKUP(Table1[[#This Row],[Date]],'DB Global PMI'!$A:$F,2)=0,"",VLOOKUP(Table1[[#This Row],[Date]],'DB Global PMI'!$A:$F,2))</f>
        <v/>
      </c>
      <c r="C93" s="24">
        <f>Table1[[#This Row],[PMI]]-B92</f>
        <v/>
      </c>
      <c r="D93" s="19">
        <f>IF(VLOOKUP(Table1[[#This Row],[Date]],'DB Global PMI'!$A:$F,3)=0,"",VLOOKUP(Table1[[#This Row],[Date]],'DB Global PMI'!$A:$F,3))</f>
        <v/>
      </c>
      <c r="E93" s="24">
        <f>Table1[[#This Row],[PMI]]-B81</f>
        <v/>
      </c>
      <c r="F93" s="13">
        <f>(Table1[[#This Row],[ACWI]]-D81)/D81</f>
        <v/>
      </c>
    </row>
    <row r="94">
      <c r="A94" s="10" t="n">
        <v>43132</v>
      </c>
      <c r="B94" s="18">
        <f>IF(VLOOKUP(Table1[[#This Row],[Date]],'DB Global PMI'!$A:$F,2)=0,"",VLOOKUP(Table1[[#This Row],[Date]],'DB Global PMI'!$A:$F,2))</f>
        <v/>
      </c>
      <c r="C94" s="24">
        <f>Table1[[#This Row],[PMI]]-B93</f>
        <v/>
      </c>
      <c r="D94" s="19">
        <f>IF(VLOOKUP(Table1[[#This Row],[Date]],'DB Global PMI'!$A:$F,3)=0,"",VLOOKUP(Table1[[#This Row],[Date]],'DB Global PMI'!$A:$F,3))</f>
        <v/>
      </c>
      <c r="E94" s="24">
        <f>Table1[[#This Row],[PMI]]-B82</f>
        <v/>
      </c>
      <c r="F94" s="13">
        <f>(Table1[[#This Row],[ACWI]]-D82)/D82</f>
        <v/>
      </c>
    </row>
    <row r="95">
      <c r="A95" s="10" t="n">
        <v>43160</v>
      </c>
      <c r="B95" s="18">
        <f>IF(VLOOKUP(Table1[[#This Row],[Date]],'DB Global PMI'!$A:$F,2)=0,"",VLOOKUP(Table1[[#This Row],[Date]],'DB Global PMI'!$A:$F,2))</f>
        <v/>
      </c>
      <c r="C95" s="24">
        <f>Table1[[#This Row],[PMI]]-B94</f>
        <v/>
      </c>
      <c r="D95" s="19">
        <f>IF(VLOOKUP(Table1[[#This Row],[Date]],'DB Global PMI'!$A:$F,3)=0,"",VLOOKUP(Table1[[#This Row],[Date]],'DB Global PMI'!$A:$F,3))</f>
        <v/>
      </c>
      <c r="E95" s="24">
        <f>Table1[[#This Row],[PMI]]-B83</f>
        <v/>
      </c>
      <c r="F95" s="13">
        <f>(Table1[[#This Row],[ACWI]]-D83)/D83</f>
        <v/>
      </c>
    </row>
    <row r="96">
      <c r="A96" s="10" t="n">
        <v>43191</v>
      </c>
      <c r="B96" s="18">
        <f>IF(VLOOKUP(Table1[[#This Row],[Date]],'DB Global PMI'!$A:$F,2)=0,"",VLOOKUP(Table1[[#This Row],[Date]],'DB Global PMI'!$A:$F,2))</f>
        <v/>
      </c>
      <c r="C96" s="24">
        <f>Table1[[#This Row],[PMI]]-B95</f>
        <v/>
      </c>
      <c r="D96" s="19">
        <f>IF(VLOOKUP(Table1[[#This Row],[Date]],'DB Global PMI'!$A:$F,3)=0,"",VLOOKUP(Table1[[#This Row],[Date]],'DB Global PMI'!$A:$F,3))</f>
        <v/>
      </c>
      <c r="E96" s="24">
        <f>Table1[[#This Row],[PMI]]-B84</f>
        <v/>
      </c>
      <c r="F96" s="13">
        <f>(Table1[[#This Row],[ACWI]]-D84)/D84</f>
        <v/>
      </c>
    </row>
    <row r="97">
      <c r="A97" s="10" t="n">
        <v>43221</v>
      </c>
      <c r="B97" s="18">
        <f>IF(VLOOKUP(Table1[[#This Row],[Date]],'DB Global PMI'!$A:$F,2)=0,"",VLOOKUP(Table1[[#This Row],[Date]],'DB Global PMI'!$A:$F,2))</f>
        <v/>
      </c>
      <c r="C97" s="24">
        <f>Table1[[#This Row],[PMI]]-B96</f>
        <v/>
      </c>
      <c r="D97" s="19">
        <f>IF(VLOOKUP(Table1[[#This Row],[Date]],'DB Global PMI'!$A:$F,3)=0,"",VLOOKUP(Table1[[#This Row],[Date]],'DB Global PMI'!$A:$F,3))</f>
        <v/>
      </c>
      <c r="E97" s="24">
        <f>Table1[[#This Row],[PMI]]-B85</f>
        <v/>
      </c>
      <c r="F97" s="13">
        <f>(Table1[[#This Row],[ACWI]]-D85)/D85</f>
        <v/>
      </c>
    </row>
    <row r="98">
      <c r="A98" s="10" t="n">
        <v>43252</v>
      </c>
      <c r="B98" s="18">
        <f>IF(VLOOKUP(Table1[[#This Row],[Date]],'DB Global PMI'!$A:$F,2)=0,"",VLOOKUP(Table1[[#This Row],[Date]],'DB Global PMI'!$A:$F,2))</f>
        <v/>
      </c>
      <c r="C98" s="24">
        <f>Table1[[#This Row],[PMI]]-B97</f>
        <v/>
      </c>
      <c r="D98" s="19">
        <f>IF(VLOOKUP(Table1[[#This Row],[Date]],'DB Global PMI'!$A:$F,3)=0,"",VLOOKUP(Table1[[#This Row],[Date]],'DB Global PMI'!$A:$F,3))</f>
        <v/>
      </c>
      <c r="E98" s="24">
        <f>Table1[[#This Row],[PMI]]-B86</f>
        <v/>
      </c>
      <c r="F98" s="13">
        <f>(Table1[[#This Row],[ACWI]]-D86)/D86</f>
        <v/>
      </c>
    </row>
    <row r="99">
      <c r="A99" s="10" t="n">
        <v>43282</v>
      </c>
      <c r="B99" s="18">
        <f>IF(VLOOKUP(Table1[[#This Row],[Date]],'DB Global PMI'!$A:$F,2)=0,"",VLOOKUP(Table1[[#This Row],[Date]],'DB Global PMI'!$A:$F,2))</f>
        <v/>
      </c>
      <c r="C99" s="24">
        <f>Table1[[#This Row],[PMI]]-B98</f>
        <v/>
      </c>
      <c r="D99" s="19">
        <f>IF(VLOOKUP(Table1[[#This Row],[Date]],'DB Global PMI'!$A:$F,3)=0,"",VLOOKUP(Table1[[#This Row],[Date]],'DB Global PMI'!$A:$F,3))</f>
        <v/>
      </c>
      <c r="E99" s="24">
        <f>Table1[[#This Row],[PMI]]-B87</f>
        <v/>
      </c>
      <c r="F99" s="13">
        <f>(Table1[[#This Row],[ACWI]]-D87)/D87</f>
        <v/>
      </c>
    </row>
    <row r="100">
      <c r="A100" s="10" t="n">
        <v>43313</v>
      </c>
      <c r="B100" s="18">
        <f>IF(VLOOKUP(Table1[[#This Row],[Date]],'DB Global PMI'!$A:$F,2)=0,"",VLOOKUP(Table1[[#This Row],[Date]],'DB Global PMI'!$A:$F,2))</f>
        <v/>
      </c>
      <c r="C100" s="24">
        <f>Table1[[#This Row],[PMI]]-B99</f>
        <v/>
      </c>
      <c r="D100" s="19">
        <f>IF(VLOOKUP(Table1[[#This Row],[Date]],'DB Global PMI'!$A:$F,3)=0,"",VLOOKUP(Table1[[#This Row],[Date]],'DB Global PMI'!$A:$F,3))</f>
        <v/>
      </c>
      <c r="E100" s="24">
        <f>Table1[[#This Row],[PMI]]-B88</f>
        <v/>
      </c>
      <c r="F100" s="13">
        <f>(Table1[[#This Row],[ACWI]]-D88)/D88</f>
        <v/>
      </c>
    </row>
    <row r="101">
      <c r="A101" s="10" t="n">
        <v>43344</v>
      </c>
      <c r="B101" s="18">
        <f>IF(VLOOKUP(Table1[[#This Row],[Date]],'DB Global PMI'!$A:$F,2)=0,"",VLOOKUP(Table1[[#This Row],[Date]],'DB Global PMI'!$A:$F,2))</f>
        <v/>
      </c>
      <c r="C101" s="24">
        <f>Table1[[#This Row],[PMI]]-B100</f>
        <v/>
      </c>
      <c r="D101" s="19">
        <f>IF(VLOOKUP(Table1[[#This Row],[Date]],'DB Global PMI'!$A:$F,3)=0,"",VLOOKUP(Table1[[#This Row],[Date]],'DB Global PMI'!$A:$F,3))</f>
        <v/>
      </c>
      <c r="E101" s="24">
        <f>Table1[[#This Row],[PMI]]-B89</f>
        <v/>
      </c>
      <c r="F101" s="13">
        <f>(Table1[[#This Row],[ACWI]]-D89)/D89</f>
        <v/>
      </c>
    </row>
    <row r="102">
      <c r="A102" s="10" t="n">
        <v>43374</v>
      </c>
      <c r="B102" s="18">
        <f>IF(VLOOKUP(Table1[[#This Row],[Date]],'DB Global PMI'!$A:$F,2)=0,"",VLOOKUP(Table1[[#This Row],[Date]],'DB Global PMI'!$A:$F,2))</f>
        <v/>
      </c>
      <c r="C102" s="24">
        <f>Table1[[#This Row],[PMI]]-B101</f>
        <v/>
      </c>
      <c r="D102" s="19">
        <f>IF(VLOOKUP(Table1[[#This Row],[Date]],'DB Global PMI'!$A:$F,3)=0,"",VLOOKUP(Table1[[#This Row],[Date]],'DB Global PMI'!$A:$F,3))</f>
        <v/>
      </c>
      <c r="E102" s="24">
        <f>Table1[[#This Row],[PMI]]-B90</f>
        <v/>
      </c>
      <c r="F102" s="13">
        <f>(Table1[[#This Row],[ACWI]]-D90)/D90</f>
        <v/>
      </c>
    </row>
    <row r="103">
      <c r="A103" s="10" t="n">
        <v>43405</v>
      </c>
      <c r="B103" s="18">
        <f>IF(VLOOKUP(Table1[[#This Row],[Date]],'DB Global PMI'!$A:$F,2)=0,"",VLOOKUP(Table1[[#This Row],[Date]],'DB Global PMI'!$A:$F,2))</f>
        <v/>
      </c>
      <c r="C103" s="24">
        <f>Table1[[#This Row],[PMI]]-B102</f>
        <v/>
      </c>
      <c r="D103" s="19">
        <f>IF(VLOOKUP(Table1[[#This Row],[Date]],'DB Global PMI'!$A:$F,3)=0,"",VLOOKUP(Table1[[#This Row],[Date]],'DB Global PMI'!$A:$F,3))</f>
        <v/>
      </c>
      <c r="E103" s="24">
        <f>Table1[[#This Row],[PMI]]-B91</f>
        <v/>
      </c>
      <c r="F103" s="13">
        <f>(Table1[[#This Row],[ACWI]]-D91)/D91</f>
        <v/>
      </c>
    </row>
    <row r="104">
      <c r="A104" s="10" t="n">
        <v>43435</v>
      </c>
      <c r="B104" s="18">
        <f>IF(VLOOKUP(Table1[[#This Row],[Date]],'DB Global PMI'!$A:$F,2)=0,"",VLOOKUP(Table1[[#This Row],[Date]],'DB Global PMI'!$A:$F,2))</f>
        <v/>
      </c>
      <c r="C104" s="24">
        <f>Table1[[#This Row],[PMI]]-B103</f>
        <v/>
      </c>
      <c r="D104" s="19">
        <f>IF(VLOOKUP(Table1[[#This Row],[Date]],'DB Global PMI'!$A:$F,3)=0,"",VLOOKUP(Table1[[#This Row],[Date]],'DB Global PMI'!$A:$F,3))</f>
        <v/>
      </c>
      <c r="E104" s="24">
        <f>Table1[[#This Row],[PMI]]-B92</f>
        <v/>
      </c>
      <c r="F104" s="13">
        <f>(Table1[[#This Row],[ACWI]]-D92)/D92</f>
        <v/>
      </c>
    </row>
    <row r="105">
      <c r="A105" s="10" t="n">
        <v>43466</v>
      </c>
      <c r="B105" s="18">
        <f>IF(VLOOKUP(Table1[[#This Row],[Date]],'DB Global PMI'!$A:$F,2)=0,"",VLOOKUP(Table1[[#This Row],[Date]],'DB Global PMI'!$A:$F,2))</f>
        <v/>
      </c>
      <c r="C105" s="24">
        <f>Table1[[#This Row],[PMI]]-B104</f>
        <v/>
      </c>
      <c r="D105" s="19">
        <f>IF(VLOOKUP(Table1[[#This Row],[Date]],'DB Global PMI'!$A:$F,3)=0,"",VLOOKUP(Table1[[#This Row],[Date]],'DB Global PMI'!$A:$F,3))</f>
        <v/>
      </c>
      <c r="E105" s="24">
        <f>Table1[[#This Row],[PMI]]-B93</f>
        <v/>
      </c>
      <c r="F105" s="13">
        <f>(Table1[[#This Row],[ACWI]]-D93)/D93</f>
        <v/>
      </c>
    </row>
    <row r="106">
      <c r="A106" s="10" t="n">
        <v>43497</v>
      </c>
      <c r="B106" s="18">
        <f>IF(VLOOKUP(Table1[[#This Row],[Date]],'DB Global PMI'!$A:$F,2)=0,"",VLOOKUP(Table1[[#This Row],[Date]],'DB Global PMI'!$A:$F,2))</f>
        <v/>
      </c>
      <c r="C106" s="24">
        <f>Table1[[#This Row],[PMI]]-B105</f>
        <v/>
      </c>
      <c r="D106" s="19">
        <f>IF(VLOOKUP(Table1[[#This Row],[Date]],'DB Global PMI'!$A:$F,3)=0,"",VLOOKUP(Table1[[#This Row],[Date]],'DB Global PMI'!$A:$F,3))</f>
        <v/>
      </c>
      <c r="E106" s="24">
        <f>Table1[[#This Row],[PMI]]-B94</f>
        <v/>
      </c>
      <c r="F106" s="13">
        <f>(Table1[[#This Row],[ACWI]]-D94)/D94</f>
        <v/>
      </c>
    </row>
    <row r="107">
      <c r="A107" s="10" t="n">
        <v>43525</v>
      </c>
      <c r="B107" s="18">
        <f>IF(VLOOKUP(Table1[[#This Row],[Date]],'DB Global PMI'!$A:$F,2)=0,"",VLOOKUP(Table1[[#This Row],[Date]],'DB Global PMI'!$A:$F,2))</f>
        <v/>
      </c>
      <c r="C107" s="24">
        <f>Table1[[#This Row],[PMI]]-B106</f>
        <v/>
      </c>
      <c r="D107" s="19">
        <f>IF(VLOOKUP(Table1[[#This Row],[Date]],'DB Global PMI'!$A:$F,3)=0,"",VLOOKUP(Table1[[#This Row],[Date]],'DB Global PMI'!$A:$F,3))</f>
        <v/>
      </c>
      <c r="E107" s="24">
        <f>Table1[[#This Row],[PMI]]-B95</f>
        <v/>
      </c>
      <c r="F107" s="13">
        <f>(Table1[[#This Row],[ACWI]]-D95)/D95</f>
        <v/>
      </c>
    </row>
    <row r="108">
      <c r="A108" s="10" t="n">
        <v>43556</v>
      </c>
      <c r="B108" s="18">
        <f>IF(VLOOKUP(Table1[[#This Row],[Date]],'DB Global PMI'!$A:$F,2)=0,"",VLOOKUP(Table1[[#This Row],[Date]],'DB Global PMI'!$A:$F,2))</f>
        <v/>
      </c>
      <c r="C108" s="24">
        <f>Table1[[#This Row],[PMI]]-B107</f>
        <v/>
      </c>
      <c r="D108" s="19">
        <f>IF(VLOOKUP(Table1[[#This Row],[Date]],'DB Global PMI'!$A:$F,3)=0,"",VLOOKUP(Table1[[#This Row],[Date]],'DB Global PMI'!$A:$F,3))</f>
        <v/>
      </c>
      <c r="E108" s="24">
        <f>Table1[[#This Row],[PMI]]-B96</f>
        <v/>
      </c>
      <c r="F108" s="13">
        <f>(Table1[[#This Row],[ACWI]]-D96)/D96</f>
        <v/>
      </c>
    </row>
    <row r="109">
      <c r="A109" s="10" t="n">
        <v>43586</v>
      </c>
      <c r="B109" s="18">
        <f>IF(VLOOKUP(Table1[[#This Row],[Date]],'DB Global PMI'!$A:$F,2)=0,"",VLOOKUP(Table1[[#This Row],[Date]],'DB Global PMI'!$A:$F,2))</f>
        <v/>
      </c>
      <c r="C109" s="24">
        <f>Table1[[#This Row],[PMI]]-B108</f>
        <v/>
      </c>
      <c r="D109" s="19">
        <f>IF(VLOOKUP(Table1[[#This Row],[Date]],'DB Global PMI'!$A:$F,3)=0,"",VLOOKUP(Table1[[#This Row],[Date]],'DB Global PMI'!$A:$F,3))</f>
        <v/>
      </c>
      <c r="E109" s="24">
        <f>Table1[[#This Row],[PMI]]-B97</f>
        <v/>
      </c>
      <c r="F109" s="13">
        <f>(Table1[[#This Row],[ACWI]]-D97)/D97</f>
        <v/>
      </c>
    </row>
    <row r="110">
      <c r="A110" s="10" t="n">
        <v>43617</v>
      </c>
      <c r="B110" s="18">
        <f>IF(VLOOKUP(Table1[[#This Row],[Date]],'DB Global PMI'!$A:$F,2)=0,"",VLOOKUP(Table1[[#This Row],[Date]],'DB Global PMI'!$A:$F,2))</f>
        <v/>
      </c>
      <c r="C110" s="24">
        <f>Table1[[#This Row],[PMI]]-B109</f>
        <v/>
      </c>
      <c r="D110" s="19">
        <f>IF(VLOOKUP(Table1[[#This Row],[Date]],'DB Global PMI'!$A:$F,3)=0,"",VLOOKUP(Table1[[#This Row],[Date]],'DB Global PMI'!$A:$F,3))</f>
        <v/>
      </c>
      <c r="E110" s="24">
        <f>Table1[[#This Row],[PMI]]-B98</f>
        <v/>
      </c>
      <c r="F110" s="13">
        <f>(Table1[[#This Row],[ACWI]]-D98)/D98</f>
        <v/>
      </c>
    </row>
    <row r="111">
      <c r="A111" s="10" t="n">
        <v>43647</v>
      </c>
      <c r="B111" s="18">
        <f>IF(VLOOKUP(Table1[[#This Row],[Date]],'DB Global PMI'!$A:$F,2)=0,"",VLOOKUP(Table1[[#This Row],[Date]],'DB Global PMI'!$A:$F,2))</f>
        <v/>
      </c>
      <c r="C111" s="24">
        <f>Table1[[#This Row],[PMI]]-B110</f>
        <v/>
      </c>
      <c r="D111" s="19">
        <f>IF(VLOOKUP(Table1[[#This Row],[Date]],'DB Global PMI'!$A:$F,3)=0,"",VLOOKUP(Table1[[#This Row],[Date]],'DB Global PMI'!$A:$F,3))</f>
        <v/>
      </c>
      <c r="E111" s="24">
        <f>Table1[[#This Row],[PMI]]-B99</f>
        <v/>
      </c>
      <c r="F111" s="13">
        <f>(Table1[[#This Row],[ACWI]]-D99)/D99</f>
        <v/>
      </c>
    </row>
    <row r="112">
      <c r="A112" s="14" t="n">
        <v>43678</v>
      </c>
      <c r="B112" s="18">
        <f>IF(VLOOKUP(Table1[[#This Row],[Date]],'DB Global PMI'!$A:$F,2)=0,"",VLOOKUP(Table1[[#This Row],[Date]],'DB Global PMI'!$A:$F,2))</f>
        <v/>
      </c>
      <c r="C112" s="15">
        <f>Table1[[#This Row],[PMI]]-B111</f>
        <v/>
      </c>
      <c r="D112" s="19">
        <f>IF(VLOOKUP(Table1[[#This Row],[Date]],'DB Global PMI'!$A:$F,3)=0,"",VLOOKUP(Table1[[#This Row],[Date]],'DB Global PMI'!$A:$F,3))</f>
        <v/>
      </c>
      <c r="E112" s="15">
        <f>Table1[[#This Row],[PMI]]-B100</f>
        <v/>
      </c>
      <c r="F112" s="16">
        <f>(Table1[[#This Row],[ACWI]]-D100)/D100</f>
        <v/>
      </c>
    </row>
    <row r="113">
      <c r="A113" s="10" t="n">
        <v>43709</v>
      </c>
      <c r="B113" s="18">
        <f>IF(VLOOKUP(Table1[[#This Row],[Date]],'DB Global PMI'!$A:$F,2)=0,"",VLOOKUP(Table1[[#This Row],[Date]],'DB Global PMI'!$A:$F,2))</f>
        <v/>
      </c>
      <c r="C113" s="24">
        <f>Table1[[#This Row],[PMI]]-B112</f>
        <v/>
      </c>
      <c r="D113" s="19">
        <f>IF(VLOOKUP(Table1[[#This Row],[Date]],'DB Global PMI'!$A:$F,3)=0,"",VLOOKUP(Table1[[#This Row],[Date]],'DB Global PMI'!$A:$F,3))</f>
        <v/>
      </c>
      <c r="E113" s="24">
        <f>Table1[[#This Row],[PMI]]-B101</f>
        <v/>
      </c>
      <c r="F113" s="13">
        <f>(Table1[[#This Row],[ACWI]]-D101)/D101</f>
        <v/>
      </c>
    </row>
    <row r="114">
      <c r="A114" s="14" t="n">
        <v>43739</v>
      </c>
      <c r="B114" s="18">
        <f>IF(VLOOKUP(Table1[[#This Row],[Date]],'DB Global PMI'!$A:$F,2)=0,"",VLOOKUP(Table1[[#This Row],[Date]],'DB Global PMI'!$A:$F,2))</f>
        <v/>
      </c>
      <c r="C114" s="15">
        <f>Table1[[#This Row],[PMI]]-B113</f>
        <v/>
      </c>
      <c r="D114" s="19">
        <f>IF(VLOOKUP(Table1[[#This Row],[Date]],'DB Global PMI'!$A:$F,3)=0,"",VLOOKUP(Table1[[#This Row],[Date]],'DB Global PMI'!$A:$F,3))</f>
        <v/>
      </c>
      <c r="E114" s="15">
        <f>Table1[[#This Row],[PMI]]-B102</f>
        <v/>
      </c>
      <c r="F114" s="16">
        <f>(Table1[[#This Row],[ACWI]]-D102)/D102</f>
        <v/>
      </c>
    </row>
    <row r="115">
      <c r="A115" s="10" t="n">
        <v>43770</v>
      </c>
      <c r="B115" s="18">
        <f>IF(VLOOKUP(Table1[[#This Row],[Date]],'DB Global PMI'!$A:$F,2)=0,"",VLOOKUP(Table1[[#This Row],[Date]],'DB Global PMI'!$A:$F,2))</f>
        <v/>
      </c>
      <c r="C115" s="24">
        <f>Table1[[#This Row],[PMI]]-B114</f>
        <v/>
      </c>
      <c r="D115" s="19">
        <f>IF(VLOOKUP(Table1[[#This Row],[Date]],'DB Global PMI'!$A:$F,3)=0,"",VLOOKUP(Table1[[#This Row],[Date]],'DB Global PMI'!$A:$F,3))</f>
        <v/>
      </c>
      <c r="E115" s="24">
        <f>Table1[[#This Row],[PMI]]-B103</f>
        <v/>
      </c>
      <c r="F115" s="13">
        <f>(Table1[[#This Row],[ACWI]]-D103)/D103</f>
        <v/>
      </c>
    </row>
    <row r="116">
      <c r="A116" s="14" t="n">
        <v>43800</v>
      </c>
      <c r="B116" s="18">
        <f>IF(VLOOKUP(Table1[[#This Row],[Date]],'DB Global PMI'!$A:$F,2)=0,"",VLOOKUP(Table1[[#This Row],[Date]],'DB Global PMI'!$A:$F,2))</f>
        <v/>
      </c>
      <c r="C116" s="15">
        <f>Table1[[#This Row],[PMI]]-B115</f>
        <v/>
      </c>
      <c r="D116" s="19">
        <f>IF(VLOOKUP(Table1[[#This Row],[Date]],'DB Global PMI'!$A:$F,3)=0,"",VLOOKUP(Table1[[#This Row],[Date]],'DB Global PMI'!$A:$F,3))</f>
        <v/>
      </c>
      <c r="E116" s="15">
        <f>Table1[[#This Row],[PMI]]-B104</f>
        <v/>
      </c>
      <c r="F116" s="16">
        <f>(Table1[[#This Row],[ACWI]]-D104)/D104</f>
        <v/>
      </c>
    </row>
    <row r="117">
      <c r="A117" s="10" t="n">
        <v>43831</v>
      </c>
      <c r="B117" s="18">
        <f>IF(VLOOKUP(Table1[[#This Row],[Date]],'DB Global PMI'!$A:$F,2)=0,"",VLOOKUP(Table1[[#This Row],[Date]],'DB Global PMI'!$A:$F,2))</f>
        <v/>
      </c>
      <c r="C117" s="24">
        <f>Table1[[#This Row],[PMI]]-B116</f>
        <v/>
      </c>
      <c r="D117" s="19">
        <f>IF(VLOOKUP(Table1[[#This Row],[Date]],'DB Global PMI'!$A:$F,3)=0,"",VLOOKUP(Table1[[#This Row],[Date]],'DB Global PMI'!$A:$F,3))</f>
        <v/>
      </c>
      <c r="E117" s="24">
        <f>Table1[[#This Row],[PMI]]-B105</f>
        <v/>
      </c>
      <c r="F117" s="13">
        <f>(Table1[[#This Row],[ACWI]]-D105)/D105</f>
        <v/>
      </c>
    </row>
    <row r="118">
      <c r="A118" s="14" t="n">
        <v>43862</v>
      </c>
      <c r="B118" s="18">
        <f>IF(VLOOKUP(Table1[[#This Row],[Date]],'DB Global PMI'!$A:$F,2)=0,"",VLOOKUP(Table1[[#This Row],[Date]],'DB Global PMI'!$A:$F,2))</f>
        <v/>
      </c>
      <c r="C118" s="15">
        <f>Table1[[#This Row],[PMI]]-B117</f>
        <v/>
      </c>
      <c r="D118" s="19">
        <f>IF(VLOOKUP(Table1[[#This Row],[Date]],'DB Global PMI'!$A:$F,3)=0,"",VLOOKUP(Table1[[#This Row],[Date]],'DB Global PMI'!$A:$F,3))</f>
        <v/>
      </c>
      <c r="E118" s="15">
        <f>Table1[[#This Row],[PMI]]-B106</f>
        <v/>
      </c>
      <c r="F118" s="16">
        <f>(Table1[[#This Row],[ACWI]]-D106)/D106</f>
        <v/>
      </c>
    </row>
    <row r="119">
      <c r="A119" s="10" t="n">
        <v>43891</v>
      </c>
      <c r="B119" s="18">
        <f>IF(VLOOKUP(Table1[[#This Row],[Date]],'DB Global PMI'!$A:$F,2)=0,"",VLOOKUP(Table1[[#This Row],[Date]],'DB Global PMI'!$A:$F,2))</f>
        <v/>
      </c>
      <c r="C119" s="24">
        <f>Table1[[#This Row],[PMI]]-B118</f>
        <v/>
      </c>
      <c r="D119" s="19">
        <f>IF(VLOOKUP(Table1[[#This Row],[Date]],'DB Global PMI'!$A:$F,3)=0,"",VLOOKUP(Table1[[#This Row],[Date]],'DB Global PMI'!$A:$F,3))</f>
        <v/>
      </c>
      <c r="E119" s="24">
        <f>Table1[[#This Row],[PMI]]-B107</f>
        <v/>
      </c>
      <c r="F119" s="13">
        <f>(Table1[[#This Row],[ACWI]]-D107)/D107</f>
        <v/>
      </c>
    </row>
    <row r="120">
      <c r="A120" s="14" t="n">
        <v>43922</v>
      </c>
      <c r="B120" s="18">
        <f>IF(VLOOKUP(Table1[[#This Row],[Date]],'DB Global PMI'!$A:$F,2)=0,"",VLOOKUP(Table1[[#This Row],[Date]],'DB Global PMI'!$A:$F,2))</f>
        <v/>
      </c>
      <c r="C120" s="15">
        <f>Table1[[#This Row],[PMI]]-B119</f>
        <v/>
      </c>
      <c r="D120" s="19">
        <f>IF(VLOOKUP(Table1[[#This Row],[Date]],'DB Global PMI'!$A:$F,3)=0,"",VLOOKUP(Table1[[#This Row],[Date]],'DB Global PMI'!$A:$F,3))</f>
        <v/>
      </c>
      <c r="E120" s="15">
        <f>Table1[[#This Row],[PMI]]-B108</f>
        <v/>
      </c>
      <c r="F120" s="16">
        <f>(Table1[[#This Row],[ACWI]]-D108)/D108</f>
        <v/>
      </c>
    </row>
    <row r="121">
      <c r="A121" s="10" t="n">
        <v>43952</v>
      </c>
      <c r="B121" s="18">
        <f>IF(VLOOKUP(Table1[[#This Row],[Date]],'DB Global PMI'!$A:$F,2)=0,"",VLOOKUP(Table1[[#This Row],[Date]],'DB Global PMI'!$A:$F,2))</f>
        <v/>
      </c>
      <c r="C121" s="24">
        <f>Table1[[#This Row],[PMI]]-B120</f>
        <v/>
      </c>
      <c r="D121" s="19">
        <f>IF(VLOOKUP(Table1[[#This Row],[Date]],'DB Global PMI'!$A:$F,3)=0,"",VLOOKUP(Table1[[#This Row],[Date]],'DB Global PMI'!$A:$F,3))</f>
        <v/>
      </c>
      <c r="E121" s="24">
        <f>Table1[[#This Row],[PMI]]-B109</f>
        <v/>
      </c>
      <c r="F121" s="13">
        <f>(Table1[[#This Row],[ACWI]]-D109)/D109</f>
        <v/>
      </c>
    </row>
    <row r="122">
      <c r="A122" s="14" t="n">
        <v>43983</v>
      </c>
      <c r="B122" s="18">
        <f>IF(VLOOKUP(Table1[[#This Row],[Date]],'DB Global PMI'!$A:$F,2)=0,"",VLOOKUP(Table1[[#This Row],[Date]],'DB Global PMI'!$A:$F,2))</f>
        <v/>
      </c>
      <c r="C122" s="15">
        <f>Table1[[#This Row],[PMI]]-B121</f>
        <v/>
      </c>
      <c r="D122" s="19">
        <f>IF(VLOOKUP(Table1[[#This Row],[Date]],'DB Global PMI'!$A:$F,3)=0,"",VLOOKUP(Table1[[#This Row],[Date]],'DB Global PMI'!$A:$F,3))</f>
        <v/>
      </c>
      <c r="E122" s="15">
        <f>Table1[[#This Row],[PMI]]-B110</f>
        <v/>
      </c>
      <c r="F122" s="16">
        <f>(Table1[[#This Row],[ACWI]]-D110)/D110</f>
        <v/>
      </c>
    </row>
    <row r="123">
      <c r="A123" s="10" t="n">
        <v>44013</v>
      </c>
      <c r="B123" s="18">
        <f>IF(VLOOKUP(Table1[[#This Row],[Date]],'DB Global PMI'!$A:$F,2)=0,"",VLOOKUP(Table1[[#This Row],[Date]],'DB Global PMI'!$A:$F,2))</f>
        <v/>
      </c>
      <c r="C123" s="24">
        <f>Table1[[#This Row],[PMI]]-B122</f>
        <v/>
      </c>
      <c r="D123" s="19">
        <f>IF(VLOOKUP(Table1[[#This Row],[Date]],'DB Global PMI'!$A:$F,3)=0,"",VLOOKUP(Table1[[#This Row],[Date]],'DB Global PMI'!$A:$F,3))</f>
        <v/>
      </c>
      <c r="E123" s="24">
        <f>Table1[[#This Row],[PMI]]-B111</f>
        <v/>
      </c>
      <c r="F123" s="13">
        <f>(Table1[[#This Row],[ACWI]]-D111)/D111</f>
        <v/>
      </c>
    </row>
    <row r="124">
      <c r="A124" s="14" t="n">
        <v>44044</v>
      </c>
      <c r="B124" s="18">
        <f>IF(VLOOKUP(Table1[[#This Row],[Date]],'DB Global PMI'!$A:$F,2)=0,"",VLOOKUP(Table1[[#This Row],[Date]],'DB Global PMI'!$A:$F,2))</f>
        <v/>
      </c>
      <c r="C124" s="15">
        <f>Table1[[#This Row],[PMI]]-B123</f>
        <v/>
      </c>
      <c r="D124" s="19">
        <f>IF(VLOOKUP(Table1[[#This Row],[Date]],'DB Global PMI'!$A:$F,3)=0,"",VLOOKUP(Table1[[#This Row],[Date]],'DB Global PMI'!$A:$F,3))</f>
        <v/>
      </c>
      <c r="E124" s="15">
        <f>Table1[[#This Row],[PMI]]-B112</f>
        <v/>
      </c>
      <c r="F124" s="16">
        <f>(Table1[[#This Row],[ACWI]]-D112)/D112</f>
        <v/>
      </c>
    </row>
    <row r="125">
      <c r="A125" s="10" t="n">
        <v>44075</v>
      </c>
      <c r="B125" s="18">
        <f>IF(VLOOKUP(Table1[[#This Row],[Date]],'DB Global PMI'!$A:$F,2)=0,"",VLOOKUP(Table1[[#This Row],[Date]],'DB Global PMI'!$A:$F,2))</f>
        <v/>
      </c>
      <c r="C125" s="24">
        <f>Table1[[#This Row],[PMI]]-B124</f>
        <v/>
      </c>
      <c r="D125" s="19">
        <f>IF(VLOOKUP(Table1[[#This Row],[Date]],'DB Global PMI'!$A:$F,3)=0,"",VLOOKUP(Table1[[#This Row],[Date]],'DB Global PMI'!$A:$F,3))</f>
        <v/>
      </c>
      <c r="E125" s="24">
        <f>Table1[[#This Row],[PMI]]-B113</f>
        <v/>
      </c>
      <c r="F125" s="13">
        <f>(Table1[[#This Row],[ACWI]]-D113)/D113</f>
        <v/>
      </c>
    </row>
    <row r="126">
      <c r="A126" s="14" t="n">
        <v>44105</v>
      </c>
      <c r="B126" s="18">
        <f>IF(VLOOKUP(Table1[[#This Row],[Date]],'DB Global PMI'!$A:$F,2)=0,"",VLOOKUP(Table1[[#This Row],[Date]],'DB Global PMI'!$A:$F,2))</f>
        <v/>
      </c>
      <c r="C126" s="15">
        <f>Table1[[#This Row],[PMI]]-B125</f>
        <v/>
      </c>
      <c r="D126" s="19">
        <f>IF(VLOOKUP(Table1[[#This Row],[Date]],'DB Global PMI'!$A:$F,3)=0,"",VLOOKUP(Table1[[#This Row],[Date]],'DB Global PMI'!$A:$F,3))</f>
        <v/>
      </c>
      <c r="E126" s="15">
        <f>Table1[[#This Row],[PMI]]-B114</f>
        <v/>
      </c>
      <c r="F126" s="16">
        <f>(Table1[[#This Row],[ACWI]]-D114)/D114</f>
        <v/>
      </c>
    </row>
    <row r="127">
      <c r="A127" s="10" t="n">
        <v>44136</v>
      </c>
      <c r="B127" s="18">
        <f>IF(VLOOKUP(Table1[[#This Row],[Date]],'DB Global PMI'!$A:$F,2)=0,"",VLOOKUP(Table1[[#This Row],[Date]],'DB Global PMI'!$A:$F,2))</f>
        <v/>
      </c>
      <c r="C127" s="24">
        <f>Table1[[#This Row],[PMI]]-B126</f>
        <v/>
      </c>
      <c r="D127" s="19">
        <f>IF(VLOOKUP(Table1[[#This Row],[Date]],'DB Global PMI'!$A:$F,3)=0,"",VLOOKUP(Table1[[#This Row],[Date]],'DB Global PMI'!$A:$F,3))</f>
        <v/>
      </c>
      <c r="E127" s="24">
        <f>Table1[[#This Row],[PMI]]-B115</f>
        <v/>
      </c>
      <c r="F127" s="13">
        <f>(Table1[[#This Row],[ACWI]]-D115)/D115</f>
        <v/>
      </c>
    </row>
    <row r="128">
      <c r="A128" s="14" t="n">
        <v>44166</v>
      </c>
      <c r="B128" s="18">
        <f>IF(VLOOKUP(Table1[[#This Row],[Date]],'DB Global PMI'!$A:$F,2)=0,"",VLOOKUP(Table1[[#This Row],[Date]],'DB Global PMI'!$A:$F,2))</f>
        <v/>
      </c>
      <c r="C128" s="15">
        <f>Table1[[#This Row],[PMI]]-B127</f>
        <v/>
      </c>
      <c r="D128" s="19">
        <f>IF(VLOOKUP(Table1[[#This Row],[Date]],'DB Global PMI'!$A:$F,3)=0,"",VLOOKUP(Table1[[#This Row],[Date]],'DB Global PMI'!$A:$F,3))</f>
        <v/>
      </c>
      <c r="E128" s="15">
        <f>Table1[[#This Row],[PMI]]-B116</f>
        <v/>
      </c>
      <c r="F128" s="16">
        <f>(Table1[[#This Row],[ACWI]]-D116)/D116</f>
        <v/>
      </c>
    </row>
    <row r="129">
      <c r="A129" s="10" t="n">
        <v>44197</v>
      </c>
      <c r="B129" s="18">
        <f>IF(VLOOKUP(Table1[[#This Row],[Date]],'DB Global PMI'!$A:$F,2)=0,"",VLOOKUP(Table1[[#This Row],[Date]],'DB Global PMI'!$A:$F,2))</f>
        <v/>
      </c>
      <c r="C129" s="24">
        <f>Table1[[#This Row],[PMI]]-B128</f>
        <v/>
      </c>
      <c r="D129" s="19">
        <f>IF(VLOOKUP(Table1[[#This Row],[Date]],'DB Global PMI'!$A:$F,3)=0,"",VLOOKUP(Table1[[#This Row],[Date]],'DB Global PMI'!$A:$F,3))</f>
        <v/>
      </c>
      <c r="E129" s="24">
        <f>Table1[[#This Row],[PMI]]-B117</f>
        <v/>
      </c>
      <c r="F129" s="13">
        <f>(Table1[[#This Row],[ACWI]]-D117)/D117</f>
        <v/>
      </c>
    </row>
    <row r="130">
      <c r="A130" s="14" t="n">
        <v>44228</v>
      </c>
      <c r="B130" s="18">
        <f>IF(VLOOKUP(Table1[[#This Row],[Date]],'DB Global PMI'!$A:$F,2)=0,"",VLOOKUP(Table1[[#This Row],[Date]],'DB Global PMI'!$A:$F,2))</f>
        <v/>
      </c>
      <c r="C130" s="15">
        <f>Table1[[#This Row],[PMI]]-B129</f>
        <v/>
      </c>
      <c r="D130" s="19">
        <f>IF(VLOOKUP(Table1[[#This Row],[Date]],'DB Global PMI'!$A:$F,3)=0,"",VLOOKUP(Table1[[#This Row],[Date]],'DB Global PMI'!$A:$F,3))</f>
        <v/>
      </c>
      <c r="E130" s="15">
        <f>Table1[[#This Row],[PMI]]-B118</f>
        <v/>
      </c>
      <c r="F130" s="16">
        <f>(Table1[[#This Row],[ACWI]]-D118)/D118</f>
        <v/>
      </c>
    </row>
    <row r="131">
      <c r="A131" s="10" t="n">
        <v>44256</v>
      </c>
      <c r="B131" s="18">
        <f>IF(VLOOKUP(Table1[[#This Row],[Date]],'DB Global PMI'!$A:$F,2)=0,"",VLOOKUP(Table1[[#This Row],[Date]],'DB Global PMI'!$A:$F,2))</f>
        <v/>
      </c>
      <c r="C131" s="24">
        <f>Table1[[#This Row],[PMI]]-B130</f>
        <v/>
      </c>
      <c r="D131" s="19">
        <f>IF(VLOOKUP(Table1[[#This Row],[Date]],'DB Global PMI'!$A:$F,3)=0,"",VLOOKUP(Table1[[#This Row],[Date]],'DB Global PMI'!$A:$F,3))</f>
        <v/>
      </c>
      <c r="E131" s="24">
        <f>Table1[[#This Row],[PMI]]-B119</f>
        <v/>
      </c>
      <c r="F131" s="13">
        <f>(Table1[[#This Row],[ACWI]]-D119)/D119</f>
        <v/>
      </c>
    </row>
    <row r="132">
      <c r="A132" s="14" t="n">
        <v>44287</v>
      </c>
      <c r="B132" s="18">
        <f>IF(VLOOKUP(Table1[[#This Row],[Date]],'DB Global PMI'!$A:$F,2)=0,"",VLOOKUP(Table1[[#This Row],[Date]],'DB Global PMI'!$A:$F,2))</f>
        <v/>
      </c>
      <c r="C132" s="15">
        <f>Table1[[#This Row],[PMI]]-B131</f>
        <v/>
      </c>
      <c r="D132" s="19">
        <f>IF(VLOOKUP(Table1[[#This Row],[Date]],'DB Global PMI'!$A:$F,3)=0,"",VLOOKUP(Table1[[#This Row],[Date]],'DB Global PMI'!$A:$F,3))</f>
        <v/>
      </c>
      <c r="E132" s="15">
        <f>Table1[[#This Row],[PMI]]-B120</f>
        <v/>
      </c>
      <c r="F132" s="16">
        <f>(Table1[[#This Row],[ACWI]]-D120)/D120</f>
        <v/>
      </c>
    </row>
    <row r="133">
      <c r="A133" s="10" t="n">
        <v>44317</v>
      </c>
      <c r="B133" s="18">
        <f>IF(VLOOKUP(Table1[[#This Row],[Date]],'DB Global PMI'!$A:$F,2)=0,"",VLOOKUP(Table1[[#This Row],[Date]],'DB Global PMI'!$A:$F,2))</f>
        <v/>
      </c>
      <c r="C133" s="24">
        <f>Table1[[#This Row],[PMI]]-B132</f>
        <v/>
      </c>
      <c r="D133" s="19">
        <f>IF(VLOOKUP(Table1[[#This Row],[Date]],'DB Global PMI'!$A:$F,3)=0,"",VLOOKUP(Table1[[#This Row],[Date]],'DB Global PMI'!$A:$F,3))</f>
        <v/>
      </c>
      <c r="E133" s="24">
        <f>Table1[[#This Row],[PMI]]-B121</f>
        <v/>
      </c>
      <c r="F133" s="13">
        <f>(Table1[[#This Row],[ACWI]]-D121)/D121</f>
        <v/>
      </c>
    </row>
    <row r="134">
      <c r="A134" s="14" t="n">
        <v>44348</v>
      </c>
      <c r="B134" s="18">
        <f>IF(VLOOKUP(Table1[[#This Row],[Date]],'DB Global PMI'!$A:$F,2)=0,"",VLOOKUP(Table1[[#This Row],[Date]],'DB Global PMI'!$A:$F,2))</f>
        <v/>
      </c>
      <c r="C134" s="15">
        <f>Table1[[#This Row],[PMI]]-B133</f>
        <v/>
      </c>
      <c r="D134" s="19">
        <f>IF(VLOOKUP(Table1[[#This Row],[Date]],'DB Global PMI'!$A:$F,3)=0,"",VLOOKUP(Table1[[#This Row],[Date]],'DB Global PMI'!$A:$F,3))</f>
        <v/>
      </c>
      <c r="E134" s="15">
        <f>Table1[[#This Row],[PMI]]-B122</f>
        <v/>
      </c>
      <c r="F134" s="16">
        <f>(Table1[[#This Row],[ACWI]]-D122)/D122</f>
        <v/>
      </c>
    </row>
    <row r="135">
      <c r="A135" s="10" t="n">
        <v>44378</v>
      </c>
      <c r="B135" s="18">
        <f>IF(VLOOKUP(Table1[[#This Row],[Date]],'DB Global PMI'!$A:$F,2)=0,"",VLOOKUP(Table1[[#This Row],[Date]],'DB Global PMI'!$A:$F,2))</f>
        <v/>
      </c>
      <c r="C135" s="24">
        <f>Table1[[#This Row],[PMI]]-B134</f>
        <v/>
      </c>
      <c r="D135" s="19">
        <f>IF(VLOOKUP(Table1[[#This Row],[Date]],'DB Global PMI'!$A:$F,3)=0,"",VLOOKUP(Table1[[#This Row],[Date]],'DB Global PMI'!$A:$F,3))</f>
        <v/>
      </c>
      <c r="E135" s="24">
        <f>Table1[[#This Row],[PMI]]-B123</f>
        <v/>
      </c>
      <c r="F135" s="13">
        <f>(Table1[[#This Row],[ACWI]]-D123)/D123</f>
        <v/>
      </c>
    </row>
    <row r="136">
      <c r="A136" s="14" t="n">
        <v>44409</v>
      </c>
      <c r="B136" s="18">
        <f>IF(VLOOKUP(Table1[[#This Row],[Date]],'DB Global PMI'!$A:$F,2)=0,"",VLOOKUP(Table1[[#This Row],[Date]],'DB Global PMI'!$A:$F,2))</f>
        <v/>
      </c>
      <c r="C136" s="15">
        <f>Table1[[#This Row],[PMI]]-B135</f>
        <v/>
      </c>
      <c r="D136" s="19">
        <f>IF(VLOOKUP(Table1[[#This Row],[Date]],'DB Global PMI'!$A:$F,3)=0,"",VLOOKUP(Table1[[#This Row],[Date]],'DB Global PMI'!$A:$F,3))</f>
        <v/>
      </c>
      <c r="E136" s="15">
        <f>Table1[[#This Row],[PMI]]-B124</f>
        <v/>
      </c>
      <c r="F136" s="16">
        <f>(Table1[[#This Row],[ACWI]]-D124)/D124</f>
        <v/>
      </c>
    </row>
    <row r="137">
      <c r="A137" s="10" t="n">
        <v>44440</v>
      </c>
      <c r="B137" s="18">
        <f>IF(VLOOKUP(Table1[[#This Row],[Date]],'DB Global PMI'!$A:$F,2)=0,"",VLOOKUP(Table1[[#This Row],[Date]],'DB Global PMI'!$A:$F,2))</f>
        <v/>
      </c>
      <c r="C137" s="24">
        <f>Table1[[#This Row],[PMI]]-B136</f>
        <v/>
      </c>
      <c r="D137" s="19">
        <f>IF(VLOOKUP(Table1[[#This Row],[Date]],'DB Global PMI'!$A:$F,3)=0,"",VLOOKUP(Table1[[#This Row],[Date]],'DB Global PMI'!$A:$F,3))</f>
        <v/>
      </c>
      <c r="E137" s="24">
        <f>Table1[[#This Row],[PMI]]-B125</f>
        <v/>
      </c>
      <c r="F137" s="13">
        <f>(Table1[[#This Row],[ACWI]]-D125)/D125</f>
        <v/>
      </c>
    </row>
    <row r="138">
      <c r="A138" s="14" t="n">
        <v>44470</v>
      </c>
      <c r="B138" s="18">
        <f>IF(VLOOKUP(Table1[[#This Row],[Date]],'DB Global PMI'!$A:$F,2)=0,"",VLOOKUP(Table1[[#This Row],[Date]],'DB Global PMI'!$A:$F,2))</f>
        <v/>
      </c>
      <c r="C138" s="15">
        <f>Table1[[#This Row],[PMI]]-B137</f>
        <v/>
      </c>
      <c r="D138" s="19">
        <f>IF(VLOOKUP(Table1[[#This Row],[Date]],'DB Global PMI'!$A:$F,3)=0,"",VLOOKUP(Table1[[#This Row],[Date]],'DB Global PMI'!$A:$F,3))</f>
        <v/>
      </c>
      <c r="E138" s="15">
        <f>Table1[[#This Row],[PMI]]-B126</f>
        <v/>
      </c>
      <c r="F138" s="16">
        <f>(Table1[[#This Row],[ACWI]]-D126)/D126</f>
        <v/>
      </c>
    </row>
    <row r="139">
      <c r="A139" s="10" t="n">
        <v>44501</v>
      </c>
      <c r="B139" s="18">
        <f>IF(VLOOKUP(Table1[[#This Row],[Date]],'DB Global PMI'!$A:$F,2)=0,"",VLOOKUP(Table1[[#This Row],[Date]],'DB Global PMI'!$A:$F,2))</f>
        <v/>
      </c>
      <c r="C139" s="24">
        <f>Table1[[#This Row],[PMI]]-B138</f>
        <v/>
      </c>
      <c r="D139" s="19">
        <f>IF(VLOOKUP(Table1[[#This Row],[Date]],'DB Global PMI'!$A:$F,3)=0,"",VLOOKUP(Table1[[#This Row],[Date]],'DB Global PMI'!$A:$F,3))</f>
        <v/>
      </c>
      <c r="E139" s="24">
        <f>Table1[[#This Row],[PMI]]-B127</f>
        <v/>
      </c>
      <c r="F139" s="13">
        <f>(Table1[[#This Row],[ACWI]]-D127)/D127</f>
        <v/>
      </c>
    </row>
    <row r="140">
      <c r="A140" s="14" t="n">
        <v>44531</v>
      </c>
      <c r="B140" s="18">
        <f>IF(VLOOKUP(Table1[[#This Row],[Date]],'DB Global PMI'!$A:$F,2)=0,"",VLOOKUP(Table1[[#This Row],[Date]],'DB Global PMI'!$A:$F,2))</f>
        <v/>
      </c>
      <c r="C140" s="15">
        <f>Table1[[#This Row],[PMI]]-B139</f>
        <v/>
      </c>
      <c r="D140" s="19">
        <f>IF(VLOOKUP(Table1[[#This Row],[Date]],'DB Global PMI'!$A:$F,3)=0,"",VLOOKUP(Table1[[#This Row],[Date]],'DB Global PMI'!$A:$F,3))</f>
        <v/>
      </c>
      <c r="E140" s="15">
        <f>Table1[[#This Row],[PMI]]-B128</f>
        <v/>
      </c>
      <c r="F140" s="16">
        <f>(Table1[[#This Row],[ACWI]]-D128)/D128</f>
        <v/>
      </c>
    </row>
    <row r="141">
      <c r="A141" s="10" t="n">
        <v>44562</v>
      </c>
      <c r="B141" s="18">
        <f>IF(VLOOKUP(Table1[[#This Row],[Date]],'DB Global PMI'!$A:$F,2)=0,"",VLOOKUP(Table1[[#This Row],[Date]],'DB Global PMI'!$A:$F,2))</f>
        <v/>
      </c>
      <c r="C141" s="24">
        <f>Table1[[#This Row],[PMI]]-B140</f>
        <v/>
      </c>
      <c r="D141" s="19">
        <f>IF(VLOOKUP(Table1[[#This Row],[Date]],'DB Global PMI'!$A:$F,3)=0,"",VLOOKUP(Table1[[#This Row],[Date]],'DB Global PMI'!$A:$F,3))</f>
        <v/>
      </c>
      <c r="E141" s="24">
        <f>Table1[[#This Row],[PMI]]-B129</f>
        <v/>
      </c>
      <c r="F141" s="13">
        <f>(Table1[[#This Row],[ACWI]]-D129)/D129</f>
        <v/>
      </c>
    </row>
    <row r="142">
      <c r="A142" s="10" t="n">
        <v>44593</v>
      </c>
      <c r="B142" s="18">
        <f>IF(VLOOKUP(Table1[[#This Row],[Date]],'DB Global PMI'!$A:$F,2)=0,"",VLOOKUP(Table1[[#This Row],[Date]],'DB Global PMI'!$A:$F,2))</f>
        <v/>
      </c>
      <c r="C142" s="24">
        <f>Table1[[#This Row],[PMI]]-B141</f>
        <v/>
      </c>
      <c r="D142" s="19">
        <f>IF(VLOOKUP(Table1[[#This Row],[Date]],'DB Global PMI'!$A:$F,3)=0,"",VLOOKUP(Table1[[#This Row],[Date]],'DB Global PMI'!$A:$F,3))</f>
        <v/>
      </c>
      <c r="E142" s="24">
        <f>Table1[[#This Row],[PMI]]-B130</f>
        <v/>
      </c>
      <c r="F142" s="13">
        <f>(Table1[[#This Row],[ACWI]]-D130)/D130</f>
        <v/>
      </c>
    </row>
    <row r="143">
      <c r="A143" s="14" t="n">
        <v>44621</v>
      </c>
      <c r="B143" s="18">
        <f>IF(VLOOKUP(Table1[[#This Row],[Date]],'DB Global PMI'!$A:$F,2)=0,"",VLOOKUP(Table1[[#This Row],[Date]],'DB Global PMI'!$A:$F,2))</f>
        <v/>
      </c>
      <c r="C143" s="15">
        <f>Table1[[#This Row],[PMI]]-B142</f>
        <v/>
      </c>
      <c r="D143" s="19">
        <f>IF(VLOOKUP(Table1[[#This Row],[Date]],'DB Global PMI'!$A:$F,3)=0,"",VLOOKUP(Table1[[#This Row],[Date]],'DB Global PMI'!$A:$F,3))</f>
        <v/>
      </c>
      <c r="E143" s="15">
        <f>Table1[[#This Row],[PMI]]-B131</f>
        <v/>
      </c>
      <c r="F143" s="16">
        <f>(Table1[[#This Row],[ACWI]]-D131)/D131</f>
        <v/>
      </c>
    </row>
    <row r="144">
      <c r="A144" s="10" t="n">
        <v>44652</v>
      </c>
      <c r="B144" s="18">
        <f>IF(VLOOKUP(Table1[[#This Row],[Date]],'DB Global PMI'!$A:$F,2)=0,"",VLOOKUP(Table1[[#This Row],[Date]],'DB Global PMI'!$A:$F,2))</f>
        <v/>
      </c>
      <c r="C144" s="24">
        <f>Table1[[#This Row],[PMI]]-B143</f>
        <v/>
      </c>
      <c r="D144" s="19">
        <f>IF(VLOOKUP(Table1[[#This Row],[Date]],'DB Global PMI'!$A:$F,3)=0,"",VLOOKUP(Table1[[#This Row],[Date]],'DB Global PMI'!$A:$F,3))</f>
        <v/>
      </c>
      <c r="E144" s="24">
        <f>Table1[[#This Row],[PMI]]-B132</f>
        <v/>
      </c>
      <c r="F144" s="13">
        <f>(Table1[[#This Row],[ACWI]]-D132)/D132</f>
        <v/>
      </c>
    </row>
    <row r="145">
      <c r="A145" s="14" t="n">
        <v>44682</v>
      </c>
      <c r="B145" s="18">
        <f>IF(VLOOKUP(Table1[[#This Row],[Date]],'DB Global PMI'!$A:$F,2)=0,"",VLOOKUP(Table1[[#This Row],[Date]],'DB Global PMI'!$A:$F,2))</f>
        <v/>
      </c>
      <c r="C145" s="15">
        <f>Table1[[#This Row],[PMI]]-B144</f>
        <v/>
      </c>
      <c r="D145" s="19">
        <f>IF(VLOOKUP(Table1[[#This Row],[Date]],'DB Global PMI'!$A:$F,3)=0,"",VLOOKUP(Table1[[#This Row],[Date]],'DB Global PMI'!$A:$F,3))</f>
        <v/>
      </c>
      <c r="E145" s="15">
        <f>Table1[[#This Row],[PMI]]-B133</f>
        <v/>
      </c>
      <c r="F145" s="16">
        <f>(Table1[[#This Row],[ACWI]]-D133)/D133</f>
        <v/>
      </c>
    </row>
    <row r="146">
      <c r="A146" s="10" t="n">
        <v>44713</v>
      </c>
      <c r="B146" s="18">
        <f>IF(VLOOKUP(Table1[[#This Row],[Date]],'DB Global PMI'!$A:$F,2)=0,"",VLOOKUP(Table1[[#This Row],[Date]],'DB Global PMI'!$A:$F,2))</f>
        <v/>
      </c>
      <c r="C146" s="24">
        <f>Table1[[#This Row],[PMI]]-B145</f>
        <v/>
      </c>
      <c r="D146" s="19">
        <f>IF(VLOOKUP(Table1[[#This Row],[Date]],'DB Global PMI'!$A:$F,3)=0,"",VLOOKUP(Table1[[#This Row],[Date]],'DB Global PMI'!$A:$F,3))</f>
        <v/>
      </c>
      <c r="E146" s="24">
        <f>Table1[[#This Row],[PMI]]-B134</f>
        <v/>
      </c>
      <c r="F146" s="13">
        <f>(Table1[[#This Row],[ACWI]]-D134)/D134</f>
        <v/>
      </c>
    </row>
  </sheetData>
  <conditionalFormatting sqref="B6:B146">
    <cfRule type="colorScale" priority="46">
      <colorScale>
        <cfvo type="min"/>
        <cfvo type="percentile" val="50"/>
        <cfvo type="max"/>
        <color rgb="FFF8696B"/>
        <color rgb="FFFFEB84"/>
        <color rgb="FF63BE7B"/>
      </colorScale>
    </cfRule>
  </conditionalFormatting>
  <conditionalFormatting sqref="C7:C146">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K151"/>
  <sheetViews>
    <sheetView zoomScale="90" zoomScaleNormal="90" workbookViewId="0">
      <pane ySplit="5" topLeftCell="A113" activePane="bottomLeft" state="frozen"/>
      <selection activeCell="O117" sqref="O117"/>
      <selection pane="bottomLeft" activeCell="R147" sqref="R147"/>
    </sheetView>
  </sheetViews>
  <sheetFormatPr baseColWidth="8" defaultColWidth="9.1796875" defaultRowHeight="14.5"/>
  <cols>
    <col width="13.453125" customWidth="1" style="69" min="1" max="1"/>
    <col width="11.36328125" customWidth="1" style="69" min="2" max="2"/>
    <col width="9.1796875" customWidth="1" style="69" min="3" max="3"/>
    <col width="19" customWidth="1" style="69" min="4" max="4"/>
    <col width="9.1796875" customWidth="1" style="69" min="5" max="53"/>
    <col width="9.1796875" customWidth="1" style="69" min="54" max="16384"/>
  </cols>
  <sheetData>
    <row r="1">
      <c r="A1" s="69" t="inlineStr">
        <is>
          <t>United States</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c r="D5" s="25" t="inlineStr">
        <is>
          <t>ISM Manufacturing</t>
        </is>
      </c>
    </row>
    <row r="6">
      <c r="A6" s="17" t="n">
        <v>40452</v>
      </c>
      <c r="B6" s="18">
        <f>IF(VLOOKUP(A6,'DB Country PMI'!$A:$AZ,MATCH($A$1,'DB Country PMI'!$A$1:$AZ$1,),)=0,#N/A,VLOOKUP(A6,'DB Country PMI'!$A:$AZ,MATCH($A$1,'DB Country PMI'!$A$1:$AZ$1,),))</f>
        <v/>
      </c>
      <c r="C6" s="18" t="n"/>
      <c r="D6" s="24">
        <f>IF(VLOOKUP(Table1346811[[#This Row],[Date]],'DB US ISM Manufacturing'!$A:$B,2)=0,#N/A,VLOOKUP(Table1346811[[#This Row],[Date]],'DB US ISM Manufacturing'!$A:$B,2))</f>
        <v/>
      </c>
    </row>
    <row r="7">
      <c r="A7" s="10" t="n">
        <v>40483</v>
      </c>
      <c r="B7" s="18">
        <f>IF(VLOOKUP(A7,'DB Country PMI'!$A:$AZ,MATCH($A$1,'DB Country PMI'!$A$1:$AZ$1,),)=0,#N/A,VLOOKUP(A7,'DB Country PMI'!$A:$AZ,MATCH($A$1,'DB Country PMI'!$A$1:$AZ$1,),))</f>
        <v/>
      </c>
      <c r="C7" s="24">
        <f>Table1346811[[#This Row],[PMI]]-B6</f>
        <v/>
      </c>
      <c r="D7" s="24">
        <f>IF(VLOOKUP(Table1346811[[#This Row],[Date]],'DB US ISM Manufacturing'!$A:$B,2)=0,#N/A,VLOOKUP(Table1346811[[#This Row],[Date]],'DB US ISM Manufacturing'!$A:$B,2))</f>
        <v/>
      </c>
    </row>
    <row r="8">
      <c r="A8" s="10" t="n">
        <v>40513</v>
      </c>
      <c r="B8" s="18">
        <f>IF(VLOOKUP(A8,'DB Country PMI'!$A:$AZ,MATCH($A$1,'DB Country PMI'!$A$1:$AZ$1,),)=0,#N/A,VLOOKUP(A8,'DB Country PMI'!$A:$AZ,MATCH($A$1,'DB Country PMI'!$A$1:$AZ$1,),))</f>
        <v/>
      </c>
      <c r="C8" s="24">
        <f>Table1346811[[#This Row],[PMI]]-B7</f>
        <v/>
      </c>
      <c r="D8" s="24">
        <f>IF(VLOOKUP(Table1346811[[#This Row],[Date]],'DB US ISM Manufacturing'!$A:$B,2)=0,#N/A,VLOOKUP(Table1346811[[#This Row],[Date]],'DB US ISM Manufacturing'!$A:$B,2))</f>
        <v/>
      </c>
    </row>
    <row r="9">
      <c r="A9" s="10" t="n">
        <v>40544</v>
      </c>
      <c r="B9" s="18">
        <f>IF(VLOOKUP(A9,'DB Country PMI'!$A:$AZ,MATCH($A$1,'DB Country PMI'!$A$1:$AZ$1,),)=0,#N/A,VLOOKUP(A9,'DB Country PMI'!$A:$AZ,MATCH($A$1,'DB Country PMI'!$A$1:$AZ$1,),))</f>
        <v/>
      </c>
      <c r="C9" s="24">
        <f>Table1346811[[#This Row],[PMI]]-B8</f>
        <v/>
      </c>
      <c r="D9" s="24">
        <f>IF(VLOOKUP(Table1346811[[#This Row],[Date]],'DB US ISM Manufacturing'!$A:$B,2)=0,#N/A,VLOOKUP(Table1346811[[#This Row],[Date]],'DB US ISM Manufacturing'!$A:$B,2))</f>
        <v/>
      </c>
    </row>
    <row r="10">
      <c r="A10" s="10" t="n">
        <v>40575</v>
      </c>
      <c r="B10" s="18">
        <f>IF(VLOOKUP(A10,'DB Country PMI'!$A:$AZ,MATCH($A$1,'DB Country PMI'!$A$1:$AZ$1,),)=0,#N/A,VLOOKUP(A10,'DB Country PMI'!$A:$AZ,MATCH($A$1,'DB Country PMI'!$A$1:$AZ$1,),))</f>
        <v/>
      </c>
      <c r="C10" s="24">
        <f>Table1346811[[#This Row],[PMI]]-B9</f>
        <v/>
      </c>
      <c r="D10" s="24">
        <f>IF(VLOOKUP(Table1346811[[#This Row],[Date]],'DB US ISM Manufacturing'!$A:$B,2)=0,#N/A,VLOOKUP(Table1346811[[#This Row],[Date]],'DB US ISM Manufacturing'!$A:$B,2))</f>
        <v/>
      </c>
    </row>
    <row r="11">
      <c r="A11" s="10" t="n">
        <v>40603</v>
      </c>
      <c r="B11" s="18">
        <f>IF(VLOOKUP(A11,'DB Country PMI'!$A:$AZ,MATCH($A$1,'DB Country PMI'!$A$1:$AZ$1,),)=0,#N/A,VLOOKUP(A11,'DB Country PMI'!$A:$AZ,MATCH($A$1,'DB Country PMI'!$A$1:$AZ$1,),))</f>
        <v/>
      </c>
      <c r="C11" s="24">
        <f>Table1346811[[#This Row],[PMI]]-B10</f>
        <v/>
      </c>
      <c r="D11" s="24">
        <f>IF(VLOOKUP(Table1346811[[#This Row],[Date]],'DB US ISM Manufacturing'!$A:$B,2)=0,#N/A,VLOOKUP(Table1346811[[#This Row],[Date]],'DB US ISM Manufacturing'!$A:$B,2))</f>
        <v/>
      </c>
    </row>
    <row r="12">
      <c r="A12" s="10" t="n">
        <v>40634</v>
      </c>
      <c r="B12" s="18">
        <f>IF(VLOOKUP(A12,'DB Country PMI'!$A:$AZ,MATCH($A$1,'DB Country PMI'!$A$1:$AZ$1,),)=0,#N/A,VLOOKUP(A12,'DB Country PMI'!$A:$AZ,MATCH($A$1,'DB Country PMI'!$A$1:$AZ$1,),))</f>
        <v/>
      </c>
      <c r="C12" s="24">
        <f>Table1346811[[#This Row],[PMI]]-B11</f>
        <v/>
      </c>
      <c r="D12" s="24">
        <f>IF(VLOOKUP(Table1346811[[#This Row],[Date]],'DB US ISM Manufacturing'!$A:$B,2)=0,#N/A,VLOOKUP(Table1346811[[#This Row],[Date]],'DB US ISM Manufacturing'!$A:$B,2))</f>
        <v/>
      </c>
    </row>
    <row r="13">
      <c r="A13" s="10" t="n">
        <v>40664</v>
      </c>
      <c r="B13" s="18">
        <f>IF(VLOOKUP(A13,'DB Country PMI'!$A:$AZ,MATCH($A$1,'DB Country PMI'!$A$1:$AZ$1,),)=0,#N/A,VLOOKUP(A13,'DB Country PMI'!$A:$AZ,MATCH($A$1,'DB Country PMI'!$A$1:$AZ$1,),))</f>
        <v/>
      </c>
      <c r="C13" s="24">
        <f>Table1346811[[#This Row],[PMI]]-B12</f>
        <v/>
      </c>
      <c r="D13" s="24">
        <f>IF(VLOOKUP(Table1346811[[#This Row],[Date]],'DB US ISM Manufacturing'!$A:$B,2)=0,#N/A,VLOOKUP(Table1346811[[#This Row],[Date]],'DB US ISM Manufacturing'!$A:$B,2))</f>
        <v/>
      </c>
    </row>
    <row r="14">
      <c r="A14" s="10" t="n">
        <v>40695</v>
      </c>
      <c r="B14" s="18">
        <f>IF(VLOOKUP(A14,'DB Country PMI'!$A:$AZ,MATCH($A$1,'DB Country PMI'!$A$1:$AZ$1,),)=0,#N/A,VLOOKUP(A14,'DB Country PMI'!$A:$AZ,MATCH($A$1,'DB Country PMI'!$A$1:$AZ$1,),))</f>
        <v/>
      </c>
      <c r="C14" s="24">
        <f>Table1346811[[#This Row],[PMI]]-B13</f>
        <v/>
      </c>
      <c r="D14" s="24">
        <f>IF(VLOOKUP(Table1346811[[#This Row],[Date]],'DB US ISM Manufacturing'!$A:$B,2)=0,#N/A,VLOOKUP(Table1346811[[#This Row],[Date]],'DB US ISM Manufacturing'!$A:$B,2))</f>
        <v/>
      </c>
    </row>
    <row r="15">
      <c r="A15" s="10" t="n">
        <v>40725</v>
      </c>
      <c r="B15" s="18">
        <f>IF(VLOOKUP(A15,'DB Country PMI'!$A:$AZ,MATCH($A$1,'DB Country PMI'!$A$1:$AZ$1,),)=0,#N/A,VLOOKUP(A15,'DB Country PMI'!$A:$AZ,MATCH($A$1,'DB Country PMI'!$A$1:$AZ$1,),))</f>
        <v/>
      </c>
      <c r="C15" s="24">
        <f>Table1346811[[#This Row],[PMI]]-B14</f>
        <v/>
      </c>
      <c r="D15" s="24">
        <f>IF(VLOOKUP(Table1346811[[#This Row],[Date]],'DB US ISM Manufacturing'!$A:$B,2)=0,#N/A,VLOOKUP(Table1346811[[#This Row],[Date]],'DB US ISM Manufacturing'!$A:$B,2))</f>
        <v/>
      </c>
    </row>
    <row r="16">
      <c r="A16" s="10" t="n">
        <v>40756</v>
      </c>
      <c r="B16" s="18">
        <f>IF(VLOOKUP(A16,'DB Country PMI'!$A:$AZ,MATCH($A$1,'DB Country PMI'!$A$1:$AZ$1,),)=0,#N/A,VLOOKUP(A16,'DB Country PMI'!$A:$AZ,MATCH($A$1,'DB Country PMI'!$A$1:$AZ$1,),))</f>
        <v/>
      </c>
      <c r="C16" s="24">
        <f>Table1346811[[#This Row],[PMI]]-B15</f>
        <v/>
      </c>
      <c r="D16" s="24">
        <f>IF(VLOOKUP(Table1346811[[#This Row],[Date]],'DB US ISM Manufacturing'!$A:$B,2)=0,#N/A,VLOOKUP(Table1346811[[#This Row],[Date]],'DB US ISM Manufacturing'!$A:$B,2))</f>
        <v/>
      </c>
    </row>
    <row r="17">
      <c r="A17" s="10" t="n">
        <v>40787</v>
      </c>
      <c r="B17" s="18">
        <f>IF(VLOOKUP(A17,'DB Country PMI'!$A:$AZ,MATCH($A$1,'DB Country PMI'!$A$1:$AZ$1,),)=0,#N/A,VLOOKUP(A17,'DB Country PMI'!$A:$AZ,MATCH($A$1,'DB Country PMI'!$A$1:$AZ$1,),))</f>
        <v/>
      </c>
      <c r="C17" s="24">
        <f>Table1346811[[#This Row],[PMI]]-B16</f>
        <v/>
      </c>
      <c r="D17" s="24">
        <f>IF(VLOOKUP(Table1346811[[#This Row],[Date]],'DB US ISM Manufacturing'!$A:$B,2)=0,#N/A,VLOOKUP(Table1346811[[#This Row],[Date]],'DB US ISM Manufacturing'!$A:$B,2))</f>
        <v/>
      </c>
    </row>
    <row r="18">
      <c r="A18" s="10" t="n">
        <v>40817</v>
      </c>
      <c r="B18" s="18">
        <f>IF(VLOOKUP(A18,'DB Country PMI'!$A:$AZ,MATCH($A$1,'DB Country PMI'!$A$1:$AZ$1,),)=0,#N/A,VLOOKUP(A18,'DB Country PMI'!$A:$AZ,MATCH($A$1,'DB Country PMI'!$A$1:$AZ$1,),))</f>
        <v/>
      </c>
      <c r="C18" s="24">
        <f>Table1346811[[#This Row],[PMI]]-B17</f>
        <v/>
      </c>
      <c r="D18" s="24">
        <f>IF(VLOOKUP(Table1346811[[#This Row],[Date]],'DB US ISM Manufacturing'!$A:$B,2)=0,#N/A,VLOOKUP(Table1346811[[#This Row],[Date]],'DB US ISM Manufacturing'!$A:$B,2))</f>
        <v/>
      </c>
    </row>
    <row r="19">
      <c r="A19" s="10" t="n">
        <v>40848</v>
      </c>
      <c r="B19" s="18">
        <f>IF(VLOOKUP(A19,'DB Country PMI'!$A:$AZ,MATCH($A$1,'DB Country PMI'!$A$1:$AZ$1,),)=0,#N/A,VLOOKUP(A19,'DB Country PMI'!$A:$AZ,MATCH($A$1,'DB Country PMI'!$A$1:$AZ$1,),))</f>
        <v/>
      </c>
      <c r="C19" s="24">
        <f>Table1346811[[#This Row],[PMI]]-B18</f>
        <v/>
      </c>
      <c r="D19" s="24">
        <f>IF(VLOOKUP(Table1346811[[#This Row],[Date]],'DB US ISM Manufacturing'!$A:$B,2)=0,#N/A,VLOOKUP(Table1346811[[#This Row],[Date]],'DB US ISM Manufacturing'!$A:$B,2))</f>
        <v/>
      </c>
    </row>
    <row r="20">
      <c r="A20" s="10" t="n">
        <v>40878</v>
      </c>
      <c r="B20" s="18">
        <f>IF(VLOOKUP(A20,'DB Country PMI'!$A:$AZ,MATCH($A$1,'DB Country PMI'!$A$1:$AZ$1,),)=0,#N/A,VLOOKUP(A20,'DB Country PMI'!$A:$AZ,MATCH($A$1,'DB Country PMI'!$A$1:$AZ$1,),))</f>
        <v/>
      </c>
      <c r="C20" s="24">
        <f>Table1346811[[#This Row],[PMI]]-B19</f>
        <v/>
      </c>
      <c r="D20" s="24">
        <f>IF(VLOOKUP(Table1346811[[#This Row],[Date]],'DB US ISM Manufacturing'!$A:$B,2)=0,#N/A,VLOOKUP(Table1346811[[#This Row],[Date]],'DB US ISM Manufacturing'!$A:$B,2))</f>
        <v/>
      </c>
    </row>
    <row r="21">
      <c r="A21" s="10" t="n">
        <v>40909</v>
      </c>
      <c r="B21" s="18">
        <f>IF(VLOOKUP(A21,'DB Country PMI'!$A:$AZ,MATCH($A$1,'DB Country PMI'!$A$1:$AZ$1,),)=0,#N/A,VLOOKUP(A21,'DB Country PMI'!$A:$AZ,MATCH($A$1,'DB Country PMI'!$A$1:$AZ$1,),))</f>
        <v/>
      </c>
      <c r="C21" s="24">
        <f>Table1346811[[#This Row],[PMI]]-B20</f>
        <v/>
      </c>
      <c r="D21" s="24">
        <f>IF(VLOOKUP(Table1346811[[#This Row],[Date]],'DB US ISM Manufacturing'!$A:$B,2)=0,#N/A,VLOOKUP(Table1346811[[#This Row],[Date]],'DB US ISM Manufacturing'!$A:$B,2))</f>
        <v/>
      </c>
    </row>
    <row r="22">
      <c r="A22" s="10" t="n">
        <v>40940</v>
      </c>
      <c r="B22" s="18">
        <f>IF(VLOOKUP(A22,'DB Country PMI'!$A:$AZ,MATCH($A$1,'DB Country PMI'!$A$1:$AZ$1,),)=0,#N/A,VLOOKUP(A22,'DB Country PMI'!$A:$AZ,MATCH($A$1,'DB Country PMI'!$A$1:$AZ$1,),))</f>
        <v/>
      </c>
      <c r="C22" s="24">
        <f>Table1346811[[#This Row],[PMI]]-B21</f>
        <v/>
      </c>
      <c r="D22" s="24">
        <f>IF(VLOOKUP(Table1346811[[#This Row],[Date]],'DB US ISM Manufacturing'!$A:$B,2)=0,#N/A,VLOOKUP(Table1346811[[#This Row],[Date]],'DB US ISM Manufacturing'!$A:$B,2))</f>
        <v/>
      </c>
    </row>
    <row r="23">
      <c r="A23" s="10" t="n">
        <v>40969</v>
      </c>
      <c r="B23" s="18">
        <f>IF(VLOOKUP(A23,'DB Country PMI'!$A:$AZ,MATCH($A$1,'DB Country PMI'!$A$1:$AZ$1,),)=0,#N/A,VLOOKUP(A23,'DB Country PMI'!$A:$AZ,MATCH($A$1,'DB Country PMI'!$A$1:$AZ$1,),))</f>
        <v/>
      </c>
      <c r="C23" s="24">
        <f>Table1346811[[#This Row],[PMI]]-B22</f>
        <v/>
      </c>
      <c r="D23" s="24">
        <f>IF(VLOOKUP(Table1346811[[#This Row],[Date]],'DB US ISM Manufacturing'!$A:$B,2)=0,#N/A,VLOOKUP(Table1346811[[#This Row],[Date]],'DB US ISM Manufacturing'!$A:$B,2))</f>
        <v/>
      </c>
    </row>
    <row r="24">
      <c r="A24" s="10" t="n">
        <v>41000</v>
      </c>
      <c r="B24" s="18">
        <f>IF(VLOOKUP(A24,'DB Country PMI'!$A:$AZ,MATCH($A$1,'DB Country PMI'!$A$1:$AZ$1,),)=0,#N/A,VLOOKUP(A24,'DB Country PMI'!$A:$AZ,MATCH($A$1,'DB Country PMI'!$A$1:$AZ$1,),))</f>
        <v/>
      </c>
      <c r="C24" s="24">
        <f>Table1346811[[#This Row],[PMI]]-B23</f>
        <v/>
      </c>
      <c r="D24" s="24">
        <f>IF(VLOOKUP(Table1346811[[#This Row],[Date]],'DB US ISM Manufacturing'!$A:$B,2)=0,#N/A,VLOOKUP(Table1346811[[#This Row],[Date]],'DB US ISM Manufacturing'!$A:$B,2))</f>
        <v/>
      </c>
    </row>
    <row r="25">
      <c r="A25" s="10" t="n">
        <v>41030</v>
      </c>
      <c r="B25" s="18">
        <f>IF(VLOOKUP(A25,'DB Country PMI'!$A:$AZ,MATCH($A$1,'DB Country PMI'!$A$1:$AZ$1,),)=0,#N/A,VLOOKUP(A25,'DB Country PMI'!$A:$AZ,MATCH($A$1,'DB Country PMI'!$A$1:$AZ$1,),))</f>
        <v/>
      </c>
      <c r="C25" s="24">
        <f>Table1346811[[#This Row],[PMI]]-B24</f>
        <v/>
      </c>
      <c r="D25" s="24">
        <f>IF(VLOOKUP(Table1346811[[#This Row],[Date]],'DB US ISM Manufacturing'!$A:$B,2)=0,#N/A,VLOOKUP(Table1346811[[#This Row],[Date]],'DB US ISM Manufacturing'!$A:$B,2))</f>
        <v/>
      </c>
    </row>
    <row r="26">
      <c r="A26" s="10" t="n">
        <v>41061</v>
      </c>
      <c r="B26" s="18">
        <f>IF(VLOOKUP(A26,'DB Country PMI'!$A:$AZ,MATCH($A$1,'DB Country PMI'!$A$1:$AZ$1,),)=0,#N/A,VLOOKUP(A26,'DB Country PMI'!$A:$AZ,MATCH($A$1,'DB Country PMI'!$A$1:$AZ$1,),))</f>
        <v/>
      </c>
      <c r="C26" s="24">
        <f>Table1346811[[#This Row],[PMI]]-B25</f>
        <v/>
      </c>
      <c r="D26" s="24">
        <f>IF(VLOOKUP(Table1346811[[#This Row],[Date]],'DB US ISM Manufacturing'!$A:$B,2)=0,#N/A,VLOOKUP(Table1346811[[#This Row],[Date]],'DB US ISM Manufacturing'!$A:$B,2))</f>
        <v/>
      </c>
    </row>
    <row r="27">
      <c r="A27" s="10" t="n">
        <v>41091</v>
      </c>
      <c r="B27" s="18">
        <f>IF(VLOOKUP(A27,'DB Country PMI'!$A:$AZ,MATCH($A$1,'DB Country PMI'!$A$1:$AZ$1,),)=0,#N/A,VLOOKUP(A27,'DB Country PMI'!$A:$AZ,MATCH($A$1,'DB Country PMI'!$A$1:$AZ$1,),))</f>
        <v/>
      </c>
      <c r="C27" s="24">
        <f>Table1346811[[#This Row],[PMI]]-B26</f>
        <v/>
      </c>
      <c r="D27" s="24">
        <f>IF(VLOOKUP(Table1346811[[#This Row],[Date]],'DB US ISM Manufacturing'!$A:$B,2)=0,#N/A,VLOOKUP(Table1346811[[#This Row],[Date]],'DB US ISM Manufacturing'!$A:$B,2))</f>
        <v/>
      </c>
    </row>
    <row r="28">
      <c r="A28" s="10" t="n">
        <v>41122</v>
      </c>
      <c r="B28" s="18">
        <f>IF(VLOOKUP(A28,'DB Country PMI'!$A:$AZ,MATCH($A$1,'DB Country PMI'!$A$1:$AZ$1,),)=0,#N/A,VLOOKUP(A28,'DB Country PMI'!$A:$AZ,MATCH($A$1,'DB Country PMI'!$A$1:$AZ$1,),))</f>
        <v/>
      </c>
      <c r="C28" s="24">
        <f>Table1346811[[#This Row],[PMI]]-B27</f>
        <v/>
      </c>
      <c r="D28" s="24">
        <f>IF(VLOOKUP(Table1346811[[#This Row],[Date]],'DB US ISM Manufacturing'!$A:$B,2)=0,#N/A,VLOOKUP(Table1346811[[#This Row],[Date]],'DB US ISM Manufacturing'!$A:$B,2))</f>
        <v/>
      </c>
    </row>
    <row r="29">
      <c r="A29" s="10" t="n">
        <v>41153</v>
      </c>
      <c r="B29" s="18">
        <f>IF(VLOOKUP(A29,'DB Country PMI'!$A:$AZ,MATCH($A$1,'DB Country PMI'!$A$1:$AZ$1,),)=0,#N/A,VLOOKUP(A29,'DB Country PMI'!$A:$AZ,MATCH($A$1,'DB Country PMI'!$A$1:$AZ$1,),))</f>
        <v/>
      </c>
      <c r="C29" s="24">
        <f>Table1346811[[#This Row],[PMI]]-B28</f>
        <v/>
      </c>
      <c r="D29" s="24">
        <f>IF(VLOOKUP(Table1346811[[#This Row],[Date]],'DB US ISM Manufacturing'!$A:$B,2)=0,#N/A,VLOOKUP(Table1346811[[#This Row],[Date]],'DB US ISM Manufacturing'!$A:$B,2))</f>
        <v/>
      </c>
    </row>
    <row r="30">
      <c r="A30" s="10" t="n">
        <v>41183</v>
      </c>
      <c r="B30" s="18">
        <f>IF(VLOOKUP(A30,'DB Country PMI'!$A:$AZ,MATCH($A$1,'DB Country PMI'!$A$1:$AZ$1,),)=0,#N/A,VLOOKUP(A30,'DB Country PMI'!$A:$AZ,MATCH($A$1,'DB Country PMI'!$A$1:$AZ$1,),))</f>
        <v/>
      </c>
      <c r="C30" s="24">
        <f>Table1346811[[#This Row],[PMI]]-B29</f>
        <v/>
      </c>
      <c r="D30" s="24">
        <f>IF(VLOOKUP(Table1346811[[#This Row],[Date]],'DB US ISM Manufacturing'!$A:$B,2)=0,#N/A,VLOOKUP(Table1346811[[#This Row],[Date]],'DB US ISM Manufacturing'!$A:$B,2))</f>
        <v/>
      </c>
    </row>
    <row r="31">
      <c r="A31" s="10" t="n">
        <v>41214</v>
      </c>
      <c r="B31" s="18">
        <f>IF(VLOOKUP(A31,'DB Country PMI'!$A:$AZ,MATCH($A$1,'DB Country PMI'!$A$1:$AZ$1,),)=0,#N/A,VLOOKUP(A31,'DB Country PMI'!$A:$AZ,MATCH($A$1,'DB Country PMI'!$A$1:$AZ$1,),))</f>
        <v/>
      </c>
      <c r="C31" s="24">
        <f>Table1346811[[#This Row],[PMI]]-B30</f>
        <v/>
      </c>
      <c r="D31" s="24">
        <f>IF(VLOOKUP(Table1346811[[#This Row],[Date]],'DB US ISM Manufacturing'!$A:$B,2)=0,#N/A,VLOOKUP(Table1346811[[#This Row],[Date]],'DB US ISM Manufacturing'!$A:$B,2))</f>
        <v/>
      </c>
    </row>
    <row r="32">
      <c r="A32" s="10" t="n">
        <v>41244</v>
      </c>
      <c r="B32" s="18">
        <f>IF(VLOOKUP(A32,'DB Country PMI'!$A:$AZ,MATCH($A$1,'DB Country PMI'!$A$1:$AZ$1,),)=0,#N/A,VLOOKUP(A32,'DB Country PMI'!$A:$AZ,MATCH($A$1,'DB Country PMI'!$A$1:$AZ$1,),))</f>
        <v/>
      </c>
      <c r="C32" s="24">
        <f>Table1346811[[#This Row],[PMI]]-B31</f>
        <v/>
      </c>
      <c r="D32" s="24">
        <f>IF(VLOOKUP(Table1346811[[#This Row],[Date]],'DB US ISM Manufacturing'!$A:$B,2)=0,#N/A,VLOOKUP(Table1346811[[#This Row],[Date]],'DB US ISM Manufacturing'!$A:$B,2))</f>
        <v/>
      </c>
    </row>
    <row r="33">
      <c r="A33" s="10" t="n">
        <v>41275</v>
      </c>
      <c r="B33" s="18">
        <f>IF(VLOOKUP(A33,'DB Country PMI'!$A:$AZ,MATCH($A$1,'DB Country PMI'!$A$1:$AZ$1,),)=0,#N/A,VLOOKUP(A33,'DB Country PMI'!$A:$AZ,MATCH($A$1,'DB Country PMI'!$A$1:$AZ$1,),))</f>
        <v/>
      </c>
      <c r="C33" s="24">
        <f>Table1346811[[#This Row],[PMI]]-B32</f>
        <v/>
      </c>
      <c r="D33" s="24">
        <f>IF(VLOOKUP(Table1346811[[#This Row],[Date]],'DB US ISM Manufacturing'!$A:$B,2)=0,#N/A,VLOOKUP(Table1346811[[#This Row],[Date]],'DB US ISM Manufacturing'!$A:$B,2))</f>
        <v/>
      </c>
    </row>
    <row r="34">
      <c r="A34" s="10" t="n">
        <v>41306</v>
      </c>
      <c r="B34" s="18">
        <f>IF(VLOOKUP(A34,'DB Country PMI'!$A:$AZ,MATCH($A$1,'DB Country PMI'!$A$1:$AZ$1,),)=0,#N/A,VLOOKUP(A34,'DB Country PMI'!$A:$AZ,MATCH($A$1,'DB Country PMI'!$A$1:$AZ$1,),))</f>
        <v/>
      </c>
      <c r="C34" s="24">
        <f>Table1346811[[#This Row],[PMI]]-B33</f>
        <v/>
      </c>
      <c r="D34" s="24">
        <f>IF(VLOOKUP(Table1346811[[#This Row],[Date]],'DB US ISM Manufacturing'!$A:$B,2)=0,#N/A,VLOOKUP(Table1346811[[#This Row],[Date]],'DB US ISM Manufacturing'!$A:$B,2))</f>
        <v/>
      </c>
    </row>
    <row r="35">
      <c r="A35" s="10" t="n">
        <v>41334</v>
      </c>
      <c r="B35" s="18">
        <f>IF(VLOOKUP(A35,'DB Country PMI'!$A:$AZ,MATCH($A$1,'DB Country PMI'!$A$1:$AZ$1,),)=0,#N/A,VLOOKUP(A35,'DB Country PMI'!$A:$AZ,MATCH($A$1,'DB Country PMI'!$A$1:$AZ$1,),))</f>
        <v/>
      </c>
      <c r="C35" s="24">
        <f>Table1346811[[#This Row],[PMI]]-B34</f>
        <v/>
      </c>
      <c r="D35" s="24">
        <f>IF(VLOOKUP(Table1346811[[#This Row],[Date]],'DB US ISM Manufacturing'!$A:$B,2)=0,#N/A,VLOOKUP(Table1346811[[#This Row],[Date]],'DB US ISM Manufacturing'!$A:$B,2))</f>
        <v/>
      </c>
    </row>
    <row r="36">
      <c r="A36" s="10" t="n">
        <v>41365</v>
      </c>
      <c r="B36" s="18">
        <f>IF(VLOOKUP(A36,'DB Country PMI'!$A:$AZ,MATCH($A$1,'DB Country PMI'!$A$1:$AZ$1,),)=0,#N/A,VLOOKUP(A36,'DB Country PMI'!$A:$AZ,MATCH($A$1,'DB Country PMI'!$A$1:$AZ$1,),))</f>
        <v/>
      </c>
      <c r="C36" s="24">
        <f>Table1346811[[#This Row],[PMI]]-B35</f>
        <v/>
      </c>
      <c r="D36" s="24">
        <f>IF(VLOOKUP(Table1346811[[#This Row],[Date]],'DB US ISM Manufacturing'!$A:$B,2)=0,#N/A,VLOOKUP(Table1346811[[#This Row],[Date]],'DB US ISM Manufacturing'!$A:$B,2))</f>
        <v/>
      </c>
    </row>
    <row r="37">
      <c r="A37" s="10" t="n">
        <v>41395</v>
      </c>
      <c r="B37" s="18">
        <f>IF(VLOOKUP(A37,'DB Country PMI'!$A:$AZ,MATCH($A$1,'DB Country PMI'!$A$1:$AZ$1,),)=0,#N/A,VLOOKUP(A37,'DB Country PMI'!$A:$AZ,MATCH($A$1,'DB Country PMI'!$A$1:$AZ$1,),))</f>
        <v/>
      </c>
      <c r="C37" s="24">
        <f>Table1346811[[#This Row],[PMI]]-B36</f>
        <v/>
      </c>
      <c r="D37" s="24">
        <f>IF(VLOOKUP(Table1346811[[#This Row],[Date]],'DB US ISM Manufacturing'!$A:$B,2)=0,#N/A,VLOOKUP(Table1346811[[#This Row],[Date]],'DB US ISM Manufacturing'!$A:$B,2))</f>
        <v/>
      </c>
    </row>
    <row r="38">
      <c r="A38" s="10" t="n">
        <v>41426</v>
      </c>
      <c r="B38" s="18">
        <f>IF(VLOOKUP(A38,'DB Country PMI'!$A:$AZ,MATCH($A$1,'DB Country PMI'!$A$1:$AZ$1,),)=0,#N/A,VLOOKUP(A38,'DB Country PMI'!$A:$AZ,MATCH($A$1,'DB Country PMI'!$A$1:$AZ$1,),))</f>
        <v/>
      </c>
      <c r="C38" s="24">
        <f>Table1346811[[#This Row],[PMI]]-B37</f>
        <v/>
      </c>
      <c r="D38" s="24">
        <f>IF(VLOOKUP(Table1346811[[#This Row],[Date]],'DB US ISM Manufacturing'!$A:$B,2)=0,#N/A,VLOOKUP(Table1346811[[#This Row],[Date]],'DB US ISM Manufacturing'!$A:$B,2))</f>
        <v/>
      </c>
    </row>
    <row r="39">
      <c r="A39" s="10" t="n">
        <v>41456</v>
      </c>
      <c r="B39" s="18">
        <f>IF(VLOOKUP(A39,'DB Country PMI'!$A:$AZ,MATCH($A$1,'DB Country PMI'!$A$1:$AZ$1,),)=0,#N/A,VLOOKUP(A39,'DB Country PMI'!$A:$AZ,MATCH($A$1,'DB Country PMI'!$A$1:$AZ$1,),))</f>
        <v/>
      </c>
      <c r="C39" s="24">
        <f>Table1346811[[#This Row],[PMI]]-B38</f>
        <v/>
      </c>
      <c r="D39" s="24">
        <f>IF(VLOOKUP(Table1346811[[#This Row],[Date]],'DB US ISM Manufacturing'!$A:$B,2)=0,#N/A,VLOOKUP(Table1346811[[#This Row],[Date]],'DB US ISM Manufacturing'!$A:$B,2))</f>
        <v/>
      </c>
    </row>
    <row r="40">
      <c r="A40" s="10" t="n">
        <v>41487</v>
      </c>
      <c r="B40" s="18">
        <f>IF(VLOOKUP(A40,'DB Country PMI'!$A:$AZ,MATCH($A$1,'DB Country PMI'!$A$1:$AZ$1,),)=0,#N/A,VLOOKUP(A40,'DB Country PMI'!$A:$AZ,MATCH($A$1,'DB Country PMI'!$A$1:$AZ$1,),))</f>
        <v/>
      </c>
      <c r="C40" s="24">
        <f>Table1346811[[#This Row],[PMI]]-B39</f>
        <v/>
      </c>
      <c r="D40" s="24">
        <f>IF(VLOOKUP(Table1346811[[#This Row],[Date]],'DB US ISM Manufacturing'!$A:$B,2)=0,#N/A,VLOOKUP(Table1346811[[#This Row],[Date]],'DB US ISM Manufacturing'!$A:$B,2))</f>
        <v/>
      </c>
    </row>
    <row r="41">
      <c r="A41" s="10" t="n">
        <v>41518</v>
      </c>
      <c r="B41" s="18">
        <f>IF(VLOOKUP(A41,'DB Country PMI'!$A:$AZ,MATCH($A$1,'DB Country PMI'!$A$1:$AZ$1,),)=0,#N/A,VLOOKUP(A41,'DB Country PMI'!$A:$AZ,MATCH($A$1,'DB Country PMI'!$A$1:$AZ$1,),))</f>
        <v/>
      </c>
      <c r="C41" s="24">
        <f>Table1346811[[#This Row],[PMI]]-B40</f>
        <v/>
      </c>
      <c r="D41" s="24">
        <f>IF(VLOOKUP(Table1346811[[#This Row],[Date]],'DB US ISM Manufacturing'!$A:$B,2)=0,#N/A,VLOOKUP(Table1346811[[#This Row],[Date]],'DB US ISM Manufacturing'!$A:$B,2))</f>
        <v/>
      </c>
    </row>
    <row r="42">
      <c r="A42" s="10" t="n">
        <v>41548</v>
      </c>
      <c r="B42" s="18">
        <f>IF(VLOOKUP(A42,'DB Country PMI'!$A:$AZ,MATCH($A$1,'DB Country PMI'!$A$1:$AZ$1,),)=0,#N/A,VLOOKUP(A42,'DB Country PMI'!$A:$AZ,MATCH($A$1,'DB Country PMI'!$A$1:$AZ$1,),))</f>
        <v/>
      </c>
      <c r="C42" s="24">
        <f>Table1346811[[#This Row],[PMI]]-B41</f>
        <v/>
      </c>
      <c r="D42" s="24">
        <f>IF(VLOOKUP(Table1346811[[#This Row],[Date]],'DB US ISM Manufacturing'!$A:$B,2)=0,#N/A,VLOOKUP(Table1346811[[#This Row],[Date]],'DB US ISM Manufacturing'!$A:$B,2))</f>
        <v/>
      </c>
    </row>
    <row r="43">
      <c r="A43" s="10" t="n">
        <v>41579</v>
      </c>
      <c r="B43" s="18">
        <f>IF(VLOOKUP(A43,'DB Country PMI'!$A:$AZ,MATCH($A$1,'DB Country PMI'!$A$1:$AZ$1,),)=0,#N/A,VLOOKUP(A43,'DB Country PMI'!$A:$AZ,MATCH($A$1,'DB Country PMI'!$A$1:$AZ$1,),))</f>
        <v/>
      </c>
      <c r="C43" s="24">
        <f>Table1346811[[#This Row],[PMI]]-B42</f>
        <v/>
      </c>
      <c r="D43" s="24">
        <f>IF(VLOOKUP(Table1346811[[#This Row],[Date]],'DB US ISM Manufacturing'!$A:$B,2)=0,#N/A,VLOOKUP(Table1346811[[#This Row],[Date]],'DB US ISM Manufacturing'!$A:$B,2))</f>
        <v/>
      </c>
    </row>
    <row r="44">
      <c r="A44" s="10" t="n">
        <v>41609</v>
      </c>
      <c r="B44" s="18">
        <f>IF(VLOOKUP(A44,'DB Country PMI'!$A:$AZ,MATCH($A$1,'DB Country PMI'!$A$1:$AZ$1,),)=0,#N/A,VLOOKUP(A44,'DB Country PMI'!$A:$AZ,MATCH($A$1,'DB Country PMI'!$A$1:$AZ$1,),))</f>
        <v/>
      </c>
      <c r="C44" s="24">
        <f>Table1346811[[#This Row],[PMI]]-B43</f>
        <v/>
      </c>
      <c r="D44" s="24">
        <f>IF(VLOOKUP(Table1346811[[#This Row],[Date]],'DB US ISM Manufacturing'!$A:$B,2)=0,#N/A,VLOOKUP(Table1346811[[#This Row],[Date]],'DB US ISM Manufacturing'!$A:$B,2))</f>
        <v/>
      </c>
    </row>
    <row r="45">
      <c r="A45" s="10" t="n">
        <v>41640</v>
      </c>
      <c r="B45" s="18">
        <f>IF(VLOOKUP(A45,'DB Country PMI'!$A:$AZ,MATCH($A$1,'DB Country PMI'!$A$1:$AZ$1,),)=0,#N/A,VLOOKUP(A45,'DB Country PMI'!$A:$AZ,MATCH($A$1,'DB Country PMI'!$A$1:$AZ$1,),))</f>
        <v/>
      </c>
      <c r="C45" s="24">
        <f>Table1346811[[#This Row],[PMI]]-B44</f>
        <v/>
      </c>
      <c r="D45" s="24">
        <f>IF(VLOOKUP(Table1346811[[#This Row],[Date]],'DB US ISM Manufacturing'!$A:$B,2)=0,#N/A,VLOOKUP(Table1346811[[#This Row],[Date]],'DB US ISM Manufacturing'!$A:$B,2))</f>
        <v/>
      </c>
    </row>
    <row r="46">
      <c r="A46" s="10" t="n">
        <v>41671</v>
      </c>
      <c r="B46" s="18">
        <f>IF(VLOOKUP(A46,'DB Country PMI'!$A:$AZ,MATCH($A$1,'DB Country PMI'!$A$1:$AZ$1,),)=0,#N/A,VLOOKUP(A46,'DB Country PMI'!$A:$AZ,MATCH($A$1,'DB Country PMI'!$A$1:$AZ$1,),))</f>
        <v/>
      </c>
      <c r="C46" s="24">
        <f>Table1346811[[#This Row],[PMI]]-B45</f>
        <v/>
      </c>
      <c r="D46" s="24">
        <f>IF(VLOOKUP(Table1346811[[#This Row],[Date]],'DB US ISM Manufacturing'!$A:$B,2)=0,#N/A,VLOOKUP(Table1346811[[#This Row],[Date]],'DB US ISM Manufacturing'!$A:$B,2))</f>
        <v/>
      </c>
    </row>
    <row r="47">
      <c r="A47" s="10" t="n">
        <v>41699</v>
      </c>
      <c r="B47" s="18">
        <f>IF(VLOOKUP(A47,'DB Country PMI'!$A:$AZ,MATCH($A$1,'DB Country PMI'!$A$1:$AZ$1,),)=0,#N/A,VLOOKUP(A47,'DB Country PMI'!$A:$AZ,MATCH($A$1,'DB Country PMI'!$A$1:$AZ$1,),))</f>
        <v/>
      </c>
      <c r="C47" s="24">
        <f>Table1346811[[#This Row],[PMI]]-B46</f>
        <v/>
      </c>
      <c r="D47" s="24">
        <f>IF(VLOOKUP(Table1346811[[#This Row],[Date]],'DB US ISM Manufacturing'!$A:$B,2)=0,#N/A,VLOOKUP(Table1346811[[#This Row],[Date]],'DB US ISM Manufacturing'!$A:$B,2))</f>
        <v/>
      </c>
    </row>
    <row r="48">
      <c r="A48" s="10" t="n">
        <v>41730</v>
      </c>
      <c r="B48" s="18">
        <f>IF(VLOOKUP(A48,'DB Country PMI'!$A:$AZ,MATCH($A$1,'DB Country PMI'!$A$1:$AZ$1,),)=0,#N/A,VLOOKUP(A48,'DB Country PMI'!$A:$AZ,MATCH($A$1,'DB Country PMI'!$A$1:$AZ$1,),))</f>
        <v/>
      </c>
      <c r="C48" s="24">
        <f>Table1346811[[#This Row],[PMI]]-B47</f>
        <v/>
      </c>
      <c r="D48" s="24">
        <f>IF(VLOOKUP(Table1346811[[#This Row],[Date]],'DB US ISM Manufacturing'!$A:$B,2)=0,#N/A,VLOOKUP(Table1346811[[#This Row],[Date]],'DB US ISM Manufacturing'!$A:$B,2))</f>
        <v/>
      </c>
    </row>
    <row r="49">
      <c r="A49" s="10" t="n">
        <v>41760</v>
      </c>
      <c r="B49" s="18">
        <f>IF(VLOOKUP(A49,'DB Country PMI'!$A:$AZ,MATCH($A$1,'DB Country PMI'!$A$1:$AZ$1,),)=0,#N/A,VLOOKUP(A49,'DB Country PMI'!$A:$AZ,MATCH($A$1,'DB Country PMI'!$A$1:$AZ$1,),))</f>
        <v/>
      </c>
      <c r="C49" s="24">
        <f>Table1346811[[#This Row],[PMI]]-B48</f>
        <v/>
      </c>
      <c r="D49" s="24">
        <f>IF(VLOOKUP(Table1346811[[#This Row],[Date]],'DB US ISM Manufacturing'!$A:$B,2)=0,#N/A,VLOOKUP(Table1346811[[#This Row],[Date]],'DB US ISM Manufacturing'!$A:$B,2))</f>
        <v/>
      </c>
    </row>
    <row r="50">
      <c r="A50" s="10" t="n">
        <v>41791</v>
      </c>
      <c r="B50" s="18">
        <f>IF(VLOOKUP(A50,'DB Country PMI'!$A:$AZ,MATCH($A$1,'DB Country PMI'!$A$1:$AZ$1,),)=0,#N/A,VLOOKUP(A50,'DB Country PMI'!$A:$AZ,MATCH($A$1,'DB Country PMI'!$A$1:$AZ$1,),))</f>
        <v/>
      </c>
      <c r="C50" s="24">
        <f>Table1346811[[#This Row],[PMI]]-B49</f>
        <v/>
      </c>
      <c r="D50" s="24">
        <f>IF(VLOOKUP(Table1346811[[#This Row],[Date]],'DB US ISM Manufacturing'!$A:$B,2)=0,#N/A,VLOOKUP(Table1346811[[#This Row],[Date]],'DB US ISM Manufacturing'!$A:$B,2))</f>
        <v/>
      </c>
    </row>
    <row r="51">
      <c r="A51" s="10" t="n">
        <v>41821</v>
      </c>
      <c r="B51" s="18">
        <f>IF(VLOOKUP(A51,'DB Country PMI'!$A:$AZ,MATCH($A$1,'DB Country PMI'!$A$1:$AZ$1,),)=0,#N/A,VLOOKUP(A51,'DB Country PMI'!$A:$AZ,MATCH($A$1,'DB Country PMI'!$A$1:$AZ$1,),))</f>
        <v/>
      </c>
      <c r="C51" s="24">
        <f>Table1346811[[#This Row],[PMI]]-B50</f>
        <v/>
      </c>
      <c r="D51" s="24">
        <f>IF(VLOOKUP(Table1346811[[#This Row],[Date]],'DB US ISM Manufacturing'!$A:$B,2)=0,#N/A,VLOOKUP(Table1346811[[#This Row],[Date]],'DB US ISM Manufacturing'!$A:$B,2))</f>
        <v/>
      </c>
    </row>
    <row r="52">
      <c r="A52" s="10" t="n">
        <v>41852</v>
      </c>
      <c r="B52" s="18">
        <f>IF(VLOOKUP(A52,'DB Country PMI'!$A:$AZ,MATCH($A$1,'DB Country PMI'!$A$1:$AZ$1,),)=0,#N/A,VLOOKUP(A52,'DB Country PMI'!$A:$AZ,MATCH($A$1,'DB Country PMI'!$A$1:$AZ$1,),))</f>
        <v/>
      </c>
      <c r="C52" s="24">
        <f>Table1346811[[#This Row],[PMI]]-B51</f>
        <v/>
      </c>
      <c r="D52" s="24">
        <f>IF(VLOOKUP(Table1346811[[#This Row],[Date]],'DB US ISM Manufacturing'!$A:$B,2)=0,#N/A,VLOOKUP(Table1346811[[#This Row],[Date]],'DB US ISM Manufacturing'!$A:$B,2))</f>
        <v/>
      </c>
    </row>
    <row r="53">
      <c r="A53" s="10" t="n">
        <v>41883</v>
      </c>
      <c r="B53" s="18">
        <f>IF(VLOOKUP(A53,'DB Country PMI'!$A:$AZ,MATCH($A$1,'DB Country PMI'!$A$1:$AZ$1,),)=0,#N/A,VLOOKUP(A53,'DB Country PMI'!$A:$AZ,MATCH($A$1,'DB Country PMI'!$A$1:$AZ$1,),))</f>
        <v/>
      </c>
      <c r="C53" s="24">
        <f>Table1346811[[#This Row],[PMI]]-B52</f>
        <v/>
      </c>
      <c r="D53" s="24">
        <f>IF(VLOOKUP(Table1346811[[#This Row],[Date]],'DB US ISM Manufacturing'!$A:$B,2)=0,#N/A,VLOOKUP(Table1346811[[#This Row],[Date]],'DB US ISM Manufacturing'!$A:$B,2))</f>
        <v/>
      </c>
    </row>
    <row r="54">
      <c r="A54" s="10" t="n">
        <v>41913</v>
      </c>
      <c r="B54" s="18">
        <f>IF(VLOOKUP(A54,'DB Country PMI'!$A:$AZ,MATCH($A$1,'DB Country PMI'!$A$1:$AZ$1,),)=0,#N/A,VLOOKUP(A54,'DB Country PMI'!$A:$AZ,MATCH($A$1,'DB Country PMI'!$A$1:$AZ$1,),))</f>
        <v/>
      </c>
      <c r="C54" s="24">
        <f>Table1346811[[#This Row],[PMI]]-B53</f>
        <v/>
      </c>
      <c r="D54" s="24">
        <f>IF(VLOOKUP(Table1346811[[#This Row],[Date]],'DB US ISM Manufacturing'!$A:$B,2)=0,#N/A,VLOOKUP(Table1346811[[#This Row],[Date]],'DB US ISM Manufacturing'!$A:$B,2))</f>
        <v/>
      </c>
    </row>
    <row r="55">
      <c r="A55" s="10" t="n">
        <v>41944</v>
      </c>
      <c r="B55" s="18">
        <f>IF(VLOOKUP(A55,'DB Country PMI'!$A:$AZ,MATCH($A$1,'DB Country PMI'!$A$1:$AZ$1,),)=0,#N/A,VLOOKUP(A55,'DB Country PMI'!$A:$AZ,MATCH($A$1,'DB Country PMI'!$A$1:$AZ$1,),))</f>
        <v/>
      </c>
      <c r="C55" s="24">
        <f>Table1346811[[#This Row],[PMI]]-B54</f>
        <v/>
      </c>
      <c r="D55" s="24">
        <f>IF(VLOOKUP(Table1346811[[#This Row],[Date]],'DB US ISM Manufacturing'!$A:$B,2)=0,#N/A,VLOOKUP(Table1346811[[#This Row],[Date]],'DB US ISM Manufacturing'!$A:$B,2))</f>
        <v/>
      </c>
    </row>
    <row r="56">
      <c r="A56" s="10" t="n">
        <v>41974</v>
      </c>
      <c r="B56" s="18">
        <f>IF(VLOOKUP(A56,'DB Country PMI'!$A:$AZ,MATCH($A$1,'DB Country PMI'!$A$1:$AZ$1,),)=0,#N/A,VLOOKUP(A56,'DB Country PMI'!$A:$AZ,MATCH($A$1,'DB Country PMI'!$A$1:$AZ$1,),))</f>
        <v/>
      </c>
      <c r="C56" s="24">
        <f>Table1346811[[#This Row],[PMI]]-B55</f>
        <v/>
      </c>
      <c r="D56" s="24">
        <f>IF(VLOOKUP(Table1346811[[#This Row],[Date]],'DB US ISM Manufacturing'!$A:$B,2)=0,#N/A,VLOOKUP(Table1346811[[#This Row],[Date]],'DB US ISM Manufacturing'!$A:$B,2))</f>
        <v/>
      </c>
    </row>
    <row r="57">
      <c r="A57" s="10" t="n">
        <v>42005</v>
      </c>
      <c r="B57" s="18">
        <f>IF(VLOOKUP(A57,'DB Country PMI'!$A:$AZ,MATCH($A$1,'DB Country PMI'!$A$1:$AZ$1,),)=0,#N/A,VLOOKUP(A57,'DB Country PMI'!$A:$AZ,MATCH($A$1,'DB Country PMI'!$A$1:$AZ$1,),))</f>
        <v/>
      </c>
      <c r="C57" s="24">
        <f>Table1346811[[#This Row],[PMI]]-B56</f>
        <v/>
      </c>
      <c r="D57" s="24">
        <f>IF(VLOOKUP(Table1346811[[#This Row],[Date]],'DB US ISM Manufacturing'!$A:$B,2)=0,#N/A,VLOOKUP(Table1346811[[#This Row],[Date]],'DB US ISM Manufacturing'!$A:$B,2))</f>
        <v/>
      </c>
    </row>
    <row r="58">
      <c r="A58" s="10" t="n">
        <v>42036</v>
      </c>
      <c r="B58" s="18">
        <f>IF(VLOOKUP(A58,'DB Country PMI'!$A:$AZ,MATCH($A$1,'DB Country PMI'!$A$1:$AZ$1,),)=0,#N/A,VLOOKUP(A58,'DB Country PMI'!$A:$AZ,MATCH($A$1,'DB Country PMI'!$A$1:$AZ$1,),))</f>
        <v/>
      </c>
      <c r="C58" s="24">
        <f>Table1346811[[#This Row],[PMI]]-B57</f>
        <v/>
      </c>
      <c r="D58" s="24">
        <f>IF(VLOOKUP(Table1346811[[#This Row],[Date]],'DB US ISM Manufacturing'!$A:$B,2)=0,#N/A,VLOOKUP(Table1346811[[#This Row],[Date]],'DB US ISM Manufacturing'!$A:$B,2))</f>
        <v/>
      </c>
    </row>
    <row r="59">
      <c r="A59" s="10" t="n">
        <v>42064</v>
      </c>
      <c r="B59" s="18">
        <f>IF(VLOOKUP(A59,'DB Country PMI'!$A:$AZ,MATCH($A$1,'DB Country PMI'!$A$1:$AZ$1,),)=0,#N/A,VLOOKUP(A59,'DB Country PMI'!$A:$AZ,MATCH($A$1,'DB Country PMI'!$A$1:$AZ$1,),))</f>
        <v/>
      </c>
      <c r="C59" s="24">
        <f>Table1346811[[#This Row],[PMI]]-B58</f>
        <v/>
      </c>
      <c r="D59" s="24">
        <f>IF(VLOOKUP(Table1346811[[#This Row],[Date]],'DB US ISM Manufacturing'!$A:$B,2)=0,#N/A,VLOOKUP(Table1346811[[#This Row],[Date]],'DB US ISM Manufacturing'!$A:$B,2))</f>
        <v/>
      </c>
    </row>
    <row r="60">
      <c r="A60" s="10" t="n">
        <v>42095</v>
      </c>
      <c r="B60" s="18">
        <f>IF(VLOOKUP(A60,'DB Country PMI'!$A:$AZ,MATCH($A$1,'DB Country PMI'!$A$1:$AZ$1,),)=0,#N/A,VLOOKUP(A60,'DB Country PMI'!$A:$AZ,MATCH($A$1,'DB Country PMI'!$A$1:$AZ$1,),))</f>
        <v/>
      </c>
      <c r="C60" s="24">
        <f>Table1346811[[#This Row],[PMI]]-B59</f>
        <v/>
      </c>
      <c r="D60" s="24">
        <f>IF(VLOOKUP(Table1346811[[#This Row],[Date]],'DB US ISM Manufacturing'!$A:$B,2)=0,#N/A,VLOOKUP(Table1346811[[#This Row],[Date]],'DB US ISM Manufacturing'!$A:$B,2))</f>
        <v/>
      </c>
    </row>
    <row r="61">
      <c r="A61" s="10" t="n">
        <v>42125</v>
      </c>
      <c r="B61" s="18">
        <f>IF(VLOOKUP(A61,'DB Country PMI'!$A:$AZ,MATCH($A$1,'DB Country PMI'!$A$1:$AZ$1,),)=0,#N/A,VLOOKUP(A61,'DB Country PMI'!$A:$AZ,MATCH($A$1,'DB Country PMI'!$A$1:$AZ$1,),))</f>
        <v/>
      </c>
      <c r="C61" s="24">
        <f>Table1346811[[#This Row],[PMI]]-B60</f>
        <v/>
      </c>
      <c r="D61" s="24">
        <f>IF(VLOOKUP(Table1346811[[#This Row],[Date]],'DB US ISM Manufacturing'!$A:$B,2)=0,#N/A,VLOOKUP(Table1346811[[#This Row],[Date]],'DB US ISM Manufacturing'!$A:$B,2))</f>
        <v/>
      </c>
    </row>
    <row r="62">
      <c r="A62" s="10" t="n">
        <v>42156</v>
      </c>
      <c r="B62" s="18">
        <f>IF(VLOOKUP(A62,'DB Country PMI'!$A:$AZ,MATCH($A$1,'DB Country PMI'!$A$1:$AZ$1,),)=0,#N/A,VLOOKUP(A62,'DB Country PMI'!$A:$AZ,MATCH($A$1,'DB Country PMI'!$A$1:$AZ$1,),))</f>
        <v/>
      </c>
      <c r="C62" s="24">
        <f>Table1346811[[#This Row],[PMI]]-B61</f>
        <v/>
      </c>
      <c r="D62" s="24">
        <f>IF(VLOOKUP(Table1346811[[#This Row],[Date]],'DB US ISM Manufacturing'!$A:$B,2)=0,#N/A,VLOOKUP(Table1346811[[#This Row],[Date]],'DB US ISM Manufacturing'!$A:$B,2))</f>
        <v/>
      </c>
    </row>
    <row r="63">
      <c r="A63" s="10" t="n">
        <v>42186</v>
      </c>
      <c r="B63" s="18">
        <f>IF(VLOOKUP(A63,'DB Country PMI'!$A:$AZ,MATCH($A$1,'DB Country PMI'!$A$1:$AZ$1,),)=0,#N/A,VLOOKUP(A63,'DB Country PMI'!$A:$AZ,MATCH($A$1,'DB Country PMI'!$A$1:$AZ$1,),))</f>
        <v/>
      </c>
      <c r="C63" s="24">
        <f>Table1346811[[#This Row],[PMI]]-B62</f>
        <v/>
      </c>
      <c r="D63" s="24">
        <f>IF(VLOOKUP(Table1346811[[#This Row],[Date]],'DB US ISM Manufacturing'!$A:$B,2)=0,#N/A,VLOOKUP(Table1346811[[#This Row],[Date]],'DB US ISM Manufacturing'!$A:$B,2))</f>
        <v/>
      </c>
    </row>
    <row r="64">
      <c r="A64" s="10" t="n">
        <v>42217</v>
      </c>
      <c r="B64" s="18">
        <f>IF(VLOOKUP(A64,'DB Country PMI'!$A:$AZ,MATCH($A$1,'DB Country PMI'!$A$1:$AZ$1,),)=0,#N/A,VLOOKUP(A64,'DB Country PMI'!$A:$AZ,MATCH($A$1,'DB Country PMI'!$A$1:$AZ$1,),))</f>
        <v/>
      </c>
      <c r="C64" s="24">
        <f>Table1346811[[#This Row],[PMI]]-B63</f>
        <v/>
      </c>
      <c r="D64" s="24">
        <f>IF(VLOOKUP(Table1346811[[#This Row],[Date]],'DB US ISM Manufacturing'!$A:$B,2)=0,#N/A,VLOOKUP(Table1346811[[#This Row],[Date]],'DB US ISM Manufacturing'!$A:$B,2))</f>
        <v/>
      </c>
    </row>
    <row r="65">
      <c r="A65" s="10" t="n">
        <v>42248</v>
      </c>
      <c r="B65" s="18">
        <f>IF(VLOOKUP(A65,'DB Country PMI'!$A:$AZ,MATCH($A$1,'DB Country PMI'!$A$1:$AZ$1,),)=0,#N/A,VLOOKUP(A65,'DB Country PMI'!$A:$AZ,MATCH($A$1,'DB Country PMI'!$A$1:$AZ$1,),))</f>
        <v/>
      </c>
      <c r="C65" s="24">
        <f>Table1346811[[#This Row],[PMI]]-B64</f>
        <v/>
      </c>
      <c r="D65" s="24">
        <f>IF(VLOOKUP(Table1346811[[#This Row],[Date]],'DB US ISM Manufacturing'!$A:$B,2)=0,#N/A,VLOOKUP(Table1346811[[#This Row],[Date]],'DB US ISM Manufacturing'!$A:$B,2))</f>
        <v/>
      </c>
    </row>
    <row r="66">
      <c r="A66" s="10" t="n">
        <v>42278</v>
      </c>
      <c r="B66" s="18">
        <f>IF(VLOOKUP(A66,'DB Country PMI'!$A:$AZ,MATCH($A$1,'DB Country PMI'!$A$1:$AZ$1,),)=0,#N/A,VLOOKUP(A66,'DB Country PMI'!$A:$AZ,MATCH($A$1,'DB Country PMI'!$A$1:$AZ$1,),))</f>
        <v/>
      </c>
      <c r="C66" s="24">
        <f>Table1346811[[#This Row],[PMI]]-B65</f>
        <v/>
      </c>
      <c r="D66" s="24">
        <f>IF(VLOOKUP(Table1346811[[#This Row],[Date]],'DB US ISM Manufacturing'!$A:$B,2)=0,#N/A,VLOOKUP(Table1346811[[#This Row],[Date]],'DB US ISM Manufacturing'!$A:$B,2))</f>
        <v/>
      </c>
    </row>
    <row r="67">
      <c r="A67" s="10" t="n">
        <v>42309</v>
      </c>
      <c r="B67" s="18">
        <f>IF(VLOOKUP(A67,'DB Country PMI'!$A:$AZ,MATCH($A$1,'DB Country PMI'!$A$1:$AZ$1,),)=0,#N/A,VLOOKUP(A67,'DB Country PMI'!$A:$AZ,MATCH($A$1,'DB Country PMI'!$A$1:$AZ$1,),))</f>
        <v/>
      </c>
      <c r="C67" s="24">
        <f>Table1346811[[#This Row],[PMI]]-B66</f>
        <v/>
      </c>
      <c r="D67" s="24">
        <f>IF(VLOOKUP(Table1346811[[#This Row],[Date]],'DB US ISM Manufacturing'!$A:$B,2)=0,#N/A,VLOOKUP(Table1346811[[#This Row],[Date]],'DB US ISM Manufacturing'!$A:$B,2))</f>
        <v/>
      </c>
    </row>
    <row r="68">
      <c r="A68" s="10" t="n">
        <v>42339</v>
      </c>
      <c r="B68" s="18">
        <f>IF(VLOOKUP(A68,'DB Country PMI'!$A:$AZ,MATCH($A$1,'DB Country PMI'!$A$1:$AZ$1,),)=0,#N/A,VLOOKUP(A68,'DB Country PMI'!$A:$AZ,MATCH($A$1,'DB Country PMI'!$A$1:$AZ$1,),))</f>
        <v/>
      </c>
      <c r="C68" s="24">
        <f>Table1346811[[#This Row],[PMI]]-B67</f>
        <v/>
      </c>
      <c r="D68" s="24">
        <f>IF(VLOOKUP(Table1346811[[#This Row],[Date]],'DB US ISM Manufacturing'!$A:$B,2)=0,#N/A,VLOOKUP(Table1346811[[#This Row],[Date]],'DB US ISM Manufacturing'!$A:$B,2))</f>
        <v/>
      </c>
    </row>
    <row r="69">
      <c r="A69" s="10" t="n">
        <v>42370</v>
      </c>
      <c r="B69" s="18">
        <f>IF(VLOOKUP(A69,'DB Country PMI'!$A:$AZ,MATCH($A$1,'DB Country PMI'!$A$1:$AZ$1,),)=0,#N/A,VLOOKUP(A69,'DB Country PMI'!$A:$AZ,MATCH($A$1,'DB Country PMI'!$A$1:$AZ$1,),))</f>
        <v/>
      </c>
      <c r="C69" s="24">
        <f>Table1346811[[#This Row],[PMI]]-B68</f>
        <v/>
      </c>
      <c r="D69" s="24">
        <f>IF(VLOOKUP(Table1346811[[#This Row],[Date]],'DB US ISM Manufacturing'!$A:$B,2)=0,#N/A,VLOOKUP(Table1346811[[#This Row],[Date]],'DB US ISM Manufacturing'!$A:$B,2))</f>
        <v/>
      </c>
    </row>
    <row r="70">
      <c r="A70" s="10" t="n">
        <v>42401</v>
      </c>
      <c r="B70" s="18">
        <f>IF(VLOOKUP(A70,'DB Country PMI'!$A:$AZ,MATCH($A$1,'DB Country PMI'!$A$1:$AZ$1,),)=0,#N/A,VLOOKUP(A70,'DB Country PMI'!$A:$AZ,MATCH($A$1,'DB Country PMI'!$A$1:$AZ$1,),))</f>
        <v/>
      </c>
      <c r="C70" s="24">
        <f>Table1346811[[#This Row],[PMI]]-B69</f>
        <v/>
      </c>
      <c r="D70" s="24">
        <f>IF(VLOOKUP(Table1346811[[#This Row],[Date]],'DB US ISM Manufacturing'!$A:$B,2)=0,#N/A,VLOOKUP(Table1346811[[#This Row],[Date]],'DB US ISM Manufacturing'!$A:$B,2))</f>
        <v/>
      </c>
    </row>
    <row r="71">
      <c r="A71" s="10" t="n">
        <v>42430</v>
      </c>
      <c r="B71" s="18">
        <f>IF(VLOOKUP(A71,'DB Country PMI'!$A:$AZ,MATCH($A$1,'DB Country PMI'!$A$1:$AZ$1,),)=0,#N/A,VLOOKUP(A71,'DB Country PMI'!$A:$AZ,MATCH($A$1,'DB Country PMI'!$A$1:$AZ$1,),))</f>
        <v/>
      </c>
      <c r="C71" s="24">
        <f>Table1346811[[#This Row],[PMI]]-B70</f>
        <v/>
      </c>
      <c r="D71" s="24">
        <f>IF(VLOOKUP(Table1346811[[#This Row],[Date]],'DB US ISM Manufacturing'!$A:$B,2)=0,#N/A,VLOOKUP(Table1346811[[#This Row],[Date]],'DB US ISM Manufacturing'!$A:$B,2))</f>
        <v/>
      </c>
    </row>
    <row r="72">
      <c r="A72" s="10" t="n">
        <v>42461</v>
      </c>
      <c r="B72" s="18">
        <f>IF(VLOOKUP(A72,'DB Country PMI'!$A:$AZ,MATCH($A$1,'DB Country PMI'!$A$1:$AZ$1,),)=0,#N/A,VLOOKUP(A72,'DB Country PMI'!$A:$AZ,MATCH($A$1,'DB Country PMI'!$A$1:$AZ$1,),))</f>
        <v/>
      </c>
      <c r="C72" s="24">
        <f>Table1346811[[#This Row],[PMI]]-B71</f>
        <v/>
      </c>
      <c r="D72" s="24">
        <f>IF(VLOOKUP(Table1346811[[#This Row],[Date]],'DB US ISM Manufacturing'!$A:$B,2)=0,#N/A,VLOOKUP(Table1346811[[#This Row],[Date]],'DB US ISM Manufacturing'!$A:$B,2))</f>
        <v/>
      </c>
    </row>
    <row r="73">
      <c r="A73" s="10" t="n">
        <v>42491</v>
      </c>
      <c r="B73" s="18">
        <f>IF(VLOOKUP(A73,'DB Country PMI'!$A:$AZ,MATCH($A$1,'DB Country PMI'!$A$1:$AZ$1,),)=0,#N/A,VLOOKUP(A73,'DB Country PMI'!$A:$AZ,MATCH($A$1,'DB Country PMI'!$A$1:$AZ$1,),))</f>
        <v/>
      </c>
      <c r="C73" s="24">
        <f>Table1346811[[#This Row],[PMI]]-B72</f>
        <v/>
      </c>
      <c r="D73" s="24">
        <f>IF(VLOOKUP(Table1346811[[#This Row],[Date]],'DB US ISM Manufacturing'!$A:$B,2)=0,#N/A,VLOOKUP(Table1346811[[#This Row],[Date]],'DB US ISM Manufacturing'!$A:$B,2))</f>
        <v/>
      </c>
    </row>
    <row r="74">
      <c r="A74" s="10" t="n">
        <v>42522</v>
      </c>
      <c r="B74" s="18">
        <f>IF(VLOOKUP(A74,'DB Country PMI'!$A:$AZ,MATCH($A$1,'DB Country PMI'!$A$1:$AZ$1,),)=0,#N/A,VLOOKUP(A74,'DB Country PMI'!$A:$AZ,MATCH($A$1,'DB Country PMI'!$A$1:$AZ$1,),))</f>
        <v/>
      </c>
      <c r="C74" s="24">
        <f>Table1346811[[#This Row],[PMI]]-B73</f>
        <v/>
      </c>
      <c r="D74" s="24">
        <f>IF(VLOOKUP(Table1346811[[#This Row],[Date]],'DB US ISM Manufacturing'!$A:$B,2)=0,#N/A,VLOOKUP(Table1346811[[#This Row],[Date]],'DB US ISM Manufacturing'!$A:$B,2))</f>
        <v/>
      </c>
    </row>
    <row r="75">
      <c r="A75" s="10" t="n">
        <v>42552</v>
      </c>
      <c r="B75" s="18">
        <f>IF(VLOOKUP(A75,'DB Country PMI'!$A:$AZ,MATCH($A$1,'DB Country PMI'!$A$1:$AZ$1,),)=0,#N/A,VLOOKUP(A75,'DB Country PMI'!$A:$AZ,MATCH($A$1,'DB Country PMI'!$A$1:$AZ$1,),))</f>
        <v/>
      </c>
      <c r="C75" s="24">
        <f>Table1346811[[#This Row],[PMI]]-B74</f>
        <v/>
      </c>
      <c r="D75" s="24">
        <f>IF(VLOOKUP(Table1346811[[#This Row],[Date]],'DB US ISM Manufacturing'!$A:$B,2)=0,#N/A,VLOOKUP(Table1346811[[#This Row],[Date]],'DB US ISM Manufacturing'!$A:$B,2))</f>
        <v/>
      </c>
    </row>
    <row r="76">
      <c r="A76" s="10" t="n">
        <v>42583</v>
      </c>
      <c r="B76" s="18">
        <f>IF(VLOOKUP(A76,'DB Country PMI'!$A:$AZ,MATCH($A$1,'DB Country PMI'!$A$1:$AZ$1,),)=0,#N/A,VLOOKUP(A76,'DB Country PMI'!$A:$AZ,MATCH($A$1,'DB Country PMI'!$A$1:$AZ$1,),))</f>
        <v/>
      </c>
      <c r="C76" s="24">
        <f>Table1346811[[#This Row],[PMI]]-B75</f>
        <v/>
      </c>
      <c r="D76" s="24">
        <f>IF(VLOOKUP(Table1346811[[#This Row],[Date]],'DB US ISM Manufacturing'!$A:$B,2)=0,#N/A,VLOOKUP(Table1346811[[#This Row],[Date]],'DB US ISM Manufacturing'!$A:$B,2))</f>
        <v/>
      </c>
    </row>
    <row r="77">
      <c r="A77" s="10" t="n">
        <v>42614</v>
      </c>
      <c r="B77" s="18">
        <f>IF(VLOOKUP(A77,'DB Country PMI'!$A:$AZ,MATCH($A$1,'DB Country PMI'!$A$1:$AZ$1,),)=0,#N/A,VLOOKUP(A77,'DB Country PMI'!$A:$AZ,MATCH($A$1,'DB Country PMI'!$A$1:$AZ$1,),))</f>
        <v/>
      </c>
      <c r="C77" s="24">
        <f>Table1346811[[#This Row],[PMI]]-B76</f>
        <v/>
      </c>
      <c r="D77" s="24">
        <f>IF(VLOOKUP(Table1346811[[#This Row],[Date]],'DB US ISM Manufacturing'!$A:$B,2)=0,#N/A,VLOOKUP(Table1346811[[#This Row],[Date]],'DB US ISM Manufacturing'!$A:$B,2))</f>
        <v/>
      </c>
    </row>
    <row r="78">
      <c r="A78" s="10" t="n">
        <v>42644</v>
      </c>
      <c r="B78" s="18">
        <f>IF(VLOOKUP(A78,'DB Country PMI'!$A:$AZ,MATCH($A$1,'DB Country PMI'!$A$1:$AZ$1,),)=0,#N/A,VLOOKUP(A78,'DB Country PMI'!$A:$AZ,MATCH($A$1,'DB Country PMI'!$A$1:$AZ$1,),))</f>
        <v/>
      </c>
      <c r="C78" s="24">
        <f>Table1346811[[#This Row],[PMI]]-B77</f>
        <v/>
      </c>
      <c r="D78" s="24">
        <f>IF(VLOOKUP(Table1346811[[#This Row],[Date]],'DB US ISM Manufacturing'!$A:$B,2)=0,#N/A,VLOOKUP(Table1346811[[#This Row],[Date]],'DB US ISM Manufacturing'!$A:$B,2))</f>
        <v/>
      </c>
    </row>
    <row r="79">
      <c r="A79" s="10" t="n">
        <v>42675</v>
      </c>
      <c r="B79" s="18">
        <f>IF(VLOOKUP(A79,'DB Country PMI'!$A:$AZ,MATCH($A$1,'DB Country PMI'!$A$1:$AZ$1,),)=0,#N/A,VLOOKUP(A79,'DB Country PMI'!$A:$AZ,MATCH($A$1,'DB Country PMI'!$A$1:$AZ$1,),))</f>
        <v/>
      </c>
      <c r="C79" s="24">
        <f>Table1346811[[#This Row],[PMI]]-B78</f>
        <v/>
      </c>
      <c r="D79" s="24">
        <f>IF(VLOOKUP(Table1346811[[#This Row],[Date]],'DB US ISM Manufacturing'!$A:$B,2)=0,#N/A,VLOOKUP(Table1346811[[#This Row],[Date]],'DB US ISM Manufacturing'!$A:$B,2))</f>
        <v/>
      </c>
    </row>
    <row r="80">
      <c r="A80" s="10" t="n">
        <v>42705</v>
      </c>
      <c r="B80" s="18">
        <f>IF(VLOOKUP(A80,'DB Country PMI'!$A:$AZ,MATCH($A$1,'DB Country PMI'!$A$1:$AZ$1,),)=0,#N/A,VLOOKUP(A80,'DB Country PMI'!$A:$AZ,MATCH($A$1,'DB Country PMI'!$A$1:$AZ$1,),))</f>
        <v/>
      </c>
      <c r="C80" s="24">
        <f>Table1346811[[#This Row],[PMI]]-B79</f>
        <v/>
      </c>
      <c r="D80" s="24">
        <f>IF(VLOOKUP(Table1346811[[#This Row],[Date]],'DB US ISM Manufacturing'!$A:$B,2)=0,#N/A,VLOOKUP(Table1346811[[#This Row],[Date]],'DB US ISM Manufacturing'!$A:$B,2))</f>
        <v/>
      </c>
    </row>
    <row r="81">
      <c r="A81" s="10" t="n">
        <v>42736</v>
      </c>
      <c r="B81" s="18">
        <f>IF(VLOOKUP(A81,'DB Country PMI'!$A:$AZ,MATCH($A$1,'DB Country PMI'!$A$1:$AZ$1,),)=0,#N/A,VLOOKUP(A81,'DB Country PMI'!$A:$AZ,MATCH($A$1,'DB Country PMI'!$A$1:$AZ$1,),))</f>
        <v/>
      </c>
      <c r="C81" s="24">
        <f>Table1346811[[#This Row],[PMI]]-B80</f>
        <v/>
      </c>
      <c r="D81" s="24">
        <f>IF(VLOOKUP(Table1346811[[#This Row],[Date]],'DB US ISM Manufacturing'!$A:$B,2)=0,#N/A,VLOOKUP(Table1346811[[#This Row],[Date]],'DB US ISM Manufacturing'!$A:$B,2))</f>
        <v/>
      </c>
    </row>
    <row r="82">
      <c r="A82" s="10" t="n">
        <v>42767</v>
      </c>
      <c r="B82" s="18">
        <f>IF(VLOOKUP(A82,'DB Country PMI'!$A:$AZ,MATCH($A$1,'DB Country PMI'!$A$1:$AZ$1,),)=0,#N/A,VLOOKUP(A82,'DB Country PMI'!$A:$AZ,MATCH($A$1,'DB Country PMI'!$A$1:$AZ$1,),))</f>
        <v/>
      </c>
      <c r="C82" s="24">
        <f>Table1346811[[#This Row],[PMI]]-B81</f>
        <v/>
      </c>
      <c r="D82" s="24">
        <f>IF(VLOOKUP(Table1346811[[#This Row],[Date]],'DB US ISM Manufacturing'!$A:$B,2)=0,#N/A,VLOOKUP(Table1346811[[#This Row],[Date]],'DB US ISM Manufacturing'!$A:$B,2))</f>
        <v/>
      </c>
    </row>
    <row r="83">
      <c r="A83" s="10" t="n">
        <v>42795</v>
      </c>
      <c r="B83" s="18">
        <f>IF(VLOOKUP(A83,'DB Country PMI'!$A:$AZ,MATCH($A$1,'DB Country PMI'!$A$1:$AZ$1,),)=0,#N/A,VLOOKUP(A83,'DB Country PMI'!$A:$AZ,MATCH($A$1,'DB Country PMI'!$A$1:$AZ$1,),))</f>
        <v/>
      </c>
      <c r="C83" s="24">
        <f>Table1346811[[#This Row],[PMI]]-B82</f>
        <v/>
      </c>
      <c r="D83" s="24">
        <f>IF(VLOOKUP(Table1346811[[#This Row],[Date]],'DB US ISM Manufacturing'!$A:$B,2)=0,#N/A,VLOOKUP(Table1346811[[#This Row],[Date]],'DB US ISM Manufacturing'!$A:$B,2))</f>
        <v/>
      </c>
    </row>
    <row r="84">
      <c r="A84" s="10" t="n">
        <v>42826</v>
      </c>
      <c r="B84" s="18">
        <f>IF(VLOOKUP(A84,'DB Country PMI'!$A:$AZ,MATCH($A$1,'DB Country PMI'!$A$1:$AZ$1,),)=0,#N/A,VLOOKUP(A84,'DB Country PMI'!$A:$AZ,MATCH($A$1,'DB Country PMI'!$A$1:$AZ$1,),))</f>
        <v/>
      </c>
      <c r="C84" s="24">
        <f>Table1346811[[#This Row],[PMI]]-B83</f>
        <v/>
      </c>
      <c r="D84" s="24">
        <f>IF(VLOOKUP(Table1346811[[#This Row],[Date]],'DB US ISM Manufacturing'!$A:$B,2)=0,#N/A,VLOOKUP(Table1346811[[#This Row],[Date]],'DB US ISM Manufacturing'!$A:$B,2))</f>
        <v/>
      </c>
    </row>
    <row r="85">
      <c r="A85" s="10" t="n">
        <v>42856</v>
      </c>
      <c r="B85" s="18">
        <f>IF(VLOOKUP(A85,'DB Country PMI'!$A:$AZ,MATCH($A$1,'DB Country PMI'!$A$1:$AZ$1,),)=0,#N/A,VLOOKUP(A85,'DB Country PMI'!$A:$AZ,MATCH($A$1,'DB Country PMI'!$A$1:$AZ$1,),))</f>
        <v/>
      </c>
      <c r="C85" s="24">
        <f>Table1346811[[#This Row],[PMI]]-B84</f>
        <v/>
      </c>
      <c r="D85" s="24">
        <f>IF(VLOOKUP(Table1346811[[#This Row],[Date]],'DB US ISM Manufacturing'!$A:$B,2)=0,#N/A,VLOOKUP(Table1346811[[#This Row],[Date]],'DB US ISM Manufacturing'!$A:$B,2))</f>
        <v/>
      </c>
    </row>
    <row r="86">
      <c r="A86" s="10" t="n">
        <v>42887</v>
      </c>
      <c r="B86" s="18">
        <f>IF(VLOOKUP(A86,'DB Country PMI'!$A:$AZ,MATCH($A$1,'DB Country PMI'!$A$1:$AZ$1,),)=0,#N/A,VLOOKUP(A86,'DB Country PMI'!$A:$AZ,MATCH($A$1,'DB Country PMI'!$A$1:$AZ$1,),))</f>
        <v/>
      </c>
      <c r="C86" s="24">
        <f>Table1346811[[#This Row],[PMI]]-B85</f>
        <v/>
      </c>
      <c r="D86" s="24">
        <f>IF(VLOOKUP(Table1346811[[#This Row],[Date]],'DB US ISM Manufacturing'!$A:$B,2)=0,#N/A,VLOOKUP(Table1346811[[#This Row],[Date]],'DB US ISM Manufacturing'!$A:$B,2))</f>
        <v/>
      </c>
    </row>
    <row r="87">
      <c r="A87" s="10" t="n">
        <v>42917</v>
      </c>
      <c r="B87" s="18">
        <f>IF(VLOOKUP(A87,'DB Country PMI'!$A:$AZ,MATCH($A$1,'DB Country PMI'!$A$1:$AZ$1,),)=0,#N/A,VLOOKUP(A87,'DB Country PMI'!$A:$AZ,MATCH($A$1,'DB Country PMI'!$A$1:$AZ$1,),))</f>
        <v/>
      </c>
      <c r="C87" s="24">
        <f>Table1346811[[#This Row],[PMI]]-B86</f>
        <v/>
      </c>
      <c r="D87" s="24">
        <f>IF(VLOOKUP(Table1346811[[#This Row],[Date]],'DB US ISM Manufacturing'!$A:$B,2)=0,#N/A,VLOOKUP(Table1346811[[#This Row],[Date]],'DB US ISM Manufacturing'!$A:$B,2))</f>
        <v/>
      </c>
    </row>
    <row r="88">
      <c r="A88" s="10" t="n">
        <v>42948</v>
      </c>
      <c r="B88" s="18">
        <f>IF(VLOOKUP(A88,'DB Country PMI'!$A:$AZ,MATCH($A$1,'DB Country PMI'!$A$1:$AZ$1,),)=0,#N/A,VLOOKUP(A88,'DB Country PMI'!$A:$AZ,MATCH($A$1,'DB Country PMI'!$A$1:$AZ$1,),))</f>
        <v/>
      </c>
      <c r="C88" s="24">
        <f>Table1346811[[#This Row],[PMI]]-B87</f>
        <v/>
      </c>
      <c r="D88" s="24">
        <f>IF(VLOOKUP(Table1346811[[#This Row],[Date]],'DB US ISM Manufacturing'!$A:$B,2)=0,#N/A,VLOOKUP(Table1346811[[#This Row],[Date]],'DB US ISM Manufacturing'!$A:$B,2))</f>
        <v/>
      </c>
    </row>
    <row r="89">
      <c r="A89" s="10" t="n">
        <v>42979</v>
      </c>
      <c r="B89" s="18">
        <f>IF(VLOOKUP(A89,'DB Country PMI'!$A:$AZ,MATCH($A$1,'DB Country PMI'!$A$1:$AZ$1,),)=0,#N/A,VLOOKUP(A89,'DB Country PMI'!$A:$AZ,MATCH($A$1,'DB Country PMI'!$A$1:$AZ$1,),))</f>
        <v/>
      </c>
      <c r="C89" s="24">
        <f>Table1346811[[#This Row],[PMI]]-B88</f>
        <v/>
      </c>
      <c r="D89" s="24">
        <f>IF(VLOOKUP(Table1346811[[#This Row],[Date]],'DB US ISM Manufacturing'!$A:$B,2)=0,#N/A,VLOOKUP(Table1346811[[#This Row],[Date]],'DB US ISM Manufacturing'!$A:$B,2))</f>
        <v/>
      </c>
    </row>
    <row r="90">
      <c r="A90" s="10" t="n">
        <v>43009</v>
      </c>
      <c r="B90" s="18">
        <f>IF(VLOOKUP(A90,'DB Country PMI'!$A:$AZ,MATCH($A$1,'DB Country PMI'!$A$1:$AZ$1,),)=0,#N/A,VLOOKUP(A90,'DB Country PMI'!$A:$AZ,MATCH($A$1,'DB Country PMI'!$A$1:$AZ$1,),))</f>
        <v/>
      </c>
      <c r="C90" s="24">
        <f>Table1346811[[#This Row],[PMI]]-B89</f>
        <v/>
      </c>
      <c r="D90" s="24">
        <f>IF(VLOOKUP(Table1346811[[#This Row],[Date]],'DB US ISM Manufacturing'!$A:$B,2)=0,#N/A,VLOOKUP(Table1346811[[#This Row],[Date]],'DB US ISM Manufacturing'!$A:$B,2))</f>
        <v/>
      </c>
    </row>
    <row r="91">
      <c r="A91" s="10" t="n">
        <v>43040</v>
      </c>
      <c r="B91" s="18">
        <f>IF(VLOOKUP(A91,'DB Country PMI'!$A:$AZ,MATCH($A$1,'DB Country PMI'!$A$1:$AZ$1,),)=0,#N/A,VLOOKUP(A91,'DB Country PMI'!$A:$AZ,MATCH($A$1,'DB Country PMI'!$A$1:$AZ$1,),))</f>
        <v/>
      </c>
      <c r="C91" s="24">
        <f>Table1346811[[#This Row],[PMI]]-B90</f>
        <v/>
      </c>
      <c r="D91" s="24">
        <f>IF(VLOOKUP(Table1346811[[#This Row],[Date]],'DB US ISM Manufacturing'!$A:$B,2)=0,#N/A,VLOOKUP(Table1346811[[#This Row],[Date]],'DB US ISM Manufacturing'!$A:$B,2))</f>
        <v/>
      </c>
    </row>
    <row r="92">
      <c r="A92" s="10" t="n">
        <v>43070</v>
      </c>
      <c r="B92" s="18">
        <f>IF(VLOOKUP(A92,'DB Country PMI'!$A:$AZ,MATCH($A$1,'DB Country PMI'!$A$1:$AZ$1,),)=0,#N/A,VLOOKUP(A92,'DB Country PMI'!$A:$AZ,MATCH($A$1,'DB Country PMI'!$A$1:$AZ$1,),))</f>
        <v/>
      </c>
      <c r="C92" s="24">
        <f>Table1346811[[#This Row],[PMI]]-B91</f>
        <v/>
      </c>
      <c r="D92" s="24">
        <f>IF(VLOOKUP(Table1346811[[#This Row],[Date]],'DB US ISM Manufacturing'!$A:$B,2)=0,#N/A,VLOOKUP(Table1346811[[#This Row],[Date]],'DB US ISM Manufacturing'!$A:$B,2))</f>
        <v/>
      </c>
    </row>
    <row r="93">
      <c r="A93" s="10" t="n">
        <v>43101</v>
      </c>
      <c r="B93" s="18">
        <f>IF(VLOOKUP(A93,'DB Country PMI'!$A:$AZ,MATCH($A$1,'DB Country PMI'!$A$1:$AZ$1,),)=0,#N/A,VLOOKUP(A93,'DB Country PMI'!$A:$AZ,MATCH($A$1,'DB Country PMI'!$A$1:$AZ$1,),))</f>
        <v/>
      </c>
      <c r="C93" s="24">
        <f>Table1346811[[#This Row],[PMI]]-B92</f>
        <v/>
      </c>
      <c r="D93" s="24">
        <f>IF(VLOOKUP(Table1346811[[#This Row],[Date]],'DB US ISM Manufacturing'!$A:$B,2)=0,#N/A,VLOOKUP(Table1346811[[#This Row],[Date]],'DB US ISM Manufacturing'!$A:$B,2))</f>
        <v/>
      </c>
    </row>
    <row r="94">
      <c r="A94" s="10" t="n">
        <v>43132</v>
      </c>
      <c r="B94" s="18">
        <f>IF(VLOOKUP(A94,'DB Country PMI'!$A:$AZ,MATCH($A$1,'DB Country PMI'!$A$1:$AZ$1,),)=0,#N/A,VLOOKUP(A94,'DB Country PMI'!$A:$AZ,MATCH($A$1,'DB Country PMI'!$A$1:$AZ$1,),))</f>
        <v/>
      </c>
      <c r="C94" s="24">
        <f>Table1346811[[#This Row],[PMI]]-B93</f>
        <v/>
      </c>
      <c r="D94" s="24">
        <f>IF(VLOOKUP(Table1346811[[#This Row],[Date]],'DB US ISM Manufacturing'!$A:$B,2)=0,#N/A,VLOOKUP(Table1346811[[#This Row],[Date]],'DB US ISM Manufacturing'!$A:$B,2))</f>
        <v/>
      </c>
    </row>
    <row r="95">
      <c r="A95" s="10" t="n">
        <v>43160</v>
      </c>
      <c r="B95" s="18">
        <f>IF(VLOOKUP(A95,'DB Country PMI'!$A:$AZ,MATCH($A$1,'DB Country PMI'!$A$1:$AZ$1,),)=0,#N/A,VLOOKUP(A95,'DB Country PMI'!$A:$AZ,MATCH($A$1,'DB Country PMI'!$A$1:$AZ$1,),))</f>
        <v/>
      </c>
      <c r="C95" s="24">
        <f>Table1346811[[#This Row],[PMI]]-B94</f>
        <v/>
      </c>
      <c r="D95" s="24">
        <f>IF(VLOOKUP(Table1346811[[#This Row],[Date]],'DB US ISM Manufacturing'!$A:$B,2)=0,#N/A,VLOOKUP(Table1346811[[#This Row],[Date]],'DB US ISM Manufacturing'!$A:$B,2))</f>
        <v/>
      </c>
    </row>
    <row r="96">
      <c r="A96" s="10" t="n">
        <v>43191</v>
      </c>
      <c r="B96" s="18">
        <f>IF(VLOOKUP(A96,'DB Country PMI'!$A:$AZ,MATCH($A$1,'DB Country PMI'!$A$1:$AZ$1,),)=0,#N/A,VLOOKUP(A96,'DB Country PMI'!$A:$AZ,MATCH($A$1,'DB Country PMI'!$A$1:$AZ$1,),))</f>
        <v/>
      </c>
      <c r="C96" s="24">
        <f>Table1346811[[#This Row],[PMI]]-B95</f>
        <v/>
      </c>
      <c r="D96" s="24">
        <f>IF(VLOOKUP(Table1346811[[#This Row],[Date]],'DB US ISM Manufacturing'!$A:$B,2)=0,#N/A,VLOOKUP(Table1346811[[#This Row],[Date]],'DB US ISM Manufacturing'!$A:$B,2))</f>
        <v/>
      </c>
    </row>
    <row r="97">
      <c r="A97" s="10" t="n">
        <v>43221</v>
      </c>
      <c r="B97" s="18">
        <f>IF(VLOOKUP(A97,'DB Country PMI'!$A:$AZ,MATCH($A$1,'DB Country PMI'!$A$1:$AZ$1,),)=0,#N/A,VLOOKUP(A97,'DB Country PMI'!$A:$AZ,MATCH($A$1,'DB Country PMI'!$A$1:$AZ$1,),))</f>
        <v/>
      </c>
      <c r="C97" s="24">
        <f>Table1346811[[#This Row],[PMI]]-B96</f>
        <v/>
      </c>
      <c r="D97" s="24">
        <f>IF(VLOOKUP(Table1346811[[#This Row],[Date]],'DB US ISM Manufacturing'!$A:$B,2)=0,#N/A,VLOOKUP(Table1346811[[#This Row],[Date]],'DB US ISM Manufacturing'!$A:$B,2))</f>
        <v/>
      </c>
    </row>
    <row r="98">
      <c r="A98" s="10" t="n">
        <v>43252</v>
      </c>
      <c r="B98" s="18">
        <f>IF(VLOOKUP(A98,'DB Country PMI'!$A:$AZ,MATCH($A$1,'DB Country PMI'!$A$1:$AZ$1,),)=0,#N/A,VLOOKUP(A98,'DB Country PMI'!$A:$AZ,MATCH($A$1,'DB Country PMI'!$A$1:$AZ$1,),))</f>
        <v/>
      </c>
      <c r="C98" s="24">
        <f>Table1346811[[#This Row],[PMI]]-B97</f>
        <v/>
      </c>
      <c r="D98" s="24">
        <f>IF(VLOOKUP(Table1346811[[#This Row],[Date]],'DB US ISM Manufacturing'!$A:$B,2)=0,#N/A,VLOOKUP(Table1346811[[#This Row],[Date]],'DB US ISM Manufacturing'!$A:$B,2))</f>
        <v/>
      </c>
    </row>
    <row r="99">
      <c r="A99" s="10" t="n">
        <v>43282</v>
      </c>
      <c r="B99" s="18">
        <f>IF(VLOOKUP(A99,'DB Country PMI'!$A:$AZ,MATCH($A$1,'DB Country PMI'!$A$1:$AZ$1,),)=0,#N/A,VLOOKUP(A99,'DB Country PMI'!$A:$AZ,MATCH($A$1,'DB Country PMI'!$A$1:$AZ$1,),))</f>
        <v/>
      </c>
      <c r="C99" s="24">
        <f>Table1346811[[#This Row],[PMI]]-B98</f>
        <v/>
      </c>
      <c r="D99" s="24">
        <f>IF(VLOOKUP(Table1346811[[#This Row],[Date]],'DB US ISM Manufacturing'!$A:$B,2)=0,#N/A,VLOOKUP(Table1346811[[#This Row],[Date]],'DB US ISM Manufacturing'!$A:$B,2))</f>
        <v/>
      </c>
    </row>
    <row r="100">
      <c r="A100" s="10" t="n">
        <v>43313</v>
      </c>
      <c r="B100" s="18">
        <f>IF(VLOOKUP(A100,'DB Country PMI'!$A:$AZ,MATCH($A$1,'DB Country PMI'!$A$1:$AZ$1,),)=0,#N/A,VLOOKUP(A100,'DB Country PMI'!$A:$AZ,MATCH($A$1,'DB Country PMI'!$A$1:$AZ$1,),))</f>
        <v/>
      </c>
      <c r="C100" s="24">
        <f>Table1346811[[#This Row],[PMI]]-B99</f>
        <v/>
      </c>
      <c r="D100" s="24">
        <f>IF(VLOOKUP(Table1346811[[#This Row],[Date]],'DB US ISM Manufacturing'!$A:$B,2)=0,#N/A,VLOOKUP(Table1346811[[#This Row],[Date]],'DB US ISM Manufacturing'!$A:$B,2))</f>
        <v/>
      </c>
    </row>
    <row r="101">
      <c r="A101" s="10" t="n">
        <v>43344</v>
      </c>
      <c r="B101" s="18">
        <f>IF(VLOOKUP(A101,'DB Country PMI'!$A:$AZ,MATCH($A$1,'DB Country PMI'!$A$1:$AZ$1,),)=0,#N/A,VLOOKUP(A101,'DB Country PMI'!$A:$AZ,MATCH($A$1,'DB Country PMI'!$A$1:$AZ$1,),))</f>
        <v/>
      </c>
      <c r="C101" s="24">
        <f>Table1346811[[#This Row],[PMI]]-B100</f>
        <v/>
      </c>
      <c r="D101" s="24">
        <f>IF(VLOOKUP(Table1346811[[#This Row],[Date]],'DB US ISM Manufacturing'!$A:$B,2)=0,#N/A,VLOOKUP(Table1346811[[#This Row],[Date]],'DB US ISM Manufacturing'!$A:$B,2))</f>
        <v/>
      </c>
    </row>
    <row r="102">
      <c r="A102" s="10" t="n">
        <v>43374</v>
      </c>
      <c r="B102" s="18">
        <f>IF(VLOOKUP(A102,'DB Country PMI'!$A:$AZ,MATCH($A$1,'DB Country PMI'!$A$1:$AZ$1,),)=0,#N/A,VLOOKUP(A102,'DB Country PMI'!$A:$AZ,MATCH($A$1,'DB Country PMI'!$A$1:$AZ$1,),))</f>
        <v/>
      </c>
      <c r="C102" s="24">
        <f>Table1346811[[#This Row],[PMI]]-B101</f>
        <v/>
      </c>
      <c r="D102" s="24">
        <f>IF(VLOOKUP(Table1346811[[#This Row],[Date]],'DB US ISM Manufacturing'!$A:$B,2)=0,#N/A,VLOOKUP(Table1346811[[#This Row],[Date]],'DB US ISM Manufacturing'!$A:$B,2))</f>
        <v/>
      </c>
    </row>
    <row r="103">
      <c r="A103" s="10" t="n">
        <v>43405</v>
      </c>
      <c r="B103" s="18">
        <f>IF(VLOOKUP(A103,'DB Country PMI'!$A:$AZ,MATCH($A$1,'DB Country PMI'!$A$1:$AZ$1,),)=0,#N/A,VLOOKUP(A103,'DB Country PMI'!$A:$AZ,MATCH($A$1,'DB Country PMI'!$A$1:$AZ$1,),))</f>
        <v/>
      </c>
      <c r="C103" s="24">
        <f>Table1346811[[#This Row],[PMI]]-B102</f>
        <v/>
      </c>
      <c r="D103" s="24">
        <f>IF(VLOOKUP(Table1346811[[#This Row],[Date]],'DB US ISM Manufacturing'!$A:$B,2)=0,#N/A,VLOOKUP(Table1346811[[#This Row],[Date]],'DB US ISM Manufacturing'!$A:$B,2))</f>
        <v/>
      </c>
    </row>
    <row r="104">
      <c r="A104" s="10" t="n">
        <v>43435</v>
      </c>
      <c r="B104" s="18">
        <f>IF(VLOOKUP(A104,'DB Country PMI'!$A:$AZ,MATCH($A$1,'DB Country PMI'!$A$1:$AZ$1,),)=0,#N/A,VLOOKUP(A104,'DB Country PMI'!$A:$AZ,MATCH($A$1,'DB Country PMI'!$A$1:$AZ$1,),))</f>
        <v/>
      </c>
      <c r="C104" s="24">
        <f>Table1346811[[#This Row],[PMI]]-B103</f>
        <v/>
      </c>
      <c r="D104" s="24">
        <f>IF(VLOOKUP(Table1346811[[#This Row],[Date]],'DB US ISM Manufacturing'!$A:$B,2)=0,#N/A,VLOOKUP(Table1346811[[#This Row],[Date]],'DB US ISM Manufacturing'!$A:$B,2))</f>
        <v/>
      </c>
    </row>
    <row r="105">
      <c r="A105" s="10" t="n">
        <v>43466</v>
      </c>
      <c r="B105" s="18">
        <f>IF(VLOOKUP(A105,'DB Country PMI'!$A:$AZ,MATCH($A$1,'DB Country PMI'!$A$1:$AZ$1,),)=0,#N/A,VLOOKUP(A105,'DB Country PMI'!$A:$AZ,MATCH($A$1,'DB Country PMI'!$A$1:$AZ$1,),))</f>
        <v/>
      </c>
      <c r="C105" s="24">
        <f>Table1346811[[#This Row],[PMI]]-B104</f>
        <v/>
      </c>
      <c r="D105" s="24">
        <f>IF(VLOOKUP(Table1346811[[#This Row],[Date]],'DB US ISM Manufacturing'!$A:$B,2)=0,#N/A,VLOOKUP(Table1346811[[#This Row],[Date]],'DB US ISM Manufacturing'!$A:$B,2))</f>
        <v/>
      </c>
    </row>
    <row r="106">
      <c r="A106" s="10" t="n">
        <v>43497</v>
      </c>
      <c r="B106" s="18">
        <f>IF(VLOOKUP(A106,'DB Country PMI'!$A:$AZ,MATCH($A$1,'DB Country PMI'!$A$1:$AZ$1,),)=0,#N/A,VLOOKUP(A106,'DB Country PMI'!$A:$AZ,MATCH($A$1,'DB Country PMI'!$A$1:$AZ$1,),))</f>
        <v/>
      </c>
      <c r="C106" s="24">
        <f>Table1346811[[#This Row],[PMI]]-B105</f>
        <v/>
      </c>
      <c r="D106" s="24">
        <f>IF(VLOOKUP(Table1346811[[#This Row],[Date]],'DB US ISM Manufacturing'!$A:$B,2)=0,#N/A,VLOOKUP(Table1346811[[#This Row],[Date]],'DB US ISM Manufacturing'!$A:$B,2))</f>
        <v/>
      </c>
    </row>
    <row r="107">
      <c r="A107" s="10" t="n">
        <v>43525</v>
      </c>
      <c r="B107" s="18">
        <f>IF(VLOOKUP(A107,'DB Country PMI'!$A:$AZ,MATCH($A$1,'DB Country PMI'!$A$1:$AZ$1,),)=0,#N/A,VLOOKUP(A107,'DB Country PMI'!$A:$AZ,MATCH($A$1,'DB Country PMI'!$A$1:$AZ$1,),))</f>
        <v/>
      </c>
      <c r="C107" s="24">
        <f>Table1346811[[#This Row],[PMI]]-B106</f>
        <v/>
      </c>
      <c r="D107" s="24">
        <f>IF(VLOOKUP(Table1346811[[#This Row],[Date]],'DB US ISM Manufacturing'!$A:$B,2)=0,#N/A,VLOOKUP(Table1346811[[#This Row],[Date]],'DB US ISM Manufacturing'!$A:$B,2))</f>
        <v/>
      </c>
    </row>
    <row r="108">
      <c r="A108" s="10" t="n">
        <v>43556</v>
      </c>
      <c r="B108" s="18">
        <f>IF(VLOOKUP(A108,'DB Country PMI'!$A:$AZ,MATCH($A$1,'DB Country PMI'!$A$1:$AZ$1,),)=0,#N/A,VLOOKUP(A108,'DB Country PMI'!$A:$AZ,MATCH($A$1,'DB Country PMI'!$A$1:$AZ$1,),))</f>
        <v/>
      </c>
      <c r="C108" s="24">
        <f>Table1346811[[#This Row],[PMI]]-B107</f>
        <v/>
      </c>
      <c r="D108" s="24">
        <f>IF(VLOOKUP(Table1346811[[#This Row],[Date]],'DB US ISM Manufacturing'!$A:$B,2)=0,#N/A,VLOOKUP(Table1346811[[#This Row],[Date]],'DB US ISM Manufacturing'!$A:$B,2))</f>
        <v/>
      </c>
    </row>
    <row r="109">
      <c r="A109" s="10" t="n">
        <v>43586</v>
      </c>
      <c r="B109" s="18">
        <f>IF(VLOOKUP(A109,'DB Country PMI'!$A:$AZ,MATCH($A$1,'DB Country PMI'!$A$1:$AZ$1,),)=0,#N/A,VLOOKUP(A109,'DB Country PMI'!$A:$AZ,MATCH($A$1,'DB Country PMI'!$A$1:$AZ$1,),))</f>
        <v/>
      </c>
      <c r="C109" s="24">
        <f>Table1346811[[#This Row],[PMI]]-B108</f>
        <v/>
      </c>
      <c r="D109" s="24">
        <f>IF(VLOOKUP(Table1346811[[#This Row],[Date]],'DB US ISM Manufacturing'!$A:$B,2)=0,#N/A,VLOOKUP(Table1346811[[#This Row],[Date]],'DB US ISM Manufacturing'!$A:$B,2))</f>
        <v/>
      </c>
    </row>
    <row r="110">
      <c r="A110" s="10" t="n">
        <v>43617</v>
      </c>
      <c r="B110" s="18">
        <f>IF(VLOOKUP(A110,'DB Country PMI'!$A:$AZ,MATCH($A$1,'DB Country PMI'!$A$1:$AZ$1,),)=0,#N/A,VLOOKUP(A110,'DB Country PMI'!$A:$AZ,MATCH($A$1,'DB Country PMI'!$A$1:$AZ$1,),))</f>
        <v/>
      </c>
      <c r="C110" s="24">
        <f>Table1346811[[#This Row],[PMI]]-B109</f>
        <v/>
      </c>
      <c r="D110" s="24">
        <f>IF(VLOOKUP(Table1346811[[#This Row],[Date]],'DB US ISM Manufacturing'!$A:$B,2)=0,#N/A,VLOOKUP(Table1346811[[#This Row],[Date]],'DB US ISM Manufacturing'!$A:$B,2))</f>
        <v/>
      </c>
    </row>
    <row r="111">
      <c r="A111" s="10" t="n">
        <v>43647</v>
      </c>
      <c r="B111" s="18">
        <f>IF(VLOOKUP(A111,'DB Country PMI'!$A:$AZ,MATCH($A$1,'DB Country PMI'!$A$1:$AZ$1,),)=0,#N/A,VLOOKUP(A111,'DB Country PMI'!$A:$AZ,MATCH($A$1,'DB Country PMI'!$A$1:$AZ$1,),))</f>
        <v/>
      </c>
      <c r="C111" s="24">
        <f>Table1346811[[#This Row],[PMI]]-B110</f>
        <v/>
      </c>
      <c r="D111" s="24">
        <f>IF(VLOOKUP(Table1346811[[#This Row],[Date]],'DB US ISM Manufacturing'!$A:$B,2)=0,#N/A,VLOOKUP(Table1346811[[#This Row],[Date]],'DB US ISM Manufacturing'!$A:$B,2))</f>
        <v/>
      </c>
    </row>
    <row r="112">
      <c r="A112" s="10" t="n">
        <v>43678</v>
      </c>
      <c r="B112" s="18">
        <f>IF(VLOOKUP(A112,'DB Country PMI'!$A:$AZ,MATCH($A$1,'DB Country PMI'!$A$1:$AZ$1,),)=0,#N/A,VLOOKUP(A112,'DB Country PMI'!$A:$AZ,MATCH($A$1,'DB Country PMI'!$A$1:$AZ$1,),))</f>
        <v/>
      </c>
      <c r="C112" s="24">
        <f>Table1346811[[#This Row],[PMI]]-B111</f>
        <v/>
      </c>
      <c r="D112" s="24">
        <f>IF(VLOOKUP(Table1346811[[#This Row],[Date]],'DB US ISM Manufacturing'!$A:$B,2)=0,#N/A,VLOOKUP(Table1346811[[#This Row],[Date]],'DB US ISM Manufacturing'!$A:$B,2))</f>
        <v/>
      </c>
    </row>
    <row r="113">
      <c r="A113" s="10" t="n">
        <v>43709</v>
      </c>
      <c r="B113" s="18">
        <f>IF(VLOOKUP(A113,'DB Country PMI'!$A:$AZ,MATCH($A$1,'DB Country PMI'!$A$1:$AZ$1,),)=0,#N/A,VLOOKUP(A113,'DB Country PMI'!$A:$AZ,MATCH($A$1,'DB Country PMI'!$A$1:$AZ$1,),))</f>
        <v/>
      </c>
      <c r="C113" s="24">
        <f>Table1346811[[#This Row],[PMI]]-B112</f>
        <v/>
      </c>
      <c r="D113" s="24">
        <f>IF(VLOOKUP(Table1346811[[#This Row],[Date]],'DB US ISM Manufacturing'!$A:$B,2)=0,#N/A,VLOOKUP(Table1346811[[#This Row],[Date]],'DB US ISM Manufacturing'!$A:$B,2))</f>
        <v/>
      </c>
    </row>
    <row r="114">
      <c r="A114" s="10" t="n">
        <v>43739</v>
      </c>
      <c r="B114" s="18">
        <f>IF(VLOOKUP(A114,'DB Country PMI'!$A:$AZ,MATCH($A$1,'DB Country PMI'!$A$1:$AZ$1,),)=0,#N/A,VLOOKUP(A114,'DB Country PMI'!$A:$AZ,MATCH($A$1,'DB Country PMI'!$A$1:$AZ$1,),))</f>
        <v/>
      </c>
      <c r="C114" s="24">
        <f>Table1346811[[#This Row],[PMI]]-B113</f>
        <v/>
      </c>
      <c r="D114" s="24">
        <f>IF(VLOOKUP(Table1346811[[#This Row],[Date]],'DB US ISM Manufacturing'!$A:$B,2)=0,#N/A,VLOOKUP(Table1346811[[#This Row],[Date]],'DB US ISM Manufacturing'!$A:$B,2))</f>
        <v/>
      </c>
    </row>
    <row r="115">
      <c r="A115" s="10" t="n">
        <v>43770</v>
      </c>
      <c r="B115" s="18">
        <f>IF(VLOOKUP(A115,'DB Country PMI'!$A:$AZ,MATCH($A$1,'DB Country PMI'!$A$1:$AZ$1,),)=0,#N/A,VLOOKUP(A115,'DB Country PMI'!$A:$AZ,MATCH($A$1,'DB Country PMI'!$A$1:$AZ$1,),))</f>
        <v/>
      </c>
      <c r="C115" s="24">
        <f>Table1346811[[#This Row],[PMI]]-B114</f>
        <v/>
      </c>
      <c r="D115" s="24">
        <f>IF(VLOOKUP(Table1346811[[#This Row],[Date]],'DB US ISM Manufacturing'!$A:$B,2)=0,#N/A,VLOOKUP(Table1346811[[#This Row],[Date]],'DB US ISM Manufacturing'!$A:$B,2))</f>
        <v/>
      </c>
    </row>
    <row r="116">
      <c r="A116" s="10" t="n">
        <v>43800</v>
      </c>
      <c r="B116" s="18">
        <f>IF(VLOOKUP(A116,'DB Country PMI'!$A:$AZ,MATCH($A$1,'DB Country PMI'!$A$1:$AZ$1,),)=0,#N/A,VLOOKUP(A116,'DB Country PMI'!$A:$AZ,MATCH($A$1,'DB Country PMI'!$A$1:$AZ$1,),))</f>
        <v/>
      </c>
      <c r="C116" s="24">
        <f>Table1346811[[#This Row],[PMI]]-B115</f>
        <v/>
      </c>
      <c r="D116" s="24">
        <f>IF(VLOOKUP(Table1346811[[#This Row],[Date]],'DB US ISM Manufacturing'!$A:$B,2)=0,#N/A,VLOOKUP(Table1346811[[#This Row],[Date]],'DB US ISM Manufacturing'!$A:$B,2))</f>
        <v/>
      </c>
    </row>
    <row r="117">
      <c r="A117" s="10" t="n">
        <v>43831</v>
      </c>
      <c r="B117" s="18">
        <f>IF(VLOOKUP(A117,'DB Country PMI'!$A:$AZ,MATCH($A$1,'DB Country PMI'!$A$1:$AZ$1,),)=0,#N/A,VLOOKUP(A117,'DB Country PMI'!$A:$AZ,MATCH($A$1,'DB Country PMI'!$A$1:$AZ$1,),))</f>
        <v/>
      </c>
      <c r="C117" s="24">
        <f>Table1346811[[#This Row],[PMI]]-B116</f>
        <v/>
      </c>
      <c r="D117" s="24">
        <f>IF(VLOOKUP(Table1346811[[#This Row],[Date]],'DB US ISM Manufacturing'!$A:$B,2)=0,#N/A,VLOOKUP(Table1346811[[#This Row],[Date]],'DB US ISM Manufacturing'!$A:$B,2))</f>
        <v/>
      </c>
    </row>
    <row r="118">
      <c r="A118" s="10" t="n">
        <v>43862</v>
      </c>
      <c r="B118" s="18">
        <f>IF(VLOOKUP(A118,'DB Country PMI'!$A:$AZ,MATCH($A$1,'DB Country PMI'!$A$1:$AZ$1,),)=0,#N/A,VLOOKUP(A118,'DB Country PMI'!$A:$AZ,MATCH($A$1,'DB Country PMI'!$A$1:$AZ$1,),))</f>
        <v/>
      </c>
      <c r="C118" s="24">
        <f>Table1346811[[#This Row],[PMI]]-B117</f>
        <v/>
      </c>
      <c r="D118" s="24">
        <f>IF(VLOOKUP(Table1346811[[#This Row],[Date]],'DB US ISM Manufacturing'!$A:$B,2)=0,#N/A,VLOOKUP(Table1346811[[#This Row],[Date]],'DB US ISM Manufacturing'!$A:$B,2))</f>
        <v/>
      </c>
    </row>
    <row r="119">
      <c r="A119" s="10" t="n">
        <v>43891</v>
      </c>
      <c r="B119" s="18">
        <f>IF(VLOOKUP(A119,'DB Country PMI'!$A:$AZ,MATCH($A$1,'DB Country PMI'!$A$1:$AZ$1,),)=0,#N/A,VLOOKUP(A119,'DB Country PMI'!$A:$AZ,MATCH($A$1,'DB Country PMI'!$A$1:$AZ$1,),))</f>
        <v/>
      </c>
      <c r="C119" s="24">
        <f>Table1346811[[#This Row],[PMI]]-B118</f>
        <v/>
      </c>
      <c r="D119" s="24">
        <f>IF(VLOOKUP(Table1346811[[#This Row],[Date]],'DB US ISM Manufacturing'!$A:$B,2)=0,#N/A,VLOOKUP(Table1346811[[#This Row],[Date]],'DB US ISM Manufacturing'!$A:$B,2))</f>
        <v/>
      </c>
    </row>
    <row r="120">
      <c r="A120" s="10" t="n">
        <v>43922</v>
      </c>
      <c r="B120" s="18">
        <f>IF(VLOOKUP(A120,'DB Country PMI'!$A:$AZ,MATCH($A$1,'DB Country PMI'!$A$1:$AZ$1,),)=0,#N/A,VLOOKUP(A120,'DB Country PMI'!$A:$AZ,MATCH($A$1,'DB Country PMI'!$A$1:$AZ$1,),))</f>
        <v/>
      </c>
      <c r="C120" s="24">
        <f>Table1346811[[#This Row],[PMI]]-B119</f>
        <v/>
      </c>
      <c r="D120" s="24">
        <f>IF(VLOOKUP(Table1346811[[#This Row],[Date]],'DB US ISM Manufacturing'!$A:$B,2)=0,#N/A,VLOOKUP(Table1346811[[#This Row],[Date]],'DB US ISM Manufacturing'!$A:$B,2))</f>
        <v/>
      </c>
    </row>
    <row r="121">
      <c r="A121" s="10" t="n">
        <v>43952</v>
      </c>
      <c r="B121" s="18">
        <f>IF(VLOOKUP(A121,'DB Country PMI'!$A:$AZ,MATCH($A$1,'DB Country PMI'!$A$1:$AZ$1,),)=0,#N/A,VLOOKUP(A121,'DB Country PMI'!$A:$AZ,MATCH($A$1,'DB Country PMI'!$A$1:$AZ$1,),))</f>
        <v/>
      </c>
      <c r="C121" s="24">
        <f>Table1346811[[#This Row],[PMI]]-B120</f>
        <v/>
      </c>
      <c r="D121" s="24">
        <f>IF(VLOOKUP(Table1346811[[#This Row],[Date]],'DB US ISM Manufacturing'!$A:$B,2)=0,#N/A,VLOOKUP(Table1346811[[#This Row],[Date]],'DB US ISM Manufacturing'!$A:$B,2))</f>
        <v/>
      </c>
    </row>
    <row r="122">
      <c r="A122" s="10" t="n">
        <v>43983</v>
      </c>
      <c r="B122" s="18">
        <f>IF(VLOOKUP(A122,'DB Country PMI'!$A:$AZ,MATCH($A$1,'DB Country PMI'!$A$1:$AZ$1,),)=0,#N/A,VLOOKUP(A122,'DB Country PMI'!$A:$AZ,MATCH($A$1,'DB Country PMI'!$A$1:$AZ$1,),))</f>
        <v/>
      </c>
      <c r="C122" s="24">
        <f>Table1346811[[#This Row],[PMI]]-B121</f>
        <v/>
      </c>
      <c r="D122" s="24">
        <f>IF(VLOOKUP(Table1346811[[#This Row],[Date]],'DB US ISM Manufacturing'!$A:$B,2)=0,#N/A,VLOOKUP(Table1346811[[#This Row],[Date]],'DB US ISM Manufacturing'!$A:$B,2))</f>
        <v/>
      </c>
    </row>
    <row r="123">
      <c r="A123" s="10" t="n">
        <v>44013</v>
      </c>
      <c r="B123" s="18">
        <f>IF(VLOOKUP(A123,'DB Country PMI'!$A:$AZ,MATCH($A$1,'DB Country PMI'!$A$1:$AZ$1,),)=0,#N/A,VLOOKUP(A123,'DB Country PMI'!$A:$AZ,MATCH($A$1,'DB Country PMI'!$A$1:$AZ$1,),))</f>
        <v/>
      </c>
      <c r="C123" s="24">
        <f>Table1346811[[#This Row],[PMI]]-B122</f>
        <v/>
      </c>
      <c r="D123" s="24">
        <f>IF(VLOOKUP(Table1346811[[#This Row],[Date]],'DB US ISM Manufacturing'!$A:$B,2)=0,#N/A,VLOOKUP(Table1346811[[#This Row],[Date]],'DB US ISM Manufacturing'!$A:$B,2))</f>
        <v/>
      </c>
    </row>
    <row r="124">
      <c r="A124" s="10" t="n">
        <v>44044</v>
      </c>
      <c r="B124" s="18">
        <f>IF(VLOOKUP(A124,'DB Country PMI'!$A:$AZ,MATCH($A$1,'DB Country PMI'!$A$1:$AZ$1,),)=0,#N/A,VLOOKUP(A124,'DB Country PMI'!$A:$AZ,MATCH($A$1,'DB Country PMI'!$A$1:$AZ$1,),))</f>
        <v/>
      </c>
      <c r="C124" s="24">
        <f>Table1346811[[#This Row],[PMI]]-B123</f>
        <v/>
      </c>
      <c r="D124" s="24">
        <f>IF(VLOOKUP(Table1346811[[#This Row],[Date]],'DB US ISM Manufacturing'!$A:$B,2)=0,#N/A,VLOOKUP(Table1346811[[#This Row],[Date]],'DB US ISM Manufacturing'!$A:$B,2))</f>
        <v/>
      </c>
    </row>
    <row r="125">
      <c r="A125" s="10" t="n">
        <v>44075</v>
      </c>
      <c r="B125" s="18">
        <f>IF(VLOOKUP(A125,'DB Country PMI'!$A:$AZ,MATCH($A$1,'DB Country PMI'!$A$1:$AZ$1,),)=0,#N/A,VLOOKUP(A125,'DB Country PMI'!$A:$AZ,MATCH($A$1,'DB Country PMI'!$A$1:$AZ$1,),))</f>
        <v/>
      </c>
      <c r="C125" s="24">
        <f>Table1346811[[#This Row],[PMI]]-B124</f>
        <v/>
      </c>
      <c r="D125" s="24">
        <f>IF(VLOOKUP(Table1346811[[#This Row],[Date]],'DB US ISM Manufacturing'!$A:$B,2)=0,#N/A,VLOOKUP(Table1346811[[#This Row],[Date]],'DB US ISM Manufacturing'!$A:$B,2))</f>
        <v/>
      </c>
    </row>
    <row r="126">
      <c r="A126" s="10" t="n">
        <v>44105</v>
      </c>
      <c r="B126" s="18">
        <f>IF(VLOOKUP(A126,'DB Country PMI'!$A:$AZ,MATCH($A$1,'DB Country PMI'!$A$1:$AZ$1,),)=0,#N/A,VLOOKUP(A126,'DB Country PMI'!$A:$AZ,MATCH($A$1,'DB Country PMI'!$A$1:$AZ$1,),))</f>
        <v/>
      </c>
      <c r="C126" s="24">
        <f>Table1346811[[#This Row],[PMI]]-B125</f>
        <v/>
      </c>
      <c r="D126" s="24">
        <f>IF(VLOOKUP(Table1346811[[#This Row],[Date]],'DB US ISM Manufacturing'!$A:$B,2)=0,#N/A,VLOOKUP(Table1346811[[#This Row],[Date]],'DB US ISM Manufacturing'!$A:$B,2))</f>
        <v/>
      </c>
    </row>
    <row r="127">
      <c r="A127" s="10" t="n">
        <v>44136</v>
      </c>
      <c r="B127" s="18">
        <f>IF(VLOOKUP(A127,'DB Country PMI'!$A:$AZ,MATCH($A$1,'DB Country PMI'!$A$1:$AZ$1,),)=0,#N/A,VLOOKUP(A127,'DB Country PMI'!$A:$AZ,MATCH($A$1,'DB Country PMI'!$A$1:$AZ$1,),))</f>
        <v/>
      </c>
      <c r="C127" s="24">
        <f>Table1346811[[#This Row],[PMI]]-B126</f>
        <v/>
      </c>
      <c r="D127" s="24">
        <f>IF(VLOOKUP(Table1346811[[#This Row],[Date]],'DB US ISM Manufacturing'!$A:$B,2)=0,#N/A,VLOOKUP(Table1346811[[#This Row],[Date]],'DB US ISM Manufacturing'!$A:$B,2))</f>
        <v/>
      </c>
    </row>
    <row r="128">
      <c r="A128" s="10" t="n">
        <v>44166</v>
      </c>
      <c r="B128" s="18">
        <f>IF(VLOOKUP(A128,'DB Country PMI'!$A:$AZ,MATCH($A$1,'DB Country PMI'!$A$1:$AZ$1,),)=0,#N/A,VLOOKUP(A128,'DB Country PMI'!$A:$AZ,MATCH($A$1,'DB Country PMI'!$A$1:$AZ$1,),))</f>
        <v/>
      </c>
      <c r="C128" s="24">
        <f>Table1346811[[#This Row],[PMI]]-B127</f>
        <v/>
      </c>
      <c r="D128" s="24">
        <f>IF(VLOOKUP(Table1346811[[#This Row],[Date]],'DB US ISM Manufacturing'!$A:$B,2)=0,#N/A,VLOOKUP(Table1346811[[#This Row],[Date]],'DB US ISM Manufacturing'!$A:$B,2))</f>
        <v/>
      </c>
    </row>
    <row r="129">
      <c r="A129" s="10" t="n">
        <v>44197</v>
      </c>
      <c r="B129" s="18">
        <f>IF(VLOOKUP(A129,'DB Country PMI'!$A:$AZ,MATCH($A$1,'DB Country PMI'!$A$1:$AZ$1,),)=0,#N/A,VLOOKUP(A129,'DB Country PMI'!$A:$AZ,MATCH($A$1,'DB Country PMI'!$A$1:$AZ$1,),))</f>
        <v/>
      </c>
      <c r="C129" s="24">
        <f>Table1346811[[#This Row],[PMI]]-B128</f>
        <v/>
      </c>
      <c r="D129" s="24">
        <f>IF(VLOOKUP(Table1346811[[#This Row],[Date]],'DB US ISM Manufacturing'!$A:$B,2)=0,#N/A,VLOOKUP(Table1346811[[#This Row],[Date]],'DB US ISM Manufacturing'!$A:$B,2))</f>
        <v/>
      </c>
    </row>
    <row r="130">
      <c r="A130" s="10" t="n">
        <v>44228</v>
      </c>
      <c r="B130" s="18">
        <f>IF(VLOOKUP(A130,'DB Country PMI'!$A:$AZ,MATCH($A$1,'DB Country PMI'!$A$1:$AZ$1,),)=0,#N/A,VLOOKUP(A130,'DB Country PMI'!$A:$AZ,MATCH($A$1,'DB Country PMI'!$A$1:$AZ$1,),))</f>
        <v/>
      </c>
      <c r="C130" s="24">
        <f>Table1346811[[#This Row],[PMI]]-B129</f>
        <v/>
      </c>
      <c r="D130" s="24">
        <f>IF(VLOOKUP(Table1346811[[#This Row],[Date]],'DB US ISM Manufacturing'!$A:$B,2)=0,#N/A,VLOOKUP(Table1346811[[#This Row],[Date]],'DB US ISM Manufacturing'!$A:$B,2))</f>
        <v/>
      </c>
    </row>
    <row r="131">
      <c r="A131" s="10" t="n">
        <v>44256</v>
      </c>
      <c r="B131" s="18">
        <f>IF(VLOOKUP(A131,'DB Country PMI'!$A:$AZ,MATCH($A$1,'DB Country PMI'!$A$1:$AZ$1,),)=0,#N/A,VLOOKUP(A131,'DB Country PMI'!$A:$AZ,MATCH($A$1,'DB Country PMI'!$A$1:$AZ$1,),))</f>
        <v/>
      </c>
      <c r="C131" s="24">
        <f>Table1346811[[#This Row],[PMI]]-B130</f>
        <v/>
      </c>
      <c r="D131" s="24">
        <f>IF(VLOOKUP(Table1346811[[#This Row],[Date]],'DB US ISM Manufacturing'!$A:$B,2)=0,#N/A,VLOOKUP(Table1346811[[#This Row],[Date]],'DB US ISM Manufacturing'!$A:$B,2))</f>
        <v/>
      </c>
    </row>
    <row r="132">
      <c r="A132" s="10" t="n">
        <v>44287</v>
      </c>
      <c r="B132" s="18">
        <f>IF(VLOOKUP(A132,'DB Country PMI'!$A:$AZ,MATCH($A$1,'DB Country PMI'!$A$1:$AZ$1,),)=0,#N/A,VLOOKUP(A132,'DB Country PMI'!$A:$AZ,MATCH($A$1,'DB Country PMI'!$A$1:$AZ$1,),))</f>
        <v/>
      </c>
      <c r="C132" s="24">
        <f>Table1346811[[#This Row],[PMI]]-B131</f>
        <v/>
      </c>
      <c r="D132" s="24">
        <f>IF(VLOOKUP(Table1346811[[#This Row],[Date]],'DB US ISM Manufacturing'!$A:$B,2)=0,#N/A,VLOOKUP(Table1346811[[#This Row],[Date]],'DB US ISM Manufacturing'!$A:$B,2))</f>
        <v/>
      </c>
    </row>
    <row r="133">
      <c r="A133" s="10" t="n">
        <v>44317</v>
      </c>
      <c r="B133" s="18">
        <f>IF(VLOOKUP(A133,'DB Country PMI'!$A:$AZ,MATCH($A$1,'DB Country PMI'!$A$1:$AZ$1,),)=0,#N/A,VLOOKUP(A133,'DB Country PMI'!$A:$AZ,MATCH($A$1,'DB Country PMI'!$A$1:$AZ$1,),))</f>
        <v/>
      </c>
      <c r="C133" s="24">
        <f>Table1346811[[#This Row],[PMI]]-B132</f>
        <v/>
      </c>
      <c r="D133" s="24">
        <f>IF(VLOOKUP(Table1346811[[#This Row],[Date]],'DB US ISM Manufacturing'!$A:$B,2)=0,#N/A,VLOOKUP(Table1346811[[#This Row],[Date]],'DB US ISM Manufacturing'!$A:$B,2))</f>
        <v/>
      </c>
    </row>
    <row r="134">
      <c r="A134" s="10" t="n">
        <v>44348</v>
      </c>
      <c r="B134" s="18">
        <f>IF(VLOOKUP(A134,'DB Country PMI'!$A:$AZ,MATCH($A$1,'DB Country PMI'!$A$1:$AZ$1,),)=0,#N/A,VLOOKUP(A134,'DB Country PMI'!$A:$AZ,MATCH($A$1,'DB Country PMI'!$A$1:$AZ$1,),))</f>
        <v/>
      </c>
      <c r="C134" s="24">
        <f>Table1346811[[#This Row],[PMI]]-B133</f>
        <v/>
      </c>
      <c r="D134" s="24">
        <f>IF(VLOOKUP(Table1346811[[#This Row],[Date]],'DB US ISM Manufacturing'!$A:$B,2)=0,#N/A,VLOOKUP(Table1346811[[#This Row],[Date]],'DB US ISM Manufacturing'!$A:$B,2))</f>
        <v/>
      </c>
    </row>
    <row r="135">
      <c r="A135" s="10" t="n">
        <v>44378</v>
      </c>
      <c r="B135" s="18">
        <f>IF(VLOOKUP(A135,'DB Country PMI'!$A:$AZ,MATCH($A$1,'DB Country PMI'!$A$1:$AZ$1,),)=0,#N/A,VLOOKUP(A135,'DB Country PMI'!$A:$AZ,MATCH($A$1,'DB Country PMI'!$A$1:$AZ$1,),))</f>
        <v/>
      </c>
      <c r="C135" s="24">
        <f>Table1346811[[#This Row],[PMI]]-B134</f>
        <v/>
      </c>
      <c r="D135" s="24">
        <f>IF(VLOOKUP(Table1346811[[#This Row],[Date]],'DB US ISM Manufacturing'!$A:$B,2)=0,#N/A,VLOOKUP(Table1346811[[#This Row],[Date]],'DB US ISM Manufacturing'!$A:$B,2))</f>
        <v/>
      </c>
    </row>
    <row r="136">
      <c r="A136" s="10" t="n">
        <v>44409</v>
      </c>
      <c r="B136" s="18">
        <f>IF(VLOOKUP(A136,'DB Country PMI'!$A:$AZ,MATCH($A$1,'DB Country PMI'!$A$1:$AZ$1,),)=0,#N/A,VLOOKUP(A136,'DB Country PMI'!$A:$AZ,MATCH($A$1,'DB Country PMI'!$A$1:$AZ$1,),))</f>
        <v/>
      </c>
      <c r="C136" s="24">
        <f>Table1346811[[#This Row],[PMI]]-B135</f>
        <v/>
      </c>
      <c r="D136" s="24">
        <f>IF(VLOOKUP(Table1346811[[#This Row],[Date]],'DB US ISM Manufacturing'!$A:$B,2)=0,#N/A,VLOOKUP(Table1346811[[#This Row],[Date]],'DB US ISM Manufacturing'!$A:$B,2))</f>
        <v/>
      </c>
    </row>
    <row r="137">
      <c r="A137" s="10" t="n">
        <v>44440</v>
      </c>
      <c r="B137" s="18">
        <f>IF(VLOOKUP(A137,'DB Country PMI'!$A:$AZ,MATCH($A$1,'DB Country PMI'!$A$1:$AZ$1,),)=0,#N/A,VLOOKUP(A137,'DB Country PMI'!$A:$AZ,MATCH($A$1,'DB Country PMI'!$A$1:$AZ$1,),))</f>
        <v/>
      </c>
      <c r="C137" s="24">
        <f>Table1346811[[#This Row],[PMI]]-B136</f>
        <v/>
      </c>
      <c r="D137" s="24">
        <f>IF(VLOOKUP(Table1346811[[#This Row],[Date]],'DB US ISM Manufacturing'!$A:$B,2)=0,#N/A,VLOOKUP(Table1346811[[#This Row],[Date]],'DB US ISM Manufacturing'!$A:$B,2))</f>
        <v/>
      </c>
    </row>
    <row r="138">
      <c r="A138" s="10" t="n">
        <v>44470</v>
      </c>
      <c r="B138" s="18">
        <f>IF(VLOOKUP(A138,'DB Country PMI'!$A:$AZ,MATCH($A$1,'DB Country PMI'!$A$1:$AZ$1,),)=0,#N/A,VLOOKUP(A138,'DB Country PMI'!$A:$AZ,MATCH($A$1,'DB Country PMI'!$A$1:$AZ$1,),))</f>
        <v/>
      </c>
      <c r="C138" s="24">
        <f>Table1346811[[#This Row],[PMI]]-B137</f>
        <v/>
      </c>
      <c r="D138" s="24">
        <f>IF(VLOOKUP(Table1346811[[#This Row],[Date]],'DB US ISM Manufacturing'!$A:$B,2)=0,#N/A,VLOOKUP(Table1346811[[#This Row],[Date]],'DB US ISM Manufacturing'!$A:$B,2))</f>
        <v/>
      </c>
    </row>
    <row r="139">
      <c r="A139" s="10" t="n">
        <v>44501</v>
      </c>
      <c r="B139" s="18">
        <f>IF(VLOOKUP(A139,'DB Country PMI'!$A:$AZ,MATCH($A$1,'DB Country PMI'!$A$1:$AZ$1,),)=0,#N/A,VLOOKUP(A139,'DB Country PMI'!$A:$AZ,MATCH($A$1,'DB Country PMI'!$A$1:$AZ$1,),))</f>
        <v/>
      </c>
      <c r="C139" s="24">
        <f>Table1346811[[#This Row],[PMI]]-B138</f>
        <v/>
      </c>
      <c r="D139" s="24">
        <f>IF(VLOOKUP(Table1346811[[#This Row],[Date]],'DB US ISM Manufacturing'!$A:$B,2)=0,#N/A,VLOOKUP(Table1346811[[#This Row],[Date]],'DB US ISM Manufacturing'!$A:$B,2))</f>
        <v/>
      </c>
    </row>
    <row r="140">
      <c r="A140" s="10" t="n">
        <v>44531</v>
      </c>
      <c r="B140" s="18">
        <f>IF(VLOOKUP(A140,'DB Country PMI'!$A:$AZ,MATCH($A$1,'DB Country PMI'!$A$1:$AZ$1,),)=0,#N/A,VLOOKUP(A140,'DB Country PMI'!$A:$AZ,MATCH($A$1,'DB Country PMI'!$A$1:$AZ$1,),))</f>
        <v/>
      </c>
      <c r="C140" s="24">
        <f>Table1346811[[#This Row],[PMI]]-B139</f>
        <v/>
      </c>
      <c r="D140" s="24">
        <f>IF(VLOOKUP(Table1346811[[#This Row],[Date]],'DB US ISM Manufacturing'!$A:$B,2)=0,#N/A,VLOOKUP(Table1346811[[#This Row],[Date]],'DB US ISM Manufacturing'!$A:$B,2))</f>
        <v/>
      </c>
    </row>
    <row r="141">
      <c r="A141" s="10" t="n">
        <v>44562</v>
      </c>
      <c r="B141" s="18">
        <f>IF(VLOOKUP(A141,'DB Country PMI'!$A:$AZ,MATCH($A$1,'DB Country PMI'!$A$1:$AZ$1,),)=0,#N/A,VLOOKUP(A141,'DB Country PMI'!$A:$AZ,MATCH($A$1,'DB Country PMI'!$A$1:$AZ$1,),))</f>
        <v/>
      </c>
      <c r="C141" s="24">
        <f>Table1346811[[#This Row],[PMI]]-B140</f>
        <v/>
      </c>
      <c r="D141" s="24">
        <f>IF(VLOOKUP(Table1346811[[#This Row],[Date]],'DB US ISM Manufacturing'!$A:$B,2)=0,#N/A,VLOOKUP(Table1346811[[#This Row],[Date]],'DB US ISM Manufacturing'!$A:$B,2))</f>
        <v/>
      </c>
    </row>
    <row r="142">
      <c r="A142" s="10" t="n">
        <v>44593</v>
      </c>
      <c r="B142" s="18">
        <f>IF(VLOOKUP(A142,'DB Country PMI'!$A:$AZ,MATCH($A$1,'DB Country PMI'!$A$1:$AZ$1,),)=0,#N/A,VLOOKUP(A142,'DB Country PMI'!$A:$AZ,MATCH($A$1,'DB Country PMI'!$A$1:$AZ$1,),))</f>
        <v/>
      </c>
      <c r="C142" s="24">
        <f>Table1346811[[#This Row],[PMI]]-B141</f>
        <v/>
      </c>
      <c r="D142" s="24">
        <f>IF(VLOOKUP(Table1346811[[#This Row],[Date]],'DB US ISM Manufacturing'!$A:$B,2)=0,#N/A,VLOOKUP(Table1346811[[#This Row],[Date]],'DB US ISM Manufacturing'!$A:$B,2))</f>
        <v/>
      </c>
    </row>
    <row r="143">
      <c r="A143" s="10" t="n">
        <v>44621</v>
      </c>
      <c r="B143" s="18">
        <f>IF(VLOOKUP(A143,'DB Country PMI'!$A:$AZ,MATCH($A$1,'DB Country PMI'!$A$1:$AZ$1,),)=0,#N/A,VLOOKUP(A143,'DB Country PMI'!$A:$AZ,MATCH($A$1,'DB Country PMI'!$A$1:$AZ$1,),))</f>
        <v/>
      </c>
      <c r="C143" s="24">
        <f>Table1346811[[#This Row],[PMI]]-B142</f>
        <v/>
      </c>
      <c r="D143" s="24">
        <f>IF(VLOOKUP(Table1346811[[#This Row],[Date]],'DB US ISM Manufacturing'!$A:$B,2)=0,#N/A,VLOOKUP(Table1346811[[#This Row],[Date]],'DB US ISM Manufacturing'!$A:$B,2))</f>
        <v/>
      </c>
    </row>
    <row r="144">
      <c r="A144" s="10" t="n">
        <v>44652</v>
      </c>
      <c r="B144" s="18">
        <f>IF(VLOOKUP(A144,'DB Country PMI'!$A:$AZ,MATCH($A$1,'DB Country PMI'!$A$1:$AZ$1,),)=0,#N/A,VLOOKUP(A144,'DB Country PMI'!$A:$AZ,MATCH($A$1,'DB Country PMI'!$A$1:$AZ$1,),))</f>
        <v/>
      </c>
      <c r="C144" s="24">
        <f>Table1346811[[#This Row],[PMI]]-B143</f>
        <v/>
      </c>
      <c r="D144" s="24">
        <f>IF(VLOOKUP(Table1346811[[#This Row],[Date]],'DB US ISM Manufacturing'!$A:$B,2)=0,#N/A,VLOOKUP(Table1346811[[#This Row],[Date]],'DB US ISM Manufacturing'!$A:$B,2))</f>
        <v/>
      </c>
    </row>
    <row r="145">
      <c r="A145" s="10" t="n">
        <v>44682</v>
      </c>
      <c r="B145" s="18">
        <f>IF(VLOOKUP(A145,'DB Country PMI'!$A:$AZ,MATCH($A$1,'DB Country PMI'!$A$1:$AZ$1,),)=0,#N/A,VLOOKUP(A145,'DB Country PMI'!$A:$AZ,MATCH($A$1,'DB Country PMI'!$A$1:$AZ$1,),))</f>
        <v/>
      </c>
      <c r="C145" s="24">
        <f>Table1346811[[#This Row],[PMI]]-B144</f>
        <v/>
      </c>
      <c r="D145" s="24">
        <f>IF(VLOOKUP(Table1346811[[#This Row],[Date]],'DB US ISM Manufacturing'!$A:$B,2)=0,#N/A,VLOOKUP(Table1346811[[#This Row],[Date]],'DB US ISM Manufacturing'!$A:$B,2))</f>
        <v/>
      </c>
    </row>
    <row r="146">
      <c r="A146" s="10" t="n">
        <v>44713</v>
      </c>
      <c r="B146" s="18">
        <f>IF(VLOOKUP(A146,'DB Country PMI'!$A:$AZ,MATCH($A$1,'DB Country PMI'!$A$1:$AZ$1,),)=0,#N/A,VLOOKUP(A146,'DB Country PMI'!$A:$AZ,MATCH($A$1,'DB Country PMI'!$A$1:$AZ$1,),))</f>
        <v/>
      </c>
      <c r="C146" s="24">
        <f>Table1346811[[#This Row],[PMI]]-B145</f>
        <v/>
      </c>
      <c r="D146" s="24">
        <f>IF(VLOOKUP(Table1346811[[#This Row],[Date]],'DB US ISM Manufacturing'!$A:$B,2)=0,#N/A,VLOOKUP(Table1346811[[#This Row],[Date]],'DB US ISM Manufacturing'!$A:$B,2))</f>
        <v/>
      </c>
    </row>
    <row r="147">
      <c r="A147" s="10" t="n">
        <v>44743</v>
      </c>
      <c r="B147" s="18">
        <f>IF(VLOOKUP(A147,'DB Country PMI'!$A:$AZ,MATCH($A$1,'DB Country PMI'!$A$1:$AZ$1,),)=0,#N/A,VLOOKUP(A147,'DB Country PMI'!$A:$AZ,MATCH($A$1,'DB Country PMI'!$A$1:$AZ$1,),))</f>
        <v/>
      </c>
      <c r="C147" s="24">
        <f>Table1346811[[#This Row],[PMI]]-B146</f>
        <v/>
      </c>
      <c r="D147" s="24">
        <f>IF(VLOOKUP(Table1346811[[#This Row],[Date]],'DB US ISM Manufacturing'!$A:$B,2)=0,#N/A,VLOOKUP(Table1346811[[#This Row],[Date]],'DB US ISM Manufacturing'!$A:$B,2))</f>
        <v/>
      </c>
    </row>
    <row r="148">
      <c r="A148" s="10" t="n">
        <v>44774</v>
      </c>
      <c r="B148" s="18">
        <f>IF(VLOOKUP(A148,'DB Country PMI'!$A:$AZ,MATCH($A$1,'DB Country PMI'!$A$1:$AZ$1,),)=0,#N/A,VLOOKUP(A148,'DB Country PMI'!$A:$AZ,MATCH($A$1,'DB Country PMI'!$A$1:$AZ$1,),))</f>
        <v/>
      </c>
      <c r="C148" s="24">
        <f>Table1346811[[#This Row],[PMI]]-B147</f>
        <v/>
      </c>
      <c r="D148" s="24">
        <f>IF(VLOOKUP(Table1346811[[#This Row],[Date]],'DB US ISM Manufacturing'!$A:$B,2)=0,#N/A,VLOOKUP(Table1346811[[#This Row],[Date]],'DB US ISM Manufacturing'!$A:$B,2))</f>
        <v/>
      </c>
    </row>
    <row r="149">
      <c r="A149" s="10" t="n">
        <v>44805</v>
      </c>
      <c r="B149" s="18">
        <f>IF(VLOOKUP(A149,'DB Country PMI'!$A:$AZ,MATCH($A$1,'DB Country PMI'!$A$1:$AZ$1,),)=0,#N/A,VLOOKUP(A149,'DB Country PMI'!$A:$AZ,MATCH($A$1,'DB Country PMI'!$A$1:$AZ$1,),))</f>
        <v/>
      </c>
      <c r="C149" s="24">
        <f>Table1346811[[#This Row],[PMI]]-B148</f>
        <v/>
      </c>
      <c r="D149" s="24">
        <f>IF(VLOOKUP(Table1346811[[#This Row],[Date]],'DB US ISM Manufacturing'!$A:$B,2)=0,#N/A,VLOOKUP(Table1346811[[#This Row],[Date]],'DB US ISM Manufacturing'!$A:$B,2))</f>
        <v/>
      </c>
    </row>
    <row r="150">
      <c r="A150" s="10" t="n">
        <v>44835</v>
      </c>
      <c r="B150" s="18">
        <f>IF(VLOOKUP(A150,'DB Country PMI'!$A:$AZ,MATCH($A$1,'DB Country PMI'!$A$1:$AZ$1,),)=0,#N/A,VLOOKUP(A150,'DB Country PMI'!$A:$AZ,MATCH($A$1,'DB Country PMI'!$A$1:$AZ$1,),))</f>
        <v/>
      </c>
      <c r="C150" s="24">
        <f>Table1346811[[#This Row],[PMI]]-B149</f>
        <v/>
      </c>
      <c r="D150" s="24">
        <f>IF(VLOOKUP(Table1346811[[#This Row],[Date]],'DB US ISM Manufacturing'!$A:$B,2)=0,#N/A,VLOOKUP(Table1346811[[#This Row],[Date]],'DB US ISM Manufacturing'!$A:$B,2))</f>
        <v/>
      </c>
    </row>
    <row r="151">
      <c r="A151" s="10" t="n">
        <v>44866</v>
      </c>
      <c r="B151" s="18">
        <f>IF(VLOOKUP(A151,'DB Country PMI'!$A:$AZ,MATCH($A$1,'DB Country PMI'!$A$1:$AZ$1,),)=0,#N/A,VLOOKUP(A151,'DB Country PMI'!$A:$AZ,MATCH($A$1,'DB Country PMI'!$A$1:$AZ$1,),))</f>
        <v/>
      </c>
      <c r="C151" s="24">
        <f>Table1346811[[#This Row],[PMI]]-B150</f>
        <v/>
      </c>
      <c r="D151" s="24">
        <f>IF(VLOOKUP(Table1346811[[#This Row],[Date]],'DB US ISM Manufacturing'!$A:$B,2)=0,#N/A,VLOOKUP(Table1346811[[#This Row],[Date]],'DB US ISM Manufacturing'!$A:$B,2))</f>
        <v/>
      </c>
    </row>
  </sheetData>
  <conditionalFormatting sqref="B6:B151">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5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K220"/>
  <sheetViews>
    <sheetView zoomScale="80" zoomScaleNormal="80" workbookViewId="0">
      <pane ySplit="5" topLeftCell="A176" activePane="bottomLeft" state="frozen"/>
      <selection activeCell="K199" sqref="K199"/>
      <selection pane="bottomLeft" activeCell="T214" sqref="T214"/>
    </sheetView>
  </sheetViews>
  <sheetFormatPr baseColWidth="8" defaultColWidth="9.1796875" defaultRowHeight="14.5"/>
  <cols>
    <col width="13.453125" customWidth="1" style="69" min="1" max="1"/>
    <col width="11.36328125" customWidth="1" style="69" min="2" max="2"/>
    <col width="9.1796875" customWidth="1" style="69" min="3" max="3"/>
    <col width="18.36328125" customWidth="1" style="69" min="4" max="4"/>
    <col width="9.1796875" customWidth="1" style="69" min="5" max="53"/>
    <col width="9.1796875" customWidth="1" style="69" min="54" max="16384"/>
  </cols>
  <sheetData>
    <row r="1">
      <c r="A1" s="69" t="inlineStr">
        <is>
          <t>Caixin China</t>
        </is>
      </c>
      <c r="K1" s="69" t="inlineStr">
        <is>
          <t xml:space="preserve"> Manufacturing PMI</t>
        </is>
      </c>
    </row>
    <row r="2">
      <c r="A2" s="69" t="inlineStr">
        <is>
          <t>China</t>
        </is>
      </c>
      <c r="K2" s="69">
        <f>A1&amp;K1</f>
        <v/>
      </c>
    </row>
    <row r="3">
      <c r="A3" s="1" t="inlineStr">
        <is>
          <t>https://tradingeconomics.com/china/business-confidence</t>
        </is>
      </c>
    </row>
    <row r="4" ht="16" customHeight="1" thickBot="1"/>
    <row r="5" ht="16" customHeight="1" thickBot="1">
      <c r="A5" s="21" t="inlineStr">
        <is>
          <t>Date</t>
        </is>
      </c>
      <c r="B5" s="22" t="inlineStr">
        <is>
          <t>Caixin PMI</t>
        </is>
      </c>
      <c r="C5" s="22" t="inlineStr">
        <is>
          <t>mom</t>
        </is>
      </c>
      <c r="D5" s="25" t="inlineStr">
        <is>
          <t>Official PMI</t>
        </is>
      </c>
      <c r="E5" s="25" t="inlineStr">
        <is>
          <t>mom2</t>
        </is>
      </c>
      <c r="F5" s="25" t="inlineStr">
        <is>
          <t>GDP yoy %</t>
        </is>
      </c>
    </row>
    <row r="6">
      <c r="A6" s="17" t="n">
        <v>38353</v>
      </c>
      <c r="B6" s="18">
        <f>IF(VLOOKUP(A6,'DB Country PMI'!$A:$AZ,MATCH($A$2,'DB Country PMI'!$A$1:$AZ$1,),)=0,#N/A,VLOOKUP(A6,'DB Country PMI'!$A:$AZ,MATCH($A$2,'DB Country PMI'!$A$1:$AZ$1,),))</f>
        <v/>
      </c>
      <c r="C6" s="18" t="n"/>
      <c r="D6" s="24">
        <f>IF(VLOOKUP(Table1346811121415161718192021[[#This Row],[Date]],'DB China Official PMI'!$A:$C,2)=0,#N/A,VLOOKUP(Table1346811121415161718192021[[#This Row],[Date]],'DB China Official PMI'!$A:$C,2))</f>
        <v/>
      </c>
      <c r="E6" s="24" t="n"/>
      <c r="F6" s="52">
        <f>IF(VLOOKUP(Table1346811121415161718192021[[#This Row],[Date]],'DB China Official PMI'!$A:$C,3)=0,"",VLOOKUP(Table1346811121415161718192021[[#This Row],[Date]],'DB China Official PMI'!$A:$C,3))</f>
        <v/>
      </c>
    </row>
    <row r="7">
      <c r="A7" s="10" t="n">
        <v>38384</v>
      </c>
      <c r="B7" s="18">
        <f>IF(VLOOKUP(A7,'DB Country PMI'!$A:$AZ,MATCH($A$2,'DB Country PMI'!$A$1:$AZ$1,),)=0,#N/A,VLOOKUP(A7,'DB Country PMI'!$A:$AZ,MATCH($A$2,'DB Country PMI'!$A$1:$AZ$1,),))</f>
        <v/>
      </c>
      <c r="C7" s="24">
        <f>Table1346811121415161718192021[[#This Row],[Caixin PMI]]-B6</f>
        <v/>
      </c>
      <c r="D7" s="24">
        <f>IF(VLOOKUP(Table1346811121415161718192021[[#This Row],[Date]],'DB China Official PMI'!$A:$C,2)=0,#N/A,VLOOKUP(Table1346811121415161718192021[[#This Row],[Date]],'DB China Official PMI'!$A:$C,2))</f>
        <v/>
      </c>
      <c r="E7" s="24">
        <f>Table1346811121415161718192021[[#This Row],[Official PMI]]-D6</f>
        <v/>
      </c>
      <c r="F7" s="52">
        <f>IF(VLOOKUP(Table1346811121415161718192021[[#This Row],[Date]],'DB China Official PMI'!$A:$C,3)=0,"",VLOOKUP(Table1346811121415161718192021[[#This Row],[Date]],'DB China Official PMI'!$A:$C,3))</f>
        <v/>
      </c>
    </row>
    <row r="8">
      <c r="A8" s="10" t="n">
        <v>38412</v>
      </c>
      <c r="B8" s="18">
        <f>IF(VLOOKUP(A8,'DB Country PMI'!$A:$AZ,MATCH($A$2,'DB Country PMI'!$A$1:$AZ$1,),)=0,#N/A,VLOOKUP(A8,'DB Country PMI'!$A:$AZ,MATCH($A$2,'DB Country PMI'!$A$1:$AZ$1,),))</f>
        <v/>
      </c>
      <c r="C8" s="24">
        <f>Table1346811121415161718192021[[#This Row],[Caixin PMI]]-B7</f>
        <v/>
      </c>
      <c r="D8" s="24">
        <f>IF(VLOOKUP(Table1346811121415161718192021[[#This Row],[Date]],'DB China Official PMI'!$A:$C,2)=0,#N/A,VLOOKUP(Table1346811121415161718192021[[#This Row],[Date]],'DB China Official PMI'!$A:$C,2))</f>
        <v/>
      </c>
      <c r="E8" s="24">
        <f>Table1346811121415161718192021[[#This Row],[Official PMI]]-D7</f>
        <v/>
      </c>
      <c r="F8" s="52">
        <f>IF(VLOOKUP(Table1346811121415161718192021[[#This Row],[Date]],'DB China Official PMI'!$A:$C,3)=0,"",VLOOKUP(Table1346811121415161718192021[[#This Row],[Date]],'DB China Official PMI'!$A:$C,3))</f>
        <v/>
      </c>
    </row>
    <row r="9">
      <c r="A9" s="10" t="n">
        <v>38443</v>
      </c>
      <c r="B9" s="18">
        <f>IF(VLOOKUP(A9,'DB Country PMI'!$A:$AZ,MATCH($A$2,'DB Country PMI'!$A$1:$AZ$1,),)=0,#N/A,VLOOKUP(A9,'DB Country PMI'!$A:$AZ,MATCH($A$2,'DB Country PMI'!$A$1:$AZ$1,),))</f>
        <v/>
      </c>
      <c r="C9" s="24">
        <f>Table1346811121415161718192021[[#This Row],[Caixin PMI]]-B8</f>
        <v/>
      </c>
      <c r="D9" s="24">
        <f>IF(VLOOKUP(Table1346811121415161718192021[[#This Row],[Date]],'DB China Official PMI'!$A:$C,2)=0,#N/A,VLOOKUP(Table1346811121415161718192021[[#This Row],[Date]],'DB China Official PMI'!$A:$C,2))</f>
        <v/>
      </c>
      <c r="E9" s="24">
        <f>Table1346811121415161718192021[[#This Row],[Official PMI]]-D8</f>
        <v/>
      </c>
      <c r="F9" s="52">
        <f>IF(VLOOKUP(Table1346811121415161718192021[[#This Row],[Date]],'DB China Official PMI'!$A:$C,3)=0,"",VLOOKUP(Table1346811121415161718192021[[#This Row],[Date]],'DB China Official PMI'!$A:$C,3))</f>
        <v/>
      </c>
    </row>
    <row r="10">
      <c r="A10" s="10" t="n">
        <v>38473</v>
      </c>
      <c r="B10" s="18">
        <f>IF(VLOOKUP(A10,'DB Country PMI'!$A:$AZ,MATCH($A$2,'DB Country PMI'!$A$1:$AZ$1,),)=0,#N/A,VLOOKUP(A10,'DB Country PMI'!$A:$AZ,MATCH($A$2,'DB Country PMI'!$A$1:$AZ$1,),))</f>
        <v/>
      </c>
      <c r="C10" s="24">
        <f>Table1346811121415161718192021[[#This Row],[Caixin PMI]]-B9</f>
        <v/>
      </c>
      <c r="D10" s="24">
        <f>IF(VLOOKUP(Table1346811121415161718192021[[#This Row],[Date]],'DB China Official PMI'!$A:$C,2)=0,#N/A,VLOOKUP(Table1346811121415161718192021[[#This Row],[Date]],'DB China Official PMI'!$A:$C,2))</f>
        <v/>
      </c>
      <c r="E10" s="24">
        <f>Table1346811121415161718192021[[#This Row],[Official PMI]]-D9</f>
        <v/>
      </c>
      <c r="F10" s="52">
        <f>IF(VLOOKUP(Table1346811121415161718192021[[#This Row],[Date]],'DB China Official PMI'!$A:$C,3)=0,"",VLOOKUP(Table1346811121415161718192021[[#This Row],[Date]],'DB China Official PMI'!$A:$C,3))</f>
        <v/>
      </c>
    </row>
    <row r="11">
      <c r="A11" s="10" t="n">
        <v>38504</v>
      </c>
      <c r="B11" s="18">
        <f>IF(VLOOKUP(A11,'DB Country PMI'!$A:$AZ,MATCH($A$2,'DB Country PMI'!$A$1:$AZ$1,),)=0,#N/A,VLOOKUP(A11,'DB Country PMI'!$A:$AZ,MATCH($A$2,'DB Country PMI'!$A$1:$AZ$1,),))</f>
        <v/>
      </c>
      <c r="C11" s="24">
        <f>Table1346811121415161718192021[[#This Row],[Caixin PMI]]-B10</f>
        <v/>
      </c>
      <c r="D11" s="24">
        <f>IF(VLOOKUP(Table1346811121415161718192021[[#This Row],[Date]],'DB China Official PMI'!$A:$C,2)=0,#N/A,VLOOKUP(Table1346811121415161718192021[[#This Row],[Date]],'DB China Official PMI'!$A:$C,2))</f>
        <v/>
      </c>
      <c r="E11" s="24">
        <f>Table1346811121415161718192021[[#This Row],[Official PMI]]-D10</f>
        <v/>
      </c>
      <c r="F11" s="52">
        <f>IF(VLOOKUP(Table1346811121415161718192021[[#This Row],[Date]],'DB China Official PMI'!$A:$C,3)=0,"",VLOOKUP(Table1346811121415161718192021[[#This Row],[Date]],'DB China Official PMI'!$A:$C,3))</f>
        <v/>
      </c>
    </row>
    <row r="12">
      <c r="A12" s="10" t="n">
        <v>38534</v>
      </c>
      <c r="B12" s="18">
        <f>IF(VLOOKUP(A12,'DB Country PMI'!$A:$AZ,MATCH($A$2,'DB Country PMI'!$A$1:$AZ$1,),)=0,#N/A,VLOOKUP(A12,'DB Country PMI'!$A:$AZ,MATCH($A$2,'DB Country PMI'!$A$1:$AZ$1,),))</f>
        <v/>
      </c>
      <c r="C12" s="24">
        <f>Table1346811121415161718192021[[#This Row],[Caixin PMI]]-B11</f>
        <v/>
      </c>
      <c r="D12" s="24">
        <f>IF(VLOOKUP(Table1346811121415161718192021[[#This Row],[Date]],'DB China Official PMI'!$A:$C,2)=0,#N/A,VLOOKUP(Table1346811121415161718192021[[#This Row],[Date]],'DB China Official PMI'!$A:$C,2))</f>
        <v/>
      </c>
      <c r="E12" s="24">
        <f>Table1346811121415161718192021[[#This Row],[Official PMI]]-D11</f>
        <v/>
      </c>
      <c r="F12" s="52">
        <f>IF(VLOOKUP(Table1346811121415161718192021[[#This Row],[Date]],'DB China Official PMI'!$A:$C,3)=0,"",VLOOKUP(Table1346811121415161718192021[[#This Row],[Date]],'DB China Official PMI'!$A:$C,3))</f>
        <v/>
      </c>
    </row>
    <row r="13">
      <c r="A13" s="10" t="n">
        <v>38565</v>
      </c>
      <c r="B13" s="18">
        <f>IF(VLOOKUP(A13,'DB Country PMI'!$A:$AZ,MATCH($A$2,'DB Country PMI'!$A$1:$AZ$1,),)=0,#N/A,VLOOKUP(A13,'DB Country PMI'!$A:$AZ,MATCH($A$2,'DB Country PMI'!$A$1:$AZ$1,),))</f>
        <v/>
      </c>
      <c r="C13" s="24">
        <f>Table1346811121415161718192021[[#This Row],[Caixin PMI]]-B12</f>
        <v/>
      </c>
      <c r="D13" s="24">
        <f>IF(VLOOKUP(Table1346811121415161718192021[[#This Row],[Date]],'DB China Official PMI'!$A:$C,2)=0,#N/A,VLOOKUP(Table1346811121415161718192021[[#This Row],[Date]],'DB China Official PMI'!$A:$C,2))</f>
        <v/>
      </c>
      <c r="E13" s="24">
        <f>Table1346811121415161718192021[[#This Row],[Official PMI]]-D12</f>
        <v/>
      </c>
      <c r="F13" s="52">
        <f>IF(VLOOKUP(Table1346811121415161718192021[[#This Row],[Date]],'DB China Official PMI'!$A:$C,3)=0,"",VLOOKUP(Table1346811121415161718192021[[#This Row],[Date]],'DB China Official PMI'!$A:$C,3))</f>
        <v/>
      </c>
    </row>
    <row r="14">
      <c r="A14" s="10" t="n">
        <v>38596</v>
      </c>
      <c r="B14" s="18">
        <f>IF(VLOOKUP(A14,'DB Country PMI'!$A:$AZ,MATCH($A$2,'DB Country PMI'!$A$1:$AZ$1,),)=0,#N/A,VLOOKUP(A14,'DB Country PMI'!$A:$AZ,MATCH($A$2,'DB Country PMI'!$A$1:$AZ$1,),))</f>
        <v/>
      </c>
      <c r="C14" s="24">
        <f>Table1346811121415161718192021[[#This Row],[Caixin PMI]]-B13</f>
        <v/>
      </c>
      <c r="D14" s="24">
        <f>IF(VLOOKUP(Table1346811121415161718192021[[#This Row],[Date]],'DB China Official PMI'!$A:$C,2)=0,#N/A,VLOOKUP(Table1346811121415161718192021[[#This Row],[Date]],'DB China Official PMI'!$A:$C,2))</f>
        <v/>
      </c>
      <c r="E14" s="24">
        <f>Table1346811121415161718192021[[#This Row],[Official PMI]]-D13</f>
        <v/>
      </c>
      <c r="F14" s="52">
        <f>IF(VLOOKUP(Table1346811121415161718192021[[#This Row],[Date]],'DB China Official PMI'!$A:$C,3)=0,"",VLOOKUP(Table1346811121415161718192021[[#This Row],[Date]],'DB China Official PMI'!$A:$C,3))</f>
        <v/>
      </c>
    </row>
    <row r="15">
      <c r="A15" s="10" t="n">
        <v>38626</v>
      </c>
      <c r="B15" s="18">
        <f>IF(VLOOKUP(A15,'DB Country PMI'!$A:$AZ,MATCH($A$2,'DB Country PMI'!$A$1:$AZ$1,),)=0,#N/A,VLOOKUP(A15,'DB Country PMI'!$A:$AZ,MATCH($A$2,'DB Country PMI'!$A$1:$AZ$1,),))</f>
        <v/>
      </c>
      <c r="C15" s="24">
        <f>Table1346811121415161718192021[[#This Row],[Caixin PMI]]-B14</f>
        <v/>
      </c>
      <c r="D15" s="24">
        <f>IF(VLOOKUP(Table1346811121415161718192021[[#This Row],[Date]],'DB China Official PMI'!$A:$C,2)=0,#N/A,VLOOKUP(Table1346811121415161718192021[[#This Row],[Date]],'DB China Official PMI'!$A:$C,2))</f>
        <v/>
      </c>
      <c r="E15" s="24">
        <f>Table1346811121415161718192021[[#This Row],[Official PMI]]-D14</f>
        <v/>
      </c>
      <c r="F15" s="52">
        <f>IF(VLOOKUP(Table1346811121415161718192021[[#This Row],[Date]],'DB China Official PMI'!$A:$C,3)=0,"",VLOOKUP(Table1346811121415161718192021[[#This Row],[Date]],'DB China Official PMI'!$A:$C,3))</f>
        <v/>
      </c>
    </row>
    <row r="16">
      <c r="A16" s="10" t="n">
        <v>38657</v>
      </c>
      <c r="B16" s="18">
        <f>IF(VLOOKUP(A16,'DB Country PMI'!$A:$AZ,MATCH($A$2,'DB Country PMI'!$A$1:$AZ$1,),)=0,#N/A,VLOOKUP(A16,'DB Country PMI'!$A:$AZ,MATCH($A$2,'DB Country PMI'!$A$1:$AZ$1,),))</f>
        <v/>
      </c>
      <c r="C16" s="24">
        <f>Table1346811121415161718192021[[#This Row],[Caixin PMI]]-B15</f>
        <v/>
      </c>
      <c r="D16" s="24">
        <f>IF(VLOOKUP(Table1346811121415161718192021[[#This Row],[Date]],'DB China Official PMI'!$A:$C,2)=0,#N/A,VLOOKUP(Table1346811121415161718192021[[#This Row],[Date]],'DB China Official PMI'!$A:$C,2))</f>
        <v/>
      </c>
      <c r="E16" s="24">
        <f>Table1346811121415161718192021[[#This Row],[Official PMI]]-D15</f>
        <v/>
      </c>
      <c r="F16" s="52">
        <f>IF(VLOOKUP(Table1346811121415161718192021[[#This Row],[Date]],'DB China Official PMI'!$A:$C,3)=0,"",VLOOKUP(Table1346811121415161718192021[[#This Row],[Date]],'DB China Official PMI'!$A:$C,3))</f>
        <v/>
      </c>
    </row>
    <row r="17">
      <c r="A17" s="10" t="n">
        <v>38687</v>
      </c>
      <c r="B17" s="18">
        <f>IF(VLOOKUP(A17,'DB Country PMI'!$A:$AZ,MATCH($A$2,'DB Country PMI'!$A$1:$AZ$1,),)=0,#N/A,VLOOKUP(A17,'DB Country PMI'!$A:$AZ,MATCH($A$2,'DB Country PMI'!$A$1:$AZ$1,),))</f>
        <v/>
      </c>
      <c r="C17" s="24">
        <f>Table1346811121415161718192021[[#This Row],[Caixin PMI]]-B16</f>
        <v/>
      </c>
      <c r="D17" s="24">
        <f>IF(VLOOKUP(Table1346811121415161718192021[[#This Row],[Date]],'DB China Official PMI'!$A:$C,2)=0,#N/A,VLOOKUP(Table1346811121415161718192021[[#This Row],[Date]],'DB China Official PMI'!$A:$C,2))</f>
        <v/>
      </c>
      <c r="E17" s="24">
        <f>Table1346811121415161718192021[[#This Row],[Official PMI]]-D16</f>
        <v/>
      </c>
      <c r="F17" s="52">
        <f>IF(VLOOKUP(Table1346811121415161718192021[[#This Row],[Date]],'DB China Official PMI'!$A:$C,3)=0,"",VLOOKUP(Table1346811121415161718192021[[#This Row],[Date]],'DB China Official PMI'!$A:$C,3))</f>
        <v/>
      </c>
    </row>
    <row r="18">
      <c r="A18" s="10" t="n">
        <v>38718</v>
      </c>
      <c r="B18" s="18">
        <f>IF(VLOOKUP(A18,'DB Country PMI'!$A:$AZ,MATCH($A$2,'DB Country PMI'!$A$1:$AZ$1,),)=0,#N/A,VLOOKUP(A18,'DB Country PMI'!$A:$AZ,MATCH($A$2,'DB Country PMI'!$A$1:$AZ$1,),))</f>
        <v/>
      </c>
      <c r="C18" s="24">
        <f>Table1346811121415161718192021[[#This Row],[Caixin PMI]]-B17</f>
        <v/>
      </c>
      <c r="D18" s="24">
        <f>IF(VLOOKUP(Table1346811121415161718192021[[#This Row],[Date]],'DB China Official PMI'!$A:$C,2)=0,#N/A,VLOOKUP(Table1346811121415161718192021[[#This Row],[Date]],'DB China Official PMI'!$A:$C,2))</f>
        <v/>
      </c>
      <c r="E18" s="24">
        <f>Table1346811121415161718192021[[#This Row],[Official PMI]]-D17</f>
        <v/>
      </c>
      <c r="F18" s="52">
        <f>IF(VLOOKUP(Table1346811121415161718192021[[#This Row],[Date]],'DB China Official PMI'!$A:$C,3)=0,"",VLOOKUP(Table1346811121415161718192021[[#This Row],[Date]],'DB China Official PMI'!$A:$C,3))</f>
        <v/>
      </c>
    </row>
    <row r="19">
      <c r="A19" s="10" t="n">
        <v>38749</v>
      </c>
      <c r="B19" s="18">
        <f>IF(VLOOKUP(A19,'DB Country PMI'!$A:$AZ,MATCH($A$2,'DB Country PMI'!$A$1:$AZ$1,),)=0,#N/A,VLOOKUP(A19,'DB Country PMI'!$A:$AZ,MATCH($A$2,'DB Country PMI'!$A$1:$AZ$1,),))</f>
        <v/>
      </c>
      <c r="C19" s="24">
        <f>Table1346811121415161718192021[[#This Row],[Caixin PMI]]-B18</f>
        <v/>
      </c>
      <c r="D19" s="24">
        <f>IF(VLOOKUP(Table1346811121415161718192021[[#This Row],[Date]],'DB China Official PMI'!$A:$C,2)=0,#N/A,VLOOKUP(Table1346811121415161718192021[[#This Row],[Date]],'DB China Official PMI'!$A:$C,2))</f>
        <v/>
      </c>
      <c r="E19" s="24">
        <f>Table1346811121415161718192021[[#This Row],[Official PMI]]-D18</f>
        <v/>
      </c>
      <c r="F19" s="52">
        <f>IF(VLOOKUP(Table1346811121415161718192021[[#This Row],[Date]],'DB China Official PMI'!$A:$C,3)=0,"",VLOOKUP(Table1346811121415161718192021[[#This Row],[Date]],'DB China Official PMI'!$A:$C,3))</f>
        <v/>
      </c>
    </row>
    <row r="20">
      <c r="A20" s="10" t="n">
        <v>38777</v>
      </c>
      <c r="B20" s="18">
        <f>IF(VLOOKUP(A20,'DB Country PMI'!$A:$AZ,MATCH($A$2,'DB Country PMI'!$A$1:$AZ$1,),)=0,#N/A,VLOOKUP(A20,'DB Country PMI'!$A:$AZ,MATCH($A$2,'DB Country PMI'!$A$1:$AZ$1,),))</f>
        <v/>
      </c>
      <c r="C20" s="24">
        <f>Table1346811121415161718192021[[#This Row],[Caixin PMI]]-B19</f>
        <v/>
      </c>
      <c r="D20" s="24">
        <f>IF(VLOOKUP(Table1346811121415161718192021[[#This Row],[Date]],'DB China Official PMI'!$A:$C,2)=0,#N/A,VLOOKUP(Table1346811121415161718192021[[#This Row],[Date]],'DB China Official PMI'!$A:$C,2))</f>
        <v/>
      </c>
      <c r="E20" s="24">
        <f>Table1346811121415161718192021[[#This Row],[Official PMI]]-D19</f>
        <v/>
      </c>
      <c r="F20" s="52">
        <f>IF(VLOOKUP(Table1346811121415161718192021[[#This Row],[Date]],'DB China Official PMI'!$A:$C,3)=0,"",VLOOKUP(Table1346811121415161718192021[[#This Row],[Date]],'DB China Official PMI'!$A:$C,3))</f>
        <v/>
      </c>
    </row>
    <row r="21">
      <c r="A21" s="10" t="n">
        <v>38808</v>
      </c>
      <c r="B21" s="18">
        <f>IF(VLOOKUP(A21,'DB Country PMI'!$A:$AZ,MATCH($A$2,'DB Country PMI'!$A$1:$AZ$1,),)=0,#N/A,VLOOKUP(A21,'DB Country PMI'!$A:$AZ,MATCH($A$2,'DB Country PMI'!$A$1:$AZ$1,),))</f>
        <v/>
      </c>
      <c r="C21" s="24">
        <f>Table1346811121415161718192021[[#This Row],[Caixin PMI]]-B20</f>
        <v/>
      </c>
      <c r="D21" s="24">
        <f>IF(VLOOKUP(Table1346811121415161718192021[[#This Row],[Date]],'DB China Official PMI'!$A:$C,2)=0,#N/A,VLOOKUP(Table1346811121415161718192021[[#This Row],[Date]],'DB China Official PMI'!$A:$C,2))</f>
        <v/>
      </c>
      <c r="E21" s="24">
        <f>Table1346811121415161718192021[[#This Row],[Official PMI]]-D20</f>
        <v/>
      </c>
      <c r="F21" s="52">
        <f>IF(VLOOKUP(Table1346811121415161718192021[[#This Row],[Date]],'DB China Official PMI'!$A:$C,3)=0,"",VLOOKUP(Table1346811121415161718192021[[#This Row],[Date]],'DB China Official PMI'!$A:$C,3))</f>
        <v/>
      </c>
    </row>
    <row r="22">
      <c r="A22" s="10" t="n">
        <v>38838</v>
      </c>
      <c r="B22" s="18">
        <f>IF(VLOOKUP(A22,'DB Country PMI'!$A:$AZ,MATCH($A$2,'DB Country PMI'!$A$1:$AZ$1,),)=0,#N/A,VLOOKUP(A22,'DB Country PMI'!$A:$AZ,MATCH($A$2,'DB Country PMI'!$A$1:$AZ$1,),))</f>
        <v/>
      </c>
      <c r="C22" s="24">
        <f>Table1346811121415161718192021[[#This Row],[Caixin PMI]]-B21</f>
        <v/>
      </c>
      <c r="D22" s="24">
        <f>IF(VLOOKUP(Table1346811121415161718192021[[#This Row],[Date]],'DB China Official PMI'!$A:$C,2)=0,#N/A,VLOOKUP(Table1346811121415161718192021[[#This Row],[Date]],'DB China Official PMI'!$A:$C,2))</f>
        <v/>
      </c>
      <c r="E22" s="24">
        <f>Table1346811121415161718192021[[#This Row],[Official PMI]]-D21</f>
        <v/>
      </c>
      <c r="F22" s="52">
        <f>IF(VLOOKUP(Table1346811121415161718192021[[#This Row],[Date]],'DB China Official PMI'!$A:$C,3)=0,"",VLOOKUP(Table1346811121415161718192021[[#This Row],[Date]],'DB China Official PMI'!$A:$C,3))</f>
        <v/>
      </c>
    </row>
    <row r="23">
      <c r="A23" s="10" t="n">
        <v>38869</v>
      </c>
      <c r="B23" s="18">
        <f>IF(VLOOKUP(A23,'DB Country PMI'!$A:$AZ,MATCH($A$2,'DB Country PMI'!$A$1:$AZ$1,),)=0,#N/A,VLOOKUP(A23,'DB Country PMI'!$A:$AZ,MATCH($A$2,'DB Country PMI'!$A$1:$AZ$1,),))</f>
        <v/>
      </c>
      <c r="C23" s="24">
        <f>Table1346811121415161718192021[[#This Row],[Caixin PMI]]-B22</f>
        <v/>
      </c>
      <c r="D23" s="24">
        <f>IF(VLOOKUP(Table1346811121415161718192021[[#This Row],[Date]],'DB China Official PMI'!$A:$C,2)=0,#N/A,VLOOKUP(Table1346811121415161718192021[[#This Row],[Date]],'DB China Official PMI'!$A:$C,2))</f>
        <v/>
      </c>
      <c r="E23" s="24">
        <f>Table1346811121415161718192021[[#This Row],[Official PMI]]-D22</f>
        <v/>
      </c>
      <c r="F23" s="52">
        <f>IF(VLOOKUP(Table1346811121415161718192021[[#This Row],[Date]],'DB China Official PMI'!$A:$C,3)=0,"",VLOOKUP(Table1346811121415161718192021[[#This Row],[Date]],'DB China Official PMI'!$A:$C,3))</f>
        <v/>
      </c>
    </row>
    <row r="24">
      <c r="A24" s="10" t="n">
        <v>38899</v>
      </c>
      <c r="B24" s="18">
        <f>IF(VLOOKUP(A24,'DB Country PMI'!$A:$AZ,MATCH($A$2,'DB Country PMI'!$A$1:$AZ$1,),)=0,#N/A,VLOOKUP(A24,'DB Country PMI'!$A:$AZ,MATCH($A$2,'DB Country PMI'!$A$1:$AZ$1,),))</f>
        <v/>
      </c>
      <c r="C24" s="24">
        <f>Table1346811121415161718192021[[#This Row],[Caixin PMI]]-B23</f>
        <v/>
      </c>
      <c r="D24" s="24">
        <f>IF(VLOOKUP(Table1346811121415161718192021[[#This Row],[Date]],'DB China Official PMI'!$A:$C,2)=0,#N/A,VLOOKUP(Table1346811121415161718192021[[#This Row],[Date]],'DB China Official PMI'!$A:$C,2))</f>
        <v/>
      </c>
      <c r="E24" s="24">
        <f>Table1346811121415161718192021[[#This Row],[Official PMI]]-D23</f>
        <v/>
      </c>
      <c r="F24" s="52">
        <f>IF(VLOOKUP(Table1346811121415161718192021[[#This Row],[Date]],'DB China Official PMI'!$A:$C,3)=0,"",VLOOKUP(Table1346811121415161718192021[[#This Row],[Date]],'DB China Official PMI'!$A:$C,3))</f>
        <v/>
      </c>
    </row>
    <row r="25">
      <c r="A25" s="10" t="n">
        <v>38930</v>
      </c>
      <c r="B25" s="18">
        <f>IF(VLOOKUP(A25,'DB Country PMI'!$A:$AZ,MATCH($A$2,'DB Country PMI'!$A$1:$AZ$1,),)=0,#N/A,VLOOKUP(A25,'DB Country PMI'!$A:$AZ,MATCH($A$2,'DB Country PMI'!$A$1:$AZ$1,),))</f>
        <v/>
      </c>
      <c r="C25" s="24">
        <f>Table1346811121415161718192021[[#This Row],[Caixin PMI]]-B24</f>
        <v/>
      </c>
      <c r="D25" s="24">
        <f>IF(VLOOKUP(Table1346811121415161718192021[[#This Row],[Date]],'DB China Official PMI'!$A:$C,2)=0,#N/A,VLOOKUP(Table1346811121415161718192021[[#This Row],[Date]],'DB China Official PMI'!$A:$C,2))</f>
        <v/>
      </c>
      <c r="E25" s="24">
        <f>Table1346811121415161718192021[[#This Row],[Official PMI]]-D24</f>
        <v/>
      </c>
      <c r="F25" s="52">
        <f>IF(VLOOKUP(Table1346811121415161718192021[[#This Row],[Date]],'DB China Official PMI'!$A:$C,3)=0,"",VLOOKUP(Table1346811121415161718192021[[#This Row],[Date]],'DB China Official PMI'!$A:$C,3))</f>
        <v/>
      </c>
    </row>
    <row r="26">
      <c r="A26" s="10" t="n">
        <v>38961</v>
      </c>
      <c r="B26" s="18">
        <f>IF(VLOOKUP(A26,'DB Country PMI'!$A:$AZ,MATCH($A$2,'DB Country PMI'!$A$1:$AZ$1,),)=0,#N/A,VLOOKUP(A26,'DB Country PMI'!$A:$AZ,MATCH($A$2,'DB Country PMI'!$A$1:$AZ$1,),))</f>
        <v/>
      </c>
      <c r="C26" s="24">
        <f>Table1346811121415161718192021[[#This Row],[Caixin PMI]]-B25</f>
        <v/>
      </c>
      <c r="D26" s="24">
        <f>IF(VLOOKUP(Table1346811121415161718192021[[#This Row],[Date]],'DB China Official PMI'!$A:$C,2)=0,#N/A,VLOOKUP(Table1346811121415161718192021[[#This Row],[Date]],'DB China Official PMI'!$A:$C,2))</f>
        <v/>
      </c>
      <c r="E26" s="24">
        <f>Table1346811121415161718192021[[#This Row],[Official PMI]]-D25</f>
        <v/>
      </c>
      <c r="F26" s="52">
        <f>IF(VLOOKUP(Table1346811121415161718192021[[#This Row],[Date]],'DB China Official PMI'!$A:$C,3)=0,"",VLOOKUP(Table1346811121415161718192021[[#This Row],[Date]],'DB China Official PMI'!$A:$C,3))</f>
        <v/>
      </c>
    </row>
    <row r="27">
      <c r="A27" s="10" t="n">
        <v>38991</v>
      </c>
      <c r="B27" s="18">
        <f>IF(VLOOKUP(A27,'DB Country PMI'!$A:$AZ,MATCH($A$2,'DB Country PMI'!$A$1:$AZ$1,),)=0,#N/A,VLOOKUP(A27,'DB Country PMI'!$A:$AZ,MATCH($A$2,'DB Country PMI'!$A$1:$AZ$1,),))</f>
        <v/>
      </c>
      <c r="C27" s="24">
        <f>Table1346811121415161718192021[[#This Row],[Caixin PMI]]-B26</f>
        <v/>
      </c>
      <c r="D27" s="24">
        <f>IF(VLOOKUP(Table1346811121415161718192021[[#This Row],[Date]],'DB China Official PMI'!$A:$C,2)=0,#N/A,VLOOKUP(Table1346811121415161718192021[[#This Row],[Date]],'DB China Official PMI'!$A:$C,2))</f>
        <v/>
      </c>
      <c r="E27" s="24">
        <f>Table1346811121415161718192021[[#This Row],[Official PMI]]-D26</f>
        <v/>
      </c>
      <c r="F27" s="52">
        <f>IF(VLOOKUP(Table1346811121415161718192021[[#This Row],[Date]],'DB China Official PMI'!$A:$C,3)=0,"",VLOOKUP(Table1346811121415161718192021[[#This Row],[Date]],'DB China Official PMI'!$A:$C,3))</f>
        <v/>
      </c>
    </row>
    <row r="28">
      <c r="A28" s="10" t="n">
        <v>39022</v>
      </c>
      <c r="B28" s="18">
        <f>IF(VLOOKUP(A28,'DB Country PMI'!$A:$AZ,MATCH($A$2,'DB Country PMI'!$A$1:$AZ$1,),)=0,#N/A,VLOOKUP(A28,'DB Country PMI'!$A:$AZ,MATCH($A$2,'DB Country PMI'!$A$1:$AZ$1,),))</f>
        <v/>
      </c>
      <c r="C28" s="24">
        <f>Table1346811121415161718192021[[#This Row],[Caixin PMI]]-B27</f>
        <v/>
      </c>
      <c r="D28" s="24">
        <f>IF(VLOOKUP(Table1346811121415161718192021[[#This Row],[Date]],'DB China Official PMI'!$A:$C,2)=0,#N/A,VLOOKUP(Table1346811121415161718192021[[#This Row],[Date]],'DB China Official PMI'!$A:$C,2))</f>
        <v/>
      </c>
      <c r="E28" s="24">
        <f>Table1346811121415161718192021[[#This Row],[Official PMI]]-D27</f>
        <v/>
      </c>
      <c r="F28" s="52">
        <f>IF(VLOOKUP(Table1346811121415161718192021[[#This Row],[Date]],'DB China Official PMI'!$A:$C,3)=0,"",VLOOKUP(Table1346811121415161718192021[[#This Row],[Date]],'DB China Official PMI'!$A:$C,3))</f>
        <v/>
      </c>
    </row>
    <row r="29">
      <c r="A29" s="10" t="n">
        <v>39052</v>
      </c>
      <c r="B29" s="18">
        <f>IF(VLOOKUP(A29,'DB Country PMI'!$A:$AZ,MATCH($A$2,'DB Country PMI'!$A$1:$AZ$1,),)=0,#N/A,VLOOKUP(A29,'DB Country PMI'!$A:$AZ,MATCH($A$2,'DB Country PMI'!$A$1:$AZ$1,),))</f>
        <v/>
      </c>
      <c r="C29" s="24">
        <f>Table1346811121415161718192021[[#This Row],[Caixin PMI]]-B28</f>
        <v/>
      </c>
      <c r="D29" s="24">
        <f>IF(VLOOKUP(Table1346811121415161718192021[[#This Row],[Date]],'DB China Official PMI'!$A:$C,2)=0,#N/A,VLOOKUP(Table1346811121415161718192021[[#This Row],[Date]],'DB China Official PMI'!$A:$C,2))</f>
        <v/>
      </c>
      <c r="E29" s="24">
        <f>Table1346811121415161718192021[[#This Row],[Official PMI]]-D28</f>
        <v/>
      </c>
      <c r="F29" s="52">
        <f>IF(VLOOKUP(Table1346811121415161718192021[[#This Row],[Date]],'DB China Official PMI'!$A:$C,3)=0,"",VLOOKUP(Table1346811121415161718192021[[#This Row],[Date]],'DB China Official PMI'!$A:$C,3))</f>
        <v/>
      </c>
    </row>
    <row r="30">
      <c r="A30" s="10" t="n">
        <v>39083</v>
      </c>
      <c r="B30" s="18">
        <f>IF(VLOOKUP(A30,'DB Country PMI'!$A:$AZ,MATCH($A$2,'DB Country PMI'!$A$1:$AZ$1,),)=0,#N/A,VLOOKUP(A30,'DB Country PMI'!$A:$AZ,MATCH($A$2,'DB Country PMI'!$A$1:$AZ$1,),))</f>
        <v/>
      </c>
      <c r="C30" s="24">
        <f>Table1346811121415161718192021[[#This Row],[Caixin PMI]]-B29</f>
        <v/>
      </c>
      <c r="D30" s="24">
        <f>IF(VLOOKUP(Table1346811121415161718192021[[#This Row],[Date]],'DB China Official PMI'!$A:$C,2)=0,#N/A,VLOOKUP(Table1346811121415161718192021[[#This Row],[Date]],'DB China Official PMI'!$A:$C,2))</f>
        <v/>
      </c>
      <c r="E30" s="24">
        <f>Table1346811121415161718192021[[#This Row],[Official PMI]]-D29</f>
        <v/>
      </c>
      <c r="F30" s="52">
        <f>IF(VLOOKUP(Table1346811121415161718192021[[#This Row],[Date]],'DB China Official PMI'!$A:$C,3)=0,"",VLOOKUP(Table1346811121415161718192021[[#This Row],[Date]],'DB China Official PMI'!$A:$C,3))</f>
        <v/>
      </c>
    </row>
    <row r="31">
      <c r="A31" s="10" t="n">
        <v>39114</v>
      </c>
      <c r="B31" s="18">
        <f>IF(VLOOKUP(A31,'DB Country PMI'!$A:$AZ,MATCH($A$2,'DB Country PMI'!$A$1:$AZ$1,),)=0,#N/A,VLOOKUP(A31,'DB Country PMI'!$A:$AZ,MATCH($A$2,'DB Country PMI'!$A$1:$AZ$1,),))</f>
        <v/>
      </c>
      <c r="C31" s="24">
        <f>Table1346811121415161718192021[[#This Row],[Caixin PMI]]-B30</f>
        <v/>
      </c>
      <c r="D31" s="24">
        <f>IF(VLOOKUP(Table1346811121415161718192021[[#This Row],[Date]],'DB China Official PMI'!$A:$C,2)=0,#N/A,VLOOKUP(Table1346811121415161718192021[[#This Row],[Date]],'DB China Official PMI'!$A:$C,2))</f>
        <v/>
      </c>
      <c r="E31" s="24">
        <f>Table1346811121415161718192021[[#This Row],[Official PMI]]-D30</f>
        <v/>
      </c>
      <c r="F31" s="52">
        <f>IF(VLOOKUP(Table1346811121415161718192021[[#This Row],[Date]],'DB China Official PMI'!$A:$C,3)=0,"",VLOOKUP(Table1346811121415161718192021[[#This Row],[Date]],'DB China Official PMI'!$A:$C,3))</f>
        <v/>
      </c>
    </row>
    <row r="32">
      <c r="A32" s="10" t="n">
        <v>39142</v>
      </c>
      <c r="B32" s="18">
        <f>IF(VLOOKUP(A32,'DB Country PMI'!$A:$AZ,MATCH($A$2,'DB Country PMI'!$A$1:$AZ$1,),)=0,#N/A,VLOOKUP(A32,'DB Country PMI'!$A:$AZ,MATCH($A$2,'DB Country PMI'!$A$1:$AZ$1,),))</f>
        <v/>
      </c>
      <c r="C32" s="24">
        <f>Table1346811121415161718192021[[#This Row],[Caixin PMI]]-B31</f>
        <v/>
      </c>
      <c r="D32" s="24">
        <f>IF(VLOOKUP(Table1346811121415161718192021[[#This Row],[Date]],'DB China Official PMI'!$A:$C,2)=0,#N/A,VLOOKUP(Table1346811121415161718192021[[#This Row],[Date]],'DB China Official PMI'!$A:$C,2))</f>
        <v/>
      </c>
      <c r="E32" s="24">
        <f>Table1346811121415161718192021[[#This Row],[Official PMI]]-D31</f>
        <v/>
      </c>
      <c r="F32" s="52">
        <f>IF(VLOOKUP(Table1346811121415161718192021[[#This Row],[Date]],'DB China Official PMI'!$A:$C,3)=0,"",VLOOKUP(Table1346811121415161718192021[[#This Row],[Date]],'DB China Official PMI'!$A:$C,3))</f>
        <v/>
      </c>
    </row>
    <row r="33">
      <c r="A33" s="10" t="n">
        <v>39173</v>
      </c>
      <c r="B33" s="18">
        <f>IF(VLOOKUP(A33,'DB Country PMI'!$A:$AZ,MATCH($A$2,'DB Country PMI'!$A$1:$AZ$1,),)=0,#N/A,VLOOKUP(A33,'DB Country PMI'!$A:$AZ,MATCH($A$2,'DB Country PMI'!$A$1:$AZ$1,),))</f>
        <v/>
      </c>
      <c r="C33" s="24">
        <f>Table1346811121415161718192021[[#This Row],[Caixin PMI]]-B32</f>
        <v/>
      </c>
      <c r="D33" s="24">
        <f>IF(VLOOKUP(Table1346811121415161718192021[[#This Row],[Date]],'DB China Official PMI'!$A:$C,2)=0,#N/A,VLOOKUP(Table1346811121415161718192021[[#This Row],[Date]],'DB China Official PMI'!$A:$C,2))</f>
        <v/>
      </c>
      <c r="E33" s="24">
        <f>Table1346811121415161718192021[[#This Row],[Official PMI]]-D32</f>
        <v/>
      </c>
      <c r="F33" s="52">
        <f>IF(VLOOKUP(Table1346811121415161718192021[[#This Row],[Date]],'DB China Official PMI'!$A:$C,3)=0,"",VLOOKUP(Table1346811121415161718192021[[#This Row],[Date]],'DB China Official PMI'!$A:$C,3))</f>
        <v/>
      </c>
    </row>
    <row r="34">
      <c r="A34" s="10" t="n">
        <v>39203</v>
      </c>
      <c r="B34" s="18">
        <f>IF(VLOOKUP(A34,'DB Country PMI'!$A:$AZ,MATCH($A$2,'DB Country PMI'!$A$1:$AZ$1,),)=0,#N/A,VLOOKUP(A34,'DB Country PMI'!$A:$AZ,MATCH($A$2,'DB Country PMI'!$A$1:$AZ$1,),))</f>
        <v/>
      </c>
      <c r="C34" s="24">
        <f>Table1346811121415161718192021[[#This Row],[Caixin PMI]]-B33</f>
        <v/>
      </c>
      <c r="D34" s="24">
        <f>IF(VLOOKUP(Table1346811121415161718192021[[#This Row],[Date]],'DB China Official PMI'!$A:$C,2)=0,#N/A,VLOOKUP(Table1346811121415161718192021[[#This Row],[Date]],'DB China Official PMI'!$A:$C,2))</f>
        <v/>
      </c>
      <c r="E34" s="24">
        <f>Table1346811121415161718192021[[#This Row],[Official PMI]]-D33</f>
        <v/>
      </c>
      <c r="F34" s="52">
        <f>IF(VLOOKUP(Table1346811121415161718192021[[#This Row],[Date]],'DB China Official PMI'!$A:$C,3)=0,"",VLOOKUP(Table1346811121415161718192021[[#This Row],[Date]],'DB China Official PMI'!$A:$C,3))</f>
        <v/>
      </c>
    </row>
    <row r="35">
      <c r="A35" s="10" t="n">
        <v>39234</v>
      </c>
      <c r="B35" s="18">
        <f>IF(VLOOKUP(A35,'DB Country PMI'!$A:$AZ,MATCH($A$2,'DB Country PMI'!$A$1:$AZ$1,),)=0,#N/A,VLOOKUP(A35,'DB Country PMI'!$A:$AZ,MATCH($A$2,'DB Country PMI'!$A$1:$AZ$1,),))</f>
        <v/>
      </c>
      <c r="C35" s="24">
        <f>Table1346811121415161718192021[[#This Row],[Caixin PMI]]-B34</f>
        <v/>
      </c>
      <c r="D35" s="24">
        <f>IF(VLOOKUP(Table1346811121415161718192021[[#This Row],[Date]],'DB China Official PMI'!$A:$C,2)=0,#N/A,VLOOKUP(Table1346811121415161718192021[[#This Row],[Date]],'DB China Official PMI'!$A:$C,2))</f>
        <v/>
      </c>
      <c r="E35" s="24">
        <f>Table1346811121415161718192021[[#This Row],[Official PMI]]-D34</f>
        <v/>
      </c>
      <c r="F35" s="52">
        <f>IF(VLOOKUP(Table1346811121415161718192021[[#This Row],[Date]],'DB China Official PMI'!$A:$C,3)=0,"",VLOOKUP(Table1346811121415161718192021[[#This Row],[Date]],'DB China Official PMI'!$A:$C,3))</f>
        <v/>
      </c>
    </row>
    <row r="36">
      <c r="A36" s="10" t="n">
        <v>39264</v>
      </c>
      <c r="B36" s="18">
        <f>IF(VLOOKUP(A36,'DB Country PMI'!$A:$AZ,MATCH($A$2,'DB Country PMI'!$A$1:$AZ$1,),)=0,#N/A,VLOOKUP(A36,'DB Country PMI'!$A:$AZ,MATCH($A$2,'DB Country PMI'!$A$1:$AZ$1,),))</f>
        <v/>
      </c>
      <c r="C36" s="24">
        <f>Table1346811121415161718192021[[#This Row],[Caixin PMI]]-B35</f>
        <v/>
      </c>
      <c r="D36" s="24">
        <f>IF(VLOOKUP(Table1346811121415161718192021[[#This Row],[Date]],'DB China Official PMI'!$A:$C,2)=0,#N/A,VLOOKUP(Table1346811121415161718192021[[#This Row],[Date]],'DB China Official PMI'!$A:$C,2))</f>
        <v/>
      </c>
      <c r="E36" s="24">
        <f>Table1346811121415161718192021[[#This Row],[Official PMI]]-D35</f>
        <v/>
      </c>
      <c r="F36" s="52">
        <f>IF(VLOOKUP(Table1346811121415161718192021[[#This Row],[Date]],'DB China Official PMI'!$A:$C,3)=0,"",VLOOKUP(Table1346811121415161718192021[[#This Row],[Date]],'DB China Official PMI'!$A:$C,3))</f>
        <v/>
      </c>
    </row>
    <row r="37">
      <c r="A37" s="10" t="n">
        <v>39295</v>
      </c>
      <c r="B37" s="18">
        <f>IF(VLOOKUP(A37,'DB Country PMI'!$A:$AZ,MATCH($A$2,'DB Country PMI'!$A$1:$AZ$1,),)=0,#N/A,VLOOKUP(A37,'DB Country PMI'!$A:$AZ,MATCH($A$2,'DB Country PMI'!$A$1:$AZ$1,),))</f>
        <v/>
      </c>
      <c r="C37" s="24">
        <f>Table1346811121415161718192021[[#This Row],[Caixin PMI]]-B36</f>
        <v/>
      </c>
      <c r="D37" s="24">
        <f>IF(VLOOKUP(Table1346811121415161718192021[[#This Row],[Date]],'DB China Official PMI'!$A:$C,2)=0,#N/A,VLOOKUP(Table1346811121415161718192021[[#This Row],[Date]],'DB China Official PMI'!$A:$C,2))</f>
        <v/>
      </c>
      <c r="E37" s="24">
        <f>Table1346811121415161718192021[[#This Row],[Official PMI]]-D36</f>
        <v/>
      </c>
      <c r="F37" s="52">
        <f>IF(VLOOKUP(Table1346811121415161718192021[[#This Row],[Date]],'DB China Official PMI'!$A:$C,3)=0,"",VLOOKUP(Table1346811121415161718192021[[#This Row],[Date]],'DB China Official PMI'!$A:$C,3))</f>
        <v/>
      </c>
    </row>
    <row r="38">
      <c r="A38" s="10" t="n">
        <v>39326</v>
      </c>
      <c r="B38" s="18">
        <f>IF(VLOOKUP(A38,'DB Country PMI'!$A:$AZ,MATCH($A$2,'DB Country PMI'!$A$1:$AZ$1,),)=0,#N/A,VLOOKUP(A38,'DB Country PMI'!$A:$AZ,MATCH($A$2,'DB Country PMI'!$A$1:$AZ$1,),))</f>
        <v/>
      </c>
      <c r="C38" s="24">
        <f>Table1346811121415161718192021[[#This Row],[Caixin PMI]]-B37</f>
        <v/>
      </c>
      <c r="D38" s="24">
        <f>IF(VLOOKUP(Table1346811121415161718192021[[#This Row],[Date]],'DB China Official PMI'!$A:$C,2)=0,#N/A,VLOOKUP(Table1346811121415161718192021[[#This Row],[Date]],'DB China Official PMI'!$A:$C,2))</f>
        <v/>
      </c>
      <c r="E38" s="24">
        <f>Table1346811121415161718192021[[#This Row],[Official PMI]]-D37</f>
        <v/>
      </c>
      <c r="F38" s="52">
        <f>IF(VLOOKUP(Table1346811121415161718192021[[#This Row],[Date]],'DB China Official PMI'!$A:$C,3)=0,"",VLOOKUP(Table1346811121415161718192021[[#This Row],[Date]],'DB China Official PMI'!$A:$C,3))</f>
        <v/>
      </c>
    </row>
    <row r="39">
      <c r="A39" s="10" t="n">
        <v>39356</v>
      </c>
      <c r="B39" s="18">
        <f>IF(VLOOKUP(A39,'DB Country PMI'!$A:$AZ,MATCH($A$2,'DB Country PMI'!$A$1:$AZ$1,),)=0,#N/A,VLOOKUP(A39,'DB Country PMI'!$A:$AZ,MATCH($A$2,'DB Country PMI'!$A$1:$AZ$1,),))</f>
        <v/>
      </c>
      <c r="C39" s="24">
        <f>Table1346811121415161718192021[[#This Row],[Caixin PMI]]-B38</f>
        <v/>
      </c>
      <c r="D39" s="24">
        <f>IF(VLOOKUP(Table1346811121415161718192021[[#This Row],[Date]],'DB China Official PMI'!$A:$C,2)=0,#N/A,VLOOKUP(Table1346811121415161718192021[[#This Row],[Date]],'DB China Official PMI'!$A:$C,2))</f>
        <v/>
      </c>
      <c r="E39" s="24">
        <f>Table1346811121415161718192021[[#This Row],[Official PMI]]-D38</f>
        <v/>
      </c>
      <c r="F39" s="52">
        <f>IF(VLOOKUP(Table1346811121415161718192021[[#This Row],[Date]],'DB China Official PMI'!$A:$C,3)=0,"",VLOOKUP(Table1346811121415161718192021[[#This Row],[Date]],'DB China Official PMI'!$A:$C,3))</f>
        <v/>
      </c>
    </row>
    <row r="40">
      <c r="A40" s="10" t="n">
        <v>39387</v>
      </c>
      <c r="B40" s="18">
        <f>IF(VLOOKUP(A40,'DB Country PMI'!$A:$AZ,MATCH($A$2,'DB Country PMI'!$A$1:$AZ$1,),)=0,#N/A,VLOOKUP(A40,'DB Country PMI'!$A:$AZ,MATCH($A$2,'DB Country PMI'!$A$1:$AZ$1,),))</f>
        <v/>
      </c>
      <c r="C40" s="24">
        <f>Table1346811121415161718192021[[#This Row],[Caixin PMI]]-B39</f>
        <v/>
      </c>
      <c r="D40" s="24">
        <f>IF(VLOOKUP(Table1346811121415161718192021[[#This Row],[Date]],'DB China Official PMI'!$A:$C,2)=0,#N/A,VLOOKUP(Table1346811121415161718192021[[#This Row],[Date]],'DB China Official PMI'!$A:$C,2))</f>
        <v/>
      </c>
      <c r="E40" s="24">
        <f>Table1346811121415161718192021[[#This Row],[Official PMI]]-D39</f>
        <v/>
      </c>
      <c r="F40" s="52">
        <f>IF(VLOOKUP(Table1346811121415161718192021[[#This Row],[Date]],'DB China Official PMI'!$A:$C,3)=0,"",VLOOKUP(Table1346811121415161718192021[[#This Row],[Date]],'DB China Official PMI'!$A:$C,3))</f>
        <v/>
      </c>
    </row>
    <row r="41">
      <c r="A41" s="10" t="n">
        <v>39417</v>
      </c>
      <c r="B41" s="18">
        <f>IF(VLOOKUP(A41,'DB Country PMI'!$A:$AZ,MATCH($A$2,'DB Country PMI'!$A$1:$AZ$1,),)=0,#N/A,VLOOKUP(A41,'DB Country PMI'!$A:$AZ,MATCH($A$2,'DB Country PMI'!$A$1:$AZ$1,),))</f>
        <v/>
      </c>
      <c r="C41" s="24">
        <f>Table1346811121415161718192021[[#This Row],[Caixin PMI]]-B40</f>
        <v/>
      </c>
      <c r="D41" s="24">
        <f>IF(VLOOKUP(Table1346811121415161718192021[[#This Row],[Date]],'DB China Official PMI'!$A:$C,2)=0,#N/A,VLOOKUP(Table1346811121415161718192021[[#This Row],[Date]],'DB China Official PMI'!$A:$C,2))</f>
        <v/>
      </c>
      <c r="E41" s="24">
        <f>Table1346811121415161718192021[[#This Row],[Official PMI]]-D40</f>
        <v/>
      </c>
      <c r="F41" s="52">
        <f>IF(VLOOKUP(Table1346811121415161718192021[[#This Row],[Date]],'DB China Official PMI'!$A:$C,3)=0,"",VLOOKUP(Table1346811121415161718192021[[#This Row],[Date]],'DB China Official PMI'!$A:$C,3))</f>
        <v/>
      </c>
    </row>
    <row r="42">
      <c r="A42" s="10" t="n">
        <v>39448</v>
      </c>
      <c r="B42" s="18">
        <f>IF(VLOOKUP(A42,'DB Country PMI'!$A:$AZ,MATCH($A$2,'DB Country PMI'!$A$1:$AZ$1,),)=0,#N/A,VLOOKUP(A42,'DB Country PMI'!$A:$AZ,MATCH($A$2,'DB Country PMI'!$A$1:$AZ$1,),))</f>
        <v/>
      </c>
      <c r="C42" s="24">
        <f>Table1346811121415161718192021[[#This Row],[Caixin PMI]]-B41</f>
        <v/>
      </c>
      <c r="D42" s="24">
        <f>IF(VLOOKUP(Table1346811121415161718192021[[#This Row],[Date]],'DB China Official PMI'!$A:$C,2)=0,#N/A,VLOOKUP(Table1346811121415161718192021[[#This Row],[Date]],'DB China Official PMI'!$A:$C,2))</f>
        <v/>
      </c>
      <c r="E42" s="24">
        <f>Table1346811121415161718192021[[#This Row],[Official PMI]]-D41</f>
        <v/>
      </c>
      <c r="F42" s="52">
        <f>IF(VLOOKUP(Table1346811121415161718192021[[#This Row],[Date]],'DB China Official PMI'!$A:$C,3)=0,"",VLOOKUP(Table1346811121415161718192021[[#This Row],[Date]],'DB China Official PMI'!$A:$C,3))</f>
        <v/>
      </c>
    </row>
    <row r="43">
      <c r="A43" s="10" t="n">
        <v>39479</v>
      </c>
      <c r="B43" s="18">
        <f>IF(VLOOKUP(A43,'DB Country PMI'!$A:$AZ,MATCH($A$2,'DB Country PMI'!$A$1:$AZ$1,),)=0,#N/A,VLOOKUP(A43,'DB Country PMI'!$A:$AZ,MATCH($A$2,'DB Country PMI'!$A$1:$AZ$1,),))</f>
        <v/>
      </c>
      <c r="C43" s="24">
        <f>Table1346811121415161718192021[[#This Row],[Caixin PMI]]-B42</f>
        <v/>
      </c>
      <c r="D43" s="24">
        <f>IF(VLOOKUP(Table1346811121415161718192021[[#This Row],[Date]],'DB China Official PMI'!$A:$C,2)=0,#N/A,VLOOKUP(Table1346811121415161718192021[[#This Row],[Date]],'DB China Official PMI'!$A:$C,2))</f>
        <v/>
      </c>
      <c r="E43" s="24">
        <f>Table1346811121415161718192021[[#This Row],[Official PMI]]-D42</f>
        <v/>
      </c>
      <c r="F43" s="52">
        <f>IF(VLOOKUP(Table1346811121415161718192021[[#This Row],[Date]],'DB China Official PMI'!$A:$C,3)=0,"",VLOOKUP(Table1346811121415161718192021[[#This Row],[Date]],'DB China Official PMI'!$A:$C,3))</f>
        <v/>
      </c>
    </row>
    <row r="44">
      <c r="A44" s="10" t="n">
        <v>39508</v>
      </c>
      <c r="B44" s="18">
        <f>IF(VLOOKUP(A44,'DB Country PMI'!$A:$AZ,MATCH($A$2,'DB Country PMI'!$A$1:$AZ$1,),)=0,#N/A,VLOOKUP(A44,'DB Country PMI'!$A:$AZ,MATCH($A$2,'DB Country PMI'!$A$1:$AZ$1,),))</f>
        <v/>
      </c>
      <c r="C44" s="24">
        <f>Table1346811121415161718192021[[#This Row],[Caixin PMI]]-B43</f>
        <v/>
      </c>
      <c r="D44" s="24">
        <f>IF(VLOOKUP(Table1346811121415161718192021[[#This Row],[Date]],'DB China Official PMI'!$A:$C,2)=0,#N/A,VLOOKUP(Table1346811121415161718192021[[#This Row],[Date]],'DB China Official PMI'!$A:$C,2))</f>
        <v/>
      </c>
      <c r="E44" s="24">
        <f>Table1346811121415161718192021[[#This Row],[Official PMI]]-D43</f>
        <v/>
      </c>
      <c r="F44" s="52">
        <f>IF(VLOOKUP(Table1346811121415161718192021[[#This Row],[Date]],'DB China Official PMI'!$A:$C,3)=0,"",VLOOKUP(Table1346811121415161718192021[[#This Row],[Date]],'DB China Official PMI'!$A:$C,3))</f>
        <v/>
      </c>
    </row>
    <row r="45">
      <c r="A45" s="10" t="n">
        <v>39539</v>
      </c>
      <c r="B45" s="18">
        <f>IF(VLOOKUP(A45,'DB Country PMI'!$A:$AZ,MATCH($A$2,'DB Country PMI'!$A$1:$AZ$1,),)=0,#N/A,VLOOKUP(A45,'DB Country PMI'!$A:$AZ,MATCH($A$2,'DB Country PMI'!$A$1:$AZ$1,),))</f>
        <v/>
      </c>
      <c r="C45" s="24">
        <f>Table1346811121415161718192021[[#This Row],[Caixin PMI]]-B44</f>
        <v/>
      </c>
      <c r="D45" s="24">
        <f>IF(VLOOKUP(Table1346811121415161718192021[[#This Row],[Date]],'DB China Official PMI'!$A:$C,2)=0,#N/A,VLOOKUP(Table1346811121415161718192021[[#This Row],[Date]],'DB China Official PMI'!$A:$C,2))</f>
        <v/>
      </c>
      <c r="E45" s="24">
        <f>Table1346811121415161718192021[[#This Row],[Official PMI]]-D44</f>
        <v/>
      </c>
      <c r="F45" s="52">
        <f>IF(VLOOKUP(Table1346811121415161718192021[[#This Row],[Date]],'DB China Official PMI'!$A:$C,3)=0,"",VLOOKUP(Table1346811121415161718192021[[#This Row],[Date]],'DB China Official PMI'!$A:$C,3))</f>
        <v/>
      </c>
    </row>
    <row r="46">
      <c r="A46" s="10" t="n">
        <v>39569</v>
      </c>
      <c r="B46" s="18">
        <f>IF(VLOOKUP(A46,'DB Country PMI'!$A:$AZ,MATCH($A$2,'DB Country PMI'!$A$1:$AZ$1,),)=0,#N/A,VLOOKUP(A46,'DB Country PMI'!$A:$AZ,MATCH($A$2,'DB Country PMI'!$A$1:$AZ$1,),))</f>
        <v/>
      </c>
      <c r="C46" s="24">
        <f>Table1346811121415161718192021[[#This Row],[Caixin PMI]]-B45</f>
        <v/>
      </c>
      <c r="D46" s="24">
        <f>IF(VLOOKUP(Table1346811121415161718192021[[#This Row],[Date]],'DB China Official PMI'!$A:$C,2)=0,#N/A,VLOOKUP(Table1346811121415161718192021[[#This Row],[Date]],'DB China Official PMI'!$A:$C,2))</f>
        <v/>
      </c>
      <c r="E46" s="24">
        <f>Table1346811121415161718192021[[#This Row],[Official PMI]]-D45</f>
        <v/>
      </c>
      <c r="F46" s="52">
        <f>IF(VLOOKUP(Table1346811121415161718192021[[#This Row],[Date]],'DB China Official PMI'!$A:$C,3)=0,"",VLOOKUP(Table1346811121415161718192021[[#This Row],[Date]],'DB China Official PMI'!$A:$C,3))</f>
        <v/>
      </c>
    </row>
    <row r="47">
      <c r="A47" s="10" t="n">
        <v>39600</v>
      </c>
      <c r="B47" s="18">
        <f>IF(VLOOKUP(A47,'DB Country PMI'!$A:$AZ,MATCH($A$2,'DB Country PMI'!$A$1:$AZ$1,),)=0,#N/A,VLOOKUP(A47,'DB Country PMI'!$A:$AZ,MATCH($A$2,'DB Country PMI'!$A$1:$AZ$1,),))</f>
        <v/>
      </c>
      <c r="C47" s="24">
        <f>Table1346811121415161718192021[[#This Row],[Caixin PMI]]-B46</f>
        <v/>
      </c>
      <c r="D47" s="24">
        <f>IF(VLOOKUP(Table1346811121415161718192021[[#This Row],[Date]],'DB China Official PMI'!$A:$C,2)=0,#N/A,VLOOKUP(Table1346811121415161718192021[[#This Row],[Date]],'DB China Official PMI'!$A:$C,2))</f>
        <v/>
      </c>
      <c r="E47" s="24">
        <f>Table1346811121415161718192021[[#This Row],[Official PMI]]-D46</f>
        <v/>
      </c>
      <c r="F47" s="52">
        <f>IF(VLOOKUP(Table1346811121415161718192021[[#This Row],[Date]],'DB China Official PMI'!$A:$C,3)=0,"",VLOOKUP(Table1346811121415161718192021[[#This Row],[Date]],'DB China Official PMI'!$A:$C,3))</f>
        <v/>
      </c>
    </row>
    <row r="48">
      <c r="A48" s="10" t="n">
        <v>39630</v>
      </c>
      <c r="B48" s="18">
        <f>IF(VLOOKUP(A48,'DB Country PMI'!$A:$AZ,MATCH($A$2,'DB Country PMI'!$A$1:$AZ$1,),)=0,#N/A,VLOOKUP(A48,'DB Country PMI'!$A:$AZ,MATCH($A$2,'DB Country PMI'!$A$1:$AZ$1,),))</f>
        <v/>
      </c>
      <c r="C48" s="24">
        <f>Table1346811121415161718192021[[#This Row],[Caixin PMI]]-B47</f>
        <v/>
      </c>
      <c r="D48" s="24">
        <f>IF(VLOOKUP(Table1346811121415161718192021[[#This Row],[Date]],'DB China Official PMI'!$A:$C,2)=0,#N/A,VLOOKUP(Table1346811121415161718192021[[#This Row],[Date]],'DB China Official PMI'!$A:$C,2))</f>
        <v/>
      </c>
      <c r="E48" s="24">
        <f>Table1346811121415161718192021[[#This Row],[Official PMI]]-D47</f>
        <v/>
      </c>
      <c r="F48" s="52">
        <f>IF(VLOOKUP(Table1346811121415161718192021[[#This Row],[Date]],'DB China Official PMI'!$A:$C,3)=0,"",VLOOKUP(Table1346811121415161718192021[[#This Row],[Date]],'DB China Official PMI'!$A:$C,3))</f>
        <v/>
      </c>
    </row>
    <row r="49">
      <c r="A49" s="10" t="n">
        <v>39661</v>
      </c>
      <c r="B49" s="18">
        <f>IF(VLOOKUP(A49,'DB Country PMI'!$A:$AZ,MATCH($A$2,'DB Country PMI'!$A$1:$AZ$1,),)=0,#N/A,VLOOKUP(A49,'DB Country PMI'!$A:$AZ,MATCH($A$2,'DB Country PMI'!$A$1:$AZ$1,),))</f>
        <v/>
      </c>
      <c r="C49" s="24">
        <f>Table1346811121415161718192021[[#This Row],[Caixin PMI]]-B48</f>
        <v/>
      </c>
      <c r="D49" s="24">
        <f>IF(VLOOKUP(Table1346811121415161718192021[[#This Row],[Date]],'DB China Official PMI'!$A:$C,2)=0,#N/A,VLOOKUP(Table1346811121415161718192021[[#This Row],[Date]],'DB China Official PMI'!$A:$C,2))</f>
        <v/>
      </c>
      <c r="E49" s="24">
        <f>Table1346811121415161718192021[[#This Row],[Official PMI]]-D48</f>
        <v/>
      </c>
      <c r="F49" s="52">
        <f>IF(VLOOKUP(Table1346811121415161718192021[[#This Row],[Date]],'DB China Official PMI'!$A:$C,3)=0,"",VLOOKUP(Table1346811121415161718192021[[#This Row],[Date]],'DB China Official PMI'!$A:$C,3))</f>
        <v/>
      </c>
    </row>
    <row r="50">
      <c r="A50" s="10" t="n">
        <v>39692</v>
      </c>
      <c r="B50" s="18">
        <f>IF(VLOOKUP(A50,'DB Country PMI'!$A:$AZ,MATCH($A$2,'DB Country PMI'!$A$1:$AZ$1,),)=0,#N/A,VLOOKUP(A50,'DB Country PMI'!$A:$AZ,MATCH($A$2,'DB Country PMI'!$A$1:$AZ$1,),))</f>
        <v/>
      </c>
      <c r="C50" s="24">
        <f>Table1346811121415161718192021[[#This Row],[Caixin PMI]]-B49</f>
        <v/>
      </c>
      <c r="D50" s="24">
        <f>IF(VLOOKUP(Table1346811121415161718192021[[#This Row],[Date]],'DB China Official PMI'!$A:$C,2)=0,#N/A,VLOOKUP(Table1346811121415161718192021[[#This Row],[Date]],'DB China Official PMI'!$A:$C,2))</f>
        <v/>
      </c>
      <c r="E50" s="24">
        <f>Table1346811121415161718192021[[#This Row],[Official PMI]]-D49</f>
        <v/>
      </c>
      <c r="F50" s="52">
        <f>IF(VLOOKUP(Table1346811121415161718192021[[#This Row],[Date]],'DB China Official PMI'!$A:$C,3)=0,"",VLOOKUP(Table1346811121415161718192021[[#This Row],[Date]],'DB China Official PMI'!$A:$C,3))</f>
        <v/>
      </c>
    </row>
    <row r="51">
      <c r="A51" s="10" t="n">
        <v>39722</v>
      </c>
      <c r="B51" s="18">
        <f>IF(VLOOKUP(A51,'DB Country PMI'!$A:$AZ,MATCH($A$2,'DB Country PMI'!$A$1:$AZ$1,),)=0,#N/A,VLOOKUP(A51,'DB Country PMI'!$A:$AZ,MATCH($A$2,'DB Country PMI'!$A$1:$AZ$1,),))</f>
        <v/>
      </c>
      <c r="C51" s="24">
        <f>Table1346811121415161718192021[[#This Row],[Caixin PMI]]-B50</f>
        <v/>
      </c>
      <c r="D51" s="24">
        <f>IF(VLOOKUP(Table1346811121415161718192021[[#This Row],[Date]],'DB China Official PMI'!$A:$C,2)=0,#N/A,VLOOKUP(Table1346811121415161718192021[[#This Row],[Date]],'DB China Official PMI'!$A:$C,2))</f>
        <v/>
      </c>
      <c r="E51" s="24">
        <f>Table1346811121415161718192021[[#This Row],[Official PMI]]-D50</f>
        <v/>
      </c>
      <c r="F51" s="52">
        <f>IF(VLOOKUP(Table1346811121415161718192021[[#This Row],[Date]],'DB China Official PMI'!$A:$C,3)=0,"",VLOOKUP(Table1346811121415161718192021[[#This Row],[Date]],'DB China Official PMI'!$A:$C,3))</f>
        <v/>
      </c>
    </row>
    <row r="52">
      <c r="A52" s="10" t="n">
        <v>39753</v>
      </c>
      <c r="B52" s="18">
        <f>IF(VLOOKUP(A52,'DB Country PMI'!$A:$AZ,MATCH($A$2,'DB Country PMI'!$A$1:$AZ$1,),)=0,#N/A,VLOOKUP(A52,'DB Country PMI'!$A:$AZ,MATCH($A$2,'DB Country PMI'!$A$1:$AZ$1,),))</f>
        <v/>
      </c>
      <c r="C52" s="24">
        <f>Table1346811121415161718192021[[#This Row],[Caixin PMI]]-B51</f>
        <v/>
      </c>
      <c r="D52" s="24">
        <f>IF(VLOOKUP(Table1346811121415161718192021[[#This Row],[Date]],'DB China Official PMI'!$A:$C,2)=0,#N/A,VLOOKUP(Table1346811121415161718192021[[#This Row],[Date]],'DB China Official PMI'!$A:$C,2))</f>
        <v/>
      </c>
      <c r="E52" s="24">
        <f>Table1346811121415161718192021[[#This Row],[Official PMI]]-D51</f>
        <v/>
      </c>
      <c r="F52" s="52">
        <f>IF(VLOOKUP(Table1346811121415161718192021[[#This Row],[Date]],'DB China Official PMI'!$A:$C,3)=0,"",VLOOKUP(Table1346811121415161718192021[[#This Row],[Date]],'DB China Official PMI'!$A:$C,3))</f>
        <v/>
      </c>
    </row>
    <row r="53">
      <c r="A53" s="10" t="n">
        <v>39783</v>
      </c>
      <c r="B53" s="18">
        <f>IF(VLOOKUP(A53,'DB Country PMI'!$A:$AZ,MATCH($A$2,'DB Country PMI'!$A$1:$AZ$1,),)=0,#N/A,VLOOKUP(A53,'DB Country PMI'!$A:$AZ,MATCH($A$2,'DB Country PMI'!$A$1:$AZ$1,),))</f>
        <v/>
      </c>
      <c r="C53" s="24">
        <f>Table1346811121415161718192021[[#This Row],[Caixin PMI]]-B52</f>
        <v/>
      </c>
      <c r="D53" s="24">
        <f>IF(VLOOKUP(Table1346811121415161718192021[[#This Row],[Date]],'DB China Official PMI'!$A:$C,2)=0,#N/A,VLOOKUP(Table1346811121415161718192021[[#This Row],[Date]],'DB China Official PMI'!$A:$C,2))</f>
        <v/>
      </c>
      <c r="E53" s="24">
        <f>Table1346811121415161718192021[[#This Row],[Official PMI]]-D52</f>
        <v/>
      </c>
      <c r="F53" s="52">
        <f>IF(VLOOKUP(Table1346811121415161718192021[[#This Row],[Date]],'DB China Official PMI'!$A:$C,3)=0,"",VLOOKUP(Table1346811121415161718192021[[#This Row],[Date]],'DB China Official PMI'!$A:$C,3))</f>
        <v/>
      </c>
    </row>
    <row r="54">
      <c r="A54" s="10" t="n">
        <v>39814</v>
      </c>
      <c r="B54" s="18">
        <f>IF(VLOOKUP(A54,'DB Country PMI'!$A:$AZ,MATCH($A$2,'DB Country PMI'!$A$1:$AZ$1,),)=0,#N/A,VLOOKUP(A54,'DB Country PMI'!$A:$AZ,MATCH($A$2,'DB Country PMI'!$A$1:$AZ$1,),))</f>
        <v/>
      </c>
      <c r="C54" s="24">
        <f>Table1346811121415161718192021[[#This Row],[Caixin PMI]]-B53</f>
        <v/>
      </c>
      <c r="D54" s="24">
        <f>IF(VLOOKUP(Table1346811121415161718192021[[#This Row],[Date]],'DB China Official PMI'!$A:$C,2)=0,#N/A,VLOOKUP(Table1346811121415161718192021[[#This Row],[Date]],'DB China Official PMI'!$A:$C,2))</f>
        <v/>
      </c>
      <c r="E54" s="24">
        <f>Table1346811121415161718192021[[#This Row],[Official PMI]]-D53</f>
        <v/>
      </c>
      <c r="F54" s="52">
        <f>IF(VLOOKUP(Table1346811121415161718192021[[#This Row],[Date]],'DB China Official PMI'!$A:$C,3)=0,"",VLOOKUP(Table1346811121415161718192021[[#This Row],[Date]],'DB China Official PMI'!$A:$C,3))</f>
        <v/>
      </c>
    </row>
    <row r="55">
      <c r="A55" s="10" t="n">
        <v>39845</v>
      </c>
      <c r="B55" s="18">
        <f>IF(VLOOKUP(A55,'DB Country PMI'!$A:$AZ,MATCH($A$2,'DB Country PMI'!$A$1:$AZ$1,),)=0,#N/A,VLOOKUP(A55,'DB Country PMI'!$A:$AZ,MATCH($A$2,'DB Country PMI'!$A$1:$AZ$1,),))</f>
        <v/>
      </c>
      <c r="C55" s="24">
        <f>Table1346811121415161718192021[[#This Row],[Caixin PMI]]-B54</f>
        <v/>
      </c>
      <c r="D55" s="24">
        <f>IF(VLOOKUP(Table1346811121415161718192021[[#This Row],[Date]],'DB China Official PMI'!$A:$C,2)=0,#N/A,VLOOKUP(Table1346811121415161718192021[[#This Row],[Date]],'DB China Official PMI'!$A:$C,2))</f>
        <v/>
      </c>
      <c r="E55" s="24">
        <f>Table1346811121415161718192021[[#This Row],[Official PMI]]-D54</f>
        <v/>
      </c>
      <c r="F55" s="52">
        <f>IF(VLOOKUP(Table1346811121415161718192021[[#This Row],[Date]],'DB China Official PMI'!$A:$C,3)=0,"",VLOOKUP(Table1346811121415161718192021[[#This Row],[Date]],'DB China Official PMI'!$A:$C,3))</f>
        <v/>
      </c>
    </row>
    <row r="56">
      <c r="A56" s="10" t="n">
        <v>39873</v>
      </c>
      <c r="B56" s="18">
        <f>IF(VLOOKUP(A56,'DB Country PMI'!$A:$AZ,MATCH($A$2,'DB Country PMI'!$A$1:$AZ$1,),)=0,#N/A,VLOOKUP(A56,'DB Country PMI'!$A:$AZ,MATCH($A$2,'DB Country PMI'!$A$1:$AZ$1,),))</f>
        <v/>
      </c>
      <c r="C56" s="24">
        <f>Table1346811121415161718192021[[#This Row],[Caixin PMI]]-B55</f>
        <v/>
      </c>
      <c r="D56" s="24">
        <f>IF(VLOOKUP(Table1346811121415161718192021[[#This Row],[Date]],'DB China Official PMI'!$A:$C,2)=0,#N/A,VLOOKUP(Table1346811121415161718192021[[#This Row],[Date]],'DB China Official PMI'!$A:$C,2))</f>
        <v/>
      </c>
      <c r="E56" s="24">
        <f>Table1346811121415161718192021[[#This Row],[Official PMI]]-D55</f>
        <v/>
      </c>
      <c r="F56" s="52">
        <f>IF(VLOOKUP(Table1346811121415161718192021[[#This Row],[Date]],'DB China Official PMI'!$A:$C,3)=0,"",VLOOKUP(Table1346811121415161718192021[[#This Row],[Date]],'DB China Official PMI'!$A:$C,3))</f>
        <v/>
      </c>
    </row>
    <row r="57">
      <c r="A57" s="10" t="n">
        <v>39904</v>
      </c>
      <c r="B57" s="18">
        <f>IF(VLOOKUP(A57,'DB Country PMI'!$A:$AZ,MATCH($A$2,'DB Country PMI'!$A$1:$AZ$1,),)=0,#N/A,VLOOKUP(A57,'DB Country PMI'!$A:$AZ,MATCH($A$2,'DB Country PMI'!$A$1:$AZ$1,),))</f>
        <v/>
      </c>
      <c r="C57" s="24">
        <f>Table1346811121415161718192021[[#This Row],[Caixin PMI]]-B56</f>
        <v/>
      </c>
      <c r="D57" s="24">
        <f>IF(VLOOKUP(Table1346811121415161718192021[[#This Row],[Date]],'DB China Official PMI'!$A:$C,2)=0,#N/A,VLOOKUP(Table1346811121415161718192021[[#This Row],[Date]],'DB China Official PMI'!$A:$C,2))</f>
        <v/>
      </c>
      <c r="E57" s="24">
        <f>Table1346811121415161718192021[[#This Row],[Official PMI]]-D56</f>
        <v/>
      </c>
      <c r="F57" s="52">
        <f>IF(VLOOKUP(Table1346811121415161718192021[[#This Row],[Date]],'DB China Official PMI'!$A:$C,3)=0,"",VLOOKUP(Table1346811121415161718192021[[#This Row],[Date]],'DB China Official PMI'!$A:$C,3))</f>
        <v/>
      </c>
    </row>
    <row r="58">
      <c r="A58" s="10" t="n">
        <v>39934</v>
      </c>
      <c r="B58" s="18">
        <f>IF(VLOOKUP(A58,'DB Country PMI'!$A:$AZ,MATCH($A$2,'DB Country PMI'!$A$1:$AZ$1,),)=0,#N/A,VLOOKUP(A58,'DB Country PMI'!$A:$AZ,MATCH($A$2,'DB Country PMI'!$A$1:$AZ$1,),))</f>
        <v/>
      </c>
      <c r="C58" s="24">
        <f>Table1346811121415161718192021[[#This Row],[Caixin PMI]]-B57</f>
        <v/>
      </c>
      <c r="D58" s="24">
        <f>IF(VLOOKUP(Table1346811121415161718192021[[#This Row],[Date]],'DB China Official PMI'!$A:$C,2)=0,#N/A,VLOOKUP(Table1346811121415161718192021[[#This Row],[Date]],'DB China Official PMI'!$A:$C,2))</f>
        <v/>
      </c>
      <c r="E58" s="24">
        <f>Table1346811121415161718192021[[#This Row],[Official PMI]]-D57</f>
        <v/>
      </c>
      <c r="F58" s="52">
        <f>IF(VLOOKUP(Table1346811121415161718192021[[#This Row],[Date]],'DB China Official PMI'!$A:$C,3)=0,"",VLOOKUP(Table1346811121415161718192021[[#This Row],[Date]],'DB China Official PMI'!$A:$C,3))</f>
        <v/>
      </c>
    </row>
    <row r="59">
      <c r="A59" s="10" t="n">
        <v>39965</v>
      </c>
      <c r="B59" s="18">
        <f>IF(VLOOKUP(A59,'DB Country PMI'!$A:$AZ,MATCH($A$2,'DB Country PMI'!$A$1:$AZ$1,),)=0,#N/A,VLOOKUP(A59,'DB Country PMI'!$A:$AZ,MATCH($A$2,'DB Country PMI'!$A$1:$AZ$1,),))</f>
        <v/>
      </c>
      <c r="C59" s="24">
        <f>Table1346811121415161718192021[[#This Row],[Caixin PMI]]-B58</f>
        <v/>
      </c>
      <c r="D59" s="24">
        <f>IF(VLOOKUP(Table1346811121415161718192021[[#This Row],[Date]],'DB China Official PMI'!$A:$C,2)=0,#N/A,VLOOKUP(Table1346811121415161718192021[[#This Row],[Date]],'DB China Official PMI'!$A:$C,2))</f>
        <v/>
      </c>
      <c r="E59" s="24">
        <f>Table1346811121415161718192021[[#This Row],[Official PMI]]-D58</f>
        <v/>
      </c>
      <c r="F59" s="52">
        <f>IF(VLOOKUP(Table1346811121415161718192021[[#This Row],[Date]],'DB China Official PMI'!$A:$C,3)=0,"",VLOOKUP(Table1346811121415161718192021[[#This Row],[Date]],'DB China Official PMI'!$A:$C,3))</f>
        <v/>
      </c>
    </row>
    <row r="60">
      <c r="A60" s="10" t="n">
        <v>39995</v>
      </c>
      <c r="B60" s="18">
        <f>IF(VLOOKUP(A60,'DB Country PMI'!$A:$AZ,MATCH($A$2,'DB Country PMI'!$A$1:$AZ$1,),)=0,#N/A,VLOOKUP(A60,'DB Country PMI'!$A:$AZ,MATCH($A$2,'DB Country PMI'!$A$1:$AZ$1,),))</f>
        <v/>
      </c>
      <c r="C60" s="24">
        <f>Table1346811121415161718192021[[#This Row],[Caixin PMI]]-B59</f>
        <v/>
      </c>
      <c r="D60" s="24">
        <f>IF(VLOOKUP(Table1346811121415161718192021[[#This Row],[Date]],'DB China Official PMI'!$A:$C,2)=0,#N/A,VLOOKUP(Table1346811121415161718192021[[#This Row],[Date]],'DB China Official PMI'!$A:$C,2))</f>
        <v/>
      </c>
      <c r="E60" s="24">
        <f>Table1346811121415161718192021[[#This Row],[Official PMI]]-D59</f>
        <v/>
      </c>
      <c r="F60" s="52">
        <f>IF(VLOOKUP(Table1346811121415161718192021[[#This Row],[Date]],'DB China Official PMI'!$A:$C,3)=0,"",VLOOKUP(Table1346811121415161718192021[[#This Row],[Date]],'DB China Official PMI'!$A:$C,3))</f>
        <v/>
      </c>
    </row>
    <row r="61">
      <c r="A61" s="10" t="n">
        <v>40026</v>
      </c>
      <c r="B61" s="18">
        <f>IF(VLOOKUP(A61,'DB Country PMI'!$A:$AZ,MATCH($A$2,'DB Country PMI'!$A$1:$AZ$1,),)=0,#N/A,VLOOKUP(A61,'DB Country PMI'!$A:$AZ,MATCH($A$2,'DB Country PMI'!$A$1:$AZ$1,),))</f>
        <v/>
      </c>
      <c r="C61" s="24">
        <f>Table1346811121415161718192021[[#This Row],[Caixin PMI]]-B60</f>
        <v/>
      </c>
      <c r="D61" s="24">
        <f>IF(VLOOKUP(Table1346811121415161718192021[[#This Row],[Date]],'DB China Official PMI'!$A:$C,2)=0,#N/A,VLOOKUP(Table1346811121415161718192021[[#This Row],[Date]],'DB China Official PMI'!$A:$C,2))</f>
        <v/>
      </c>
      <c r="E61" s="24">
        <f>Table1346811121415161718192021[[#This Row],[Official PMI]]-D60</f>
        <v/>
      </c>
      <c r="F61" s="52">
        <f>IF(VLOOKUP(Table1346811121415161718192021[[#This Row],[Date]],'DB China Official PMI'!$A:$C,3)=0,"",VLOOKUP(Table1346811121415161718192021[[#This Row],[Date]],'DB China Official PMI'!$A:$C,3))</f>
        <v/>
      </c>
    </row>
    <row r="62">
      <c r="A62" s="10" t="n">
        <v>40057</v>
      </c>
      <c r="B62" s="18">
        <f>IF(VLOOKUP(A62,'DB Country PMI'!$A:$AZ,MATCH($A$2,'DB Country PMI'!$A$1:$AZ$1,),)=0,#N/A,VLOOKUP(A62,'DB Country PMI'!$A:$AZ,MATCH($A$2,'DB Country PMI'!$A$1:$AZ$1,),))</f>
        <v/>
      </c>
      <c r="C62" s="24">
        <f>Table1346811121415161718192021[[#This Row],[Caixin PMI]]-B61</f>
        <v/>
      </c>
      <c r="D62" s="24">
        <f>IF(VLOOKUP(Table1346811121415161718192021[[#This Row],[Date]],'DB China Official PMI'!$A:$C,2)=0,#N/A,VLOOKUP(Table1346811121415161718192021[[#This Row],[Date]],'DB China Official PMI'!$A:$C,2))</f>
        <v/>
      </c>
      <c r="E62" s="24">
        <f>Table1346811121415161718192021[[#This Row],[Official PMI]]-D61</f>
        <v/>
      </c>
      <c r="F62" s="52">
        <f>IF(VLOOKUP(Table1346811121415161718192021[[#This Row],[Date]],'DB China Official PMI'!$A:$C,3)=0,"",VLOOKUP(Table1346811121415161718192021[[#This Row],[Date]],'DB China Official PMI'!$A:$C,3))</f>
        <v/>
      </c>
    </row>
    <row r="63">
      <c r="A63" s="10" t="n">
        <v>40087</v>
      </c>
      <c r="B63" s="18">
        <f>IF(VLOOKUP(A63,'DB Country PMI'!$A:$AZ,MATCH($A$2,'DB Country PMI'!$A$1:$AZ$1,),)=0,#N/A,VLOOKUP(A63,'DB Country PMI'!$A:$AZ,MATCH($A$2,'DB Country PMI'!$A$1:$AZ$1,),))</f>
        <v/>
      </c>
      <c r="C63" s="24">
        <f>Table1346811121415161718192021[[#This Row],[Caixin PMI]]-B62</f>
        <v/>
      </c>
      <c r="D63" s="24">
        <f>IF(VLOOKUP(Table1346811121415161718192021[[#This Row],[Date]],'DB China Official PMI'!$A:$C,2)=0,#N/A,VLOOKUP(Table1346811121415161718192021[[#This Row],[Date]],'DB China Official PMI'!$A:$C,2))</f>
        <v/>
      </c>
      <c r="E63" s="24">
        <f>Table1346811121415161718192021[[#This Row],[Official PMI]]-D62</f>
        <v/>
      </c>
      <c r="F63" s="52">
        <f>IF(VLOOKUP(Table1346811121415161718192021[[#This Row],[Date]],'DB China Official PMI'!$A:$C,3)=0,"",VLOOKUP(Table1346811121415161718192021[[#This Row],[Date]],'DB China Official PMI'!$A:$C,3))</f>
        <v/>
      </c>
    </row>
    <row r="64">
      <c r="A64" s="10" t="n">
        <v>40118</v>
      </c>
      <c r="B64" s="18">
        <f>IF(VLOOKUP(A64,'DB Country PMI'!$A:$AZ,MATCH($A$2,'DB Country PMI'!$A$1:$AZ$1,),)=0,#N/A,VLOOKUP(A64,'DB Country PMI'!$A:$AZ,MATCH($A$2,'DB Country PMI'!$A$1:$AZ$1,),))</f>
        <v/>
      </c>
      <c r="C64" s="24">
        <f>Table1346811121415161718192021[[#This Row],[Caixin PMI]]-B63</f>
        <v/>
      </c>
      <c r="D64" s="24">
        <f>IF(VLOOKUP(Table1346811121415161718192021[[#This Row],[Date]],'DB China Official PMI'!$A:$C,2)=0,#N/A,VLOOKUP(Table1346811121415161718192021[[#This Row],[Date]],'DB China Official PMI'!$A:$C,2))</f>
        <v/>
      </c>
      <c r="E64" s="24">
        <f>Table1346811121415161718192021[[#This Row],[Official PMI]]-D63</f>
        <v/>
      </c>
      <c r="F64" s="52">
        <f>IF(VLOOKUP(Table1346811121415161718192021[[#This Row],[Date]],'DB China Official PMI'!$A:$C,3)=0,"",VLOOKUP(Table1346811121415161718192021[[#This Row],[Date]],'DB China Official PMI'!$A:$C,3))</f>
        <v/>
      </c>
    </row>
    <row r="65">
      <c r="A65" s="10" t="n">
        <v>40148</v>
      </c>
      <c r="B65" s="18">
        <f>IF(VLOOKUP(A65,'DB Country PMI'!$A:$AZ,MATCH($A$2,'DB Country PMI'!$A$1:$AZ$1,),)=0,#N/A,VLOOKUP(A65,'DB Country PMI'!$A:$AZ,MATCH($A$2,'DB Country PMI'!$A$1:$AZ$1,),))</f>
        <v/>
      </c>
      <c r="C65" s="24">
        <f>Table1346811121415161718192021[[#This Row],[Caixin PMI]]-B64</f>
        <v/>
      </c>
      <c r="D65" s="24">
        <f>IF(VLOOKUP(Table1346811121415161718192021[[#This Row],[Date]],'DB China Official PMI'!$A:$C,2)=0,#N/A,VLOOKUP(Table1346811121415161718192021[[#This Row],[Date]],'DB China Official PMI'!$A:$C,2))</f>
        <v/>
      </c>
      <c r="E65" s="24">
        <f>Table1346811121415161718192021[[#This Row],[Official PMI]]-D64</f>
        <v/>
      </c>
      <c r="F65" s="52">
        <f>IF(VLOOKUP(Table1346811121415161718192021[[#This Row],[Date]],'DB China Official PMI'!$A:$C,3)=0,"",VLOOKUP(Table1346811121415161718192021[[#This Row],[Date]],'DB China Official PMI'!$A:$C,3))</f>
        <v/>
      </c>
    </row>
    <row r="66">
      <c r="A66" s="10" t="n">
        <v>40179</v>
      </c>
      <c r="B66" s="18">
        <f>IF(VLOOKUP(A66,'DB Country PMI'!$A:$AZ,MATCH($A$2,'DB Country PMI'!$A$1:$AZ$1,),)=0,#N/A,VLOOKUP(A66,'DB Country PMI'!$A:$AZ,MATCH($A$2,'DB Country PMI'!$A$1:$AZ$1,),))</f>
        <v/>
      </c>
      <c r="C66" s="24">
        <f>Table1346811121415161718192021[[#This Row],[Caixin PMI]]-B65</f>
        <v/>
      </c>
      <c r="D66" s="24">
        <f>IF(VLOOKUP(Table1346811121415161718192021[[#This Row],[Date]],'DB China Official PMI'!$A:$C,2)=0,#N/A,VLOOKUP(Table1346811121415161718192021[[#This Row],[Date]],'DB China Official PMI'!$A:$C,2))</f>
        <v/>
      </c>
      <c r="E66" s="24">
        <f>Table1346811121415161718192021[[#This Row],[Official PMI]]-D65</f>
        <v/>
      </c>
      <c r="F66" s="52">
        <f>IF(VLOOKUP(Table1346811121415161718192021[[#This Row],[Date]],'DB China Official PMI'!$A:$C,3)=0,"",VLOOKUP(Table1346811121415161718192021[[#This Row],[Date]],'DB China Official PMI'!$A:$C,3))</f>
        <v/>
      </c>
    </row>
    <row r="67">
      <c r="A67" s="10" t="n">
        <v>40210</v>
      </c>
      <c r="B67" s="18">
        <f>IF(VLOOKUP(A67,'DB Country PMI'!$A:$AZ,MATCH($A$2,'DB Country PMI'!$A$1:$AZ$1,),)=0,#N/A,VLOOKUP(A67,'DB Country PMI'!$A:$AZ,MATCH($A$2,'DB Country PMI'!$A$1:$AZ$1,),))</f>
        <v/>
      </c>
      <c r="C67" s="24">
        <f>Table1346811121415161718192021[[#This Row],[Caixin PMI]]-B66</f>
        <v/>
      </c>
      <c r="D67" s="24">
        <f>IF(VLOOKUP(Table1346811121415161718192021[[#This Row],[Date]],'DB China Official PMI'!$A:$C,2)=0,#N/A,VLOOKUP(Table1346811121415161718192021[[#This Row],[Date]],'DB China Official PMI'!$A:$C,2))</f>
        <v/>
      </c>
      <c r="E67" s="24">
        <f>Table1346811121415161718192021[[#This Row],[Official PMI]]-D66</f>
        <v/>
      </c>
      <c r="F67" s="52">
        <f>IF(VLOOKUP(Table1346811121415161718192021[[#This Row],[Date]],'DB China Official PMI'!$A:$C,3)=0,"",VLOOKUP(Table1346811121415161718192021[[#This Row],[Date]],'DB China Official PMI'!$A:$C,3))</f>
        <v/>
      </c>
    </row>
    <row r="68">
      <c r="A68" s="10" t="n">
        <v>40238</v>
      </c>
      <c r="B68" s="18">
        <f>IF(VLOOKUP(A68,'DB Country PMI'!$A:$AZ,MATCH($A$2,'DB Country PMI'!$A$1:$AZ$1,),)=0,#N/A,VLOOKUP(A68,'DB Country PMI'!$A:$AZ,MATCH($A$2,'DB Country PMI'!$A$1:$AZ$1,),))</f>
        <v/>
      </c>
      <c r="C68" s="24">
        <f>Table1346811121415161718192021[[#This Row],[Caixin PMI]]-B67</f>
        <v/>
      </c>
      <c r="D68" s="24">
        <f>IF(VLOOKUP(Table1346811121415161718192021[[#This Row],[Date]],'DB China Official PMI'!$A:$C,2)=0,#N/A,VLOOKUP(Table1346811121415161718192021[[#This Row],[Date]],'DB China Official PMI'!$A:$C,2))</f>
        <v/>
      </c>
      <c r="E68" s="24">
        <f>Table1346811121415161718192021[[#This Row],[Official PMI]]-D67</f>
        <v/>
      </c>
      <c r="F68" s="52">
        <f>IF(VLOOKUP(Table1346811121415161718192021[[#This Row],[Date]],'DB China Official PMI'!$A:$C,3)=0,"",VLOOKUP(Table1346811121415161718192021[[#This Row],[Date]],'DB China Official PMI'!$A:$C,3))</f>
        <v/>
      </c>
    </row>
    <row r="69">
      <c r="A69" s="10" t="n">
        <v>40269</v>
      </c>
      <c r="B69" s="18">
        <f>IF(VLOOKUP(A69,'DB Country PMI'!$A:$AZ,MATCH($A$2,'DB Country PMI'!$A$1:$AZ$1,),)=0,#N/A,VLOOKUP(A69,'DB Country PMI'!$A:$AZ,MATCH($A$2,'DB Country PMI'!$A$1:$AZ$1,),))</f>
        <v/>
      </c>
      <c r="C69" s="24">
        <f>Table1346811121415161718192021[[#This Row],[Caixin PMI]]-B68</f>
        <v/>
      </c>
      <c r="D69" s="24">
        <f>IF(VLOOKUP(Table1346811121415161718192021[[#This Row],[Date]],'DB China Official PMI'!$A:$C,2)=0,#N/A,VLOOKUP(Table1346811121415161718192021[[#This Row],[Date]],'DB China Official PMI'!$A:$C,2))</f>
        <v/>
      </c>
      <c r="E69" s="24">
        <f>Table1346811121415161718192021[[#This Row],[Official PMI]]-D68</f>
        <v/>
      </c>
      <c r="F69" s="52">
        <f>IF(VLOOKUP(Table1346811121415161718192021[[#This Row],[Date]],'DB China Official PMI'!$A:$C,3)=0,"",VLOOKUP(Table1346811121415161718192021[[#This Row],[Date]],'DB China Official PMI'!$A:$C,3))</f>
        <v/>
      </c>
    </row>
    <row r="70">
      <c r="A70" s="10" t="n">
        <v>40299</v>
      </c>
      <c r="B70" s="18">
        <f>IF(VLOOKUP(A70,'DB Country PMI'!$A:$AZ,MATCH($A$2,'DB Country PMI'!$A$1:$AZ$1,),)=0,#N/A,VLOOKUP(A70,'DB Country PMI'!$A:$AZ,MATCH($A$2,'DB Country PMI'!$A$1:$AZ$1,),))</f>
        <v/>
      </c>
      <c r="C70" s="24">
        <f>Table1346811121415161718192021[[#This Row],[Caixin PMI]]-B69</f>
        <v/>
      </c>
      <c r="D70" s="24">
        <f>IF(VLOOKUP(Table1346811121415161718192021[[#This Row],[Date]],'DB China Official PMI'!$A:$C,2)=0,#N/A,VLOOKUP(Table1346811121415161718192021[[#This Row],[Date]],'DB China Official PMI'!$A:$C,2))</f>
        <v/>
      </c>
      <c r="E70" s="24">
        <f>Table1346811121415161718192021[[#This Row],[Official PMI]]-D69</f>
        <v/>
      </c>
      <c r="F70" s="52">
        <f>IF(VLOOKUP(Table1346811121415161718192021[[#This Row],[Date]],'DB China Official PMI'!$A:$C,3)=0,"",VLOOKUP(Table1346811121415161718192021[[#This Row],[Date]],'DB China Official PMI'!$A:$C,3))</f>
        <v/>
      </c>
    </row>
    <row r="71">
      <c r="A71" s="10" t="n">
        <v>40330</v>
      </c>
      <c r="B71" s="18">
        <f>IF(VLOOKUP(A71,'DB Country PMI'!$A:$AZ,MATCH($A$2,'DB Country PMI'!$A$1:$AZ$1,),)=0,#N/A,VLOOKUP(A71,'DB Country PMI'!$A:$AZ,MATCH($A$2,'DB Country PMI'!$A$1:$AZ$1,),))</f>
        <v/>
      </c>
      <c r="C71" s="24">
        <f>Table1346811121415161718192021[[#This Row],[Caixin PMI]]-B70</f>
        <v/>
      </c>
      <c r="D71" s="24">
        <f>IF(VLOOKUP(Table1346811121415161718192021[[#This Row],[Date]],'DB China Official PMI'!$A:$C,2)=0,#N/A,VLOOKUP(Table1346811121415161718192021[[#This Row],[Date]],'DB China Official PMI'!$A:$C,2))</f>
        <v/>
      </c>
      <c r="E71" s="24">
        <f>Table1346811121415161718192021[[#This Row],[Official PMI]]-D70</f>
        <v/>
      </c>
      <c r="F71" s="52">
        <f>IF(VLOOKUP(Table1346811121415161718192021[[#This Row],[Date]],'DB China Official PMI'!$A:$C,3)=0,"",VLOOKUP(Table1346811121415161718192021[[#This Row],[Date]],'DB China Official PMI'!$A:$C,3))</f>
        <v/>
      </c>
    </row>
    <row r="72">
      <c r="A72" s="10" t="n">
        <v>40360</v>
      </c>
      <c r="B72" s="18">
        <f>IF(VLOOKUP(A72,'DB Country PMI'!$A:$AZ,MATCH($A$2,'DB Country PMI'!$A$1:$AZ$1,),)=0,#N/A,VLOOKUP(A72,'DB Country PMI'!$A:$AZ,MATCH($A$2,'DB Country PMI'!$A$1:$AZ$1,),))</f>
        <v/>
      </c>
      <c r="C72" s="24">
        <f>Table1346811121415161718192021[[#This Row],[Caixin PMI]]-B71</f>
        <v/>
      </c>
      <c r="D72" s="24">
        <f>IF(VLOOKUP(Table1346811121415161718192021[[#This Row],[Date]],'DB China Official PMI'!$A:$C,2)=0,#N/A,VLOOKUP(Table1346811121415161718192021[[#This Row],[Date]],'DB China Official PMI'!$A:$C,2))</f>
        <v/>
      </c>
      <c r="E72" s="24">
        <f>Table1346811121415161718192021[[#This Row],[Official PMI]]-D71</f>
        <v/>
      </c>
      <c r="F72" s="52">
        <f>IF(VLOOKUP(Table1346811121415161718192021[[#This Row],[Date]],'DB China Official PMI'!$A:$C,3)=0,"",VLOOKUP(Table1346811121415161718192021[[#This Row],[Date]],'DB China Official PMI'!$A:$C,3))</f>
        <v/>
      </c>
    </row>
    <row r="73">
      <c r="A73" s="10" t="n">
        <v>40391</v>
      </c>
      <c r="B73" s="18">
        <f>IF(VLOOKUP(A73,'DB Country PMI'!$A:$AZ,MATCH($A$2,'DB Country PMI'!$A$1:$AZ$1,),)=0,#N/A,VLOOKUP(A73,'DB Country PMI'!$A:$AZ,MATCH($A$2,'DB Country PMI'!$A$1:$AZ$1,),))</f>
        <v/>
      </c>
      <c r="C73" s="24">
        <f>Table1346811121415161718192021[[#This Row],[Caixin PMI]]-B72</f>
        <v/>
      </c>
      <c r="D73" s="24">
        <f>IF(VLOOKUP(Table1346811121415161718192021[[#This Row],[Date]],'DB China Official PMI'!$A:$C,2)=0,#N/A,VLOOKUP(Table1346811121415161718192021[[#This Row],[Date]],'DB China Official PMI'!$A:$C,2))</f>
        <v/>
      </c>
      <c r="E73" s="24">
        <f>Table1346811121415161718192021[[#This Row],[Official PMI]]-D72</f>
        <v/>
      </c>
      <c r="F73" s="52">
        <f>IF(VLOOKUP(Table1346811121415161718192021[[#This Row],[Date]],'DB China Official PMI'!$A:$C,3)=0,"",VLOOKUP(Table1346811121415161718192021[[#This Row],[Date]],'DB China Official PMI'!$A:$C,3))</f>
        <v/>
      </c>
    </row>
    <row r="74">
      <c r="A74" s="10" t="n">
        <v>40422</v>
      </c>
      <c r="B74" s="18">
        <f>IF(VLOOKUP(A74,'DB Country PMI'!$A:$AZ,MATCH($A$2,'DB Country PMI'!$A$1:$AZ$1,),)=0,#N/A,VLOOKUP(A74,'DB Country PMI'!$A:$AZ,MATCH($A$2,'DB Country PMI'!$A$1:$AZ$1,),))</f>
        <v/>
      </c>
      <c r="C74" s="24">
        <f>Table1346811121415161718192021[[#This Row],[Caixin PMI]]-B73</f>
        <v/>
      </c>
      <c r="D74" s="24">
        <f>IF(VLOOKUP(Table1346811121415161718192021[[#This Row],[Date]],'DB China Official PMI'!$A:$C,2)=0,#N/A,VLOOKUP(Table1346811121415161718192021[[#This Row],[Date]],'DB China Official PMI'!$A:$C,2))</f>
        <v/>
      </c>
      <c r="E74" s="24">
        <f>Table1346811121415161718192021[[#This Row],[Official PMI]]-D73</f>
        <v/>
      </c>
      <c r="F74" s="52">
        <f>IF(VLOOKUP(Table1346811121415161718192021[[#This Row],[Date]],'DB China Official PMI'!$A:$C,3)=0,"",VLOOKUP(Table1346811121415161718192021[[#This Row],[Date]],'DB China Official PMI'!$A:$C,3))</f>
        <v/>
      </c>
    </row>
    <row r="75">
      <c r="A75" s="10" t="n">
        <v>40452</v>
      </c>
      <c r="B75" s="18">
        <f>IF(VLOOKUP(A75,'DB Country PMI'!$A:$AZ,MATCH($A$2,'DB Country PMI'!$A$1:$AZ$1,),)=0,#N/A,VLOOKUP(A75,'DB Country PMI'!$A:$AZ,MATCH($A$2,'DB Country PMI'!$A$1:$AZ$1,),))</f>
        <v/>
      </c>
      <c r="C75" s="24">
        <f>Table1346811121415161718192021[[#This Row],[Caixin PMI]]-B74</f>
        <v/>
      </c>
      <c r="D75" s="24">
        <f>IF(VLOOKUP(Table1346811121415161718192021[[#This Row],[Date]],'DB China Official PMI'!$A:$C,2)=0,#N/A,VLOOKUP(Table1346811121415161718192021[[#This Row],[Date]],'DB China Official PMI'!$A:$C,2))</f>
        <v/>
      </c>
      <c r="E75" s="24">
        <f>Table1346811121415161718192021[[#This Row],[Official PMI]]-D74</f>
        <v/>
      </c>
      <c r="F75" s="52">
        <f>IF(VLOOKUP(Table1346811121415161718192021[[#This Row],[Date]],'DB China Official PMI'!$A:$C,3)=0,"",VLOOKUP(Table1346811121415161718192021[[#This Row],[Date]],'DB China Official PMI'!$A:$C,3))</f>
        <v/>
      </c>
    </row>
    <row r="76">
      <c r="A76" s="10" t="n">
        <v>40483</v>
      </c>
      <c r="B76" s="18">
        <f>IF(VLOOKUP(A76,'DB Country PMI'!$A:$AZ,MATCH($A$2,'DB Country PMI'!$A$1:$AZ$1,),)=0,#N/A,VLOOKUP(A76,'DB Country PMI'!$A:$AZ,MATCH($A$2,'DB Country PMI'!$A$1:$AZ$1,),))</f>
        <v/>
      </c>
      <c r="C76" s="24">
        <f>Table1346811121415161718192021[[#This Row],[Caixin PMI]]-B75</f>
        <v/>
      </c>
      <c r="D76" s="24">
        <f>IF(VLOOKUP(Table1346811121415161718192021[[#This Row],[Date]],'DB China Official PMI'!$A:$C,2)=0,#N/A,VLOOKUP(Table1346811121415161718192021[[#This Row],[Date]],'DB China Official PMI'!$A:$C,2))</f>
        <v/>
      </c>
      <c r="E76" s="24">
        <f>Table1346811121415161718192021[[#This Row],[Official PMI]]-D75</f>
        <v/>
      </c>
      <c r="F76" s="52">
        <f>IF(VLOOKUP(Table1346811121415161718192021[[#This Row],[Date]],'DB China Official PMI'!$A:$C,3)=0,"",VLOOKUP(Table1346811121415161718192021[[#This Row],[Date]],'DB China Official PMI'!$A:$C,3))</f>
        <v/>
      </c>
    </row>
    <row r="77">
      <c r="A77" s="10" t="n">
        <v>40513</v>
      </c>
      <c r="B77" s="18">
        <f>IF(VLOOKUP(A77,'DB Country PMI'!$A:$AZ,MATCH($A$2,'DB Country PMI'!$A$1:$AZ$1,),)=0,#N/A,VLOOKUP(A77,'DB Country PMI'!$A:$AZ,MATCH($A$2,'DB Country PMI'!$A$1:$AZ$1,),))</f>
        <v/>
      </c>
      <c r="C77" s="24">
        <f>Table1346811121415161718192021[[#This Row],[Caixin PMI]]-B76</f>
        <v/>
      </c>
      <c r="D77" s="24">
        <f>IF(VLOOKUP(Table1346811121415161718192021[[#This Row],[Date]],'DB China Official PMI'!$A:$C,2)=0,#N/A,VLOOKUP(Table1346811121415161718192021[[#This Row],[Date]],'DB China Official PMI'!$A:$C,2))</f>
        <v/>
      </c>
      <c r="E77" s="24">
        <f>Table1346811121415161718192021[[#This Row],[Official PMI]]-D76</f>
        <v/>
      </c>
      <c r="F77" s="52">
        <f>IF(VLOOKUP(Table1346811121415161718192021[[#This Row],[Date]],'DB China Official PMI'!$A:$C,3)=0,"",VLOOKUP(Table1346811121415161718192021[[#This Row],[Date]],'DB China Official PMI'!$A:$C,3))</f>
        <v/>
      </c>
    </row>
    <row r="78">
      <c r="A78" s="10" t="n">
        <v>40544</v>
      </c>
      <c r="B78" s="18">
        <f>IF(VLOOKUP(A78,'DB Country PMI'!$A:$AZ,MATCH($A$2,'DB Country PMI'!$A$1:$AZ$1,),)=0,#N/A,VLOOKUP(A78,'DB Country PMI'!$A:$AZ,MATCH($A$2,'DB Country PMI'!$A$1:$AZ$1,),))</f>
        <v/>
      </c>
      <c r="C78" s="24">
        <f>Table1346811121415161718192021[[#This Row],[Caixin PMI]]-B77</f>
        <v/>
      </c>
      <c r="D78" s="24">
        <f>IF(VLOOKUP(Table1346811121415161718192021[[#This Row],[Date]],'DB China Official PMI'!$A:$C,2)=0,#N/A,VLOOKUP(Table1346811121415161718192021[[#This Row],[Date]],'DB China Official PMI'!$A:$C,2))</f>
        <v/>
      </c>
      <c r="E78" s="24">
        <f>Table1346811121415161718192021[[#This Row],[Official PMI]]-D77</f>
        <v/>
      </c>
      <c r="F78" s="52">
        <f>IF(VLOOKUP(Table1346811121415161718192021[[#This Row],[Date]],'DB China Official PMI'!$A:$C,3)=0,"",VLOOKUP(Table1346811121415161718192021[[#This Row],[Date]],'DB China Official PMI'!$A:$C,3))</f>
        <v/>
      </c>
    </row>
    <row r="79">
      <c r="A79" s="10" t="n">
        <v>40575</v>
      </c>
      <c r="B79" s="18">
        <f>IF(VLOOKUP(A79,'DB Country PMI'!$A:$AZ,MATCH($A$2,'DB Country PMI'!$A$1:$AZ$1,),)=0,#N/A,VLOOKUP(A79,'DB Country PMI'!$A:$AZ,MATCH($A$2,'DB Country PMI'!$A$1:$AZ$1,),))</f>
        <v/>
      </c>
      <c r="C79" s="24">
        <f>Table1346811121415161718192021[[#This Row],[Caixin PMI]]-B78</f>
        <v/>
      </c>
      <c r="D79" s="24">
        <f>IF(VLOOKUP(Table1346811121415161718192021[[#This Row],[Date]],'DB China Official PMI'!$A:$C,2)=0,#N/A,VLOOKUP(Table1346811121415161718192021[[#This Row],[Date]],'DB China Official PMI'!$A:$C,2))</f>
        <v/>
      </c>
      <c r="E79" s="24">
        <f>Table1346811121415161718192021[[#This Row],[Official PMI]]-D78</f>
        <v/>
      </c>
      <c r="F79" s="52">
        <f>IF(VLOOKUP(Table1346811121415161718192021[[#This Row],[Date]],'DB China Official PMI'!$A:$C,3)=0,"",VLOOKUP(Table1346811121415161718192021[[#This Row],[Date]],'DB China Official PMI'!$A:$C,3))</f>
        <v/>
      </c>
    </row>
    <row r="80">
      <c r="A80" s="10" t="n">
        <v>40603</v>
      </c>
      <c r="B80" s="18">
        <f>IF(VLOOKUP(A80,'DB Country PMI'!$A:$AZ,MATCH($A$2,'DB Country PMI'!$A$1:$AZ$1,),)=0,#N/A,VLOOKUP(A80,'DB Country PMI'!$A:$AZ,MATCH($A$2,'DB Country PMI'!$A$1:$AZ$1,),))</f>
        <v/>
      </c>
      <c r="C80" s="24">
        <f>Table1346811121415161718192021[[#This Row],[Caixin PMI]]-B79</f>
        <v/>
      </c>
      <c r="D80" s="24">
        <f>IF(VLOOKUP(Table1346811121415161718192021[[#This Row],[Date]],'DB China Official PMI'!$A:$C,2)=0,#N/A,VLOOKUP(Table1346811121415161718192021[[#This Row],[Date]],'DB China Official PMI'!$A:$C,2))</f>
        <v/>
      </c>
      <c r="E80" s="24">
        <f>Table1346811121415161718192021[[#This Row],[Official PMI]]-D79</f>
        <v/>
      </c>
      <c r="F80" s="52">
        <f>IF(VLOOKUP(Table1346811121415161718192021[[#This Row],[Date]],'DB China Official PMI'!$A:$C,3)=0,"",VLOOKUP(Table1346811121415161718192021[[#This Row],[Date]],'DB China Official PMI'!$A:$C,3))</f>
        <v/>
      </c>
    </row>
    <row r="81">
      <c r="A81" s="10" t="n">
        <v>40634</v>
      </c>
      <c r="B81" s="18">
        <f>IF(VLOOKUP(A81,'DB Country PMI'!$A:$AZ,MATCH($A$2,'DB Country PMI'!$A$1:$AZ$1,),)=0,#N/A,VLOOKUP(A81,'DB Country PMI'!$A:$AZ,MATCH($A$2,'DB Country PMI'!$A$1:$AZ$1,),))</f>
        <v/>
      </c>
      <c r="C81" s="24">
        <f>Table1346811121415161718192021[[#This Row],[Caixin PMI]]-B80</f>
        <v/>
      </c>
      <c r="D81" s="24">
        <f>IF(VLOOKUP(Table1346811121415161718192021[[#This Row],[Date]],'DB China Official PMI'!$A:$C,2)=0,#N/A,VLOOKUP(Table1346811121415161718192021[[#This Row],[Date]],'DB China Official PMI'!$A:$C,2))</f>
        <v/>
      </c>
      <c r="E81" s="24">
        <f>Table1346811121415161718192021[[#This Row],[Official PMI]]-D80</f>
        <v/>
      </c>
      <c r="F81" s="52">
        <f>IF(VLOOKUP(Table1346811121415161718192021[[#This Row],[Date]],'DB China Official PMI'!$A:$C,3)=0,"",VLOOKUP(Table1346811121415161718192021[[#This Row],[Date]],'DB China Official PMI'!$A:$C,3))</f>
        <v/>
      </c>
    </row>
    <row r="82">
      <c r="A82" s="10" t="n">
        <v>40664</v>
      </c>
      <c r="B82" s="18">
        <f>IF(VLOOKUP(A82,'DB Country PMI'!$A:$AZ,MATCH($A$2,'DB Country PMI'!$A$1:$AZ$1,),)=0,#N/A,VLOOKUP(A82,'DB Country PMI'!$A:$AZ,MATCH($A$2,'DB Country PMI'!$A$1:$AZ$1,),))</f>
        <v/>
      </c>
      <c r="C82" s="24">
        <f>Table1346811121415161718192021[[#This Row],[Caixin PMI]]-B81</f>
        <v/>
      </c>
      <c r="D82" s="24">
        <f>IF(VLOOKUP(Table1346811121415161718192021[[#This Row],[Date]],'DB China Official PMI'!$A:$C,2)=0,#N/A,VLOOKUP(Table1346811121415161718192021[[#This Row],[Date]],'DB China Official PMI'!$A:$C,2))</f>
        <v/>
      </c>
      <c r="E82" s="24">
        <f>Table1346811121415161718192021[[#This Row],[Official PMI]]-D81</f>
        <v/>
      </c>
      <c r="F82" s="52">
        <f>IF(VLOOKUP(Table1346811121415161718192021[[#This Row],[Date]],'DB China Official PMI'!$A:$C,3)=0,"",VLOOKUP(Table1346811121415161718192021[[#This Row],[Date]],'DB China Official PMI'!$A:$C,3))</f>
        <v/>
      </c>
    </row>
    <row r="83">
      <c r="A83" s="10" t="n">
        <v>40695</v>
      </c>
      <c r="B83" s="18">
        <f>IF(VLOOKUP(A83,'DB Country PMI'!$A:$AZ,MATCH($A$2,'DB Country PMI'!$A$1:$AZ$1,),)=0,#N/A,VLOOKUP(A83,'DB Country PMI'!$A:$AZ,MATCH($A$2,'DB Country PMI'!$A$1:$AZ$1,),))</f>
        <v/>
      </c>
      <c r="C83" s="24">
        <f>Table1346811121415161718192021[[#This Row],[Caixin PMI]]-B82</f>
        <v/>
      </c>
      <c r="D83" s="24">
        <f>IF(VLOOKUP(Table1346811121415161718192021[[#This Row],[Date]],'DB China Official PMI'!$A:$C,2)=0,#N/A,VLOOKUP(Table1346811121415161718192021[[#This Row],[Date]],'DB China Official PMI'!$A:$C,2))</f>
        <v/>
      </c>
      <c r="E83" s="24">
        <f>Table1346811121415161718192021[[#This Row],[Official PMI]]-D82</f>
        <v/>
      </c>
      <c r="F83" s="52">
        <f>IF(VLOOKUP(Table1346811121415161718192021[[#This Row],[Date]],'DB China Official PMI'!$A:$C,3)=0,"",VLOOKUP(Table1346811121415161718192021[[#This Row],[Date]],'DB China Official PMI'!$A:$C,3))</f>
        <v/>
      </c>
    </row>
    <row r="84">
      <c r="A84" s="10" t="n">
        <v>40725</v>
      </c>
      <c r="B84" s="18">
        <f>IF(VLOOKUP(A84,'DB Country PMI'!$A:$AZ,MATCH($A$2,'DB Country PMI'!$A$1:$AZ$1,),)=0,#N/A,VLOOKUP(A84,'DB Country PMI'!$A:$AZ,MATCH($A$2,'DB Country PMI'!$A$1:$AZ$1,),))</f>
        <v/>
      </c>
      <c r="C84" s="24">
        <f>Table1346811121415161718192021[[#This Row],[Caixin PMI]]-B83</f>
        <v/>
      </c>
      <c r="D84" s="24">
        <f>IF(VLOOKUP(Table1346811121415161718192021[[#This Row],[Date]],'DB China Official PMI'!$A:$C,2)=0,#N/A,VLOOKUP(Table1346811121415161718192021[[#This Row],[Date]],'DB China Official PMI'!$A:$C,2))</f>
        <v/>
      </c>
      <c r="E84" s="24">
        <f>Table1346811121415161718192021[[#This Row],[Official PMI]]-D83</f>
        <v/>
      </c>
      <c r="F84" s="52">
        <f>IF(VLOOKUP(Table1346811121415161718192021[[#This Row],[Date]],'DB China Official PMI'!$A:$C,3)=0,"",VLOOKUP(Table1346811121415161718192021[[#This Row],[Date]],'DB China Official PMI'!$A:$C,3))</f>
        <v/>
      </c>
    </row>
    <row r="85">
      <c r="A85" s="10" t="n">
        <v>40756</v>
      </c>
      <c r="B85" s="18">
        <f>IF(VLOOKUP(A85,'DB Country PMI'!$A:$AZ,MATCH($A$2,'DB Country PMI'!$A$1:$AZ$1,),)=0,#N/A,VLOOKUP(A85,'DB Country PMI'!$A:$AZ,MATCH($A$2,'DB Country PMI'!$A$1:$AZ$1,),))</f>
        <v/>
      </c>
      <c r="C85" s="24">
        <f>Table1346811121415161718192021[[#This Row],[Caixin PMI]]-B84</f>
        <v/>
      </c>
      <c r="D85" s="24">
        <f>IF(VLOOKUP(Table1346811121415161718192021[[#This Row],[Date]],'DB China Official PMI'!$A:$C,2)=0,#N/A,VLOOKUP(Table1346811121415161718192021[[#This Row],[Date]],'DB China Official PMI'!$A:$C,2))</f>
        <v/>
      </c>
      <c r="E85" s="24">
        <f>Table1346811121415161718192021[[#This Row],[Official PMI]]-D84</f>
        <v/>
      </c>
      <c r="F85" s="52">
        <f>IF(VLOOKUP(Table1346811121415161718192021[[#This Row],[Date]],'DB China Official PMI'!$A:$C,3)=0,"",VLOOKUP(Table1346811121415161718192021[[#This Row],[Date]],'DB China Official PMI'!$A:$C,3))</f>
        <v/>
      </c>
    </row>
    <row r="86">
      <c r="A86" s="10" t="n">
        <v>40787</v>
      </c>
      <c r="B86" s="18">
        <f>IF(VLOOKUP(A86,'DB Country PMI'!$A:$AZ,MATCH($A$2,'DB Country PMI'!$A$1:$AZ$1,),)=0,#N/A,VLOOKUP(A86,'DB Country PMI'!$A:$AZ,MATCH($A$2,'DB Country PMI'!$A$1:$AZ$1,),))</f>
        <v/>
      </c>
      <c r="C86" s="24">
        <f>Table1346811121415161718192021[[#This Row],[Caixin PMI]]-B85</f>
        <v/>
      </c>
      <c r="D86" s="24">
        <f>IF(VLOOKUP(Table1346811121415161718192021[[#This Row],[Date]],'DB China Official PMI'!$A:$C,2)=0,#N/A,VLOOKUP(Table1346811121415161718192021[[#This Row],[Date]],'DB China Official PMI'!$A:$C,2))</f>
        <v/>
      </c>
      <c r="E86" s="24">
        <f>Table1346811121415161718192021[[#This Row],[Official PMI]]-D85</f>
        <v/>
      </c>
      <c r="F86" s="52">
        <f>IF(VLOOKUP(Table1346811121415161718192021[[#This Row],[Date]],'DB China Official PMI'!$A:$C,3)=0,"",VLOOKUP(Table1346811121415161718192021[[#This Row],[Date]],'DB China Official PMI'!$A:$C,3))</f>
        <v/>
      </c>
    </row>
    <row r="87">
      <c r="A87" s="10" t="n">
        <v>40817</v>
      </c>
      <c r="B87" s="18">
        <f>IF(VLOOKUP(A87,'DB Country PMI'!$A:$AZ,MATCH($A$2,'DB Country PMI'!$A$1:$AZ$1,),)=0,#N/A,VLOOKUP(A87,'DB Country PMI'!$A:$AZ,MATCH($A$2,'DB Country PMI'!$A$1:$AZ$1,),))</f>
        <v/>
      </c>
      <c r="C87" s="24">
        <f>Table1346811121415161718192021[[#This Row],[Caixin PMI]]-B86</f>
        <v/>
      </c>
      <c r="D87" s="24">
        <f>IF(VLOOKUP(Table1346811121415161718192021[[#This Row],[Date]],'DB China Official PMI'!$A:$C,2)=0,#N/A,VLOOKUP(Table1346811121415161718192021[[#This Row],[Date]],'DB China Official PMI'!$A:$C,2))</f>
        <v/>
      </c>
      <c r="E87" s="24">
        <f>Table1346811121415161718192021[[#This Row],[Official PMI]]-D86</f>
        <v/>
      </c>
      <c r="F87" s="52">
        <f>IF(VLOOKUP(Table1346811121415161718192021[[#This Row],[Date]],'DB China Official PMI'!$A:$C,3)=0,"",VLOOKUP(Table1346811121415161718192021[[#This Row],[Date]],'DB China Official PMI'!$A:$C,3))</f>
        <v/>
      </c>
    </row>
    <row r="88">
      <c r="A88" s="10" t="n">
        <v>40848</v>
      </c>
      <c r="B88" s="18">
        <f>IF(VLOOKUP(A88,'DB Country PMI'!$A:$AZ,MATCH($A$2,'DB Country PMI'!$A$1:$AZ$1,),)=0,#N/A,VLOOKUP(A88,'DB Country PMI'!$A:$AZ,MATCH($A$2,'DB Country PMI'!$A$1:$AZ$1,),))</f>
        <v/>
      </c>
      <c r="C88" s="24">
        <f>Table1346811121415161718192021[[#This Row],[Caixin PMI]]-B87</f>
        <v/>
      </c>
      <c r="D88" s="24">
        <f>IF(VLOOKUP(Table1346811121415161718192021[[#This Row],[Date]],'DB China Official PMI'!$A:$C,2)=0,#N/A,VLOOKUP(Table1346811121415161718192021[[#This Row],[Date]],'DB China Official PMI'!$A:$C,2))</f>
        <v/>
      </c>
      <c r="E88" s="24">
        <f>Table1346811121415161718192021[[#This Row],[Official PMI]]-D87</f>
        <v/>
      </c>
      <c r="F88" s="52">
        <f>IF(VLOOKUP(Table1346811121415161718192021[[#This Row],[Date]],'DB China Official PMI'!$A:$C,3)=0,"",VLOOKUP(Table1346811121415161718192021[[#This Row],[Date]],'DB China Official PMI'!$A:$C,3))</f>
        <v/>
      </c>
    </row>
    <row r="89">
      <c r="A89" s="10" t="n">
        <v>40878</v>
      </c>
      <c r="B89" s="18">
        <f>IF(VLOOKUP(A89,'DB Country PMI'!$A:$AZ,MATCH($A$2,'DB Country PMI'!$A$1:$AZ$1,),)=0,#N/A,VLOOKUP(A89,'DB Country PMI'!$A:$AZ,MATCH($A$2,'DB Country PMI'!$A$1:$AZ$1,),))</f>
        <v/>
      </c>
      <c r="C89" s="24">
        <f>Table1346811121415161718192021[[#This Row],[Caixin PMI]]-B88</f>
        <v/>
      </c>
      <c r="D89" s="24">
        <f>IF(VLOOKUP(Table1346811121415161718192021[[#This Row],[Date]],'DB China Official PMI'!$A:$C,2)=0,#N/A,VLOOKUP(Table1346811121415161718192021[[#This Row],[Date]],'DB China Official PMI'!$A:$C,2))</f>
        <v/>
      </c>
      <c r="E89" s="24">
        <f>Table1346811121415161718192021[[#This Row],[Official PMI]]-D88</f>
        <v/>
      </c>
      <c r="F89" s="52">
        <f>IF(VLOOKUP(Table1346811121415161718192021[[#This Row],[Date]],'DB China Official PMI'!$A:$C,3)=0,"",VLOOKUP(Table1346811121415161718192021[[#This Row],[Date]],'DB China Official PMI'!$A:$C,3))</f>
        <v/>
      </c>
    </row>
    <row r="90">
      <c r="A90" s="10" t="n">
        <v>40909</v>
      </c>
      <c r="B90" s="18">
        <f>IF(VLOOKUP(A90,'DB Country PMI'!$A:$AZ,MATCH($A$2,'DB Country PMI'!$A$1:$AZ$1,),)=0,#N/A,VLOOKUP(A90,'DB Country PMI'!$A:$AZ,MATCH($A$2,'DB Country PMI'!$A$1:$AZ$1,),))</f>
        <v/>
      </c>
      <c r="C90" s="24">
        <f>Table1346811121415161718192021[[#This Row],[Caixin PMI]]-B89</f>
        <v/>
      </c>
      <c r="D90" s="24">
        <f>IF(VLOOKUP(Table1346811121415161718192021[[#This Row],[Date]],'DB China Official PMI'!$A:$C,2)=0,#N/A,VLOOKUP(Table1346811121415161718192021[[#This Row],[Date]],'DB China Official PMI'!$A:$C,2))</f>
        <v/>
      </c>
      <c r="E90" s="24">
        <f>Table1346811121415161718192021[[#This Row],[Official PMI]]-D89</f>
        <v/>
      </c>
      <c r="F90" s="52">
        <f>IF(VLOOKUP(Table1346811121415161718192021[[#This Row],[Date]],'DB China Official PMI'!$A:$C,3)=0,"",VLOOKUP(Table1346811121415161718192021[[#This Row],[Date]],'DB China Official PMI'!$A:$C,3))</f>
        <v/>
      </c>
    </row>
    <row r="91">
      <c r="A91" s="10" t="n">
        <v>40940</v>
      </c>
      <c r="B91" s="18">
        <f>IF(VLOOKUP(A91,'DB Country PMI'!$A:$AZ,MATCH($A$2,'DB Country PMI'!$A$1:$AZ$1,),)=0,#N/A,VLOOKUP(A91,'DB Country PMI'!$A:$AZ,MATCH($A$2,'DB Country PMI'!$A$1:$AZ$1,),))</f>
        <v/>
      </c>
      <c r="C91" s="24">
        <f>Table1346811121415161718192021[[#This Row],[Caixin PMI]]-B90</f>
        <v/>
      </c>
      <c r="D91" s="24">
        <f>IF(VLOOKUP(Table1346811121415161718192021[[#This Row],[Date]],'DB China Official PMI'!$A:$C,2)=0,#N/A,VLOOKUP(Table1346811121415161718192021[[#This Row],[Date]],'DB China Official PMI'!$A:$C,2))</f>
        <v/>
      </c>
      <c r="E91" s="24">
        <f>Table1346811121415161718192021[[#This Row],[Official PMI]]-D90</f>
        <v/>
      </c>
      <c r="F91" s="52">
        <f>IF(VLOOKUP(Table1346811121415161718192021[[#This Row],[Date]],'DB China Official PMI'!$A:$C,3)=0,"",VLOOKUP(Table1346811121415161718192021[[#This Row],[Date]],'DB China Official PMI'!$A:$C,3))</f>
        <v/>
      </c>
    </row>
    <row r="92">
      <c r="A92" s="10" t="n">
        <v>40969</v>
      </c>
      <c r="B92" s="18">
        <f>IF(VLOOKUP(A92,'DB Country PMI'!$A:$AZ,MATCH($A$2,'DB Country PMI'!$A$1:$AZ$1,),)=0,#N/A,VLOOKUP(A92,'DB Country PMI'!$A:$AZ,MATCH($A$2,'DB Country PMI'!$A$1:$AZ$1,),))</f>
        <v/>
      </c>
      <c r="C92" s="24">
        <f>Table1346811121415161718192021[[#This Row],[Caixin PMI]]-B91</f>
        <v/>
      </c>
      <c r="D92" s="24">
        <f>IF(VLOOKUP(Table1346811121415161718192021[[#This Row],[Date]],'DB China Official PMI'!$A:$C,2)=0,#N/A,VLOOKUP(Table1346811121415161718192021[[#This Row],[Date]],'DB China Official PMI'!$A:$C,2))</f>
        <v/>
      </c>
      <c r="E92" s="24">
        <f>Table1346811121415161718192021[[#This Row],[Official PMI]]-D91</f>
        <v/>
      </c>
      <c r="F92" s="52">
        <f>IF(VLOOKUP(Table1346811121415161718192021[[#This Row],[Date]],'DB China Official PMI'!$A:$C,3)=0,"",VLOOKUP(Table1346811121415161718192021[[#This Row],[Date]],'DB China Official PMI'!$A:$C,3))</f>
        <v/>
      </c>
    </row>
    <row r="93">
      <c r="A93" s="10" t="n">
        <v>41000</v>
      </c>
      <c r="B93" s="18">
        <f>IF(VLOOKUP(A93,'DB Country PMI'!$A:$AZ,MATCH($A$2,'DB Country PMI'!$A$1:$AZ$1,),)=0,#N/A,VLOOKUP(A93,'DB Country PMI'!$A:$AZ,MATCH($A$2,'DB Country PMI'!$A$1:$AZ$1,),))</f>
        <v/>
      </c>
      <c r="C93" s="24">
        <f>Table1346811121415161718192021[[#This Row],[Caixin PMI]]-B92</f>
        <v/>
      </c>
      <c r="D93" s="24">
        <f>IF(VLOOKUP(Table1346811121415161718192021[[#This Row],[Date]],'DB China Official PMI'!$A:$C,2)=0,#N/A,VLOOKUP(Table1346811121415161718192021[[#This Row],[Date]],'DB China Official PMI'!$A:$C,2))</f>
        <v/>
      </c>
      <c r="E93" s="24">
        <f>Table1346811121415161718192021[[#This Row],[Official PMI]]-D92</f>
        <v/>
      </c>
      <c r="F93" s="52">
        <f>IF(VLOOKUP(Table1346811121415161718192021[[#This Row],[Date]],'DB China Official PMI'!$A:$C,3)=0,"",VLOOKUP(Table1346811121415161718192021[[#This Row],[Date]],'DB China Official PMI'!$A:$C,3))</f>
        <v/>
      </c>
    </row>
    <row r="94">
      <c r="A94" s="10" t="n">
        <v>41030</v>
      </c>
      <c r="B94" s="18">
        <f>IF(VLOOKUP(A94,'DB Country PMI'!$A:$AZ,MATCH($A$2,'DB Country PMI'!$A$1:$AZ$1,),)=0,#N/A,VLOOKUP(A94,'DB Country PMI'!$A:$AZ,MATCH($A$2,'DB Country PMI'!$A$1:$AZ$1,),))</f>
        <v/>
      </c>
      <c r="C94" s="24">
        <f>Table1346811121415161718192021[[#This Row],[Caixin PMI]]-B93</f>
        <v/>
      </c>
      <c r="D94" s="24">
        <f>IF(VLOOKUP(Table1346811121415161718192021[[#This Row],[Date]],'DB China Official PMI'!$A:$C,2)=0,#N/A,VLOOKUP(Table1346811121415161718192021[[#This Row],[Date]],'DB China Official PMI'!$A:$C,2))</f>
        <v/>
      </c>
      <c r="E94" s="24">
        <f>Table1346811121415161718192021[[#This Row],[Official PMI]]-D93</f>
        <v/>
      </c>
      <c r="F94" s="52">
        <f>IF(VLOOKUP(Table1346811121415161718192021[[#This Row],[Date]],'DB China Official PMI'!$A:$C,3)=0,"",VLOOKUP(Table1346811121415161718192021[[#This Row],[Date]],'DB China Official PMI'!$A:$C,3))</f>
        <v/>
      </c>
    </row>
    <row r="95">
      <c r="A95" s="10" t="n">
        <v>41061</v>
      </c>
      <c r="B95" s="18">
        <f>IF(VLOOKUP(A95,'DB Country PMI'!$A:$AZ,MATCH($A$2,'DB Country PMI'!$A$1:$AZ$1,),)=0,#N/A,VLOOKUP(A95,'DB Country PMI'!$A:$AZ,MATCH($A$2,'DB Country PMI'!$A$1:$AZ$1,),))</f>
        <v/>
      </c>
      <c r="C95" s="24">
        <f>Table1346811121415161718192021[[#This Row],[Caixin PMI]]-B94</f>
        <v/>
      </c>
      <c r="D95" s="24">
        <f>IF(VLOOKUP(Table1346811121415161718192021[[#This Row],[Date]],'DB China Official PMI'!$A:$C,2)=0,#N/A,VLOOKUP(Table1346811121415161718192021[[#This Row],[Date]],'DB China Official PMI'!$A:$C,2))</f>
        <v/>
      </c>
      <c r="E95" s="24">
        <f>Table1346811121415161718192021[[#This Row],[Official PMI]]-D94</f>
        <v/>
      </c>
      <c r="F95" s="52">
        <f>IF(VLOOKUP(Table1346811121415161718192021[[#This Row],[Date]],'DB China Official PMI'!$A:$C,3)=0,"",VLOOKUP(Table1346811121415161718192021[[#This Row],[Date]],'DB China Official PMI'!$A:$C,3))</f>
        <v/>
      </c>
    </row>
    <row r="96">
      <c r="A96" s="10" t="n">
        <v>41091</v>
      </c>
      <c r="B96" s="18">
        <f>IF(VLOOKUP(A96,'DB Country PMI'!$A:$AZ,MATCH($A$2,'DB Country PMI'!$A$1:$AZ$1,),)=0,#N/A,VLOOKUP(A96,'DB Country PMI'!$A:$AZ,MATCH($A$2,'DB Country PMI'!$A$1:$AZ$1,),))</f>
        <v/>
      </c>
      <c r="C96" s="24">
        <f>Table1346811121415161718192021[[#This Row],[Caixin PMI]]-B95</f>
        <v/>
      </c>
      <c r="D96" s="24">
        <f>IF(VLOOKUP(Table1346811121415161718192021[[#This Row],[Date]],'DB China Official PMI'!$A:$C,2)=0,#N/A,VLOOKUP(Table1346811121415161718192021[[#This Row],[Date]],'DB China Official PMI'!$A:$C,2))</f>
        <v/>
      </c>
      <c r="E96" s="24">
        <f>Table1346811121415161718192021[[#This Row],[Official PMI]]-D95</f>
        <v/>
      </c>
      <c r="F96" s="52">
        <f>IF(VLOOKUP(Table1346811121415161718192021[[#This Row],[Date]],'DB China Official PMI'!$A:$C,3)=0,"",VLOOKUP(Table1346811121415161718192021[[#This Row],[Date]],'DB China Official PMI'!$A:$C,3))</f>
        <v/>
      </c>
    </row>
    <row r="97">
      <c r="A97" s="10" t="n">
        <v>41122</v>
      </c>
      <c r="B97" s="18">
        <f>IF(VLOOKUP(A97,'DB Country PMI'!$A:$AZ,MATCH($A$2,'DB Country PMI'!$A$1:$AZ$1,),)=0,#N/A,VLOOKUP(A97,'DB Country PMI'!$A:$AZ,MATCH($A$2,'DB Country PMI'!$A$1:$AZ$1,),))</f>
        <v/>
      </c>
      <c r="C97" s="24">
        <f>Table1346811121415161718192021[[#This Row],[Caixin PMI]]-B96</f>
        <v/>
      </c>
      <c r="D97" s="24">
        <f>IF(VLOOKUP(Table1346811121415161718192021[[#This Row],[Date]],'DB China Official PMI'!$A:$C,2)=0,#N/A,VLOOKUP(Table1346811121415161718192021[[#This Row],[Date]],'DB China Official PMI'!$A:$C,2))</f>
        <v/>
      </c>
      <c r="E97" s="24">
        <f>Table1346811121415161718192021[[#This Row],[Official PMI]]-D96</f>
        <v/>
      </c>
      <c r="F97" s="52">
        <f>IF(VLOOKUP(Table1346811121415161718192021[[#This Row],[Date]],'DB China Official PMI'!$A:$C,3)=0,"",VLOOKUP(Table1346811121415161718192021[[#This Row],[Date]],'DB China Official PMI'!$A:$C,3))</f>
        <v/>
      </c>
    </row>
    <row r="98">
      <c r="A98" s="10" t="n">
        <v>41153</v>
      </c>
      <c r="B98" s="18">
        <f>IF(VLOOKUP(A98,'DB Country PMI'!$A:$AZ,MATCH($A$2,'DB Country PMI'!$A$1:$AZ$1,),)=0,#N/A,VLOOKUP(A98,'DB Country PMI'!$A:$AZ,MATCH($A$2,'DB Country PMI'!$A$1:$AZ$1,),))</f>
        <v/>
      </c>
      <c r="C98" s="24">
        <f>Table1346811121415161718192021[[#This Row],[Caixin PMI]]-B97</f>
        <v/>
      </c>
      <c r="D98" s="24">
        <f>IF(VLOOKUP(Table1346811121415161718192021[[#This Row],[Date]],'DB China Official PMI'!$A:$C,2)=0,#N/A,VLOOKUP(Table1346811121415161718192021[[#This Row],[Date]],'DB China Official PMI'!$A:$C,2))</f>
        <v/>
      </c>
      <c r="E98" s="24">
        <f>Table1346811121415161718192021[[#This Row],[Official PMI]]-D97</f>
        <v/>
      </c>
      <c r="F98" s="52">
        <f>IF(VLOOKUP(Table1346811121415161718192021[[#This Row],[Date]],'DB China Official PMI'!$A:$C,3)=0,"",VLOOKUP(Table1346811121415161718192021[[#This Row],[Date]],'DB China Official PMI'!$A:$C,3))</f>
        <v/>
      </c>
    </row>
    <row r="99">
      <c r="A99" s="10" t="n">
        <v>41183</v>
      </c>
      <c r="B99" s="18">
        <f>IF(VLOOKUP(A99,'DB Country PMI'!$A:$AZ,MATCH($A$2,'DB Country PMI'!$A$1:$AZ$1,),)=0,#N/A,VLOOKUP(A99,'DB Country PMI'!$A:$AZ,MATCH($A$2,'DB Country PMI'!$A$1:$AZ$1,),))</f>
        <v/>
      </c>
      <c r="C99" s="24">
        <f>Table1346811121415161718192021[[#This Row],[Caixin PMI]]-B98</f>
        <v/>
      </c>
      <c r="D99" s="24">
        <f>IF(VLOOKUP(Table1346811121415161718192021[[#This Row],[Date]],'DB China Official PMI'!$A:$C,2)=0,#N/A,VLOOKUP(Table1346811121415161718192021[[#This Row],[Date]],'DB China Official PMI'!$A:$C,2))</f>
        <v/>
      </c>
      <c r="E99" s="24">
        <f>Table1346811121415161718192021[[#This Row],[Official PMI]]-D98</f>
        <v/>
      </c>
      <c r="F99" s="52">
        <f>IF(VLOOKUP(Table1346811121415161718192021[[#This Row],[Date]],'DB China Official PMI'!$A:$C,3)=0,"",VLOOKUP(Table1346811121415161718192021[[#This Row],[Date]],'DB China Official PMI'!$A:$C,3))</f>
        <v/>
      </c>
    </row>
    <row r="100">
      <c r="A100" s="10" t="n">
        <v>41214</v>
      </c>
      <c r="B100" s="18">
        <f>IF(VLOOKUP(A100,'DB Country PMI'!$A:$AZ,MATCH($A$2,'DB Country PMI'!$A$1:$AZ$1,),)=0,#N/A,VLOOKUP(A100,'DB Country PMI'!$A:$AZ,MATCH($A$2,'DB Country PMI'!$A$1:$AZ$1,),))</f>
        <v/>
      </c>
      <c r="C100" s="24">
        <f>Table1346811121415161718192021[[#This Row],[Caixin PMI]]-B99</f>
        <v/>
      </c>
      <c r="D100" s="24">
        <f>IF(VLOOKUP(Table1346811121415161718192021[[#This Row],[Date]],'DB China Official PMI'!$A:$C,2)=0,#N/A,VLOOKUP(Table1346811121415161718192021[[#This Row],[Date]],'DB China Official PMI'!$A:$C,2))</f>
        <v/>
      </c>
      <c r="E100" s="24">
        <f>Table1346811121415161718192021[[#This Row],[Official PMI]]-D99</f>
        <v/>
      </c>
      <c r="F100" s="52">
        <f>IF(VLOOKUP(Table1346811121415161718192021[[#This Row],[Date]],'DB China Official PMI'!$A:$C,3)=0,"",VLOOKUP(Table1346811121415161718192021[[#This Row],[Date]],'DB China Official PMI'!$A:$C,3))</f>
        <v/>
      </c>
    </row>
    <row r="101">
      <c r="A101" s="10" t="n">
        <v>41244</v>
      </c>
      <c r="B101" s="18">
        <f>IF(VLOOKUP(A101,'DB Country PMI'!$A:$AZ,MATCH($A$2,'DB Country PMI'!$A$1:$AZ$1,),)=0,#N/A,VLOOKUP(A101,'DB Country PMI'!$A:$AZ,MATCH($A$2,'DB Country PMI'!$A$1:$AZ$1,),))</f>
        <v/>
      </c>
      <c r="C101" s="24">
        <f>Table1346811121415161718192021[[#This Row],[Caixin PMI]]-B100</f>
        <v/>
      </c>
      <c r="D101" s="24">
        <f>IF(VLOOKUP(Table1346811121415161718192021[[#This Row],[Date]],'DB China Official PMI'!$A:$C,2)=0,#N/A,VLOOKUP(Table1346811121415161718192021[[#This Row],[Date]],'DB China Official PMI'!$A:$C,2))</f>
        <v/>
      </c>
      <c r="E101" s="24">
        <f>Table1346811121415161718192021[[#This Row],[Official PMI]]-D100</f>
        <v/>
      </c>
      <c r="F101" s="52">
        <f>IF(VLOOKUP(Table1346811121415161718192021[[#This Row],[Date]],'DB China Official PMI'!$A:$C,3)=0,"",VLOOKUP(Table1346811121415161718192021[[#This Row],[Date]],'DB China Official PMI'!$A:$C,3))</f>
        <v/>
      </c>
    </row>
    <row r="102">
      <c r="A102" s="10" t="n">
        <v>41275</v>
      </c>
      <c r="B102" s="18">
        <f>IF(VLOOKUP(A102,'DB Country PMI'!$A:$AZ,MATCH($A$2,'DB Country PMI'!$A$1:$AZ$1,),)=0,#N/A,VLOOKUP(A102,'DB Country PMI'!$A:$AZ,MATCH($A$2,'DB Country PMI'!$A$1:$AZ$1,),))</f>
        <v/>
      </c>
      <c r="C102" s="24">
        <f>Table1346811121415161718192021[[#This Row],[Caixin PMI]]-B101</f>
        <v/>
      </c>
      <c r="D102" s="24">
        <f>IF(VLOOKUP(Table1346811121415161718192021[[#This Row],[Date]],'DB China Official PMI'!$A:$C,2)=0,#N/A,VLOOKUP(Table1346811121415161718192021[[#This Row],[Date]],'DB China Official PMI'!$A:$C,2))</f>
        <v/>
      </c>
      <c r="E102" s="24">
        <f>Table1346811121415161718192021[[#This Row],[Official PMI]]-D101</f>
        <v/>
      </c>
      <c r="F102" s="52">
        <f>IF(VLOOKUP(Table1346811121415161718192021[[#This Row],[Date]],'DB China Official PMI'!$A:$C,3)=0,"",VLOOKUP(Table1346811121415161718192021[[#This Row],[Date]],'DB China Official PMI'!$A:$C,3))</f>
        <v/>
      </c>
    </row>
    <row r="103">
      <c r="A103" s="10" t="n">
        <v>41306</v>
      </c>
      <c r="B103" s="18">
        <f>IF(VLOOKUP(A103,'DB Country PMI'!$A:$AZ,MATCH($A$2,'DB Country PMI'!$A$1:$AZ$1,),)=0,#N/A,VLOOKUP(A103,'DB Country PMI'!$A:$AZ,MATCH($A$2,'DB Country PMI'!$A$1:$AZ$1,),))</f>
        <v/>
      </c>
      <c r="C103" s="24">
        <f>Table1346811121415161718192021[[#This Row],[Caixin PMI]]-B102</f>
        <v/>
      </c>
      <c r="D103" s="24">
        <f>IF(VLOOKUP(Table1346811121415161718192021[[#This Row],[Date]],'DB China Official PMI'!$A:$C,2)=0,#N/A,VLOOKUP(Table1346811121415161718192021[[#This Row],[Date]],'DB China Official PMI'!$A:$C,2))</f>
        <v/>
      </c>
      <c r="E103" s="24">
        <f>Table1346811121415161718192021[[#This Row],[Official PMI]]-D102</f>
        <v/>
      </c>
      <c r="F103" s="52">
        <f>IF(VLOOKUP(Table1346811121415161718192021[[#This Row],[Date]],'DB China Official PMI'!$A:$C,3)=0,"",VLOOKUP(Table1346811121415161718192021[[#This Row],[Date]],'DB China Official PMI'!$A:$C,3))</f>
        <v/>
      </c>
    </row>
    <row r="104">
      <c r="A104" s="10" t="n">
        <v>41334</v>
      </c>
      <c r="B104" s="18">
        <f>IF(VLOOKUP(A104,'DB Country PMI'!$A:$AZ,MATCH($A$2,'DB Country PMI'!$A$1:$AZ$1,),)=0,#N/A,VLOOKUP(A104,'DB Country PMI'!$A:$AZ,MATCH($A$2,'DB Country PMI'!$A$1:$AZ$1,),))</f>
        <v/>
      </c>
      <c r="C104" s="24">
        <f>Table1346811121415161718192021[[#This Row],[Caixin PMI]]-B103</f>
        <v/>
      </c>
      <c r="D104" s="24">
        <f>IF(VLOOKUP(Table1346811121415161718192021[[#This Row],[Date]],'DB China Official PMI'!$A:$C,2)=0,#N/A,VLOOKUP(Table1346811121415161718192021[[#This Row],[Date]],'DB China Official PMI'!$A:$C,2))</f>
        <v/>
      </c>
      <c r="E104" s="24">
        <f>Table1346811121415161718192021[[#This Row],[Official PMI]]-D103</f>
        <v/>
      </c>
      <c r="F104" s="52">
        <f>IF(VLOOKUP(Table1346811121415161718192021[[#This Row],[Date]],'DB China Official PMI'!$A:$C,3)=0,"",VLOOKUP(Table1346811121415161718192021[[#This Row],[Date]],'DB China Official PMI'!$A:$C,3))</f>
        <v/>
      </c>
    </row>
    <row r="105">
      <c r="A105" s="10" t="n">
        <v>41365</v>
      </c>
      <c r="B105" s="18">
        <f>IF(VLOOKUP(A105,'DB Country PMI'!$A:$AZ,MATCH($A$2,'DB Country PMI'!$A$1:$AZ$1,),)=0,#N/A,VLOOKUP(A105,'DB Country PMI'!$A:$AZ,MATCH($A$2,'DB Country PMI'!$A$1:$AZ$1,),))</f>
        <v/>
      </c>
      <c r="C105" s="24">
        <f>Table1346811121415161718192021[[#This Row],[Caixin PMI]]-B104</f>
        <v/>
      </c>
      <c r="D105" s="24">
        <f>IF(VLOOKUP(Table1346811121415161718192021[[#This Row],[Date]],'DB China Official PMI'!$A:$C,2)=0,#N/A,VLOOKUP(Table1346811121415161718192021[[#This Row],[Date]],'DB China Official PMI'!$A:$C,2))</f>
        <v/>
      </c>
      <c r="E105" s="24">
        <f>Table1346811121415161718192021[[#This Row],[Official PMI]]-D104</f>
        <v/>
      </c>
      <c r="F105" s="52">
        <f>IF(VLOOKUP(Table1346811121415161718192021[[#This Row],[Date]],'DB China Official PMI'!$A:$C,3)=0,"",VLOOKUP(Table1346811121415161718192021[[#This Row],[Date]],'DB China Official PMI'!$A:$C,3))</f>
        <v/>
      </c>
    </row>
    <row r="106">
      <c r="A106" s="10" t="n">
        <v>41395</v>
      </c>
      <c r="B106" s="18">
        <f>IF(VLOOKUP(A106,'DB Country PMI'!$A:$AZ,MATCH($A$2,'DB Country PMI'!$A$1:$AZ$1,),)=0,#N/A,VLOOKUP(A106,'DB Country PMI'!$A:$AZ,MATCH($A$2,'DB Country PMI'!$A$1:$AZ$1,),))</f>
        <v/>
      </c>
      <c r="C106" s="24">
        <f>Table1346811121415161718192021[[#This Row],[Caixin PMI]]-B105</f>
        <v/>
      </c>
      <c r="D106" s="24">
        <f>IF(VLOOKUP(Table1346811121415161718192021[[#This Row],[Date]],'DB China Official PMI'!$A:$C,2)=0,#N/A,VLOOKUP(Table1346811121415161718192021[[#This Row],[Date]],'DB China Official PMI'!$A:$C,2))</f>
        <v/>
      </c>
      <c r="E106" s="24">
        <f>Table1346811121415161718192021[[#This Row],[Official PMI]]-D105</f>
        <v/>
      </c>
      <c r="F106" s="52">
        <f>IF(VLOOKUP(Table1346811121415161718192021[[#This Row],[Date]],'DB China Official PMI'!$A:$C,3)=0,"",VLOOKUP(Table1346811121415161718192021[[#This Row],[Date]],'DB China Official PMI'!$A:$C,3))</f>
        <v/>
      </c>
    </row>
    <row r="107">
      <c r="A107" s="10" t="n">
        <v>41426</v>
      </c>
      <c r="B107" s="18">
        <f>IF(VLOOKUP(A107,'DB Country PMI'!$A:$AZ,MATCH($A$2,'DB Country PMI'!$A$1:$AZ$1,),)=0,#N/A,VLOOKUP(A107,'DB Country PMI'!$A:$AZ,MATCH($A$2,'DB Country PMI'!$A$1:$AZ$1,),))</f>
        <v/>
      </c>
      <c r="C107" s="24">
        <f>Table1346811121415161718192021[[#This Row],[Caixin PMI]]-B106</f>
        <v/>
      </c>
      <c r="D107" s="24">
        <f>IF(VLOOKUP(Table1346811121415161718192021[[#This Row],[Date]],'DB China Official PMI'!$A:$C,2)=0,#N/A,VLOOKUP(Table1346811121415161718192021[[#This Row],[Date]],'DB China Official PMI'!$A:$C,2))</f>
        <v/>
      </c>
      <c r="E107" s="24">
        <f>Table1346811121415161718192021[[#This Row],[Official PMI]]-D106</f>
        <v/>
      </c>
      <c r="F107" s="52">
        <f>IF(VLOOKUP(Table1346811121415161718192021[[#This Row],[Date]],'DB China Official PMI'!$A:$C,3)=0,"",VLOOKUP(Table1346811121415161718192021[[#This Row],[Date]],'DB China Official PMI'!$A:$C,3))</f>
        <v/>
      </c>
    </row>
    <row r="108">
      <c r="A108" s="10" t="n">
        <v>41456</v>
      </c>
      <c r="B108" s="18">
        <f>IF(VLOOKUP(A108,'DB Country PMI'!$A:$AZ,MATCH($A$2,'DB Country PMI'!$A$1:$AZ$1,),)=0,#N/A,VLOOKUP(A108,'DB Country PMI'!$A:$AZ,MATCH($A$2,'DB Country PMI'!$A$1:$AZ$1,),))</f>
        <v/>
      </c>
      <c r="C108" s="24">
        <f>Table1346811121415161718192021[[#This Row],[Caixin PMI]]-B107</f>
        <v/>
      </c>
      <c r="D108" s="24">
        <f>IF(VLOOKUP(Table1346811121415161718192021[[#This Row],[Date]],'DB China Official PMI'!$A:$C,2)=0,#N/A,VLOOKUP(Table1346811121415161718192021[[#This Row],[Date]],'DB China Official PMI'!$A:$C,2))</f>
        <v/>
      </c>
      <c r="E108" s="24">
        <f>Table1346811121415161718192021[[#This Row],[Official PMI]]-D107</f>
        <v/>
      </c>
      <c r="F108" s="52">
        <f>IF(VLOOKUP(Table1346811121415161718192021[[#This Row],[Date]],'DB China Official PMI'!$A:$C,3)=0,"",VLOOKUP(Table1346811121415161718192021[[#This Row],[Date]],'DB China Official PMI'!$A:$C,3))</f>
        <v/>
      </c>
    </row>
    <row r="109">
      <c r="A109" s="10" t="n">
        <v>41487</v>
      </c>
      <c r="B109" s="18">
        <f>IF(VLOOKUP(A109,'DB Country PMI'!$A:$AZ,MATCH($A$2,'DB Country PMI'!$A$1:$AZ$1,),)=0,#N/A,VLOOKUP(A109,'DB Country PMI'!$A:$AZ,MATCH($A$2,'DB Country PMI'!$A$1:$AZ$1,),))</f>
        <v/>
      </c>
      <c r="C109" s="24">
        <f>Table1346811121415161718192021[[#This Row],[Caixin PMI]]-B108</f>
        <v/>
      </c>
      <c r="D109" s="24">
        <f>IF(VLOOKUP(Table1346811121415161718192021[[#This Row],[Date]],'DB China Official PMI'!$A:$C,2)=0,#N/A,VLOOKUP(Table1346811121415161718192021[[#This Row],[Date]],'DB China Official PMI'!$A:$C,2))</f>
        <v/>
      </c>
      <c r="E109" s="24">
        <f>Table1346811121415161718192021[[#This Row],[Official PMI]]-D108</f>
        <v/>
      </c>
      <c r="F109" s="52">
        <f>IF(VLOOKUP(Table1346811121415161718192021[[#This Row],[Date]],'DB China Official PMI'!$A:$C,3)=0,"",VLOOKUP(Table1346811121415161718192021[[#This Row],[Date]],'DB China Official PMI'!$A:$C,3))</f>
        <v/>
      </c>
    </row>
    <row r="110">
      <c r="A110" s="10" t="n">
        <v>41518</v>
      </c>
      <c r="B110" s="18">
        <f>IF(VLOOKUP(A110,'DB Country PMI'!$A:$AZ,MATCH($A$2,'DB Country PMI'!$A$1:$AZ$1,),)=0,#N/A,VLOOKUP(A110,'DB Country PMI'!$A:$AZ,MATCH($A$2,'DB Country PMI'!$A$1:$AZ$1,),))</f>
        <v/>
      </c>
      <c r="C110" s="24">
        <f>Table1346811121415161718192021[[#This Row],[Caixin PMI]]-B109</f>
        <v/>
      </c>
      <c r="D110" s="24">
        <f>IF(VLOOKUP(Table1346811121415161718192021[[#This Row],[Date]],'DB China Official PMI'!$A:$C,2)=0,#N/A,VLOOKUP(Table1346811121415161718192021[[#This Row],[Date]],'DB China Official PMI'!$A:$C,2))</f>
        <v/>
      </c>
      <c r="E110" s="24">
        <f>Table1346811121415161718192021[[#This Row],[Official PMI]]-D109</f>
        <v/>
      </c>
      <c r="F110" s="52">
        <f>IF(VLOOKUP(Table1346811121415161718192021[[#This Row],[Date]],'DB China Official PMI'!$A:$C,3)=0,"",VLOOKUP(Table1346811121415161718192021[[#This Row],[Date]],'DB China Official PMI'!$A:$C,3))</f>
        <v/>
      </c>
    </row>
    <row r="111">
      <c r="A111" s="10" t="n">
        <v>41548</v>
      </c>
      <c r="B111" s="18">
        <f>IF(VLOOKUP(A111,'DB Country PMI'!$A:$AZ,MATCH($A$2,'DB Country PMI'!$A$1:$AZ$1,),)=0,#N/A,VLOOKUP(A111,'DB Country PMI'!$A:$AZ,MATCH($A$2,'DB Country PMI'!$A$1:$AZ$1,),))</f>
        <v/>
      </c>
      <c r="C111" s="24">
        <f>Table1346811121415161718192021[[#This Row],[Caixin PMI]]-B110</f>
        <v/>
      </c>
      <c r="D111" s="24">
        <f>IF(VLOOKUP(Table1346811121415161718192021[[#This Row],[Date]],'DB China Official PMI'!$A:$C,2)=0,#N/A,VLOOKUP(Table1346811121415161718192021[[#This Row],[Date]],'DB China Official PMI'!$A:$C,2))</f>
        <v/>
      </c>
      <c r="E111" s="24">
        <f>Table1346811121415161718192021[[#This Row],[Official PMI]]-D110</f>
        <v/>
      </c>
      <c r="F111" s="52">
        <f>IF(VLOOKUP(Table1346811121415161718192021[[#This Row],[Date]],'DB China Official PMI'!$A:$C,3)=0,"",VLOOKUP(Table1346811121415161718192021[[#This Row],[Date]],'DB China Official PMI'!$A:$C,3))</f>
        <v/>
      </c>
    </row>
    <row r="112">
      <c r="A112" s="10" t="n">
        <v>41579</v>
      </c>
      <c r="B112" s="18">
        <f>IF(VLOOKUP(A112,'DB Country PMI'!$A:$AZ,MATCH($A$2,'DB Country PMI'!$A$1:$AZ$1,),)=0,#N/A,VLOOKUP(A112,'DB Country PMI'!$A:$AZ,MATCH($A$2,'DB Country PMI'!$A$1:$AZ$1,),))</f>
        <v/>
      </c>
      <c r="C112" s="24">
        <f>Table1346811121415161718192021[[#This Row],[Caixin PMI]]-B111</f>
        <v/>
      </c>
      <c r="D112" s="24">
        <f>IF(VLOOKUP(Table1346811121415161718192021[[#This Row],[Date]],'DB China Official PMI'!$A:$C,2)=0,#N/A,VLOOKUP(Table1346811121415161718192021[[#This Row],[Date]],'DB China Official PMI'!$A:$C,2))</f>
        <v/>
      </c>
      <c r="E112" s="24">
        <f>Table1346811121415161718192021[[#This Row],[Official PMI]]-D111</f>
        <v/>
      </c>
      <c r="F112" s="52">
        <f>IF(VLOOKUP(Table1346811121415161718192021[[#This Row],[Date]],'DB China Official PMI'!$A:$C,3)=0,"",VLOOKUP(Table1346811121415161718192021[[#This Row],[Date]],'DB China Official PMI'!$A:$C,3))</f>
        <v/>
      </c>
    </row>
    <row r="113">
      <c r="A113" s="10" t="n">
        <v>41609</v>
      </c>
      <c r="B113" s="18">
        <f>IF(VLOOKUP(A113,'DB Country PMI'!$A:$AZ,MATCH($A$2,'DB Country PMI'!$A$1:$AZ$1,),)=0,#N/A,VLOOKUP(A113,'DB Country PMI'!$A:$AZ,MATCH($A$2,'DB Country PMI'!$A$1:$AZ$1,),))</f>
        <v/>
      </c>
      <c r="C113" s="24">
        <f>Table1346811121415161718192021[[#This Row],[Caixin PMI]]-B112</f>
        <v/>
      </c>
      <c r="D113" s="24">
        <f>IF(VLOOKUP(Table1346811121415161718192021[[#This Row],[Date]],'DB China Official PMI'!$A:$C,2)=0,#N/A,VLOOKUP(Table1346811121415161718192021[[#This Row],[Date]],'DB China Official PMI'!$A:$C,2))</f>
        <v/>
      </c>
      <c r="E113" s="24">
        <f>Table1346811121415161718192021[[#This Row],[Official PMI]]-D112</f>
        <v/>
      </c>
      <c r="F113" s="52">
        <f>IF(VLOOKUP(Table1346811121415161718192021[[#This Row],[Date]],'DB China Official PMI'!$A:$C,3)=0,"",VLOOKUP(Table1346811121415161718192021[[#This Row],[Date]],'DB China Official PMI'!$A:$C,3))</f>
        <v/>
      </c>
    </row>
    <row r="114">
      <c r="A114" s="10" t="n">
        <v>41640</v>
      </c>
      <c r="B114" s="18">
        <f>IF(VLOOKUP(A114,'DB Country PMI'!$A:$AZ,MATCH($A$2,'DB Country PMI'!$A$1:$AZ$1,),)=0,#N/A,VLOOKUP(A114,'DB Country PMI'!$A:$AZ,MATCH($A$2,'DB Country PMI'!$A$1:$AZ$1,),))</f>
        <v/>
      </c>
      <c r="C114" s="24">
        <f>Table1346811121415161718192021[[#This Row],[Caixin PMI]]-B113</f>
        <v/>
      </c>
      <c r="D114" s="24">
        <f>IF(VLOOKUP(Table1346811121415161718192021[[#This Row],[Date]],'DB China Official PMI'!$A:$C,2)=0,#N/A,VLOOKUP(Table1346811121415161718192021[[#This Row],[Date]],'DB China Official PMI'!$A:$C,2))</f>
        <v/>
      </c>
      <c r="E114" s="24">
        <f>Table1346811121415161718192021[[#This Row],[Official PMI]]-D113</f>
        <v/>
      </c>
      <c r="F114" s="52">
        <f>IF(VLOOKUP(Table1346811121415161718192021[[#This Row],[Date]],'DB China Official PMI'!$A:$C,3)=0,"",VLOOKUP(Table1346811121415161718192021[[#This Row],[Date]],'DB China Official PMI'!$A:$C,3))</f>
        <v/>
      </c>
    </row>
    <row r="115">
      <c r="A115" s="10" t="n">
        <v>41671</v>
      </c>
      <c r="B115" s="18">
        <f>IF(VLOOKUP(A115,'DB Country PMI'!$A:$AZ,MATCH($A$2,'DB Country PMI'!$A$1:$AZ$1,),)=0,#N/A,VLOOKUP(A115,'DB Country PMI'!$A:$AZ,MATCH($A$2,'DB Country PMI'!$A$1:$AZ$1,),))</f>
        <v/>
      </c>
      <c r="C115" s="24">
        <f>Table1346811121415161718192021[[#This Row],[Caixin PMI]]-B114</f>
        <v/>
      </c>
      <c r="D115" s="24">
        <f>IF(VLOOKUP(Table1346811121415161718192021[[#This Row],[Date]],'DB China Official PMI'!$A:$C,2)=0,#N/A,VLOOKUP(Table1346811121415161718192021[[#This Row],[Date]],'DB China Official PMI'!$A:$C,2))</f>
        <v/>
      </c>
      <c r="E115" s="24">
        <f>Table1346811121415161718192021[[#This Row],[Official PMI]]-D114</f>
        <v/>
      </c>
      <c r="F115" s="52">
        <f>IF(VLOOKUP(Table1346811121415161718192021[[#This Row],[Date]],'DB China Official PMI'!$A:$C,3)=0,"",VLOOKUP(Table1346811121415161718192021[[#This Row],[Date]],'DB China Official PMI'!$A:$C,3))</f>
        <v/>
      </c>
    </row>
    <row r="116">
      <c r="A116" s="10" t="n">
        <v>41699</v>
      </c>
      <c r="B116" s="18">
        <f>IF(VLOOKUP(A116,'DB Country PMI'!$A:$AZ,MATCH($A$2,'DB Country PMI'!$A$1:$AZ$1,),)=0,#N/A,VLOOKUP(A116,'DB Country PMI'!$A:$AZ,MATCH($A$2,'DB Country PMI'!$A$1:$AZ$1,),))</f>
        <v/>
      </c>
      <c r="C116" s="24">
        <f>Table1346811121415161718192021[[#This Row],[Caixin PMI]]-B115</f>
        <v/>
      </c>
      <c r="D116" s="24">
        <f>IF(VLOOKUP(Table1346811121415161718192021[[#This Row],[Date]],'DB China Official PMI'!$A:$C,2)=0,#N/A,VLOOKUP(Table1346811121415161718192021[[#This Row],[Date]],'DB China Official PMI'!$A:$C,2))</f>
        <v/>
      </c>
      <c r="E116" s="24">
        <f>Table1346811121415161718192021[[#This Row],[Official PMI]]-D115</f>
        <v/>
      </c>
      <c r="F116" s="52">
        <f>IF(VLOOKUP(Table1346811121415161718192021[[#This Row],[Date]],'DB China Official PMI'!$A:$C,3)=0,"",VLOOKUP(Table1346811121415161718192021[[#This Row],[Date]],'DB China Official PMI'!$A:$C,3))</f>
        <v/>
      </c>
    </row>
    <row r="117">
      <c r="A117" s="10" t="n">
        <v>41730</v>
      </c>
      <c r="B117" s="18">
        <f>IF(VLOOKUP(A117,'DB Country PMI'!$A:$AZ,MATCH($A$2,'DB Country PMI'!$A$1:$AZ$1,),)=0,#N/A,VLOOKUP(A117,'DB Country PMI'!$A:$AZ,MATCH($A$2,'DB Country PMI'!$A$1:$AZ$1,),))</f>
        <v/>
      </c>
      <c r="C117" s="24">
        <f>Table1346811121415161718192021[[#This Row],[Caixin PMI]]-B116</f>
        <v/>
      </c>
      <c r="D117" s="24">
        <f>IF(VLOOKUP(Table1346811121415161718192021[[#This Row],[Date]],'DB China Official PMI'!$A:$C,2)=0,#N/A,VLOOKUP(Table1346811121415161718192021[[#This Row],[Date]],'DB China Official PMI'!$A:$C,2))</f>
        <v/>
      </c>
      <c r="E117" s="24">
        <f>Table1346811121415161718192021[[#This Row],[Official PMI]]-D116</f>
        <v/>
      </c>
      <c r="F117" s="52">
        <f>IF(VLOOKUP(Table1346811121415161718192021[[#This Row],[Date]],'DB China Official PMI'!$A:$C,3)=0,"",VLOOKUP(Table1346811121415161718192021[[#This Row],[Date]],'DB China Official PMI'!$A:$C,3))</f>
        <v/>
      </c>
    </row>
    <row r="118">
      <c r="A118" s="10" t="n">
        <v>41760</v>
      </c>
      <c r="B118" s="18">
        <f>IF(VLOOKUP(A118,'DB Country PMI'!$A:$AZ,MATCH($A$2,'DB Country PMI'!$A$1:$AZ$1,),)=0,#N/A,VLOOKUP(A118,'DB Country PMI'!$A:$AZ,MATCH($A$2,'DB Country PMI'!$A$1:$AZ$1,),))</f>
        <v/>
      </c>
      <c r="C118" s="24">
        <f>Table1346811121415161718192021[[#This Row],[Caixin PMI]]-B117</f>
        <v/>
      </c>
      <c r="D118" s="24">
        <f>IF(VLOOKUP(Table1346811121415161718192021[[#This Row],[Date]],'DB China Official PMI'!$A:$C,2)=0,#N/A,VLOOKUP(Table1346811121415161718192021[[#This Row],[Date]],'DB China Official PMI'!$A:$C,2))</f>
        <v/>
      </c>
      <c r="E118" s="24">
        <f>Table1346811121415161718192021[[#This Row],[Official PMI]]-D117</f>
        <v/>
      </c>
      <c r="F118" s="52">
        <f>IF(VLOOKUP(Table1346811121415161718192021[[#This Row],[Date]],'DB China Official PMI'!$A:$C,3)=0,"",VLOOKUP(Table1346811121415161718192021[[#This Row],[Date]],'DB China Official PMI'!$A:$C,3))</f>
        <v/>
      </c>
    </row>
    <row r="119">
      <c r="A119" s="10" t="n">
        <v>41791</v>
      </c>
      <c r="B119" s="18">
        <f>IF(VLOOKUP(A119,'DB Country PMI'!$A:$AZ,MATCH($A$2,'DB Country PMI'!$A$1:$AZ$1,),)=0,#N/A,VLOOKUP(A119,'DB Country PMI'!$A:$AZ,MATCH($A$2,'DB Country PMI'!$A$1:$AZ$1,),))</f>
        <v/>
      </c>
      <c r="C119" s="24">
        <f>Table1346811121415161718192021[[#This Row],[Caixin PMI]]-B118</f>
        <v/>
      </c>
      <c r="D119" s="24">
        <f>IF(VLOOKUP(Table1346811121415161718192021[[#This Row],[Date]],'DB China Official PMI'!$A:$C,2)=0,#N/A,VLOOKUP(Table1346811121415161718192021[[#This Row],[Date]],'DB China Official PMI'!$A:$C,2))</f>
        <v/>
      </c>
      <c r="E119" s="24">
        <f>Table1346811121415161718192021[[#This Row],[Official PMI]]-D118</f>
        <v/>
      </c>
      <c r="F119" s="52">
        <f>IF(VLOOKUP(Table1346811121415161718192021[[#This Row],[Date]],'DB China Official PMI'!$A:$C,3)=0,"",VLOOKUP(Table1346811121415161718192021[[#This Row],[Date]],'DB China Official PMI'!$A:$C,3))</f>
        <v/>
      </c>
    </row>
    <row r="120">
      <c r="A120" s="10" t="n">
        <v>41821</v>
      </c>
      <c r="B120" s="18">
        <f>IF(VLOOKUP(A120,'DB Country PMI'!$A:$AZ,MATCH($A$2,'DB Country PMI'!$A$1:$AZ$1,),)=0,#N/A,VLOOKUP(A120,'DB Country PMI'!$A:$AZ,MATCH($A$2,'DB Country PMI'!$A$1:$AZ$1,),))</f>
        <v/>
      </c>
      <c r="C120" s="24">
        <f>Table1346811121415161718192021[[#This Row],[Caixin PMI]]-B119</f>
        <v/>
      </c>
      <c r="D120" s="24">
        <f>IF(VLOOKUP(Table1346811121415161718192021[[#This Row],[Date]],'DB China Official PMI'!$A:$C,2)=0,#N/A,VLOOKUP(Table1346811121415161718192021[[#This Row],[Date]],'DB China Official PMI'!$A:$C,2))</f>
        <v/>
      </c>
      <c r="E120" s="24">
        <f>Table1346811121415161718192021[[#This Row],[Official PMI]]-D119</f>
        <v/>
      </c>
      <c r="F120" s="52">
        <f>IF(VLOOKUP(Table1346811121415161718192021[[#This Row],[Date]],'DB China Official PMI'!$A:$C,3)=0,"",VLOOKUP(Table1346811121415161718192021[[#This Row],[Date]],'DB China Official PMI'!$A:$C,3))</f>
        <v/>
      </c>
    </row>
    <row r="121">
      <c r="A121" s="10" t="n">
        <v>41852</v>
      </c>
      <c r="B121" s="18">
        <f>IF(VLOOKUP(A121,'DB Country PMI'!$A:$AZ,MATCH($A$2,'DB Country PMI'!$A$1:$AZ$1,),)=0,#N/A,VLOOKUP(A121,'DB Country PMI'!$A:$AZ,MATCH($A$2,'DB Country PMI'!$A$1:$AZ$1,),))</f>
        <v/>
      </c>
      <c r="C121" s="24">
        <f>Table1346811121415161718192021[[#This Row],[Caixin PMI]]-B120</f>
        <v/>
      </c>
      <c r="D121" s="24">
        <f>IF(VLOOKUP(Table1346811121415161718192021[[#This Row],[Date]],'DB China Official PMI'!$A:$C,2)=0,#N/A,VLOOKUP(Table1346811121415161718192021[[#This Row],[Date]],'DB China Official PMI'!$A:$C,2))</f>
        <v/>
      </c>
      <c r="E121" s="24">
        <f>Table1346811121415161718192021[[#This Row],[Official PMI]]-D120</f>
        <v/>
      </c>
      <c r="F121" s="52">
        <f>IF(VLOOKUP(Table1346811121415161718192021[[#This Row],[Date]],'DB China Official PMI'!$A:$C,3)=0,"",VLOOKUP(Table1346811121415161718192021[[#This Row],[Date]],'DB China Official PMI'!$A:$C,3))</f>
        <v/>
      </c>
    </row>
    <row r="122">
      <c r="A122" s="10" t="n">
        <v>41883</v>
      </c>
      <c r="B122" s="18">
        <f>IF(VLOOKUP(A122,'DB Country PMI'!$A:$AZ,MATCH($A$2,'DB Country PMI'!$A$1:$AZ$1,),)=0,#N/A,VLOOKUP(A122,'DB Country PMI'!$A:$AZ,MATCH($A$2,'DB Country PMI'!$A$1:$AZ$1,),))</f>
        <v/>
      </c>
      <c r="C122" s="24">
        <f>Table1346811121415161718192021[[#This Row],[Caixin PMI]]-B121</f>
        <v/>
      </c>
      <c r="D122" s="24">
        <f>IF(VLOOKUP(Table1346811121415161718192021[[#This Row],[Date]],'DB China Official PMI'!$A:$C,2)=0,#N/A,VLOOKUP(Table1346811121415161718192021[[#This Row],[Date]],'DB China Official PMI'!$A:$C,2))</f>
        <v/>
      </c>
      <c r="E122" s="24">
        <f>Table1346811121415161718192021[[#This Row],[Official PMI]]-D121</f>
        <v/>
      </c>
      <c r="F122" s="52">
        <f>IF(VLOOKUP(Table1346811121415161718192021[[#This Row],[Date]],'DB China Official PMI'!$A:$C,3)=0,"",VLOOKUP(Table1346811121415161718192021[[#This Row],[Date]],'DB China Official PMI'!$A:$C,3))</f>
        <v/>
      </c>
    </row>
    <row r="123">
      <c r="A123" s="10" t="n">
        <v>41913</v>
      </c>
      <c r="B123" s="18">
        <f>IF(VLOOKUP(A123,'DB Country PMI'!$A:$AZ,MATCH($A$2,'DB Country PMI'!$A$1:$AZ$1,),)=0,#N/A,VLOOKUP(A123,'DB Country PMI'!$A:$AZ,MATCH($A$2,'DB Country PMI'!$A$1:$AZ$1,),))</f>
        <v/>
      </c>
      <c r="C123" s="24">
        <f>Table1346811121415161718192021[[#This Row],[Caixin PMI]]-B122</f>
        <v/>
      </c>
      <c r="D123" s="24">
        <f>IF(VLOOKUP(Table1346811121415161718192021[[#This Row],[Date]],'DB China Official PMI'!$A:$C,2)=0,#N/A,VLOOKUP(Table1346811121415161718192021[[#This Row],[Date]],'DB China Official PMI'!$A:$C,2))</f>
        <v/>
      </c>
      <c r="E123" s="24">
        <f>Table1346811121415161718192021[[#This Row],[Official PMI]]-D122</f>
        <v/>
      </c>
      <c r="F123" s="52">
        <f>IF(VLOOKUP(Table1346811121415161718192021[[#This Row],[Date]],'DB China Official PMI'!$A:$C,3)=0,"",VLOOKUP(Table1346811121415161718192021[[#This Row],[Date]],'DB China Official PMI'!$A:$C,3))</f>
        <v/>
      </c>
    </row>
    <row r="124">
      <c r="A124" s="10" t="n">
        <v>41944</v>
      </c>
      <c r="B124" s="18">
        <f>IF(VLOOKUP(A124,'DB Country PMI'!$A:$AZ,MATCH($A$2,'DB Country PMI'!$A$1:$AZ$1,),)=0,#N/A,VLOOKUP(A124,'DB Country PMI'!$A:$AZ,MATCH($A$2,'DB Country PMI'!$A$1:$AZ$1,),))</f>
        <v/>
      </c>
      <c r="C124" s="24">
        <f>Table1346811121415161718192021[[#This Row],[Caixin PMI]]-B123</f>
        <v/>
      </c>
      <c r="D124" s="24">
        <f>IF(VLOOKUP(Table1346811121415161718192021[[#This Row],[Date]],'DB China Official PMI'!$A:$C,2)=0,#N/A,VLOOKUP(Table1346811121415161718192021[[#This Row],[Date]],'DB China Official PMI'!$A:$C,2))</f>
        <v/>
      </c>
      <c r="E124" s="24">
        <f>Table1346811121415161718192021[[#This Row],[Official PMI]]-D123</f>
        <v/>
      </c>
      <c r="F124" s="52">
        <f>IF(VLOOKUP(Table1346811121415161718192021[[#This Row],[Date]],'DB China Official PMI'!$A:$C,3)=0,"",VLOOKUP(Table1346811121415161718192021[[#This Row],[Date]],'DB China Official PMI'!$A:$C,3))</f>
        <v/>
      </c>
    </row>
    <row r="125">
      <c r="A125" s="10" t="n">
        <v>41974</v>
      </c>
      <c r="B125" s="18">
        <f>IF(VLOOKUP(A125,'DB Country PMI'!$A:$AZ,MATCH($A$2,'DB Country PMI'!$A$1:$AZ$1,),)=0,#N/A,VLOOKUP(A125,'DB Country PMI'!$A:$AZ,MATCH($A$2,'DB Country PMI'!$A$1:$AZ$1,),))</f>
        <v/>
      </c>
      <c r="C125" s="24">
        <f>Table1346811121415161718192021[[#This Row],[Caixin PMI]]-B124</f>
        <v/>
      </c>
      <c r="D125" s="24">
        <f>IF(VLOOKUP(Table1346811121415161718192021[[#This Row],[Date]],'DB China Official PMI'!$A:$C,2)=0,#N/A,VLOOKUP(Table1346811121415161718192021[[#This Row],[Date]],'DB China Official PMI'!$A:$C,2))</f>
        <v/>
      </c>
      <c r="E125" s="24">
        <f>Table1346811121415161718192021[[#This Row],[Official PMI]]-D124</f>
        <v/>
      </c>
      <c r="F125" s="52">
        <f>IF(VLOOKUP(Table1346811121415161718192021[[#This Row],[Date]],'DB China Official PMI'!$A:$C,3)=0,"",VLOOKUP(Table1346811121415161718192021[[#This Row],[Date]],'DB China Official PMI'!$A:$C,3))</f>
        <v/>
      </c>
    </row>
    <row r="126">
      <c r="A126" s="10" t="n">
        <v>42005</v>
      </c>
      <c r="B126" s="18">
        <f>IF(VLOOKUP(A126,'DB Country PMI'!$A:$AZ,MATCH($A$2,'DB Country PMI'!$A$1:$AZ$1,),)=0,#N/A,VLOOKUP(A126,'DB Country PMI'!$A:$AZ,MATCH($A$2,'DB Country PMI'!$A$1:$AZ$1,),))</f>
        <v/>
      </c>
      <c r="C126" s="24">
        <f>Table1346811121415161718192021[[#This Row],[Caixin PMI]]-B125</f>
        <v/>
      </c>
      <c r="D126" s="24">
        <f>IF(VLOOKUP(Table1346811121415161718192021[[#This Row],[Date]],'DB China Official PMI'!$A:$C,2)=0,#N/A,VLOOKUP(Table1346811121415161718192021[[#This Row],[Date]],'DB China Official PMI'!$A:$C,2))</f>
        <v/>
      </c>
      <c r="E126" s="24">
        <f>Table1346811121415161718192021[[#This Row],[Official PMI]]-D125</f>
        <v/>
      </c>
      <c r="F126" s="52">
        <f>IF(VLOOKUP(Table1346811121415161718192021[[#This Row],[Date]],'DB China Official PMI'!$A:$C,3)=0,"",VLOOKUP(Table1346811121415161718192021[[#This Row],[Date]],'DB China Official PMI'!$A:$C,3))</f>
        <v/>
      </c>
    </row>
    <row r="127">
      <c r="A127" s="10" t="n">
        <v>42036</v>
      </c>
      <c r="B127" s="18">
        <f>IF(VLOOKUP(A127,'DB Country PMI'!$A:$AZ,MATCH($A$2,'DB Country PMI'!$A$1:$AZ$1,),)=0,#N/A,VLOOKUP(A127,'DB Country PMI'!$A:$AZ,MATCH($A$2,'DB Country PMI'!$A$1:$AZ$1,),))</f>
        <v/>
      </c>
      <c r="C127" s="24">
        <f>Table1346811121415161718192021[[#This Row],[Caixin PMI]]-B126</f>
        <v/>
      </c>
      <c r="D127" s="24">
        <f>IF(VLOOKUP(Table1346811121415161718192021[[#This Row],[Date]],'DB China Official PMI'!$A:$C,2)=0,#N/A,VLOOKUP(Table1346811121415161718192021[[#This Row],[Date]],'DB China Official PMI'!$A:$C,2))</f>
        <v/>
      </c>
      <c r="E127" s="24">
        <f>Table1346811121415161718192021[[#This Row],[Official PMI]]-D126</f>
        <v/>
      </c>
      <c r="F127" s="52">
        <f>IF(VLOOKUP(Table1346811121415161718192021[[#This Row],[Date]],'DB China Official PMI'!$A:$C,3)=0,"",VLOOKUP(Table1346811121415161718192021[[#This Row],[Date]],'DB China Official PMI'!$A:$C,3))</f>
        <v/>
      </c>
    </row>
    <row r="128">
      <c r="A128" s="10" t="n">
        <v>42064</v>
      </c>
      <c r="B128" s="18">
        <f>IF(VLOOKUP(A128,'DB Country PMI'!$A:$AZ,MATCH($A$2,'DB Country PMI'!$A$1:$AZ$1,),)=0,#N/A,VLOOKUP(A128,'DB Country PMI'!$A:$AZ,MATCH($A$2,'DB Country PMI'!$A$1:$AZ$1,),))</f>
        <v/>
      </c>
      <c r="C128" s="24">
        <f>Table1346811121415161718192021[[#This Row],[Caixin PMI]]-B127</f>
        <v/>
      </c>
      <c r="D128" s="24">
        <f>IF(VLOOKUP(Table1346811121415161718192021[[#This Row],[Date]],'DB China Official PMI'!$A:$C,2)=0,#N/A,VLOOKUP(Table1346811121415161718192021[[#This Row],[Date]],'DB China Official PMI'!$A:$C,2))</f>
        <v/>
      </c>
      <c r="E128" s="24">
        <f>Table1346811121415161718192021[[#This Row],[Official PMI]]-D127</f>
        <v/>
      </c>
      <c r="F128" s="52">
        <f>IF(VLOOKUP(Table1346811121415161718192021[[#This Row],[Date]],'DB China Official PMI'!$A:$C,3)=0,"",VLOOKUP(Table1346811121415161718192021[[#This Row],[Date]],'DB China Official PMI'!$A:$C,3))</f>
        <v/>
      </c>
    </row>
    <row r="129">
      <c r="A129" s="10" t="n">
        <v>42095</v>
      </c>
      <c r="B129" s="18">
        <f>IF(VLOOKUP(A129,'DB Country PMI'!$A:$AZ,MATCH($A$2,'DB Country PMI'!$A$1:$AZ$1,),)=0,#N/A,VLOOKUP(A129,'DB Country PMI'!$A:$AZ,MATCH($A$2,'DB Country PMI'!$A$1:$AZ$1,),))</f>
        <v/>
      </c>
      <c r="C129" s="24">
        <f>Table1346811121415161718192021[[#This Row],[Caixin PMI]]-B128</f>
        <v/>
      </c>
      <c r="D129" s="24">
        <f>IF(VLOOKUP(Table1346811121415161718192021[[#This Row],[Date]],'DB China Official PMI'!$A:$C,2)=0,#N/A,VLOOKUP(Table1346811121415161718192021[[#This Row],[Date]],'DB China Official PMI'!$A:$C,2))</f>
        <v/>
      </c>
      <c r="E129" s="24">
        <f>Table1346811121415161718192021[[#This Row],[Official PMI]]-D128</f>
        <v/>
      </c>
      <c r="F129" s="52">
        <f>IF(VLOOKUP(Table1346811121415161718192021[[#This Row],[Date]],'DB China Official PMI'!$A:$C,3)=0,"",VLOOKUP(Table1346811121415161718192021[[#This Row],[Date]],'DB China Official PMI'!$A:$C,3))</f>
        <v/>
      </c>
    </row>
    <row r="130">
      <c r="A130" s="10" t="n">
        <v>42125</v>
      </c>
      <c r="B130" s="18">
        <f>IF(VLOOKUP(A130,'DB Country PMI'!$A:$AZ,MATCH($A$2,'DB Country PMI'!$A$1:$AZ$1,),)=0,#N/A,VLOOKUP(A130,'DB Country PMI'!$A:$AZ,MATCH($A$2,'DB Country PMI'!$A$1:$AZ$1,),))</f>
        <v/>
      </c>
      <c r="C130" s="24">
        <f>Table1346811121415161718192021[[#This Row],[Caixin PMI]]-B129</f>
        <v/>
      </c>
      <c r="D130" s="24">
        <f>IF(VLOOKUP(Table1346811121415161718192021[[#This Row],[Date]],'DB China Official PMI'!$A:$C,2)=0,#N/A,VLOOKUP(Table1346811121415161718192021[[#This Row],[Date]],'DB China Official PMI'!$A:$C,2))</f>
        <v/>
      </c>
      <c r="E130" s="24">
        <f>Table1346811121415161718192021[[#This Row],[Official PMI]]-D129</f>
        <v/>
      </c>
      <c r="F130" s="52">
        <f>IF(VLOOKUP(Table1346811121415161718192021[[#This Row],[Date]],'DB China Official PMI'!$A:$C,3)=0,"",VLOOKUP(Table1346811121415161718192021[[#This Row],[Date]],'DB China Official PMI'!$A:$C,3))</f>
        <v/>
      </c>
    </row>
    <row r="131">
      <c r="A131" s="10" t="n">
        <v>42156</v>
      </c>
      <c r="B131" s="18">
        <f>IF(VLOOKUP(A131,'DB Country PMI'!$A:$AZ,MATCH($A$2,'DB Country PMI'!$A$1:$AZ$1,),)=0,#N/A,VLOOKUP(A131,'DB Country PMI'!$A:$AZ,MATCH($A$2,'DB Country PMI'!$A$1:$AZ$1,),))</f>
        <v/>
      </c>
      <c r="C131" s="24">
        <f>Table1346811121415161718192021[[#This Row],[Caixin PMI]]-B130</f>
        <v/>
      </c>
      <c r="D131" s="24">
        <f>IF(VLOOKUP(Table1346811121415161718192021[[#This Row],[Date]],'DB China Official PMI'!$A:$C,2)=0,#N/A,VLOOKUP(Table1346811121415161718192021[[#This Row],[Date]],'DB China Official PMI'!$A:$C,2))</f>
        <v/>
      </c>
      <c r="E131" s="24">
        <f>Table1346811121415161718192021[[#This Row],[Official PMI]]-D130</f>
        <v/>
      </c>
      <c r="F131" s="52">
        <f>IF(VLOOKUP(Table1346811121415161718192021[[#This Row],[Date]],'DB China Official PMI'!$A:$C,3)=0,"",VLOOKUP(Table1346811121415161718192021[[#This Row],[Date]],'DB China Official PMI'!$A:$C,3))</f>
        <v/>
      </c>
    </row>
    <row r="132">
      <c r="A132" s="10" t="n">
        <v>42186</v>
      </c>
      <c r="B132" s="18">
        <f>IF(VLOOKUP(A132,'DB Country PMI'!$A:$AZ,MATCH($A$2,'DB Country PMI'!$A$1:$AZ$1,),)=0,#N/A,VLOOKUP(A132,'DB Country PMI'!$A:$AZ,MATCH($A$2,'DB Country PMI'!$A$1:$AZ$1,),))</f>
        <v/>
      </c>
      <c r="C132" s="24">
        <f>Table1346811121415161718192021[[#This Row],[Caixin PMI]]-B131</f>
        <v/>
      </c>
      <c r="D132" s="24">
        <f>IF(VLOOKUP(Table1346811121415161718192021[[#This Row],[Date]],'DB China Official PMI'!$A:$C,2)=0,#N/A,VLOOKUP(Table1346811121415161718192021[[#This Row],[Date]],'DB China Official PMI'!$A:$C,2))</f>
        <v/>
      </c>
      <c r="E132" s="24">
        <f>Table1346811121415161718192021[[#This Row],[Official PMI]]-D131</f>
        <v/>
      </c>
      <c r="F132" s="52">
        <f>IF(VLOOKUP(Table1346811121415161718192021[[#This Row],[Date]],'DB China Official PMI'!$A:$C,3)=0,"",VLOOKUP(Table1346811121415161718192021[[#This Row],[Date]],'DB China Official PMI'!$A:$C,3))</f>
        <v/>
      </c>
    </row>
    <row r="133">
      <c r="A133" s="10" t="n">
        <v>42217</v>
      </c>
      <c r="B133" s="18">
        <f>IF(VLOOKUP(A133,'DB Country PMI'!$A:$AZ,MATCH($A$2,'DB Country PMI'!$A$1:$AZ$1,),)=0,#N/A,VLOOKUP(A133,'DB Country PMI'!$A:$AZ,MATCH($A$2,'DB Country PMI'!$A$1:$AZ$1,),))</f>
        <v/>
      </c>
      <c r="C133" s="24">
        <f>Table1346811121415161718192021[[#This Row],[Caixin PMI]]-B132</f>
        <v/>
      </c>
      <c r="D133" s="24">
        <f>IF(VLOOKUP(Table1346811121415161718192021[[#This Row],[Date]],'DB China Official PMI'!$A:$C,2)=0,#N/A,VLOOKUP(Table1346811121415161718192021[[#This Row],[Date]],'DB China Official PMI'!$A:$C,2))</f>
        <v/>
      </c>
      <c r="E133" s="24">
        <f>Table1346811121415161718192021[[#This Row],[Official PMI]]-D132</f>
        <v/>
      </c>
      <c r="F133" s="52">
        <f>IF(VLOOKUP(Table1346811121415161718192021[[#This Row],[Date]],'DB China Official PMI'!$A:$C,3)=0,"",VLOOKUP(Table1346811121415161718192021[[#This Row],[Date]],'DB China Official PMI'!$A:$C,3))</f>
        <v/>
      </c>
    </row>
    <row r="134">
      <c r="A134" s="10" t="n">
        <v>42248</v>
      </c>
      <c r="B134" s="18">
        <f>IF(VLOOKUP(A134,'DB Country PMI'!$A:$AZ,MATCH($A$2,'DB Country PMI'!$A$1:$AZ$1,),)=0,#N/A,VLOOKUP(A134,'DB Country PMI'!$A:$AZ,MATCH($A$2,'DB Country PMI'!$A$1:$AZ$1,),))</f>
        <v/>
      </c>
      <c r="C134" s="24">
        <f>Table1346811121415161718192021[[#This Row],[Caixin PMI]]-B133</f>
        <v/>
      </c>
      <c r="D134" s="24">
        <f>IF(VLOOKUP(Table1346811121415161718192021[[#This Row],[Date]],'DB China Official PMI'!$A:$C,2)=0,#N/A,VLOOKUP(Table1346811121415161718192021[[#This Row],[Date]],'DB China Official PMI'!$A:$C,2))</f>
        <v/>
      </c>
      <c r="E134" s="24">
        <f>Table1346811121415161718192021[[#This Row],[Official PMI]]-D133</f>
        <v/>
      </c>
      <c r="F134" s="52">
        <f>IF(VLOOKUP(Table1346811121415161718192021[[#This Row],[Date]],'DB China Official PMI'!$A:$C,3)=0,"",VLOOKUP(Table1346811121415161718192021[[#This Row],[Date]],'DB China Official PMI'!$A:$C,3))</f>
        <v/>
      </c>
    </row>
    <row r="135">
      <c r="A135" s="10" t="n">
        <v>42278</v>
      </c>
      <c r="B135" s="18">
        <f>IF(VLOOKUP(A135,'DB Country PMI'!$A:$AZ,MATCH($A$2,'DB Country PMI'!$A$1:$AZ$1,),)=0,#N/A,VLOOKUP(A135,'DB Country PMI'!$A:$AZ,MATCH($A$2,'DB Country PMI'!$A$1:$AZ$1,),))</f>
        <v/>
      </c>
      <c r="C135" s="24">
        <f>Table1346811121415161718192021[[#This Row],[Caixin PMI]]-B134</f>
        <v/>
      </c>
      <c r="D135" s="24">
        <f>IF(VLOOKUP(Table1346811121415161718192021[[#This Row],[Date]],'DB China Official PMI'!$A:$C,2)=0,#N/A,VLOOKUP(Table1346811121415161718192021[[#This Row],[Date]],'DB China Official PMI'!$A:$C,2))</f>
        <v/>
      </c>
      <c r="E135" s="24">
        <f>Table1346811121415161718192021[[#This Row],[Official PMI]]-D134</f>
        <v/>
      </c>
      <c r="F135" s="52">
        <f>IF(VLOOKUP(Table1346811121415161718192021[[#This Row],[Date]],'DB China Official PMI'!$A:$C,3)=0,"",VLOOKUP(Table1346811121415161718192021[[#This Row],[Date]],'DB China Official PMI'!$A:$C,3))</f>
        <v/>
      </c>
    </row>
    <row r="136">
      <c r="A136" s="10" t="n">
        <v>42309</v>
      </c>
      <c r="B136" s="18">
        <f>IF(VLOOKUP(A136,'DB Country PMI'!$A:$AZ,MATCH($A$2,'DB Country PMI'!$A$1:$AZ$1,),)=0,#N/A,VLOOKUP(A136,'DB Country PMI'!$A:$AZ,MATCH($A$2,'DB Country PMI'!$A$1:$AZ$1,),))</f>
        <v/>
      </c>
      <c r="C136" s="24">
        <f>Table1346811121415161718192021[[#This Row],[Caixin PMI]]-B135</f>
        <v/>
      </c>
      <c r="D136" s="24">
        <f>IF(VLOOKUP(Table1346811121415161718192021[[#This Row],[Date]],'DB China Official PMI'!$A:$C,2)=0,#N/A,VLOOKUP(Table1346811121415161718192021[[#This Row],[Date]],'DB China Official PMI'!$A:$C,2))</f>
        <v/>
      </c>
      <c r="E136" s="24">
        <f>Table1346811121415161718192021[[#This Row],[Official PMI]]-D135</f>
        <v/>
      </c>
      <c r="F136" s="52">
        <f>IF(VLOOKUP(Table1346811121415161718192021[[#This Row],[Date]],'DB China Official PMI'!$A:$C,3)=0,"",VLOOKUP(Table1346811121415161718192021[[#This Row],[Date]],'DB China Official PMI'!$A:$C,3))</f>
        <v/>
      </c>
    </row>
    <row r="137">
      <c r="A137" s="10" t="n">
        <v>42339</v>
      </c>
      <c r="B137" s="18">
        <f>IF(VLOOKUP(A137,'DB Country PMI'!$A:$AZ,MATCH($A$2,'DB Country PMI'!$A$1:$AZ$1,),)=0,#N/A,VLOOKUP(A137,'DB Country PMI'!$A:$AZ,MATCH($A$2,'DB Country PMI'!$A$1:$AZ$1,),))</f>
        <v/>
      </c>
      <c r="C137" s="24">
        <f>Table1346811121415161718192021[[#This Row],[Caixin PMI]]-B136</f>
        <v/>
      </c>
      <c r="D137" s="24">
        <f>IF(VLOOKUP(Table1346811121415161718192021[[#This Row],[Date]],'DB China Official PMI'!$A:$C,2)=0,#N/A,VLOOKUP(Table1346811121415161718192021[[#This Row],[Date]],'DB China Official PMI'!$A:$C,2))</f>
        <v/>
      </c>
      <c r="E137" s="24">
        <f>Table1346811121415161718192021[[#This Row],[Official PMI]]-D136</f>
        <v/>
      </c>
      <c r="F137" s="52">
        <f>IF(VLOOKUP(Table1346811121415161718192021[[#This Row],[Date]],'DB China Official PMI'!$A:$C,3)=0,"",VLOOKUP(Table1346811121415161718192021[[#This Row],[Date]],'DB China Official PMI'!$A:$C,3))</f>
        <v/>
      </c>
    </row>
    <row r="138">
      <c r="A138" s="10" t="n">
        <v>42370</v>
      </c>
      <c r="B138" s="18">
        <f>IF(VLOOKUP(A138,'DB Country PMI'!$A:$AZ,MATCH($A$2,'DB Country PMI'!$A$1:$AZ$1,),)=0,#N/A,VLOOKUP(A138,'DB Country PMI'!$A:$AZ,MATCH($A$2,'DB Country PMI'!$A$1:$AZ$1,),))</f>
        <v/>
      </c>
      <c r="C138" s="24">
        <f>Table1346811121415161718192021[[#This Row],[Caixin PMI]]-B137</f>
        <v/>
      </c>
      <c r="D138" s="24">
        <f>IF(VLOOKUP(Table1346811121415161718192021[[#This Row],[Date]],'DB China Official PMI'!$A:$C,2)=0,#N/A,VLOOKUP(Table1346811121415161718192021[[#This Row],[Date]],'DB China Official PMI'!$A:$C,2))</f>
        <v/>
      </c>
      <c r="E138" s="24">
        <f>Table1346811121415161718192021[[#This Row],[Official PMI]]-D137</f>
        <v/>
      </c>
      <c r="F138" s="52">
        <f>IF(VLOOKUP(Table1346811121415161718192021[[#This Row],[Date]],'DB China Official PMI'!$A:$C,3)=0,"",VLOOKUP(Table1346811121415161718192021[[#This Row],[Date]],'DB China Official PMI'!$A:$C,3))</f>
        <v/>
      </c>
    </row>
    <row r="139">
      <c r="A139" s="10" t="n">
        <v>42401</v>
      </c>
      <c r="B139" s="18">
        <f>IF(VLOOKUP(A139,'DB Country PMI'!$A:$AZ,MATCH($A$2,'DB Country PMI'!$A$1:$AZ$1,),)=0,#N/A,VLOOKUP(A139,'DB Country PMI'!$A:$AZ,MATCH($A$2,'DB Country PMI'!$A$1:$AZ$1,),))</f>
        <v/>
      </c>
      <c r="C139" s="24">
        <f>Table1346811121415161718192021[[#This Row],[Caixin PMI]]-B138</f>
        <v/>
      </c>
      <c r="D139" s="24">
        <f>IF(VLOOKUP(Table1346811121415161718192021[[#This Row],[Date]],'DB China Official PMI'!$A:$C,2)=0,#N/A,VLOOKUP(Table1346811121415161718192021[[#This Row],[Date]],'DB China Official PMI'!$A:$C,2))</f>
        <v/>
      </c>
      <c r="E139" s="24">
        <f>Table1346811121415161718192021[[#This Row],[Official PMI]]-D138</f>
        <v/>
      </c>
      <c r="F139" s="52">
        <f>IF(VLOOKUP(Table1346811121415161718192021[[#This Row],[Date]],'DB China Official PMI'!$A:$C,3)=0,"",VLOOKUP(Table1346811121415161718192021[[#This Row],[Date]],'DB China Official PMI'!$A:$C,3))</f>
        <v/>
      </c>
    </row>
    <row r="140">
      <c r="A140" s="10" t="n">
        <v>42430</v>
      </c>
      <c r="B140" s="18">
        <f>IF(VLOOKUP(A140,'DB Country PMI'!$A:$AZ,MATCH($A$2,'DB Country PMI'!$A$1:$AZ$1,),)=0,#N/A,VLOOKUP(A140,'DB Country PMI'!$A:$AZ,MATCH($A$2,'DB Country PMI'!$A$1:$AZ$1,),))</f>
        <v/>
      </c>
      <c r="C140" s="24">
        <f>Table1346811121415161718192021[[#This Row],[Caixin PMI]]-B139</f>
        <v/>
      </c>
      <c r="D140" s="24">
        <f>IF(VLOOKUP(Table1346811121415161718192021[[#This Row],[Date]],'DB China Official PMI'!$A:$C,2)=0,#N/A,VLOOKUP(Table1346811121415161718192021[[#This Row],[Date]],'DB China Official PMI'!$A:$C,2))</f>
        <v/>
      </c>
      <c r="E140" s="24">
        <f>Table1346811121415161718192021[[#This Row],[Official PMI]]-D139</f>
        <v/>
      </c>
      <c r="F140" s="52">
        <f>IF(VLOOKUP(Table1346811121415161718192021[[#This Row],[Date]],'DB China Official PMI'!$A:$C,3)=0,"",VLOOKUP(Table1346811121415161718192021[[#This Row],[Date]],'DB China Official PMI'!$A:$C,3))</f>
        <v/>
      </c>
    </row>
    <row r="141">
      <c r="A141" s="10" t="n">
        <v>42461</v>
      </c>
      <c r="B141" s="18">
        <f>IF(VLOOKUP(A141,'DB Country PMI'!$A:$AZ,MATCH($A$2,'DB Country PMI'!$A$1:$AZ$1,),)=0,#N/A,VLOOKUP(A141,'DB Country PMI'!$A:$AZ,MATCH($A$2,'DB Country PMI'!$A$1:$AZ$1,),))</f>
        <v/>
      </c>
      <c r="C141" s="24">
        <f>Table1346811121415161718192021[[#This Row],[Caixin PMI]]-B140</f>
        <v/>
      </c>
      <c r="D141" s="24">
        <f>IF(VLOOKUP(Table1346811121415161718192021[[#This Row],[Date]],'DB China Official PMI'!$A:$C,2)=0,#N/A,VLOOKUP(Table1346811121415161718192021[[#This Row],[Date]],'DB China Official PMI'!$A:$C,2))</f>
        <v/>
      </c>
      <c r="E141" s="24">
        <f>Table1346811121415161718192021[[#This Row],[Official PMI]]-D140</f>
        <v/>
      </c>
      <c r="F141" s="52">
        <f>IF(VLOOKUP(Table1346811121415161718192021[[#This Row],[Date]],'DB China Official PMI'!$A:$C,3)=0,"",VLOOKUP(Table1346811121415161718192021[[#This Row],[Date]],'DB China Official PMI'!$A:$C,3))</f>
        <v/>
      </c>
    </row>
    <row r="142">
      <c r="A142" s="10" t="n">
        <v>42491</v>
      </c>
      <c r="B142" s="18">
        <f>IF(VLOOKUP(A142,'DB Country PMI'!$A:$AZ,MATCH($A$2,'DB Country PMI'!$A$1:$AZ$1,),)=0,#N/A,VLOOKUP(A142,'DB Country PMI'!$A:$AZ,MATCH($A$2,'DB Country PMI'!$A$1:$AZ$1,),))</f>
        <v/>
      </c>
      <c r="C142" s="24">
        <f>Table1346811121415161718192021[[#This Row],[Caixin PMI]]-B141</f>
        <v/>
      </c>
      <c r="D142" s="24">
        <f>IF(VLOOKUP(Table1346811121415161718192021[[#This Row],[Date]],'DB China Official PMI'!$A:$C,2)=0,#N/A,VLOOKUP(Table1346811121415161718192021[[#This Row],[Date]],'DB China Official PMI'!$A:$C,2))</f>
        <v/>
      </c>
      <c r="E142" s="24">
        <f>Table1346811121415161718192021[[#This Row],[Official PMI]]-D141</f>
        <v/>
      </c>
      <c r="F142" s="52">
        <f>IF(VLOOKUP(Table1346811121415161718192021[[#This Row],[Date]],'DB China Official PMI'!$A:$C,3)=0,"",VLOOKUP(Table1346811121415161718192021[[#This Row],[Date]],'DB China Official PMI'!$A:$C,3))</f>
        <v/>
      </c>
    </row>
    <row r="143">
      <c r="A143" s="10" t="n">
        <v>42522</v>
      </c>
      <c r="B143" s="18">
        <f>IF(VLOOKUP(A143,'DB Country PMI'!$A:$AZ,MATCH($A$2,'DB Country PMI'!$A$1:$AZ$1,),)=0,#N/A,VLOOKUP(A143,'DB Country PMI'!$A:$AZ,MATCH($A$2,'DB Country PMI'!$A$1:$AZ$1,),))</f>
        <v/>
      </c>
      <c r="C143" s="24">
        <f>Table1346811121415161718192021[[#This Row],[Caixin PMI]]-B142</f>
        <v/>
      </c>
      <c r="D143" s="24">
        <f>IF(VLOOKUP(Table1346811121415161718192021[[#This Row],[Date]],'DB China Official PMI'!$A:$C,2)=0,#N/A,VLOOKUP(Table1346811121415161718192021[[#This Row],[Date]],'DB China Official PMI'!$A:$C,2))</f>
        <v/>
      </c>
      <c r="E143" s="24">
        <f>Table1346811121415161718192021[[#This Row],[Official PMI]]-D142</f>
        <v/>
      </c>
      <c r="F143" s="52">
        <f>IF(VLOOKUP(Table1346811121415161718192021[[#This Row],[Date]],'DB China Official PMI'!$A:$C,3)=0,"",VLOOKUP(Table1346811121415161718192021[[#This Row],[Date]],'DB China Official PMI'!$A:$C,3))</f>
        <v/>
      </c>
    </row>
    <row r="144">
      <c r="A144" s="10" t="n">
        <v>42552</v>
      </c>
      <c r="B144" s="18">
        <f>IF(VLOOKUP(A144,'DB Country PMI'!$A:$AZ,MATCH($A$2,'DB Country PMI'!$A$1:$AZ$1,),)=0,#N/A,VLOOKUP(A144,'DB Country PMI'!$A:$AZ,MATCH($A$2,'DB Country PMI'!$A$1:$AZ$1,),))</f>
        <v/>
      </c>
      <c r="C144" s="24">
        <f>Table1346811121415161718192021[[#This Row],[Caixin PMI]]-B143</f>
        <v/>
      </c>
      <c r="D144" s="24">
        <f>IF(VLOOKUP(Table1346811121415161718192021[[#This Row],[Date]],'DB China Official PMI'!$A:$C,2)=0,#N/A,VLOOKUP(Table1346811121415161718192021[[#This Row],[Date]],'DB China Official PMI'!$A:$C,2))</f>
        <v/>
      </c>
      <c r="E144" s="24">
        <f>Table1346811121415161718192021[[#This Row],[Official PMI]]-D143</f>
        <v/>
      </c>
      <c r="F144" s="52">
        <f>IF(VLOOKUP(Table1346811121415161718192021[[#This Row],[Date]],'DB China Official PMI'!$A:$C,3)=0,"",VLOOKUP(Table1346811121415161718192021[[#This Row],[Date]],'DB China Official PMI'!$A:$C,3))</f>
        <v/>
      </c>
    </row>
    <row r="145">
      <c r="A145" s="10" t="n">
        <v>42583</v>
      </c>
      <c r="B145" s="18">
        <f>IF(VLOOKUP(A145,'DB Country PMI'!$A:$AZ,MATCH($A$2,'DB Country PMI'!$A$1:$AZ$1,),)=0,#N/A,VLOOKUP(A145,'DB Country PMI'!$A:$AZ,MATCH($A$2,'DB Country PMI'!$A$1:$AZ$1,),))</f>
        <v/>
      </c>
      <c r="C145" s="24">
        <f>Table1346811121415161718192021[[#This Row],[Caixin PMI]]-B144</f>
        <v/>
      </c>
      <c r="D145" s="24">
        <f>IF(VLOOKUP(Table1346811121415161718192021[[#This Row],[Date]],'DB China Official PMI'!$A:$C,2)=0,#N/A,VLOOKUP(Table1346811121415161718192021[[#This Row],[Date]],'DB China Official PMI'!$A:$C,2))</f>
        <v/>
      </c>
      <c r="E145" s="24">
        <f>Table1346811121415161718192021[[#This Row],[Official PMI]]-D144</f>
        <v/>
      </c>
      <c r="F145" s="52">
        <f>IF(VLOOKUP(Table1346811121415161718192021[[#This Row],[Date]],'DB China Official PMI'!$A:$C,3)=0,"",VLOOKUP(Table1346811121415161718192021[[#This Row],[Date]],'DB China Official PMI'!$A:$C,3))</f>
        <v/>
      </c>
    </row>
    <row r="146">
      <c r="A146" s="10" t="n">
        <v>42614</v>
      </c>
      <c r="B146" s="18">
        <f>IF(VLOOKUP(A146,'DB Country PMI'!$A:$AZ,MATCH($A$2,'DB Country PMI'!$A$1:$AZ$1,),)=0,#N/A,VLOOKUP(A146,'DB Country PMI'!$A:$AZ,MATCH($A$2,'DB Country PMI'!$A$1:$AZ$1,),))</f>
        <v/>
      </c>
      <c r="C146" s="24">
        <f>Table1346811121415161718192021[[#This Row],[Caixin PMI]]-B145</f>
        <v/>
      </c>
      <c r="D146" s="24">
        <f>IF(VLOOKUP(Table1346811121415161718192021[[#This Row],[Date]],'DB China Official PMI'!$A:$C,2)=0,#N/A,VLOOKUP(Table1346811121415161718192021[[#This Row],[Date]],'DB China Official PMI'!$A:$C,2))</f>
        <v/>
      </c>
      <c r="E146" s="24">
        <f>Table1346811121415161718192021[[#This Row],[Official PMI]]-D145</f>
        <v/>
      </c>
      <c r="F146" s="52">
        <f>IF(VLOOKUP(Table1346811121415161718192021[[#This Row],[Date]],'DB China Official PMI'!$A:$C,3)=0,"",VLOOKUP(Table1346811121415161718192021[[#This Row],[Date]],'DB China Official PMI'!$A:$C,3))</f>
        <v/>
      </c>
    </row>
    <row r="147">
      <c r="A147" s="10" t="n">
        <v>42644</v>
      </c>
      <c r="B147" s="18">
        <f>IF(VLOOKUP(A147,'DB Country PMI'!$A:$AZ,MATCH($A$2,'DB Country PMI'!$A$1:$AZ$1,),)=0,#N/A,VLOOKUP(A147,'DB Country PMI'!$A:$AZ,MATCH($A$2,'DB Country PMI'!$A$1:$AZ$1,),))</f>
        <v/>
      </c>
      <c r="C147" s="24">
        <f>Table1346811121415161718192021[[#This Row],[Caixin PMI]]-B146</f>
        <v/>
      </c>
      <c r="D147" s="24">
        <f>IF(VLOOKUP(Table1346811121415161718192021[[#This Row],[Date]],'DB China Official PMI'!$A:$C,2)=0,#N/A,VLOOKUP(Table1346811121415161718192021[[#This Row],[Date]],'DB China Official PMI'!$A:$C,2))</f>
        <v/>
      </c>
      <c r="E147" s="24">
        <f>Table1346811121415161718192021[[#This Row],[Official PMI]]-D146</f>
        <v/>
      </c>
      <c r="F147" s="52">
        <f>IF(VLOOKUP(Table1346811121415161718192021[[#This Row],[Date]],'DB China Official PMI'!$A:$C,3)=0,"",VLOOKUP(Table1346811121415161718192021[[#This Row],[Date]],'DB China Official PMI'!$A:$C,3))</f>
        <v/>
      </c>
    </row>
    <row r="148">
      <c r="A148" s="10" t="n">
        <v>42675</v>
      </c>
      <c r="B148" s="18">
        <f>IF(VLOOKUP(A148,'DB Country PMI'!$A:$AZ,MATCH($A$2,'DB Country PMI'!$A$1:$AZ$1,),)=0,#N/A,VLOOKUP(A148,'DB Country PMI'!$A:$AZ,MATCH($A$2,'DB Country PMI'!$A$1:$AZ$1,),))</f>
        <v/>
      </c>
      <c r="C148" s="24">
        <f>Table1346811121415161718192021[[#This Row],[Caixin PMI]]-B147</f>
        <v/>
      </c>
      <c r="D148" s="24">
        <f>IF(VLOOKUP(Table1346811121415161718192021[[#This Row],[Date]],'DB China Official PMI'!$A:$C,2)=0,#N/A,VLOOKUP(Table1346811121415161718192021[[#This Row],[Date]],'DB China Official PMI'!$A:$C,2))</f>
        <v/>
      </c>
      <c r="E148" s="24">
        <f>Table1346811121415161718192021[[#This Row],[Official PMI]]-D147</f>
        <v/>
      </c>
      <c r="F148" s="52">
        <f>IF(VLOOKUP(Table1346811121415161718192021[[#This Row],[Date]],'DB China Official PMI'!$A:$C,3)=0,"",VLOOKUP(Table1346811121415161718192021[[#This Row],[Date]],'DB China Official PMI'!$A:$C,3))</f>
        <v/>
      </c>
    </row>
    <row r="149">
      <c r="A149" s="10" t="n">
        <v>42705</v>
      </c>
      <c r="B149" s="18">
        <f>IF(VLOOKUP(A149,'DB Country PMI'!$A:$AZ,MATCH($A$2,'DB Country PMI'!$A$1:$AZ$1,),)=0,#N/A,VLOOKUP(A149,'DB Country PMI'!$A:$AZ,MATCH($A$2,'DB Country PMI'!$A$1:$AZ$1,),))</f>
        <v/>
      </c>
      <c r="C149" s="24">
        <f>Table1346811121415161718192021[[#This Row],[Caixin PMI]]-B148</f>
        <v/>
      </c>
      <c r="D149" s="24">
        <f>IF(VLOOKUP(Table1346811121415161718192021[[#This Row],[Date]],'DB China Official PMI'!$A:$C,2)=0,#N/A,VLOOKUP(Table1346811121415161718192021[[#This Row],[Date]],'DB China Official PMI'!$A:$C,2))</f>
        <v/>
      </c>
      <c r="E149" s="24">
        <f>Table1346811121415161718192021[[#This Row],[Official PMI]]-D148</f>
        <v/>
      </c>
      <c r="F149" s="52">
        <f>IF(VLOOKUP(Table1346811121415161718192021[[#This Row],[Date]],'DB China Official PMI'!$A:$C,3)=0,"",VLOOKUP(Table1346811121415161718192021[[#This Row],[Date]],'DB China Official PMI'!$A:$C,3))</f>
        <v/>
      </c>
    </row>
    <row r="150">
      <c r="A150" s="10" t="n">
        <v>42736</v>
      </c>
      <c r="B150" s="18">
        <f>IF(VLOOKUP(A150,'DB Country PMI'!$A:$AZ,MATCH($A$2,'DB Country PMI'!$A$1:$AZ$1,),)=0,#N/A,VLOOKUP(A150,'DB Country PMI'!$A:$AZ,MATCH($A$2,'DB Country PMI'!$A$1:$AZ$1,),))</f>
        <v/>
      </c>
      <c r="C150" s="24">
        <f>Table1346811121415161718192021[[#This Row],[Caixin PMI]]-B149</f>
        <v/>
      </c>
      <c r="D150" s="24">
        <f>IF(VLOOKUP(Table1346811121415161718192021[[#This Row],[Date]],'DB China Official PMI'!$A:$C,2)=0,#N/A,VLOOKUP(Table1346811121415161718192021[[#This Row],[Date]],'DB China Official PMI'!$A:$C,2))</f>
        <v/>
      </c>
      <c r="E150" s="24">
        <f>Table1346811121415161718192021[[#This Row],[Official PMI]]-D149</f>
        <v/>
      </c>
      <c r="F150" s="52">
        <f>IF(VLOOKUP(Table1346811121415161718192021[[#This Row],[Date]],'DB China Official PMI'!$A:$C,3)=0,"",VLOOKUP(Table1346811121415161718192021[[#This Row],[Date]],'DB China Official PMI'!$A:$C,3))</f>
        <v/>
      </c>
    </row>
    <row r="151">
      <c r="A151" s="10" t="n">
        <v>42767</v>
      </c>
      <c r="B151" s="18">
        <f>IF(VLOOKUP(A151,'DB Country PMI'!$A:$AZ,MATCH($A$2,'DB Country PMI'!$A$1:$AZ$1,),)=0,#N/A,VLOOKUP(A151,'DB Country PMI'!$A:$AZ,MATCH($A$2,'DB Country PMI'!$A$1:$AZ$1,),))</f>
        <v/>
      </c>
      <c r="C151" s="24">
        <f>Table1346811121415161718192021[[#This Row],[Caixin PMI]]-B150</f>
        <v/>
      </c>
      <c r="D151" s="24">
        <f>IF(VLOOKUP(Table1346811121415161718192021[[#This Row],[Date]],'DB China Official PMI'!$A:$C,2)=0,#N/A,VLOOKUP(Table1346811121415161718192021[[#This Row],[Date]],'DB China Official PMI'!$A:$C,2))</f>
        <v/>
      </c>
      <c r="E151" s="24">
        <f>Table1346811121415161718192021[[#This Row],[Official PMI]]-D150</f>
        <v/>
      </c>
      <c r="F151" s="52">
        <f>IF(VLOOKUP(Table1346811121415161718192021[[#This Row],[Date]],'DB China Official PMI'!$A:$C,3)=0,"",VLOOKUP(Table1346811121415161718192021[[#This Row],[Date]],'DB China Official PMI'!$A:$C,3))</f>
        <v/>
      </c>
    </row>
    <row r="152">
      <c r="A152" s="10" t="n">
        <v>42795</v>
      </c>
      <c r="B152" s="18">
        <f>IF(VLOOKUP(A152,'DB Country PMI'!$A:$AZ,MATCH($A$2,'DB Country PMI'!$A$1:$AZ$1,),)=0,#N/A,VLOOKUP(A152,'DB Country PMI'!$A:$AZ,MATCH($A$2,'DB Country PMI'!$A$1:$AZ$1,),))</f>
        <v/>
      </c>
      <c r="C152" s="24">
        <f>Table1346811121415161718192021[[#This Row],[Caixin PMI]]-B151</f>
        <v/>
      </c>
      <c r="D152" s="24">
        <f>IF(VLOOKUP(Table1346811121415161718192021[[#This Row],[Date]],'DB China Official PMI'!$A:$C,2)=0,#N/A,VLOOKUP(Table1346811121415161718192021[[#This Row],[Date]],'DB China Official PMI'!$A:$C,2))</f>
        <v/>
      </c>
      <c r="E152" s="24">
        <f>Table1346811121415161718192021[[#This Row],[Official PMI]]-D151</f>
        <v/>
      </c>
      <c r="F152" s="52">
        <f>IF(VLOOKUP(Table1346811121415161718192021[[#This Row],[Date]],'DB China Official PMI'!$A:$C,3)=0,"",VLOOKUP(Table1346811121415161718192021[[#This Row],[Date]],'DB China Official PMI'!$A:$C,3))</f>
        <v/>
      </c>
    </row>
    <row r="153">
      <c r="A153" s="10" t="n">
        <v>42826</v>
      </c>
      <c r="B153" s="18">
        <f>IF(VLOOKUP(A153,'DB Country PMI'!$A:$AZ,MATCH($A$2,'DB Country PMI'!$A$1:$AZ$1,),)=0,#N/A,VLOOKUP(A153,'DB Country PMI'!$A:$AZ,MATCH($A$2,'DB Country PMI'!$A$1:$AZ$1,),))</f>
        <v/>
      </c>
      <c r="C153" s="24">
        <f>Table1346811121415161718192021[[#This Row],[Caixin PMI]]-B152</f>
        <v/>
      </c>
      <c r="D153" s="24">
        <f>IF(VLOOKUP(Table1346811121415161718192021[[#This Row],[Date]],'DB China Official PMI'!$A:$C,2)=0,#N/A,VLOOKUP(Table1346811121415161718192021[[#This Row],[Date]],'DB China Official PMI'!$A:$C,2))</f>
        <v/>
      </c>
      <c r="E153" s="24">
        <f>Table1346811121415161718192021[[#This Row],[Official PMI]]-D152</f>
        <v/>
      </c>
      <c r="F153" s="52">
        <f>IF(VLOOKUP(Table1346811121415161718192021[[#This Row],[Date]],'DB China Official PMI'!$A:$C,3)=0,"",VLOOKUP(Table1346811121415161718192021[[#This Row],[Date]],'DB China Official PMI'!$A:$C,3))</f>
        <v/>
      </c>
    </row>
    <row r="154">
      <c r="A154" s="10" t="n">
        <v>42856</v>
      </c>
      <c r="B154" s="18">
        <f>IF(VLOOKUP(A154,'DB Country PMI'!$A:$AZ,MATCH($A$2,'DB Country PMI'!$A$1:$AZ$1,),)=0,#N/A,VLOOKUP(A154,'DB Country PMI'!$A:$AZ,MATCH($A$2,'DB Country PMI'!$A$1:$AZ$1,),))</f>
        <v/>
      </c>
      <c r="C154" s="24">
        <f>Table1346811121415161718192021[[#This Row],[Caixin PMI]]-B153</f>
        <v/>
      </c>
      <c r="D154" s="24">
        <f>IF(VLOOKUP(Table1346811121415161718192021[[#This Row],[Date]],'DB China Official PMI'!$A:$C,2)=0,#N/A,VLOOKUP(Table1346811121415161718192021[[#This Row],[Date]],'DB China Official PMI'!$A:$C,2))</f>
        <v/>
      </c>
      <c r="E154" s="24">
        <f>Table1346811121415161718192021[[#This Row],[Official PMI]]-D153</f>
        <v/>
      </c>
      <c r="F154" s="52">
        <f>IF(VLOOKUP(Table1346811121415161718192021[[#This Row],[Date]],'DB China Official PMI'!$A:$C,3)=0,"",VLOOKUP(Table1346811121415161718192021[[#This Row],[Date]],'DB China Official PMI'!$A:$C,3))</f>
        <v/>
      </c>
    </row>
    <row r="155">
      <c r="A155" s="10" t="n">
        <v>42887</v>
      </c>
      <c r="B155" s="18">
        <f>IF(VLOOKUP(A155,'DB Country PMI'!$A:$AZ,MATCH($A$2,'DB Country PMI'!$A$1:$AZ$1,),)=0,#N/A,VLOOKUP(A155,'DB Country PMI'!$A:$AZ,MATCH($A$2,'DB Country PMI'!$A$1:$AZ$1,),))</f>
        <v/>
      </c>
      <c r="C155" s="24">
        <f>Table1346811121415161718192021[[#This Row],[Caixin PMI]]-B154</f>
        <v/>
      </c>
      <c r="D155" s="24">
        <f>IF(VLOOKUP(Table1346811121415161718192021[[#This Row],[Date]],'DB China Official PMI'!$A:$C,2)=0,#N/A,VLOOKUP(Table1346811121415161718192021[[#This Row],[Date]],'DB China Official PMI'!$A:$C,2))</f>
        <v/>
      </c>
      <c r="E155" s="24">
        <f>Table1346811121415161718192021[[#This Row],[Official PMI]]-D154</f>
        <v/>
      </c>
      <c r="F155" s="52">
        <f>IF(VLOOKUP(Table1346811121415161718192021[[#This Row],[Date]],'DB China Official PMI'!$A:$C,3)=0,"",VLOOKUP(Table1346811121415161718192021[[#This Row],[Date]],'DB China Official PMI'!$A:$C,3))</f>
        <v/>
      </c>
    </row>
    <row r="156">
      <c r="A156" s="10" t="n">
        <v>42917</v>
      </c>
      <c r="B156" s="18">
        <f>IF(VLOOKUP(A156,'DB Country PMI'!$A:$AZ,MATCH($A$2,'DB Country PMI'!$A$1:$AZ$1,),)=0,#N/A,VLOOKUP(A156,'DB Country PMI'!$A:$AZ,MATCH($A$2,'DB Country PMI'!$A$1:$AZ$1,),))</f>
        <v/>
      </c>
      <c r="C156" s="24">
        <f>Table1346811121415161718192021[[#This Row],[Caixin PMI]]-B155</f>
        <v/>
      </c>
      <c r="D156" s="24">
        <f>IF(VLOOKUP(Table1346811121415161718192021[[#This Row],[Date]],'DB China Official PMI'!$A:$C,2)=0,#N/A,VLOOKUP(Table1346811121415161718192021[[#This Row],[Date]],'DB China Official PMI'!$A:$C,2))</f>
        <v/>
      </c>
      <c r="E156" s="24">
        <f>Table1346811121415161718192021[[#This Row],[Official PMI]]-D155</f>
        <v/>
      </c>
      <c r="F156" s="52">
        <f>IF(VLOOKUP(Table1346811121415161718192021[[#This Row],[Date]],'DB China Official PMI'!$A:$C,3)=0,"",VLOOKUP(Table1346811121415161718192021[[#This Row],[Date]],'DB China Official PMI'!$A:$C,3))</f>
        <v/>
      </c>
    </row>
    <row r="157">
      <c r="A157" s="10" t="n">
        <v>42948</v>
      </c>
      <c r="B157" s="18">
        <f>IF(VLOOKUP(A157,'DB Country PMI'!$A:$AZ,MATCH($A$2,'DB Country PMI'!$A$1:$AZ$1,),)=0,#N/A,VLOOKUP(A157,'DB Country PMI'!$A:$AZ,MATCH($A$2,'DB Country PMI'!$A$1:$AZ$1,),))</f>
        <v/>
      </c>
      <c r="C157" s="24">
        <f>Table1346811121415161718192021[[#This Row],[Caixin PMI]]-B156</f>
        <v/>
      </c>
      <c r="D157" s="24">
        <f>IF(VLOOKUP(Table1346811121415161718192021[[#This Row],[Date]],'DB China Official PMI'!$A:$C,2)=0,#N/A,VLOOKUP(Table1346811121415161718192021[[#This Row],[Date]],'DB China Official PMI'!$A:$C,2))</f>
        <v/>
      </c>
      <c r="E157" s="24">
        <f>Table1346811121415161718192021[[#This Row],[Official PMI]]-D156</f>
        <v/>
      </c>
      <c r="F157" s="52">
        <f>IF(VLOOKUP(Table1346811121415161718192021[[#This Row],[Date]],'DB China Official PMI'!$A:$C,3)=0,"",VLOOKUP(Table1346811121415161718192021[[#This Row],[Date]],'DB China Official PMI'!$A:$C,3))</f>
        <v/>
      </c>
    </row>
    <row r="158">
      <c r="A158" s="10" t="n">
        <v>42979</v>
      </c>
      <c r="B158" s="18">
        <f>IF(VLOOKUP(A158,'DB Country PMI'!$A:$AZ,MATCH($A$2,'DB Country PMI'!$A$1:$AZ$1,),)=0,#N/A,VLOOKUP(A158,'DB Country PMI'!$A:$AZ,MATCH($A$2,'DB Country PMI'!$A$1:$AZ$1,),))</f>
        <v/>
      </c>
      <c r="C158" s="24">
        <f>Table1346811121415161718192021[[#This Row],[Caixin PMI]]-B157</f>
        <v/>
      </c>
      <c r="D158" s="24">
        <f>IF(VLOOKUP(Table1346811121415161718192021[[#This Row],[Date]],'DB China Official PMI'!$A:$C,2)=0,#N/A,VLOOKUP(Table1346811121415161718192021[[#This Row],[Date]],'DB China Official PMI'!$A:$C,2))</f>
        <v/>
      </c>
      <c r="E158" s="24">
        <f>Table1346811121415161718192021[[#This Row],[Official PMI]]-D157</f>
        <v/>
      </c>
      <c r="F158" s="52">
        <f>IF(VLOOKUP(Table1346811121415161718192021[[#This Row],[Date]],'DB China Official PMI'!$A:$C,3)=0,"",VLOOKUP(Table1346811121415161718192021[[#This Row],[Date]],'DB China Official PMI'!$A:$C,3))</f>
        <v/>
      </c>
    </row>
    <row r="159">
      <c r="A159" s="10" t="n">
        <v>43009</v>
      </c>
      <c r="B159" s="18">
        <f>IF(VLOOKUP(A159,'DB Country PMI'!$A:$AZ,MATCH($A$2,'DB Country PMI'!$A$1:$AZ$1,),)=0,#N/A,VLOOKUP(A159,'DB Country PMI'!$A:$AZ,MATCH($A$2,'DB Country PMI'!$A$1:$AZ$1,),))</f>
        <v/>
      </c>
      <c r="C159" s="24">
        <f>Table1346811121415161718192021[[#This Row],[Caixin PMI]]-B158</f>
        <v/>
      </c>
      <c r="D159" s="24">
        <f>IF(VLOOKUP(Table1346811121415161718192021[[#This Row],[Date]],'DB China Official PMI'!$A:$C,2)=0,#N/A,VLOOKUP(Table1346811121415161718192021[[#This Row],[Date]],'DB China Official PMI'!$A:$C,2))</f>
        <v/>
      </c>
      <c r="E159" s="24">
        <f>Table1346811121415161718192021[[#This Row],[Official PMI]]-D158</f>
        <v/>
      </c>
      <c r="F159" s="52">
        <f>IF(VLOOKUP(Table1346811121415161718192021[[#This Row],[Date]],'DB China Official PMI'!$A:$C,3)=0,"",VLOOKUP(Table1346811121415161718192021[[#This Row],[Date]],'DB China Official PMI'!$A:$C,3))</f>
        <v/>
      </c>
    </row>
    <row r="160">
      <c r="A160" s="10" t="n">
        <v>43040</v>
      </c>
      <c r="B160" s="18">
        <f>IF(VLOOKUP(A160,'DB Country PMI'!$A:$AZ,MATCH($A$2,'DB Country PMI'!$A$1:$AZ$1,),)=0,#N/A,VLOOKUP(A160,'DB Country PMI'!$A:$AZ,MATCH($A$2,'DB Country PMI'!$A$1:$AZ$1,),))</f>
        <v/>
      </c>
      <c r="C160" s="24">
        <f>Table1346811121415161718192021[[#This Row],[Caixin PMI]]-B159</f>
        <v/>
      </c>
      <c r="D160" s="24">
        <f>IF(VLOOKUP(Table1346811121415161718192021[[#This Row],[Date]],'DB China Official PMI'!$A:$C,2)=0,#N/A,VLOOKUP(Table1346811121415161718192021[[#This Row],[Date]],'DB China Official PMI'!$A:$C,2))</f>
        <v/>
      </c>
      <c r="E160" s="24">
        <f>Table1346811121415161718192021[[#This Row],[Official PMI]]-D159</f>
        <v/>
      </c>
      <c r="F160" s="52">
        <f>IF(VLOOKUP(Table1346811121415161718192021[[#This Row],[Date]],'DB China Official PMI'!$A:$C,3)=0,"",VLOOKUP(Table1346811121415161718192021[[#This Row],[Date]],'DB China Official PMI'!$A:$C,3))</f>
        <v/>
      </c>
    </row>
    <row r="161">
      <c r="A161" s="10" t="n">
        <v>43070</v>
      </c>
      <c r="B161" s="18">
        <f>IF(VLOOKUP(A161,'DB Country PMI'!$A:$AZ,MATCH($A$2,'DB Country PMI'!$A$1:$AZ$1,),)=0,#N/A,VLOOKUP(A161,'DB Country PMI'!$A:$AZ,MATCH($A$2,'DB Country PMI'!$A$1:$AZ$1,),))</f>
        <v/>
      </c>
      <c r="C161" s="24">
        <f>Table1346811121415161718192021[[#This Row],[Caixin PMI]]-B160</f>
        <v/>
      </c>
      <c r="D161" s="24">
        <f>IF(VLOOKUP(Table1346811121415161718192021[[#This Row],[Date]],'DB China Official PMI'!$A:$C,2)=0,#N/A,VLOOKUP(Table1346811121415161718192021[[#This Row],[Date]],'DB China Official PMI'!$A:$C,2))</f>
        <v/>
      </c>
      <c r="E161" s="24">
        <f>Table1346811121415161718192021[[#This Row],[Official PMI]]-D160</f>
        <v/>
      </c>
      <c r="F161" s="52">
        <f>IF(VLOOKUP(Table1346811121415161718192021[[#This Row],[Date]],'DB China Official PMI'!$A:$C,3)=0,"",VLOOKUP(Table1346811121415161718192021[[#This Row],[Date]],'DB China Official PMI'!$A:$C,3))</f>
        <v/>
      </c>
    </row>
    <row r="162">
      <c r="A162" s="10" t="n">
        <v>43101</v>
      </c>
      <c r="B162" s="18">
        <f>IF(VLOOKUP(A162,'DB Country PMI'!$A:$AZ,MATCH($A$2,'DB Country PMI'!$A$1:$AZ$1,),)=0,#N/A,VLOOKUP(A162,'DB Country PMI'!$A:$AZ,MATCH($A$2,'DB Country PMI'!$A$1:$AZ$1,),))</f>
        <v/>
      </c>
      <c r="C162" s="24">
        <f>Table1346811121415161718192021[[#This Row],[Caixin PMI]]-B161</f>
        <v/>
      </c>
      <c r="D162" s="24">
        <f>IF(VLOOKUP(Table1346811121415161718192021[[#This Row],[Date]],'DB China Official PMI'!$A:$C,2)=0,#N/A,VLOOKUP(Table1346811121415161718192021[[#This Row],[Date]],'DB China Official PMI'!$A:$C,2))</f>
        <v/>
      </c>
      <c r="E162" s="24">
        <f>Table1346811121415161718192021[[#This Row],[Official PMI]]-D161</f>
        <v/>
      </c>
      <c r="F162" s="52">
        <f>IF(VLOOKUP(Table1346811121415161718192021[[#This Row],[Date]],'DB China Official PMI'!$A:$C,3)=0,"",VLOOKUP(Table1346811121415161718192021[[#This Row],[Date]],'DB China Official PMI'!$A:$C,3))</f>
        <v/>
      </c>
    </row>
    <row r="163">
      <c r="A163" s="10" t="n">
        <v>43132</v>
      </c>
      <c r="B163" s="18">
        <f>IF(VLOOKUP(A163,'DB Country PMI'!$A:$AZ,MATCH($A$2,'DB Country PMI'!$A$1:$AZ$1,),)=0,#N/A,VLOOKUP(A163,'DB Country PMI'!$A:$AZ,MATCH($A$2,'DB Country PMI'!$A$1:$AZ$1,),))</f>
        <v/>
      </c>
      <c r="C163" s="24">
        <f>Table1346811121415161718192021[[#This Row],[Caixin PMI]]-B162</f>
        <v/>
      </c>
      <c r="D163" s="24">
        <f>IF(VLOOKUP(Table1346811121415161718192021[[#This Row],[Date]],'DB China Official PMI'!$A:$C,2)=0,#N/A,VLOOKUP(Table1346811121415161718192021[[#This Row],[Date]],'DB China Official PMI'!$A:$C,2))</f>
        <v/>
      </c>
      <c r="E163" s="24">
        <f>Table1346811121415161718192021[[#This Row],[Official PMI]]-D162</f>
        <v/>
      </c>
      <c r="F163" s="52">
        <f>IF(VLOOKUP(Table1346811121415161718192021[[#This Row],[Date]],'DB China Official PMI'!$A:$C,3)=0,"",VLOOKUP(Table1346811121415161718192021[[#This Row],[Date]],'DB China Official PMI'!$A:$C,3))</f>
        <v/>
      </c>
    </row>
    <row r="164">
      <c r="A164" s="10" t="n">
        <v>43160</v>
      </c>
      <c r="B164" s="18">
        <f>IF(VLOOKUP(A164,'DB Country PMI'!$A:$AZ,MATCH($A$2,'DB Country PMI'!$A$1:$AZ$1,),)=0,#N/A,VLOOKUP(A164,'DB Country PMI'!$A:$AZ,MATCH($A$2,'DB Country PMI'!$A$1:$AZ$1,),))</f>
        <v/>
      </c>
      <c r="C164" s="24">
        <f>Table1346811121415161718192021[[#This Row],[Caixin PMI]]-B163</f>
        <v/>
      </c>
      <c r="D164" s="24">
        <f>IF(VLOOKUP(Table1346811121415161718192021[[#This Row],[Date]],'DB China Official PMI'!$A:$C,2)=0,#N/A,VLOOKUP(Table1346811121415161718192021[[#This Row],[Date]],'DB China Official PMI'!$A:$C,2))</f>
        <v/>
      </c>
      <c r="E164" s="24">
        <f>Table1346811121415161718192021[[#This Row],[Official PMI]]-D163</f>
        <v/>
      </c>
      <c r="F164" s="52">
        <f>IF(VLOOKUP(Table1346811121415161718192021[[#This Row],[Date]],'DB China Official PMI'!$A:$C,3)=0,"",VLOOKUP(Table1346811121415161718192021[[#This Row],[Date]],'DB China Official PMI'!$A:$C,3))</f>
        <v/>
      </c>
    </row>
    <row r="165">
      <c r="A165" s="10" t="n">
        <v>43191</v>
      </c>
      <c r="B165" s="18">
        <f>IF(VLOOKUP(A165,'DB Country PMI'!$A:$AZ,MATCH($A$2,'DB Country PMI'!$A$1:$AZ$1,),)=0,#N/A,VLOOKUP(A165,'DB Country PMI'!$A:$AZ,MATCH($A$2,'DB Country PMI'!$A$1:$AZ$1,),))</f>
        <v/>
      </c>
      <c r="C165" s="24">
        <f>Table1346811121415161718192021[[#This Row],[Caixin PMI]]-B164</f>
        <v/>
      </c>
      <c r="D165" s="24">
        <f>IF(VLOOKUP(Table1346811121415161718192021[[#This Row],[Date]],'DB China Official PMI'!$A:$C,2)=0,#N/A,VLOOKUP(Table1346811121415161718192021[[#This Row],[Date]],'DB China Official PMI'!$A:$C,2))</f>
        <v/>
      </c>
      <c r="E165" s="24">
        <f>Table1346811121415161718192021[[#This Row],[Official PMI]]-D164</f>
        <v/>
      </c>
      <c r="F165" s="52">
        <f>IF(VLOOKUP(Table1346811121415161718192021[[#This Row],[Date]],'DB China Official PMI'!$A:$C,3)=0,"",VLOOKUP(Table1346811121415161718192021[[#This Row],[Date]],'DB China Official PMI'!$A:$C,3))</f>
        <v/>
      </c>
    </row>
    <row r="166">
      <c r="A166" s="10" t="n">
        <v>43221</v>
      </c>
      <c r="B166" s="18">
        <f>IF(VLOOKUP(A166,'DB Country PMI'!$A:$AZ,MATCH($A$2,'DB Country PMI'!$A$1:$AZ$1,),)=0,#N/A,VLOOKUP(A166,'DB Country PMI'!$A:$AZ,MATCH($A$2,'DB Country PMI'!$A$1:$AZ$1,),))</f>
        <v/>
      </c>
      <c r="C166" s="24">
        <f>Table1346811121415161718192021[[#This Row],[Caixin PMI]]-B165</f>
        <v/>
      </c>
      <c r="D166" s="24">
        <f>IF(VLOOKUP(Table1346811121415161718192021[[#This Row],[Date]],'DB China Official PMI'!$A:$C,2)=0,#N/A,VLOOKUP(Table1346811121415161718192021[[#This Row],[Date]],'DB China Official PMI'!$A:$C,2))</f>
        <v/>
      </c>
      <c r="E166" s="24">
        <f>Table1346811121415161718192021[[#This Row],[Official PMI]]-D165</f>
        <v/>
      </c>
      <c r="F166" s="52">
        <f>IF(VLOOKUP(Table1346811121415161718192021[[#This Row],[Date]],'DB China Official PMI'!$A:$C,3)=0,"",VLOOKUP(Table1346811121415161718192021[[#This Row],[Date]],'DB China Official PMI'!$A:$C,3))</f>
        <v/>
      </c>
    </row>
    <row r="167">
      <c r="A167" s="10" t="n">
        <v>43252</v>
      </c>
      <c r="B167" s="18">
        <f>IF(VLOOKUP(A167,'DB Country PMI'!$A:$AZ,MATCH($A$2,'DB Country PMI'!$A$1:$AZ$1,),)=0,#N/A,VLOOKUP(A167,'DB Country PMI'!$A:$AZ,MATCH($A$2,'DB Country PMI'!$A$1:$AZ$1,),))</f>
        <v/>
      </c>
      <c r="C167" s="24">
        <f>Table1346811121415161718192021[[#This Row],[Caixin PMI]]-B166</f>
        <v/>
      </c>
      <c r="D167" s="24">
        <f>IF(VLOOKUP(Table1346811121415161718192021[[#This Row],[Date]],'DB China Official PMI'!$A:$C,2)=0,#N/A,VLOOKUP(Table1346811121415161718192021[[#This Row],[Date]],'DB China Official PMI'!$A:$C,2))</f>
        <v/>
      </c>
      <c r="E167" s="24">
        <f>Table1346811121415161718192021[[#This Row],[Official PMI]]-D166</f>
        <v/>
      </c>
      <c r="F167" s="52">
        <f>IF(VLOOKUP(Table1346811121415161718192021[[#This Row],[Date]],'DB China Official PMI'!$A:$C,3)=0,"",VLOOKUP(Table1346811121415161718192021[[#This Row],[Date]],'DB China Official PMI'!$A:$C,3))</f>
        <v/>
      </c>
    </row>
    <row r="168">
      <c r="A168" s="10" t="n">
        <v>43282</v>
      </c>
      <c r="B168" s="18">
        <f>IF(VLOOKUP(A168,'DB Country PMI'!$A:$AZ,MATCH($A$2,'DB Country PMI'!$A$1:$AZ$1,),)=0,#N/A,VLOOKUP(A168,'DB Country PMI'!$A:$AZ,MATCH($A$2,'DB Country PMI'!$A$1:$AZ$1,),))</f>
        <v/>
      </c>
      <c r="C168" s="24">
        <f>Table1346811121415161718192021[[#This Row],[Caixin PMI]]-B167</f>
        <v/>
      </c>
      <c r="D168" s="24">
        <f>IF(VLOOKUP(Table1346811121415161718192021[[#This Row],[Date]],'DB China Official PMI'!$A:$C,2)=0,#N/A,VLOOKUP(Table1346811121415161718192021[[#This Row],[Date]],'DB China Official PMI'!$A:$C,2))</f>
        <v/>
      </c>
      <c r="E168" s="24">
        <f>Table1346811121415161718192021[[#This Row],[Official PMI]]-D167</f>
        <v/>
      </c>
      <c r="F168" s="52">
        <f>IF(VLOOKUP(Table1346811121415161718192021[[#This Row],[Date]],'DB China Official PMI'!$A:$C,3)=0,"",VLOOKUP(Table1346811121415161718192021[[#This Row],[Date]],'DB China Official PMI'!$A:$C,3))</f>
        <v/>
      </c>
    </row>
    <row r="169">
      <c r="A169" s="10" t="n">
        <v>43313</v>
      </c>
      <c r="B169" s="18">
        <f>IF(VLOOKUP(A169,'DB Country PMI'!$A:$AZ,MATCH($A$2,'DB Country PMI'!$A$1:$AZ$1,),)=0,#N/A,VLOOKUP(A169,'DB Country PMI'!$A:$AZ,MATCH($A$2,'DB Country PMI'!$A$1:$AZ$1,),))</f>
        <v/>
      </c>
      <c r="C169" s="24">
        <f>Table1346811121415161718192021[[#This Row],[Caixin PMI]]-B168</f>
        <v/>
      </c>
      <c r="D169" s="24">
        <f>IF(VLOOKUP(Table1346811121415161718192021[[#This Row],[Date]],'DB China Official PMI'!$A:$C,2)=0,#N/A,VLOOKUP(Table1346811121415161718192021[[#This Row],[Date]],'DB China Official PMI'!$A:$C,2))</f>
        <v/>
      </c>
      <c r="E169" s="24">
        <f>Table1346811121415161718192021[[#This Row],[Official PMI]]-D168</f>
        <v/>
      </c>
      <c r="F169" s="52">
        <f>IF(VLOOKUP(Table1346811121415161718192021[[#This Row],[Date]],'DB China Official PMI'!$A:$C,3)=0,"",VLOOKUP(Table1346811121415161718192021[[#This Row],[Date]],'DB China Official PMI'!$A:$C,3))</f>
        <v/>
      </c>
    </row>
    <row r="170">
      <c r="A170" s="10" t="n">
        <v>43344</v>
      </c>
      <c r="B170" s="18">
        <f>IF(VLOOKUP(A170,'DB Country PMI'!$A:$AZ,MATCH($A$2,'DB Country PMI'!$A$1:$AZ$1,),)=0,#N/A,VLOOKUP(A170,'DB Country PMI'!$A:$AZ,MATCH($A$2,'DB Country PMI'!$A$1:$AZ$1,),))</f>
        <v/>
      </c>
      <c r="C170" s="24">
        <f>Table1346811121415161718192021[[#This Row],[Caixin PMI]]-B169</f>
        <v/>
      </c>
      <c r="D170" s="24">
        <f>IF(VLOOKUP(Table1346811121415161718192021[[#This Row],[Date]],'DB China Official PMI'!$A:$C,2)=0,#N/A,VLOOKUP(Table1346811121415161718192021[[#This Row],[Date]],'DB China Official PMI'!$A:$C,2))</f>
        <v/>
      </c>
      <c r="E170" s="24">
        <f>Table1346811121415161718192021[[#This Row],[Official PMI]]-D169</f>
        <v/>
      </c>
      <c r="F170" s="52">
        <f>IF(VLOOKUP(Table1346811121415161718192021[[#This Row],[Date]],'DB China Official PMI'!$A:$C,3)=0,"",VLOOKUP(Table1346811121415161718192021[[#This Row],[Date]],'DB China Official PMI'!$A:$C,3))</f>
        <v/>
      </c>
    </row>
    <row r="171">
      <c r="A171" s="10" t="n">
        <v>43374</v>
      </c>
      <c r="B171" s="18">
        <f>IF(VLOOKUP(A171,'DB Country PMI'!$A:$AZ,MATCH($A$2,'DB Country PMI'!$A$1:$AZ$1,),)=0,#N/A,VLOOKUP(A171,'DB Country PMI'!$A:$AZ,MATCH($A$2,'DB Country PMI'!$A$1:$AZ$1,),))</f>
        <v/>
      </c>
      <c r="C171" s="24">
        <f>Table1346811121415161718192021[[#This Row],[Caixin PMI]]-B170</f>
        <v/>
      </c>
      <c r="D171" s="24">
        <f>IF(VLOOKUP(Table1346811121415161718192021[[#This Row],[Date]],'DB China Official PMI'!$A:$C,2)=0,#N/A,VLOOKUP(Table1346811121415161718192021[[#This Row],[Date]],'DB China Official PMI'!$A:$C,2))</f>
        <v/>
      </c>
      <c r="E171" s="24">
        <f>Table1346811121415161718192021[[#This Row],[Official PMI]]-D170</f>
        <v/>
      </c>
      <c r="F171" s="52">
        <f>IF(VLOOKUP(Table1346811121415161718192021[[#This Row],[Date]],'DB China Official PMI'!$A:$C,3)=0,"",VLOOKUP(Table1346811121415161718192021[[#This Row],[Date]],'DB China Official PMI'!$A:$C,3))</f>
        <v/>
      </c>
    </row>
    <row r="172">
      <c r="A172" s="10" t="n">
        <v>43405</v>
      </c>
      <c r="B172" s="18">
        <f>IF(VLOOKUP(A172,'DB Country PMI'!$A:$AZ,MATCH($A$2,'DB Country PMI'!$A$1:$AZ$1,),)=0,#N/A,VLOOKUP(A172,'DB Country PMI'!$A:$AZ,MATCH($A$2,'DB Country PMI'!$A$1:$AZ$1,),))</f>
        <v/>
      </c>
      <c r="C172" s="24">
        <f>Table1346811121415161718192021[[#This Row],[Caixin PMI]]-B171</f>
        <v/>
      </c>
      <c r="D172" s="24">
        <f>IF(VLOOKUP(Table1346811121415161718192021[[#This Row],[Date]],'DB China Official PMI'!$A:$C,2)=0,#N/A,VLOOKUP(Table1346811121415161718192021[[#This Row],[Date]],'DB China Official PMI'!$A:$C,2))</f>
        <v/>
      </c>
      <c r="E172" s="24">
        <f>Table1346811121415161718192021[[#This Row],[Official PMI]]-D171</f>
        <v/>
      </c>
      <c r="F172" s="52">
        <f>IF(VLOOKUP(Table1346811121415161718192021[[#This Row],[Date]],'DB China Official PMI'!$A:$C,3)=0,"",VLOOKUP(Table1346811121415161718192021[[#This Row],[Date]],'DB China Official PMI'!$A:$C,3))</f>
        <v/>
      </c>
    </row>
    <row r="173">
      <c r="A173" s="10" t="n">
        <v>43435</v>
      </c>
      <c r="B173" s="18">
        <f>IF(VLOOKUP(A173,'DB Country PMI'!$A:$AZ,MATCH($A$2,'DB Country PMI'!$A$1:$AZ$1,),)=0,#N/A,VLOOKUP(A173,'DB Country PMI'!$A:$AZ,MATCH($A$2,'DB Country PMI'!$A$1:$AZ$1,),))</f>
        <v/>
      </c>
      <c r="C173" s="24">
        <f>Table1346811121415161718192021[[#This Row],[Caixin PMI]]-B172</f>
        <v/>
      </c>
      <c r="D173" s="24">
        <f>IF(VLOOKUP(Table1346811121415161718192021[[#This Row],[Date]],'DB China Official PMI'!$A:$C,2)=0,#N/A,VLOOKUP(Table1346811121415161718192021[[#This Row],[Date]],'DB China Official PMI'!$A:$C,2))</f>
        <v/>
      </c>
      <c r="E173" s="24">
        <f>Table1346811121415161718192021[[#This Row],[Official PMI]]-D172</f>
        <v/>
      </c>
      <c r="F173" s="52">
        <f>IF(VLOOKUP(Table1346811121415161718192021[[#This Row],[Date]],'DB China Official PMI'!$A:$C,3)=0,"",VLOOKUP(Table1346811121415161718192021[[#This Row],[Date]],'DB China Official PMI'!$A:$C,3))</f>
        <v/>
      </c>
    </row>
    <row r="174">
      <c r="A174" s="10" t="n">
        <v>43466</v>
      </c>
      <c r="B174" s="18">
        <f>IF(VLOOKUP(A174,'DB Country PMI'!$A:$AZ,MATCH($A$2,'DB Country PMI'!$A$1:$AZ$1,),)=0,#N/A,VLOOKUP(A174,'DB Country PMI'!$A:$AZ,MATCH($A$2,'DB Country PMI'!$A$1:$AZ$1,),))</f>
        <v/>
      </c>
      <c r="C174" s="24">
        <f>Table1346811121415161718192021[[#This Row],[Caixin PMI]]-B173</f>
        <v/>
      </c>
      <c r="D174" s="24">
        <f>IF(VLOOKUP(Table1346811121415161718192021[[#This Row],[Date]],'DB China Official PMI'!$A:$C,2)=0,#N/A,VLOOKUP(Table1346811121415161718192021[[#This Row],[Date]],'DB China Official PMI'!$A:$C,2))</f>
        <v/>
      </c>
      <c r="E174" s="24">
        <f>Table1346811121415161718192021[[#This Row],[Official PMI]]-D173</f>
        <v/>
      </c>
      <c r="F174" s="52">
        <f>IF(VLOOKUP(Table1346811121415161718192021[[#This Row],[Date]],'DB China Official PMI'!$A:$C,3)=0,"",VLOOKUP(Table1346811121415161718192021[[#This Row],[Date]],'DB China Official PMI'!$A:$C,3))</f>
        <v/>
      </c>
    </row>
    <row r="175">
      <c r="A175" s="10" t="n">
        <v>43497</v>
      </c>
      <c r="B175" s="18">
        <f>IF(VLOOKUP(A175,'DB Country PMI'!$A:$AZ,MATCH($A$2,'DB Country PMI'!$A$1:$AZ$1,),)=0,#N/A,VLOOKUP(A175,'DB Country PMI'!$A:$AZ,MATCH($A$2,'DB Country PMI'!$A$1:$AZ$1,),))</f>
        <v/>
      </c>
      <c r="C175" s="24">
        <f>Table1346811121415161718192021[[#This Row],[Caixin PMI]]-B174</f>
        <v/>
      </c>
      <c r="D175" s="24">
        <f>IF(VLOOKUP(Table1346811121415161718192021[[#This Row],[Date]],'DB China Official PMI'!$A:$C,2)=0,#N/A,VLOOKUP(Table1346811121415161718192021[[#This Row],[Date]],'DB China Official PMI'!$A:$C,2))</f>
        <v/>
      </c>
      <c r="E175" s="24">
        <f>Table1346811121415161718192021[[#This Row],[Official PMI]]-D174</f>
        <v/>
      </c>
      <c r="F175" s="52">
        <f>IF(VLOOKUP(Table1346811121415161718192021[[#This Row],[Date]],'DB China Official PMI'!$A:$C,3)=0,"",VLOOKUP(Table1346811121415161718192021[[#This Row],[Date]],'DB China Official PMI'!$A:$C,3))</f>
        <v/>
      </c>
    </row>
    <row r="176">
      <c r="A176" s="10" t="n">
        <v>43525</v>
      </c>
      <c r="B176" s="18">
        <f>IF(VLOOKUP(A176,'DB Country PMI'!$A:$AZ,MATCH($A$2,'DB Country PMI'!$A$1:$AZ$1,),)=0,#N/A,VLOOKUP(A176,'DB Country PMI'!$A:$AZ,MATCH($A$2,'DB Country PMI'!$A$1:$AZ$1,),))</f>
        <v/>
      </c>
      <c r="C176" s="24">
        <f>Table1346811121415161718192021[[#This Row],[Caixin PMI]]-B175</f>
        <v/>
      </c>
      <c r="D176" s="24">
        <f>IF(VLOOKUP(Table1346811121415161718192021[[#This Row],[Date]],'DB China Official PMI'!$A:$C,2)=0,#N/A,VLOOKUP(Table1346811121415161718192021[[#This Row],[Date]],'DB China Official PMI'!$A:$C,2))</f>
        <v/>
      </c>
      <c r="E176" s="24">
        <f>Table1346811121415161718192021[[#This Row],[Official PMI]]-D175</f>
        <v/>
      </c>
      <c r="F176" s="52">
        <f>IF(VLOOKUP(Table1346811121415161718192021[[#This Row],[Date]],'DB China Official PMI'!$A:$C,3)=0,"",VLOOKUP(Table1346811121415161718192021[[#This Row],[Date]],'DB China Official PMI'!$A:$C,3))</f>
        <v/>
      </c>
    </row>
    <row r="177">
      <c r="A177" s="10" t="n">
        <v>43556</v>
      </c>
      <c r="B177" s="18">
        <f>IF(VLOOKUP(A177,'DB Country PMI'!$A:$AZ,MATCH($A$2,'DB Country PMI'!$A$1:$AZ$1,),)=0,#N/A,VLOOKUP(A177,'DB Country PMI'!$A:$AZ,MATCH($A$2,'DB Country PMI'!$A$1:$AZ$1,),))</f>
        <v/>
      </c>
      <c r="C177" s="24">
        <f>Table1346811121415161718192021[[#This Row],[Caixin PMI]]-B176</f>
        <v/>
      </c>
      <c r="D177" s="24">
        <f>IF(VLOOKUP(Table1346811121415161718192021[[#This Row],[Date]],'DB China Official PMI'!$A:$C,2)=0,#N/A,VLOOKUP(Table1346811121415161718192021[[#This Row],[Date]],'DB China Official PMI'!$A:$C,2))</f>
        <v/>
      </c>
      <c r="E177" s="24">
        <f>Table1346811121415161718192021[[#This Row],[Official PMI]]-D176</f>
        <v/>
      </c>
      <c r="F177" s="52">
        <f>IF(VLOOKUP(Table1346811121415161718192021[[#This Row],[Date]],'DB China Official PMI'!$A:$C,3)=0,"",VLOOKUP(Table1346811121415161718192021[[#This Row],[Date]],'DB China Official PMI'!$A:$C,3))</f>
        <v/>
      </c>
    </row>
    <row r="178">
      <c r="A178" s="10" t="n">
        <v>43586</v>
      </c>
      <c r="B178" s="18">
        <f>IF(VLOOKUP(A178,'DB Country PMI'!$A:$AZ,MATCH($A$2,'DB Country PMI'!$A$1:$AZ$1,),)=0,#N/A,VLOOKUP(A178,'DB Country PMI'!$A:$AZ,MATCH($A$2,'DB Country PMI'!$A$1:$AZ$1,),))</f>
        <v/>
      </c>
      <c r="C178" s="24">
        <f>Table1346811121415161718192021[[#This Row],[Caixin PMI]]-B177</f>
        <v/>
      </c>
      <c r="D178" s="24">
        <f>IF(VLOOKUP(Table1346811121415161718192021[[#This Row],[Date]],'DB China Official PMI'!$A:$C,2)=0,#N/A,VLOOKUP(Table1346811121415161718192021[[#This Row],[Date]],'DB China Official PMI'!$A:$C,2))</f>
        <v/>
      </c>
      <c r="E178" s="24">
        <f>Table1346811121415161718192021[[#This Row],[Official PMI]]-D177</f>
        <v/>
      </c>
      <c r="F178" s="52">
        <f>IF(VLOOKUP(Table1346811121415161718192021[[#This Row],[Date]],'DB China Official PMI'!$A:$C,3)=0,"",VLOOKUP(Table1346811121415161718192021[[#This Row],[Date]],'DB China Official PMI'!$A:$C,3))</f>
        <v/>
      </c>
    </row>
    <row r="179">
      <c r="A179" s="10" t="n">
        <v>43617</v>
      </c>
      <c r="B179" s="18">
        <f>IF(VLOOKUP(A179,'DB Country PMI'!$A:$AZ,MATCH($A$2,'DB Country PMI'!$A$1:$AZ$1,),)=0,#N/A,VLOOKUP(A179,'DB Country PMI'!$A:$AZ,MATCH($A$2,'DB Country PMI'!$A$1:$AZ$1,),))</f>
        <v/>
      </c>
      <c r="C179" s="24">
        <f>Table1346811121415161718192021[[#This Row],[Caixin PMI]]-B178</f>
        <v/>
      </c>
      <c r="D179" s="24">
        <f>IF(VLOOKUP(Table1346811121415161718192021[[#This Row],[Date]],'DB China Official PMI'!$A:$C,2)=0,#N/A,VLOOKUP(Table1346811121415161718192021[[#This Row],[Date]],'DB China Official PMI'!$A:$C,2))</f>
        <v/>
      </c>
      <c r="E179" s="24">
        <f>Table1346811121415161718192021[[#This Row],[Official PMI]]-D178</f>
        <v/>
      </c>
      <c r="F179" s="52">
        <f>IF(VLOOKUP(Table1346811121415161718192021[[#This Row],[Date]],'DB China Official PMI'!$A:$C,3)=0,"",VLOOKUP(Table1346811121415161718192021[[#This Row],[Date]],'DB China Official PMI'!$A:$C,3))</f>
        <v/>
      </c>
    </row>
    <row r="180">
      <c r="A180" s="10" t="n">
        <v>43647</v>
      </c>
      <c r="B180" s="18">
        <f>IF(VLOOKUP(A180,'DB Country PMI'!$A:$AZ,MATCH($A$2,'DB Country PMI'!$A$1:$AZ$1,),)=0,#N/A,VLOOKUP(A180,'DB Country PMI'!$A:$AZ,MATCH($A$2,'DB Country PMI'!$A$1:$AZ$1,),))</f>
        <v/>
      </c>
      <c r="C180" s="24">
        <f>Table1346811121415161718192021[[#This Row],[Caixin PMI]]-B179</f>
        <v/>
      </c>
      <c r="D180" s="24">
        <f>IF(VLOOKUP(Table1346811121415161718192021[[#This Row],[Date]],'DB China Official PMI'!$A:$C,2)=0,#N/A,VLOOKUP(Table1346811121415161718192021[[#This Row],[Date]],'DB China Official PMI'!$A:$C,2))</f>
        <v/>
      </c>
      <c r="E180" s="24">
        <f>Table1346811121415161718192021[[#This Row],[Official PMI]]-D179</f>
        <v/>
      </c>
      <c r="F180" s="52">
        <f>IF(VLOOKUP(Table1346811121415161718192021[[#This Row],[Date]],'DB China Official PMI'!$A:$C,3)=0,"",VLOOKUP(Table1346811121415161718192021[[#This Row],[Date]],'DB China Official PMI'!$A:$C,3))</f>
        <v/>
      </c>
    </row>
    <row r="181">
      <c r="A181" s="10" t="n">
        <v>43678</v>
      </c>
      <c r="B181" s="18">
        <f>IF(VLOOKUP(A181,'DB Country PMI'!$A:$AZ,MATCH($A$2,'DB Country PMI'!$A$1:$AZ$1,),)=0,#N/A,VLOOKUP(A181,'DB Country PMI'!$A:$AZ,MATCH($A$2,'DB Country PMI'!$A$1:$AZ$1,),))</f>
        <v/>
      </c>
      <c r="C181" s="24">
        <f>Table1346811121415161718192021[[#This Row],[Caixin PMI]]-B180</f>
        <v/>
      </c>
      <c r="D181" s="24">
        <f>IF(VLOOKUP(Table1346811121415161718192021[[#This Row],[Date]],'DB China Official PMI'!$A:$C,2)=0,#N/A,VLOOKUP(Table1346811121415161718192021[[#This Row],[Date]],'DB China Official PMI'!$A:$C,2))</f>
        <v/>
      </c>
      <c r="E181" s="24">
        <f>Table1346811121415161718192021[[#This Row],[Official PMI]]-D180</f>
        <v/>
      </c>
      <c r="F181" s="52">
        <f>IF(VLOOKUP(Table1346811121415161718192021[[#This Row],[Date]],'DB China Official PMI'!$A:$C,3)=0,"",VLOOKUP(Table1346811121415161718192021[[#This Row],[Date]],'DB China Official PMI'!$A:$C,3))</f>
        <v/>
      </c>
    </row>
    <row r="182">
      <c r="A182" s="10" t="n">
        <v>43709</v>
      </c>
      <c r="B182" s="18">
        <f>IF(VLOOKUP(A182,'DB Country PMI'!$A:$AZ,MATCH($A$2,'DB Country PMI'!$A$1:$AZ$1,),)=0,#N/A,VLOOKUP(A182,'DB Country PMI'!$A:$AZ,MATCH($A$2,'DB Country PMI'!$A$1:$AZ$1,),))</f>
        <v/>
      </c>
      <c r="C182" s="24">
        <f>Table1346811121415161718192021[[#This Row],[Caixin PMI]]-B181</f>
        <v/>
      </c>
      <c r="D182" s="24">
        <f>IF(VLOOKUP(Table1346811121415161718192021[[#This Row],[Date]],'DB China Official PMI'!$A:$C,2)=0,#N/A,VLOOKUP(Table1346811121415161718192021[[#This Row],[Date]],'DB China Official PMI'!$A:$C,2))</f>
        <v/>
      </c>
      <c r="E182" s="24">
        <f>Table1346811121415161718192021[[#This Row],[Official PMI]]-D181</f>
        <v/>
      </c>
      <c r="F182" s="52">
        <f>IF(VLOOKUP(Table1346811121415161718192021[[#This Row],[Date]],'DB China Official PMI'!$A:$C,3)=0,"",VLOOKUP(Table1346811121415161718192021[[#This Row],[Date]],'DB China Official PMI'!$A:$C,3))</f>
        <v/>
      </c>
    </row>
    <row r="183">
      <c r="A183" s="10" t="n">
        <v>43739</v>
      </c>
      <c r="B183" s="18">
        <f>IF(VLOOKUP(A183,'DB Country PMI'!$A:$AZ,MATCH($A$2,'DB Country PMI'!$A$1:$AZ$1,),)=0,#N/A,VLOOKUP(A183,'DB Country PMI'!$A:$AZ,MATCH($A$2,'DB Country PMI'!$A$1:$AZ$1,),))</f>
        <v/>
      </c>
      <c r="C183" s="24">
        <f>Table1346811121415161718192021[[#This Row],[Caixin PMI]]-B182</f>
        <v/>
      </c>
      <c r="D183" s="24">
        <f>IF(VLOOKUP(Table1346811121415161718192021[[#This Row],[Date]],'DB China Official PMI'!$A:$C,2)=0,#N/A,VLOOKUP(Table1346811121415161718192021[[#This Row],[Date]],'DB China Official PMI'!$A:$C,2))</f>
        <v/>
      </c>
      <c r="E183" s="24">
        <f>Table1346811121415161718192021[[#This Row],[Official PMI]]-D182</f>
        <v/>
      </c>
      <c r="F183" s="52">
        <f>IF(VLOOKUP(Table1346811121415161718192021[[#This Row],[Date]],'DB China Official PMI'!$A:$C,3)=0,"",VLOOKUP(Table1346811121415161718192021[[#This Row],[Date]],'DB China Official PMI'!$A:$C,3))</f>
        <v/>
      </c>
    </row>
    <row r="184">
      <c r="A184" s="10" t="n">
        <v>43770</v>
      </c>
      <c r="B184" s="18">
        <f>IF(VLOOKUP(A184,'DB Country PMI'!$A:$AZ,MATCH($A$2,'DB Country PMI'!$A$1:$AZ$1,),)=0,#N/A,VLOOKUP(A184,'DB Country PMI'!$A:$AZ,MATCH($A$2,'DB Country PMI'!$A$1:$AZ$1,),))</f>
        <v/>
      </c>
      <c r="C184" s="24">
        <f>Table1346811121415161718192021[[#This Row],[Caixin PMI]]-B183</f>
        <v/>
      </c>
      <c r="D184" s="24">
        <f>IF(VLOOKUP(Table1346811121415161718192021[[#This Row],[Date]],'DB China Official PMI'!$A:$C,2)=0,#N/A,VLOOKUP(Table1346811121415161718192021[[#This Row],[Date]],'DB China Official PMI'!$A:$C,2))</f>
        <v/>
      </c>
      <c r="E184" s="24">
        <f>Table1346811121415161718192021[[#This Row],[Official PMI]]-D183</f>
        <v/>
      </c>
      <c r="F184" s="52">
        <f>IF(VLOOKUP(Table1346811121415161718192021[[#This Row],[Date]],'DB China Official PMI'!$A:$C,3)=0,"",VLOOKUP(Table1346811121415161718192021[[#This Row],[Date]],'DB China Official PMI'!$A:$C,3))</f>
        <v/>
      </c>
    </row>
    <row r="185">
      <c r="A185" s="10" t="n">
        <v>43800</v>
      </c>
      <c r="B185" s="18">
        <f>IF(VLOOKUP(A185,'DB Country PMI'!$A:$AZ,MATCH($A$2,'DB Country PMI'!$A$1:$AZ$1,),)=0,#N/A,VLOOKUP(A185,'DB Country PMI'!$A:$AZ,MATCH($A$2,'DB Country PMI'!$A$1:$AZ$1,),))</f>
        <v/>
      </c>
      <c r="C185" s="24">
        <f>Table1346811121415161718192021[[#This Row],[Caixin PMI]]-B184</f>
        <v/>
      </c>
      <c r="D185" s="24">
        <f>IF(VLOOKUP(Table1346811121415161718192021[[#This Row],[Date]],'DB China Official PMI'!$A:$C,2)=0,#N/A,VLOOKUP(Table1346811121415161718192021[[#This Row],[Date]],'DB China Official PMI'!$A:$C,2))</f>
        <v/>
      </c>
      <c r="E185" s="24">
        <f>Table1346811121415161718192021[[#This Row],[Official PMI]]-D184</f>
        <v/>
      </c>
      <c r="F185" s="52">
        <f>IF(VLOOKUP(Table1346811121415161718192021[[#This Row],[Date]],'DB China Official PMI'!$A:$C,3)=0,"",VLOOKUP(Table1346811121415161718192021[[#This Row],[Date]],'DB China Official PMI'!$A:$C,3))</f>
        <v/>
      </c>
    </row>
    <row r="186">
      <c r="A186" s="10" t="n">
        <v>43831</v>
      </c>
      <c r="B186" s="18">
        <f>IF(VLOOKUP(A186,'DB Country PMI'!$A:$AZ,MATCH($A$2,'DB Country PMI'!$A$1:$AZ$1,),)=0,#N/A,VLOOKUP(A186,'DB Country PMI'!$A:$AZ,MATCH($A$2,'DB Country PMI'!$A$1:$AZ$1,),))</f>
        <v/>
      </c>
      <c r="C186" s="24">
        <f>Table1346811121415161718192021[[#This Row],[Caixin PMI]]-B185</f>
        <v/>
      </c>
      <c r="D186" s="24">
        <f>IF(VLOOKUP(Table1346811121415161718192021[[#This Row],[Date]],'DB China Official PMI'!$A:$C,2)=0,#N/A,VLOOKUP(Table1346811121415161718192021[[#This Row],[Date]],'DB China Official PMI'!$A:$C,2))</f>
        <v/>
      </c>
      <c r="E186" s="24">
        <f>Table1346811121415161718192021[[#This Row],[Official PMI]]-D185</f>
        <v/>
      </c>
      <c r="F186" s="52">
        <f>IF(VLOOKUP(Table1346811121415161718192021[[#This Row],[Date]],'DB China Official PMI'!$A:$C,3)=0,"",VLOOKUP(Table1346811121415161718192021[[#This Row],[Date]],'DB China Official PMI'!$A:$C,3))</f>
        <v/>
      </c>
    </row>
    <row r="187">
      <c r="A187" s="10" t="n">
        <v>43862</v>
      </c>
      <c r="B187" s="18">
        <f>IF(VLOOKUP(A187,'DB Country PMI'!$A:$AZ,MATCH($A$2,'DB Country PMI'!$A$1:$AZ$1,),)=0,#N/A,VLOOKUP(A187,'DB Country PMI'!$A:$AZ,MATCH($A$2,'DB Country PMI'!$A$1:$AZ$1,),))</f>
        <v/>
      </c>
      <c r="C187" s="24">
        <f>Table1346811121415161718192021[[#This Row],[Caixin PMI]]-B186</f>
        <v/>
      </c>
      <c r="D187" s="24">
        <f>IF(VLOOKUP(Table1346811121415161718192021[[#This Row],[Date]],'DB China Official PMI'!$A:$C,2)=0,#N/A,VLOOKUP(Table1346811121415161718192021[[#This Row],[Date]],'DB China Official PMI'!$A:$C,2))</f>
        <v/>
      </c>
      <c r="E187" s="24">
        <f>Table1346811121415161718192021[[#This Row],[Official PMI]]-D186</f>
        <v/>
      </c>
      <c r="F187" s="52">
        <f>IF(VLOOKUP(Table1346811121415161718192021[[#This Row],[Date]],'DB China Official PMI'!$A:$C,3)=0,"",VLOOKUP(Table1346811121415161718192021[[#This Row],[Date]],'DB China Official PMI'!$A:$C,3))</f>
        <v/>
      </c>
    </row>
    <row r="188">
      <c r="A188" s="10" t="n">
        <v>43891</v>
      </c>
      <c r="B188" s="18">
        <f>IF(VLOOKUP(A188,'DB Country PMI'!$A:$AZ,MATCH($A$2,'DB Country PMI'!$A$1:$AZ$1,),)=0,#N/A,VLOOKUP(A188,'DB Country PMI'!$A:$AZ,MATCH($A$2,'DB Country PMI'!$A$1:$AZ$1,),))</f>
        <v/>
      </c>
      <c r="C188" s="24">
        <f>Table1346811121415161718192021[[#This Row],[Caixin PMI]]-B187</f>
        <v/>
      </c>
      <c r="D188" s="24">
        <f>IF(VLOOKUP(Table1346811121415161718192021[[#This Row],[Date]],'DB China Official PMI'!$A:$C,2)=0,#N/A,VLOOKUP(Table1346811121415161718192021[[#This Row],[Date]],'DB China Official PMI'!$A:$C,2))</f>
        <v/>
      </c>
      <c r="E188" s="24">
        <f>Table1346811121415161718192021[[#This Row],[Official PMI]]-D187</f>
        <v/>
      </c>
      <c r="F188" s="52">
        <f>IF(VLOOKUP(Table1346811121415161718192021[[#This Row],[Date]],'DB China Official PMI'!$A:$C,3)=0,"",VLOOKUP(Table1346811121415161718192021[[#This Row],[Date]],'DB China Official PMI'!$A:$C,3))</f>
        <v/>
      </c>
    </row>
    <row r="189">
      <c r="A189" s="10" t="n">
        <v>43922</v>
      </c>
      <c r="B189" s="18">
        <f>IF(VLOOKUP(A189,'DB Country PMI'!$A:$AZ,MATCH($A$2,'DB Country PMI'!$A$1:$AZ$1,),)=0,#N/A,VLOOKUP(A189,'DB Country PMI'!$A:$AZ,MATCH($A$2,'DB Country PMI'!$A$1:$AZ$1,),))</f>
        <v/>
      </c>
      <c r="C189" s="24">
        <f>Table1346811121415161718192021[[#This Row],[Caixin PMI]]-B188</f>
        <v/>
      </c>
      <c r="D189" s="24">
        <f>IF(VLOOKUP(Table1346811121415161718192021[[#This Row],[Date]],'DB China Official PMI'!$A:$C,2)=0,#N/A,VLOOKUP(Table1346811121415161718192021[[#This Row],[Date]],'DB China Official PMI'!$A:$C,2))</f>
        <v/>
      </c>
      <c r="E189" s="24">
        <f>Table1346811121415161718192021[[#This Row],[Official PMI]]-D188</f>
        <v/>
      </c>
      <c r="F189" s="52">
        <f>IF(VLOOKUP(Table1346811121415161718192021[[#This Row],[Date]],'DB China Official PMI'!$A:$C,3)=0,"",VLOOKUP(Table1346811121415161718192021[[#This Row],[Date]],'DB China Official PMI'!$A:$C,3))</f>
        <v/>
      </c>
    </row>
    <row r="190">
      <c r="A190" s="10" t="n">
        <v>43952</v>
      </c>
      <c r="B190" s="18">
        <f>IF(VLOOKUP(A190,'DB Country PMI'!$A:$AZ,MATCH($A$2,'DB Country PMI'!$A$1:$AZ$1,),)=0,#N/A,VLOOKUP(A190,'DB Country PMI'!$A:$AZ,MATCH($A$2,'DB Country PMI'!$A$1:$AZ$1,),))</f>
        <v/>
      </c>
      <c r="C190" s="24">
        <f>Table1346811121415161718192021[[#This Row],[Caixin PMI]]-B189</f>
        <v/>
      </c>
      <c r="D190" s="24">
        <f>IF(VLOOKUP(Table1346811121415161718192021[[#This Row],[Date]],'DB China Official PMI'!$A:$C,2)=0,#N/A,VLOOKUP(Table1346811121415161718192021[[#This Row],[Date]],'DB China Official PMI'!$A:$C,2))</f>
        <v/>
      </c>
      <c r="E190" s="24">
        <f>Table1346811121415161718192021[[#This Row],[Official PMI]]-D189</f>
        <v/>
      </c>
      <c r="F190" s="52">
        <f>IF(VLOOKUP(Table1346811121415161718192021[[#This Row],[Date]],'DB China Official PMI'!$A:$C,3)=0,"",VLOOKUP(Table1346811121415161718192021[[#This Row],[Date]],'DB China Official PMI'!$A:$C,3))</f>
        <v/>
      </c>
    </row>
    <row r="191">
      <c r="A191" s="10" t="n">
        <v>43983</v>
      </c>
      <c r="B191" s="18">
        <f>IF(VLOOKUP(A191,'DB Country PMI'!$A:$AZ,MATCH($A$2,'DB Country PMI'!$A$1:$AZ$1,),)=0,#N/A,VLOOKUP(A191,'DB Country PMI'!$A:$AZ,MATCH($A$2,'DB Country PMI'!$A$1:$AZ$1,),))</f>
        <v/>
      </c>
      <c r="C191" s="24">
        <f>Table1346811121415161718192021[[#This Row],[Caixin PMI]]-B190</f>
        <v/>
      </c>
      <c r="D191" s="24">
        <f>IF(VLOOKUP(Table1346811121415161718192021[[#This Row],[Date]],'DB China Official PMI'!$A:$C,2)=0,#N/A,VLOOKUP(Table1346811121415161718192021[[#This Row],[Date]],'DB China Official PMI'!$A:$C,2))</f>
        <v/>
      </c>
      <c r="E191" s="24">
        <f>Table1346811121415161718192021[[#This Row],[Official PMI]]-D190</f>
        <v/>
      </c>
      <c r="F191" s="52">
        <f>IF(VLOOKUP(Table1346811121415161718192021[[#This Row],[Date]],'DB China Official PMI'!$A:$C,3)=0,"",VLOOKUP(Table1346811121415161718192021[[#This Row],[Date]],'DB China Official PMI'!$A:$C,3))</f>
        <v/>
      </c>
    </row>
    <row r="192">
      <c r="A192" s="10" t="n">
        <v>44013</v>
      </c>
      <c r="B192" s="18">
        <f>IF(VLOOKUP(A192,'DB Country PMI'!$A:$AZ,MATCH($A$2,'DB Country PMI'!$A$1:$AZ$1,),)=0,#N/A,VLOOKUP(A192,'DB Country PMI'!$A:$AZ,MATCH($A$2,'DB Country PMI'!$A$1:$AZ$1,),))</f>
        <v/>
      </c>
      <c r="C192" s="24">
        <f>Table1346811121415161718192021[[#This Row],[Caixin PMI]]-B191</f>
        <v/>
      </c>
      <c r="D192" s="24">
        <f>IF(VLOOKUP(Table1346811121415161718192021[[#This Row],[Date]],'DB China Official PMI'!$A:$C,2)=0,#N/A,VLOOKUP(Table1346811121415161718192021[[#This Row],[Date]],'DB China Official PMI'!$A:$C,2))</f>
        <v/>
      </c>
      <c r="E192" s="24">
        <f>Table1346811121415161718192021[[#This Row],[Official PMI]]-D191</f>
        <v/>
      </c>
      <c r="F192" s="52">
        <f>IF(VLOOKUP(Table1346811121415161718192021[[#This Row],[Date]],'DB China Official PMI'!$A:$C,3)=0,"",VLOOKUP(Table1346811121415161718192021[[#This Row],[Date]],'DB China Official PMI'!$A:$C,3))</f>
        <v/>
      </c>
    </row>
    <row r="193">
      <c r="A193" s="10" t="n">
        <v>44044</v>
      </c>
      <c r="B193" s="18">
        <f>IF(VLOOKUP(A193,'DB Country PMI'!$A:$AZ,MATCH($A$2,'DB Country PMI'!$A$1:$AZ$1,),)=0,#N/A,VLOOKUP(A193,'DB Country PMI'!$A:$AZ,MATCH($A$2,'DB Country PMI'!$A$1:$AZ$1,),))</f>
        <v/>
      </c>
      <c r="C193" s="24">
        <f>Table1346811121415161718192021[[#This Row],[Caixin PMI]]-B192</f>
        <v/>
      </c>
      <c r="D193" s="24">
        <f>IF(VLOOKUP(Table1346811121415161718192021[[#This Row],[Date]],'DB China Official PMI'!$A:$C,2)=0,#N/A,VLOOKUP(Table1346811121415161718192021[[#This Row],[Date]],'DB China Official PMI'!$A:$C,2))</f>
        <v/>
      </c>
      <c r="E193" s="24">
        <f>Table1346811121415161718192021[[#This Row],[Official PMI]]-D192</f>
        <v/>
      </c>
      <c r="F193" s="52">
        <f>IF(VLOOKUP(Table1346811121415161718192021[[#This Row],[Date]],'DB China Official PMI'!$A:$C,3)=0,"",VLOOKUP(Table1346811121415161718192021[[#This Row],[Date]],'DB China Official PMI'!$A:$C,3))</f>
        <v/>
      </c>
    </row>
    <row r="194">
      <c r="A194" s="10" t="n">
        <v>44075</v>
      </c>
      <c r="B194" s="18">
        <f>IF(VLOOKUP(A194,'DB Country PMI'!$A:$AZ,MATCH($A$2,'DB Country PMI'!$A$1:$AZ$1,),)=0,#N/A,VLOOKUP(A194,'DB Country PMI'!$A:$AZ,MATCH($A$2,'DB Country PMI'!$A$1:$AZ$1,),))</f>
        <v/>
      </c>
      <c r="C194" s="24">
        <f>Table1346811121415161718192021[[#This Row],[Caixin PMI]]-B193</f>
        <v/>
      </c>
      <c r="D194" s="24">
        <f>IF(VLOOKUP(Table1346811121415161718192021[[#This Row],[Date]],'DB China Official PMI'!$A:$C,2)=0,#N/A,VLOOKUP(Table1346811121415161718192021[[#This Row],[Date]],'DB China Official PMI'!$A:$C,2))</f>
        <v/>
      </c>
      <c r="E194" s="24">
        <f>Table1346811121415161718192021[[#This Row],[Official PMI]]-D193</f>
        <v/>
      </c>
      <c r="F194" s="52">
        <f>IF(VLOOKUP(Table1346811121415161718192021[[#This Row],[Date]],'DB China Official PMI'!$A:$C,3)=0,"",VLOOKUP(Table1346811121415161718192021[[#This Row],[Date]],'DB China Official PMI'!$A:$C,3))</f>
        <v/>
      </c>
    </row>
    <row r="195">
      <c r="A195" s="10" t="n">
        <v>44105</v>
      </c>
      <c r="B195" s="18">
        <f>IF(VLOOKUP(A195,'DB Country PMI'!$A:$AZ,MATCH($A$2,'DB Country PMI'!$A$1:$AZ$1,),)=0,#N/A,VLOOKUP(A195,'DB Country PMI'!$A:$AZ,MATCH($A$2,'DB Country PMI'!$A$1:$AZ$1,),))</f>
        <v/>
      </c>
      <c r="C195" s="24">
        <f>Table1346811121415161718192021[[#This Row],[Caixin PMI]]-B194</f>
        <v/>
      </c>
      <c r="D195" s="24">
        <f>IF(VLOOKUP(Table1346811121415161718192021[[#This Row],[Date]],'DB China Official PMI'!$A:$C,2)=0,#N/A,VLOOKUP(Table1346811121415161718192021[[#This Row],[Date]],'DB China Official PMI'!$A:$C,2))</f>
        <v/>
      </c>
      <c r="E195" s="24">
        <f>Table1346811121415161718192021[[#This Row],[Official PMI]]-D194</f>
        <v/>
      </c>
      <c r="F195" s="52">
        <f>IF(VLOOKUP(Table1346811121415161718192021[[#This Row],[Date]],'DB China Official PMI'!$A:$C,3)=0,"",VLOOKUP(Table1346811121415161718192021[[#This Row],[Date]],'DB China Official PMI'!$A:$C,3))</f>
        <v/>
      </c>
    </row>
    <row r="196">
      <c r="A196" s="10" t="n">
        <v>44136</v>
      </c>
      <c r="B196" s="18">
        <f>IF(VLOOKUP(A196,'DB Country PMI'!$A:$AZ,MATCH($A$2,'DB Country PMI'!$A$1:$AZ$1,),)=0,#N/A,VLOOKUP(A196,'DB Country PMI'!$A:$AZ,MATCH($A$2,'DB Country PMI'!$A$1:$AZ$1,),))</f>
        <v/>
      </c>
      <c r="C196" s="24">
        <f>Table1346811121415161718192021[[#This Row],[Caixin PMI]]-B195</f>
        <v/>
      </c>
      <c r="D196" s="24">
        <f>IF(VLOOKUP(Table1346811121415161718192021[[#This Row],[Date]],'DB China Official PMI'!$A:$C,2)=0,#N/A,VLOOKUP(Table1346811121415161718192021[[#This Row],[Date]],'DB China Official PMI'!$A:$C,2))</f>
        <v/>
      </c>
      <c r="E196" s="24">
        <f>Table1346811121415161718192021[[#This Row],[Official PMI]]-D195</f>
        <v/>
      </c>
      <c r="F196" s="52">
        <f>IF(VLOOKUP(Table1346811121415161718192021[[#This Row],[Date]],'DB China Official PMI'!$A:$C,3)=0,"",VLOOKUP(Table1346811121415161718192021[[#This Row],[Date]],'DB China Official PMI'!$A:$C,3))</f>
        <v/>
      </c>
    </row>
    <row r="197">
      <c r="A197" s="10" t="n">
        <v>44166</v>
      </c>
      <c r="B197" s="18">
        <f>IF(VLOOKUP(A197,'DB Country PMI'!$A:$AZ,MATCH($A$2,'DB Country PMI'!$A$1:$AZ$1,),)=0,#N/A,VLOOKUP(A197,'DB Country PMI'!$A:$AZ,MATCH($A$2,'DB Country PMI'!$A$1:$AZ$1,),))</f>
        <v/>
      </c>
      <c r="C197" s="24">
        <f>Table1346811121415161718192021[[#This Row],[Caixin PMI]]-B196</f>
        <v/>
      </c>
      <c r="D197" s="24">
        <f>IF(VLOOKUP(Table1346811121415161718192021[[#This Row],[Date]],'DB China Official PMI'!$A:$C,2)=0,#N/A,VLOOKUP(Table1346811121415161718192021[[#This Row],[Date]],'DB China Official PMI'!$A:$C,2))</f>
        <v/>
      </c>
      <c r="E197" s="24">
        <f>Table1346811121415161718192021[[#This Row],[Official PMI]]-D196</f>
        <v/>
      </c>
      <c r="F197" s="52">
        <f>IF(VLOOKUP(Table1346811121415161718192021[[#This Row],[Date]],'DB China Official PMI'!$A:$C,3)=0,"",VLOOKUP(Table1346811121415161718192021[[#This Row],[Date]],'DB China Official PMI'!$A:$C,3))</f>
        <v/>
      </c>
    </row>
    <row r="198">
      <c r="A198" s="10" t="n">
        <v>44197</v>
      </c>
      <c r="B198" s="18">
        <f>IF(VLOOKUP(A198,'DB Country PMI'!$A:$AZ,MATCH($A$2,'DB Country PMI'!$A$1:$AZ$1,),)=0,#N/A,VLOOKUP(A198,'DB Country PMI'!$A:$AZ,MATCH($A$2,'DB Country PMI'!$A$1:$AZ$1,),))</f>
        <v/>
      </c>
      <c r="C198" s="24">
        <f>Table1346811121415161718192021[[#This Row],[Caixin PMI]]-B197</f>
        <v/>
      </c>
      <c r="D198" s="24">
        <f>IF(VLOOKUP(Table1346811121415161718192021[[#This Row],[Date]],'DB China Official PMI'!$A:$C,2)=0,#N/A,VLOOKUP(Table1346811121415161718192021[[#This Row],[Date]],'DB China Official PMI'!$A:$C,2))</f>
        <v/>
      </c>
      <c r="E198" s="24">
        <f>Table1346811121415161718192021[[#This Row],[Official PMI]]-D197</f>
        <v/>
      </c>
      <c r="F198" s="52">
        <f>IF(VLOOKUP(Table1346811121415161718192021[[#This Row],[Date]],'DB China Official PMI'!$A:$C,3)=0,"",VLOOKUP(Table1346811121415161718192021[[#This Row],[Date]],'DB China Official PMI'!$A:$C,3))</f>
        <v/>
      </c>
    </row>
    <row r="199">
      <c r="A199" s="10" t="n">
        <v>44228</v>
      </c>
      <c r="B199" s="18">
        <f>IF(VLOOKUP(A199,'DB Country PMI'!$A:$AZ,MATCH($A$2,'DB Country PMI'!$A$1:$AZ$1,),)=0,#N/A,VLOOKUP(A199,'DB Country PMI'!$A:$AZ,MATCH($A$2,'DB Country PMI'!$A$1:$AZ$1,),))</f>
        <v/>
      </c>
      <c r="C199" s="24">
        <f>Table1346811121415161718192021[[#This Row],[Caixin PMI]]-B198</f>
        <v/>
      </c>
      <c r="D199" s="24">
        <f>IF(VLOOKUP(Table1346811121415161718192021[[#This Row],[Date]],'DB China Official PMI'!$A:$C,2)=0,#N/A,VLOOKUP(Table1346811121415161718192021[[#This Row],[Date]],'DB China Official PMI'!$A:$C,2))</f>
        <v/>
      </c>
      <c r="E199" s="24">
        <f>Table1346811121415161718192021[[#This Row],[Official PMI]]-D198</f>
        <v/>
      </c>
      <c r="F199" s="52">
        <f>IF(VLOOKUP(Table1346811121415161718192021[[#This Row],[Date]],'DB China Official PMI'!$A:$C,3)=0,"",VLOOKUP(Table1346811121415161718192021[[#This Row],[Date]],'DB China Official PMI'!$A:$C,3))</f>
        <v/>
      </c>
    </row>
    <row r="200">
      <c r="A200" s="10" t="n">
        <v>44256</v>
      </c>
      <c r="B200" s="18">
        <f>IF(VLOOKUP(A200,'DB Country PMI'!$A:$AZ,MATCH($A$2,'DB Country PMI'!$A$1:$AZ$1,),)=0,#N/A,VLOOKUP(A200,'DB Country PMI'!$A:$AZ,MATCH($A$2,'DB Country PMI'!$A$1:$AZ$1,),))</f>
        <v/>
      </c>
      <c r="C200" s="24">
        <f>Table1346811121415161718192021[[#This Row],[Caixin PMI]]-B199</f>
        <v/>
      </c>
      <c r="D200" s="24">
        <f>IF(VLOOKUP(Table1346811121415161718192021[[#This Row],[Date]],'DB China Official PMI'!$A:$C,2)=0,#N/A,VLOOKUP(Table1346811121415161718192021[[#This Row],[Date]],'DB China Official PMI'!$A:$C,2))</f>
        <v/>
      </c>
      <c r="E200" s="24">
        <f>Table1346811121415161718192021[[#This Row],[Official PMI]]-D199</f>
        <v/>
      </c>
      <c r="F200" s="52">
        <f>IF(VLOOKUP(Table1346811121415161718192021[[#This Row],[Date]],'DB China Official PMI'!$A:$C,3)=0,"",VLOOKUP(Table1346811121415161718192021[[#This Row],[Date]],'DB China Official PMI'!$A:$C,3))</f>
        <v/>
      </c>
    </row>
    <row r="201">
      <c r="A201" s="10" t="n">
        <v>44287</v>
      </c>
      <c r="B201" s="18">
        <f>IF(VLOOKUP(A201,'DB Country PMI'!$A:$AZ,MATCH($A$2,'DB Country PMI'!$A$1:$AZ$1,),)=0,#N/A,VLOOKUP(A201,'DB Country PMI'!$A:$AZ,MATCH($A$2,'DB Country PMI'!$A$1:$AZ$1,),))</f>
        <v/>
      </c>
      <c r="C201" s="24">
        <f>Table1346811121415161718192021[[#This Row],[Caixin PMI]]-B200</f>
        <v/>
      </c>
      <c r="D201" s="24">
        <f>IF(VLOOKUP(Table1346811121415161718192021[[#This Row],[Date]],'DB China Official PMI'!$A:$C,2)=0,#N/A,VLOOKUP(Table1346811121415161718192021[[#This Row],[Date]],'DB China Official PMI'!$A:$C,2))</f>
        <v/>
      </c>
      <c r="E201" s="24">
        <f>Table1346811121415161718192021[[#This Row],[Official PMI]]-D200</f>
        <v/>
      </c>
      <c r="F201" s="52">
        <f>IF(VLOOKUP(Table1346811121415161718192021[[#This Row],[Date]],'DB China Official PMI'!$A:$C,3)=0,"",VLOOKUP(Table1346811121415161718192021[[#This Row],[Date]],'DB China Official PMI'!$A:$C,3))</f>
        <v/>
      </c>
    </row>
    <row r="202">
      <c r="A202" s="10" t="n">
        <v>44317</v>
      </c>
      <c r="B202" s="18">
        <f>IF(VLOOKUP(A202,'DB Country PMI'!$A:$AZ,MATCH($A$2,'DB Country PMI'!$A$1:$AZ$1,),)=0,#N/A,VLOOKUP(A202,'DB Country PMI'!$A:$AZ,MATCH($A$2,'DB Country PMI'!$A$1:$AZ$1,),))</f>
        <v/>
      </c>
      <c r="C202" s="24">
        <f>Table1346811121415161718192021[[#This Row],[Caixin PMI]]-B201</f>
        <v/>
      </c>
      <c r="D202" s="24">
        <f>IF(VLOOKUP(Table1346811121415161718192021[[#This Row],[Date]],'DB China Official PMI'!$A:$C,2)=0,#N/A,VLOOKUP(Table1346811121415161718192021[[#This Row],[Date]],'DB China Official PMI'!$A:$C,2))</f>
        <v/>
      </c>
      <c r="E202" s="24">
        <f>Table1346811121415161718192021[[#This Row],[Official PMI]]-D201</f>
        <v/>
      </c>
      <c r="F202" s="52">
        <f>IF(VLOOKUP(Table1346811121415161718192021[[#This Row],[Date]],'DB China Official PMI'!$A:$C,3)=0,"",VLOOKUP(Table1346811121415161718192021[[#This Row],[Date]],'DB China Official PMI'!$A:$C,3))</f>
        <v/>
      </c>
    </row>
    <row r="203">
      <c r="A203" s="10" t="n">
        <v>44348</v>
      </c>
      <c r="B203" s="18">
        <f>IF(VLOOKUP(A203,'DB Country PMI'!$A:$AZ,MATCH($A$2,'DB Country PMI'!$A$1:$AZ$1,),)=0,#N/A,VLOOKUP(A203,'DB Country PMI'!$A:$AZ,MATCH($A$2,'DB Country PMI'!$A$1:$AZ$1,),))</f>
        <v/>
      </c>
      <c r="C203" s="24">
        <f>Table1346811121415161718192021[[#This Row],[Caixin PMI]]-B202</f>
        <v/>
      </c>
      <c r="D203" s="24">
        <f>IF(VLOOKUP(Table1346811121415161718192021[[#This Row],[Date]],'DB China Official PMI'!$A:$C,2)=0,#N/A,VLOOKUP(Table1346811121415161718192021[[#This Row],[Date]],'DB China Official PMI'!$A:$C,2))</f>
        <v/>
      </c>
      <c r="E203" s="24">
        <f>Table1346811121415161718192021[[#This Row],[Official PMI]]-D202</f>
        <v/>
      </c>
      <c r="F203" s="52">
        <f>IF(VLOOKUP(Table1346811121415161718192021[[#This Row],[Date]],'DB China Official PMI'!$A:$C,3)=0,"",VLOOKUP(Table1346811121415161718192021[[#This Row],[Date]],'DB China Official PMI'!$A:$C,3))</f>
        <v/>
      </c>
    </row>
    <row r="204">
      <c r="A204" s="10" t="n">
        <v>44378</v>
      </c>
      <c r="B204" s="18">
        <f>IF(VLOOKUP(A204,'DB Country PMI'!$A:$AZ,MATCH($A$2,'DB Country PMI'!$A$1:$AZ$1,),)=0,#N/A,VLOOKUP(A204,'DB Country PMI'!$A:$AZ,MATCH($A$2,'DB Country PMI'!$A$1:$AZ$1,),))</f>
        <v/>
      </c>
      <c r="C204" s="24">
        <f>Table1346811121415161718192021[[#This Row],[Caixin PMI]]-B203</f>
        <v/>
      </c>
      <c r="D204" s="24">
        <f>IF(VLOOKUP(Table1346811121415161718192021[[#This Row],[Date]],'DB China Official PMI'!$A:$C,2)=0,#N/A,VLOOKUP(Table1346811121415161718192021[[#This Row],[Date]],'DB China Official PMI'!$A:$C,2))</f>
        <v/>
      </c>
      <c r="E204" s="24">
        <f>Table1346811121415161718192021[[#This Row],[Official PMI]]-D203</f>
        <v/>
      </c>
      <c r="F204" s="52">
        <f>IF(VLOOKUP(Table1346811121415161718192021[[#This Row],[Date]],'DB China Official PMI'!$A:$C,3)=0,"",VLOOKUP(Table1346811121415161718192021[[#This Row],[Date]],'DB China Official PMI'!$A:$C,3))</f>
        <v/>
      </c>
    </row>
    <row r="205">
      <c r="A205" s="10" t="n">
        <v>44409</v>
      </c>
      <c r="B205" s="18">
        <f>IF(VLOOKUP(A205,'DB Country PMI'!$A:$AZ,MATCH($A$2,'DB Country PMI'!$A$1:$AZ$1,),)=0,#N/A,VLOOKUP(A205,'DB Country PMI'!$A:$AZ,MATCH($A$2,'DB Country PMI'!$A$1:$AZ$1,),))</f>
        <v/>
      </c>
      <c r="C205" s="24">
        <f>Table1346811121415161718192021[[#This Row],[Caixin PMI]]-B204</f>
        <v/>
      </c>
      <c r="D205" s="24">
        <f>IF(VLOOKUP(Table1346811121415161718192021[[#This Row],[Date]],'DB China Official PMI'!$A:$C,2)=0,#N/A,VLOOKUP(Table1346811121415161718192021[[#This Row],[Date]],'DB China Official PMI'!$A:$C,2))</f>
        <v/>
      </c>
      <c r="E205" s="24">
        <f>Table1346811121415161718192021[[#This Row],[Official PMI]]-D204</f>
        <v/>
      </c>
      <c r="F205" s="52">
        <f>IF(VLOOKUP(Table1346811121415161718192021[[#This Row],[Date]],'DB China Official PMI'!$A:$C,3)=0,"",VLOOKUP(Table1346811121415161718192021[[#This Row],[Date]],'DB China Official PMI'!$A:$C,3))</f>
        <v/>
      </c>
    </row>
    <row r="206">
      <c r="A206" s="10" t="n">
        <v>44440</v>
      </c>
      <c r="B206" s="18">
        <f>IF(VLOOKUP(A206,'DB Country PMI'!$A:$AZ,MATCH($A$2,'DB Country PMI'!$A$1:$AZ$1,),)=0,#N/A,VLOOKUP(A206,'DB Country PMI'!$A:$AZ,MATCH($A$2,'DB Country PMI'!$A$1:$AZ$1,),))</f>
        <v/>
      </c>
      <c r="C206" s="24">
        <f>Table1346811121415161718192021[[#This Row],[Caixin PMI]]-B205</f>
        <v/>
      </c>
      <c r="D206" s="24">
        <f>IF(VLOOKUP(Table1346811121415161718192021[[#This Row],[Date]],'DB China Official PMI'!$A:$C,2)=0,#N/A,VLOOKUP(Table1346811121415161718192021[[#This Row],[Date]],'DB China Official PMI'!$A:$C,2))</f>
        <v/>
      </c>
      <c r="E206" s="24">
        <f>Table1346811121415161718192021[[#This Row],[Official PMI]]-D205</f>
        <v/>
      </c>
      <c r="F206" s="52">
        <f>IF(VLOOKUP(Table1346811121415161718192021[[#This Row],[Date]],'DB China Official PMI'!$A:$C,3)=0,"",VLOOKUP(Table1346811121415161718192021[[#This Row],[Date]],'DB China Official PMI'!$A:$C,3))</f>
        <v/>
      </c>
    </row>
    <row r="207">
      <c r="A207" s="10" t="n">
        <v>44470</v>
      </c>
      <c r="B207" s="18">
        <f>IF(VLOOKUP(A207,'DB Country PMI'!$A:$AZ,MATCH($A$2,'DB Country PMI'!$A$1:$AZ$1,),)=0,#N/A,VLOOKUP(A207,'DB Country PMI'!$A:$AZ,MATCH($A$2,'DB Country PMI'!$A$1:$AZ$1,),))</f>
        <v/>
      </c>
      <c r="C207" s="24">
        <f>Table1346811121415161718192021[[#This Row],[Caixin PMI]]-B206</f>
        <v/>
      </c>
      <c r="D207" s="24">
        <f>IF(VLOOKUP(Table1346811121415161718192021[[#This Row],[Date]],'DB China Official PMI'!$A:$C,2)=0,#N/A,VLOOKUP(Table1346811121415161718192021[[#This Row],[Date]],'DB China Official PMI'!$A:$C,2))</f>
        <v/>
      </c>
      <c r="E207" s="24">
        <f>Table1346811121415161718192021[[#This Row],[Official PMI]]-D206</f>
        <v/>
      </c>
      <c r="F207" s="52">
        <f>IF(VLOOKUP(Table1346811121415161718192021[[#This Row],[Date]],'DB China Official PMI'!$A:$C,3)=0,"",VLOOKUP(Table1346811121415161718192021[[#This Row],[Date]],'DB China Official PMI'!$A:$C,3))</f>
        <v/>
      </c>
    </row>
    <row r="208">
      <c r="A208" s="10" t="n">
        <v>44501</v>
      </c>
      <c r="B208" s="18">
        <f>IF(VLOOKUP(A208,'DB Country PMI'!$A:$AZ,MATCH($A$2,'DB Country PMI'!$A$1:$AZ$1,),)=0,#N/A,VLOOKUP(A208,'DB Country PMI'!$A:$AZ,MATCH($A$2,'DB Country PMI'!$A$1:$AZ$1,),))</f>
        <v/>
      </c>
      <c r="C208" s="24">
        <f>Table1346811121415161718192021[[#This Row],[Caixin PMI]]-B207</f>
        <v/>
      </c>
      <c r="D208" s="24">
        <f>IF(VLOOKUP(Table1346811121415161718192021[[#This Row],[Date]],'DB China Official PMI'!$A:$C,2)=0,#N/A,VLOOKUP(Table1346811121415161718192021[[#This Row],[Date]],'DB China Official PMI'!$A:$C,2))</f>
        <v/>
      </c>
      <c r="E208" s="24">
        <f>Table1346811121415161718192021[[#This Row],[Official PMI]]-D207</f>
        <v/>
      </c>
      <c r="F208" s="52">
        <f>IF(VLOOKUP(Table1346811121415161718192021[[#This Row],[Date]],'DB China Official PMI'!$A:$C,3)=0,"",VLOOKUP(Table1346811121415161718192021[[#This Row],[Date]],'DB China Official PMI'!$A:$C,3))</f>
        <v/>
      </c>
    </row>
    <row r="209">
      <c r="A209" s="10" t="n">
        <v>44531</v>
      </c>
      <c r="B209" s="18">
        <f>IF(VLOOKUP(A209,'DB Country PMI'!$A:$AZ,MATCH($A$2,'DB Country PMI'!$A$1:$AZ$1,),)=0,#N/A,VLOOKUP(A209,'DB Country PMI'!$A:$AZ,MATCH($A$2,'DB Country PMI'!$A$1:$AZ$1,),))</f>
        <v/>
      </c>
      <c r="C209" s="24">
        <f>Table1346811121415161718192021[[#This Row],[Caixin PMI]]-B208</f>
        <v/>
      </c>
      <c r="D209" s="24">
        <f>IF(VLOOKUP(Table1346811121415161718192021[[#This Row],[Date]],'DB China Official PMI'!$A:$C,2)=0,#N/A,VLOOKUP(Table1346811121415161718192021[[#This Row],[Date]],'DB China Official PMI'!$A:$C,2))</f>
        <v/>
      </c>
      <c r="E209" s="24">
        <f>Table1346811121415161718192021[[#This Row],[Official PMI]]-D208</f>
        <v/>
      </c>
      <c r="F209" s="52">
        <f>IF(VLOOKUP(Table1346811121415161718192021[[#This Row],[Date]],'DB China Official PMI'!$A:$C,3)=0,"",VLOOKUP(Table1346811121415161718192021[[#This Row],[Date]],'DB China Official PMI'!$A:$C,3))</f>
        <v/>
      </c>
    </row>
    <row r="210">
      <c r="A210" s="10" t="n">
        <v>44562</v>
      </c>
      <c r="B210" s="18">
        <f>IF(VLOOKUP(A210,'DB Country PMI'!$A:$AZ,MATCH($A$2,'DB Country PMI'!$A$1:$AZ$1,),)=0,#N/A,VLOOKUP(A210,'DB Country PMI'!$A:$AZ,MATCH($A$2,'DB Country PMI'!$A$1:$AZ$1,),))</f>
        <v/>
      </c>
      <c r="C210" s="24">
        <f>Table1346811121415161718192021[[#This Row],[Caixin PMI]]-B209</f>
        <v/>
      </c>
      <c r="D210" s="24">
        <f>IF(VLOOKUP(Table1346811121415161718192021[[#This Row],[Date]],'DB China Official PMI'!$A:$C,2)=0,#N/A,VLOOKUP(Table1346811121415161718192021[[#This Row],[Date]],'DB China Official PMI'!$A:$C,2))</f>
        <v/>
      </c>
      <c r="E210" s="24">
        <f>Table1346811121415161718192021[[#This Row],[Official PMI]]-D209</f>
        <v/>
      </c>
      <c r="F210" s="52">
        <f>IF(VLOOKUP(Table1346811121415161718192021[[#This Row],[Date]],'DB China Official PMI'!$A:$C,3)=0,"",VLOOKUP(Table1346811121415161718192021[[#This Row],[Date]],'DB China Official PMI'!$A:$C,3))</f>
        <v/>
      </c>
    </row>
    <row r="211">
      <c r="A211" s="10" t="n">
        <v>44593</v>
      </c>
      <c r="B211" s="18">
        <f>IF(VLOOKUP(A211,'DB Country PMI'!$A:$AZ,MATCH($A$2,'DB Country PMI'!$A$1:$AZ$1,),)=0,#N/A,VLOOKUP(A211,'DB Country PMI'!$A:$AZ,MATCH($A$2,'DB Country PMI'!$A$1:$AZ$1,),))</f>
        <v/>
      </c>
      <c r="C211" s="24">
        <f>Table1346811121415161718192021[[#This Row],[Caixin PMI]]-B210</f>
        <v/>
      </c>
      <c r="D211" s="24">
        <f>IF(VLOOKUP(Table1346811121415161718192021[[#This Row],[Date]],'DB China Official PMI'!$A:$C,2)=0,#N/A,VLOOKUP(Table1346811121415161718192021[[#This Row],[Date]],'DB China Official PMI'!$A:$C,2))</f>
        <v/>
      </c>
      <c r="E211" s="24">
        <f>Table1346811121415161718192021[[#This Row],[Official PMI]]-D210</f>
        <v/>
      </c>
      <c r="F211" s="52">
        <f>IF(VLOOKUP(Table1346811121415161718192021[[#This Row],[Date]],'DB China Official PMI'!$A:$C,3)=0,"",VLOOKUP(Table1346811121415161718192021[[#This Row],[Date]],'DB China Official PMI'!$A:$C,3))</f>
        <v/>
      </c>
    </row>
    <row r="212">
      <c r="A212" s="10" t="n">
        <v>44621</v>
      </c>
      <c r="B212" s="18">
        <f>IF(VLOOKUP(A212,'DB Country PMI'!$A:$AZ,MATCH($A$2,'DB Country PMI'!$A$1:$AZ$1,),)=0,#N/A,VLOOKUP(A212,'DB Country PMI'!$A:$AZ,MATCH($A$2,'DB Country PMI'!$A$1:$AZ$1,),))</f>
        <v/>
      </c>
      <c r="C212" s="24">
        <f>Table1346811121415161718192021[[#This Row],[Caixin PMI]]-B211</f>
        <v/>
      </c>
      <c r="D212" s="24">
        <f>IF(VLOOKUP(Table1346811121415161718192021[[#This Row],[Date]],'DB China Official PMI'!$A:$C,2)=0,#N/A,VLOOKUP(Table1346811121415161718192021[[#This Row],[Date]],'DB China Official PMI'!$A:$C,2))</f>
        <v/>
      </c>
      <c r="E212" s="24">
        <f>Table1346811121415161718192021[[#This Row],[Official PMI]]-D211</f>
        <v/>
      </c>
      <c r="F212" s="52">
        <f>IF(VLOOKUP(Table1346811121415161718192021[[#This Row],[Date]],'DB China Official PMI'!$A:$C,3)=0,"",VLOOKUP(Table1346811121415161718192021[[#This Row],[Date]],'DB China Official PMI'!$A:$C,3))</f>
        <v/>
      </c>
    </row>
    <row r="213">
      <c r="A213" s="10" t="n">
        <v>44652</v>
      </c>
      <c r="B213" s="18">
        <f>IF(VLOOKUP(A213,'DB Country PMI'!$A:$AZ,MATCH($A$2,'DB Country PMI'!$A$1:$AZ$1,),)=0,#N/A,VLOOKUP(A213,'DB Country PMI'!$A:$AZ,MATCH($A$2,'DB Country PMI'!$A$1:$AZ$1,),))</f>
        <v/>
      </c>
      <c r="C213" s="24">
        <f>Table1346811121415161718192021[[#This Row],[Caixin PMI]]-B212</f>
        <v/>
      </c>
      <c r="D213" s="24">
        <f>IF(VLOOKUP(Table1346811121415161718192021[[#This Row],[Date]],'DB China Official PMI'!$A:$C,2)=0,#N/A,VLOOKUP(Table1346811121415161718192021[[#This Row],[Date]],'DB China Official PMI'!$A:$C,2))</f>
        <v/>
      </c>
      <c r="E213" s="24">
        <f>Table1346811121415161718192021[[#This Row],[Official PMI]]-D212</f>
        <v/>
      </c>
      <c r="F213" s="52">
        <f>IF(VLOOKUP(Table1346811121415161718192021[[#This Row],[Date]],'DB China Official PMI'!$A:$C,3)=0,"",VLOOKUP(Table1346811121415161718192021[[#This Row],[Date]],'DB China Official PMI'!$A:$C,3))</f>
        <v/>
      </c>
    </row>
    <row r="214">
      <c r="A214" s="10" t="n">
        <v>44682</v>
      </c>
      <c r="B214" s="18">
        <f>IF(VLOOKUP(A214,'DB Country PMI'!$A:$AZ,MATCH($A$2,'DB Country PMI'!$A$1:$AZ$1,),)=0,#N/A,VLOOKUP(A214,'DB Country PMI'!$A:$AZ,MATCH($A$2,'DB Country PMI'!$A$1:$AZ$1,),))</f>
        <v/>
      </c>
      <c r="C214" s="24">
        <f>Table1346811121415161718192021[[#This Row],[Caixin PMI]]-B213</f>
        <v/>
      </c>
      <c r="D214" s="24">
        <f>IF(VLOOKUP(Table1346811121415161718192021[[#This Row],[Date]],'DB China Official PMI'!$A:$C,2)=0,#N/A,VLOOKUP(Table1346811121415161718192021[[#This Row],[Date]],'DB China Official PMI'!$A:$C,2))</f>
        <v/>
      </c>
      <c r="E214" s="24">
        <f>Table1346811121415161718192021[[#This Row],[Official PMI]]-D213</f>
        <v/>
      </c>
      <c r="F214" s="52">
        <f>IF(VLOOKUP(Table1346811121415161718192021[[#This Row],[Date]],'DB China Official PMI'!$A:$C,3)=0,"",VLOOKUP(Table1346811121415161718192021[[#This Row],[Date]],'DB China Official PMI'!$A:$C,3))</f>
        <v/>
      </c>
    </row>
    <row r="215">
      <c r="A215" s="10" t="n">
        <v>44713</v>
      </c>
      <c r="B215" s="18">
        <f>IF(VLOOKUP(A215,'DB Country PMI'!$A:$AZ,MATCH($A$2,'DB Country PMI'!$A$1:$AZ$1,),)=0,#N/A,VLOOKUP(A215,'DB Country PMI'!$A:$AZ,MATCH($A$2,'DB Country PMI'!$A$1:$AZ$1,),))</f>
        <v/>
      </c>
      <c r="C215" s="24">
        <f>Table1346811121415161718192021[[#This Row],[Caixin PMI]]-B214</f>
        <v/>
      </c>
      <c r="D215" s="24">
        <f>IF(VLOOKUP(Table1346811121415161718192021[[#This Row],[Date]],'DB China Official PMI'!$A:$C,2)=0,#N/A,VLOOKUP(Table1346811121415161718192021[[#This Row],[Date]],'DB China Official PMI'!$A:$C,2))</f>
        <v/>
      </c>
      <c r="E215" s="24">
        <f>Table1346811121415161718192021[[#This Row],[Official PMI]]-D214</f>
        <v/>
      </c>
      <c r="F215" s="52">
        <f>IF(VLOOKUP(Table1346811121415161718192021[[#This Row],[Date]],'DB China Official PMI'!$A:$C,3)=0,"",VLOOKUP(Table1346811121415161718192021[[#This Row],[Date]],'DB China Official PMI'!$A:$C,3))</f>
        <v/>
      </c>
    </row>
    <row r="216">
      <c r="A216" s="10" t="n">
        <v>44743</v>
      </c>
      <c r="B216" s="18">
        <f>IF(VLOOKUP(A216,'DB Country PMI'!$A:$AZ,MATCH($A$2,'DB Country PMI'!$A$1:$AZ$1,),)=0,#N/A,VLOOKUP(A216,'DB Country PMI'!$A:$AZ,MATCH($A$2,'DB Country PMI'!$A$1:$AZ$1,),))</f>
        <v/>
      </c>
      <c r="C216" s="24">
        <f>Table1346811121415161718192021[[#This Row],[Caixin PMI]]-B215</f>
        <v/>
      </c>
      <c r="D216" s="24">
        <f>IF(VLOOKUP(Table1346811121415161718192021[[#This Row],[Date]],'DB China Official PMI'!$A:$C,2)=0,#N/A,VLOOKUP(Table1346811121415161718192021[[#This Row],[Date]],'DB China Official PMI'!$A:$C,2))</f>
        <v/>
      </c>
      <c r="E216" s="24">
        <f>Table1346811121415161718192021[[#This Row],[Official PMI]]-D215</f>
        <v/>
      </c>
      <c r="F216" s="52">
        <f>IF(VLOOKUP(Table1346811121415161718192021[[#This Row],[Date]],'DB China Official PMI'!$A:$C,3)=0,"",VLOOKUP(Table1346811121415161718192021[[#This Row],[Date]],'DB China Official PMI'!$A:$C,3))</f>
        <v/>
      </c>
    </row>
    <row r="217">
      <c r="A217" s="10" t="n">
        <v>44774</v>
      </c>
      <c r="B217" s="18">
        <f>IF(VLOOKUP(A217,'DB Country PMI'!$A:$AZ,MATCH($A$2,'DB Country PMI'!$A$1:$AZ$1,),)=0,#N/A,VLOOKUP(A217,'DB Country PMI'!$A:$AZ,MATCH($A$2,'DB Country PMI'!$A$1:$AZ$1,),))</f>
        <v/>
      </c>
      <c r="C217" s="24">
        <f>Table1346811121415161718192021[[#This Row],[Caixin PMI]]-B216</f>
        <v/>
      </c>
      <c r="D217" s="24">
        <f>IF(VLOOKUP(Table1346811121415161718192021[[#This Row],[Date]],'DB China Official PMI'!$A:$C,2)=0,#N/A,VLOOKUP(Table1346811121415161718192021[[#This Row],[Date]],'DB China Official PMI'!$A:$C,2))</f>
        <v/>
      </c>
      <c r="E217" s="24">
        <f>Table1346811121415161718192021[[#This Row],[Official PMI]]-D216</f>
        <v/>
      </c>
      <c r="F217" s="52">
        <f>IF(VLOOKUP(Table1346811121415161718192021[[#This Row],[Date]],'DB China Official PMI'!$A:$C,3)=0,"",VLOOKUP(Table1346811121415161718192021[[#This Row],[Date]],'DB China Official PMI'!$A:$C,3))</f>
        <v/>
      </c>
    </row>
    <row r="218">
      <c r="A218" s="10" t="n">
        <v>44805</v>
      </c>
      <c r="B218" s="18">
        <f>IF(VLOOKUP(A218,'DB Country PMI'!$A:$AZ,MATCH($A$2,'DB Country PMI'!$A$1:$AZ$1,),)=0,#N/A,VLOOKUP(A218,'DB Country PMI'!$A:$AZ,MATCH($A$2,'DB Country PMI'!$A$1:$AZ$1,),))</f>
        <v/>
      </c>
      <c r="C218" s="24">
        <f>Table1346811121415161718192021[[#This Row],[Caixin PMI]]-B217</f>
        <v/>
      </c>
      <c r="D218" s="24">
        <f>IF(VLOOKUP(Table1346811121415161718192021[[#This Row],[Date]],'DB China Official PMI'!$A:$C,2)=0,#N/A,VLOOKUP(Table1346811121415161718192021[[#This Row],[Date]],'DB China Official PMI'!$A:$C,2))</f>
        <v/>
      </c>
      <c r="E218" s="24">
        <f>Table1346811121415161718192021[[#This Row],[Official PMI]]-D217</f>
        <v/>
      </c>
      <c r="F218" s="52">
        <f>IF(VLOOKUP(Table1346811121415161718192021[[#This Row],[Date]],'DB China Official PMI'!$A:$C,3)=0,"",VLOOKUP(Table1346811121415161718192021[[#This Row],[Date]],'DB China Official PMI'!$A:$C,3))</f>
        <v/>
      </c>
    </row>
    <row r="219">
      <c r="A219" s="10" t="n">
        <v>44835</v>
      </c>
      <c r="B219" s="18">
        <f>IF(VLOOKUP(A219,'DB Country PMI'!$A:$AZ,MATCH($A$2,'DB Country PMI'!$A$1:$AZ$1,),)=0,#N/A,VLOOKUP(A219,'DB Country PMI'!$A:$AZ,MATCH($A$2,'DB Country PMI'!$A$1:$AZ$1,),))</f>
        <v/>
      </c>
      <c r="C219" s="24">
        <f>Table1346811121415161718192021[[#This Row],[Caixin PMI]]-B218</f>
        <v/>
      </c>
      <c r="D219" s="24">
        <f>IF(VLOOKUP(Table1346811121415161718192021[[#This Row],[Date]],'DB China Official PMI'!$A:$C,2)=0,#N/A,VLOOKUP(Table1346811121415161718192021[[#This Row],[Date]],'DB China Official PMI'!$A:$C,2))</f>
        <v/>
      </c>
      <c r="E219" s="24">
        <f>Table1346811121415161718192021[[#This Row],[Official PMI]]-D218</f>
        <v/>
      </c>
      <c r="F219" s="52">
        <f>IF(VLOOKUP(Table1346811121415161718192021[[#This Row],[Date]],'DB China Official PMI'!$A:$C,3)=0,"",VLOOKUP(Table1346811121415161718192021[[#This Row],[Date]],'DB China Official PMI'!$A:$C,3))</f>
        <v/>
      </c>
    </row>
    <row r="220">
      <c r="A220" s="10" t="n">
        <v>44866</v>
      </c>
      <c r="B220" s="18">
        <f>IF(VLOOKUP(A220,'DB Country PMI'!$A:$AZ,MATCH($A$2,'DB Country PMI'!$A$1:$AZ$1,),)=0,#N/A,VLOOKUP(A220,'DB Country PMI'!$A:$AZ,MATCH($A$2,'DB Country PMI'!$A$1:$AZ$1,),))</f>
        <v/>
      </c>
      <c r="C220" s="24">
        <f>Table1346811121415161718192021[[#This Row],[Caixin PMI]]-B219</f>
        <v/>
      </c>
      <c r="D220" s="24">
        <f>IF(VLOOKUP(Table1346811121415161718192021[[#This Row],[Date]],'DB China Official PMI'!$A:$C,2)=0,#N/A,VLOOKUP(Table1346811121415161718192021[[#This Row],[Date]],'DB China Official PMI'!$A:$C,2))</f>
        <v/>
      </c>
      <c r="E220" s="24">
        <f>Table1346811121415161718192021[[#This Row],[Official PMI]]-D219</f>
        <v/>
      </c>
      <c r="F220" s="52">
        <f>IF(VLOOKUP(Table1346811121415161718192021[[#This Row],[Date]],'DB China Official PMI'!$A:$C,3)=0,"",VLOOKUP(Table1346811121415161718192021[[#This Row],[Date]],'DB China Official PMI'!$A:$C,3))</f>
        <v/>
      </c>
    </row>
  </sheetData>
  <conditionalFormatting sqref="C66:C220">
    <cfRule type="colorScale" priority="4">
      <colorScale>
        <cfvo type="min"/>
        <cfvo type="percentile" val="50"/>
        <cfvo type="max"/>
        <color rgb="FFF8696B"/>
        <color rgb="FFFCFCFF"/>
        <color rgb="FF5A8AC6"/>
      </colorScale>
    </cfRule>
  </conditionalFormatting>
  <conditionalFormatting sqref="E66:E220">
    <cfRule type="colorScale" priority="3">
      <colorScale>
        <cfvo type="min"/>
        <cfvo type="percentile" val="50"/>
        <cfvo type="max"/>
        <color rgb="FFF8696B"/>
        <color rgb="FFFCFCFF"/>
        <color rgb="FF5A8AC6"/>
      </colorScale>
    </cfRule>
  </conditionalFormatting>
  <conditionalFormatting sqref="B66:B220">
    <cfRule type="colorScale" priority="2">
      <colorScale>
        <cfvo type="min"/>
        <cfvo type="percentile" val="50"/>
        <cfvo type="max"/>
        <color rgb="FFF8696B"/>
        <color rgb="FFFFEB84"/>
        <color rgb="FF63BE7B"/>
      </colorScale>
    </cfRule>
  </conditionalFormatting>
  <conditionalFormatting sqref="D66:D220">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3"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0.xml><?xml version="1.0" encoding="utf-8"?>
<worksheet xmlns="http://schemas.openxmlformats.org/spreadsheetml/2006/main">
  <sheetPr>
    <outlinePr summaryBelow="1" summaryRight="1"/>
    <pageSetUpPr/>
  </sheetPr>
  <dimension ref="A1:K221"/>
  <sheetViews>
    <sheetView zoomScale="80" zoomScaleNormal="80" workbookViewId="0">
      <pane ySplit="5" topLeftCell="A206" activePane="bottomLeft" state="frozen"/>
      <selection activeCell="P121" sqref="P121"/>
      <selection pane="bottomLeft" activeCell="A205" sqref="A205:G221"/>
    </sheetView>
  </sheetViews>
  <sheetFormatPr baseColWidth="8" defaultColWidth="9.1796875" defaultRowHeight="14.5"/>
  <cols>
    <col width="13.453125" customWidth="1" style="69" min="1" max="1"/>
    <col width="11.36328125" customWidth="1" style="69" min="2" max="2"/>
    <col width="9.1796875" customWidth="1" style="69" min="3" max="51"/>
    <col width="9.1796875" customWidth="1" style="69" min="52" max="16384"/>
  </cols>
  <sheetData>
    <row r="1">
      <c r="A1" s="69" t="inlineStr">
        <is>
          <t>Euro Area</t>
        </is>
      </c>
      <c r="K1" s="69" t="inlineStr">
        <is>
          <t xml:space="preserve"> Manufacturing PMI</t>
        </is>
      </c>
    </row>
    <row r="2">
      <c r="K2" s="69">
        <f>A1&amp;K1</f>
        <v/>
      </c>
    </row>
    <row r="4" ht="16" customHeight="1" thickBot="1"/>
    <row r="5" ht="49" customHeight="1" thickBot="1">
      <c r="A5" s="53" t="inlineStr">
        <is>
          <t>Date</t>
        </is>
      </c>
      <c r="B5" s="54" t="inlineStr">
        <is>
          <t>Euro Area PMI</t>
        </is>
      </c>
      <c r="C5" s="54" t="inlineStr">
        <is>
          <t>mom</t>
        </is>
      </c>
      <c r="D5" s="55" t="inlineStr">
        <is>
          <t>EZU</t>
        </is>
      </c>
      <c r="E5" s="55" t="inlineStr">
        <is>
          <t>PMI yoy</t>
        </is>
      </c>
      <c r="F5" s="55" t="inlineStr">
        <is>
          <t>EZU yoy</t>
        </is>
      </c>
      <c r="G5" s="55" t="inlineStr">
        <is>
          <t>Euro Area GDP qoq %</t>
        </is>
      </c>
    </row>
    <row r="6">
      <c r="A6" s="17" t="n">
        <v>38322</v>
      </c>
      <c r="B6" s="18">
        <f>IF(VLOOKUP(A6,'DB Country PMI'!$A:$AZ,MATCH($A$1,'DB Country PMI'!$A$1:$AZ$1,),)=0,#N/A,VLOOKUP(A6,'DB Country PMI'!$A:$AZ,MATCH($A$1,'DB Country PMI'!$A$1:$AZ$1,),))</f>
        <v/>
      </c>
      <c r="C6" s="18" t="n"/>
      <c r="D6" s="11">
        <f>IF(VLOOKUP(Table13468111214[[#This Row],[Date]],'DB Global PMI'!$A:$F,4)=0,#N/A,VLOOKUP(Table13468111214[[#This Row],[Date]],'DB Global PMI'!$A:$F,4))</f>
        <v/>
      </c>
      <c r="E6" s="24" t="n"/>
      <c r="F6" s="24" t="n"/>
      <c r="G6" s="52">
        <f>IF(VLOOKUP(Table13468111214[[#This Row],[Date]],'DB Global PMI'!$A:$F,6)=0,"",VLOOKUP(Table13468111214[[#This Row],[Date]],'DB Global PMI'!$A:$F,6))</f>
        <v/>
      </c>
    </row>
    <row r="7">
      <c r="A7" s="10" t="n">
        <v>38353</v>
      </c>
      <c r="B7" s="18">
        <f>IF(VLOOKUP(A7,'DB Country PMI'!$A:$AZ,MATCH($A$1,'DB Country PMI'!$A$1:$AZ$1,),)=0,#N/A,VLOOKUP(A7,'DB Country PMI'!$A:$AZ,MATCH($A$1,'DB Country PMI'!$A$1:$AZ$1,),))</f>
        <v/>
      </c>
      <c r="C7" s="24">
        <f>Table13468111214[[#This Row],[Euro Area PMI]]-B6</f>
        <v/>
      </c>
      <c r="D7" s="11">
        <f>IF(VLOOKUP(Table13468111214[[#This Row],[Date]],'DB Global PMI'!$A:$F,4)=0,#N/A,VLOOKUP(Table13468111214[[#This Row],[Date]],'DB Global PMI'!$A:$F,4))</f>
        <v/>
      </c>
      <c r="E7" s="24" t="n"/>
      <c r="F7" s="24" t="n"/>
      <c r="G7" s="52">
        <f>IF(VLOOKUP(Table13468111214[[#This Row],[Date]],'DB Global PMI'!$A:$F,6)=0,"",VLOOKUP(Table13468111214[[#This Row],[Date]],'DB Global PMI'!$A:$F,6))</f>
        <v/>
      </c>
    </row>
    <row r="8">
      <c r="A8" s="10" t="n">
        <v>38384</v>
      </c>
      <c r="B8" s="18">
        <f>IF(VLOOKUP(A8,'DB Country PMI'!$A:$AZ,MATCH($A$1,'DB Country PMI'!$A$1:$AZ$1,),)=0,#N/A,VLOOKUP(A8,'DB Country PMI'!$A:$AZ,MATCH($A$1,'DB Country PMI'!$A$1:$AZ$1,),))</f>
        <v/>
      </c>
      <c r="C8" s="24">
        <f>Table13468111214[[#This Row],[Euro Area PMI]]-B7</f>
        <v/>
      </c>
      <c r="D8" s="11">
        <f>IF(VLOOKUP(Table13468111214[[#This Row],[Date]],'DB Global PMI'!$A:$F,4)=0,#N/A,VLOOKUP(Table13468111214[[#This Row],[Date]],'DB Global PMI'!$A:$F,4))</f>
        <v/>
      </c>
      <c r="E8" s="24" t="n"/>
      <c r="F8" s="24" t="n"/>
      <c r="G8" s="52">
        <f>IF(VLOOKUP(Table13468111214[[#This Row],[Date]],'DB Global PMI'!$A:$F,6)=0,"",VLOOKUP(Table13468111214[[#This Row],[Date]],'DB Global PMI'!$A:$F,6))</f>
        <v/>
      </c>
    </row>
    <row r="9">
      <c r="A9" s="10" t="n">
        <v>38412</v>
      </c>
      <c r="B9" s="18">
        <f>IF(VLOOKUP(A9,'DB Country PMI'!$A:$AZ,MATCH($A$1,'DB Country PMI'!$A$1:$AZ$1,),)=0,#N/A,VLOOKUP(A9,'DB Country PMI'!$A:$AZ,MATCH($A$1,'DB Country PMI'!$A$1:$AZ$1,),))</f>
        <v/>
      </c>
      <c r="C9" s="24">
        <f>Table13468111214[[#This Row],[Euro Area PMI]]-B8</f>
        <v/>
      </c>
      <c r="D9" s="11">
        <f>IF(VLOOKUP(Table13468111214[[#This Row],[Date]],'DB Global PMI'!$A:$F,4)=0,#N/A,VLOOKUP(Table13468111214[[#This Row],[Date]],'DB Global PMI'!$A:$F,4))</f>
        <v/>
      </c>
      <c r="E9" s="24" t="n"/>
      <c r="F9" s="24" t="n"/>
      <c r="G9" s="52">
        <f>IF(VLOOKUP(Table13468111214[[#This Row],[Date]],'DB Global PMI'!$A:$F,6)=0,"",VLOOKUP(Table13468111214[[#This Row],[Date]],'DB Global PMI'!$A:$F,6))</f>
        <v/>
      </c>
    </row>
    <row r="10">
      <c r="A10" s="10" t="n">
        <v>38443</v>
      </c>
      <c r="B10" s="18">
        <f>IF(VLOOKUP(A10,'DB Country PMI'!$A:$AZ,MATCH($A$1,'DB Country PMI'!$A$1:$AZ$1,),)=0,#N/A,VLOOKUP(A10,'DB Country PMI'!$A:$AZ,MATCH($A$1,'DB Country PMI'!$A$1:$AZ$1,),))</f>
        <v/>
      </c>
      <c r="C10" s="24">
        <f>Table13468111214[[#This Row],[Euro Area PMI]]-B9</f>
        <v/>
      </c>
      <c r="D10" s="11">
        <f>IF(VLOOKUP(Table13468111214[[#This Row],[Date]],'DB Global PMI'!$A:$F,4)=0,#N/A,VLOOKUP(Table13468111214[[#This Row],[Date]],'DB Global PMI'!$A:$F,4))</f>
        <v/>
      </c>
      <c r="E10" s="24" t="n"/>
      <c r="F10" s="24" t="n"/>
      <c r="G10" s="52">
        <f>IF(VLOOKUP(Table13468111214[[#This Row],[Date]],'DB Global PMI'!$A:$F,6)=0,"",VLOOKUP(Table13468111214[[#This Row],[Date]],'DB Global PMI'!$A:$F,6))</f>
        <v/>
      </c>
    </row>
    <row r="11">
      <c r="A11" s="10" t="n">
        <v>38473</v>
      </c>
      <c r="B11" s="18">
        <f>IF(VLOOKUP(A11,'DB Country PMI'!$A:$AZ,MATCH($A$1,'DB Country PMI'!$A$1:$AZ$1,),)=0,#N/A,VLOOKUP(A11,'DB Country PMI'!$A:$AZ,MATCH($A$1,'DB Country PMI'!$A$1:$AZ$1,),))</f>
        <v/>
      </c>
      <c r="C11" s="24">
        <f>Table13468111214[[#This Row],[Euro Area PMI]]-B10</f>
        <v/>
      </c>
      <c r="D11" s="11">
        <f>IF(VLOOKUP(Table13468111214[[#This Row],[Date]],'DB Global PMI'!$A:$F,4)=0,#N/A,VLOOKUP(Table13468111214[[#This Row],[Date]],'DB Global PMI'!$A:$F,4))</f>
        <v/>
      </c>
      <c r="E11" s="24" t="n"/>
      <c r="F11" s="24" t="n"/>
      <c r="G11" s="52">
        <f>IF(VLOOKUP(Table13468111214[[#This Row],[Date]],'DB Global PMI'!$A:$F,6)=0,"",VLOOKUP(Table13468111214[[#This Row],[Date]],'DB Global PMI'!$A:$F,6))</f>
        <v/>
      </c>
    </row>
    <row r="12">
      <c r="A12" s="10" t="n">
        <v>38504</v>
      </c>
      <c r="B12" s="18">
        <f>IF(VLOOKUP(A12,'DB Country PMI'!$A:$AZ,MATCH($A$1,'DB Country PMI'!$A$1:$AZ$1,),)=0,#N/A,VLOOKUP(A12,'DB Country PMI'!$A:$AZ,MATCH($A$1,'DB Country PMI'!$A$1:$AZ$1,),))</f>
        <v/>
      </c>
      <c r="C12" s="24">
        <f>Table13468111214[[#This Row],[Euro Area PMI]]-B11</f>
        <v/>
      </c>
      <c r="D12" s="11">
        <f>IF(VLOOKUP(Table13468111214[[#This Row],[Date]],'DB Global PMI'!$A:$F,4)=0,#N/A,VLOOKUP(Table13468111214[[#This Row],[Date]],'DB Global PMI'!$A:$F,4))</f>
        <v/>
      </c>
      <c r="E12" s="24" t="n"/>
      <c r="F12" s="24" t="n"/>
      <c r="G12" s="52">
        <f>IF(VLOOKUP(Table13468111214[[#This Row],[Date]],'DB Global PMI'!$A:$F,6)=0,"",VLOOKUP(Table13468111214[[#This Row],[Date]],'DB Global PMI'!$A:$F,6))</f>
        <v/>
      </c>
    </row>
    <row r="13">
      <c r="A13" s="10" t="n">
        <v>38534</v>
      </c>
      <c r="B13" s="18">
        <f>IF(VLOOKUP(A13,'DB Country PMI'!$A:$AZ,MATCH($A$1,'DB Country PMI'!$A$1:$AZ$1,),)=0,#N/A,VLOOKUP(A13,'DB Country PMI'!$A:$AZ,MATCH($A$1,'DB Country PMI'!$A$1:$AZ$1,),))</f>
        <v/>
      </c>
      <c r="C13" s="24">
        <f>Table13468111214[[#This Row],[Euro Area PMI]]-B12</f>
        <v/>
      </c>
      <c r="D13" s="11">
        <f>IF(VLOOKUP(Table13468111214[[#This Row],[Date]],'DB Global PMI'!$A:$F,4)=0,#N/A,VLOOKUP(Table13468111214[[#This Row],[Date]],'DB Global PMI'!$A:$F,4))</f>
        <v/>
      </c>
      <c r="E13" s="24" t="n"/>
      <c r="F13" s="24" t="n"/>
      <c r="G13" s="52">
        <f>IF(VLOOKUP(Table13468111214[[#This Row],[Date]],'DB Global PMI'!$A:$F,6)=0,"",VLOOKUP(Table13468111214[[#This Row],[Date]],'DB Global PMI'!$A:$F,6))</f>
        <v/>
      </c>
    </row>
    <row r="14">
      <c r="A14" s="10" t="n">
        <v>38565</v>
      </c>
      <c r="B14" s="18">
        <f>IF(VLOOKUP(A14,'DB Country PMI'!$A:$AZ,MATCH($A$1,'DB Country PMI'!$A$1:$AZ$1,),)=0,#N/A,VLOOKUP(A14,'DB Country PMI'!$A:$AZ,MATCH($A$1,'DB Country PMI'!$A$1:$AZ$1,),))</f>
        <v/>
      </c>
      <c r="C14" s="24">
        <f>Table13468111214[[#This Row],[Euro Area PMI]]-B13</f>
        <v/>
      </c>
      <c r="D14" s="11">
        <f>IF(VLOOKUP(Table13468111214[[#This Row],[Date]],'DB Global PMI'!$A:$F,4)=0,#N/A,VLOOKUP(Table13468111214[[#This Row],[Date]],'DB Global PMI'!$A:$F,4))</f>
        <v/>
      </c>
      <c r="E14" s="24" t="n"/>
      <c r="F14" s="24" t="n"/>
      <c r="G14" s="52">
        <f>IF(VLOOKUP(Table13468111214[[#This Row],[Date]],'DB Global PMI'!$A:$F,6)=0,"",VLOOKUP(Table13468111214[[#This Row],[Date]],'DB Global PMI'!$A:$F,6))</f>
        <v/>
      </c>
    </row>
    <row r="15">
      <c r="A15" s="10" t="n">
        <v>38596</v>
      </c>
      <c r="B15" s="18">
        <f>IF(VLOOKUP(A15,'DB Country PMI'!$A:$AZ,MATCH($A$1,'DB Country PMI'!$A$1:$AZ$1,),)=0,#N/A,VLOOKUP(A15,'DB Country PMI'!$A:$AZ,MATCH($A$1,'DB Country PMI'!$A$1:$AZ$1,),))</f>
        <v/>
      </c>
      <c r="C15" s="24">
        <f>Table13468111214[[#This Row],[Euro Area PMI]]-B14</f>
        <v/>
      </c>
      <c r="D15" s="11">
        <f>IF(VLOOKUP(Table13468111214[[#This Row],[Date]],'DB Global PMI'!$A:$F,4)=0,#N/A,VLOOKUP(Table13468111214[[#This Row],[Date]],'DB Global PMI'!$A:$F,4))</f>
        <v/>
      </c>
      <c r="E15" s="24" t="n"/>
      <c r="F15" s="24" t="n"/>
      <c r="G15" s="52">
        <f>IF(VLOOKUP(Table13468111214[[#This Row],[Date]],'DB Global PMI'!$A:$F,6)=0,"",VLOOKUP(Table13468111214[[#This Row],[Date]],'DB Global PMI'!$A:$F,6))</f>
        <v/>
      </c>
    </row>
    <row r="16">
      <c r="A16" s="10" t="n">
        <v>38626</v>
      </c>
      <c r="B16" s="18">
        <f>IF(VLOOKUP(A16,'DB Country PMI'!$A:$AZ,MATCH($A$1,'DB Country PMI'!$A$1:$AZ$1,),)=0,#N/A,VLOOKUP(A16,'DB Country PMI'!$A:$AZ,MATCH($A$1,'DB Country PMI'!$A$1:$AZ$1,),))</f>
        <v/>
      </c>
      <c r="C16" s="24">
        <f>Table13468111214[[#This Row],[Euro Area PMI]]-B15</f>
        <v/>
      </c>
      <c r="D16" s="11">
        <f>IF(VLOOKUP(Table13468111214[[#This Row],[Date]],'DB Global PMI'!$A:$F,4)=0,#N/A,VLOOKUP(Table13468111214[[#This Row],[Date]],'DB Global PMI'!$A:$F,4))</f>
        <v/>
      </c>
      <c r="E16" s="24" t="n"/>
      <c r="F16" s="24" t="n"/>
      <c r="G16" s="52">
        <f>IF(VLOOKUP(Table13468111214[[#This Row],[Date]],'DB Global PMI'!$A:$F,6)=0,"",VLOOKUP(Table13468111214[[#This Row],[Date]],'DB Global PMI'!$A:$F,6))</f>
        <v/>
      </c>
    </row>
    <row r="17">
      <c r="A17" s="10" t="n">
        <v>38657</v>
      </c>
      <c r="B17" s="18">
        <f>IF(VLOOKUP(A17,'DB Country PMI'!$A:$AZ,MATCH($A$1,'DB Country PMI'!$A$1:$AZ$1,),)=0,#N/A,VLOOKUP(A17,'DB Country PMI'!$A:$AZ,MATCH($A$1,'DB Country PMI'!$A$1:$AZ$1,),))</f>
        <v/>
      </c>
      <c r="C17" s="24">
        <f>Table13468111214[[#This Row],[Euro Area PMI]]-B16</f>
        <v/>
      </c>
      <c r="D17" s="11">
        <f>IF(VLOOKUP(Table13468111214[[#This Row],[Date]],'DB Global PMI'!$A:$F,4)=0,#N/A,VLOOKUP(Table13468111214[[#This Row],[Date]],'DB Global PMI'!$A:$F,4))</f>
        <v/>
      </c>
      <c r="E17" s="24" t="n"/>
      <c r="F17" s="24" t="n"/>
      <c r="G17" s="52">
        <f>IF(VLOOKUP(Table13468111214[[#This Row],[Date]],'DB Global PMI'!$A:$F,6)=0,"",VLOOKUP(Table13468111214[[#This Row],[Date]],'DB Global PMI'!$A:$F,6))</f>
        <v/>
      </c>
    </row>
    <row r="18">
      <c r="A18" s="10" t="n">
        <v>38687</v>
      </c>
      <c r="B18" s="18">
        <f>IF(VLOOKUP(A18,'DB Country PMI'!$A:$AZ,MATCH($A$1,'DB Country PMI'!$A$1:$AZ$1,),)=0,#N/A,VLOOKUP(A18,'DB Country PMI'!$A:$AZ,MATCH($A$1,'DB Country PMI'!$A$1:$AZ$1,),))</f>
        <v/>
      </c>
      <c r="C18" s="24">
        <f>Table13468111214[[#This Row],[Euro Area PMI]]-B17</f>
        <v/>
      </c>
      <c r="D18" s="11">
        <f>IF(VLOOKUP(Table13468111214[[#This Row],[Date]],'DB Global PMI'!$A:$F,4)=0,#N/A,VLOOKUP(Table13468111214[[#This Row],[Date]],'DB Global PMI'!$A:$F,4))</f>
        <v/>
      </c>
      <c r="E18" s="24">
        <f>Table13468111214[[#This Row],[Euro Area PMI]]-B6</f>
        <v/>
      </c>
      <c r="F18" s="52">
        <f>(Table13468111214[[#This Row],[EZU]]-D6)/D6</f>
        <v/>
      </c>
      <c r="G18" s="52">
        <f>IF(VLOOKUP(Table13468111214[[#This Row],[Date]],'DB Global PMI'!$A:$F,6)=0,"",VLOOKUP(Table13468111214[[#This Row],[Date]],'DB Global PMI'!$A:$F,6))</f>
        <v/>
      </c>
    </row>
    <row r="19">
      <c r="A19" s="10" t="n">
        <v>38718</v>
      </c>
      <c r="B19" s="18">
        <f>IF(VLOOKUP(A19,'DB Country PMI'!$A:$AZ,MATCH($A$1,'DB Country PMI'!$A$1:$AZ$1,),)=0,#N/A,VLOOKUP(A19,'DB Country PMI'!$A:$AZ,MATCH($A$1,'DB Country PMI'!$A$1:$AZ$1,),))</f>
        <v/>
      </c>
      <c r="C19" s="24">
        <f>Table13468111214[[#This Row],[Euro Area PMI]]-B18</f>
        <v/>
      </c>
      <c r="D19" s="11">
        <f>IF(VLOOKUP(Table13468111214[[#This Row],[Date]],'DB Global PMI'!$A:$F,4)=0,#N/A,VLOOKUP(Table13468111214[[#This Row],[Date]],'DB Global PMI'!$A:$F,4))</f>
        <v/>
      </c>
      <c r="E19" s="24">
        <f>Table13468111214[[#This Row],[Euro Area PMI]]-B7</f>
        <v/>
      </c>
      <c r="F19" s="52">
        <f>(Table13468111214[[#This Row],[EZU]]-D7)/D7</f>
        <v/>
      </c>
      <c r="G19" s="52">
        <f>IF(VLOOKUP(Table13468111214[[#This Row],[Date]],'DB Global PMI'!$A:$F,6)=0,"",VLOOKUP(Table13468111214[[#This Row],[Date]],'DB Global PMI'!$A:$F,6))</f>
        <v/>
      </c>
    </row>
    <row r="20">
      <c r="A20" s="10" t="n">
        <v>38749</v>
      </c>
      <c r="B20" s="18">
        <f>IF(VLOOKUP(A20,'DB Country PMI'!$A:$AZ,MATCH($A$1,'DB Country PMI'!$A$1:$AZ$1,),)=0,#N/A,VLOOKUP(A20,'DB Country PMI'!$A:$AZ,MATCH($A$1,'DB Country PMI'!$A$1:$AZ$1,),))</f>
        <v/>
      </c>
      <c r="C20" s="24">
        <f>Table13468111214[[#This Row],[Euro Area PMI]]-B19</f>
        <v/>
      </c>
      <c r="D20" s="11">
        <f>IF(VLOOKUP(Table13468111214[[#This Row],[Date]],'DB Global PMI'!$A:$F,4)=0,#N/A,VLOOKUP(Table13468111214[[#This Row],[Date]],'DB Global PMI'!$A:$F,4))</f>
        <v/>
      </c>
      <c r="E20" s="24">
        <f>Table13468111214[[#This Row],[Euro Area PMI]]-B8</f>
        <v/>
      </c>
      <c r="F20" s="52">
        <f>(Table13468111214[[#This Row],[EZU]]-D8)/D8</f>
        <v/>
      </c>
      <c r="G20" s="52">
        <f>IF(VLOOKUP(Table13468111214[[#This Row],[Date]],'DB Global PMI'!$A:$F,6)=0,"",VLOOKUP(Table13468111214[[#This Row],[Date]],'DB Global PMI'!$A:$F,6))</f>
        <v/>
      </c>
    </row>
    <row r="21">
      <c r="A21" s="10" t="n">
        <v>38777</v>
      </c>
      <c r="B21" s="18">
        <f>IF(VLOOKUP(A21,'DB Country PMI'!$A:$AZ,MATCH($A$1,'DB Country PMI'!$A$1:$AZ$1,),)=0,#N/A,VLOOKUP(A21,'DB Country PMI'!$A:$AZ,MATCH($A$1,'DB Country PMI'!$A$1:$AZ$1,),))</f>
        <v/>
      </c>
      <c r="C21" s="24">
        <f>Table13468111214[[#This Row],[Euro Area PMI]]-B20</f>
        <v/>
      </c>
      <c r="D21" s="11">
        <f>IF(VLOOKUP(Table13468111214[[#This Row],[Date]],'DB Global PMI'!$A:$F,4)=0,#N/A,VLOOKUP(Table13468111214[[#This Row],[Date]],'DB Global PMI'!$A:$F,4))</f>
        <v/>
      </c>
      <c r="E21" s="24">
        <f>Table13468111214[[#This Row],[Euro Area PMI]]-B9</f>
        <v/>
      </c>
      <c r="F21" s="52">
        <f>(Table13468111214[[#This Row],[EZU]]-D9)/D9</f>
        <v/>
      </c>
      <c r="G21" s="52">
        <f>IF(VLOOKUP(Table13468111214[[#This Row],[Date]],'DB Global PMI'!$A:$F,6)=0,"",VLOOKUP(Table13468111214[[#This Row],[Date]],'DB Global PMI'!$A:$F,6))</f>
        <v/>
      </c>
    </row>
    <row r="22">
      <c r="A22" s="10" t="n">
        <v>38808</v>
      </c>
      <c r="B22" s="18">
        <f>IF(VLOOKUP(A22,'DB Country PMI'!$A:$AZ,MATCH($A$1,'DB Country PMI'!$A$1:$AZ$1,),)=0,#N/A,VLOOKUP(A22,'DB Country PMI'!$A:$AZ,MATCH($A$1,'DB Country PMI'!$A$1:$AZ$1,),))</f>
        <v/>
      </c>
      <c r="C22" s="24">
        <f>Table13468111214[[#This Row],[Euro Area PMI]]-B21</f>
        <v/>
      </c>
      <c r="D22" s="11">
        <f>IF(VLOOKUP(Table13468111214[[#This Row],[Date]],'DB Global PMI'!$A:$F,4)=0,#N/A,VLOOKUP(Table13468111214[[#This Row],[Date]],'DB Global PMI'!$A:$F,4))</f>
        <v/>
      </c>
      <c r="E22" s="24">
        <f>Table13468111214[[#This Row],[Euro Area PMI]]-B10</f>
        <v/>
      </c>
      <c r="F22" s="52">
        <f>(Table13468111214[[#This Row],[EZU]]-D10)/D10</f>
        <v/>
      </c>
      <c r="G22" s="52">
        <f>IF(VLOOKUP(Table13468111214[[#This Row],[Date]],'DB Global PMI'!$A:$F,6)=0,"",VLOOKUP(Table13468111214[[#This Row],[Date]],'DB Global PMI'!$A:$F,6))</f>
        <v/>
      </c>
    </row>
    <row r="23">
      <c r="A23" s="10" t="n">
        <v>38838</v>
      </c>
      <c r="B23" s="18">
        <f>IF(VLOOKUP(A23,'DB Country PMI'!$A:$AZ,MATCH($A$1,'DB Country PMI'!$A$1:$AZ$1,),)=0,#N/A,VLOOKUP(A23,'DB Country PMI'!$A:$AZ,MATCH($A$1,'DB Country PMI'!$A$1:$AZ$1,),))</f>
        <v/>
      </c>
      <c r="C23" s="24">
        <f>Table13468111214[[#This Row],[Euro Area PMI]]-B22</f>
        <v/>
      </c>
      <c r="D23" s="11">
        <f>IF(VLOOKUP(Table13468111214[[#This Row],[Date]],'DB Global PMI'!$A:$F,4)=0,#N/A,VLOOKUP(Table13468111214[[#This Row],[Date]],'DB Global PMI'!$A:$F,4))</f>
        <v/>
      </c>
      <c r="E23" s="24">
        <f>Table13468111214[[#This Row],[Euro Area PMI]]-B11</f>
        <v/>
      </c>
      <c r="F23" s="52">
        <f>(Table13468111214[[#This Row],[EZU]]-D11)/D11</f>
        <v/>
      </c>
      <c r="G23" s="52">
        <f>IF(VLOOKUP(Table13468111214[[#This Row],[Date]],'DB Global PMI'!$A:$F,6)=0,"",VLOOKUP(Table13468111214[[#This Row],[Date]],'DB Global PMI'!$A:$F,6))</f>
        <v/>
      </c>
    </row>
    <row r="24">
      <c r="A24" s="10" t="n">
        <v>38869</v>
      </c>
      <c r="B24" s="18">
        <f>IF(VLOOKUP(A24,'DB Country PMI'!$A:$AZ,MATCH($A$1,'DB Country PMI'!$A$1:$AZ$1,),)=0,#N/A,VLOOKUP(A24,'DB Country PMI'!$A:$AZ,MATCH($A$1,'DB Country PMI'!$A$1:$AZ$1,),))</f>
        <v/>
      </c>
      <c r="C24" s="24">
        <f>Table13468111214[[#This Row],[Euro Area PMI]]-B23</f>
        <v/>
      </c>
      <c r="D24" s="11">
        <f>IF(VLOOKUP(Table13468111214[[#This Row],[Date]],'DB Global PMI'!$A:$F,4)=0,#N/A,VLOOKUP(Table13468111214[[#This Row],[Date]],'DB Global PMI'!$A:$F,4))</f>
        <v/>
      </c>
      <c r="E24" s="24">
        <f>Table13468111214[[#This Row],[Euro Area PMI]]-B12</f>
        <v/>
      </c>
      <c r="F24" s="52">
        <f>(Table13468111214[[#This Row],[EZU]]-D12)/D12</f>
        <v/>
      </c>
      <c r="G24" s="52">
        <f>IF(VLOOKUP(Table13468111214[[#This Row],[Date]],'DB Global PMI'!$A:$F,6)=0,"",VLOOKUP(Table13468111214[[#This Row],[Date]],'DB Global PMI'!$A:$F,6))</f>
        <v/>
      </c>
    </row>
    <row r="25">
      <c r="A25" s="10" t="n">
        <v>38899</v>
      </c>
      <c r="B25" s="18">
        <f>IF(VLOOKUP(A25,'DB Country PMI'!$A:$AZ,MATCH($A$1,'DB Country PMI'!$A$1:$AZ$1,),)=0,#N/A,VLOOKUP(A25,'DB Country PMI'!$A:$AZ,MATCH($A$1,'DB Country PMI'!$A$1:$AZ$1,),))</f>
        <v/>
      </c>
      <c r="C25" s="24">
        <f>Table13468111214[[#This Row],[Euro Area PMI]]-B24</f>
        <v/>
      </c>
      <c r="D25" s="11">
        <f>IF(VLOOKUP(Table13468111214[[#This Row],[Date]],'DB Global PMI'!$A:$F,4)=0,#N/A,VLOOKUP(Table13468111214[[#This Row],[Date]],'DB Global PMI'!$A:$F,4))</f>
        <v/>
      </c>
      <c r="E25" s="24">
        <f>Table13468111214[[#This Row],[Euro Area PMI]]-B13</f>
        <v/>
      </c>
      <c r="F25" s="52">
        <f>(Table13468111214[[#This Row],[EZU]]-D13)/D13</f>
        <v/>
      </c>
      <c r="G25" s="52">
        <f>IF(VLOOKUP(Table13468111214[[#This Row],[Date]],'DB Global PMI'!$A:$F,6)=0,"",VLOOKUP(Table13468111214[[#This Row],[Date]],'DB Global PMI'!$A:$F,6))</f>
        <v/>
      </c>
    </row>
    <row r="26">
      <c r="A26" s="10" t="n">
        <v>38930</v>
      </c>
      <c r="B26" s="18">
        <f>IF(VLOOKUP(A26,'DB Country PMI'!$A:$AZ,MATCH($A$1,'DB Country PMI'!$A$1:$AZ$1,),)=0,#N/A,VLOOKUP(A26,'DB Country PMI'!$A:$AZ,MATCH($A$1,'DB Country PMI'!$A$1:$AZ$1,),))</f>
        <v/>
      </c>
      <c r="C26" s="24">
        <f>Table13468111214[[#This Row],[Euro Area PMI]]-B25</f>
        <v/>
      </c>
      <c r="D26" s="11">
        <f>IF(VLOOKUP(Table13468111214[[#This Row],[Date]],'DB Global PMI'!$A:$F,4)=0,#N/A,VLOOKUP(Table13468111214[[#This Row],[Date]],'DB Global PMI'!$A:$F,4))</f>
        <v/>
      </c>
      <c r="E26" s="24">
        <f>Table13468111214[[#This Row],[Euro Area PMI]]-B14</f>
        <v/>
      </c>
      <c r="F26" s="52">
        <f>(Table13468111214[[#This Row],[EZU]]-D14)/D14</f>
        <v/>
      </c>
      <c r="G26" s="52">
        <f>IF(VLOOKUP(Table13468111214[[#This Row],[Date]],'DB Global PMI'!$A:$F,6)=0,"",VLOOKUP(Table13468111214[[#This Row],[Date]],'DB Global PMI'!$A:$F,6))</f>
        <v/>
      </c>
    </row>
    <row r="27">
      <c r="A27" s="10" t="n">
        <v>38961</v>
      </c>
      <c r="B27" s="18">
        <f>IF(VLOOKUP(A27,'DB Country PMI'!$A:$AZ,MATCH($A$1,'DB Country PMI'!$A$1:$AZ$1,),)=0,#N/A,VLOOKUP(A27,'DB Country PMI'!$A:$AZ,MATCH($A$1,'DB Country PMI'!$A$1:$AZ$1,),))</f>
        <v/>
      </c>
      <c r="C27" s="24">
        <f>Table13468111214[[#This Row],[Euro Area PMI]]-B26</f>
        <v/>
      </c>
      <c r="D27" s="11">
        <f>IF(VLOOKUP(Table13468111214[[#This Row],[Date]],'DB Global PMI'!$A:$F,4)=0,#N/A,VLOOKUP(Table13468111214[[#This Row],[Date]],'DB Global PMI'!$A:$F,4))</f>
        <v/>
      </c>
      <c r="E27" s="24">
        <f>Table13468111214[[#This Row],[Euro Area PMI]]-B15</f>
        <v/>
      </c>
      <c r="F27" s="52">
        <f>(Table13468111214[[#This Row],[EZU]]-D15)/D15</f>
        <v/>
      </c>
      <c r="G27" s="52">
        <f>IF(VLOOKUP(Table13468111214[[#This Row],[Date]],'DB Global PMI'!$A:$F,6)=0,"",VLOOKUP(Table13468111214[[#This Row],[Date]],'DB Global PMI'!$A:$F,6))</f>
        <v/>
      </c>
    </row>
    <row r="28">
      <c r="A28" s="10" t="n">
        <v>38991</v>
      </c>
      <c r="B28" s="18">
        <f>IF(VLOOKUP(A28,'DB Country PMI'!$A:$AZ,MATCH($A$1,'DB Country PMI'!$A$1:$AZ$1,),)=0,#N/A,VLOOKUP(A28,'DB Country PMI'!$A:$AZ,MATCH($A$1,'DB Country PMI'!$A$1:$AZ$1,),))</f>
        <v/>
      </c>
      <c r="C28" s="24">
        <f>Table13468111214[[#This Row],[Euro Area PMI]]-B27</f>
        <v/>
      </c>
      <c r="D28" s="11">
        <f>IF(VLOOKUP(Table13468111214[[#This Row],[Date]],'DB Global PMI'!$A:$F,4)=0,#N/A,VLOOKUP(Table13468111214[[#This Row],[Date]],'DB Global PMI'!$A:$F,4))</f>
        <v/>
      </c>
      <c r="E28" s="24">
        <f>Table13468111214[[#This Row],[Euro Area PMI]]-B16</f>
        <v/>
      </c>
      <c r="F28" s="52">
        <f>(Table13468111214[[#This Row],[EZU]]-D16)/D16</f>
        <v/>
      </c>
      <c r="G28" s="52">
        <f>IF(VLOOKUP(Table13468111214[[#This Row],[Date]],'DB Global PMI'!$A:$F,6)=0,"",VLOOKUP(Table13468111214[[#This Row],[Date]],'DB Global PMI'!$A:$F,6))</f>
        <v/>
      </c>
    </row>
    <row r="29">
      <c r="A29" s="10" t="n">
        <v>39022</v>
      </c>
      <c r="B29" s="18">
        <f>IF(VLOOKUP(A29,'DB Country PMI'!$A:$AZ,MATCH($A$1,'DB Country PMI'!$A$1:$AZ$1,),)=0,#N/A,VLOOKUP(A29,'DB Country PMI'!$A:$AZ,MATCH($A$1,'DB Country PMI'!$A$1:$AZ$1,),))</f>
        <v/>
      </c>
      <c r="C29" s="24">
        <f>Table13468111214[[#This Row],[Euro Area PMI]]-B28</f>
        <v/>
      </c>
      <c r="D29" s="11">
        <f>IF(VLOOKUP(Table13468111214[[#This Row],[Date]],'DB Global PMI'!$A:$F,4)=0,#N/A,VLOOKUP(Table13468111214[[#This Row],[Date]],'DB Global PMI'!$A:$F,4))</f>
        <v/>
      </c>
      <c r="E29" s="24">
        <f>Table13468111214[[#This Row],[Euro Area PMI]]-B17</f>
        <v/>
      </c>
      <c r="F29" s="52">
        <f>(Table13468111214[[#This Row],[EZU]]-D17)/D17</f>
        <v/>
      </c>
      <c r="G29" s="52">
        <f>IF(VLOOKUP(Table13468111214[[#This Row],[Date]],'DB Global PMI'!$A:$F,6)=0,"",VLOOKUP(Table13468111214[[#This Row],[Date]],'DB Global PMI'!$A:$F,6))</f>
        <v/>
      </c>
    </row>
    <row r="30">
      <c r="A30" s="10" t="n">
        <v>39052</v>
      </c>
      <c r="B30" s="18">
        <f>IF(VLOOKUP(A30,'DB Country PMI'!$A:$AZ,MATCH($A$1,'DB Country PMI'!$A$1:$AZ$1,),)=0,#N/A,VLOOKUP(A30,'DB Country PMI'!$A:$AZ,MATCH($A$1,'DB Country PMI'!$A$1:$AZ$1,),))</f>
        <v/>
      </c>
      <c r="C30" s="24">
        <f>Table13468111214[[#This Row],[Euro Area PMI]]-B29</f>
        <v/>
      </c>
      <c r="D30" s="11">
        <f>IF(VLOOKUP(Table13468111214[[#This Row],[Date]],'DB Global PMI'!$A:$F,4)=0,#N/A,VLOOKUP(Table13468111214[[#This Row],[Date]],'DB Global PMI'!$A:$F,4))</f>
        <v/>
      </c>
      <c r="E30" s="24">
        <f>Table13468111214[[#This Row],[Euro Area PMI]]-B18</f>
        <v/>
      </c>
      <c r="F30" s="52">
        <f>(Table13468111214[[#This Row],[EZU]]-D18)/D18</f>
        <v/>
      </c>
      <c r="G30" s="52">
        <f>IF(VLOOKUP(Table13468111214[[#This Row],[Date]],'DB Global PMI'!$A:$F,6)=0,"",VLOOKUP(Table13468111214[[#This Row],[Date]],'DB Global PMI'!$A:$F,6))</f>
        <v/>
      </c>
    </row>
    <row r="31">
      <c r="A31" s="10" t="n">
        <v>39083</v>
      </c>
      <c r="B31" s="18">
        <f>IF(VLOOKUP(A31,'DB Country PMI'!$A:$AZ,MATCH($A$1,'DB Country PMI'!$A$1:$AZ$1,),)=0,#N/A,VLOOKUP(A31,'DB Country PMI'!$A:$AZ,MATCH($A$1,'DB Country PMI'!$A$1:$AZ$1,),))</f>
        <v/>
      </c>
      <c r="C31" s="24">
        <f>Table13468111214[[#This Row],[Euro Area PMI]]-B30</f>
        <v/>
      </c>
      <c r="D31" s="11">
        <f>IF(VLOOKUP(Table13468111214[[#This Row],[Date]],'DB Global PMI'!$A:$F,4)=0,#N/A,VLOOKUP(Table13468111214[[#This Row],[Date]],'DB Global PMI'!$A:$F,4))</f>
        <v/>
      </c>
      <c r="E31" s="24">
        <f>Table13468111214[[#This Row],[Euro Area PMI]]-B19</f>
        <v/>
      </c>
      <c r="F31" s="52">
        <f>(Table13468111214[[#This Row],[EZU]]-D19)/D19</f>
        <v/>
      </c>
      <c r="G31" s="52">
        <f>IF(VLOOKUP(Table13468111214[[#This Row],[Date]],'DB Global PMI'!$A:$F,6)=0,"",VLOOKUP(Table13468111214[[#This Row],[Date]],'DB Global PMI'!$A:$F,6))</f>
        <v/>
      </c>
    </row>
    <row r="32">
      <c r="A32" s="10" t="n">
        <v>39114</v>
      </c>
      <c r="B32" s="18">
        <f>IF(VLOOKUP(A32,'DB Country PMI'!$A:$AZ,MATCH($A$1,'DB Country PMI'!$A$1:$AZ$1,),)=0,#N/A,VLOOKUP(A32,'DB Country PMI'!$A:$AZ,MATCH($A$1,'DB Country PMI'!$A$1:$AZ$1,),))</f>
        <v/>
      </c>
      <c r="C32" s="24">
        <f>Table13468111214[[#This Row],[Euro Area PMI]]-B31</f>
        <v/>
      </c>
      <c r="D32" s="11">
        <f>IF(VLOOKUP(Table13468111214[[#This Row],[Date]],'DB Global PMI'!$A:$F,4)=0,#N/A,VLOOKUP(Table13468111214[[#This Row],[Date]],'DB Global PMI'!$A:$F,4))</f>
        <v/>
      </c>
      <c r="E32" s="24">
        <f>Table13468111214[[#This Row],[Euro Area PMI]]-B20</f>
        <v/>
      </c>
      <c r="F32" s="52">
        <f>(Table13468111214[[#This Row],[EZU]]-D20)/D20</f>
        <v/>
      </c>
      <c r="G32" s="52">
        <f>IF(VLOOKUP(Table13468111214[[#This Row],[Date]],'DB Global PMI'!$A:$F,6)=0,"",VLOOKUP(Table13468111214[[#This Row],[Date]],'DB Global PMI'!$A:$F,6))</f>
        <v/>
      </c>
    </row>
    <row r="33">
      <c r="A33" s="10" t="n">
        <v>39142</v>
      </c>
      <c r="B33" s="18">
        <f>IF(VLOOKUP(A33,'DB Country PMI'!$A:$AZ,MATCH($A$1,'DB Country PMI'!$A$1:$AZ$1,),)=0,#N/A,VLOOKUP(A33,'DB Country PMI'!$A:$AZ,MATCH($A$1,'DB Country PMI'!$A$1:$AZ$1,),))</f>
        <v/>
      </c>
      <c r="C33" s="24">
        <f>Table13468111214[[#This Row],[Euro Area PMI]]-B32</f>
        <v/>
      </c>
      <c r="D33" s="11">
        <f>IF(VLOOKUP(Table13468111214[[#This Row],[Date]],'DB Global PMI'!$A:$F,4)=0,#N/A,VLOOKUP(Table13468111214[[#This Row],[Date]],'DB Global PMI'!$A:$F,4))</f>
        <v/>
      </c>
      <c r="E33" s="24">
        <f>Table13468111214[[#This Row],[Euro Area PMI]]-B21</f>
        <v/>
      </c>
      <c r="F33" s="52">
        <f>(Table13468111214[[#This Row],[EZU]]-D21)/D21</f>
        <v/>
      </c>
      <c r="G33" s="52">
        <f>IF(VLOOKUP(Table13468111214[[#This Row],[Date]],'DB Global PMI'!$A:$F,6)=0,"",VLOOKUP(Table13468111214[[#This Row],[Date]],'DB Global PMI'!$A:$F,6))</f>
        <v/>
      </c>
    </row>
    <row r="34">
      <c r="A34" s="10" t="n">
        <v>39173</v>
      </c>
      <c r="B34" s="18">
        <f>IF(VLOOKUP(A34,'DB Country PMI'!$A:$AZ,MATCH($A$1,'DB Country PMI'!$A$1:$AZ$1,),)=0,#N/A,VLOOKUP(A34,'DB Country PMI'!$A:$AZ,MATCH($A$1,'DB Country PMI'!$A$1:$AZ$1,),))</f>
        <v/>
      </c>
      <c r="C34" s="24">
        <f>Table13468111214[[#This Row],[Euro Area PMI]]-B33</f>
        <v/>
      </c>
      <c r="D34" s="11">
        <f>IF(VLOOKUP(Table13468111214[[#This Row],[Date]],'DB Global PMI'!$A:$F,4)=0,#N/A,VLOOKUP(Table13468111214[[#This Row],[Date]],'DB Global PMI'!$A:$F,4))</f>
        <v/>
      </c>
      <c r="E34" s="24">
        <f>Table13468111214[[#This Row],[Euro Area PMI]]-B22</f>
        <v/>
      </c>
      <c r="F34" s="52">
        <f>(Table13468111214[[#This Row],[EZU]]-D22)/D22</f>
        <v/>
      </c>
      <c r="G34" s="52">
        <f>IF(VLOOKUP(Table13468111214[[#This Row],[Date]],'DB Global PMI'!$A:$F,6)=0,"",VLOOKUP(Table13468111214[[#This Row],[Date]],'DB Global PMI'!$A:$F,6))</f>
        <v/>
      </c>
    </row>
    <row r="35">
      <c r="A35" s="10" t="n">
        <v>39203</v>
      </c>
      <c r="B35" s="18">
        <f>IF(VLOOKUP(A35,'DB Country PMI'!$A:$AZ,MATCH($A$1,'DB Country PMI'!$A$1:$AZ$1,),)=0,#N/A,VLOOKUP(A35,'DB Country PMI'!$A:$AZ,MATCH($A$1,'DB Country PMI'!$A$1:$AZ$1,),))</f>
        <v/>
      </c>
      <c r="C35" s="24">
        <f>Table13468111214[[#This Row],[Euro Area PMI]]-B34</f>
        <v/>
      </c>
      <c r="D35" s="11">
        <f>IF(VLOOKUP(Table13468111214[[#This Row],[Date]],'DB Global PMI'!$A:$F,4)=0,#N/A,VLOOKUP(Table13468111214[[#This Row],[Date]],'DB Global PMI'!$A:$F,4))</f>
        <v/>
      </c>
      <c r="E35" s="24">
        <f>Table13468111214[[#This Row],[Euro Area PMI]]-B23</f>
        <v/>
      </c>
      <c r="F35" s="52">
        <f>(Table13468111214[[#This Row],[EZU]]-D23)/D23</f>
        <v/>
      </c>
      <c r="G35" s="52">
        <f>IF(VLOOKUP(Table13468111214[[#This Row],[Date]],'DB Global PMI'!$A:$F,6)=0,"",VLOOKUP(Table13468111214[[#This Row],[Date]],'DB Global PMI'!$A:$F,6))</f>
        <v/>
      </c>
    </row>
    <row r="36">
      <c r="A36" s="10" t="n">
        <v>39234</v>
      </c>
      <c r="B36" s="18">
        <f>IF(VLOOKUP(A36,'DB Country PMI'!$A:$AZ,MATCH($A$1,'DB Country PMI'!$A$1:$AZ$1,),)=0,#N/A,VLOOKUP(A36,'DB Country PMI'!$A:$AZ,MATCH($A$1,'DB Country PMI'!$A$1:$AZ$1,),))</f>
        <v/>
      </c>
      <c r="C36" s="24">
        <f>Table13468111214[[#This Row],[Euro Area PMI]]-B35</f>
        <v/>
      </c>
      <c r="D36" s="11">
        <f>IF(VLOOKUP(Table13468111214[[#This Row],[Date]],'DB Global PMI'!$A:$F,4)=0,#N/A,VLOOKUP(Table13468111214[[#This Row],[Date]],'DB Global PMI'!$A:$F,4))</f>
        <v/>
      </c>
      <c r="E36" s="24">
        <f>Table13468111214[[#This Row],[Euro Area PMI]]-B24</f>
        <v/>
      </c>
      <c r="F36" s="52">
        <f>(Table13468111214[[#This Row],[EZU]]-D24)/D24</f>
        <v/>
      </c>
      <c r="G36" s="52">
        <f>IF(VLOOKUP(Table13468111214[[#This Row],[Date]],'DB Global PMI'!$A:$F,6)=0,"",VLOOKUP(Table13468111214[[#This Row],[Date]],'DB Global PMI'!$A:$F,6))</f>
        <v/>
      </c>
    </row>
    <row r="37">
      <c r="A37" s="10" t="n">
        <v>39264</v>
      </c>
      <c r="B37" s="18">
        <f>IF(VLOOKUP(A37,'DB Country PMI'!$A:$AZ,MATCH($A$1,'DB Country PMI'!$A$1:$AZ$1,),)=0,#N/A,VLOOKUP(A37,'DB Country PMI'!$A:$AZ,MATCH($A$1,'DB Country PMI'!$A$1:$AZ$1,),))</f>
        <v/>
      </c>
      <c r="C37" s="24">
        <f>Table13468111214[[#This Row],[Euro Area PMI]]-B36</f>
        <v/>
      </c>
      <c r="D37" s="11">
        <f>IF(VLOOKUP(Table13468111214[[#This Row],[Date]],'DB Global PMI'!$A:$F,4)=0,#N/A,VLOOKUP(Table13468111214[[#This Row],[Date]],'DB Global PMI'!$A:$F,4))</f>
        <v/>
      </c>
      <c r="E37" s="24">
        <f>Table13468111214[[#This Row],[Euro Area PMI]]-B25</f>
        <v/>
      </c>
      <c r="F37" s="52">
        <f>(Table13468111214[[#This Row],[EZU]]-D25)/D25</f>
        <v/>
      </c>
      <c r="G37" s="52">
        <f>IF(VLOOKUP(Table13468111214[[#This Row],[Date]],'DB Global PMI'!$A:$F,6)=0,"",VLOOKUP(Table13468111214[[#This Row],[Date]],'DB Global PMI'!$A:$F,6))</f>
        <v/>
      </c>
    </row>
    <row r="38">
      <c r="A38" s="10" t="n">
        <v>39295</v>
      </c>
      <c r="B38" s="18">
        <f>IF(VLOOKUP(A38,'DB Country PMI'!$A:$AZ,MATCH($A$1,'DB Country PMI'!$A$1:$AZ$1,),)=0,#N/A,VLOOKUP(A38,'DB Country PMI'!$A:$AZ,MATCH($A$1,'DB Country PMI'!$A$1:$AZ$1,),))</f>
        <v/>
      </c>
      <c r="C38" s="24">
        <f>Table13468111214[[#This Row],[Euro Area PMI]]-B37</f>
        <v/>
      </c>
      <c r="D38" s="11">
        <f>IF(VLOOKUP(Table13468111214[[#This Row],[Date]],'DB Global PMI'!$A:$F,4)=0,#N/A,VLOOKUP(Table13468111214[[#This Row],[Date]],'DB Global PMI'!$A:$F,4))</f>
        <v/>
      </c>
      <c r="E38" s="24">
        <f>Table13468111214[[#This Row],[Euro Area PMI]]-B26</f>
        <v/>
      </c>
      <c r="F38" s="52">
        <f>(Table13468111214[[#This Row],[EZU]]-D26)/D26</f>
        <v/>
      </c>
      <c r="G38" s="52">
        <f>IF(VLOOKUP(Table13468111214[[#This Row],[Date]],'DB Global PMI'!$A:$F,6)=0,"",VLOOKUP(Table13468111214[[#This Row],[Date]],'DB Global PMI'!$A:$F,6))</f>
        <v/>
      </c>
    </row>
    <row r="39">
      <c r="A39" s="10" t="n">
        <v>39326</v>
      </c>
      <c r="B39" s="18">
        <f>IF(VLOOKUP(A39,'DB Country PMI'!$A:$AZ,MATCH($A$1,'DB Country PMI'!$A$1:$AZ$1,),)=0,#N/A,VLOOKUP(A39,'DB Country PMI'!$A:$AZ,MATCH($A$1,'DB Country PMI'!$A$1:$AZ$1,),))</f>
        <v/>
      </c>
      <c r="C39" s="24">
        <f>Table13468111214[[#This Row],[Euro Area PMI]]-B38</f>
        <v/>
      </c>
      <c r="D39" s="11">
        <f>IF(VLOOKUP(Table13468111214[[#This Row],[Date]],'DB Global PMI'!$A:$F,4)=0,#N/A,VLOOKUP(Table13468111214[[#This Row],[Date]],'DB Global PMI'!$A:$F,4))</f>
        <v/>
      </c>
      <c r="E39" s="24">
        <f>Table13468111214[[#This Row],[Euro Area PMI]]-B27</f>
        <v/>
      </c>
      <c r="F39" s="52">
        <f>(Table13468111214[[#This Row],[EZU]]-D27)/D27</f>
        <v/>
      </c>
      <c r="G39" s="52">
        <f>IF(VLOOKUP(Table13468111214[[#This Row],[Date]],'DB Global PMI'!$A:$F,6)=0,"",VLOOKUP(Table13468111214[[#This Row],[Date]],'DB Global PMI'!$A:$F,6))</f>
        <v/>
      </c>
    </row>
    <row r="40">
      <c r="A40" s="10" t="n">
        <v>39356</v>
      </c>
      <c r="B40" s="18">
        <f>IF(VLOOKUP(A40,'DB Country PMI'!$A:$AZ,MATCH($A$1,'DB Country PMI'!$A$1:$AZ$1,),)=0,#N/A,VLOOKUP(A40,'DB Country PMI'!$A:$AZ,MATCH($A$1,'DB Country PMI'!$A$1:$AZ$1,),))</f>
        <v/>
      </c>
      <c r="C40" s="24">
        <f>Table13468111214[[#This Row],[Euro Area PMI]]-B39</f>
        <v/>
      </c>
      <c r="D40" s="11">
        <f>IF(VLOOKUP(Table13468111214[[#This Row],[Date]],'DB Global PMI'!$A:$F,4)=0,#N/A,VLOOKUP(Table13468111214[[#This Row],[Date]],'DB Global PMI'!$A:$F,4))</f>
        <v/>
      </c>
      <c r="E40" s="24">
        <f>Table13468111214[[#This Row],[Euro Area PMI]]-B28</f>
        <v/>
      </c>
      <c r="F40" s="52">
        <f>(Table13468111214[[#This Row],[EZU]]-D28)/D28</f>
        <v/>
      </c>
      <c r="G40" s="52">
        <f>IF(VLOOKUP(Table13468111214[[#This Row],[Date]],'DB Global PMI'!$A:$F,6)=0,"",VLOOKUP(Table13468111214[[#This Row],[Date]],'DB Global PMI'!$A:$F,6))</f>
        <v/>
      </c>
    </row>
    <row r="41">
      <c r="A41" s="10" t="n">
        <v>39387</v>
      </c>
      <c r="B41" s="18">
        <f>IF(VLOOKUP(A41,'DB Country PMI'!$A:$AZ,MATCH($A$1,'DB Country PMI'!$A$1:$AZ$1,),)=0,#N/A,VLOOKUP(A41,'DB Country PMI'!$A:$AZ,MATCH($A$1,'DB Country PMI'!$A$1:$AZ$1,),))</f>
        <v/>
      </c>
      <c r="C41" s="24">
        <f>Table13468111214[[#This Row],[Euro Area PMI]]-B40</f>
        <v/>
      </c>
      <c r="D41" s="11">
        <f>IF(VLOOKUP(Table13468111214[[#This Row],[Date]],'DB Global PMI'!$A:$F,4)=0,#N/A,VLOOKUP(Table13468111214[[#This Row],[Date]],'DB Global PMI'!$A:$F,4))</f>
        <v/>
      </c>
      <c r="E41" s="24">
        <f>Table13468111214[[#This Row],[Euro Area PMI]]-B29</f>
        <v/>
      </c>
      <c r="F41" s="52">
        <f>(Table13468111214[[#This Row],[EZU]]-D29)/D29</f>
        <v/>
      </c>
      <c r="G41" s="52">
        <f>IF(VLOOKUP(Table13468111214[[#This Row],[Date]],'DB Global PMI'!$A:$F,6)=0,"",VLOOKUP(Table13468111214[[#This Row],[Date]],'DB Global PMI'!$A:$F,6))</f>
        <v/>
      </c>
    </row>
    <row r="42">
      <c r="A42" s="10" t="n">
        <v>39417</v>
      </c>
      <c r="B42" s="18">
        <f>IF(VLOOKUP(A42,'DB Country PMI'!$A:$AZ,MATCH($A$1,'DB Country PMI'!$A$1:$AZ$1,),)=0,#N/A,VLOOKUP(A42,'DB Country PMI'!$A:$AZ,MATCH($A$1,'DB Country PMI'!$A$1:$AZ$1,),))</f>
        <v/>
      </c>
      <c r="C42" s="24">
        <f>Table13468111214[[#This Row],[Euro Area PMI]]-B41</f>
        <v/>
      </c>
      <c r="D42" s="11">
        <f>IF(VLOOKUP(Table13468111214[[#This Row],[Date]],'DB Global PMI'!$A:$F,4)=0,#N/A,VLOOKUP(Table13468111214[[#This Row],[Date]],'DB Global PMI'!$A:$F,4))</f>
        <v/>
      </c>
      <c r="E42" s="24">
        <f>Table13468111214[[#This Row],[Euro Area PMI]]-B30</f>
        <v/>
      </c>
      <c r="F42" s="52">
        <f>(Table13468111214[[#This Row],[EZU]]-D30)/D30</f>
        <v/>
      </c>
      <c r="G42" s="52">
        <f>IF(VLOOKUP(Table13468111214[[#This Row],[Date]],'DB Global PMI'!$A:$F,6)=0,"",VLOOKUP(Table13468111214[[#This Row],[Date]],'DB Global PMI'!$A:$F,6))</f>
        <v/>
      </c>
    </row>
    <row r="43">
      <c r="A43" s="10" t="n">
        <v>39448</v>
      </c>
      <c r="B43" s="18">
        <f>IF(VLOOKUP(A43,'DB Country PMI'!$A:$AZ,MATCH($A$1,'DB Country PMI'!$A$1:$AZ$1,),)=0,#N/A,VLOOKUP(A43,'DB Country PMI'!$A:$AZ,MATCH($A$1,'DB Country PMI'!$A$1:$AZ$1,),))</f>
        <v/>
      </c>
      <c r="C43" s="24">
        <f>Table13468111214[[#This Row],[Euro Area PMI]]-B42</f>
        <v/>
      </c>
      <c r="D43" s="11">
        <f>IF(VLOOKUP(Table13468111214[[#This Row],[Date]],'DB Global PMI'!$A:$F,4)=0,#N/A,VLOOKUP(Table13468111214[[#This Row],[Date]],'DB Global PMI'!$A:$F,4))</f>
        <v/>
      </c>
      <c r="E43" s="24">
        <f>Table13468111214[[#This Row],[Euro Area PMI]]-B31</f>
        <v/>
      </c>
      <c r="F43" s="52">
        <f>(Table13468111214[[#This Row],[EZU]]-D31)/D31</f>
        <v/>
      </c>
      <c r="G43" s="52">
        <f>IF(VLOOKUP(Table13468111214[[#This Row],[Date]],'DB Global PMI'!$A:$F,6)=0,"",VLOOKUP(Table13468111214[[#This Row],[Date]],'DB Global PMI'!$A:$F,6))</f>
        <v/>
      </c>
    </row>
    <row r="44">
      <c r="A44" s="10" t="n">
        <v>39479</v>
      </c>
      <c r="B44" s="18">
        <f>IF(VLOOKUP(A44,'DB Country PMI'!$A:$AZ,MATCH($A$1,'DB Country PMI'!$A$1:$AZ$1,),)=0,#N/A,VLOOKUP(A44,'DB Country PMI'!$A:$AZ,MATCH($A$1,'DB Country PMI'!$A$1:$AZ$1,),))</f>
        <v/>
      </c>
      <c r="C44" s="24">
        <f>Table13468111214[[#This Row],[Euro Area PMI]]-B43</f>
        <v/>
      </c>
      <c r="D44" s="11">
        <f>IF(VLOOKUP(Table13468111214[[#This Row],[Date]],'DB Global PMI'!$A:$F,4)=0,#N/A,VLOOKUP(Table13468111214[[#This Row],[Date]],'DB Global PMI'!$A:$F,4))</f>
        <v/>
      </c>
      <c r="E44" s="24">
        <f>Table13468111214[[#This Row],[Euro Area PMI]]-B32</f>
        <v/>
      </c>
      <c r="F44" s="52">
        <f>(Table13468111214[[#This Row],[EZU]]-D32)/D32</f>
        <v/>
      </c>
      <c r="G44" s="52">
        <f>IF(VLOOKUP(Table13468111214[[#This Row],[Date]],'DB Global PMI'!$A:$F,6)=0,"",VLOOKUP(Table13468111214[[#This Row],[Date]],'DB Global PMI'!$A:$F,6))</f>
        <v/>
      </c>
    </row>
    <row r="45">
      <c r="A45" s="10" t="n">
        <v>39508</v>
      </c>
      <c r="B45" s="18">
        <f>IF(VLOOKUP(A45,'DB Country PMI'!$A:$AZ,MATCH($A$1,'DB Country PMI'!$A$1:$AZ$1,),)=0,#N/A,VLOOKUP(A45,'DB Country PMI'!$A:$AZ,MATCH($A$1,'DB Country PMI'!$A$1:$AZ$1,),))</f>
        <v/>
      </c>
      <c r="C45" s="24">
        <f>Table13468111214[[#This Row],[Euro Area PMI]]-B44</f>
        <v/>
      </c>
      <c r="D45" s="11">
        <f>IF(VLOOKUP(Table13468111214[[#This Row],[Date]],'DB Global PMI'!$A:$F,4)=0,#N/A,VLOOKUP(Table13468111214[[#This Row],[Date]],'DB Global PMI'!$A:$F,4))</f>
        <v/>
      </c>
      <c r="E45" s="24">
        <f>Table13468111214[[#This Row],[Euro Area PMI]]-B33</f>
        <v/>
      </c>
      <c r="F45" s="52">
        <f>(Table13468111214[[#This Row],[EZU]]-D33)/D33</f>
        <v/>
      </c>
      <c r="G45" s="52">
        <f>IF(VLOOKUP(Table13468111214[[#This Row],[Date]],'DB Global PMI'!$A:$F,6)=0,"",VLOOKUP(Table13468111214[[#This Row],[Date]],'DB Global PMI'!$A:$F,6))</f>
        <v/>
      </c>
    </row>
    <row r="46">
      <c r="A46" s="10" t="n">
        <v>39539</v>
      </c>
      <c r="B46" s="18">
        <f>IF(VLOOKUP(A46,'DB Country PMI'!$A:$AZ,MATCH($A$1,'DB Country PMI'!$A$1:$AZ$1,),)=0,#N/A,VLOOKUP(A46,'DB Country PMI'!$A:$AZ,MATCH($A$1,'DB Country PMI'!$A$1:$AZ$1,),))</f>
        <v/>
      </c>
      <c r="C46" s="24">
        <f>Table13468111214[[#This Row],[Euro Area PMI]]-B45</f>
        <v/>
      </c>
      <c r="D46" s="11">
        <f>IF(VLOOKUP(Table13468111214[[#This Row],[Date]],'DB Global PMI'!$A:$F,4)=0,#N/A,VLOOKUP(Table13468111214[[#This Row],[Date]],'DB Global PMI'!$A:$F,4))</f>
        <v/>
      </c>
      <c r="E46" s="24">
        <f>Table13468111214[[#This Row],[Euro Area PMI]]-B34</f>
        <v/>
      </c>
      <c r="F46" s="52">
        <f>(Table13468111214[[#This Row],[EZU]]-D34)/D34</f>
        <v/>
      </c>
      <c r="G46" s="52">
        <f>IF(VLOOKUP(Table13468111214[[#This Row],[Date]],'DB Global PMI'!$A:$F,6)=0,"",VLOOKUP(Table13468111214[[#This Row],[Date]],'DB Global PMI'!$A:$F,6))</f>
        <v/>
      </c>
    </row>
    <row r="47">
      <c r="A47" s="10" t="n">
        <v>39569</v>
      </c>
      <c r="B47" s="18">
        <f>IF(VLOOKUP(A47,'DB Country PMI'!$A:$AZ,MATCH($A$1,'DB Country PMI'!$A$1:$AZ$1,),)=0,#N/A,VLOOKUP(A47,'DB Country PMI'!$A:$AZ,MATCH($A$1,'DB Country PMI'!$A$1:$AZ$1,),))</f>
        <v/>
      </c>
      <c r="C47" s="24">
        <f>Table13468111214[[#This Row],[Euro Area PMI]]-B46</f>
        <v/>
      </c>
      <c r="D47" s="11">
        <f>IF(VLOOKUP(Table13468111214[[#This Row],[Date]],'DB Global PMI'!$A:$F,4)=0,#N/A,VLOOKUP(Table13468111214[[#This Row],[Date]],'DB Global PMI'!$A:$F,4))</f>
        <v/>
      </c>
      <c r="E47" s="24">
        <f>Table13468111214[[#This Row],[Euro Area PMI]]-B35</f>
        <v/>
      </c>
      <c r="F47" s="52">
        <f>(Table13468111214[[#This Row],[EZU]]-D35)/D35</f>
        <v/>
      </c>
      <c r="G47" s="52">
        <f>IF(VLOOKUP(Table13468111214[[#This Row],[Date]],'DB Global PMI'!$A:$F,6)=0,"",VLOOKUP(Table13468111214[[#This Row],[Date]],'DB Global PMI'!$A:$F,6))</f>
        <v/>
      </c>
    </row>
    <row r="48">
      <c r="A48" s="10" t="n">
        <v>39600</v>
      </c>
      <c r="B48" s="18">
        <f>IF(VLOOKUP(A48,'DB Country PMI'!$A:$AZ,MATCH($A$1,'DB Country PMI'!$A$1:$AZ$1,),)=0,#N/A,VLOOKUP(A48,'DB Country PMI'!$A:$AZ,MATCH($A$1,'DB Country PMI'!$A$1:$AZ$1,),))</f>
        <v/>
      </c>
      <c r="C48" s="24">
        <f>Table13468111214[[#This Row],[Euro Area PMI]]-B47</f>
        <v/>
      </c>
      <c r="D48" s="11">
        <f>IF(VLOOKUP(Table13468111214[[#This Row],[Date]],'DB Global PMI'!$A:$F,4)=0,#N/A,VLOOKUP(Table13468111214[[#This Row],[Date]],'DB Global PMI'!$A:$F,4))</f>
        <v/>
      </c>
      <c r="E48" s="24">
        <f>Table13468111214[[#This Row],[Euro Area PMI]]-B36</f>
        <v/>
      </c>
      <c r="F48" s="52">
        <f>(Table13468111214[[#This Row],[EZU]]-D36)/D36</f>
        <v/>
      </c>
      <c r="G48" s="52">
        <f>IF(VLOOKUP(Table13468111214[[#This Row],[Date]],'DB Global PMI'!$A:$F,6)=0,"",VLOOKUP(Table13468111214[[#This Row],[Date]],'DB Global PMI'!$A:$F,6))</f>
        <v/>
      </c>
    </row>
    <row r="49">
      <c r="A49" s="10" t="n">
        <v>39630</v>
      </c>
      <c r="B49" s="18">
        <f>IF(VLOOKUP(A49,'DB Country PMI'!$A:$AZ,MATCH($A$1,'DB Country PMI'!$A$1:$AZ$1,),)=0,#N/A,VLOOKUP(A49,'DB Country PMI'!$A:$AZ,MATCH($A$1,'DB Country PMI'!$A$1:$AZ$1,),))</f>
        <v/>
      </c>
      <c r="C49" s="24">
        <f>Table13468111214[[#This Row],[Euro Area PMI]]-B48</f>
        <v/>
      </c>
      <c r="D49" s="11">
        <f>IF(VLOOKUP(Table13468111214[[#This Row],[Date]],'DB Global PMI'!$A:$F,4)=0,#N/A,VLOOKUP(Table13468111214[[#This Row],[Date]],'DB Global PMI'!$A:$F,4))</f>
        <v/>
      </c>
      <c r="E49" s="24">
        <f>Table13468111214[[#This Row],[Euro Area PMI]]-B37</f>
        <v/>
      </c>
      <c r="F49" s="52">
        <f>(Table13468111214[[#This Row],[EZU]]-D37)/D37</f>
        <v/>
      </c>
      <c r="G49" s="52">
        <f>IF(VLOOKUP(Table13468111214[[#This Row],[Date]],'DB Global PMI'!$A:$F,6)=0,"",VLOOKUP(Table13468111214[[#This Row],[Date]],'DB Global PMI'!$A:$F,6))</f>
        <v/>
      </c>
    </row>
    <row r="50">
      <c r="A50" s="10" t="n">
        <v>39661</v>
      </c>
      <c r="B50" s="18">
        <f>IF(VLOOKUP(A50,'DB Country PMI'!$A:$AZ,MATCH($A$1,'DB Country PMI'!$A$1:$AZ$1,),)=0,#N/A,VLOOKUP(A50,'DB Country PMI'!$A:$AZ,MATCH($A$1,'DB Country PMI'!$A$1:$AZ$1,),))</f>
        <v/>
      </c>
      <c r="C50" s="24">
        <f>Table13468111214[[#This Row],[Euro Area PMI]]-B49</f>
        <v/>
      </c>
      <c r="D50" s="11">
        <f>IF(VLOOKUP(Table13468111214[[#This Row],[Date]],'DB Global PMI'!$A:$F,4)=0,#N/A,VLOOKUP(Table13468111214[[#This Row],[Date]],'DB Global PMI'!$A:$F,4))</f>
        <v/>
      </c>
      <c r="E50" s="24">
        <f>Table13468111214[[#This Row],[Euro Area PMI]]-B38</f>
        <v/>
      </c>
      <c r="F50" s="52">
        <f>(Table13468111214[[#This Row],[EZU]]-D38)/D38</f>
        <v/>
      </c>
      <c r="G50" s="52">
        <f>IF(VLOOKUP(Table13468111214[[#This Row],[Date]],'DB Global PMI'!$A:$F,6)=0,"",VLOOKUP(Table13468111214[[#This Row],[Date]],'DB Global PMI'!$A:$F,6))</f>
        <v/>
      </c>
    </row>
    <row r="51">
      <c r="A51" s="10" t="n">
        <v>39692</v>
      </c>
      <c r="B51" s="18">
        <f>IF(VLOOKUP(A51,'DB Country PMI'!$A:$AZ,MATCH($A$1,'DB Country PMI'!$A$1:$AZ$1,),)=0,#N/A,VLOOKUP(A51,'DB Country PMI'!$A:$AZ,MATCH($A$1,'DB Country PMI'!$A$1:$AZ$1,),))</f>
        <v/>
      </c>
      <c r="C51" s="24">
        <f>Table13468111214[[#This Row],[Euro Area PMI]]-B50</f>
        <v/>
      </c>
      <c r="D51" s="11">
        <f>IF(VLOOKUP(Table13468111214[[#This Row],[Date]],'DB Global PMI'!$A:$F,4)=0,#N/A,VLOOKUP(Table13468111214[[#This Row],[Date]],'DB Global PMI'!$A:$F,4))</f>
        <v/>
      </c>
      <c r="E51" s="24">
        <f>Table13468111214[[#This Row],[Euro Area PMI]]-B39</f>
        <v/>
      </c>
      <c r="F51" s="52">
        <f>(Table13468111214[[#This Row],[EZU]]-D39)/D39</f>
        <v/>
      </c>
      <c r="G51" s="52">
        <f>IF(VLOOKUP(Table13468111214[[#This Row],[Date]],'DB Global PMI'!$A:$F,6)=0,"",VLOOKUP(Table13468111214[[#This Row],[Date]],'DB Global PMI'!$A:$F,6))</f>
        <v/>
      </c>
    </row>
    <row r="52">
      <c r="A52" s="10" t="n">
        <v>39722</v>
      </c>
      <c r="B52" s="18">
        <f>IF(VLOOKUP(A52,'DB Country PMI'!$A:$AZ,MATCH($A$1,'DB Country PMI'!$A$1:$AZ$1,),)=0,#N/A,VLOOKUP(A52,'DB Country PMI'!$A:$AZ,MATCH($A$1,'DB Country PMI'!$A$1:$AZ$1,),))</f>
        <v/>
      </c>
      <c r="C52" s="24">
        <f>Table13468111214[[#This Row],[Euro Area PMI]]-B51</f>
        <v/>
      </c>
      <c r="D52" s="11">
        <f>IF(VLOOKUP(Table13468111214[[#This Row],[Date]],'DB Global PMI'!$A:$F,4)=0,#N/A,VLOOKUP(Table13468111214[[#This Row],[Date]],'DB Global PMI'!$A:$F,4))</f>
        <v/>
      </c>
      <c r="E52" s="24">
        <f>Table13468111214[[#This Row],[Euro Area PMI]]-B40</f>
        <v/>
      </c>
      <c r="F52" s="52">
        <f>(Table13468111214[[#This Row],[EZU]]-D40)/D40</f>
        <v/>
      </c>
      <c r="G52" s="52">
        <f>IF(VLOOKUP(Table13468111214[[#This Row],[Date]],'DB Global PMI'!$A:$F,6)=0,"",VLOOKUP(Table13468111214[[#This Row],[Date]],'DB Global PMI'!$A:$F,6))</f>
        <v/>
      </c>
    </row>
    <row r="53">
      <c r="A53" s="10" t="n">
        <v>39753</v>
      </c>
      <c r="B53" s="18">
        <f>IF(VLOOKUP(A53,'DB Country PMI'!$A:$AZ,MATCH($A$1,'DB Country PMI'!$A$1:$AZ$1,),)=0,#N/A,VLOOKUP(A53,'DB Country PMI'!$A:$AZ,MATCH($A$1,'DB Country PMI'!$A$1:$AZ$1,),))</f>
        <v/>
      </c>
      <c r="C53" s="24">
        <f>Table13468111214[[#This Row],[Euro Area PMI]]-B52</f>
        <v/>
      </c>
      <c r="D53" s="11">
        <f>IF(VLOOKUP(Table13468111214[[#This Row],[Date]],'DB Global PMI'!$A:$F,4)=0,#N/A,VLOOKUP(Table13468111214[[#This Row],[Date]],'DB Global PMI'!$A:$F,4))</f>
        <v/>
      </c>
      <c r="E53" s="24">
        <f>Table13468111214[[#This Row],[Euro Area PMI]]-B41</f>
        <v/>
      </c>
      <c r="F53" s="52">
        <f>(Table13468111214[[#This Row],[EZU]]-D41)/D41</f>
        <v/>
      </c>
      <c r="G53" s="52">
        <f>IF(VLOOKUP(Table13468111214[[#This Row],[Date]],'DB Global PMI'!$A:$F,6)=0,"",VLOOKUP(Table13468111214[[#This Row],[Date]],'DB Global PMI'!$A:$F,6))</f>
        <v/>
      </c>
    </row>
    <row r="54">
      <c r="A54" s="10" t="n">
        <v>39783</v>
      </c>
      <c r="B54" s="18">
        <f>IF(VLOOKUP(A54,'DB Country PMI'!$A:$AZ,MATCH($A$1,'DB Country PMI'!$A$1:$AZ$1,),)=0,#N/A,VLOOKUP(A54,'DB Country PMI'!$A:$AZ,MATCH($A$1,'DB Country PMI'!$A$1:$AZ$1,),))</f>
        <v/>
      </c>
      <c r="C54" s="24">
        <f>Table13468111214[[#This Row],[Euro Area PMI]]-B53</f>
        <v/>
      </c>
      <c r="D54" s="11">
        <f>IF(VLOOKUP(Table13468111214[[#This Row],[Date]],'DB Global PMI'!$A:$F,4)=0,#N/A,VLOOKUP(Table13468111214[[#This Row],[Date]],'DB Global PMI'!$A:$F,4))</f>
        <v/>
      </c>
      <c r="E54" s="24">
        <f>Table13468111214[[#This Row],[Euro Area PMI]]-B42</f>
        <v/>
      </c>
      <c r="F54" s="52">
        <f>(Table13468111214[[#This Row],[EZU]]-D42)/D42</f>
        <v/>
      </c>
      <c r="G54" s="52">
        <f>IF(VLOOKUP(Table13468111214[[#This Row],[Date]],'DB Global PMI'!$A:$F,6)=0,"",VLOOKUP(Table13468111214[[#This Row],[Date]],'DB Global PMI'!$A:$F,6))</f>
        <v/>
      </c>
    </row>
    <row r="55">
      <c r="A55" s="10" t="n">
        <v>39814</v>
      </c>
      <c r="B55" s="18">
        <f>IF(VLOOKUP(A55,'DB Country PMI'!$A:$AZ,MATCH($A$1,'DB Country PMI'!$A$1:$AZ$1,),)=0,#N/A,VLOOKUP(A55,'DB Country PMI'!$A:$AZ,MATCH($A$1,'DB Country PMI'!$A$1:$AZ$1,),))</f>
        <v/>
      </c>
      <c r="C55" s="24">
        <f>Table13468111214[[#This Row],[Euro Area PMI]]-B54</f>
        <v/>
      </c>
      <c r="D55" s="11">
        <f>IF(VLOOKUP(Table13468111214[[#This Row],[Date]],'DB Global PMI'!$A:$F,4)=0,#N/A,VLOOKUP(Table13468111214[[#This Row],[Date]],'DB Global PMI'!$A:$F,4))</f>
        <v/>
      </c>
      <c r="E55" s="24">
        <f>Table13468111214[[#This Row],[Euro Area PMI]]-B43</f>
        <v/>
      </c>
      <c r="F55" s="52">
        <f>(Table13468111214[[#This Row],[EZU]]-D43)/D43</f>
        <v/>
      </c>
      <c r="G55" s="52">
        <f>IF(VLOOKUP(Table13468111214[[#This Row],[Date]],'DB Global PMI'!$A:$F,6)=0,"",VLOOKUP(Table13468111214[[#This Row],[Date]],'DB Global PMI'!$A:$F,6))</f>
        <v/>
      </c>
    </row>
    <row r="56">
      <c r="A56" s="10" t="n">
        <v>39845</v>
      </c>
      <c r="B56" s="18">
        <f>IF(VLOOKUP(A56,'DB Country PMI'!$A:$AZ,MATCH($A$1,'DB Country PMI'!$A$1:$AZ$1,),)=0,#N/A,VLOOKUP(A56,'DB Country PMI'!$A:$AZ,MATCH($A$1,'DB Country PMI'!$A$1:$AZ$1,),))</f>
        <v/>
      </c>
      <c r="C56" s="24">
        <f>Table13468111214[[#This Row],[Euro Area PMI]]-B55</f>
        <v/>
      </c>
      <c r="D56" s="11">
        <f>IF(VLOOKUP(Table13468111214[[#This Row],[Date]],'DB Global PMI'!$A:$F,4)=0,#N/A,VLOOKUP(Table13468111214[[#This Row],[Date]],'DB Global PMI'!$A:$F,4))</f>
        <v/>
      </c>
      <c r="E56" s="24">
        <f>Table13468111214[[#This Row],[Euro Area PMI]]-B44</f>
        <v/>
      </c>
      <c r="F56" s="52">
        <f>(Table13468111214[[#This Row],[EZU]]-D44)/D44</f>
        <v/>
      </c>
      <c r="G56" s="52">
        <f>IF(VLOOKUP(Table13468111214[[#This Row],[Date]],'DB Global PMI'!$A:$F,6)=0,"",VLOOKUP(Table13468111214[[#This Row],[Date]],'DB Global PMI'!$A:$F,6))</f>
        <v/>
      </c>
    </row>
    <row r="57">
      <c r="A57" s="10" t="n">
        <v>39873</v>
      </c>
      <c r="B57" s="18">
        <f>IF(VLOOKUP(A57,'DB Country PMI'!$A:$AZ,MATCH($A$1,'DB Country PMI'!$A$1:$AZ$1,),)=0,#N/A,VLOOKUP(A57,'DB Country PMI'!$A:$AZ,MATCH($A$1,'DB Country PMI'!$A$1:$AZ$1,),))</f>
        <v/>
      </c>
      <c r="C57" s="24">
        <f>Table13468111214[[#This Row],[Euro Area PMI]]-B56</f>
        <v/>
      </c>
      <c r="D57" s="11">
        <f>IF(VLOOKUP(Table13468111214[[#This Row],[Date]],'DB Global PMI'!$A:$F,4)=0,#N/A,VLOOKUP(Table13468111214[[#This Row],[Date]],'DB Global PMI'!$A:$F,4))</f>
        <v/>
      </c>
      <c r="E57" s="24">
        <f>Table13468111214[[#This Row],[Euro Area PMI]]-B45</f>
        <v/>
      </c>
      <c r="F57" s="52">
        <f>(Table13468111214[[#This Row],[EZU]]-D45)/D45</f>
        <v/>
      </c>
      <c r="G57" s="52">
        <f>IF(VLOOKUP(Table13468111214[[#This Row],[Date]],'DB Global PMI'!$A:$F,6)=0,"",VLOOKUP(Table13468111214[[#This Row],[Date]],'DB Global PMI'!$A:$F,6))</f>
        <v/>
      </c>
    </row>
    <row r="58">
      <c r="A58" s="10" t="n">
        <v>39904</v>
      </c>
      <c r="B58" s="18">
        <f>IF(VLOOKUP(A58,'DB Country PMI'!$A:$AZ,MATCH($A$1,'DB Country PMI'!$A$1:$AZ$1,),)=0,#N/A,VLOOKUP(A58,'DB Country PMI'!$A:$AZ,MATCH($A$1,'DB Country PMI'!$A$1:$AZ$1,),))</f>
        <v/>
      </c>
      <c r="C58" s="24">
        <f>Table13468111214[[#This Row],[Euro Area PMI]]-B57</f>
        <v/>
      </c>
      <c r="D58" s="11">
        <f>IF(VLOOKUP(Table13468111214[[#This Row],[Date]],'DB Global PMI'!$A:$F,4)=0,#N/A,VLOOKUP(Table13468111214[[#This Row],[Date]],'DB Global PMI'!$A:$F,4))</f>
        <v/>
      </c>
      <c r="E58" s="24">
        <f>Table13468111214[[#This Row],[Euro Area PMI]]-B46</f>
        <v/>
      </c>
      <c r="F58" s="52">
        <f>(Table13468111214[[#This Row],[EZU]]-D46)/D46</f>
        <v/>
      </c>
      <c r="G58" s="52">
        <f>IF(VLOOKUP(Table13468111214[[#This Row],[Date]],'DB Global PMI'!$A:$F,6)=0,"",VLOOKUP(Table13468111214[[#This Row],[Date]],'DB Global PMI'!$A:$F,6))</f>
        <v/>
      </c>
    </row>
    <row r="59">
      <c r="A59" s="10" t="n">
        <v>39934</v>
      </c>
      <c r="B59" s="18">
        <f>IF(VLOOKUP(A59,'DB Country PMI'!$A:$AZ,MATCH($A$1,'DB Country PMI'!$A$1:$AZ$1,),)=0,#N/A,VLOOKUP(A59,'DB Country PMI'!$A:$AZ,MATCH($A$1,'DB Country PMI'!$A$1:$AZ$1,),))</f>
        <v/>
      </c>
      <c r="C59" s="24">
        <f>Table13468111214[[#This Row],[Euro Area PMI]]-B58</f>
        <v/>
      </c>
      <c r="D59" s="11">
        <f>IF(VLOOKUP(Table13468111214[[#This Row],[Date]],'DB Global PMI'!$A:$F,4)=0,#N/A,VLOOKUP(Table13468111214[[#This Row],[Date]],'DB Global PMI'!$A:$F,4))</f>
        <v/>
      </c>
      <c r="E59" s="24">
        <f>Table13468111214[[#This Row],[Euro Area PMI]]-B47</f>
        <v/>
      </c>
      <c r="F59" s="52">
        <f>(Table13468111214[[#This Row],[EZU]]-D47)/D47</f>
        <v/>
      </c>
      <c r="G59" s="52">
        <f>IF(VLOOKUP(Table13468111214[[#This Row],[Date]],'DB Global PMI'!$A:$F,6)=0,"",VLOOKUP(Table13468111214[[#This Row],[Date]],'DB Global PMI'!$A:$F,6))</f>
        <v/>
      </c>
    </row>
    <row r="60">
      <c r="A60" s="10" t="n">
        <v>39965</v>
      </c>
      <c r="B60" s="18">
        <f>IF(VLOOKUP(A60,'DB Country PMI'!$A:$AZ,MATCH($A$1,'DB Country PMI'!$A$1:$AZ$1,),)=0,#N/A,VLOOKUP(A60,'DB Country PMI'!$A:$AZ,MATCH($A$1,'DB Country PMI'!$A$1:$AZ$1,),))</f>
        <v/>
      </c>
      <c r="C60" s="24">
        <f>Table13468111214[[#This Row],[Euro Area PMI]]-B59</f>
        <v/>
      </c>
      <c r="D60" s="11">
        <f>IF(VLOOKUP(Table13468111214[[#This Row],[Date]],'DB Global PMI'!$A:$F,4)=0,#N/A,VLOOKUP(Table13468111214[[#This Row],[Date]],'DB Global PMI'!$A:$F,4))</f>
        <v/>
      </c>
      <c r="E60" s="24">
        <f>Table13468111214[[#This Row],[Euro Area PMI]]-B48</f>
        <v/>
      </c>
      <c r="F60" s="52">
        <f>(Table13468111214[[#This Row],[EZU]]-D48)/D48</f>
        <v/>
      </c>
      <c r="G60" s="52">
        <f>IF(VLOOKUP(Table13468111214[[#This Row],[Date]],'DB Global PMI'!$A:$F,6)=0,"",VLOOKUP(Table13468111214[[#This Row],[Date]],'DB Global PMI'!$A:$F,6))</f>
        <v/>
      </c>
    </row>
    <row r="61">
      <c r="A61" s="10" t="n">
        <v>39995</v>
      </c>
      <c r="B61" s="18">
        <f>IF(VLOOKUP(A61,'DB Country PMI'!$A:$AZ,MATCH($A$1,'DB Country PMI'!$A$1:$AZ$1,),)=0,#N/A,VLOOKUP(A61,'DB Country PMI'!$A:$AZ,MATCH($A$1,'DB Country PMI'!$A$1:$AZ$1,),))</f>
        <v/>
      </c>
      <c r="C61" s="24">
        <f>Table13468111214[[#This Row],[Euro Area PMI]]-B60</f>
        <v/>
      </c>
      <c r="D61" s="11">
        <f>IF(VLOOKUP(Table13468111214[[#This Row],[Date]],'DB Global PMI'!$A:$F,4)=0,#N/A,VLOOKUP(Table13468111214[[#This Row],[Date]],'DB Global PMI'!$A:$F,4))</f>
        <v/>
      </c>
      <c r="E61" s="24">
        <f>Table13468111214[[#This Row],[Euro Area PMI]]-B49</f>
        <v/>
      </c>
      <c r="F61" s="52">
        <f>(Table13468111214[[#This Row],[EZU]]-D49)/D49</f>
        <v/>
      </c>
      <c r="G61" s="52">
        <f>IF(VLOOKUP(Table13468111214[[#This Row],[Date]],'DB Global PMI'!$A:$F,6)=0,"",VLOOKUP(Table13468111214[[#This Row],[Date]],'DB Global PMI'!$A:$F,6))</f>
        <v/>
      </c>
    </row>
    <row r="62">
      <c r="A62" s="10" t="n">
        <v>40026</v>
      </c>
      <c r="B62" s="18">
        <f>IF(VLOOKUP(A62,'DB Country PMI'!$A:$AZ,MATCH($A$1,'DB Country PMI'!$A$1:$AZ$1,),)=0,#N/A,VLOOKUP(A62,'DB Country PMI'!$A:$AZ,MATCH($A$1,'DB Country PMI'!$A$1:$AZ$1,),))</f>
        <v/>
      </c>
      <c r="C62" s="24">
        <f>Table13468111214[[#This Row],[Euro Area PMI]]-B61</f>
        <v/>
      </c>
      <c r="D62" s="11">
        <f>IF(VLOOKUP(Table13468111214[[#This Row],[Date]],'DB Global PMI'!$A:$F,4)=0,#N/A,VLOOKUP(Table13468111214[[#This Row],[Date]],'DB Global PMI'!$A:$F,4))</f>
        <v/>
      </c>
      <c r="E62" s="24">
        <f>Table13468111214[[#This Row],[Euro Area PMI]]-B50</f>
        <v/>
      </c>
      <c r="F62" s="52">
        <f>(Table13468111214[[#This Row],[EZU]]-D50)/D50</f>
        <v/>
      </c>
      <c r="G62" s="52">
        <f>IF(VLOOKUP(Table13468111214[[#This Row],[Date]],'DB Global PMI'!$A:$F,6)=0,"",VLOOKUP(Table13468111214[[#This Row],[Date]],'DB Global PMI'!$A:$F,6))</f>
        <v/>
      </c>
    </row>
    <row r="63">
      <c r="A63" s="10" t="n">
        <v>40057</v>
      </c>
      <c r="B63" s="18">
        <f>IF(VLOOKUP(A63,'DB Country PMI'!$A:$AZ,MATCH($A$1,'DB Country PMI'!$A$1:$AZ$1,),)=0,#N/A,VLOOKUP(A63,'DB Country PMI'!$A:$AZ,MATCH($A$1,'DB Country PMI'!$A$1:$AZ$1,),))</f>
        <v/>
      </c>
      <c r="C63" s="24">
        <f>Table13468111214[[#This Row],[Euro Area PMI]]-B62</f>
        <v/>
      </c>
      <c r="D63" s="11">
        <f>IF(VLOOKUP(Table13468111214[[#This Row],[Date]],'DB Global PMI'!$A:$F,4)=0,#N/A,VLOOKUP(Table13468111214[[#This Row],[Date]],'DB Global PMI'!$A:$F,4))</f>
        <v/>
      </c>
      <c r="E63" s="24">
        <f>Table13468111214[[#This Row],[Euro Area PMI]]-B51</f>
        <v/>
      </c>
      <c r="F63" s="52">
        <f>(Table13468111214[[#This Row],[EZU]]-D51)/D51</f>
        <v/>
      </c>
      <c r="G63" s="52">
        <f>IF(VLOOKUP(Table13468111214[[#This Row],[Date]],'DB Global PMI'!$A:$F,6)=0,"",VLOOKUP(Table13468111214[[#This Row],[Date]],'DB Global PMI'!$A:$F,6))</f>
        <v/>
      </c>
    </row>
    <row r="64">
      <c r="A64" s="10" t="n">
        <v>40087</v>
      </c>
      <c r="B64" s="18">
        <f>IF(VLOOKUP(A64,'DB Country PMI'!$A:$AZ,MATCH($A$1,'DB Country PMI'!$A$1:$AZ$1,),)=0,#N/A,VLOOKUP(A64,'DB Country PMI'!$A:$AZ,MATCH($A$1,'DB Country PMI'!$A$1:$AZ$1,),))</f>
        <v/>
      </c>
      <c r="C64" s="24">
        <f>Table13468111214[[#This Row],[Euro Area PMI]]-B63</f>
        <v/>
      </c>
      <c r="D64" s="11">
        <f>IF(VLOOKUP(Table13468111214[[#This Row],[Date]],'DB Global PMI'!$A:$F,4)=0,#N/A,VLOOKUP(Table13468111214[[#This Row],[Date]],'DB Global PMI'!$A:$F,4))</f>
        <v/>
      </c>
      <c r="E64" s="24">
        <f>Table13468111214[[#This Row],[Euro Area PMI]]-B52</f>
        <v/>
      </c>
      <c r="F64" s="52">
        <f>(Table13468111214[[#This Row],[EZU]]-D52)/D52</f>
        <v/>
      </c>
      <c r="G64" s="52">
        <f>IF(VLOOKUP(Table13468111214[[#This Row],[Date]],'DB Global PMI'!$A:$F,6)=0,"",VLOOKUP(Table13468111214[[#This Row],[Date]],'DB Global PMI'!$A:$F,6))</f>
        <v/>
      </c>
    </row>
    <row r="65">
      <c r="A65" s="10" t="n">
        <v>40118</v>
      </c>
      <c r="B65" s="18">
        <f>IF(VLOOKUP(A65,'DB Country PMI'!$A:$AZ,MATCH($A$1,'DB Country PMI'!$A$1:$AZ$1,),)=0,#N/A,VLOOKUP(A65,'DB Country PMI'!$A:$AZ,MATCH($A$1,'DB Country PMI'!$A$1:$AZ$1,),))</f>
        <v/>
      </c>
      <c r="C65" s="24">
        <f>Table13468111214[[#This Row],[Euro Area PMI]]-B64</f>
        <v/>
      </c>
      <c r="D65" s="11">
        <f>IF(VLOOKUP(Table13468111214[[#This Row],[Date]],'DB Global PMI'!$A:$F,4)=0,#N/A,VLOOKUP(Table13468111214[[#This Row],[Date]],'DB Global PMI'!$A:$F,4))</f>
        <v/>
      </c>
      <c r="E65" s="24">
        <f>Table13468111214[[#This Row],[Euro Area PMI]]-B53</f>
        <v/>
      </c>
      <c r="F65" s="52">
        <f>(Table13468111214[[#This Row],[EZU]]-D53)/D53</f>
        <v/>
      </c>
      <c r="G65" s="52">
        <f>IF(VLOOKUP(Table13468111214[[#This Row],[Date]],'DB Global PMI'!$A:$F,6)=0,"",VLOOKUP(Table13468111214[[#This Row],[Date]],'DB Global PMI'!$A:$F,6))</f>
        <v/>
      </c>
    </row>
    <row r="66">
      <c r="A66" s="10" t="n">
        <v>40148</v>
      </c>
      <c r="B66" s="18">
        <f>IF(VLOOKUP(A66,'DB Country PMI'!$A:$AZ,MATCH($A$1,'DB Country PMI'!$A$1:$AZ$1,),)=0,#N/A,VLOOKUP(A66,'DB Country PMI'!$A:$AZ,MATCH($A$1,'DB Country PMI'!$A$1:$AZ$1,),))</f>
        <v/>
      </c>
      <c r="C66" s="24">
        <f>Table13468111214[[#This Row],[Euro Area PMI]]-B65</f>
        <v/>
      </c>
      <c r="D66" s="11">
        <f>IF(VLOOKUP(Table13468111214[[#This Row],[Date]],'DB Global PMI'!$A:$F,4)=0,#N/A,VLOOKUP(Table13468111214[[#This Row],[Date]],'DB Global PMI'!$A:$F,4))</f>
        <v/>
      </c>
      <c r="E66" s="24">
        <f>Table13468111214[[#This Row],[Euro Area PMI]]-B54</f>
        <v/>
      </c>
      <c r="F66" s="52">
        <f>(Table13468111214[[#This Row],[EZU]]-D54)/D54</f>
        <v/>
      </c>
      <c r="G66" s="52">
        <f>IF(VLOOKUP(Table13468111214[[#This Row],[Date]],'DB Global PMI'!$A:$F,6)=0,"",VLOOKUP(Table13468111214[[#This Row],[Date]],'DB Global PMI'!$A:$F,6))</f>
        <v/>
      </c>
    </row>
    <row r="67">
      <c r="A67" s="10" t="n">
        <v>40179</v>
      </c>
      <c r="B67" s="18">
        <f>IF(VLOOKUP(A67,'DB Country PMI'!$A:$AZ,MATCH($A$1,'DB Country PMI'!$A$1:$AZ$1,),)=0,#N/A,VLOOKUP(A67,'DB Country PMI'!$A:$AZ,MATCH($A$1,'DB Country PMI'!$A$1:$AZ$1,),))</f>
        <v/>
      </c>
      <c r="C67" s="24">
        <f>Table13468111214[[#This Row],[Euro Area PMI]]-B66</f>
        <v/>
      </c>
      <c r="D67" s="11">
        <f>IF(VLOOKUP(Table13468111214[[#This Row],[Date]],'DB Global PMI'!$A:$F,4)=0,#N/A,VLOOKUP(Table13468111214[[#This Row],[Date]],'DB Global PMI'!$A:$F,4))</f>
        <v/>
      </c>
      <c r="E67" s="24">
        <f>Table13468111214[[#This Row],[Euro Area PMI]]-B55</f>
        <v/>
      </c>
      <c r="F67" s="52">
        <f>(Table13468111214[[#This Row],[EZU]]-D55)/D55</f>
        <v/>
      </c>
      <c r="G67" s="52">
        <f>IF(VLOOKUP(Table13468111214[[#This Row],[Date]],'DB Global PMI'!$A:$F,6)=0,"",VLOOKUP(Table13468111214[[#This Row],[Date]],'DB Global PMI'!$A:$F,6))</f>
        <v/>
      </c>
    </row>
    <row r="68">
      <c r="A68" s="10" t="n">
        <v>40210</v>
      </c>
      <c r="B68" s="18">
        <f>IF(VLOOKUP(A68,'DB Country PMI'!$A:$AZ,MATCH($A$1,'DB Country PMI'!$A$1:$AZ$1,),)=0,#N/A,VLOOKUP(A68,'DB Country PMI'!$A:$AZ,MATCH($A$1,'DB Country PMI'!$A$1:$AZ$1,),))</f>
        <v/>
      </c>
      <c r="C68" s="24">
        <f>Table13468111214[[#This Row],[Euro Area PMI]]-B67</f>
        <v/>
      </c>
      <c r="D68" s="11">
        <f>IF(VLOOKUP(Table13468111214[[#This Row],[Date]],'DB Global PMI'!$A:$F,4)=0,#N/A,VLOOKUP(Table13468111214[[#This Row],[Date]],'DB Global PMI'!$A:$F,4))</f>
        <v/>
      </c>
      <c r="E68" s="24">
        <f>Table13468111214[[#This Row],[Euro Area PMI]]-B56</f>
        <v/>
      </c>
      <c r="F68" s="52">
        <f>(Table13468111214[[#This Row],[EZU]]-D56)/D56</f>
        <v/>
      </c>
      <c r="G68" s="52">
        <f>IF(VLOOKUP(Table13468111214[[#This Row],[Date]],'DB Global PMI'!$A:$F,6)=0,"",VLOOKUP(Table13468111214[[#This Row],[Date]],'DB Global PMI'!$A:$F,6))</f>
        <v/>
      </c>
    </row>
    <row r="69">
      <c r="A69" s="10" t="n">
        <v>40238</v>
      </c>
      <c r="B69" s="18">
        <f>IF(VLOOKUP(A69,'DB Country PMI'!$A:$AZ,MATCH($A$1,'DB Country PMI'!$A$1:$AZ$1,),)=0,#N/A,VLOOKUP(A69,'DB Country PMI'!$A:$AZ,MATCH($A$1,'DB Country PMI'!$A$1:$AZ$1,),))</f>
        <v/>
      </c>
      <c r="C69" s="24">
        <f>Table13468111214[[#This Row],[Euro Area PMI]]-B68</f>
        <v/>
      </c>
      <c r="D69" s="11">
        <f>IF(VLOOKUP(Table13468111214[[#This Row],[Date]],'DB Global PMI'!$A:$F,4)=0,#N/A,VLOOKUP(Table13468111214[[#This Row],[Date]],'DB Global PMI'!$A:$F,4))</f>
        <v/>
      </c>
      <c r="E69" s="24">
        <f>Table13468111214[[#This Row],[Euro Area PMI]]-B57</f>
        <v/>
      </c>
      <c r="F69" s="52">
        <f>(Table13468111214[[#This Row],[EZU]]-D57)/D57</f>
        <v/>
      </c>
      <c r="G69" s="52">
        <f>IF(VLOOKUP(Table13468111214[[#This Row],[Date]],'DB Global PMI'!$A:$F,6)=0,"",VLOOKUP(Table13468111214[[#This Row],[Date]],'DB Global PMI'!$A:$F,6))</f>
        <v/>
      </c>
    </row>
    <row r="70">
      <c r="A70" s="10" t="n">
        <v>40269</v>
      </c>
      <c r="B70" s="18">
        <f>IF(VLOOKUP(A70,'DB Country PMI'!$A:$AZ,MATCH($A$1,'DB Country PMI'!$A$1:$AZ$1,),)=0,#N/A,VLOOKUP(A70,'DB Country PMI'!$A:$AZ,MATCH($A$1,'DB Country PMI'!$A$1:$AZ$1,),))</f>
        <v/>
      </c>
      <c r="C70" s="24">
        <f>Table13468111214[[#This Row],[Euro Area PMI]]-B69</f>
        <v/>
      </c>
      <c r="D70" s="11">
        <f>IF(VLOOKUP(Table13468111214[[#This Row],[Date]],'DB Global PMI'!$A:$F,4)=0,#N/A,VLOOKUP(Table13468111214[[#This Row],[Date]],'DB Global PMI'!$A:$F,4))</f>
        <v/>
      </c>
      <c r="E70" s="24">
        <f>Table13468111214[[#This Row],[Euro Area PMI]]-B58</f>
        <v/>
      </c>
      <c r="F70" s="52">
        <f>(Table13468111214[[#This Row],[EZU]]-D58)/D58</f>
        <v/>
      </c>
      <c r="G70" s="52">
        <f>IF(VLOOKUP(Table13468111214[[#This Row],[Date]],'DB Global PMI'!$A:$F,6)=0,"",VLOOKUP(Table13468111214[[#This Row],[Date]],'DB Global PMI'!$A:$F,6))</f>
        <v/>
      </c>
    </row>
    <row r="71">
      <c r="A71" s="10" t="n">
        <v>40299</v>
      </c>
      <c r="B71" s="18">
        <f>IF(VLOOKUP(A71,'DB Country PMI'!$A:$AZ,MATCH($A$1,'DB Country PMI'!$A$1:$AZ$1,),)=0,#N/A,VLOOKUP(A71,'DB Country PMI'!$A:$AZ,MATCH($A$1,'DB Country PMI'!$A$1:$AZ$1,),))</f>
        <v/>
      </c>
      <c r="C71" s="24">
        <f>Table13468111214[[#This Row],[Euro Area PMI]]-B70</f>
        <v/>
      </c>
      <c r="D71" s="11">
        <f>IF(VLOOKUP(Table13468111214[[#This Row],[Date]],'DB Global PMI'!$A:$F,4)=0,#N/A,VLOOKUP(Table13468111214[[#This Row],[Date]],'DB Global PMI'!$A:$F,4))</f>
        <v/>
      </c>
      <c r="E71" s="24">
        <f>Table13468111214[[#This Row],[Euro Area PMI]]-B59</f>
        <v/>
      </c>
      <c r="F71" s="52">
        <f>(Table13468111214[[#This Row],[EZU]]-D59)/D59</f>
        <v/>
      </c>
      <c r="G71" s="52">
        <f>IF(VLOOKUP(Table13468111214[[#This Row],[Date]],'DB Global PMI'!$A:$F,6)=0,"",VLOOKUP(Table13468111214[[#This Row],[Date]],'DB Global PMI'!$A:$F,6))</f>
        <v/>
      </c>
    </row>
    <row r="72">
      <c r="A72" s="10" t="n">
        <v>40330</v>
      </c>
      <c r="B72" s="18">
        <f>IF(VLOOKUP(A72,'DB Country PMI'!$A:$AZ,MATCH($A$1,'DB Country PMI'!$A$1:$AZ$1,),)=0,#N/A,VLOOKUP(A72,'DB Country PMI'!$A:$AZ,MATCH($A$1,'DB Country PMI'!$A$1:$AZ$1,),))</f>
        <v/>
      </c>
      <c r="C72" s="24">
        <f>Table13468111214[[#This Row],[Euro Area PMI]]-B71</f>
        <v/>
      </c>
      <c r="D72" s="11">
        <f>IF(VLOOKUP(Table13468111214[[#This Row],[Date]],'DB Global PMI'!$A:$F,4)=0,#N/A,VLOOKUP(Table13468111214[[#This Row],[Date]],'DB Global PMI'!$A:$F,4))</f>
        <v/>
      </c>
      <c r="E72" s="24">
        <f>Table13468111214[[#This Row],[Euro Area PMI]]-B60</f>
        <v/>
      </c>
      <c r="F72" s="52">
        <f>(Table13468111214[[#This Row],[EZU]]-D60)/D60</f>
        <v/>
      </c>
      <c r="G72" s="52">
        <f>IF(VLOOKUP(Table13468111214[[#This Row],[Date]],'DB Global PMI'!$A:$F,6)=0,"",VLOOKUP(Table13468111214[[#This Row],[Date]],'DB Global PMI'!$A:$F,6))</f>
        <v/>
      </c>
    </row>
    <row r="73">
      <c r="A73" s="10" t="n">
        <v>40360</v>
      </c>
      <c r="B73" s="18">
        <f>IF(VLOOKUP(A73,'DB Country PMI'!$A:$AZ,MATCH($A$1,'DB Country PMI'!$A$1:$AZ$1,),)=0,#N/A,VLOOKUP(A73,'DB Country PMI'!$A:$AZ,MATCH($A$1,'DB Country PMI'!$A$1:$AZ$1,),))</f>
        <v/>
      </c>
      <c r="C73" s="24">
        <f>Table13468111214[[#This Row],[Euro Area PMI]]-B72</f>
        <v/>
      </c>
      <c r="D73" s="11">
        <f>IF(VLOOKUP(Table13468111214[[#This Row],[Date]],'DB Global PMI'!$A:$F,4)=0,#N/A,VLOOKUP(Table13468111214[[#This Row],[Date]],'DB Global PMI'!$A:$F,4))</f>
        <v/>
      </c>
      <c r="E73" s="24">
        <f>Table13468111214[[#This Row],[Euro Area PMI]]-B61</f>
        <v/>
      </c>
      <c r="F73" s="52">
        <f>(Table13468111214[[#This Row],[EZU]]-D61)/D61</f>
        <v/>
      </c>
      <c r="G73" s="52">
        <f>IF(VLOOKUP(Table13468111214[[#This Row],[Date]],'DB Global PMI'!$A:$F,6)=0,"",VLOOKUP(Table13468111214[[#This Row],[Date]],'DB Global PMI'!$A:$F,6))</f>
        <v/>
      </c>
    </row>
    <row r="74">
      <c r="A74" s="10" t="n">
        <v>40391</v>
      </c>
      <c r="B74" s="18">
        <f>IF(VLOOKUP(A74,'DB Country PMI'!$A:$AZ,MATCH($A$1,'DB Country PMI'!$A$1:$AZ$1,),)=0,#N/A,VLOOKUP(A74,'DB Country PMI'!$A:$AZ,MATCH($A$1,'DB Country PMI'!$A$1:$AZ$1,),))</f>
        <v/>
      </c>
      <c r="C74" s="24">
        <f>Table13468111214[[#This Row],[Euro Area PMI]]-B73</f>
        <v/>
      </c>
      <c r="D74" s="11">
        <f>IF(VLOOKUP(Table13468111214[[#This Row],[Date]],'DB Global PMI'!$A:$F,4)=0,#N/A,VLOOKUP(Table13468111214[[#This Row],[Date]],'DB Global PMI'!$A:$F,4))</f>
        <v/>
      </c>
      <c r="E74" s="24">
        <f>Table13468111214[[#This Row],[Euro Area PMI]]-B62</f>
        <v/>
      </c>
      <c r="F74" s="52">
        <f>(Table13468111214[[#This Row],[EZU]]-D62)/D62</f>
        <v/>
      </c>
      <c r="G74" s="52">
        <f>IF(VLOOKUP(Table13468111214[[#This Row],[Date]],'DB Global PMI'!$A:$F,6)=0,"",VLOOKUP(Table13468111214[[#This Row],[Date]],'DB Global PMI'!$A:$F,6))</f>
        <v/>
      </c>
    </row>
    <row r="75">
      <c r="A75" s="10" t="n">
        <v>40422</v>
      </c>
      <c r="B75" s="18">
        <f>IF(VLOOKUP(A75,'DB Country PMI'!$A:$AZ,MATCH($A$1,'DB Country PMI'!$A$1:$AZ$1,),)=0,#N/A,VLOOKUP(A75,'DB Country PMI'!$A:$AZ,MATCH($A$1,'DB Country PMI'!$A$1:$AZ$1,),))</f>
        <v/>
      </c>
      <c r="C75" s="24">
        <f>Table13468111214[[#This Row],[Euro Area PMI]]-B74</f>
        <v/>
      </c>
      <c r="D75" s="11">
        <f>IF(VLOOKUP(Table13468111214[[#This Row],[Date]],'DB Global PMI'!$A:$F,4)=0,#N/A,VLOOKUP(Table13468111214[[#This Row],[Date]],'DB Global PMI'!$A:$F,4))</f>
        <v/>
      </c>
      <c r="E75" s="24">
        <f>Table13468111214[[#This Row],[Euro Area PMI]]-B63</f>
        <v/>
      </c>
      <c r="F75" s="52">
        <f>(Table13468111214[[#This Row],[EZU]]-D63)/D63</f>
        <v/>
      </c>
      <c r="G75" s="52">
        <f>IF(VLOOKUP(Table13468111214[[#This Row],[Date]],'DB Global PMI'!$A:$F,6)=0,"",VLOOKUP(Table13468111214[[#This Row],[Date]],'DB Global PMI'!$A:$F,6))</f>
        <v/>
      </c>
    </row>
    <row r="76">
      <c r="A76" s="10" t="n">
        <v>40452</v>
      </c>
      <c r="B76" s="18">
        <f>IF(VLOOKUP(A76,'DB Country PMI'!$A:$AZ,MATCH($A$1,'DB Country PMI'!$A$1:$AZ$1,),)=0,#N/A,VLOOKUP(A76,'DB Country PMI'!$A:$AZ,MATCH($A$1,'DB Country PMI'!$A$1:$AZ$1,),))</f>
        <v/>
      </c>
      <c r="C76" s="24">
        <f>Table13468111214[[#This Row],[Euro Area PMI]]-B75</f>
        <v/>
      </c>
      <c r="D76" s="11">
        <f>IF(VLOOKUP(Table13468111214[[#This Row],[Date]],'DB Global PMI'!$A:$F,4)=0,#N/A,VLOOKUP(Table13468111214[[#This Row],[Date]],'DB Global PMI'!$A:$F,4))</f>
        <v/>
      </c>
      <c r="E76" s="24">
        <f>Table13468111214[[#This Row],[Euro Area PMI]]-B64</f>
        <v/>
      </c>
      <c r="F76" s="52">
        <f>(Table13468111214[[#This Row],[EZU]]-D64)/D64</f>
        <v/>
      </c>
      <c r="G76" s="52">
        <f>IF(VLOOKUP(Table13468111214[[#This Row],[Date]],'DB Global PMI'!$A:$F,6)=0,"",VLOOKUP(Table13468111214[[#This Row],[Date]],'DB Global PMI'!$A:$F,6))</f>
        <v/>
      </c>
    </row>
    <row r="77">
      <c r="A77" s="10" t="n">
        <v>40483</v>
      </c>
      <c r="B77" s="18">
        <f>IF(VLOOKUP(A77,'DB Country PMI'!$A:$AZ,MATCH($A$1,'DB Country PMI'!$A$1:$AZ$1,),)=0,#N/A,VLOOKUP(A77,'DB Country PMI'!$A:$AZ,MATCH($A$1,'DB Country PMI'!$A$1:$AZ$1,),))</f>
        <v/>
      </c>
      <c r="C77" s="24">
        <f>Table13468111214[[#This Row],[Euro Area PMI]]-B76</f>
        <v/>
      </c>
      <c r="D77" s="11">
        <f>IF(VLOOKUP(Table13468111214[[#This Row],[Date]],'DB Global PMI'!$A:$F,4)=0,#N/A,VLOOKUP(Table13468111214[[#This Row],[Date]],'DB Global PMI'!$A:$F,4))</f>
        <v/>
      </c>
      <c r="E77" s="24">
        <f>Table13468111214[[#This Row],[Euro Area PMI]]-B65</f>
        <v/>
      </c>
      <c r="F77" s="52">
        <f>(Table13468111214[[#This Row],[EZU]]-D65)/D65</f>
        <v/>
      </c>
      <c r="G77" s="52">
        <f>IF(VLOOKUP(Table13468111214[[#This Row],[Date]],'DB Global PMI'!$A:$F,6)=0,"",VLOOKUP(Table13468111214[[#This Row],[Date]],'DB Global PMI'!$A:$F,6))</f>
        <v/>
      </c>
    </row>
    <row r="78">
      <c r="A78" s="10" t="n">
        <v>40513</v>
      </c>
      <c r="B78" s="18">
        <f>IF(VLOOKUP(A78,'DB Country PMI'!$A:$AZ,MATCH($A$1,'DB Country PMI'!$A$1:$AZ$1,),)=0,#N/A,VLOOKUP(A78,'DB Country PMI'!$A:$AZ,MATCH($A$1,'DB Country PMI'!$A$1:$AZ$1,),))</f>
        <v/>
      </c>
      <c r="C78" s="24">
        <f>Table13468111214[[#This Row],[Euro Area PMI]]-B77</f>
        <v/>
      </c>
      <c r="D78" s="11">
        <f>IF(VLOOKUP(Table13468111214[[#This Row],[Date]],'DB Global PMI'!$A:$F,4)=0,#N/A,VLOOKUP(Table13468111214[[#This Row],[Date]],'DB Global PMI'!$A:$F,4))</f>
        <v/>
      </c>
      <c r="E78" s="24">
        <f>Table13468111214[[#This Row],[Euro Area PMI]]-B66</f>
        <v/>
      </c>
      <c r="F78" s="52">
        <f>(Table13468111214[[#This Row],[EZU]]-D66)/D66</f>
        <v/>
      </c>
      <c r="G78" s="52">
        <f>IF(VLOOKUP(Table13468111214[[#This Row],[Date]],'DB Global PMI'!$A:$F,6)=0,"",VLOOKUP(Table13468111214[[#This Row],[Date]],'DB Global PMI'!$A:$F,6))</f>
        <v/>
      </c>
    </row>
    <row r="79">
      <c r="A79" s="10" t="n">
        <v>40544</v>
      </c>
      <c r="B79" s="18">
        <f>IF(VLOOKUP(A79,'DB Country PMI'!$A:$AZ,MATCH($A$1,'DB Country PMI'!$A$1:$AZ$1,),)=0,#N/A,VLOOKUP(A79,'DB Country PMI'!$A:$AZ,MATCH($A$1,'DB Country PMI'!$A$1:$AZ$1,),))</f>
        <v/>
      </c>
      <c r="C79" s="24">
        <f>Table13468111214[[#This Row],[Euro Area PMI]]-B78</f>
        <v/>
      </c>
      <c r="D79" s="11">
        <f>IF(VLOOKUP(Table13468111214[[#This Row],[Date]],'DB Global PMI'!$A:$F,4)=0,#N/A,VLOOKUP(Table13468111214[[#This Row],[Date]],'DB Global PMI'!$A:$F,4))</f>
        <v/>
      </c>
      <c r="E79" s="24">
        <f>Table13468111214[[#This Row],[Euro Area PMI]]-B67</f>
        <v/>
      </c>
      <c r="F79" s="52">
        <f>(Table13468111214[[#This Row],[EZU]]-D67)/D67</f>
        <v/>
      </c>
      <c r="G79" s="52">
        <f>IF(VLOOKUP(Table13468111214[[#This Row],[Date]],'DB Global PMI'!$A:$F,6)=0,"",VLOOKUP(Table13468111214[[#This Row],[Date]],'DB Global PMI'!$A:$F,6))</f>
        <v/>
      </c>
    </row>
    <row r="80">
      <c r="A80" s="10" t="n">
        <v>40575</v>
      </c>
      <c r="B80" s="18">
        <f>IF(VLOOKUP(A80,'DB Country PMI'!$A:$AZ,MATCH($A$1,'DB Country PMI'!$A$1:$AZ$1,),)=0,#N/A,VLOOKUP(A80,'DB Country PMI'!$A:$AZ,MATCH($A$1,'DB Country PMI'!$A$1:$AZ$1,),))</f>
        <v/>
      </c>
      <c r="C80" s="24">
        <f>Table13468111214[[#This Row],[Euro Area PMI]]-B79</f>
        <v/>
      </c>
      <c r="D80" s="11">
        <f>IF(VLOOKUP(Table13468111214[[#This Row],[Date]],'DB Global PMI'!$A:$F,4)=0,#N/A,VLOOKUP(Table13468111214[[#This Row],[Date]],'DB Global PMI'!$A:$F,4))</f>
        <v/>
      </c>
      <c r="E80" s="24">
        <f>Table13468111214[[#This Row],[Euro Area PMI]]-B68</f>
        <v/>
      </c>
      <c r="F80" s="52">
        <f>(Table13468111214[[#This Row],[EZU]]-D68)/D68</f>
        <v/>
      </c>
      <c r="G80" s="52">
        <f>IF(VLOOKUP(Table13468111214[[#This Row],[Date]],'DB Global PMI'!$A:$F,6)=0,"",VLOOKUP(Table13468111214[[#This Row],[Date]],'DB Global PMI'!$A:$F,6))</f>
        <v/>
      </c>
    </row>
    <row r="81">
      <c r="A81" s="10" t="n">
        <v>40603</v>
      </c>
      <c r="B81" s="18">
        <f>IF(VLOOKUP(A81,'DB Country PMI'!$A:$AZ,MATCH($A$1,'DB Country PMI'!$A$1:$AZ$1,),)=0,#N/A,VLOOKUP(A81,'DB Country PMI'!$A:$AZ,MATCH($A$1,'DB Country PMI'!$A$1:$AZ$1,),))</f>
        <v/>
      </c>
      <c r="C81" s="24">
        <f>Table13468111214[[#This Row],[Euro Area PMI]]-B80</f>
        <v/>
      </c>
      <c r="D81" s="11">
        <f>IF(VLOOKUP(Table13468111214[[#This Row],[Date]],'DB Global PMI'!$A:$F,4)=0,#N/A,VLOOKUP(Table13468111214[[#This Row],[Date]],'DB Global PMI'!$A:$F,4))</f>
        <v/>
      </c>
      <c r="E81" s="24">
        <f>Table13468111214[[#This Row],[Euro Area PMI]]-B69</f>
        <v/>
      </c>
      <c r="F81" s="52">
        <f>(Table13468111214[[#This Row],[EZU]]-D69)/D69</f>
        <v/>
      </c>
      <c r="G81" s="52">
        <f>IF(VLOOKUP(Table13468111214[[#This Row],[Date]],'DB Global PMI'!$A:$F,6)=0,"",VLOOKUP(Table13468111214[[#This Row],[Date]],'DB Global PMI'!$A:$F,6))</f>
        <v/>
      </c>
    </row>
    <row r="82">
      <c r="A82" s="10" t="n">
        <v>40634</v>
      </c>
      <c r="B82" s="18">
        <f>IF(VLOOKUP(A82,'DB Country PMI'!$A:$AZ,MATCH($A$1,'DB Country PMI'!$A$1:$AZ$1,),)=0,#N/A,VLOOKUP(A82,'DB Country PMI'!$A:$AZ,MATCH($A$1,'DB Country PMI'!$A$1:$AZ$1,),))</f>
        <v/>
      </c>
      <c r="C82" s="24">
        <f>Table13468111214[[#This Row],[Euro Area PMI]]-B81</f>
        <v/>
      </c>
      <c r="D82" s="11">
        <f>IF(VLOOKUP(Table13468111214[[#This Row],[Date]],'DB Global PMI'!$A:$F,4)=0,#N/A,VLOOKUP(Table13468111214[[#This Row],[Date]],'DB Global PMI'!$A:$F,4))</f>
        <v/>
      </c>
      <c r="E82" s="24">
        <f>Table13468111214[[#This Row],[Euro Area PMI]]-B70</f>
        <v/>
      </c>
      <c r="F82" s="52">
        <f>(Table13468111214[[#This Row],[EZU]]-D70)/D70</f>
        <v/>
      </c>
      <c r="G82" s="52">
        <f>IF(VLOOKUP(Table13468111214[[#This Row],[Date]],'DB Global PMI'!$A:$F,6)=0,"",VLOOKUP(Table13468111214[[#This Row],[Date]],'DB Global PMI'!$A:$F,6))</f>
        <v/>
      </c>
    </row>
    <row r="83">
      <c r="A83" s="10" t="n">
        <v>40664</v>
      </c>
      <c r="B83" s="18">
        <f>IF(VLOOKUP(A83,'DB Country PMI'!$A:$AZ,MATCH($A$1,'DB Country PMI'!$A$1:$AZ$1,),)=0,#N/A,VLOOKUP(A83,'DB Country PMI'!$A:$AZ,MATCH($A$1,'DB Country PMI'!$A$1:$AZ$1,),))</f>
        <v/>
      </c>
      <c r="C83" s="24">
        <f>Table13468111214[[#This Row],[Euro Area PMI]]-B82</f>
        <v/>
      </c>
      <c r="D83" s="11">
        <f>IF(VLOOKUP(Table13468111214[[#This Row],[Date]],'DB Global PMI'!$A:$F,4)=0,#N/A,VLOOKUP(Table13468111214[[#This Row],[Date]],'DB Global PMI'!$A:$F,4))</f>
        <v/>
      </c>
      <c r="E83" s="24">
        <f>Table13468111214[[#This Row],[Euro Area PMI]]-B71</f>
        <v/>
      </c>
      <c r="F83" s="52">
        <f>(Table13468111214[[#This Row],[EZU]]-D71)/D71</f>
        <v/>
      </c>
      <c r="G83" s="52">
        <f>IF(VLOOKUP(Table13468111214[[#This Row],[Date]],'DB Global PMI'!$A:$F,6)=0,"",VLOOKUP(Table13468111214[[#This Row],[Date]],'DB Global PMI'!$A:$F,6))</f>
        <v/>
      </c>
    </row>
    <row r="84">
      <c r="A84" s="10" t="n">
        <v>40695</v>
      </c>
      <c r="B84" s="18">
        <f>IF(VLOOKUP(A84,'DB Country PMI'!$A:$AZ,MATCH($A$1,'DB Country PMI'!$A$1:$AZ$1,),)=0,#N/A,VLOOKUP(A84,'DB Country PMI'!$A:$AZ,MATCH($A$1,'DB Country PMI'!$A$1:$AZ$1,),))</f>
        <v/>
      </c>
      <c r="C84" s="24">
        <f>Table13468111214[[#This Row],[Euro Area PMI]]-B83</f>
        <v/>
      </c>
      <c r="D84" s="11">
        <f>IF(VLOOKUP(Table13468111214[[#This Row],[Date]],'DB Global PMI'!$A:$F,4)=0,#N/A,VLOOKUP(Table13468111214[[#This Row],[Date]],'DB Global PMI'!$A:$F,4))</f>
        <v/>
      </c>
      <c r="E84" s="24">
        <f>Table13468111214[[#This Row],[Euro Area PMI]]-B72</f>
        <v/>
      </c>
      <c r="F84" s="52">
        <f>(Table13468111214[[#This Row],[EZU]]-D72)/D72</f>
        <v/>
      </c>
      <c r="G84" s="52">
        <f>IF(VLOOKUP(Table13468111214[[#This Row],[Date]],'DB Global PMI'!$A:$F,6)=0,"",VLOOKUP(Table13468111214[[#This Row],[Date]],'DB Global PMI'!$A:$F,6))</f>
        <v/>
      </c>
    </row>
    <row r="85">
      <c r="A85" s="10" t="n">
        <v>40725</v>
      </c>
      <c r="B85" s="18">
        <f>IF(VLOOKUP(A85,'DB Country PMI'!$A:$AZ,MATCH($A$1,'DB Country PMI'!$A$1:$AZ$1,),)=0,#N/A,VLOOKUP(A85,'DB Country PMI'!$A:$AZ,MATCH($A$1,'DB Country PMI'!$A$1:$AZ$1,),))</f>
        <v/>
      </c>
      <c r="C85" s="24">
        <f>Table13468111214[[#This Row],[Euro Area PMI]]-B84</f>
        <v/>
      </c>
      <c r="D85" s="11">
        <f>IF(VLOOKUP(Table13468111214[[#This Row],[Date]],'DB Global PMI'!$A:$F,4)=0,#N/A,VLOOKUP(Table13468111214[[#This Row],[Date]],'DB Global PMI'!$A:$F,4))</f>
        <v/>
      </c>
      <c r="E85" s="24">
        <f>Table13468111214[[#This Row],[Euro Area PMI]]-B73</f>
        <v/>
      </c>
      <c r="F85" s="52">
        <f>(Table13468111214[[#This Row],[EZU]]-D73)/D73</f>
        <v/>
      </c>
      <c r="G85" s="52">
        <f>IF(VLOOKUP(Table13468111214[[#This Row],[Date]],'DB Global PMI'!$A:$F,6)=0,"",VLOOKUP(Table13468111214[[#This Row],[Date]],'DB Global PMI'!$A:$F,6))</f>
        <v/>
      </c>
    </row>
    <row r="86">
      <c r="A86" s="10" t="n">
        <v>40756</v>
      </c>
      <c r="B86" s="18">
        <f>IF(VLOOKUP(A86,'DB Country PMI'!$A:$AZ,MATCH($A$1,'DB Country PMI'!$A$1:$AZ$1,),)=0,#N/A,VLOOKUP(A86,'DB Country PMI'!$A:$AZ,MATCH($A$1,'DB Country PMI'!$A$1:$AZ$1,),))</f>
        <v/>
      </c>
      <c r="C86" s="24">
        <f>Table13468111214[[#This Row],[Euro Area PMI]]-B85</f>
        <v/>
      </c>
      <c r="D86" s="11">
        <f>IF(VLOOKUP(Table13468111214[[#This Row],[Date]],'DB Global PMI'!$A:$F,4)=0,#N/A,VLOOKUP(Table13468111214[[#This Row],[Date]],'DB Global PMI'!$A:$F,4))</f>
        <v/>
      </c>
      <c r="E86" s="24">
        <f>Table13468111214[[#This Row],[Euro Area PMI]]-B74</f>
        <v/>
      </c>
      <c r="F86" s="52">
        <f>(Table13468111214[[#This Row],[EZU]]-D74)/D74</f>
        <v/>
      </c>
      <c r="G86" s="52">
        <f>IF(VLOOKUP(Table13468111214[[#This Row],[Date]],'DB Global PMI'!$A:$F,6)=0,"",VLOOKUP(Table13468111214[[#This Row],[Date]],'DB Global PMI'!$A:$F,6))</f>
        <v/>
      </c>
    </row>
    <row r="87">
      <c r="A87" s="10" t="n">
        <v>40787</v>
      </c>
      <c r="B87" s="18">
        <f>IF(VLOOKUP(A87,'DB Country PMI'!$A:$AZ,MATCH($A$1,'DB Country PMI'!$A$1:$AZ$1,),)=0,#N/A,VLOOKUP(A87,'DB Country PMI'!$A:$AZ,MATCH($A$1,'DB Country PMI'!$A$1:$AZ$1,),))</f>
        <v/>
      </c>
      <c r="C87" s="24">
        <f>Table13468111214[[#This Row],[Euro Area PMI]]-B86</f>
        <v/>
      </c>
      <c r="D87" s="11">
        <f>IF(VLOOKUP(Table13468111214[[#This Row],[Date]],'DB Global PMI'!$A:$F,4)=0,#N/A,VLOOKUP(Table13468111214[[#This Row],[Date]],'DB Global PMI'!$A:$F,4))</f>
        <v/>
      </c>
      <c r="E87" s="24">
        <f>Table13468111214[[#This Row],[Euro Area PMI]]-B75</f>
        <v/>
      </c>
      <c r="F87" s="52">
        <f>(Table13468111214[[#This Row],[EZU]]-D75)/D75</f>
        <v/>
      </c>
      <c r="G87" s="52">
        <f>IF(VLOOKUP(Table13468111214[[#This Row],[Date]],'DB Global PMI'!$A:$F,6)=0,"",VLOOKUP(Table13468111214[[#This Row],[Date]],'DB Global PMI'!$A:$F,6))</f>
        <v/>
      </c>
    </row>
    <row r="88">
      <c r="A88" s="10" t="n">
        <v>40817</v>
      </c>
      <c r="B88" s="18">
        <f>IF(VLOOKUP(A88,'DB Country PMI'!$A:$AZ,MATCH($A$1,'DB Country PMI'!$A$1:$AZ$1,),)=0,#N/A,VLOOKUP(A88,'DB Country PMI'!$A:$AZ,MATCH($A$1,'DB Country PMI'!$A$1:$AZ$1,),))</f>
        <v/>
      </c>
      <c r="C88" s="24">
        <f>Table13468111214[[#This Row],[Euro Area PMI]]-B87</f>
        <v/>
      </c>
      <c r="D88" s="11">
        <f>IF(VLOOKUP(Table13468111214[[#This Row],[Date]],'DB Global PMI'!$A:$F,4)=0,#N/A,VLOOKUP(Table13468111214[[#This Row],[Date]],'DB Global PMI'!$A:$F,4))</f>
        <v/>
      </c>
      <c r="E88" s="24">
        <f>Table13468111214[[#This Row],[Euro Area PMI]]-B76</f>
        <v/>
      </c>
      <c r="F88" s="52">
        <f>(Table13468111214[[#This Row],[EZU]]-D76)/D76</f>
        <v/>
      </c>
      <c r="G88" s="52">
        <f>IF(VLOOKUP(Table13468111214[[#This Row],[Date]],'DB Global PMI'!$A:$F,6)=0,"",VLOOKUP(Table13468111214[[#This Row],[Date]],'DB Global PMI'!$A:$F,6))</f>
        <v/>
      </c>
    </row>
    <row r="89">
      <c r="A89" s="10" t="n">
        <v>40848</v>
      </c>
      <c r="B89" s="18">
        <f>IF(VLOOKUP(A89,'DB Country PMI'!$A:$AZ,MATCH($A$1,'DB Country PMI'!$A$1:$AZ$1,),)=0,#N/A,VLOOKUP(A89,'DB Country PMI'!$A:$AZ,MATCH($A$1,'DB Country PMI'!$A$1:$AZ$1,),))</f>
        <v/>
      </c>
      <c r="C89" s="24">
        <f>Table13468111214[[#This Row],[Euro Area PMI]]-B88</f>
        <v/>
      </c>
      <c r="D89" s="11">
        <f>IF(VLOOKUP(Table13468111214[[#This Row],[Date]],'DB Global PMI'!$A:$F,4)=0,#N/A,VLOOKUP(Table13468111214[[#This Row],[Date]],'DB Global PMI'!$A:$F,4))</f>
        <v/>
      </c>
      <c r="E89" s="24">
        <f>Table13468111214[[#This Row],[Euro Area PMI]]-B77</f>
        <v/>
      </c>
      <c r="F89" s="52">
        <f>(Table13468111214[[#This Row],[EZU]]-D77)/D77</f>
        <v/>
      </c>
      <c r="G89" s="52">
        <f>IF(VLOOKUP(Table13468111214[[#This Row],[Date]],'DB Global PMI'!$A:$F,6)=0,"",VLOOKUP(Table13468111214[[#This Row],[Date]],'DB Global PMI'!$A:$F,6))</f>
        <v/>
      </c>
    </row>
    <row r="90">
      <c r="A90" s="10" t="n">
        <v>40878</v>
      </c>
      <c r="B90" s="18">
        <f>IF(VLOOKUP(A90,'DB Country PMI'!$A:$AZ,MATCH($A$1,'DB Country PMI'!$A$1:$AZ$1,),)=0,#N/A,VLOOKUP(A90,'DB Country PMI'!$A:$AZ,MATCH($A$1,'DB Country PMI'!$A$1:$AZ$1,),))</f>
        <v/>
      </c>
      <c r="C90" s="24">
        <f>Table13468111214[[#This Row],[Euro Area PMI]]-B89</f>
        <v/>
      </c>
      <c r="D90" s="11">
        <f>IF(VLOOKUP(Table13468111214[[#This Row],[Date]],'DB Global PMI'!$A:$F,4)=0,#N/A,VLOOKUP(Table13468111214[[#This Row],[Date]],'DB Global PMI'!$A:$F,4))</f>
        <v/>
      </c>
      <c r="E90" s="24">
        <f>Table13468111214[[#This Row],[Euro Area PMI]]-B78</f>
        <v/>
      </c>
      <c r="F90" s="52">
        <f>(Table13468111214[[#This Row],[EZU]]-D78)/D78</f>
        <v/>
      </c>
      <c r="G90" s="52">
        <f>IF(VLOOKUP(Table13468111214[[#This Row],[Date]],'DB Global PMI'!$A:$F,6)=0,"",VLOOKUP(Table13468111214[[#This Row],[Date]],'DB Global PMI'!$A:$F,6))</f>
        <v/>
      </c>
    </row>
    <row r="91">
      <c r="A91" s="10" t="n">
        <v>40909</v>
      </c>
      <c r="B91" s="18">
        <f>IF(VLOOKUP(A91,'DB Country PMI'!$A:$AZ,MATCH($A$1,'DB Country PMI'!$A$1:$AZ$1,),)=0,#N/A,VLOOKUP(A91,'DB Country PMI'!$A:$AZ,MATCH($A$1,'DB Country PMI'!$A$1:$AZ$1,),))</f>
        <v/>
      </c>
      <c r="C91" s="24">
        <f>Table13468111214[[#This Row],[Euro Area PMI]]-B90</f>
        <v/>
      </c>
      <c r="D91" s="11">
        <f>IF(VLOOKUP(Table13468111214[[#This Row],[Date]],'DB Global PMI'!$A:$F,4)=0,#N/A,VLOOKUP(Table13468111214[[#This Row],[Date]],'DB Global PMI'!$A:$F,4))</f>
        <v/>
      </c>
      <c r="E91" s="24">
        <f>Table13468111214[[#This Row],[Euro Area PMI]]-B79</f>
        <v/>
      </c>
      <c r="F91" s="52">
        <f>(Table13468111214[[#This Row],[EZU]]-D79)/D79</f>
        <v/>
      </c>
      <c r="G91" s="52">
        <f>IF(VLOOKUP(Table13468111214[[#This Row],[Date]],'DB Global PMI'!$A:$F,6)=0,"",VLOOKUP(Table13468111214[[#This Row],[Date]],'DB Global PMI'!$A:$F,6))</f>
        <v/>
      </c>
    </row>
    <row r="92">
      <c r="A92" s="10" t="n">
        <v>40940</v>
      </c>
      <c r="B92" s="18">
        <f>IF(VLOOKUP(A92,'DB Country PMI'!$A:$AZ,MATCH($A$1,'DB Country PMI'!$A$1:$AZ$1,),)=0,#N/A,VLOOKUP(A92,'DB Country PMI'!$A:$AZ,MATCH($A$1,'DB Country PMI'!$A$1:$AZ$1,),))</f>
        <v/>
      </c>
      <c r="C92" s="24">
        <f>Table13468111214[[#This Row],[Euro Area PMI]]-B91</f>
        <v/>
      </c>
      <c r="D92" s="11">
        <f>IF(VLOOKUP(Table13468111214[[#This Row],[Date]],'DB Global PMI'!$A:$F,4)=0,#N/A,VLOOKUP(Table13468111214[[#This Row],[Date]],'DB Global PMI'!$A:$F,4))</f>
        <v/>
      </c>
      <c r="E92" s="24">
        <f>Table13468111214[[#This Row],[Euro Area PMI]]-B80</f>
        <v/>
      </c>
      <c r="F92" s="52">
        <f>(Table13468111214[[#This Row],[EZU]]-D80)/D80</f>
        <v/>
      </c>
      <c r="G92" s="52">
        <f>IF(VLOOKUP(Table13468111214[[#This Row],[Date]],'DB Global PMI'!$A:$F,6)=0,"",VLOOKUP(Table13468111214[[#This Row],[Date]],'DB Global PMI'!$A:$F,6))</f>
        <v/>
      </c>
    </row>
    <row r="93">
      <c r="A93" s="10" t="n">
        <v>40969</v>
      </c>
      <c r="B93" s="18">
        <f>IF(VLOOKUP(A93,'DB Country PMI'!$A:$AZ,MATCH($A$1,'DB Country PMI'!$A$1:$AZ$1,),)=0,#N/A,VLOOKUP(A93,'DB Country PMI'!$A:$AZ,MATCH($A$1,'DB Country PMI'!$A$1:$AZ$1,),))</f>
        <v/>
      </c>
      <c r="C93" s="24">
        <f>Table13468111214[[#This Row],[Euro Area PMI]]-B92</f>
        <v/>
      </c>
      <c r="D93" s="11">
        <f>IF(VLOOKUP(Table13468111214[[#This Row],[Date]],'DB Global PMI'!$A:$F,4)=0,#N/A,VLOOKUP(Table13468111214[[#This Row],[Date]],'DB Global PMI'!$A:$F,4))</f>
        <v/>
      </c>
      <c r="E93" s="24">
        <f>Table13468111214[[#This Row],[Euro Area PMI]]-B81</f>
        <v/>
      </c>
      <c r="F93" s="52">
        <f>(Table13468111214[[#This Row],[EZU]]-D81)/D81</f>
        <v/>
      </c>
      <c r="G93" s="52">
        <f>IF(VLOOKUP(Table13468111214[[#This Row],[Date]],'DB Global PMI'!$A:$F,6)=0,"",VLOOKUP(Table13468111214[[#This Row],[Date]],'DB Global PMI'!$A:$F,6))</f>
        <v/>
      </c>
    </row>
    <row r="94">
      <c r="A94" s="10" t="n">
        <v>41000</v>
      </c>
      <c r="B94" s="18">
        <f>IF(VLOOKUP(A94,'DB Country PMI'!$A:$AZ,MATCH($A$1,'DB Country PMI'!$A$1:$AZ$1,),)=0,#N/A,VLOOKUP(A94,'DB Country PMI'!$A:$AZ,MATCH($A$1,'DB Country PMI'!$A$1:$AZ$1,),))</f>
        <v/>
      </c>
      <c r="C94" s="24">
        <f>Table13468111214[[#This Row],[Euro Area PMI]]-B93</f>
        <v/>
      </c>
      <c r="D94" s="11">
        <f>IF(VLOOKUP(Table13468111214[[#This Row],[Date]],'DB Global PMI'!$A:$F,4)=0,#N/A,VLOOKUP(Table13468111214[[#This Row],[Date]],'DB Global PMI'!$A:$F,4))</f>
        <v/>
      </c>
      <c r="E94" s="24">
        <f>Table13468111214[[#This Row],[Euro Area PMI]]-B82</f>
        <v/>
      </c>
      <c r="F94" s="52">
        <f>(Table13468111214[[#This Row],[EZU]]-D82)/D82</f>
        <v/>
      </c>
      <c r="G94" s="52">
        <f>IF(VLOOKUP(Table13468111214[[#This Row],[Date]],'DB Global PMI'!$A:$F,6)=0,"",VLOOKUP(Table13468111214[[#This Row],[Date]],'DB Global PMI'!$A:$F,6))</f>
        <v/>
      </c>
    </row>
    <row r="95">
      <c r="A95" s="10" t="n">
        <v>41030</v>
      </c>
      <c r="B95" s="18">
        <f>IF(VLOOKUP(A95,'DB Country PMI'!$A:$AZ,MATCH($A$1,'DB Country PMI'!$A$1:$AZ$1,),)=0,#N/A,VLOOKUP(A95,'DB Country PMI'!$A:$AZ,MATCH($A$1,'DB Country PMI'!$A$1:$AZ$1,),))</f>
        <v/>
      </c>
      <c r="C95" s="24">
        <f>Table13468111214[[#This Row],[Euro Area PMI]]-B94</f>
        <v/>
      </c>
      <c r="D95" s="11">
        <f>IF(VLOOKUP(Table13468111214[[#This Row],[Date]],'DB Global PMI'!$A:$F,4)=0,#N/A,VLOOKUP(Table13468111214[[#This Row],[Date]],'DB Global PMI'!$A:$F,4))</f>
        <v/>
      </c>
      <c r="E95" s="24">
        <f>Table13468111214[[#This Row],[Euro Area PMI]]-B83</f>
        <v/>
      </c>
      <c r="F95" s="52">
        <f>(Table13468111214[[#This Row],[EZU]]-D83)/D83</f>
        <v/>
      </c>
      <c r="G95" s="52">
        <f>IF(VLOOKUP(Table13468111214[[#This Row],[Date]],'DB Global PMI'!$A:$F,6)=0,"",VLOOKUP(Table13468111214[[#This Row],[Date]],'DB Global PMI'!$A:$F,6))</f>
        <v/>
      </c>
    </row>
    <row r="96">
      <c r="A96" s="10" t="n">
        <v>41061</v>
      </c>
      <c r="B96" s="18">
        <f>IF(VLOOKUP(A96,'DB Country PMI'!$A:$AZ,MATCH($A$1,'DB Country PMI'!$A$1:$AZ$1,),)=0,#N/A,VLOOKUP(A96,'DB Country PMI'!$A:$AZ,MATCH($A$1,'DB Country PMI'!$A$1:$AZ$1,),))</f>
        <v/>
      </c>
      <c r="C96" s="24">
        <f>Table13468111214[[#This Row],[Euro Area PMI]]-B95</f>
        <v/>
      </c>
      <c r="D96" s="11">
        <f>IF(VLOOKUP(Table13468111214[[#This Row],[Date]],'DB Global PMI'!$A:$F,4)=0,#N/A,VLOOKUP(Table13468111214[[#This Row],[Date]],'DB Global PMI'!$A:$F,4))</f>
        <v/>
      </c>
      <c r="E96" s="24">
        <f>Table13468111214[[#This Row],[Euro Area PMI]]-B84</f>
        <v/>
      </c>
      <c r="F96" s="52">
        <f>(Table13468111214[[#This Row],[EZU]]-D84)/D84</f>
        <v/>
      </c>
      <c r="G96" s="52">
        <f>IF(VLOOKUP(Table13468111214[[#This Row],[Date]],'DB Global PMI'!$A:$F,6)=0,"",VLOOKUP(Table13468111214[[#This Row],[Date]],'DB Global PMI'!$A:$F,6))</f>
        <v/>
      </c>
    </row>
    <row r="97">
      <c r="A97" s="10" t="n">
        <v>41091</v>
      </c>
      <c r="B97" s="18">
        <f>IF(VLOOKUP(A97,'DB Country PMI'!$A:$AZ,MATCH($A$1,'DB Country PMI'!$A$1:$AZ$1,),)=0,#N/A,VLOOKUP(A97,'DB Country PMI'!$A:$AZ,MATCH($A$1,'DB Country PMI'!$A$1:$AZ$1,),))</f>
        <v/>
      </c>
      <c r="C97" s="24">
        <f>Table13468111214[[#This Row],[Euro Area PMI]]-B96</f>
        <v/>
      </c>
      <c r="D97" s="11">
        <f>IF(VLOOKUP(Table13468111214[[#This Row],[Date]],'DB Global PMI'!$A:$F,4)=0,#N/A,VLOOKUP(Table13468111214[[#This Row],[Date]],'DB Global PMI'!$A:$F,4))</f>
        <v/>
      </c>
      <c r="E97" s="24">
        <f>Table13468111214[[#This Row],[Euro Area PMI]]-B85</f>
        <v/>
      </c>
      <c r="F97" s="52">
        <f>(Table13468111214[[#This Row],[EZU]]-D85)/D85</f>
        <v/>
      </c>
      <c r="G97" s="52">
        <f>IF(VLOOKUP(Table13468111214[[#This Row],[Date]],'DB Global PMI'!$A:$F,6)=0,"",VLOOKUP(Table13468111214[[#This Row],[Date]],'DB Global PMI'!$A:$F,6))</f>
        <v/>
      </c>
    </row>
    <row r="98">
      <c r="A98" s="10" t="n">
        <v>41122</v>
      </c>
      <c r="B98" s="18">
        <f>IF(VLOOKUP(A98,'DB Country PMI'!$A:$AZ,MATCH($A$1,'DB Country PMI'!$A$1:$AZ$1,),)=0,#N/A,VLOOKUP(A98,'DB Country PMI'!$A:$AZ,MATCH($A$1,'DB Country PMI'!$A$1:$AZ$1,),))</f>
        <v/>
      </c>
      <c r="C98" s="24">
        <f>Table13468111214[[#This Row],[Euro Area PMI]]-B97</f>
        <v/>
      </c>
      <c r="D98" s="11">
        <f>IF(VLOOKUP(Table13468111214[[#This Row],[Date]],'DB Global PMI'!$A:$F,4)=0,#N/A,VLOOKUP(Table13468111214[[#This Row],[Date]],'DB Global PMI'!$A:$F,4))</f>
        <v/>
      </c>
      <c r="E98" s="24">
        <f>Table13468111214[[#This Row],[Euro Area PMI]]-B86</f>
        <v/>
      </c>
      <c r="F98" s="52">
        <f>(Table13468111214[[#This Row],[EZU]]-D86)/D86</f>
        <v/>
      </c>
      <c r="G98" s="52">
        <f>IF(VLOOKUP(Table13468111214[[#This Row],[Date]],'DB Global PMI'!$A:$F,6)=0,"",VLOOKUP(Table13468111214[[#This Row],[Date]],'DB Global PMI'!$A:$F,6))</f>
        <v/>
      </c>
    </row>
    <row r="99">
      <c r="A99" s="10" t="n">
        <v>41153</v>
      </c>
      <c r="B99" s="18">
        <f>IF(VLOOKUP(A99,'DB Country PMI'!$A:$AZ,MATCH($A$1,'DB Country PMI'!$A$1:$AZ$1,),)=0,#N/A,VLOOKUP(A99,'DB Country PMI'!$A:$AZ,MATCH($A$1,'DB Country PMI'!$A$1:$AZ$1,),))</f>
        <v/>
      </c>
      <c r="C99" s="24">
        <f>Table13468111214[[#This Row],[Euro Area PMI]]-B98</f>
        <v/>
      </c>
      <c r="D99" s="11">
        <f>IF(VLOOKUP(Table13468111214[[#This Row],[Date]],'DB Global PMI'!$A:$F,4)=0,#N/A,VLOOKUP(Table13468111214[[#This Row],[Date]],'DB Global PMI'!$A:$F,4))</f>
        <v/>
      </c>
      <c r="E99" s="24">
        <f>Table13468111214[[#This Row],[Euro Area PMI]]-B87</f>
        <v/>
      </c>
      <c r="F99" s="52">
        <f>(Table13468111214[[#This Row],[EZU]]-D87)/D87</f>
        <v/>
      </c>
      <c r="G99" s="52">
        <f>IF(VLOOKUP(Table13468111214[[#This Row],[Date]],'DB Global PMI'!$A:$F,6)=0,"",VLOOKUP(Table13468111214[[#This Row],[Date]],'DB Global PMI'!$A:$F,6))</f>
        <v/>
      </c>
    </row>
    <row r="100">
      <c r="A100" s="10" t="n">
        <v>41183</v>
      </c>
      <c r="B100" s="18">
        <f>IF(VLOOKUP(A100,'DB Country PMI'!$A:$AZ,MATCH($A$1,'DB Country PMI'!$A$1:$AZ$1,),)=0,#N/A,VLOOKUP(A100,'DB Country PMI'!$A:$AZ,MATCH($A$1,'DB Country PMI'!$A$1:$AZ$1,),))</f>
        <v/>
      </c>
      <c r="C100" s="24">
        <f>Table13468111214[[#This Row],[Euro Area PMI]]-B99</f>
        <v/>
      </c>
      <c r="D100" s="11">
        <f>IF(VLOOKUP(Table13468111214[[#This Row],[Date]],'DB Global PMI'!$A:$F,4)=0,#N/A,VLOOKUP(Table13468111214[[#This Row],[Date]],'DB Global PMI'!$A:$F,4))</f>
        <v/>
      </c>
      <c r="E100" s="24">
        <f>Table13468111214[[#This Row],[Euro Area PMI]]-B88</f>
        <v/>
      </c>
      <c r="F100" s="52">
        <f>(Table13468111214[[#This Row],[EZU]]-D88)/D88</f>
        <v/>
      </c>
      <c r="G100" s="52">
        <f>IF(VLOOKUP(Table13468111214[[#This Row],[Date]],'DB Global PMI'!$A:$F,6)=0,"",VLOOKUP(Table13468111214[[#This Row],[Date]],'DB Global PMI'!$A:$F,6))</f>
        <v/>
      </c>
    </row>
    <row r="101">
      <c r="A101" s="10" t="n">
        <v>41214</v>
      </c>
      <c r="B101" s="18">
        <f>IF(VLOOKUP(A101,'DB Country PMI'!$A:$AZ,MATCH($A$1,'DB Country PMI'!$A$1:$AZ$1,),)=0,#N/A,VLOOKUP(A101,'DB Country PMI'!$A:$AZ,MATCH($A$1,'DB Country PMI'!$A$1:$AZ$1,),))</f>
        <v/>
      </c>
      <c r="C101" s="24">
        <f>Table13468111214[[#This Row],[Euro Area PMI]]-B100</f>
        <v/>
      </c>
      <c r="D101" s="11">
        <f>IF(VLOOKUP(Table13468111214[[#This Row],[Date]],'DB Global PMI'!$A:$F,4)=0,#N/A,VLOOKUP(Table13468111214[[#This Row],[Date]],'DB Global PMI'!$A:$F,4))</f>
        <v/>
      </c>
      <c r="E101" s="24">
        <f>Table13468111214[[#This Row],[Euro Area PMI]]-B89</f>
        <v/>
      </c>
      <c r="F101" s="52">
        <f>(Table13468111214[[#This Row],[EZU]]-D89)/D89</f>
        <v/>
      </c>
      <c r="G101" s="52">
        <f>IF(VLOOKUP(Table13468111214[[#This Row],[Date]],'DB Global PMI'!$A:$F,6)=0,"",VLOOKUP(Table13468111214[[#This Row],[Date]],'DB Global PMI'!$A:$F,6))</f>
        <v/>
      </c>
    </row>
    <row r="102">
      <c r="A102" s="10" t="n">
        <v>41244</v>
      </c>
      <c r="B102" s="18">
        <f>IF(VLOOKUP(A102,'DB Country PMI'!$A:$AZ,MATCH($A$1,'DB Country PMI'!$A$1:$AZ$1,),)=0,#N/A,VLOOKUP(A102,'DB Country PMI'!$A:$AZ,MATCH($A$1,'DB Country PMI'!$A$1:$AZ$1,),))</f>
        <v/>
      </c>
      <c r="C102" s="24">
        <f>Table13468111214[[#This Row],[Euro Area PMI]]-B101</f>
        <v/>
      </c>
      <c r="D102" s="11">
        <f>IF(VLOOKUP(Table13468111214[[#This Row],[Date]],'DB Global PMI'!$A:$F,4)=0,#N/A,VLOOKUP(Table13468111214[[#This Row],[Date]],'DB Global PMI'!$A:$F,4))</f>
        <v/>
      </c>
      <c r="E102" s="24">
        <f>Table13468111214[[#This Row],[Euro Area PMI]]-B90</f>
        <v/>
      </c>
      <c r="F102" s="52">
        <f>(Table13468111214[[#This Row],[EZU]]-D90)/D90</f>
        <v/>
      </c>
      <c r="G102" s="52">
        <f>IF(VLOOKUP(Table13468111214[[#This Row],[Date]],'DB Global PMI'!$A:$F,6)=0,"",VLOOKUP(Table13468111214[[#This Row],[Date]],'DB Global PMI'!$A:$F,6))</f>
        <v/>
      </c>
    </row>
    <row r="103">
      <c r="A103" s="10" t="n">
        <v>41275</v>
      </c>
      <c r="B103" s="18">
        <f>IF(VLOOKUP(A103,'DB Country PMI'!$A:$AZ,MATCH($A$1,'DB Country PMI'!$A$1:$AZ$1,),)=0,#N/A,VLOOKUP(A103,'DB Country PMI'!$A:$AZ,MATCH($A$1,'DB Country PMI'!$A$1:$AZ$1,),))</f>
        <v/>
      </c>
      <c r="C103" s="24">
        <f>Table13468111214[[#This Row],[Euro Area PMI]]-B102</f>
        <v/>
      </c>
      <c r="D103" s="11">
        <f>IF(VLOOKUP(Table13468111214[[#This Row],[Date]],'DB Global PMI'!$A:$F,4)=0,#N/A,VLOOKUP(Table13468111214[[#This Row],[Date]],'DB Global PMI'!$A:$F,4))</f>
        <v/>
      </c>
      <c r="E103" s="24">
        <f>Table13468111214[[#This Row],[Euro Area PMI]]-B91</f>
        <v/>
      </c>
      <c r="F103" s="52">
        <f>(Table13468111214[[#This Row],[EZU]]-D91)/D91</f>
        <v/>
      </c>
      <c r="G103" s="52">
        <f>IF(VLOOKUP(Table13468111214[[#This Row],[Date]],'DB Global PMI'!$A:$F,6)=0,"",VLOOKUP(Table13468111214[[#This Row],[Date]],'DB Global PMI'!$A:$F,6))</f>
        <v/>
      </c>
    </row>
    <row r="104">
      <c r="A104" s="10" t="n">
        <v>41306</v>
      </c>
      <c r="B104" s="18">
        <f>IF(VLOOKUP(A104,'DB Country PMI'!$A:$AZ,MATCH($A$1,'DB Country PMI'!$A$1:$AZ$1,),)=0,#N/A,VLOOKUP(A104,'DB Country PMI'!$A:$AZ,MATCH($A$1,'DB Country PMI'!$A$1:$AZ$1,),))</f>
        <v/>
      </c>
      <c r="C104" s="24">
        <f>Table13468111214[[#This Row],[Euro Area PMI]]-B103</f>
        <v/>
      </c>
      <c r="D104" s="11">
        <f>IF(VLOOKUP(Table13468111214[[#This Row],[Date]],'DB Global PMI'!$A:$F,4)=0,#N/A,VLOOKUP(Table13468111214[[#This Row],[Date]],'DB Global PMI'!$A:$F,4))</f>
        <v/>
      </c>
      <c r="E104" s="24">
        <f>Table13468111214[[#This Row],[Euro Area PMI]]-B92</f>
        <v/>
      </c>
      <c r="F104" s="52">
        <f>(Table13468111214[[#This Row],[EZU]]-D92)/D92</f>
        <v/>
      </c>
      <c r="G104" s="52">
        <f>IF(VLOOKUP(Table13468111214[[#This Row],[Date]],'DB Global PMI'!$A:$F,6)=0,"",VLOOKUP(Table13468111214[[#This Row],[Date]],'DB Global PMI'!$A:$F,6))</f>
        <v/>
      </c>
    </row>
    <row r="105">
      <c r="A105" s="10" t="n">
        <v>41334</v>
      </c>
      <c r="B105" s="18">
        <f>IF(VLOOKUP(A105,'DB Country PMI'!$A:$AZ,MATCH($A$1,'DB Country PMI'!$A$1:$AZ$1,),)=0,#N/A,VLOOKUP(A105,'DB Country PMI'!$A:$AZ,MATCH($A$1,'DB Country PMI'!$A$1:$AZ$1,),))</f>
        <v/>
      </c>
      <c r="C105" s="24">
        <f>Table13468111214[[#This Row],[Euro Area PMI]]-B104</f>
        <v/>
      </c>
      <c r="D105" s="11">
        <f>IF(VLOOKUP(Table13468111214[[#This Row],[Date]],'DB Global PMI'!$A:$F,4)=0,#N/A,VLOOKUP(Table13468111214[[#This Row],[Date]],'DB Global PMI'!$A:$F,4))</f>
        <v/>
      </c>
      <c r="E105" s="24">
        <f>Table13468111214[[#This Row],[Euro Area PMI]]-B93</f>
        <v/>
      </c>
      <c r="F105" s="52">
        <f>(Table13468111214[[#This Row],[EZU]]-D93)/D93</f>
        <v/>
      </c>
      <c r="G105" s="52">
        <f>IF(VLOOKUP(Table13468111214[[#This Row],[Date]],'DB Global PMI'!$A:$F,6)=0,"",VLOOKUP(Table13468111214[[#This Row],[Date]],'DB Global PMI'!$A:$F,6))</f>
        <v/>
      </c>
    </row>
    <row r="106">
      <c r="A106" s="10" t="n">
        <v>41365</v>
      </c>
      <c r="B106" s="18">
        <f>IF(VLOOKUP(A106,'DB Country PMI'!$A:$AZ,MATCH($A$1,'DB Country PMI'!$A$1:$AZ$1,),)=0,#N/A,VLOOKUP(A106,'DB Country PMI'!$A:$AZ,MATCH($A$1,'DB Country PMI'!$A$1:$AZ$1,),))</f>
        <v/>
      </c>
      <c r="C106" s="24">
        <f>Table13468111214[[#This Row],[Euro Area PMI]]-B105</f>
        <v/>
      </c>
      <c r="D106" s="11">
        <f>IF(VLOOKUP(Table13468111214[[#This Row],[Date]],'DB Global PMI'!$A:$F,4)=0,#N/A,VLOOKUP(Table13468111214[[#This Row],[Date]],'DB Global PMI'!$A:$F,4))</f>
        <v/>
      </c>
      <c r="E106" s="24">
        <f>Table13468111214[[#This Row],[Euro Area PMI]]-B94</f>
        <v/>
      </c>
      <c r="F106" s="52">
        <f>(Table13468111214[[#This Row],[EZU]]-D94)/D94</f>
        <v/>
      </c>
      <c r="G106" s="52">
        <f>IF(VLOOKUP(Table13468111214[[#This Row],[Date]],'DB Global PMI'!$A:$F,6)=0,"",VLOOKUP(Table13468111214[[#This Row],[Date]],'DB Global PMI'!$A:$F,6))</f>
        <v/>
      </c>
    </row>
    <row r="107">
      <c r="A107" s="10" t="n">
        <v>41395</v>
      </c>
      <c r="B107" s="18">
        <f>IF(VLOOKUP(A107,'DB Country PMI'!$A:$AZ,MATCH($A$1,'DB Country PMI'!$A$1:$AZ$1,),)=0,#N/A,VLOOKUP(A107,'DB Country PMI'!$A:$AZ,MATCH($A$1,'DB Country PMI'!$A$1:$AZ$1,),))</f>
        <v/>
      </c>
      <c r="C107" s="24">
        <f>Table13468111214[[#This Row],[Euro Area PMI]]-B106</f>
        <v/>
      </c>
      <c r="D107" s="11">
        <f>IF(VLOOKUP(Table13468111214[[#This Row],[Date]],'DB Global PMI'!$A:$F,4)=0,#N/A,VLOOKUP(Table13468111214[[#This Row],[Date]],'DB Global PMI'!$A:$F,4))</f>
        <v/>
      </c>
      <c r="E107" s="24">
        <f>Table13468111214[[#This Row],[Euro Area PMI]]-B95</f>
        <v/>
      </c>
      <c r="F107" s="52">
        <f>(Table13468111214[[#This Row],[EZU]]-D95)/D95</f>
        <v/>
      </c>
      <c r="G107" s="52">
        <f>IF(VLOOKUP(Table13468111214[[#This Row],[Date]],'DB Global PMI'!$A:$F,6)=0,"",VLOOKUP(Table13468111214[[#This Row],[Date]],'DB Global PMI'!$A:$F,6))</f>
        <v/>
      </c>
    </row>
    <row r="108">
      <c r="A108" s="10" t="n">
        <v>41426</v>
      </c>
      <c r="B108" s="18">
        <f>IF(VLOOKUP(A108,'DB Country PMI'!$A:$AZ,MATCH($A$1,'DB Country PMI'!$A$1:$AZ$1,),)=0,#N/A,VLOOKUP(A108,'DB Country PMI'!$A:$AZ,MATCH($A$1,'DB Country PMI'!$A$1:$AZ$1,),))</f>
        <v/>
      </c>
      <c r="C108" s="24">
        <f>Table13468111214[[#This Row],[Euro Area PMI]]-B107</f>
        <v/>
      </c>
      <c r="D108" s="11">
        <f>IF(VLOOKUP(Table13468111214[[#This Row],[Date]],'DB Global PMI'!$A:$F,4)=0,#N/A,VLOOKUP(Table13468111214[[#This Row],[Date]],'DB Global PMI'!$A:$F,4))</f>
        <v/>
      </c>
      <c r="E108" s="24">
        <f>Table13468111214[[#This Row],[Euro Area PMI]]-B96</f>
        <v/>
      </c>
      <c r="F108" s="52">
        <f>(Table13468111214[[#This Row],[EZU]]-D96)/D96</f>
        <v/>
      </c>
      <c r="G108" s="52">
        <f>IF(VLOOKUP(Table13468111214[[#This Row],[Date]],'DB Global PMI'!$A:$F,6)=0,"",VLOOKUP(Table13468111214[[#This Row],[Date]],'DB Global PMI'!$A:$F,6))</f>
        <v/>
      </c>
    </row>
    <row r="109">
      <c r="A109" s="10" t="n">
        <v>41456</v>
      </c>
      <c r="B109" s="18">
        <f>IF(VLOOKUP(A109,'DB Country PMI'!$A:$AZ,MATCH($A$1,'DB Country PMI'!$A$1:$AZ$1,),)=0,#N/A,VLOOKUP(A109,'DB Country PMI'!$A:$AZ,MATCH($A$1,'DB Country PMI'!$A$1:$AZ$1,),))</f>
        <v/>
      </c>
      <c r="C109" s="24">
        <f>Table13468111214[[#This Row],[Euro Area PMI]]-B108</f>
        <v/>
      </c>
      <c r="D109" s="11">
        <f>IF(VLOOKUP(Table13468111214[[#This Row],[Date]],'DB Global PMI'!$A:$F,4)=0,#N/A,VLOOKUP(Table13468111214[[#This Row],[Date]],'DB Global PMI'!$A:$F,4))</f>
        <v/>
      </c>
      <c r="E109" s="24">
        <f>Table13468111214[[#This Row],[Euro Area PMI]]-B97</f>
        <v/>
      </c>
      <c r="F109" s="52">
        <f>(Table13468111214[[#This Row],[EZU]]-D97)/D97</f>
        <v/>
      </c>
      <c r="G109" s="52">
        <f>IF(VLOOKUP(Table13468111214[[#This Row],[Date]],'DB Global PMI'!$A:$F,6)=0,"",VLOOKUP(Table13468111214[[#This Row],[Date]],'DB Global PMI'!$A:$F,6))</f>
        <v/>
      </c>
    </row>
    <row r="110">
      <c r="A110" s="10" t="n">
        <v>41487</v>
      </c>
      <c r="B110" s="18">
        <f>IF(VLOOKUP(A110,'DB Country PMI'!$A:$AZ,MATCH($A$1,'DB Country PMI'!$A$1:$AZ$1,),)=0,#N/A,VLOOKUP(A110,'DB Country PMI'!$A:$AZ,MATCH($A$1,'DB Country PMI'!$A$1:$AZ$1,),))</f>
        <v/>
      </c>
      <c r="C110" s="24">
        <f>Table13468111214[[#This Row],[Euro Area PMI]]-B109</f>
        <v/>
      </c>
      <c r="D110" s="11">
        <f>IF(VLOOKUP(Table13468111214[[#This Row],[Date]],'DB Global PMI'!$A:$F,4)=0,#N/A,VLOOKUP(Table13468111214[[#This Row],[Date]],'DB Global PMI'!$A:$F,4))</f>
        <v/>
      </c>
      <c r="E110" s="24">
        <f>Table13468111214[[#This Row],[Euro Area PMI]]-B98</f>
        <v/>
      </c>
      <c r="F110" s="52">
        <f>(Table13468111214[[#This Row],[EZU]]-D98)/D98</f>
        <v/>
      </c>
      <c r="G110" s="52">
        <f>IF(VLOOKUP(Table13468111214[[#This Row],[Date]],'DB Global PMI'!$A:$F,6)=0,"",VLOOKUP(Table13468111214[[#This Row],[Date]],'DB Global PMI'!$A:$F,6))</f>
        <v/>
      </c>
    </row>
    <row r="111">
      <c r="A111" s="10" t="n">
        <v>41518</v>
      </c>
      <c r="B111" s="18">
        <f>IF(VLOOKUP(A111,'DB Country PMI'!$A:$AZ,MATCH($A$1,'DB Country PMI'!$A$1:$AZ$1,),)=0,#N/A,VLOOKUP(A111,'DB Country PMI'!$A:$AZ,MATCH($A$1,'DB Country PMI'!$A$1:$AZ$1,),))</f>
        <v/>
      </c>
      <c r="C111" s="24">
        <f>Table13468111214[[#This Row],[Euro Area PMI]]-B110</f>
        <v/>
      </c>
      <c r="D111" s="11">
        <f>IF(VLOOKUP(Table13468111214[[#This Row],[Date]],'DB Global PMI'!$A:$F,4)=0,#N/A,VLOOKUP(Table13468111214[[#This Row],[Date]],'DB Global PMI'!$A:$F,4))</f>
        <v/>
      </c>
      <c r="E111" s="24">
        <f>Table13468111214[[#This Row],[Euro Area PMI]]-B99</f>
        <v/>
      </c>
      <c r="F111" s="52">
        <f>(Table13468111214[[#This Row],[EZU]]-D99)/D99</f>
        <v/>
      </c>
      <c r="G111" s="52">
        <f>IF(VLOOKUP(Table13468111214[[#This Row],[Date]],'DB Global PMI'!$A:$F,6)=0,"",VLOOKUP(Table13468111214[[#This Row],[Date]],'DB Global PMI'!$A:$F,6))</f>
        <v/>
      </c>
    </row>
    <row r="112">
      <c r="A112" s="10" t="n">
        <v>41548</v>
      </c>
      <c r="B112" s="18">
        <f>IF(VLOOKUP(A112,'DB Country PMI'!$A:$AZ,MATCH($A$1,'DB Country PMI'!$A$1:$AZ$1,),)=0,#N/A,VLOOKUP(A112,'DB Country PMI'!$A:$AZ,MATCH($A$1,'DB Country PMI'!$A$1:$AZ$1,),))</f>
        <v/>
      </c>
      <c r="C112" s="24">
        <f>Table13468111214[[#This Row],[Euro Area PMI]]-B111</f>
        <v/>
      </c>
      <c r="D112" s="11">
        <f>IF(VLOOKUP(Table13468111214[[#This Row],[Date]],'DB Global PMI'!$A:$F,4)=0,#N/A,VLOOKUP(Table13468111214[[#This Row],[Date]],'DB Global PMI'!$A:$F,4))</f>
        <v/>
      </c>
      <c r="E112" s="24">
        <f>Table13468111214[[#This Row],[Euro Area PMI]]-B100</f>
        <v/>
      </c>
      <c r="F112" s="52">
        <f>(Table13468111214[[#This Row],[EZU]]-D100)/D100</f>
        <v/>
      </c>
      <c r="G112" s="52">
        <f>IF(VLOOKUP(Table13468111214[[#This Row],[Date]],'DB Global PMI'!$A:$F,6)=0,"",VLOOKUP(Table13468111214[[#This Row],[Date]],'DB Global PMI'!$A:$F,6))</f>
        <v/>
      </c>
    </row>
    <row r="113">
      <c r="A113" s="10" t="n">
        <v>41579</v>
      </c>
      <c r="B113" s="18">
        <f>IF(VLOOKUP(A113,'DB Country PMI'!$A:$AZ,MATCH($A$1,'DB Country PMI'!$A$1:$AZ$1,),)=0,#N/A,VLOOKUP(A113,'DB Country PMI'!$A:$AZ,MATCH($A$1,'DB Country PMI'!$A$1:$AZ$1,),))</f>
        <v/>
      </c>
      <c r="C113" s="24">
        <f>Table13468111214[[#This Row],[Euro Area PMI]]-B112</f>
        <v/>
      </c>
      <c r="D113" s="11">
        <f>IF(VLOOKUP(Table13468111214[[#This Row],[Date]],'DB Global PMI'!$A:$F,4)=0,#N/A,VLOOKUP(Table13468111214[[#This Row],[Date]],'DB Global PMI'!$A:$F,4))</f>
        <v/>
      </c>
      <c r="E113" s="24">
        <f>Table13468111214[[#This Row],[Euro Area PMI]]-B101</f>
        <v/>
      </c>
      <c r="F113" s="52">
        <f>(Table13468111214[[#This Row],[EZU]]-D101)/D101</f>
        <v/>
      </c>
      <c r="G113" s="52">
        <f>IF(VLOOKUP(Table13468111214[[#This Row],[Date]],'DB Global PMI'!$A:$F,6)=0,"",VLOOKUP(Table13468111214[[#This Row],[Date]],'DB Global PMI'!$A:$F,6))</f>
        <v/>
      </c>
    </row>
    <row r="114">
      <c r="A114" s="10" t="n">
        <v>41609</v>
      </c>
      <c r="B114" s="18">
        <f>IF(VLOOKUP(A114,'DB Country PMI'!$A:$AZ,MATCH($A$1,'DB Country PMI'!$A$1:$AZ$1,),)=0,#N/A,VLOOKUP(A114,'DB Country PMI'!$A:$AZ,MATCH($A$1,'DB Country PMI'!$A$1:$AZ$1,),))</f>
        <v/>
      </c>
      <c r="C114" s="24">
        <f>Table13468111214[[#This Row],[Euro Area PMI]]-B113</f>
        <v/>
      </c>
      <c r="D114" s="11">
        <f>IF(VLOOKUP(Table13468111214[[#This Row],[Date]],'DB Global PMI'!$A:$F,4)=0,#N/A,VLOOKUP(Table13468111214[[#This Row],[Date]],'DB Global PMI'!$A:$F,4))</f>
        <v/>
      </c>
      <c r="E114" s="24">
        <f>Table13468111214[[#This Row],[Euro Area PMI]]-B102</f>
        <v/>
      </c>
      <c r="F114" s="52">
        <f>(Table13468111214[[#This Row],[EZU]]-D102)/D102</f>
        <v/>
      </c>
      <c r="G114" s="52">
        <f>IF(VLOOKUP(Table13468111214[[#This Row],[Date]],'DB Global PMI'!$A:$F,6)=0,"",VLOOKUP(Table13468111214[[#This Row],[Date]],'DB Global PMI'!$A:$F,6))</f>
        <v/>
      </c>
    </row>
    <row r="115">
      <c r="A115" s="10" t="n">
        <v>41640</v>
      </c>
      <c r="B115" s="18">
        <f>IF(VLOOKUP(A115,'DB Country PMI'!$A:$AZ,MATCH($A$1,'DB Country PMI'!$A$1:$AZ$1,),)=0,#N/A,VLOOKUP(A115,'DB Country PMI'!$A:$AZ,MATCH($A$1,'DB Country PMI'!$A$1:$AZ$1,),))</f>
        <v/>
      </c>
      <c r="C115" s="24">
        <f>Table13468111214[[#This Row],[Euro Area PMI]]-B114</f>
        <v/>
      </c>
      <c r="D115" s="11">
        <f>IF(VLOOKUP(Table13468111214[[#This Row],[Date]],'DB Global PMI'!$A:$F,4)=0,#N/A,VLOOKUP(Table13468111214[[#This Row],[Date]],'DB Global PMI'!$A:$F,4))</f>
        <v/>
      </c>
      <c r="E115" s="24">
        <f>Table13468111214[[#This Row],[Euro Area PMI]]-B103</f>
        <v/>
      </c>
      <c r="F115" s="52">
        <f>(Table13468111214[[#This Row],[EZU]]-D103)/D103</f>
        <v/>
      </c>
      <c r="G115" s="52">
        <f>IF(VLOOKUP(Table13468111214[[#This Row],[Date]],'DB Global PMI'!$A:$F,6)=0,"",VLOOKUP(Table13468111214[[#This Row],[Date]],'DB Global PMI'!$A:$F,6))</f>
        <v/>
      </c>
    </row>
    <row r="116">
      <c r="A116" s="10" t="n">
        <v>41671</v>
      </c>
      <c r="B116" s="18">
        <f>IF(VLOOKUP(A116,'DB Country PMI'!$A:$AZ,MATCH($A$1,'DB Country PMI'!$A$1:$AZ$1,),)=0,#N/A,VLOOKUP(A116,'DB Country PMI'!$A:$AZ,MATCH($A$1,'DB Country PMI'!$A$1:$AZ$1,),))</f>
        <v/>
      </c>
      <c r="C116" s="24">
        <f>Table13468111214[[#This Row],[Euro Area PMI]]-B115</f>
        <v/>
      </c>
      <c r="D116" s="11">
        <f>IF(VLOOKUP(Table13468111214[[#This Row],[Date]],'DB Global PMI'!$A:$F,4)=0,#N/A,VLOOKUP(Table13468111214[[#This Row],[Date]],'DB Global PMI'!$A:$F,4))</f>
        <v/>
      </c>
      <c r="E116" s="24">
        <f>Table13468111214[[#This Row],[Euro Area PMI]]-B104</f>
        <v/>
      </c>
      <c r="F116" s="52">
        <f>(Table13468111214[[#This Row],[EZU]]-D104)/D104</f>
        <v/>
      </c>
      <c r="G116" s="52">
        <f>IF(VLOOKUP(Table13468111214[[#This Row],[Date]],'DB Global PMI'!$A:$F,6)=0,"",VLOOKUP(Table13468111214[[#This Row],[Date]],'DB Global PMI'!$A:$F,6))</f>
        <v/>
      </c>
    </row>
    <row r="117">
      <c r="A117" s="10" t="n">
        <v>41699</v>
      </c>
      <c r="B117" s="18">
        <f>IF(VLOOKUP(A117,'DB Country PMI'!$A:$AZ,MATCH($A$1,'DB Country PMI'!$A$1:$AZ$1,),)=0,#N/A,VLOOKUP(A117,'DB Country PMI'!$A:$AZ,MATCH($A$1,'DB Country PMI'!$A$1:$AZ$1,),))</f>
        <v/>
      </c>
      <c r="C117" s="24">
        <f>Table13468111214[[#This Row],[Euro Area PMI]]-B116</f>
        <v/>
      </c>
      <c r="D117" s="11">
        <f>IF(VLOOKUP(Table13468111214[[#This Row],[Date]],'DB Global PMI'!$A:$F,4)=0,#N/A,VLOOKUP(Table13468111214[[#This Row],[Date]],'DB Global PMI'!$A:$F,4))</f>
        <v/>
      </c>
      <c r="E117" s="24">
        <f>Table13468111214[[#This Row],[Euro Area PMI]]-B105</f>
        <v/>
      </c>
      <c r="F117" s="52">
        <f>(Table13468111214[[#This Row],[EZU]]-D105)/D105</f>
        <v/>
      </c>
      <c r="G117" s="52">
        <f>IF(VLOOKUP(Table13468111214[[#This Row],[Date]],'DB Global PMI'!$A:$F,6)=0,"",VLOOKUP(Table13468111214[[#This Row],[Date]],'DB Global PMI'!$A:$F,6))</f>
        <v/>
      </c>
    </row>
    <row r="118">
      <c r="A118" s="10" t="n">
        <v>41730</v>
      </c>
      <c r="B118" s="18">
        <f>IF(VLOOKUP(A118,'DB Country PMI'!$A:$AZ,MATCH($A$1,'DB Country PMI'!$A$1:$AZ$1,),)=0,#N/A,VLOOKUP(A118,'DB Country PMI'!$A:$AZ,MATCH($A$1,'DB Country PMI'!$A$1:$AZ$1,),))</f>
        <v/>
      </c>
      <c r="C118" s="24">
        <f>Table13468111214[[#This Row],[Euro Area PMI]]-B117</f>
        <v/>
      </c>
      <c r="D118" s="11">
        <f>IF(VLOOKUP(Table13468111214[[#This Row],[Date]],'DB Global PMI'!$A:$F,4)=0,#N/A,VLOOKUP(Table13468111214[[#This Row],[Date]],'DB Global PMI'!$A:$F,4))</f>
        <v/>
      </c>
      <c r="E118" s="24">
        <f>Table13468111214[[#This Row],[Euro Area PMI]]-B106</f>
        <v/>
      </c>
      <c r="F118" s="52">
        <f>(Table13468111214[[#This Row],[EZU]]-D106)/D106</f>
        <v/>
      </c>
      <c r="G118" s="52">
        <f>IF(VLOOKUP(Table13468111214[[#This Row],[Date]],'DB Global PMI'!$A:$F,6)=0,"",VLOOKUP(Table13468111214[[#This Row],[Date]],'DB Global PMI'!$A:$F,6))</f>
        <v/>
      </c>
    </row>
    <row r="119">
      <c r="A119" s="10" t="n">
        <v>41760</v>
      </c>
      <c r="B119" s="18">
        <f>IF(VLOOKUP(A119,'DB Country PMI'!$A:$AZ,MATCH($A$1,'DB Country PMI'!$A$1:$AZ$1,),)=0,#N/A,VLOOKUP(A119,'DB Country PMI'!$A:$AZ,MATCH($A$1,'DB Country PMI'!$A$1:$AZ$1,),))</f>
        <v/>
      </c>
      <c r="C119" s="24">
        <f>Table13468111214[[#This Row],[Euro Area PMI]]-B118</f>
        <v/>
      </c>
      <c r="D119" s="11">
        <f>IF(VLOOKUP(Table13468111214[[#This Row],[Date]],'DB Global PMI'!$A:$F,4)=0,#N/A,VLOOKUP(Table13468111214[[#This Row],[Date]],'DB Global PMI'!$A:$F,4))</f>
        <v/>
      </c>
      <c r="E119" s="24">
        <f>Table13468111214[[#This Row],[Euro Area PMI]]-B107</f>
        <v/>
      </c>
      <c r="F119" s="52">
        <f>(Table13468111214[[#This Row],[EZU]]-D107)/D107</f>
        <v/>
      </c>
      <c r="G119" s="52">
        <f>IF(VLOOKUP(Table13468111214[[#This Row],[Date]],'DB Global PMI'!$A:$F,6)=0,"",VLOOKUP(Table13468111214[[#This Row],[Date]],'DB Global PMI'!$A:$F,6))</f>
        <v/>
      </c>
    </row>
    <row r="120">
      <c r="A120" s="10" t="n">
        <v>41791</v>
      </c>
      <c r="B120" s="18">
        <f>IF(VLOOKUP(A120,'DB Country PMI'!$A:$AZ,MATCH($A$1,'DB Country PMI'!$A$1:$AZ$1,),)=0,#N/A,VLOOKUP(A120,'DB Country PMI'!$A:$AZ,MATCH($A$1,'DB Country PMI'!$A$1:$AZ$1,),))</f>
        <v/>
      </c>
      <c r="C120" s="24">
        <f>Table13468111214[[#This Row],[Euro Area PMI]]-B119</f>
        <v/>
      </c>
      <c r="D120" s="11">
        <f>IF(VLOOKUP(Table13468111214[[#This Row],[Date]],'DB Global PMI'!$A:$F,4)=0,#N/A,VLOOKUP(Table13468111214[[#This Row],[Date]],'DB Global PMI'!$A:$F,4))</f>
        <v/>
      </c>
      <c r="E120" s="24">
        <f>Table13468111214[[#This Row],[Euro Area PMI]]-B108</f>
        <v/>
      </c>
      <c r="F120" s="52">
        <f>(Table13468111214[[#This Row],[EZU]]-D108)/D108</f>
        <v/>
      </c>
      <c r="G120" s="52">
        <f>IF(VLOOKUP(Table13468111214[[#This Row],[Date]],'DB Global PMI'!$A:$F,6)=0,"",VLOOKUP(Table13468111214[[#This Row],[Date]],'DB Global PMI'!$A:$F,6))</f>
        <v/>
      </c>
    </row>
    <row r="121">
      <c r="A121" s="10" t="n">
        <v>41821</v>
      </c>
      <c r="B121" s="18">
        <f>IF(VLOOKUP(A121,'DB Country PMI'!$A:$AZ,MATCH($A$1,'DB Country PMI'!$A$1:$AZ$1,),)=0,#N/A,VLOOKUP(A121,'DB Country PMI'!$A:$AZ,MATCH($A$1,'DB Country PMI'!$A$1:$AZ$1,),))</f>
        <v/>
      </c>
      <c r="C121" s="24">
        <f>Table13468111214[[#This Row],[Euro Area PMI]]-B120</f>
        <v/>
      </c>
      <c r="D121" s="11">
        <f>IF(VLOOKUP(Table13468111214[[#This Row],[Date]],'DB Global PMI'!$A:$F,4)=0,#N/A,VLOOKUP(Table13468111214[[#This Row],[Date]],'DB Global PMI'!$A:$F,4))</f>
        <v/>
      </c>
      <c r="E121" s="24">
        <f>Table13468111214[[#This Row],[Euro Area PMI]]-B109</f>
        <v/>
      </c>
      <c r="F121" s="52">
        <f>(Table13468111214[[#This Row],[EZU]]-D109)/D109</f>
        <v/>
      </c>
      <c r="G121" s="52">
        <f>IF(VLOOKUP(Table13468111214[[#This Row],[Date]],'DB Global PMI'!$A:$F,6)=0,"",VLOOKUP(Table13468111214[[#This Row],[Date]],'DB Global PMI'!$A:$F,6))</f>
        <v/>
      </c>
    </row>
    <row r="122">
      <c r="A122" s="10" t="n">
        <v>41852</v>
      </c>
      <c r="B122" s="18">
        <f>IF(VLOOKUP(A122,'DB Country PMI'!$A:$AZ,MATCH($A$1,'DB Country PMI'!$A$1:$AZ$1,),)=0,#N/A,VLOOKUP(A122,'DB Country PMI'!$A:$AZ,MATCH($A$1,'DB Country PMI'!$A$1:$AZ$1,),))</f>
        <v/>
      </c>
      <c r="C122" s="24">
        <f>Table13468111214[[#This Row],[Euro Area PMI]]-B121</f>
        <v/>
      </c>
      <c r="D122" s="11">
        <f>IF(VLOOKUP(Table13468111214[[#This Row],[Date]],'DB Global PMI'!$A:$F,4)=0,#N/A,VLOOKUP(Table13468111214[[#This Row],[Date]],'DB Global PMI'!$A:$F,4))</f>
        <v/>
      </c>
      <c r="E122" s="24">
        <f>Table13468111214[[#This Row],[Euro Area PMI]]-B110</f>
        <v/>
      </c>
      <c r="F122" s="52">
        <f>(Table13468111214[[#This Row],[EZU]]-D110)/D110</f>
        <v/>
      </c>
      <c r="G122" s="52">
        <f>IF(VLOOKUP(Table13468111214[[#This Row],[Date]],'DB Global PMI'!$A:$F,6)=0,"",VLOOKUP(Table13468111214[[#This Row],[Date]],'DB Global PMI'!$A:$F,6))</f>
        <v/>
      </c>
    </row>
    <row r="123">
      <c r="A123" s="10" t="n">
        <v>41883</v>
      </c>
      <c r="B123" s="18">
        <f>IF(VLOOKUP(A123,'DB Country PMI'!$A:$AZ,MATCH($A$1,'DB Country PMI'!$A$1:$AZ$1,),)=0,#N/A,VLOOKUP(A123,'DB Country PMI'!$A:$AZ,MATCH($A$1,'DB Country PMI'!$A$1:$AZ$1,),))</f>
        <v/>
      </c>
      <c r="C123" s="24">
        <f>Table13468111214[[#This Row],[Euro Area PMI]]-B122</f>
        <v/>
      </c>
      <c r="D123" s="11">
        <f>IF(VLOOKUP(Table13468111214[[#This Row],[Date]],'DB Global PMI'!$A:$F,4)=0,#N/A,VLOOKUP(Table13468111214[[#This Row],[Date]],'DB Global PMI'!$A:$F,4))</f>
        <v/>
      </c>
      <c r="E123" s="24">
        <f>Table13468111214[[#This Row],[Euro Area PMI]]-B111</f>
        <v/>
      </c>
      <c r="F123" s="52">
        <f>(Table13468111214[[#This Row],[EZU]]-D111)/D111</f>
        <v/>
      </c>
      <c r="G123" s="52">
        <f>IF(VLOOKUP(Table13468111214[[#This Row],[Date]],'DB Global PMI'!$A:$F,6)=0,"",VLOOKUP(Table13468111214[[#This Row],[Date]],'DB Global PMI'!$A:$F,6))</f>
        <v/>
      </c>
    </row>
    <row r="124">
      <c r="A124" s="10" t="n">
        <v>41913</v>
      </c>
      <c r="B124" s="18">
        <f>IF(VLOOKUP(A124,'DB Country PMI'!$A:$AZ,MATCH($A$1,'DB Country PMI'!$A$1:$AZ$1,),)=0,#N/A,VLOOKUP(A124,'DB Country PMI'!$A:$AZ,MATCH($A$1,'DB Country PMI'!$A$1:$AZ$1,),))</f>
        <v/>
      </c>
      <c r="C124" s="24">
        <f>Table13468111214[[#This Row],[Euro Area PMI]]-B123</f>
        <v/>
      </c>
      <c r="D124" s="11">
        <f>IF(VLOOKUP(Table13468111214[[#This Row],[Date]],'DB Global PMI'!$A:$F,4)=0,#N/A,VLOOKUP(Table13468111214[[#This Row],[Date]],'DB Global PMI'!$A:$F,4))</f>
        <v/>
      </c>
      <c r="E124" s="24">
        <f>Table13468111214[[#This Row],[Euro Area PMI]]-B112</f>
        <v/>
      </c>
      <c r="F124" s="52">
        <f>(Table13468111214[[#This Row],[EZU]]-D112)/D112</f>
        <v/>
      </c>
      <c r="G124" s="52">
        <f>IF(VLOOKUP(Table13468111214[[#This Row],[Date]],'DB Global PMI'!$A:$F,6)=0,"",VLOOKUP(Table13468111214[[#This Row],[Date]],'DB Global PMI'!$A:$F,6))</f>
        <v/>
      </c>
    </row>
    <row r="125">
      <c r="A125" s="10" t="n">
        <v>41944</v>
      </c>
      <c r="B125" s="18">
        <f>IF(VLOOKUP(A125,'DB Country PMI'!$A:$AZ,MATCH($A$1,'DB Country PMI'!$A$1:$AZ$1,),)=0,#N/A,VLOOKUP(A125,'DB Country PMI'!$A:$AZ,MATCH($A$1,'DB Country PMI'!$A$1:$AZ$1,),))</f>
        <v/>
      </c>
      <c r="C125" s="24">
        <f>Table13468111214[[#This Row],[Euro Area PMI]]-B124</f>
        <v/>
      </c>
      <c r="D125" s="11">
        <f>IF(VLOOKUP(Table13468111214[[#This Row],[Date]],'DB Global PMI'!$A:$F,4)=0,#N/A,VLOOKUP(Table13468111214[[#This Row],[Date]],'DB Global PMI'!$A:$F,4))</f>
        <v/>
      </c>
      <c r="E125" s="24">
        <f>Table13468111214[[#This Row],[Euro Area PMI]]-B113</f>
        <v/>
      </c>
      <c r="F125" s="52">
        <f>(Table13468111214[[#This Row],[EZU]]-D113)/D113</f>
        <v/>
      </c>
      <c r="G125" s="52">
        <f>IF(VLOOKUP(Table13468111214[[#This Row],[Date]],'DB Global PMI'!$A:$F,6)=0,"",VLOOKUP(Table13468111214[[#This Row],[Date]],'DB Global PMI'!$A:$F,6))</f>
        <v/>
      </c>
    </row>
    <row r="126">
      <c r="A126" s="10" t="n">
        <v>41974</v>
      </c>
      <c r="B126" s="18">
        <f>IF(VLOOKUP(A126,'DB Country PMI'!$A:$AZ,MATCH($A$1,'DB Country PMI'!$A$1:$AZ$1,),)=0,#N/A,VLOOKUP(A126,'DB Country PMI'!$A:$AZ,MATCH($A$1,'DB Country PMI'!$A$1:$AZ$1,),))</f>
        <v/>
      </c>
      <c r="C126" s="24">
        <f>Table13468111214[[#This Row],[Euro Area PMI]]-B125</f>
        <v/>
      </c>
      <c r="D126" s="11">
        <f>IF(VLOOKUP(Table13468111214[[#This Row],[Date]],'DB Global PMI'!$A:$F,4)=0,#N/A,VLOOKUP(Table13468111214[[#This Row],[Date]],'DB Global PMI'!$A:$F,4))</f>
        <v/>
      </c>
      <c r="E126" s="24">
        <f>Table13468111214[[#This Row],[Euro Area PMI]]-B114</f>
        <v/>
      </c>
      <c r="F126" s="52">
        <f>(Table13468111214[[#This Row],[EZU]]-D114)/D114</f>
        <v/>
      </c>
      <c r="G126" s="52">
        <f>IF(VLOOKUP(Table13468111214[[#This Row],[Date]],'DB Global PMI'!$A:$F,6)=0,"",VLOOKUP(Table13468111214[[#This Row],[Date]],'DB Global PMI'!$A:$F,6))</f>
        <v/>
      </c>
    </row>
    <row r="127">
      <c r="A127" s="10" t="n">
        <v>42005</v>
      </c>
      <c r="B127" s="18">
        <f>IF(VLOOKUP(A127,'DB Country PMI'!$A:$AZ,MATCH($A$1,'DB Country PMI'!$A$1:$AZ$1,),)=0,#N/A,VLOOKUP(A127,'DB Country PMI'!$A:$AZ,MATCH($A$1,'DB Country PMI'!$A$1:$AZ$1,),))</f>
        <v/>
      </c>
      <c r="C127" s="24">
        <f>Table13468111214[[#This Row],[Euro Area PMI]]-B126</f>
        <v/>
      </c>
      <c r="D127" s="11">
        <f>IF(VLOOKUP(Table13468111214[[#This Row],[Date]],'DB Global PMI'!$A:$F,4)=0,#N/A,VLOOKUP(Table13468111214[[#This Row],[Date]],'DB Global PMI'!$A:$F,4))</f>
        <v/>
      </c>
      <c r="E127" s="24">
        <f>Table13468111214[[#This Row],[Euro Area PMI]]-B115</f>
        <v/>
      </c>
      <c r="F127" s="52">
        <f>(Table13468111214[[#This Row],[EZU]]-D115)/D115</f>
        <v/>
      </c>
      <c r="G127" s="52">
        <f>IF(VLOOKUP(Table13468111214[[#This Row],[Date]],'DB Global PMI'!$A:$F,6)=0,"",VLOOKUP(Table13468111214[[#This Row],[Date]],'DB Global PMI'!$A:$F,6))</f>
        <v/>
      </c>
    </row>
    <row r="128">
      <c r="A128" s="10" t="n">
        <v>42036</v>
      </c>
      <c r="B128" s="18">
        <f>IF(VLOOKUP(A128,'DB Country PMI'!$A:$AZ,MATCH($A$1,'DB Country PMI'!$A$1:$AZ$1,),)=0,#N/A,VLOOKUP(A128,'DB Country PMI'!$A:$AZ,MATCH($A$1,'DB Country PMI'!$A$1:$AZ$1,),))</f>
        <v/>
      </c>
      <c r="C128" s="24">
        <f>Table13468111214[[#This Row],[Euro Area PMI]]-B127</f>
        <v/>
      </c>
      <c r="D128" s="11">
        <f>IF(VLOOKUP(Table13468111214[[#This Row],[Date]],'DB Global PMI'!$A:$F,4)=0,#N/A,VLOOKUP(Table13468111214[[#This Row],[Date]],'DB Global PMI'!$A:$F,4))</f>
        <v/>
      </c>
      <c r="E128" s="24">
        <f>Table13468111214[[#This Row],[Euro Area PMI]]-B116</f>
        <v/>
      </c>
      <c r="F128" s="52">
        <f>(Table13468111214[[#This Row],[EZU]]-D116)/D116</f>
        <v/>
      </c>
      <c r="G128" s="52">
        <f>IF(VLOOKUP(Table13468111214[[#This Row],[Date]],'DB Global PMI'!$A:$F,6)=0,"",VLOOKUP(Table13468111214[[#This Row],[Date]],'DB Global PMI'!$A:$F,6))</f>
        <v/>
      </c>
    </row>
    <row r="129">
      <c r="A129" s="10" t="n">
        <v>42064</v>
      </c>
      <c r="B129" s="18">
        <f>IF(VLOOKUP(A129,'DB Country PMI'!$A:$AZ,MATCH($A$1,'DB Country PMI'!$A$1:$AZ$1,),)=0,#N/A,VLOOKUP(A129,'DB Country PMI'!$A:$AZ,MATCH($A$1,'DB Country PMI'!$A$1:$AZ$1,),))</f>
        <v/>
      </c>
      <c r="C129" s="24">
        <f>Table13468111214[[#This Row],[Euro Area PMI]]-B128</f>
        <v/>
      </c>
      <c r="D129" s="11">
        <f>IF(VLOOKUP(Table13468111214[[#This Row],[Date]],'DB Global PMI'!$A:$F,4)=0,#N/A,VLOOKUP(Table13468111214[[#This Row],[Date]],'DB Global PMI'!$A:$F,4))</f>
        <v/>
      </c>
      <c r="E129" s="24">
        <f>Table13468111214[[#This Row],[Euro Area PMI]]-B117</f>
        <v/>
      </c>
      <c r="F129" s="52">
        <f>(Table13468111214[[#This Row],[EZU]]-D117)/D117</f>
        <v/>
      </c>
      <c r="G129" s="52">
        <f>IF(VLOOKUP(Table13468111214[[#This Row],[Date]],'DB Global PMI'!$A:$F,6)=0,"",VLOOKUP(Table13468111214[[#This Row],[Date]],'DB Global PMI'!$A:$F,6))</f>
        <v/>
      </c>
    </row>
    <row r="130">
      <c r="A130" s="10" t="n">
        <v>42095</v>
      </c>
      <c r="B130" s="18">
        <f>IF(VLOOKUP(A130,'DB Country PMI'!$A:$AZ,MATCH($A$1,'DB Country PMI'!$A$1:$AZ$1,),)=0,#N/A,VLOOKUP(A130,'DB Country PMI'!$A:$AZ,MATCH($A$1,'DB Country PMI'!$A$1:$AZ$1,),))</f>
        <v/>
      </c>
      <c r="C130" s="24">
        <f>Table13468111214[[#This Row],[Euro Area PMI]]-B129</f>
        <v/>
      </c>
      <c r="D130" s="11">
        <f>IF(VLOOKUP(Table13468111214[[#This Row],[Date]],'DB Global PMI'!$A:$F,4)=0,#N/A,VLOOKUP(Table13468111214[[#This Row],[Date]],'DB Global PMI'!$A:$F,4))</f>
        <v/>
      </c>
      <c r="E130" s="24">
        <f>Table13468111214[[#This Row],[Euro Area PMI]]-B118</f>
        <v/>
      </c>
      <c r="F130" s="52">
        <f>(Table13468111214[[#This Row],[EZU]]-D118)/D118</f>
        <v/>
      </c>
      <c r="G130" s="52">
        <f>IF(VLOOKUP(Table13468111214[[#This Row],[Date]],'DB Global PMI'!$A:$F,6)=0,"",VLOOKUP(Table13468111214[[#This Row],[Date]],'DB Global PMI'!$A:$F,6))</f>
        <v/>
      </c>
    </row>
    <row r="131">
      <c r="A131" s="10" t="n">
        <v>42125</v>
      </c>
      <c r="B131" s="18">
        <f>IF(VLOOKUP(A131,'DB Country PMI'!$A:$AZ,MATCH($A$1,'DB Country PMI'!$A$1:$AZ$1,),)=0,#N/A,VLOOKUP(A131,'DB Country PMI'!$A:$AZ,MATCH($A$1,'DB Country PMI'!$A$1:$AZ$1,),))</f>
        <v/>
      </c>
      <c r="C131" s="24">
        <f>Table13468111214[[#This Row],[Euro Area PMI]]-B130</f>
        <v/>
      </c>
      <c r="D131" s="11">
        <f>IF(VLOOKUP(Table13468111214[[#This Row],[Date]],'DB Global PMI'!$A:$F,4)=0,#N/A,VLOOKUP(Table13468111214[[#This Row],[Date]],'DB Global PMI'!$A:$F,4))</f>
        <v/>
      </c>
      <c r="E131" s="24">
        <f>Table13468111214[[#This Row],[Euro Area PMI]]-B119</f>
        <v/>
      </c>
      <c r="F131" s="52">
        <f>(Table13468111214[[#This Row],[EZU]]-D119)/D119</f>
        <v/>
      </c>
      <c r="G131" s="52">
        <f>IF(VLOOKUP(Table13468111214[[#This Row],[Date]],'DB Global PMI'!$A:$F,6)=0,"",VLOOKUP(Table13468111214[[#This Row],[Date]],'DB Global PMI'!$A:$F,6))</f>
        <v/>
      </c>
    </row>
    <row r="132">
      <c r="A132" s="10" t="n">
        <v>42156</v>
      </c>
      <c r="B132" s="18">
        <f>IF(VLOOKUP(A132,'DB Country PMI'!$A:$AZ,MATCH($A$1,'DB Country PMI'!$A$1:$AZ$1,),)=0,#N/A,VLOOKUP(A132,'DB Country PMI'!$A:$AZ,MATCH($A$1,'DB Country PMI'!$A$1:$AZ$1,),))</f>
        <v/>
      </c>
      <c r="C132" s="24">
        <f>Table13468111214[[#This Row],[Euro Area PMI]]-B131</f>
        <v/>
      </c>
      <c r="D132" s="11">
        <f>IF(VLOOKUP(Table13468111214[[#This Row],[Date]],'DB Global PMI'!$A:$F,4)=0,#N/A,VLOOKUP(Table13468111214[[#This Row],[Date]],'DB Global PMI'!$A:$F,4))</f>
        <v/>
      </c>
      <c r="E132" s="24">
        <f>Table13468111214[[#This Row],[Euro Area PMI]]-B120</f>
        <v/>
      </c>
      <c r="F132" s="52">
        <f>(Table13468111214[[#This Row],[EZU]]-D120)/D120</f>
        <v/>
      </c>
      <c r="G132" s="52">
        <f>IF(VLOOKUP(Table13468111214[[#This Row],[Date]],'DB Global PMI'!$A:$F,6)=0,"",VLOOKUP(Table13468111214[[#This Row],[Date]],'DB Global PMI'!$A:$F,6))</f>
        <v/>
      </c>
    </row>
    <row r="133">
      <c r="A133" s="10" t="n">
        <v>42186</v>
      </c>
      <c r="B133" s="18">
        <f>IF(VLOOKUP(A133,'DB Country PMI'!$A:$AZ,MATCH($A$1,'DB Country PMI'!$A$1:$AZ$1,),)=0,#N/A,VLOOKUP(A133,'DB Country PMI'!$A:$AZ,MATCH($A$1,'DB Country PMI'!$A$1:$AZ$1,),))</f>
        <v/>
      </c>
      <c r="C133" s="24">
        <f>Table13468111214[[#This Row],[Euro Area PMI]]-B132</f>
        <v/>
      </c>
      <c r="D133" s="11">
        <f>IF(VLOOKUP(Table13468111214[[#This Row],[Date]],'DB Global PMI'!$A:$F,4)=0,#N/A,VLOOKUP(Table13468111214[[#This Row],[Date]],'DB Global PMI'!$A:$F,4))</f>
        <v/>
      </c>
      <c r="E133" s="24">
        <f>Table13468111214[[#This Row],[Euro Area PMI]]-B121</f>
        <v/>
      </c>
      <c r="F133" s="52">
        <f>(Table13468111214[[#This Row],[EZU]]-D121)/D121</f>
        <v/>
      </c>
      <c r="G133" s="52">
        <f>IF(VLOOKUP(Table13468111214[[#This Row],[Date]],'DB Global PMI'!$A:$F,6)=0,"",VLOOKUP(Table13468111214[[#This Row],[Date]],'DB Global PMI'!$A:$F,6))</f>
        <v/>
      </c>
    </row>
    <row r="134">
      <c r="A134" s="10" t="n">
        <v>42217</v>
      </c>
      <c r="B134" s="18">
        <f>IF(VLOOKUP(A134,'DB Country PMI'!$A:$AZ,MATCH($A$1,'DB Country PMI'!$A$1:$AZ$1,),)=0,#N/A,VLOOKUP(A134,'DB Country PMI'!$A:$AZ,MATCH($A$1,'DB Country PMI'!$A$1:$AZ$1,),))</f>
        <v/>
      </c>
      <c r="C134" s="24">
        <f>Table13468111214[[#This Row],[Euro Area PMI]]-B133</f>
        <v/>
      </c>
      <c r="D134" s="11">
        <f>IF(VLOOKUP(Table13468111214[[#This Row],[Date]],'DB Global PMI'!$A:$F,4)=0,#N/A,VLOOKUP(Table13468111214[[#This Row],[Date]],'DB Global PMI'!$A:$F,4))</f>
        <v/>
      </c>
      <c r="E134" s="24">
        <f>Table13468111214[[#This Row],[Euro Area PMI]]-B122</f>
        <v/>
      </c>
      <c r="F134" s="52">
        <f>(Table13468111214[[#This Row],[EZU]]-D122)/D122</f>
        <v/>
      </c>
      <c r="G134" s="52">
        <f>IF(VLOOKUP(Table13468111214[[#This Row],[Date]],'DB Global PMI'!$A:$F,6)=0,"",VLOOKUP(Table13468111214[[#This Row],[Date]],'DB Global PMI'!$A:$F,6))</f>
        <v/>
      </c>
    </row>
    <row r="135">
      <c r="A135" s="10" t="n">
        <v>42248</v>
      </c>
      <c r="B135" s="18">
        <f>IF(VLOOKUP(A135,'DB Country PMI'!$A:$AZ,MATCH($A$1,'DB Country PMI'!$A$1:$AZ$1,),)=0,#N/A,VLOOKUP(A135,'DB Country PMI'!$A:$AZ,MATCH($A$1,'DB Country PMI'!$A$1:$AZ$1,),))</f>
        <v/>
      </c>
      <c r="C135" s="24">
        <f>Table13468111214[[#This Row],[Euro Area PMI]]-B134</f>
        <v/>
      </c>
      <c r="D135" s="11">
        <f>IF(VLOOKUP(Table13468111214[[#This Row],[Date]],'DB Global PMI'!$A:$F,4)=0,#N/A,VLOOKUP(Table13468111214[[#This Row],[Date]],'DB Global PMI'!$A:$F,4))</f>
        <v/>
      </c>
      <c r="E135" s="24">
        <f>Table13468111214[[#This Row],[Euro Area PMI]]-B123</f>
        <v/>
      </c>
      <c r="F135" s="52">
        <f>(Table13468111214[[#This Row],[EZU]]-D123)/D123</f>
        <v/>
      </c>
      <c r="G135" s="52">
        <f>IF(VLOOKUP(Table13468111214[[#This Row],[Date]],'DB Global PMI'!$A:$F,6)=0,"",VLOOKUP(Table13468111214[[#This Row],[Date]],'DB Global PMI'!$A:$F,6))</f>
        <v/>
      </c>
    </row>
    <row r="136">
      <c r="A136" s="10" t="n">
        <v>42278</v>
      </c>
      <c r="B136" s="18">
        <f>IF(VLOOKUP(A136,'DB Country PMI'!$A:$AZ,MATCH($A$1,'DB Country PMI'!$A$1:$AZ$1,),)=0,#N/A,VLOOKUP(A136,'DB Country PMI'!$A:$AZ,MATCH($A$1,'DB Country PMI'!$A$1:$AZ$1,),))</f>
        <v/>
      </c>
      <c r="C136" s="24">
        <f>Table13468111214[[#This Row],[Euro Area PMI]]-B135</f>
        <v/>
      </c>
      <c r="D136" s="11">
        <f>IF(VLOOKUP(Table13468111214[[#This Row],[Date]],'DB Global PMI'!$A:$F,4)=0,#N/A,VLOOKUP(Table13468111214[[#This Row],[Date]],'DB Global PMI'!$A:$F,4))</f>
        <v/>
      </c>
      <c r="E136" s="24">
        <f>Table13468111214[[#This Row],[Euro Area PMI]]-B124</f>
        <v/>
      </c>
      <c r="F136" s="52">
        <f>(Table13468111214[[#This Row],[EZU]]-D124)/D124</f>
        <v/>
      </c>
      <c r="G136" s="52">
        <f>IF(VLOOKUP(Table13468111214[[#This Row],[Date]],'DB Global PMI'!$A:$F,6)=0,"",VLOOKUP(Table13468111214[[#This Row],[Date]],'DB Global PMI'!$A:$F,6))</f>
        <v/>
      </c>
    </row>
    <row r="137">
      <c r="A137" s="10" t="n">
        <v>42309</v>
      </c>
      <c r="B137" s="18">
        <f>IF(VLOOKUP(A137,'DB Country PMI'!$A:$AZ,MATCH($A$1,'DB Country PMI'!$A$1:$AZ$1,),)=0,#N/A,VLOOKUP(A137,'DB Country PMI'!$A:$AZ,MATCH($A$1,'DB Country PMI'!$A$1:$AZ$1,),))</f>
        <v/>
      </c>
      <c r="C137" s="24">
        <f>Table13468111214[[#This Row],[Euro Area PMI]]-B136</f>
        <v/>
      </c>
      <c r="D137" s="11">
        <f>IF(VLOOKUP(Table13468111214[[#This Row],[Date]],'DB Global PMI'!$A:$F,4)=0,#N/A,VLOOKUP(Table13468111214[[#This Row],[Date]],'DB Global PMI'!$A:$F,4))</f>
        <v/>
      </c>
      <c r="E137" s="24">
        <f>Table13468111214[[#This Row],[Euro Area PMI]]-B125</f>
        <v/>
      </c>
      <c r="F137" s="52">
        <f>(Table13468111214[[#This Row],[EZU]]-D125)/D125</f>
        <v/>
      </c>
      <c r="G137" s="52">
        <f>IF(VLOOKUP(Table13468111214[[#This Row],[Date]],'DB Global PMI'!$A:$F,6)=0,"",VLOOKUP(Table13468111214[[#This Row],[Date]],'DB Global PMI'!$A:$F,6))</f>
        <v/>
      </c>
    </row>
    <row r="138">
      <c r="A138" s="10" t="n">
        <v>42339</v>
      </c>
      <c r="B138" s="18">
        <f>IF(VLOOKUP(A138,'DB Country PMI'!$A:$AZ,MATCH($A$1,'DB Country PMI'!$A$1:$AZ$1,),)=0,#N/A,VLOOKUP(A138,'DB Country PMI'!$A:$AZ,MATCH($A$1,'DB Country PMI'!$A$1:$AZ$1,),))</f>
        <v/>
      </c>
      <c r="C138" s="24">
        <f>Table13468111214[[#This Row],[Euro Area PMI]]-B137</f>
        <v/>
      </c>
      <c r="D138" s="11">
        <f>IF(VLOOKUP(Table13468111214[[#This Row],[Date]],'DB Global PMI'!$A:$F,4)=0,#N/A,VLOOKUP(Table13468111214[[#This Row],[Date]],'DB Global PMI'!$A:$F,4))</f>
        <v/>
      </c>
      <c r="E138" s="24">
        <f>Table13468111214[[#This Row],[Euro Area PMI]]-B126</f>
        <v/>
      </c>
      <c r="F138" s="52">
        <f>(Table13468111214[[#This Row],[EZU]]-D126)/D126</f>
        <v/>
      </c>
      <c r="G138" s="52">
        <f>IF(VLOOKUP(Table13468111214[[#This Row],[Date]],'DB Global PMI'!$A:$F,6)=0,"",VLOOKUP(Table13468111214[[#This Row],[Date]],'DB Global PMI'!$A:$F,6))</f>
        <v/>
      </c>
    </row>
    <row r="139">
      <c r="A139" s="10" t="n">
        <v>42370</v>
      </c>
      <c r="B139" s="18">
        <f>IF(VLOOKUP(A139,'DB Country PMI'!$A:$AZ,MATCH($A$1,'DB Country PMI'!$A$1:$AZ$1,),)=0,#N/A,VLOOKUP(A139,'DB Country PMI'!$A:$AZ,MATCH($A$1,'DB Country PMI'!$A$1:$AZ$1,),))</f>
        <v/>
      </c>
      <c r="C139" s="24">
        <f>Table13468111214[[#This Row],[Euro Area PMI]]-B138</f>
        <v/>
      </c>
      <c r="D139" s="11">
        <f>IF(VLOOKUP(Table13468111214[[#This Row],[Date]],'DB Global PMI'!$A:$F,4)=0,#N/A,VLOOKUP(Table13468111214[[#This Row],[Date]],'DB Global PMI'!$A:$F,4))</f>
        <v/>
      </c>
      <c r="E139" s="24">
        <f>Table13468111214[[#This Row],[Euro Area PMI]]-B127</f>
        <v/>
      </c>
      <c r="F139" s="52">
        <f>(Table13468111214[[#This Row],[EZU]]-D127)/D127</f>
        <v/>
      </c>
      <c r="G139" s="52">
        <f>IF(VLOOKUP(Table13468111214[[#This Row],[Date]],'DB Global PMI'!$A:$F,6)=0,"",VLOOKUP(Table13468111214[[#This Row],[Date]],'DB Global PMI'!$A:$F,6))</f>
        <v/>
      </c>
    </row>
    <row r="140">
      <c r="A140" s="10" t="n">
        <v>42401</v>
      </c>
      <c r="B140" s="18">
        <f>IF(VLOOKUP(A140,'DB Country PMI'!$A:$AZ,MATCH($A$1,'DB Country PMI'!$A$1:$AZ$1,),)=0,#N/A,VLOOKUP(A140,'DB Country PMI'!$A:$AZ,MATCH($A$1,'DB Country PMI'!$A$1:$AZ$1,),))</f>
        <v/>
      </c>
      <c r="C140" s="24">
        <f>Table13468111214[[#This Row],[Euro Area PMI]]-B139</f>
        <v/>
      </c>
      <c r="D140" s="11">
        <f>IF(VLOOKUP(Table13468111214[[#This Row],[Date]],'DB Global PMI'!$A:$F,4)=0,#N/A,VLOOKUP(Table13468111214[[#This Row],[Date]],'DB Global PMI'!$A:$F,4))</f>
        <v/>
      </c>
      <c r="E140" s="24">
        <f>Table13468111214[[#This Row],[Euro Area PMI]]-B128</f>
        <v/>
      </c>
      <c r="F140" s="52">
        <f>(Table13468111214[[#This Row],[EZU]]-D128)/D128</f>
        <v/>
      </c>
      <c r="G140" s="52">
        <f>IF(VLOOKUP(Table13468111214[[#This Row],[Date]],'DB Global PMI'!$A:$F,6)=0,"",VLOOKUP(Table13468111214[[#This Row],[Date]],'DB Global PMI'!$A:$F,6))</f>
        <v/>
      </c>
    </row>
    <row r="141">
      <c r="A141" s="10" t="n">
        <v>42430</v>
      </c>
      <c r="B141" s="18">
        <f>IF(VLOOKUP(A141,'DB Country PMI'!$A:$AZ,MATCH($A$1,'DB Country PMI'!$A$1:$AZ$1,),)=0,#N/A,VLOOKUP(A141,'DB Country PMI'!$A:$AZ,MATCH($A$1,'DB Country PMI'!$A$1:$AZ$1,),))</f>
        <v/>
      </c>
      <c r="C141" s="24">
        <f>Table13468111214[[#This Row],[Euro Area PMI]]-B140</f>
        <v/>
      </c>
      <c r="D141" s="11">
        <f>IF(VLOOKUP(Table13468111214[[#This Row],[Date]],'DB Global PMI'!$A:$F,4)=0,#N/A,VLOOKUP(Table13468111214[[#This Row],[Date]],'DB Global PMI'!$A:$F,4))</f>
        <v/>
      </c>
      <c r="E141" s="24">
        <f>Table13468111214[[#This Row],[Euro Area PMI]]-B129</f>
        <v/>
      </c>
      <c r="F141" s="52">
        <f>(Table13468111214[[#This Row],[EZU]]-D129)/D129</f>
        <v/>
      </c>
      <c r="G141" s="52">
        <f>IF(VLOOKUP(Table13468111214[[#This Row],[Date]],'DB Global PMI'!$A:$F,6)=0,"",VLOOKUP(Table13468111214[[#This Row],[Date]],'DB Global PMI'!$A:$F,6))</f>
        <v/>
      </c>
    </row>
    <row r="142">
      <c r="A142" s="10" t="n">
        <v>42461</v>
      </c>
      <c r="B142" s="18">
        <f>IF(VLOOKUP(A142,'DB Country PMI'!$A:$AZ,MATCH($A$1,'DB Country PMI'!$A$1:$AZ$1,),)=0,#N/A,VLOOKUP(A142,'DB Country PMI'!$A:$AZ,MATCH($A$1,'DB Country PMI'!$A$1:$AZ$1,),))</f>
        <v/>
      </c>
      <c r="C142" s="24">
        <f>Table13468111214[[#This Row],[Euro Area PMI]]-B141</f>
        <v/>
      </c>
      <c r="D142" s="11">
        <f>IF(VLOOKUP(Table13468111214[[#This Row],[Date]],'DB Global PMI'!$A:$F,4)=0,#N/A,VLOOKUP(Table13468111214[[#This Row],[Date]],'DB Global PMI'!$A:$F,4))</f>
        <v/>
      </c>
      <c r="E142" s="24">
        <f>Table13468111214[[#This Row],[Euro Area PMI]]-B130</f>
        <v/>
      </c>
      <c r="F142" s="52">
        <f>(Table13468111214[[#This Row],[EZU]]-D130)/D130</f>
        <v/>
      </c>
      <c r="G142" s="52">
        <f>IF(VLOOKUP(Table13468111214[[#This Row],[Date]],'DB Global PMI'!$A:$F,6)=0,"",VLOOKUP(Table13468111214[[#This Row],[Date]],'DB Global PMI'!$A:$F,6))</f>
        <v/>
      </c>
    </row>
    <row r="143">
      <c r="A143" s="10" t="n">
        <v>42491</v>
      </c>
      <c r="B143" s="18">
        <f>IF(VLOOKUP(A143,'DB Country PMI'!$A:$AZ,MATCH($A$1,'DB Country PMI'!$A$1:$AZ$1,),)=0,#N/A,VLOOKUP(A143,'DB Country PMI'!$A:$AZ,MATCH($A$1,'DB Country PMI'!$A$1:$AZ$1,),))</f>
        <v/>
      </c>
      <c r="C143" s="24">
        <f>Table13468111214[[#This Row],[Euro Area PMI]]-B142</f>
        <v/>
      </c>
      <c r="D143" s="11">
        <f>IF(VLOOKUP(Table13468111214[[#This Row],[Date]],'DB Global PMI'!$A:$F,4)=0,#N/A,VLOOKUP(Table13468111214[[#This Row],[Date]],'DB Global PMI'!$A:$F,4))</f>
        <v/>
      </c>
      <c r="E143" s="24">
        <f>Table13468111214[[#This Row],[Euro Area PMI]]-B131</f>
        <v/>
      </c>
      <c r="F143" s="52">
        <f>(Table13468111214[[#This Row],[EZU]]-D131)/D131</f>
        <v/>
      </c>
      <c r="G143" s="52">
        <f>IF(VLOOKUP(Table13468111214[[#This Row],[Date]],'DB Global PMI'!$A:$F,6)=0,"",VLOOKUP(Table13468111214[[#This Row],[Date]],'DB Global PMI'!$A:$F,6))</f>
        <v/>
      </c>
    </row>
    <row r="144">
      <c r="A144" s="10" t="n">
        <v>42522</v>
      </c>
      <c r="B144" s="18">
        <f>IF(VLOOKUP(A144,'DB Country PMI'!$A:$AZ,MATCH($A$1,'DB Country PMI'!$A$1:$AZ$1,),)=0,#N/A,VLOOKUP(A144,'DB Country PMI'!$A:$AZ,MATCH($A$1,'DB Country PMI'!$A$1:$AZ$1,),))</f>
        <v/>
      </c>
      <c r="C144" s="24">
        <f>Table13468111214[[#This Row],[Euro Area PMI]]-B143</f>
        <v/>
      </c>
      <c r="D144" s="11">
        <f>IF(VLOOKUP(Table13468111214[[#This Row],[Date]],'DB Global PMI'!$A:$F,4)=0,#N/A,VLOOKUP(Table13468111214[[#This Row],[Date]],'DB Global PMI'!$A:$F,4))</f>
        <v/>
      </c>
      <c r="E144" s="24">
        <f>Table13468111214[[#This Row],[Euro Area PMI]]-B132</f>
        <v/>
      </c>
      <c r="F144" s="52">
        <f>(Table13468111214[[#This Row],[EZU]]-D132)/D132</f>
        <v/>
      </c>
      <c r="G144" s="52">
        <f>IF(VLOOKUP(Table13468111214[[#This Row],[Date]],'DB Global PMI'!$A:$F,6)=0,"",VLOOKUP(Table13468111214[[#This Row],[Date]],'DB Global PMI'!$A:$F,6))</f>
        <v/>
      </c>
    </row>
    <row r="145">
      <c r="A145" s="10" t="n">
        <v>42552</v>
      </c>
      <c r="B145" s="18">
        <f>IF(VLOOKUP(A145,'DB Country PMI'!$A:$AZ,MATCH($A$1,'DB Country PMI'!$A$1:$AZ$1,),)=0,#N/A,VLOOKUP(A145,'DB Country PMI'!$A:$AZ,MATCH($A$1,'DB Country PMI'!$A$1:$AZ$1,),))</f>
        <v/>
      </c>
      <c r="C145" s="24">
        <f>Table13468111214[[#This Row],[Euro Area PMI]]-B144</f>
        <v/>
      </c>
      <c r="D145" s="11">
        <f>IF(VLOOKUP(Table13468111214[[#This Row],[Date]],'DB Global PMI'!$A:$F,4)=0,#N/A,VLOOKUP(Table13468111214[[#This Row],[Date]],'DB Global PMI'!$A:$F,4))</f>
        <v/>
      </c>
      <c r="E145" s="24">
        <f>Table13468111214[[#This Row],[Euro Area PMI]]-B133</f>
        <v/>
      </c>
      <c r="F145" s="52">
        <f>(Table13468111214[[#This Row],[EZU]]-D133)/D133</f>
        <v/>
      </c>
      <c r="G145" s="52">
        <f>IF(VLOOKUP(Table13468111214[[#This Row],[Date]],'DB Global PMI'!$A:$F,6)=0,"",VLOOKUP(Table13468111214[[#This Row],[Date]],'DB Global PMI'!$A:$F,6))</f>
        <v/>
      </c>
    </row>
    <row r="146">
      <c r="A146" s="10" t="n">
        <v>42583</v>
      </c>
      <c r="B146" s="18">
        <f>IF(VLOOKUP(A146,'DB Country PMI'!$A:$AZ,MATCH($A$1,'DB Country PMI'!$A$1:$AZ$1,),)=0,#N/A,VLOOKUP(A146,'DB Country PMI'!$A:$AZ,MATCH($A$1,'DB Country PMI'!$A$1:$AZ$1,),))</f>
        <v/>
      </c>
      <c r="C146" s="24">
        <f>Table13468111214[[#This Row],[Euro Area PMI]]-B145</f>
        <v/>
      </c>
      <c r="D146" s="11">
        <f>IF(VLOOKUP(Table13468111214[[#This Row],[Date]],'DB Global PMI'!$A:$F,4)=0,#N/A,VLOOKUP(Table13468111214[[#This Row],[Date]],'DB Global PMI'!$A:$F,4))</f>
        <v/>
      </c>
      <c r="E146" s="24">
        <f>Table13468111214[[#This Row],[Euro Area PMI]]-B134</f>
        <v/>
      </c>
      <c r="F146" s="52">
        <f>(Table13468111214[[#This Row],[EZU]]-D134)/D134</f>
        <v/>
      </c>
      <c r="G146" s="52">
        <f>IF(VLOOKUP(Table13468111214[[#This Row],[Date]],'DB Global PMI'!$A:$F,6)=0,"",VLOOKUP(Table13468111214[[#This Row],[Date]],'DB Global PMI'!$A:$F,6))</f>
        <v/>
      </c>
    </row>
    <row r="147">
      <c r="A147" s="10" t="n">
        <v>42614</v>
      </c>
      <c r="B147" s="18">
        <f>IF(VLOOKUP(A147,'DB Country PMI'!$A:$AZ,MATCH($A$1,'DB Country PMI'!$A$1:$AZ$1,),)=0,#N/A,VLOOKUP(A147,'DB Country PMI'!$A:$AZ,MATCH($A$1,'DB Country PMI'!$A$1:$AZ$1,),))</f>
        <v/>
      </c>
      <c r="C147" s="24">
        <f>Table13468111214[[#This Row],[Euro Area PMI]]-B146</f>
        <v/>
      </c>
      <c r="D147" s="11">
        <f>IF(VLOOKUP(Table13468111214[[#This Row],[Date]],'DB Global PMI'!$A:$F,4)=0,#N/A,VLOOKUP(Table13468111214[[#This Row],[Date]],'DB Global PMI'!$A:$F,4))</f>
        <v/>
      </c>
      <c r="E147" s="24">
        <f>Table13468111214[[#This Row],[Euro Area PMI]]-B135</f>
        <v/>
      </c>
      <c r="F147" s="52">
        <f>(Table13468111214[[#This Row],[EZU]]-D135)/D135</f>
        <v/>
      </c>
      <c r="G147" s="52">
        <f>IF(VLOOKUP(Table13468111214[[#This Row],[Date]],'DB Global PMI'!$A:$F,6)=0,"",VLOOKUP(Table13468111214[[#This Row],[Date]],'DB Global PMI'!$A:$F,6))</f>
        <v/>
      </c>
    </row>
    <row r="148">
      <c r="A148" s="10" t="n">
        <v>42644</v>
      </c>
      <c r="B148" s="18">
        <f>IF(VLOOKUP(A148,'DB Country PMI'!$A:$AZ,MATCH($A$1,'DB Country PMI'!$A$1:$AZ$1,),)=0,#N/A,VLOOKUP(A148,'DB Country PMI'!$A:$AZ,MATCH($A$1,'DB Country PMI'!$A$1:$AZ$1,),))</f>
        <v/>
      </c>
      <c r="C148" s="24">
        <f>Table13468111214[[#This Row],[Euro Area PMI]]-B147</f>
        <v/>
      </c>
      <c r="D148" s="11">
        <f>IF(VLOOKUP(Table13468111214[[#This Row],[Date]],'DB Global PMI'!$A:$F,4)=0,#N/A,VLOOKUP(Table13468111214[[#This Row],[Date]],'DB Global PMI'!$A:$F,4))</f>
        <v/>
      </c>
      <c r="E148" s="24">
        <f>Table13468111214[[#This Row],[Euro Area PMI]]-B136</f>
        <v/>
      </c>
      <c r="F148" s="52">
        <f>(Table13468111214[[#This Row],[EZU]]-D136)/D136</f>
        <v/>
      </c>
      <c r="G148" s="52">
        <f>IF(VLOOKUP(Table13468111214[[#This Row],[Date]],'DB Global PMI'!$A:$F,6)=0,"",VLOOKUP(Table13468111214[[#This Row],[Date]],'DB Global PMI'!$A:$F,6))</f>
        <v/>
      </c>
    </row>
    <row r="149">
      <c r="A149" s="10" t="n">
        <v>42675</v>
      </c>
      <c r="B149" s="18">
        <f>IF(VLOOKUP(A149,'DB Country PMI'!$A:$AZ,MATCH($A$1,'DB Country PMI'!$A$1:$AZ$1,),)=0,#N/A,VLOOKUP(A149,'DB Country PMI'!$A:$AZ,MATCH($A$1,'DB Country PMI'!$A$1:$AZ$1,),))</f>
        <v/>
      </c>
      <c r="C149" s="24">
        <f>Table13468111214[[#This Row],[Euro Area PMI]]-B148</f>
        <v/>
      </c>
      <c r="D149" s="11">
        <f>IF(VLOOKUP(Table13468111214[[#This Row],[Date]],'DB Global PMI'!$A:$F,4)=0,#N/A,VLOOKUP(Table13468111214[[#This Row],[Date]],'DB Global PMI'!$A:$F,4))</f>
        <v/>
      </c>
      <c r="E149" s="24">
        <f>Table13468111214[[#This Row],[Euro Area PMI]]-B137</f>
        <v/>
      </c>
      <c r="F149" s="52">
        <f>(Table13468111214[[#This Row],[EZU]]-D137)/D137</f>
        <v/>
      </c>
      <c r="G149" s="52">
        <f>IF(VLOOKUP(Table13468111214[[#This Row],[Date]],'DB Global PMI'!$A:$F,6)=0,"",VLOOKUP(Table13468111214[[#This Row],[Date]],'DB Global PMI'!$A:$F,6))</f>
        <v/>
      </c>
    </row>
    <row r="150">
      <c r="A150" s="10" t="n">
        <v>42705</v>
      </c>
      <c r="B150" s="18">
        <f>IF(VLOOKUP(A150,'DB Country PMI'!$A:$AZ,MATCH($A$1,'DB Country PMI'!$A$1:$AZ$1,),)=0,#N/A,VLOOKUP(A150,'DB Country PMI'!$A:$AZ,MATCH($A$1,'DB Country PMI'!$A$1:$AZ$1,),))</f>
        <v/>
      </c>
      <c r="C150" s="24">
        <f>Table13468111214[[#This Row],[Euro Area PMI]]-B149</f>
        <v/>
      </c>
      <c r="D150" s="11">
        <f>IF(VLOOKUP(Table13468111214[[#This Row],[Date]],'DB Global PMI'!$A:$F,4)=0,#N/A,VLOOKUP(Table13468111214[[#This Row],[Date]],'DB Global PMI'!$A:$F,4))</f>
        <v/>
      </c>
      <c r="E150" s="24">
        <f>Table13468111214[[#This Row],[Euro Area PMI]]-B138</f>
        <v/>
      </c>
      <c r="F150" s="52">
        <f>(Table13468111214[[#This Row],[EZU]]-D138)/D138</f>
        <v/>
      </c>
      <c r="G150" s="52">
        <f>IF(VLOOKUP(Table13468111214[[#This Row],[Date]],'DB Global PMI'!$A:$F,6)=0,"",VLOOKUP(Table13468111214[[#This Row],[Date]],'DB Global PMI'!$A:$F,6))</f>
        <v/>
      </c>
    </row>
    <row r="151">
      <c r="A151" s="10" t="n">
        <v>42736</v>
      </c>
      <c r="B151" s="18">
        <f>IF(VLOOKUP(A151,'DB Country PMI'!$A:$AZ,MATCH($A$1,'DB Country PMI'!$A$1:$AZ$1,),)=0,#N/A,VLOOKUP(A151,'DB Country PMI'!$A:$AZ,MATCH($A$1,'DB Country PMI'!$A$1:$AZ$1,),))</f>
        <v/>
      </c>
      <c r="C151" s="24">
        <f>Table13468111214[[#This Row],[Euro Area PMI]]-B150</f>
        <v/>
      </c>
      <c r="D151" s="11">
        <f>IF(VLOOKUP(Table13468111214[[#This Row],[Date]],'DB Global PMI'!$A:$F,4)=0,#N/A,VLOOKUP(Table13468111214[[#This Row],[Date]],'DB Global PMI'!$A:$F,4))</f>
        <v/>
      </c>
      <c r="E151" s="24">
        <f>Table13468111214[[#This Row],[Euro Area PMI]]-B139</f>
        <v/>
      </c>
      <c r="F151" s="52">
        <f>(Table13468111214[[#This Row],[EZU]]-D139)/D139</f>
        <v/>
      </c>
      <c r="G151" s="52">
        <f>IF(VLOOKUP(Table13468111214[[#This Row],[Date]],'DB Global PMI'!$A:$F,6)=0,"",VLOOKUP(Table13468111214[[#This Row],[Date]],'DB Global PMI'!$A:$F,6))</f>
        <v/>
      </c>
    </row>
    <row r="152">
      <c r="A152" s="10" t="n">
        <v>42767</v>
      </c>
      <c r="B152" s="18">
        <f>IF(VLOOKUP(A152,'DB Country PMI'!$A:$AZ,MATCH($A$1,'DB Country PMI'!$A$1:$AZ$1,),)=0,#N/A,VLOOKUP(A152,'DB Country PMI'!$A:$AZ,MATCH($A$1,'DB Country PMI'!$A$1:$AZ$1,),))</f>
        <v/>
      </c>
      <c r="C152" s="24">
        <f>Table13468111214[[#This Row],[Euro Area PMI]]-B151</f>
        <v/>
      </c>
      <c r="D152" s="11">
        <f>IF(VLOOKUP(Table13468111214[[#This Row],[Date]],'DB Global PMI'!$A:$F,4)=0,#N/A,VLOOKUP(Table13468111214[[#This Row],[Date]],'DB Global PMI'!$A:$F,4))</f>
        <v/>
      </c>
      <c r="E152" s="24">
        <f>Table13468111214[[#This Row],[Euro Area PMI]]-B140</f>
        <v/>
      </c>
      <c r="F152" s="52">
        <f>(Table13468111214[[#This Row],[EZU]]-D140)/D140</f>
        <v/>
      </c>
      <c r="G152" s="52">
        <f>IF(VLOOKUP(Table13468111214[[#This Row],[Date]],'DB Global PMI'!$A:$F,6)=0,"",VLOOKUP(Table13468111214[[#This Row],[Date]],'DB Global PMI'!$A:$F,6))</f>
        <v/>
      </c>
    </row>
    <row r="153">
      <c r="A153" s="10" t="n">
        <v>42795</v>
      </c>
      <c r="B153" s="18">
        <f>IF(VLOOKUP(A153,'DB Country PMI'!$A:$AZ,MATCH($A$1,'DB Country PMI'!$A$1:$AZ$1,),)=0,#N/A,VLOOKUP(A153,'DB Country PMI'!$A:$AZ,MATCH($A$1,'DB Country PMI'!$A$1:$AZ$1,),))</f>
        <v/>
      </c>
      <c r="C153" s="24">
        <f>Table13468111214[[#This Row],[Euro Area PMI]]-B152</f>
        <v/>
      </c>
      <c r="D153" s="11">
        <f>IF(VLOOKUP(Table13468111214[[#This Row],[Date]],'DB Global PMI'!$A:$F,4)=0,#N/A,VLOOKUP(Table13468111214[[#This Row],[Date]],'DB Global PMI'!$A:$F,4))</f>
        <v/>
      </c>
      <c r="E153" s="24">
        <f>Table13468111214[[#This Row],[Euro Area PMI]]-B141</f>
        <v/>
      </c>
      <c r="F153" s="52">
        <f>(Table13468111214[[#This Row],[EZU]]-D141)/D141</f>
        <v/>
      </c>
      <c r="G153" s="52">
        <f>IF(VLOOKUP(Table13468111214[[#This Row],[Date]],'DB Global PMI'!$A:$F,6)=0,"",VLOOKUP(Table13468111214[[#This Row],[Date]],'DB Global PMI'!$A:$F,6))</f>
        <v/>
      </c>
    </row>
    <row r="154">
      <c r="A154" s="10" t="n">
        <v>42826</v>
      </c>
      <c r="B154" s="18">
        <f>IF(VLOOKUP(A154,'DB Country PMI'!$A:$AZ,MATCH($A$1,'DB Country PMI'!$A$1:$AZ$1,),)=0,#N/A,VLOOKUP(A154,'DB Country PMI'!$A:$AZ,MATCH($A$1,'DB Country PMI'!$A$1:$AZ$1,),))</f>
        <v/>
      </c>
      <c r="C154" s="24">
        <f>Table13468111214[[#This Row],[Euro Area PMI]]-B153</f>
        <v/>
      </c>
      <c r="D154" s="11">
        <f>IF(VLOOKUP(Table13468111214[[#This Row],[Date]],'DB Global PMI'!$A:$F,4)=0,#N/A,VLOOKUP(Table13468111214[[#This Row],[Date]],'DB Global PMI'!$A:$F,4))</f>
        <v/>
      </c>
      <c r="E154" s="24">
        <f>Table13468111214[[#This Row],[Euro Area PMI]]-B142</f>
        <v/>
      </c>
      <c r="F154" s="52">
        <f>(Table13468111214[[#This Row],[EZU]]-D142)/D142</f>
        <v/>
      </c>
      <c r="G154" s="52">
        <f>IF(VLOOKUP(Table13468111214[[#This Row],[Date]],'DB Global PMI'!$A:$F,6)=0,"",VLOOKUP(Table13468111214[[#This Row],[Date]],'DB Global PMI'!$A:$F,6))</f>
        <v/>
      </c>
    </row>
    <row r="155">
      <c r="A155" s="10" t="n">
        <v>42856</v>
      </c>
      <c r="B155" s="18">
        <f>IF(VLOOKUP(A155,'DB Country PMI'!$A:$AZ,MATCH($A$1,'DB Country PMI'!$A$1:$AZ$1,),)=0,#N/A,VLOOKUP(A155,'DB Country PMI'!$A:$AZ,MATCH($A$1,'DB Country PMI'!$A$1:$AZ$1,),))</f>
        <v/>
      </c>
      <c r="C155" s="24">
        <f>Table13468111214[[#This Row],[Euro Area PMI]]-B154</f>
        <v/>
      </c>
      <c r="D155" s="11">
        <f>IF(VLOOKUP(Table13468111214[[#This Row],[Date]],'DB Global PMI'!$A:$F,4)=0,#N/A,VLOOKUP(Table13468111214[[#This Row],[Date]],'DB Global PMI'!$A:$F,4))</f>
        <v/>
      </c>
      <c r="E155" s="24">
        <f>Table13468111214[[#This Row],[Euro Area PMI]]-B143</f>
        <v/>
      </c>
      <c r="F155" s="52">
        <f>(Table13468111214[[#This Row],[EZU]]-D143)/D143</f>
        <v/>
      </c>
      <c r="G155" s="52">
        <f>IF(VLOOKUP(Table13468111214[[#This Row],[Date]],'DB Global PMI'!$A:$F,6)=0,"",VLOOKUP(Table13468111214[[#This Row],[Date]],'DB Global PMI'!$A:$F,6))</f>
        <v/>
      </c>
    </row>
    <row r="156">
      <c r="A156" s="10" t="n">
        <v>42887</v>
      </c>
      <c r="B156" s="18">
        <f>IF(VLOOKUP(A156,'DB Country PMI'!$A:$AZ,MATCH($A$1,'DB Country PMI'!$A$1:$AZ$1,),)=0,#N/A,VLOOKUP(A156,'DB Country PMI'!$A:$AZ,MATCH($A$1,'DB Country PMI'!$A$1:$AZ$1,),))</f>
        <v/>
      </c>
      <c r="C156" s="24">
        <f>Table13468111214[[#This Row],[Euro Area PMI]]-B155</f>
        <v/>
      </c>
      <c r="D156" s="11">
        <f>IF(VLOOKUP(Table13468111214[[#This Row],[Date]],'DB Global PMI'!$A:$F,4)=0,#N/A,VLOOKUP(Table13468111214[[#This Row],[Date]],'DB Global PMI'!$A:$F,4))</f>
        <v/>
      </c>
      <c r="E156" s="24">
        <f>Table13468111214[[#This Row],[Euro Area PMI]]-B144</f>
        <v/>
      </c>
      <c r="F156" s="52">
        <f>(Table13468111214[[#This Row],[EZU]]-D144)/D144</f>
        <v/>
      </c>
      <c r="G156" s="52">
        <f>IF(VLOOKUP(Table13468111214[[#This Row],[Date]],'DB Global PMI'!$A:$F,6)=0,"",VLOOKUP(Table13468111214[[#This Row],[Date]],'DB Global PMI'!$A:$F,6))</f>
        <v/>
      </c>
    </row>
    <row r="157">
      <c r="A157" s="10" t="n">
        <v>42917</v>
      </c>
      <c r="B157" s="18">
        <f>IF(VLOOKUP(A157,'DB Country PMI'!$A:$AZ,MATCH($A$1,'DB Country PMI'!$A$1:$AZ$1,),)=0,#N/A,VLOOKUP(A157,'DB Country PMI'!$A:$AZ,MATCH($A$1,'DB Country PMI'!$A$1:$AZ$1,),))</f>
        <v/>
      </c>
      <c r="C157" s="24">
        <f>Table13468111214[[#This Row],[Euro Area PMI]]-B156</f>
        <v/>
      </c>
      <c r="D157" s="11">
        <f>IF(VLOOKUP(Table13468111214[[#This Row],[Date]],'DB Global PMI'!$A:$F,4)=0,#N/A,VLOOKUP(Table13468111214[[#This Row],[Date]],'DB Global PMI'!$A:$F,4))</f>
        <v/>
      </c>
      <c r="E157" s="24">
        <f>Table13468111214[[#This Row],[Euro Area PMI]]-B145</f>
        <v/>
      </c>
      <c r="F157" s="52">
        <f>(Table13468111214[[#This Row],[EZU]]-D145)/D145</f>
        <v/>
      </c>
      <c r="G157" s="52">
        <f>IF(VLOOKUP(Table13468111214[[#This Row],[Date]],'DB Global PMI'!$A:$F,6)=0,"",VLOOKUP(Table13468111214[[#This Row],[Date]],'DB Global PMI'!$A:$F,6))</f>
        <v/>
      </c>
    </row>
    <row r="158">
      <c r="A158" s="10" t="n">
        <v>42948</v>
      </c>
      <c r="B158" s="18">
        <f>IF(VLOOKUP(A158,'DB Country PMI'!$A:$AZ,MATCH($A$1,'DB Country PMI'!$A$1:$AZ$1,),)=0,#N/A,VLOOKUP(A158,'DB Country PMI'!$A:$AZ,MATCH($A$1,'DB Country PMI'!$A$1:$AZ$1,),))</f>
        <v/>
      </c>
      <c r="C158" s="24">
        <f>Table13468111214[[#This Row],[Euro Area PMI]]-B157</f>
        <v/>
      </c>
      <c r="D158" s="11">
        <f>IF(VLOOKUP(Table13468111214[[#This Row],[Date]],'DB Global PMI'!$A:$F,4)=0,#N/A,VLOOKUP(Table13468111214[[#This Row],[Date]],'DB Global PMI'!$A:$F,4))</f>
        <v/>
      </c>
      <c r="E158" s="24">
        <f>Table13468111214[[#This Row],[Euro Area PMI]]-B146</f>
        <v/>
      </c>
      <c r="F158" s="52">
        <f>(Table13468111214[[#This Row],[EZU]]-D146)/D146</f>
        <v/>
      </c>
      <c r="G158" s="52">
        <f>IF(VLOOKUP(Table13468111214[[#This Row],[Date]],'DB Global PMI'!$A:$F,6)=0,"",VLOOKUP(Table13468111214[[#This Row],[Date]],'DB Global PMI'!$A:$F,6))</f>
        <v/>
      </c>
    </row>
    <row r="159">
      <c r="A159" s="10" t="n">
        <v>42979</v>
      </c>
      <c r="B159" s="18">
        <f>IF(VLOOKUP(A159,'DB Country PMI'!$A:$AZ,MATCH($A$1,'DB Country PMI'!$A$1:$AZ$1,),)=0,#N/A,VLOOKUP(A159,'DB Country PMI'!$A:$AZ,MATCH($A$1,'DB Country PMI'!$A$1:$AZ$1,),))</f>
        <v/>
      </c>
      <c r="C159" s="24">
        <f>Table13468111214[[#This Row],[Euro Area PMI]]-B158</f>
        <v/>
      </c>
      <c r="D159" s="11">
        <f>IF(VLOOKUP(Table13468111214[[#This Row],[Date]],'DB Global PMI'!$A:$F,4)=0,#N/A,VLOOKUP(Table13468111214[[#This Row],[Date]],'DB Global PMI'!$A:$F,4))</f>
        <v/>
      </c>
      <c r="E159" s="24">
        <f>Table13468111214[[#This Row],[Euro Area PMI]]-B147</f>
        <v/>
      </c>
      <c r="F159" s="52">
        <f>(Table13468111214[[#This Row],[EZU]]-D147)/D147</f>
        <v/>
      </c>
      <c r="G159" s="52">
        <f>IF(VLOOKUP(Table13468111214[[#This Row],[Date]],'DB Global PMI'!$A:$F,6)=0,"",VLOOKUP(Table13468111214[[#This Row],[Date]],'DB Global PMI'!$A:$F,6))</f>
        <v/>
      </c>
    </row>
    <row r="160">
      <c r="A160" s="10" t="n">
        <v>43009</v>
      </c>
      <c r="B160" s="18">
        <f>IF(VLOOKUP(A160,'DB Country PMI'!$A:$AZ,MATCH($A$1,'DB Country PMI'!$A$1:$AZ$1,),)=0,#N/A,VLOOKUP(A160,'DB Country PMI'!$A:$AZ,MATCH($A$1,'DB Country PMI'!$A$1:$AZ$1,),))</f>
        <v/>
      </c>
      <c r="C160" s="24">
        <f>Table13468111214[[#This Row],[Euro Area PMI]]-B159</f>
        <v/>
      </c>
      <c r="D160" s="11">
        <f>IF(VLOOKUP(Table13468111214[[#This Row],[Date]],'DB Global PMI'!$A:$F,4)=0,#N/A,VLOOKUP(Table13468111214[[#This Row],[Date]],'DB Global PMI'!$A:$F,4))</f>
        <v/>
      </c>
      <c r="E160" s="24">
        <f>Table13468111214[[#This Row],[Euro Area PMI]]-B148</f>
        <v/>
      </c>
      <c r="F160" s="52">
        <f>(Table13468111214[[#This Row],[EZU]]-D148)/D148</f>
        <v/>
      </c>
      <c r="G160" s="52">
        <f>IF(VLOOKUP(Table13468111214[[#This Row],[Date]],'DB Global PMI'!$A:$F,6)=0,"",VLOOKUP(Table13468111214[[#This Row],[Date]],'DB Global PMI'!$A:$F,6))</f>
        <v/>
      </c>
    </row>
    <row r="161">
      <c r="A161" s="10" t="n">
        <v>43040</v>
      </c>
      <c r="B161" s="18">
        <f>IF(VLOOKUP(A161,'DB Country PMI'!$A:$AZ,MATCH($A$1,'DB Country PMI'!$A$1:$AZ$1,),)=0,#N/A,VLOOKUP(A161,'DB Country PMI'!$A:$AZ,MATCH($A$1,'DB Country PMI'!$A$1:$AZ$1,),))</f>
        <v/>
      </c>
      <c r="C161" s="24">
        <f>Table13468111214[[#This Row],[Euro Area PMI]]-B160</f>
        <v/>
      </c>
      <c r="D161" s="11">
        <f>IF(VLOOKUP(Table13468111214[[#This Row],[Date]],'DB Global PMI'!$A:$F,4)=0,#N/A,VLOOKUP(Table13468111214[[#This Row],[Date]],'DB Global PMI'!$A:$F,4))</f>
        <v/>
      </c>
      <c r="E161" s="24">
        <f>Table13468111214[[#This Row],[Euro Area PMI]]-B149</f>
        <v/>
      </c>
      <c r="F161" s="52">
        <f>(Table13468111214[[#This Row],[EZU]]-D149)/D149</f>
        <v/>
      </c>
      <c r="G161" s="52">
        <f>IF(VLOOKUP(Table13468111214[[#This Row],[Date]],'DB Global PMI'!$A:$F,6)=0,"",VLOOKUP(Table13468111214[[#This Row],[Date]],'DB Global PMI'!$A:$F,6))</f>
        <v/>
      </c>
    </row>
    <row r="162">
      <c r="A162" s="10" t="n">
        <v>43070</v>
      </c>
      <c r="B162" s="18">
        <f>IF(VLOOKUP(A162,'DB Country PMI'!$A:$AZ,MATCH($A$1,'DB Country PMI'!$A$1:$AZ$1,),)=0,#N/A,VLOOKUP(A162,'DB Country PMI'!$A:$AZ,MATCH($A$1,'DB Country PMI'!$A$1:$AZ$1,),))</f>
        <v/>
      </c>
      <c r="C162" s="24">
        <f>Table13468111214[[#This Row],[Euro Area PMI]]-B161</f>
        <v/>
      </c>
      <c r="D162" s="11">
        <f>IF(VLOOKUP(Table13468111214[[#This Row],[Date]],'DB Global PMI'!$A:$F,4)=0,#N/A,VLOOKUP(Table13468111214[[#This Row],[Date]],'DB Global PMI'!$A:$F,4))</f>
        <v/>
      </c>
      <c r="E162" s="24">
        <f>Table13468111214[[#This Row],[Euro Area PMI]]-B150</f>
        <v/>
      </c>
      <c r="F162" s="52">
        <f>(Table13468111214[[#This Row],[EZU]]-D150)/D150</f>
        <v/>
      </c>
      <c r="G162" s="52">
        <f>IF(VLOOKUP(Table13468111214[[#This Row],[Date]],'DB Global PMI'!$A:$F,6)=0,"",VLOOKUP(Table13468111214[[#This Row],[Date]],'DB Global PMI'!$A:$F,6))</f>
        <v/>
      </c>
    </row>
    <row r="163">
      <c r="A163" s="10" t="n">
        <v>43101</v>
      </c>
      <c r="B163" s="18">
        <f>IF(VLOOKUP(A163,'DB Country PMI'!$A:$AZ,MATCH($A$1,'DB Country PMI'!$A$1:$AZ$1,),)=0,#N/A,VLOOKUP(A163,'DB Country PMI'!$A:$AZ,MATCH($A$1,'DB Country PMI'!$A$1:$AZ$1,),))</f>
        <v/>
      </c>
      <c r="C163" s="24">
        <f>Table13468111214[[#This Row],[Euro Area PMI]]-B162</f>
        <v/>
      </c>
      <c r="D163" s="11">
        <f>IF(VLOOKUP(Table13468111214[[#This Row],[Date]],'DB Global PMI'!$A:$F,4)=0,#N/A,VLOOKUP(Table13468111214[[#This Row],[Date]],'DB Global PMI'!$A:$F,4))</f>
        <v/>
      </c>
      <c r="E163" s="24">
        <f>Table13468111214[[#This Row],[Euro Area PMI]]-B151</f>
        <v/>
      </c>
      <c r="F163" s="52">
        <f>(Table13468111214[[#This Row],[EZU]]-D151)/D151</f>
        <v/>
      </c>
      <c r="G163" s="52">
        <f>IF(VLOOKUP(Table13468111214[[#This Row],[Date]],'DB Global PMI'!$A:$F,6)=0,"",VLOOKUP(Table13468111214[[#This Row],[Date]],'DB Global PMI'!$A:$F,6))</f>
        <v/>
      </c>
    </row>
    <row r="164">
      <c r="A164" s="10" t="n">
        <v>43132</v>
      </c>
      <c r="B164" s="18">
        <f>IF(VLOOKUP(A164,'DB Country PMI'!$A:$AZ,MATCH($A$1,'DB Country PMI'!$A$1:$AZ$1,),)=0,#N/A,VLOOKUP(A164,'DB Country PMI'!$A:$AZ,MATCH($A$1,'DB Country PMI'!$A$1:$AZ$1,),))</f>
        <v/>
      </c>
      <c r="C164" s="24">
        <f>Table13468111214[[#This Row],[Euro Area PMI]]-B163</f>
        <v/>
      </c>
      <c r="D164" s="11">
        <f>IF(VLOOKUP(Table13468111214[[#This Row],[Date]],'DB Global PMI'!$A:$F,4)=0,#N/A,VLOOKUP(Table13468111214[[#This Row],[Date]],'DB Global PMI'!$A:$F,4))</f>
        <v/>
      </c>
      <c r="E164" s="24">
        <f>Table13468111214[[#This Row],[Euro Area PMI]]-B152</f>
        <v/>
      </c>
      <c r="F164" s="52">
        <f>(Table13468111214[[#This Row],[EZU]]-D152)/D152</f>
        <v/>
      </c>
      <c r="G164" s="52">
        <f>IF(VLOOKUP(Table13468111214[[#This Row],[Date]],'DB Global PMI'!$A:$F,6)=0,"",VLOOKUP(Table13468111214[[#This Row],[Date]],'DB Global PMI'!$A:$F,6))</f>
        <v/>
      </c>
    </row>
    <row r="165">
      <c r="A165" s="10" t="n">
        <v>43160</v>
      </c>
      <c r="B165" s="18">
        <f>IF(VLOOKUP(A165,'DB Country PMI'!$A:$AZ,MATCH($A$1,'DB Country PMI'!$A$1:$AZ$1,),)=0,#N/A,VLOOKUP(A165,'DB Country PMI'!$A:$AZ,MATCH($A$1,'DB Country PMI'!$A$1:$AZ$1,),))</f>
        <v/>
      </c>
      <c r="C165" s="24">
        <f>Table13468111214[[#This Row],[Euro Area PMI]]-B164</f>
        <v/>
      </c>
      <c r="D165" s="11">
        <f>IF(VLOOKUP(Table13468111214[[#This Row],[Date]],'DB Global PMI'!$A:$F,4)=0,#N/A,VLOOKUP(Table13468111214[[#This Row],[Date]],'DB Global PMI'!$A:$F,4))</f>
        <v/>
      </c>
      <c r="E165" s="24">
        <f>Table13468111214[[#This Row],[Euro Area PMI]]-B153</f>
        <v/>
      </c>
      <c r="F165" s="52">
        <f>(Table13468111214[[#This Row],[EZU]]-D153)/D153</f>
        <v/>
      </c>
      <c r="G165" s="52">
        <f>IF(VLOOKUP(Table13468111214[[#This Row],[Date]],'DB Global PMI'!$A:$F,6)=0,"",VLOOKUP(Table13468111214[[#This Row],[Date]],'DB Global PMI'!$A:$F,6))</f>
        <v/>
      </c>
    </row>
    <row r="166">
      <c r="A166" s="10" t="n">
        <v>43191</v>
      </c>
      <c r="B166" s="18">
        <f>IF(VLOOKUP(A166,'DB Country PMI'!$A:$AZ,MATCH($A$1,'DB Country PMI'!$A$1:$AZ$1,),)=0,#N/A,VLOOKUP(A166,'DB Country PMI'!$A:$AZ,MATCH($A$1,'DB Country PMI'!$A$1:$AZ$1,),))</f>
        <v/>
      </c>
      <c r="C166" s="24">
        <f>Table13468111214[[#This Row],[Euro Area PMI]]-B165</f>
        <v/>
      </c>
      <c r="D166" s="11">
        <f>IF(VLOOKUP(Table13468111214[[#This Row],[Date]],'DB Global PMI'!$A:$F,4)=0,#N/A,VLOOKUP(Table13468111214[[#This Row],[Date]],'DB Global PMI'!$A:$F,4))</f>
        <v/>
      </c>
      <c r="E166" s="24">
        <f>Table13468111214[[#This Row],[Euro Area PMI]]-B154</f>
        <v/>
      </c>
      <c r="F166" s="52">
        <f>(Table13468111214[[#This Row],[EZU]]-D154)/D154</f>
        <v/>
      </c>
      <c r="G166" s="52">
        <f>IF(VLOOKUP(Table13468111214[[#This Row],[Date]],'DB Global PMI'!$A:$F,6)=0,"",VLOOKUP(Table13468111214[[#This Row],[Date]],'DB Global PMI'!$A:$F,6))</f>
        <v/>
      </c>
    </row>
    <row r="167">
      <c r="A167" s="10" t="n">
        <v>43221</v>
      </c>
      <c r="B167" s="18">
        <f>IF(VLOOKUP(A167,'DB Country PMI'!$A:$AZ,MATCH($A$1,'DB Country PMI'!$A$1:$AZ$1,),)=0,#N/A,VLOOKUP(A167,'DB Country PMI'!$A:$AZ,MATCH($A$1,'DB Country PMI'!$A$1:$AZ$1,),))</f>
        <v/>
      </c>
      <c r="C167" s="24">
        <f>Table13468111214[[#This Row],[Euro Area PMI]]-B166</f>
        <v/>
      </c>
      <c r="D167" s="11">
        <f>IF(VLOOKUP(Table13468111214[[#This Row],[Date]],'DB Global PMI'!$A:$F,4)=0,#N/A,VLOOKUP(Table13468111214[[#This Row],[Date]],'DB Global PMI'!$A:$F,4))</f>
        <v/>
      </c>
      <c r="E167" s="24">
        <f>Table13468111214[[#This Row],[Euro Area PMI]]-B155</f>
        <v/>
      </c>
      <c r="F167" s="52">
        <f>(Table13468111214[[#This Row],[EZU]]-D155)/D155</f>
        <v/>
      </c>
      <c r="G167" s="52">
        <f>IF(VLOOKUP(Table13468111214[[#This Row],[Date]],'DB Global PMI'!$A:$F,6)=0,"",VLOOKUP(Table13468111214[[#This Row],[Date]],'DB Global PMI'!$A:$F,6))</f>
        <v/>
      </c>
    </row>
    <row r="168">
      <c r="A168" s="10" t="n">
        <v>43252</v>
      </c>
      <c r="B168" s="18">
        <f>IF(VLOOKUP(A168,'DB Country PMI'!$A:$AZ,MATCH($A$1,'DB Country PMI'!$A$1:$AZ$1,),)=0,#N/A,VLOOKUP(A168,'DB Country PMI'!$A:$AZ,MATCH($A$1,'DB Country PMI'!$A$1:$AZ$1,),))</f>
        <v/>
      </c>
      <c r="C168" s="24">
        <f>Table13468111214[[#This Row],[Euro Area PMI]]-B167</f>
        <v/>
      </c>
      <c r="D168" s="11">
        <f>IF(VLOOKUP(Table13468111214[[#This Row],[Date]],'DB Global PMI'!$A:$F,4)=0,#N/A,VLOOKUP(Table13468111214[[#This Row],[Date]],'DB Global PMI'!$A:$F,4))</f>
        <v/>
      </c>
      <c r="E168" s="24">
        <f>Table13468111214[[#This Row],[Euro Area PMI]]-B156</f>
        <v/>
      </c>
      <c r="F168" s="52">
        <f>(Table13468111214[[#This Row],[EZU]]-D156)/D156</f>
        <v/>
      </c>
      <c r="G168" s="52">
        <f>IF(VLOOKUP(Table13468111214[[#This Row],[Date]],'DB Global PMI'!$A:$F,6)=0,"",VLOOKUP(Table13468111214[[#This Row],[Date]],'DB Global PMI'!$A:$F,6))</f>
        <v/>
      </c>
    </row>
    <row r="169">
      <c r="A169" s="10" t="n">
        <v>43282</v>
      </c>
      <c r="B169" s="18">
        <f>IF(VLOOKUP(A169,'DB Country PMI'!$A:$AZ,MATCH($A$1,'DB Country PMI'!$A$1:$AZ$1,),)=0,#N/A,VLOOKUP(A169,'DB Country PMI'!$A:$AZ,MATCH($A$1,'DB Country PMI'!$A$1:$AZ$1,),))</f>
        <v/>
      </c>
      <c r="C169" s="24">
        <f>Table13468111214[[#This Row],[Euro Area PMI]]-B168</f>
        <v/>
      </c>
      <c r="D169" s="11">
        <f>IF(VLOOKUP(Table13468111214[[#This Row],[Date]],'DB Global PMI'!$A:$F,4)=0,#N/A,VLOOKUP(Table13468111214[[#This Row],[Date]],'DB Global PMI'!$A:$F,4))</f>
        <v/>
      </c>
      <c r="E169" s="24">
        <f>Table13468111214[[#This Row],[Euro Area PMI]]-B157</f>
        <v/>
      </c>
      <c r="F169" s="52">
        <f>(Table13468111214[[#This Row],[EZU]]-D157)/D157</f>
        <v/>
      </c>
      <c r="G169" s="52">
        <f>IF(VLOOKUP(Table13468111214[[#This Row],[Date]],'DB Global PMI'!$A:$F,6)=0,"",VLOOKUP(Table13468111214[[#This Row],[Date]],'DB Global PMI'!$A:$F,6))</f>
        <v/>
      </c>
    </row>
    <row r="170">
      <c r="A170" s="10" t="n">
        <v>43313</v>
      </c>
      <c r="B170" s="18">
        <f>IF(VLOOKUP(A170,'DB Country PMI'!$A:$AZ,MATCH($A$1,'DB Country PMI'!$A$1:$AZ$1,),)=0,#N/A,VLOOKUP(A170,'DB Country PMI'!$A:$AZ,MATCH($A$1,'DB Country PMI'!$A$1:$AZ$1,),))</f>
        <v/>
      </c>
      <c r="C170" s="24">
        <f>Table13468111214[[#This Row],[Euro Area PMI]]-B169</f>
        <v/>
      </c>
      <c r="D170" s="11">
        <f>IF(VLOOKUP(Table13468111214[[#This Row],[Date]],'DB Global PMI'!$A:$F,4)=0,#N/A,VLOOKUP(Table13468111214[[#This Row],[Date]],'DB Global PMI'!$A:$F,4))</f>
        <v/>
      </c>
      <c r="E170" s="24">
        <f>Table13468111214[[#This Row],[Euro Area PMI]]-B158</f>
        <v/>
      </c>
      <c r="F170" s="52">
        <f>(Table13468111214[[#This Row],[EZU]]-D158)/D158</f>
        <v/>
      </c>
      <c r="G170" s="52">
        <f>IF(VLOOKUP(Table13468111214[[#This Row],[Date]],'DB Global PMI'!$A:$F,6)=0,"",VLOOKUP(Table13468111214[[#This Row],[Date]],'DB Global PMI'!$A:$F,6))</f>
        <v/>
      </c>
    </row>
    <row r="171">
      <c r="A171" s="10" t="n">
        <v>43344</v>
      </c>
      <c r="B171" s="18">
        <f>IF(VLOOKUP(A171,'DB Country PMI'!$A:$AZ,MATCH($A$1,'DB Country PMI'!$A$1:$AZ$1,),)=0,#N/A,VLOOKUP(A171,'DB Country PMI'!$A:$AZ,MATCH($A$1,'DB Country PMI'!$A$1:$AZ$1,),))</f>
        <v/>
      </c>
      <c r="C171" s="24">
        <f>Table13468111214[[#This Row],[Euro Area PMI]]-B170</f>
        <v/>
      </c>
      <c r="D171" s="11">
        <f>IF(VLOOKUP(Table13468111214[[#This Row],[Date]],'DB Global PMI'!$A:$F,4)=0,#N/A,VLOOKUP(Table13468111214[[#This Row],[Date]],'DB Global PMI'!$A:$F,4))</f>
        <v/>
      </c>
      <c r="E171" s="24">
        <f>Table13468111214[[#This Row],[Euro Area PMI]]-B159</f>
        <v/>
      </c>
      <c r="F171" s="52">
        <f>(Table13468111214[[#This Row],[EZU]]-D159)/D159</f>
        <v/>
      </c>
      <c r="G171" s="52">
        <f>IF(VLOOKUP(Table13468111214[[#This Row],[Date]],'DB Global PMI'!$A:$F,6)=0,"",VLOOKUP(Table13468111214[[#This Row],[Date]],'DB Global PMI'!$A:$F,6))</f>
        <v/>
      </c>
    </row>
    <row r="172">
      <c r="A172" s="10" t="n">
        <v>43374</v>
      </c>
      <c r="B172" s="18">
        <f>IF(VLOOKUP(A172,'DB Country PMI'!$A:$AZ,MATCH($A$1,'DB Country PMI'!$A$1:$AZ$1,),)=0,#N/A,VLOOKUP(A172,'DB Country PMI'!$A:$AZ,MATCH($A$1,'DB Country PMI'!$A$1:$AZ$1,),))</f>
        <v/>
      </c>
      <c r="C172" s="24">
        <f>Table13468111214[[#This Row],[Euro Area PMI]]-B171</f>
        <v/>
      </c>
      <c r="D172" s="11">
        <f>IF(VLOOKUP(Table13468111214[[#This Row],[Date]],'DB Global PMI'!$A:$F,4)=0,#N/A,VLOOKUP(Table13468111214[[#This Row],[Date]],'DB Global PMI'!$A:$F,4))</f>
        <v/>
      </c>
      <c r="E172" s="24">
        <f>Table13468111214[[#This Row],[Euro Area PMI]]-B160</f>
        <v/>
      </c>
      <c r="F172" s="52">
        <f>(Table13468111214[[#This Row],[EZU]]-D160)/D160</f>
        <v/>
      </c>
      <c r="G172" s="52">
        <f>IF(VLOOKUP(Table13468111214[[#This Row],[Date]],'DB Global PMI'!$A:$F,6)=0,"",VLOOKUP(Table13468111214[[#This Row],[Date]],'DB Global PMI'!$A:$F,6))</f>
        <v/>
      </c>
    </row>
    <row r="173">
      <c r="A173" s="10" t="n">
        <v>43405</v>
      </c>
      <c r="B173" s="18">
        <f>IF(VLOOKUP(A173,'DB Country PMI'!$A:$AZ,MATCH($A$1,'DB Country PMI'!$A$1:$AZ$1,),)=0,#N/A,VLOOKUP(A173,'DB Country PMI'!$A:$AZ,MATCH($A$1,'DB Country PMI'!$A$1:$AZ$1,),))</f>
        <v/>
      </c>
      <c r="C173" s="24">
        <f>Table13468111214[[#This Row],[Euro Area PMI]]-B172</f>
        <v/>
      </c>
      <c r="D173" s="11">
        <f>IF(VLOOKUP(Table13468111214[[#This Row],[Date]],'DB Global PMI'!$A:$F,4)=0,#N/A,VLOOKUP(Table13468111214[[#This Row],[Date]],'DB Global PMI'!$A:$F,4))</f>
        <v/>
      </c>
      <c r="E173" s="24">
        <f>Table13468111214[[#This Row],[Euro Area PMI]]-B161</f>
        <v/>
      </c>
      <c r="F173" s="52">
        <f>(Table13468111214[[#This Row],[EZU]]-D161)/D161</f>
        <v/>
      </c>
      <c r="G173" s="52">
        <f>IF(VLOOKUP(Table13468111214[[#This Row],[Date]],'DB Global PMI'!$A:$F,6)=0,"",VLOOKUP(Table13468111214[[#This Row],[Date]],'DB Global PMI'!$A:$F,6))</f>
        <v/>
      </c>
    </row>
    <row r="174">
      <c r="A174" s="10" t="n">
        <v>43435</v>
      </c>
      <c r="B174" s="18">
        <f>IF(VLOOKUP(A174,'DB Country PMI'!$A:$AZ,MATCH($A$1,'DB Country PMI'!$A$1:$AZ$1,),)=0,#N/A,VLOOKUP(A174,'DB Country PMI'!$A:$AZ,MATCH($A$1,'DB Country PMI'!$A$1:$AZ$1,),))</f>
        <v/>
      </c>
      <c r="C174" s="24">
        <f>Table13468111214[[#This Row],[Euro Area PMI]]-B173</f>
        <v/>
      </c>
      <c r="D174" s="11">
        <f>IF(VLOOKUP(Table13468111214[[#This Row],[Date]],'DB Global PMI'!$A:$F,4)=0,#N/A,VLOOKUP(Table13468111214[[#This Row],[Date]],'DB Global PMI'!$A:$F,4))</f>
        <v/>
      </c>
      <c r="E174" s="24">
        <f>Table13468111214[[#This Row],[Euro Area PMI]]-B162</f>
        <v/>
      </c>
      <c r="F174" s="52">
        <f>(Table13468111214[[#This Row],[EZU]]-D162)/D162</f>
        <v/>
      </c>
      <c r="G174" s="52">
        <f>IF(VLOOKUP(Table13468111214[[#This Row],[Date]],'DB Global PMI'!$A:$F,6)=0,"",VLOOKUP(Table13468111214[[#This Row],[Date]],'DB Global PMI'!$A:$F,6))</f>
        <v/>
      </c>
    </row>
    <row r="175">
      <c r="A175" s="10" t="n">
        <v>43466</v>
      </c>
      <c r="B175" s="18">
        <f>IF(VLOOKUP(A175,'DB Country PMI'!$A:$AZ,MATCH($A$1,'DB Country PMI'!$A$1:$AZ$1,),)=0,#N/A,VLOOKUP(A175,'DB Country PMI'!$A:$AZ,MATCH($A$1,'DB Country PMI'!$A$1:$AZ$1,),))</f>
        <v/>
      </c>
      <c r="C175" s="24">
        <f>Table13468111214[[#This Row],[Euro Area PMI]]-B174</f>
        <v/>
      </c>
      <c r="D175" s="11">
        <f>IF(VLOOKUP(Table13468111214[[#This Row],[Date]],'DB Global PMI'!$A:$F,4)=0,#N/A,VLOOKUP(Table13468111214[[#This Row],[Date]],'DB Global PMI'!$A:$F,4))</f>
        <v/>
      </c>
      <c r="E175" s="24">
        <f>Table13468111214[[#This Row],[Euro Area PMI]]-B163</f>
        <v/>
      </c>
      <c r="F175" s="52">
        <f>(Table13468111214[[#This Row],[EZU]]-D163)/D163</f>
        <v/>
      </c>
      <c r="G175" s="52">
        <f>IF(VLOOKUP(Table13468111214[[#This Row],[Date]],'DB Global PMI'!$A:$F,6)=0,"",VLOOKUP(Table13468111214[[#This Row],[Date]],'DB Global PMI'!$A:$F,6))</f>
        <v/>
      </c>
    </row>
    <row r="176">
      <c r="A176" s="10" t="n">
        <v>43497</v>
      </c>
      <c r="B176" s="18">
        <f>IF(VLOOKUP(A176,'DB Country PMI'!$A:$AZ,MATCH($A$1,'DB Country PMI'!$A$1:$AZ$1,),)=0,#N/A,VLOOKUP(A176,'DB Country PMI'!$A:$AZ,MATCH($A$1,'DB Country PMI'!$A$1:$AZ$1,),))</f>
        <v/>
      </c>
      <c r="C176" s="24">
        <f>Table13468111214[[#This Row],[Euro Area PMI]]-B175</f>
        <v/>
      </c>
      <c r="D176" s="11">
        <f>IF(VLOOKUP(Table13468111214[[#This Row],[Date]],'DB Global PMI'!$A:$F,4)=0,#N/A,VLOOKUP(Table13468111214[[#This Row],[Date]],'DB Global PMI'!$A:$F,4))</f>
        <v/>
      </c>
      <c r="E176" s="24">
        <f>Table13468111214[[#This Row],[Euro Area PMI]]-B164</f>
        <v/>
      </c>
      <c r="F176" s="52">
        <f>(Table13468111214[[#This Row],[EZU]]-D164)/D164</f>
        <v/>
      </c>
      <c r="G176" s="52">
        <f>IF(VLOOKUP(Table13468111214[[#This Row],[Date]],'DB Global PMI'!$A:$F,6)=0,"",VLOOKUP(Table13468111214[[#This Row],[Date]],'DB Global PMI'!$A:$F,6))</f>
        <v/>
      </c>
    </row>
    <row r="177">
      <c r="A177" s="10" t="n">
        <v>43525</v>
      </c>
      <c r="B177" s="18">
        <f>IF(VLOOKUP(A177,'DB Country PMI'!$A:$AZ,MATCH($A$1,'DB Country PMI'!$A$1:$AZ$1,),)=0,#N/A,VLOOKUP(A177,'DB Country PMI'!$A:$AZ,MATCH($A$1,'DB Country PMI'!$A$1:$AZ$1,),))</f>
        <v/>
      </c>
      <c r="C177" s="24">
        <f>Table13468111214[[#This Row],[Euro Area PMI]]-B176</f>
        <v/>
      </c>
      <c r="D177" s="11">
        <f>IF(VLOOKUP(Table13468111214[[#This Row],[Date]],'DB Global PMI'!$A:$F,4)=0,#N/A,VLOOKUP(Table13468111214[[#This Row],[Date]],'DB Global PMI'!$A:$F,4))</f>
        <v/>
      </c>
      <c r="E177" s="24">
        <f>Table13468111214[[#This Row],[Euro Area PMI]]-B165</f>
        <v/>
      </c>
      <c r="F177" s="52">
        <f>(Table13468111214[[#This Row],[EZU]]-D165)/D165</f>
        <v/>
      </c>
      <c r="G177" s="52">
        <f>IF(VLOOKUP(Table13468111214[[#This Row],[Date]],'DB Global PMI'!$A:$F,6)=0,"",VLOOKUP(Table13468111214[[#This Row],[Date]],'DB Global PMI'!$A:$F,6))</f>
        <v/>
      </c>
    </row>
    <row r="178">
      <c r="A178" s="10" t="n">
        <v>43556</v>
      </c>
      <c r="B178" s="18">
        <f>IF(VLOOKUP(A178,'DB Country PMI'!$A:$AZ,MATCH($A$1,'DB Country PMI'!$A$1:$AZ$1,),)=0,#N/A,VLOOKUP(A178,'DB Country PMI'!$A:$AZ,MATCH($A$1,'DB Country PMI'!$A$1:$AZ$1,),))</f>
        <v/>
      </c>
      <c r="C178" s="24">
        <f>Table13468111214[[#This Row],[Euro Area PMI]]-B177</f>
        <v/>
      </c>
      <c r="D178" s="11">
        <f>IF(VLOOKUP(Table13468111214[[#This Row],[Date]],'DB Global PMI'!$A:$F,4)=0,#N/A,VLOOKUP(Table13468111214[[#This Row],[Date]],'DB Global PMI'!$A:$F,4))</f>
        <v/>
      </c>
      <c r="E178" s="24">
        <f>Table13468111214[[#This Row],[Euro Area PMI]]-B166</f>
        <v/>
      </c>
      <c r="F178" s="52">
        <f>(Table13468111214[[#This Row],[EZU]]-D166)/D166</f>
        <v/>
      </c>
      <c r="G178" s="52">
        <f>IF(VLOOKUP(Table13468111214[[#This Row],[Date]],'DB Global PMI'!$A:$F,6)=0,"",VLOOKUP(Table13468111214[[#This Row],[Date]],'DB Global PMI'!$A:$F,6))</f>
        <v/>
      </c>
    </row>
    <row r="179">
      <c r="A179" s="10" t="n">
        <v>43586</v>
      </c>
      <c r="B179" s="18">
        <f>IF(VLOOKUP(A179,'DB Country PMI'!$A:$AZ,MATCH($A$1,'DB Country PMI'!$A$1:$AZ$1,),)=0,#N/A,VLOOKUP(A179,'DB Country PMI'!$A:$AZ,MATCH($A$1,'DB Country PMI'!$A$1:$AZ$1,),))</f>
        <v/>
      </c>
      <c r="C179" s="24">
        <f>Table13468111214[[#This Row],[Euro Area PMI]]-B178</f>
        <v/>
      </c>
      <c r="D179" s="11">
        <f>IF(VLOOKUP(Table13468111214[[#This Row],[Date]],'DB Global PMI'!$A:$F,4)=0,#N/A,VLOOKUP(Table13468111214[[#This Row],[Date]],'DB Global PMI'!$A:$F,4))</f>
        <v/>
      </c>
      <c r="E179" s="24">
        <f>Table13468111214[[#This Row],[Euro Area PMI]]-B167</f>
        <v/>
      </c>
      <c r="F179" s="52">
        <f>(Table13468111214[[#This Row],[EZU]]-D167)/D167</f>
        <v/>
      </c>
      <c r="G179" s="52">
        <f>IF(VLOOKUP(Table13468111214[[#This Row],[Date]],'DB Global PMI'!$A:$F,6)=0,"",VLOOKUP(Table13468111214[[#This Row],[Date]],'DB Global PMI'!$A:$F,6))</f>
        <v/>
      </c>
    </row>
    <row r="180">
      <c r="A180" s="10" t="n">
        <v>43617</v>
      </c>
      <c r="B180" s="18">
        <f>IF(VLOOKUP(A180,'DB Country PMI'!$A:$AZ,MATCH($A$1,'DB Country PMI'!$A$1:$AZ$1,),)=0,#N/A,VLOOKUP(A180,'DB Country PMI'!$A:$AZ,MATCH($A$1,'DB Country PMI'!$A$1:$AZ$1,),))</f>
        <v/>
      </c>
      <c r="C180" s="24">
        <f>Table13468111214[[#This Row],[Euro Area PMI]]-B179</f>
        <v/>
      </c>
      <c r="D180" s="11">
        <f>IF(VLOOKUP(Table13468111214[[#This Row],[Date]],'DB Global PMI'!$A:$F,4)=0,#N/A,VLOOKUP(Table13468111214[[#This Row],[Date]],'DB Global PMI'!$A:$F,4))</f>
        <v/>
      </c>
      <c r="E180" s="24">
        <f>Table13468111214[[#This Row],[Euro Area PMI]]-B168</f>
        <v/>
      </c>
      <c r="F180" s="52">
        <f>(Table13468111214[[#This Row],[EZU]]-D168)/D168</f>
        <v/>
      </c>
      <c r="G180" s="52">
        <f>IF(VLOOKUP(Table13468111214[[#This Row],[Date]],'DB Global PMI'!$A:$F,6)=0,"",VLOOKUP(Table13468111214[[#This Row],[Date]],'DB Global PMI'!$A:$F,6))</f>
        <v/>
      </c>
    </row>
    <row r="181">
      <c r="A181" s="10" t="n">
        <v>43647</v>
      </c>
      <c r="B181" s="18">
        <f>IF(VLOOKUP(A181,'DB Country PMI'!$A:$AZ,MATCH($A$1,'DB Country PMI'!$A$1:$AZ$1,),)=0,#N/A,VLOOKUP(A181,'DB Country PMI'!$A:$AZ,MATCH($A$1,'DB Country PMI'!$A$1:$AZ$1,),))</f>
        <v/>
      </c>
      <c r="C181" s="24">
        <f>Table13468111214[[#This Row],[Euro Area PMI]]-B180</f>
        <v/>
      </c>
      <c r="D181" s="11">
        <f>IF(VLOOKUP(Table13468111214[[#This Row],[Date]],'DB Global PMI'!$A:$F,4)=0,#N/A,VLOOKUP(Table13468111214[[#This Row],[Date]],'DB Global PMI'!$A:$F,4))</f>
        <v/>
      </c>
      <c r="E181" s="24">
        <f>Table13468111214[[#This Row],[Euro Area PMI]]-B169</f>
        <v/>
      </c>
      <c r="F181" s="52">
        <f>(Table13468111214[[#This Row],[EZU]]-D169)/D169</f>
        <v/>
      </c>
      <c r="G181" s="52">
        <f>IF(VLOOKUP(Table13468111214[[#This Row],[Date]],'DB Global PMI'!$A:$F,6)=0,"",VLOOKUP(Table13468111214[[#This Row],[Date]],'DB Global PMI'!$A:$F,6))</f>
        <v/>
      </c>
    </row>
    <row r="182">
      <c r="A182" s="10" t="n">
        <v>43678</v>
      </c>
      <c r="B182" s="18">
        <f>IF(VLOOKUP(A182,'DB Country PMI'!$A:$AZ,MATCH($A$1,'DB Country PMI'!$A$1:$AZ$1,),)=0,#N/A,VLOOKUP(A182,'DB Country PMI'!$A:$AZ,MATCH($A$1,'DB Country PMI'!$A$1:$AZ$1,),))</f>
        <v/>
      </c>
      <c r="C182" s="24">
        <f>Table13468111214[[#This Row],[Euro Area PMI]]-B181</f>
        <v/>
      </c>
      <c r="D182" s="11">
        <f>IF(VLOOKUP(Table13468111214[[#This Row],[Date]],'DB Global PMI'!$A:$F,4)=0,#N/A,VLOOKUP(Table13468111214[[#This Row],[Date]],'DB Global PMI'!$A:$F,4))</f>
        <v/>
      </c>
      <c r="E182" s="24">
        <f>Table13468111214[[#This Row],[Euro Area PMI]]-B170</f>
        <v/>
      </c>
      <c r="F182" s="52">
        <f>(Table13468111214[[#This Row],[EZU]]-D170)/D170</f>
        <v/>
      </c>
      <c r="G182" s="52">
        <f>IF(VLOOKUP(Table13468111214[[#This Row],[Date]],'DB Global PMI'!$A:$F,6)=0,"",VLOOKUP(Table13468111214[[#This Row],[Date]],'DB Global PMI'!$A:$F,6))</f>
        <v/>
      </c>
    </row>
    <row r="183">
      <c r="A183" s="10" t="n">
        <v>43709</v>
      </c>
      <c r="B183" s="18">
        <f>IF(VLOOKUP(A183,'DB Country PMI'!$A:$AZ,MATCH($A$1,'DB Country PMI'!$A$1:$AZ$1,),)=0,#N/A,VLOOKUP(A183,'DB Country PMI'!$A:$AZ,MATCH($A$1,'DB Country PMI'!$A$1:$AZ$1,),))</f>
        <v/>
      </c>
      <c r="C183" s="24">
        <f>Table13468111214[[#This Row],[Euro Area PMI]]-B182</f>
        <v/>
      </c>
      <c r="D183" s="11">
        <f>IF(VLOOKUP(Table13468111214[[#This Row],[Date]],'DB Global PMI'!$A:$F,4)=0,#N/A,VLOOKUP(Table13468111214[[#This Row],[Date]],'DB Global PMI'!$A:$F,4))</f>
        <v/>
      </c>
      <c r="E183" s="24">
        <f>Table13468111214[[#This Row],[Euro Area PMI]]-B171</f>
        <v/>
      </c>
      <c r="F183" s="52">
        <f>(Table13468111214[[#This Row],[EZU]]-D171)/D171</f>
        <v/>
      </c>
      <c r="G183" s="52">
        <f>IF(VLOOKUP(Table13468111214[[#This Row],[Date]],'DB Global PMI'!$A:$F,6)=0,"",VLOOKUP(Table13468111214[[#This Row],[Date]],'DB Global PMI'!$A:$F,6))</f>
        <v/>
      </c>
    </row>
    <row r="184">
      <c r="A184" s="10" t="n">
        <v>43739</v>
      </c>
      <c r="B184" s="18">
        <f>IF(VLOOKUP(A184,'DB Country PMI'!$A:$AZ,MATCH($A$1,'DB Country PMI'!$A$1:$AZ$1,),)=0,#N/A,VLOOKUP(A184,'DB Country PMI'!$A:$AZ,MATCH($A$1,'DB Country PMI'!$A$1:$AZ$1,),))</f>
        <v/>
      </c>
      <c r="C184" s="24">
        <f>Table13468111214[[#This Row],[Euro Area PMI]]-B183</f>
        <v/>
      </c>
      <c r="D184" s="11">
        <f>IF(VLOOKUP(Table13468111214[[#This Row],[Date]],'DB Global PMI'!$A:$F,4)=0,#N/A,VLOOKUP(Table13468111214[[#This Row],[Date]],'DB Global PMI'!$A:$F,4))</f>
        <v/>
      </c>
      <c r="E184" s="24">
        <f>Table13468111214[[#This Row],[Euro Area PMI]]-B172</f>
        <v/>
      </c>
      <c r="F184" s="52">
        <f>(Table13468111214[[#This Row],[EZU]]-D172)/D172</f>
        <v/>
      </c>
      <c r="G184" s="52">
        <f>IF(VLOOKUP(Table13468111214[[#This Row],[Date]],'DB Global PMI'!$A:$F,6)=0,"",VLOOKUP(Table13468111214[[#This Row],[Date]],'DB Global PMI'!$A:$F,6))</f>
        <v/>
      </c>
    </row>
    <row r="185">
      <c r="A185" s="10" t="n">
        <v>43770</v>
      </c>
      <c r="B185" s="18">
        <f>IF(VLOOKUP(A185,'DB Country PMI'!$A:$AZ,MATCH($A$1,'DB Country PMI'!$A$1:$AZ$1,),)=0,#N/A,VLOOKUP(A185,'DB Country PMI'!$A:$AZ,MATCH($A$1,'DB Country PMI'!$A$1:$AZ$1,),))</f>
        <v/>
      </c>
      <c r="C185" s="24">
        <f>Table13468111214[[#This Row],[Euro Area PMI]]-B184</f>
        <v/>
      </c>
      <c r="D185" s="11">
        <f>IF(VLOOKUP(Table13468111214[[#This Row],[Date]],'DB Global PMI'!$A:$F,4)=0,#N/A,VLOOKUP(Table13468111214[[#This Row],[Date]],'DB Global PMI'!$A:$F,4))</f>
        <v/>
      </c>
      <c r="E185" s="24">
        <f>Table13468111214[[#This Row],[Euro Area PMI]]-B173</f>
        <v/>
      </c>
      <c r="F185" s="52">
        <f>(Table13468111214[[#This Row],[EZU]]-D173)/D173</f>
        <v/>
      </c>
      <c r="G185" s="52">
        <f>IF(VLOOKUP(Table13468111214[[#This Row],[Date]],'DB Global PMI'!$A:$F,6)=0,"",VLOOKUP(Table13468111214[[#This Row],[Date]],'DB Global PMI'!$A:$F,6))</f>
        <v/>
      </c>
    </row>
    <row r="186">
      <c r="A186" s="10" t="n">
        <v>43800</v>
      </c>
      <c r="B186" s="18">
        <f>IF(VLOOKUP(A186,'DB Country PMI'!$A:$AZ,MATCH($A$1,'DB Country PMI'!$A$1:$AZ$1,),)=0,#N/A,VLOOKUP(A186,'DB Country PMI'!$A:$AZ,MATCH($A$1,'DB Country PMI'!$A$1:$AZ$1,),))</f>
        <v/>
      </c>
      <c r="C186" s="24">
        <f>Table13468111214[[#This Row],[Euro Area PMI]]-B185</f>
        <v/>
      </c>
      <c r="D186" s="11">
        <f>IF(VLOOKUP(Table13468111214[[#This Row],[Date]],'DB Global PMI'!$A:$F,4)=0,#N/A,VLOOKUP(Table13468111214[[#This Row],[Date]],'DB Global PMI'!$A:$F,4))</f>
        <v/>
      </c>
      <c r="E186" s="24">
        <f>Table13468111214[[#This Row],[Euro Area PMI]]-B174</f>
        <v/>
      </c>
      <c r="F186" s="52">
        <f>(Table13468111214[[#This Row],[EZU]]-D174)/D174</f>
        <v/>
      </c>
      <c r="G186" s="52">
        <f>IF(VLOOKUP(Table13468111214[[#This Row],[Date]],'DB Global PMI'!$A:$F,6)=0,"",VLOOKUP(Table13468111214[[#This Row],[Date]],'DB Global PMI'!$A:$F,6))</f>
        <v/>
      </c>
    </row>
    <row r="187">
      <c r="A187" s="10" t="n">
        <v>43831</v>
      </c>
      <c r="B187" s="18">
        <f>IF(VLOOKUP(A187,'DB Country PMI'!$A:$AZ,MATCH($A$1,'DB Country PMI'!$A$1:$AZ$1,),)=0,#N/A,VLOOKUP(A187,'DB Country PMI'!$A:$AZ,MATCH($A$1,'DB Country PMI'!$A$1:$AZ$1,),))</f>
        <v/>
      </c>
      <c r="C187" s="24">
        <f>Table13468111214[[#This Row],[Euro Area PMI]]-B186</f>
        <v/>
      </c>
      <c r="D187" s="11">
        <f>IF(VLOOKUP(Table13468111214[[#This Row],[Date]],'DB Global PMI'!$A:$F,4)=0,#N/A,VLOOKUP(Table13468111214[[#This Row],[Date]],'DB Global PMI'!$A:$F,4))</f>
        <v/>
      </c>
      <c r="E187" s="24">
        <f>Table13468111214[[#This Row],[Euro Area PMI]]-B175</f>
        <v/>
      </c>
      <c r="F187" s="52">
        <f>(Table13468111214[[#This Row],[EZU]]-D175)/D175</f>
        <v/>
      </c>
      <c r="G187" s="52">
        <f>IF(VLOOKUP(Table13468111214[[#This Row],[Date]],'DB Global PMI'!$A:$F,6)=0,"",VLOOKUP(Table13468111214[[#This Row],[Date]],'DB Global PMI'!$A:$F,6))</f>
        <v/>
      </c>
    </row>
    <row r="188">
      <c r="A188" s="10" t="n">
        <v>43862</v>
      </c>
      <c r="B188" s="18">
        <f>IF(VLOOKUP(A188,'DB Country PMI'!$A:$AZ,MATCH($A$1,'DB Country PMI'!$A$1:$AZ$1,),)=0,#N/A,VLOOKUP(A188,'DB Country PMI'!$A:$AZ,MATCH($A$1,'DB Country PMI'!$A$1:$AZ$1,),))</f>
        <v/>
      </c>
      <c r="C188" s="24">
        <f>Table13468111214[[#This Row],[Euro Area PMI]]-B187</f>
        <v/>
      </c>
      <c r="D188" s="11">
        <f>IF(VLOOKUP(Table13468111214[[#This Row],[Date]],'DB Global PMI'!$A:$F,4)=0,#N/A,VLOOKUP(Table13468111214[[#This Row],[Date]],'DB Global PMI'!$A:$F,4))</f>
        <v/>
      </c>
      <c r="E188" s="24">
        <f>Table13468111214[[#This Row],[Euro Area PMI]]-B176</f>
        <v/>
      </c>
      <c r="F188" s="52">
        <f>(Table13468111214[[#This Row],[EZU]]-D176)/D176</f>
        <v/>
      </c>
      <c r="G188" s="52">
        <f>IF(VLOOKUP(Table13468111214[[#This Row],[Date]],'DB Global PMI'!$A:$F,6)=0,"",VLOOKUP(Table13468111214[[#This Row],[Date]],'DB Global PMI'!$A:$F,6))</f>
        <v/>
      </c>
    </row>
    <row r="189">
      <c r="A189" s="10" t="n">
        <v>43891</v>
      </c>
      <c r="B189" s="18">
        <f>IF(VLOOKUP(A189,'DB Country PMI'!$A:$AZ,MATCH($A$1,'DB Country PMI'!$A$1:$AZ$1,),)=0,#N/A,VLOOKUP(A189,'DB Country PMI'!$A:$AZ,MATCH($A$1,'DB Country PMI'!$A$1:$AZ$1,),))</f>
        <v/>
      </c>
      <c r="C189" s="24">
        <f>Table13468111214[[#This Row],[Euro Area PMI]]-B188</f>
        <v/>
      </c>
      <c r="D189" s="11">
        <f>IF(VLOOKUP(Table13468111214[[#This Row],[Date]],'DB Global PMI'!$A:$F,4)=0,#N/A,VLOOKUP(Table13468111214[[#This Row],[Date]],'DB Global PMI'!$A:$F,4))</f>
        <v/>
      </c>
      <c r="E189" s="24">
        <f>Table13468111214[[#This Row],[Euro Area PMI]]-B177</f>
        <v/>
      </c>
      <c r="F189" s="52">
        <f>(Table13468111214[[#This Row],[EZU]]-D177)/D177</f>
        <v/>
      </c>
      <c r="G189" s="52">
        <f>IF(VLOOKUP(Table13468111214[[#This Row],[Date]],'DB Global PMI'!$A:$F,6)=0,"",VLOOKUP(Table13468111214[[#This Row],[Date]],'DB Global PMI'!$A:$F,6))</f>
        <v/>
      </c>
    </row>
    <row r="190">
      <c r="A190" s="10" t="n">
        <v>43922</v>
      </c>
      <c r="B190" s="18">
        <f>IF(VLOOKUP(A190,'DB Country PMI'!$A:$AZ,MATCH($A$1,'DB Country PMI'!$A$1:$AZ$1,),)=0,#N/A,VLOOKUP(A190,'DB Country PMI'!$A:$AZ,MATCH($A$1,'DB Country PMI'!$A$1:$AZ$1,),))</f>
        <v/>
      </c>
      <c r="C190" s="24">
        <f>Table13468111214[[#This Row],[Euro Area PMI]]-B189</f>
        <v/>
      </c>
      <c r="D190" s="11">
        <f>IF(VLOOKUP(Table13468111214[[#This Row],[Date]],'DB Global PMI'!$A:$F,4)=0,#N/A,VLOOKUP(Table13468111214[[#This Row],[Date]],'DB Global PMI'!$A:$F,4))</f>
        <v/>
      </c>
      <c r="E190" s="24">
        <f>Table13468111214[[#This Row],[Euro Area PMI]]-B178</f>
        <v/>
      </c>
      <c r="F190" s="52">
        <f>(Table13468111214[[#This Row],[EZU]]-D178)/D178</f>
        <v/>
      </c>
      <c r="G190" s="52">
        <f>IF(VLOOKUP(Table13468111214[[#This Row],[Date]],'DB Global PMI'!$A:$F,6)=0,"",VLOOKUP(Table13468111214[[#This Row],[Date]],'DB Global PMI'!$A:$F,6))</f>
        <v/>
      </c>
    </row>
    <row r="191">
      <c r="A191" s="10" t="n">
        <v>43952</v>
      </c>
      <c r="B191" s="18">
        <f>IF(VLOOKUP(A191,'DB Country PMI'!$A:$AZ,MATCH($A$1,'DB Country PMI'!$A$1:$AZ$1,),)=0,#N/A,VLOOKUP(A191,'DB Country PMI'!$A:$AZ,MATCH($A$1,'DB Country PMI'!$A$1:$AZ$1,),))</f>
        <v/>
      </c>
      <c r="C191" s="24">
        <f>Table13468111214[[#This Row],[Euro Area PMI]]-B190</f>
        <v/>
      </c>
      <c r="D191" s="11">
        <f>IF(VLOOKUP(Table13468111214[[#This Row],[Date]],'DB Global PMI'!$A:$F,4)=0,#N/A,VLOOKUP(Table13468111214[[#This Row],[Date]],'DB Global PMI'!$A:$F,4))</f>
        <v/>
      </c>
      <c r="E191" s="24">
        <f>Table13468111214[[#This Row],[Euro Area PMI]]-B179</f>
        <v/>
      </c>
      <c r="F191" s="52">
        <f>(Table13468111214[[#This Row],[EZU]]-D179)/D179</f>
        <v/>
      </c>
      <c r="G191" s="52">
        <f>IF(VLOOKUP(Table13468111214[[#This Row],[Date]],'DB Global PMI'!$A:$F,6)=0,"",VLOOKUP(Table13468111214[[#This Row],[Date]],'DB Global PMI'!$A:$F,6))</f>
        <v/>
      </c>
    </row>
    <row r="192">
      <c r="A192" s="10" t="n">
        <v>43983</v>
      </c>
      <c r="B192" s="18">
        <f>IF(VLOOKUP(A192,'DB Country PMI'!$A:$AZ,MATCH($A$1,'DB Country PMI'!$A$1:$AZ$1,),)=0,#N/A,VLOOKUP(A192,'DB Country PMI'!$A:$AZ,MATCH($A$1,'DB Country PMI'!$A$1:$AZ$1,),))</f>
        <v/>
      </c>
      <c r="C192" s="24">
        <f>Table13468111214[[#This Row],[Euro Area PMI]]-B191</f>
        <v/>
      </c>
      <c r="D192" s="11">
        <f>IF(VLOOKUP(Table13468111214[[#This Row],[Date]],'DB Global PMI'!$A:$F,4)=0,#N/A,VLOOKUP(Table13468111214[[#This Row],[Date]],'DB Global PMI'!$A:$F,4))</f>
        <v/>
      </c>
      <c r="E192" s="24">
        <f>Table13468111214[[#This Row],[Euro Area PMI]]-B180</f>
        <v/>
      </c>
      <c r="F192" s="52">
        <f>(Table13468111214[[#This Row],[EZU]]-D180)/D180</f>
        <v/>
      </c>
      <c r="G192" s="52">
        <f>IF(VLOOKUP(Table13468111214[[#This Row],[Date]],'DB Global PMI'!$A:$F,6)=0,"",VLOOKUP(Table13468111214[[#This Row],[Date]],'DB Global PMI'!$A:$F,6))</f>
        <v/>
      </c>
    </row>
    <row r="193">
      <c r="A193" s="10" t="n">
        <v>44013</v>
      </c>
      <c r="B193" s="18">
        <f>IF(VLOOKUP(A193,'DB Country PMI'!$A:$AZ,MATCH($A$1,'DB Country PMI'!$A$1:$AZ$1,),)=0,#N/A,VLOOKUP(A193,'DB Country PMI'!$A:$AZ,MATCH($A$1,'DB Country PMI'!$A$1:$AZ$1,),))</f>
        <v/>
      </c>
      <c r="C193" s="24">
        <f>Table13468111214[[#This Row],[Euro Area PMI]]-B192</f>
        <v/>
      </c>
      <c r="D193" s="11">
        <f>IF(VLOOKUP(Table13468111214[[#This Row],[Date]],'DB Global PMI'!$A:$F,4)=0,#N/A,VLOOKUP(Table13468111214[[#This Row],[Date]],'DB Global PMI'!$A:$F,4))</f>
        <v/>
      </c>
      <c r="E193" s="24">
        <f>Table13468111214[[#This Row],[Euro Area PMI]]-B181</f>
        <v/>
      </c>
      <c r="F193" s="52">
        <f>(Table13468111214[[#This Row],[EZU]]-D181)/D181</f>
        <v/>
      </c>
      <c r="G193" s="52">
        <f>IF(VLOOKUP(Table13468111214[[#This Row],[Date]],'DB Global PMI'!$A:$F,6)=0,"",VLOOKUP(Table13468111214[[#This Row],[Date]],'DB Global PMI'!$A:$F,6))</f>
        <v/>
      </c>
    </row>
    <row r="194">
      <c r="A194" s="10" t="n">
        <v>44044</v>
      </c>
      <c r="B194" s="18">
        <f>IF(VLOOKUP(A194,'DB Country PMI'!$A:$AZ,MATCH($A$1,'DB Country PMI'!$A$1:$AZ$1,),)=0,#N/A,VLOOKUP(A194,'DB Country PMI'!$A:$AZ,MATCH($A$1,'DB Country PMI'!$A$1:$AZ$1,),))</f>
        <v/>
      </c>
      <c r="C194" s="24">
        <f>Table13468111214[[#This Row],[Euro Area PMI]]-B193</f>
        <v/>
      </c>
      <c r="D194" s="11">
        <f>IF(VLOOKUP(Table13468111214[[#This Row],[Date]],'DB Global PMI'!$A:$F,4)=0,#N/A,VLOOKUP(Table13468111214[[#This Row],[Date]],'DB Global PMI'!$A:$F,4))</f>
        <v/>
      </c>
      <c r="E194" s="24">
        <f>Table13468111214[[#This Row],[Euro Area PMI]]-B182</f>
        <v/>
      </c>
      <c r="F194" s="52">
        <f>(Table13468111214[[#This Row],[EZU]]-D182)/D182</f>
        <v/>
      </c>
      <c r="G194" s="52">
        <f>IF(VLOOKUP(Table13468111214[[#This Row],[Date]],'DB Global PMI'!$A:$F,6)=0,"",VLOOKUP(Table13468111214[[#This Row],[Date]],'DB Global PMI'!$A:$F,6))</f>
        <v/>
      </c>
    </row>
    <row r="195">
      <c r="A195" s="10" t="n">
        <v>44075</v>
      </c>
      <c r="B195" s="18">
        <f>IF(VLOOKUP(A195,'DB Country PMI'!$A:$AZ,MATCH($A$1,'DB Country PMI'!$A$1:$AZ$1,),)=0,#N/A,VLOOKUP(A195,'DB Country PMI'!$A:$AZ,MATCH($A$1,'DB Country PMI'!$A$1:$AZ$1,),))</f>
        <v/>
      </c>
      <c r="C195" s="24">
        <f>Table13468111214[[#This Row],[Euro Area PMI]]-B194</f>
        <v/>
      </c>
      <c r="D195" s="11">
        <f>IF(VLOOKUP(Table13468111214[[#This Row],[Date]],'DB Global PMI'!$A:$F,4)=0,#N/A,VLOOKUP(Table13468111214[[#This Row],[Date]],'DB Global PMI'!$A:$F,4))</f>
        <v/>
      </c>
      <c r="E195" s="24">
        <f>Table13468111214[[#This Row],[Euro Area PMI]]-B183</f>
        <v/>
      </c>
      <c r="F195" s="52">
        <f>(Table13468111214[[#This Row],[EZU]]-D183)/D183</f>
        <v/>
      </c>
      <c r="G195" s="52">
        <f>IF(VLOOKUP(Table13468111214[[#This Row],[Date]],'DB Global PMI'!$A:$F,6)=0,"",VLOOKUP(Table13468111214[[#This Row],[Date]],'DB Global PMI'!$A:$F,6))</f>
        <v/>
      </c>
    </row>
    <row r="196">
      <c r="A196" s="10" t="n">
        <v>44105</v>
      </c>
      <c r="B196" s="18">
        <f>IF(VLOOKUP(A196,'DB Country PMI'!$A:$AZ,MATCH($A$1,'DB Country PMI'!$A$1:$AZ$1,),)=0,#N/A,VLOOKUP(A196,'DB Country PMI'!$A:$AZ,MATCH($A$1,'DB Country PMI'!$A$1:$AZ$1,),))</f>
        <v/>
      </c>
      <c r="C196" s="24">
        <f>Table13468111214[[#This Row],[Euro Area PMI]]-B195</f>
        <v/>
      </c>
      <c r="D196" s="11">
        <f>IF(VLOOKUP(Table13468111214[[#This Row],[Date]],'DB Global PMI'!$A:$F,4)=0,#N/A,VLOOKUP(Table13468111214[[#This Row],[Date]],'DB Global PMI'!$A:$F,4))</f>
        <v/>
      </c>
      <c r="E196" s="24">
        <f>Table13468111214[[#This Row],[Euro Area PMI]]-B184</f>
        <v/>
      </c>
      <c r="F196" s="52">
        <f>(Table13468111214[[#This Row],[EZU]]-D184)/D184</f>
        <v/>
      </c>
      <c r="G196" s="52">
        <f>IF(VLOOKUP(Table13468111214[[#This Row],[Date]],'DB Global PMI'!$A:$F,6)=0,"",VLOOKUP(Table13468111214[[#This Row],[Date]],'DB Global PMI'!$A:$F,6))</f>
        <v/>
      </c>
    </row>
    <row r="197">
      <c r="A197" s="10" t="n">
        <v>44136</v>
      </c>
      <c r="B197" s="18">
        <f>IF(VLOOKUP(A197,'DB Country PMI'!$A:$AZ,MATCH($A$1,'DB Country PMI'!$A$1:$AZ$1,),)=0,#N/A,VLOOKUP(A197,'DB Country PMI'!$A:$AZ,MATCH($A$1,'DB Country PMI'!$A$1:$AZ$1,),))</f>
        <v/>
      </c>
      <c r="C197" s="24">
        <f>Table13468111214[[#This Row],[Euro Area PMI]]-B196</f>
        <v/>
      </c>
      <c r="D197" s="11">
        <f>IF(VLOOKUP(Table13468111214[[#This Row],[Date]],'DB Global PMI'!$A:$F,4)=0,#N/A,VLOOKUP(Table13468111214[[#This Row],[Date]],'DB Global PMI'!$A:$F,4))</f>
        <v/>
      </c>
      <c r="E197" s="24">
        <f>Table13468111214[[#This Row],[Euro Area PMI]]-B185</f>
        <v/>
      </c>
      <c r="F197" s="52">
        <f>(Table13468111214[[#This Row],[EZU]]-D185)/D185</f>
        <v/>
      </c>
      <c r="G197" s="52">
        <f>IF(VLOOKUP(Table13468111214[[#This Row],[Date]],'DB Global PMI'!$A:$F,6)=0,"",VLOOKUP(Table13468111214[[#This Row],[Date]],'DB Global PMI'!$A:$F,6))</f>
        <v/>
      </c>
    </row>
    <row r="198">
      <c r="A198" s="10" t="n">
        <v>44166</v>
      </c>
      <c r="B198" s="18">
        <f>IF(VLOOKUP(A198,'DB Country PMI'!$A:$AZ,MATCH($A$1,'DB Country PMI'!$A$1:$AZ$1,),)=0,#N/A,VLOOKUP(A198,'DB Country PMI'!$A:$AZ,MATCH($A$1,'DB Country PMI'!$A$1:$AZ$1,),))</f>
        <v/>
      </c>
      <c r="C198" s="24">
        <f>Table13468111214[[#This Row],[Euro Area PMI]]-B197</f>
        <v/>
      </c>
      <c r="D198" s="11">
        <f>IF(VLOOKUP(Table13468111214[[#This Row],[Date]],'DB Global PMI'!$A:$F,4)=0,#N/A,VLOOKUP(Table13468111214[[#This Row],[Date]],'DB Global PMI'!$A:$F,4))</f>
        <v/>
      </c>
      <c r="E198" s="24">
        <f>Table13468111214[[#This Row],[Euro Area PMI]]-B186</f>
        <v/>
      </c>
      <c r="F198" s="52">
        <f>(Table13468111214[[#This Row],[EZU]]-D186)/D186</f>
        <v/>
      </c>
      <c r="G198" s="52">
        <f>IF(VLOOKUP(Table13468111214[[#This Row],[Date]],'DB Global PMI'!$A:$F,6)=0,"",VLOOKUP(Table13468111214[[#This Row],[Date]],'DB Global PMI'!$A:$F,6))</f>
        <v/>
      </c>
    </row>
    <row r="199">
      <c r="A199" s="10" t="n">
        <v>44197</v>
      </c>
      <c r="B199" s="18">
        <f>IF(VLOOKUP(A199,'DB Country PMI'!$A:$AZ,MATCH($A$1,'DB Country PMI'!$A$1:$AZ$1,),)=0,#N/A,VLOOKUP(A199,'DB Country PMI'!$A:$AZ,MATCH($A$1,'DB Country PMI'!$A$1:$AZ$1,),))</f>
        <v/>
      </c>
      <c r="C199" s="24">
        <f>Table13468111214[[#This Row],[Euro Area PMI]]-B198</f>
        <v/>
      </c>
      <c r="D199" s="11">
        <f>IF(VLOOKUP(Table13468111214[[#This Row],[Date]],'DB Global PMI'!$A:$F,4)=0,#N/A,VLOOKUP(Table13468111214[[#This Row],[Date]],'DB Global PMI'!$A:$F,4))</f>
        <v/>
      </c>
      <c r="E199" s="24">
        <f>Table13468111214[[#This Row],[Euro Area PMI]]-B187</f>
        <v/>
      </c>
      <c r="F199" s="52">
        <f>(Table13468111214[[#This Row],[EZU]]-D187)/D187</f>
        <v/>
      </c>
      <c r="G199" s="52">
        <f>IF(VLOOKUP(Table13468111214[[#This Row],[Date]],'DB Global PMI'!$A:$F,6)=0,"",VLOOKUP(Table13468111214[[#This Row],[Date]],'DB Global PMI'!$A:$F,6))</f>
        <v/>
      </c>
    </row>
    <row r="200">
      <c r="A200" s="10" t="n">
        <v>44228</v>
      </c>
      <c r="B200" s="18">
        <f>IF(VLOOKUP(A200,'DB Country PMI'!$A:$AZ,MATCH($A$1,'DB Country PMI'!$A$1:$AZ$1,),)=0,#N/A,VLOOKUP(A200,'DB Country PMI'!$A:$AZ,MATCH($A$1,'DB Country PMI'!$A$1:$AZ$1,),))</f>
        <v/>
      </c>
      <c r="C200" s="24">
        <f>Table13468111214[[#This Row],[Euro Area PMI]]-B199</f>
        <v/>
      </c>
      <c r="D200" s="11">
        <f>IF(VLOOKUP(Table13468111214[[#This Row],[Date]],'DB Global PMI'!$A:$F,4)=0,#N/A,VLOOKUP(Table13468111214[[#This Row],[Date]],'DB Global PMI'!$A:$F,4))</f>
        <v/>
      </c>
      <c r="E200" s="24">
        <f>Table13468111214[[#This Row],[Euro Area PMI]]-B188</f>
        <v/>
      </c>
      <c r="F200" s="52">
        <f>(Table13468111214[[#This Row],[EZU]]-D188)/D188</f>
        <v/>
      </c>
      <c r="G200" s="52">
        <f>IF(VLOOKUP(Table13468111214[[#This Row],[Date]],'DB Global PMI'!$A:$F,6)=0,"",VLOOKUP(Table13468111214[[#This Row],[Date]],'DB Global PMI'!$A:$F,6))</f>
        <v/>
      </c>
    </row>
    <row r="201">
      <c r="A201" s="10" t="n">
        <v>44256</v>
      </c>
      <c r="B201" s="18">
        <f>IF(VLOOKUP(A201,'DB Country PMI'!$A:$AZ,MATCH($A$1,'DB Country PMI'!$A$1:$AZ$1,),)=0,#N/A,VLOOKUP(A201,'DB Country PMI'!$A:$AZ,MATCH($A$1,'DB Country PMI'!$A$1:$AZ$1,),))</f>
        <v/>
      </c>
      <c r="C201" s="24">
        <f>Table13468111214[[#This Row],[Euro Area PMI]]-B200</f>
        <v/>
      </c>
      <c r="D201" s="11">
        <f>IF(VLOOKUP(Table13468111214[[#This Row],[Date]],'DB Global PMI'!$A:$F,4)=0,#N/A,VLOOKUP(Table13468111214[[#This Row],[Date]],'DB Global PMI'!$A:$F,4))</f>
        <v/>
      </c>
      <c r="E201" s="24">
        <f>Table13468111214[[#This Row],[Euro Area PMI]]-B189</f>
        <v/>
      </c>
      <c r="F201" s="52">
        <f>(Table13468111214[[#This Row],[EZU]]-D189)/D189</f>
        <v/>
      </c>
      <c r="G201" s="52">
        <f>IF(VLOOKUP(Table13468111214[[#This Row],[Date]],'DB Global PMI'!$A:$F,6)=0,"",VLOOKUP(Table13468111214[[#This Row],[Date]],'DB Global PMI'!$A:$F,6))</f>
        <v/>
      </c>
    </row>
    <row r="202">
      <c r="A202" s="10" t="n">
        <v>44287</v>
      </c>
      <c r="B202" s="18">
        <f>IF(VLOOKUP(A202,'DB Country PMI'!$A:$AZ,MATCH($A$1,'DB Country PMI'!$A$1:$AZ$1,),)=0,#N/A,VLOOKUP(A202,'DB Country PMI'!$A:$AZ,MATCH($A$1,'DB Country PMI'!$A$1:$AZ$1,),))</f>
        <v/>
      </c>
      <c r="C202" s="24">
        <f>Table13468111214[[#This Row],[Euro Area PMI]]-B201</f>
        <v/>
      </c>
      <c r="D202" s="11">
        <f>IF(VLOOKUP(Table13468111214[[#This Row],[Date]],'DB Global PMI'!$A:$F,4)=0,#N/A,VLOOKUP(Table13468111214[[#This Row],[Date]],'DB Global PMI'!$A:$F,4))</f>
        <v/>
      </c>
      <c r="E202" s="24">
        <f>Table13468111214[[#This Row],[Euro Area PMI]]-B190</f>
        <v/>
      </c>
      <c r="F202" s="52">
        <f>(Table13468111214[[#This Row],[EZU]]-D190)/D190</f>
        <v/>
      </c>
      <c r="G202" s="52">
        <f>IF(VLOOKUP(Table13468111214[[#This Row],[Date]],'DB Global PMI'!$A:$F,6)=0,"",VLOOKUP(Table13468111214[[#This Row],[Date]],'DB Global PMI'!$A:$F,6))</f>
        <v/>
      </c>
    </row>
    <row r="203">
      <c r="A203" s="10" t="n">
        <v>44317</v>
      </c>
      <c r="B203" s="18">
        <f>IF(VLOOKUP(A203,'DB Country PMI'!$A:$AZ,MATCH($A$1,'DB Country PMI'!$A$1:$AZ$1,),)=0,#N/A,VLOOKUP(A203,'DB Country PMI'!$A:$AZ,MATCH($A$1,'DB Country PMI'!$A$1:$AZ$1,),))</f>
        <v/>
      </c>
      <c r="C203" s="24">
        <f>Table13468111214[[#This Row],[Euro Area PMI]]-B202</f>
        <v/>
      </c>
      <c r="D203" s="11">
        <f>IF(VLOOKUP(Table13468111214[[#This Row],[Date]],'DB Global PMI'!$A:$F,4)=0,#N/A,VLOOKUP(Table13468111214[[#This Row],[Date]],'DB Global PMI'!$A:$F,4))</f>
        <v/>
      </c>
      <c r="E203" s="24">
        <f>Table13468111214[[#This Row],[Euro Area PMI]]-B191</f>
        <v/>
      </c>
      <c r="F203" s="52">
        <f>(Table13468111214[[#This Row],[EZU]]-D191)/D191</f>
        <v/>
      </c>
      <c r="G203" s="52">
        <f>IF(VLOOKUP(Table13468111214[[#This Row],[Date]],'DB Global PMI'!$A:$F,6)=0,"",VLOOKUP(Table13468111214[[#This Row],[Date]],'DB Global PMI'!$A:$F,6))</f>
        <v/>
      </c>
    </row>
    <row r="204">
      <c r="A204" s="10" t="n">
        <v>44348</v>
      </c>
      <c r="B204" s="18">
        <f>IF(VLOOKUP(A204,'DB Country PMI'!$A:$AZ,MATCH($A$1,'DB Country PMI'!$A$1:$AZ$1,),)=0,#N/A,VLOOKUP(A204,'DB Country PMI'!$A:$AZ,MATCH($A$1,'DB Country PMI'!$A$1:$AZ$1,),))</f>
        <v/>
      </c>
      <c r="C204" s="24">
        <f>Table13468111214[[#This Row],[Euro Area PMI]]-B203</f>
        <v/>
      </c>
      <c r="D204" s="11">
        <f>IF(VLOOKUP(Table13468111214[[#This Row],[Date]],'DB Global PMI'!$A:$F,4)=0,#N/A,VLOOKUP(Table13468111214[[#This Row],[Date]],'DB Global PMI'!$A:$F,4))</f>
        <v/>
      </c>
      <c r="E204" s="24">
        <f>Table13468111214[[#This Row],[Euro Area PMI]]-B192</f>
        <v/>
      </c>
      <c r="F204" s="52">
        <f>(Table13468111214[[#This Row],[EZU]]-D192)/D192</f>
        <v/>
      </c>
      <c r="G204" s="52">
        <f>IF(VLOOKUP(Table13468111214[[#This Row],[Date]],'DB Global PMI'!$A:$F,6)=0,"",VLOOKUP(Table13468111214[[#This Row],[Date]],'DB Global PMI'!$A:$F,6))</f>
        <v/>
      </c>
    </row>
    <row r="205">
      <c r="A205" s="10" t="n">
        <v>44378</v>
      </c>
      <c r="B205" s="18">
        <f>IF(VLOOKUP(A205,'DB Country PMI'!$A:$AZ,MATCH($A$1,'DB Country PMI'!$A$1:$AZ$1,),)=0,#N/A,VLOOKUP(A205,'DB Country PMI'!$A:$AZ,MATCH($A$1,'DB Country PMI'!$A$1:$AZ$1,),))</f>
        <v/>
      </c>
      <c r="C205" s="24">
        <f>Table13468111214[[#This Row],[Euro Area PMI]]-B204</f>
        <v/>
      </c>
      <c r="D205" s="11">
        <f>IF(VLOOKUP(Table13468111214[[#This Row],[Date]],'DB Global PMI'!$A:$F,4)=0,#N/A,VLOOKUP(Table13468111214[[#This Row],[Date]],'DB Global PMI'!$A:$F,4))</f>
        <v/>
      </c>
      <c r="E205" s="24">
        <f>Table13468111214[[#This Row],[Euro Area PMI]]-B193</f>
        <v/>
      </c>
      <c r="F205" s="52">
        <f>(Table13468111214[[#This Row],[EZU]]-D193)/D193</f>
        <v/>
      </c>
      <c r="G205" s="52">
        <f>IF(VLOOKUP(Table13468111214[[#This Row],[Date]],'DB Global PMI'!$A:$F,6)=0,"",VLOOKUP(Table13468111214[[#This Row],[Date]],'DB Global PMI'!$A:$F,6))</f>
        <v/>
      </c>
    </row>
    <row r="206">
      <c r="A206" s="10" t="n">
        <v>44409</v>
      </c>
      <c r="B206" s="18">
        <f>IF(VLOOKUP(A206,'DB Country PMI'!$A:$AZ,MATCH($A$1,'DB Country PMI'!$A$1:$AZ$1,),)=0,#N/A,VLOOKUP(A206,'DB Country PMI'!$A:$AZ,MATCH($A$1,'DB Country PMI'!$A$1:$AZ$1,),))</f>
        <v/>
      </c>
      <c r="C206" s="24">
        <f>Table13468111214[[#This Row],[Euro Area PMI]]-B205</f>
        <v/>
      </c>
      <c r="D206" s="11">
        <f>IF(VLOOKUP(Table13468111214[[#This Row],[Date]],'DB Global PMI'!$A:$F,4)=0,#N/A,VLOOKUP(Table13468111214[[#This Row],[Date]],'DB Global PMI'!$A:$F,4))</f>
        <v/>
      </c>
      <c r="E206" s="24">
        <f>Table13468111214[[#This Row],[Euro Area PMI]]-B194</f>
        <v/>
      </c>
      <c r="F206" s="52">
        <f>(Table13468111214[[#This Row],[EZU]]-D194)/D194</f>
        <v/>
      </c>
      <c r="G206" s="52">
        <f>IF(VLOOKUP(Table13468111214[[#This Row],[Date]],'DB Global PMI'!$A:$F,6)=0,"",VLOOKUP(Table13468111214[[#This Row],[Date]],'DB Global PMI'!$A:$F,6))</f>
        <v/>
      </c>
    </row>
    <row r="207">
      <c r="A207" s="10" t="n">
        <v>44440</v>
      </c>
      <c r="B207" s="18">
        <f>IF(VLOOKUP(A207,'DB Country PMI'!$A:$AZ,MATCH($A$1,'DB Country PMI'!$A$1:$AZ$1,),)=0,#N/A,VLOOKUP(A207,'DB Country PMI'!$A:$AZ,MATCH($A$1,'DB Country PMI'!$A$1:$AZ$1,),))</f>
        <v/>
      </c>
      <c r="C207" s="24">
        <f>Table13468111214[[#This Row],[Euro Area PMI]]-B206</f>
        <v/>
      </c>
      <c r="D207" s="11">
        <f>IF(VLOOKUP(Table13468111214[[#This Row],[Date]],'DB Global PMI'!$A:$F,4)=0,#N/A,VLOOKUP(Table13468111214[[#This Row],[Date]],'DB Global PMI'!$A:$F,4))</f>
        <v/>
      </c>
      <c r="E207" s="24">
        <f>Table13468111214[[#This Row],[Euro Area PMI]]-B195</f>
        <v/>
      </c>
      <c r="F207" s="52">
        <f>(Table13468111214[[#This Row],[EZU]]-D195)/D195</f>
        <v/>
      </c>
      <c r="G207" s="52">
        <f>IF(VLOOKUP(Table13468111214[[#This Row],[Date]],'DB Global PMI'!$A:$F,6)=0,"",VLOOKUP(Table13468111214[[#This Row],[Date]],'DB Global PMI'!$A:$F,6))</f>
        <v/>
      </c>
    </row>
    <row r="208">
      <c r="A208" s="10" t="n">
        <v>44470</v>
      </c>
      <c r="B208" s="18">
        <f>IF(VLOOKUP(A208,'DB Country PMI'!$A:$AZ,MATCH($A$1,'DB Country PMI'!$A$1:$AZ$1,),)=0,#N/A,VLOOKUP(A208,'DB Country PMI'!$A:$AZ,MATCH($A$1,'DB Country PMI'!$A$1:$AZ$1,),))</f>
        <v/>
      </c>
      <c r="C208" s="24">
        <f>Table13468111214[[#This Row],[Euro Area PMI]]-B207</f>
        <v/>
      </c>
      <c r="D208" s="11">
        <f>IF(VLOOKUP(Table13468111214[[#This Row],[Date]],'DB Global PMI'!$A:$F,4)=0,#N/A,VLOOKUP(Table13468111214[[#This Row],[Date]],'DB Global PMI'!$A:$F,4))</f>
        <v/>
      </c>
      <c r="E208" s="24">
        <f>Table13468111214[[#This Row],[Euro Area PMI]]-B196</f>
        <v/>
      </c>
      <c r="F208" s="52">
        <f>(Table13468111214[[#This Row],[EZU]]-D196)/D196</f>
        <v/>
      </c>
      <c r="G208" s="52">
        <f>IF(VLOOKUP(Table13468111214[[#This Row],[Date]],'DB Global PMI'!$A:$F,6)=0,"",VLOOKUP(Table13468111214[[#This Row],[Date]],'DB Global PMI'!$A:$F,6))</f>
        <v/>
      </c>
    </row>
    <row r="209">
      <c r="A209" s="10" t="n">
        <v>44501</v>
      </c>
      <c r="B209" s="18">
        <f>IF(VLOOKUP(A209,'DB Country PMI'!$A:$AZ,MATCH($A$1,'DB Country PMI'!$A$1:$AZ$1,),)=0,#N/A,VLOOKUP(A209,'DB Country PMI'!$A:$AZ,MATCH($A$1,'DB Country PMI'!$A$1:$AZ$1,),))</f>
        <v/>
      </c>
      <c r="C209" s="24">
        <f>Table13468111214[[#This Row],[Euro Area PMI]]-B208</f>
        <v/>
      </c>
      <c r="D209" s="11">
        <f>IF(VLOOKUP(Table13468111214[[#This Row],[Date]],'DB Global PMI'!$A:$F,4)=0,#N/A,VLOOKUP(Table13468111214[[#This Row],[Date]],'DB Global PMI'!$A:$F,4))</f>
        <v/>
      </c>
      <c r="E209" s="24">
        <f>Table13468111214[[#This Row],[Euro Area PMI]]-B197</f>
        <v/>
      </c>
      <c r="F209" s="52">
        <f>(Table13468111214[[#This Row],[EZU]]-D197)/D197</f>
        <v/>
      </c>
      <c r="G209" s="52">
        <f>IF(VLOOKUP(Table13468111214[[#This Row],[Date]],'DB Global PMI'!$A:$F,6)=0,"",VLOOKUP(Table13468111214[[#This Row],[Date]],'DB Global PMI'!$A:$F,6))</f>
        <v/>
      </c>
    </row>
    <row r="210">
      <c r="A210" s="10" t="n">
        <v>44531</v>
      </c>
      <c r="B210" s="18">
        <f>IF(VLOOKUP(A210,'DB Country PMI'!$A:$AZ,MATCH($A$1,'DB Country PMI'!$A$1:$AZ$1,),)=0,#N/A,VLOOKUP(A210,'DB Country PMI'!$A:$AZ,MATCH($A$1,'DB Country PMI'!$A$1:$AZ$1,),))</f>
        <v/>
      </c>
      <c r="C210" s="24">
        <f>Table13468111214[[#This Row],[Euro Area PMI]]-B209</f>
        <v/>
      </c>
      <c r="D210" s="11">
        <f>IF(VLOOKUP(Table13468111214[[#This Row],[Date]],'DB Global PMI'!$A:$F,4)=0,#N/A,VLOOKUP(Table13468111214[[#This Row],[Date]],'DB Global PMI'!$A:$F,4))</f>
        <v/>
      </c>
      <c r="E210" s="24">
        <f>Table13468111214[[#This Row],[Euro Area PMI]]-B198</f>
        <v/>
      </c>
      <c r="F210" s="52">
        <f>(Table13468111214[[#This Row],[EZU]]-D198)/D198</f>
        <v/>
      </c>
      <c r="G210" s="52">
        <f>IF(VLOOKUP(Table13468111214[[#This Row],[Date]],'DB Global PMI'!$A:$F,6)=0,"",VLOOKUP(Table13468111214[[#This Row],[Date]],'DB Global PMI'!$A:$F,6))</f>
        <v/>
      </c>
    </row>
    <row r="211">
      <c r="A211" s="10" t="n">
        <v>44562</v>
      </c>
      <c r="B211" s="18">
        <f>IF(VLOOKUP(A211,'DB Country PMI'!$A:$AZ,MATCH($A$1,'DB Country PMI'!$A$1:$AZ$1,),)=0,#N/A,VLOOKUP(A211,'DB Country PMI'!$A:$AZ,MATCH($A$1,'DB Country PMI'!$A$1:$AZ$1,),))</f>
        <v/>
      </c>
      <c r="C211" s="24">
        <f>Table13468111214[[#This Row],[Euro Area PMI]]-B210</f>
        <v/>
      </c>
      <c r="D211" s="11">
        <f>IF(VLOOKUP(Table13468111214[[#This Row],[Date]],'DB Global PMI'!$A:$F,4)=0,#N/A,VLOOKUP(Table13468111214[[#This Row],[Date]],'DB Global PMI'!$A:$F,4))</f>
        <v/>
      </c>
      <c r="E211" s="24">
        <f>Table13468111214[[#This Row],[Euro Area PMI]]-B199</f>
        <v/>
      </c>
      <c r="F211" s="52">
        <f>(Table13468111214[[#This Row],[EZU]]-D199)/D199</f>
        <v/>
      </c>
      <c r="G211" s="52">
        <f>IF(VLOOKUP(Table13468111214[[#This Row],[Date]],'DB Global PMI'!$A:$F,6)=0,"",VLOOKUP(Table13468111214[[#This Row],[Date]],'DB Global PMI'!$A:$F,6))</f>
        <v/>
      </c>
    </row>
    <row r="212">
      <c r="A212" s="10" t="n">
        <v>44593</v>
      </c>
      <c r="B212" s="18">
        <f>IF(VLOOKUP(A212,'DB Country PMI'!$A:$AZ,MATCH($A$1,'DB Country PMI'!$A$1:$AZ$1,),)=0,#N/A,VLOOKUP(A212,'DB Country PMI'!$A:$AZ,MATCH($A$1,'DB Country PMI'!$A$1:$AZ$1,),))</f>
        <v/>
      </c>
      <c r="C212" s="24">
        <f>Table13468111214[[#This Row],[Euro Area PMI]]-B211</f>
        <v/>
      </c>
      <c r="D212" s="11">
        <f>IF(VLOOKUP(Table13468111214[[#This Row],[Date]],'DB Global PMI'!$A:$F,4)=0,#N/A,VLOOKUP(Table13468111214[[#This Row],[Date]],'DB Global PMI'!$A:$F,4))</f>
        <v/>
      </c>
      <c r="E212" s="24">
        <f>Table13468111214[[#This Row],[Euro Area PMI]]-B200</f>
        <v/>
      </c>
      <c r="F212" s="52">
        <f>(Table13468111214[[#This Row],[EZU]]-D200)/D200</f>
        <v/>
      </c>
      <c r="G212" s="52">
        <f>IF(VLOOKUP(Table13468111214[[#This Row],[Date]],'DB Global PMI'!$A:$F,6)=0,"",VLOOKUP(Table13468111214[[#This Row],[Date]],'DB Global PMI'!$A:$F,6))</f>
        <v/>
      </c>
    </row>
    <row r="213">
      <c r="A213" s="10" t="n">
        <v>44621</v>
      </c>
      <c r="B213" s="18">
        <f>IF(VLOOKUP(A213,'DB Country PMI'!$A:$AZ,MATCH($A$1,'DB Country PMI'!$A$1:$AZ$1,),)=0,#N/A,VLOOKUP(A213,'DB Country PMI'!$A:$AZ,MATCH($A$1,'DB Country PMI'!$A$1:$AZ$1,),))</f>
        <v/>
      </c>
      <c r="C213" s="24">
        <f>Table13468111214[[#This Row],[Euro Area PMI]]-B212</f>
        <v/>
      </c>
      <c r="D213" s="11">
        <f>IF(VLOOKUP(Table13468111214[[#This Row],[Date]],'DB Global PMI'!$A:$F,4)=0,#N/A,VLOOKUP(Table13468111214[[#This Row],[Date]],'DB Global PMI'!$A:$F,4))</f>
        <v/>
      </c>
      <c r="E213" s="24">
        <f>Table13468111214[[#This Row],[Euro Area PMI]]-B201</f>
        <v/>
      </c>
      <c r="F213" s="52">
        <f>(Table13468111214[[#This Row],[EZU]]-D201)/D201</f>
        <v/>
      </c>
      <c r="G213" s="52">
        <f>IF(VLOOKUP(Table13468111214[[#This Row],[Date]],'DB Global PMI'!$A:$F,6)=0,"",VLOOKUP(Table13468111214[[#This Row],[Date]],'DB Global PMI'!$A:$F,6))</f>
        <v/>
      </c>
    </row>
    <row r="214">
      <c r="A214" s="10" t="n">
        <v>44652</v>
      </c>
      <c r="B214" s="18">
        <f>IF(VLOOKUP(A214,'DB Country PMI'!$A:$AZ,MATCH($A$1,'DB Country PMI'!$A$1:$AZ$1,),)=0,#N/A,VLOOKUP(A214,'DB Country PMI'!$A:$AZ,MATCH($A$1,'DB Country PMI'!$A$1:$AZ$1,),))</f>
        <v/>
      </c>
      <c r="C214" s="24">
        <f>Table13468111214[[#This Row],[Euro Area PMI]]-B213</f>
        <v/>
      </c>
      <c r="D214" s="11">
        <f>IF(VLOOKUP(Table13468111214[[#This Row],[Date]],'DB Global PMI'!$A:$F,4)=0,#N/A,VLOOKUP(Table13468111214[[#This Row],[Date]],'DB Global PMI'!$A:$F,4))</f>
        <v/>
      </c>
      <c r="E214" s="24">
        <f>Table13468111214[[#This Row],[Euro Area PMI]]-B202</f>
        <v/>
      </c>
      <c r="F214" s="52">
        <f>(Table13468111214[[#This Row],[EZU]]-D202)/D202</f>
        <v/>
      </c>
      <c r="G214" s="52">
        <f>IF(VLOOKUP(Table13468111214[[#This Row],[Date]],'DB Global PMI'!$A:$F,6)=0,"",VLOOKUP(Table13468111214[[#This Row],[Date]],'DB Global PMI'!$A:$F,6))</f>
        <v/>
      </c>
    </row>
    <row r="215">
      <c r="A215" s="10" t="n">
        <v>44682</v>
      </c>
      <c r="B215" s="18">
        <f>IF(VLOOKUP(A215,'DB Country PMI'!$A:$AZ,MATCH($A$1,'DB Country PMI'!$A$1:$AZ$1,),)=0,#N/A,VLOOKUP(A215,'DB Country PMI'!$A:$AZ,MATCH($A$1,'DB Country PMI'!$A$1:$AZ$1,),))</f>
        <v/>
      </c>
      <c r="C215" s="24">
        <f>Table13468111214[[#This Row],[Euro Area PMI]]-B214</f>
        <v/>
      </c>
      <c r="D215" s="11">
        <f>IF(VLOOKUP(Table13468111214[[#This Row],[Date]],'DB Global PMI'!$A:$F,4)=0,#N/A,VLOOKUP(Table13468111214[[#This Row],[Date]],'DB Global PMI'!$A:$F,4))</f>
        <v/>
      </c>
      <c r="E215" s="24">
        <f>Table13468111214[[#This Row],[Euro Area PMI]]-B203</f>
        <v/>
      </c>
      <c r="F215" s="52">
        <f>(Table13468111214[[#This Row],[EZU]]-D203)/D203</f>
        <v/>
      </c>
      <c r="G215" s="52">
        <f>IF(VLOOKUP(Table13468111214[[#This Row],[Date]],'DB Global PMI'!$A:$F,6)=0,"",VLOOKUP(Table13468111214[[#This Row],[Date]],'DB Global PMI'!$A:$F,6))</f>
        <v/>
      </c>
    </row>
    <row r="216">
      <c r="A216" s="10" t="n">
        <v>44713</v>
      </c>
      <c r="B216" s="18">
        <f>IF(VLOOKUP(A216,'DB Country PMI'!$A:$AZ,MATCH($A$1,'DB Country PMI'!$A$1:$AZ$1,),)=0,#N/A,VLOOKUP(A216,'DB Country PMI'!$A:$AZ,MATCH($A$1,'DB Country PMI'!$A$1:$AZ$1,),))</f>
        <v/>
      </c>
      <c r="C216" s="24">
        <f>Table13468111214[[#This Row],[Euro Area PMI]]-B215</f>
        <v/>
      </c>
      <c r="D216" s="11">
        <f>IF(VLOOKUP(Table13468111214[[#This Row],[Date]],'DB Global PMI'!$A:$F,4)=0,#N/A,VLOOKUP(Table13468111214[[#This Row],[Date]],'DB Global PMI'!$A:$F,4))</f>
        <v/>
      </c>
      <c r="E216" s="24">
        <f>Table13468111214[[#This Row],[Euro Area PMI]]-B204</f>
        <v/>
      </c>
      <c r="F216" s="52">
        <f>(Table13468111214[[#This Row],[EZU]]-D204)/D204</f>
        <v/>
      </c>
      <c r="G216" s="52">
        <f>IF(VLOOKUP(Table13468111214[[#This Row],[Date]],'DB Global PMI'!$A:$F,6)=0,"",VLOOKUP(Table13468111214[[#This Row],[Date]],'DB Global PMI'!$A:$F,6))</f>
        <v/>
      </c>
    </row>
    <row r="217">
      <c r="A217" s="10" t="n">
        <v>44743</v>
      </c>
      <c r="B217" s="18">
        <f>IF(VLOOKUP(A217,'DB Country PMI'!$A:$AZ,MATCH($A$1,'DB Country PMI'!$A$1:$AZ$1,),)=0,#N/A,VLOOKUP(A217,'DB Country PMI'!$A:$AZ,MATCH($A$1,'DB Country PMI'!$A$1:$AZ$1,),))</f>
        <v/>
      </c>
      <c r="C217" s="24">
        <f>Table13468111214[[#This Row],[Euro Area PMI]]-B216</f>
        <v/>
      </c>
      <c r="D217" s="11">
        <f>IF(VLOOKUP(Table13468111214[[#This Row],[Date]],'DB Global PMI'!$A:$F,4)=0,#N/A,VLOOKUP(Table13468111214[[#This Row],[Date]],'DB Global PMI'!$A:$F,4))</f>
        <v/>
      </c>
      <c r="E217" s="24">
        <f>Table13468111214[[#This Row],[Euro Area PMI]]-B205</f>
        <v/>
      </c>
      <c r="F217" s="52">
        <f>(Table13468111214[[#This Row],[EZU]]-D205)/D205</f>
        <v/>
      </c>
      <c r="G217" s="52">
        <f>IF(VLOOKUP(Table13468111214[[#This Row],[Date]],'DB Global PMI'!$A:$F,6)=0,"",VLOOKUP(Table13468111214[[#This Row],[Date]],'DB Global PMI'!$A:$F,6))</f>
        <v/>
      </c>
    </row>
    <row r="218">
      <c r="A218" s="10" t="n">
        <v>44774</v>
      </c>
      <c r="B218" s="18">
        <f>IF(VLOOKUP(A218,'DB Country PMI'!$A:$AZ,MATCH($A$1,'DB Country PMI'!$A$1:$AZ$1,),)=0,#N/A,VLOOKUP(A218,'DB Country PMI'!$A:$AZ,MATCH($A$1,'DB Country PMI'!$A$1:$AZ$1,),))</f>
        <v/>
      </c>
      <c r="C218" s="24">
        <f>Table13468111214[[#This Row],[Euro Area PMI]]-B217</f>
        <v/>
      </c>
      <c r="D218" s="11">
        <f>IF(VLOOKUP(Table13468111214[[#This Row],[Date]],'DB Global PMI'!$A:$F,4)=0,#N/A,VLOOKUP(Table13468111214[[#This Row],[Date]],'DB Global PMI'!$A:$F,4))</f>
        <v/>
      </c>
      <c r="E218" s="24">
        <f>Table13468111214[[#This Row],[Euro Area PMI]]-B206</f>
        <v/>
      </c>
      <c r="F218" s="52">
        <f>(Table13468111214[[#This Row],[EZU]]-D206)/D206</f>
        <v/>
      </c>
      <c r="G218" s="52">
        <f>IF(VLOOKUP(Table13468111214[[#This Row],[Date]],'DB Global PMI'!$A:$F,6)=0,"",VLOOKUP(Table13468111214[[#This Row],[Date]],'DB Global PMI'!$A:$F,6))</f>
        <v/>
      </c>
    </row>
    <row r="219">
      <c r="A219" s="10" t="n">
        <v>44805</v>
      </c>
      <c r="B219" s="18">
        <f>IF(VLOOKUP(A219,'DB Country PMI'!$A:$AZ,MATCH($A$1,'DB Country PMI'!$A$1:$AZ$1,),)=0,#N/A,VLOOKUP(A219,'DB Country PMI'!$A:$AZ,MATCH($A$1,'DB Country PMI'!$A$1:$AZ$1,),))</f>
        <v/>
      </c>
      <c r="C219" s="24">
        <f>Table13468111214[[#This Row],[Euro Area PMI]]-B218</f>
        <v/>
      </c>
      <c r="D219" s="11">
        <f>IF(VLOOKUP(Table13468111214[[#This Row],[Date]],'DB Global PMI'!$A:$F,4)=0,#N/A,VLOOKUP(Table13468111214[[#This Row],[Date]],'DB Global PMI'!$A:$F,4))</f>
        <v/>
      </c>
      <c r="E219" s="24">
        <f>Table13468111214[[#This Row],[Euro Area PMI]]-B207</f>
        <v/>
      </c>
      <c r="F219" s="52">
        <f>(Table13468111214[[#This Row],[EZU]]-D207)/D207</f>
        <v/>
      </c>
      <c r="G219" s="52">
        <f>IF(VLOOKUP(Table13468111214[[#This Row],[Date]],'DB Global PMI'!$A:$F,6)=0,"",VLOOKUP(Table13468111214[[#This Row],[Date]],'DB Global PMI'!$A:$F,6))</f>
        <v/>
      </c>
    </row>
    <row r="220">
      <c r="A220" s="10" t="n">
        <v>44835</v>
      </c>
      <c r="B220" s="18">
        <f>IF(VLOOKUP(A220,'DB Country PMI'!$A:$AZ,MATCH($A$1,'DB Country PMI'!$A$1:$AZ$1,),)=0,#N/A,VLOOKUP(A220,'DB Country PMI'!$A:$AZ,MATCH($A$1,'DB Country PMI'!$A$1:$AZ$1,),))</f>
        <v/>
      </c>
      <c r="C220" s="24">
        <f>Table13468111214[[#This Row],[Euro Area PMI]]-B219</f>
        <v/>
      </c>
      <c r="D220" s="11">
        <f>IF(VLOOKUP(Table13468111214[[#This Row],[Date]],'DB Global PMI'!$A:$F,4)=0,#N/A,VLOOKUP(Table13468111214[[#This Row],[Date]],'DB Global PMI'!$A:$F,4))</f>
        <v/>
      </c>
      <c r="E220" s="24">
        <f>Table13468111214[[#This Row],[Euro Area PMI]]-B208</f>
        <v/>
      </c>
      <c r="F220" s="52">
        <f>(Table13468111214[[#This Row],[EZU]]-D208)/D208</f>
        <v/>
      </c>
      <c r="G220" s="52">
        <f>IF(VLOOKUP(Table13468111214[[#This Row],[Date]],'DB Global PMI'!$A:$F,6)=0,"",VLOOKUP(Table13468111214[[#This Row],[Date]],'DB Global PMI'!$A:$F,6))</f>
        <v/>
      </c>
    </row>
    <row r="221">
      <c r="A221" s="10" t="n">
        <v>44866</v>
      </c>
      <c r="B221" s="18">
        <f>IF(VLOOKUP(A221,'DB Country PMI'!$A:$AZ,MATCH($A$1,'DB Country PMI'!$A$1:$AZ$1,),)=0,#N/A,VLOOKUP(A221,'DB Country PMI'!$A:$AZ,MATCH($A$1,'DB Country PMI'!$A$1:$AZ$1,),))</f>
        <v/>
      </c>
      <c r="C221" s="24">
        <f>Table13468111214[[#This Row],[Euro Area PMI]]-B220</f>
        <v/>
      </c>
      <c r="D221" s="11">
        <f>IF(VLOOKUP(Table13468111214[[#This Row],[Date]],'DB Global PMI'!$A:$F,4)=0,#N/A,VLOOKUP(Table13468111214[[#This Row],[Date]],'DB Global PMI'!$A:$F,4))</f>
        <v/>
      </c>
      <c r="E221" s="24">
        <f>Table13468111214[[#This Row],[Euro Area PMI]]-B209</f>
        <v/>
      </c>
      <c r="F221" s="52">
        <f>(Table13468111214[[#This Row],[EZU]]-D209)/D209</f>
        <v/>
      </c>
      <c r="G221" s="52">
        <f>IF(VLOOKUP(Table13468111214[[#This Row],[Date]],'DB Global PMI'!$A:$F,6)=0,"",VLOOKUP(Table13468111214[[#This Row],[Date]],'DB Global PMI'!$A:$F,6))</f>
        <v/>
      </c>
    </row>
  </sheetData>
  <conditionalFormatting sqref="C7:C106">
    <cfRule type="colorScale" priority="1">
      <colorScale>
        <cfvo type="min"/>
        <cfvo type="percentile" val="50"/>
        <cfvo type="max"/>
        <color rgb="FFF8696B"/>
        <color rgb="FFFCFCFF"/>
        <color rgb="FF5A8AC6"/>
      </colorScale>
    </cfRule>
  </conditionalFormatting>
  <conditionalFormatting sqref="B6:B221">
    <cfRule type="colorScale" priority="5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K183"/>
  <sheetViews>
    <sheetView zoomScale="70" zoomScaleNormal="70" workbookViewId="0">
      <pane ySplit="5" topLeftCell="A163" activePane="bottomLeft" state="frozen"/>
      <selection activeCell="B327" sqref="B327"/>
      <selection pane="bottomLeft" activeCell="R177" sqref="R177"/>
    </sheetView>
  </sheetViews>
  <sheetFormatPr baseColWidth="8" defaultColWidth="9.1796875" defaultRowHeight="14.5"/>
  <cols>
    <col width="13.453125" customWidth="1" style="69" min="1" max="1"/>
    <col width="11.36328125" customWidth="1" style="69" min="2" max="2"/>
    <col width="9.1796875" customWidth="1" style="69" min="3" max="51"/>
    <col width="9.1796875" customWidth="1" style="69" min="52" max="16384"/>
  </cols>
  <sheetData>
    <row r="1">
      <c r="A1" s="69" t="inlineStr">
        <is>
          <t>Japan</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39479</v>
      </c>
      <c r="B6" s="18">
        <f>IF(VLOOKUP(A6,'DB Country PMI'!$A:$AZ,MATCH($A$1,'DB Country PMI'!$A$1:$AZ$1,),)=0,#N/A,VLOOKUP(A6,'DB Country PMI'!$A:$AZ,MATCH($A$1,'DB Country PMI'!$A$1:$AZ$1,),))</f>
        <v/>
      </c>
      <c r="C6" s="18" t="n"/>
    </row>
    <row r="7">
      <c r="A7" s="10" t="n">
        <v>39508</v>
      </c>
      <c r="B7" s="18">
        <f>IF(VLOOKUP(A7,'DB Country PMI'!$A:$AZ,MATCH($A$1,'DB Country PMI'!$A$1:$AZ$1,),)=0,#N/A,VLOOKUP(A7,'DB Country PMI'!$A:$AZ,MATCH($A$1,'DB Country PMI'!$A$1:$AZ$1,),))</f>
        <v/>
      </c>
      <c r="C7" s="24">
        <f>Table1346811121415161718192022[[#This Row],[PMI]]-B6</f>
        <v/>
      </c>
    </row>
    <row r="8">
      <c r="A8" s="10" t="n">
        <v>39539</v>
      </c>
      <c r="B8" s="18">
        <f>IF(VLOOKUP(A8,'DB Country PMI'!$A:$AZ,MATCH($A$1,'DB Country PMI'!$A$1:$AZ$1,),)=0,#N/A,VLOOKUP(A8,'DB Country PMI'!$A:$AZ,MATCH($A$1,'DB Country PMI'!$A$1:$AZ$1,),))</f>
        <v/>
      </c>
      <c r="C8" s="24">
        <f>Table1346811121415161718192022[[#This Row],[PMI]]-B7</f>
        <v/>
      </c>
    </row>
    <row r="9">
      <c r="A9" s="10" t="n">
        <v>39569</v>
      </c>
      <c r="B9" s="18">
        <f>IF(VLOOKUP(A9,'DB Country PMI'!$A:$AZ,MATCH($A$1,'DB Country PMI'!$A$1:$AZ$1,),)=0,#N/A,VLOOKUP(A9,'DB Country PMI'!$A:$AZ,MATCH($A$1,'DB Country PMI'!$A$1:$AZ$1,),))</f>
        <v/>
      </c>
      <c r="C9" s="24">
        <f>Table1346811121415161718192022[[#This Row],[PMI]]-B8</f>
        <v/>
      </c>
    </row>
    <row r="10">
      <c r="A10" s="10" t="n">
        <v>39600</v>
      </c>
      <c r="B10" s="18">
        <f>IF(VLOOKUP(A10,'DB Country PMI'!$A:$AZ,MATCH($A$1,'DB Country PMI'!$A$1:$AZ$1,),)=0,#N/A,VLOOKUP(A10,'DB Country PMI'!$A:$AZ,MATCH($A$1,'DB Country PMI'!$A$1:$AZ$1,),))</f>
        <v/>
      </c>
      <c r="C10" s="24">
        <f>Table1346811121415161718192022[[#This Row],[PMI]]-B9</f>
        <v/>
      </c>
    </row>
    <row r="11">
      <c r="A11" s="10" t="n">
        <v>39630</v>
      </c>
      <c r="B11" s="18">
        <f>IF(VLOOKUP(A11,'DB Country PMI'!$A:$AZ,MATCH($A$1,'DB Country PMI'!$A$1:$AZ$1,),)=0,#N/A,VLOOKUP(A11,'DB Country PMI'!$A:$AZ,MATCH($A$1,'DB Country PMI'!$A$1:$AZ$1,),))</f>
        <v/>
      </c>
      <c r="C11" s="24">
        <f>Table1346811121415161718192022[[#This Row],[PMI]]-B10</f>
        <v/>
      </c>
    </row>
    <row r="12">
      <c r="A12" s="10" t="n">
        <v>39661</v>
      </c>
      <c r="B12" s="18">
        <f>IF(VLOOKUP(A12,'DB Country PMI'!$A:$AZ,MATCH($A$1,'DB Country PMI'!$A$1:$AZ$1,),)=0,#N/A,VLOOKUP(A12,'DB Country PMI'!$A:$AZ,MATCH($A$1,'DB Country PMI'!$A$1:$AZ$1,),))</f>
        <v/>
      </c>
      <c r="C12" s="24">
        <f>Table1346811121415161718192022[[#This Row],[PMI]]-B11</f>
        <v/>
      </c>
    </row>
    <row r="13">
      <c r="A13" s="10" t="n">
        <v>39692</v>
      </c>
      <c r="B13" s="18">
        <f>IF(VLOOKUP(A13,'DB Country PMI'!$A:$AZ,MATCH($A$1,'DB Country PMI'!$A$1:$AZ$1,),)=0,#N/A,VLOOKUP(A13,'DB Country PMI'!$A:$AZ,MATCH($A$1,'DB Country PMI'!$A$1:$AZ$1,),))</f>
        <v/>
      </c>
      <c r="C13" s="24">
        <f>Table1346811121415161718192022[[#This Row],[PMI]]-B12</f>
        <v/>
      </c>
    </row>
    <row r="14">
      <c r="A14" s="10" t="n">
        <v>39722</v>
      </c>
      <c r="B14" s="18">
        <f>IF(VLOOKUP(A14,'DB Country PMI'!$A:$AZ,MATCH($A$1,'DB Country PMI'!$A$1:$AZ$1,),)=0,#N/A,VLOOKUP(A14,'DB Country PMI'!$A:$AZ,MATCH($A$1,'DB Country PMI'!$A$1:$AZ$1,),))</f>
        <v/>
      </c>
      <c r="C14" s="24">
        <f>Table1346811121415161718192022[[#This Row],[PMI]]-B13</f>
        <v/>
      </c>
    </row>
    <row r="15">
      <c r="A15" s="10" t="n">
        <v>39753</v>
      </c>
      <c r="B15" s="18">
        <f>IF(VLOOKUP(A15,'DB Country PMI'!$A:$AZ,MATCH($A$1,'DB Country PMI'!$A$1:$AZ$1,),)=0,#N/A,VLOOKUP(A15,'DB Country PMI'!$A:$AZ,MATCH($A$1,'DB Country PMI'!$A$1:$AZ$1,),))</f>
        <v/>
      </c>
      <c r="C15" s="24">
        <f>Table1346811121415161718192022[[#This Row],[PMI]]-B14</f>
        <v/>
      </c>
    </row>
    <row r="16">
      <c r="A16" s="10" t="n">
        <v>39783</v>
      </c>
      <c r="B16" s="18">
        <f>IF(VLOOKUP(A16,'DB Country PMI'!$A:$AZ,MATCH($A$1,'DB Country PMI'!$A$1:$AZ$1,),)=0,#N/A,VLOOKUP(A16,'DB Country PMI'!$A:$AZ,MATCH($A$1,'DB Country PMI'!$A$1:$AZ$1,),))</f>
        <v/>
      </c>
      <c r="C16" s="24">
        <f>Table1346811121415161718192022[[#This Row],[PMI]]-B15</f>
        <v/>
      </c>
    </row>
    <row r="17">
      <c r="A17" s="10" t="n">
        <v>39814</v>
      </c>
      <c r="B17" s="18">
        <f>IF(VLOOKUP(A17,'DB Country PMI'!$A:$AZ,MATCH($A$1,'DB Country PMI'!$A$1:$AZ$1,),)=0,#N/A,VLOOKUP(A17,'DB Country PMI'!$A:$AZ,MATCH($A$1,'DB Country PMI'!$A$1:$AZ$1,),))</f>
        <v/>
      </c>
      <c r="C17" s="24">
        <f>Table1346811121415161718192022[[#This Row],[PMI]]-B16</f>
        <v/>
      </c>
    </row>
    <row r="18">
      <c r="A18" s="10" t="n">
        <v>39845</v>
      </c>
      <c r="B18" s="18">
        <f>IF(VLOOKUP(A18,'DB Country PMI'!$A:$AZ,MATCH($A$1,'DB Country PMI'!$A$1:$AZ$1,),)=0,#N/A,VLOOKUP(A18,'DB Country PMI'!$A:$AZ,MATCH($A$1,'DB Country PMI'!$A$1:$AZ$1,),))</f>
        <v/>
      </c>
      <c r="C18" s="24">
        <f>Table1346811121415161718192022[[#This Row],[PMI]]-B17</f>
        <v/>
      </c>
    </row>
    <row r="19">
      <c r="A19" s="10" t="n">
        <v>39873</v>
      </c>
      <c r="B19" s="18">
        <f>IF(VLOOKUP(A19,'DB Country PMI'!$A:$AZ,MATCH($A$1,'DB Country PMI'!$A$1:$AZ$1,),)=0,#N/A,VLOOKUP(A19,'DB Country PMI'!$A:$AZ,MATCH($A$1,'DB Country PMI'!$A$1:$AZ$1,),))</f>
        <v/>
      </c>
      <c r="C19" s="24">
        <f>Table1346811121415161718192022[[#This Row],[PMI]]-B18</f>
        <v/>
      </c>
    </row>
    <row r="20">
      <c r="A20" s="10" t="n">
        <v>39904</v>
      </c>
      <c r="B20" s="18">
        <f>IF(VLOOKUP(A20,'DB Country PMI'!$A:$AZ,MATCH($A$1,'DB Country PMI'!$A$1:$AZ$1,),)=0,#N/A,VLOOKUP(A20,'DB Country PMI'!$A:$AZ,MATCH($A$1,'DB Country PMI'!$A$1:$AZ$1,),))</f>
        <v/>
      </c>
      <c r="C20" s="24">
        <f>Table1346811121415161718192022[[#This Row],[PMI]]-B19</f>
        <v/>
      </c>
    </row>
    <row r="21">
      <c r="A21" s="10" t="n">
        <v>39934</v>
      </c>
      <c r="B21" s="18">
        <f>IF(VLOOKUP(A21,'DB Country PMI'!$A:$AZ,MATCH($A$1,'DB Country PMI'!$A$1:$AZ$1,),)=0,#N/A,VLOOKUP(A21,'DB Country PMI'!$A:$AZ,MATCH($A$1,'DB Country PMI'!$A$1:$AZ$1,),))</f>
        <v/>
      </c>
      <c r="C21" s="24">
        <f>Table1346811121415161718192022[[#This Row],[PMI]]-B20</f>
        <v/>
      </c>
    </row>
    <row r="22">
      <c r="A22" s="10" t="n">
        <v>39965</v>
      </c>
      <c r="B22" s="18">
        <f>IF(VLOOKUP(A22,'DB Country PMI'!$A:$AZ,MATCH($A$1,'DB Country PMI'!$A$1:$AZ$1,),)=0,#N/A,VLOOKUP(A22,'DB Country PMI'!$A:$AZ,MATCH($A$1,'DB Country PMI'!$A$1:$AZ$1,),))</f>
        <v/>
      </c>
      <c r="C22" s="24">
        <f>Table1346811121415161718192022[[#This Row],[PMI]]-B21</f>
        <v/>
      </c>
    </row>
    <row r="23">
      <c r="A23" s="10" t="n">
        <v>39995</v>
      </c>
      <c r="B23" s="18">
        <f>IF(VLOOKUP(A23,'DB Country PMI'!$A:$AZ,MATCH($A$1,'DB Country PMI'!$A$1:$AZ$1,),)=0,#N/A,VLOOKUP(A23,'DB Country PMI'!$A:$AZ,MATCH($A$1,'DB Country PMI'!$A$1:$AZ$1,),))</f>
        <v/>
      </c>
      <c r="C23" s="24">
        <f>Table1346811121415161718192022[[#This Row],[PMI]]-B22</f>
        <v/>
      </c>
    </row>
    <row r="24">
      <c r="A24" s="10" t="n">
        <v>40026</v>
      </c>
      <c r="B24" s="18">
        <f>IF(VLOOKUP(A24,'DB Country PMI'!$A:$AZ,MATCH($A$1,'DB Country PMI'!$A$1:$AZ$1,),)=0,#N/A,VLOOKUP(A24,'DB Country PMI'!$A:$AZ,MATCH($A$1,'DB Country PMI'!$A$1:$AZ$1,),))</f>
        <v/>
      </c>
      <c r="C24" s="24">
        <f>Table1346811121415161718192022[[#This Row],[PMI]]-B23</f>
        <v/>
      </c>
    </row>
    <row r="25">
      <c r="A25" s="10" t="n">
        <v>40057</v>
      </c>
      <c r="B25" s="18">
        <f>IF(VLOOKUP(A25,'DB Country PMI'!$A:$AZ,MATCH($A$1,'DB Country PMI'!$A$1:$AZ$1,),)=0,#N/A,VLOOKUP(A25,'DB Country PMI'!$A:$AZ,MATCH($A$1,'DB Country PMI'!$A$1:$AZ$1,),))</f>
        <v/>
      </c>
      <c r="C25" s="24">
        <f>Table1346811121415161718192022[[#This Row],[PMI]]-B24</f>
        <v/>
      </c>
    </row>
    <row r="26">
      <c r="A26" s="10" t="n">
        <v>40087</v>
      </c>
      <c r="B26" s="18">
        <f>IF(VLOOKUP(A26,'DB Country PMI'!$A:$AZ,MATCH($A$1,'DB Country PMI'!$A$1:$AZ$1,),)=0,#N/A,VLOOKUP(A26,'DB Country PMI'!$A:$AZ,MATCH($A$1,'DB Country PMI'!$A$1:$AZ$1,),))</f>
        <v/>
      </c>
      <c r="C26" s="24">
        <f>Table1346811121415161718192022[[#This Row],[PMI]]-B25</f>
        <v/>
      </c>
    </row>
    <row r="27">
      <c r="A27" s="10" t="n">
        <v>40118</v>
      </c>
      <c r="B27" s="18">
        <f>IF(VLOOKUP(A27,'DB Country PMI'!$A:$AZ,MATCH($A$1,'DB Country PMI'!$A$1:$AZ$1,),)=0,#N/A,VLOOKUP(A27,'DB Country PMI'!$A:$AZ,MATCH($A$1,'DB Country PMI'!$A$1:$AZ$1,),))</f>
        <v/>
      </c>
      <c r="C27" s="24">
        <f>Table1346811121415161718192022[[#This Row],[PMI]]-B26</f>
        <v/>
      </c>
    </row>
    <row r="28">
      <c r="A28" s="10" t="n">
        <v>40148</v>
      </c>
      <c r="B28" s="18">
        <f>IF(VLOOKUP(A28,'DB Country PMI'!$A:$AZ,MATCH($A$1,'DB Country PMI'!$A$1:$AZ$1,),)=0,#N/A,VLOOKUP(A28,'DB Country PMI'!$A:$AZ,MATCH($A$1,'DB Country PMI'!$A$1:$AZ$1,),))</f>
        <v/>
      </c>
      <c r="C28" s="24">
        <f>Table1346811121415161718192022[[#This Row],[PMI]]-B27</f>
        <v/>
      </c>
    </row>
    <row r="29">
      <c r="A29" s="10" t="n">
        <v>40179</v>
      </c>
      <c r="B29" s="18">
        <f>IF(VLOOKUP(A29,'DB Country PMI'!$A:$AZ,MATCH($A$1,'DB Country PMI'!$A$1:$AZ$1,),)=0,#N/A,VLOOKUP(A29,'DB Country PMI'!$A:$AZ,MATCH($A$1,'DB Country PMI'!$A$1:$AZ$1,),))</f>
        <v/>
      </c>
      <c r="C29" s="24">
        <f>Table1346811121415161718192022[[#This Row],[PMI]]-B28</f>
        <v/>
      </c>
    </row>
    <row r="30">
      <c r="A30" s="10" t="n">
        <v>40210</v>
      </c>
      <c r="B30" s="18">
        <f>IF(VLOOKUP(A30,'DB Country PMI'!$A:$AZ,MATCH($A$1,'DB Country PMI'!$A$1:$AZ$1,),)=0,#N/A,VLOOKUP(A30,'DB Country PMI'!$A:$AZ,MATCH($A$1,'DB Country PMI'!$A$1:$AZ$1,),))</f>
        <v/>
      </c>
      <c r="C30" s="24">
        <f>Table1346811121415161718192022[[#This Row],[PMI]]-B29</f>
        <v/>
      </c>
    </row>
    <row r="31">
      <c r="A31" s="10" t="n">
        <v>40238</v>
      </c>
      <c r="B31" s="18">
        <f>IF(VLOOKUP(A31,'DB Country PMI'!$A:$AZ,MATCH($A$1,'DB Country PMI'!$A$1:$AZ$1,),)=0,#N/A,VLOOKUP(A31,'DB Country PMI'!$A:$AZ,MATCH($A$1,'DB Country PMI'!$A$1:$AZ$1,),))</f>
        <v/>
      </c>
      <c r="C31" s="24">
        <f>Table1346811121415161718192022[[#This Row],[PMI]]-B30</f>
        <v/>
      </c>
    </row>
    <row r="32">
      <c r="A32" s="10" t="n">
        <v>40269</v>
      </c>
      <c r="B32" s="18">
        <f>IF(VLOOKUP(A32,'DB Country PMI'!$A:$AZ,MATCH($A$1,'DB Country PMI'!$A$1:$AZ$1,),)=0,#N/A,VLOOKUP(A32,'DB Country PMI'!$A:$AZ,MATCH($A$1,'DB Country PMI'!$A$1:$AZ$1,),))</f>
        <v/>
      </c>
      <c r="C32" s="24">
        <f>Table1346811121415161718192022[[#This Row],[PMI]]-B31</f>
        <v/>
      </c>
    </row>
    <row r="33">
      <c r="A33" s="10" t="n">
        <v>40299</v>
      </c>
      <c r="B33" s="18">
        <f>IF(VLOOKUP(A33,'DB Country PMI'!$A:$AZ,MATCH($A$1,'DB Country PMI'!$A$1:$AZ$1,),)=0,#N/A,VLOOKUP(A33,'DB Country PMI'!$A:$AZ,MATCH($A$1,'DB Country PMI'!$A$1:$AZ$1,),))</f>
        <v/>
      </c>
      <c r="C33" s="24">
        <f>Table1346811121415161718192022[[#This Row],[PMI]]-B32</f>
        <v/>
      </c>
    </row>
    <row r="34">
      <c r="A34" s="10" t="n">
        <v>40330</v>
      </c>
      <c r="B34" s="18">
        <f>IF(VLOOKUP(A34,'DB Country PMI'!$A:$AZ,MATCH($A$1,'DB Country PMI'!$A$1:$AZ$1,),)=0,#N/A,VLOOKUP(A34,'DB Country PMI'!$A:$AZ,MATCH($A$1,'DB Country PMI'!$A$1:$AZ$1,),))</f>
        <v/>
      </c>
      <c r="C34" s="24">
        <f>Table1346811121415161718192022[[#This Row],[PMI]]-B33</f>
        <v/>
      </c>
    </row>
    <row r="35">
      <c r="A35" s="10" t="n">
        <v>40360</v>
      </c>
      <c r="B35" s="18">
        <f>IF(VLOOKUP(A35,'DB Country PMI'!$A:$AZ,MATCH($A$1,'DB Country PMI'!$A$1:$AZ$1,),)=0,#N/A,VLOOKUP(A35,'DB Country PMI'!$A:$AZ,MATCH($A$1,'DB Country PMI'!$A$1:$AZ$1,),))</f>
        <v/>
      </c>
      <c r="C35" s="24">
        <f>Table1346811121415161718192022[[#This Row],[PMI]]-B34</f>
        <v/>
      </c>
    </row>
    <row r="36">
      <c r="A36" s="10" t="n">
        <v>40391</v>
      </c>
      <c r="B36" s="18">
        <f>IF(VLOOKUP(A36,'DB Country PMI'!$A:$AZ,MATCH($A$1,'DB Country PMI'!$A$1:$AZ$1,),)=0,#N/A,VLOOKUP(A36,'DB Country PMI'!$A:$AZ,MATCH($A$1,'DB Country PMI'!$A$1:$AZ$1,),))</f>
        <v/>
      </c>
      <c r="C36" s="24">
        <f>Table1346811121415161718192022[[#This Row],[PMI]]-B35</f>
        <v/>
      </c>
    </row>
    <row r="37">
      <c r="A37" s="10" t="n">
        <v>40422</v>
      </c>
      <c r="B37" s="18">
        <f>IF(VLOOKUP(A37,'DB Country PMI'!$A:$AZ,MATCH($A$1,'DB Country PMI'!$A$1:$AZ$1,),)=0,#N/A,VLOOKUP(A37,'DB Country PMI'!$A:$AZ,MATCH($A$1,'DB Country PMI'!$A$1:$AZ$1,),))</f>
        <v/>
      </c>
      <c r="C37" s="24">
        <f>Table1346811121415161718192022[[#This Row],[PMI]]-B36</f>
        <v/>
      </c>
    </row>
    <row r="38">
      <c r="A38" s="10" t="n">
        <v>40452</v>
      </c>
      <c r="B38" s="18">
        <f>IF(VLOOKUP(A38,'DB Country PMI'!$A:$AZ,MATCH($A$1,'DB Country PMI'!$A$1:$AZ$1,),)=0,#N/A,VLOOKUP(A38,'DB Country PMI'!$A:$AZ,MATCH($A$1,'DB Country PMI'!$A$1:$AZ$1,),))</f>
        <v/>
      </c>
      <c r="C38" s="24">
        <f>Table1346811121415161718192022[[#This Row],[PMI]]-B37</f>
        <v/>
      </c>
    </row>
    <row r="39">
      <c r="A39" s="10" t="n">
        <v>40483</v>
      </c>
      <c r="B39" s="18">
        <f>IF(VLOOKUP(A39,'DB Country PMI'!$A:$AZ,MATCH($A$1,'DB Country PMI'!$A$1:$AZ$1,),)=0,#N/A,VLOOKUP(A39,'DB Country PMI'!$A:$AZ,MATCH($A$1,'DB Country PMI'!$A$1:$AZ$1,),))</f>
        <v/>
      </c>
      <c r="C39" s="24">
        <f>Table1346811121415161718192022[[#This Row],[PMI]]-B38</f>
        <v/>
      </c>
    </row>
    <row r="40">
      <c r="A40" s="10" t="n">
        <v>40513</v>
      </c>
      <c r="B40" s="18">
        <f>IF(VLOOKUP(A40,'DB Country PMI'!$A:$AZ,MATCH($A$1,'DB Country PMI'!$A$1:$AZ$1,),)=0,#N/A,VLOOKUP(A40,'DB Country PMI'!$A:$AZ,MATCH($A$1,'DB Country PMI'!$A$1:$AZ$1,),))</f>
        <v/>
      </c>
      <c r="C40" s="24">
        <f>Table1346811121415161718192022[[#This Row],[PMI]]-B39</f>
        <v/>
      </c>
    </row>
    <row r="41">
      <c r="A41" s="10" t="n">
        <v>40544</v>
      </c>
      <c r="B41" s="18">
        <f>IF(VLOOKUP(A41,'DB Country PMI'!$A:$AZ,MATCH($A$1,'DB Country PMI'!$A$1:$AZ$1,),)=0,#N/A,VLOOKUP(A41,'DB Country PMI'!$A:$AZ,MATCH($A$1,'DB Country PMI'!$A$1:$AZ$1,),))</f>
        <v/>
      </c>
      <c r="C41" s="24">
        <f>Table1346811121415161718192022[[#This Row],[PMI]]-B40</f>
        <v/>
      </c>
    </row>
    <row r="42">
      <c r="A42" s="10" t="n">
        <v>40575</v>
      </c>
      <c r="B42" s="18">
        <f>IF(VLOOKUP(A42,'DB Country PMI'!$A:$AZ,MATCH($A$1,'DB Country PMI'!$A$1:$AZ$1,),)=0,#N/A,VLOOKUP(A42,'DB Country PMI'!$A:$AZ,MATCH($A$1,'DB Country PMI'!$A$1:$AZ$1,),))</f>
        <v/>
      </c>
      <c r="C42" s="24">
        <f>Table1346811121415161718192022[[#This Row],[PMI]]-B41</f>
        <v/>
      </c>
    </row>
    <row r="43">
      <c r="A43" s="10" t="n">
        <v>40603</v>
      </c>
      <c r="B43" s="18">
        <f>IF(VLOOKUP(A43,'DB Country PMI'!$A:$AZ,MATCH($A$1,'DB Country PMI'!$A$1:$AZ$1,),)=0,#N/A,VLOOKUP(A43,'DB Country PMI'!$A:$AZ,MATCH($A$1,'DB Country PMI'!$A$1:$AZ$1,),))</f>
        <v/>
      </c>
      <c r="C43" s="24">
        <f>Table1346811121415161718192022[[#This Row],[PMI]]-B42</f>
        <v/>
      </c>
    </row>
    <row r="44">
      <c r="A44" s="10" t="n">
        <v>40634</v>
      </c>
      <c r="B44" s="18">
        <f>IF(VLOOKUP(A44,'DB Country PMI'!$A:$AZ,MATCH($A$1,'DB Country PMI'!$A$1:$AZ$1,),)=0,#N/A,VLOOKUP(A44,'DB Country PMI'!$A:$AZ,MATCH($A$1,'DB Country PMI'!$A$1:$AZ$1,),))</f>
        <v/>
      </c>
      <c r="C44" s="24">
        <f>Table1346811121415161718192022[[#This Row],[PMI]]-B43</f>
        <v/>
      </c>
    </row>
    <row r="45">
      <c r="A45" s="10" t="n">
        <v>40664</v>
      </c>
      <c r="B45" s="18">
        <f>IF(VLOOKUP(A45,'DB Country PMI'!$A:$AZ,MATCH($A$1,'DB Country PMI'!$A$1:$AZ$1,),)=0,#N/A,VLOOKUP(A45,'DB Country PMI'!$A:$AZ,MATCH($A$1,'DB Country PMI'!$A$1:$AZ$1,),))</f>
        <v/>
      </c>
      <c r="C45" s="24">
        <f>Table1346811121415161718192022[[#This Row],[PMI]]-B44</f>
        <v/>
      </c>
    </row>
    <row r="46">
      <c r="A46" s="10" t="n">
        <v>40695</v>
      </c>
      <c r="B46" s="18">
        <f>IF(VLOOKUP(A46,'DB Country PMI'!$A:$AZ,MATCH($A$1,'DB Country PMI'!$A$1:$AZ$1,),)=0,#N/A,VLOOKUP(A46,'DB Country PMI'!$A:$AZ,MATCH($A$1,'DB Country PMI'!$A$1:$AZ$1,),))</f>
        <v/>
      </c>
      <c r="C46" s="24">
        <f>Table1346811121415161718192022[[#This Row],[PMI]]-B45</f>
        <v/>
      </c>
    </row>
    <row r="47">
      <c r="A47" s="10" t="n">
        <v>40725</v>
      </c>
      <c r="B47" s="18">
        <f>IF(VLOOKUP(A47,'DB Country PMI'!$A:$AZ,MATCH($A$1,'DB Country PMI'!$A$1:$AZ$1,),)=0,#N/A,VLOOKUP(A47,'DB Country PMI'!$A:$AZ,MATCH($A$1,'DB Country PMI'!$A$1:$AZ$1,),))</f>
        <v/>
      </c>
      <c r="C47" s="24">
        <f>Table1346811121415161718192022[[#This Row],[PMI]]-B46</f>
        <v/>
      </c>
    </row>
    <row r="48">
      <c r="A48" s="10" t="n">
        <v>40756</v>
      </c>
      <c r="B48" s="18">
        <f>IF(VLOOKUP(A48,'DB Country PMI'!$A:$AZ,MATCH($A$1,'DB Country PMI'!$A$1:$AZ$1,),)=0,#N/A,VLOOKUP(A48,'DB Country PMI'!$A:$AZ,MATCH($A$1,'DB Country PMI'!$A$1:$AZ$1,),))</f>
        <v/>
      </c>
      <c r="C48" s="24">
        <f>Table1346811121415161718192022[[#This Row],[PMI]]-B47</f>
        <v/>
      </c>
    </row>
    <row r="49">
      <c r="A49" s="10" t="n">
        <v>40787</v>
      </c>
      <c r="B49" s="18">
        <f>IF(VLOOKUP(A49,'DB Country PMI'!$A:$AZ,MATCH($A$1,'DB Country PMI'!$A$1:$AZ$1,),)=0,#N/A,VLOOKUP(A49,'DB Country PMI'!$A:$AZ,MATCH($A$1,'DB Country PMI'!$A$1:$AZ$1,),))</f>
        <v/>
      </c>
      <c r="C49" s="24">
        <f>Table1346811121415161718192022[[#This Row],[PMI]]-B48</f>
        <v/>
      </c>
    </row>
    <row r="50">
      <c r="A50" s="10" t="n">
        <v>40817</v>
      </c>
      <c r="B50" s="18">
        <f>IF(VLOOKUP(A50,'DB Country PMI'!$A:$AZ,MATCH($A$1,'DB Country PMI'!$A$1:$AZ$1,),)=0,#N/A,VLOOKUP(A50,'DB Country PMI'!$A:$AZ,MATCH($A$1,'DB Country PMI'!$A$1:$AZ$1,),))</f>
        <v/>
      </c>
      <c r="C50" s="24">
        <f>Table1346811121415161718192022[[#This Row],[PMI]]-B49</f>
        <v/>
      </c>
    </row>
    <row r="51">
      <c r="A51" s="10" t="n">
        <v>40848</v>
      </c>
      <c r="B51" s="18">
        <f>IF(VLOOKUP(A51,'DB Country PMI'!$A:$AZ,MATCH($A$1,'DB Country PMI'!$A$1:$AZ$1,),)=0,#N/A,VLOOKUP(A51,'DB Country PMI'!$A:$AZ,MATCH($A$1,'DB Country PMI'!$A$1:$AZ$1,),))</f>
        <v/>
      </c>
      <c r="C51" s="24">
        <f>Table1346811121415161718192022[[#This Row],[PMI]]-B50</f>
        <v/>
      </c>
    </row>
    <row r="52">
      <c r="A52" s="10" t="n">
        <v>40878</v>
      </c>
      <c r="B52" s="18">
        <f>IF(VLOOKUP(A52,'DB Country PMI'!$A:$AZ,MATCH($A$1,'DB Country PMI'!$A$1:$AZ$1,),)=0,#N/A,VLOOKUP(A52,'DB Country PMI'!$A:$AZ,MATCH($A$1,'DB Country PMI'!$A$1:$AZ$1,),))</f>
        <v/>
      </c>
      <c r="C52" s="24">
        <f>Table1346811121415161718192022[[#This Row],[PMI]]-B51</f>
        <v/>
      </c>
    </row>
    <row r="53">
      <c r="A53" s="10" t="n">
        <v>40909</v>
      </c>
      <c r="B53" s="18">
        <f>IF(VLOOKUP(A53,'DB Country PMI'!$A:$AZ,MATCH($A$1,'DB Country PMI'!$A$1:$AZ$1,),)=0,#N/A,VLOOKUP(A53,'DB Country PMI'!$A:$AZ,MATCH($A$1,'DB Country PMI'!$A$1:$AZ$1,),))</f>
        <v/>
      </c>
      <c r="C53" s="24">
        <f>Table1346811121415161718192022[[#This Row],[PMI]]-B52</f>
        <v/>
      </c>
    </row>
    <row r="54">
      <c r="A54" s="10" t="n">
        <v>40940</v>
      </c>
      <c r="B54" s="18">
        <f>IF(VLOOKUP(A54,'DB Country PMI'!$A:$AZ,MATCH($A$1,'DB Country PMI'!$A$1:$AZ$1,),)=0,#N/A,VLOOKUP(A54,'DB Country PMI'!$A:$AZ,MATCH($A$1,'DB Country PMI'!$A$1:$AZ$1,),))</f>
        <v/>
      </c>
      <c r="C54" s="24">
        <f>Table1346811121415161718192022[[#This Row],[PMI]]-B53</f>
        <v/>
      </c>
    </row>
    <row r="55">
      <c r="A55" s="10" t="n">
        <v>40969</v>
      </c>
      <c r="B55" s="18">
        <f>IF(VLOOKUP(A55,'DB Country PMI'!$A:$AZ,MATCH($A$1,'DB Country PMI'!$A$1:$AZ$1,),)=0,#N/A,VLOOKUP(A55,'DB Country PMI'!$A:$AZ,MATCH($A$1,'DB Country PMI'!$A$1:$AZ$1,),))</f>
        <v/>
      </c>
      <c r="C55" s="24">
        <f>Table1346811121415161718192022[[#This Row],[PMI]]-B54</f>
        <v/>
      </c>
    </row>
    <row r="56">
      <c r="A56" s="10" t="n">
        <v>41000</v>
      </c>
      <c r="B56" s="18">
        <f>IF(VLOOKUP(A56,'DB Country PMI'!$A:$AZ,MATCH($A$1,'DB Country PMI'!$A$1:$AZ$1,),)=0,#N/A,VLOOKUP(A56,'DB Country PMI'!$A:$AZ,MATCH($A$1,'DB Country PMI'!$A$1:$AZ$1,),))</f>
        <v/>
      </c>
      <c r="C56" s="24">
        <f>Table1346811121415161718192022[[#This Row],[PMI]]-B55</f>
        <v/>
      </c>
    </row>
    <row r="57">
      <c r="A57" s="10" t="n">
        <v>41030</v>
      </c>
      <c r="B57" s="18">
        <f>IF(VLOOKUP(A57,'DB Country PMI'!$A:$AZ,MATCH($A$1,'DB Country PMI'!$A$1:$AZ$1,),)=0,#N/A,VLOOKUP(A57,'DB Country PMI'!$A:$AZ,MATCH($A$1,'DB Country PMI'!$A$1:$AZ$1,),))</f>
        <v/>
      </c>
      <c r="C57" s="24">
        <f>Table1346811121415161718192022[[#This Row],[PMI]]-B56</f>
        <v/>
      </c>
    </row>
    <row r="58">
      <c r="A58" s="10" t="n">
        <v>41061</v>
      </c>
      <c r="B58" s="18">
        <f>IF(VLOOKUP(A58,'DB Country PMI'!$A:$AZ,MATCH($A$1,'DB Country PMI'!$A$1:$AZ$1,),)=0,#N/A,VLOOKUP(A58,'DB Country PMI'!$A:$AZ,MATCH($A$1,'DB Country PMI'!$A$1:$AZ$1,),))</f>
        <v/>
      </c>
      <c r="C58" s="24">
        <f>Table1346811121415161718192022[[#This Row],[PMI]]-B57</f>
        <v/>
      </c>
    </row>
    <row r="59">
      <c r="A59" s="10" t="n">
        <v>41091</v>
      </c>
      <c r="B59" s="18">
        <f>IF(VLOOKUP(A59,'DB Country PMI'!$A:$AZ,MATCH($A$1,'DB Country PMI'!$A$1:$AZ$1,),)=0,#N/A,VLOOKUP(A59,'DB Country PMI'!$A:$AZ,MATCH($A$1,'DB Country PMI'!$A$1:$AZ$1,),))</f>
        <v/>
      </c>
      <c r="C59" s="24">
        <f>Table1346811121415161718192022[[#This Row],[PMI]]-B58</f>
        <v/>
      </c>
    </row>
    <row r="60">
      <c r="A60" s="10" t="n">
        <v>41122</v>
      </c>
      <c r="B60" s="18">
        <f>IF(VLOOKUP(A60,'DB Country PMI'!$A:$AZ,MATCH($A$1,'DB Country PMI'!$A$1:$AZ$1,),)=0,#N/A,VLOOKUP(A60,'DB Country PMI'!$A:$AZ,MATCH($A$1,'DB Country PMI'!$A$1:$AZ$1,),))</f>
        <v/>
      </c>
      <c r="C60" s="24">
        <f>Table1346811121415161718192022[[#This Row],[PMI]]-B59</f>
        <v/>
      </c>
    </row>
    <row r="61">
      <c r="A61" s="10" t="n">
        <v>41153</v>
      </c>
      <c r="B61" s="18">
        <f>IF(VLOOKUP(A61,'DB Country PMI'!$A:$AZ,MATCH($A$1,'DB Country PMI'!$A$1:$AZ$1,),)=0,#N/A,VLOOKUP(A61,'DB Country PMI'!$A:$AZ,MATCH($A$1,'DB Country PMI'!$A$1:$AZ$1,),))</f>
        <v/>
      </c>
      <c r="C61" s="24">
        <f>Table1346811121415161718192022[[#This Row],[PMI]]-B60</f>
        <v/>
      </c>
    </row>
    <row r="62">
      <c r="A62" s="10" t="n">
        <v>41183</v>
      </c>
      <c r="B62" s="18">
        <f>IF(VLOOKUP(A62,'DB Country PMI'!$A:$AZ,MATCH($A$1,'DB Country PMI'!$A$1:$AZ$1,),)=0,#N/A,VLOOKUP(A62,'DB Country PMI'!$A:$AZ,MATCH($A$1,'DB Country PMI'!$A$1:$AZ$1,),))</f>
        <v/>
      </c>
      <c r="C62" s="24">
        <f>Table1346811121415161718192022[[#This Row],[PMI]]-B61</f>
        <v/>
      </c>
    </row>
    <row r="63">
      <c r="A63" s="10" t="n">
        <v>41214</v>
      </c>
      <c r="B63" s="18">
        <f>IF(VLOOKUP(A63,'DB Country PMI'!$A:$AZ,MATCH($A$1,'DB Country PMI'!$A$1:$AZ$1,),)=0,#N/A,VLOOKUP(A63,'DB Country PMI'!$A:$AZ,MATCH($A$1,'DB Country PMI'!$A$1:$AZ$1,),))</f>
        <v/>
      </c>
      <c r="C63" s="24">
        <f>Table1346811121415161718192022[[#This Row],[PMI]]-B62</f>
        <v/>
      </c>
    </row>
    <row r="64">
      <c r="A64" s="10" t="n">
        <v>41244</v>
      </c>
      <c r="B64" s="18">
        <f>IF(VLOOKUP(A64,'DB Country PMI'!$A:$AZ,MATCH($A$1,'DB Country PMI'!$A$1:$AZ$1,),)=0,#N/A,VLOOKUP(A64,'DB Country PMI'!$A:$AZ,MATCH($A$1,'DB Country PMI'!$A$1:$AZ$1,),))</f>
        <v/>
      </c>
      <c r="C64" s="24">
        <f>Table1346811121415161718192022[[#This Row],[PMI]]-B63</f>
        <v/>
      </c>
    </row>
    <row r="65">
      <c r="A65" s="10" t="n">
        <v>41275</v>
      </c>
      <c r="B65" s="18">
        <f>IF(VLOOKUP(A65,'DB Country PMI'!$A:$AZ,MATCH($A$1,'DB Country PMI'!$A$1:$AZ$1,),)=0,#N/A,VLOOKUP(A65,'DB Country PMI'!$A:$AZ,MATCH($A$1,'DB Country PMI'!$A$1:$AZ$1,),))</f>
        <v/>
      </c>
      <c r="C65" s="24">
        <f>Table1346811121415161718192022[[#This Row],[PMI]]-B64</f>
        <v/>
      </c>
    </row>
    <row r="66">
      <c r="A66" s="10" t="n">
        <v>41306</v>
      </c>
      <c r="B66" s="18">
        <f>IF(VLOOKUP(A66,'DB Country PMI'!$A:$AZ,MATCH($A$1,'DB Country PMI'!$A$1:$AZ$1,),)=0,#N/A,VLOOKUP(A66,'DB Country PMI'!$A:$AZ,MATCH($A$1,'DB Country PMI'!$A$1:$AZ$1,),))</f>
        <v/>
      </c>
      <c r="C66" s="24">
        <f>Table1346811121415161718192022[[#This Row],[PMI]]-B65</f>
        <v/>
      </c>
    </row>
    <row r="67">
      <c r="A67" s="10" t="n">
        <v>41334</v>
      </c>
      <c r="B67" s="18">
        <f>IF(VLOOKUP(A67,'DB Country PMI'!$A:$AZ,MATCH($A$1,'DB Country PMI'!$A$1:$AZ$1,),)=0,#N/A,VLOOKUP(A67,'DB Country PMI'!$A:$AZ,MATCH($A$1,'DB Country PMI'!$A$1:$AZ$1,),))</f>
        <v/>
      </c>
      <c r="C67" s="24">
        <f>Table1346811121415161718192022[[#This Row],[PMI]]-B66</f>
        <v/>
      </c>
    </row>
    <row r="68">
      <c r="A68" s="10" t="n">
        <v>41365</v>
      </c>
      <c r="B68" s="18">
        <f>IF(VLOOKUP(A68,'DB Country PMI'!$A:$AZ,MATCH($A$1,'DB Country PMI'!$A$1:$AZ$1,),)=0,#N/A,VLOOKUP(A68,'DB Country PMI'!$A:$AZ,MATCH($A$1,'DB Country PMI'!$A$1:$AZ$1,),))</f>
        <v/>
      </c>
      <c r="C68" s="24">
        <f>Table1346811121415161718192022[[#This Row],[PMI]]-B67</f>
        <v/>
      </c>
    </row>
    <row r="69">
      <c r="A69" s="10" t="n">
        <v>41395</v>
      </c>
      <c r="B69" s="18">
        <f>IF(VLOOKUP(A69,'DB Country PMI'!$A:$AZ,MATCH($A$1,'DB Country PMI'!$A$1:$AZ$1,),)=0,#N/A,VLOOKUP(A69,'DB Country PMI'!$A:$AZ,MATCH($A$1,'DB Country PMI'!$A$1:$AZ$1,),))</f>
        <v/>
      </c>
      <c r="C69" s="24">
        <f>Table1346811121415161718192022[[#This Row],[PMI]]-B68</f>
        <v/>
      </c>
    </row>
    <row r="70">
      <c r="A70" s="10" t="n">
        <v>41426</v>
      </c>
      <c r="B70" s="18">
        <f>IF(VLOOKUP(A70,'DB Country PMI'!$A:$AZ,MATCH($A$1,'DB Country PMI'!$A$1:$AZ$1,),)=0,#N/A,VLOOKUP(A70,'DB Country PMI'!$A:$AZ,MATCH($A$1,'DB Country PMI'!$A$1:$AZ$1,),))</f>
        <v/>
      </c>
      <c r="C70" s="24">
        <f>Table1346811121415161718192022[[#This Row],[PMI]]-B69</f>
        <v/>
      </c>
    </row>
    <row r="71">
      <c r="A71" s="10" t="n">
        <v>41456</v>
      </c>
      <c r="B71" s="18">
        <f>IF(VLOOKUP(A71,'DB Country PMI'!$A:$AZ,MATCH($A$1,'DB Country PMI'!$A$1:$AZ$1,),)=0,#N/A,VLOOKUP(A71,'DB Country PMI'!$A:$AZ,MATCH($A$1,'DB Country PMI'!$A$1:$AZ$1,),))</f>
        <v/>
      </c>
      <c r="C71" s="24">
        <f>Table1346811121415161718192022[[#This Row],[PMI]]-B70</f>
        <v/>
      </c>
    </row>
    <row r="72">
      <c r="A72" s="10" t="n">
        <v>41487</v>
      </c>
      <c r="B72" s="18">
        <f>IF(VLOOKUP(A72,'DB Country PMI'!$A:$AZ,MATCH($A$1,'DB Country PMI'!$A$1:$AZ$1,),)=0,#N/A,VLOOKUP(A72,'DB Country PMI'!$A:$AZ,MATCH($A$1,'DB Country PMI'!$A$1:$AZ$1,),))</f>
        <v/>
      </c>
      <c r="C72" s="24">
        <f>Table1346811121415161718192022[[#This Row],[PMI]]-B71</f>
        <v/>
      </c>
    </row>
    <row r="73">
      <c r="A73" s="10" t="n">
        <v>41518</v>
      </c>
      <c r="B73" s="18">
        <f>IF(VLOOKUP(A73,'DB Country PMI'!$A:$AZ,MATCH($A$1,'DB Country PMI'!$A$1:$AZ$1,),)=0,#N/A,VLOOKUP(A73,'DB Country PMI'!$A:$AZ,MATCH($A$1,'DB Country PMI'!$A$1:$AZ$1,),))</f>
        <v/>
      </c>
      <c r="C73" s="24">
        <f>Table1346811121415161718192022[[#This Row],[PMI]]-B72</f>
        <v/>
      </c>
    </row>
    <row r="74">
      <c r="A74" s="10" t="n">
        <v>41548</v>
      </c>
      <c r="B74" s="18">
        <f>IF(VLOOKUP(A74,'DB Country PMI'!$A:$AZ,MATCH($A$1,'DB Country PMI'!$A$1:$AZ$1,),)=0,#N/A,VLOOKUP(A74,'DB Country PMI'!$A:$AZ,MATCH($A$1,'DB Country PMI'!$A$1:$AZ$1,),))</f>
        <v/>
      </c>
      <c r="C74" s="24">
        <f>Table1346811121415161718192022[[#This Row],[PMI]]-B73</f>
        <v/>
      </c>
    </row>
    <row r="75">
      <c r="A75" s="10" t="n">
        <v>41579</v>
      </c>
      <c r="B75" s="18">
        <f>IF(VLOOKUP(A75,'DB Country PMI'!$A:$AZ,MATCH($A$1,'DB Country PMI'!$A$1:$AZ$1,),)=0,#N/A,VLOOKUP(A75,'DB Country PMI'!$A:$AZ,MATCH($A$1,'DB Country PMI'!$A$1:$AZ$1,),))</f>
        <v/>
      </c>
      <c r="C75" s="24">
        <f>Table1346811121415161718192022[[#This Row],[PMI]]-B74</f>
        <v/>
      </c>
    </row>
    <row r="76">
      <c r="A76" s="10" t="n">
        <v>41609</v>
      </c>
      <c r="B76" s="18">
        <f>IF(VLOOKUP(A76,'DB Country PMI'!$A:$AZ,MATCH($A$1,'DB Country PMI'!$A$1:$AZ$1,),)=0,#N/A,VLOOKUP(A76,'DB Country PMI'!$A:$AZ,MATCH($A$1,'DB Country PMI'!$A$1:$AZ$1,),))</f>
        <v/>
      </c>
      <c r="C76" s="24">
        <f>Table1346811121415161718192022[[#This Row],[PMI]]-B75</f>
        <v/>
      </c>
    </row>
    <row r="77">
      <c r="A77" s="10" t="n">
        <v>41640</v>
      </c>
      <c r="B77" s="18">
        <f>IF(VLOOKUP(A77,'DB Country PMI'!$A:$AZ,MATCH($A$1,'DB Country PMI'!$A$1:$AZ$1,),)=0,#N/A,VLOOKUP(A77,'DB Country PMI'!$A:$AZ,MATCH($A$1,'DB Country PMI'!$A$1:$AZ$1,),))</f>
        <v/>
      </c>
      <c r="C77" s="24">
        <f>Table1346811121415161718192022[[#This Row],[PMI]]-B76</f>
        <v/>
      </c>
    </row>
    <row r="78">
      <c r="A78" s="10" t="n">
        <v>41671</v>
      </c>
      <c r="B78" s="18">
        <f>IF(VLOOKUP(A78,'DB Country PMI'!$A:$AZ,MATCH($A$1,'DB Country PMI'!$A$1:$AZ$1,),)=0,#N/A,VLOOKUP(A78,'DB Country PMI'!$A:$AZ,MATCH($A$1,'DB Country PMI'!$A$1:$AZ$1,),))</f>
        <v/>
      </c>
      <c r="C78" s="24">
        <f>Table1346811121415161718192022[[#This Row],[PMI]]-B77</f>
        <v/>
      </c>
    </row>
    <row r="79">
      <c r="A79" s="10" t="n">
        <v>41699</v>
      </c>
      <c r="B79" s="18">
        <f>IF(VLOOKUP(A79,'DB Country PMI'!$A:$AZ,MATCH($A$1,'DB Country PMI'!$A$1:$AZ$1,),)=0,#N/A,VLOOKUP(A79,'DB Country PMI'!$A:$AZ,MATCH($A$1,'DB Country PMI'!$A$1:$AZ$1,),))</f>
        <v/>
      </c>
      <c r="C79" s="24">
        <f>Table1346811121415161718192022[[#This Row],[PMI]]-B78</f>
        <v/>
      </c>
    </row>
    <row r="80">
      <c r="A80" s="10" t="n">
        <v>41730</v>
      </c>
      <c r="B80" s="18">
        <f>IF(VLOOKUP(A80,'DB Country PMI'!$A:$AZ,MATCH($A$1,'DB Country PMI'!$A$1:$AZ$1,),)=0,#N/A,VLOOKUP(A80,'DB Country PMI'!$A:$AZ,MATCH($A$1,'DB Country PMI'!$A$1:$AZ$1,),))</f>
        <v/>
      </c>
      <c r="C80" s="24">
        <f>Table1346811121415161718192022[[#This Row],[PMI]]-B79</f>
        <v/>
      </c>
    </row>
    <row r="81">
      <c r="A81" s="10" t="n">
        <v>41760</v>
      </c>
      <c r="B81" s="18">
        <f>IF(VLOOKUP(A81,'DB Country PMI'!$A:$AZ,MATCH($A$1,'DB Country PMI'!$A$1:$AZ$1,),)=0,#N/A,VLOOKUP(A81,'DB Country PMI'!$A:$AZ,MATCH($A$1,'DB Country PMI'!$A$1:$AZ$1,),))</f>
        <v/>
      </c>
      <c r="C81" s="24">
        <f>Table1346811121415161718192022[[#This Row],[PMI]]-B80</f>
        <v/>
      </c>
    </row>
    <row r="82">
      <c r="A82" s="10" t="n">
        <v>41791</v>
      </c>
      <c r="B82" s="18">
        <f>IF(VLOOKUP(A82,'DB Country PMI'!$A:$AZ,MATCH($A$1,'DB Country PMI'!$A$1:$AZ$1,),)=0,#N/A,VLOOKUP(A82,'DB Country PMI'!$A:$AZ,MATCH($A$1,'DB Country PMI'!$A$1:$AZ$1,),))</f>
        <v/>
      </c>
      <c r="C82" s="24">
        <f>Table1346811121415161718192022[[#This Row],[PMI]]-B81</f>
        <v/>
      </c>
    </row>
    <row r="83">
      <c r="A83" s="10" t="n">
        <v>41821</v>
      </c>
      <c r="B83" s="18">
        <f>IF(VLOOKUP(A83,'DB Country PMI'!$A:$AZ,MATCH($A$1,'DB Country PMI'!$A$1:$AZ$1,),)=0,#N/A,VLOOKUP(A83,'DB Country PMI'!$A:$AZ,MATCH($A$1,'DB Country PMI'!$A$1:$AZ$1,),))</f>
        <v/>
      </c>
      <c r="C83" s="24">
        <f>Table1346811121415161718192022[[#This Row],[PMI]]-B82</f>
        <v/>
      </c>
    </row>
    <row r="84">
      <c r="A84" s="10" t="n">
        <v>41852</v>
      </c>
      <c r="B84" s="18">
        <f>IF(VLOOKUP(A84,'DB Country PMI'!$A:$AZ,MATCH($A$1,'DB Country PMI'!$A$1:$AZ$1,),)=0,#N/A,VLOOKUP(A84,'DB Country PMI'!$A:$AZ,MATCH($A$1,'DB Country PMI'!$A$1:$AZ$1,),))</f>
        <v/>
      </c>
      <c r="C84" s="24">
        <f>Table1346811121415161718192022[[#This Row],[PMI]]-B83</f>
        <v/>
      </c>
    </row>
    <row r="85">
      <c r="A85" s="10" t="n">
        <v>41883</v>
      </c>
      <c r="B85" s="18">
        <f>IF(VLOOKUP(A85,'DB Country PMI'!$A:$AZ,MATCH($A$1,'DB Country PMI'!$A$1:$AZ$1,),)=0,#N/A,VLOOKUP(A85,'DB Country PMI'!$A:$AZ,MATCH($A$1,'DB Country PMI'!$A$1:$AZ$1,),))</f>
        <v/>
      </c>
      <c r="C85" s="24">
        <f>Table1346811121415161718192022[[#This Row],[PMI]]-B84</f>
        <v/>
      </c>
    </row>
    <row r="86">
      <c r="A86" s="10" t="n">
        <v>41913</v>
      </c>
      <c r="B86" s="18">
        <f>IF(VLOOKUP(A86,'DB Country PMI'!$A:$AZ,MATCH($A$1,'DB Country PMI'!$A$1:$AZ$1,),)=0,#N/A,VLOOKUP(A86,'DB Country PMI'!$A:$AZ,MATCH($A$1,'DB Country PMI'!$A$1:$AZ$1,),))</f>
        <v/>
      </c>
      <c r="C86" s="24">
        <f>Table1346811121415161718192022[[#This Row],[PMI]]-B85</f>
        <v/>
      </c>
    </row>
    <row r="87">
      <c r="A87" s="10" t="n">
        <v>41944</v>
      </c>
      <c r="B87" s="18">
        <f>IF(VLOOKUP(A87,'DB Country PMI'!$A:$AZ,MATCH($A$1,'DB Country PMI'!$A$1:$AZ$1,),)=0,#N/A,VLOOKUP(A87,'DB Country PMI'!$A:$AZ,MATCH($A$1,'DB Country PMI'!$A$1:$AZ$1,),))</f>
        <v/>
      </c>
      <c r="C87" s="24">
        <f>Table1346811121415161718192022[[#This Row],[PMI]]-B86</f>
        <v/>
      </c>
    </row>
    <row r="88">
      <c r="A88" s="10" t="n">
        <v>41974</v>
      </c>
      <c r="B88" s="18">
        <f>IF(VLOOKUP(A88,'DB Country PMI'!$A:$AZ,MATCH($A$1,'DB Country PMI'!$A$1:$AZ$1,),)=0,#N/A,VLOOKUP(A88,'DB Country PMI'!$A:$AZ,MATCH($A$1,'DB Country PMI'!$A$1:$AZ$1,),))</f>
        <v/>
      </c>
      <c r="C88" s="24">
        <f>Table1346811121415161718192022[[#This Row],[PMI]]-B87</f>
        <v/>
      </c>
    </row>
    <row r="89">
      <c r="A89" s="10" t="n">
        <v>42005</v>
      </c>
      <c r="B89" s="18">
        <f>IF(VLOOKUP(A89,'DB Country PMI'!$A:$AZ,MATCH($A$1,'DB Country PMI'!$A$1:$AZ$1,),)=0,#N/A,VLOOKUP(A89,'DB Country PMI'!$A:$AZ,MATCH($A$1,'DB Country PMI'!$A$1:$AZ$1,),))</f>
        <v/>
      </c>
      <c r="C89" s="24">
        <f>Table1346811121415161718192022[[#This Row],[PMI]]-B88</f>
        <v/>
      </c>
    </row>
    <row r="90">
      <c r="A90" s="10" t="n">
        <v>42036</v>
      </c>
      <c r="B90" s="18">
        <f>IF(VLOOKUP(A90,'DB Country PMI'!$A:$AZ,MATCH($A$1,'DB Country PMI'!$A$1:$AZ$1,),)=0,#N/A,VLOOKUP(A90,'DB Country PMI'!$A:$AZ,MATCH($A$1,'DB Country PMI'!$A$1:$AZ$1,),))</f>
        <v/>
      </c>
      <c r="C90" s="24">
        <f>Table1346811121415161718192022[[#This Row],[PMI]]-B89</f>
        <v/>
      </c>
    </row>
    <row r="91">
      <c r="A91" s="10" t="n">
        <v>42064</v>
      </c>
      <c r="B91" s="18">
        <f>IF(VLOOKUP(A91,'DB Country PMI'!$A:$AZ,MATCH($A$1,'DB Country PMI'!$A$1:$AZ$1,),)=0,#N/A,VLOOKUP(A91,'DB Country PMI'!$A:$AZ,MATCH($A$1,'DB Country PMI'!$A$1:$AZ$1,),))</f>
        <v/>
      </c>
      <c r="C91" s="24">
        <f>Table1346811121415161718192022[[#This Row],[PMI]]-B90</f>
        <v/>
      </c>
    </row>
    <row r="92">
      <c r="A92" s="10" t="n">
        <v>42095</v>
      </c>
      <c r="B92" s="18">
        <f>IF(VLOOKUP(A92,'DB Country PMI'!$A:$AZ,MATCH($A$1,'DB Country PMI'!$A$1:$AZ$1,),)=0,#N/A,VLOOKUP(A92,'DB Country PMI'!$A:$AZ,MATCH($A$1,'DB Country PMI'!$A$1:$AZ$1,),))</f>
        <v/>
      </c>
      <c r="C92" s="24">
        <f>Table1346811121415161718192022[[#This Row],[PMI]]-B91</f>
        <v/>
      </c>
    </row>
    <row r="93">
      <c r="A93" s="10" t="n">
        <v>42125</v>
      </c>
      <c r="B93" s="18">
        <f>IF(VLOOKUP(A93,'DB Country PMI'!$A:$AZ,MATCH($A$1,'DB Country PMI'!$A$1:$AZ$1,),)=0,#N/A,VLOOKUP(A93,'DB Country PMI'!$A:$AZ,MATCH($A$1,'DB Country PMI'!$A$1:$AZ$1,),))</f>
        <v/>
      </c>
      <c r="C93" s="24">
        <f>Table1346811121415161718192022[[#This Row],[PMI]]-B92</f>
        <v/>
      </c>
    </row>
    <row r="94">
      <c r="A94" s="10" t="n">
        <v>42156</v>
      </c>
      <c r="B94" s="18">
        <f>IF(VLOOKUP(A94,'DB Country PMI'!$A:$AZ,MATCH($A$1,'DB Country PMI'!$A$1:$AZ$1,),)=0,#N/A,VLOOKUP(A94,'DB Country PMI'!$A:$AZ,MATCH($A$1,'DB Country PMI'!$A$1:$AZ$1,),))</f>
        <v/>
      </c>
      <c r="C94" s="24">
        <f>Table1346811121415161718192022[[#This Row],[PMI]]-B93</f>
        <v/>
      </c>
    </row>
    <row r="95">
      <c r="A95" s="10" t="n">
        <v>42186</v>
      </c>
      <c r="B95" s="18">
        <f>IF(VLOOKUP(A95,'DB Country PMI'!$A:$AZ,MATCH($A$1,'DB Country PMI'!$A$1:$AZ$1,),)=0,#N/A,VLOOKUP(A95,'DB Country PMI'!$A:$AZ,MATCH($A$1,'DB Country PMI'!$A$1:$AZ$1,),))</f>
        <v/>
      </c>
      <c r="C95" s="24">
        <f>Table1346811121415161718192022[[#This Row],[PMI]]-B94</f>
        <v/>
      </c>
    </row>
    <row r="96">
      <c r="A96" s="10" t="n">
        <v>42217</v>
      </c>
      <c r="B96" s="18">
        <f>IF(VLOOKUP(A96,'DB Country PMI'!$A:$AZ,MATCH($A$1,'DB Country PMI'!$A$1:$AZ$1,),)=0,#N/A,VLOOKUP(A96,'DB Country PMI'!$A:$AZ,MATCH($A$1,'DB Country PMI'!$A$1:$AZ$1,),))</f>
        <v/>
      </c>
      <c r="C96" s="24">
        <f>Table1346811121415161718192022[[#This Row],[PMI]]-B95</f>
        <v/>
      </c>
    </row>
    <row r="97">
      <c r="A97" s="10" t="n">
        <v>42248</v>
      </c>
      <c r="B97" s="18">
        <f>IF(VLOOKUP(A97,'DB Country PMI'!$A:$AZ,MATCH($A$1,'DB Country PMI'!$A$1:$AZ$1,),)=0,#N/A,VLOOKUP(A97,'DB Country PMI'!$A:$AZ,MATCH($A$1,'DB Country PMI'!$A$1:$AZ$1,),))</f>
        <v/>
      </c>
      <c r="C97" s="24">
        <f>Table1346811121415161718192022[[#This Row],[PMI]]-B96</f>
        <v/>
      </c>
    </row>
    <row r="98">
      <c r="A98" s="10" t="n">
        <v>42278</v>
      </c>
      <c r="B98" s="18">
        <f>IF(VLOOKUP(A98,'DB Country PMI'!$A:$AZ,MATCH($A$1,'DB Country PMI'!$A$1:$AZ$1,),)=0,#N/A,VLOOKUP(A98,'DB Country PMI'!$A:$AZ,MATCH($A$1,'DB Country PMI'!$A$1:$AZ$1,),))</f>
        <v/>
      </c>
      <c r="C98" s="24">
        <f>Table1346811121415161718192022[[#This Row],[PMI]]-B97</f>
        <v/>
      </c>
    </row>
    <row r="99">
      <c r="A99" s="10" t="n">
        <v>42309</v>
      </c>
      <c r="B99" s="18">
        <f>IF(VLOOKUP(A99,'DB Country PMI'!$A:$AZ,MATCH($A$1,'DB Country PMI'!$A$1:$AZ$1,),)=0,#N/A,VLOOKUP(A99,'DB Country PMI'!$A:$AZ,MATCH($A$1,'DB Country PMI'!$A$1:$AZ$1,),))</f>
        <v/>
      </c>
      <c r="C99" s="24">
        <f>Table1346811121415161718192022[[#This Row],[PMI]]-B98</f>
        <v/>
      </c>
    </row>
    <row r="100">
      <c r="A100" s="10" t="n">
        <v>42339</v>
      </c>
      <c r="B100" s="18">
        <f>IF(VLOOKUP(A100,'DB Country PMI'!$A:$AZ,MATCH($A$1,'DB Country PMI'!$A$1:$AZ$1,),)=0,#N/A,VLOOKUP(A100,'DB Country PMI'!$A:$AZ,MATCH($A$1,'DB Country PMI'!$A$1:$AZ$1,),))</f>
        <v/>
      </c>
      <c r="C100" s="24">
        <f>Table1346811121415161718192022[[#This Row],[PMI]]-B99</f>
        <v/>
      </c>
    </row>
    <row r="101">
      <c r="A101" s="10" t="n">
        <v>42370</v>
      </c>
      <c r="B101" s="18">
        <f>IF(VLOOKUP(A101,'DB Country PMI'!$A:$AZ,MATCH($A$1,'DB Country PMI'!$A$1:$AZ$1,),)=0,#N/A,VLOOKUP(A101,'DB Country PMI'!$A:$AZ,MATCH($A$1,'DB Country PMI'!$A$1:$AZ$1,),))</f>
        <v/>
      </c>
      <c r="C101" s="24">
        <f>Table1346811121415161718192022[[#This Row],[PMI]]-B100</f>
        <v/>
      </c>
    </row>
    <row r="102">
      <c r="A102" s="10" t="n">
        <v>42401</v>
      </c>
      <c r="B102" s="18">
        <f>IF(VLOOKUP(A102,'DB Country PMI'!$A:$AZ,MATCH($A$1,'DB Country PMI'!$A$1:$AZ$1,),)=0,#N/A,VLOOKUP(A102,'DB Country PMI'!$A:$AZ,MATCH($A$1,'DB Country PMI'!$A$1:$AZ$1,),))</f>
        <v/>
      </c>
      <c r="C102" s="24">
        <f>Table1346811121415161718192022[[#This Row],[PMI]]-B101</f>
        <v/>
      </c>
    </row>
    <row r="103">
      <c r="A103" s="10" t="n">
        <v>42430</v>
      </c>
      <c r="B103" s="18">
        <f>IF(VLOOKUP(A103,'DB Country PMI'!$A:$AZ,MATCH($A$1,'DB Country PMI'!$A$1:$AZ$1,),)=0,#N/A,VLOOKUP(A103,'DB Country PMI'!$A:$AZ,MATCH($A$1,'DB Country PMI'!$A$1:$AZ$1,),))</f>
        <v/>
      </c>
      <c r="C103" s="24">
        <f>Table1346811121415161718192022[[#This Row],[PMI]]-B102</f>
        <v/>
      </c>
    </row>
    <row r="104">
      <c r="A104" s="10" t="n">
        <v>42461</v>
      </c>
      <c r="B104" s="18">
        <f>IF(VLOOKUP(A104,'DB Country PMI'!$A:$AZ,MATCH($A$1,'DB Country PMI'!$A$1:$AZ$1,),)=0,#N/A,VLOOKUP(A104,'DB Country PMI'!$A:$AZ,MATCH($A$1,'DB Country PMI'!$A$1:$AZ$1,),))</f>
        <v/>
      </c>
      <c r="C104" s="24">
        <f>Table1346811121415161718192022[[#This Row],[PMI]]-B103</f>
        <v/>
      </c>
    </row>
    <row r="105">
      <c r="A105" s="10" t="n">
        <v>42491</v>
      </c>
      <c r="B105" s="18">
        <f>IF(VLOOKUP(A105,'DB Country PMI'!$A:$AZ,MATCH($A$1,'DB Country PMI'!$A$1:$AZ$1,),)=0,#N/A,VLOOKUP(A105,'DB Country PMI'!$A:$AZ,MATCH($A$1,'DB Country PMI'!$A$1:$AZ$1,),))</f>
        <v/>
      </c>
      <c r="C105" s="24">
        <f>Table1346811121415161718192022[[#This Row],[PMI]]-B104</f>
        <v/>
      </c>
    </row>
    <row r="106">
      <c r="A106" s="10" t="n">
        <v>42522</v>
      </c>
      <c r="B106" s="18">
        <f>IF(VLOOKUP(A106,'DB Country PMI'!$A:$AZ,MATCH($A$1,'DB Country PMI'!$A$1:$AZ$1,),)=0,#N/A,VLOOKUP(A106,'DB Country PMI'!$A:$AZ,MATCH($A$1,'DB Country PMI'!$A$1:$AZ$1,),))</f>
        <v/>
      </c>
      <c r="C106" s="24">
        <f>Table1346811121415161718192022[[#This Row],[PMI]]-B105</f>
        <v/>
      </c>
    </row>
    <row r="107">
      <c r="A107" s="10" t="n">
        <v>42552</v>
      </c>
      <c r="B107" s="18">
        <f>IF(VLOOKUP(A107,'DB Country PMI'!$A:$AZ,MATCH($A$1,'DB Country PMI'!$A$1:$AZ$1,),)=0,#N/A,VLOOKUP(A107,'DB Country PMI'!$A:$AZ,MATCH($A$1,'DB Country PMI'!$A$1:$AZ$1,),))</f>
        <v/>
      </c>
      <c r="C107" s="24">
        <f>Table1346811121415161718192022[[#This Row],[PMI]]-B106</f>
        <v/>
      </c>
    </row>
    <row r="108">
      <c r="A108" s="10" t="n">
        <v>42583</v>
      </c>
      <c r="B108" s="18">
        <f>IF(VLOOKUP(A108,'DB Country PMI'!$A:$AZ,MATCH($A$1,'DB Country PMI'!$A$1:$AZ$1,),)=0,#N/A,VLOOKUP(A108,'DB Country PMI'!$A:$AZ,MATCH($A$1,'DB Country PMI'!$A$1:$AZ$1,),))</f>
        <v/>
      </c>
      <c r="C108" s="24">
        <f>Table1346811121415161718192022[[#This Row],[PMI]]-B107</f>
        <v/>
      </c>
    </row>
    <row r="109">
      <c r="A109" s="10" t="n">
        <v>42614</v>
      </c>
      <c r="B109" s="18">
        <f>IF(VLOOKUP(A109,'DB Country PMI'!$A:$AZ,MATCH($A$1,'DB Country PMI'!$A$1:$AZ$1,),)=0,#N/A,VLOOKUP(A109,'DB Country PMI'!$A:$AZ,MATCH($A$1,'DB Country PMI'!$A$1:$AZ$1,),))</f>
        <v/>
      </c>
      <c r="C109" s="24">
        <f>Table1346811121415161718192022[[#This Row],[PMI]]-B108</f>
        <v/>
      </c>
    </row>
    <row r="110">
      <c r="A110" s="10" t="n">
        <v>42644</v>
      </c>
      <c r="B110" s="18">
        <f>IF(VLOOKUP(A110,'DB Country PMI'!$A:$AZ,MATCH($A$1,'DB Country PMI'!$A$1:$AZ$1,),)=0,#N/A,VLOOKUP(A110,'DB Country PMI'!$A:$AZ,MATCH($A$1,'DB Country PMI'!$A$1:$AZ$1,),))</f>
        <v/>
      </c>
      <c r="C110" s="24">
        <f>Table1346811121415161718192022[[#This Row],[PMI]]-B109</f>
        <v/>
      </c>
    </row>
    <row r="111">
      <c r="A111" s="10" t="n">
        <v>42675</v>
      </c>
      <c r="B111" s="18">
        <f>IF(VLOOKUP(A111,'DB Country PMI'!$A:$AZ,MATCH($A$1,'DB Country PMI'!$A$1:$AZ$1,),)=0,#N/A,VLOOKUP(A111,'DB Country PMI'!$A:$AZ,MATCH($A$1,'DB Country PMI'!$A$1:$AZ$1,),))</f>
        <v/>
      </c>
      <c r="C111" s="24">
        <f>Table1346811121415161718192022[[#This Row],[PMI]]-B110</f>
        <v/>
      </c>
    </row>
    <row r="112">
      <c r="A112" s="10" t="n">
        <v>42705</v>
      </c>
      <c r="B112" s="18">
        <f>IF(VLOOKUP(A112,'DB Country PMI'!$A:$AZ,MATCH($A$1,'DB Country PMI'!$A$1:$AZ$1,),)=0,#N/A,VLOOKUP(A112,'DB Country PMI'!$A:$AZ,MATCH($A$1,'DB Country PMI'!$A$1:$AZ$1,),))</f>
        <v/>
      </c>
      <c r="C112" s="24">
        <f>Table1346811121415161718192022[[#This Row],[PMI]]-B111</f>
        <v/>
      </c>
    </row>
    <row r="113">
      <c r="A113" s="10" t="n">
        <v>42736</v>
      </c>
      <c r="B113" s="18">
        <f>IF(VLOOKUP(A113,'DB Country PMI'!$A:$AZ,MATCH($A$1,'DB Country PMI'!$A$1:$AZ$1,),)=0,#N/A,VLOOKUP(A113,'DB Country PMI'!$A:$AZ,MATCH($A$1,'DB Country PMI'!$A$1:$AZ$1,),))</f>
        <v/>
      </c>
      <c r="C113" s="24">
        <f>Table1346811121415161718192022[[#This Row],[PMI]]-B112</f>
        <v/>
      </c>
    </row>
    <row r="114">
      <c r="A114" s="10" t="n">
        <v>42767</v>
      </c>
      <c r="B114" s="18">
        <f>IF(VLOOKUP(A114,'DB Country PMI'!$A:$AZ,MATCH($A$1,'DB Country PMI'!$A$1:$AZ$1,),)=0,#N/A,VLOOKUP(A114,'DB Country PMI'!$A:$AZ,MATCH($A$1,'DB Country PMI'!$A$1:$AZ$1,),))</f>
        <v/>
      </c>
      <c r="C114" s="24">
        <f>Table1346811121415161718192022[[#This Row],[PMI]]-B113</f>
        <v/>
      </c>
    </row>
    <row r="115">
      <c r="A115" s="10" t="n">
        <v>42795</v>
      </c>
      <c r="B115" s="18">
        <f>IF(VLOOKUP(A115,'DB Country PMI'!$A:$AZ,MATCH($A$1,'DB Country PMI'!$A$1:$AZ$1,),)=0,#N/A,VLOOKUP(A115,'DB Country PMI'!$A:$AZ,MATCH($A$1,'DB Country PMI'!$A$1:$AZ$1,),))</f>
        <v/>
      </c>
      <c r="C115" s="24">
        <f>Table1346811121415161718192022[[#This Row],[PMI]]-B114</f>
        <v/>
      </c>
    </row>
    <row r="116">
      <c r="A116" s="10" t="n">
        <v>42826</v>
      </c>
      <c r="B116" s="18">
        <f>IF(VLOOKUP(A116,'DB Country PMI'!$A:$AZ,MATCH($A$1,'DB Country PMI'!$A$1:$AZ$1,),)=0,#N/A,VLOOKUP(A116,'DB Country PMI'!$A:$AZ,MATCH($A$1,'DB Country PMI'!$A$1:$AZ$1,),))</f>
        <v/>
      </c>
      <c r="C116" s="24">
        <f>Table1346811121415161718192022[[#This Row],[PMI]]-B115</f>
        <v/>
      </c>
    </row>
    <row r="117">
      <c r="A117" s="10" t="n">
        <v>42856</v>
      </c>
      <c r="B117" s="18">
        <f>IF(VLOOKUP(A117,'DB Country PMI'!$A:$AZ,MATCH($A$1,'DB Country PMI'!$A$1:$AZ$1,),)=0,#N/A,VLOOKUP(A117,'DB Country PMI'!$A:$AZ,MATCH($A$1,'DB Country PMI'!$A$1:$AZ$1,),))</f>
        <v/>
      </c>
      <c r="C117" s="24">
        <f>Table1346811121415161718192022[[#This Row],[PMI]]-B116</f>
        <v/>
      </c>
    </row>
    <row r="118">
      <c r="A118" s="10" t="n">
        <v>42887</v>
      </c>
      <c r="B118" s="18">
        <f>IF(VLOOKUP(A118,'DB Country PMI'!$A:$AZ,MATCH($A$1,'DB Country PMI'!$A$1:$AZ$1,),)=0,#N/A,VLOOKUP(A118,'DB Country PMI'!$A:$AZ,MATCH($A$1,'DB Country PMI'!$A$1:$AZ$1,),))</f>
        <v/>
      </c>
      <c r="C118" s="24">
        <f>Table1346811121415161718192022[[#This Row],[PMI]]-B117</f>
        <v/>
      </c>
    </row>
    <row r="119">
      <c r="A119" s="10" t="n">
        <v>42917</v>
      </c>
      <c r="B119" s="18">
        <f>IF(VLOOKUP(A119,'DB Country PMI'!$A:$AZ,MATCH($A$1,'DB Country PMI'!$A$1:$AZ$1,),)=0,#N/A,VLOOKUP(A119,'DB Country PMI'!$A:$AZ,MATCH($A$1,'DB Country PMI'!$A$1:$AZ$1,),))</f>
        <v/>
      </c>
      <c r="C119" s="24">
        <f>Table1346811121415161718192022[[#This Row],[PMI]]-B118</f>
        <v/>
      </c>
    </row>
    <row r="120">
      <c r="A120" s="10" t="n">
        <v>42948</v>
      </c>
      <c r="B120" s="18">
        <f>IF(VLOOKUP(A120,'DB Country PMI'!$A:$AZ,MATCH($A$1,'DB Country PMI'!$A$1:$AZ$1,),)=0,#N/A,VLOOKUP(A120,'DB Country PMI'!$A:$AZ,MATCH($A$1,'DB Country PMI'!$A$1:$AZ$1,),))</f>
        <v/>
      </c>
      <c r="C120" s="24">
        <f>Table1346811121415161718192022[[#This Row],[PMI]]-B119</f>
        <v/>
      </c>
    </row>
    <row r="121">
      <c r="A121" s="10" t="n">
        <v>42979</v>
      </c>
      <c r="B121" s="18">
        <f>IF(VLOOKUP(A121,'DB Country PMI'!$A:$AZ,MATCH($A$1,'DB Country PMI'!$A$1:$AZ$1,),)=0,#N/A,VLOOKUP(A121,'DB Country PMI'!$A:$AZ,MATCH($A$1,'DB Country PMI'!$A$1:$AZ$1,),))</f>
        <v/>
      </c>
      <c r="C121" s="24">
        <f>Table1346811121415161718192022[[#This Row],[PMI]]-B120</f>
        <v/>
      </c>
    </row>
    <row r="122">
      <c r="A122" s="10" t="n">
        <v>43009</v>
      </c>
      <c r="B122" s="18">
        <f>IF(VLOOKUP(A122,'DB Country PMI'!$A:$AZ,MATCH($A$1,'DB Country PMI'!$A$1:$AZ$1,),)=0,#N/A,VLOOKUP(A122,'DB Country PMI'!$A:$AZ,MATCH($A$1,'DB Country PMI'!$A$1:$AZ$1,),))</f>
        <v/>
      </c>
      <c r="C122" s="24">
        <f>Table1346811121415161718192022[[#This Row],[PMI]]-B121</f>
        <v/>
      </c>
    </row>
    <row r="123">
      <c r="A123" s="10" t="n">
        <v>43040</v>
      </c>
      <c r="B123" s="18">
        <f>IF(VLOOKUP(A123,'DB Country PMI'!$A:$AZ,MATCH($A$1,'DB Country PMI'!$A$1:$AZ$1,),)=0,#N/A,VLOOKUP(A123,'DB Country PMI'!$A:$AZ,MATCH($A$1,'DB Country PMI'!$A$1:$AZ$1,),))</f>
        <v/>
      </c>
      <c r="C123" s="24">
        <f>Table1346811121415161718192022[[#This Row],[PMI]]-B122</f>
        <v/>
      </c>
    </row>
    <row r="124">
      <c r="A124" s="10" t="n">
        <v>43070</v>
      </c>
      <c r="B124" s="18">
        <f>IF(VLOOKUP(A124,'DB Country PMI'!$A:$AZ,MATCH($A$1,'DB Country PMI'!$A$1:$AZ$1,),)=0,#N/A,VLOOKUP(A124,'DB Country PMI'!$A:$AZ,MATCH($A$1,'DB Country PMI'!$A$1:$AZ$1,),))</f>
        <v/>
      </c>
      <c r="C124" s="24">
        <f>Table1346811121415161718192022[[#This Row],[PMI]]-B123</f>
        <v/>
      </c>
    </row>
    <row r="125">
      <c r="A125" s="10" t="n">
        <v>43101</v>
      </c>
      <c r="B125" s="18">
        <f>IF(VLOOKUP(A125,'DB Country PMI'!$A:$AZ,MATCH($A$1,'DB Country PMI'!$A$1:$AZ$1,),)=0,#N/A,VLOOKUP(A125,'DB Country PMI'!$A:$AZ,MATCH($A$1,'DB Country PMI'!$A$1:$AZ$1,),))</f>
        <v/>
      </c>
      <c r="C125" s="24">
        <f>Table1346811121415161718192022[[#This Row],[PMI]]-B124</f>
        <v/>
      </c>
    </row>
    <row r="126">
      <c r="A126" s="10" t="n">
        <v>43132</v>
      </c>
      <c r="B126" s="18">
        <f>IF(VLOOKUP(A126,'DB Country PMI'!$A:$AZ,MATCH($A$1,'DB Country PMI'!$A$1:$AZ$1,),)=0,#N/A,VLOOKUP(A126,'DB Country PMI'!$A:$AZ,MATCH($A$1,'DB Country PMI'!$A$1:$AZ$1,),))</f>
        <v/>
      </c>
      <c r="C126" s="24">
        <f>Table1346811121415161718192022[[#This Row],[PMI]]-B125</f>
        <v/>
      </c>
    </row>
    <row r="127">
      <c r="A127" s="10" t="n">
        <v>43160</v>
      </c>
      <c r="B127" s="18">
        <f>IF(VLOOKUP(A127,'DB Country PMI'!$A:$AZ,MATCH($A$1,'DB Country PMI'!$A$1:$AZ$1,),)=0,#N/A,VLOOKUP(A127,'DB Country PMI'!$A:$AZ,MATCH($A$1,'DB Country PMI'!$A$1:$AZ$1,),))</f>
        <v/>
      </c>
      <c r="C127" s="24">
        <f>Table1346811121415161718192022[[#This Row],[PMI]]-B126</f>
        <v/>
      </c>
    </row>
    <row r="128">
      <c r="A128" s="10" t="n">
        <v>43191</v>
      </c>
      <c r="B128" s="18">
        <f>IF(VLOOKUP(A128,'DB Country PMI'!$A:$AZ,MATCH($A$1,'DB Country PMI'!$A$1:$AZ$1,),)=0,#N/A,VLOOKUP(A128,'DB Country PMI'!$A:$AZ,MATCH($A$1,'DB Country PMI'!$A$1:$AZ$1,),))</f>
        <v/>
      </c>
      <c r="C128" s="24">
        <f>Table1346811121415161718192022[[#This Row],[PMI]]-B127</f>
        <v/>
      </c>
    </row>
    <row r="129">
      <c r="A129" s="10" t="n">
        <v>43221</v>
      </c>
      <c r="B129" s="18">
        <f>IF(VLOOKUP(A129,'DB Country PMI'!$A:$AZ,MATCH($A$1,'DB Country PMI'!$A$1:$AZ$1,),)=0,#N/A,VLOOKUP(A129,'DB Country PMI'!$A:$AZ,MATCH($A$1,'DB Country PMI'!$A$1:$AZ$1,),))</f>
        <v/>
      </c>
      <c r="C129" s="24">
        <f>Table1346811121415161718192022[[#This Row],[PMI]]-B128</f>
        <v/>
      </c>
    </row>
    <row r="130">
      <c r="A130" s="10" t="n">
        <v>43252</v>
      </c>
      <c r="B130" s="18">
        <f>IF(VLOOKUP(A130,'DB Country PMI'!$A:$AZ,MATCH($A$1,'DB Country PMI'!$A$1:$AZ$1,),)=0,#N/A,VLOOKUP(A130,'DB Country PMI'!$A:$AZ,MATCH($A$1,'DB Country PMI'!$A$1:$AZ$1,),))</f>
        <v/>
      </c>
      <c r="C130" s="24">
        <f>Table1346811121415161718192022[[#This Row],[PMI]]-B129</f>
        <v/>
      </c>
    </row>
    <row r="131">
      <c r="A131" s="10" t="n">
        <v>43282</v>
      </c>
      <c r="B131" s="18">
        <f>IF(VLOOKUP(A131,'DB Country PMI'!$A:$AZ,MATCH($A$1,'DB Country PMI'!$A$1:$AZ$1,),)=0,#N/A,VLOOKUP(A131,'DB Country PMI'!$A:$AZ,MATCH($A$1,'DB Country PMI'!$A$1:$AZ$1,),))</f>
        <v/>
      </c>
      <c r="C131" s="24">
        <f>Table1346811121415161718192022[[#This Row],[PMI]]-B130</f>
        <v/>
      </c>
    </row>
    <row r="132">
      <c r="A132" s="10" t="n">
        <v>43313</v>
      </c>
      <c r="B132" s="18">
        <f>IF(VLOOKUP(A132,'DB Country PMI'!$A:$AZ,MATCH($A$1,'DB Country PMI'!$A$1:$AZ$1,),)=0,#N/A,VLOOKUP(A132,'DB Country PMI'!$A:$AZ,MATCH($A$1,'DB Country PMI'!$A$1:$AZ$1,),))</f>
        <v/>
      </c>
      <c r="C132" s="24">
        <f>Table1346811121415161718192022[[#This Row],[PMI]]-B131</f>
        <v/>
      </c>
    </row>
    <row r="133">
      <c r="A133" s="10" t="n">
        <v>43344</v>
      </c>
      <c r="B133" s="18">
        <f>IF(VLOOKUP(A133,'DB Country PMI'!$A:$AZ,MATCH($A$1,'DB Country PMI'!$A$1:$AZ$1,),)=0,#N/A,VLOOKUP(A133,'DB Country PMI'!$A:$AZ,MATCH($A$1,'DB Country PMI'!$A$1:$AZ$1,),))</f>
        <v/>
      </c>
      <c r="C133" s="24">
        <f>Table1346811121415161718192022[[#This Row],[PMI]]-B132</f>
        <v/>
      </c>
    </row>
    <row r="134">
      <c r="A134" s="10" t="n">
        <v>43374</v>
      </c>
      <c r="B134" s="18">
        <f>IF(VLOOKUP(A134,'DB Country PMI'!$A:$AZ,MATCH($A$1,'DB Country PMI'!$A$1:$AZ$1,),)=0,#N/A,VLOOKUP(A134,'DB Country PMI'!$A:$AZ,MATCH($A$1,'DB Country PMI'!$A$1:$AZ$1,),))</f>
        <v/>
      </c>
      <c r="C134" s="24">
        <f>Table1346811121415161718192022[[#This Row],[PMI]]-B133</f>
        <v/>
      </c>
    </row>
    <row r="135">
      <c r="A135" s="10" t="n">
        <v>43405</v>
      </c>
      <c r="B135" s="18">
        <f>IF(VLOOKUP(A135,'DB Country PMI'!$A:$AZ,MATCH($A$1,'DB Country PMI'!$A$1:$AZ$1,),)=0,#N/A,VLOOKUP(A135,'DB Country PMI'!$A:$AZ,MATCH($A$1,'DB Country PMI'!$A$1:$AZ$1,),))</f>
        <v/>
      </c>
      <c r="C135" s="24">
        <f>Table1346811121415161718192022[[#This Row],[PMI]]-B134</f>
        <v/>
      </c>
    </row>
    <row r="136">
      <c r="A136" s="10" t="n">
        <v>43435</v>
      </c>
      <c r="B136" s="18">
        <f>IF(VLOOKUP(A136,'DB Country PMI'!$A:$AZ,MATCH($A$1,'DB Country PMI'!$A$1:$AZ$1,),)=0,#N/A,VLOOKUP(A136,'DB Country PMI'!$A:$AZ,MATCH($A$1,'DB Country PMI'!$A$1:$AZ$1,),))</f>
        <v/>
      </c>
      <c r="C136" s="24">
        <f>Table1346811121415161718192022[[#This Row],[PMI]]-B135</f>
        <v/>
      </c>
    </row>
    <row r="137">
      <c r="A137" s="10" t="n">
        <v>43466</v>
      </c>
      <c r="B137" s="18">
        <f>IF(VLOOKUP(A137,'DB Country PMI'!$A:$AZ,MATCH($A$1,'DB Country PMI'!$A$1:$AZ$1,),)=0,#N/A,VLOOKUP(A137,'DB Country PMI'!$A:$AZ,MATCH($A$1,'DB Country PMI'!$A$1:$AZ$1,),))</f>
        <v/>
      </c>
      <c r="C137" s="24">
        <f>Table1346811121415161718192022[[#This Row],[PMI]]-B136</f>
        <v/>
      </c>
    </row>
    <row r="138">
      <c r="A138" s="10" t="n">
        <v>43497</v>
      </c>
      <c r="B138" s="18">
        <f>IF(VLOOKUP(A138,'DB Country PMI'!$A:$AZ,MATCH($A$1,'DB Country PMI'!$A$1:$AZ$1,),)=0,#N/A,VLOOKUP(A138,'DB Country PMI'!$A:$AZ,MATCH($A$1,'DB Country PMI'!$A$1:$AZ$1,),))</f>
        <v/>
      </c>
      <c r="C138" s="24">
        <f>Table1346811121415161718192022[[#This Row],[PMI]]-B137</f>
        <v/>
      </c>
    </row>
    <row r="139">
      <c r="A139" s="10" t="n">
        <v>43525</v>
      </c>
      <c r="B139" s="18">
        <f>IF(VLOOKUP(A139,'DB Country PMI'!$A:$AZ,MATCH($A$1,'DB Country PMI'!$A$1:$AZ$1,),)=0,#N/A,VLOOKUP(A139,'DB Country PMI'!$A:$AZ,MATCH($A$1,'DB Country PMI'!$A$1:$AZ$1,),))</f>
        <v/>
      </c>
      <c r="C139" s="24">
        <f>Table1346811121415161718192022[[#This Row],[PMI]]-B138</f>
        <v/>
      </c>
    </row>
    <row r="140">
      <c r="A140" s="10" t="n">
        <v>43556</v>
      </c>
      <c r="B140" s="18">
        <f>IF(VLOOKUP(A140,'DB Country PMI'!$A:$AZ,MATCH($A$1,'DB Country PMI'!$A$1:$AZ$1,),)=0,#N/A,VLOOKUP(A140,'DB Country PMI'!$A:$AZ,MATCH($A$1,'DB Country PMI'!$A$1:$AZ$1,),))</f>
        <v/>
      </c>
      <c r="C140" s="24">
        <f>Table1346811121415161718192022[[#This Row],[PMI]]-B139</f>
        <v/>
      </c>
    </row>
    <row r="141">
      <c r="A141" s="10" t="n">
        <v>43586</v>
      </c>
      <c r="B141" s="18">
        <f>IF(VLOOKUP(A141,'DB Country PMI'!$A:$AZ,MATCH($A$1,'DB Country PMI'!$A$1:$AZ$1,),)=0,#N/A,VLOOKUP(A141,'DB Country PMI'!$A:$AZ,MATCH($A$1,'DB Country PMI'!$A$1:$AZ$1,),))</f>
        <v/>
      </c>
      <c r="C141" s="24">
        <f>Table1346811121415161718192022[[#This Row],[PMI]]-B140</f>
        <v/>
      </c>
    </row>
    <row r="142">
      <c r="A142" s="10" t="n">
        <v>43617</v>
      </c>
      <c r="B142" s="18">
        <f>IF(VLOOKUP(A142,'DB Country PMI'!$A:$AZ,MATCH($A$1,'DB Country PMI'!$A$1:$AZ$1,),)=0,#N/A,VLOOKUP(A142,'DB Country PMI'!$A:$AZ,MATCH($A$1,'DB Country PMI'!$A$1:$AZ$1,),))</f>
        <v/>
      </c>
      <c r="C142" s="24">
        <f>Table1346811121415161718192022[[#This Row],[PMI]]-B141</f>
        <v/>
      </c>
    </row>
    <row r="143">
      <c r="A143" s="10" t="n">
        <v>43647</v>
      </c>
      <c r="B143" s="18">
        <f>IF(VLOOKUP(A143,'DB Country PMI'!$A:$AZ,MATCH($A$1,'DB Country PMI'!$A$1:$AZ$1,),)=0,#N/A,VLOOKUP(A143,'DB Country PMI'!$A:$AZ,MATCH($A$1,'DB Country PMI'!$A$1:$AZ$1,),))</f>
        <v/>
      </c>
      <c r="C143" s="24">
        <f>Table1346811121415161718192022[[#This Row],[PMI]]-B142</f>
        <v/>
      </c>
    </row>
    <row r="144">
      <c r="A144" s="10" t="n">
        <v>43678</v>
      </c>
      <c r="B144" s="18">
        <f>IF(VLOOKUP(A144,'DB Country PMI'!$A:$AZ,MATCH($A$1,'DB Country PMI'!$A$1:$AZ$1,),)=0,#N/A,VLOOKUP(A144,'DB Country PMI'!$A:$AZ,MATCH($A$1,'DB Country PMI'!$A$1:$AZ$1,),))</f>
        <v/>
      </c>
      <c r="C144" s="24">
        <f>Table1346811121415161718192022[[#This Row],[PMI]]-B143</f>
        <v/>
      </c>
    </row>
    <row r="145">
      <c r="A145" s="10" t="n">
        <v>43709</v>
      </c>
      <c r="B145" s="18">
        <f>IF(VLOOKUP(A145,'DB Country PMI'!$A:$AZ,MATCH($A$1,'DB Country PMI'!$A$1:$AZ$1,),)=0,#N/A,VLOOKUP(A145,'DB Country PMI'!$A:$AZ,MATCH($A$1,'DB Country PMI'!$A$1:$AZ$1,),))</f>
        <v/>
      </c>
      <c r="C145" s="24">
        <f>Table1346811121415161718192022[[#This Row],[PMI]]-B144</f>
        <v/>
      </c>
    </row>
    <row r="146">
      <c r="A146" s="10" t="n">
        <v>43739</v>
      </c>
      <c r="B146" s="18">
        <f>IF(VLOOKUP(A146,'DB Country PMI'!$A:$AZ,MATCH($A$1,'DB Country PMI'!$A$1:$AZ$1,),)=0,#N/A,VLOOKUP(A146,'DB Country PMI'!$A:$AZ,MATCH($A$1,'DB Country PMI'!$A$1:$AZ$1,),))</f>
        <v/>
      </c>
      <c r="C146" s="24">
        <f>Table1346811121415161718192022[[#This Row],[PMI]]-B145</f>
        <v/>
      </c>
    </row>
    <row r="147">
      <c r="A147" s="10" t="n">
        <v>43770</v>
      </c>
      <c r="B147" s="18">
        <f>IF(VLOOKUP(A147,'DB Country PMI'!$A:$AZ,MATCH($A$1,'DB Country PMI'!$A$1:$AZ$1,),)=0,#N/A,VLOOKUP(A147,'DB Country PMI'!$A:$AZ,MATCH($A$1,'DB Country PMI'!$A$1:$AZ$1,),))</f>
        <v/>
      </c>
      <c r="C147" s="24">
        <f>Table1346811121415161718192022[[#This Row],[PMI]]-B146</f>
        <v/>
      </c>
    </row>
    <row r="148">
      <c r="A148" s="10" t="n">
        <v>43800</v>
      </c>
      <c r="B148" s="18">
        <f>IF(VLOOKUP(A148,'DB Country PMI'!$A:$AZ,MATCH($A$1,'DB Country PMI'!$A$1:$AZ$1,),)=0,#N/A,VLOOKUP(A148,'DB Country PMI'!$A:$AZ,MATCH($A$1,'DB Country PMI'!$A$1:$AZ$1,),))</f>
        <v/>
      </c>
      <c r="C148" s="24">
        <f>Table1346811121415161718192022[[#This Row],[PMI]]-B147</f>
        <v/>
      </c>
    </row>
    <row r="149">
      <c r="A149" s="10" t="n">
        <v>43831</v>
      </c>
      <c r="B149" s="18">
        <f>IF(VLOOKUP(A149,'DB Country PMI'!$A:$AZ,MATCH($A$1,'DB Country PMI'!$A$1:$AZ$1,),)=0,#N/A,VLOOKUP(A149,'DB Country PMI'!$A:$AZ,MATCH($A$1,'DB Country PMI'!$A$1:$AZ$1,),))</f>
        <v/>
      </c>
      <c r="C149" s="24">
        <f>Table1346811121415161718192022[[#This Row],[PMI]]-B148</f>
        <v/>
      </c>
    </row>
    <row r="150">
      <c r="A150" s="10" t="n">
        <v>43862</v>
      </c>
      <c r="B150" s="18">
        <f>IF(VLOOKUP(A150,'DB Country PMI'!$A:$AZ,MATCH($A$1,'DB Country PMI'!$A$1:$AZ$1,),)=0,#N/A,VLOOKUP(A150,'DB Country PMI'!$A:$AZ,MATCH($A$1,'DB Country PMI'!$A$1:$AZ$1,),))</f>
        <v/>
      </c>
      <c r="C150" s="24">
        <f>Table1346811121415161718192022[[#This Row],[PMI]]-B149</f>
        <v/>
      </c>
    </row>
    <row r="151">
      <c r="A151" s="10" t="n">
        <v>43891</v>
      </c>
      <c r="B151" s="18">
        <f>IF(VLOOKUP(A151,'DB Country PMI'!$A:$AZ,MATCH($A$1,'DB Country PMI'!$A$1:$AZ$1,),)=0,#N/A,VLOOKUP(A151,'DB Country PMI'!$A:$AZ,MATCH($A$1,'DB Country PMI'!$A$1:$AZ$1,),))</f>
        <v/>
      </c>
      <c r="C151" s="24">
        <f>Table1346811121415161718192022[[#This Row],[PMI]]-B150</f>
        <v/>
      </c>
    </row>
    <row r="152">
      <c r="A152" s="10" t="n">
        <v>43922</v>
      </c>
      <c r="B152" s="18">
        <f>IF(VLOOKUP(A152,'DB Country PMI'!$A:$AZ,MATCH($A$1,'DB Country PMI'!$A$1:$AZ$1,),)=0,#N/A,VLOOKUP(A152,'DB Country PMI'!$A:$AZ,MATCH($A$1,'DB Country PMI'!$A$1:$AZ$1,),))</f>
        <v/>
      </c>
      <c r="C152" s="24">
        <f>Table1346811121415161718192022[[#This Row],[PMI]]-B151</f>
        <v/>
      </c>
    </row>
    <row r="153">
      <c r="A153" s="10" t="n">
        <v>43952</v>
      </c>
      <c r="B153" s="18">
        <f>IF(VLOOKUP(A153,'DB Country PMI'!$A:$AZ,MATCH($A$1,'DB Country PMI'!$A$1:$AZ$1,),)=0,#N/A,VLOOKUP(A153,'DB Country PMI'!$A:$AZ,MATCH($A$1,'DB Country PMI'!$A$1:$AZ$1,),))</f>
        <v/>
      </c>
      <c r="C153" s="24">
        <f>Table1346811121415161718192022[[#This Row],[PMI]]-B152</f>
        <v/>
      </c>
    </row>
    <row r="154">
      <c r="A154" s="10" t="n">
        <v>43983</v>
      </c>
      <c r="B154" s="18">
        <f>IF(VLOOKUP(A154,'DB Country PMI'!$A:$AZ,MATCH($A$1,'DB Country PMI'!$A$1:$AZ$1,),)=0,#N/A,VLOOKUP(A154,'DB Country PMI'!$A:$AZ,MATCH($A$1,'DB Country PMI'!$A$1:$AZ$1,),))</f>
        <v/>
      </c>
      <c r="C154" s="24">
        <f>Table1346811121415161718192022[[#This Row],[PMI]]-B153</f>
        <v/>
      </c>
    </row>
    <row r="155">
      <c r="A155" s="10" t="n">
        <v>44013</v>
      </c>
      <c r="B155" s="18">
        <f>IF(VLOOKUP(A155,'DB Country PMI'!$A:$AZ,MATCH($A$1,'DB Country PMI'!$A$1:$AZ$1,),)=0,#N/A,VLOOKUP(A155,'DB Country PMI'!$A:$AZ,MATCH($A$1,'DB Country PMI'!$A$1:$AZ$1,),))</f>
        <v/>
      </c>
      <c r="C155" s="24">
        <f>Table1346811121415161718192022[[#This Row],[PMI]]-B154</f>
        <v/>
      </c>
    </row>
    <row r="156">
      <c r="A156" s="10" t="n">
        <v>44044</v>
      </c>
      <c r="B156" s="18">
        <f>IF(VLOOKUP(A156,'DB Country PMI'!$A:$AZ,MATCH($A$1,'DB Country PMI'!$A$1:$AZ$1,),)=0,#N/A,VLOOKUP(A156,'DB Country PMI'!$A:$AZ,MATCH($A$1,'DB Country PMI'!$A$1:$AZ$1,),))</f>
        <v/>
      </c>
      <c r="C156" s="24">
        <f>Table1346811121415161718192022[[#This Row],[PMI]]-B155</f>
        <v/>
      </c>
    </row>
    <row r="157">
      <c r="A157" s="10" t="n">
        <v>44075</v>
      </c>
      <c r="B157" s="18">
        <f>IF(VLOOKUP(A157,'DB Country PMI'!$A:$AZ,MATCH($A$1,'DB Country PMI'!$A$1:$AZ$1,),)=0,#N/A,VLOOKUP(A157,'DB Country PMI'!$A:$AZ,MATCH($A$1,'DB Country PMI'!$A$1:$AZ$1,),))</f>
        <v/>
      </c>
      <c r="C157" s="24">
        <f>Table1346811121415161718192022[[#This Row],[PMI]]-B156</f>
        <v/>
      </c>
    </row>
    <row r="158">
      <c r="A158" s="10" t="n">
        <v>44105</v>
      </c>
      <c r="B158" s="18">
        <f>IF(VLOOKUP(A158,'DB Country PMI'!$A:$AZ,MATCH($A$1,'DB Country PMI'!$A$1:$AZ$1,),)=0,#N/A,VLOOKUP(A158,'DB Country PMI'!$A:$AZ,MATCH($A$1,'DB Country PMI'!$A$1:$AZ$1,),))</f>
        <v/>
      </c>
      <c r="C158" s="24">
        <f>Table1346811121415161718192022[[#This Row],[PMI]]-B157</f>
        <v/>
      </c>
    </row>
    <row r="159">
      <c r="A159" s="10" t="n">
        <v>44136</v>
      </c>
      <c r="B159" s="18">
        <f>IF(VLOOKUP(A159,'DB Country PMI'!$A:$AZ,MATCH($A$1,'DB Country PMI'!$A$1:$AZ$1,),)=0,#N/A,VLOOKUP(A159,'DB Country PMI'!$A:$AZ,MATCH($A$1,'DB Country PMI'!$A$1:$AZ$1,),))</f>
        <v/>
      </c>
      <c r="C159" s="24">
        <f>Table1346811121415161718192022[[#This Row],[PMI]]-B158</f>
        <v/>
      </c>
    </row>
    <row r="160">
      <c r="A160" s="10" t="n">
        <v>44166</v>
      </c>
      <c r="B160" s="18">
        <f>IF(VLOOKUP(A160,'DB Country PMI'!$A:$AZ,MATCH($A$1,'DB Country PMI'!$A$1:$AZ$1,),)=0,#N/A,VLOOKUP(A160,'DB Country PMI'!$A:$AZ,MATCH($A$1,'DB Country PMI'!$A$1:$AZ$1,),))</f>
        <v/>
      </c>
      <c r="C160" s="24">
        <f>Table1346811121415161718192022[[#This Row],[PMI]]-B159</f>
        <v/>
      </c>
    </row>
    <row r="161">
      <c r="A161" s="10" t="n">
        <v>44197</v>
      </c>
      <c r="B161" s="18">
        <f>IF(VLOOKUP(A161,'DB Country PMI'!$A:$AZ,MATCH($A$1,'DB Country PMI'!$A$1:$AZ$1,),)=0,#N/A,VLOOKUP(A161,'DB Country PMI'!$A:$AZ,MATCH($A$1,'DB Country PMI'!$A$1:$AZ$1,),))</f>
        <v/>
      </c>
      <c r="C161" s="24">
        <f>Table1346811121415161718192022[[#This Row],[PMI]]-B160</f>
        <v/>
      </c>
    </row>
    <row r="162">
      <c r="A162" s="10" t="n">
        <v>44228</v>
      </c>
      <c r="B162" s="18">
        <f>IF(VLOOKUP(A162,'DB Country PMI'!$A:$AZ,MATCH($A$1,'DB Country PMI'!$A$1:$AZ$1,),)=0,#N/A,VLOOKUP(A162,'DB Country PMI'!$A:$AZ,MATCH($A$1,'DB Country PMI'!$A$1:$AZ$1,),))</f>
        <v/>
      </c>
      <c r="C162" s="24">
        <f>Table1346811121415161718192022[[#This Row],[PMI]]-B161</f>
        <v/>
      </c>
    </row>
    <row r="163">
      <c r="A163" s="10" t="n">
        <v>44256</v>
      </c>
      <c r="B163" s="18">
        <f>IF(VLOOKUP(A163,'DB Country PMI'!$A:$AZ,MATCH($A$1,'DB Country PMI'!$A$1:$AZ$1,),)=0,#N/A,VLOOKUP(A163,'DB Country PMI'!$A:$AZ,MATCH($A$1,'DB Country PMI'!$A$1:$AZ$1,),))</f>
        <v/>
      </c>
      <c r="C163" s="24">
        <f>Table1346811121415161718192022[[#This Row],[PMI]]-B162</f>
        <v/>
      </c>
    </row>
    <row r="164">
      <c r="A164" s="10" t="n">
        <v>44287</v>
      </c>
      <c r="B164" s="18">
        <f>IF(VLOOKUP(A164,'DB Country PMI'!$A:$AZ,MATCH($A$1,'DB Country PMI'!$A$1:$AZ$1,),)=0,#N/A,VLOOKUP(A164,'DB Country PMI'!$A:$AZ,MATCH($A$1,'DB Country PMI'!$A$1:$AZ$1,),))</f>
        <v/>
      </c>
      <c r="C164" s="24">
        <f>Table1346811121415161718192022[[#This Row],[PMI]]-B163</f>
        <v/>
      </c>
    </row>
    <row r="165">
      <c r="A165" s="10" t="n">
        <v>44317</v>
      </c>
      <c r="B165" s="18">
        <f>IF(VLOOKUP(A165,'DB Country PMI'!$A:$AZ,MATCH($A$1,'DB Country PMI'!$A$1:$AZ$1,),)=0,#N/A,VLOOKUP(A165,'DB Country PMI'!$A:$AZ,MATCH($A$1,'DB Country PMI'!$A$1:$AZ$1,),))</f>
        <v/>
      </c>
      <c r="C165" s="24">
        <f>Table1346811121415161718192022[[#This Row],[PMI]]-B164</f>
        <v/>
      </c>
    </row>
    <row r="166">
      <c r="A166" s="10" t="n">
        <v>44348</v>
      </c>
      <c r="B166" s="18">
        <f>IF(VLOOKUP(A166,'DB Country PMI'!$A:$AZ,MATCH($A$1,'DB Country PMI'!$A$1:$AZ$1,),)=0,#N/A,VLOOKUP(A166,'DB Country PMI'!$A:$AZ,MATCH($A$1,'DB Country PMI'!$A$1:$AZ$1,),))</f>
        <v/>
      </c>
      <c r="C166" s="24">
        <f>Table1346811121415161718192022[[#This Row],[PMI]]-B165</f>
        <v/>
      </c>
    </row>
    <row r="167">
      <c r="A167" s="10" t="n">
        <v>44378</v>
      </c>
      <c r="B167" s="18">
        <f>IF(VLOOKUP(A167,'DB Country PMI'!$A:$AZ,MATCH($A$1,'DB Country PMI'!$A$1:$AZ$1,),)=0,#N/A,VLOOKUP(A167,'DB Country PMI'!$A:$AZ,MATCH($A$1,'DB Country PMI'!$A$1:$AZ$1,),))</f>
        <v/>
      </c>
      <c r="C167" s="24">
        <f>Table1346811121415161718192022[[#This Row],[PMI]]-B166</f>
        <v/>
      </c>
    </row>
    <row r="168">
      <c r="A168" s="10" t="n">
        <v>44409</v>
      </c>
      <c r="B168" s="18">
        <f>IF(VLOOKUP(A168,'DB Country PMI'!$A:$AZ,MATCH($A$1,'DB Country PMI'!$A$1:$AZ$1,),)=0,#N/A,VLOOKUP(A168,'DB Country PMI'!$A:$AZ,MATCH($A$1,'DB Country PMI'!$A$1:$AZ$1,),))</f>
        <v/>
      </c>
      <c r="C168" s="24">
        <f>Table1346811121415161718192022[[#This Row],[PMI]]-B167</f>
        <v/>
      </c>
    </row>
    <row r="169">
      <c r="A169" s="10" t="n">
        <v>44440</v>
      </c>
      <c r="B169" s="18">
        <f>IF(VLOOKUP(A169,'DB Country PMI'!$A:$AZ,MATCH($A$1,'DB Country PMI'!$A$1:$AZ$1,),)=0,#N/A,VLOOKUP(A169,'DB Country PMI'!$A:$AZ,MATCH($A$1,'DB Country PMI'!$A$1:$AZ$1,),))</f>
        <v/>
      </c>
      <c r="C169" s="24">
        <f>Table1346811121415161718192022[[#This Row],[PMI]]-B168</f>
        <v/>
      </c>
    </row>
    <row r="170">
      <c r="A170" s="10" t="n">
        <v>44470</v>
      </c>
      <c r="B170" s="18">
        <f>IF(VLOOKUP(A170,'DB Country PMI'!$A:$AZ,MATCH($A$1,'DB Country PMI'!$A$1:$AZ$1,),)=0,#N/A,VLOOKUP(A170,'DB Country PMI'!$A:$AZ,MATCH($A$1,'DB Country PMI'!$A$1:$AZ$1,),))</f>
        <v/>
      </c>
      <c r="C170" s="24">
        <f>Table1346811121415161718192022[[#This Row],[PMI]]-B169</f>
        <v/>
      </c>
    </row>
    <row r="171">
      <c r="A171" s="10" t="n">
        <v>44501</v>
      </c>
      <c r="B171" s="18">
        <f>IF(VLOOKUP(A171,'DB Country PMI'!$A:$AZ,MATCH($A$1,'DB Country PMI'!$A$1:$AZ$1,),)=0,#N/A,VLOOKUP(A171,'DB Country PMI'!$A:$AZ,MATCH($A$1,'DB Country PMI'!$A$1:$AZ$1,),))</f>
        <v/>
      </c>
      <c r="C171" s="24">
        <f>Table1346811121415161718192022[[#This Row],[PMI]]-B170</f>
        <v/>
      </c>
    </row>
    <row r="172">
      <c r="A172" s="10" t="n">
        <v>44531</v>
      </c>
      <c r="B172" s="18">
        <f>IF(VLOOKUP(A172,'DB Country PMI'!$A:$AZ,MATCH($A$1,'DB Country PMI'!$A$1:$AZ$1,),)=0,#N/A,VLOOKUP(A172,'DB Country PMI'!$A:$AZ,MATCH($A$1,'DB Country PMI'!$A$1:$AZ$1,),))</f>
        <v/>
      </c>
      <c r="C172" s="24">
        <f>Table1346811121415161718192022[[#This Row],[PMI]]-B171</f>
        <v/>
      </c>
    </row>
    <row r="173">
      <c r="A173" s="10" t="n">
        <v>44562</v>
      </c>
      <c r="B173" s="18">
        <f>IF(VLOOKUP(A173,'DB Country PMI'!$A:$AZ,MATCH($A$1,'DB Country PMI'!$A$1:$AZ$1,),)=0,#N/A,VLOOKUP(A173,'DB Country PMI'!$A:$AZ,MATCH($A$1,'DB Country PMI'!$A$1:$AZ$1,),))</f>
        <v/>
      </c>
      <c r="C173" s="24">
        <f>Table1346811121415161718192022[[#This Row],[PMI]]-B172</f>
        <v/>
      </c>
    </row>
    <row r="174">
      <c r="A174" s="10" t="n">
        <v>44593</v>
      </c>
      <c r="B174" s="18">
        <f>IF(VLOOKUP(A174,'DB Country PMI'!$A:$AZ,MATCH($A$1,'DB Country PMI'!$A$1:$AZ$1,),)=0,#N/A,VLOOKUP(A174,'DB Country PMI'!$A:$AZ,MATCH($A$1,'DB Country PMI'!$A$1:$AZ$1,),))</f>
        <v/>
      </c>
      <c r="C174" s="24">
        <f>Table1346811121415161718192022[[#This Row],[PMI]]-B173</f>
        <v/>
      </c>
    </row>
    <row r="175">
      <c r="A175" s="10" t="n">
        <v>44621</v>
      </c>
      <c r="B175" s="18">
        <f>IF(VLOOKUP(A175,'DB Country PMI'!$A:$AZ,MATCH($A$1,'DB Country PMI'!$A$1:$AZ$1,),)=0,#N/A,VLOOKUP(A175,'DB Country PMI'!$A:$AZ,MATCH($A$1,'DB Country PMI'!$A$1:$AZ$1,),))</f>
        <v/>
      </c>
      <c r="C175" s="24">
        <f>Table1346811121415161718192022[[#This Row],[PMI]]-B174</f>
        <v/>
      </c>
    </row>
    <row r="176">
      <c r="A176" s="10" t="n">
        <v>44652</v>
      </c>
      <c r="B176" s="18">
        <f>IF(VLOOKUP(A176,'DB Country PMI'!$A:$AZ,MATCH($A$1,'DB Country PMI'!$A$1:$AZ$1,),)=0,#N/A,VLOOKUP(A176,'DB Country PMI'!$A:$AZ,MATCH($A$1,'DB Country PMI'!$A$1:$AZ$1,),))</f>
        <v/>
      </c>
      <c r="C176" s="24">
        <f>Table1346811121415161718192022[[#This Row],[PMI]]-B175</f>
        <v/>
      </c>
    </row>
    <row r="177">
      <c r="A177" s="10" t="n">
        <v>44682</v>
      </c>
      <c r="B177" s="18">
        <f>IF(VLOOKUP(A177,'DB Country PMI'!$A:$AZ,MATCH($A$1,'DB Country PMI'!$A$1:$AZ$1,),)=0,#N/A,VLOOKUP(A177,'DB Country PMI'!$A:$AZ,MATCH($A$1,'DB Country PMI'!$A$1:$AZ$1,),))</f>
        <v/>
      </c>
      <c r="C177" s="24">
        <f>Table1346811121415161718192022[[#This Row],[PMI]]-B176</f>
        <v/>
      </c>
    </row>
    <row r="178">
      <c r="A178" s="10" t="n">
        <v>44713</v>
      </c>
      <c r="B178" s="18">
        <f>IF(VLOOKUP(A178,'DB Country PMI'!$A:$AZ,MATCH($A$1,'DB Country PMI'!$A$1:$AZ$1,),)=0,#N/A,VLOOKUP(A178,'DB Country PMI'!$A:$AZ,MATCH($A$1,'DB Country PMI'!$A$1:$AZ$1,),))</f>
        <v/>
      </c>
      <c r="C178" s="24">
        <f>Table1346811121415161718192022[[#This Row],[PMI]]-B177</f>
        <v/>
      </c>
    </row>
    <row r="179">
      <c r="A179" s="10" t="n">
        <v>44743</v>
      </c>
      <c r="B179" s="18">
        <f>IF(VLOOKUP(A179,'DB Country PMI'!$A:$AZ,MATCH($A$1,'DB Country PMI'!$A$1:$AZ$1,),)=0,#N/A,VLOOKUP(A179,'DB Country PMI'!$A:$AZ,MATCH($A$1,'DB Country PMI'!$A$1:$AZ$1,),))</f>
        <v/>
      </c>
      <c r="C179" s="24">
        <f>Table1346811121415161718192022[[#This Row],[PMI]]-B178</f>
        <v/>
      </c>
    </row>
    <row r="180">
      <c r="A180" s="10" t="n">
        <v>44774</v>
      </c>
      <c r="B180" s="18">
        <f>IF(VLOOKUP(A180,'DB Country PMI'!$A:$AZ,MATCH($A$1,'DB Country PMI'!$A$1:$AZ$1,),)=0,#N/A,VLOOKUP(A180,'DB Country PMI'!$A:$AZ,MATCH($A$1,'DB Country PMI'!$A$1:$AZ$1,),))</f>
        <v/>
      </c>
      <c r="C180" s="24">
        <f>Table1346811121415161718192022[[#This Row],[PMI]]-B179</f>
        <v/>
      </c>
    </row>
    <row r="181">
      <c r="A181" s="10" t="n">
        <v>44805</v>
      </c>
      <c r="B181" s="18">
        <f>IF(VLOOKUP(A181,'DB Country PMI'!$A:$AZ,MATCH($A$1,'DB Country PMI'!$A$1:$AZ$1,),)=0,#N/A,VLOOKUP(A181,'DB Country PMI'!$A:$AZ,MATCH($A$1,'DB Country PMI'!$A$1:$AZ$1,),))</f>
        <v/>
      </c>
      <c r="C181" s="24">
        <f>Table1346811121415161718192022[[#This Row],[PMI]]-B180</f>
        <v/>
      </c>
    </row>
    <row r="182">
      <c r="A182" s="10" t="n">
        <v>44835</v>
      </c>
      <c r="B182" s="18">
        <f>IF(VLOOKUP(A182,'DB Country PMI'!$A:$AZ,MATCH($A$1,'DB Country PMI'!$A$1:$AZ$1,),)=0,#N/A,VLOOKUP(A182,'DB Country PMI'!$A:$AZ,MATCH($A$1,'DB Country PMI'!$A$1:$AZ$1,),))</f>
        <v/>
      </c>
      <c r="C182" s="24">
        <f>Table1346811121415161718192022[[#This Row],[PMI]]-B181</f>
        <v/>
      </c>
    </row>
    <row r="183">
      <c r="A183" s="10" t="n">
        <v>44866</v>
      </c>
      <c r="B183" s="18">
        <f>IF(VLOOKUP(A183,'DB Country PMI'!$A:$AZ,MATCH($A$1,'DB Country PMI'!$A$1:$AZ$1,),)=0,#N/A,VLOOKUP(A183,'DB Country PMI'!$A:$AZ,MATCH($A$1,'DB Country PMI'!$A$1:$AZ$1,),))</f>
        <v/>
      </c>
      <c r="C183" s="24">
        <f>Table1346811121415161718192022[[#This Row],[PMI]]-B182</f>
        <v/>
      </c>
    </row>
  </sheetData>
  <conditionalFormatting sqref="C7:C106">
    <cfRule type="colorScale" priority="1">
      <colorScale>
        <cfvo type="min"/>
        <cfvo type="percentile" val="50"/>
        <cfvo type="max"/>
        <color rgb="FFF8696B"/>
        <color rgb="FFFCFCFF"/>
        <color rgb="FF5A8AC6"/>
      </colorScale>
    </cfRule>
  </conditionalFormatting>
  <conditionalFormatting sqref="B6:B18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K184"/>
  <sheetViews>
    <sheetView zoomScale="80" zoomScaleNormal="80" workbookViewId="0">
      <pane ySplit="5" topLeftCell="A169" activePane="bottomLeft" state="frozen"/>
      <selection pane="bottomLeft" activeCell="R185" sqref="R185"/>
    </sheetView>
  </sheetViews>
  <sheetFormatPr baseColWidth="8" defaultColWidth="9.1796875" defaultRowHeight="14.5"/>
  <cols>
    <col width="13.453125" customWidth="1" style="69" min="1" max="1"/>
    <col width="11.36328125" customWidth="1" style="69" min="2" max="2"/>
    <col width="9.1796875" customWidth="1" style="69" min="3" max="51"/>
    <col width="9.1796875" customWidth="1" style="69" min="52" max="16384"/>
  </cols>
  <sheetData>
    <row r="1">
      <c r="A1" s="69" t="inlineStr">
        <is>
          <t>Germany</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39478</v>
      </c>
      <c r="B6" s="18">
        <f>IF(VLOOKUP(A6,'DB Country PMI'!$A:$AZ,MATCH($A$1,'DB Country PMI'!$A$1:$AZ$1,),)=0,#N/A,VLOOKUP(A6,'DB Country PMI'!$A:$AZ,MATCH($A$1,'DB Country PMI'!$A$1:$AZ$1,),))</f>
        <v/>
      </c>
      <c r="C6" s="18" t="n"/>
    </row>
    <row r="7">
      <c r="A7" s="10" t="n">
        <v>39479</v>
      </c>
      <c r="B7" s="18">
        <f>IF(VLOOKUP(A7,'DB Country PMI'!$A:$AZ,MATCH($A$1,'DB Country PMI'!$A$1:$AZ$1,),)=0,#N/A,VLOOKUP(A7,'DB Country PMI'!$A:$AZ,MATCH($A$1,'DB Country PMI'!$A$1:$AZ$1,),))</f>
        <v/>
      </c>
      <c r="C7" s="24">
        <f>Table1346811121415[[#This Row],[PMI]]-B6</f>
        <v/>
      </c>
    </row>
    <row r="8">
      <c r="A8" s="10" t="n">
        <v>39508</v>
      </c>
      <c r="B8" s="18">
        <f>IF(VLOOKUP(A8,'DB Country PMI'!$A:$AZ,MATCH($A$1,'DB Country PMI'!$A$1:$AZ$1,),)=0,#N/A,VLOOKUP(A8,'DB Country PMI'!$A:$AZ,MATCH($A$1,'DB Country PMI'!$A$1:$AZ$1,),))</f>
        <v/>
      </c>
      <c r="C8" s="24">
        <f>Table1346811121415[[#This Row],[PMI]]-B7</f>
        <v/>
      </c>
    </row>
    <row r="9">
      <c r="A9" s="10" t="n">
        <v>39539</v>
      </c>
      <c r="B9" s="18">
        <f>IF(VLOOKUP(A9,'DB Country PMI'!$A:$AZ,MATCH($A$1,'DB Country PMI'!$A$1:$AZ$1,),)=0,#N/A,VLOOKUP(A9,'DB Country PMI'!$A:$AZ,MATCH($A$1,'DB Country PMI'!$A$1:$AZ$1,),))</f>
        <v/>
      </c>
      <c r="C9" s="24">
        <f>Table1346811121415[[#This Row],[PMI]]-B8</f>
        <v/>
      </c>
    </row>
    <row r="10">
      <c r="A10" s="10" t="n">
        <v>39569</v>
      </c>
      <c r="B10" s="18">
        <f>IF(VLOOKUP(A10,'DB Country PMI'!$A:$AZ,MATCH($A$1,'DB Country PMI'!$A$1:$AZ$1,),)=0,#N/A,VLOOKUP(A10,'DB Country PMI'!$A:$AZ,MATCH($A$1,'DB Country PMI'!$A$1:$AZ$1,),))</f>
        <v/>
      </c>
      <c r="C10" s="24">
        <f>Table1346811121415[[#This Row],[PMI]]-B9</f>
        <v/>
      </c>
    </row>
    <row r="11">
      <c r="A11" s="10" t="n">
        <v>39600</v>
      </c>
      <c r="B11" s="18">
        <f>IF(VLOOKUP(A11,'DB Country PMI'!$A:$AZ,MATCH($A$1,'DB Country PMI'!$A$1:$AZ$1,),)=0,#N/A,VLOOKUP(A11,'DB Country PMI'!$A:$AZ,MATCH($A$1,'DB Country PMI'!$A$1:$AZ$1,),))</f>
        <v/>
      </c>
      <c r="C11" s="24">
        <f>Table1346811121415[[#This Row],[PMI]]-B10</f>
        <v/>
      </c>
    </row>
    <row r="12">
      <c r="A12" s="10" t="n">
        <v>39630</v>
      </c>
      <c r="B12" s="18">
        <f>IF(VLOOKUP(A12,'DB Country PMI'!$A:$AZ,MATCH($A$1,'DB Country PMI'!$A$1:$AZ$1,),)=0,#N/A,VLOOKUP(A12,'DB Country PMI'!$A:$AZ,MATCH($A$1,'DB Country PMI'!$A$1:$AZ$1,),))</f>
        <v/>
      </c>
      <c r="C12" s="24">
        <f>Table1346811121415[[#This Row],[PMI]]-B11</f>
        <v/>
      </c>
    </row>
    <row r="13">
      <c r="A13" s="10" t="n">
        <v>39661</v>
      </c>
      <c r="B13" s="18">
        <f>IF(VLOOKUP(A13,'DB Country PMI'!$A:$AZ,MATCH($A$1,'DB Country PMI'!$A$1:$AZ$1,),)=0,#N/A,VLOOKUP(A13,'DB Country PMI'!$A:$AZ,MATCH($A$1,'DB Country PMI'!$A$1:$AZ$1,),))</f>
        <v/>
      </c>
      <c r="C13" s="24">
        <f>Table1346811121415[[#This Row],[PMI]]-B12</f>
        <v/>
      </c>
    </row>
    <row r="14">
      <c r="A14" s="10" t="n">
        <v>39692</v>
      </c>
      <c r="B14" s="18">
        <f>IF(VLOOKUP(A14,'DB Country PMI'!$A:$AZ,MATCH($A$1,'DB Country PMI'!$A$1:$AZ$1,),)=0,#N/A,VLOOKUP(A14,'DB Country PMI'!$A:$AZ,MATCH($A$1,'DB Country PMI'!$A$1:$AZ$1,),))</f>
        <v/>
      </c>
      <c r="C14" s="24">
        <f>Table1346811121415[[#This Row],[PMI]]-B13</f>
        <v/>
      </c>
    </row>
    <row r="15">
      <c r="A15" s="10" t="n">
        <v>39722</v>
      </c>
      <c r="B15" s="18">
        <f>IF(VLOOKUP(A15,'DB Country PMI'!$A:$AZ,MATCH($A$1,'DB Country PMI'!$A$1:$AZ$1,),)=0,#N/A,VLOOKUP(A15,'DB Country PMI'!$A:$AZ,MATCH($A$1,'DB Country PMI'!$A$1:$AZ$1,),))</f>
        <v/>
      </c>
      <c r="C15" s="24">
        <f>Table1346811121415[[#This Row],[PMI]]-B14</f>
        <v/>
      </c>
    </row>
    <row r="16">
      <c r="A16" s="10" t="n">
        <v>39753</v>
      </c>
      <c r="B16" s="18">
        <f>IF(VLOOKUP(A16,'DB Country PMI'!$A:$AZ,MATCH($A$1,'DB Country PMI'!$A$1:$AZ$1,),)=0,#N/A,VLOOKUP(A16,'DB Country PMI'!$A:$AZ,MATCH($A$1,'DB Country PMI'!$A$1:$AZ$1,),))</f>
        <v/>
      </c>
      <c r="C16" s="24">
        <f>Table1346811121415[[#This Row],[PMI]]-B15</f>
        <v/>
      </c>
    </row>
    <row r="17">
      <c r="A17" s="10" t="n">
        <v>39783</v>
      </c>
      <c r="B17" s="18">
        <f>IF(VLOOKUP(A17,'DB Country PMI'!$A:$AZ,MATCH($A$1,'DB Country PMI'!$A$1:$AZ$1,),)=0,#N/A,VLOOKUP(A17,'DB Country PMI'!$A:$AZ,MATCH($A$1,'DB Country PMI'!$A$1:$AZ$1,),))</f>
        <v/>
      </c>
      <c r="C17" s="24">
        <f>Table1346811121415[[#This Row],[PMI]]-B16</f>
        <v/>
      </c>
    </row>
    <row r="18">
      <c r="A18" s="10" t="n">
        <v>39814</v>
      </c>
      <c r="B18" s="18">
        <f>IF(VLOOKUP(A18,'DB Country PMI'!$A:$AZ,MATCH($A$1,'DB Country PMI'!$A$1:$AZ$1,),)=0,#N/A,VLOOKUP(A18,'DB Country PMI'!$A:$AZ,MATCH($A$1,'DB Country PMI'!$A$1:$AZ$1,),))</f>
        <v/>
      </c>
      <c r="C18" s="24">
        <f>Table1346811121415[[#This Row],[PMI]]-B17</f>
        <v/>
      </c>
    </row>
    <row r="19">
      <c r="A19" s="10" t="n">
        <v>39845</v>
      </c>
      <c r="B19" s="18">
        <f>IF(VLOOKUP(A19,'DB Country PMI'!$A:$AZ,MATCH($A$1,'DB Country PMI'!$A$1:$AZ$1,),)=0,#N/A,VLOOKUP(A19,'DB Country PMI'!$A:$AZ,MATCH($A$1,'DB Country PMI'!$A$1:$AZ$1,),))</f>
        <v/>
      </c>
      <c r="C19" s="24">
        <f>Table1346811121415[[#This Row],[PMI]]-B18</f>
        <v/>
      </c>
    </row>
    <row r="20">
      <c r="A20" s="10" t="n">
        <v>39873</v>
      </c>
      <c r="B20" s="18">
        <f>IF(VLOOKUP(A20,'DB Country PMI'!$A:$AZ,MATCH($A$1,'DB Country PMI'!$A$1:$AZ$1,),)=0,#N/A,VLOOKUP(A20,'DB Country PMI'!$A:$AZ,MATCH($A$1,'DB Country PMI'!$A$1:$AZ$1,),))</f>
        <v/>
      </c>
      <c r="C20" s="24">
        <f>Table1346811121415[[#This Row],[PMI]]-B19</f>
        <v/>
      </c>
    </row>
    <row r="21">
      <c r="A21" s="10" t="n">
        <v>39904</v>
      </c>
      <c r="B21" s="18">
        <f>IF(VLOOKUP(A21,'DB Country PMI'!$A:$AZ,MATCH($A$1,'DB Country PMI'!$A$1:$AZ$1,),)=0,#N/A,VLOOKUP(A21,'DB Country PMI'!$A:$AZ,MATCH($A$1,'DB Country PMI'!$A$1:$AZ$1,),))</f>
        <v/>
      </c>
      <c r="C21" s="24">
        <f>Table1346811121415[[#This Row],[PMI]]-B20</f>
        <v/>
      </c>
    </row>
    <row r="22">
      <c r="A22" s="10" t="n">
        <v>39934</v>
      </c>
      <c r="B22" s="18">
        <f>IF(VLOOKUP(A22,'DB Country PMI'!$A:$AZ,MATCH($A$1,'DB Country PMI'!$A$1:$AZ$1,),)=0,#N/A,VLOOKUP(A22,'DB Country PMI'!$A:$AZ,MATCH($A$1,'DB Country PMI'!$A$1:$AZ$1,),))</f>
        <v/>
      </c>
      <c r="C22" s="24">
        <f>Table1346811121415[[#This Row],[PMI]]-B21</f>
        <v/>
      </c>
    </row>
    <row r="23">
      <c r="A23" s="10" t="n">
        <v>39965</v>
      </c>
      <c r="B23" s="18">
        <f>IF(VLOOKUP(A23,'DB Country PMI'!$A:$AZ,MATCH($A$1,'DB Country PMI'!$A$1:$AZ$1,),)=0,#N/A,VLOOKUP(A23,'DB Country PMI'!$A:$AZ,MATCH($A$1,'DB Country PMI'!$A$1:$AZ$1,),))</f>
        <v/>
      </c>
      <c r="C23" s="24">
        <f>Table1346811121415[[#This Row],[PMI]]-B22</f>
        <v/>
      </c>
    </row>
    <row r="24">
      <c r="A24" s="10" t="n">
        <v>39995</v>
      </c>
      <c r="B24" s="18">
        <f>IF(VLOOKUP(A24,'DB Country PMI'!$A:$AZ,MATCH($A$1,'DB Country PMI'!$A$1:$AZ$1,),)=0,#N/A,VLOOKUP(A24,'DB Country PMI'!$A:$AZ,MATCH($A$1,'DB Country PMI'!$A$1:$AZ$1,),))</f>
        <v/>
      </c>
      <c r="C24" s="24">
        <f>Table1346811121415[[#This Row],[PMI]]-B23</f>
        <v/>
      </c>
    </row>
    <row r="25">
      <c r="A25" s="10" t="n">
        <v>40026</v>
      </c>
      <c r="B25" s="18">
        <f>IF(VLOOKUP(A25,'DB Country PMI'!$A:$AZ,MATCH($A$1,'DB Country PMI'!$A$1:$AZ$1,),)=0,#N/A,VLOOKUP(A25,'DB Country PMI'!$A:$AZ,MATCH($A$1,'DB Country PMI'!$A$1:$AZ$1,),))</f>
        <v/>
      </c>
      <c r="C25" s="24">
        <f>Table1346811121415[[#This Row],[PMI]]-B24</f>
        <v/>
      </c>
    </row>
    <row r="26">
      <c r="A26" s="10" t="n">
        <v>40057</v>
      </c>
      <c r="B26" s="18">
        <f>IF(VLOOKUP(A26,'DB Country PMI'!$A:$AZ,MATCH($A$1,'DB Country PMI'!$A$1:$AZ$1,),)=0,#N/A,VLOOKUP(A26,'DB Country PMI'!$A:$AZ,MATCH($A$1,'DB Country PMI'!$A$1:$AZ$1,),))</f>
        <v/>
      </c>
      <c r="C26" s="24">
        <f>Table1346811121415[[#This Row],[PMI]]-B25</f>
        <v/>
      </c>
    </row>
    <row r="27">
      <c r="A27" s="10" t="n">
        <v>40087</v>
      </c>
      <c r="B27" s="18">
        <f>IF(VLOOKUP(A27,'DB Country PMI'!$A:$AZ,MATCH($A$1,'DB Country PMI'!$A$1:$AZ$1,),)=0,#N/A,VLOOKUP(A27,'DB Country PMI'!$A:$AZ,MATCH($A$1,'DB Country PMI'!$A$1:$AZ$1,),))</f>
        <v/>
      </c>
      <c r="C27" s="24">
        <f>Table1346811121415[[#This Row],[PMI]]-B26</f>
        <v/>
      </c>
    </row>
    <row r="28">
      <c r="A28" s="10" t="n">
        <v>40118</v>
      </c>
      <c r="B28" s="18">
        <f>IF(VLOOKUP(A28,'DB Country PMI'!$A:$AZ,MATCH($A$1,'DB Country PMI'!$A$1:$AZ$1,),)=0,#N/A,VLOOKUP(A28,'DB Country PMI'!$A:$AZ,MATCH($A$1,'DB Country PMI'!$A$1:$AZ$1,),))</f>
        <v/>
      </c>
      <c r="C28" s="24">
        <f>Table1346811121415[[#This Row],[PMI]]-B27</f>
        <v/>
      </c>
    </row>
    <row r="29">
      <c r="A29" s="10" t="n">
        <v>40148</v>
      </c>
      <c r="B29" s="18">
        <f>IF(VLOOKUP(A29,'DB Country PMI'!$A:$AZ,MATCH($A$1,'DB Country PMI'!$A$1:$AZ$1,),)=0,#N/A,VLOOKUP(A29,'DB Country PMI'!$A:$AZ,MATCH($A$1,'DB Country PMI'!$A$1:$AZ$1,),))</f>
        <v/>
      </c>
      <c r="C29" s="24">
        <f>Table1346811121415[[#This Row],[PMI]]-B28</f>
        <v/>
      </c>
    </row>
    <row r="30">
      <c r="A30" s="10" t="n">
        <v>40179</v>
      </c>
      <c r="B30" s="18">
        <f>IF(VLOOKUP(A30,'DB Country PMI'!$A:$AZ,MATCH($A$1,'DB Country PMI'!$A$1:$AZ$1,),)=0,#N/A,VLOOKUP(A30,'DB Country PMI'!$A:$AZ,MATCH($A$1,'DB Country PMI'!$A$1:$AZ$1,),))</f>
        <v/>
      </c>
      <c r="C30" s="24">
        <f>Table1346811121415[[#This Row],[PMI]]-B29</f>
        <v/>
      </c>
    </row>
    <row r="31">
      <c r="A31" s="10" t="n">
        <v>40210</v>
      </c>
      <c r="B31" s="18">
        <f>IF(VLOOKUP(A31,'DB Country PMI'!$A:$AZ,MATCH($A$1,'DB Country PMI'!$A$1:$AZ$1,),)=0,#N/A,VLOOKUP(A31,'DB Country PMI'!$A:$AZ,MATCH($A$1,'DB Country PMI'!$A$1:$AZ$1,),))</f>
        <v/>
      </c>
      <c r="C31" s="24">
        <f>Table1346811121415[[#This Row],[PMI]]-B30</f>
        <v/>
      </c>
    </row>
    <row r="32">
      <c r="A32" s="10" t="n">
        <v>40238</v>
      </c>
      <c r="B32" s="18">
        <f>IF(VLOOKUP(A32,'DB Country PMI'!$A:$AZ,MATCH($A$1,'DB Country PMI'!$A$1:$AZ$1,),)=0,#N/A,VLOOKUP(A32,'DB Country PMI'!$A:$AZ,MATCH($A$1,'DB Country PMI'!$A$1:$AZ$1,),))</f>
        <v/>
      </c>
      <c r="C32" s="24">
        <f>Table1346811121415[[#This Row],[PMI]]-B31</f>
        <v/>
      </c>
    </row>
    <row r="33">
      <c r="A33" s="10" t="n">
        <v>40269</v>
      </c>
      <c r="B33" s="18">
        <f>IF(VLOOKUP(A33,'DB Country PMI'!$A:$AZ,MATCH($A$1,'DB Country PMI'!$A$1:$AZ$1,),)=0,#N/A,VLOOKUP(A33,'DB Country PMI'!$A:$AZ,MATCH($A$1,'DB Country PMI'!$A$1:$AZ$1,),))</f>
        <v/>
      </c>
      <c r="C33" s="24">
        <f>Table1346811121415[[#This Row],[PMI]]-B32</f>
        <v/>
      </c>
    </row>
    <row r="34">
      <c r="A34" s="10" t="n">
        <v>40299</v>
      </c>
      <c r="B34" s="18">
        <f>IF(VLOOKUP(A34,'DB Country PMI'!$A:$AZ,MATCH($A$1,'DB Country PMI'!$A$1:$AZ$1,),)=0,#N/A,VLOOKUP(A34,'DB Country PMI'!$A:$AZ,MATCH($A$1,'DB Country PMI'!$A$1:$AZ$1,),))</f>
        <v/>
      </c>
      <c r="C34" s="24">
        <f>Table1346811121415[[#This Row],[PMI]]-B33</f>
        <v/>
      </c>
    </row>
    <row r="35">
      <c r="A35" s="10" t="n">
        <v>40330</v>
      </c>
      <c r="B35" s="18">
        <f>IF(VLOOKUP(A35,'DB Country PMI'!$A:$AZ,MATCH($A$1,'DB Country PMI'!$A$1:$AZ$1,),)=0,#N/A,VLOOKUP(A35,'DB Country PMI'!$A:$AZ,MATCH($A$1,'DB Country PMI'!$A$1:$AZ$1,),))</f>
        <v/>
      </c>
      <c r="C35" s="24">
        <f>Table1346811121415[[#This Row],[PMI]]-B34</f>
        <v/>
      </c>
    </row>
    <row r="36">
      <c r="A36" s="10" t="n">
        <v>40360</v>
      </c>
      <c r="B36" s="18">
        <f>IF(VLOOKUP(A36,'DB Country PMI'!$A:$AZ,MATCH($A$1,'DB Country PMI'!$A$1:$AZ$1,),)=0,#N/A,VLOOKUP(A36,'DB Country PMI'!$A:$AZ,MATCH($A$1,'DB Country PMI'!$A$1:$AZ$1,),))</f>
        <v/>
      </c>
      <c r="C36" s="24">
        <f>Table1346811121415[[#This Row],[PMI]]-B35</f>
        <v/>
      </c>
    </row>
    <row r="37">
      <c r="A37" s="10" t="n">
        <v>40391</v>
      </c>
      <c r="B37" s="18">
        <f>IF(VLOOKUP(A37,'DB Country PMI'!$A:$AZ,MATCH($A$1,'DB Country PMI'!$A$1:$AZ$1,),)=0,#N/A,VLOOKUP(A37,'DB Country PMI'!$A:$AZ,MATCH($A$1,'DB Country PMI'!$A$1:$AZ$1,),))</f>
        <v/>
      </c>
      <c r="C37" s="24">
        <f>Table1346811121415[[#This Row],[PMI]]-B36</f>
        <v/>
      </c>
    </row>
    <row r="38">
      <c r="A38" s="10" t="n">
        <v>40422</v>
      </c>
      <c r="B38" s="18">
        <f>IF(VLOOKUP(A38,'DB Country PMI'!$A:$AZ,MATCH($A$1,'DB Country PMI'!$A$1:$AZ$1,),)=0,#N/A,VLOOKUP(A38,'DB Country PMI'!$A:$AZ,MATCH($A$1,'DB Country PMI'!$A$1:$AZ$1,),))</f>
        <v/>
      </c>
      <c r="C38" s="24">
        <f>Table1346811121415[[#This Row],[PMI]]-B37</f>
        <v/>
      </c>
    </row>
    <row r="39">
      <c r="A39" s="10" t="n">
        <v>40452</v>
      </c>
      <c r="B39" s="18">
        <f>IF(VLOOKUP(A39,'DB Country PMI'!$A:$AZ,MATCH($A$1,'DB Country PMI'!$A$1:$AZ$1,),)=0,#N/A,VLOOKUP(A39,'DB Country PMI'!$A:$AZ,MATCH($A$1,'DB Country PMI'!$A$1:$AZ$1,),))</f>
        <v/>
      </c>
      <c r="C39" s="24">
        <f>Table1346811121415[[#This Row],[PMI]]-B38</f>
        <v/>
      </c>
    </row>
    <row r="40">
      <c r="A40" s="10" t="n">
        <v>40483</v>
      </c>
      <c r="B40" s="18">
        <f>IF(VLOOKUP(A40,'DB Country PMI'!$A:$AZ,MATCH($A$1,'DB Country PMI'!$A$1:$AZ$1,),)=0,#N/A,VLOOKUP(A40,'DB Country PMI'!$A:$AZ,MATCH($A$1,'DB Country PMI'!$A$1:$AZ$1,),))</f>
        <v/>
      </c>
      <c r="C40" s="24">
        <f>Table1346811121415[[#This Row],[PMI]]-B39</f>
        <v/>
      </c>
    </row>
    <row r="41">
      <c r="A41" s="10" t="n">
        <v>40513</v>
      </c>
      <c r="B41" s="18">
        <f>IF(VLOOKUP(A41,'DB Country PMI'!$A:$AZ,MATCH($A$1,'DB Country PMI'!$A$1:$AZ$1,),)=0,#N/A,VLOOKUP(A41,'DB Country PMI'!$A:$AZ,MATCH($A$1,'DB Country PMI'!$A$1:$AZ$1,),))</f>
        <v/>
      </c>
      <c r="C41" s="24">
        <f>Table1346811121415[[#This Row],[PMI]]-B40</f>
        <v/>
      </c>
    </row>
    <row r="42">
      <c r="A42" s="10" t="n">
        <v>40544</v>
      </c>
      <c r="B42" s="18">
        <f>IF(VLOOKUP(A42,'DB Country PMI'!$A:$AZ,MATCH($A$1,'DB Country PMI'!$A$1:$AZ$1,),)=0,#N/A,VLOOKUP(A42,'DB Country PMI'!$A:$AZ,MATCH($A$1,'DB Country PMI'!$A$1:$AZ$1,),))</f>
        <v/>
      </c>
      <c r="C42" s="24">
        <f>Table1346811121415[[#This Row],[PMI]]-B41</f>
        <v/>
      </c>
    </row>
    <row r="43">
      <c r="A43" s="10" t="n">
        <v>40575</v>
      </c>
      <c r="B43" s="18">
        <f>IF(VLOOKUP(A43,'DB Country PMI'!$A:$AZ,MATCH($A$1,'DB Country PMI'!$A$1:$AZ$1,),)=0,#N/A,VLOOKUP(A43,'DB Country PMI'!$A:$AZ,MATCH($A$1,'DB Country PMI'!$A$1:$AZ$1,),))</f>
        <v/>
      </c>
      <c r="C43" s="24">
        <f>Table1346811121415[[#This Row],[PMI]]-B42</f>
        <v/>
      </c>
    </row>
    <row r="44">
      <c r="A44" s="10" t="n">
        <v>40603</v>
      </c>
      <c r="B44" s="18">
        <f>IF(VLOOKUP(A44,'DB Country PMI'!$A:$AZ,MATCH($A$1,'DB Country PMI'!$A$1:$AZ$1,),)=0,#N/A,VLOOKUP(A44,'DB Country PMI'!$A:$AZ,MATCH($A$1,'DB Country PMI'!$A$1:$AZ$1,),))</f>
        <v/>
      </c>
      <c r="C44" s="24">
        <f>Table1346811121415[[#This Row],[PMI]]-B43</f>
        <v/>
      </c>
    </row>
    <row r="45">
      <c r="A45" s="10" t="n">
        <v>40634</v>
      </c>
      <c r="B45" s="18">
        <f>IF(VLOOKUP(A45,'DB Country PMI'!$A:$AZ,MATCH($A$1,'DB Country PMI'!$A$1:$AZ$1,),)=0,#N/A,VLOOKUP(A45,'DB Country PMI'!$A:$AZ,MATCH($A$1,'DB Country PMI'!$A$1:$AZ$1,),))</f>
        <v/>
      </c>
      <c r="C45" s="24">
        <f>Table1346811121415[[#This Row],[PMI]]-B44</f>
        <v/>
      </c>
    </row>
    <row r="46">
      <c r="A46" s="10" t="n">
        <v>40664</v>
      </c>
      <c r="B46" s="18">
        <f>IF(VLOOKUP(A46,'DB Country PMI'!$A:$AZ,MATCH($A$1,'DB Country PMI'!$A$1:$AZ$1,),)=0,#N/A,VLOOKUP(A46,'DB Country PMI'!$A:$AZ,MATCH($A$1,'DB Country PMI'!$A$1:$AZ$1,),))</f>
        <v/>
      </c>
      <c r="C46" s="24">
        <f>Table1346811121415[[#This Row],[PMI]]-B45</f>
        <v/>
      </c>
    </row>
    <row r="47">
      <c r="A47" s="10" t="n">
        <v>40695</v>
      </c>
      <c r="B47" s="18">
        <f>IF(VLOOKUP(A47,'DB Country PMI'!$A:$AZ,MATCH($A$1,'DB Country PMI'!$A$1:$AZ$1,),)=0,#N/A,VLOOKUP(A47,'DB Country PMI'!$A:$AZ,MATCH($A$1,'DB Country PMI'!$A$1:$AZ$1,),))</f>
        <v/>
      </c>
      <c r="C47" s="24">
        <f>Table1346811121415[[#This Row],[PMI]]-B46</f>
        <v/>
      </c>
    </row>
    <row r="48">
      <c r="A48" s="10" t="n">
        <v>40725</v>
      </c>
      <c r="B48" s="18">
        <f>IF(VLOOKUP(A48,'DB Country PMI'!$A:$AZ,MATCH($A$1,'DB Country PMI'!$A$1:$AZ$1,),)=0,#N/A,VLOOKUP(A48,'DB Country PMI'!$A:$AZ,MATCH($A$1,'DB Country PMI'!$A$1:$AZ$1,),))</f>
        <v/>
      </c>
      <c r="C48" s="24">
        <f>Table1346811121415[[#This Row],[PMI]]-B47</f>
        <v/>
      </c>
    </row>
    <row r="49">
      <c r="A49" s="10" t="n">
        <v>40756</v>
      </c>
      <c r="B49" s="18">
        <f>IF(VLOOKUP(A49,'DB Country PMI'!$A:$AZ,MATCH($A$1,'DB Country PMI'!$A$1:$AZ$1,),)=0,#N/A,VLOOKUP(A49,'DB Country PMI'!$A:$AZ,MATCH($A$1,'DB Country PMI'!$A$1:$AZ$1,),))</f>
        <v/>
      </c>
      <c r="C49" s="24">
        <f>Table1346811121415[[#This Row],[PMI]]-B48</f>
        <v/>
      </c>
    </row>
    <row r="50">
      <c r="A50" s="10" t="n">
        <v>40787</v>
      </c>
      <c r="B50" s="18">
        <f>IF(VLOOKUP(A50,'DB Country PMI'!$A:$AZ,MATCH($A$1,'DB Country PMI'!$A$1:$AZ$1,),)=0,#N/A,VLOOKUP(A50,'DB Country PMI'!$A:$AZ,MATCH($A$1,'DB Country PMI'!$A$1:$AZ$1,),))</f>
        <v/>
      </c>
      <c r="C50" s="24">
        <f>Table1346811121415[[#This Row],[PMI]]-B49</f>
        <v/>
      </c>
    </row>
    <row r="51">
      <c r="A51" s="10" t="n">
        <v>40817</v>
      </c>
      <c r="B51" s="18">
        <f>IF(VLOOKUP(A51,'DB Country PMI'!$A:$AZ,MATCH($A$1,'DB Country PMI'!$A$1:$AZ$1,),)=0,#N/A,VLOOKUP(A51,'DB Country PMI'!$A:$AZ,MATCH($A$1,'DB Country PMI'!$A$1:$AZ$1,),))</f>
        <v/>
      </c>
      <c r="C51" s="24">
        <f>Table1346811121415[[#This Row],[PMI]]-B50</f>
        <v/>
      </c>
    </row>
    <row r="52">
      <c r="A52" s="10" t="n">
        <v>40848</v>
      </c>
      <c r="B52" s="18">
        <f>IF(VLOOKUP(A52,'DB Country PMI'!$A:$AZ,MATCH($A$1,'DB Country PMI'!$A$1:$AZ$1,),)=0,#N/A,VLOOKUP(A52,'DB Country PMI'!$A:$AZ,MATCH($A$1,'DB Country PMI'!$A$1:$AZ$1,),))</f>
        <v/>
      </c>
      <c r="C52" s="24">
        <f>Table1346811121415[[#This Row],[PMI]]-B51</f>
        <v/>
      </c>
    </row>
    <row r="53">
      <c r="A53" s="10" t="n">
        <v>40878</v>
      </c>
      <c r="B53" s="18">
        <f>IF(VLOOKUP(A53,'DB Country PMI'!$A:$AZ,MATCH($A$1,'DB Country PMI'!$A$1:$AZ$1,),)=0,#N/A,VLOOKUP(A53,'DB Country PMI'!$A:$AZ,MATCH($A$1,'DB Country PMI'!$A$1:$AZ$1,),))</f>
        <v/>
      </c>
      <c r="C53" s="24">
        <f>Table1346811121415[[#This Row],[PMI]]-B52</f>
        <v/>
      </c>
    </row>
    <row r="54">
      <c r="A54" s="10" t="n">
        <v>40909</v>
      </c>
      <c r="B54" s="18">
        <f>IF(VLOOKUP(A54,'DB Country PMI'!$A:$AZ,MATCH($A$1,'DB Country PMI'!$A$1:$AZ$1,),)=0,#N/A,VLOOKUP(A54,'DB Country PMI'!$A:$AZ,MATCH($A$1,'DB Country PMI'!$A$1:$AZ$1,),))</f>
        <v/>
      </c>
      <c r="C54" s="24">
        <f>Table1346811121415[[#This Row],[PMI]]-B53</f>
        <v/>
      </c>
    </row>
    <row r="55">
      <c r="A55" s="10" t="n">
        <v>40940</v>
      </c>
      <c r="B55" s="18">
        <f>IF(VLOOKUP(A55,'DB Country PMI'!$A:$AZ,MATCH($A$1,'DB Country PMI'!$A$1:$AZ$1,),)=0,#N/A,VLOOKUP(A55,'DB Country PMI'!$A:$AZ,MATCH($A$1,'DB Country PMI'!$A$1:$AZ$1,),))</f>
        <v/>
      </c>
      <c r="C55" s="24">
        <f>Table1346811121415[[#This Row],[PMI]]-B54</f>
        <v/>
      </c>
    </row>
    <row r="56">
      <c r="A56" s="10" t="n">
        <v>40969</v>
      </c>
      <c r="B56" s="18">
        <f>IF(VLOOKUP(A56,'DB Country PMI'!$A:$AZ,MATCH($A$1,'DB Country PMI'!$A$1:$AZ$1,),)=0,#N/A,VLOOKUP(A56,'DB Country PMI'!$A:$AZ,MATCH($A$1,'DB Country PMI'!$A$1:$AZ$1,),))</f>
        <v/>
      </c>
      <c r="C56" s="24">
        <f>Table1346811121415[[#This Row],[PMI]]-B55</f>
        <v/>
      </c>
    </row>
    <row r="57">
      <c r="A57" s="10" t="n">
        <v>41000</v>
      </c>
      <c r="B57" s="18">
        <f>IF(VLOOKUP(A57,'DB Country PMI'!$A:$AZ,MATCH($A$1,'DB Country PMI'!$A$1:$AZ$1,),)=0,#N/A,VLOOKUP(A57,'DB Country PMI'!$A:$AZ,MATCH($A$1,'DB Country PMI'!$A$1:$AZ$1,),))</f>
        <v/>
      </c>
      <c r="C57" s="24">
        <f>Table1346811121415[[#This Row],[PMI]]-B56</f>
        <v/>
      </c>
    </row>
    <row r="58">
      <c r="A58" s="10" t="n">
        <v>41030</v>
      </c>
      <c r="B58" s="18">
        <f>IF(VLOOKUP(A58,'DB Country PMI'!$A:$AZ,MATCH($A$1,'DB Country PMI'!$A$1:$AZ$1,),)=0,#N/A,VLOOKUP(A58,'DB Country PMI'!$A:$AZ,MATCH($A$1,'DB Country PMI'!$A$1:$AZ$1,),))</f>
        <v/>
      </c>
      <c r="C58" s="24">
        <f>Table1346811121415[[#This Row],[PMI]]-B57</f>
        <v/>
      </c>
    </row>
    <row r="59">
      <c r="A59" s="10" t="n">
        <v>41061</v>
      </c>
      <c r="B59" s="18">
        <f>IF(VLOOKUP(A59,'DB Country PMI'!$A:$AZ,MATCH($A$1,'DB Country PMI'!$A$1:$AZ$1,),)=0,#N/A,VLOOKUP(A59,'DB Country PMI'!$A:$AZ,MATCH($A$1,'DB Country PMI'!$A$1:$AZ$1,),))</f>
        <v/>
      </c>
      <c r="C59" s="24">
        <f>Table1346811121415[[#This Row],[PMI]]-B58</f>
        <v/>
      </c>
    </row>
    <row r="60">
      <c r="A60" s="10" t="n">
        <v>41091</v>
      </c>
      <c r="B60" s="18">
        <f>IF(VLOOKUP(A60,'DB Country PMI'!$A:$AZ,MATCH($A$1,'DB Country PMI'!$A$1:$AZ$1,),)=0,#N/A,VLOOKUP(A60,'DB Country PMI'!$A:$AZ,MATCH($A$1,'DB Country PMI'!$A$1:$AZ$1,),))</f>
        <v/>
      </c>
      <c r="C60" s="24">
        <f>Table1346811121415[[#This Row],[PMI]]-B59</f>
        <v/>
      </c>
    </row>
    <row r="61">
      <c r="A61" s="10" t="n">
        <v>41122</v>
      </c>
      <c r="B61" s="18">
        <f>IF(VLOOKUP(A61,'DB Country PMI'!$A:$AZ,MATCH($A$1,'DB Country PMI'!$A$1:$AZ$1,),)=0,#N/A,VLOOKUP(A61,'DB Country PMI'!$A:$AZ,MATCH($A$1,'DB Country PMI'!$A$1:$AZ$1,),))</f>
        <v/>
      </c>
      <c r="C61" s="24">
        <f>Table1346811121415[[#This Row],[PMI]]-B60</f>
        <v/>
      </c>
    </row>
    <row r="62">
      <c r="A62" s="10" t="n">
        <v>41153</v>
      </c>
      <c r="B62" s="18">
        <f>IF(VLOOKUP(A62,'DB Country PMI'!$A:$AZ,MATCH($A$1,'DB Country PMI'!$A$1:$AZ$1,),)=0,#N/A,VLOOKUP(A62,'DB Country PMI'!$A:$AZ,MATCH($A$1,'DB Country PMI'!$A$1:$AZ$1,),))</f>
        <v/>
      </c>
      <c r="C62" s="24">
        <f>Table1346811121415[[#This Row],[PMI]]-B61</f>
        <v/>
      </c>
    </row>
    <row r="63">
      <c r="A63" s="10" t="n">
        <v>41183</v>
      </c>
      <c r="B63" s="18">
        <f>IF(VLOOKUP(A63,'DB Country PMI'!$A:$AZ,MATCH($A$1,'DB Country PMI'!$A$1:$AZ$1,),)=0,#N/A,VLOOKUP(A63,'DB Country PMI'!$A:$AZ,MATCH($A$1,'DB Country PMI'!$A$1:$AZ$1,),))</f>
        <v/>
      </c>
      <c r="C63" s="24">
        <f>Table1346811121415[[#This Row],[PMI]]-B62</f>
        <v/>
      </c>
    </row>
    <row r="64">
      <c r="A64" s="10" t="n">
        <v>41214</v>
      </c>
      <c r="B64" s="18">
        <f>IF(VLOOKUP(A64,'DB Country PMI'!$A:$AZ,MATCH($A$1,'DB Country PMI'!$A$1:$AZ$1,),)=0,#N/A,VLOOKUP(A64,'DB Country PMI'!$A:$AZ,MATCH($A$1,'DB Country PMI'!$A$1:$AZ$1,),))</f>
        <v/>
      </c>
      <c r="C64" s="24">
        <f>Table1346811121415[[#This Row],[PMI]]-B63</f>
        <v/>
      </c>
    </row>
    <row r="65">
      <c r="A65" s="10" t="n">
        <v>41244</v>
      </c>
      <c r="B65" s="18">
        <f>IF(VLOOKUP(A65,'DB Country PMI'!$A:$AZ,MATCH($A$1,'DB Country PMI'!$A$1:$AZ$1,),)=0,#N/A,VLOOKUP(A65,'DB Country PMI'!$A:$AZ,MATCH($A$1,'DB Country PMI'!$A$1:$AZ$1,),))</f>
        <v/>
      </c>
      <c r="C65" s="24">
        <f>Table1346811121415[[#This Row],[PMI]]-B64</f>
        <v/>
      </c>
    </row>
    <row r="66">
      <c r="A66" s="10" t="n">
        <v>41275</v>
      </c>
      <c r="B66" s="18">
        <f>IF(VLOOKUP(A66,'DB Country PMI'!$A:$AZ,MATCH($A$1,'DB Country PMI'!$A$1:$AZ$1,),)=0,#N/A,VLOOKUP(A66,'DB Country PMI'!$A:$AZ,MATCH($A$1,'DB Country PMI'!$A$1:$AZ$1,),))</f>
        <v/>
      </c>
      <c r="C66" s="24">
        <f>Table1346811121415[[#This Row],[PMI]]-B65</f>
        <v/>
      </c>
    </row>
    <row r="67">
      <c r="A67" s="10" t="n">
        <v>41306</v>
      </c>
      <c r="B67" s="18">
        <f>IF(VLOOKUP(A67,'DB Country PMI'!$A:$AZ,MATCH($A$1,'DB Country PMI'!$A$1:$AZ$1,),)=0,#N/A,VLOOKUP(A67,'DB Country PMI'!$A:$AZ,MATCH($A$1,'DB Country PMI'!$A$1:$AZ$1,),))</f>
        <v/>
      </c>
      <c r="C67" s="24">
        <f>Table1346811121415[[#This Row],[PMI]]-B66</f>
        <v/>
      </c>
    </row>
    <row r="68">
      <c r="A68" s="10" t="n">
        <v>41334</v>
      </c>
      <c r="B68" s="18">
        <f>IF(VLOOKUP(A68,'DB Country PMI'!$A:$AZ,MATCH($A$1,'DB Country PMI'!$A$1:$AZ$1,),)=0,#N/A,VLOOKUP(A68,'DB Country PMI'!$A:$AZ,MATCH($A$1,'DB Country PMI'!$A$1:$AZ$1,),))</f>
        <v/>
      </c>
      <c r="C68" s="24">
        <f>Table1346811121415[[#This Row],[PMI]]-B67</f>
        <v/>
      </c>
    </row>
    <row r="69">
      <c r="A69" s="10" t="n">
        <v>41365</v>
      </c>
      <c r="B69" s="18">
        <f>IF(VLOOKUP(A69,'DB Country PMI'!$A:$AZ,MATCH($A$1,'DB Country PMI'!$A$1:$AZ$1,),)=0,#N/A,VLOOKUP(A69,'DB Country PMI'!$A:$AZ,MATCH($A$1,'DB Country PMI'!$A$1:$AZ$1,),))</f>
        <v/>
      </c>
      <c r="C69" s="24">
        <f>Table1346811121415[[#This Row],[PMI]]-B68</f>
        <v/>
      </c>
    </row>
    <row r="70">
      <c r="A70" s="10" t="n">
        <v>41395</v>
      </c>
      <c r="B70" s="18">
        <f>IF(VLOOKUP(A70,'DB Country PMI'!$A:$AZ,MATCH($A$1,'DB Country PMI'!$A$1:$AZ$1,),)=0,#N/A,VLOOKUP(A70,'DB Country PMI'!$A:$AZ,MATCH($A$1,'DB Country PMI'!$A$1:$AZ$1,),))</f>
        <v/>
      </c>
      <c r="C70" s="24">
        <f>Table1346811121415[[#This Row],[PMI]]-B69</f>
        <v/>
      </c>
    </row>
    <row r="71">
      <c r="A71" s="10" t="n">
        <v>41426</v>
      </c>
      <c r="B71" s="18">
        <f>IF(VLOOKUP(A71,'DB Country PMI'!$A:$AZ,MATCH($A$1,'DB Country PMI'!$A$1:$AZ$1,),)=0,#N/A,VLOOKUP(A71,'DB Country PMI'!$A:$AZ,MATCH($A$1,'DB Country PMI'!$A$1:$AZ$1,),))</f>
        <v/>
      </c>
      <c r="C71" s="24">
        <f>Table1346811121415[[#This Row],[PMI]]-B70</f>
        <v/>
      </c>
    </row>
    <row r="72">
      <c r="A72" s="10" t="n">
        <v>41456</v>
      </c>
      <c r="B72" s="18">
        <f>IF(VLOOKUP(A72,'DB Country PMI'!$A:$AZ,MATCH($A$1,'DB Country PMI'!$A$1:$AZ$1,),)=0,#N/A,VLOOKUP(A72,'DB Country PMI'!$A:$AZ,MATCH($A$1,'DB Country PMI'!$A$1:$AZ$1,),))</f>
        <v/>
      </c>
      <c r="C72" s="24">
        <f>Table1346811121415[[#This Row],[PMI]]-B71</f>
        <v/>
      </c>
    </row>
    <row r="73">
      <c r="A73" s="10" t="n">
        <v>41487</v>
      </c>
      <c r="B73" s="18">
        <f>IF(VLOOKUP(A73,'DB Country PMI'!$A:$AZ,MATCH($A$1,'DB Country PMI'!$A$1:$AZ$1,),)=0,#N/A,VLOOKUP(A73,'DB Country PMI'!$A:$AZ,MATCH($A$1,'DB Country PMI'!$A$1:$AZ$1,),))</f>
        <v/>
      </c>
      <c r="C73" s="24">
        <f>Table1346811121415[[#This Row],[PMI]]-B72</f>
        <v/>
      </c>
    </row>
    <row r="74">
      <c r="A74" s="10" t="n">
        <v>41518</v>
      </c>
      <c r="B74" s="18">
        <f>IF(VLOOKUP(A74,'DB Country PMI'!$A:$AZ,MATCH($A$1,'DB Country PMI'!$A$1:$AZ$1,),)=0,#N/A,VLOOKUP(A74,'DB Country PMI'!$A:$AZ,MATCH($A$1,'DB Country PMI'!$A$1:$AZ$1,),))</f>
        <v/>
      </c>
      <c r="C74" s="24">
        <f>Table1346811121415[[#This Row],[PMI]]-B73</f>
        <v/>
      </c>
    </row>
    <row r="75">
      <c r="A75" s="10" t="n">
        <v>41548</v>
      </c>
      <c r="B75" s="18">
        <f>IF(VLOOKUP(A75,'DB Country PMI'!$A:$AZ,MATCH($A$1,'DB Country PMI'!$A$1:$AZ$1,),)=0,#N/A,VLOOKUP(A75,'DB Country PMI'!$A:$AZ,MATCH($A$1,'DB Country PMI'!$A$1:$AZ$1,),))</f>
        <v/>
      </c>
      <c r="C75" s="24">
        <f>Table1346811121415[[#This Row],[PMI]]-B74</f>
        <v/>
      </c>
    </row>
    <row r="76">
      <c r="A76" s="10" t="n">
        <v>41579</v>
      </c>
      <c r="B76" s="18">
        <f>IF(VLOOKUP(A76,'DB Country PMI'!$A:$AZ,MATCH($A$1,'DB Country PMI'!$A$1:$AZ$1,),)=0,#N/A,VLOOKUP(A76,'DB Country PMI'!$A:$AZ,MATCH($A$1,'DB Country PMI'!$A$1:$AZ$1,),))</f>
        <v/>
      </c>
      <c r="C76" s="24">
        <f>Table1346811121415[[#This Row],[PMI]]-B75</f>
        <v/>
      </c>
    </row>
    <row r="77">
      <c r="A77" s="10" t="n">
        <v>41609</v>
      </c>
      <c r="B77" s="18">
        <f>IF(VLOOKUP(A77,'DB Country PMI'!$A:$AZ,MATCH($A$1,'DB Country PMI'!$A$1:$AZ$1,),)=0,#N/A,VLOOKUP(A77,'DB Country PMI'!$A:$AZ,MATCH($A$1,'DB Country PMI'!$A$1:$AZ$1,),))</f>
        <v/>
      </c>
      <c r="C77" s="24">
        <f>Table1346811121415[[#This Row],[PMI]]-B76</f>
        <v/>
      </c>
    </row>
    <row r="78">
      <c r="A78" s="10" t="n">
        <v>41640</v>
      </c>
      <c r="B78" s="18">
        <f>IF(VLOOKUP(A78,'DB Country PMI'!$A:$AZ,MATCH($A$1,'DB Country PMI'!$A$1:$AZ$1,),)=0,#N/A,VLOOKUP(A78,'DB Country PMI'!$A:$AZ,MATCH($A$1,'DB Country PMI'!$A$1:$AZ$1,),))</f>
        <v/>
      </c>
      <c r="C78" s="24">
        <f>Table1346811121415[[#This Row],[PMI]]-B77</f>
        <v/>
      </c>
    </row>
    <row r="79">
      <c r="A79" s="10" t="n">
        <v>41671</v>
      </c>
      <c r="B79" s="18">
        <f>IF(VLOOKUP(A79,'DB Country PMI'!$A:$AZ,MATCH($A$1,'DB Country PMI'!$A$1:$AZ$1,),)=0,#N/A,VLOOKUP(A79,'DB Country PMI'!$A:$AZ,MATCH($A$1,'DB Country PMI'!$A$1:$AZ$1,),))</f>
        <v/>
      </c>
      <c r="C79" s="24">
        <f>Table1346811121415[[#This Row],[PMI]]-B78</f>
        <v/>
      </c>
    </row>
    <row r="80">
      <c r="A80" s="10" t="n">
        <v>41699</v>
      </c>
      <c r="B80" s="18">
        <f>IF(VLOOKUP(A80,'DB Country PMI'!$A:$AZ,MATCH($A$1,'DB Country PMI'!$A$1:$AZ$1,),)=0,#N/A,VLOOKUP(A80,'DB Country PMI'!$A:$AZ,MATCH($A$1,'DB Country PMI'!$A$1:$AZ$1,),))</f>
        <v/>
      </c>
      <c r="C80" s="24">
        <f>Table1346811121415[[#This Row],[PMI]]-B79</f>
        <v/>
      </c>
    </row>
    <row r="81">
      <c r="A81" s="10" t="n">
        <v>41730</v>
      </c>
      <c r="B81" s="18">
        <f>IF(VLOOKUP(A81,'DB Country PMI'!$A:$AZ,MATCH($A$1,'DB Country PMI'!$A$1:$AZ$1,),)=0,#N/A,VLOOKUP(A81,'DB Country PMI'!$A:$AZ,MATCH($A$1,'DB Country PMI'!$A$1:$AZ$1,),))</f>
        <v/>
      </c>
      <c r="C81" s="24">
        <f>Table1346811121415[[#This Row],[PMI]]-B80</f>
        <v/>
      </c>
    </row>
    <row r="82">
      <c r="A82" s="10" t="n">
        <v>41760</v>
      </c>
      <c r="B82" s="18">
        <f>IF(VLOOKUP(A82,'DB Country PMI'!$A:$AZ,MATCH($A$1,'DB Country PMI'!$A$1:$AZ$1,),)=0,#N/A,VLOOKUP(A82,'DB Country PMI'!$A:$AZ,MATCH($A$1,'DB Country PMI'!$A$1:$AZ$1,),))</f>
        <v/>
      </c>
      <c r="C82" s="24">
        <f>Table1346811121415[[#This Row],[PMI]]-B81</f>
        <v/>
      </c>
    </row>
    <row r="83">
      <c r="A83" s="10" t="n">
        <v>41791</v>
      </c>
      <c r="B83" s="18">
        <f>IF(VLOOKUP(A83,'DB Country PMI'!$A:$AZ,MATCH($A$1,'DB Country PMI'!$A$1:$AZ$1,),)=0,#N/A,VLOOKUP(A83,'DB Country PMI'!$A:$AZ,MATCH($A$1,'DB Country PMI'!$A$1:$AZ$1,),))</f>
        <v/>
      </c>
      <c r="C83" s="24">
        <f>Table1346811121415[[#This Row],[PMI]]-B82</f>
        <v/>
      </c>
    </row>
    <row r="84">
      <c r="A84" s="10" t="n">
        <v>41821</v>
      </c>
      <c r="B84" s="18">
        <f>IF(VLOOKUP(A84,'DB Country PMI'!$A:$AZ,MATCH($A$1,'DB Country PMI'!$A$1:$AZ$1,),)=0,#N/A,VLOOKUP(A84,'DB Country PMI'!$A:$AZ,MATCH($A$1,'DB Country PMI'!$A$1:$AZ$1,),))</f>
        <v/>
      </c>
      <c r="C84" s="24">
        <f>Table1346811121415[[#This Row],[PMI]]-B83</f>
        <v/>
      </c>
    </row>
    <row r="85">
      <c r="A85" s="10" t="n">
        <v>41852</v>
      </c>
      <c r="B85" s="18">
        <f>IF(VLOOKUP(A85,'DB Country PMI'!$A:$AZ,MATCH($A$1,'DB Country PMI'!$A$1:$AZ$1,),)=0,#N/A,VLOOKUP(A85,'DB Country PMI'!$A:$AZ,MATCH($A$1,'DB Country PMI'!$A$1:$AZ$1,),))</f>
        <v/>
      </c>
      <c r="C85" s="24">
        <f>Table1346811121415[[#This Row],[PMI]]-B84</f>
        <v/>
      </c>
    </row>
    <row r="86">
      <c r="A86" s="10" t="n">
        <v>41883</v>
      </c>
      <c r="B86" s="18">
        <f>IF(VLOOKUP(A86,'DB Country PMI'!$A:$AZ,MATCH($A$1,'DB Country PMI'!$A$1:$AZ$1,),)=0,#N/A,VLOOKUP(A86,'DB Country PMI'!$A:$AZ,MATCH($A$1,'DB Country PMI'!$A$1:$AZ$1,),))</f>
        <v/>
      </c>
      <c r="C86" s="24">
        <f>Table1346811121415[[#This Row],[PMI]]-B85</f>
        <v/>
      </c>
    </row>
    <row r="87">
      <c r="A87" s="10" t="n">
        <v>41913</v>
      </c>
      <c r="B87" s="18">
        <f>IF(VLOOKUP(A87,'DB Country PMI'!$A:$AZ,MATCH($A$1,'DB Country PMI'!$A$1:$AZ$1,),)=0,#N/A,VLOOKUP(A87,'DB Country PMI'!$A:$AZ,MATCH($A$1,'DB Country PMI'!$A$1:$AZ$1,),))</f>
        <v/>
      </c>
      <c r="C87" s="24">
        <f>Table1346811121415[[#This Row],[PMI]]-B86</f>
        <v/>
      </c>
    </row>
    <row r="88">
      <c r="A88" s="10" t="n">
        <v>41944</v>
      </c>
      <c r="B88" s="18">
        <f>IF(VLOOKUP(A88,'DB Country PMI'!$A:$AZ,MATCH($A$1,'DB Country PMI'!$A$1:$AZ$1,),)=0,#N/A,VLOOKUP(A88,'DB Country PMI'!$A:$AZ,MATCH($A$1,'DB Country PMI'!$A$1:$AZ$1,),))</f>
        <v/>
      </c>
      <c r="C88" s="24">
        <f>Table1346811121415[[#This Row],[PMI]]-B87</f>
        <v/>
      </c>
    </row>
    <row r="89">
      <c r="A89" s="10" t="n">
        <v>41974</v>
      </c>
      <c r="B89" s="18">
        <f>IF(VLOOKUP(A89,'DB Country PMI'!$A:$AZ,MATCH($A$1,'DB Country PMI'!$A$1:$AZ$1,),)=0,#N/A,VLOOKUP(A89,'DB Country PMI'!$A:$AZ,MATCH($A$1,'DB Country PMI'!$A$1:$AZ$1,),))</f>
        <v/>
      </c>
      <c r="C89" s="24">
        <f>Table1346811121415[[#This Row],[PMI]]-B88</f>
        <v/>
      </c>
    </row>
    <row r="90">
      <c r="A90" s="10" t="n">
        <v>42005</v>
      </c>
      <c r="B90" s="18">
        <f>IF(VLOOKUP(A90,'DB Country PMI'!$A:$AZ,MATCH($A$1,'DB Country PMI'!$A$1:$AZ$1,),)=0,#N/A,VLOOKUP(A90,'DB Country PMI'!$A:$AZ,MATCH($A$1,'DB Country PMI'!$A$1:$AZ$1,),))</f>
        <v/>
      </c>
      <c r="C90" s="24">
        <f>Table1346811121415[[#This Row],[PMI]]-B89</f>
        <v/>
      </c>
    </row>
    <row r="91">
      <c r="A91" s="10" t="n">
        <v>42036</v>
      </c>
      <c r="B91" s="18">
        <f>IF(VLOOKUP(A91,'DB Country PMI'!$A:$AZ,MATCH($A$1,'DB Country PMI'!$A$1:$AZ$1,),)=0,#N/A,VLOOKUP(A91,'DB Country PMI'!$A:$AZ,MATCH($A$1,'DB Country PMI'!$A$1:$AZ$1,),))</f>
        <v/>
      </c>
      <c r="C91" s="24">
        <f>Table1346811121415[[#This Row],[PMI]]-B90</f>
        <v/>
      </c>
    </row>
    <row r="92">
      <c r="A92" s="10" t="n">
        <v>42064</v>
      </c>
      <c r="B92" s="18">
        <f>IF(VLOOKUP(A92,'DB Country PMI'!$A:$AZ,MATCH($A$1,'DB Country PMI'!$A$1:$AZ$1,),)=0,#N/A,VLOOKUP(A92,'DB Country PMI'!$A:$AZ,MATCH($A$1,'DB Country PMI'!$A$1:$AZ$1,),))</f>
        <v/>
      </c>
      <c r="C92" s="24">
        <f>Table1346811121415[[#This Row],[PMI]]-B91</f>
        <v/>
      </c>
    </row>
    <row r="93">
      <c r="A93" s="10" t="n">
        <v>42095</v>
      </c>
      <c r="B93" s="18">
        <f>IF(VLOOKUP(A93,'DB Country PMI'!$A:$AZ,MATCH($A$1,'DB Country PMI'!$A$1:$AZ$1,),)=0,#N/A,VLOOKUP(A93,'DB Country PMI'!$A:$AZ,MATCH($A$1,'DB Country PMI'!$A$1:$AZ$1,),))</f>
        <v/>
      </c>
      <c r="C93" s="24">
        <f>Table1346811121415[[#This Row],[PMI]]-B92</f>
        <v/>
      </c>
    </row>
    <row r="94">
      <c r="A94" s="10" t="n">
        <v>42125</v>
      </c>
      <c r="B94" s="18">
        <f>IF(VLOOKUP(A94,'DB Country PMI'!$A:$AZ,MATCH($A$1,'DB Country PMI'!$A$1:$AZ$1,),)=0,#N/A,VLOOKUP(A94,'DB Country PMI'!$A:$AZ,MATCH($A$1,'DB Country PMI'!$A$1:$AZ$1,),))</f>
        <v/>
      </c>
      <c r="C94" s="24">
        <f>Table1346811121415[[#This Row],[PMI]]-B93</f>
        <v/>
      </c>
    </row>
    <row r="95">
      <c r="A95" s="10" t="n">
        <v>42156</v>
      </c>
      <c r="B95" s="18">
        <f>IF(VLOOKUP(A95,'DB Country PMI'!$A:$AZ,MATCH($A$1,'DB Country PMI'!$A$1:$AZ$1,),)=0,#N/A,VLOOKUP(A95,'DB Country PMI'!$A:$AZ,MATCH($A$1,'DB Country PMI'!$A$1:$AZ$1,),))</f>
        <v/>
      </c>
      <c r="C95" s="24">
        <f>Table1346811121415[[#This Row],[PMI]]-B94</f>
        <v/>
      </c>
    </row>
    <row r="96">
      <c r="A96" s="10" t="n">
        <v>42186</v>
      </c>
      <c r="B96" s="18">
        <f>IF(VLOOKUP(A96,'DB Country PMI'!$A:$AZ,MATCH($A$1,'DB Country PMI'!$A$1:$AZ$1,),)=0,#N/A,VLOOKUP(A96,'DB Country PMI'!$A:$AZ,MATCH($A$1,'DB Country PMI'!$A$1:$AZ$1,),))</f>
        <v/>
      </c>
      <c r="C96" s="24">
        <f>Table1346811121415[[#This Row],[PMI]]-B95</f>
        <v/>
      </c>
    </row>
    <row r="97">
      <c r="A97" s="10" t="n">
        <v>42217</v>
      </c>
      <c r="B97" s="18">
        <f>IF(VLOOKUP(A97,'DB Country PMI'!$A:$AZ,MATCH($A$1,'DB Country PMI'!$A$1:$AZ$1,),)=0,#N/A,VLOOKUP(A97,'DB Country PMI'!$A:$AZ,MATCH($A$1,'DB Country PMI'!$A$1:$AZ$1,),))</f>
        <v/>
      </c>
      <c r="C97" s="24">
        <f>Table1346811121415[[#This Row],[PMI]]-B96</f>
        <v/>
      </c>
    </row>
    <row r="98">
      <c r="A98" s="10" t="n">
        <v>42248</v>
      </c>
      <c r="B98" s="18">
        <f>IF(VLOOKUP(A98,'DB Country PMI'!$A:$AZ,MATCH($A$1,'DB Country PMI'!$A$1:$AZ$1,),)=0,#N/A,VLOOKUP(A98,'DB Country PMI'!$A:$AZ,MATCH($A$1,'DB Country PMI'!$A$1:$AZ$1,),))</f>
        <v/>
      </c>
      <c r="C98" s="24">
        <f>Table1346811121415[[#This Row],[PMI]]-B97</f>
        <v/>
      </c>
    </row>
    <row r="99">
      <c r="A99" s="10" t="n">
        <v>42278</v>
      </c>
      <c r="B99" s="18">
        <f>IF(VLOOKUP(A99,'DB Country PMI'!$A:$AZ,MATCH($A$1,'DB Country PMI'!$A$1:$AZ$1,),)=0,#N/A,VLOOKUP(A99,'DB Country PMI'!$A:$AZ,MATCH($A$1,'DB Country PMI'!$A$1:$AZ$1,),))</f>
        <v/>
      </c>
      <c r="C99" s="24">
        <f>Table1346811121415[[#This Row],[PMI]]-B98</f>
        <v/>
      </c>
    </row>
    <row r="100">
      <c r="A100" s="10" t="n">
        <v>42309</v>
      </c>
      <c r="B100" s="18">
        <f>IF(VLOOKUP(A100,'DB Country PMI'!$A:$AZ,MATCH($A$1,'DB Country PMI'!$A$1:$AZ$1,),)=0,#N/A,VLOOKUP(A100,'DB Country PMI'!$A:$AZ,MATCH($A$1,'DB Country PMI'!$A$1:$AZ$1,),))</f>
        <v/>
      </c>
      <c r="C100" s="24">
        <f>Table1346811121415[[#This Row],[PMI]]-B99</f>
        <v/>
      </c>
    </row>
    <row r="101">
      <c r="A101" s="10" t="n">
        <v>42339</v>
      </c>
      <c r="B101" s="18">
        <f>IF(VLOOKUP(A101,'DB Country PMI'!$A:$AZ,MATCH($A$1,'DB Country PMI'!$A$1:$AZ$1,),)=0,#N/A,VLOOKUP(A101,'DB Country PMI'!$A:$AZ,MATCH($A$1,'DB Country PMI'!$A$1:$AZ$1,),))</f>
        <v/>
      </c>
      <c r="C101" s="24">
        <f>Table1346811121415[[#This Row],[PMI]]-B100</f>
        <v/>
      </c>
    </row>
    <row r="102">
      <c r="A102" s="10" t="n">
        <v>42370</v>
      </c>
      <c r="B102" s="18">
        <f>IF(VLOOKUP(A102,'DB Country PMI'!$A:$AZ,MATCH($A$1,'DB Country PMI'!$A$1:$AZ$1,),)=0,#N/A,VLOOKUP(A102,'DB Country PMI'!$A:$AZ,MATCH($A$1,'DB Country PMI'!$A$1:$AZ$1,),))</f>
        <v/>
      </c>
      <c r="C102" s="24">
        <f>Table1346811121415[[#This Row],[PMI]]-B101</f>
        <v/>
      </c>
    </row>
    <row r="103">
      <c r="A103" s="10" t="n">
        <v>42401</v>
      </c>
      <c r="B103" s="18">
        <f>IF(VLOOKUP(A103,'DB Country PMI'!$A:$AZ,MATCH($A$1,'DB Country PMI'!$A$1:$AZ$1,),)=0,#N/A,VLOOKUP(A103,'DB Country PMI'!$A:$AZ,MATCH($A$1,'DB Country PMI'!$A$1:$AZ$1,),))</f>
        <v/>
      </c>
      <c r="C103" s="24">
        <f>Table1346811121415[[#This Row],[PMI]]-B102</f>
        <v/>
      </c>
    </row>
    <row r="104">
      <c r="A104" s="10" t="n">
        <v>42430</v>
      </c>
      <c r="B104" s="18">
        <f>IF(VLOOKUP(A104,'DB Country PMI'!$A:$AZ,MATCH($A$1,'DB Country PMI'!$A$1:$AZ$1,),)=0,#N/A,VLOOKUP(A104,'DB Country PMI'!$A:$AZ,MATCH($A$1,'DB Country PMI'!$A$1:$AZ$1,),))</f>
        <v/>
      </c>
      <c r="C104" s="24">
        <f>Table1346811121415[[#This Row],[PMI]]-B103</f>
        <v/>
      </c>
    </row>
    <row r="105">
      <c r="A105" s="10" t="n">
        <v>42461</v>
      </c>
      <c r="B105" s="18">
        <f>IF(VLOOKUP(A105,'DB Country PMI'!$A:$AZ,MATCH($A$1,'DB Country PMI'!$A$1:$AZ$1,),)=0,#N/A,VLOOKUP(A105,'DB Country PMI'!$A:$AZ,MATCH($A$1,'DB Country PMI'!$A$1:$AZ$1,),))</f>
        <v/>
      </c>
      <c r="C105" s="24">
        <f>Table1346811121415[[#This Row],[PMI]]-B104</f>
        <v/>
      </c>
    </row>
    <row r="106">
      <c r="A106" s="10" t="n">
        <v>42491</v>
      </c>
      <c r="B106" s="18">
        <f>IF(VLOOKUP(A106,'DB Country PMI'!$A:$AZ,MATCH($A$1,'DB Country PMI'!$A$1:$AZ$1,),)=0,#N/A,VLOOKUP(A106,'DB Country PMI'!$A:$AZ,MATCH($A$1,'DB Country PMI'!$A$1:$AZ$1,),))</f>
        <v/>
      </c>
      <c r="C106" s="24">
        <f>Table1346811121415[[#This Row],[PMI]]-B105</f>
        <v/>
      </c>
    </row>
    <row r="107">
      <c r="A107" s="10" t="n">
        <v>42522</v>
      </c>
      <c r="B107" s="18">
        <f>IF(VLOOKUP(A107,'DB Country PMI'!$A:$AZ,MATCH($A$1,'DB Country PMI'!$A$1:$AZ$1,),)=0,#N/A,VLOOKUP(A107,'DB Country PMI'!$A:$AZ,MATCH($A$1,'DB Country PMI'!$A$1:$AZ$1,),))</f>
        <v/>
      </c>
      <c r="C107" s="24">
        <f>Table1346811121415[[#This Row],[PMI]]-B106</f>
        <v/>
      </c>
    </row>
    <row r="108">
      <c r="A108" s="10" t="n">
        <v>42552</v>
      </c>
      <c r="B108" s="18">
        <f>IF(VLOOKUP(A108,'DB Country PMI'!$A:$AZ,MATCH($A$1,'DB Country PMI'!$A$1:$AZ$1,),)=0,#N/A,VLOOKUP(A108,'DB Country PMI'!$A:$AZ,MATCH($A$1,'DB Country PMI'!$A$1:$AZ$1,),))</f>
        <v/>
      </c>
      <c r="C108" s="24">
        <f>Table1346811121415[[#This Row],[PMI]]-B107</f>
        <v/>
      </c>
    </row>
    <row r="109">
      <c r="A109" s="10" t="n">
        <v>42583</v>
      </c>
      <c r="B109" s="18">
        <f>IF(VLOOKUP(A109,'DB Country PMI'!$A:$AZ,MATCH($A$1,'DB Country PMI'!$A$1:$AZ$1,),)=0,#N/A,VLOOKUP(A109,'DB Country PMI'!$A:$AZ,MATCH($A$1,'DB Country PMI'!$A$1:$AZ$1,),))</f>
        <v/>
      </c>
      <c r="C109" s="24">
        <f>Table1346811121415[[#This Row],[PMI]]-B108</f>
        <v/>
      </c>
    </row>
    <row r="110">
      <c r="A110" s="10" t="n">
        <v>42614</v>
      </c>
      <c r="B110" s="18">
        <f>IF(VLOOKUP(A110,'DB Country PMI'!$A:$AZ,MATCH($A$1,'DB Country PMI'!$A$1:$AZ$1,),)=0,#N/A,VLOOKUP(A110,'DB Country PMI'!$A:$AZ,MATCH($A$1,'DB Country PMI'!$A$1:$AZ$1,),))</f>
        <v/>
      </c>
      <c r="C110" s="24">
        <f>Table1346811121415[[#This Row],[PMI]]-B109</f>
        <v/>
      </c>
    </row>
    <row r="111">
      <c r="A111" s="10" t="n">
        <v>42644</v>
      </c>
      <c r="B111" s="18">
        <f>IF(VLOOKUP(A111,'DB Country PMI'!$A:$AZ,MATCH($A$1,'DB Country PMI'!$A$1:$AZ$1,),)=0,#N/A,VLOOKUP(A111,'DB Country PMI'!$A:$AZ,MATCH($A$1,'DB Country PMI'!$A$1:$AZ$1,),))</f>
        <v/>
      </c>
      <c r="C111" s="24">
        <f>Table1346811121415[[#This Row],[PMI]]-B110</f>
        <v/>
      </c>
    </row>
    <row r="112">
      <c r="A112" s="10" t="n">
        <v>42675</v>
      </c>
      <c r="B112" s="18">
        <f>IF(VLOOKUP(A112,'DB Country PMI'!$A:$AZ,MATCH($A$1,'DB Country PMI'!$A$1:$AZ$1,),)=0,#N/A,VLOOKUP(A112,'DB Country PMI'!$A:$AZ,MATCH($A$1,'DB Country PMI'!$A$1:$AZ$1,),))</f>
        <v/>
      </c>
      <c r="C112" s="24">
        <f>Table1346811121415[[#This Row],[PMI]]-B111</f>
        <v/>
      </c>
    </row>
    <row r="113">
      <c r="A113" s="10" t="n">
        <v>42705</v>
      </c>
      <c r="B113" s="18">
        <f>IF(VLOOKUP(A113,'DB Country PMI'!$A:$AZ,MATCH($A$1,'DB Country PMI'!$A$1:$AZ$1,),)=0,#N/A,VLOOKUP(A113,'DB Country PMI'!$A:$AZ,MATCH($A$1,'DB Country PMI'!$A$1:$AZ$1,),))</f>
        <v/>
      </c>
      <c r="C113" s="24">
        <f>Table1346811121415[[#This Row],[PMI]]-B112</f>
        <v/>
      </c>
    </row>
    <row r="114">
      <c r="A114" s="10" t="n">
        <v>42736</v>
      </c>
      <c r="B114" s="18">
        <f>IF(VLOOKUP(A114,'DB Country PMI'!$A:$AZ,MATCH($A$1,'DB Country PMI'!$A$1:$AZ$1,),)=0,#N/A,VLOOKUP(A114,'DB Country PMI'!$A:$AZ,MATCH($A$1,'DB Country PMI'!$A$1:$AZ$1,),))</f>
        <v/>
      </c>
      <c r="C114" s="24">
        <f>Table1346811121415[[#This Row],[PMI]]-B113</f>
        <v/>
      </c>
    </row>
    <row r="115">
      <c r="A115" s="10" t="n">
        <v>42767</v>
      </c>
      <c r="B115" s="18">
        <f>IF(VLOOKUP(A115,'DB Country PMI'!$A:$AZ,MATCH($A$1,'DB Country PMI'!$A$1:$AZ$1,),)=0,#N/A,VLOOKUP(A115,'DB Country PMI'!$A:$AZ,MATCH($A$1,'DB Country PMI'!$A$1:$AZ$1,),))</f>
        <v/>
      </c>
      <c r="C115" s="24">
        <f>Table1346811121415[[#This Row],[PMI]]-B114</f>
        <v/>
      </c>
    </row>
    <row r="116">
      <c r="A116" s="10" t="n">
        <v>42795</v>
      </c>
      <c r="B116" s="18">
        <f>IF(VLOOKUP(A116,'DB Country PMI'!$A:$AZ,MATCH($A$1,'DB Country PMI'!$A$1:$AZ$1,),)=0,#N/A,VLOOKUP(A116,'DB Country PMI'!$A:$AZ,MATCH($A$1,'DB Country PMI'!$A$1:$AZ$1,),))</f>
        <v/>
      </c>
      <c r="C116" s="24">
        <f>Table1346811121415[[#This Row],[PMI]]-B115</f>
        <v/>
      </c>
    </row>
    <row r="117">
      <c r="A117" s="10" t="n">
        <v>42826</v>
      </c>
      <c r="B117" s="18">
        <f>IF(VLOOKUP(A117,'DB Country PMI'!$A:$AZ,MATCH($A$1,'DB Country PMI'!$A$1:$AZ$1,),)=0,#N/A,VLOOKUP(A117,'DB Country PMI'!$A:$AZ,MATCH($A$1,'DB Country PMI'!$A$1:$AZ$1,),))</f>
        <v/>
      </c>
      <c r="C117" s="24">
        <f>Table1346811121415[[#This Row],[PMI]]-B116</f>
        <v/>
      </c>
    </row>
    <row r="118">
      <c r="A118" s="10" t="n">
        <v>42856</v>
      </c>
      <c r="B118" s="18">
        <f>IF(VLOOKUP(A118,'DB Country PMI'!$A:$AZ,MATCH($A$1,'DB Country PMI'!$A$1:$AZ$1,),)=0,#N/A,VLOOKUP(A118,'DB Country PMI'!$A:$AZ,MATCH($A$1,'DB Country PMI'!$A$1:$AZ$1,),))</f>
        <v/>
      </c>
      <c r="C118" s="24">
        <f>Table1346811121415[[#This Row],[PMI]]-B117</f>
        <v/>
      </c>
    </row>
    <row r="119">
      <c r="A119" s="10" t="n">
        <v>42887</v>
      </c>
      <c r="B119" s="18">
        <f>IF(VLOOKUP(A119,'DB Country PMI'!$A:$AZ,MATCH($A$1,'DB Country PMI'!$A$1:$AZ$1,),)=0,#N/A,VLOOKUP(A119,'DB Country PMI'!$A:$AZ,MATCH($A$1,'DB Country PMI'!$A$1:$AZ$1,),))</f>
        <v/>
      </c>
      <c r="C119" s="24">
        <f>Table1346811121415[[#This Row],[PMI]]-B118</f>
        <v/>
      </c>
    </row>
    <row r="120">
      <c r="A120" s="10" t="n">
        <v>42917</v>
      </c>
      <c r="B120" s="18">
        <f>IF(VLOOKUP(A120,'DB Country PMI'!$A:$AZ,MATCH($A$1,'DB Country PMI'!$A$1:$AZ$1,),)=0,#N/A,VLOOKUP(A120,'DB Country PMI'!$A:$AZ,MATCH($A$1,'DB Country PMI'!$A$1:$AZ$1,),))</f>
        <v/>
      </c>
      <c r="C120" s="24">
        <f>Table1346811121415[[#This Row],[PMI]]-B119</f>
        <v/>
      </c>
    </row>
    <row r="121">
      <c r="A121" s="10" t="n">
        <v>42948</v>
      </c>
      <c r="B121" s="18">
        <f>IF(VLOOKUP(A121,'DB Country PMI'!$A:$AZ,MATCH($A$1,'DB Country PMI'!$A$1:$AZ$1,),)=0,#N/A,VLOOKUP(A121,'DB Country PMI'!$A:$AZ,MATCH($A$1,'DB Country PMI'!$A$1:$AZ$1,),))</f>
        <v/>
      </c>
      <c r="C121" s="24">
        <f>Table1346811121415[[#This Row],[PMI]]-B120</f>
        <v/>
      </c>
    </row>
    <row r="122">
      <c r="A122" s="10" t="n">
        <v>42979</v>
      </c>
      <c r="B122" s="18">
        <f>IF(VLOOKUP(A122,'DB Country PMI'!$A:$AZ,MATCH($A$1,'DB Country PMI'!$A$1:$AZ$1,),)=0,#N/A,VLOOKUP(A122,'DB Country PMI'!$A:$AZ,MATCH($A$1,'DB Country PMI'!$A$1:$AZ$1,),))</f>
        <v/>
      </c>
      <c r="C122" s="24">
        <f>Table1346811121415[[#This Row],[PMI]]-B121</f>
        <v/>
      </c>
    </row>
    <row r="123">
      <c r="A123" s="10" t="n">
        <v>43009</v>
      </c>
      <c r="B123" s="18">
        <f>IF(VLOOKUP(A123,'DB Country PMI'!$A:$AZ,MATCH($A$1,'DB Country PMI'!$A$1:$AZ$1,),)=0,#N/A,VLOOKUP(A123,'DB Country PMI'!$A:$AZ,MATCH($A$1,'DB Country PMI'!$A$1:$AZ$1,),))</f>
        <v/>
      </c>
      <c r="C123" s="24">
        <f>Table1346811121415[[#This Row],[PMI]]-B122</f>
        <v/>
      </c>
    </row>
    <row r="124">
      <c r="A124" s="10" t="n">
        <v>43040</v>
      </c>
      <c r="B124" s="18">
        <f>IF(VLOOKUP(A124,'DB Country PMI'!$A:$AZ,MATCH($A$1,'DB Country PMI'!$A$1:$AZ$1,),)=0,#N/A,VLOOKUP(A124,'DB Country PMI'!$A:$AZ,MATCH($A$1,'DB Country PMI'!$A$1:$AZ$1,),))</f>
        <v/>
      </c>
      <c r="C124" s="24">
        <f>Table1346811121415[[#This Row],[PMI]]-B123</f>
        <v/>
      </c>
    </row>
    <row r="125">
      <c r="A125" s="10" t="n">
        <v>43070</v>
      </c>
      <c r="B125" s="18">
        <f>IF(VLOOKUP(A125,'DB Country PMI'!$A:$AZ,MATCH($A$1,'DB Country PMI'!$A$1:$AZ$1,),)=0,#N/A,VLOOKUP(A125,'DB Country PMI'!$A:$AZ,MATCH($A$1,'DB Country PMI'!$A$1:$AZ$1,),))</f>
        <v/>
      </c>
      <c r="C125" s="24">
        <f>Table1346811121415[[#This Row],[PMI]]-B124</f>
        <v/>
      </c>
    </row>
    <row r="126">
      <c r="A126" s="10" t="n">
        <v>43101</v>
      </c>
      <c r="B126" s="18">
        <f>IF(VLOOKUP(A126,'DB Country PMI'!$A:$AZ,MATCH($A$1,'DB Country PMI'!$A$1:$AZ$1,),)=0,#N/A,VLOOKUP(A126,'DB Country PMI'!$A:$AZ,MATCH($A$1,'DB Country PMI'!$A$1:$AZ$1,),))</f>
        <v/>
      </c>
      <c r="C126" s="24">
        <f>Table1346811121415[[#This Row],[PMI]]-B125</f>
        <v/>
      </c>
    </row>
    <row r="127">
      <c r="A127" s="10" t="n">
        <v>43132</v>
      </c>
      <c r="B127" s="18">
        <f>IF(VLOOKUP(A127,'DB Country PMI'!$A:$AZ,MATCH($A$1,'DB Country PMI'!$A$1:$AZ$1,),)=0,#N/A,VLOOKUP(A127,'DB Country PMI'!$A:$AZ,MATCH($A$1,'DB Country PMI'!$A$1:$AZ$1,),))</f>
        <v/>
      </c>
      <c r="C127" s="24">
        <f>Table1346811121415[[#This Row],[PMI]]-B126</f>
        <v/>
      </c>
    </row>
    <row r="128">
      <c r="A128" s="10" t="n">
        <v>43160</v>
      </c>
      <c r="B128" s="18">
        <f>IF(VLOOKUP(A128,'DB Country PMI'!$A:$AZ,MATCH($A$1,'DB Country PMI'!$A$1:$AZ$1,),)=0,#N/A,VLOOKUP(A128,'DB Country PMI'!$A:$AZ,MATCH($A$1,'DB Country PMI'!$A$1:$AZ$1,),))</f>
        <v/>
      </c>
      <c r="C128" s="24">
        <f>Table1346811121415[[#This Row],[PMI]]-B127</f>
        <v/>
      </c>
    </row>
    <row r="129">
      <c r="A129" s="10" t="n">
        <v>43191</v>
      </c>
      <c r="B129" s="18">
        <f>IF(VLOOKUP(A129,'DB Country PMI'!$A:$AZ,MATCH($A$1,'DB Country PMI'!$A$1:$AZ$1,),)=0,#N/A,VLOOKUP(A129,'DB Country PMI'!$A:$AZ,MATCH($A$1,'DB Country PMI'!$A$1:$AZ$1,),))</f>
        <v/>
      </c>
      <c r="C129" s="24">
        <f>Table1346811121415[[#This Row],[PMI]]-B128</f>
        <v/>
      </c>
    </row>
    <row r="130">
      <c r="A130" s="10" t="n">
        <v>43221</v>
      </c>
      <c r="B130" s="18">
        <f>IF(VLOOKUP(A130,'DB Country PMI'!$A:$AZ,MATCH($A$1,'DB Country PMI'!$A$1:$AZ$1,),)=0,#N/A,VLOOKUP(A130,'DB Country PMI'!$A:$AZ,MATCH($A$1,'DB Country PMI'!$A$1:$AZ$1,),))</f>
        <v/>
      </c>
      <c r="C130" s="24">
        <f>Table1346811121415[[#This Row],[PMI]]-B129</f>
        <v/>
      </c>
    </row>
    <row r="131">
      <c r="A131" s="10" t="n">
        <v>43252</v>
      </c>
      <c r="B131" s="18">
        <f>IF(VLOOKUP(A131,'DB Country PMI'!$A:$AZ,MATCH($A$1,'DB Country PMI'!$A$1:$AZ$1,),)=0,#N/A,VLOOKUP(A131,'DB Country PMI'!$A:$AZ,MATCH($A$1,'DB Country PMI'!$A$1:$AZ$1,),))</f>
        <v/>
      </c>
      <c r="C131" s="24">
        <f>Table1346811121415[[#This Row],[PMI]]-B130</f>
        <v/>
      </c>
    </row>
    <row r="132">
      <c r="A132" s="10" t="n">
        <v>43282</v>
      </c>
      <c r="B132" s="18">
        <f>IF(VLOOKUP(A132,'DB Country PMI'!$A:$AZ,MATCH($A$1,'DB Country PMI'!$A$1:$AZ$1,),)=0,#N/A,VLOOKUP(A132,'DB Country PMI'!$A:$AZ,MATCH($A$1,'DB Country PMI'!$A$1:$AZ$1,),))</f>
        <v/>
      </c>
      <c r="C132" s="24">
        <f>Table1346811121415[[#This Row],[PMI]]-B131</f>
        <v/>
      </c>
    </row>
    <row r="133">
      <c r="A133" s="10" t="n">
        <v>43313</v>
      </c>
      <c r="B133" s="18">
        <f>IF(VLOOKUP(A133,'DB Country PMI'!$A:$AZ,MATCH($A$1,'DB Country PMI'!$A$1:$AZ$1,),)=0,#N/A,VLOOKUP(A133,'DB Country PMI'!$A:$AZ,MATCH($A$1,'DB Country PMI'!$A$1:$AZ$1,),))</f>
        <v/>
      </c>
      <c r="C133" s="24">
        <f>Table1346811121415[[#This Row],[PMI]]-B132</f>
        <v/>
      </c>
    </row>
    <row r="134">
      <c r="A134" s="10" t="n">
        <v>43344</v>
      </c>
      <c r="B134" s="18">
        <f>IF(VLOOKUP(A134,'DB Country PMI'!$A:$AZ,MATCH($A$1,'DB Country PMI'!$A$1:$AZ$1,),)=0,#N/A,VLOOKUP(A134,'DB Country PMI'!$A:$AZ,MATCH($A$1,'DB Country PMI'!$A$1:$AZ$1,),))</f>
        <v/>
      </c>
      <c r="C134" s="24">
        <f>Table1346811121415[[#This Row],[PMI]]-B133</f>
        <v/>
      </c>
    </row>
    <row r="135">
      <c r="A135" s="10" t="n">
        <v>43374</v>
      </c>
      <c r="B135" s="18">
        <f>IF(VLOOKUP(A135,'DB Country PMI'!$A:$AZ,MATCH($A$1,'DB Country PMI'!$A$1:$AZ$1,),)=0,#N/A,VLOOKUP(A135,'DB Country PMI'!$A:$AZ,MATCH($A$1,'DB Country PMI'!$A$1:$AZ$1,),))</f>
        <v/>
      </c>
      <c r="C135" s="24">
        <f>Table1346811121415[[#This Row],[PMI]]-B134</f>
        <v/>
      </c>
    </row>
    <row r="136">
      <c r="A136" s="10" t="n">
        <v>43405</v>
      </c>
      <c r="B136" s="18">
        <f>IF(VLOOKUP(A136,'DB Country PMI'!$A:$AZ,MATCH($A$1,'DB Country PMI'!$A$1:$AZ$1,),)=0,#N/A,VLOOKUP(A136,'DB Country PMI'!$A:$AZ,MATCH($A$1,'DB Country PMI'!$A$1:$AZ$1,),))</f>
        <v/>
      </c>
      <c r="C136" s="24">
        <f>Table1346811121415[[#This Row],[PMI]]-B135</f>
        <v/>
      </c>
    </row>
    <row r="137">
      <c r="A137" s="10" t="n">
        <v>43435</v>
      </c>
      <c r="B137" s="18">
        <f>IF(VLOOKUP(A137,'DB Country PMI'!$A:$AZ,MATCH($A$1,'DB Country PMI'!$A$1:$AZ$1,),)=0,#N/A,VLOOKUP(A137,'DB Country PMI'!$A:$AZ,MATCH($A$1,'DB Country PMI'!$A$1:$AZ$1,),))</f>
        <v/>
      </c>
      <c r="C137" s="24">
        <f>Table1346811121415[[#This Row],[PMI]]-B136</f>
        <v/>
      </c>
    </row>
    <row r="138">
      <c r="A138" s="10" t="n">
        <v>43466</v>
      </c>
      <c r="B138" s="18">
        <f>IF(VLOOKUP(A138,'DB Country PMI'!$A:$AZ,MATCH($A$1,'DB Country PMI'!$A$1:$AZ$1,),)=0,#N/A,VLOOKUP(A138,'DB Country PMI'!$A:$AZ,MATCH($A$1,'DB Country PMI'!$A$1:$AZ$1,),))</f>
        <v/>
      </c>
      <c r="C138" s="24">
        <f>Table1346811121415[[#This Row],[PMI]]-B137</f>
        <v/>
      </c>
    </row>
    <row r="139">
      <c r="A139" s="10" t="n">
        <v>43497</v>
      </c>
      <c r="B139" s="18">
        <f>IF(VLOOKUP(A139,'DB Country PMI'!$A:$AZ,MATCH($A$1,'DB Country PMI'!$A$1:$AZ$1,),)=0,#N/A,VLOOKUP(A139,'DB Country PMI'!$A:$AZ,MATCH($A$1,'DB Country PMI'!$A$1:$AZ$1,),))</f>
        <v/>
      </c>
      <c r="C139" s="24">
        <f>Table1346811121415[[#This Row],[PMI]]-B138</f>
        <v/>
      </c>
    </row>
    <row r="140">
      <c r="A140" s="10" t="n">
        <v>43525</v>
      </c>
      <c r="B140" s="18">
        <f>IF(VLOOKUP(A140,'DB Country PMI'!$A:$AZ,MATCH($A$1,'DB Country PMI'!$A$1:$AZ$1,),)=0,#N/A,VLOOKUP(A140,'DB Country PMI'!$A:$AZ,MATCH($A$1,'DB Country PMI'!$A$1:$AZ$1,),))</f>
        <v/>
      </c>
      <c r="C140" s="24">
        <f>Table1346811121415[[#This Row],[PMI]]-B139</f>
        <v/>
      </c>
    </row>
    <row r="141">
      <c r="A141" s="10" t="n">
        <v>43556</v>
      </c>
      <c r="B141" s="18">
        <f>IF(VLOOKUP(A141,'DB Country PMI'!$A:$AZ,MATCH($A$1,'DB Country PMI'!$A$1:$AZ$1,),)=0,#N/A,VLOOKUP(A141,'DB Country PMI'!$A:$AZ,MATCH($A$1,'DB Country PMI'!$A$1:$AZ$1,),))</f>
        <v/>
      </c>
      <c r="C141" s="24">
        <f>Table1346811121415[[#This Row],[PMI]]-B140</f>
        <v/>
      </c>
    </row>
    <row r="142">
      <c r="A142" s="10" t="n">
        <v>43586</v>
      </c>
      <c r="B142" s="18">
        <f>IF(VLOOKUP(A142,'DB Country PMI'!$A:$AZ,MATCH($A$1,'DB Country PMI'!$A$1:$AZ$1,),)=0,#N/A,VLOOKUP(A142,'DB Country PMI'!$A:$AZ,MATCH($A$1,'DB Country PMI'!$A$1:$AZ$1,),))</f>
        <v/>
      </c>
      <c r="C142" s="24">
        <f>Table1346811121415[[#This Row],[PMI]]-B141</f>
        <v/>
      </c>
    </row>
    <row r="143">
      <c r="A143" s="10" t="n">
        <v>43617</v>
      </c>
      <c r="B143" s="18">
        <f>IF(VLOOKUP(A143,'DB Country PMI'!$A:$AZ,MATCH($A$1,'DB Country PMI'!$A$1:$AZ$1,),)=0,#N/A,VLOOKUP(A143,'DB Country PMI'!$A:$AZ,MATCH($A$1,'DB Country PMI'!$A$1:$AZ$1,),))</f>
        <v/>
      </c>
      <c r="C143" s="24">
        <f>Table1346811121415[[#This Row],[PMI]]-B142</f>
        <v/>
      </c>
    </row>
    <row r="144">
      <c r="A144" s="10" t="n">
        <v>43647</v>
      </c>
      <c r="B144" s="18">
        <f>IF(VLOOKUP(A144,'DB Country PMI'!$A:$AZ,MATCH($A$1,'DB Country PMI'!$A$1:$AZ$1,),)=0,#N/A,VLOOKUP(A144,'DB Country PMI'!$A:$AZ,MATCH($A$1,'DB Country PMI'!$A$1:$AZ$1,),))</f>
        <v/>
      </c>
      <c r="C144" s="24">
        <f>Table1346811121415[[#This Row],[PMI]]-B143</f>
        <v/>
      </c>
    </row>
    <row r="145">
      <c r="A145" s="10" t="n">
        <v>43678</v>
      </c>
      <c r="B145" s="18">
        <f>IF(VLOOKUP(A145,'DB Country PMI'!$A:$AZ,MATCH($A$1,'DB Country PMI'!$A$1:$AZ$1,),)=0,#N/A,VLOOKUP(A145,'DB Country PMI'!$A:$AZ,MATCH($A$1,'DB Country PMI'!$A$1:$AZ$1,),))</f>
        <v/>
      </c>
      <c r="C145" s="24">
        <f>Table1346811121415[[#This Row],[PMI]]-B144</f>
        <v/>
      </c>
    </row>
    <row r="146">
      <c r="A146" s="10" t="n">
        <v>43709</v>
      </c>
      <c r="B146" s="18">
        <f>IF(VLOOKUP(A146,'DB Country PMI'!$A:$AZ,MATCH($A$1,'DB Country PMI'!$A$1:$AZ$1,),)=0,#N/A,VLOOKUP(A146,'DB Country PMI'!$A:$AZ,MATCH($A$1,'DB Country PMI'!$A$1:$AZ$1,),))</f>
        <v/>
      </c>
      <c r="C146" s="24">
        <f>Table1346811121415[[#This Row],[PMI]]-B145</f>
        <v/>
      </c>
    </row>
    <row r="147">
      <c r="A147" s="10" t="n">
        <v>43739</v>
      </c>
      <c r="B147" s="18">
        <f>IF(VLOOKUP(A147,'DB Country PMI'!$A:$AZ,MATCH($A$1,'DB Country PMI'!$A$1:$AZ$1,),)=0,#N/A,VLOOKUP(A147,'DB Country PMI'!$A:$AZ,MATCH($A$1,'DB Country PMI'!$A$1:$AZ$1,),))</f>
        <v/>
      </c>
      <c r="C147" s="24">
        <f>Table1346811121415[[#This Row],[PMI]]-B146</f>
        <v/>
      </c>
    </row>
    <row r="148">
      <c r="A148" s="10" t="n">
        <v>43770</v>
      </c>
      <c r="B148" s="18">
        <f>IF(VLOOKUP(A148,'DB Country PMI'!$A:$AZ,MATCH($A$1,'DB Country PMI'!$A$1:$AZ$1,),)=0,#N/A,VLOOKUP(A148,'DB Country PMI'!$A:$AZ,MATCH($A$1,'DB Country PMI'!$A$1:$AZ$1,),))</f>
        <v/>
      </c>
      <c r="C148" s="24">
        <f>Table1346811121415[[#This Row],[PMI]]-B147</f>
        <v/>
      </c>
    </row>
    <row r="149">
      <c r="A149" s="10" t="n">
        <v>43800</v>
      </c>
      <c r="B149" s="18">
        <f>IF(VLOOKUP(A149,'DB Country PMI'!$A:$AZ,MATCH($A$1,'DB Country PMI'!$A$1:$AZ$1,),)=0,#N/A,VLOOKUP(A149,'DB Country PMI'!$A:$AZ,MATCH($A$1,'DB Country PMI'!$A$1:$AZ$1,),))</f>
        <v/>
      </c>
      <c r="C149" s="24">
        <f>Table1346811121415[[#This Row],[PMI]]-B148</f>
        <v/>
      </c>
    </row>
    <row r="150">
      <c r="A150" s="10" t="n">
        <v>43831</v>
      </c>
      <c r="B150" s="18">
        <f>IF(VLOOKUP(A150,'DB Country PMI'!$A:$AZ,MATCH($A$1,'DB Country PMI'!$A$1:$AZ$1,),)=0,#N/A,VLOOKUP(A150,'DB Country PMI'!$A:$AZ,MATCH($A$1,'DB Country PMI'!$A$1:$AZ$1,),))</f>
        <v/>
      </c>
      <c r="C150" s="24">
        <f>Table1346811121415[[#This Row],[PMI]]-B149</f>
        <v/>
      </c>
    </row>
    <row r="151">
      <c r="A151" s="10" t="n">
        <v>43862</v>
      </c>
      <c r="B151" s="18">
        <f>IF(VLOOKUP(A151,'DB Country PMI'!$A:$AZ,MATCH($A$1,'DB Country PMI'!$A$1:$AZ$1,),)=0,#N/A,VLOOKUP(A151,'DB Country PMI'!$A:$AZ,MATCH($A$1,'DB Country PMI'!$A$1:$AZ$1,),))</f>
        <v/>
      </c>
      <c r="C151" s="24">
        <f>Table1346811121415[[#This Row],[PMI]]-B150</f>
        <v/>
      </c>
    </row>
    <row r="152">
      <c r="A152" s="10" t="n">
        <v>43891</v>
      </c>
      <c r="B152" s="18">
        <f>IF(VLOOKUP(A152,'DB Country PMI'!$A:$AZ,MATCH($A$1,'DB Country PMI'!$A$1:$AZ$1,),)=0,#N/A,VLOOKUP(A152,'DB Country PMI'!$A:$AZ,MATCH($A$1,'DB Country PMI'!$A$1:$AZ$1,),))</f>
        <v/>
      </c>
      <c r="C152" s="24">
        <f>Table1346811121415[[#This Row],[PMI]]-B151</f>
        <v/>
      </c>
    </row>
    <row r="153">
      <c r="A153" s="10" t="n">
        <v>43922</v>
      </c>
      <c r="B153" s="18">
        <f>IF(VLOOKUP(A153,'DB Country PMI'!$A:$AZ,MATCH($A$1,'DB Country PMI'!$A$1:$AZ$1,),)=0,#N/A,VLOOKUP(A153,'DB Country PMI'!$A:$AZ,MATCH($A$1,'DB Country PMI'!$A$1:$AZ$1,),))</f>
        <v/>
      </c>
      <c r="C153" s="24">
        <f>Table1346811121415[[#This Row],[PMI]]-B152</f>
        <v/>
      </c>
    </row>
    <row r="154">
      <c r="A154" s="10" t="n">
        <v>43952</v>
      </c>
      <c r="B154" s="18">
        <f>IF(VLOOKUP(A154,'DB Country PMI'!$A:$AZ,MATCH($A$1,'DB Country PMI'!$A$1:$AZ$1,),)=0,#N/A,VLOOKUP(A154,'DB Country PMI'!$A:$AZ,MATCH($A$1,'DB Country PMI'!$A$1:$AZ$1,),))</f>
        <v/>
      </c>
      <c r="C154" s="24">
        <f>Table1346811121415[[#This Row],[PMI]]-B153</f>
        <v/>
      </c>
    </row>
    <row r="155">
      <c r="A155" s="10" t="n">
        <v>43983</v>
      </c>
      <c r="B155" s="18">
        <f>IF(VLOOKUP(A155,'DB Country PMI'!$A:$AZ,MATCH($A$1,'DB Country PMI'!$A$1:$AZ$1,),)=0,#N/A,VLOOKUP(A155,'DB Country PMI'!$A:$AZ,MATCH($A$1,'DB Country PMI'!$A$1:$AZ$1,),))</f>
        <v/>
      </c>
      <c r="C155" s="24">
        <f>Table1346811121415[[#This Row],[PMI]]-B154</f>
        <v/>
      </c>
    </row>
    <row r="156">
      <c r="A156" s="10" t="n">
        <v>44013</v>
      </c>
      <c r="B156" s="18">
        <f>IF(VLOOKUP(A156,'DB Country PMI'!$A:$AZ,MATCH($A$1,'DB Country PMI'!$A$1:$AZ$1,),)=0,#N/A,VLOOKUP(A156,'DB Country PMI'!$A:$AZ,MATCH($A$1,'DB Country PMI'!$A$1:$AZ$1,),))</f>
        <v/>
      </c>
      <c r="C156" s="24">
        <f>Table1346811121415[[#This Row],[PMI]]-B155</f>
        <v/>
      </c>
    </row>
    <row r="157">
      <c r="A157" s="10" t="n">
        <v>44044</v>
      </c>
      <c r="B157" s="18">
        <f>IF(VLOOKUP(A157,'DB Country PMI'!$A:$AZ,MATCH($A$1,'DB Country PMI'!$A$1:$AZ$1,),)=0,#N/A,VLOOKUP(A157,'DB Country PMI'!$A:$AZ,MATCH($A$1,'DB Country PMI'!$A$1:$AZ$1,),))</f>
        <v/>
      </c>
      <c r="C157" s="24">
        <f>Table1346811121415[[#This Row],[PMI]]-B156</f>
        <v/>
      </c>
    </row>
    <row r="158">
      <c r="A158" s="10" t="n">
        <v>44075</v>
      </c>
      <c r="B158" s="18">
        <f>IF(VLOOKUP(A158,'DB Country PMI'!$A:$AZ,MATCH($A$1,'DB Country PMI'!$A$1:$AZ$1,),)=0,#N/A,VLOOKUP(A158,'DB Country PMI'!$A:$AZ,MATCH($A$1,'DB Country PMI'!$A$1:$AZ$1,),))</f>
        <v/>
      </c>
      <c r="C158" s="24">
        <f>Table1346811121415[[#This Row],[PMI]]-B157</f>
        <v/>
      </c>
    </row>
    <row r="159">
      <c r="A159" s="10" t="n">
        <v>44105</v>
      </c>
      <c r="B159" s="18">
        <f>IF(VLOOKUP(A159,'DB Country PMI'!$A:$AZ,MATCH($A$1,'DB Country PMI'!$A$1:$AZ$1,),)=0,#N/A,VLOOKUP(A159,'DB Country PMI'!$A:$AZ,MATCH($A$1,'DB Country PMI'!$A$1:$AZ$1,),))</f>
        <v/>
      </c>
      <c r="C159" s="24">
        <f>Table1346811121415[[#This Row],[PMI]]-B158</f>
        <v/>
      </c>
    </row>
    <row r="160">
      <c r="A160" s="10" t="n">
        <v>44136</v>
      </c>
      <c r="B160" s="18">
        <f>IF(VLOOKUP(A160,'DB Country PMI'!$A:$AZ,MATCH($A$1,'DB Country PMI'!$A$1:$AZ$1,),)=0,#N/A,VLOOKUP(A160,'DB Country PMI'!$A:$AZ,MATCH($A$1,'DB Country PMI'!$A$1:$AZ$1,),))</f>
        <v/>
      </c>
      <c r="C160" s="24">
        <f>Table1346811121415[[#This Row],[PMI]]-B159</f>
        <v/>
      </c>
    </row>
    <row r="161">
      <c r="A161" s="10" t="n">
        <v>44166</v>
      </c>
      <c r="B161" s="18">
        <f>IF(VLOOKUP(A161,'DB Country PMI'!$A:$AZ,MATCH($A$1,'DB Country PMI'!$A$1:$AZ$1,),)=0,#N/A,VLOOKUP(A161,'DB Country PMI'!$A:$AZ,MATCH($A$1,'DB Country PMI'!$A$1:$AZ$1,),))</f>
        <v/>
      </c>
      <c r="C161" s="24">
        <f>Table1346811121415[[#This Row],[PMI]]-B160</f>
        <v/>
      </c>
    </row>
    <row r="162">
      <c r="A162" s="10" t="n">
        <v>44197</v>
      </c>
      <c r="B162" s="18">
        <f>IF(VLOOKUP(A162,'DB Country PMI'!$A:$AZ,MATCH($A$1,'DB Country PMI'!$A$1:$AZ$1,),)=0,#N/A,VLOOKUP(A162,'DB Country PMI'!$A:$AZ,MATCH($A$1,'DB Country PMI'!$A$1:$AZ$1,),))</f>
        <v/>
      </c>
      <c r="C162" s="24">
        <f>Table1346811121415[[#This Row],[PMI]]-B161</f>
        <v/>
      </c>
    </row>
    <row r="163">
      <c r="A163" s="10" t="n">
        <v>44228</v>
      </c>
      <c r="B163" s="18">
        <f>IF(VLOOKUP(A163,'DB Country PMI'!$A:$AZ,MATCH($A$1,'DB Country PMI'!$A$1:$AZ$1,),)=0,#N/A,VLOOKUP(A163,'DB Country PMI'!$A:$AZ,MATCH($A$1,'DB Country PMI'!$A$1:$AZ$1,),))</f>
        <v/>
      </c>
      <c r="C163" s="24">
        <f>Table1346811121415[[#This Row],[PMI]]-B162</f>
        <v/>
      </c>
    </row>
    <row r="164">
      <c r="A164" s="10" t="n">
        <v>44256</v>
      </c>
      <c r="B164" s="18">
        <f>IF(VLOOKUP(A164,'DB Country PMI'!$A:$AZ,MATCH($A$1,'DB Country PMI'!$A$1:$AZ$1,),)=0,#N/A,VLOOKUP(A164,'DB Country PMI'!$A:$AZ,MATCH($A$1,'DB Country PMI'!$A$1:$AZ$1,),))</f>
        <v/>
      </c>
      <c r="C164" s="24">
        <f>Table1346811121415[[#This Row],[PMI]]-B163</f>
        <v/>
      </c>
    </row>
    <row r="165">
      <c r="A165" s="10" t="n">
        <v>44287</v>
      </c>
      <c r="B165" s="18">
        <f>IF(VLOOKUP(A165,'DB Country PMI'!$A:$AZ,MATCH($A$1,'DB Country PMI'!$A$1:$AZ$1,),)=0,#N/A,VLOOKUP(A165,'DB Country PMI'!$A:$AZ,MATCH($A$1,'DB Country PMI'!$A$1:$AZ$1,),))</f>
        <v/>
      </c>
      <c r="C165" s="24">
        <f>Table1346811121415[[#This Row],[PMI]]-B164</f>
        <v/>
      </c>
    </row>
    <row r="166">
      <c r="A166" s="10" t="n">
        <v>44317</v>
      </c>
      <c r="B166" s="18">
        <f>IF(VLOOKUP(A166,'DB Country PMI'!$A:$AZ,MATCH($A$1,'DB Country PMI'!$A$1:$AZ$1,),)=0,#N/A,VLOOKUP(A166,'DB Country PMI'!$A:$AZ,MATCH($A$1,'DB Country PMI'!$A$1:$AZ$1,),))</f>
        <v/>
      </c>
      <c r="C166" s="24">
        <f>Table1346811121415[[#This Row],[PMI]]-B165</f>
        <v/>
      </c>
    </row>
    <row r="167">
      <c r="A167" s="10" t="n">
        <v>44348</v>
      </c>
      <c r="B167" s="18">
        <f>IF(VLOOKUP(A167,'DB Country PMI'!$A:$AZ,MATCH($A$1,'DB Country PMI'!$A$1:$AZ$1,),)=0,#N/A,VLOOKUP(A167,'DB Country PMI'!$A:$AZ,MATCH($A$1,'DB Country PMI'!$A$1:$AZ$1,),))</f>
        <v/>
      </c>
      <c r="C167" s="24">
        <f>Table1346811121415[[#This Row],[PMI]]-B166</f>
        <v/>
      </c>
    </row>
    <row r="168">
      <c r="A168" s="10" t="n">
        <v>44378</v>
      </c>
      <c r="B168" s="18">
        <f>IF(VLOOKUP(A168,'DB Country PMI'!$A:$AZ,MATCH($A$1,'DB Country PMI'!$A$1:$AZ$1,),)=0,#N/A,VLOOKUP(A168,'DB Country PMI'!$A:$AZ,MATCH($A$1,'DB Country PMI'!$A$1:$AZ$1,),))</f>
        <v/>
      </c>
      <c r="C168" s="24">
        <f>Table1346811121415[[#This Row],[PMI]]-B167</f>
        <v/>
      </c>
    </row>
    <row r="169">
      <c r="A169" s="10" t="n">
        <v>44409</v>
      </c>
      <c r="B169" s="18">
        <f>IF(VLOOKUP(A169,'DB Country PMI'!$A:$AZ,MATCH($A$1,'DB Country PMI'!$A$1:$AZ$1,),)=0,#N/A,VLOOKUP(A169,'DB Country PMI'!$A:$AZ,MATCH($A$1,'DB Country PMI'!$A$1:$AZ$1,),))</f>
        <v/>
      </c>
      <c r="C169" s="24">
        <f>Table1346811121415[[#This Row],[PMI]]-B168</f>
        <v/>
      </c>
    </row>
    <row r="170">
      <c r="A170" s="10" t="n">
        <v>44440</v>
      </c>
      <c r="B170" s="18">
        <f>IF(VLOOKUP(A170,'DB Country PMI'!$A:$AZ,MATCH($A$1,'DB Country PMI'!$A$1:$AZ$1,),)=0,#N/A,VLOOKUP(A170,'DB Country PMI'!$A:$AZ,MATCH($A$1,'DB Country PMI'!$A$1:$AZ$1,),))</f>
        <v/>
      </c>
      <c r="C170" s="24">
        <f>Table1346811121415[[#This Row],[PMI]]-B169</f>
        <v/>
      </c>
    </row>
    <row r="171">
      <c r="A171" s="10" t="n">
        <v>44470</v>
      </c>
      <c r="B171" s="18">
        <f>IF(VLOOKUP(A171,'DB Country PMI'!$A:$AZ,MATCH($A$1,'DB Country PMI'!$A$1:$AZ$1,),)=0,#N/A,VLOOKUP(A171,'DB Country PMI'!$A:$AZ,MATCH($A$1,'DB Country PMI'!$A$1:$AZ$1,),))</f>
        <v/>
      </c>
      <c r="C171" s="24">
        <f>Table1346811121415[[#This Row],[PMI]]-B170</f>
        <v/>
      </c>
    </row>
    <row r="172">
      <c r="A172" s="10" t="n">
        <v>44501</v>
      </c>
      <c r="B172" s="18">
        <f>IF(VLOOKUP(A172,'DB Country PMI'!$A:$AZ,MATCH($A$1,'DB Country PMI'!$A$1:$AZ$1,),)=0,#N/A,VLOOKUP(A172,'DB Country PMI'!$A:$AZ,MATCH($A$1,'DB Country PMI'!$A$1:$AZ$1,),))</f>
        <v/>
      </c>
      <c r="C172" s="24">
        <f>Table1346811121415[[#This Row],[PMI]]-B171</f>
        <v/>
      </c>
    </row>
    <row r="173">
      <c r="A173" s="10" t="n">
        <v>44531</v>
      </c>
      <c r="B173" s="18">
        <f>IF(VLOOKUP(A173,'DB Country PMI'!$A:$AZ,MATCH($A$1,'DB Country PMI'!$A$1:$AZ$1,),)=0,#N/A,VLOOKUP(A173,'DB Country PMI'!$A:$AZ,MATCH($A$1,'DB Country PMI'!$A$1:$AZ$1,),))</f>
        <v/>
      </c>
      <c r="C173" s="24">
        <f>Table1346811121415[[#This Row],[PMI]]-B172</f>
        <v/>
      </c>
    </row>
    <row r="174">
      <c r="A174" s="10" t="n">
        <v>44562</v>
      </c>
      <c r="B174" s="18">
        <f>IF(VLOOKUP(A174,'DB Country PMI'!$A:$AZ,MATCH($A$1,'DB Country PMI'!$A$1:$AZ$1,),)=0,#N/A,VLOOKUP(A174,'DB Country PMI'!$A:$AZ,MATCH($A$1,'DB Country PMI'!$A$1:$AZ$1,),))</f>
        <v/>
      </c>
      <c r="C174" s="24">
        <f>Table1346811121415[[#This Row],[PMI]]-B173</f>
        <v/>
      </c>
    </row>
    <row r="175">
      <c r="A175" s="10" t="n">
        <v>44593</v>
      </c>
      <c r="B175" s="18">
        <f>IF(VLOOKUP(A175,'DB Country PMI'!$A:$AZ,MATCH($A$1,'DB Country PMI'!$A$1:$AZ$1,),)=0,#N/A,VLOOKUP(A175,'DB Country PMI'!$A:$AZ,MATCH($A$1,'DB Country PMI'!$A$1:$AZ$1,),))</f>
        <v/>
      </c>
      <c r="C175" s="24">
        <f>Table1346811121415[[#This Row],[PMI]]-B174</f>
        <v/>
      </c>
    </row>
    <row r="176">
      <c r="A176" s="10" t="n">
        <v>44621</v>
      </c>
      <c r="B176" s="18">
        <f>IF(VLOOKUP(A176,'DB Country PMI'!$A:$AZ,MATCH($A$1,'DB Country PMI'!$A$1:$AZ$1,),)=0,#N/A,VLOOKUP(A176,'DB Country PMI'!$A:$AZ,MATCH($A$1,'DB Country PMI'!$A$1:$AZ$1,),))</f>
        <v/>
      </c>
      <c r="C176" s="24">
        <f>Table1346811121415[[#This Row],[PMI]]-B175</f>
        <v/>
      </c>
    </row>
    <row r="177">
      <c r="A177" s="10" t="n">
        <v>44652</v>
      </c>
      <c r="B177" s="18">
        <f>IF(VLOOKUP(A177,'DB Country PMI'!$A:$AZ,MATCH($A$1,'DB Country PMI'!$A$1:$AZ$1,),)=0,#N/A,VLOOKUP(A177,'DB Country PMI'!$A:$AZ,MATCH($A$1,'DB Country PMI'!$A$1:$AZ$1,),))</f>
        <v/>
      </c>
      <c r="C177" s="24">
        <f>Table1346811121415[[#This Row],[PMI]]-B176</f>
        <v/>
      </c>
    </row>
    <row r="178">
      <c r="A178" s="10" t="n">
        <v>44682</v>
      </c>
      <c r="B178" s="18">
        <f>IF(VLOOKUP(A178,'DB Country PMI'!$A:$AZ,MATCH($A$1,'DB Country PMI'!$A$1:$AZ$1,),)=0,#N/A,VLOOKUP(A178,'DB Country PMI'!$A:$AZ,MATCH($A$1,'DB Country PMI'!$A$1:$AZ$1,),))</f>
        <v/>
      </c>
      <c r="C178" s="24">
        <f>Table1346811121415[[#This Row],[PMI]]-B177</f>
        <v/>
      </c>
    </row>
    <row r="179">
      <c r="A179" s="10" t="n">
        <v>44713</v>
      </c>
      <c r="B179" s="18">
        <f>IF(VLOOKUP(A179,'DB Country PMI'!$A:$AZ,MATCH($A$1,'DB Country PMI'!$A$1:$AZ$1,),)=0,#N/A,VLOOKUP(A179,'DB Country PMI'!$A:$AZ,MATCH($A$1,'DB Country PMI'!$A$1:$AZ$1,),))</f>
        <v/>
      </c>
      <c r="C179" s="24">
        <f>Table1346811121415[[#This Row],[PMI]]-B178</f>
        <v/>
      </c>
    </row>
    <row r="180">
      <c r="A180" s="10" t="n">
        <v>44743</v>
      </c>
      <c r="B180" s="18">
        <f>IF(VLOOKUP(A180,'DB Country PMI'!$A:$AZ,MATCH($A$1,'DB Country PMI'!$A$1:$AZ$1,),)=0,#N/A,VLOOKUP(A180,'DB Country PMI'!$A:$AZ,MATCH($A$1,'DB Country PMI'!$A$1:$AZ$1,),))</f>
        <v/>
      </c>
      <c r="C180" s="24">
        <f>Table1346811121415[[#This Row],[PMI]]-B179</f>
        <v/>
      </c>
    </row>
    <row r="181">
      <c r="A181" s="10" t="n">
        <v>44774</v>
      </c>
      <c r="B181" s="18">
        <f>IF(VLOOKUP(A181,'DB Country PMI'!$A:$AZ,MATCH($A$1,'DB Country PMI'!$A$1:$AZ$1,),)=0,#N/A,VLOOKUP(A181,'DB Country PMI'!$A:$AZ,MATCH($A$1,'DB Country PMI'!$A$1:$AZ$1,),))</f>
        <v/>
      </c>
      <c r="C181" s="24">
        <f>Table1346811121415[[#This Row],[PMI]]-B180</f>
        <v/>
      </c>
    </row>
    <row r="182">
      <c r="A182" s="10" t="n">
        <v>44805</v>
      </c>
      <c r="B182" s="18">
        <f>IF(VLOOKUP(A182,'DB Country PMI'!$A:$AZ,MATCH($A$1,'DB Country PMI'!$A$1:$AZ$1,),)=0,#N/A,VLOOKUP(A182,'DB Country PMI'!$A:$AZ,MATCH($A$1,'DB Country PMI'!$A$1:$AZ$1,),))</f>
        <v/>
      </c>
      <c r="C182" s="24">
        <f>Table1346811121415[[#This Row],[PMI]]-B181</f>
        <v/>
      </c>
    </row>
    <row r="183">
      <c r="A183" s="10" t="n">
        <v>44835</v>
      </c>
      <c r="B183" s="18">
        <f>IF(VLOOKUP(A183,'DB Country PMI'!$A:$AZ,MATCH($A$1,'DB Country PMI'!$A$1:$AZ$1,),)=0,#N/A,VLOOKUP(A183,'DB Country PMI'!$A:$AZ,MATCH($A$1,'DB Country PMI'!$A$1:$AZ$1,),))</f>
        <v/>
      </c>
      <c r="C183" s="24">
        <f>Table1346811121415[[#This Row],[PMI]]-B182</f>
        <v/>
      </c>
    </row>
    <row r="184">
      <c r="A184" s="10" t="n">
        <v>44866</v>
      </c>
      <c r="B184" s="18">
        <f>IF(VLOOKUP(A184,'DB Country PMI'!$A:$AZ,MATCH($A$1,'DB Country PMI'!$A$1:$AZ$1,),)=0,#N/A,VLOOKUP(A184,'DB Country PMI'!$A:$AZ,MATCH($A$1,'DB Country PMI'!$A$1:$AZ$1,),))</f>
        <v/>
      </c>
      <c r="C184" s="24">
        <f>Table1346811121415[[#This Row],[PMI]]-B183</f>
        <v/>
      </c>
    </row>
  </sheetData>
  <conditionalFormatting sqref="C7:C106">
    <cfRule type="colorScale" priority="1">
      <colorScale>
        <cfvo type="min"/>
        <cfvo type="percentile" val="50"/>
        <cfvo type="max"/>
        <color rgb="FFF8696B"/>
        <color rgb="FFFCFCFF"/>
        <color rgb="FF5A8AC6"/>
      </colorScale>
    </cfRule>
  </conditionalFormatting>
  <conditionalFormatting sqref="B6:B184">
    <cfRule type="colorScale" priority="1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K177"/>
  <sheetViews>
    <sheetView zoomScale="80" zoomScaleNormal="80" workbookViewId="0">
      <pane ySplit="5" topLeftCell="A164" activePane="bottomLeft" state="frozen"/>
      <selection pane="bottomLeft" activeCell="A161" sqref="A161:C177"/>
    </sheetView>
  </sheetViews>
  <sheetFormatPr baseColWidth="8" defaultColWidth="9.1796875" defaultRowHeight="14.5"/>
  <cols>
    <col width="13.453125" customWidth="1" style="69" min="1" max="1"/>
    <col width="11.36328125" customWidth="1" style="69" min="2" max="2"/>
    <col width="9.1796875" customWidth="1" style="69" min="3" max="51"/>
    <col width="9.1796875" customWidth="1" style="69" min="52" max="16384"/>
  </cols>
  <sheetData>
    <row r="1">
      <c r="A1" s="69" t="inlineStr">
        <is>
          <t>France</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39661</v>
      </c>
      <c r="B6" s="18">
        <f>IF(VLOOKUP(A6,'DB Country PMI'!$A:$AZ,MATCH($A$1,'DB Country PMI'!$A$1:$AZ$1,),)=0,#N/A,VLOOKUP(A6,'DB Country PMI'!$A:$AZ,MATCH($A$1,'DB Country PMI'!$A$1:$AZ$1,),))</f>
        <v/>
      </c>
      <c r="C6" s="18" t="n"/>
    </row>
    <row r="7">
      <c r="A7" s="10" t="n">
        <v>39692</v>
      </c>
      <c r="B7" s="18">
        <f>IF(VLOOKUP(A7,'DB Country PMI'!$A:$AZ,MATCH($A$1,'DB Country PMI'!$A$1:$AZ$1,),)=0,#N/A,VLOOKUP(A7,'DB Country PMI'!$A:$AZ,MATCH($A$1,'DB Country PMI'!$A$1:$AZ$1,),))</f>
        <v/>
      </c>
      <c r="C7" s="24">
        <f>Table134681112141516[[#This Row],[PMI]]-B6</f>
        <v/>
      </c>
    </row>
    <row r="8">
      <c r="A8" s="10" t="n">
        <v>39722</v>
      </c>
      <c r="B8" s="18">
        <f>IF(VLOOKUP(A8,'DB Country PMI'!$A:$AZ,MATCH($A$1,'DB Country PMI'!$A$1:$AZ$1,),)=0,#N/A,VLOOKUP(A8,'DB Country PMI'!$A:$AZ,MATCH($A$1,'DB Country PMI'!$A$1:$AZ$1,),))</f>
        <v/>
      </c>
      <c r="C8" s="24">
        <f>Table134681112141516[[#This Row],[PMI]]-B7</f>
        <v/>
      </c>
    </row>
    <row r="9">
      <c r="A9" s="10" t="n">
        <v>39753</v>
      </c>
      <c r="B9" s="18">
        <f>IF(VLOOKUP(A9,'DB Country PMI'!$A:$AZ,MATCH($A$1,'DB Country PMI'!$A$1:$AZ$1,),)=0,#N/A,VLOOKUP(A9,'DB Country PMI'!$A:$AZ,MATCH($A$1,'DB Country PMI'!$A$1:$AZ$1,),))</f>
        <v/>
      </c>
      <c r="C9" s="24">
        <f>Table134681112141516[[#This Row],[PMI]]-B8</f>
        <v/>
      </c>
    </row>
    <row r="10">
      <c r="A10" s="10" t="n">
        <v>39783</v>
      </c>
      <c r="B10" s="18">
        <f>IF(VLOOKUP(A10,'DB Country PMI'!$A:$AZ,MATCH($A$1,'DB Country PMI'!$A$1:$AZ$1,),)=0,#N/A,VLOOKUP(A10,'DB Country PMI'!$A:$AZ,MATCH($A$1,'DB Country PMI'!$A$1:$AZ$1,),))</f>
        <v/>
      </c>
      <c r="C10" s="24">
        <f>Table134681112141516[[#This Row],[PMI]]-B9</f>
        <v/>
      </c>
    </row>
    <row r="11">
      <c r="A11" s="10" t="n">
        <v>39814</v>
      </c>
      <c r="B11" s="18">
        <f>IF(VLOOKUP(A11,'DB Country PMI'!$A:$AZ,MATCH($A$1,'DB Country PMI'!$A$1:$AZ$1,),)=0,#N/A,VLOOKUP(A11,'DB Country PMI'!$A:$AZ,MATCH($A$1,'DB Country PMI'!$A$1:$AZ$1,),))</f>
        <v/>
      </c>
      <c r="C11" s="24">
        <f>Table134681112141516[[#This Row],[PMI]]-B10</f>
        <v/>
      </c>
    </row>
    <row r="12">
      <c r="A12" s="10" t="n">
        <v>39845</v>
      </c>
      <c r="B12" s="18">
        <f>IF(VLOOKUP(A12,'DB Country PMI'!$A:$AZ,MATCH($A$1,'DB Country PMI'!$A$1:$AZ$1,),)=0,#N/A,VLOOKUP(A12,'DB Country PMI'!$A:$AZ,MATCH($A$1,'DB Country PMI'!$A$1:$AZ$1,),))</f>
        <v/>
      </c>
      <c r="C12" s="24">
        <f>Table134681112141516[[#This Row],[PMI]]-B11</f>
        <v/>
      </c>
    </row>
    <row r="13">
      <c r="A13" s="10" t="n">
        <v>39873</v>
      </c>
      <c r="B13" s="18">
        <f>IF(VLOOKUP(A13,'DB Country PMI'!$A:$AZ,MATCH($A$1,'DB Country PMI'!$A$1:$AZ$1,),)=0,#N/A,VLOOKUP(A13,'DB Country PMI'!$A:$AZ,MATCH($A$1,'DB Country PMI'!$A$1:$AZ$1,),))</f>
        <v/>
      </c>
      <c r="C13" s="24">
        <f>Table134681112141516[[#This Row],[PMI]]-B12</f>
        <v/>
      </c>
    </row>
    <row r="14">
      <c r="A14" s="10" t="n">
        <v>39904</v>
      </c>
      <c r="B14" s="18">
        <f>IF(VLOOKUP(A14,'DB Country PMI'!$A:$AZ,MATCH($A$1,'DB Country PMI'!$A$1:$AZ$1,),)=0,#N/A,VLOOKUP(A14,'DB Country PMI'!$A:$AZ,MATCH($A$1,'DB Country PMI'!$A$1:$AZ$1,),))</f>
        <v/>
      </c>
      <c r="C14" s="24">
        <f>Table134681112141516[[#This Row],[PMI]]-B13</f>
        <v/>
      </c>
    </row>
    <row r="15">
      <c r="A15" s="10" t="n">
        <v>39934</v>
      </c>
      <c r="B15" s="18">
        <f>IF(VLOOKUP(A15,'DB Country PMI'!$A:$AZ,MATCH($A$1,'DB Country PMI'!$A$1:$AZ$1,),)=0,#N/A,VLOOKUP(A15,'DB Country PMI'!$A:$AZ,MATCH($A$1,'DB Country PMI'!$A$1:$AZ$1,),))</f>
        <v/>
      </c>
      <c r="C15" s="24">
        <f>Table134681112141516[[#This Row],[PMI]]-B14</f>
        <v/>
      </c>
    </row>
    <row r="16">
      <c r="A16" s="10" t="n">
        <v>39965</v>
      </c>
      <c r="B16" s="18">
        <f>IF(VLOOKUP(A16,'DB Country PMI'!$A:$AZ,MATCH($A$1,'DB Country PMI'!$A$1:$AZ$1,),)=0,#N/A,VLOOKUP(A16,'DB Country PMI'!$A:$AZ,MATCH($A$1,'DB Country PMI'!$A$1:$AZ$1,),))</f>
        <v/>
      </c>
      <c r="C16" s="24">
        <f>Table134681112141516[[#This Row],[PMI]]-B15</f>
        <v/>
      </c>
    </row>
    <row r="17">
      <c r="A17" s="10" t="n">
        <v>39995</v>
      </c>
      <c r="B17" s="18">
        <f>IF(VLOOKUP(A17,'DB Country PMI'!$A:$AZ,MATCH($A$1,'DB Country PMI'!$A$1:$AZ$1,),)=0,#N/A,VLOOKUP(A17,'DB Country PMI'!$A:$AZ,MATCH($A$1,'DB Country PMI'!$A$1:$AZ$1,),))</f>
        <v/>
      </c>
      <c r="C17" s="24">
        <f>Table134681112141516[[#This Row],[PMI]]-B16</f>
        <v/>
      </c>
    </row>
    <row r="18">
      <c r="A18" s="10" t="n">
        <v>40026</v>
      </c>
      <c r="B18" s="18">
        <f>IF(VLOOKUP(A18,'DB Country PMI'!$A:$AZ,MATCH($A$1,'DB Country PMI'!$A$1:$AZ$1,),)=0,#N/A,VLOOKUP(A18,'DB Country PMI'!$A:$AZ,MATCH($A$1,'DB Country PMI'!$A$1:$AZ$1,),))</f>
        <v/>
      </c>
      <c r="C18" s="24">
        <f>Table134681112141516[[#This Row],[PMI]]-B17</f>
        <v/>
      </c>
    </row>
    <row r="19">
      <c r="A19" s="10" t="n">
        <v>40057</v>
      </c>
      <c r="B19" s="18">
        <f>IF(VLOOKUP(A19,'DB Country PMI'!$A:$AZ,MATCH($A$1,'DB Country PMI'!$A$1:$AZ$1,),)=0,#N/A,VLOOKUP(A19,'DB Country PMI'!$A:$AZ,MATCH($A$1,'DB Country PMI'!$A$1:$AZ$1,),))</f>
        <v/>
      </c>
      <c r="C19" s="24">
        <f>Table134681112141516[[#This Row],[PMI]]-B18</f>
        <v/>
      </c>
    </row>
    <row r="20">
      <c r="A20" s="10" t="n">
        <v>40087</v>
      </c>
      <c r="B20" s="18">
        <f>IF(VLOOKUP(A20,'DB Country PMI'!$A:$AZ,MATCH($A$1,'DB Country PMI'!$A$1:$AZ$1,),)=0,#N/A,VLOOKUP(A20,'DB Country PMI'!$A:$AZ,MATCH($A$1,'DB Country PMI'!$A$1:$AZ$1,),))</f>
        <v/>
      </c>
      <c r="C20" s="24">
        <f>Table134681112141516[[#This Row],[PMI]]-B19</f>
        <v/>
      </c>
    </row>
    <row r="21">
      <c r="A21" s="10" t="n">
        <v>40118</v>
      </c>
      <c r="B21" s="18">
        <f>IF(VLOOKUP(A21,'DB Country PMI'!$A:$AZ,MATCH($A$1,'DB Country PMI'!$A$1:$AZ$1,),)=0,#N/A,VLOOKUP(A21,'DB Country PMI'!$A:$AZ,MATCH($A$1,'DB Country PMI'!$A$1:$AZ$1,),))</f>
        <v/>
      </c>
      <c r="C21" s="24">
        <f>Table134681112141516[[#This Row],[PMI]]-B20</f>
        <v/>
      </c>
    </row>
    <row r="22">
      <c r="A22" s="10" t="n">
        <v>40148</v>
      </c>
      <c r="B22" s="18">
        <f>IF(VLOOKUP(A22,'DB Country PMI'!$A:$AZ,MATCH($A$1,'DB Country PMI'!$A$1:$AZ$1,),)=0,#N/A,VLOOKUP(A22,'DB Country PMI'!$A:$AZ,MATCH($A$1,'DB Country PMI'!$A$1:$AZ$1,),))</f>
        <v/>
      </c>
      <c r="C22" s="24">
        <f>Table134681112141516[[#This Row],[PMI]]-B21</f>
        <v/>
      </c>
    </row>
    <row r="23">
      <c r="A23" s="10" t="n">
        <v>40179</v>
      </c>
      <c r="B23" s="18">
        <f>IF(VLOOKUP(A23,'DB Country PMI'!$A:$AZ,MATCH($A$1,'DB Country PMI'!$A$1:$AZ$1,),)=0,#N/A,VLOOKUP(A23,'DB Country PMI'!$A:$AZ,MATCH($A$1,'DB Country PMI'!$A$1:$AZ$1,),))</f>
        <v/>
      </c>
      <c r="C23" s="24">
        <f>Table134681112141516[[#This Row],[PMI]]-B22</f>
        <v/>
      </c>
    </row>
    <row r="24">
      <c r="A24" s="10" t="n">
        <v>40210</v>
      </c>
      <c r="B24" s="18">
        <f>IF(VLOOKUP(A24,'DB Country PMI'!$A:$AZ,MATCH($A$1,'DB Country PMI'!$A$1:$AZ$1,),)=0,#N/A,VLOOKUP(A24,'DB Country PMI'!$A:$AZ,MATCH($A$1,'DB Country PMI'!$A$1:$AZ$1,),))</f>
        <v/>
      </c>
      <c r="C24" s="24">
        <f>Table134681112141516[[#This Row],[PMI]]-B23</f>
        <v/>
      </c>
    </row>
    <row r="25">
      <c r="A25" s="10" t="n">
        <v>40238</v>
      </c>
      <c r="B25" s="18">
        <f>IF(VLOOKUP(A25,'DB Country PMI'!$A:$AZ,MATCH($A$1,'DB Country PMI'!$A$1:$AZ$1,),)=0,#N/A,VLOOKUP(A25,'DB Country PMI'!$A:$AZ,MATCH($A$1,'DB Country PMI'!$A$1:$AZ$1,),))</f>
        <v/>
      </c>
      <c r="C25" s="24">
        <f>Table134681112141516[[#This Row],[PMI]]-B24</f>
        <v/>
      </c>
    </row>
    <row r="26">
      <c r="A26" s="10" t="n">
        <v>40269</v>
      </c>
      <c r="B26" s="18">
        <f>IF(VLOOKUP(A26,'DB Country PMI'!$A:$AZ,MATCH($A$1,'DB Country PMI'!$A$1:$AZ$1,),)=0,#N/A,VLOOKUP(A26,'DB Country PMI'!$A:$AZ,MATCH($A$1,'DB Country PMI'!$A$1:$AZ$1,),))</f>
        <v/>
      </c>
      <c r="C26" s="24">
        <f>Table134681112141516[[#This Row],[PMI]]-B25</f>
        <v/>
      </c>
    </row>
    <row r="27">
      <c r="A27" s="10" t="n">
        <v>40299</v>
      </c>
      <c r="B27" s="18">
        <f>IF(VLOOKUP(A27,'DB Country PMI'!$A:$AZ,MATCH($A$1,'DB Country PMI'!$A$1:$AZ$1,),)=0,#N/A,VLOOKUP(A27,'DB Country PMI'!$A:$AZ,MATCH($A$1,'DB Country PMI'!$A$1:$AZ$1,),))</f>
        <v/>
      </c>
      <c r="C27" s="24">
        <f>Table134681112141516[[#This Row],[PMI]]-B26</f>
        <v/>
      </c>
    </row>
    <row r="28">
      <c r="A28" s="10" t="n">
        <v>40330</v>
      </c>
      <c r="B28" s="18">
        <f>IF(VLOOKUP(A28,'DB Country PMI'!$A:$AZ,MATCH($A$1,'DB Country PMI'!$A$1:$AZ$1,),)=0,#N/A,VLOOKUP(A28,'DB Country PMI'!$A:$AZ,MATCH($A$1,'DB Country PMI'!$A$1:$AZ$1,),))</f>
        <v/>
      </c>
      <c r="C28" s="24">
        <f>Table134681112141516[[#This Row],[PMI]]-B27</f>
        <v/>
      </c>
    </row>
    <row r="29">
      <c r="A29" s="10" t="n">
        <v>40360</v>
      </c>
      <c r="B29" s="18">
        <f>IF(VLOOKUP(A29,'DB Country PMI'!$A:$AZ,MATCH($A$1,'DB Country PMI'!$A$1:$AZ$1,),)=0,#N/A,VLOOKUP(A29,'DB Country PMI'!$A:$AZ,MATCH($A$1,'DB Country PMI'!$A$1:$AZ$1,),))</f>
        <v/>
      </c>
      <c r="C29" s="24">
        <f>Table134681112141516[[#This Row],[PMI]]-B28</f>
        <v/>
      </c>
    </row>
    <row r="30">
      <c r="A30" s="10" t="n">
        <v>40391</v>
      </c>
      <c r="B30" s="18">
        <f>IF(VLOOKUP(A30,'DB Country PMI'!$A:$AZ,MATCH($A$1,'DB Country PMI'!$A$1:$AZ$1,),)=0,#N/A,VLOOKUP(A30,'DB Country PMI'!$A:$AZ,MATCH($A$1,'DB Country PMI'!$A$1:$AZ$1,),))</f>
        <v/>
      </c>
      <c r="C30" s="24">
        <f>Table134681112141516[[#This Row],[PMI]]-B29</f>
        <v/>
      </c>
    </row>
    <row r="31">
      <c r="A31" s="10" t="n">
        <v>40422</v>
      </c>
      <c r="B31" s="18">
        <f>IF(VLOOKUP(A31,'DB Country PMI'!$A:$AZ,MATCH($A$1,'DB Country PMI'!$A$1:$AZ$1,),)=0,#N/A,VLOOKUP(A31,'DB Country PMI'!$A:$AZ,MATCH($A$1,'DB Country PMI'!$A$1:$AZ$1,),))</f>
        <v/>
      </c>
      <c r="C31" s="24">
        <f>Table134681112141516[[#This Row],[PMI]]-B30</f>
        <v/>
      </c>
    </row>
    <row r="32">
      <c r="A32" s="10" t="n">
        <v>40452</v>
      </c>
      <c r="B32" s="18">
        <f>IF(VLOOKUP(A32,'DB Country PMI'!$A:$AZ,MATCH($A$1,'DB Country PMI'!$A$1:$AZ$1,),)=0,#N/A,VLOOKUP(A32,'DB Country PMI'!$A:$AZ,MATCH($A$1,'DB Country PMI'!$A$1:$AZ$1,),))</f>
        <v/>
      </c>
      <c r="C32" s="24">
        <f>Table134681112141516[[#This Row],[PMI]]-B31</f>
        <v/>
      </c>
    </row>
    <row r="33">
      <c r="A33" s="10" t="n">
        <v>40483</v>
      </c>
      <c r="B33" s="18">
        <f>IF(VLOOKUP(A33,'DB Country PMI'!$A:$AZ,MATCH($A$1,'DB Country PMI'!$A$1:$AZ$1,),)=0,#N/A,VLOOKUP(A33,'DB Country PMI'!$A:$AZ,MATCH($A$1,'DB Country PMI'!$A$1:$AZ$1,),))</f>
        <v/>
      </c>
      <c r="C33" s="24">
        <f>Table134681112141516[[#This Row],[PMI]]-B32</f>
        <v/>
      </c>
    </row>
    <row r="34">
      <c r="A34" s="10" t="n">
        <v>40513</v>
      </c>
      <c r="B34" s="18">
        <f>IF(VLOOKUP(A34,'DB Country PMI'!$A:$AZ,MATCH($A$1,'DB Country PMI'!$A$1:$AZ$1,),)=0,#N/A,VLOOKUP(A34,'DB Country PMI'!$A:$AZ,MATCH($A$1,'DB Country PMI'!$A$1:$AZ$1,),))</f>
        <v/>
      </c>
      <c r="C34" s="24">
        <f>Table134681112141516[[#This Row],[PMI]]-B33</f>
        <v/>
      </c>
    </row>
    <row r="35">
      <c r="A35" s="10" t="n">
        <v>40544</v>
      </c>
      <c r="B35" s="18">
        <f>IF(VLOOKUP(A35,'DB Country PMI'!$A:$AZ,MATCH($A$1,'DB Country PMI'!$A$1:$AZ$1,),)=0,#N/A,VLOOKUP(A35,'DB Country PMI'!$A:$AZ,MATCH($A$1,'DB Country PMI'!$A$1:$AZ$1,),))</f>
        <v/>
      </c>
      <c r="C35" s="24">
        <f>Table134681112141516[[#This Row],[PMI]]-B34</f>
        <v/>
      </c>
    </row>
    <row r="36">
      <c r="A36" s="10" t="n">
        <v>40575</v>
      </c>
      <c r="B36" s="18">
        <f>IF(VLOOKUP(A36,'DB Country PMI'!$A:$AZ,MATCH($A$1,'DB Country PMI'!$A$1:$AZ$1,),)=0,#N/A,VLOOKUP(A36,'DB Country PMI'!$A:$AZ,MATCH($A$1,'DB Country PMI'!$A$1:$AZ$1,),))</f>
        <v/>
      </c>
      <c r="C36" s="24">
        <f>Table134681112141516[[#This Row],[PMI]]-B35</f>
        <v/>
      </c>
    </row>
    <row r="37">
      <c r="A37" s="10" t="n">
        <v>40603</v>
      </c>
      <c r="B37" s="18">
        <f>IF(VLOOKUP(A37,'DB Country PMI'!$A:$AZ,MATCH($A$1,'DB Country PMI'!$A$1:$AZ$1,),)=0,#N/A,VLOOKUP(A37,'DB Country PMI'!$A:$AZ,MATCH($A$1,'DB Country PMI'!$A$1:$AZ$1,),))</f>
        <v/>
      </c>
      <c r="C37" s="24">
        <f>Table134681112141516[[#This Row],[PMI]]-B36</f>
        <v/>
      </c>
    </row>
    <row r="38">
      <c r="A38" s="10" t="n">
        <v>40634</v>
      </c>
      <c r="B38" s="18">
        <f>IF(VLOOKUP(A38,'DB Country PMI'!$A:$AZ,MATCH($A$1,'DB Country PMI'!$A$1:$AZ$1,),)=0,#N/A,VLOOKUP(A38,'DB Country PMI'!$A:$AZ,MATCH($A$1,'DB Country PMI'!$A$1:$AZ$1,),))</f>
        <v/>
      </c>
      <c r="C38" s="24">
        <f>Table134681112141516[[#This Row],[PMI]]-B37</f>
        <v/>
      </c>
    </row>
    <row r="39">
      <c r="A39" s="10" t="n">
        <v>40664</v>
      </c>
      <c r="B39" s="18">
        <f>IF(VLOOKUP(A39,'DB Country PMI'!$A:$AZ,MATCH($A$1,'DB Country PMI'!$A$1:$AZ$1,),)=0,#N/A,VLOOKUP(A39,'DB Country PMI'!$A:$AZ,MATCH($A$1,'DB Country PMI'!$A$1:$AZ$1,),))</f>
        <v/>
      </c>
      <c r="C39" s="24">
        <f>Table134681112141516[[#This Row],[PMI]]-B38</f>
        <v/>
      </c>
    </row>
    <row r="40">
      <c r="A40" s="10" t="n">
        <v>40695</v>
      </c>
      <c r="B40" s="18">
        <f>IF(VLOOKUP(A40,'DB Country PMI'!$A:$AZ,MATCH($A$1,'DB Country PMI'!$A$1:$AZ$1,),)=0,#N/A,VLOOKUP(A40,'DB Country PMI'!$A:$AZ,MATCH($A$1,'DB Country PMI'!$A$1:$AZ$1,),))</f>
        <v/>
      </c>
      <c r="C40" s="24">
        <f>Table134681112141516[[#This Row],[PMI]]-B39</f>
        <v/>
      </c>
    </row>
    <row r="41">
      <c r="A41" s="10" t="n">
        <v>40725</v>
      </c>
      <c r="B41" s="18">
        <f>IF(VLOOKUP(A41,'DB Country PMI'!$A:$AZ,MATCH($A$1,'DB Country PMI'!$A$1:$AZ$1,),)=0,#N/A,VLOOKUP(A41,'DB Country PMI'!$A:$AZ,MATCH($A$1,'DB Country PMI'!$A$1:$AZ$1,),))</f>
        <v/>
      </c>
      <c r="C41" s="24">
        <f>Table134681112141516[[#This Row],[PMI]]-B40</f>
        <v/>
      </c>
    </row>
    <row r="42">
      <c r="A42" s="10" t="n">
        <v>40756</v>
      </c>
      <c r="B42" s="18">
        <f>IF(VLOOKUP(A42,'DB Country PMI'!$A:$AZ,MATCH($A$1,'DB Country PMI'!$A$1:$AZ$1,),)=0,#N/A,VLOOKUP(A42,'DB Country PMI'!$A:$AZ,MATCH($A$1,'DB Country PMI'!$A$1:$AZ$1,),))</f>
        <v/>
      </c>
      <c r="C42" s="24">
        <f>Table134681112141516[[#This Row],[PMI]]-B41</f>
        <v/>
      </c>
    </row>
    <row r="43">
      <c r="A43" s="10" t="n">
        <v>40787</v>
      </c>
      <c r="B43" s="18">
        <f>IF(VLOOKUP(A43,'DB Country PMI'!$A:$AZ,MATCH($A$1,'DB Country PMI'!$A$1:$AZ$1,),)=0,#N/A,VLOOKUP(A43,'DB Country PMI'!$A:$AZ,MATCH($A$1,'DB Country PMI'!$A$1:$AZ$1,),))</f>
        <v/>
      </c>
      <c r="C43" s="24">
        <f>Table134681112141516[[#This Row],[PMI]]-B42</f>
        <v/>
      </c>
    </row>
    <row r="44">
      <c r="A44" s="10" t="n">
        <v>40817</v>
      </c>
      <c r="B44" s="18">
        <f>IF(VLOOKUP(A44,'DB Country PMI'!$A:$AZ,MATCH($A$1,'DB Country PMI'!$A$1:$AZ$1,),)=0,#N/A,VLOOKUP(A44,'DB Country PMI'!$A:$AZ,MATCH($A$1,'DB Country PMI'!$A$1:$AZ$1,),))</f>
        <v/>
      </c>
      <c r="C44" s="24">
        <f>Table134681112141516[[#This Row],[PMI]]-B43</f>
        <v/>
      </c>
    </row>
    <row r="45">
      <c r="A45" s="10" t="n">
        <v>40848</v>
      </c>
      <c r="B45" s="18">
        <f>IF(VLOOKUP(A45,'DB Country PMI'!$A:$AZ,MATCH($A$1,'DB Country PMI'!$A$1:$AZ$1,),)=0,#N/A,VLOOKUP(A45,'DB Country PMI'!$A:$AZ,MATCH($A$1,'DB Country PMI'!$A$1:$AZ$1,),))</f>
        <v/>
      </c>
      <c r="C45" s="24">
        <f>Table134681112141516[[#This Row],[PMI]]-B44</f>
        <v/>
      </c>
    </row>
    <row r="46">
      <c r="A46" s="10" t="n">
        <v>40878</v>
      </c>
      <c r="B46" s="18">
        <f>IF(VLOOKUP(A46,'DB Country PMI'!$A:$AZ,MATCH($A$1,'DB Country PMI'!$A$1:$AZ$1,),)=0,#N/A,VLOOKUP(A46,'DB Country PMI'!$A:$AZ,MATCH($A$1,'DB Country PMI'!$A$1:$AZ$1,),))</f>
        <v/>
      </c>
      <c r="C46" s="24">
        <f>Table134681112141516[[#This Row],[PMI]]-B45</f>
        <v/>
      </c>
    </row>
    <row r="47">
      <c r="A47" s="10" t="n">
        <v>40909</v>
      </c>
      <c r="B47" s="18">
        <f>IF(VLOOKUP(A47,'DB Country PMI'!$A:$AZ,MATCH($A$1,'DB Country PMI'!$A$1:$AZ$1,),)=0,#N/A,VLOOKUP(A47,'DB Country PMI'!$A:$AZ,MATCH($A$1,'DB Country PMI'!$A$1:$AZ$1,),))</f>
        <v/>
      </c>
      <c r="C47" s="24">
        <f>Table134681112141516[[#This Row],[PMI]]-B46</f>
        <v/>
      </c>
    </row>
    <row r="48">
      <c r="A48" s="10" t="n">
        <v>40940</v>
      </c>
      <c r="B48" s="18">
        <f>IF(VLOOKUP(A48,'DB Country PMI'!$A:$AZ,MATCH($A$1,'DB Country PMI'!$A$1:$AZ$1,),)=0,#N/A,VLOOKUP(A48,'DB Country PMI'!$A:$AZ,MATCH($A$1,'DB Country PMI'!$A$1:$AZ$1,),))</f>
        <v/>
      </c>
      <c r="C48" s="24">
        <f>Table134681112141516[[#This Row],[PMI]]-B47</f>
        <v/>
      </c>
    </row>
    <row r="49">
      <c r="A49" s="10" t="n">
        <v>40969</v>
      </c>
      <c r="B49" s="18">
        <f>IF(VLOOKUP(A49,'DB Country PMI'!$A:$AZ,MATCH($A$1,'DB Country PMI'!$A$1:$AZ$1,),)=0,#N/A,VLOOKUP(A49,'DB Country PMI'!$A:$AZ,MATCH($A$1,'DB Country PMI'!$A$1:$AZ$1,),))</f>
        <v/>
      </c>
      <c r="C49" s="24">
        <f>Table134681112141516[[#This Row],[PMI]]-B48</f>
        <v/>
      </c>
    </row>
    <row r="50">
      <c r="A50" s="10" t="n">
        <v>41000</v>
      </c>
      <c r="B50" s="18">
        <f>IF(VLOOKUP(A50,'DB Country PMI'!$A:$AZ,MATCH($A$1,'DB Country PMI'!$A$1:$AZ$1,),)=0,#N/A,VLOOKUP(A50,'DB Country PMI'!$A:$AZ,MATCH($A$1,'DB Country PMI'!$A$1:$AZ$1,),))</f>
        <v/>
      </c>
      <c r="C50" s="24">
        <f>Table134681112141516[[#This Row],[PMI]]-B49</f>
        <v/>
      </c>
    </row>
    <row r="51">
      <c r="A51" s="10" t="n">
        <v>41030</v>
      </c>
      <c r="B51" s="18">
        <f>IF(VLOOKUP(A51,'DB Country PMI'!$A:$AZ,MATCH($A$1,'DB Country PMI'!$A$1:$AZ$1,),)=0,#N/A,VLOOKUP(A51,'DB Country PMI'!$A:$AZ,MATCH($A$1,'DB Country PMI'!$A$1:$AZ$1,),))</f>
        <v/>
      </c>
      <c r="C51" s="24">
        <f>Table134681112141516[[#This Row],[PMI]]-B50</f>
        <v/>
      </c>
    </row>
    <row r="52">
      <c r="A52" s="10" t="n">
        <v>41061</v>
      </c>
      <c r="B52" s="18">
        <f>IF(VLOOKUP(A52,'DB Country PMI'!$A:$AZ,MATCH($A$1,'DB Country PMI'!$A$1:$AZ$1,),)=0,#N/A,VLOOKUP(A52,'DB Country PMI'!$A:$AZ,MATCH($A$1,'DB Country PMI'!$A$1:$AZ$1,),))</f>
        <v/>
      </c>
      <c r="C52" s="24">
        <f>Table134681112141516[[#This Row],[PMI]]-B51</f>
        <v/>
      </c>
    </row>
    <row r="53">
      <c r="A53" s="10" t="n">
        <v>41091</v>
      </c>
      <c r="B53" s="18">
        <f>IF(VLOOKUP(A53,'DB Country PMI'!$A:$AZ,MATCH($A$1,'DB Country PMI'!$A$1:$AZ$1,),)=0,#N/A,VLOOKUP(A53,'DB Country PMI'!$A:$AZ,MATCH($A$1,'DB Country PMI'!$A$1:$AZ$1,),))</f>
        <v/>
      </c>
      <c r="C53" s="24">
        <f>Table134681112141516[[#This Row],[PMI]]-B52</f>
        <v/>
      </c>
    </row>
    <row r="54">
      <c r="A54" s="10" t="n">
        <v>41122</v>
      </c>
      <c r="B54" s="18">
        <f>IF(VLOOKUP(A54,'DB Country PMI'!$A:$AZ,MATCH($A$1,'DB Country PMI'!$A$1:$AZ$1,),)=0,#N/A,VLOOKUP(A54,'DB Country PMI'!$A:$AZ,MATCH($A$1,'DB Country PMI'!$A$1:$AZ$1,),))</f>
        <v/>
      </c>
      <c r="C54" s="24">
        <f>Table134681112141516[[#This Row],[PMI]]-B53</f>
        <v/>
      </c>
    </row>
    <row r="55">
      <c r="A55" s="10" t="n">
        <v>41153</v>
      </c>
      <c r="B55" s="18">
        <f>IF(VLOOKUP(A55,'DB Country PMI'!$A:$AZ,MATCH($A$1,'DB Country PMI'!$A$1:$AZ$1,),)=0,#N/A,VLOOKUP(A55,'DB Country PMI'!$A:$AZ,MATCH($A$1,'DB Country PMI'!$A$1:$AZ$1,),))</f>
        <v/>
      </c>
      <c r="C55" s="24">
        <f>Table134681112141516[[#This Row],[PMI]]-B54</f>
        <v/>
      </c>
    </row>
    <row r="56">
      <c r="A56" s="10" t="n">
        <v>41183</v>
      </c>
      <c r="B56" s="18">
        <f>IF(VLOOKUP(A56,'DB Country PMI'!$A:$AZ,MATCH($A$1,'DB Country PMI'!$A$1:$AZ$1,),)=0,#N/A,VLOOKUP(A56,'DB Country PMI'!$A:$AZ,MATCH($A$1,'DB Country PMI'!$A$1:$AZ$1,),))</f>
        <v/>
      </c>
      <c r="C56" s="24">
        <f>Table134681112141516[[#This Row],[PMI]]-B55</f>
        <v/>
      </c>
    </row>
    <row r="57">
      <c r="A57" s="10" t="n">
        <v>41214</v>
      </c>
      <c r="B57" s="18">
        <f>IF(VLOOKUP(A57,'DB Country PMI'!$A:$AZ,MATCH($A$1,'DB Country PMI'!$A$1:$AZ$1,),)=0,#N/A,VLOOKUP(A57,'DB Country PMI'!$A:$AZ,MATCH($A$1,'DB Country PMI'!$A$1:$AZ$1,),))</f>
        <v/>
      </c>
      <c r="C57" s="24">
        <f>Table134681112141516[[#This Row],[PMI]]-B56</f>
        <v/>
      </c>
    </row>
    <row r="58">
      <c r="A58" s="10" t="n">
        <v>41244</v>
      </c>
      <c r="B58" s="18">
        <f>IF(VLOOKUP(A58,'DB Country PMI'!$A:$AZ,MATCH($A$1,'DB Country PMI'!$A$1:$AZ$1,),)=0,#N/A,VLOOKUP(A58,'DB Country PMI'!$A:$AZ,MATCH($A$1,'DB Country PMI'!$A$1:$AZ$1,),))</f>
        <v/>
      </c>
      <c r="C58" s="24">
        <f>Table134681112141516[[#This Row],[PMI]]-B57</f>
        <v/>
      </c>
    </row>
    <row r="59">
      <c r="A59" s="10" t="n">
        <v>41275</v>
      </c>
      <c r="B59" s="18">
        <f>IF(VLOOKUP(A59,'DB Country PMI'!$A:$AZ,MATCH($A$1,'DB Country PMI'!$A$1:$AZ$1,),)=0,#N/A,VLOOKUP(A59,'DB Country PMI'!$A:$AZ,MATCH($A$1,'DB Country PMI'!$A$1:$AZ$1,),))</f>
        <v/>
      </c>
      <c r="C59" s="24">
        <f>Table134681112141516[[#This Row],[PMI]]-B58</f>
        <v/>
      </c>
    </row>
    <row r="60">
      <c r="A60" s="10" t="n">
        <v>41306</v>
      </c>
      <c r="B60" s="18">
        <f>IF(VLOOKUP(A60,'DB Country PMI'!$A:$AZ,MATCH($A$1,'DB Country PMI'!$A$1:$AZ$1,),)=0,#N/A,VLOOKUP(A60,'DB Country PMI'!$A:$AZ,MATCH($A$1,'DB Country PMI'!$A$1:$AZ$1,),))</f>
        <v/>
      </c>
      <c r="C60" s="24">
        <f>Table134681112141516[[#This Row],[PMI]]-B59</f>
        <v/>
      </c>
    </row>
    <row r="61">
      <c r="A61" s="10" t="n">
        <v>41334</v>
      </c>
      <c r="B61" s="18">
        <f>IF(VLOOKUP(A61,'DB Country PMI'!$A:$AZ,MATCH($A$1,'DB Country PMI'!$A$1:$AZ$1,),)=0,#N/A,VLOOKUP(A61,'DB Country PMI'!$A:$AZ,MATCH($A$1,'DB Country PMI'!$A$1:$AZ$1,),))</f>
        <v/>
      </c>
      <c r="C61" s="24">
        <f>Table134681112141516[[#This Row],[PMI]]-B60</f>
        <v/>
      </c>
    </row>
    <row r="62">
      <c r="A62" s="10" t="n">
        <v>41365</v>
      </c>
      <c r="B62" s="18">
        <f>IF(VLOOKUP(A62,'DB Country PMI'!$A:$AZ,MATCH($A$1,'DB Country PMI'!$A$1:$AZ$1,),)=0,#N/A,VLOOKUP(A62,'DB Country PMI'!$A:$AZ,MATCH($A$1,'DB Country PMI'!$A$1:$AZ$1,),))</f>
        <v/>
      </c>
      <c r="C62" s="24">
        <f>Table134681112141516[[#This Row],[PMI]]-B61</f>
        <v/>
      </c>
    </row>
    <row r="63">
      <c r="A63" s="10" t="n">
        <v>41395</v>
      </c>
      <c r="B63" s="18">
        <f>IF(VLOOKUP(A63,'DB Country PMI'!$A:$AZ,MATCH($A$1,'DB Country PMI'!$A$1:$AZ$1,),)=0,#N/A,VLOOKUP(A63,'DB Country PMI'!$A:$AZ,MATCH($A$1,'DB Country PMI'!$A$1:$AZ$1,),))</f>
        <v/>
      </c>
      <c r="C63" s="24">
        <f>Table134681112141516[[#This Row],[PMI]]-B62</f>
        <v/>
      </c>
    </row>
    <row r="64">
      <c r="A64" s="10" t="n">
        <v>41426</v>
      </c>
      <c r="B64" s="18">
        <f>IF(VLOOKUP(A64,'DB Country PMI'!$A:$AZ,MATCH($A$1,'DB Country PMI'!$A$1:$AZ$1,),)=0,#N/A,VLOOKUP(A64,'DB Country PMI'!$A:$AZ,MATCH($A$1,'DB Country PMI'!$A$1:$AZ$1,),))</f>
        <v/>
      </c>
      <c r="C64" s="24">
        <f>Table134681112141516[[#This Row],[PMI]]-B63</f>
        <v/>
      </c>
    </row>
    <row r="65">
      <c r="A65" s="10" t="n">
        <v>41456</v>
      </c>
      <c r="B65" s="18">
        <f>IF(VLOOKUP(A65,'DB Country PMI'!$A:$AZ,MATCH($A$1,'DB Country PMI'!$A$1:$AZ$1,),)=0,#N/A,VLOOKUP(A65,'DB Country PMI'!$A:$AZ,MATCH($A$1,'DB Country PMI'!$A$1:$AZ$1,),))</f>
        <v/>
      </c>
      <c r="C65" s="24">
        <f>Table134681112141516[[#This Row],[PMI]]-B64</f>
        <v/>
      </c>
    </row>
    <row r="66">
      <c r="A66" s="10" t="n">
        <v>41487</v>
      </c>
      <c r="B66" s="18">
        <f>IF(VLOOKUP(A66,'DB Country PMI'!$A:$AZ,MATCH($A$1,'DB Country PMI'!$A$1:$AZ$1,),)=0,#N/A,VLOOKUP(A66,'DB Country PMI'!$A:$AZ,MATCH($A$1,'DB Country PMI'!$A$1:$AZ$1,),))</f>
        <v/>
      </c>
      <c r="C66" s="24">
        <f>Table134681112141516[[#This Row],[PMI]]-B65</f>
        <v/>
      </c>
    </row>
    <row r="67">
      <c r="A67" s="10" t="n">
        <v>41518</v>
      </c>
      <c r="B67" s="18">
        <f>IF(VLOOKUP(A67,'DB Country PMI'!$A:$AZ,MATCH($A$1,'DB Country PMI'!$A$1:$AZ$1,),)=0,#N/A,VLOOKUP(A67,'DB Country PMI'!$A:$AZ,MATCH($A$1,'DB Country PMI'!$A$1:$AZ$1,),))</f>
        <v/>
      </c>
      <c r="C67" s="24">
        <f>Table134681112141516[[#This Row],[PMI]]-B66</f>
        <v/>
      </c>
    </row>
    <row r="68">
      <c r="A68" s="10" t="n">
        <v>41548</v>
      </c>
      <c r="B68" s="18">
        <f>IF(VLOOKUP(A68,'DB Country PMI'!$A:$AZ,MATCH($A$1,'DB Country PMI'!$A$1:$AZ$1,),)=0,#N/A,VLOOKUP(A68,'DB Country PMI'!$A:$AZ,MATCH($A$1,'DB Country PMI'!$A$1:$AZ$1,),))</f>
        <v/>
      </c>
      <c r="C68" s="24">
        <f>Table134681112141516[[#This Row],[PMI]]-B67</f>
        <v/>
      </c>
    </row>
    <row r="69">
      <c r="A69" s="10" t="n">
        <v>41579</v>
      </c>
      <c r="B69" s="18">
        <f>IF(VLOOKUP(A69,'DB Country PMI'!$A:$AZ,MATCH($A$1,'DB Country PMI'!$A$1:$AZ$1,),)=0,#N/A,VLOOKUP(A69,'DB Country PMI'!$A:$AZ,MATCH($A$1,'DB Country PMI'!$A$1:$AZ$1,),))</f>
        <v/>
      </c>
      <c r="C69" s="24">
        <f>Table134681112141516[[#This Row],[PMI]]-B68</f>
        <v/>
      </c>
    </row>
    <row r="70">
      <c r="A70" s="10" t="n">
        <v>41609</v>
      </c>
      <c r="B70" s="18">
        <f>IF(VLOOKUP(A70,'DB Country PMI'!$A:$AZ,MATCH($A$1,'DB Country PMI'!$A$1:$AZ$1,),)=0,#N/A,VLOOKUP(A70,'DB Country PMI'!$A:$AZ,MATCH($A$1,'DB Country PMI'!$A$1:$AZ$1,),))</f>
        <v/>
      </c>
      <c r="C70" s="24">
        <f>Table134681112141516[[#This Row],[PMI]]-B69</f>
        <v/>
      </c>
    </row>
    <row r="71">
      <c r="A71" s="10" t="n">
        <v>41640</v>
      </c>
      <c r="B71" s="18">
        <f>IF(VLOOKUP(A71,'DB Country PMI'!$A:$AZ,MATCH($A$1,'DB Country PMI'!$A$1:$AZ$1,),)=0,#N/A,VLOOKUP(A71,'DB Country PMI'!$A:$AZ,MATCH($A$1,'DB Country PMI'!$A$1:$AZ$1,),))</f>
        <v/>
      </c>
      <c r="C71" s="24">
        <f>Table134681112141516[[#This Row],[PMI]]-B70</f>
        <v/>
      </c>
    </row>
    <row r="72">
      <c r="A72" s="10" t="n">
        <v>41671</v>
      </c>
      <c r="B72" s="18">
        <f>IF(VLOOKUP(A72,'DB Country PMI'!$A:$AZ,MATCH($A$1,'DB Country PMI'!$A$1:$AZ$1,),)=0,#N/A,VLOOKUP(A72,'DB Country PMI'!$A:$AZ,MATCH($A$1,'DB Country PMI'!$A$1:$AZ$1,),))</f>
        <v/>
      </c>
      <c r="C72" s="24">
        <f>Table134681112141516[[#This Row],[PMI]]-B71</f>
        <v/>
      </c>
    </row>
    <row r="73">
      <c r="A73" s="10" t="n">
        <v>41699</v>
      </c>
      <c r="B73" s="18">
        <f>IF(VLOOKUP(A73,'DB Country PMI'!$A:$AZ,MATCH($A$1,'DB Country PMI'!$A$1:$AZ$1,),)=0,#N/A,VLOOKUP(A73,'DB Country PMI'!$A:$AZ,MATCH($A$1,'DB Country PMI'!$A$1:$AZ$1,),))</f>
        <v/>
      </c>
      <c r="C73" s="24">
        <f>Table134681112141516[[#This Row],[PMI]]-B72</f>
        <v/>
      </c>
    </row>
    <row r="74">
      <c r="A74" s="10" t="n">
        <v>41730</v>
      </c>
      <c r="B74" s="18">
        <f>IF(VLOOKUP(A74,'DB Country PMI'!$A:$AZ,MATCH($A$1,'DB Country PMI'!$A$1:$AZ$1,),)=0,#N/A,VLOOKUP(A74,'DB Country PMI'!$A:$AZ,MATCH($A$1,'DB Country PMI'!$A$1:$AZ$1,),))</f>
        <v/>
      </c>
      <c r="C74" s="24">
        <f>Table134681112141516[[#This Row],[PMI]]-B73</f>
        <v/>
      </c>
    </row>
    <row r="75">
      <c r="A75" s="10" t="n">
        <v>41760</v>
      </c>
      <c r="B75" s="18">
        <f>IF(VLOOKUP(A75,'DB Country PMI'!$A:$AZ,MATCH($A$1,'DB Country PMI'!$A$1:$AZ$1,),)=0,#N/A,VLOOKUP(A75,'DB Country PMI'!$A:$AZ,MATCH($A$1,'DB Country PMI'!$A$1:$AZ$1,),))</f>
        <v/>
      </c>
      <c r="C75" s="24">
        <f>Table134681112141516[[#This Row],[PMI]]-B74</f>
        <v/>
      </c>
    </row>
    <row r="76">
      <c r="A76" s="10" t="n">
        <v>41791</v>
      </c>
      <c r="B76" s="18">
        <f>IF(VLOOKUP(A76,'DB Country PMI'!$A:$AZ,MATCH($A$1,'DB Country PMI'!$A$1:$AZ$1,),)=0,#N/A,VLOOKUP(A76,'DB Country PMI'!$A:$AZ,MATCH($A$1,'DB Country PMI'!$A$1:$AZ$1,),))</f>
        <v/>
      </c>
      <c r="C76" s="24">
        <f>Table134681112141516[[#This Row],[PMI]]-B75</f>
        <v/>
      </c>
    </row>
    <row r="77">
      <c r="A77" s="10" t="n">
        <v>41821</v>
      </c>
      <c r="B77" s="18">
        <f>IF(VLOOKUP(A77,'DB Country PMI'!$A:$AZ,MATCH($A$1,'DB Country PMI'!$A$1:$AZ$1,),)=0,#N/A,VLOOKUP(A77,'DB Country PMI'!$A:$AZ,MATCH($A$1,'DB Country PMI'!$A$1:$AZ$1,),))</f>
        <v/>
      </c>
      <c r="C77" s="24">
        <f>Table134681112141516[[#This Row],[PMI]]-B76</f>
        <v/>
      </c>
    </row>
    <row r="78">
      <c r="A78" s="10" t="n">
        <v>41852</v>
      </c>
      <c r="B78" s="18">
        <f>IF(VLOOKUP(A78,'DB Country PMI'!$A:$AZ,MATCH($A$1,'DB Country PMI'!$A$1:$AZ$1,),)=0,#N/A,VLOOKUP(A78,'DB Country PMI'!$A:$AZ,MATCH($A$1,'DB Country PMI'!$A$1:$AZ$1,),))</f>
        <v/>
      </c>
      <c r="C78" s="24">
        <f>Table134681112141516[[#This Row],[PMI]]-B77</f>
        <v/>
      </c>
    </row>
    <row r="79">
      <c r="A79" s="10" t="n">
        <v>41883</v>
      </c>
      <c r="B79" s="18">
        <f>IF(VLOOKUP(A79,'DB Country PMI'!$A:$AZ,MATCH($A$1,'DB Country PMI'!$A$1:$AZ$1,),)=0,#N/A,VLOOKUP(A79,'DB Country PMI'!$A:$AZ,MATCH($A$1,'DB Country PMI'!$A$1:$AZ$1,),))</f>
        <v/>
      </c>
      <c r="C79" s="24">
        <f>Table134681112141516[[#This Row],[PMI]]-B78</f>
        <v/>
      </c>
    </row>
    <row r="80">
      <c r="A80" s="10" t="n">
        <v>41913</v>
      </c>
      <c r="B80" s="18">
        <f>IF(VLOOKUP(A80,'DB Country PMI'!$A:$AZ,MATCH($A$1,'DB Country PMI'!$A$1:$AZ$1,),)=0,#N/A,VLOOKUP(A80,'DB Country PMI'!$A:$AZ,MATCH($A$1,'DB Country PMI'!$A$1:$AZ$1,),))</f>
        <v/>
      </c>
      <c r="C80" s="24">
        <f>Table134681112141516[[#This Row],[PMI]]-B79</f>
        <v/>
      </c>
    </row>
    <row r="81">
      <c r="A81" s="10" t="n">
        <v>41944</v>
      </c>
      <c r="B81" s="18">
        <f>IF(VLOOKUP(A81,'DB Country PMI'!$A:$AZ,MATCH($A$1,'DB Country PMI'!$A$1:$AZ$1,),)=0,#N/A,VLOOKUP(A81,'DB Country PMI'!$A:$AZ,MATCH($A$1,'DB Country PMI'!$A$1:$AZ$1,),))</f>
        <v/>
      </c>
      <c r="C81" s="24">
        <f>Table134681112141516[[#This Row],[PMI]]-B80</f>
        <v/>
      </c>
    </row>
    <row r="82">
      <c r="A82" s="10" t="n">
        <v>41974</v>
      </c>
      <c r="B82" s="18">
        <f>IF(VLOOKUP(A82,'DB Country PMI'!$A:$AZ,MATCH($A$1,'DB Country PMI'!$A$1:$AZ$1,),)=0,#N/A,VLOOKUP(A82,'DB Country PMI'!$A:$AZ,MATCH($A$1,'DB Country PMI'!$A$1:$AZ$1,),))</f>
        <v/>
      </c>
      <c r="C82" s="24">
        <f>Table134681112141516[[#This Row],[PMI]]-B81</f>
        <v/>
      </c>
    </row>
    <row r="83">
      <c r="A83" s="10" t="n">
        <v>42005</v>
      </c>
      <c r="B83" s="18">
        <f>IF(VLOOKUP(A83,'DB Country PMI'!$A:$AZ,MATCH($A$1,'DB Country PMI'!$A$1:$AZ$1,),)=0,#N/A,VLOOKUP(A83,'DB Country PMI'!$A:$AZ,MATCH($A$1,'DB Country PMI'!$A$1:$AZ$1,),))</f>
        <v/>
      </c>
      <c r="C83" s="24">
        <f>Table134681112141516[[#This Row],[PMI]]-B82</f>
        <v/>
      </c>
    </row>
    <row r="84">
      <c r="A84" s="10" t="n">
        <v>42036</v>
      </c>
      <c r="B84" s="18">
        <f>IF(VLOOKUP(A84,'DB Country PMI'!$A:$AZ,MATCH($A$1,'DB Country PMI'!$A$1:$AZ$1,),)=0,#N/A,VLOOKUP(A84,'DB Country PMI'!$A:$AZ,MATCH($A$1,'DB Country PMI'!$A$1:$AZ$1,),))</f>
        <v/>
      </c>
      <c r="C84" s="24">
        <f>Table134681112141516[[#This Row],[PMI]]-B83</f>
        <v/>
      </c>
    </row>
    <row r="85">
      <c r="A85" s="10" t="n">
        <v>42064</v>
      </c>
      <c r="B85" s="18">
        <f>IF(VLOOKUP(A85,'DB Country PMI'!$A:$AZ,MATCH($A$1,'DB Country PMI'!$A$1:$AZ$1,),)=0,#N/A,VLOOKUP(A85,'DB Country PMI'!$A:$AZ,MATCH($A$1,'DB Country PMI'!$A$1:$AZ$1,),))</f>
        <v/>
      </c>
      <c r="C85" s="24">
        <f>Table134681112141516[[#This Row],[PMI]]-B84</f>
        <v/>
      </c>
    </row>
    <row r="86">
      <c r="A86" s="10" t="n">
        <v>42095</v>
      </c>
      <c r="B86" s="18">
        <f>IF(VLOOKUP(A86,'DB Country PMI'!$A:$AZ,MATCH($A$1,'DB Country PMI'!$A$1:$AZ$1,),)=0,#N/A,VLOOKUP(A86,'DB Country PMI'!$A:$AZ,MATCH($A$1,'DB Country PMI'!$A$1:$AZ$1,),))</f>
        <v/>
      </c>
      <c r="C86" s="24">
        <f>Table134681112141516[[#This Row],[PMI]]-B85</f>
        <v/>
      </c>
    </row>
    <row r="87">
      <c r="A87" s="10" t="n">
        <v>42125</v>
      </c>
      <c r="B87" s="18">
        <f>IF(VLOOKUP(A87,'DB Country PMI'!$A:$AZ,MATCH($A$1,'DB Country PMI'!$A$1:$AZ$1,),)=0,#N/A,VLOOKUP(A87,'DB Country PMI'!$A:$AZ,MATCH($A$1,'DB Country PMI'!$A$1:$AZ$1,),))</f>
        <v/>
      </c>
      <c r="C87" s="24">
        <f>Table134681112141516[[#This Row],[PMI]]-B86</f>
        <v/>
      </c>
    </row>
    <row r="88">
      <c r="A88" s="10" t="n">
        <v>42156</v>
      </c>
      <c r="B88" s="18">
        <f>IF(VLOOKUP(A88,'DB Country PMI'!$A:$AZ,MATCH($A$1,'DB Country PMI'!$A$1:$AZ$1,),)=0,#N/A,VLOOKUP(A88,'DB Country PMI'!$A:$AZ,MATCH($A$1,'DB Country PMI'!$A$1:$AZ$1,),))</f>
        <v/>
      </c>
      <c r="C88" s="24">
        <f>Table134681112141516[[#This Row],[PMI]]-B87</f>
        <v/>
      </c>
    </row>
    <row r="89">
      <c r="A89" s="10" t="n">
        <v>42186</v>
      </c>
      <c r="B89" s="18">
        <f>IF(VLOOKUP(A89,'DB Country PMI'!$A:$AZ,MATCH($A$1,'DB Country PMI'!$A$1:$AZ$1,),)=0,#N/A,VLOOKUP(A89,'DB Country PMI'!$A:$AZ,MATCH($A$1,'DB Country PMI'!$A$1:$AZ$1,),))</f>
        <v/>
      </c>
      <c r="C89" s="24">
        <f>Table134681112141516[[#This Row],[PMI]]-B88</f>
        <v/>
      </c>
    </row>
    <row r="90">
      <c r="A90" s="10" t="n">
        <v>42217</v>
      </c>
      <c r="B90" s="18">
        <f>IF(VLOOKUP(A90,'DB Country PMI'!$A:$AZ,MATCH($A$1,'DB Country PMI'!$A$1:$AZ$1,),)=0,#N/A,VLOOKUP(A90,'DB Country PMI'!$A:$AZ,MATCH($A$1,'DB Country PMI'!$A$1:$AZ$1,),))</f>
        <v/>
      </c>
      <c r="C90" s="24">
        <f>Table134681112141516[[#This Row],[PMI]]-B89</f>
        <v/>
      </c>
    </row>
    <row r="91">
      <c r="A91" s="10" t="n">
        <v>42248</v>
      </c>
      <c r="B91" s="18">
        <f>IF(VLOOKUP(A91,'DB Country PMI'!$A:$AZ,MATCH($A$1,'DB Country PMI'!$A$1:$AZ$1,),)=0,#N/A,VLOOKUP(A91,'DB Country PMI'!$A:$AZ,MATCH($A$1,'DB Country PMI'!$A$1:$AZ$1,),))</f>
        <v/>
      </c>
      <c r="C91" s="24">
        <f>Table134681112141516[[#This Row],[PMI]]-B90</f>
        <v/>
      </c>
    </row>
    <row r="92">
      <c r="A92" s="10" t="n">
        <v>42278</v>
      </c>
      <c r="B92" s="18">
        <f>IF(VLOOKUP(A92,'DB Country PMI'!$A:$AZ,MATCH($A$1,'DB Country PMI'!$A$1:$AZ$1,),)=0,#N/A,VLOOKUP(A92,'DB Country PMI'!$A:$AZ,MATCH($A$1,'DB Country PMI'!$A$1:$AZ$1,),))</f>
        <v/>
      </c>
      <c r="C92" s="24">
        <f>Table134681112141516[[#This Row],[PMI]]-B91</f>
        <v/>
      </c>
    </row>
    <row r="93">
      <c r="A93" s="10" t="n">
        <v>42309</v>
      </c>
      <c r="B93" s="18">
        <f>IF(VLOOKUP(A93,'DB Country PMI'!$A:$AZ,MATCH($A$1,'DB Country PMI'!$A$1:$AZ$1,),)=0,#N/A,VLOOKUP(A93,'DB Country PMI'!$A:$AZ,MATCH($A$1,'DB Country PMI'!$A$1:$AZ$1,),))</f>
        <v/>
      </c>
      <c r="C93" s="24">
        <f>Table134681112141516[[#This Row],[PMI]]-B92</f>
        <v/>
      </c>
    </row>
    <row r="94">
      <c r="A94" s="10" t="n">
        <v>42339</v>
      </c>
      <c r="B94" s="18">
        <f>IF(VLOOKUP(A94,'DB Country PMI'!$A:$AZ,MATCH($A$1,'DB Country PMI'!$A$1:$AZ$1,),)=0,#N/A,VLOOKUP(A94,'DB Country PMI'!$A:$AZ,MATCH($A$1,'DB Country PMI'!$A$1:$AZ$1,),))</f>
        <v/>
      </c>
      <c r="C94" s="24">
        <f>Table134681112141516[[#This Row],[PMI]]-B93</f>
        <v/>
      </c>
    </row>
    <row r="95">
      <c r="A95" s="10" t="n">
        <v>42370</v>
      </c>
      <c r="B95" s="18">
        <f>IF(VLOOKUP(A95,'DB Country PMI'!$A:$AZ,MATCH($A$1,'DB Country PMI'!$A$1:$AZ$1,),)=0,#N/A,VLOOKUP(A95,'DB Country PMI'!$A:$AZ,MATCH($A$1,'DB Country PMI'!$A$1:$AZ$1,),))</f>
        <v/>
      </c>
      <c r="C95" s="24">
        <f>Table134681112141516[[#This Row],[PMI]]-B94</f>
        <v/>
      </c>
    </row>
    <row r="96">
      <c r="A96" s="10" t="n">
        <v>42401</v>
      </c>
      <c r="B96" s="18">
        <f>IF(VLOOKUP(A96,'DB Country PMI'!$A:$AZ,MATCH($A$1,'DB Country PMI'!$A$1:$AZ$1,),)=0,#N/A,VLOOKUP(A96,'DB Country PMI'!$A:$AZ,MATCH($A$1,'DB Country PMI'!$A$1:$AZ$1,),))</f>
        <v/>
      </c>
      <c r="C96" s="24">
        <f>Table134681112141516[[#This Row],[PMI]]-B95</f>
        <v/>
      </c>
    </row>
    <row r="97">
      <c r="A97" s="10" t="n">
        <v>42430</v>
      </c>
      <c r="B97" s="18">
        <f>IF(VLOOKUP(A97,'DB Country PMI'!$A:$AZ,MATCH($A$1,'DB Country PMI'!$A$1:$AZ$1,),)=0,#N/A,VLOOKUP(A97,'DB Country PMI'!$A:$AZ,MATCH($A$1,'DB Country PMI'!$A$1:$AZ$1,),))</f>
        <v/>
      </c>
      <c r="C97" s="24">
        <f>Table134681112141516[[#This Row],[PMI]]-B96</f>
        <v/>
      </c>
    </row>
    <row r="98">
      <c r="A98" s="10" t="n">
        <v>42461</v>
      </c>
      <c r="B98" s="18">
        <f>IF(VLOOKUP(A98,'DB Country PMI'!$A:$AZ,MATCH($A$1,'DB Country PMI'!$A$1:$AZ$1,),)=0,#N/A,VLOOKUP(A98,'DB Country PMI'!$A:$AZ,MATCH($A$1,'DB Country PMI'!$A$1:$AZ$1,),))</f>
        <v/>
      </c>
      <c r="C98" s="24">
        <f>Table134681112141516[[#This Row],[PMI]]-B97</f>
        <v/>
      </c>
    </row>
    <row r="99">
      <c r="A99" s="10" t="n">
        <v>42491</v>
      </c>
      <c r="B99" s="18">
        <f>IF(VLOOKUP(A99,'DB Country PMI'!$A:$AZ,MATCH($A$1,'DB Country PMI'!$A$1:$AZ$1,),)=0,#N/A,VLOOKUP(A99,'DB Country PMI'!$A:$AZ,MATCH($A$1,'DB Country PMI'!$A$1:$AZ$1,),))</f>
        <v/>
      </c>
      <c r="C99" s="24">
        <f>Table134681112141516[[#This Row],[PMI]]-B98</f>
        <v/>
      </c>
    </row>
    <row r="100">
      <c r="A100" s="10" t="n">
        <v>42522</v>
      </c>
      <c r="B100" s="18">
        <f>IF(VLOOKUP(A100,'DB Country PMI'!$A:$AZ,MATCH($A$1,'DB Country PMI'!$A$1:$AZ$1,),)=0,#N/A,VLOOKUP(A100,'DB Country PMI'!$A:$AZ,MATCH($A$1,'DB Country PMI'!$A$1:$AZ$1,),))</f>
        <v/>
      </c>
      <c r="C100" s="24">
        <f>Table134681112141516[[#This Row],[PMI]]-B99</f>
        <v/>
      </c>
    </row>
    <row r="101">
      <c r="A101" s="10" t="n">
        <v>42552</v>
      </c>
      <c r="B101" s="18">
        <f>IF(VLOOKUP(A101,'DB Country PMI'!$A:$AZ,MATCH($A$1,'DB Country PMI'!$A$1:$AZ$1,),)=0,#N/A,VLOOKUP(A101,'DB Country PMI'!$A:$AZ,MATCH($A$1,'DB Country PMI'!$A$1:$AZ$1,),))</f>
        <v/>
      </c>
      <c r="C101" s="24">
        <f>Table134681112141516[[#This Row],[PMI]]-B100</f>
        <v/>
      </c>
    </row>
    <row r="102">
      <c r="A102" s="10" t="n">
        <v>42583</v>
      </c>
      <c r="B102" s="18">
        <f>IF(VLOOKUP(A102,'DB Country PMI'!$A:$AZ,MATCH($A$1,'DB Country PMI'!$A$1:$AZ$1,),)=0,#N/A,VLOOKUP(A102,'DB Country PMI'!$A:$AZ,MATCH($A$1,'DB Country PMI'!$A$1:$AZ$1,),))</f>
        <v/>
      </c>
      <c r="C102" s="24">
        <f>Table134681112141516[[#This Row],[PMI]]-B101</f>
        <v/>
      </c>
    </row>
    <row r="103">
      <c r="A103" s="10" t="n">
        <v>42614</v>
      </c>
      <c r="B103" s="18">
        <f>IF(VLOOKUP(A103,'DB Country PMI'!$A:$AZ,MATCH($A$1,'DB Country PMI'!$A$1:$AZ$1,),)=0,#N/A,VLOOKUP(A103,'DB Country PMI'!$A:$AZ,MATCH($A$1,'DB Country PMI'!$A$1:$AZ$1,),))</f>
        <v/>
      </c>
      <c r="C103" s="24">
        <f>Table134681112141516[[#This Row],[PMI]]-B102</f>
        <v/>
      </c>
    </row>
    <row r="104">
      <c r="A104" s="10" t="n">
        <v>42644</v>
      </c>
      <c r="B104" s="18">
        <f>IF(VLOOKUP(A104,'DB Country PMI'!$A:$AZ,MATCH($A$1,'DB Country PMI'!$A$1:$AZ$1,),)=0,#N/A,VLOOKUP(A104,'DB Country PMI'!$A:$AZ,MATCH($A$1,'DB Country PMI'!$A$1:$AZ$1,),))</f>
        <v/>
      </c>
      <c r="C104" s="24">
        <f>Table134681112141516[[#This Row],[PMI]]-B103</f>
        <v/>
      </c>
    </row>
    <row r="105">
      <c r="A105" s="10" t="n">
        <v>42675</v>
      </c>
      <c r="B105" s="18">
        <f>IF(VLOOKUP(A105,'DB Country PMI'!$A:$AZ,MATCH($A$1,'DB Country PMI'!$A$1:$AZ$1,),)=0,#N/A,VLOOKUP(A105,'DB Country PMI'!$A:$AZ,MATCH($A$1,'DB Country PMI'!$A$1:$AZ$1,),))</f>
        <v/>
      </c>
      <c r="C105" s="24">
        <f>Table134681112141516[[#This Row],[PMI]]-B104</f>
        <v/>
      </c>
    </row>
    <row r="106">
      <c r="A106" s="10" t="n">
        <v>42705</v>
      </c>
      <c r="B106" s="18">
        <f>IF(VLOOKUP(A106,'DB Country PMI'!$A:$AZ,MATCH($A$1,'DB Country PMI'!$A$1:$AZ$1,),)=0,#N/A,VLOOKUP(A106,'DB Country PMI'!$A:$AZ,MATCH($A$1,'DB Country PMI'!$A$1:$AZ$1,),))</f>
        <v/>
      </c>
      <c r="C106" s="24">
        <f>Table134681112141516[[#This Row],[PMI]]-B105</f>
        <v/>
      </c>
    </row>
    <row r="107">
      <c r="A107" s="10" t="n">
        <v>42736</v>
      </c>
      <c r="B107" s="18">
        <f>IF(VLOOKUP(A107,'DB Country PMI'!$A:$AZ,MATCH($A$1,'DB Country PMI'!$A$1:$AZ$1,),)=0,#N/A,VLOOKUP(A107,'DB Country PMI'!$A:$AZ,MATCH($A$1,'DB Country PMI'!$A$1:$AZ$1,),))</f>
        <v/>
      </c>
      <c r="C107" s="24">
        <f>Table134681112141516[[#This Row],[PMI]]-B106</f>
        <v/>
      </c>
    </row>
    <row r="108">
      <c r="A108" s="10" t="n">
        <v>42767</v>
      </c>
      <c r="B108" s="18">
        <f>IF(VLOOKUP(A108,'DB Country PMI'!$A:$AZ,MATCH($A$1,'DB Country PMI'!$A$1:$AZ$1,),)=0,#N/A,VLOOKUP(A108,'DB Country PMI'!$A:$AZ,MATCH($A$1,'DB Country PMI'!$A$1:$AZ$1,),))</f>
        <v/>
      </c>
      <c r="C108" s="24">
        <f>Table134681112141516[[#This Row],[PMI]]-B107</f>
        <v/>
      </c>
    </row>
    <row r="109">
      <c r="A109" s="10" t="n">
        <v>42795</v>
      </c>
      <c r="B109" s="18">
        <f>IF(VLOOKUP(A109,'DB Country PMI'!$A:$AZ,MATCH($A$1,'DB Country PMI'!$A$1:$AZ$1,),)=0,#N/A,VLOOKUP(A109,'DB Country PMI'!$A:$AZ,MATCH($A$1,'DB Country PMI'!$A$1:$AZ$1,),))</f>
        <v/>
      </c>
      <c r="C109" s="24">
        <f>Table134681112141516[[#This Row],[PMI]]-B108</f>
        <v/>
      </c>
    </row>
    <row r="110">
      <c r="A110" s="10" t="n">
        <v>42826</v>
      </c>
      <c r="B110" s="18">
        <f>IF(VLOOKUP(A110,'DB Country PMI'!$A:$AZ,MATCH($A$1,'DB Country PMI'!$A$1:$AZ$1,),)=0,#N/A,VLOOKUP(A110,'DB Country PMI'!$A:$AZ,MATCH($A$1,'DB Country PMI'!$A$1:$AZ$1,),))</f>
        <v/>
      </c>
      <c r="C110" s="24">
        <f>Table134681112141516[[#This Row],[PMI]]-B109</f>
        <v/>
      </c>
    </row>
    <row r="111">
      <c r="A111" s="10" t="n">
        <v>42856</v>
      </c>
      <c r="B111" s="18">
        <f>IF(VLOOKUP(A111,'DB Country PMI'!$A:$AZ,MATCH($A$1,'DB Country PMI'!$A$1:$AZ$1,),)=0,#N/A,VLOOKUP(A111,'DB Country PMI'!$A:$AZ,MATCH($A$1,'DB Country PMI'!$A$1:$AZ$1,),))</f>
        <v/>
      </c>
      <c r="C111" s="24">
        <f>Table134681112141516[[#This Row],[PMI]]-B110</f>
        <v/>
      </c>
    </row>
    <row r="112">
      <c r="A112" s="10" t="n">
        <v>42887</v>
      </c>
      <c r="B112" s="18">
        <f>IF(VLOOKUP(A112,'DB Country PMI'!$A:$AZ,MATCH($A$1,'DB Country PMI'!$A$1:$AZ$1,),)=0,#N/A,VLOOKUP(A112,'DB Country PMI'!$A:$AZ,MATCH($A$1,'DB Country PMI'!$A$1:$AZ$1,),))</f>
        <v/>
      </c>
      <c r="C112" s="24">
        <f>Table134681112141516[[#This Row],[PMI]]-B111</f>
        <v/>
      </c>
    </row>
    <row r="113">
      <c r="A113" s="10" t="n">
        <v>42917</v>
      </c>
      <c r="B113" s="18">
        <f>IF(VLOOKUP(A113,'DB Country PMI'!$A:$AZ,MATCH($A$1,'DB Country PMI'!$A$1:$AZ$1,),)=0,#N/A,VLOOKUP(A113,'DB Country PMI'!$A:$AZ,MATCH($A$1,'DB Country PMI'!$A$1:$AZ$1,),))</f>
        <v/>
      </c>
      <c r="C113" s="24">
        <f>Table134681112141516[[#This Row],[PMI]]-B112</f>
        <v/>
      </c>
    </row>
    <row r="114">
      <c r="A114" s="10" t="n">
        <v>42948</v>
      </c>
      <c r="B114" s="18">
        <f>IF(VLOOKUP(A114,'DB Country PMI'!$A:$AZ,MATCH($A$1,'DB Country PMI'!$A$1:$AZ$1,),)=0,#N/A,VLOOKUP(A114,'DB Country PMI'!$A:$AZ,MATCH($A$1,'DB Country PMI'!$A$1:$AZ$1,),))</f>
        <v/>
      </c>
      <c r="C114" s="24">
        <f>Table134681112141516[[#This Row],[PMI]]-B113</f>
        <v/>
      </c>
    </row>
    <row r="115">
      <c r="A115" s="10" t="n">
        <v>42979</v>
      </c>
      <c r="B115" s="18">
        <f>IF(VLOOKUP(A115,'DB Country PMI'!$A:$AZ,MATCH($A$1,'DB Country PMI'!$A$1:$AZ$1,),)=0,#N/A,VLOOKUP(A115,'DB Country PMI'!$A:$AZ,MATCH($A$1,'DB Country PMI'!$A$1:$AZ$1,),))</f>
        <v/>
      </c>
      <c r="C115" s="24">
        <f>Table134681112141516[[#This Row],[PMI]]-B114</f>
        <v/>
      </c>
    </row>
    <row r="116">
      <c r="A116" s="10" t="n">
        <v>43009</v>
      </c>
      <c r="B116" s="18">
        <f>IF(VLOOKUP(A116,'DB Country PMI'!$A:$AZ,MATCH($A$1,'DB Country PMI'!$A$1:$AZ$1,),)=0,#N/A,VLOOKUP(A116,'DB Country PMI'!$A:$AZ,MATCH($A$1,'DB Country PMI'!$A$1:$AZ$1,),))</f>
        <v/>
      </c>
      <c r="C116" s="24">
        <f>Table134681112141516[[#This Row],[PMI]]-B115</f>
        <v/>
      </c>
    </row>
    <row r="117">
      <c r="A117" s="10" t="n">
        <v>43040</v>
      </c>
      <c r="B117" s="18">
        <f>IF(VLOOKUP(A117,'DB Country PMI'!$A:$AZ,MATCH($A$1,'DB Country PMI'!$A$1:$AZ$1,),)=0,#N/A,VLOOKUP(A117,'DB Country PMI'!$A:$AZ,MATCH($A$1,'DB Country PMI'!$A$1:$AZ$1,),))</f>
        <v/>
      </c>
      <c r="C117" s="24">
        <f>Table134681112141516[[#This Row],[PMI]]-B116</f>
        <v/>
      </c>
    </row>
    <row r="118">
      <c r="A118" s="10" t="n">
        <v>43070</v>
      </c>
      <c r="B118" s="18">
        <f>IF(VLOOKUP(A118,'DB Country PMI'!$A:$AZ,MATCH($A$1,'DB Country PMI'!$A$1:$AZ$1,),)=0,#N/A,VLOOKUP(A118,'DB Country PMI'!$A:$AZ,MATCH($A$1,'DB Country PMI'!$A$1:$AZ$1,),))</f>
        <v/>
      </c>
      <c r="C118" s="24">
        <f>Table134681112141516[[#This Row],[PMI]]-B117</f>
        <v/>
      </c>
    </row>
    <row r="119">
      <c r="A119" s="10" t="n">
        <v>43101</v>
      </c>
      <c r="B119" s="18">
        <f>IF(VLOOKUP(A119,'DB Country PMI'!$A:$AZ,MATCH($A$1,'DB Country PMI'!$A$1:$AZ$1,),)=0,#N/A,VLOOKUP(A119,'DB Country PMI'!$A:$AZ,MATCH($A$1,'DB Country PMI'!$A$1:$AZ$1,),))</f>
        <v/>
      </c>
      <c r="C119" s="24">
        <f>Table134681112141516[[#This Row],[PMI]]-B118</f>
        <v/>
      </c>
    </row>
    <row r="120">
      <c r="A120" s="10" t="n">
        <v>43132</v>
      </c>
      <c r="B120" s="18">
        <f>IF(VLOOKUP(A120,'DB Country PMI'!$A:$AZ,MATCH($A$1,'DB Country PMI'!$A$1:$AZ$1,),)=0,#N/A,VLOOKUP(A120,'DB Country PMI'!$A:$AZ,MATCH($A$1,'DB Country PMI'!$A$1:$AZ$1,),))</f>
        <v/>
      </c>
      <c r="C120" s="24">
        <f>Table134681112141516[[#This Row],[PMI]]-B119</f>
        <v/>
      </c>
    </row>
    <row r="121">
      <c r="A121" s="10" t="n">
        <v>43160</v>
      </c>
      <c r="B121" s="18">
        <f>IF(VLOOKUP(A121,'DB Country PMI'!$A:$AZ,MATCH($A$1,'DB Country PMI'!$A$1:$AZ$1,),)=0,#N/A,VLOOKUP(A121,'DB Country PMI'!$A:$AZ,MATCH($A$1,'DB Country PMI'!$A$1:$AZ$1,),))</f>
        <v/>
      </c>
      <c r="C121" s="24">
        <f>Table134681112141516[[#This Row],[PMI]]-B120</f>
        <v/>
      </c>
    </row>
    <row r="122">
      <c r="A122" s="10" t="n">
        <v>43191</v>
      </c>
      <c r="B122" s="18">
        <f>IF(VLOOKUP(A122,'DB Country PMI'!$A:$AZ,MATCH($A$1,'DB Country PMI'!$A$1:$AZ$1,),)=0,#N/A,VLOOKUP(A122,'DB Country PMI'!$A:$AZ,MATCH($A$1,'DB Country PMI'!$A$1:$AZ$1,),))</f>
        <v/>
      </c>
      <c r="C122" s="24">
        <f>Table134681112141516[[#This Row],[PMI]]-B121</f>
        <v/>
      </c>
    </row>
    <row r="123">
      <c r="A123" s="10" t="n">
        <v>43221</v>
      </c>
      <c r="B123" s="18">
        <f>IF(VLOOKUP(A123,'DB Country PMI'!$A:$AZ,MATCH($A$1,'DB Country PMI'!$A$1:$AZ$1,),)=0,#N/A,VLOOKUP(A123,'DB Country PMI'!$A:$AZ,MATCH($A$1,'DB Country PMI'!$A$1:$AZ$1,),))</f>
        <v/>
      </c>
      <c r="C123" s="24">
        <f>Table134681112141516[[#This Row],[PMI]]-B122</f>
        <v/>
      </c>
    </row>
    <row r="124">
      <c r="A124" s="10" t="n">
        <v>43252</v>
      </c>
      <c r="B124" s="18">
        <f>IF(VLOOKUP(A124,'DB Country PMI'!$A:$AZ,MATCH($A$1,'DB Country PMI'!$A$1:$AZ$1,),)=0,#N/A,VLOOKUP(A124,'DB Country PMI'!$A:$AZ,MATCH($A$1,'DB Country PMI'!$A$1:$AZ$1,),))</f>
        <v/>
      </c>
      <c r="C124" s="24">
        <f>Table134681112141516[[#This Row],[PMI]]-B123</f>
        <v/>
      </c>
    </row>
    <row r="125">
      <c r="A125" s="10" t="n">
        <v>43282</v>
      </c>
      <c r="B125" s="18">
        <f>IF(VLOOKUP(A125,'DB Country PMI'!$A:$AZ,MATCH($A$1,'DB Country PMI'!$A$1:$AZ$1,),)=0,#N/A,VLOOKUP(A125,'DB Country PMI'!$A:$AZ,MATCH($A$1,'DB Country PMI'!$A$1:$AZ$1,),))</f>
        <v/>
      </c>
      <c r="C125" s="24">
        <f>Table134681112141516[[#This Row],[PMI]]-B124</f>
        <v/>
      </c>
    </row>
    <row r="126">
      <c r="A126" s="10" t="n">
        <v>43313</v>
      </c>
      <c r="B126" s="18">
        <f>IF(VLOOKUP(A126,'DB Country PMI'!$A:$AZ,MATCH($A$1,'DB Country PMI'!$A$1:$AZ$1,),)=0,#N/A,VLOOKUP(A126,'DB Country PMI'!$A:$AZ,MATCH($A$1,'DB Country PMI'!$A$1:$AZ$1,),))</f>
        <v/>
      </c>
      <c r="C126" s="24">
        <f>Table134681112141516[[#This Row],[PMI]]-B125</f>
        <v/>
      </c>
    </row>
    <row r="127">
      <c r="A127" s="10" t="n">
        <v>43344</v>
      </c>
      <c r="B127" s="18">
        <f>IF(VLOOKUP(A127,'DB Country PMI'!$A:$AZ,MATCH($A$1,'DB Country PMI'!$A$1:$AZ$1,),)=0,#N/A,VLOOKUP(A127,'DB Country PMI'!$A:$AZ,MATCH($A$1,'DB Country PMI'!$A$1:$AZ$1,),))</f>
        <v/>
      </c>
      <c r="C127" s="24">
        <f>Table134681112141516[[#This Row],[PMI]]-B126</f>
        <v/>
      </c>
    </row>
    <row r="128">
      <c r="A128" s="10" t="n">
        <v>43374</v>
      </c>
      <c r="B128" s="18">
        <f>IF(VLOOKUP(A128,'DB Country PMI'!$A:$AZ,MATCH($A$1,'DB Country PMI'!$A$1:$AZ$1,),)=0,#N/A,VLOOKUP(A128,'DB Country PMI'!$A:$AZ,MATCH($A$1,'DB Country PMI'!$A$1:$AZ$1,),))</f>
        <v/>
      </c>
      <c r="C128" s="24">
        <f>Table134681112141516[[#This Row],[PMI]]-B127</f>
        <v/>
      </c>
    </row>
    <row r="129">
      <c r="A129" s="10" t="n">
        <v>43405</v>
      </c>
      <c r="B129" s="18">
        <f>IF(VLOOKUP(A129,'DB Country PMI'!$A:$AZ,MATCH($A$1,'DB Country PMI'!$A$1:$AZ$1,),)=0,#N/A,VLOOKUP(A129,'DB Country PMI'!$A:$AZ,MATCH($A$1,'DB Country PMI'!$A$1:$AZ$1,),))</f>
        <v/>
      </c>
      <c r="C129" s="24">
        <f>Table134681112141516[[#This Row],[PMI]]-B128</f>
        <v/>
      </c>
    </row>
    <row r="130">
      <c r="A130" s="10" t="n">
        <v>43435</v>
      </c>
      <c r="B130" s="18">
        <f>IF(VLOOKUP(A130,'DB Country PMI'!$A:$AZ,MATCH($A$1,'DB Country PMI'!$A$1:$AZ$1,),)=0,#N/A,VLOOKUP(A130,'DB Country PMI'!$A:$AZ,MATCH($A$1,'DB Country PMI'!$A$1:$AZ$1,),))</f>
        <v/>
      </c>
      <c r="C130" s="24">
        <f>Table134681112141516[[#This Row],[PMI]]-B129</f>
        <v/>
      </c>
    </row>
    <row r="131">
      <c r="A131" s="10" t="n">
        <v>43466</v>
      </c>
      <c r="B131" s="18">
        <f>IF(VLOOKUP(A131,'DB Country PMI'!$A:$AZ,MATCH($A$1,'DB Country PMI'!$A$1:$AZ$1,),)=0,#N/A,VLOOKUP(A131,'DB Country PMI'!$A:$AZ,MATCH($A$1,'DB Country PMI'!$A$1:$AZ$1,),))</f>
        <v/>
      </c>
      <c r="C131" s="24">
        <f>Table134681112141516[[#This Row],[PMI]]-B130</f>
        <v/>
      </c>
    </row>
    <row r="132">
      <c r="A132" s="10" t="n">
        <v>43497</v>
      </c>
      <c r="B132" s="18">
        <f>IF(VLOOKUP(A132,'DB Country PMI'!$A:$AZ,MATCH($A$1,'DB Country PMI'!$A$1:$AZ$1,),)=0,#N/A,VLOOKUP(A132,'DB Country PMI'!$A:$AZ,MATCH($A$1,'DB Country PMI'!$A$1:$AZ$1,),))</f>
        <v/>
      </c>
      <c r="C132" s="24">
        <f>Table134681112141516[[#This Row],[PMI]]-B131</f>
        <v/>
      </c>
    </row>
    <row r="133">
      <c r="A133" s="10" t="n">
        <v>43525</v>
      </c>
      <c r="B133" s="18">
        <f>IF(VLOOKUP(A133,'DB Country PMI'!$A:$AZ,MATCH($A$1,'DB Country PMI'!$A$1:$AZ$1,),)=0,#N/A,VLOOKUP(A133,'DB Country PMI'!$A:$AZ,MATCH($A$1,'DB Country PMI'!$A$1:$AZ$1,),))</f>
        <v/>
      </c>
      <c r="C133" s="24">
        <f>Table134681112141516[[#This Row],[PMI]]-B132</f>
        <v/>
      </c>
    </row>
    <row r="134">
      <c r="A134" s="10" t="n">
        <v>43556</v>
      </c>
      <c r="B134" s="18">
        <f>IF(VLOOKUP(A134,'DB Country PMI'!$A:$AZ,MATCH($A$1,'DB Country PMI'!$A$1:$AZ$1,),)=0,#N/A,VLOOKUP(A134,'DB Country PMI'!$A:$AZ,MATCH($A$1,'DB Country PMI'!$A$1:$AZ$1,),))</f>
        <v/>
      </c>
      <c r="C134" s="24">
        <f>Table134681112141516[[#This Row],[PMI]]-B133</f>
        <v/>
      </c>
    </row>
    <row r="135">
      <c r="A135" s="10" t="n">
        <v>43586</v>
      </c>
      <c r="B135" s="18">
        <f>IF(VLOOKUP(A135,'DB Country PMI'!$A:$AZ,MATCH($A$1,'DB Country PMI'!$A$1:$AZ$1,),)=0,#N/A,VLOOKUP(A135,'DB Country PMI'!$A:$AZ,MATCH($A$1,'DB Country PMI'!$A$1:$AZ$1,),))</f>
        <v/>
      </c>
      <c r="C135" s="24">
        <f>Table134681112141516[[#This Row],[PMI]]-B134</f>
        <v/>
      </c>
    </row>
    <row r="136">
      <c r="A136" s="10" t="n">
        <v>43617</v>
      </c>
      <c r="B136" s="18">
        <f>IF(VLOOKUP(A136,'DB Country PMI'!$A:$AZ,MATCH($A$1,'DB Country PMI'!$A$1:$AZ$1,),)=0,#N/A,VLOOKUP(A136,'DB Country PMI'!$A:$AZ,MATCH($A$1,'DB Country PMI'!$A$1:$AZ$1,),))</f>
        <v/>
      </c>
      <c r="C136" s="24">
        <f>Table134681112141516[[#This Row],[PMI]]-B135</f>
        <v/>
      </c>
    </row>
    <row r="137">
      <c r="A137" s="10" t="n">
        <v>43647</v>
      </c>
      <c r="B137" s="18">
        <f>IF(VLOOKUP(A137,'DB Country PMI'!$A:$AZ,MATCH($A$1,'DB Country PMI'!$A$1:$AZ$1,),)=0,#N/A,VLOOKUP(A137,'DB Country PMI'!$A:$AZ,MATCH($A$1,'DB Country PMI'!$A$1:$AZ$1,),))</f>
        <v/>
      </c>
      <c r="C137" s="24">
        <f>Table134681112141516[[#This Row],[PMI]]-B136</f>
        <v/>
      </c>
    </row>
    <row r="138">
      <c r="A138" s="10" t="n">
        <v>43678</v>
      </c>
      <c r="B138" s="18">
        <f>IF(VLOOKUP(A138,'DB Country PMI'!$A:$AZ,MATCH($A$1,'DB Country PMI'!$A$1:$AZ$1,),)=0,#N/A,VLOOKUP(A138,'DB Country PMI'!$A:$AZ,MATCH($A$1,'DB Country PMI'!$A$1:$AZ$1,),))</f>
        <v/>
      </c>
      <c r="C138" s="24">
        <f>Table134681112141516[[#This Row],[PMI]]-B137</f>
        <v/>
      </c>
    </row>
    <row r="139">
      <c r="A139" s="10" t="n">
        <v>43709</v>
      </c>
      <c r="B139" s="18">
        <f>IF(VLOOKUP(A139,'DB Country PMI'!$A:$AZ,MATCH($A$1,'DB Country PMI'!$A$1:$AZ$1,),)=0,#N/A,VLOOKUP(A139,'DB Country PMI'!$A:$AZ,MATCH($A$1,'DB Country PMI'!$A$1:$AZ$1,),))</f>
        <v/>
      </c>
      <c r="C139" s="24">
        <f>Table134681112141516[[#This Row],[PMI]]-B138</f>
        <v/>
      </c>
    </row>
    <row r="140">
      <c r="A140" s="10" t="n">
        <v>43739</v>
      </c>
      <c r="B140" s="18">
        <f>IF(VLOOKUP(A140,'DB Country PMI'!$A:$AZ,MATCH($A$1,'DB Country PMI'!$A$1:$AZ$1,),)=0,#N/A,VLOOKUP(A140,'DB Country PMI'!$A:$AZ,MATCH($A$1,'DB Country PMI'!$A$1:$AZ$1,),))</f>
        <v/>
      </c>
      <c r="C140" s="24">
        <f>Table134681112141516[[#This Row],[PMI]]-B139</f>
        <v/>
      </c>
    </row>
    <row r="141">
      <c r="A141" s="10" t="n">
        <v>43770</v>
      </c>
      <c r="B141" s="18">
        <f>IF(VLOOKUP(A141,'DB Country PMI'!$A:$AZ,MATCH($A$1,'DB Country PMI'!$A$1:$AZ$1,),)=0,#N/A,VLOOKUP(A141,'DB Country PMI'!$A:$AZ,MATCH($A$1,'DB Country PMI'!$A$1:$AZ$1,),))</f>
        <v/>
      </c>
      <c r="C141" s="24">
        <f>Table134681112141516[[#This Row],[PMI]]-B140</f>
        <v/>
      </c>
    </row>
    <row r="142">
      <c r="A142" s="10" t="n">
        <v>43800</v>
      </c>
      <c r="B142" s="18">
        <f>IF(VLOOKUP(A142,'DB Country PMI'!$A:$AZ,MATCH($A$1,'DB Country PMI'!$A$1:$AZ$1,),)=0,#N/A,VLOOKUP(A142,'DB Country PMI'!$A:$AZ,MATCH($A$1,'DB Country PMI'!$A$1:$AZ$1,),))</f>
        <v/>
      </c>
      <c r="C142" s="24">
        <f>Table134681112141516[[#This Row],[PMI]]-B141</f>
        <v/>
      </c>
    </row>
    <row r="143">
      <c r="A143" s="10" t="n">
        <v>43831</v>
      </c>
      <c r="B143" s="18">
        <f>IF(VLOOKUP(A143,'DB Country PMI'!$A:$AZ,MATCH($A$1,'DB Country PMI'!$A$1:$AZ$1,),)=0,#N/A,VLOOKUP(A143,'DB Country PMI'!$A:$AZ,MATCH($A$1,'DB Country PMI'!$A$1:$AZ$1,),))</f>
        <v/>
      </c>
      <c r="C143" s="24">
        <f>Table134681112141516[[#This Row],[PMI]]-B142</f>
        <v/>
      </c>
    </row>
    <row r="144">
      <c r="A144" s="10" t="n">
        <v>43862</v>
      </c>
      <c r="B144" s="18">
        <f>IF(VLOOKUP(A144,'DB Country PMI'!$A:$AZ,MATCH($A$1,'DB Country PMI'!$A$1:$AZ$1,),)=0,#N/A,VLOOKUP(A144,'DB Country PMI'!$A:$AZ,MATCH($A$1,'DB Country PMI'!$A$1:$AZ$1,),))</f>
        <v/>
      </c>
      <c r="C144" s="24">
        <f>Table134681112141516[[#This Row],[PMI]]-B143</f>
        <v/>
      </c>
    </row>
    <row r="145">
      <c r="A145" s="10" t="n">
        <v>43891</v>
      </c>
      <c r="B145" s="18">
        <f>IF(VLOOKUP(A145,'DB Country PMI'!$A:$AZ,MATCH($A$1,'DB Country PMI'!$A$1:$AZ$1,),)=0,#N/A,VLOOKUP(A145,'DB Country PMI'!$A:$AZ,MATCH($A$1,'DB Country PMI'!$A$1:$AZ$1,),))</f>
        <v/>
      </c>
      <c r="C145" s="24">
        <f>Table134681112141516[[#This Row],[PMI]]-B144</f>
        <v/>
      </c>
    </row>
    <row r="146">
      <c r="A146" s="10" t="n">
        <v>43922</v>
      </c>
      <c r="B146" s="18">
        <f>IF(VLOOKUP(A146,'DB Country PMI'!$A:$AZ,MATCH($A$1,'DB Country PMI'!$A$1:$AZ$1,),)=0,#N/A,VLOOKUP(A146,'DB Country PMI'!$A:$AZ,MATCH($A$1,'DB Country PMI'!$A$1:$AZ$1,),))</f>
        <v/>
      </c>
      <c r="C146" s="24">
        <f>Table134681112141516[[#This Row],[PMI]]-B145</f>
        <v/>
      </c>
    </row>
    <row r="147">
      <c r="A147" s="10" t="n">
        <v>43952</v>
      </c>
      <c r="B147" s="18">
        <f>IF(VLOOKUP(A147,'DB Country PMI'!$A:$AZ,MATCH($A$1,'DB Country PMI'!$A$1:$AZ$1,),)=0,#N/A,VLOOKUP(A147,'DB Country PMI'!$A:$AZ,MATCH($A$1,'DB Country PMI'!$A$1:$AZ$1,),))</f>
        <v/>
      </c>
      <c r="C147" s="24">
        <f>Table134681112141516[[#This Row],[PMI]]-B146</f>
        <v/>
      </c>
    </row>
    <row r="148">
      <c r="A148" s="10" t="n">
        <v>43983</v>
      </c>
      <c r="B148" s="18">
        <f>IF(VLOOKUP(A148,'DB Country PMI'!$A:$AZ,MATCH($A$1,'DB Country PMI'!$A$1:$AZ$1,),)=0,#N/A,VLOOKUP(A148,'DB Country PMI'!$A:$AZ,MATCH($A$1,'DB Country PMI'!$A$1:$AZ$1,),))</f>
        <v/>
      </c>
      <c r="C148" s="24">
        <f>Table134681112141516[[#This Row],[PMI]]-B147</f>
        <v/>
      </c>
    </row>
    <row r="149">
      <c r="A149" s="10" t="n">
        <v>44013</v>
      </c>
      <c r="B149" s="18">
        <f>IF(VLOOKUP(A149,'DB Country PMI'!$A:$AZ,MATCH($A$1,'DB Country PMI'!$A$1:$AZ$1,),)=0,#N/A,VLOOKUP(A149,'DB Country PMI'!$A:$AZ,MATCH($A$1,'DB Country PMI'!$A$1:$AZ$1,),))</f>
        <v/>
      </c>
      <c r="C149" s="24">
        <f>Table134681112141516[[#This Row],[PMI]]-B148</f>
        <v/>
      </c>
    </row>
    <row r="150">
      <c r="A150" s="10" t="n">
        <v>44044</v>
      </c>
      <c r="B150" s="18">
        <f>IF(VLOOKUP(A150,'DB Country PMI'!$A:$AZ,MATCH($A$1,'DB Country PMI'!$A$1:$AZ$1,),)=0,#N/A,VLOOKUP(A150,'DB Country PMI'!$A:$AZ,MATCH($A$1,'DB Country PMI'!$A$1:$AZ$1,),))</f>
        <v/>
      </c>
      <c r="C150" s="24">
        <f>Table134681112141516[[#This Row],[PMI]]-B149</f>
        <v/>
      </c>
    </row>
    <row r="151">
      <c r="A151" s="10" t="n">
        <v>44075</v>
      </c>
      <c r="B151" s="18">
        <f>IF(VLOOKUP(A151,'DB Country PMI'!$A:$AZ,MATCH($A$1,'DB Country PMI'!$A$1:$AZ$1,),)=0,#N/A,VLOOKUP(A151,'DB Country PMI'!$A:$AZ,MATCH($A$1,'DB Country PMI'!$A$1:$AZ$1,),))</f>
        <v/>
      </c>
      <c r="C151" s="24">
        <f>Table134681112141516[[#This Row],[PMI]]-B150</f>
        <v/>
      </c>
    </row>
    <row r="152">
      <c r="A152" s="10" t="n">
        <v>44105</v>
      </c>
      <c r="B152" s="18">
        <f>IF(VLOOKUP(A152,'DB Country PMI'!$A:$AZ,MATCH($A$1,'DB Country PMI'!$A$1:$AZ$1,),)=0,#N/A,VLOOKUP(A152,'DB Country PMI'!$A:$AZ,MATCH($A$1,'DB Country PMI'!$A$1:$AZ$1,),))</f>
        <v/>
      </c>
      <c r="C152" s="24">
        <f>Table134681112141516[[#This Row],[PMI]]-B151</f>
        <v/>
      </c>
    </row>
    <row r="153">
      <c r="A153" s="10" t="n">
        <v>44136</v>
      </c>
      <c r="B153" s="18">
        <f>IF(VLOOKUP(A153,'DB Country PMI'!$A:$AZ,MATCH($A$1,'DB Country PMI'!$A$1:$AZ$1,),)=0,#N/A,VLOOKUP(A153,'DB Country PMI'!$A:$AZ,MATCH($A$1,'DB Country PMI'!$A$1:$AZ$1,),))</f>
        <v/>
      </c>
      <c r="C153" s="24">
        <f>Table134681112141516[[#This Row],[PMI]]-B152</f>
        <v/>
      </c>
    </row>
    <row r="154">
      <c r="A154" s="10" t="n">
        <v>44166</v>
      </c>
      <c r="B154" s="18">
        <f>IF(VLOOKUP(A154,'DB Country PMI'!$A:$AZ,MATCH($A$1,'DB Country PMI'!$A$1:$AZ$1,),)=0,#N/A,VLOOKUP(A154,'DB Country PMI'!$A:$AZ,MATCH($A$1,'DB Country PMI'!$A$1:$AZ$1,),))</f>
        <v/>
      </c>
      <c r="C154" s="24">
        <f>Table134681112141516[[#This Row],[PMI]]-B153</f>
        <v/>
      </c>
    </row>
    <row r="155">
      <c r="A155" s="10" t="n">
        <v>44197</v>
      </c>
      <c r="B155" s="18">
        <f>IF(VLOOKUP(A155,'DB Country PMI'!$A:$AZ,MATCH($A$1,'DB Country PMI'!$A$1:$AZ$1,),)=0,#N/A,VLOOKUP(A155,'DB Country PMI'!$A:$AZ,MATCH($A$1,'DB Country PMI'!$A$1:$AZ$1,),))</f>
        <v/>
      </c>
      <c r="C155" s="24">
        <f>Table134681112141516[[#This Row],[PMI]]-B154</f>
        <v/>
      </c>
    </row>
    <row r="156">
      <c r="A156" s="10" t="n">
        <v>44228</v>
      </c>
      <c r="B156" s="18">
        <f>IF(VLOOKUP(A156,'DB Country PMI'!$A:$AZ,MATCH($A$1,'DB Country PMI'!$A$1:$AZ$1,),)=0,#N/A,VLOOKUP(A156,'DB Country PMI'!$A:$AZ,MATCH($A$1,'DB Country PMI'!$A$1:$AZ$1,),))</f>
        <v/>
      </c>
      <c r="C156" s="24">
        <f>Table134681112141516[[#This Row],[PMI]]-B155</f>
        <v/>
      </c>
    </row>
    <row r="157">
      <c r="A157" s="10" t="n">
        <v>44256</v>
      </c>
      <c r="B157" s="18">
        <f>IF(VLOOKUP(A157,'DB Country PMI'!$A:$AZ,MATCH($A$1,'DB Country PMI'!$A$1:$AZ$1,),)=0,#N/A,VLOOKUP(A157,'DB Country PMI'!$A:$AZ,MATCH($A$1,'DB Country PMI'!$A$1:$AZ$1,),))</f>
        <v/>
      </c>
      <c r="C157" s="24">
        <f>Table134681112141516[[#This Row],[PMI]]-B156</f>
        <v/>
      </c>
    </row>
    <row r="158">
      <c r="A158" s="10" t="n">
        <v>44287</v>
      </c>
      <c r="B158" s="18">
        <f>IF(VLOOKUP(A158,'DB Country PMI'!$A:$AZ,MATCH($A$1,'DB Country PMI'!$A$1:$AZ$1,),)=0,#N/A,VLOOKUP(A158,'DB Country PMI'!$A:$AZ,MATCH($A$1,'DB Country PMI'!$A$1:$AZ$1,),))</f>
        <v/>
      </c>
      <c r="C158" s="24">
        <f>Table134681112141516[[#This Row],[PMI]]-B157</f>
        <v/>
      </c>
    </row>
    <row r="159">
      <c r="A159" s="10" t="n">
        <v>44317</v>
      </c>
      <c r="B159" s="18">
        <f>IF(VLOOKUP(A159,'DB Country PMI'!$A:$AZ,MATCH($A$1,'DB Country PMI'!$A$1:$AZ$1,),)=0,#N/A,VLOOKUP(A159,'DB Country PMI'!$A:$AZ,MATCH($A$1,'DB Country PMI'!$A$1:$AZ$1,),))</f>
        <v/>
      </c>
      <c r="C159" s="24">
        <f>Table134681112141516[[#This Row],[PMI]]-B158</f>
        <v/>
      </c>
    </row>
    <row r="160">
      <c r="A160" s="10" t="n">
        <v>44348</v>
      </c>
      <c r="B160" s="18">
        <f>IF(VLOOKUP(A160,'DB Country PMI'!$A:$AZ,MATCH($A$1,'DB Country PMI'!$A$1:$AZ$1,),)=0,#N/A,VLOOKUP(A160,'DB Country PMI'!$A:$AZ,MATCH($A$1,'DB Country PMI'!$A$1:$AZ$1,),))</f>
        <v/>
      </c>
      <c r="C160" s="24">
        <f>Table134681112141516[[#This Row],[PMI]]-B159</f>
        <v/>
      </c>
    </row>
    <row r="161">
      <c r="A161" s="10" t="n">
        <v>44378</v>
      </c>
      <c r="B161" s="18">
        <f>IF(VLOOKUP(A161,'DB Country PMI'!$A:$AZ,MATCH($A$1,'DB Country PMI'!$A$1:$AZ$1,),)=0,#N/A,VLOOKUP(A161,'DB Country PMI'!$A:$AZ,MATCH($A$1,'DB Country PMI'!$A$1:$AZ$1,),))</f>
        <v/>
      </c>
      <c r="C161" s="24">
        <f>Table134681112141516[[#This Row],[PMI]]-B160</f>
        <v/>
      </c>
    </row>
    <row r="162">
      <c r="A162" s="10" t="n">
        <v>44409</v>
      </c>
      <c r="B162" s="18">
        <f>IF(VLOOKUP(A162,'DB Country PMI'!$A:$AZ,MATCH($A$1,'DB Country PMI'!$A$1:$AZ$1,),)=0,#N/A,VLOOKUP(A162,'DB Country PMI'!$A:$AZ,MATCH($A$1,'DB Country PMI'!$A$1:$AZ$1,),))</f>
        <v/>
      </c>
      <c r="C162" s="24">
        <f>Table134681112141516[[#This Row],[PMI]]-B161</f>
        <v/>
      </c>
    </row>
    <row r="163">
      <c r="A163" s="10" t="n">
        <v>44440</v>
      </c>
      <c r="B163" s="18">
        <f>IF(VLOOKUP(A163,'DB Country PMI'!$A:$AZ,MATCH($A$1,'DB Country PMI'!$A$1:$AZ$1,),)=0,#N/A,VLOOKUP(A163,'DB Country PMI'!$A:$AZ,MATCH($A$1,'DB Country PMI'!$A$1:$AZ$1,),))</f>
        <v/>
      </c>
      <c r="C163" s="24">
        <f>Table134681112141516[[#This Row],[PMI]]-B162</f>
        <v/>
      </c>
    </row>
    <row r="164">
      <c r="A164" s="10" t="n">
        <v>44470</v>
      </c>
      <c r="B164" s="18">
        <f>IF(VLOOKUP(A164,'DB Country PMI'!$A:$AZ,MATCH($A$1,'DB Country PMI'!$A$1:$AZ$1,),)=0,#N/A,VLOOKUP(A164,'DB Country PMI'!$A:$AZ,MATCH($A$1,'DB Country PMI'!$A$1:$AZ$1,),))</f>
        <v/>
      </c>
      <c r="C164" s="24">
        <f>Table134681112141516[[#This Row],[PMI]]-B163</f>
        <v/>
      </c>
    </row>
    <row r="165">
      <c r="A165" s="10" t="n">
        <v>44501</v>
      </c>
      <c r="B165" s="18">
        <f>IF(VLOOKUP(A165,'DB Country PMI'!$A:$AZ,MATCH($A$1,'DB Country PMI'!$A$1:$AZ$1,),)=0,#N/A,VLOOKUP(A165,'DB Country PMI'!$A:$AZ,MATCH($A$1,'DB Country PMI'!$A$1:$AZ$1,),))</f>
        <v/>
      </c>
      <c r="C165" s="24">
        <f>Table134681112141516[[#This Row],[PMI]]-B164</f>
        <v/>
      </c>
    </row>
    <row r="166">
      <c r="A166" s="10" t="n">
        <v>44531</v>
      </c>
      <c r="B166" s="18">
        <f>IF(VLOOKUP(A166,'DB Country PMI'!$A:$AZ,MATCH($A$1,'DB Country PMI'!$A$1:$AZ$1,),)=0,#N/A,VLOOKUP(A166,'DB Country PMI'!$A:$AZ,MATCH($A$1,'DB Country PMI'!$A$1:$AZ$1,),))</f>
        <v/>
      </c>
      <c r="C166" s="24">
        <f>Table134681112141516[[#This Row],[PMI]]-B165</f>
        <v/>
      </c>
    </row>
    <row r="167">
      <c r="A167" s="10" t="n">
        <v>44562</v>
      </c>
      <c r="B167" s="18">
        <f>IF(VLOOKUP(A167,'DB Country PMI'!$A:$AZ,MATCH($A$1,'DB Country PMI'!$A$1:$AZ$1,),)=0,#N/A,VLOOKUP(A167,'DB Country PMI'!$A:$AZ,MATCH($A$1,'DB Country PMI'!$A$1:$AZ$1,),))</f>
        <v/>
      </c>
      <c r="C167" s="24">
        <f>Table134681112141516[[#This Row],[PMI]]-B166</f>
        <v/>
      </c>
    </row>
    <row r="168">
      <c r="A168" s="10" t="n">
        <v>44593</v>
      </c>
      <c r="B168" s="18">
        <f>IF(VLOOKUP(A168,'DB Country PMI'!$A:$AZ,MATCH($A$1,'DB Country PMI'!$A$1:$AZ$1,),)=0,#N/A,VLOOKUP(A168,'DB Country PMI'!$A:$AZ,MATCH($A$1,'DB Country PMI'!$A$1:$AZ$1,),))</f>
        <v/>
      </c>
      <c r="C168" s="24">
        <f>Table134681112141516[[#This Row],[PMI]]-B167</f>
        <v/>
      </c>
    </row>
    <row r="169">
      <c r="A169" s="10" t="n">
        <v>44621</v>
      </c>
      <c r="B169" s="18">
        <f>IF(VLOOKUP(A169,'DB Country PMI'!$A:$AZ,MATCH($A$1,'DB Country PMI'!$A$1:$AZ$1,),)=0,#N/A,VLOOKUP(A169,'DB Country PMI'!$A:$AZ,MATCH($A$1,'DB Country PMI'!$A$1:$AZ$1,),))</f>
        <v/>
      </c>
      <c r="C169" s="24">
        <f>Table134681112141516[[#This Row],[PMI]]-B168</f>
        <v/>
      </c>
    </row>
    <row r="170">
      <c r="A170" s="10" t="n">
        <v>44652</v>
      </c>
      <c r="B170" s="18">
        <f>IF(VLOOKUP(A170,'DB Country PMI'!$A:$AZ,MATCH($A$1,'DB Country PMI'!$A$1:$AZ$1,),)=0,#N/A,VLOOKUP(A170,'DB Country PMI'!$A:$AZ,MATCH($A$1,'DB Country PMI'!$A$1:$AZ$1,),))</f>
        <v/>
      </c>
      <c r="C170" s="24">
        <f>Table134681112141516[[#This Row],[PMI]]-B169</f>
        <v/>
      </c>
    </row>
    <row r="171">
      <c r="A171" s="10" t="n">
        <v>44682</v>
      </c>
      <c r="B171" s="18">
        <f>IF(VLOOKUP(A171,'DB Country PMI'!$A:$AZ,MATCH($A$1,'DB Country PMI'!$A$1:$AZ$1,),)=0,#N/A,VLOOKUP(A171,'DB Country PMI'!$A:$AZ,MATCH($A$1,'DB Country PMI'!$A$1:$AZ$1,),))</f>
        <v/>
      </c>
      <c r="C171" s="24">
        <f>Table134681112141516[[#This Row],[PMI]]-B170</f>
        <v/>
      </c>
    </row>
    <row r="172">
      <c r="A172" s="10" t="n">
        <v>44713</v>
      </c>
      <c r="B172" s="18">
        <f>IF(VLOOKUP(A172,'DB Country PMI'!$A:$AZ,MATCH($A$1,'DB Country PMI'!$A$1:$AZ$1,),)=0,#N/A,VLOOKUP(A172,'DB Country PMI'!$A:$AZ,MATCH($A$1,'DB Country PMI'!$A$1:$AZ$1,),))</f>
        <v/>
      </c>
      <c r="C172" s="24">
        <f>Table134681112141516[[#This Row],[PMI]]-B171</f>
        <v/>
      </c>
    </row>
    <row r="173">
      <c r="A173" s="10" t="n">
        <v>44743</v>
      </c>
      <c r="B173" s="18">
        <f>IF(VLOOKUP(A173,'DB Country PMI'!$A:$AZ,MATCH($A$1,'DB Country PMI'!$A$1:$AZ$1,),)=0,#N/A,VLOOKUP(A173,'DB Country PMI'!$A:$AZ,MATCH($A$1,'DB Country PMI'!$A$1:$AZ$1,),))</f>
        <v/>
      </c>
      <c r="C173" s="24">
        <f>Table134681112141516[[#This Row],[PMI]]-B172</f>
        <v/>
      </c>
    </row>
    <row r="174">
      <c r="A174" s="10" t="n">
        <v>44774</v>
      </c>
      <c r="B174" s="18">
        <f>IF(VLOOKUP(A174,'DB Country PMI'!$A:$AZ,MATCH($A$1,'DB Country PMI'!$A$1:$AZ$1,),)=0,#N/A,VLOOKUP(A174,'DB Country PMI'!$A:$AZ,MATCH($A$1,'DB Country PMI'!$A$1:$AZ$1,),))</f>
        <v/>
      </c>
      <c r="C174" s="24">
        <f>Table134681112141516[[#This Row],[PMI]]-B173</f>
        <v/>
      </c>
    </row>
    <row r="175">
      <c r="A175" s="10" t="n">
        <v>44805</v>
      </c>
      <c r="B175" s="18">
        <f>IF(VLOOKUP(A175,'DB Country PMI'!$A:$AZ,MATCH($A$1,'DB Country PMI'!$A$1:$AZ$1,),)=0,#N/A,VLOOKUP(A175,'DB Country PMI'!$A:$AZ,MATCH($A$1,'DB Country PMI'!$A$1:$AZ$1,),))</f>
        <v/>
      </c>
      <c r="C175" s="24">
        <f>Table134681112141516[[#This Row],[PMI]]-B174</f>
        <v/>
      </c>
    </row>
    <row r="176">
      <c r="A176" s="10" t="n">
        <v>44835</v>
      </c>
      <c r="B176" s="18">
        <f>IF(VLOOKUP(A176,'DB Country PMI'!$A:$AZ,MATCH($A$1,'DB Country PMI'!$A$1:$AZ$1,),)=0,#N/A,VLOOKUP(A176,'DB Country PMI'!$A:$AZ,MATCH($A$1,'DB Country PMI'!$A$1:$AZ$1,),))</f>
        <v/>
      </c>
      <c r="C176" s="24">
        <f>Table134681112141516[[#This Row],[PMI]]-B175</f>
        <v/>
      </c>
    </row>
    <row r="177">
      <c r="A177" s="10" t="n">
        <v>44866</v>
      </c>
      <c r="B177" s="18">
        <f>IF(VLOOKUP(A177,'DB Country PMI'!$A:$AZ,MATCH($A$1,'DB Country PMI'!$A$1:$AZ$1,),)=0,#N/A,VLOOKUP(A177,'DB Country PMI'!$A:$AZ,MATCH($A$1,'DB Country PMI'!$A$1:$AZ$1,),))</f>
        <v/>
      </c>
      <c r="C177" s="24">
        <f>Table134681112141516[[#This Row],[PMI]]-B176</f>
        <v/>
      </c>
    </row>
  </sheetData>
  <conditionalFormatting sqref="C7:C106">
    <cfRule type="colorScale" priority="1">
      <colorScale>
        <cfvo type="min"/>
        <cfvo type="percentile" val="50"/>
        <cfvo type="max"/>
        <color rgb="FFF8696B"/>
        <color rgb="FFFCFCFF"/>
        <color rgb="FF5A8AC6"/>
      </colorScale>
    </cfRule>
  </conditionalFormatting>
  <conditionalFormatting sqref="B6:B177">
    <cfRule type="colorScale" priority="1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K221"/>
  <sheetViews>
    <sheetView zoomScaleNormal="100" workbookViewId="0">
      <pane ySplit="5" topLeftCell="A204" activePane="bottomLeft" state="frozen"/>
      <selection activeCell="P121" sqref="P121"/>
      <selection pane="bottomLeft" activeCell="A209" sqref="A209:F221"/>
    </sheetView>
  </sheetViews>
  <sheetFormatPr baseColWidth="8" defaultColWidth="9.1796875" defaultRowHeight="14.5"/>
  <cols>
    <col width="13.453125" customWidth="1" style="69" min="1" max="1"/>
    <col width="11.36328125" customWidth="1" style="69" min="2" max="2"/>
    <col width="9.1796875" customWidth="1" style="69" min="3" max="51"/>
    <col width="9.1796875" customWidth="1" style="69" min="52" max="16384"/>
  </cols>
  <sheetData>
    <row r="1">
      <c r="A1" s="69" t="inlineStr">
        <is>
          <t>United Kingdom</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c r="D5" s="25" t="inlineStr">
        <is>
          <t>EWU</t>
        </is>
      </c>
      <c r="E5" s="25" t="inlineStr">
        <is>
          <t>PMI yoy</t>
        </is>
      </c>
      <c r="F5" s="25" t="inlineStr">
        <is>
          <t>EWU yoy</t>
        </is>
      </c>
    </row>
    <row r="6">
      <c r="A6" s="17" t="n">
        <v>38322</v>
      </c>
      <c r="B6" s="18">
        <f>IF(VLOOKUP(A6,'DB Country PMI'!$A:$AZ,MATCH($A$1,'DB Country PMI'!$A$1:$AZ$1,),)=0,#N/A,VLOOKUP(A6,'DB Country PMI'!$A:$AZ,MATCH($A$1,'DB Country PMI'!$A$1:$AZ$1,),))</f>
        <v/>
      </c>
      <c r="C6" s="18" t="n"/>
      <c r="D6" s="11">
        <f>IF(VLOOKUP(Table134681112[[#This Row],[Date]],'DB Global PMI'!$A:$F,5)=0,#N/A,VLOOKUP(Table134681112[[#This Row],[Date]],'DB Global PMI'!$A:$F,5))</f>
        <v/>
      </c>
      <c r="E6" s="24" t="n"/>
      <c r="F6" s="24" t="n"/>
    </row>
    <row r="7">
      <c r="A7" s="10" t="n">
        <v>38353</v>
      </c>
      <c r="B7" s="18">
        <f>IF(VLOOKUP(A7,'DB Country PMI'!$A:$AZ,MATCH($A$1,'DB Country PMI'!$A$1:$AZ$1,),)=0,#N/A,VLOOKUP(A7,'DB Country PMI'!$A:$AZ,MATCH($A$1,'DB Country PMI'!$A$1:$AZ$1,),))</f>
        <v/>
      </c>
      <c r="C7" s="24">
        <f>Table134681112[[#This Row],[PMI]]-B6</f>
        <v/>
      </c>
      <c r="D7" s="11">
        <f>IF(VLOOKUP(Table134681112[[#This Row],[Date]],'DB Global PMI'!$A:$F,5)=0,#N/A,VLOOKUP(Table134681112[[#This Row],[Date]],'DB Global PMI'!$A:$F,5))</f>
        <v/>
      </c>
      <c r="E7" s="24" t="n"/>
      <c r="F7" s="24" t="n"/>
    </row>
    <row r="8">
      <c r="A8" s="10" t="n">
        <v>38384</v>
      </c>
      <c r="B8" s="18">
        <f>IF(VLOOKUP(A8,'DB Country PMI'!$A:$AZ,MATCH($A$1,'DB Country PMI'!$A$1:$AZ$1,),)=0,#N/A,VLOOKUP(A8,'DB Country PMI'!$A:$AZ,MATCH($A$1,'DB Country PMI'!$A$1:$AZ$1,),))</f>
        <v/>
      </c>
      <c r="C8" s="24">
        <f>Table134681112[[#This Row],[PMI]]-B7</f>
        <v/>
      </c>
      <c r="D8" s="11">
        <f>IF(VLOOKUP(Table134681112[[#This Row],[Date]],'DB Global PMI'!$A:$F,5)=0,#N/A,VLOOKUP(Table134681112[[#This Row],[Date]],'DB Global PMI'!$A:$F,5))</f>
        <v/>
      </c>
      <c r="E8" s="24" t="n"/>
      <c r="F8" s="24" t="n"/>
    </row>
    <row r="9">
      <c r="A9" s="10" t="n">
        <v>38412</v>
      </c>
      <c r="B9" s="18">
        <f>IF(VLOOKUP(A9,'DB Country PMI'!$A:$AZ,MATCH($A$1,'DB Country PMI'!$A$1:$AZ$1,),)=0,#N/A,VLOOKUP(A9,'DB Country PMI'!$A:$AZ,MATCH($A$1,'DB Country PMI'!$A$1:$AZ$1,),))</f>
        <v/>
      </c>
      <c r="C9" s="24">
        <f>Table134681112[[#This Row],[PMI]]-B8</f>
        <v/>
      </c>
      <c r="D9" s="11">
        <f>IF(VLOOKUP(Table134681112[[#This Row],[Date]],'DB Global PMI'!$A:$F,5)=0,#N/A,VLOOKUP(Table134681112[[#This Row],[Date]],'DB Global PMI'!$A:$F,5))</f>
        <v/>
      </c>
      <c r="E9" s="24" t="n"/>
      <c r="F9" s="24" t="n"/>
    </row>
    <row r="10">
      <c r="A10" s="10" t="n">
        <v>38443</v>
      </c>
      <c r="B10" s="18">
        <f>IF(VLOOKUP(A10,'DB Country PMI'!$A:$AZ,MATCH($A$1,'DB Country PMI'!$A$1:$AZ$1,),)=0,#N/A,VLOOKUP(A10,'DB Country PMI'!$A:$AZ,MATCH($A$1,'DB Country PMI'!$A$1:$AZ$1,),))</f>
        <v/>
      </c>
      <c r="C10" s="24">
        <f>Table134681112[[#This Row],[PMI]]-B9</f>
        <v/>
      </c>
      <c r="D10" s="11">
        <f>IF(VLOOKUP(Table134681112[[#This Row],[Date]],'DB Global PMI'!$A:$F,5)=0,#N/A,VLOOKUP(Table134681112[[#This Row],[Date]],'DB Global PMI'!$A:$F,5))</f>
        <v/>
      </c>
      <c r="E10" s="24" t="n"/>
      <c r="F10" s="24" t="n"/>
    </row>
    <row r="11">
      <c r="A11" s="10" t="n">
        <v>38473</v>
      </c>
      <c r="B11" s="18">
        <f>IF(VLOOKUP(A11,'DB Country PMI'!$A:$AZ,MATCH($A$1,'DB Country PMI'!$A$1:$AZ$1,),)=0,#N/A,VLOOKUP(A11,'DB Country PMI'!$A:$AZ,MATCH($A$1,'DB Country PMI'!$A$1:$AZ$1,),))</f>
        <v/>
      </c>
      <c r="C11" s="24">
        <f>Table134681112[[#This Row],[PMI]]-B10</f>
        <v/>
      </c>
      <c r="D11" s="11">
        <f>IF(VLOOKUP(Table134681112[[#This Row],[Date]],'DB Global PMI'!$A:$F,5)=0,#N/A,VLOOKUP(Table134681112[[#This Row],[Date]],'DB Global PMI'!$A:$F,5))</f>
        <v/>
      </c>
      <c r="E11" s="24" t="n"/>
      <c r="F11" s="24" t="n"/>
    </row>
    <row r="12">
      <c r="A12" s="10" t="n">
        <v>38504</v>
      </c>
      <c r="B12" s="18">
        <f>IF(VLOOKUP(A12,'DB Country PMI'!$A:$AZ,MATCH($A$1,'DB Country PMI'!$A$1:$AZ$1,),)=0,#N/A,VLOOKUP(A12,'DB Country PMI'!$A:$AZ,MATCH($A$1,'DB Country PMI'!$A$1:$AZ$1,),))</f>
        <v/>
      </c>
      <c r="C12" s="24">
        <f>Table134681112[[#This Row],[PMI]]-B11</f>
        <v/>
      </c>
      <c r="D12" s="11">
        <f>IF(VLOOKUP(Table134681112[[#This Row],[Date]],'DB Global PMI'!$A:$F,5)=0,#N/A,VLOOKUP(Table134681112[[#This Row],[Date]],'DB Global PMI'!$A:$F,5))</f>
        <v/>
      </c>
      <c r="E12" s="24" t="n"/>
      <c r="F12" s="24" t="n"/>
    </row>
    <row r="13">
      <c r="A13" s="10" t="n">
        <v>38534</v>
      </c>
      <c r="B13" s="18">
        <f>IF(VLOOKUP(A13,'DB Country PMI'!$A:$AZ,MATCH($A$1,'DB Country PMI'!$A$1:$AZ$1,),)=0,#N/A,VLOOKUP(A13,'DB Country PMI'!$A:$AZ,MATCH($A$1,'DB Country PMI'!$A$1:$AZ$1,),))</f>
        <v/>
      </c>
      <c r="C13" s="24">
        <f>Table134681112[[#This Row],[PMI]]-B12</f>
        <v/>
      </c>
      <c r="D13" s="11">
        <f>IF(VLOOKUP(Table134681112[[#This Row],[Date]],'DB Global PMI'!$A:$F,5)=0,#N/A,VLOOKUP(Table134681112[[#This Row],[Date]],'DB Global PMI'!$A:$F,5))</f>
        <v/>
      </c>
      <c r="E13" s="24" t="n"/>
      <c r="F13" s="24" t="n"/>
    </row>
    <row r="14">
      <c r="A14" s="10" t="n">
        <v>38565</v>
      </c>
      <c r="B14" s="18">
        <f>IF(VLOOKUP(A14,'DB Country PMI'!$A:$AZ,MATCH($A$1,'DB Country PMI'!$A$1:$AZ$1,),)=0,#N/A,VLOOKUP(A14,'DB Country PMI'!$A:$AZ,MATCH($A$1,'DB Country PMI'!$A$1:$AZ$1,),))</f>
        <v/>
      </c>
      <c r="C14" s="24">
        <f>Table134681112[[#This Row],[PMI]]-B13</f>
        <v/>
      </c>
      <c r="D14" s="11">
        <f>IF(VLOOKUP(Table134681112[[#This Row],[Date]],'DB Global PMI'!$A:$F,5)=0,#N/A,VLOOKUP(Table134681112[[#This Row],[Date]],'DB Global PMI'!$A:$F,5))</f>
        <v/>
      </c>
      <c r="E14" s="24" t="n"/>
      <c r="F14" s="24" t="n"/>
    </row>
    <row r="15">
      <c r="A15" s="10" t="n">
        <v>38596</v>
      </c>
      <c r="B15" s="18">
        <f>IF(VLOOKUP(A15,'DB Country PMI'!$A:$AZ,MATCH($A$1,'DB Country PMI'!$A$1:$AZ$1,),)=0,#N/A,VLOOKUP(A15,'DB Country PMI'!$A:$AZ,MATCH($A$1,'DB Country PMI'!$A$1:$AZ$1,),))</f>
        <v/>
      </c>
      <c r="C15" s="24">
        <f>Table134681112[[#This Row],[PMI]]-B14</f>
        <v/>
      </c>
      <c r="D15" s="11">
        <f>IF(VLOOKUP(Table134681112[[#This Row],[Date]],'DB Global PMI'!$A:$F,5)=0,#N/A,VLOOKUP(Table134681112[[#This Row],[Date]],'DB Global PMI'!$A:$F,5))</f>
        <v/>
      </c>
      <c r="E15" s="24" t="n"/>
      <c r="F15" s="24" t="n"/>
    </row>
    <row r="16">
      <c r="A16" s="10" t="n">
        <v>38626</v>
      </c>
      <c r="B16" s="18">
        <f>IF(VLOOKUP(A16,'DB Country PMI'!$A:$AZ,MATCH($A$1,'DB Country PMI'!$A$1:$AZ$1,),)=0,#N/A,VLOOKUP(A16,'DB Country PMI'!$A:$AZ,MATCH($A$1,'DB Country PMI'!$A$1:$AZ$1,),))</f>
        <v/>
      </c>
      <c r="C16" s="24">
        <f>Table134681112[[#This Row],[PMI]]-B15</f>
        <v/>
      </c>
      <c r="D16" s="11">
        <f>IF(VLOOKUP(Table134681112[[#This Row],[Date]],'DB Global PMI'!$A:$F,5)=0,#N/A,VLOOKUP(Table134681112[[#This Row],[Date]],'DB Global PMI'!$A:$F,5))</f>
        <v/>
      </c>
      <c r="E16" s="24" t="n"/>
      <c r="F16" s="24" t="n"/>
    </row>
    <row r="17">
      <c r="A17" s="10" t="n">
        <v>38657</v>
      </c>
      <c r="B17" s="18">
        <f>IF(VLOOKUP(A17,'DB Country PMI'!$A:$AZ,MATCH($A$1,'DB Country PMI'!$A$1:$AZ$1,),)=0,#N/A,VLOOKUP(A17,'DB Country PMI'!$A:$AZ,MATCH($A$1,'DB Country PMI'!$A$1:$AZ$1,),))</f>
        <v/>
      </c>
      <c r="C17" s="24">
        <f>Table134681112[[#This Row],[PMI]]-B16</f>
        <v/>
      </c>
      <c r="D17" s="11">
        <f>IF(VLOOKUP(Table134681112[[#This Row],[Date]],'DB Global PMI'!$A:$F,5)=0,#N/A,VLOOKUP(Table134681112[[#This Row],[Date]],'DB Global PMI'!$A:$F,5))</f>
        <v/>
      </c>
      <c r="E17" s="24" t="n"/>
      <c r="F17" s="24" t="n"/>
    </row>
    <row r="18">
      <c r="A18" s="10" t="n">
        <v>38687</v>
      </c>
      <c r="B18" s="18">
        <f>IF(VLOOKUP(A18,'DB Country PMI'!$A:$AZ,MATCH($A$1,'DB Country PMI'!$A$1:$AZ$1,),)=0,#N/A,VLOOKUP(A18,'DB Country PMI'!$A:$AZ,MATCH($A$1,'DB Country PMI'!$A$1:$AZ$1,),))</f>
        <v/>
      </c>
      <c r="C18" s="24">
        <f>Table134681112[[#This Row],[PMI]]-B17</f>
        <v/>
      </c>
      <c r="D18" s="11">
        <f>IF(VLOOKUP(Table134681112[[#This Row],[Date]],'DB Global PMI'!$A:$F,5)=0,#N/A,VLOOKUP(Table134681112[[#This Row],[Date]],'DB Global PMI'!$A:$F,5))</f>
        <v/>
      </c>
      <c r="E18" s="24">
        <f>Table134681112[[#This Row],[PMI]]-B6</f>
        <v/>
      </c>
      <c r="F18" s="52">
        <f>(Table134681112[[#This Row],[EWU]]-D6)/D6</f>
        <v/>
      </c>
    </row>
    <row r="19">
      <c r="A19" s="10" t="n">
        <v>38718</v>
      </c>
      <c r="B19" s="18">
        <f>IF(VLOOKUP(A19,'DB Country PMI'!$A:$AZ,MATCH($A$1,'DB Country PMI'!$A$1:$AZ$1,),)=0,#N/A,VLOOKUP(A19,'DB Country PMI'!$A:$AZ,MATCH($A$1,'DB Country PMI'!$A$1:$AZ$1,),))</f>
        <v/>
      </c>
      <c r="C19" s="24">
        <f>Table134681112[[#This Row],[PMI]]-B18</f>
        <v/>
      </c>
      <c r="D19" s="11">
        <f>IF(VLOOKUP(Table134681112[[#This Row],[Date]],'DB Global PMI'!$A:$F,5)=0,#N/A,VLOOKUP(Table134681112[[#This Row],[Date]],'DB Global PMI'!$A:$F,5))</f>
        <v/>
      </c>
      <c r="E19" s="24">
        <f>Table134681112[[#This Row],[PMI]]-B7</f>
        <v/>
      </c>
      <c r="F19" s="52">
        <f>(Table134681112[[#This Row],[EWU]]-D7)/D7</f>
        <v/>
      </c>
    </row>
    <row r="20">
      <c r="A20" s="10" t="n">
        <v>38749</v>
      </c>
      <c r="B20" s="18">
        <f>IF(VLOOKUP(A20,'DB Country PMI'!$A:$AZ,MATCH($A$1,'DB Country PMI'!$A$1:$AZ$1,),)=0,#N/A,VLOOKUP(A20,'DB Country PMI'!$A:$AZ,MATCH($A$1,'DB Country PMI'!$A$1:$AZ$1,),))</f>
        <v/>
      </c>
      <c r="C20" s="24">
        <f>Table134681112[[#This Row],[PMI]]-B19</f>
        <v/>
      </c>
      <c r="D20" s="11">
        <f>IF(VLOOKUP(Table134681112[[#This Row],[Date]],'DB Global PMI'!$A:$F,5)=0,#N/A,VLOOKUP(Table134681112[[#This Row],[Date]],'DB Global PMI'!$A:$F,5))</f>
        <v/>
      </c>
      <c r="E20" s="24">
        <f>Table134681112[[#This Row],[PMI]]-B8</f>
        <v/>
      </c>
      <c r="F20" s="52">
        <f>(Table134681112[[#This Row],[EWU]]-D8)/D8</f>
        <v/>
      </c>
    </row>
    <row r="21">
      <c r="A21" s="10" t="n">
        <v>38777</v>
      </c>
      <c r="B21" s="18">
        <f>IF(VLOOKUP(A21,'DB Country PMI'!$A:$AZ,MATCH($A$1,'DB Country PMI'!$A$1:$AZ$1,),)=0,#N/A,VLOOKUP(A21,'DB Country PMI'!$A:$AZ,MATCH($A$1,'DB Country PMI'!$A$1:$AZ$1,),))</f>
        <v/>
      </c>
      <c r="C21" s="24">
        <f>Table134681112[[#This Row],[PMI]]-B20</f>
        <v/>
      </c>
      <c r="D21" s="11">
        <f>IF(VLOOKUP(Table134681112[[#This Row],[Date]],'DB Global PMI'!$A:$F,5)=0,#N/A,VLOOKUP(Table134681112[[#This Row],[Date]],'DB Global PMI'!$A:$F,5))</f>
        <v/>
      </c>
      <c r="E21" s="24">
        <f>Table134681112[[#This Row],[PMI]]-B9</f>
        <v/>
      </c>
      <c r="F21" s="52">
        <f>(Table134681112[[#This Row],[EWU]]-D9)/D9</f>
        <v/>
      </c>
    </row>
    <row r="22">
      <c r="A22" s="10" t="n">
        <v>38808</v>
      </c>
      <c r="B22" s="18">
        <f>IF(VLOOKUP(A22,'DB Country PMI'!$A:$AZ,MATCH($A$1,'DB Country PMI'!$A$1:$AZ$1,),)=0,#N/A,VLOOKUP(A22,'DB Country PMI'!$A:$AZ,MATCH($A$1,'DB Country PMI'!$A$1:$AZ$1,),))</f>
        <v/>
      </c>
      <c r="C22" s="24">
        <f>Table134681112[[#This Row],[PMI]]-B21</f>
        <v/>
      </c>
      <c r="D22" s="11">
        <f>IF(VLOOKUP(Table134681112[[#This Row],[Date]],'DB Global PMI'!$A:$F,5)=0,#N/A,VLOOKUP(Table134681112[[#This Row],[Date]],'DB Global PMI'!$A:$F,5))</f>
        <v/>
      </c>
      <c r="E22" s="24">
        <f>Table134681112[[#This Row],[PMI]]-B10</f>
        <v/>
      </c>
      <c r="F22" s="52">
        <f>(Table134681112[[#This Row],[EWU]]-D10)/D10</f>
        <v/>
      </c>
    </row>
    <row r="23">
      <c r="A23" s="10" t="n">
        <v>38838</v>
      </c>
      <c r="B23" s="18">
        <f>IF(VLOOKUP(A23,'DB Country PMI'!$A:$AZ,MATCH($A$1,'DB Country PMI'!$A$1:$AZ$1,),)=0,#N/A,VLOOKUP(A23,'DB Country PMI'!$A:$AZ,MATCH($A$1,'DB Country PMI'!$A$1:$AZ$1,),))</f>
        <v/>
      </c>
      <c r="C23" s="24">
        <f>Table134681112[[#This Row],[PMI]]-B22</f>
        <v/>
      </c>
      <c r="D23" s="11">
        <f>IF(VLOOKUP(Table134681112[[#This Row],[Date]],'DB Global PMI'!$A:$F,5)=0,#N/A,VLOOKUP(Table134681112[[#This Row],[Date]],'DB Global PMI'!$A:$F,5))</f>
        <v/>
      </c>
      <c r="E23" s="24">
        <f>Table134681112[[#This Row],[PMI]]-B11</f>
        <v/>
      </c>
      <c r="F23" s="52">
        <f>(Table134681112[[#This Row],[EWU]]-D11)/D11</f>
        <v/>
      </c>
    </row>
    <row r="24">
      <c r="A24" s="10" t="n">
        <v>38869</v>
      </c>
      <c r="B24" s="18">
        <f>IF(VLOOKUP(A24,'DB Country PMI'!$A:$AZ,MATCH($A$1,'DB Country PMI'!$A$1:$AZ$1,),)=0,#N/A,VLOOKUP(A24,'DB Country PMI'!$A:$AZ,MATCH($A$1,'DB Country PMI'!$A$1:$AZ$1,),))</f>
        <v/>
      </c>
      <c r="C24" s="24">
        <f>Table134681112[[#This Row],[PMI]]-B23</f>
        <v/>
      </c>
      <c r="D24" s="11">
        <f>IF(VLOOKUP(Table134681112[[#This Row],[Date]],'DB Global PMI'!$A:$F,5)=0,#N/A,VLOOKUP(Table134681112[[#This Row],[Date]],'DB Global PMI'!$A:$F,5))</f>
        <v/>
      </c>
      <c r="E24" s="24">
        <f>Table134681112[[#This Row],[PMI]]-B12</f>
        <v/>
      </c>
      <c r="F24" s="52">
        <f>(Table134681112[[#This Row],[EWU]]-D12)/D12</f>
        <v/>
      </c>
    </row>
    <row r="25">
      <c r="A25" s="10" t="n">
        <v>38899</v>
      </c>
      <c r="B25" s="18">
        <f>IF(VLOOKUP(A25,'DB Country PMI'!$A:$AZ,MATCH($A$1,'DB Country PMI'!$A$1:$AZ$1,),)=0,#N/A,VLOOKUP(A25,'DB Country PMI'!$A:$AZ,MATCH($A$1,'DB Country PMI'!$A$1:$AZ$1,),))</f>
        <v/>
      </c>
      <c r="C25" s="24">
        <f>Table134681112[[#This Row],[PMI]]-B24</f>
        <v/>
      </c>
      <c r="D25" s="11">
        <f>IF(VLOOKUP(Table134681112[[#This Row],[Date]],'DB Global PMI'!$A:$F,5)=0,#N/A,VLOOKUP(Table134681112[[#This Row],[Date]],'DB Global PMI'!$A:$F,5))</f>
        <v/>
      </c>
      <c r="E25" s="24">
        <f>Table134681112[[#This Row],[PMI]]-B13</f>
        <v/>
      </c>
      <c r="F25" s="52">
        <f>(Table134681112[[#This Row],[EWU]]-D13)/D13</f>
        <v/>
      </c>
    </row>
    <row r="26">
      <c r="A26" s="10" t="n">
        <v>38930</v>
      </c>
      <c r="B26" s="18">
        <f>IF(VLOOKUP(A26,'DB Country PMI'!$A:$AZ,MATCH($A$1,'DB Country PMI'!$A$1:$AZ$1,),)=0,#N/A,VLOOKUP(A26,'DB Country PMI'!$A:$AZ,MATCH($A$1,'DB Country PMI'!$A$1:$AZ$1,),))</f>
        <v/>
      </c>
      <c r="C26" s="24">
        <f>Table134681112[[#This Row],[PMI]]-B25</f>
        <v/>
      </c>
      <c r="D26" s="11">
        <f>IF(VLOOKUP(Table134681112[[#This Row],[Date]],'DB Global PMI'!$A:$F,5)=0,#N/A,VLOOKUP(Table134681112[[#This Row],[Date]],'DB Global PMI'!$A:$F,5))</f>
        <v/>
      </c>
      <c r="E26" s="24">
        <f>Table134681112[[#This Row],[PMI]]-B14</f>
        <v/>
      </c>
      <c r="F26" s="52">
        <f>(Table134681112[[#This Row],[EWU]]-D14)/D14</f>
        <v/>
      </c>
    </row>
    <row r="27">
      <c r="A27" s="10" t="n">
        <v>38961</v>
      </c>
      <c r="B27" s="18">
        <f>IF(VLOOKUP(A27,'DB Country PMI'!$A:$AZ,MATCH($A$1,'DB Country PMI'!$A$1:$AZ$1,),)=0,#N/A,VLOOKUP(A27,'DB Country PMI'!$A:$AZ,MATCH($A$1,'DB Country PMI'!$A$1:$AZ$1,),))</f>
        <v/>
      </c>
      <c r="C27" s="24">
        <f>Table134681112[[#This Row],[PMI]]-B26</f>
        <v/>
      </c>
      <c r="D27" s="11">
        <f>IF(VLOOKUP(Table134681112[[#This Row],[Date]],'DB Global PMI'!$A:$F,5)=0,#N/A,VLOOKUP(Table134681112[[#This Row],[Date]],'DB Global PMI'!$A:$F,5))</f>
        <v/>
      </c>
      <c r="E27" s="24">
        <f>Table134681112[[#This Row],[PMI]]-B15</f>
        <v/>
      </c>
      <c r="F27" s="52">
        <f>(Table134681112[[#This Row],[EWU]]-D15)/D15</f>
        <v/>
      </c>
    </row>
    <row r="28">
      <c r="A28" s="10" t="n">
        <v>38991</v>
      </c>
      <c r="B28" s="18">
        <f>IF(VLOOKUP(A28,'DB Country PMI'!$A:$AZ,MATCH($A$1,'DB Country PMI'!$A$1:$AZ$1,),)=0,#N/A,VLOOKUP(A28,'DB Country PMI'!$A:$AZ,MATCH($A$1,'DB Country PMI'!$A$1:$AZ$1,),))</f>
        <v/>
      </c>
      <c r="C28" s="24">
        <f>Table134681112[[#This Row],[PMI]]-B27</f>
        <v/>
      </c>
      <c r="D28" s="11">
        <f>IF(VLOOKUP(Table134681112[[#This Row],[Date]],'DB Global PMI'!$A:$F,5)=0,#N/A,VLOOKUP(Table134681112[[#This Row],[Date]],'DB Global PMI'!$A:$F,5))</f>
        <v/>
      </c>
      <c r="E28" s="24">
        <f>Table134681112[[#This Row],[PMI]]-B16</f>
        <v/>
      </c>
      <c r="F28" s="52">
        <f>(Table134681112[[#This Row],[EWU]]-D16)/D16</f>
        <v/>
      </c>
    </row>
    <row r="29">
      <c r="A29" s="10" t="n">
        <v>39022</v>
      </c>
      <c r="B29" s="18">
        <f>IF(VLOOKUP(A29,'DB Country PMI'!$A:$AZ,MATCH($A$1,'DB Country PMI'!$A$1:$AZ$1,),)=0,#N/A,VLOOKUP(A29,'DB Country PMI'!$A:$AZ,MATCH($A$1,'DB Country PMI'!$A$1:$AZ$1,),))</f>
        <v/>
      </c>
      <c r="C29" s="24">
        <f>Table134681112[[#This Row],[PMI]]-B28</f>
        <v/>
      </c>
      <c r="D29" s="11">
        <f>IF(VLOOKUP(Table134681112[[#This Row],[Date]],'DB Global PMI'!$A:$F,5)=0,#N/A,VLOOKUP(Table134681112[[#This Row],[Date]],'DB Global PMI'!$A:$F,5))</f>
        <v/>
      </c>
      <c r="E29" s="24">
        <f>Table134681112[[#This Row],[PMI]]-B17</f>
        <v/>
      </c>
      <c r="F29" s="52">
        <f>(Table134681112[[#This Row],[EWU]]-D17)/D17</f>
        <v/>
      </c>
    </row>
    <row r="30">
      <c r="A30" s="10" t="n">
        <v>39052</v>
      </c>
      <c r="B30" s="18">
        <f>IF(VLOOKUP(A30,'DB Country PMI'!$A:$AZ,MATCH($A$1,'DB Country PMI'!$A$1:$AZ$1,),)=0,#N/A,VLOOKUP(A30,'DB Country PMI'!$A:$AZ,MATCH($A$1,'DB Country PMI'!$A$1:$AZ$1,),))</f>
        <v/>
      </c>
      <c r="C30" s="24">
        <f>Table134681112[[#This Row],[PMI]]-B29</f>
        <v/>
      </c>
      <c r="D30" s="11">
        <f>IF(VLOOKUP(Table134681112[[#This Row],[Date]],'DB Global PMI'!$A:$F,5)=0,#N/A,VLOOKUP(Table134681112[[#This Row],[Date]],'DB Global PMI'!$A:$F,5))</f>
        <v/>
      </c>
      <c r="E30" s="24">
        <f>Table134681112[[#This Row],[PMI]]-B18</f>
        <v/>
      </c>
      <c r="F30" s="52">
        <f>(Table134681112[[#This Row],[EWU]]-D18)/D18</f>
        <v/>
      </c>
    </row>
    <row r="31">
      <c r="A31" s="10" t="n">
        <v>39083</v>
      </c>
      <c r="B31" s="18">
        <f>IF(VLOOKUP(A31,'DB Country PMI'!$A:$AZ,MATCH($A$1,'DB Country PMI'!$A$1:$AZ$1,),)=0,#N/A,VLOOKUP(A31,'DB Country PMI'!$A:$AZ,MATCH($A$1,'DB Country PMI'!$A$1:$AZ$1,),))</f>
        <v/>
      </c>
      <c r="C31" s="24">
        <f>Table134681112[[#This Row],[PMI]]-B30</f>
        <v/>
      </c>
      <c r="D31" s="11">
        <f>IF(VLOOKUP(Table134681112[[#This Row],[Date]],'DB Global PMI'!$A:$F,5)=0,#N/A,VLOOKUP(Table134681112[[#This Row],[Date]],'DB Global PMI'!$A:$F,5))</f>
        <v/>
      </c>
      <c r="E31" s="24">
        <f>Table134681112[[#This Row],[PMI]]-B19</f>
        <v/>
      </c>
      <c r="F31" s="52">
        <f>(Table134681112[[#This Row],[EWU]]-D19)/D19</f>
        <v/>
      </c>
    </row>
    <row r="32">
      <c r="A32" s="10" t="n">
        <v>39114</v>
      </c>
      <c r="B32" s="18">
        <f>IF(VLOOKUP(A32,'DB Country PMI'!$A:$AZ,MATCH($A$1,'DB Country PMI'!$A$1:$AZ$1,),)=0,#N/A,VLOOKUP(A32,'DB Country PMI'!$A:$AZ,MATCH($A$1,'DB Country PMI'!$A$1:$AZ$1,),))</f>
        <v/>
      </c>
      <c r="C32" s="24">
        <f>Table134681112[[#This Row],[PMI]]-B31</f>
        <v/>
      </c>
      <c r="D32" s="11">
        <f>IF(VLOOKUP(Table134681112[[#This Row],[Date]],'DB Global PMI'!$A:$F,5)=0,#N/A,VLOOKUP(Table134681112[[#This Row],[Date]],'DB Global PMI'!$A:$F,5))</f>
        <v/>
      </c>
      <c r="E32" s="24">
        <f>Table134681112[[#This Row],[PMI]]-B20</f>
        <v/>
      </c>
      <c r="F32" s="52">
        <f>(Table134681112[[#This Row],[EWU]]-D20)/D20</f>
        <v/>
      </c>
    </row>
    <row r="33">
      <c r="A33" s="10" t="n">
        <v>39142</v>
      </c>
      <c r="B33" s="18">
        <f>IF(VLOOKUP(A33,'DB Country PMI'!$A:$AZ,MATCH($A$1,'DB Country PMI'!$A$1:$AZ$1,),)=0,#N/A,VLOOKUP(A33,'DB Country PMI'!$A:$AZ,MATCH($A$1,'DB Country PMI'!$A$1:$AZ$1,),))</f>
        <v/>
      </c>
      <c r="C33" s="24">
        <f>Table134681112[[#This Row],[PMI]]-B32</f>
        <v/>
      </c>
      <c r="D33" s="11">
        <f>IF(VLOOKUP(Table134681112[[#This Row],[Date]],'DB Global PMI'!$A:$F,5)=0,#N/A,VLOOKUP(Table134681112[[#This Row],[Date]],'DB Global PMI'!$A:$F,5))</f>
        <v/>
      </c>
      <c r="E33" s="24">
        <f>Table134681112[[#This Row],[PMI]]-B21</f>
        <v/>
      </c>
      <c r="F33" s="52">
        <f>(Table134681112[[#This Row],[EWU]]-D21)/D21</f>
        <v/>
      </c>
    </row>
    <row r="34">
      <c r="A34" s="10" t="n">
        <v>39173</v>
      </c>
      <c r="B34" s="18">
        <f>IF(VLOOKUP(A34,'DB Country PMI'!$A:$AZ,MATCH($A$1,'DB Country PMI'!$A$1:$AZ$1,),)=0,#N/A,VLOOKUP(A34,'DB Country PMI'!$A:$AZ,MATCH($A$1,'DB Country PMI'!$A$1:$AZ$1,),))</f>
        <v/>
      </c>
      <c r="C34" s="24">
        <f>Table134681112[[#This Row],[PMI]]-B33</f>
        <v/>
      </c>
      <c r="D34" s="11">
        <f>IF(VLOOKUP(Table134681112[[#This Row],[Date]],'DB Global PMI'!$A:$F,5)=0,#N/A,VLOOKUP(Table134681112[[#This Row],[Date]],'DB Global PMI'!$A:$F,5))</f>
        <v/>
      </c>
      <c r="E34" s="24">
        <f>Table134681112[[#This Row],[PMI]]-B22</f>
        <v/>
      </c>
      <c r="F34" s="52">
        <f>(Table134681112[[#This Row],[EWU]]-D22)/D22</f>
        <v/>
      </c>
    </row>
    <row r="35">
      <c r="A35" s="10" t="n">
        <v>39203</v>
      </c>
      <c r="B35" s="18">
        <f>IF(VLOOKUP(A35,'DB Country PMI'!$A:$AZ,MATCH($A$1,'DB Country PMI'!$A$1:$AZ$1,),)=0,#N/A,VLOOKUP(A35,'DB Country PMI'!$A:$AZ,MATCH($A$1,'DB Country PMI'!$A$1:$AZ$1,),))</f>
        <v/>
      </c>
      <c r="C35" s="24">
        <f>Table134681112[[#This Row],[PMI]]-B34</f>
        <v/>
      </c>
      <c r="D35" s="11">
        <f>IF(VLOOKUP(Table134681112[[#This Row],[Date]],'DB Global PMI'!$A:$F,5)=0,#N/A,VLOOKUP(Table134681112[[#This Row],[Date]],'DB Global PMI'!$A:$F,5))</f>
        <v/>
      </c>
      <c r="E35" s="24">
        <f>Table134681112[[#This Row],[PMI]]-B23</f>
        <v/>
      </c>
      <c r="F35" s="52">
        <f>(Table134681112[[#This Row],[EWU]]-D23)/D23</f>
        <v/>
      </c>
    </row>
    <row r="36">
      <c r="A36" s="10" t="n">
        <v>39234</v>
      </c>
      <c r="B36" s="18">
        <f>IF(VLOOKUP(A36,'DB Country PMI'!$A:$AZ,MATCH($A$1,'DB Country PMI'!$A$1:$AZ$1,),)=0,#N/A,VLOOKUP(A36,'DB Country PMI'!$A:$AZ,MATCH($A$1,'DB Country PMI'!$A$1:$AZ$1,),))</f>
        <v/>
      </c>
      <c r="C36" s="24">
        <f>Table134681112[[#This Row],[PMI]]-B35</f>
        <v/>
      </c>
      <c r="D36" s="11">
        <f>IF(VLOOKUP(Table134681112[[#This Row],[Date]],'DB Global PMI'!$A:$F,5)=0,#N/A,VLOOKUP(Table134681112[[#This Row],[Date]],'DB Global PMI'!$A:$F,5))</f>
        <v/>
      </c>
      <c r="E36" s="24">
        <f>Table134681112[[#This Row],[PMI]]-B24</f>
        <v/>
      </c>
      <c r="F36" s="52">
        <f>(Table134681112[[#This Row],[EWU]]-D24)/D24</f>
        <v/>
      </c>
    </row>
    <row r="37">
      <c r="A37" s="10" t="n">
        <v>39264</v>
      </c>
      <c r="B37" s="18">
        <f>IF(VLOOKUP(A37,'DB Country PMI'!$A:$AZ,MATCH($A$1,'DB Country PMI'!$A$1:$AZ$1,),)=0,#N/A,VLOOKUP(A37,'DB Country PMI'!$A:$AZ,MATCH($A$1,'DB Country PMI'!$A$1:$AZ$1,),))</f>
        <v/>
      </c>
      <c r="C37" s="24">
        <f>Table134681112[[#This Row],[PMI]]-B36</f>
        <v/>
      </c>
      <c r="D37" s="11">
        <f>IF(VLOOKUP(Table134681112[[#This Row],[Date]],'DB Global PMI'!$A:$F,5)=0,#N/A,VLOOKUP(Table134681112[[#This Row],[Date]],'DB Global PMI'!$A:$F,5))</f>
        <v/>
      </c>
      <c r="E37" s="24">
        <f>Table134681112[[#This Row],[PMI]]-B25</f>
        <v/>
      </c>
      <c r="F37" s="52">
        <f>(Table134681112[[#This Row],[EWU]]-D25)/D25</f>
        <v/>
      </c>
    </row>
    <row r="38">
      <c r="A38" s="10" t="n">
        <v>39295</v>
      </c>
      <c r="B38" s="18">
        <f>IF(VLOOKUP(A38,'DB Country PMI'!$A:$AZ,MATCH($A$1,'DB Country PMI'!$A$1:$AZ$1,),)=0,#N/A,VLOOKUP(A38,'DB Country PMI'!$A:$AZ,MATCH($A$1,'DB Country PMI'!$A$1:$AZ$1,),))</f>
        <v/>
      </c>
      <c r="C38" s="24">
        <f>Table134681112[[#This Row],[PMI]]-B37</f>
        <v/>
      </c>
      <c r="D38" s="11">
        <f>IF(VLOOKUP(Table134681112[[#This Row],[Date]],'DB Global PMI'!$A:$F,5)=0,#N/A,VLOOKUP(Table134681112[[#This Row],[Date]],'DB Global PMI'!$A:$F,5))</f>
        <v/>
      </c>
      <c r="E38" s="24">
        <f>Table134681112[[#This Row],[PMI]]-B26</f>
        <v/>
      </c>
      <c r="F38" s="52">
        <f>(Table134681112[[#This Row],[EWU]]-D26)/D26</f>
        <v/>
      </c>
    </row>
    <row r="39">
      <c r="A39" s="10" t="n">
        <v>39326</v>
      </c>
      <c r="B39" s="18">
        <f>IF(VLOOKUP(A39,'DB Country PMI'!$A:$AZ,MATCH($A$1,'DB Country PMI'!$A$1:$AZ$1,),)=0,#N/A,VLOOKUP(A39,'DB Country PMI'!$A:$AZ,MATCH($A$1,'DB Country PMI'!$A$1:$AZ$1,),))</f>
        <v/>
      </c>
      <c r="C39" s="24">
        <f>Table134681112[[#This Row],[PMI]]-B38</f>
        <v/>
      </c>
      <c r="D39" s="11">
        <f>IF(VLOOKUP(Table134681112[[#This Row],[Date]],'DB Global PMI'!$A:$F,5)=0,#N/A,VLOOKUP(Table134681112[[#This Row],[Date]],'DB Global PMI'!$A:$F,5))</f>
        <v/>
      </c>
      <c r="E39" s="24">
        <f>Table134681112[[#This Row],[PMI]]-B27</f>
        <v/>
      </c>
      <c r="F39" s="52">
        <f>(Table134681112[[#This Row],[EWU]]-D27)/D27</f>
        <v/>
      </c>
    </row>
    <row r="40">
      <c r="A40" s="10" t="n">
        <v>39356</v>
      </c>
      <c r="B40" s="18">
        <f>IF(VLOOKUP(A40,'DB Country PMI'!$A:$AZ,MATCH($A$1,'DB Country PMI'!$A$1:$AZ$1,),)=0,#N/A,VLOOKUP(A40,'DB Country PMI'!$A:$AZ,MATCH($A$1,'DB Country PMI'!$A$1:$AZ$1,),))</f>
        <v/>
      </c>
      <c r="C40" s="24">
        <f>Table134681112[[#This Row],[PMI]]-B39</f>
        <v/>
      </c>
      <c r="D40" s="11">
        <f>IF(VLOOKUP(Table134681112[[#This Row],[Date]],'DB Global PMI'!$A:$F,5)=0,#N/A,VLOOKUP(Table134681112[[#This Row],[Date]],'DB Global PMI'!$A:$F,5))</f>
        <v/>
      </c>
      <c r="E40" s="24">
        <f>Table134681112[[#This Row],[PMI]]-B28</f>
        <v/>
      </c>
      <c r="F40" s="52">
        <f>(Table134681112[[#This Row],[EWU]]-D28)/D28</f>
        <v/>
      </c>
    </row>
    <row r="41">
      <c r="A41" s="10" t="n">
        <v>39387</v>
      </c>
      <c r="B41" s="18">
        <f>IF(VLOOKUP(A41,'DB Country PMI'!$A:$AZ,MATCH($A$1,'DB Country PMI'!$A$1:$AZ$1,),)=0,#N/A,VLOOKUP(A41,'DB Country PMI'!$A:$AZ,MATCH($A$1,'DB Country PMI'!$A$1:$AZ$1,),))</f>
        <v/>
      </c>
      <c r="C41" s="24">
        <f>Table134681112[[#This Row],[PMI]]-B40</f>
        <v/>
      </c>
      <c r="D41" s="11">
        <f>IF(VLOOKUP(Table134681112[[#This Row],[Date]],'DB Global PMI'!$A:$F,5)=0,#N/A,VLOOKUP(Table134681112[[#This Row],[Date]],'DB Global PMI'!$A:$F,5))</f>
        <v/>
      </c>
      <c r="E41" s="24">
        <f>Table134681112[[#This Row],[PMI]]-B29</f>
        <v/>
      </c>
      <c r="F41" s="52">
        <f>(Table134681112[[#This Row],[EWU]]-D29)/D29</f>
        <v/>
      </c>
    </row>
    <row r="42">
      <c r="A42" s="10" t="n">
        <v>39417</v>
      </c>
      <c r="B42" s="18">
        <f>IF(VLOOKUP(A42,'DB Country PMI'!$A:$AZ,MATCH($A$1,'DB Country PMI'!$A$1:$AZ$1,),)=0,#N/A,VLOOKUP(A42,'DB Country PMI'!$A:$AZ,MATCH($A$1,'DB Country PMI'!$A$1:$AZ$1,),))</f>
        <v/>
      </c>
      <c r="C42" s="24">
        <f>Table134681112[[#This Row],[PMI]]-B41</f>
        <v/>
      </c>
      <c r="D42" s="11">
        <f>IF(VLOOKUP(Table134681112[[#This Row],[Date]],'DB Global PMI'!$A:$F,5)=0,#N/A,VLOOKUP(Table134681112[[#This Row],[Date]],'DB Global PMI'!$A:$F,5))</f>
        <v/>
      </c>
      <c r="E42" s="24">
        <f>Table134681112[[#This Row],[PMI]]-B30</f>
        <v/>
      </c>
      <c r="F42" s="52">
        <f>(Table134681112[[#This Row],[EWU]]-D30)/D30</f>
        <v/>
      </c>
    </row>
    <row r="43">
      <c r="A43" s="10" t="n">
        <v>39448</v>
      </c>
      <c r="B43" s="18">
        <f>IF(VLOOKUP(A43,'DB Country PMI'!$A:$AZ,MATCH($A$1,'DB Country PMI'!$A$1:$AZ$1,),)=0,#N/A,VLOOKUP(A43,'DB Country PMI'!$A:$AZ,MATCH($A$1,'DB Country PMI'!$A$1:$AZ$1,),))</f>
        <v/>
      </c>
      <c r="C43" s="24">
        <f>Table134681112[[#This Row],[PMI]]-B42</f>
        <v/>
      </c>
      <c r="D43" s="11">
        <f>IF(VLOOKUP(Table134681112[[#This Row],[Date]],'DB Global PMI'!$A:$F,5)=0,#N/A,VLOOKUP(Table134681112[[#This Row],[Date]],'DB Global PMI'!$A:$F,5))</f>
        <v/>
      </c>
      <c r="E43" s="24">
        <f>Table134681112[[#This Row],[PMI]]-B31</f>
        <v/>
      </c>
      <c r="F43" s="52">
        <f>(Table134681112[[#This Row],[EWU]]-D31)/D31</f>
        <v/>
      </c>
    </row>
    <row r="44">
      <c r="A44" s="10" t="n">
        <v>39479</v>
      </c>
      <c r="B44" s="18">
        <f>IF(VLOOKUP(A44,'DB Country PMI'!$A:$AZ,MATCH($A$1,'DB Country PMI'!$A$1:$AZ$1,),)=0,#N/A,VLOOKUP(A44,'DB Country PMI'!$A:$AZ,MATCH($A$1,'DB Country PMI'!$A$1:$AZ$1,),))</f>
        <v/>
      </c>
      <c r="C44" s="24">
        <f>Table134681112[[#This Row],[PMI]]-B43</f>
        <v/>
      </c>
      <c r="D44" s="11">
        <f>IF(VLOOKUP(Table134681112[[#This Row],[Date]],'DB Global PMI'!$A:$F,5)=0,#N/A,VLOOKUP(Table134681112[[#This Row],[Date]],'DB Global PMI'!$A:$F,5))</f>
        <v/>
      </c>
      <c r="E44" s="24">
        <f>Table134681112[[#This Row],[PMI]]-B32</f>
        <v/>
      </c>
      <c r="F44" s="52">
        <f>(Table134681112[[#This Row],[EWU]]-D32)/D32</f>
        <v/>
      </c>
    </row>
    <row r="45">
      <c r="A45" s="10" t="n">
        <v>39508</v>
      </c>
      <c r="B45" s="18">
        <f>IF(VLOOKUP(A45,'DB Country PMI'!$A:$AZ,MATCH($A$1,'DB Country PMI'!$A$1:$AZ$1,),)=0,#N/A,VLOOKUP(A45,'DB Country PMI'!$A:$AZ,MATCH($A$1,'DB Country PMI'!$A$1:$AZ$1,),))</f>
        <v/>
      </c>
      <c r="C45" s="24">
        <f>Table134681112[[#This Row],[PMI]]-B44</f>
        <v/>
      </c>
      <c r="D45" s="11">
        <f>IF(VLOOKUP(Table134681112[[#This Row],[Date]],'DB Global PMI'!$A:$F,5)=0,#N/A,VLOOKUP(Table134681112[[#This Row],[Date]],'DB Global PMI'!$A:$F,5))</f>
        <v/>
      </c>
      <c r="E45" s="24">
        <f>Table134681112[[#This Row],[PMI]]-B33</f>
        <v/>
      </c>
      <c r="F45" s="52">
        <f>(Table134681112[[#This Row],[EWU]]-D33)/D33</f>
        <v/>
      </c>
    </row>
    <row r="46">
      <c r="A46" s="10" t="n">
        <v>39539</v>
      </c>
      <c r="B46" s="18">
        <f>IF(VLOOKUP(A46,'DB Country PMI'!$A:$AZ,MATCH($A$1,'DB Country PMI'!$A$1:$AZ$1,),)=0,#N/A,VLOOKUP(A46,'DB Country PMI'!$A:$AZ,MATCH($A$1,'DB Country PMI'!$A$1:$AZ$1,),))</f>
        <v/>
      </c>
      <c r="C46" s="24">
        <f>Table134681112[[#This Row],[PMI]]-B45</f>
        <v/>
      </c>
      <c r="D46" s="11">
        <f>IF(VLOOKUP(Table134681112[[#This Row],[Date]],'DB Global PMI'!$A:$F,5)=0,#N/A,VLOOKUP(Table134681112[[#This Row],[Date]],'DB Global PMI'!$A:$F,5))</f>
        <v/>
      </c>
      <c r="E46" s="24">
        <f>Table134681112[[#This Row],[PMI]]-B34</f>
        <v/>
      </c>
      <c r="F46" s="52">
        <f>(Table134681112[[#This Row],[EWU]]-D34)/D34</f>
        <v/>
      </c>
    </row>
    <row r="47">
      <c r="A47" s="10" t="n">
        <v>39569</v>
      </c>
      <c r="B47" s="18">
        <f>IF(VLOOKUP(A47,'DB Country PMI'!$A:$AZ,MATCH($A$1,'DB Country PMI'!$A$1:$AZ$1,),)=0,#N/A,VLOOKUP(A47,'DB Country PMI'!$A:$AZ,MATCH($A$1,'DB Country PMI'!$A$1:$AZ$1,),))</f>
        <v/>
      </c>
      <c r="C47" s="24">
        <f>Table134681112[[#This Row],[PMI]]-B46</f>
        <v/>
      </c>
      <c r="D47" s="11">
        <f>IF(VLOOKUP(Table134681112[[#This Row],[Date]],'DB Global PMI'!$A:$F,5)=0,#N/A,VLOOKUP(Table134681112[[#This Row],[Date]],'DB Global PMI'!$A:$F,5))</f>
        <v/>
      </c>
      <c r="E47" s="24">
        <f>Table134681112[[#This Row],[PMI]]-B35</f>
        <v/>
      </c>
      <c r="F47" s="52">
        <f>(Table134681112[[#This Row],[EWU]]-D35)/D35</f>
        <v/>
      </c>
    </row>
    <row r="48">
      <c r="A48" s="10" t="n">
        <v>39600</v>
      </c>
      <c r="B48" s="18">
        <f>IF(VLOOKUP(A48,'DB Country PMI'!$A:$AZ,MATCH($A$1,'DB Country PMI'!$A$1:$AZ$1,),)=0,#N/A,VLOOKUP(A48,'DB Country PMI'!$A:$AZ,MATCH($A$1,'DB Country PMI'!$A$1:$AZ$1,),))</f>
        <v/>
      </c>
      <c r="C48" s="24">
        <f>Table134681112[[#This Row],[PMI]]-B47</f>
        <v/>
      </c>
      <c r="D48" s="11">
        <f>IF(VLOOKUP(Table134681112[[#This Row],[Date]],'DB Global PMI'!$A:$F,5)=0,#N/A,VLOOKUP(Table134681112[[#This Row],[Date]],'DB Global PMI'!$A:$F,5))</f>
        <v/>
      </c>
      <c r="E48" s="24">
        <f>Table134681112[[#This Row],[PMI]]-B36</f>
        <v/>
      </c>
      <c r="F48" s="52">
        <f>(Table134681112[[#This Row],[EWU]]-D36)/D36</f>
        <v/>
      </c>
    </row>
    <row r="49">
      <c r="A49" s="10" t="n">
        <v>39630</v>
      </c>
      <c r="B49" s="18">
        <f>IF(VLOOKUP(A49,'DB Country PMI'!$A:$AZ,MATCH($A$1,'DB Country PMI'!$A$1:$AZ$1,),)=0,#N/A,VLOOKUP(A49,'DB Country PMI'!$A:$AZ,MATCH($A$1,'DB Country PMI'!$A$1:$AZ$1,),))</f>
        <v/>
      </c>
      <c r="C49" s="24">
        <f>Table134681112[[#This Row],[PMI]]-B48</f>
        <v/>
      </c>
      <c r="D49" s="11">
        <f>IF(VLOOKUP(Table134681112[[#This Row],[Date]],'DB Global PMI'!$A:$F,5)=0,#N/A,VLOOKUP(Table134681112[[#This Row],[Date]],'DB Global PMI'!$A:$F,5))</f>
        <v/>
      </c>
      <c r="E49" s="24">
        <f>Table134681112[[#This Row],[PMI]]-B37</f>
        <v/>
      </c>
      <c r="F49" s="52">
        <f>(Table134681112[[#This Row],[EWU]]-D37)/D37</f>
        <v/>
      </c>
    </row>
    <row r="50">
      <c r="A50" s="10" t="n">
        <v>39661</v>
      </c>
      <c r="B50" s="18">
        <f>IF(VLOOKUP(A50,'DB Country PMI'!$A:$AZ,MATCH($A$1,'DB Country PMI'!$A$1:$AZ$1,),)=0,#N/A,VLOOKUP(A50,'DB Country PMI'!$A:$AZ,MATCH($A$1,'DB Country PMI'!$A$1:$AZ$1,),))</f>
        <v/>
      </c>
      <c r="C50" s="24">
        <f>Table134681112[[#This Row],[PMI]]-B49</f>
        <v/>
      </c>
      <c r="D50" s="11">
        <f>IF(VLOOKUP(Table134681112[[#This Row],[Date]],'DB Global PMI'!$A:$F,5)=0,#N/A,VLOOKUP(Table134681112[[#This Row],[Date]],'DB Global PMI'!$A:$F,5))</f>
        <v/>
      </c>
      <c r="E50" s="24">
        <f>Table134681112[[#This Row],[PMI]]-B38</f>
        <v/>
      </c>
      <c r="F50" s="52">
        <f>(Table134681112[[#This Row],[EWU]]-D38)/D38</f>
        <v/>
      </c>
    </row>
    <row r="51">
      <c r="A51" s="10" t="n">
        <v>39692</v>
      </c>
      <c r="B51" s="18">
        <f>IF(VLOOKUP(A51,'DB Country PMI'!$A:$AZ,MATCH($A$1,'DB Country PMI'!$A$1:$AZ$1,),)=0,#N/A,VLOOKUP(A51,'DB Country PMI'!$A:$AZ,MATCH($A$1,'DB Country PMI'!$A$1:$AZ$1,),))</f>
        <v/>
      </c>
      <c r="C51" s="24">
        <f>Table134681112[[#This Row],[PMI]]-B50</f>
        <v/>
      </c>
      <c r="D51" s="11">
        <f>IF(VLOOKUP(Table134681112[[#This Row],[Date]],'DB Global PMI'!$A:$F,5)=0,#N/A,VLOOKUP(Table134681112[[#This Row],[Date]],'DB Global PMI'!$A:$F,5))</f>
        <v/>
      </c>
      <c r="E51" s="24">
        <f>Table134681112[[#This Row],[PMI]]-B39</f>
        <v/>
      </c>
      <c r="F51" s="52">
        <f>(Table134681112[[#This Row],[EWU]]-D39)/D39</f>
        <v/>
      </c>
    </row>
    <row r="52">
      <c r="A52" s="10" t="n">
        <v>39722</v>
      </c>
      <c r="B52" s="18">
        <f>IF(VLOOKUP(A52,'DB Country PMI'!$A:$AZ,MATCH($A$1,'DB Country PMI'!$A$1:$AZ$1,),)=0,#N/A,VLOOKUP(A52,'DB Country PMI'!$A:$AZ,MATCH($A$1,'DB Country PMI'!$A$1:$AZ$1,),))</f>
        <v/>
      </c>
      <c r="C52" s="24">
        <f>Table134681112[[#This Row],[PMI]]-B51</f>
        <v/>
      </c>
      <c r="D52" s="11">
        <f>IF(VLOOKUP(Table134681112[[#This Row],[Date]],'DB Global PMI'!$A:$F,5)=0,#N/A,VLOOKUP(Table134681112[[#This Row],[Date]],'DB Global PMI'!$A:$F,5))</f>
        <v/>
      </c>
      <c r="E52" s="24">
        <f>Table134681112[[#This Row],[PMI]]-B40</f>
        <v/>
      </c>
      <c r="F52" s="52">
        <f>(Table134681112[[#This Row],[EWU]]-D40)/D40</f>
        <v/>
      </c>
    </row>
    <row r="53">
      <c r="A53" s="10" t="n">
        <v>39753</v>
      </c>
      <c r="B53" s="18">
        <f>IF(VLOOKUP(A53,'DB Country PMI'!$A:$AZ,MATCH($A$1,'DB Country PMI'!$A$1:$AZ$1,),)=0,#N/A,VLOOKUP(A53,'DB Country PMI'!$A:$AZ,MATCH($A$1,'DB Country PMI'!$A$1:$AZ$1,),))</f>
        <v/>
      </c>
      <c r="C53" s="24">
        <f>Table134681112[[#This Row],[PMI]]-B52</f>
        <v/>
      </c>
      <c r="D53" s="11">
        <f>IF(VLOOKUP(Table134681112[[#This Row],[Date]],'DB Global PMI'!$A:$F,5)=0,#N/A,VLOOKUP(Table134681112[[#This Row],[Date]],'DB Global PMI'!$A:$F,5))</f>
        <v/>
      </c>
      <c r="E53" s="24">
        <f>Table134681112[[#This Row],[PMI]]-B41</f>
        <v/>
      </c>
      <c r="F53" s="52">
        <f>(Table134681112[[#This Row],[EWU]]-D41)/D41</f>
        <v/>
      </c>
    </row>
    <row r="54">
      <c r="A54" s="10" t="n">
        <v>39783</v>
      </c>
      <c r="B54" s="18">
        <f>IF(VLOOKUP(A54,'DB Country PMI'!$A:$AZ,MATCH($A$1,'DB Country PMI'!$A$1:$AZ$1,),)=0,#N/A,VLOOKUP(A54,'DB Country PMI'!$A:$AZ,MATCH($A$1,'DB Country PMI'!$A$1:$AZ$1,),))</f>
        <v/>
      </c>
      <c r="C54" s="24">
        <f>Table134681112[[#This Row],[PMI]]-B53</f>
        <v/>
      </c>
      <c r="D54" s="11">
        <f>IF(VLOOKUP(Table134681112[[#This Row],[Date]],'DB Global PMI'!$A:$F,5)=0,#N/A,VLOOKUP(Table134681112[[#This Row],[Date]],'DB Global PMI'!$A:$F,5))</f>
        <v/>
      </c>
      <c r="E54" s="24">
        <f>Table134681112[[#This Row],[PMI]]-B42</f>
        <v/>
      </c>
      <c r="F54" s="52">
        <f>(Table134681112[[#This Row],[EWU]]-D42)/D42</f>
        <v/>
      </c>
    </row>
    <row r="55">
      <c r="A55" s="10" t="n">
        <v>39814</v>
      </c>
      <c r="B55" s="18">
        <f>IF(VLOOKUP(A55,'DB Country PMI'!$A:$AZ,MATCH($A$1,'DB Country PMI'!$A$1:$AZ$1,),)=0,#N/A,VLOOKUP(A55,'DB Country PMI'!$A:$AZ,MATCH($A$1,'DB Country PMI'!$A$1:$AZ$1,),))</f>
        <v/>
      </c>
      <c r="C55" s="24">
        <f>Table134681112[[#This Row],[PMI]]-B54</f>
        <v/>
      </c>
      <c r="D55" s="11">
        <f>IF(VLOOKUP(Table134681112[[#This Row],[Date]],'DB Global PMI'!$A:$F,5)=0,#N/A,VLOOKUP(Table134681112[[#This Row],[Date]],'DB Global PMI'!$A:$F,5))</f>
        <v/>
      </c>
      <c r="E55" s="24">
        <f>Table134681112[[#This Row],[PMI]]-B43</f>
        <v/>
      </c>
      <c r="F55" s="52">
        <f>(Table134681112[[#This Row],[EWU]]-D43)/D43</f>
        <v/>
      </c>
    </row>
    <row r="56">
      <c r="A56" s="10" t="n">
        <v>39845</v>
      </c>
      <c r="B56" s="18">
        <f>IF(VLOOKUP(A56,'DB Country PMI'!$A:$AZ,MATCH($A$1,'DB Country PMI'!$A$1:$AZ$1,),)=0,#N/A,VLOOKUP(A56,'DB Country PMI'!$A:$AZ,MATCH($A$1,'DB Country PMI'!$A$1:$AZ$1,),))</f>
        <v/>
      </c>
      <c r="C56" s="24">
        <f>Table134681112[[#This Row],[PMI]]-B55</f>
        <v/>
      </c>
      <c r="D56" s="11">
        <f>IF(VLOOKUP(Table134681112[[#This Row],[Date]],'DB Global PMI'!$A:$F,5)=0,#N/A,VLOOKUP(Table134681112[[#This Row],[Date]],'DB Global PMI'!$A:$F,5))</f>
        <v/>
      </c>
      <c r="E56" s="24">
        <f>Table134681112[[#This Row],[PMI]]-B44</f>
        <v/>
      </c>
      <c r="F56" s="52">
        <f>(Table134681112[[#This Row],[EWU]]-D44)/D44</f>
        <v/>
      </c>
    </row>
    <row r="57">
      <c r="A57" s="10" t="n">
        <v>39873</v>
      </c>
      <c r="B57" s="18">
        <f>IF(VLOOKUP(A57,'DB Country PMI'!$A:$AZ,MATCH($A$1,'DB Country PMI'!$A$1:$AZ$1,),)=0,#N/A,VLOOKUP(A57,'DB Country PMI'!$A:$AZ,MATCH($A$1,'DB Country PMI'!$A$1:$AZ$1,),))</f>
        <v/>
      </c>
      <c r="C57" s="24">
        <f>Table134681112[[#This Row],[PMI]]-B56</f>
        <v/>
      </c>
      <c r="D57" s="11">
        <f>IF(VLOOKUP(Table134681112[[#This Row],[Date]],'DB Global PMI'!$A:$F,5)=0,#N/A,VLOOKUP(Table134681112[[#This Row],[Date]],'DB Global PMI'!$A:$F,5))</f>
        <v/>
      </c>
      <c r="E57" s="24">
        <f>Table134681112[[#This Row],[PMI]]-B45</f>
        <v/>
      </c>
      <c r="F57" s="52">
        <f>(Table134681112[[#This Row],[EWU]]-D45)/D45</f>
        <v/>
      </c>
    </row>
    <row r="58">
      <c r="A58" s="10" t="n">
        <v>39904</v>
      </c>
      <c r="B58" s="18">
        <f>IF(VLOOKUP(A58,'DB Country PMI'!$A:$AZ,MATCH($A$1,'DB Country PMI'!$A$1:$AZ$1,),)=0,#N/A,VLOOKUP(A58,'DB Country PMI'!$A:$AZ,MATCH($A$1,'DB Country PMI'!$A$1:$AZ$1,),))</f>
        <v/>
      </c>
      <c r="C58" s="24">
        <f>Table134681112[[#This Row],[PMI]]-B57</f>
        <v/>
      </c>
      <c r="D58" s="11">
        <f>IF(VLOOKUP(Table134681112[[#This Row],[Date]],'DB Global PMI'!$A:$F,5)=0,#N/A,VLOOKUP(Table134681112[[#This Row],[Date]],'DB Global PMI'!$A:$F,5))</f>
        <v/>
      </c>
      <c r="E58" s="24">
        <f>Table134681112[[#This Row],[PMI]]-B46</f>
        <v/>
      </c>
      <c r="F58" s="52">
        <f>(Table134681112[[#This Row],[EWU]]-D46)/D46</f>
        <v/>
      </c>
    </row>
    <row r="59">
      <c r="A59" s="10" t="n">
        <v>39934</v>
      </c>
      <c r="B59" s="18">
        <f>IF(VLOOKUP(A59,'DB Country PMI'!$A:$AZ,MATCH($A$1,'DB Country PMI'!$A$1:$AZ$1,),)=0,#N/A,VLOOKUP(A59,'DB Country PMI'!$A:$AZ,MATCH($A$1,'DB Country PMI'!$A$1:$AZ$1,),))</f>
        <v/>
      </c>
      <c r="C59" s="24">
        <f>Table134681112[[#This Row],[PMI]]-B58</f>
        <v/>
      </c>
      <c r="D59" s="11">
        <f>IF(VLOOKUP(Table134681112[[#This Row],[Date]],'DB Global PMI'!$A:$F,5)=0,#N/A,VLOOKUP(Table134681112[[#This Row],[Date]],'DB Global PMI'!$A:$F,5))</f>
        <v/>
      </c>
      <c r="E59" s="24">
        <f>Table134681112[[#This Row],[PMI]]-B47</f>
        <v/>
      </c>
      <c r="F59" s="52">
        <f>(Table134681112[[#This Row],[EWU]]-D47)/D47</f>
        <v/>
      </c>
    </row>
    <row r="60">
      <c r="A60" s="10" t="n">
        <v>39965</v>
      </c>
      <c r="B60" s="18">
        <f>IF(VLOOKUP(A60,'DB Country PMI'!$A:$AZ,MATCH($A$1,'DB Country PMI'!$A$1:$AZ$1,),)=0,#N/A,VLOOKUP(A60,'DB Country PMI'!$A:$AZ,MATCH($A$1,'DB Country PMI'!$A$1:$AZ$1,),))</f>
        <v/>
      </c>
      <c r="C60" s="24">
        <f>Table134681112[[#This Row],[PMI]]-B59</f>
        <v/>
      </c>
      <c r="D60" s="11">
        <f>IF(VLOOKUP(Table134681112[[#This Row],[Date]],'DB Global PMI'!$A:$F,5)=0,#N/A,VLOOKUP(Table134681112[[#This Row],[Date]],'DB Global PMI'!$A:$F,5))</f>
        <v/>
      </c>
      <c r="E60" s="24">
        <f>Table134681112[[#This Row],[PMI]]-B48</f>
        <v/>
      </c>
      <c r="F60" s="52">
        <f>(Table134681112[[#This Row],[EWU]]-D48)/D48</f>
        <v/>
      </c>
    </row>
    <row r="61">
      <c r="A61" s="10" t="n">
        <v>39995</v>
      </c>
      <c r="B61" s="18">
        <f>IF(VLOOKUP(A61,'DB Country PMI'!$A:$AZ,MATCH($A$1,'DB Country PMI'!$A$1:$AZ$1,),)=0,#N/A,VLOOKUP(A61,'DB Country PMI'!$A:$AZ,MATCH($A$1,'DB Country PMI'!$A$1:$AZ$1,),))</f>
        <v/>
      </c>
      <c r="C61" s="24">
        <f>Table134681112[[#This Row],[PMI]]-B60</f>
        <v/>
      </c>
      <c r="D61" s="11">
        <f>IF(VLOOKUP(Table134681112[[#This Row],[Date]],'DB Global PMI'!$A:$F,5)=0,#N/A,VLOOKUP(Table134681112[[#This Row],[Date]],'DB Global PMI'!$A:$F,5))</f>
        <v/>
      </c>
      <c r="E61" s="24">
        <f>Table134681112[[#This Row],[PMI]]-B49</f>
        <v/>
      </c>
      <c r="F61" s="52">
        <f>(Table134681112[[#This Row],[EWU]]-D49)/D49</f>
        <v/>
      </c>
    </row>
    <row r="62">
      <c r="A62" s="10" t="n">
        <v>40026</v>
      </c>
      <c r="B62" s="18">
        <f>IF(VLOOKUP(A62,'DB Country PMI'!$A:$AZ,MATCH($A$1,'DB Country PMI'!$A$1:$AZ$1,),)=0,#N/A,VLOOKUP(A62,'DB Country PMI'!$A:$AZ,MATCH($A$1,'DB Country PMI'!$A$1:$AZ$1,),))</f>
        <v/>
      </c>
      <c r="C62" s="24">
        <f>Table134681112[[#This Row],[PMI]]-B61</f>
        <v/>
      </c>
      <c r="D62" s="11">
        <f>IF(VLOOKUP(Table134681112[[#This Row],[Date]],'DB Global PMI'!$A:$F,5)=0,#N/A,VLOOKUP(Table134681112[[#This Row],[Date]],'DB Global PMI'!$A:$F,5))</f>
        <v/>
      </c>
      <c r="E62" s="24">
        <f>Table134681112[[#This Row],[PMI]]-B50</f>
        <v/>
      </c>
      <c r="F62" s="52">
        <f>(Table134681112[[#This Row],[EWU]]-D50)/D50</f>
        <v/>
      </c>
    </row>
    <row r="63">
      <c r="A63" s="10" t="n">
        <v>40057</v>
      </c>
      <c r="B63" s="18">
        <f>IF(VLOOKUP(A63,'DB Country PMI'!$A:$AZ,MATCH($A$1,'DB Country PMI'!$A$1:$AZ$1,),)=0,#N/A,VLOOKUP(A63,'DB Country PMI'!$A:$AZ,MATCH($A$1,'DB Country PMI'!$A$1:$AZ$1,),))</f>
        <v/>
      </c>
      <c r="C63" s="24">
        <f>Table134681112[[#This Row],[PMI]]-B62</f>
        <v/>
      </c>
      <c r="D63" s="11">
        <f>IF(VLOOKUP(Table134681112[[#This Row],[Date]],'DB Global PMI'!$A:$F,5)=0,#N/A,VLOOKUP(Table134681112[[#This Row],[Date]],'DB Global PMI'!$A:$F,5))</f>
        <v/>
      </c>
      <c r="E63" s="24">
        <f>Table134681112[[#This Row],[PMI]]-B51</f>
        <v/>
      </c>
      <c r="F63" s="52">
        <f>(Table134681112[[#This Row],[EWU]]-D51)/D51</f>
        <v/>
      </c>
    </row>
    <row r="64">
      <c r="A64" s="10" t="n">
        <v>40087</v>
      </c>
      <c r="B64" s="18">
        <f>IF(VLOOKUP(A64,'DB Country PMI'!$A:$AZ,MATCH($A$1,'DB Country PMI'!$A$1:$AZ$1,),)=0,#N/A,VLOOKUP(A64,'DB Country PMI'!$A:$AZ,MATCH($A$1,'DB Country PMI'!$A$1:$AZ$1,),))</f>
        <v/>
      </c>
      <c r="C64" s="24">
        <f>Table134681112[[#This Row],[PMI]]-B63</f>
        <v/>
      </c>
      <c r="D64" s="11">
        <f>IF(VLOOKUP(Table134681112[[#This Row],[Date]],'DB Global PMI'!$A:$F,5)=0,#N/A,VLOOKUP(Table134681112[[#This Row],[Date]],'DB Global PMI'!$A:$F,5))</f>
        <v/>
      </c>
      <c r="E64" s="24">
        <f>Table134681112[[#This Row],[PMI]]-B52</f>
        <v/>
      </c>
      <c r="F64" s="52">
        <f>(Table134681112[[#This Row],[EWU]]-D52)/D52</f>
        <v/>
      </c>
    </row>
    <row r="65">
      <c r="A65" s="10" t="n">
        <v>40118</v>
      </c>
      <c r="B65" s="18">
        <f>IF(VLOOKUP(A65,'DB Country PMI'!$A:$AZ,MATCH($A$1,'DB Country PMI'!$A$1:$AZ$1,),)=0,#N/A,VLOOKUP(A65,'DB Country PMI'!$A:$AZ,MATCH($A$1,'DB Country PMI'!$A$1:$AZ$1,),))</f>
        <v/>
      </c>
      <c r="C65" s="24">
        <f>Table134681112[[#This Row],[PMI]]-B64</f>
        <v/>
      </c>
      <c r="D65" s="11">
        <f>IF(VLOOKUP(Table134681112[[#This Row],[Date]],'DB Global PMI'!$A:$F,5)=0,#N/A,VLOOKUP(Table134681112[[#This Row],[Date]],'DB Global PMI'!$A:$F,5))</f>
        <v/>
      </c>
      <c r="E65" s="24">
        <f>Table134681112[[#This Row],[PMI]]-B53</f>
        <v/>
      </c>
      <c r="F65" s="52">
        <f>(Table134681112[[#This Row],[EWU]]-D53)/D53</f>
        <v/>
      </c>
    </row>
    <row r="66">
      <c r="A66" s="10" t="n">
        <v>40148</v>
      </c>
      <c r="B66" s="18">
        <f>IF(VLOOKUP(A66,'DB Country PMI'!$A:$AZ,MATCH($A$1,'DB Country PMI'!$A$1:$AZ$1,),)=0,#N/A,VLOOKUP(A66,'DB Country PMI'!$A:$AZ,MATCH($A$1,'DB Country PMI'!$A$1:$AZ$1,),))</f>
        <v/>
      </c>
      <c r="C66" s="24">
        <f>Table134681112[[#This Row],[PMI]]-B65</f>
        <v/>
      </c>
      <c r="D66" s="11">
        <f>IF(VLOOKUP(Table134681112[[#This Row],[Date]],'DB Global PMI'!$A:$F,5)=0,#N/A,VLOOKUP(Table134681112[[#This Row],[Date]],'DB Global PMI'!$A:$F,5))</f>
        <v/>
      </c>
      <c r="E66" s="24">
        <f>Table134681112[[#This Row],[PMI]]-B54</f>
        <v/>
      </c>
      <c r="F66" s="52">
        <f>(Table134681112[[#This Row],[EWU]]-D54)/D54</f>
        <v/>
      </c>
    </row>
    <row r="67">
      <c r="A67" s="10" t="n">
        <v>40179</v>
      </c>
      <c r="B67" s="18">
        <f>IF(VLOOKUP(A67,'DB Country PMI'!$A:$AZ,MATCH($A$1,'DB Country PMI'!$A$1:$AZ$1,),)=0,#N/A,VLOOKUP(A67,'DB Country PMI'!$A:$AZ,MATCH($A$1,'DB Country PMI'!$A$1:$AZ$1,),))</f>
        <v/>
      </c>
      <c r="C67" s="24">
        <f>Table134681112[[#This Row],[PMI]]-B66</f>
        <v/>
      </c>
      <c r="D67" s="11">
        <f>IF(VLOOKUP(Table134681112[[#This Row],[Date]],'DB Global PMI'!$A:$F,5)=0,#N/A,VLOOKUP(Table134681112[[#This Row],[Date]],'DB Global PMI'!$A:$F,5))</f>
        <v/>
      </c>
      <c r="E67" s="24">
        <f>Table134681112[[#This Row],[PMI]]-B55</f>
        <v/>
      </c>
      <c r="F67" s="52">
        <f>(Table134681112[[#This Row],[EWU]]-D55)/D55</f>
        <v/>
      </c>
    </row>
    <row r="68">
      <c r="A68" s="10" t="n">
        <v>40210</v>
      </c>
      <c r="B68" s="18">
        <f>IF(VLOOKUP(A68,'DB Country PMI'!$A:$AZ,MATCH($A$1,'DB Country PMI'!$A$1:$AZ$1,),)=0,#N/A,VLOOKUP(A68,'DB Country PMI'!$A:$AZ,MATCH($A$1,'DB Country PMI'!$A$1:$AZ$1,),))</f>
        <v/>
      </c>
      <c r="C68" s="24">
        <f>Table134681112[[#This Row],[PMI]]-B67</f>
        <v/>
      </c>
      <c r="D68" s="11">
        <f>IF(VLOOKUP(Table134681112[[#This Row],[Date]],'DB Global PMI'!$A:$F,5)=0,#N/A,VLOOKUP(Table134681112[[#This Row],[Date]],'DB Global PMI'!$A:$F,5))</f>
        <v/>
      </c>
      <c r="E68" s="24">
        <f>Table134681112[[#This Row],[PMI]]-B56</f>
        <v/>
      </c>
      <c r="F68" s="52">
        <f>(Table134681112[[#This Row],[EWU]]-D56)/D56</f>
        <v/>
      </c>
    </row>
    <row r="69">
      <c r="A69" s="10" t="n">
        <v>40238</v>
      </c>
      <c r="B69" s="18">
        <f>IF(VLOOKUP(A69,'DB Country PMI'!$A:$AZ,MATCH($A$1,'DB Country PMI'!$A$1:$AZ$1,),)=0,#N/A,VLOOKUP(A69,'DB Country PMI'!$A:$AZ,MATCH($A$1,'DB Country PMI'!$A$1:$AZ$1,),))</f>
        <v/>
      </c>
      <c r="C69" s="24">
        <f>Table134681112[[#This Row],[PMI]]-B68</f>
        <v/>
      </c>
      <c r="D69" s="11">
        <f>IF(VLOOKUP(Table134681112[[#This Row],[Date]],'DB Global PMI'!$A:$F,5)=0,#N/A,VLOOKUP(Table134681112[[#This Row],[Date]],'DB Global PMI'!$A:$F,5))</f>
        <v/>
      </c>
      <c r="E69" s="24">
        <f>Table134681112[[#This Row],[PMI]]-B57</f>
        <v/>
      </c>
      <c r="F69" s="52">
        <f>(Table134681112[[#This Row],[EWU]]-D57)/D57</f>
        <v/>
      </c>
    </row>
    <row r="70">
      <c r="A70" s="10" t="n">
        <v>40269</v>
      </c>
      <c r="B70" s="18">
        <f>IF(VLOOKUP(A70,'DB Country PMI'!$A:$AZ,MATCH($A$1,'DB Country PMI'!$A$1:$AZ$1,),)=0,#N/A,VLOOKUP(A70,'DB Country PMI'!$A:$AZ,MATCH($A$1,'DB Country PMI'!$A$1:$AZ$1,),))</f>
        <v/>
      </c>
      <c r="C70" s="24">
        <f>Table134681112[[#This Row],[PMI]]-B69</f>
        <v/>
      </c>
      <c r="D70" s="11">
        <f>IF(VLOOKUP(Table134681112[[#This Row],[Date]],'DB Global PMI'!$A:$F,5)=0,#N/A,VLOOKUP(Table134681112[[#This Row],[Date]],'DB Global PMI'!$A:$F,5))</f>
        <v/>
      </c>
      <c r="E70" s="24">
        <f>Table134681112[[#This Row],[PMI]]-B58</f>
        <v/>
      </c>
      <c r="F70" s="52">
        <f>(Table134681112[[#This Row],[EWU]]-D58)/D58</f>
        <v/>
      </c>
    </row>
    <row r="71">
      <c r="A71" s="10" t="n">
        <v>40299</v>
      </c>
      <c r="B71" s="18">
        <f>IF(VLOOKUP(A71,'DB Country PMI'!$A:$AZ,MATCH($A$1,'DB Country PMI'!$A$1:$AZ$1,),)=0,#N/A,VLOOKUP(A71,'DB Country PMI'!$A:$AZ,MATCH($A$1,'DB Country PMI'!$A$1:$AZ$1,),))</f>
        <v/>
      </c>
      <c r="C71" s="24">
        <f>Table134681112[[#This Row],[PMI]]-B70</f>
        <v/>
      </c>
      <c r="D71" s="11">
        <f>IF(VLOOKUP(Table134681112[[#This Row],[Date]],'DB Global PMI'!$A:$F,5)=0,#N/A,VLOOKUP(Table134681112[[#This Row],[Date]],'DB Global PMI'!$A:$F,5))</f>
        <v/>
      </c>
      <c r="E71" s="24">
        <f>Table134681112[[#This Row],[PMI]]-B59</f>
        <v/>
      </c>
      <c r="F71" s="52">
        <f>(Table134681112[[#This Row],[EWU]]-D59)/D59</f>
        <v/>
      </c>
    </row>
    <row r="72">
      <c r="A72" s="10" t="n">
        <v>40330</v>
      </c>
      <c r="B72" s="18">
        <f>IF(VLOOKUP(A72,'DB Country PMI'!$A:$AZ,MATCH($A$1,'DB Country PMI'!$A$1:$AZ$1,),)=0,#N/A,VLOOKUP(A72,'DB Country PMI'!$A:$AZ,MATCH($A$1,'DB Country PMI'!$A$1:$AZ$1,),))</f>
        <v/>
      </c>
      <c r="C72" s="24">
        <f>Table134681112[[#This Row],[PMI]]-B71</f>
        <v/>
      </c>
      <c r="D72" s="11">
        <f>IF(VLOOKUP(Table134681112[[#This Row],[Date]],'DB Global PMI'!$A:$F,5)=0,#N/A,VLOOKUP(Table134681112[[#This Row],[Date]],'DB Global PMI'!$A:$F,5))</f>
        <v/>
      </c>
      <c r="E72" s="24">
        <f>Table134681112[[#This Row],[PMI]]-B60</f>
        <v/>
      </c>
      <c r="F72" s="52">
        <f>(Table134681112[[#This Row],[EWU]]-D60)/D60</f>
        <v/>
      </c>
    </row>
    <row r="73">
      <c r="A73" s="10" t="n">
        <v>40360</v>
      </c>
      <c r="B73" s="18">
        <f>IF(VLOOKUP(A73,'DB Country PMI'!$A:$AZ,MATCH($A$1,'DB Country PMI'!$A$1:$AZ$1,),)=0,#N/A,VLOOKUP(A73,'DB Country PMI'!$A:$AZ,MATCH($A$1,'DB Country PMI'!$A$1:$AZ$1,),))</f>
        <v/>
      </c>
      <c r="C73" s="24">
        <f>Table134681112[[#This Row],[PMI]]-B72</f>
        <v/>
      </c>
      <c r="D73" s="11">
        <f>IF(VLOOKUP(Table134681112[[#This Row],[Date]],'DB Global PMI'!$A:$F,5)=0,#N/A,VLOOKUP(Table134681112[[#This Row],[Date]],'DB Global PMI'!$A:$F,5))</f>
        <v/>
      </c>
      <c r="E73" s="24">
        <f>Table134681112[[#This Row],[PMI]]-B61</f>
        <v/>
      </c>
      <c r="F73" s="52">
        <f>(Table134681112[[#This Row],[EWU]]-D61)/D61</f>
        <v/>
      </c>
    </row>
    <row r="74">
      <c r="A74" s="10" t="n">
        <v>40391</v>
      </c>
      <c r="B74" s="18">
        <f>IF(VLOOKUP(A74,'DB Country PMI'!$A:$AZ,MATCH($A$1,'DB Country PMI'!$A$1:$AZ$1,),)=0,#N/A,VLOOKUP(A74,'DB Country PMI'!$A:$AZ,MATCH($A$1,'DB Country PMI'!$A$1:$AZ$1,),))</f>
        <v/>
      </c>
      <c r="C74" s="24">
        <f>Table134681112[[#This Row],[PMI]]-B73</f>
        <v/>
      </c>
      <c r="D74" s="11">
        <f>IF(VLOOKUP(Table134681112[[#This Row],[Date]],'DB Global PMI'!$A:$F,5)=0,#N/A,VLOOKUP(Table134681112[[#This Row],[Date]],'DB Global PMI'!$A:$F,5))</f>
        <v/>
      </c>
      <c r="E74" s="24">
        <f>Table134681112[[#This Row],[PMI]]-B62</f>
        <v/>
      </c>
      <c r="F74" s="52">
        <f>(Table134681112[[#This Row],[EWU]]-D62)/D62</f>
        <v/>
      </c>
    </row>
    <row r="75">
      <c r="A75" s="10" t="n">
        <v>40422</v>
      </c>
      <c r="B75" s="18">
        <f>IF(VLOOKUP(A75,'DB Country PMI'!$A:$AZ,MATCH($A$1,'DB Country PMI'!$A$1:$AZ$1,),)=0,#N/A,VLOOKUP(A75,'DB Country PMI'!$A:$AZ,MATCH($A$1,'DB Country PMI'!$A$1:$AZ$1,),))</f>
        <v/>
      </c>
      <c r="C75" s="24">
        <f>Table134681112[[#This Row],[PMI]]-B74</f>
        <v/>
      </c>
      <c r="D75" s="11">
        <f>IF(VLOOKUP(Table134681112[[#This Row],[Date]],'DB Global PMI'!$A:$F,5)=0,#N/A,VLOOKUP(Table134681112[[#This Row],[Date]],'DB Global PMI'!$A:$F,5))</f>
        <v/>
      </c>
      <c r="E75" s="24">
        <f>Table134681112[[#This Row],[PMI]]-B63</f>
        <v/>
      </c>
      <c r="F75" s="52">
        <f>(Table134681112[[#This Row],[EWU]]-D63)/D63</f>
        <v/>
      </c>
    </row>
    <row r="76">
      <c r="A76" s="10" t="n">
        <v>40452</v>
      </c>
      <c r="B76" s="18">
        <f>IF(VLOOKUP(A76,'DB Country PMI'!$A:$AZ,MATCH($A$1,'DB Country PMI'!$A$1:$AZ$1,),)=0,#N/A,VLOOKUP(A76,'DB Country PMI'!$A:$AZ,MATCH($A$1,'DB Country PMI'!$A$1:$AZ$1,),))</f>
        <v/>
      </c>
      <c r="C76" s="24">
        <f>Table134681112[[#This Row],[PMI]]-B75</f>
        <v/>
      </c>
      <c r="D76" s="11">
        <f>IF(VLOOKUP(Table134681112[[#This Row],[Date]],'DB Global PMI'!$A:$F,5)=0,#N/A,VLOOKUP(Table134681112[[#This Row],[Date]],'DB Global PMI'!$A:$F,5))</f>
        <v/>
      </c>
      <c r="E76" s="24">
        <f>Table134681112[[#This Row],[PMI]]-B64</f>
        <v/>
      </c>
      <c r="F76" s="52">
        <f>(Table134681112[[#This Row],[EWU]]-D64)/D64</f>
        <v/>
      </c>
    </row>
    <row r="77">
      <c r="A77" s="10" t="n">
        <v>40483</v>
      </c>
      <c r="B77" s="18">
        <f>IF(VLOOKUP(A77,'DB Country PMI'!$A:$AZ,MATCH($A$1,'DB Country PMI'!$A$1:$AZ$1,),)=0,#N/A,VLOOKUP(A77,'DB Country PMI'!$A:$AZ,MATCH($A$1,'DB Country PMI'!$A$1:$AZ$1,),))</f>
        <v/>
      </c>
      <c r="C77" s="24">
        <f>Table134681112[[#This Row],[PMI]]-B76</f>
        <v/>
      </c>
      <c r="D77" s="11">
        <f>IF(VLOOKUP(Table134681112[[#This Row],[Date]],'DB Global PMI'!$A:$F,5)=0,#N/A,VLOOKUP(Table134681112[[#This Row],[Date]],'DB Global PMI'!$A:$F,5))</f>
        <v/>
      </c>
      <c r="E77" s="24">
        <f>Table134681112[[#This Row],[PMI]]-B65</f>
        <v/>
      </c>
      <c r="F77" s="52">
        <f>(Table134681112[[#This Row],[EWU]]-D65)/D65</f>
        <v/>
      </c>
    </row>
    <row r="78">
      <c r="A78" s="10" t="n">
        <v>40513</v>
      </c>
      <c r="B78" s="18">
        <f>IF(VLOOKUP(A78,'DB Country PMI'!$A:$AZ,MATCH($A$1,'DB Country PMI'!$A$1:$AZ$1,),)=0,#N/A,VLOOKUP(A78,'DB Country PMI'!$A:$AZ,MATCH($A$1,'DB Country PMI'!$A$1:$AZ$1,),))</f>
        <v/>
      </c>
      <c r="C78" s="24">
        <f>Table134681112[[#This Row],[PMI]]-B77</f>
        <v/>
      </c>
      <c r="D78" s="11">
        <f>IF(VLOOKUP(Table134681112[[#This Row],[Date]],'DB Global PMI'!$A:$F,5)=0,#N/A,VLOOKUP(Table134681112[[#This Row],[Date]],'DB Global PMI'!$A:$F,5))</f>
        <v/>
      </c>
      <c r="E78" s="24">
        <f>Table134681112[[#This Row],[PMI]]-B66</f>
        <v/>
      </c>
      <c r="F78" s="52">
        <f>(Table134681112[[#This Row],[EWU]]-D66)/D66</f>
        <v/>
      </c>
    </row>
    <row r="79">
      <c r="A79" s="10" t="n">
        <v>40544</v>
      </c>
      <c r="B79" s="18">
        <f>IF(VLOOKUP(A79,'DB Country PMI'!$A:$AZ,MATCH($A$1,'DB Country PMI'!$A$1:$AZ$1,),)=0,#N/A,VLOOKUP(A79,'DB Country PMI'!$A:$AZ,MATCH($A$1,'DB Country PMI'!$A$1:$AZ$1,),))</f>
        <v/>
      </c>
      <c r="C79" s="24">
        <f>Table134681112[[#This Row],[PMI]]-B78</f>
        <v/>
      </c>
      <c r="D79" s="11">
        <f>IF(VLOOKUP(Table134681112[[#This Row],[Date]],'DB Global PMI'!$A:$F,5)=0,#N/A,VLOOKUP(Table134681112[[#This Row],[Date]],'DB Global PMI'!$A:$F,5))</f>
        <v/>
      </c>
      <c r="E79" s="24">
        <f>Table134681112[[#This Row],[PMI]]-B67</f>
        <v/>
      </c>
      <c r="F79" s="52">
        <f>(Table134681112[[#This Row],[EWU]]-D67)/D67</f>
        <v/>
      </c>
    </row>
    <row r="80">
      <c r="A80" s="10" t="n">
        <v>40575</v>
      </c>
      <c r="B80" s="18">
        <f>IF(VLOOKUP(A80,'DB Country PMI'!$A:$AZ,MATCH($A$1,'DB Country PMI'!$A$1:$AZ$1,),)=0,#N/A,VLOOKUP(A80,'DB Country PMI'!$A:$AZ,MATCH($A$1,'DB Country PMI'!$A$1:$AZ$1,),))</f>
        <v/>
      </c>
      <c r="C80" s="24">
        <f>Table134681112[[#This Row],[PMI]]-B79</f>
        <v/>
      </c>
      <c r="D80" s="11">
        <f>IF(VLOOKUP(Table134681112[[#This Row],[Date]],'DB Global PMI'!$A:$F,5)=0,#N/A,VLOOKUP(Table134681112[[#This Row],[Date]],'DB Global PMI'!$A:$F,5))</f>
        <v/>
      </c>
      <c r="E80" s="24">
        <f>Table134681112[[#This Row],[PMI]]-B68</f>
        <v/>
      </c>
      <c r="F80" s="52">
        <f>(Table134681112[[#This Row],[EWU]]-D68)/D68</f>
        <v/>
      </c>
    </row>
    <row r="81">
      <c r="A81" s="10" t="n">
        <v>40603</v>
      </c>
      <c r="B81" s="18">
        <f>IF(VLOOKUP(A81,'DB Country PMI'!$A:$AZ,MATCH($A$1,'DB Country PMI'!$A$1:$AZ$1,),)=0,#N/A,VLOOKUP(A81,'DB Country PMI'!$A:$AZ,MATCH($A$1,'DB Country PMI'!$A$1:$AZ$1,),))</f>
        <v/>
      </c>
      <c r="C81" s="24">
        <f>Table134681112[[#This Row],[PMI]]-B80</f>
        <v/>
      </c>
      <c r="D81" s="11">
        <f>IF(VLOOKUP(Table134681112[[#This Row],[Date]],'DB Global PMI'!$A:$F,5)=0,#N/A,VLOOKUP(Table134681112[[#This Row],[Date]],'DB Global PMI'!$A:$F,5))</f>
        <v/>
      </c>
      <c r="E81" s="24">
        <f>Table134681112[[#This Row],[PMI]]-B69</f>
        <v/>
      </c>
      <c r="F81" s="52">
        <f>(Table134681112[[#This Row],[EWU]]-D69)/D69</f>
        <v/>
      </c>
    </row>
    <row r="82">
      <c r="A82" s="10" t="n">
        <v>40634</v>
      </c>
      <c r="B82" s="18">
        <f>IF(VLOOKUP(A82,'DB Country PMI'!$A:$AZ,MATCH($A$1,'DB Country PMI'!$A$1:$AZ$1,),)=0,#N/A,VLOOKUP(A82,'DB Country PMI'!$A:$AZ,MATCH($A$1,'DB Country PMI'!$A$1:$AZ$1,),))</f>
        <v/>
      </c>
      <c r="C82" s="24">
        <f>Table134681112[[#This Row],[PMI]]-B81</f>
        <v/>
      </c>
      <c r="D82" s="11">
        <f>IF(VLOOKUP(Table134681112[[#This Row],[Date]],'DB Global PMI'!$A:$F,5)=0,#N/A,VLOOKUP(Table134681112[[#This Row],[Date]],'DB Global PMI'!$A:$F,5))</f>
        <v/>
      </c>
      <c r="E82" s="24">
        <f>Table134681112[[#This Row],[PMI]]-B70</f>
        <v/>
      </c>
      <c r="F82" s="52">
        <f>(Table134681112[[#This Row],[EWU]]-D70)/D70</f>
        <v/>
      </c>
    </row>
    <row r="83">
      <c r="A83" s="10" t="n">
        <v>40664</v>
      </c>
      <c r="B83" s="18">
        <f>IF(VLOOKUP(A83,'DB Country PMI'!$A:$AZ,MATCH($A$1,'DB Country PMI'!$A$1:$AZ$1,),)=0,#N/A,VLOOKUP(A83,'DB Country PMI'!$A:$AZ,MATCH($A$1,'DB Country PMI'!$A$1:$AZ$1,),))</f>
        <v/>
      </c>
      <c r="C83" s="24">
        <f>Table134681112[[#This Row],[PMI]]-B82</f>
        <v/>
      </c>
      <c r="D83" s="11">
        <f>IF(VLOOKUP(Table134681112[[#This Row],[Date]],'DB Global PMI'!$A:$F,5)=0,#N/A,VLOOKUP(Table134681112[[#This Row],[Date]],'DB Global PMI'!$A:$F,5))</f>
        <v/>
      </c>
      <c r="E83" s="24">
        <f>Table134681112[[#This Row],[PMI]]-B71</f>
        <v/>
      </c>
      <c r="F83" s="52">
        <f>(Table134681112[[#This Row],[EWU]]-D71)/D71</f>
        <v/>
      </c>
    </row>
    <row r="84">
      <c r="A84" s="10" t="n">
        <v>40695</v>
      </c>
      <c r="B84" s="18">
        <f>IF(VLOOKUP(A84,'DB Country PMI'!$A:$AZ,MATCH($A$1,'DB Country PMI'!$A$1:$AZ$1,),)=0,#N/A,VLOOKUP(A84,'DB Country PMI'!$A:$AZ,MATCH($A$1,'DB Country PMI'!$A$1:$AZ$1,),))</f>
        <v/>
      </c>
      <c r="C84" s="24">
        <f>Table134681112[[#This Row],[PMI]]-B83</f>
        <v/>
      </c>
      <c r="D84" s="11">
        <f>IF(VLOOKUP(Table134681112[[#This Row],[Date]],'DB Global PMI'!$A:$F,5)=0,#N/A,VLOOKUP(Table134681112[[#This Row],[Date]],'DB Global PMI'!$A:$F,5))</f>
        <v/>
      </c>
      <c r="E84" s="24">
        <f>Table134681112[[#This Row],[PMI]]-B72</f>
        <v/>
      </c>
      <c r="F84" s="52">
        <f>(Table134681112[[#This Row],[EWU]]-D72)/D72</f>
        <v/>
      </c>
    </row>
    <row r="85">
      <c r="A85" s="10" t="n">
        <v>40725</v>
      </c>
      <c r="B85" s="18">
        <f>IF(VLOOKUP(A85,'DB Country PMI'!$A:$AZ,MATCH($A$1,'DB Country PMI'!$A$1:$AZ$1,),)=0,#N/A,VLOOKUP(A85,'DB Country PMI'!$A:$AZ,MATCH($A$1,'DB Country PMI'!$A$1:$AZ$1,),))</f>
        <v/>
      </c>
      <c r="C85" s="24">
        <f>Table134681112[[#This Row],[PMI]]-B84</f>
        <v/>
      </c>
      <c r="D85" s="11">
        <f>IF(VLOOKUP(Table134681112[[#This Row],[Date]],'DB Global PMI'!$A:$F,5)=0,#N/A,VLOOKUP(Table134681112[[#This Row],[Date]],'DB Global PMI'!$A:$F,5))</f>
        <v/>
      </c>
      <c r="E85" s="24">
        <f>Table134681112[[#This Row],[PMI]]-B73</f>
        <v/>
      </c>
      <c r="F85" s="52">
        <f>(Table134681112[[#This Row],[EWU]]-D73)/D73</f>
        <v/>
      </c>
    </row>
    <row r="86">
      <c r="A86" s="10" t="n">
        <v>40756</v>
      </c>
      <c r="B86" s="18">
        <f>IF(VLOOKUP(A86,'DB Country PMI'!$A:$AZ,MATCH($A$1,'DB Country PMI'!$A$1:$AZ$1,),)=0,#N/A,VLOOKUP(A86,'DB Country PMI'!$A:$AZ,MATCH($A$1,'DB Country PMI'!$A$1:$AZ$1,),))</f>
        <v/>
      </c>
      <c r="C86" s="24">
        <f>Table134681112[[#This Row],[PMI]]-B85</f>
        <v/>
      </c>
      <c r="D86" s="11">
        <f>IF(VLOOKUP(Table134681112[[#This Row],[Date]],'DB Global PMI'!$A:$F,5)=0,#N/A,VLOOKUP(Table134681112[[#This Row],[Date]],'DB Global PMI'!$A:$F,5))</f>
        <v/>
      </c>
      <c r="E86" s="24">
        <f>Table134681112[[#This Row],[PMI]]-B74</f>
        <v/>
      </c>
      <c r="F86" s="52">
        <f>(Table134681112[[#This Row],[EWU]]-D74)/D74</f>
        <v/>
      </c>
    </row>
    <row r="87">
      <c r="A87" s="10" t="n">
        <v>40787</v>
      </c>
      <c r="B87" s="18">
        <f>IF(VLOOKUP(A87,'DB Country PMI'!$A:$AZ,MATCH($A$1,'DB Country PMI'!$A$1:$AZ$1,),)=0,#N/A,VLOOKUP(A87,'DB Country PMI'!$A:$AZ,MATCH($A$1,'DB Country PMI'!$A$1:$AZ$1,),))</f>
        <v/>
      </c>
      <c r="C87" s="24">
        <f>Table134681112[[#This Row],[PMI]]-B86</f>
        <v/>
      </c>
      <c r="D87" s="11">
        <f>IF(VLOOKUP(Table134681112[[#This Row],[Date]],'DB Global PMI'!$A:$F,5)=0,#N/A,VLOOKUP(Table134681112[[#This Row],[Date]],'DB Global PMI'!$A:$F,5))</f>
        <v/>
      </c>
      <c r="E87" s="24">
        <f>Table134681112[[#This Row],[PMI]]-B75</f>
        <v/>
      </c>
      <c r="F87" s="52">
        <f>(Table134681112[[#This Row],[EWU]]-D75)/D75</f>
        <v/>
      </c>
    </row>
    <row r="88">
      <c r="A88" s="10" t="n">
        <v>40817</v>
      </c>
      <c r="B88" s="18">
        <f>IF(VLOOKUP(A88,'DB Country PMI'!$A:$AZ,MATCH($A$1,'DB Country PMI'!$A$1:$AZ$1,),)=0,#N/A,VLOOKUP(A88,'DB Country PMI'!$A:$AZ,MATCH($A$1,'DB Country PMI'!$A$1:$AZ$1,),))</f>
        <v/>
      </c>
      <c r="C88" s="24">
        <f>Table134681112[[#This Row],[PMI]]-B87</f>
        <v/>
      </c>
      <c r="D88" s="11">
        <f>IF(VLOOKUP(Table134681112[[#This Row],[Date]],'DB Global PMI'!$A:$F,5)=0,#N/A,VLOOKUP(Table134681112[[#This Row],[Date]],'DB Global PMI'!$A:$F,5))</f>
        <v/>
      </c>
      <c r="E88" s="24">
        <f>Table134681112[[#This Row],[PMI]]-B76</f>
        <v/>
      </c>
      <c r="F88" s="52">
        <f>(Table134681112[[#This Row],[EWU]]-D76)/D76</f>
        <v/>
      </c>
    </row>
    <row r="89">
      <c r="A89" s="10" t="n">
        <v>40848</v>
      </c>
      <c r="B89" s="18">
        <f>IF(VLOOKUP(A89,'DB Country PMI'!$A:$AZ,MATCH($A$1,'DB Country PMI'!$A$1:$AZ$1,),)=0,#N/A,VLOOKUP(A89,'DB Country PMI'!$A:$AZ,MATCH($A$1,'DB Country PMI'!$A$1:$AZ$1,),))</f>
        <v/>
      </c>
      <c r="C89" s="24">
        <f>Table134681112[[#This Row],[PMI]]-B88</f>
        <v/>
      </c>
      <c r="D89" s="11">
        <f>IF(VLOOKUP(Table134681112[[#This Row],[Date]],'DB Global PMI'!$A:$F,5)=0,#N/A,VLOOKUP(Table134681112[[#This Row],[Date]],'DB Global PMI'!$A:$F,5))</f>
        <v/>
      </c>
      <c r="E89" s="24">
        <f>Table134681112[[#This Row],[PMI]]-B77</f>
        <v/>
      </c>
      <c r="F89" s="52">
        <f>(Table134681112[[#This Row],[EWU]]-D77)/D77</f>
        <v/>
      </c>
    </row>
    <row r="90">
      <c r="A90" s="10" t="n">
        <v>40878</v>
      </c>
      <c r="B90" s="18">
        <f>IF(VLOOKUP(A90,'DB Country PMI'!$A:$AZ,MATCH($A$1,'DB Country PMI'!$A$1:$AZ$1,),)=0,#N/A,VLOOKUP(A90,'DB Country PMI'!$A:$AZ,MATCH($A$1,'DB Country PMI'!$A$1:$AZ$1,),))</f>
        <v/>
      </c>
      <c r="C90" s="24">
        <f>Table134681112[[#This Row],[PMI]]-B89</f>
        <v/>
      </c>
      <c r="D90" s="11">
        <f>IF(VLOOKUP(Table134681112[[#This Row],[Date]],'DB Global PMI'!$A:$F,5)=0,#N/A,VLOOKUP(Table134681112[[#This Row],[Date]],'DB Global PMI'!$A:$F,5))</f>
        <v/>
      </c>
      <c r="E90" s="24">
        <f>Table134681112[[#This Row],[PMI]]-B78</f>
        <v/>
      </c>
      <c r="F90" s="52">
        <f>(Table134681112[[#This Row],[EWU]]-D78)/D78</f>
        <v/>
      </c>
    </row>
    <row r="91">
      <c r="A91" s="10" t="n">
        <v>40909</v>
      </c>
      <c r="B91" s="18">
        <f>IF(VLOOKUP(A91,'DB Country PMI'!$A:$AZ,MATCH($A$1,'DB Country PMI'!$A$1:$AZ$1,),)=0,#N/A,VLOOKUP(A91,'DB Country PMI'!$A:$AZ,MATCH($A$1,'DB Country PMI'!$A$1:$AZ$1,),))</f>
        <v/>
      </c>
      <c r="C91" s="24">
        <f>Table134681112[[#This Row],[PMI]]-B90</f>
        <v/>
      </c>
      <c r="D91" s="11">
        <f>IF(VLOOKUP(Table134681112[[#This Row],[Date]],'DB Global PMI'!$A:$F,5)=0,#N/A,VLOOKUP(Table134681112[[#This Row],[Date]],'DB Global PMI'!$A:$F,5))</f>
        <v/>
      </c>
      <c r="E91" s="24">
        <f>Table134681112[[#This Row],[PMI]]-B79</f>
        <v/>
      </c>
      <c r="F91" s="52">
        <f>(Table134681112[[#This Row],[EWU]]-D79)/D79</f>
        <v/>
      </c>
    </row>
    <row r="92">
      <c r="A92" s="10" t="n">
        <v>40940</v>
      </c>
      <c r="B92" s="18">
        <f>IF(VLOOKUP(A92,'DB Country PMI'!$A:$AZ,MATCH($A$1,'DB Country PMI'!$A$1:$AZ$1,),)=0,#N/A,VLOOKUP(A92,'DB Country PMI'!$A:$AZ,MATCH($A$1,'DB Country PMI'!$A$1:$AZ$1,),))</f>
        <v/>
      </c>
      <c r="C92" s="24">
        <f>Table134681112[[#This Row],[PMI]]-B91</f>
        <v/>
      </c>
      <c r="D92" s="11">
        <f>IF(VLOOKUP(Table134681112[[#This Row],[Date]],'DB Global PMI'!$A:$F,5)=0,#N/A,VLOOKUP(Table134681112[[#This Row],[Date]],'DB Global PMI'!$A:$F,5))</f>
        <v/>
      </c>
      <c r="E92" s="24">
        <f>Table134681112[[#This Row],[PMI]]-B80</f>
        <v/>
      </c>
      <c r="F92" s="52">
        <f>(Table134681112[[#This Row],[EWU]]-D80)/D80</f>
        <v/>
      </c>
    </row>
    <row r="93">
      <c r="A93" s="10" t="n">
        <v>40969</v>
      </c>
      <c r="B93" s="18">
        <f>IF(VLOOKUP(A93,'DB Country PMI'!$A:$AZ,MATCH($A$1,'DB Country PMI'!$A$1:$AZ$1,),)=0,#N/A,VLOOKUP(A93,'DB Country PMI'!$A:$AZ,MATCH($A$1,'DB Country PMI'!$A$1:$AZ$1,),))</f>
        <v/>
      </c>
      <c r="C93" s="24">
        <f>Table134681112[[#This Row],[PMI]]-B92</f>
        <v/>
      </c>
      <c r="D93" s="11">
        <f>IF(VLOOKUP(Table134681112[[#This Row],[Date]],'DB Global PMI'!$A:$F,5)=0,#N/A,VLOOKUP(Table134681112[[#This Row],[Date]],'DB Global PMI'!$A:$F,5))</f>
        <v/>
      </c>
      <c r="E93" s="24">
        <f>Table134681112[[#This Row],[PMI]]-B81</f>
        <v/>
      </c>
      <c r="F93" s="52">
        <f>(Table134681112[[#This Row],[EWU]]-D81)/D81</f>
        <v/>
      </c>
    </row>
    <row r="94">
      <c r="A94" s="10" t="n">
        <v>41000</v>
      </c>
      <c r="B94" s="18">
        <f>IF(VLOOKUP(A94,'DB Country PMI'!$A:$AZ,MATCH($A$1,'DB Country PMI'!$A$1:$AZ$1,),)=0,#N/A,VLOOKUP(A94,'DB Country PMI'!$A:$AZ,MATCH($A$1,'DB Country PMI'!$A$1:$AZ$1,),))</f>
        <v/>
      </c>
      <c r="C94" s="24">
        <f>Table134681112[[#This Row],[PMI]]-B93</f>
        <v/>
      </c>
      <c r="D94" s="11">
        <f>IF(VLOOKUP(Table134681112[[#This Row],[Date]],'DB Global PMI'!$A:$F,5)=0,#N/A,VLOOKUP(Table134681112[[#This Row],[Date]],'DB Global PMI'!$A:$F,5))</f>
        <v/>
      </c>
      <c r="E94" s="24">
        <f>Table134681112[[#This Row],[PMI]]-B82</f>
        <v/>
      </c>
      <c r="F94" s="52">
        <f>(Table134681112[[#This Row],[EWU]]-D82)/D82</f>
        <v/>
      </c>
    </row>
    <row r="95">
      <c r="A95" s="10" t="n">
        <v>41030</v>
      </c>
      <c r="B95" s="18">
        <f>IF(VLOOKUP(A95,'DB Country PMI'!$A:$AZ,MATCH($A$1,'DB Country PMI'!$A$1:$AZ$1,),)=0,#N/A,VLOOKUP(A95,'DB Country PMI'!$A:$AZ,MATCH($A$1,'DB Country PMI'!$A$1:$AZ$1,),))</f>
        <v/>
      </c>
      <c r="C95" s="24">
        <f>Table134681112[[#This Row],[PMI]]-B94</f>
        <v/>
      </c>
      <c r="D95" s="11">
        <f>IF(VLOOKUP(Table134681112[[#This Row],[Date]],'DB Global PMI'!$A:$F,5)=0,#N/A,VLOOKUP(Table134681112[[#This Row],[Date]],'DB Global PMI'!$A:$F,5))</f>
        <v/>
      </c>
      <c r="E95" s="24">
        <f>Table134681112[[#This Row],[PMI]]-B83</f>
        <v/>
      </c>
      <c r="F95" s="52">
        <f>(Table134681112[[#This Row],[EWU]]-D83)/D83</f>
        <v/>
      </c>
    </row>
    <row r="96">
      <c r="A96" s="10" t="n">
        <v>41061</v>
      </c>
      <c r="B96" s="18">
        <f>IF(VLOOKUP(A96,'DB Country PMI'!$A:$AZ,MATCH($A$1,'DB Country PMI'!$A$1:$AZ$1,),)=0,#N/A,VLOOKUP(A96,'DB Country PMI'!$A:$AZ,MATCH($A$1,'DB Country PMI'!$A$1:$AZ$1,),))</f>
        <v/>
      </c>
      <c r="C96" s="24">
        <f>Table134681112[[#This Row],[PMI]]-B95</f>
        <v/>
      </c>
      <c r="D96" s="11">
        <f>IF(VLOOKUP(Table134681112[[#This Row],[Date]],'DB Global PMI'!$A:$F,5)=0,#N/A,VLOOKUP(Table134681112[[#This Row],[Date]],'DB Global PMI'!$A:$F,5))</f>
        <v/>
      </c>
      <c r="E96" s="24">
        <f>Table134681112[[#This Row],[PMI]]-B84</f>
        <v/>
      </c>
      <c r="F96" s="52">
        <f>(Table134681112[[#This Row],[EWU]]-D84)/D84</f>
        <v/>
      </c>
    </row>
    <row r="97">
      <c r="A97" s="10" t="n">
        <v>41091</v>
      </c>
      <c r="B97" s="18">
        <f>IF(VLOOKUP(A97,'DB Country PMI'!$A:$AZ,MATCH($A$1,'DB Country PMI'!$A$1:$AZ$1,),)=0,#N/A,VLOOKUP(A97,'DB Country PMI'!$A:$AZ,MATCH($A$1,'DB Country PMI'!$A$1:$AZ$1,),))</f>
        <v/>
      </c>
      <c r="C97" s="24">
        <f>Table134681112[[#This Row],[PMI]]-B96</f>
        <v/>
      </c>
      <c r="D97" s="11">
        <f>IF(VLOOKUP(Table134681112[[#This Row],[Date]],'DB Global PMI'!$A:$F,5)=0,#N/A,VLOOKUP(Table134681112[[#This Row],[Date]],'DB Global PMI'!$A:$F,5))</f>
        <v/>
      </c>
      <c r="E97" s="24">
        <f>Table134681112[[#This Row],[PMI]]-B85</f>
        <v/>
      </c>
      <c r="F97" s="52">
        <f>(Table134681112[[#This Row],[EWU]]-D85)/D85</f>
        <v/>
      </c>
    </row>
    <row r="98">
      <c r="A98" s="10" t="n">
        <v>41122</v>
      </c>
      <c r="B98" s="18">
        <f>IF(VLOOKUP(A98,'DB Country PMI'!$A:$AZ,MATCH($A$1,'DB Country PMI'!$A$1:$AZ$1,),)=0,#N/A,VLOOKUP(A98,'DB Country PMI'!$A:$AZ,MATCH($A$1,'DB Country PMI'!$A$1:$AZ$1,),))</f>
        <v/>
      </c>
      <c r="C98" s="24">
        <f>Table134681112[[#This Row],[PMI]]-B97</f>
        <v/>
      </c>
      <c r="D98" s="11">
        <f>IF(VLOOKUP(Table134681112[[#This Row],[Date]],'DB Global PMI'!$A:$F,5)=0,#N/A,VLOOKUP(Table134681112[[#This Row],[Date]],'DB Global PMI'!$A:$F,5))</f>
        <v/>
      </c>
      <c r="E98" s="24">
        <f>Table134681112[[#This Row],[PMI]]-B86</f>
        <v/>
      </c>
      <c r="F98" s="52">
        <f>(Table134681112[[#This Row],[EWU]]-D86)/D86</f>
        <v/>
      </c>
    </row>
    <row r="99">
      <c r="A99" s="10" t="n">
        <v>41153</v>
      </c>
      <c r="B99" s="18">
        <f>IF(VLOOKUP(A99,'DB Country PMI'!$A:$AZ,MATCH($A$1,'DB Country PMI'!$A$1:$AZ$1,),)=0,#N/A,VLOOKUP(A99,'DB Country PMI'!$A:$AZ,MATCH($A$1,'DB Country PMI'!$A$1:$AZ$1,),))</f>
        <v/>
      </c>
      <c r="C99" s="24">
        <f>Table134681112[[#This Row],[PMI]]-B98</f>
        <v/>
      </c>
      <c r="D99" s="11">
        <f>IF(VLOOKUP(Table134681112[[#This Row],[Date]],'DB Global PMI'!$A:$F,5)=0,#N/A,VLOOKUP(Table134681112[[#This Row],[Date]],'DB Global PMI'!$A:$F,5))</f>
        <v/>
      </c>
      <c r="E99" s="24">
        <f>Table134681112[[#This Row],[PMI]]-B87</f>
        <v/>
      </c>
      <c r="F99" s="52">
        <f>(Table134681112[[#This Row],[EWU]]-D87)/D87</f>
        <v/>
      </c>
    </row>
    <row r="100">
      <c r="A100" s="10" t="n">
        <v>41183</v>
      </c>
      <c r="B100" s="18">
        <f>IF(VLOOKUP(A100,'DB Country PMI'!$A:$AZ,MATCH($A$1,'DB Country PMI'!$A$1:$AZ$1,),)=0,#N/A,VLOOKUP(A100,'DB Country PMI'!$A:$AZ,MATCH($A$1,'DB Country PMI'!$A$1:$AZ$1,),))</f>
        <v/>
      </c>
      <c r="C100" s="24">
        <f>Table134681112[[#This Row],[PMI]]-B99</f>
        <v/>
      </c>
      <c r="D100" s="11">
        <f>IF(VLOOKUP(Table134681112[[#This Row],[Date]],'DB Global PMI'!$A:$F,5)=0,#N/A,VLOOKUP(Table134681112[[#This Row],[Date]],'DB Global PMI'!$A:$F,5))</f>
        <v/>
      </c>
      <c r="E100" s="24">
        <f>Table134681112[[#This Row],[PMI]]-B88</f>
        <v/>
      </c>
      <c r="F100" s="52">
        <f>(Table134681112[[#This Row],[EWU]]-D88)/D88</f>
        <v/>
      </c>
    </row>
    <row r="101">
      <c r="A101" s="10" t="n">
        <v>41214</v>
      </c>
      <c r="B101" s="18">
        <f>IF(VLOOKUP(A101,'DB Country PMI'!$A:$AZ,MATCH($A$1,'DB Country PMI'!$A$1:$AZ$1,),)=0,#N/A,VLOOKUP(A101,'DB Country PMI'!$A:$AZ,MATCH($A$1,'DB Country PMI'!$A$1:$AZ$1,),))</f>
        <v/>
      </c>
      <c r="C101" s="24">
        <f>Table134681112[[#This Row],[PMI]]-B100</f>
        <v/>
      </c>
      <c r="D101" s="11">
        <f>IF(VLOOKUP(Table134681112[[#This Row],[Date]],'DB Global PMI'!$A:$F,5)=0,#N/A,VLOOKUP(Table134681112[[#This Row],[Date]],'DB Global PMI'!$A:$F,5))</f>
        <v/>
      </c>
      <c r="E101" s="24">
        <f>Table134681112[[#This Row],[PMI]]-B89</f>
        <v/>
      </c>
      <c r="F101" s="52">
        <f>(Table134681112[[#This Row],[EWU]]-D89)/D89</f>
        <v/>
      </c>
    </row>
    <row r="102">
      <c r="A102" s="10" t="n">
        <v>41244</v>
      </c>
      <c r="B102" s="18">
        <f>IF(VLOOKUP(A102,'DB Country PMI'!$A:$AZ,MATCH($A$1,'DB Country PMI'!$A$1:$AZ$1,),)=0,#N/A,VLOOKUP(A102,'DB Country PMI'!$A:$AZ,MATCH($A$1,'DB Country PMI'!$A$1:$AZ$1,),))</f>
        <v/>
      </c>
      <c r="C102" s="24">
        <f>Table134681112[[#This Row],[PMI]]-B101</f>
        <v/>
      </c>
      <c r="D102" s="11">
        <f>IF(VLOOKUP(Table134681112[[#This Row],[Date]],'DB Global PMI'!$A:$F,5)=0,#N/A,VLOOKUP(Table134681112[[#This Row],[Date]],'DB Global PMI'!$A:$F,5))</f>
        <v/>
      </c>
      <c r="E102" s="24">
        <f>Table134681112[[#This Row],[PMI]]-B90</f>
        <v/>
      </c>
      <c r="F102" s="52">
        <f>(Table134681112[[#This Row],[EWU]]-D90)/D90</f>
        <v/>
      </c>
    </row>
    <row r="103">
      <c r="A103" s="10" t="n">
        <v>41275</v>
      </c>
      <c r="B103" s="18">
        <f>IF(VLOOKUP(A103,'DB Country PMI'!$A:$AZ,MATCH($A$1,'DB Country PMI'!$A$1:$AZ$1,),)=0,#N/A,VLOOKUP(A103,'DB Country PMI'!$A:$AZ,MATCH($A$1,'DB Country PMI'!$A$1:$AZ$1,),))</f>
        <v/>
      </c>
      <c r="C103" s="24">
        <f>Table134681112[[#This Row],[PMI]]-B102</f>
        <v/>
      </c>
      <c r="D103" s="11">
        <f>IF(VLOOKUP(Table134681112[[#This Row],[Date]],'DB Global PMI'!$A:$F,5)=0,#N/A,VLOOKUP(Table134681112[[#This Row],[Date]],'DB Global PMI'!$A:$F,5))</f>
        <v/>
      </c>
      <c r="E103" s="24">
        <f>Table134681112[[#This Row],[PMI]]-B91</f>
        <v/>
      </c>
      <c r="F103" s="52">
        <f>(Table134681112[[#This Row],[EWU]]-D91)/D91</f>
        <v/>
      </c>
    </row>
    <row r="104">
      <c r="A104" s="10" t="n">
        <v>41306</v>
      </c>
      <c r="B104" s="18">
        <f>IF(VLOOKUP(A104,'DB Country PMI'!$A:$AZ,MATCH($A$1,'DB Country PMI'!$A$1:$AZ$1,),)=0,#N/A,VLOOKUP(A104,'DB Country PMI'!$A:$AZ,MATCH($A$1,'DB Country PMI'!$A$1:$AZ$1,),))</f>
        <v/>
      </c>
      <c r="C104" s="24">
        <f>Table134681112[[#This Row],[PMI]]-B103</f>
        <v/>
      </c>
      <c r="D104" s="11">
        <f>IF(VLOOKUP(Table134681112[[#This Row],[Date]],'DB Global PMI'!$A:$F,5)=0,#N/A,VLOOKUP(Table134681112[[#This Row],[Date]],'DB Global PMI'!$A:$F,5))</f>
        <v/>
      </c>
      <c r="E104" s="24">
        <f>Table134681112[[#This Row],[PMI]]-B92</f>
        <v/>
      </c>
      <c r="F104" s="52">
        <f>(Table134681112[[#This Row],[EWU]]-D92)/D92</f>
        <v/>
      </c>
    </row>
    <row r="105">
      <c r="A105" s="10" t="n">
        <v>41334</v>
      </c>
      <c r="B105" s="18">
        <f>IF(VLOOKUP(A105,'DB Country PMI'!$A:$AZ,MATCH($A$1,'DB Country PMI'!$A$1:$AZ$1,),)=0,#N/A,VLOOKUP(A105,'DB Country PMI'!$A:$AZ,MATCH($A$1,'DB Country PMI'!$A$1:$AZ$1,),))</f>
        <v/>
      </c>
      <c r="C105" s="24">
        <f>Table134681112[[#This Row],[PMI]]-B104</f>
        <v/>
      </c>
      <c r="D105" s="11">
        <f>IF(VLOOKUP(Table134681112[[#This Row],[Date]],'DB Global PMI'!$A:$F,5)=0,#N/A,VLOOKUP(Table134681112[[#This Row],[Date]],'DB Global PMI'!$A:$F,5))</f>
        <v/>
      </c>
      <c r="E105" s="24">
        <f>Table134681112[[#This Row],[PMI]]-B93</f>
        <v/>
      </c>
      <c r="F105" s="52">
        <f>(Table134681112[[#This Row],[EWU]]-D93)/D93</f>
        <v/>
      </c>
    </row>
    <row r="106">
      <c r="A106" s="10" t="n">
        <v>41365</v>
      </c>
      <c r="B106" s="18">
        <f>IF(VLOOKUP(A106,'DB Country PMI'!$A:$AZ,MATCH($A$1,'DB Country PMI'!$A$1:$AZ$1,),)=0,#N/A,VLOOKUP(A106,'DB Country PMI'!$A:$AZ,MATCH($A$1,'DB Country PMI'!$A$1:$AZ$1,),))</f>
        <v/>
      </c>
      <c r="C106" s="24">
        <f>Table134681112[[#This Row],[PMI]]-B105</f>
        <v/>
      </c>
      <c r="D106" s="11">
        <f>IF(VLOOKUP(Table134681112[[#This Row],[Date]],'DB Global PMI'!$A:$F,5)=0,#N/A,VLOOKUP(Table134681112[[#This Row],[Date]],'DB Global PMI'!$A:$F,5))</f>
        <v/>
      </c>
      <c r="E106" s="24">
        <f>Table134681112[[#This Row],[PMI]]-B94</f>
        <v/>
      </c>
      <c r="F106" s="52">
        <f>(Table134681112[[#This Row],[EWU]]-D94)/D94</f>
        <v/>
      </c>
    </row>
    <row r="107">
      <c r="A107" s="10" t="n">
        <v>41395</v>
      </c>
      <c r="B107" s="18">
        <f>IF(VLOOKUP(A107,'DB Country PMI'!$A:$AZ,MATCH($A$1,'DB Country PMI'!$A$1:$AZ$1,),)=0,#N/A,VLOOKUP(A107,'DB Country PMI'!$A:$AZ,MATCH($A$1,'DB Country PMI'!$A$1:$AZ$1,),))</f>
        <v/>
      </c>
      <c r="C107" s="24">
        <f>Table134681112[[#This Row],[PMI]]-B106</f>
        <v/>
      </c>
      <c r="D107" s="11">
        <f>IF(VLOOKUP(Table134681112[[#This Row],[Date]],'DB Global PMI'!$A:$F,5)=0,#N/A,VLOOKUP(Table134681112[[#This Row],[Date]],'DB Global PMI'!$A:$F,5))</f>
        <v/>
      </c>
      <c r="E107" s="24">
        <f>Table134681112[[#This Row],[PMI]]-B95</f>
        <v/>
      </c>
      <c r="F107" s="52">
        <f>(Table134681112[[#This Row],[EWU]]-D95)/D95</f>
        <v/>
      </c>
    </row>
    <row r="108">
      <c r="A108" s="10" t="n">
        <v>41426</v>
      </c>
      <c r="B108" s="18">
        <f>IF(VLOOKUP(A108,'DB Country PMI'!$A:$AZ,MATCH($A$1,'DB Country PMI'!$A$1:$AZ$1,),)=0,#N/A,VLOOKUP(A108,'DB Country PMI'!$A:$AZ,MATCH($A$1,'DB Country PMI'!$A$1:$AZ$1,),))</f>
        <v/>
      </c>
      <c r="C108" s="24">
        <f>Table134681112[[#This Row],[PMI]]-B107</f>
        <v/>
      </c>
      <c r="D108" s="11">
        <f>IF(VLOOKUP(Table134681112[[#This Row],[Date]],'DB Global PMI'!$A:$F,5)=0,#N/A,VLOOKUP(Table134681112[[#This Row],[Date]],'DB Global PMI'!$A:$F,5))</f>
        <v/>
      </c>
      <c r="E108" s="24">
        <f>Table134681112[[#This Row],[PMI]]-B96</f>
        <v/>
      </c>
      <c r="F108" s="52">
        <f>(Table134681112[[#This Row],[EWU]]-D96)/D96</f>
        <v/>
      </c>
    </row>
    <row r="109">
      <c r="A109" s="10" t="n">
        <v>41456</v>
      </c>
      <c r="B109" s="18">
        <f>IF(VLOOKUP(A109,'DB Country PMI'!$A:$AZ,MATCH($A$1,'DB Country PMI'!$A$1:$AZ$1,),)=0,#N/A,VLOOKUP(A109,'DB Country PMI'!$A:$AZ,MATCH($A$1,'DB Country PMI'!$A$1:$AZ$1,),))</f>
        <v/>
      </c>
      <c r="C109" s="24">
        <f>Table134681112[[#This Row],[PMI]]-B108</f>
        <v/>
      </c>
      <c r="D109" s="11">
        <f>IF(VLOOKUP(Table134681112[[#This Row],[Date]],'DB Global PMI'!$A:$F,5)=0,#N/A,VLOOKUP(Table134681112[[#This Row],[Date]],'DB Global PMI'!$A:$F,5))</f>
        <v/>
      </c>
      <c r="E109" s="24">
        <f>Table134681112[[#This Row],[PMI]]-B97</f>
        <v/>
      </c>
      <c r="F109" s="52">
        <f>(Table134681112[[#This Row],[EWU]]-D97)/D97</f>
        <v/>
      </c>
    </row>
    <row r="110">
      <c r="A110" s="10" t="n">
        <v>41487</v>
      </c>
      <c r="B110" s="18">
        <f>IF(VLOOKUP(A110,'DB Country PMI'!$A:$AZ,MATCH($A$1,'DB Country PMI'!$A$1:$AZ$1,),)=0,#N/A,VLOOKUP(A110,'DB Country PMI'!$A:$AZ,MATCH($A$1,'DB Country PMI'!$A$1:$AZ$1,),))</f>
        <v/>
      </c>
      <c r="C110" s="24">
        <f>Table134681112[[#This Row],[PMI]]-B109</f>
        <v/>
      </c>
      <c r="D110" s="11">
        <f>IF(VLOOKUP(Table134681112[[#This Row],[Date]],'DB Global PMI'!$A:$F,5)=0,#N/A,VLOOKUP(Table134681112[[#This Row],[Date]],'DB Global PMI'!$A:$F,5))</f>
        <v/>
      </c>
      <c r="E110" s="24">
        <f>Table134681112[[#This Row],[PMI]]-B98</f>
        <v/>
      </c>
      <c r="F110" s="52">
        <f>(Table134681112[[#This Row],[EWU]]-D98)/D98</f>
        <v/>
      </c>
    </row>
    <row r="111">
      <c r="A111" s="10" t="n">
        <v>41518</v>
      </c>
      <c r="B111" s="18">
        <f>IF(VLOOKUP(A111,'DB Country PMI'!$A:$AZ,MATCH($A$1,'DB Country PMI'!$A$1:$AZ$1,),)=0,#N/A,VLOOKUP(A111,'DB Country PMI'!$A:$AZ,MATCH($A$1,'DB Country PMI'!$A$1:$AZ$1,),))</f>
        <v/>
      </c>
      <c r="C111" s="24">
        <f>Table134681112[[#This Row],[PMI]]-B110</f>
        <v/>
      </c>
      <c r="D111" s="11">
        <f>IF(VLOOKUP(Table134681112[[#This Row],[Date]],'DB Global PMI'!$A:$F,5)=0,#N/A,VLOOKUP(Table134681112[[#This Row],[Date]],'DB Global PMI'!$A:$F,5))</f>
        <v/>
      </c>
      <c r="E111" s="24">
        <f>Table134681112[[#This Row],[PMI]]-B99</f>
        <v/>
      </c>
      <c r="F111" s="52">
        <f>(Table134681112[[#This Row],[EWU]]-D99)/D99</f>
        <v/>
      </c>
    </row>
    <row r="112">
      <c r="A112" s="10" t="n">
        <v>41548</v>
      </c>
      <c r="B112" s="18">
        <f>IF(VLOOKUP(A112,'DB Country PMI'!$A:$AZ,MATCH($A$1,'DB Country PMI'!$A$1:$AZ$1,),)=0,#N/A,VLOOKUP(A112,'DB Country PMI'!$A:$AZ,MATCH($A$1,'DB Country PMI'!$A$1:$AZ$1,),))</f>
        <v/>
      </c>
      <c r="C112" s="24">
        <f>Table134681112[[#This Row],[PMI]]-B111</f>
        <v/>
      </c>
      <c r="D112" s="11">
        <f>IF(VLOOKUP(Table134681112[[#This Row],[Date]],'DB Global PMI'!$A:$F,5)=0,#N/A,VLOOKUP(Table134681112[[#This Row],[Date]],'DB Global PMI'!$A:$F,5))</f>
        <v/>
      </c>
      <c r="E112" s="24">
        <f>Table134681112[[#This Row],[PMI]]-B100</f>
        <v/>
      </c>
      <c r="F112" s="52">
        <f>(Table134681112[[#This Row],[EWU]]-D100)/D100</f>
        <v/>
      </c>
    </row>
    <row r="113">
      <c r="A113" s="10" t="n">
        <v>41579</v>
      </c>
      <c r="B113" s="18">
        <f>IF(VLOOKUP(A113,'DB Country PMI'!$A:$AZ,MATCH($A$1,'DB Country PMI'!$A$1:$AZ$1,),)=0,#N/A,VLOOKUP(A113,'DB Country PMI'!$A:$AZ,MATCH($A$1,'DB Country PMI'!$A$1:$AZ$1,),))</f>
        <v/>
      </c>
      <c r="C113" s="24">
        <f>Table134681112[[#This Row],[PMI]]-B112</f>
        <v/>
      </c>
      <c r="D113" s="11">
        <f>IF(VLOOKUP(Table134681112[[#This Row],[Date]],'DB Global PMI'!$A:$F,5)=0,#N/A,VLOOKUP(Table134681112[[#This Row],[Date]],'DB Global PMI'!$A:$F,5))</f>
        <v/>
      </c>
      <c r="E113" s="24">
        <f>Table134681112[[#This Row],[PMI]]-B101</f>
        <v/>
      </c>
      <c r="F113" s="52">
        <f>(Table134681112[[#This Row],[EWU]]-D101)/D101</f>
        <v/>
      </c>
    </row>
    <row r="114">
      <c r="A114" s="10" t="n">
        <v>41609</v>
      </c>
      <c r="B114" s="18">
        <f>IF(VLOOKUP(A114,'DB Country PMI'!$A:$AZ,MATCH($A$1,'DB Country PMI'!$A$1:$AZ$1,),)=0,#N/A,VLOOKUP(A114,'DB Country PMI'!$A:$AZ,MATCH($A$1,'DB Country PMI'!$A$1:$AZ$1,),))</f>
        <v/>
      </c>
      <c r="C114" s="24">
        <f>Table134681112[[#This Row],[PMI]]-B113</f>
        <v/>
      </c>
      <c r="D114" s="11">
        <f>IF(VLOOKUP(Table134681112[[#This Row],[Date]],'DB Global PMI'!$A:$F,5)=0,#N/A,VLOOKUP(Table134681112[[#This Row],[Date]],'DB Global PMI'!$A:$F,5))</f>
        <v/>
      </c>
      <c r="E114" s="24">
        <f>Table134681112[[#This Row],[PMI]]-B102</f>
        <v/>
      </c>
      <c r="F114" s="52">
        <f>(Table134681112[[#This Row],[EWU]]-D102)/D102</f>
        <v/>
      </c>
    </row>
    <row r="115">
      <c r="A115" s="10" t="n">
        <v>41640</v>
      </c>
      <c r="B115" s="18">
        <f>IF(VLOOKUP(A115,'DB Country PMI'!$A:$AZ,MATCH($A$1,'DB Country PMI'!$A$1:$AZ$1,),)=0,#N/A,VLOOKUP(A115,'DB Country PMI'!$A:$AZ,MATCH($A$1,'DB Country PMI'!$A$1:$AZ$1,),))</f>
        <v/>
      </c>
      <c r="C115" s="24">
        <f>Table134681112[[#This Row],[PMI]]-B114</f>
        <v/>
      </c>
      <c r="D115" s="11">
        <f>IF(VLOOKUP(Table134681112[[#This Row],[Date]],'DB Global PMI'!$A:$F,5)=0,#N/A,VLOOKUP(Table134681112[[#This Row],[Date]],'DB Global PMI'!$A:$F,5))</f>
        <v/>
      </c>
      <c r="E115" s="24">
        <f>Table134681112[[#This Row],[PMI]]-B103</f>
        <v/>
      </c>
      <c r="F115" s="52">
        <f>(Table134681112[[#This Row],[EWU]]-D103)/D103</f>
        <v/>
      </c>
    </row>
    <row r="116">
      <c r="A116" s="10" t="n">
        <v>41671</v>
      </c>
      <c r="B116" s="18">
        <f>IF(VLOOKUP(A116,'DB Country PMI'!$A:$AZ,MATCH($A$1,'DB Country PMI'!$A$1:$AZ$1,),)=0,#N/A,VLOOKUP(A116,'DB Country PMI'!$A:$AZ,MATCH($A$1,'DB Country PMI'!$A$1:$AZ$1,),))</f>
        <v/>
      </c>
      <c r="C116" s="24">
        <f>Table134681112[[#This Row],[PMI]]-B115</f>
        <v/>
      </c>
      <c r="D116" s="11">
        <f>IF(VLOOKUP(Table134681112[[#This Row],[Date]],'DB Global PMI'!$A:$F,5)=0,#N/A,VLOOKUP(Table134681112[[#This Row],[Date]],'DB Global PMI'!$A:$F,5))</f>
        <v/>
      </c>
      <c r="E116" s="24">
        <f>Table134681112[[#This Row],[PMI]]-B104</f>
        <v/>
      </c>
      <c r="F116" s="52">
        <f>(Table134681112[[#This Row],[EWU]]-D104)/D104</f>
        <v/>
      </c>
    </row>
    <row r="117">
      <c r="A117" s="10" t="n">
        <v>41699</v>
      </c>
      <c r="B117" s="18">
        <f>IF(VLOOKUP(A117,'DB Country PMI'!$A:$AZ,MATCH($A$1,'DB Country PMI'!$A$1:$AZ$1,),)=0,#N/A,VLOOKUP(A117,'DB Country PMI'!$A:$AZ,MATCH($A$1,'DB Country PMI'!$A$1:$AZ$1,),))</f>
        <v/>
      </c>
      <c r="C117" s="24">
        <f>Table134681112[[#This Row],[PMI]]-B116</f>
        <v/>
      </c>
      <c r="D117" s="11">
        <f>IF(VLOOKUP(Table134681112[[#This Row],[Date]],'DB Global PMI'!$A:$F,5)=0,#N/A,VLOOKUP(Table134681112[[#This Row],[Date]],'DB Global PMI'!$A:$F,5))</f>
        <v/>
      </c>
      <c r="E117" s="24">
        <f>Table134681112[[#This Row],[PMI]]-B105</f>
        <v/>
      </c>
      <c r="F117" s="52">
        <f>(Table134681112[[#This Row],[EWU]]-D105)/D105</f>
        <v/>
      </c>
    </row>
    <row r="118">
      <c r="A118" s="10" t="n">
        <v>41730</v>
      </c>
      <c r="B118" s="18">
        <f>IF(VLOOKUP(A118,'DB Country PMI'!$A:$AZ,MATCH($A$1,'DB Country PMI'!$A$1:$AZ$1,),)=0,#N/A,VLOOKUP(A118,'DB Country PMI'!$A:$AZ,MATCH($A$1,'DB Country PMI'!$A$1:$AZ$1,),))</f>
        <v/>
      </c>
      <c r="C118" s="24">
        <f>Table134681112[[#This Row],[PMI]]-B117</f>
        <v/>
      </c>
      <c r="D118" s="11">
        <f>IF(VLOOKUP(Table134681112[[#This Row],[Date]],'DB Global PMI'!$A:$F,5)=0,#N/A,VLOOKUP(Table134681112[[#This Row],[Date]],'DB Global PMI'!$A:$F,5))</f>
        <v/>
      </c>
      <c r="E118" s="24">
        <f>Table134681112[[#This Row],[PMI]]-B106</f>
        <v/>
      </c>
      <c r="F118" s="52">
        <f>(Table134681112[[#This Row],[EWU]]-D106)/D106</f>
        <v/>
      </c>
    </row>
    <row r="119">
      <c r="A119" s="10" t="n">
        <v>41760</v>
      </c>
      <c r="B119" s="18">
        <f>IF(VLOOKUP(A119,'DB Country PMI'!$A:$AZ,MATCH($A$1,'DB Country PMI'!$A$1:$AZ$1,),)=0,#N/A,VLOOKUP(A119,'DB Country PMI'!$A:$AZ,MATCH($A$1,'DB Country PMI'!$A$1:$AZ$1,),))</f>
        <v/>
      </c>
      <c r="C119" s="24">
        <f>Table134681112[[#This Row],[PMI]]-B118</f>
        <v/>
      </c>
      <c r="D119" s="11">
        <f>IF(VLOOKUP(Table134681112[[#This Row],[Date]],'DB Global PMI'!$A:$F,5)=0,#N/A,VLOOKUP(Table134681112[[#This Row],[Date]],'DB Global PMI'!$A:$F,5))</f>
        <v/>
      </c>
      <c r="E119" s="24">
        <f>Table134681112[[#This Row],[PMI]]-B107</f>
        <v/>
      </c>
      <c r="F119" s="52">
        <f>(Table134681112[[#This Row],[EWU]]-D107)/D107</f>
        <v/>
      </c>
    </row>
    <row r="120">
      <c r="A120" s="10" t="n">
        <v>41791</v>
      </c>
      <c r="B120" s="18">
        <f>IF(VLOOKUP(A120,'DB Country PMI'!$A:$AZ,MATCH($A$1,'DB Country PMI'!$A$1:$AZ$1,),)=0,#N/A,VLOOKUP(A120,'DB Country PMI'!$A:$AZ,MATCH($A$1,'DB Country PMI'!$A$1:$AZ$1,),))</f>
        <v/>
      </c>
      <c r="C120" s="24">
        <f>Table134681112[[#This Row],[PMI]]-B119</f>
        <v/>
      </c>
      <c r="D120" s="11">
        <f>IF(VLOOKUP(Table134681112[[#This Row],[Date]],'DB Global PMI'!$A:$F,5)=0,#N/A,VLOOKUP(Table134681112[[#This Row],[Date]],'DB Global PMI'!$A:$F,5))</f>
        <v/>
      </c>
      <c r="E120" s="24">
        <f>Table134681112[[#This Row],[PMI]]-B108</f>
        <v/>
      </c>
      <c r="F120" s="52">
        <f>(Table134681112[[#This Row],[EWU]]-D108)/D108</f>
        <v/>
      </c>
    </row>
    <row r="121">
      <c r="A121" s="10" t="n">
        <v>41821</v>
      </c>
      <c r="B121" s="18">
        <f>IF(VLOOKUP(A121,'DB Country PMI'!$A:$AZ,MATCH($A$1,'DB Country PMI'!$A$1:$AZ$1,),)=0,#N/A,VLOOKUP(A121,'DB Country PMI'!$A:$AZ,MATCH($A$1,'DB Country PMI'!$A$1:$AZ$1,),))</f>
        <v/>
      </c>
      <c r="C121" s="24">
        <f>Table134681112[[#This Row],[PMI]]-B120</f>
        <v/>
      </c>
      <c r="D121" s="11">
        <f>IF(VLOOKUP(Table134681112[[#This Row],[Date]],'DB Global PMI'!$A:$F,5)=0,#N/A,VLOOKUP(Table134681112[[#This Row],[Date]],'DB Global PMI'!$A:$F,5))</f>
        <v/>
      </c>
      <c r="E121" s="24">
        <f>Table134681112[[#This Row],[PMI]]-B109</f>
        <v/>
      </c>
      <c r="F121" s="52">
        <f>(Table134681112[[#This Row],[EWU]]-D109)/D109</f>
        <v/>
      </c>
    </row>
    <row r="122">
      <c r="A122" s="10" t="n">
        <v>41852</v>
      </c>
      <c r="B122" s="18">
        <f>IF(VLOOKUP(A122,'DB Country PMI'!$A:$AZ,MATCH($A$1,'DB Country PMI'!$A$1:$AZ$1,),)=0,#N/A,VLOOKUP(A122,'DB Country PMI'!$A:$AZ,MATCH($A$1,'DB Country PMI'!$A$1:$AZ$1,),))</f>
        <v/>
      </c>
      <c r="C122" s="24">
        <f>Table134681112[[#This Row],[PMI]]-B121</f>
        <v/>
      </c>
      <c r="D122" s="11">
        <f>IF(VLOOKUP(Table134681112[[#This Row],[Date]],'DB Global PMI'!$A:$F,5)=0,#N/A,VLOOKUP(Table134681112[[#This Row],[Date]],'DB Global PMI'!$A:$F,5))</f>
        <v/>
      </c>
      <c r="E122" s="24">
        <f>Table134681112[[#This Row],[PMI]]-B110</f>
        <v/>
      </c>
      <c r="F122" s="52">
        <f>(Table134681112[[#This Row],[EWU]]-D110)/D110</f>
        <v/>
      </c>
    </row>
    <row r="123">
      <c r="A123" s="10" t="n">
        <v>41883</v>
      </c>
      <c r="B123" s="18">
        <f>IF(VLOOKUP(A123,'DB Country PMI'!$A:$AZ,MATCH($A$1,'DB Country PMI'!$A$1:$AZ$1,),)=0,#N/A,VLOOKUP(A123,'DB Country PMI'!$A:$AZ,MATCH($A$1,'DB Country PMI'!$A$1:$AZ$1,),))</f>
        <v/>
      </c>
      <c r="C123" s="24">
        <f>Table134681112[[#This Row],[PMI]]-B122</f>
        <v/>
      </c>
      <c r="D123" s="11">
        <f>IF(VLOOKUP(Table134681112[[#This Row],[Date]],'DB Global PMI'!$A:$F,5)=0,#N/A,VLOOKUP(Table134681112[[#This Row],[Date]],'DB Global PMI'!$A:$F,5))</f>
        <v/>
      </c>
      <c r="E123" s="24">
        <f>Table134681112[[#This Row],[PMI]]-B111</f>
        <v/>
      </c>
      <c r="F123" s="52">
        <f>(Table134681112[[#This Row],[EWU]]-D111)/D111</f>
        <v/>
      </c>
    </row>
    <row r="124">
      <c r="A124" s="10" t="n">
        <v>41913</v>
      </c>
      <c r="B124" s="18">
        <f>IF(VLOOKUP(A124,'DB Country PMI'!$A:$AZ,MATCH($A$1,'DB Country PMI'!$A$1:$AZ$1,),)=0,#N/A,VLOOKUP(A124,'DB Country PMI'!$A:$AZ,MATCH($A$1,'DB Country PMI'!$A$1:$AZ$1,),))</f>
        <v/>
      </c>
      <c r="C124" s="24">
        <f>Table134681112[[#This Row],[PMI]]-B123</f>
        <v/>
      </c>
      <c r="D124" s="11">
        <f>IF(VLOOKUP(Table134681112[[#This Row],[Date]],'DB Global PMI'!$A:$F,5)=0,#N/A,VLOOKUP(Table134681112[[#This Row],[Date]],'DB Global PMI'!$A:$F,5))</f>
        <v/>
      </c>
      <c r="E124" s="24">
        <f>Table134681112[[#This Row],[PMI]]-B112</f>
        <v/>
      </c>
      <c r="F124" s="52">
        <f>(Table134681112[[#This Row],[EWU]]-D112)/D112</f>
        <v/>
      </c>
    </row>
    <row r="125">
      <c r="A125" s="10" t="n">
        <v>41944</v>
      </c>
      <c r="B125" s="18">
        <f>IF(VLOOKUP(A125,'DB Country PMI'!$A:$AZ,MATCH($A$1,'DB Country PMI'!$A$1:$AZ$1,),)=0,#N/A,VLOOKUP(A125,'DB Country PMI'!$A:$AZ,MATCH($A$1,'DB Country PMI'!$A$1:$AZ$1,),))</f>
        <v/>
      </c>
      <c r="C125" s="24">
        <f>Table134681112[[#This Row],[PMI]]-B124</f>
        <v/>
      </c>
      <c r="D125" s="11">
        <f>IF(VLOOKUP(Table134681112[[#This Row],[Date]],'DB Global PMI'!$A:$F,5)=0,#N/A,VLOOKUP(Table134681112[[#This Row],[Date]],'DB Global PMI'!$A:$F,5))</f>
        <v/>
      </c>
      <c r="E125" s="24">
        <f>Table134681112[[#This Row],[PMI]]-B113</f>
        <v/>
      </c>
      <c r="F125" s="52">
        <f>(Table134681112[[#This Row],[EWU]]-D113)/D113</f>
        <v/>
      </c>
    </row>
    <row r="126">
      <c r="A126" s="10" t="n">
        <v>41974</v>
      </c>
      <c r="B126" s="18">
        <f>IF(VLOOKUP(A126,'DB Country PMI'!$A:$AZ,MATCH($A$1,'DB Country PMI'!$A$1:$AZ$1,),)=0,#N/A,VLOOKUP(A126,'DB Country PMI'!$A:$AZ,MATCH($A$1,'DB Country PMI'!$A$1:$AZ$1,),))</f>
        <v/>
      </c>
      <c r="C126" s="24">
        <f>Table134681112[[#This Row],[PMI]]-B125</f>
        <v/>
      </c>
      <c r="D126" s="11">
        <f>IF(VLOOKUP(Table134681112[[#This Row],[Date]],'DB Global PMI'!$A:$F,5)=0,#N/A,VLOOKUP(Table134681112[[#This Row],[Date]],'DB Global PMI'!$A:$F,5))</f>
        <v/>
      </c>
      <c r="E126" s="24">
        <f>Table134681112[[#This Row],[PMI]]-B114</f>
        <v/>
      </c>
      <c r="F126" s="52">
        <f>(Table134681112[[#This Row],[EWU]]-D114)/D114</f>
        <v/>
      </c>
    </row>
    <row r="127">
      <c r="A127" s="10" t="n">
        <v>42005</v>
      </c>
      <c r="B127" s="18">
        <f>IF(VLOOKUP(A127,'DB Country PMI'!$A:$AZ,MATCH($A$1,'DB Country PMI'!$A$1:$AZ$1,),)=0,#N/A,VLOOKUP(A127,'DB Country PMI'!$A:$AZ,MATCH($A$1,'DB Country PMI'!$A$1:$AZ$1,),))</f>
        <v/>
      </c>
      <c r="C127" s="24">
        <f>Table134681112[[#This Row],[PMI]]-B126</f>
        <v/>
      </c>
      <c r="D127" s="11">
        <f>IF(VLOOKUP(Table134681112[[#This Row],[Date]],'DB Global PMI'!$A:$F,5)=0,#N/A,VLOOKUP(Table134681112[[#This Row],[Date]],'DB Global PMI'!$A:$F,5))</f>
        <v/>
      </c>
      <c r="E127" s="24">
        <f>Table134681112[[#This Row],[PMI]]-B115</f>
        <v/>
      </c>
      <c r="F127" s="52">
        <f>(Table134681112[[#This Row],[EWU]]-D115)/D115</f>
        <v/>
      </c>
    </row>
    <row r="128">
      <c r="A128" s="10" t="n">
        <v>42036</v>
      </c>
      <c r="B128" s="18">
        <f>IF(VLOOKUP(A128,'DB Country PMI'!$A:$AZ,MATCH($A$1,'DB Country PMI'!$A$1:$AZ$1,),)=0,#N/A,VLOOKUP(A128,'DB Country PMI'!$A:$AZ,MATCH($A$1,'DB Country PMI'!$A$1:$AZ$1,),))</f>
        <v/>
      </c>
      <c r="C128" s="24">
        <f>Table134681112[[#This Row],[PMI]]-B127</f>
        <v/>
      </c>
      <c r="D128" s="11">
        <f>IF(VLOOKUP(Table134681112[[#This Row],[Date]],'DB Global PMI'!$A:$F,5)=0,#N/A,VLOOKUP(Table134681112[[#This Row],[Date]],'DB Global PMI'!$A:$F,5))</f>
        <v/>
      </c>
      <c r="E128" s="24">
        <f>Table134681112[[#This Row],[PMI]]-B116</f>
        <v/>
      </c>
      <c r="F128" s="52">
        <f>(Table134681112[[#This Row],[EWU]]-D116)/D116</f>
        <v/>
      </c>
    </row>
    <row r="129">
      <c r="A129" s="10" t="n">
        <v>42064</v>
      </c>
      <c r="B129" s="18">
        <f>IF(VLOOKUP(A129,'DB Country PMI'!$A:$AZ,MATCH($A$1,'DB Country PMI'!$A$1:$AZ$1,),)=0,#N/A,VLOOKUP(A129,'DB Country PMI'!$A:$AZ,MATCH($A$1,'DB Country PMI'!$A$1:$AZ$1,),))</f>
        <v/>
      </c>
      <c r="C129" s="24">
        <f>Table134681112[[#This Row],[PMI]]-B128</f>
        <v/>
      </c>
      <c r="D129" s="11">
        <f>IF(VLOOKUP(Table134681112[[#This Row],[Date]],'DB Global PMI'!$A:$F,5)=0,#N/A,VLOOKUP(Table134681112[[#This Row],[Date]],'DB Global PMI'!$A:$F,5))</f>
        <v/>
      </c>
      <c r="E129" s="24">
        <f>Table134681112[[#This Row],[PMI]]-B117</f>
        <v/>
      </c>
      <c r="F129" s="52">
        <f>(Table134681112[[#This Row],[EWU]]-D117)/D117</f>
        <v/>
      </c>
    </row>
    <row r="130">
      <c r="A130" s="10" t="n">
        <v>42095</v>
      </c>
      <c r="B130" s="18">
        <f>IF(VLOOKUP(A130,'DB Country PMI'!$A:$AZ,MATCH($A$1,'DB Country PMI'!$A$1:$AZ$1,),)=0,#N/A,VLOOKUP(A130,'DB Country PMI'!$A:$AZ,MATCH($A$1,'DB Country PMI'!$A$1:$AZ$1,),))</f>
        <v/>
      </c>
      <c r="C130" s="24">
        <f>Table134681112[[#This Row],[PMI]]-B129</f>
        <v/>
      </c>
      <c r="D130" s="11">
        <f>IF(VLOOKUP(Table134681112[[#This Row],[Date]],'DB Global PMI'!$A:$F,5)=0,#N/A,VLOOKUP(Table134681112[[#This Row],[Date]],'DB Global PMI'!$A:$F,5))</f>
        <v/>
      </c>
      <c r="E130" s="24">
        <f>Table134681112[[#This Row],[PMI]]-B118</f>
        <v/>
      </c>
      <c r="F130" s="52">
        <f>(Table134681112[[#This Row],[EWU]]-D118)/D118</f>
        <v/>
      </c>
    </row>
    <row r="131">
      <c r="A131" s="10" t="n">
        <v>42125</v>
      </c>
      <c r="B131" s="18">
        <f>IF(VLOOKUP(A131,'DB Country PMI'!$A:$AZ,MATCH($A$1,'DB Country PMI'!$A$1:$AZ$1,),)=0,#N/A,VLOOKUP(A131,'DB Country PMI'!$A:$AZ,MATCH($A$1,'DB Country PMI'!$A$1:$AZ$1,),))</f>
        <v/>
      </c>
      <c r="C131" s="24">
        <f>Table134681112[[#This Row],[PMI]]-B130</f>
        <v/>
      </c>
      <c r="D131" s="11">
        <f>IF(VLOOKUP(Table134681112[[#This Row],[Date]],'DB Global PMI'!$A:$F,5)=0,#N/A,VLOOKUP(Table134681112[[#This Row],[Date]],'DB Global PMI'!$A:$F,5))</f>
        <v/>
      </c>
      <c r="E131" s="24">
        <f>Table134681112[[#This Row],[PMI]]-B119</f>
        <v/>
      </c>
      <c r="F131" s="52">
        <f>(Table134681112[[#This Row],[EWU]]-D119)/D119</f>
        <v/>
      </c>
    </row>
    <row r="132">
      <c r="A132" s="10" t="n">
        <v>42156</v>
      </c>
      <c r="B132" s="18">
        <f>IF(VLOOKUP(A132,'DB Country PMI'!$A:$AZ,MATCH($A$1,'DB Country PMI'!$A$1:$AZ$1,),)=0,#N/A,VLOOKUP(A132,'DB Country PMI'!$A:$AZ,MATCH($A$1,'DB Country PMI'!$A$1:$AZ$1,),))</f>
        <v/>
      </c>
      <c r="C132" s="24">
        <f>Table134681112[[#This Row],[PMI]]-B131</f>
        <v/>
      </c>
      <c r="D132" s="11">
        <f>IF(VLOOKUP(Table134681112[[#This Row],[Date]],'DB Global PMI'!$A:$F,5)=0,#N/A,VLOOKUP(Table134681112[[#This Row],[Date]],'DB Global PMI'!$A:$F,5))</f>
        <v/>
      </c>
      <c r="E132" s="24">
        <f>Table134681112[[#This Row],[PMI]]-B120</f>
        <v/>
      </c>
      <c r="F132" s="52">
        <f>(Table134681112[[#This Row],[EWU]]-D120)/D120</f>
        <v/>
      </c>
    </row>
    <row r="133">
      <c r="A133" s="10" t="n">
        <v>42186</v>
      </c>
      <c r="B133" s="18">
        <f>IF(VLOOKUP(A133,'DB Country PMI'!$A:$AZ,MATCH($A$1,'DB Country PMI'!$A$1:$AZ$1,),)=0,#N/A,VLOOKUP(A133,'DB Country PMI'!$A:$AZ,MATCH($A$1,'DB Country PMI'!$A$1:$AZ$1,),))</f>
        <v/>
      </c>
      <c r="C133" s="24">
        <f>Table134681112[[#This Row],[PMI]]-B132</f>
        <v/>
      </c>
      <c r="D133" s="11">
        <f>IF(VLOOKUP(Table134681112[[#This Row],[Date]],'DB Global PMI'!$A:$F,5)=0,#N/A,VLOOKUP(Table134681112[[#This Row],[Date]],'DB Global PMI'!$A:$F,5))</f>
        <v/>
      </c>
      <c r="E133" s="24">
        <f>Table134681112[[#This Row],[PMI]]-B121</f>
        <v/>
      </c>
      <c r="F133" s="52">
        <f>(Table134681112[[#This Row],[EWU]]-D121)/D121</f>
        <v/>
      </c>
    </row>
    <row r="134">
      <c r="A134" s="10" t="n">
        <v>42217</v>
      </c>
      <c r="B134" s="18">
        <f>IF(VLOOKUP(A134,'DB Country PMI'!$A:$AZ,MATCH($A$1,'DB Country PMI'!$A$1:$AZ$1,),)=0,#N/A,VLOOKUP(A134,'DB Country PMI'!$A:$AZ,MATCH($A$1,'DB Country PMI'!$A$1:$AZ$1,),))</f>
        <v/>
      </c>
      <c r="C134" s="24">
        <f>Table134681112[[#This Row],[PMI]]-B133</f>
        <v/>
      </c>
      <c r="D134" s="11">
        <f>IF(VLOOKUP(Table134681112[[#This Row],[Date]],'DB Global PMI'!$A:$F,5)=0,#N/A,VLOOKUP(Table134681112[[#This Row],[Date]],'DB Global PMI'!$A:$F,5))</f>
        <v/>
      </c>
      <c r="E134" s="24">
        <f>Table134681112[[#This Row],[PMI]]-B122</f>
        <v/>
      </c>
      <c r="F134" s="52">
        <f>(Table134681112[[#This Row],[EWU]]-D122)/D122</f>
        <v/>
      </c>
    </row>
    <row r="135">
      <c r="A135" s="10" t="n">
        <v>42248</v>
      </c>
      <c r="B135" s="18">
        <f>IF(VLOOKUP(A135,'DB Country PMI'!$A:$AZ,MATCH($A$1,'DB Country PMI'!$A$1:$AZ$1,),)=0,#N/A,VLOOKUP(A135,'DB Country PMI'!$A:$AZ,MATCH($A$1,'DB Country PMI'!$A$1:$AZ$1,),))</f>
        <v/>
      </c>
      <c r="C135" s="24">
        <f>Table134681112[[#This Row],[PMI]]-B134</f>
        <v/>
      </c>
      <c r="D135" s="11">
        <f>IF(VLOOKUP(Table134681112[[#This Row],[Date]],'DB Global PMI'!$A:$F,5)=0,#N/A,VLOOKUP(Table134681112[[#This Row],[Date]],'DB Global PMI'!$A:$F,5))</f>
        <v/>
      </c>
      <c r="E135" s="24">
        <f>Table134681112[[#This Row],[PMI]]-B123</f>
        <v/>
      </c>
      <c r="F135" s="52">
        <f>(Table134681112[[#This Row],[EWU]]-D123)/D123</f>
        <v/>
      </c>
    </row>
    <row r="136">
      <c r="A136" s="10" t="n">
        <v>42278</v>
      </c>
      <c r="B136" s="18">
        <f>IF(VLOOKUP(A136,'DB Country PMI'!$A:$AZ,MATCH($A$1,'DB Country PMI'!$A$1:$AZ$1,),)=0,#N/A,VLOOKUP(A136,'DB Country PMI'!$A:$AZ,MATCH($A$1,'DB Country PMI'!$A$1:$AZ$1,),))</f>
        <v/>
      </c>
      <c r="C136" s="24">
        <f>Table134681112[[#This Row],[PMI]]-B135</f>
        <v/>
      </c>
      <c r="D136" s="11">
        <f>IF(VLOOKUP(Table134681112[[#This Row],[Date]],'DB Global PMI'!$A:$F,5)=0,#N/A,VLOOKUP(Table134681112[[#This Row],[Date]],'DB Global PMI'!$A:$F,5))</f>
        <v/>
      </c>
      <c r="E136" s="24">
        <f>Table134681112[[#This Row],[PMI]]-B124</f>
        <v/>
      </c>
      <c r="F136" s="52">
        <f>(Table134681112[[#This Row],[EWU]]-D124)/D124</f>
        <v/>
      </c>
    </row>
    <row r="137">
      <c r="A137" s="10" t="n">
        <v>42309</v>
      </c>
      <c r="B137" s="18">
        <f>IF(VLOOKUP(A137,'DB Country PMI'!$A:$AZ,MATCH($A$1,'DB Country PMI'!$A$1:$AZ$1,),)=0,#N/A,VLOOKUP(A137,'DB Country PMI'!$A:$AZ,MATCH($A$1,'DB Country PMI'!$A$1:$AZ$1,),))</f>
        <v/>
      </c>
      <c r="C137" s="24">
        <f>Table134681112[[#This Row],[PMI]]-B136</f>
        <v/>
      </c>
      <c r="D137" s="11">
        <f>IF(VLOOKUP(Table134681112[[#This Row],[Date]],'DB Global PMI'!$A:$F,5)=0,#N/A,VLOOKUP(Table134681112[[#This Row],[Date]],'DB Global PMI'!$A:$F,5))</f>
        <v/>
      </c>
      <c r="E137" s="24">
        <f>Table134681112[[#This Row],[PMI]]-B125</f>
        <v/>
      </c>
      <c r="F137" s="52">
        <f>(Table134681112[[#This Row],[EWU]]-D125)/D125</f>
        <v/>
      </c>
    </row>
    <row r="138">
      <c r="A138" s="10" t="n">
        <v>42339</v>
      </c>
      <c r="B138" s="18">
        <f>IF(VLOOKUP(A138,'DB Country PMI'!$A:$AZ,MATCH($A$1,'DB Country PMI'!$A$1:$AZ$1,),)=0,#N/A,VLOOKUP(A138,'DB Country PMI'!$A:$AZ,MATCH($A$1,'DB Country PMI'!$A$1:$AZ$1,),))</f>
        <v/>
      </c>
      <c r="C138" s="24">
        <f>Table134681112[[#This Row],[PMI]]-B137</f>
        <v/>
      </c>
      <c r="D138" s="11">
        <f>IF(VLOOKUP(Table134681112[[#This Row],[Date]],'DB Global PMI'!$A:$F,5)=0,#N/A,VLOOKUP(Table134681112[[#This Row],[Date]],'DB Global PMI'!$A:$F,5))</f>
        <v/>
      </c>
      <c r="E138" s="24">
        <f>Table134681112[[#This Row],[PMI]]-B126</f>
        <v/>
      </c>
      <c r="F138" s="52">
        <f>(Table134681112[[#This Row],[EWU]]-D126)/D126</f>
        <v/>
      </c>
    </row>
    <row r="139">
      <c r="A139" s="10" t="n">
        <v>42370</v>
      </c>
      <c r="B139" s="18">
        <f>IF(VLOOKUP(A139,'DB Country PMI'!$A:$AZ,MATCH($A$1,'DB Country PMI'!$A$1:$AZ$1,),)=0,#N/A,VLOOKUP(A139,'DB Country PMI'!$A:$AZ,MATCH($A$1,'DB Country PMI'!$A$1:$AZ$1,),))</f>
        <v/>
      </c>
      <c r="C139" s="24">
        <f>Table134681112[[#This Row],[PMI]]-B138</f>
        <v/>
      </c>
      <c r="D139" s="11">
        <f>IF(VLOOKUP(Table134681112[[#This Row],[Date]],'DB Global PMI'!$A:$F,5)=0,#N/A,VLOOKUP(Table134681112[[#This Row],[Date]],'DB Global PMI'!$A:$F,5))</f>
        <v/>
      </c>
      <c r="E139" s="24">
        <f>Table134681112[[#This Row],[PMI]]-B127</f>
        <v/>
      </c>
      <c r="F139" s="52">
        <f>(Table134681112[[#This Row],[EWU]]-D127)/D127</f>
        <v/>
      </c>
    </row>
    <row r="140">
      <c r="A140" s="10" t="n">
        <v>42401</v>
      </c>
      <c r="B140" s="18">
        <f>IF(VLOOKUP(A140,'DB Country PMI'!$A:$AZ,MATCH($A$1,'DB Country PMI'!$A$1:$AZ$1,),)=0,#N/A,VLOOKUP(A140,'DB Country PMI'!$A:$AZ,MATCH($A$1,'DB Country PMI'!$A$1:$AZ$1,),))</f>
        <v/>
      </c>
      <c r="C140" s="24">
        <f>Table134681112[[#This Row],[PMI]]-B139</f>
        <v/>
      </c>
      <c r="D140" s="11">
        <f>IF(VLOOKUP(Table134681112[[#This Row],[Date]],'DB Global PMI'!$A:$F,5)=0,#N/A,VLOOKUP(Table134681112[[#This Row],[Date]],'DB Global PMI'!$A:$F,5))</f>
        <v/>
      </c>
      <c r="E140" s="24">
        <f>Table134681112[[#This Row],[PMI]]-B128</f>
        <v/>
      </c>
      <c r="F140" s="52">
        <f>(Table134681112[[#This Row],[EWU]]-D128)/D128</f>
        <v/>
      </c>
    </row>
    <row r="141">
      <c r="A141" s="10" t="n">
        <v>42430</v>
      </c>
      <c r="B141" s="18">
        <f>IF(VLOOKUP(A141,'DB Country PMI'!$A:$AZ,MATCH($A$1,'DB Country PMI'!$A$1:$AZ$1,),)=0,#N/A,VLOOKUP(A141,'DB Country PMI'!$A:$AZ,MATCH($A$1,'DB Country PMI'!$A$1:$AZ$1,),))</f>
        <v/>
      </c>
      <c r="C141" s="24">
        <f>Table134681112[[#This Row],[PMI]]-B140</f>
        <v/>
      </c>
      <c r="D141" s="11">
        <f>IF(VLOOKUP(Table134681112[[#This Row],[Date]],'DB Global PMI'!$A:$F,5)=0,#N/A,VLOOKUP(Table134681112[[#This Row],[Date]],'DB Global PMI'!$A:$F,5))</f>
        <v/>
      </c>
      <c r="E141" s="24">
        <f>Table134681112[[#This Row],[PMI]]-B129</f>
        <v/>
      </c>
      <c r="F141" s="52">
        <f>(Table134681112[[#This Row],[EWU]]-D129)/D129</f>
        <v/>
      </c>
    </row>
    <row r="142">
      <c r="A142" s="10" t="n">
        <v>42461</v>
      </c>
      <c r="B142" s="18">
        <f>IF(VLOOKUP(A142,'DB Country PMI'!$A:$AZ,MATCH($A$1,'DB Country PMI'!$A$1:$AZ$1,),)=0,#N/A,VLOOKUP(A142,'DB Country PMI'!$A:$AZ,MATCH($A$1,'DB Country PMI'!$A$1:$AZ$1,),))</f>
        <v/>
      </c>
      <c r="C142" s="24">
        <f>Table134681112[[#This Row],[PMI]]-B141</f>
        <v/>
      </c>
      <c r="D142" s="11">
        <f>IF(VLOOKUP(Table134681112[[#This Row],[Date]],'DB Global PMI'!$A:$F,5)=0,#N/A,VLOOKUP(Table134681112[[#This Row],[Date]],'DB Global PMI'!$A:$F,5))</f>
        <v/>
      </c>
      <c r="E142" s="24">
        <f>Table134681112[[#This Row],[PMI]]-B130</f>
        <v/>
      </c>
      <c r="F142" s="52">
        <f>(Table134681112[[#This Row],[EWU]]-D130)/D130</f>
        <v/>
      </c>
    </row>
    <row r="143">
      <c r="A143" s="10" t="n">
        <v>42491</v>
      </c>
      <c r="B143" s="18">
        <f>IF(VLOOKUP(A143,'DB Country PMI'!$A:$AZ,MATCH($A$1,'DB Country PMI'!$A$1:$AZ$1,),)=0,#N/A,VLOOKUP(A143,'DB Country PMI'!$A:$AZ,MATCH($A$1,'DB Country PMI'!$A$1:$AZ$1,),))</f>
        <v/>
      </c>
      <c r="C143" s="24">
        <f>Table134681112[[#This Row],[PMI]]-B142</f>
        <v/>
      </c>
      <c r="D143" s="11">
        <f>IF(VLOOKUP(Table134681112[[#This Row],[Date]],'DB Global PMI'!$A:$F,5)=0,#N/A,VLOOKUP(Table134681112[[#This Row],[Date]],'DB Global PMI'!$A:$F,5))</f>
        <v/>
      </c>
      <c r="E143" s="24">
        <f>Table134681112[[#This Row],[PMI]]-B131</f>
        <v/>
      </c>
      <c r="F143" s="52">
        <f>(Table134681112[[#This Row],[EWU]]-D131)/D131</f>
        <v/>
      </c>
    </row>
    <row r="144">
      <c r="A144" s="10" t="n">
        <v>42522</v>
      </c>
      <c r="B144" s="18">
        <f>IF(VLOOKUP(A144,'DB Country PMI'!$A:$AZ,MATCH($A$1,'DB Country PMI'!$A$1:$AZ$1,),)=0,#N/A,VLOOKUP(A144,'DB Country PMI'!$A:$AZ,MATCH($A$1,'DB Country PMI'!$A$1:$AZ$1,),))</f>
        <v/>
      </c>
      <c r="C144" s="24">
        <f>Table134681112[[#This Row],[PMI]]-B143</f>
        <v/>
      </c>
      <c r="D144" s="11">
        <f>IF(VLOOKUP(Table134681112[[#This Row],[Date]],'DB Global PMI'!$A:$F,5)=0,#N/A,VLOOKUP(Table134681112[[#This Row],[Date]],'DB Global PMI'!$A:$F,5))</f>
        <v/>
      </c>
      <c r="E144" s="24">
        <f>Table134681112[[#This Row],[PMI]]-B132</f>
        <v/>
      </c>
      <c r="F144" s="52">
        <f>(Table134681112[[#This Row],[EWU]]-D132)/D132</f>
        <v/>
      </c>
    </row>
    <row r="145">
      <c r="A145" s="10" t="n">
        <v>42552</v>
      </c>
      <c r="B145" s="18">
        <f>IF(VLOOKUP(A145,'DB Country PMI'!$A:$AZ,MATCH($A$1,'DB Country PMI'!$A$1:$AZ$1,),)=0,#N/A,VLOOKUP(A145,'DB Country PMI'!$A:$AZ,MATCH($A$1,'DB Country PMI'!$A$1:$AZ$1,),))</f>
        <v/>
      </c>
      <c r="C145" s="24">
        <f>Table134681112[[#This Row],[PMI]]-B144</f>
        <v/>
      </c>
      <c r="D145" s="11">
        <f>IF(VLOOKUP(Table134681112[[#This Row],[Date]],'DB Global PMI'!$A:$F,5)=0,#N/A,VLOOKUP(Table134681112[[#This Row],[Date]],'DB Global PMI'!$A:$F,5))</f>
        <v/>
      </c>
      <c r="E145" s="24">
        <f>Table134681112[[#This Row],[PMI]]-B133</f>
        <v/>
      </c>
      <c r="F145" s="52">
        <f>(Table134681112[[#This Row],[EWU]]-D133)/D133</f>
        <v/>
      </c>
    </row>
    <row r="146">
      <c r="A146" s="10" t="n">
        <v>42583</v>
      </c>
      <c r="B146" s="18">
        <f>IF(VLOOKUP(A146,'DB Country PMI'!$A:$AZ,MATCH($A$1,'DB Country PMI'!$A$1:$AZ$1,),)=0,#N/A,VLOOKUP(A146,'DB Country PMI'!$A:$AZ,MATCH($A$1,'DB Country PMI'!$A$1:$AZ$1,),))</f>
        <v/>
      </c>
      <c r="C146" s="24">
        <f>Table134681112[[#This Row],[PMI]]-B145</f>
        <v/>
      </c>
      <c r="D146" s="11">
        <f>IF(VLOOKUP(Table134681112[[#This Row],[Date]],'DB Global PMI'!$A:$F,5)=0,#N/A,VLOOKUP(Table134681112[[#This Row],[Date]],'DB Global PMI'!$A:$F,5))</f>
        <v/>
      </c>
      <c r="E146" s="24">
        <f>Table134681112[[#This Row],[PMI]]-B134</f>
        <v/>
      </c>
      <c r="F146" s="52">
        <f>(Table134681112[[#This Row],[EWU]]-D134)/D134</f>
        <v/>
      </c>
    </row>
    <row r="147">
      <c r="A147" s="10" t="n">
        <v>42614</v>
      </c>
      <c r="B147" s="18">
        <f>IF(VLOOKUP(A147,'DB Country PMI'!$A:$AZ,MATCH($A$1,'DB Country PMI'!$A$1:$AZ$1,),)=0,#N/A,VLOOKUP(A147,'DB Country PMI'!$A:$AZ,MATCH($A$1,'DB Country PMI'!$A$1:$AZ$1,),))</f>
        <v/>
      </c>
      <c r="C147" s="24">
        <f>Table134681112[[#This Row],[PMI]]-B146</f>
        <v/>
      </c>
      <c r="D147" s="11">
        <f>IF(VLOOKUP(Table134681112[[#This Row],[Date]],'DB Global PMI'!$A:$F,5)=0,#N/A,VLOOKUP(Table134681112[[#This Row],[Date]],'DB Global PMI'!$A:$F,5))</f>
        <v/>
      </c>
      <c r="E147" s="24">
        <f>Table134681112[[#This Row],[PMI]]-B135</f>
        <v/>
      </c>
      <c r="F147" s="52">
        <f>(Table134681112[[#This Row],[EWU]]-D135)/D135</f>
        <v/>
      </c>
    </row>
    <row r="148">
      <c r="A148" s="10" t="n">
        <v>42644</v>
      </c>
      <c r="B148" s="18">
        <f>IF(VLOOKUP(A148,'DB Country PMI'!$A:$AZ,MATCH($A$1,'DB Country PMI'!$A$1:$AZ$1,),)=0,#N/A,VLOOKUP(A148,'DB Country PMI'!$A:$AZ,MATCH($A$1,'DB Country PMI'!$A$1:$AZ$1,),))</f>
        <v/>
      </c>
      <c r="C148" s="24">
        <f>Table134681112[[#This Row],[PMI]]-B147</f>
        <v/>
      </c>
      <c r="D148" s="11">
        <f>IF(VLOOKUP(Table134681112[[#This Row],[Date]],'DB Global PMI'!$A:$F,5)=0,#N/A,VLOOKUP(Table134681112[[#This Row],[Date]],'DB Global PMI'!$A:$F,5))</f>
        <v/>
      </c>
      <c r="E148" s="24">
        <f>Table134681112[[#This Row],[PMI]]-B136</f>
        <v/>
      </c>
      <c r="F148" s="52">
        <f>(Table134681112[[#This Row],[EWU]]-D136)/D136</f>
        <v/>
      </c>
    </row>
    <row r="149">
      <c r="A149" s="10" t="n">
        <v>42675</v>
      </c>
      <c r="B149" s="18">
        <f>IF(VLOOKUP(A149,'DB Country PMI'!$A:$AZ,MATCH($A$1,'DB Country PMI'!$A$1:$AZ$1,),)=0,#N/A,VLOOKUP(A149,'DB Country PMI'!$A:$AZ,MATCH($A$1,'DB Country PMI'!$A$1:$AZ$1,),))</f>
        <v/>
      </c>
      <c r="C149" s="24">
        <f>Table134681112[[#This Row],[PMI]]-B148</f>
        <v/>
      </c>
      <c r="D149" s="11">
        <f>IF(VLOOKUP(Table134681112[[#This Row],[Date]],'DB Global PMI'!$A:$F,5)=0,#N/A,VLOOKUP(Table134681112[[#This Row],[Date]],'DB Global PMI'!$A:$F,5))</f>
        <v/>
      </c>
      <c r="E149" s="24">
        <f>Table134681112[[#This Row],[PMI]]-B137</f>
        <v/>
      </c>
      <c r="F149" s="52">
        <f>(Table134681112[[#This Row],[EWU]]-D137)/D137</f>
        <v/>
      </c>
    </row>
    <row r="150">
      <c r="A150" s="10" t="n">
        <v>42705</v>
      </c>
      <c r="B150" s="18">
        <f>IF(VLOOKUP(A150,'DB Country PMI'!$A:$AZ,MATCH($A$1,'DB Country PMI'!$A$1:$AZ$1,),)=0,#N/A,VLOOKUP(A150,'DB Country PMI'!$A:$AZ,MATCH($A$1,'DB Country PMI'!$A$1:$AZ$1,),))</f>
        <v/>
      </c>
      <c r="C150" s="24">
        <f>Table134681112[[#This Row],[PMI]]-B149</f>
        <v/>
      </c>
      <c r="D150" s="11">
        <f>IF(VLOOKUP(Table134681112[[#This Row],[Date]],'DB Global PMI'!$A:$F,5)=0,#N/A,VLOOKUP(Table134681112[[#This Row],[Date]],'DB Global PMI'!$A:$F,5))</f>
        <v/>
      </c>
      <c r="E150" s="24">
        <f>Table134681112[[#This Row],[PMI]]-B138</f>
        <v/>
      </c>
      <c r="F150" s="52">
        <f>(Table134681112[[#This Row],[EWU]]-D138)/D138</f>
        <v/>
      </c>
    </row>
    <row r="151">
      <c r="A151" s="10" t="n">
        <v>42736</v>
      </c>
      <c r="B151" s="18">
        <f>IF(VLOOKUP(A151,'DB Country PMI'!$A:$AZ,MATCH($A$1,'DB Country PMI'!$A$1:$AZ$1,),)=0,#N/A,VLOOKUP(A151,'DB Country PMI'!$A:$AZ,MATCH($A$1,'DB Country PMI'!$A$1:$AZ$1,),))</f>
        <v/>
      </c>
      <c r="C151" s="24">
        <f>Table134681112[[#This Row],[PMI]]-B150</f>
        <v/>
      </c>
      <c r="D151" s="11">
        <f>IF(VLOOKUP(Table134681112[[#This Row],[Date]],'DB Global PMI'!$A:$F,5)=0,#N/A,VLOOKUP(Table134681112[[#This Row],[Date]],'DB Global PMI'!$A:$F,5))</f>
        <v/>
      </c>
      <c r="E151" s="24">
        <f>Table134681112[[#This Row],[PMI]]-B139</f>
        <v/>
      </c>
      <c r="F151" s="52">
        <f>(Table134681112[[#This Row],[EWU]]-D139)/D139</f>
        <v/>
      </c>
    </row>
    <row r="152">
      <c r="A152" s="10" t="n">
        <v>42767</v>
      </c>
      <c r="B152" s="18">
        <f>IF(VLOOKUP(A152,'DB Country PMI'!$A:$AZ,MATCH($A$1,'DB Country PMI'!$A$1:$AZ$1,),)=0,#N/A,VLOOKUP(A152,'DB Country PMI'!$A:$AZ,MATCH($A$1,'DB Country PMI'!$A$1:$AZ$1,),))</f>
        <v/>
      </c>
      <c r="C152" s="24">
        <f>Table134681112[[#This Row],[PMI]]-B151</f>
        <v/>
      </c>
      <c r="D152" s="11">
        <f>IF(VLOOKUP(Table134681112[[#This Row],[Date]],'DB Global PMI'!$A:$F,5)=0,#N/A,VLOOKUP(Table134681112[[#This Row],[Date]],'DB Global PMI'!$A:$F,5))</f>
        <v/>
      </c>
      <c r="E152" s="24">
        <f>Table134681112[[#This Row],[PMI]]-B140</f>
        <v/>
      </c>
      <c r="F152" s="52">
        <f>(Table134681112[[#This Row],[EWU]]-D140)/D140</f>
        <v/>
      </c>
    </row>
    <row r="153">
      <c r="A153" s="10" t="n">
        <v>42795</v>
      </c>
      <c r="B153" s="18">
        <f>IF(VLOOKUP(A153,'DB Country PMI'!$A:$AZ,MATCH($A$1,'DB Country PMI'!$A$1:$AZ$1,),)=0,#N/A,VLOOKUP(A153,'DB Country PMI'!$A:$AZ,MATCH($A$1,'DB Country PMI'!$A$1:$AZ$1,),))</f>
        <v/>
      </c>
      <c r="C153" s="24">
        <f>Table134681112[[#This Row],[PMI]]-B152</f>
        <v/>
      </c>
      <c r="D153" s="11">
        <f>IF(VLOOKUP(Table134681112[[#This Row],[Date]],'DB Global PMI'!$A:$F,5)=0,#N/A,VLOOKUP(Table134681112[[#This Row],[Date]],'DB Global PMI'!$A:$F,5))</f>
        <v/>
      </c>
      <c r="E153" s="24">
        <f>Table134681112[[#This Row],[PMI]]-B141</f>
        <v/>
      </c>
      <c r="F153" s="52">
        <f>(Table134681112[[#This Row],[EWU]]-D141)/D141</f>
        <v/>
      </c>
    </row>
    <row r="154">
      <c r="A154" s="10" t="n">
        <v>42826</v>
      </c>
      <c r="B154" s="18">
        <f>IF(VLOOKUP(A154,'DB Country PMI'!$A:$AZ,MATCH($A$1,'DB Country PMI'!$A$1:$AZ$1,),)=0,#N/A,VLOOKUP(A154,'DB Country PMI'!$A:$AZ,MATCH($A$1,'DB Country PMI'!$A$1:$AZ$1,),))</f>
        <v/>
      </c>
      <c r="C154" s="24">
        <f>Table134681112[[#This Row],[PMI]]-B153</f>
        <v/>
      </c>
      <c r="D154" s="11">
        <f>IF(VLOOKUP(Table134681112[[#This Row],[Date]],'DB Global PMI'!$A:$F,5)=0,#N/A,VLOOKUP(Table134681112[[#This Row],[Date]],'DB Global PMI'!$A:$F,5))</f>
        <v/>
      </c>
      <c r="E154" s="24">
        <f>Table134681112[[#This Row],[PMI]]-B142</f>
        <v/>
      </c>
      <c r="F154" s="52">
        <f>(Table134681112[[#This Row],[EWU]]-D142)/D142</f>
        <v/>
      </c>
    </row>
    <row r="155">
      <c r="A155" s="10" t="n">
        <v>42856</v>
      </c>
      <c r="B155" s="18">
        <f>IF(VLOOKUP(A155,'DB Country PMI'!$A:$AZ,MATCH($A$1,'DB Country PMI'!$A$1:$AZ$1,),)=0,#N/A,VLOOKUP(A155,'DB Country PMI'!$A:$AZ,MATCH($A$1,'DB Country PMI'!$A$1:$AZ$1,),))</f>
        <v/>
      </c>
      <c r="C155" s="24">
        <f>Table134681112[[#This Row],[PMI]]-B154</f>
        <v/>
      </c>
      <c r="D155" s="11">
        <f>IF(VLOOKUP(Table134681112[[#This Row],[Date]],'DB Global PMI'!$A:$F,5)=0,#N/A,VLOOKUP(Table134681112[[#This Row],[Date]],'DB Global PMI'!$A:$F,5))</f>
        <v/>
      </c>
      <c r="E155" s="24">
        <f>Table134681112[[#This Row],[PMI]]-B143</f>
        <v/>
      </c>
      <c r="F155" s="52">
        <f>(Table134681112[[#This Row],[EWU]]-D143)/D143</f>
        <v/>
      </c>
    </row>
    <row r="156">
      <c r="A156" s="10" t="n">
        <v>42887</v>
      </c>
      <c r="B156" s="18">
        <f>IF(VLOOKUP(A156,'DB Country PMI'!$A:$AZ,MATCH($A$1,'DB Country PMI'!$A$1:$AZ$1,),)=0,#N/A,VLOOKUP(A156,'DB Country PMI'!$A:$AZ,MATCH($A$1,'DB Country PMI'!$A$1:$AZ$1,),))</f>
        <v/>
      </c>
      <c r="C156" s="24">
        <f>Table134681112[[#This Row],[PMI]]-B155</f>
        <v/>
      </c>
      <c r="D156" s="11">
        <f>IF(VLOOKUP(Table134681112[[#This Row],[Date]],'DB Global PMI'!$A:$F,5)=0,#N/A,VLOOKUP(Table134681112[[#This Row],[Date]],'DB Global PMI'!$A:$F,5))</f>
        <v/>
      </c>
      <c r="E156" s="24">
        <f>Table134681112[[#This Row],[PMI]]-B144</f>
        <v/>
      </c>
      <c r="F156" s="52">
        <f>(Table134681112[[#This Row],[EWU]]-D144)/D144</f>
        <v/>
      </c>
    </row>
    <row r="157">
      <c r="A157" s="10" t="n">
        <v>42917</v>
      </c>
      <c r="B157" s="18">
        <f>IF(VLOOKUP(A157,'DB Country PMI'!$A:$AZ,MATCH($A$1,'DB Country PMI'!$A$1:$AZ$1,),)=0,#N/A,VLOOKUP(A157,'DB Country PMI'!$A:$AZ,MATCH($A$1,'DB Country PMI'!$A$1:$AZ$1,),))</f>
        <v/>
      </c>
      <c r="C157" s="24">
        <f>Table134681112[[#This Row],[PMI]]-B156</f>
        <v/>
      </c>
      <c r="D157" s="11">
        <f>IF(VLOOKUP(Table134681112[[#This Row],[Date]],'DB Global PMI'!$A:$F,5)=0,#N/A,VLOOKUP(Table134681112[[#This Row],[Date]],'DB Global PMI'!$A:$F,5))</f>
        <v/>
      </c>
      <c r="E157" s="24">
        <f>Table134681112[[#This Row],[PMI]]-B145</f>
        <v/>
      </c>
      <c r="F157" s="52">
        <f>(Table134681112[[#This Row],[EWU]]-D145)/D145</f>
        <v/>
      </c>
    </row>
    <row r="158">
      <c r="A158" s="10" t="n">
        <v>42948</v>
      </c>
      <c r="B158" s="18">
        <f>IF(VLOOKUP(A158,'DB Country PMI'!$A:$AZ,MATCH($A$1,'DB Country PMI'!$A$1:$AZ$1,),)=0,#N/A,VLOOKUP(A158,'DB Country PMI'!$A:$AZ,MATCH($A$1,'DB Country PMI'!$A$1:$AZ$1,),))</f>
        <v/>
      </c>
      <c r="C158" s="24">
        <f>Table134681112[[#This Row],[PMI]]-B157</f>
        <v/>
      </c>
      <c r="D158" s="11">
        <f>IF(VLOOKUP(Table134681112[[#This Row],[Date]],'DB Global PMI'!$A:$F,5)=0,#N/A,VLOOKUP(Table134681112[[#This Row],[Date]],'DB Global PMI'!$A:$F,5))</f>
        <v/>
      </c>
      <c r="E158" s="24">
        <f>Table134681112[[#This Row],[PMI]]-B146</f>
        <v/>
      </c>
      <c r="F158" s="52">
        <f>(Table134681112[[#This Row],[EWU]]-D146)/D146</f>
        <v/>
      </c>
    </row>
    <row r="159">
      <c r="A159" s="10" t="n">
        <v>42979</v>
      </c>
      <c r="B159" s="18">
        <f>IF(VLOOKUP(A159,'DB Country PMI'!$A:$AZ,MATCH($A$1,'DB Country PMI'!$A$1:$AZ$1,),)=0,#N/A,VLOOKUP(A159,'DB Country PMI'!$A:$AZ,MATCH($A$1,'DB Country PMI'!$A$1:$AZ$1,),))</f>
        <v/>
      </c>
      <c r="C159" s="24">
        <f>Table134681112[[#This Row],[PMI]]-B158</f>
        <v/>
      </c>
      <c r="D159" s="11">
        <f>IF(VLOOKUP(Table134681112[[#This Row],[Date]],'DB Global PMI'!$A:$F,5)=0,#N/A,VLOOKUP(Table134681112[[#This Row],[Date]],'DB Global PMI'!$A:$F,5))</f>
        <v/>
      </c>
      <c r="E159" s="24">
        <f>Table134681112[[#This Row],[PMI]]-B147</f>
        <v/>
      </c>
      <c r="F159" s="52">
        <f>(Table134681112[[#This Row],[EWU]]-D147)/D147</f>
        <v/>
      </c>
    </row>
    <row r="160">
      <c r="A160" s="10" t="n">
        <v>43009</v>
      </c>
      <c r="B160" s="18">
        <f>IF(VLOOKUP(A160,'DB Country PMI'!$A:$AZ,MATCH($A$1,'DB Country PMI'!$A$1:$AZ$1,),)=0,#N/A,VLOOKUP(A160,'DB Country PMI'!$A:$AZ,MATCH($A$1,'DB Country PMI'!$A$1:$AZ$1,),))</f>
        <v/>
      </c>
      <c r="C160" s="24">
        <f>Table134681112[[#This Row],[PMI]]-B159</f>
        <v/>
      </c>
      <c r="D160" s="11">
        <f>IF(VLOOKUP(Table134681112[[#This Row],[Date]],'DB Global PMI'!$A:$F,5)=0,#N/A,VLOOKUP(Table134681112[[#This Row],[Date]],'DB Global PMI'!$A:$F,5))</f>
        <v/>
      </c>
      <c r="E160" s="24">
        <f>Table134681112[[#This Row],[PMI]]-B148</f>
        <v/>
      </c>
      <c r="F160" s="52">
        <f>(Table134681112[[#This Row],[EWU]]-D148)/D148</f>
        <v/>
      </c>
    </row>
    <row r="161">
      <c r="A161" s="10" t="n">
        <v>43040</v>
      </c>
      <c r="B161" s="18">
        <f>IF(VLOOKUP(A161,'DB Country PMI'!$A:$AZ,MATCH($A$1,'DB Country PMI'!$A$1:$AZ$1,),)=0,#N/A,VLOOKUP(A161,'DB Country PMI'!$A:$AZ,MATCH($A$1,'DB Country PMI'!$A$1:$AZ$1,),))</f>
        <v/>
      </c>
      <c r="C161" s="24">
        <f>Table134681112[[#This Row],[PMI]]-B160</f>
        <v/>
      </c>
      <c r="D161" s="11">
        <f>IF(VLOOKUP(Table134681112[[#This Row],[Date]],'DB Global PMI'!$A:$F,5)=0,#N/A,VLOOKUP(Table134681112[[#This Row],[Date]],'DB Global PMI'!$A:$F,5))</f>
        <v/>
      </c>
      <c r="E161" s="24">
        <f>Table134681112[[#This Row],[PMI]]-B149</f>
        <v/>
      </c>
      <c r="F161" s="52">
        <f>(Table134681112[[#This Row],[EWU]]-D149)/D149</f>
        <v/>
      </c>
    </row>
    <row r="162">
      <c r="A162" s="10" t="n">
        <v>43070</v>
      </c>
      <c r="B162" s="18">
        <f>IF(VLOOKUP(A162,'DB Country PMI'!$A:$AZ,MATCH($A$1,'DB Country PMI'!$A$1:$AZ$1,),)=0,#N/A,VLOOKUP(A162,'DB Country PMI'!$A:$AZ,MATCH($A$1,'DB Country PMI'!$A$1:$AZ$1,),))</f>
        <v/>
      </c>
      <c r="C162" s="24">
        <f>Table134681112[[#This Row],[PMI]]-B161</f>
        <v/>
      </c>
      <c r="D162" s="11">
        <f>IF(VLOOKUP(Table134681112[[#This Row],[Date]],'DB Global PMI'!$A:$F,5)=0,#N/A,VLOOKUP(Table134681112[[#This Row],[Date]],'DB Global PMI'!$A:$F,5))</f>
        <v/>
      </c>
      <c r="E162" s="24">
        <f>Table134681112[[#This Row],[PMI]]-B150</f>
        <v/>
      </c>
      <c r="F162" s="52">
        <f>(Table134681112[[#This Row],[EWU]]-D150)/D150</f>
        <v/>
      </c>
    </row>
    <row r="163">
      <c r="A163" s="10" t="n">
        <v>43101</v>
      </c>
      <c r="B163" s="18">
        <f>IF(VLOOKUP(A163,'DB Country PMI'!$A:$AZ,MATCH($A$1,'DB Country PMI'!$A$1:$AZ$1,),)=0,#N/A,VLOOKUP(A163,'DB Country PMI'!$A:$AZ,MATCH($A$1,'DB Country PMI'!$A$1:$AZ$1,),))</f>
        <v/>
      </c>
      <c r="C163" s="24">
        <f>Table134681112[[#This Row],[PMI]]-B162</f>
        <v/>
      </c>
      <c r="D163" s="11">
        <f>IF(VLOOKUP(Table134681112[[#This Row],[Date]],'DB Global PMI'!$A:$F,5)=0,#N/A,VLOOKUP(Table134681112[[#This Row],[Date]],'DB Global PMI'!$A:$F,5))</f>
        <v/>
      </c>
      <c r="E163" s="24">
        <f>Table134681112[[#This Row],[PMI]]-B151</f>
        <v/>
      </c>
      <c r="F163" s="52">
        <f>(Table134681112[[#This Row],[EWU]]-D151)/D151</f>
        <v/>
      </c>
    </row>
    <row r="164">
      <c r="A164" s="10" t="n">
        <v>43132</v>
      </c>
      <c r="B164" s="18">
        <f>IF(VLOOKUP(A164,'DB Country PMI'!$A:$AZ,MATCH($A$1,'DB Country PMI'!$A$1:$AZ$1,),)=0,#N/A,VLOOKUP(A164,'DB Country PMI'!$A:$AZ,MATCH($A$1,'DB Country PMI'!$A$1:$AZ$1,),))</f>
        <v/>
      </c>
      <c r="C164" s="24">
        <f>Table134681112[[#This Row],[PMI]]-B163</f>
        <v/>
      </c>
      <c r="D164" s="11">
        <f>IF(VLOOKUP(Table134681112[[#This Row],[Date]],'DB Global PMI'!$A:$F,5)=0,#N/A,VLOOKUP(Table134681112[[#This Row],[Date]],'DB Global PMI'!$A:$F,5))</f>
        <v/>
      </c>
      <c r="E164" s="24">
        <f>Table134681112[[#This Row],[PMI]]-B152</f>
        <v/>
      </c>
      <c r="F164" s="52">
        <f>(Table134681112[[#This Row],[EWU]]-D152)/D152</f>
        <v/>
      </c>
    </row>
    <row r="165">
      <c r="A165" s="10" t="n">
        <v>43160</v>
      </c>
      <c r="B165" s="18">
        <f>IF(VLOOKUP(A165,'DB Country PMI'!$A:$AZ,MATCH($A$1,'DB Country PMI'!$A$1:$AZ$1,),)=0,#N/A,VLOOKUP(A165,'DB Country PMI'!$A:$AZ,MATCH($A$1,'DB Country PMI'!$A$1:$AZ$1,),))</f>
        <v/>
      </c>
      <c r="C165" s="24">
        <f>Table134681112[[#This Row],[PMI]]-B164</f>
        <v/>
      </c>
      <c r="D165" s="11">
        <f>IF(VLOOKUP(Table134681112[[#This Row],[Date]],'DB Global PMI'!$A:$F,5)=0,#N/A,VLOOKUP(Table134681112[[#This Row],[Date]],'DB Global PMI'!$A:$F,5))</f>
        <v/>
      </c>
      <c r="E165" s="24">
        <f>Table134681112[[#This Row],[PMI]]-B153</f>
        <v/>
      </c>
      <c r="F165" s="52">
        <f>(Table134681112[[#This Row],[EWU]]-D153)/D153</f>
        <v/>
      </c>
    </row>
    <row r="166">
      <c r="A166" s="10" t="n">
        <v>43191</v>
      </c>
      <c r="B166" s="18">
        <f>IF(VLOOKUP(A166,'DB Country PMI'!$A:$AZ,MATCH($A$1,'DB Country PMI'!$A$1:$AZ$1,),)=0,#N/A,VLOOKUP(A166,'DB Country PMI'!$A:$AZ,MATCH($A$1,'DB Country PMI'!$A$1:$AZ$1,),))</f>
        <v/>
      </c>
      <c r="C166" s="24">
        <f>Table134681112[[#This Row],[PMI]]-B165</f>
        <v/>
      </c>
      <c r="D166" s="11">
        <f>IF(VLOOKUP(Table134681112[[#This Row],[Date]],'DB Global PMI'!$A:$F,5)=0,#N/A,VLOOKUP(Table134681112[[#This Row],[Date]],'DB Global PMI'!$A:$F,5))</f>
        <v/>
      </c>
      <c r="E166" s="24">
        <f>Table134681112[[#This Row],[PMI]]-B154</f>
        <v/>
      </c>
      <c r="F166" s="52">
        <f>(Table134681112[[#This Row],[EWU]]-D154)/D154</f>
        <v/>
      </c>
    </row>
    <row r="167">
      <c r="A167" s="10" t="n">
        <v>43221</v>
      </c>
      <c r="B167" s="18">
        <f>IF(VLOOKUP(A167,'DB Country PMI'!$A:$AZ,MATCH($A$1,'DB Country PMI'!$A$1:$AZ$1,),)=0,#N/A,VLOOKUP(A167,'DB Country PMI'!$A:$AZ,MATCH($A$1,'DB Country PMI'!$A$1:$AZ$1,),))</f>
        <v/>
      </c>
      <c r="C167" s="24">
        <f>Table134681112[[#This Row],[PMI]]-B166</f>
        <v/>
      </c>
      <c r="D167" s="11">
        <f>IF(VLOOKUP(Table134681112[[#This Row],[Date]],'DB Global PMI'!$A:$F,5)=0,#N/A,VLOOKUP(Table134681112[[#This Row],[Date]],'DB Global PMI'!$A:$F,5))</f>
        <v/>
      </c>
      <c r="E167" s="24">
        <f>Table134681112[[#This Row],[PMI]]-B155</f>
        <v/>
      </c>
      <c r="F167" s="52">
        <f>(Table134681112[[#This Row],[EWU]]-D155)/D155</f>
        <v/>
      </c>
    </row>
    <row r="168">
      <c r="A168" s="10" t="n">
        <v>43252</v>
      </c>
      <c r="B168" s="18">
        <f>IF(VLOOKUP(A168,'DB Country PMI'!$A:$AZ,MATCH($A$1,'DB Country PMI'!$A$1:$AZ$1,),)=0,#N/A,VLOOKUP(A168,'DB Country PMI'!$A:$AZ,MATCH($A$1,'DB Country PMI'!$A$1:$AZ$1,),))</f>
        <v/>
      </c>
      <c r="C168" s="24">
        <f>Table134681112[[#This Row],[PMI]]-B167</f>
        <v/>
      </c>
      <c r="D168" s="11">
        <f>IF(VLOOKUP(Table134681112[[#This Row],[Date]],'DB Global PMI'!$A:$F,5)=0,#N/A,VLOOKUP(Table134681112[[#This Row],[Date]],'DB Global PMI'!$A:$F,5))</f>
        <v/>
      </c>
      <c r="E168" s="24">
        <f>Table134681112[[#This Row],[PMI]]-B156</f>
        <v/>
      </c>
      <c r="F168" s="52">
        <f>(Table134681112[[#This Row],[EWU]]-D156)/D156</f>
        <v/>
      </c>
    </row>
    <row r="169">
      <c r="A169" s="10" t="n">
        <v>43282</v>
      </c>
      <c r="B169" s="18">
        <f>IF(VLOOKUP(A169,'DB Country PMI'!$A:$AZ,MATCH($A$1,'DB Country PMI'!$A$1:$AZ$1,),)=0,#N/A,VLOOKUP(A169,'DB Country PMI'!$A:$AZ,MATCH($A$1,'DB Country PMI'!$A$1:$AZ$1,),))</f>
        <v/>
      </c>
      <c r="C169" s="24">
        <f>Table134681112[[#This Row],[PMI]]-B168</f>
        <v/>
      </c>
      <c r="D169" s="11">
        <f>IF(VLOOKUP(Table134681112[[#This Row],[Date]],'DB Global PMI'!$A:$F,5)=0,#N/A,VLOOKUP(Table134681112[[#This Row],[Date]],'DB Global PMI'!$A:$F,5))</f>
        <v/>
      </c>
      <c r="E169" s="24">
        <f>Table134681112[[#This Row],[PMI]]-B157</f>
        <v/>
      </c>
      <c r="F169" s="52">
        <f>(Table134681112[[#This Row],[EWU]]-D157)/D157</f>
        <v/>
      </c>
    </row>
    <row r="170">
      <c r="A170" s="10" t="n">
        <v>43313</v>
      </c>
      <c r="B170" s="18">
        <f>IF(VLOOKUP(A170,'DB Country PMI'!$A:$AZ,MATCH($A$1,'DB Country PMI'!$A$1:$AZ$1,),)=0,#N/A,VLOOKUP(A170,'DB Country PMI'!$A:$AZ,MATCH($A$1,'DB Country PMI'!$A$1:$AZ$1,),))</f>
        <v/>
      </c>
      <c r="C170" s="24">
        <f>Table134681112[[#This Row],[PMI]]-B169</f>
        <v/>
      </c>
      <c r="D170" s="11">
        <f>IF(VLOOKUP(Table134681112[[#This Row],[Date]],'DB Global PMI'!$A:$F,5)=0,#N/A,VLOOKUP(Table134681112[[#This Row],[Date]],'DB Global PMI'!$A:$F,5))</f>
        <v/>
      </c>
      <c r="E170" s="24">
        <f>Table134681112[[#This Row],[PMI]]-B158</f>
        <v/>
      </c>
      <c r="F170" s="52">
        <f>(Table134681112[[#This Row],[EWU]]-D158)/D158</f>
        <v/>
      </c>
    </row>
    <row r="171">
      <c r="A171" s="10" t="n">
        <v>43344</v>
      </c>
      <c r="B171" s="18">
        <f>IF(VLOOKUP(A171,'DB Country PMI'!$A:$AZ,MATCH($A$1,'DB Country PMI'!$A$1:$AZ$1,),)=0,#N/A,VLOOKUP(A171,'DB Country PMI'!$A:$AZ,MATCH($A$1,'DB Country PMI'!$A$1:$AZ$1,),))</f>
        <v/>
      </c>
      <c r="C171" s="24">
        <f>Table134681112[[#This Row],[PMI]]-B170</f>
        <v/>
      </c>
      <c r="D171" s="11">
        <f>IF(VLOOKUP(Table134681112[[#This Row],[Date]],'DB Global PMI'!$A:$F,5)=0,#N/A,VLOOKUP(Table134681112[[#This Row],[Date]],'DB Global PMI'!$A:$F,5))</f>
        <v/>
      </c>
      <c r="E171" s="24">
        <f>Table134681112[[#This Row],[PMI]]-B159</f>
        <v/>
      </c>
      <c r="F171" s="52">
        <f>(Table134681112[[#This Row],[EWU]]-D159)/D159</f>
        <v/>
      </c>
    </row>
    <row r="172">
      <c r="A172" s="10" t="n">
        <v>43374</v>
      </c>
      <c r="B172" s="18">
        <f>IF(VLOOKUP(A172,'DB Country PMI'!$A:$AZ,MATCH($A$1,'DB Country PMI'!$A$1:$AZ$1,),)=0,#N/A,VLOOKUP(A172,'DB Country PMI'!$A:$AZ,MATCH($A$1,'DB Country PMI'!$A$1:$AZ$1,),))</f>
        <v/>
      </c>
      <c r="C172" s="24">
        <f>Table134681112[[#This Row],[PMI]]-B171</f>
        <v/>
      </c>
      <c r="D172" s="11">
        <f>IF(VLOOKUP(Table134681112[[#This Row],[Date]],'DB Global PMI'!$A:$F,5)=0,#N/A,VLOOKUP(Table134681112[[#This Row],[Date]],'DB Global PMI'!$A:$F,5))</f>
        <v/>
      </c>
      <c r="E172" s="24">
        <f>Table134681112[[#This Row],[PMI]]-B160</f>
        <v/>
      </c>
      <c r="F172" s="52">
        <f>(Table134681112[[#This Row],[EWU]]-D160)/D160</f>
        <v/>
      </c>
    </row>
    <row r="173">
      <c r="A173" s="10" t="n">
        <v>43405</v>
      </c>
      <c r="B173" s="18">
        <f>IF(VLOOKUP(A173,'DB Country PMI'!$A:$AZ,MATCH($A$1,'DB Country PMI'!$A$1:$AZ$1,),)=0,#N/A,VLOOKUP(A173,'DB Country PMI'!$A:$AZ,MATCH($A$1,'DB Country PMI'!$A$1:$AZ$1,),))</f>
        <v/>
      </c>
      <c r="C173" s="24">
        <f>Table134681112[[#This Row],[PMI]]-B172</f>
        <v/>
      </c>
      <c r="D173" s="11">
        <f>IF(VLOOKUP(Table134681112[[#This Row],[Date]],'DB Global PMI'!$A:$F,5)=0,#N/A,VLOOKUP(Table134681112[[#This Row],[Date]],'DB Global PMI'!$A:$F,5))</f>
        <v/>
      </c>
      <c r="E173" s="24">
        <f>Table134681112[[#This Row],[PMI]]-B161</f>
        <v/>
      </c>
      <c r="F173" s="52">
        <f>(Table134681112[[#This Row],[EWU]]-D161)/D161</f>
        <v/>
      </c>
    </row>
    <row r="174">
      <c r="A174" s="10" t="n">
        <v>43435</v>
      </c>
      <c r="B174" s="18">
        <f>IF(VLOOKUP(A174,'DB Country PMI'!$A:$AZ,MATCH($A$1,'DB Country PMI'!$A$1:$AZ$1,),)=0,#N/A,VLOOKUP(A174,'DB Country PMI'!$A:$AZ,MATCH($A$1,'DB Country PMI'!$A$1:$AZ$1,),))</f>
        <v/>
      </c>
      <c r="C174" s="24">
        <f>Table134681112[[#This Row],[PMI]]-B173</f>
        <v/>
      </c>
      <c r="D174" s="11">
        <f>IF(VLOOKUP(Table134681112[[#This Row],[Date]],'DB Global PMI'!$A:$F,5)=0,#N/A,VLOOKUP(Table134681112[[#This Row],[Date]],'DB Global PMI'!$A:$F,5))</f>
        <v/>
      </c>
      <c r="E174" s="24">
        <f>Table134681112[[#This Row],[PMI]]-B162</f>
        <v/>
      </c>
      <c r="F174" s="52">
        <f>(Table134681112[[#This Row],[EWU]]-D162)/D162</f>
        <v/>
      </c>
    </row>
    <row r="175">
      <c r="A175" s="10" t="n">
        <v>43466</v>
      </c>
      <c r="B175" s="18">
        <f>IF(VLOOKUP(A175,'DB Country PMI'!$A:$AZ,MATCH($A$1,'DB Country PMI'!$A$1:$AZ$1,),)=0,#N/A,VLOOKUP(A175,'DB Country PMI'!$A:$AZ,MATCH($A$1,'DB Country PMI'!$A$1:$AZ$1,),))</f>
        <v/>
      </c>
      <c r="C175" s="24">
        <f>Table134681112[[#This Row],[PMI]]-B174</f>
        <v/>
      </c>
      <c r="D175" s="11">
        <f>IF(VLOOKUP(Table134681112[[#This Row],[Date]],'DB Global PMI'!$A:$F,5)=0,#N/A,VLOOKUP(Table134681112[[#This Row],[Date]],'DB Global PMI'!$A:$F,5))</f>
        <v/>
      </c>
      <c r="E175" s="24">
        <f>Table134681112[[#This Row],[PMI]]-B163</f>
        <v/>
      </c>
      <c r="F175" s="52">
        <f>(Table134681112[[#This Row],[EWU]]-D163)/D163</f>
        <v/>
      </c>
    </row>
    <row r="176">
      <c r="A176" s="10" t="n">
        <v>43497</v>
      </c>
      <c r="B176" s="18">
        <f>IF(VLOOKUP(A176,'DB Country PMI'!$A:$AZ,MATCH($A$1,'DB Country PMI'!$A$1:$AZ$1,),)=0,#N/A,VLOOKUP(A176,'DB Country PMI'!$A:$AZ,MATCH($A$1,'DB Country PMI'!$A$1:$AZ$1,),))</f>
        <v/>
      </c>
      <c r="C176" s="24">
        <f>Table134681112[[#This Row],[PMI]]-B175</f>
        <v/>
      </c>
      <c r="D176" s="11">
        <f>IF(VLOOKUP(Table134681112[[#This Row],[Date]],'DB Global PMI'!$A:$F,5)=0,#N/A,VLOOKUP(Table134681112[[#This Row],[Date]],'DB Global PMI'!$A:$F,5))</f>
        <v/>
      </c>
      <c r="E176" s="24">
        <f>Table134681112[[#This Row],[PMI]]-B164</f>
        <v/>
      </c>
      <c r="F176" s="52">
        <f>(Table134681112[[#This Row],[EWU]]-D164)/D164</f>
        <v/>
      </c>
    </row>
    <row r="177">
      <c r="A177" s="10" t="n">
        <v>43525</v>
      </c>
      <c r="B177" s="18">
        <f>IF(VLOOKUP(A177,'DB Country PMI'!$A:$AZ,MATCH($A$1,'DB Country PMI'!$A$1:$AZ$1,),)=0,#N/A,VLOOKUP(A177,'DB Country PMI'!$A:$AZ,MATCH($A$1,'DB Country PMI'!$A$1:$AZ$1,),))</f>
        <v/>
      </c>
      <c r="C177" s="24">
        <f>Table134681112[[#This Row],[PMI]]-B176</f>
        <v/>
      </c>
      <c r="D177" s="11">
        <f>IF(VLOOKUP(Table134681112[[#This Row],[Date]],'DB Global PMI'!$A:$F,5)=0,#N/A,VLOOKUP(Table134681112[[#This Row],[Date]],'DB Global PMI'!$A:$F,5))</f>
        <v/>
      </c>
      <c r="E177" s="24">
        <f>Table134681112[[#This Row],[PMI]]-B165</f>
        <v/>
      </c>
      <c r="F177" s="52">
        <f>(Table134681112[[#This Row],[EWU]]-D165)/D165</f>
        <v/>
      </c>
    </row>
    <row r="178">
      <c r="A178" s="10" t="n">
        <v>43556</v>
      </c>
      <c r="B178" s="18">
        <f>IF(VLOOKUP(A178,'DB Country PMI'!$A:$AZ,MATCH($A$1,'DB Country PMI'!$A$1:$AZ$1,),)=0,#N/A,VLOOKUP(A178,'DB Country PMI'!$A:$AZ,MATCH($A$1,'DB Country PMI'!$A$1:$AZ$1,),))</f>
        <v/>
      </c>
      <c r="C178" s="24">
        <f>Table134681112[[#This Row],[PMI]]-B177</f>
        <v/>
      </c>
      <c r="D178" s="11">
        <f>IF(VLOOKUP(Table134681112[[#This Row],[Date]],'DB Global PMI'!$A:$F,5)=0,#N/A,VLOOKUP(Table134681112[[#This Row],[Date]],'DB Global PMI'!$A:$F,5))</f>
        <v/>
      </c>
      <c r="E178" s="24">
        <f>Table134681112[[#This Row],[PMI]]-B166</f>
        <v/>
      </c>
      <c r="F178" s="52">
        <f>(Table134681112[[#This Row],[EWU]]-D166)/D166</f>
        <v/>
      </c>
    </row>
    <row r="179">
      <c r="A179" s="10" t="n">
        <v>43586</v>
      </c>
      <c r="B179" s="18">
        <f>IF(VLOOKUP(A179,'DB Country PMI'!$A:$AZ,MATCH($A$1,'DB Country PMI'!$A$1:$AZ$1,),)=0,#N/A,VLOOKUP(A179,'DB Country PMI'!$A:$AZ,MATCH($A$1,'DB Country PMI'!$A$1:$AZ$1,),))</f>
        <v/>
      </c>
      <c r="C179" s="24">
        <f>Table134681112[[#This Row],[PMI]]-B178</f>
        <v/>
      </c>
      <c r="D179" s="11">
        <f>IF(VLOOKUP(Table134681112[[#This Row],[Date]],'DB Global PMI'!$A:$F,5)=0,#N/A,VLOOKUP(Table134681112[[#This Row],[Date]],'DB Global PMI'!$A:$F,5))</f>
        <v/>
      </c>
      <c r="E179" s="24">
        <f>Table134681112[[#This Row],[PMI]]-B167</f>
        <v/>
      </c>
      <c r="F179" s="52">
        <f>(Table134681112[[#This Row],[EWU]]-D167)/D167</f>
        <v/>
      </c>
    </row>
    <row r="180">
      <c r="A180" s="10" t="n">
        <v>43617</v>
      </c>
      <c r="B180" s="18">
        <f>IF(VLOOKUP(A180,'DB Country PMI'!$A:$AZ,MATCH($A$1,'DB Country PMI'!$A$1:$AZ$1,),)=0,#N/A,VLOOKUP(A180,'DB Country PMI'!$A:$AZ,MATCH($A$1,'DB Country PMI'!$A$1:$AZ$1,),))</f>
        <v/>
      </c>
      <c r="C180" s="24">
        <f>Table134681112[[#This Row],[PMI]]-B179</f>
        <v/>
      </c>
      <c r="D180" s="11">
        <f>IF(VLOOKUP(Table134681112[[#This Row],[Date]],'DB Global PMI'!$A:$F,5)=0,#N/A,VLOOKUP(Table134681112[[#This Row],[Date]],'DB Global PMI'!$A:$F,5))</f>
        <v/>
      </c>
      <c r="E180" s="24">
        <f>Table134681112[[#This Row],[PMI]]-B168</f>
        <v/>
      </c>
      <c r="F180" s="52">
        <f>(Table134681112[[#This Row],[EWU]]-D168)/D168</f>
        <v/>
      </c>
    </row>
    <row r="181">
      <c r="A181" s="10" t="n">
        <v>43647</v>
      </c>
      <c r="B181" s="18">
        <f>IF(VLOOKUP(A181,'DB Country PMI'!$A:$AZ,MATCH($A$1,'DB Country PMI'!$A$1:$AZ$1,),)=0,#N/A,VLOOKUP(A181,'DB Country PMI'!$A:$AZ,MATCH($A$1,'DB Country PMI'!$A$1:$AZ$1,),))</f>
        <v/>
      </c>
      <c r="C181" s="24">
        <f>Table134681112[[#This Row],[PMI]]-B180</f>
        <v/>
      </c>
      <c r="D181" s="11">
        <f>IF(VLOOKUP(Table134681112[[#This Row],[Date]],'DB Global PMI'!$A:$F,5)=0,#N/A,VLOOKUP(Table134681112[[#This Row],[Date]],'DB Global PMI'!$A:$F,5))</f>
        <v/>
      </c>
      <c r="E181" s="24">
        <f>Table134681112[[#This Row],[PMI]]-B169</f>
        <v/>
      </c>
      <c r="F181" s="52">
        <f>(Table134681112[[#This Row],[EWU]]-D169)/D169</f>
        <v/>
      </c>
    </row>
    <row r="182">
      <c r="A182" s="10" t="n">
        <v>43678</v>
      </c>
      <c r="B182" s="18">
        <f>IF(VLOOKUP(A182,'DB Country PMI'!$A:$AZ,MATCH($A$1,'DB Country PMI'!$A$1:$AZ$1,),)=0,#N/A,VLOOKUP(A182,'DB Country PMI'!$A:$AZ,MATCH($A$1,'DB Country PMI'!$A$1:$AZ$1,),))</f>
        <v/>
      </c>
      <c r="C182" s="24">
        <f>Table134681112[[#This Row],[PMI]]-B181</f>
        <v/>
      </c>
      <c r="D182" s="11">
        <f>IF(VLOOKUP(Table134681112[[#This Row],[Date]],'DB Global PMI'!$A:$F,5)=0,#N/A,VLOOKUP(Table134681112[[#This Row],[Date]],'DB Global PMI'!$A:$F,5))</f>
        <v/>
      </c>
      <c r="E182" s="24">
        <f>Table134681112[[#This Row],[PMI]]-B170</f>
        <v/>
      </c>
      <c r="F182" s="52">
        <f>(Table134681112[[#This Row],[EWU]]-D170)/D170</f>
        <v/>
      </c>
    </row>
    <row r="183">
      <c r="A183" s="10" t="n">
        <v>43709</v>
      </c>
      <c r="B183" s="18">
        <f>IF(VLOOKUP(A183,'DB Country PMI'!$A:$AZ,MATCH($A$1,'DB Country PMI'!$A$1:$AZ$1,),)=0,#N/A,VLOOKUP(A183,'DB Country PMI'!$A:$AZ,MATCH($A$1,'DB Country PMI'!$A$1:$AZ$1,),))</f>
        <v/>
      </c>
      <c r="C183" s="24">
        <f>Table134681112[[#This Row],[PMI]]-B182</f>
        <v/>
      </c>
      <c r="D183" s="11">
        <f>IF(VLOOKUP(Table134681112[[#This Row],[Date]],'DB Global PMI'!$A:$F,5)=0,#N/A,VLOOKUP(Table134681112[[#This Row],[Date]],'DB Global PMI'!$A:$F,5))</f>
        <v/>
      </c>
      <c r="E183" s="24">
        <f>Table134681112[[#This Row],[PMI]]-B171</f>
        <v/>
      </c>
      <c r="F183" s="52">
        <f>(Table134681112[[#This Row],[EWU]]-D171)/D171</f>
        <v/>
      </c>
    </row>
    <row r="184">
      <c r="A184" s="10" t="n">
        <v>43739</v>
      </c>
      <c r="B184" s="18">
        <f>IF(VLOOKUP(A184,'DB Country PMI'!$A:$AZ,MATCH($A$1,'DB Country PMI'!$A$1:$AZ$1,),)=0,#N/A,VLOOKUP(A184,'DB Country PMI'!$A:$AZ,MATCH($A$1,'DB Country PMI'!$A$1:$AZ$1,),))</f>
        <v/>
      </c>
      <c r="C184" s="24">
        <f>Table134681112[[#This Row],[PMI]]-B183</f>
        <v/>
      </c>
      <c r="D184" s="11">
        <f>IF(VLOOKUP(Table134681112[[#This Row],[Date]],'DB Global PMI'!$A:$F,5)=0,#N/A,VLOOKUP(Table134681112[[#This Row],[Date]],'DB Global PMI'!$A:$F,5))</f>
        <v/>
      </c>
      <c r="E184" s="24">
        <f>Table134681112[[#This Row],[PMI]]-B172</f>
        <v/>
      </c>
      <c r="F184" s="52">
        <f>(Table134681112[[#This Row],[EWU]]-D172)/D172</f>
        <v/>
      </c>
    </row>
    <row r="185">
      <c r="A185" s="10" t="n">
        <v>43770</v>
      </c>
      <c r="B185" s="18">
        <f>IF(VLOOKUP(A185,'DB Country PMI'!$A:$AZ,MATCH($A$1,'DB Country PMI'!$A$1:$AZ$1,),)=0,#N/A,VLOOKUP(A185,'DB Country PMI'!$A:$AZ,MATCH($A$1,'DB Country PMI'!$A$1:$AZ$1,),))</f>
        <v/>
      </c>
      <c r="C185" s="24">
        <f>Table134681112[[#This Row],[PMI]]-B184</f>
        <v/>
      </c>
      <c r="D185" s="11">
        <f>IF(VLOOKUP(Table134681112[[#This Row],[Date]],'DB Global PMI'!$A:$F,5)=0,#N/A,VLOOKUP(Table134681112[[#This Row],[Date]],'DB Global PMI'!$A:$F,5))</f>
        <v/>
      </c>
      <c r="E185" s="24">
        <f>Table134681112[[#This Row],[PMI]]-B173</f>
        <v/>
      </c>
      <c r="F185" s="52">
        <f>(Table134681112[[#This Row],[EWU]]-D173)/D173</f>
        <v/>
      </c>
    </row>
    <row r="186">
      <c r="A186" s="10" t="n">
        <v>43800</v>
      </c>
      <c r="B186" s="18">
        <f>IF(VLOOKUP(A186,'DB Country PMI'!$A:$AZ,MATCH($A$1,'DB Country PMI'!$A$1:$AZ$1,),)=0,#N/A,VLOOKUP(A186,'DB Country PMI'!$A:$AZ,MATCH($A$1,'DB Country PMI'!$A$1:$AZ$1,),))</f>
        <v/>
      </c>
      <c r="C186" s="24">
        <f>Table134681112[[#This Row],[PMI]]-B185</f>
        <v/>
      </c>
      <c r="D186" s="11">
        <f>IF(VLOOKUP(Table134681112[[#This Row],[Date]],'DB Global PMI'!$A:$F,5)=0,#N/A,VLOOKUP(Table134681112[[#This Row],[Date]],'DB Global PMI'!$A:$F,5))</f>
        <v/>
      </c>
      <c r="E186" s="24">
        <f>Table134681112[[#This Row],[PMI]]-B174</f>
        <v/>
      </c>
      <c r="F186" s="52">
        <f>(Table134681112[[#This Row],[EWU]]-D174)/D174</f>
        <v/>
      </c>
    </row>
    <row r="187">
      <c r="A187" s="10" t="n">
        <v>43831</v>
      </c>
      <c r="B187" s="18">
        <f>IF(VLOOKUP(A187,'DB Country PMI'!$A:$AZ,MATCH($A$1,'DB Country PMI'!$A$1:$AZ$1,),)=0,#N/A,VLOOKUP(A187,'DB Country PMI'!$A:$AZ,MATCH($A$1,'DB Country PMI'!$A$1:$AZ$1,),))</f>
        <v/>
      </c>
      <c r="C187" s="24">
        <f>Table134681112[[#This Row],[PMI]]-B186</f>
        <v/>
      </c>
      <c r="D187" s="11">
        <f>IF(VLOOKUP(Table134681112[[#This Row],[Date]],'DB Global PMI'!$A:$F,5)=0,#N/A,VLOOKUP(Table134681112[[#This Row],[Date]],'DB Global PMI'!$A:$F,5))</f>
        <v/>
      </c>
      <c r="E187" s="24">
        <f>Table134681112[[#This Row],[PMI]]-B175</f>
        <v/>
      </c>
      <c r="F187" s="52">
        <f>(Table134681112[[#This Row],[EWU]]-D175)/D175</f>
        <v/>
      </c>
    </row>
    <row r="188">
      <c r="A188" s="10" t="n">
        <v>43862</v>
      </c>
      <c r="B188" s="18">
        <f>IF(VLOOKUP(A188,'DB Country PMI'!$A:$AZ,MATCH($A$1,'DB Country PMI'!$A$1:$AZ$1,),)=0,#N/A,VLOOKUP(A188,'DB Country PMI'!$A:$AZ,MATCH($A$1,'DB Country PMI'!$A$1:$AZ$1,),))</f>
        <v/>
      </c>
      <c r="C188" s="24">
        <f>Table134681112[[#This Row],[PMI]]-B187</f>
        <v/>
      </c>
      <c r="D188" s="11">
        <f>IF(VLOOKUP(Table134681112[[#This Row],[Date]],'DB Global PMI'!$A:$F,5)=0,#N/A,VLOOKUP(Table134681112[[#This Row],[Date]],'DB Global PMI'!$A:$F,5))</f>
        <v/>
      </c>
      <c r="E188" s="24">
        <f>Table134681112[[#This Row],[PMI]]-B176</f>
        <v/>
      </c>
      <c r="F188" s="52">
        <f>(Table134681112[[#This Row],[EWU]]-D176)/D176</f>
        <v/>
      </c>
    </row>
    <row r="189">
      <c r="A189" s="10" t="n">
        <v>43891</v>
      </c>
      <c r="B189" s="18">
        <f>IF(VLOOKUP(A189,'DB Country PMI'!$A:$AZ,MATCH($A$1,'DB Country PMI'!$A$1:$AZ$1,),)=0,#N/A,VLOOKUP(A189,'DB Country PMI'!$A:$AZ,MATCH($A$1,'DB Country PMI'!$A$1:$AZ$1,),))</f>
        <v/>
      </c>
      <c r="C189" s="24">
        <f>Table134681112[[#This Row],[PMI]]-B188</f>
        <v/>
      </c>
      <c r="D189" s="11">
        <f>IF(VLOOKUP(Table134681112[[#This Row],[Date]],'DB Global PMI'!$A:$F,5)=0,#N/A,VLOOKUP(Table134681112[[#This Row],[Date]],'DB Global PMI'!$A:$F,5))</f>
        <v/>
      </c>
      <c r="E189" s="24">
        <f>Table134681112[[#This Row],[PMI]]-B177</f>
        <v/>
      </c>
      <c r="F189" s="52">
        <f>(Table134681112[[#This Row],[EWU]]-D177)/D177</f>
        <v/>
      </c>
    </row>
    <row r="190">
      <c r="A190" s="10" t="n">
        <v>43922</v>
      </c>
      <c r="B190" s="18">
        <f>IF(VLOOKUP(A190,'DB Country PMI'!$A:$AZ,MATCH($A$1,'DB Country PMI'!$A$1:$AZ$1,),)=0,#N/A,VLOOKUP(A190,'DB Country PMI'!$A:$AZ,MATCH($A$1,'DB Country PMI'!$A$1:$AZ$1,),))</f>
        <v/>
      </c>
      <c r="C190" s="24">
        <f>Table134681112[[#This Row],[PMI]]-B189</f>
        <v/>
      </c>
      <c r="D190" s="11">
        <f>IF(VLOOKUP(Table134681112[[#This Row],[Date]],'DB Global PMI'!$A:$F,5)=0,#N/A,VLOOKUP(Table134681112[[#This Row],[Date]],'DB Global PMI'!$A:$F,5))</f>
        <v/>
      </c>
      <c r="E190" s="24">
        <f>Table134681112[[#This Row],[PMI]]-B178</f>
        <v/>
      </c>
      <c r="F190" s="52">
        <f>(Table134681112[[#This Row],[EWU]]-D178)/D178</f>
        <v/>
      </c>
    </row>
    <row r="191">
      <c r="A191" s="10" t="n">
        <v>43952</v>
      </c>
      <c r="B191" s="18">
        <f>IF(VLOOKUP(A191,'DB Country PMI'!$A:$AZ,MATCH($A$1,'DB Country PMI'!$A$1:$AZ$1,),)=0,#N/A,VLOOKUP(A191,'DB Country PMI'!$A:$AZ,MATCH($A$1,'DB Country PMI'!$A$1:$AZ$1,),))</f>
        <v/>
      </c>
      <c r="C191" s="24">
        <f>Table134681112[[#This Row],[PMI]]-B190</f>
        <v/>
      </c>
      <c r="D191" s="11">
        <f>IF(VLOOKUP(Table134681112[[#This Row],[Date]],'DB Global PMI'!$A:$F,5)=0,#N/A,VLOOKUP(Table134681112[[#This Row],[Date]],'DB Global PMI'!$A:$F,5))</f>
        <v/>
      </c>
      <c r="E191" s="24">
        <f>Table134681112[[#This Row],[PMI]]-B179</f>
        <v/>
      </c>
      <c r="F191" s="52">
        <f>(Table134681112[[#This Row],[EWU]]-D179)/D179</f>
        <v/>
      </c>
    </row>
    <row r="192">
      <c r="A192" s="10" t="n">
        <v>43983</v>
      </c>
      <c r="B192" s="18">
        <f>IF(VLOOKUP(A192,'DB Country PMI'!$A:$AZ,MATCH($A$1,'DB Country PMI'!$A$1:$AZ$1,),)=0,#N/A,VLOOKUP(A192,'DB Country PMI'!$A:$AZ,MATCH($A$1,'DB Country PMI'!$A$1:$AZ$1,),))</f>
        <v/>
      </c>
      <c r="C192" s="24">
        <f>Table134681112[[#This Row],[PMI]]-B191</f>
        <v/>
      </c>
      <c r="D192" s="11">
        <f>IF(VLOOKUP(Table134681112[[#This Row],[Date]],'DB Global PMI'!$A:$F,5)=0,#N/A,VLOOKUP(Table134681112[[#This Row],[Date]],'DB Global PMI'!$A:$F,5))</f>
        <v/>
      </c>
      <c r="E192" s="24">
        <f>Table134681112[[#This Row],[PMI]]-B180</f>
        <v/>
      </c>
      <c r="F192" s="52">
        <f>(Table134681112[[#This Row],[EWU]]-D180)/D180</f>
        <v/>
      </c>
    </row>
    <row r="193">
      <c r="A193" s="10" t="n">
        <v>44013</v>
      </c>
      <c r="B193" s="18">
        <f>IF(VLOOKUP(A193,'DB Country PMI'!$A:$AZ,MATCH($A$1,'DB Country PMI'!$A$1:$AZ$1,),)=0,#N/A,VLOOKUP(A193,'DB Country PMI'!$A:$AZ,MATCH($A$1,'DB Country PMI'!$A$1:$AZ$1,),))</f>
        <v/>
      </c>
      <c r="C193" s="24">
        <f>Table134681112[[#This Row],[PMI]]-B192</f>
        <v/>
      </c>
      <c r="D193" s="11">
        <f>IF(VLOOKUP(Table134681112[[#This Row],[Date]],'DB Global PMI'!$A:$F,5)=0,#N/A,VLOOKUP(Table134681112[[#This Row],[Date]],'DB Global PMI'!$A:$F,5))</f>
        <v/>
      </c>
      <c r="E193" s="24">
        <f>Table134681112[[#This Row],[PMI]]-B181</f>
        <v/>
      </c>
      <c r="F193" s="52">
        <f>(Table134681112[[#This Row],[EWU]]-D181)/D181</f>
        <v/>
      </c>
    </row>
    <row r="194">
      <c r="A194" s="10" t="n">
        <v>44044</v>
      </c>
      <c r="B194" s="18">
        <f>IF(VLOOKUP(A194,'DB Country PMI'!$A:$AZ,MATCH($A$1,'DB Country PMI'!$A$1:$AZ$1,),)=0,#N/A,VLOOKUP(A194,'DB Country PMI'!$A:$AZ,MATCH($A$1,'DB Country PMI'!$A$1:$AZ$1,),))</f>
        <v/>
      </c>
      <c r="C194" s="24">
        <f>Table134681112[[#This Row],[PMI]]-B193</f>
        <v/>
      </c>
      <c r="D194" s="11">
        <f>IF(VLOOKUP(Table134681112[[#This Row],[Date]],'DB Global PMI'!$A:$F,5)=0,#N/A,VLOOKUP(Table134681112[[#This Row],[Date]],'DB Global PMI'!$A:$F,5))</f>
        <v/>
      </c>
      <c r="E194" s="24">
        <f>Table134681112[[#This Row],[PMI]]-B182</f>
        <v/>
      </c>
      <c r="F194" s="52">
        <f>(Table134681112[[#This Row],[EWU]]-D182)/D182</f>
        <v/>
      </c>
    </row>
    <row r="195">
      <c r="A195" s="10" t="n">
        <v>44075</v>
      </c>
      <c r="B195" s="18">
        <f>IF(VLOOKUP(A195,'DB Country PMI'!$A:$AZ,MATCH($A$1,'DB Country PMI'!$A$1:$AZ$1,),)=0,#N/A,VLOOKUP(A195,'DB Country PMI'!$A:$AZ,MATCH($A$1,'DB Country PMI'!$A$1:$AZ$1,),))</f>
        <v/>
      </c>
      <c r="C195" s="24">
        <f>Table134681112[[#This Row],[PMI]]-B194</f>
        <v/>
      </c>
      <c r="D195" s="11">
        <f>IF(VLOOKUP(Table134681112[[#This Row],[Date]],'DB Global PMI'!$A:$F,5)=0,#N/A,VLOOKUP(Table134681112[[#This Row],[Date]],'DB Global PMI'!$A:$F,5))</f>
        <v/>
      </c>
      <c r="E195" s="24">
        <f>Table134681112[[#This Row],[PMI]]-B183</f>
        <v/>
      </c>
      <c r="F195" s="52">
        <f>(Table134681112[[#This Row],[EWU]]-D183)/D183</f>
        <v/>
      </c>
    </row>
    <row r="196">
      <c r="A196" s="10" t="n">
        <v>44105</v>
      </c>
      <c r="B196" s="18">
        <f>IF(VLOOKUP(A196,'DB Country PMI'!$A:$AZ,MATCH($A$1,'DB Country PMI'!$A$1:$AZ$1,),)=0,#N/A,VLOOKUP(A196,'DB Country PMI'!$A:$AZ,MATCH($A$1,'DB Country PMI'!$A$1:$AZ$1,),))</f>
        <v/>
      </c>
      <c r="C196" s="24">
        <f>Table134681112[[#This Row],[PMI]]-B195</f>
        <v/>
      </c>
      <c r="D196" s="11">
        <f>IF(VLOOKUP(Table134681112[[#This Row],[Date]],'DB Global PMI'!$A:$F,5)=0,#N/A,VLOOKUP(Table134681112[[#This Row],[Date]],'DB Global PMI'!$A:$F,5))</f>
        <v/>
      </c>
      <c r="E196" s="24">
        <f>Table134681112[[#This Row],[PMI]]-B184</f>
        <v/>
      </c>
      <c r="F196" s="52">
        <f>(Table134681112[[#This Row],[EWU]]-D184)/D184</f>
        <v/>
      </c>
    </row>
    <row r="197">
      <c r="A197" s="10" t="n">
        <v>44136</v>
      </c>
      <c r="B197" s="18">
        <f>IF(VLOOKUP(A197,'DB Country PMI'!$A:$AZ,MATCH($A$1,'DB Country PMI'!$A$1:$AZ$1,),)=0,#N/A,VLOOKUP(A197,'DB Country PMI'!$A:$AZ,MATCH($A$1,'DB Country PMI'!$A$1:$AZ$1,),))</f>
        <v/>
      </c>
      <c r="C197" s="24">
        <f>Table134681112[[#This Row],[PMI]]-B196</f>
        <v/>
      </c>
      <c r="D197" s="11">
        <f>IF(VLOOKUP(Table134681112[[#This Row],[Date]],'DB Global PMI'!$A:$F,5)=0,#N/A,VLOOKUP(Table134681112[[#This Row],[Date]],'DB Global PMI'!$A:$F,5))</f>
        <v/>
      </c>
      <c r="E197" s="24">
        <f>Table134681112[[#This Row],[PMI]]-B185</f>
        <v/>
      </c>
      <c r="F197" s="52">
        <f>(Table134681112[[#This Row],[EWU]]-D185)/D185</f>
        <v/>
      </c>
    </row>
    <row r="198">
      <c r="A198" s="10" t="n">
        <v>44166</v>
      </c>
      <c r="B198" s="18">
        <f>IF(VLOOKUP(A198,'DB Country PMI'!$A:$AZ,MATCH($A$1,'DB Country PMI'!$A$1:$AZ$1,),)=0,#N/A,VLOOKUP(A198,'DB Country PMI'!$A:$AZ,MATCH($A$1,'DB Country PMI'!$A$1:$AZ$1,),))</f>
        <v/>
      </c>
      <c r="C198" s="24">
        <f>Table134681112[[#This Row],[PMI]]-B197</f>
        <v/>
      </c>
      <c r="D198" s="11">
        <f>IF(VLOOKUP(Table134681112[[#This Row],[Date]],'DB Global PMI'!$A:$F,5)=0,#N/A,VLOOKUP(Table134681112[[#This Row],[Date]],'DB Global PMI'!$A:$F,5))</f>
        <v/>
      </c>
      <c r="E198" s="24">
        <f>Table134681112[[#This Row],[PMI]]-B186</f>
        <v/>
      </c>
      <c r="F198" s="52">
        <f>(Table134681112[[#This Row],[EWU]]-D186)/D186</f>
        <v/>
      </c>
    </row>
    <row r="199">
      <c r="A199" s="10" t="n">
        <v>44197</v>
      </c>
      <c r="B199" s="18">
        <f>IF(VLOOKUP(A199,'DB Country PMI'!$A:$AZ,MATCH($A$1,'DB Country PMI'!$A$1:$AZ$1,),)=0,#N/A,VLOOKUP(A199,'DB Country PMI'!$A:$AZ,MATCH($A$1,'DB Country PMI'!$A$1:$AZ$1,),))</f>
        <v/>
      </c>
      <c r="C199" s="24">
        <f>Table134681112[[#This Row],[PMI]]-B198</f>
        <v/>
      </c>
      <c r="D199" s="11">
        <f>IF(VLOOKUP(Table134681112[[#This Row],[Date]],'DB Global PMI'!$A:$F,5)=0,#N/A,VLOOKUP(Table134681112[[#This Row],[Date]],'DB Global PMI'!$A:$F,5))</f>
        <v/>
      </c>
      <c r="E199" s="24">
        <f>Table134681112[[#This Row],[PMI]]-B187</f>
        <v/>
      </c>
      <c r="F199" s="52">
        <f>(Table134681112[[#This Row],[EWU]]-D187)/D187</f>
        <v/>
      </c>
    </row>
    <row r="200">
      <c r="A200" s="10" t="n">
        <v>44228</v>
      </c>
      <c r="B200" s="18">
        <f>IF(VLOOKUP(A200,'DB Country PMI'!$A:$AZ,MATCH($A$1,'DB Country PMI'!$A$1:$AZ$1,),)=0,#N/A,VLOOKUP(A200,'DB Country PMI'!$A:$AZ,MATCH($A$1,'DB Country PMI'!$A$1:$AZ$1,),))</f>
        <v/>
      </c>
      <c r="C200" s="24">
        <f>Table134681112[[#This Row],[PMI]]-B199</f>
        <v/>
      </c>
      <c r="D200" s="11">
        <f>IF(VLOOKUP(Table134681112[[#This Row],[Date]],'DB Global PMI'!$A:$F,5)=0,#N/A,VLOOKUP(Table134681112[[#This Row],[Date]],'DB Global PMI'!$A:$F,5))</f>
        <v/>
      </c>
      <c r="E200" s="24">
        <f>Table134681112[[#This Row],[PMI]]-B188</f>
        <v/>
      </c>
      <c r="F200" s="52">
        <f>(Table134681112[[#This Row],[EWU]]-D188)/D188</f>
        <v/>
      </c>
    </row>
    <row r="201">
      <c r="A201" s="10" t="n">
        <v>44256</v>
      </c>
      <c r="B201" s="18">
        <f>IF(VLOOKUP(A201,'DB Country PMI'!$A:$AZ,MATCH($A$1,'DB Country PMI'!$A$1:$AZ$1,),)=0,#N/A,VLOOKUP(A201,'DB Country PMI'!$A:$AZ,MATCH($A$1,'DB Country PMI'!$A$1:$AZ$1,),))</f>
        <v/>
      </c>
      <c r="C201" s="24">
        <f>Table134681112[[#This Row],[PMI]]-B200</f>
        <v/>
      </c>
      <c r="D201" s="11">
        <f>IF(VLOOKUP(Table134681112[[#This Row],[Date]],'DB Global PMI'!$A:$F,5)=0,#N/A,VLOOKUP(Table134681112[[#This Row],[Date]],'DB Global PMI'!$A:$F,5))</f>
        <v/>
      </c>
      <c r="E201" s="24">
        <f>Table134681112[[#This Row],[PMI]]-B189</f>
        <v/>
      </c>
      <c r="F201" s="52">
        <f>(Table134681112[[#This Row],[EWU]]-D189)/D189</f>
        <v/>
      </c>
    </row>
    <row r="202">
      <c r="A202" s="10" t="n">
        <v>44287</v>
      </c>
      <c r="B202" s="18">
        <f>IF(VLOOKUP(A202,'DB Country PMI'!$A:$AZ,MATCH($A$1,'DB Country PMI'!$A$1:$AZ$1,),)=0,#N/A,VLOOKUP(A202,'DB Country PMI'!$A:$AZ,MATCH($A$1,'DB Country PMI'!$A$1:$AZ$1,),))</f>
        <v/>
      </c>
      <c r="C202" s="24">
        <f>Table134681112[[#This Row],[PMI]]-B201</f>
        <v/>
      </c>
      <c r="D202" s="11">
        <f>IF(VLOOKUP(Table134681112[[#This Row],[Date]],'DB Global PMI'!$A:$F,5)=0,#N/A,VLOOKUP(Table134681112[[#This Row],[Date]],'DB Global PMI'!$A:$F,5))</f>
        <v/>
      </c>
      <c r="E202" s="24">
        <f>Table134681112[[#This Row],[PMI]]-B190</f>
        <v/>
      </c>
      <c r="F202" s="52">
        <f>(Table134681112[[#This Row],[EWU]]-D190)/D190</f>
        <v/>
      </c>
    </row>
    <row r="203">
      <c r="A203" s="10" t="n">
        <v>44317</v>
      </c>
      <c r="B203" s="18">
        <f>IF(VLOOKUP(A203,'DB Country PMI'!$A:$AZ,MATCH($A$1,'DB Country PMI'!$A$1:$AZ$1,),)=0,#N/A,VLOOKUP(A203,'DB Country PMI'!$A:$AZ,MATCH($A$1,'DB Country PMI'!$A$1:$AZ$1,),))</f>
        <v/>
      </c>
      <c r="C203" s="24">
        <f>Table134681112[[#This Row],[PMI]]-B202</f>
        <v/>
      </c>
      <c r="D203" s="11">
        <f>IF(VLOOKUP(Table134681112[[#This Row],[Date]],'DB Global PMI'!$A:$F,5)=0,#N/A,VLOOKUP(Table134681112[[#This Row],[Date]],'DB Global PMI'!$A:$F,5))</f>
        <v/>
      </c>
      <c r="E203" s="24">
        <f>Table134681112[[#This Row],[PMI]]-B191</f>
        <v/>
      </c>
      <c r="F203" s="52">
        <f>(Table134681112[[#This Row],[EWU]]-D191)/D191</f>
        <v/>
      </c>
    </row>
    <row r="204">
      <c r="A204" s="10" t="n">
        <v>44348</v>
      </c>
      <c r="B204" s="18">
        <f>IF(VLOOKUP(A204,'DB Country PMI'!$A:$AZ,MATCH($A$1,'DB Country PMI'!$A$1:$AZ$1,),)=0,#N/A,VLOOKUP(A204,'DB Country PMI'!$A:$AZ,MATCH($A$1,'DB Country PMI'!$A$1:$AZ$1,),))</f>
        <v/>
      </c>
      <c r="C204" s="24">
        <f>Table134681112[[#This Row],[PMI]]-B203</f>
        <v/>
      </c>
      <c r="D204" s="11">
        <f>IF(VLOOKUP(Table134681112[[#This Row],[Date]],'DB Global PMI'!$A:$F,5)=0,#N/A,VLOOKUP(Table134681112[[#This Row],[Date]],'DB Global PMI'!$A:$F,5))</f>
        <v/>
      </c>
      <c r="E204" s="24">
        <f>Table134681112[[#This Row],[PMI]]-B192</f>
        <v/>
      </c>
      <c r="F204" s="52">
        <f>(Table134681112[[#This Row],[EWU]]-D192)/D192</f>
        <v/>
      </c>
    </row>
    <row r="205">
      <c r="A205" s="10" t="n">
        <v>44378</v>
      </c>
      <c r="B205" s="18">
        <f>IF(VLOOKUP(A205,'DB Country PMI'!$A:$AZ,MATCH($A$1,'DB Country PMI'!$A$1:$AZ$1,),)=0,#N/A,VLOOKUP(A205,'DB Country PMI'!$A:$AZ,MATCH($A$1,'DB Country PMI'!$A$1:$AZ$1,),))</f>
        <v/>
      </c>
      <c r="C205" s="24">
        <f>Table134681112[[#This Row],[PMI]]-B204</f>
        <v/>
      </c>
      <c r="D205" s="11">
        <f>IF(VLOOKUP(Table134681112[[#This Row],[Date]],'DB Global PMI'!$A:$F,5)=0,#N/A,VLOOKUP(Table134681112[[#This Row],[Date]],'DB Global PMI'!$A:$F,5))</f>
        <v/>
      </c>
      <c r="E205" s="24">
        <f>Table134681112[[#This Row],[PMI]]-B193</f>
        <v/>
      </c>
      <c r="F205" s="52">
        <f>(Table134681112[[#This Row],[EWU]]-D193)/D193</f>
        <v/>
      </c>
    </row>
    <row r="206">
      <c r="A206" s="10" t="n">
        <v>44409</v>
      </c>
      <c r="B206" s="18">
        <f>IF(VLOOKUP(A206,'DB Country PMI'!$A:$AZ,MATCH($A$1,'DB Country PMI'!$A$1:$AZ$1,),)=0,#N/A,VLOOKUP(A206,'DB Country PMI'!$A:$AZ,MATCH($A$1,'DB Country PMI'!$A$1:$AZ$1,),))</f>
        <v/>
      </c>
      <c r="C206" s="24">
        <f>Table134681112[[#This Row],[PMI]]-B205</f>
        <v/>
      </c>
      <c r="D206" s="11">
        <f>IF(VLOOKUP(Table134681112[[#This Row],[Date]],'DB Global PMI'!$A:$F,5)=0,#N/A,VLOOKUP(Table134681112[[#This Row],[Date]],'DB Global PMI'!$A:$F,5))</f>
        <v/>
      </c>
      <c r="E206" s="24">
        <f>Table134681112[[#This Row],[PMI]]-B194</f>
        <v/>
      </c>
      <c r="F206" s="52">
        <f>(Table134681112[[#This Row],[EWU]]-D194)/D194</f>
        <v/>
      </c>
    </row>
    <row r="207">
      <c r="A207" s="10" t="n">
        <v>44440</v>
      </c>
      <c r="B207" s="18">
        <f>IF(VLOOKUP(A207,'DB Country PMI'!$A:$AZ,MATCH($A$1,'DB Country PMI'!$A$1:$AZ$1,),)=0,#N/A,VLOOKUP(A207,'DB Country PMI'!$A:$AZ,MATCH($A$1,'DB Country PMI'!$A$1:$AZ$1,),))</f>
        <v/>
      </c>
      <c r="C207" s="24">
        <f>Table134681112[[#This Row],[PMI]]-B206</f>
        <v/>
      </c>
      <c r="D207" s="11">
        <f>IF(VLOOKUP(Table134681112[[#This Row],[Date]],'DB Global PMI'!$A:$F,5)=0,#N/A,VLOOKUP(Table134681112[[#This Row],[Date]],'DB Global PMI'!$A:$F,5))</f>
        <v/>
      </c>
      <c r="E207" s="24">
        <f>Table134681112[[#This Row],[PMI]]-B195</f>
        <v/>
      </c>
      <c r="F207" s="52">
        <f>(Table134681112[[#This Row],[EWU]]-D195)/D195</f>
        <v/>
      </c>
    </row>
    <row r="208">
      <c r="A208" s="10" t="n">
        <v>44470</v>
      </c>
      <c r="B208" s="18">
        <f>IF(VLOOKUP(A208,'DB Country PMI'!$A:$AZ,MATCH($A$1,'DB Country PMI'!$A$1:$AZ$1,),)=0,#N/A,VLOOKUP(A208,'DB Country PMI'!$A:$AZ,MATCH($A$1,'DB Country PMI'!$A$1:$AZ$1,),))</f>
        <v/>
      </c>
      <c r="C208" s="24">
        <f>Table134681112[[#This Row],[PMI]]-B207</f>
        <v/>
      </c>
      <c r="D208" s="11">
        <f>IF(VLOOKUP(Table134681112[[#This Row],[Date]],'DB Global PMI'!$A:$F,5)=0,#N/A,VLOOKUP(Table134681112[[#This Row],[Date]],'DB Global PMI'!$A:$F,5))</f>
        <v/>
      </c>
      <c r="E208" s="24">
        <f>Table134681112[[#This Row],[PMI]]-B196</f>
        <v/>
      </c>
      <c r="F208" s="52">
        <f>(Table134681112[[#This Row],[EWU]]-D196)/D196</f>
        <v/>
      </c>
    </row>
    <row r="209">
      <c r="A209" s="10" t="n">
        <v>44501</v>
      </c>
      <c r="B209" s="18">
        <f>IF(VLOOKUP(A209,'DB Country PMI'!$A:$AZ,MATCH($A$1,'DB Country PMI'!$A$1:$AZ$1,),)=0,#N/A,VLOOKUP(A209,'DB Country PMI'!$A:$AZ,MATCH($A$1,'DB Country PMI'!$A$1:$AZ$1,),))</f>
        <v/>
      </c>
      <c r="C209" s="24">
        <f>Table134681112[[#This Row],[PMI]]-B208</f>
        <v/>
      </c>
      <c r="D209" s="11">
        <f>IF(VLOOKUP(Table134681112[[#This Row],[Date]],'DB Global PMI'!$A:$F,5)=0,#N/A,VLOOKUP(Table134681112[[#This Row],[Date]],'DB Global PMI'!$A:$F,5))</f>
        <v/>
      </c>
      <c r="E209" s="24">
        <f>Table134681112[[#This Row],[PMI]]-B197</f>
        <v/>
      </c>
      <c r="F209" s="52">
        <f>(Table134681112[[#This Row],[EWU]]-D197)/D197</f>
        <v/>
      </c>
    </row>
    <row r="210">
      <c r="A210" s="10" t="n">
        <v>44531</v>
      </c>
      <c r="B210" s="18">
        <f>IF(VLOOKUP(A210,'DB Country PMI'!$A:$AZ,MATCH($A$1,'DB Country PMI'!$A$1:$AZ$1,),)=0,#N/A,VLOOKUP(A210,'DB Country PMI'!$A:$AZ,MATCH($A$1,'DB Country PMI'!$A$1:$AZ$1,),))</f>
        <v/>
      </c>
      <c r="C210" s="24">
        <f>Table134681112[[#This Row],[PMI]]-B209</f>
        <v/>
      </c>
      <c r="D210" s="11">
        <f>IF(VLOOKUP(Table134681112[[#This Row],[Date]],'DB Global PMI'!$A:$F,5)=0,#N/A,VLOOKUP(Table134681112[[#This Row],[Date]],'DB Global PMI'!$A:$F,5))</f>
        <v/>
      </c>
      <c r="E210" s="24">
        <f>Table134681112[[#This Row],[PMI]]-B198</f>
        <v/>
      </c>
      <c r="F210" s="52">
        <f>(Table134681112[[#This Row],[EWU]]-D198)/D198</f>
        <v/>
      </c>
    </row>
    <row r="211">
      <c r="A211" s="10" t="n">
        <v>44562</v>
      </c>
      <c r="B211" s="18">
        <f>IF(VLOOKUP(A211,'DB Country PMI'!$A:$AZ,MATCH($A$1,'DB Country PMI'!$A$1:$AZ$1,),)=0,#N/A,VLOOKUP(A211,'DB Country PMI'!$A:$AZ,MATCH($A$1,'DB Country PMI'!$A$1:$AZ$1,),))</f>
        <v/>
      </c>
      <c r="C211" s="24">
        <f>Table134681112[[#This Row],[PMI]]-B210</f>
        <v/>
      </c>
      <c r="D211" s="11">
        <f>IF(VLOOKUP(Table134681112[[#This Row],[Date]],'DB Global PMI'!$A:$F,5)=0,#N/A,VLOOKUP(Table134681112[[#This Row],[Date]],'DB Global PMI'!$A:$F,5))</f>
        <v/>
      </c>
      <c r="E211" s="24">
        <f>Table134681112[[#This Row],[PMI]]-B199</f>
        <v/>
      </c>
      <c r="F211" s="52">
        <f>(Table134681112[[#This Row],[EWU]]-D199)/D199</f>
        <v/>
      </c>
    </row>
    <row r="212">
      <c r="A212" s="10" t="n">
        <v>44593</v>
      </c>
      <c r="B212" s="18">
        <f>IF(VLOOKUP(A212,'DB Country PMI'!$A:$AZ,MATCH($A$1,'DB Country PMI'!$A$1:$AZ$1,),)=0,#N/A,VLOOKUP(A212,'DB Country PMI'!$A:$AZ,MATCH($A$1,'DB Country PMI'!$A$1:$AZ$1,),))</f>
        <v/>
      </c>
      <c r="C212" s="24">
        <f>Table134681112[[#This Row],[PMI]]-B211</f>
        <v/>
      </c>
      <c r="D212" s="11">
        <f>IF(VLOOKUP(Table134681112[[#This Row],[Date]],'DB Global PMI'!$A:$F,5)=0,#N/A,VLOOKUP(Table134681112[[#This Row],[Date]],'DB Global PMI'!$A:$F,5))</f>
        <v/>
      </c>
      <c r="E212" s="24">
        <f>Table134681112[[#This Row],[PMI]]-B200</f>
        <v/>
      </c>
      <c r="F212" s="52">
        <f>(Table134681112[[#This Row],[EWU]]-D200)/D200</f>
        <v/>
      </c>
    </row>
    <row r="213">
      <c r="A213" s="10" t="n">
        <v>44621</v>
      </c>
      <c r="B213" s="18">
        <f>IF(VLOOKUP(A213,'DB Country PMI'!$A:$AZ,MATCH($A$1,'DB Country PMI'!$A$1:$AZ$1,),)=0,#N/A,VLOOKUP(A213,'DB Country PMI'!$A:$AZ,MATCH($A$1,'DB Country PMI'!$A$1:$AZ$1,),))</f>
        <v/>
      </c>
      <c r="C213" s="24">
        <f>Table134681112[[#This Row],[PMI]]-B212</f>
        <v/>
      </c>
      <c r="D213" s="11">
        <f>IF(VLOOKUP(Table134681112[[#This Row],[Date]],'DB Global PMI'!$A:$F,5)=0,#N/A,VLOOKUP(Table134681112[[#This Row],[Date]],'DB Global PMI'!$A:$F,5))</f>
        <v/>
      </c>
      <c r="E213" s="24">
        <f>Table134681112[[#This Row],[PMI]]-B201</f>
        <v/>
      </c>
      <c r="F213" s="52">
        <f>(Table134681112[[#This Row],[EWU]]-D201)/D201</f>
        <v/>
      </c>
    </row>
    <row r="214">
      <c r="A214" s="10" t="n">
        <v>44652</v>
      </c>
      <c r="B214" s="18">
        <f>IF(VLOOKUP(A214,'DB Country PMI'!$A:$AZ,MATCH($A$1,'DB Country PMI'!$A$1:$AZ$1,),)=0,#N/A,VLOOKUP(A214,'DB Country PMI'!$A:$AZ,MATCH($A$1,'DB Country PMI'!$A$1:$AZ$1,),))</f>
        <v/>
      </c>
      <c r="C214" s="24">
        <f>Table134681112[[#This Row],[PMI]]-B213</f>
        <v/>
      </c>
      <c r="D214" s="11">
        <f>IF(VLOOKUP(Table134681112[[#This Row],[Date]],'DB Global PMI'!$A:$F,5)=0,#N/A,VLOOKUP(Table134681112[[#This Row],[Date]],'DB Global PMI'!$A:$F,5))</f>
        <v/>
      </c>
      <c r="E214" s="24">
        <f>Table134681112[[#This Row],[PMI]]-B202</f>
        <v/>
      </c>
      <c r="F214" s="52">
        <f>(Table134681112[[#This Row],[EWU]]-D202)/D202</f>
        <v/>
      </c>
    </row>
    <row r="215">
      <c r="A215" s="10" t="n">
        <v>44682</v>
      </c>
      <c r="B215" s="18">
        <f>IF(VLOOKUP(A215,'DB Country PMI'!$A:$AZ,MATCH($A$1,'DB Country PMI'!$A$1:$AZ$1,),)=0,#N/A,VLOOKUP(A215,'DB Country PMI'!$A:$AZ,MATCH($A$1,'DB Country PMI'!$A$1:$AZ$1,),))</f>
        <v/>
      </c>
      <c r="C215" s="24">
        <f>Table134681112[[#This Row],[PMI]]-B214</f>
        <v/>
      </c>
      <c r="D215" s="11">
        <f>IF(VLOOKUP(Table134681112[[#This Row],[Date]],'DB Global PMI'!$A:$F,5)=0,#N/A,VLOOKUP(Table134681112[[#This Row],[Date]],'DB Global PMI'!$A:$F,5))</f>
        <v/>
      </c>
      <c r="E215" s="24">
        <f>Table134681112[[#This Row],[PMI]]-B203</f>
        <v/>
      </c>
      <c r="F215" s="52">
        <f>(Table134681112[[#This Row],[EWU]]-D203)/D203</f>
        <v/>
      </c>
    </row>
    <row r="216">
      <c r="A216" s="10" t="n">
        <v>44713</v>
      </c>
      <c r="B216" s="18">
        <f>IF(VLOOKUP(A216,'DB Country PMI'!$A:$AZ,MATCH($A$1,'DB Country PMI'!$A$1:$AZ$1,),)=0,#N/A,VLOOKUP(A216,'DB Country PMI'!$A:$AZ,MATCH($A$1,'DB Country PMI'!$A$1:$AZ$1,),))</f>
        <v/>
      </c>
      <c r="C216" s="24">
        <f>Table134681112[[#This Row],[PMI]]-B215</f>
        <v/>
      </c>
      <c r="D216" s="11">
        <f>IF(VLOOKUP(Table134681112[[#This Row],[Date]],'DB Global PMI'!$A:$F,5)=0,#N/A,VLOOKUP(Table134681112[[#This Row],[Date]],'DB Global PMI'!$A:$F,5))</f>
        <v/>
      </c>
      <c r="E216" s="24">
        <f>Table134681112[[#This Row],[PMI]]-B204</f>
        <v/>
      </c>
      <c r="F216" s="52">
        <f>(Table134681112[[#This Row],[EWU]]-D204)/D204</f>
        <v/>
      </c>
    </row>
    <row r="217">
      <c r="A217" s="10" t="n">
        <v>44743</v>
      </c>
      <c r="B217" s="18">
        <f>IF(VLOOKUP(A217,'DB Country PMI'!$A:$AZ,MATCH($A$1,'DB Country PMI'!$A$1:$AZ$1,),)=0,#N/A,VLOOKUP(A217,'DB Country PMI'!$A:$AZ,MATCH($A$1,'DB Country PMI'!$A$1:$AZ$1,),))</f>
        <v/>
      </c>
      <c r="C217" s="24">
        <f>Table134681112[[#This Row],[PMI]]-B216</f>
        <v/>
      </c>
      <c r="D217" s="11">
        <f>IF(VLOOKUP(Table134681112[[#This Row],[Date]],'DB Global PMI'!$A:$F,5)=0,#N/A,VLOOKUP(Table134681112[[#This Row],[Date]],'DB Global PMI'!$A:$F,5))</f>
        <v/>
      </c>
      <c r="E217" s="24">
        <f>Table134681112[[#This Row],[PMI]]-B205</f>
        <v/>
      </c>
      <c r="F217" s="52">
        <f>(Table134681112[[#This Row],[EWU]]-D205)/D205</f>
        <v/>
      </c>
    </row>
    <row r="218">
      <c r="A218" s="10" t="n">
        <v>44774</v>
      </c>
      <c r="B218" s="18">
        <f>IF(VLOOKUP(A218,'DB Country PMI'!$A:$AZ,MATCH($A$1,'DB Country PMI'!$A$1:$AZ$1,),)=0,#N/A,VLOOKUP(A218,'DB Country PMI'!$A:$AZ,MATCH($A$1,'DB Country PMI'!$A$1:$AZ$1,),))</f>
        <v/>
      </c>
      <c r="C218" s="24">
        <f>Table134681112[[#This Row],[PMI]]-B217</f>
        <v/>
      </c>
      <c r="D218" s="11">
        <f>IF(VLOOKUP(Table134681112[[#This Row],[Date]],'DB Global PMI'!$A:$F,5)=0,#N/A,VLOOKUP(Table134681112[[#This Row],[Date]],'DB Global PMI'!$A:$F,5))</f>
        <v/>
      </c>
      <c r="E218" s="24">
        <f>Table134681112[[#This Row],[PMI]]-B206</f>
        <v/>
      </c>
      <c r="F218" s="52">
        <f>(Table134681112[[#This Row],[EWU]]-D206)/D206</f>
        <v/>
      </c>
    </row>
    <row r="219">
      <c r="A219" s="10" t="n">
        <v>44805</v>
      </c>
      <c r="B219" s="18">
        <f>IF(VLOOKUP(A219,'DB Country PMI'!$A:$AZ,MATCH($A$1,'DB Country PMI'!$A$1:$AZ$1,),)=0,#N/A,VLOOKUP(A219,'DB Country PMI'!$A:$AZ,MATCH($A$1,'DB Country PMI'!$A$1:$AZ$1,),))</f>
        <v/>
      </c>
      <c r="C219" s="24">
        <f>Table134681112[[#This Row],[PMI]]-B218</f>
        <v/>
      </c>
      <c r="D219" s="11">
        <f>IF(VLOOKUP(Table134681112[[#This Row],[Date]],'DB Global PMI'!$A:$F,5)=0,#N/A,VLOOKUP(Table134681112[[#This Row],[Date]],'DB Global PMI'!$A:$F,5))</f>
        <v/>
      </c>
      <c r="E219" s="24">
        <f>Table134681112[[#This Row],[PMI]]-B207</f>
        <v/>
      </c>
      <c r="F219" s="52">
        <f>(Table134681112[[#This Row],[EWU]]-D207)/D207</f>
        <v/>
      </c>
    </row>
    <row r="220">
      <c r="A220" s="10" t="n">
        <v>44835</v>
      </c>
      <c r="B220" s="18">
        <f>IF(VLOOKUP(A220,'DB Country PMI'!$A:$AZ,MATCH($A$1,'DB Country PMI'!$A$1:$AZ$1,),)=0,#N/A,VLOOKUP(A220,'DB Country PMI'!$A:$AZ,MATCH($A$1,'DB Country PMI'!$A$1:$AZ$1,),))</f>
        <v/>
      </c>
      <c r="C220" s="24">
        <f>Table134681112[[#This Row],[PMI]]-B219</f>
        <v/>
      </c>
      <c r="D220" s="11">
        <f>IF(VLOOKUP(Table134681112[[#This Row],[Date]],'DB Global PMI'!$A:$F,5)=0,#N/A,VLOOKUP(Table134681112[[#This Row],[Date]],'DB Global PMI'!$A:$F,5))</f>
        <v/>
      </c>
      <c r="E220" s="24">
        <f>Table134681112[[#This Row],[PMI]]-B208</f>
        <v/>
      </c>
      <c r="F220" s="52">
        <f>(Table134681112[[#This Row],[EWU]]-D208)/D208</f>
        <v/>
      </c>
    </row>
    <row r="221">
      <c r="A221" s="10" t="n">
        <v>44866</v>
      </c>
      <c r="B221" s="18">
        <f>IF(VLOOKUP(A221,'DB Country PMI'!$A:$AZ,MATCH($A$1,'DB Country PMI'!$A$1:$AZ$1,),)=0,#N/A,VLOOKUP(A221,'DB Country PMI'!$A:$AZ,MATCH($A$1,'DB Country PMI'!$A$1:$AZ$1,),))</f>
        <v/>
      </c>
      <c r="C221" s="24">
        <f>Table134681112[[#This Row],[PMI]]-B220</f>
        <v/>
      </c>
      <c r="D221" s="11">
        <f>IF(VLOOKUP(Table134681112[[#This Row],[Date]],'DB Global PMI'!$A:$F,5)=0,#N/A,VLOOKUP(Table134681112[[#This Row],[Date]],'DB Global PMI'!$A:$F,5))</f>
        <v/>
      </c>
      <c r="E221" s="24">
        <f>Table134681112[[#This Row],[PMI]]-B209</f>
        <v/>
      </c>
      <c r="F221" s="52">
        <f>(Table134681112[[#This Row],[EWU]]-D209)/D209</f>
        <v/>
      </c>
    </row>
  </sheetData>
  <conditionalFormatting sqref="C7:C106">
    <cfRule type="colorScale" priority="1">
      <colorScale>
        <cfvo type="min"/>
        <cfvo type="percentile" val="50"/>
        <cfvo type="max"/>
        <color rgb="FFF8696B"/>
        <color rgb="FFFCFCFF"/>
        <color rgb="FF5A8AC6"/>
      </colorScale>
    </cfRule>
  </conditionalFormatting>
  <conditionalFormatting sqref="B6:B221">
    <cfRule type="colorScale" priority="4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K197"/>
  <sheetViews>
    <sheetView zoomScaleNormal="100" workbookViewId="0">
      <pane ySplit="5" topLeftCell="A188" activePane="bottomLeft" state="frozen"/>
      <selection pane="bottomLeft" activeCell="P203" sqref="P203"/>
    </sheetView>
  </sheetViews>
  <sheetFormatPr baseColWidth="8" defaultColWidth="9.1796875" defaultRowHeight="14.5"/>
  <cols>
    <col width="13.453125" customWidth="1" style="69" min="1" max="1"/>
    <col width="11.36328125" customWidth="1" style="69" min="2" max="2"/>
    <col width="9.1796875" customWidth="1" style="69" min="3" max="51"/>
    <col width="9.1796875" customWidth="1" style="69" min="52" max="16384"/>
  </cols>
  <sheetData>
    <row r="1">
      <c r="A1" s="69" t="inlineStr">
        <is>
          <t>Italy</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Table13468111214151617[[#This Row],[PMI]]-B6</f>
        <v/>
      </c>
    </row>
    <row r="8">
      <c r="A8" s="10" t="n">
        <v>39114</v>
      </c>
      <c r="B8" s="18">
        <f>IF(VLOOKUP(A8,'DB Country PMI'!$A:$AZ,MATCH($A$1,'DB Country PMI'!$A$1:$AZ$1,),)=0,#N/A,VLOOKUP(A8,'DB Country PMI'!$A:$AZ,MATCH($A$1,'DB Country PMI'!$A$1:$AZ$1,),))</f>
        <v/>
      </c>
      <c r="C8" s="24">
        <f>Table13468111214151617[[#This Row],[PMI]]-B7</f>
        <v/>
      </c>
    </row>
    <row r="9">
      <c r="A9" s="10" t="n">
        <v>39142</v>
      </c>
      <c r="B9" s="18">
        <f>IF(VLOOKUP(A9,'DB Country PMI'!$A:$AZ,MATCH($A$1,'DB Country PMI'!$A$1:$AZ$1,),)=0,#N/A,VLOOKUP(A9,'DB Country PMI'!$A:$AZ,MATCH($A$1,'DB Country PMI'!$A$1:$AZ$1,),))</f>
        <v/>
      </c>
      <c r="C9" s="24">
        <f>Table13468111214151617[[#This Row],[PMI]]-B8</f>
        <v/>
      </c>
    </row>
    <row r="10">
      <c r="A10" s="10" t="n">
        <v>39173</v>
      </c>
      <c r="B10" s="18">
        <f>IF(VLOOKUP(A10,'DB Country PMI'!$A:$AZ,MATCH($A$1,'DB Country PMI'!$A$1:$AZ$1,),)=0,#N/A,VLOOKUP(A10,'DB Country PMI'!$A:$AZ,MATCH($A$1,'DB Country PMI'!$A$1:$AZ$1,),))</f>
        <v/>
      </c>
      <c r="C10" s="24">
        <f>Table13468111214151617[[#This Row],[PMI]]-B9</f>
        <v/>
      </c>
    </row>
    <row r="11">
      <c r="A11" s="10" t="n">
        <v>39203</v>
      </c>
      <c r="B11" s="18">
        <f>IF(VLOOKUP(A11,'DB Country PMI'!$A:$AZ,MATCH($A$1,'DB Country PMI'!$A$1:$AZ$1,),)=0,#N/A,VLOOKUP(A11,'DB Country PMI'!$A:$AZ,MATCH($A$1,'DB Country PMI'!$A$1:$AZ$1,),))</f>
        <v/>
      </c>
      <c r="C11" s="24">
        <f>Table13468111214151617[[#This Row],[PMI]]-B10</f>
        <v/>
      </c>
    </row>
    <row r="12">
      <c r="A12" s="10" t="n">
        <v>39234</v>
      </c>
      <c r="B12" s="18">
        <f>IF(VLOOKUP(A12,'DB Country PMI'!$A:$AZ,MATCH($A$1,'DB Country PMI'!$A$1:$AZ$1,),)=0,#N/A,VLOOKUP(A12,'DB Country PMI'!$A:$AZ,MATCH($A$1,'DB Country PMI'!$A$1:$AZ$1,),))</f>
        <v/>
      </c>
      <c r="C12" s="24">
        <f>Table13468111214151617[[#This Row],[PMI]]-B11</f>
        <v/>
      </c>
    </row>
    <row r="13">
      <c r="A13" s="10" t="n">
        <v>39264</v>
      </c>
      <c r="B13" s="18">
        <f>IF(VLOOKUP(A13,'DB Country PMI'!$A:$AZ,MATCH($A$1,'DB Country PMI'!$A$1:$AZ$1,),)=0,#N/A,VLOOKUP(A13,'DB Country PMI'!$A:$AZ,MATCH($A$1,'DB Country PMI'!$A$1:$AZ$1,),))</f>
        <v/>
      </c>
      <c r="C13" s="24">
        <f>Table13468111214151617[[#This Row],[PMI]]-B12</f>
        <v/>
      </c>
    </row>
    <row r="14">
      <c r="A14" s="10" t="n">
        <v>39295</v>
      </c>
      <c r="B14" s="18">
        <f>IF(VLOOKUP(A14,'DB Country PMI'!$A:$AZ,MATCH($A$1,'DB Country PMI'!$A$1:$AZ$1,),)=0,#N/A,VLOOKUP(A14,'DB Country PMI'!$A:$AZ,MATCH($A$1,'DB Country PMI'!$A$1:$AZ$1,),))</f>
        <v/>
      </c>
      <c r="C14" s="24">
        <f>Table13468111214151617[[#This Row],[PMI]]-B13</f>
        <v/>
      </c>
    </row>
    <row r="15">
      <c r="A15" s="10" t="n">
        <v>39326</v>
      </c>
      <c r="B15" s="18">
        <f>IF(VLOOKUP(A15,'DB Country PMI'!$A:$AZ,MATCH($A$1,'DB Country PMI'!$A$1:$AZ$1,),)=0,#N/A,VLOOKUP(A15,'DB Country PMI'!$A:$AZ,MATCH($A$1,'DB Country PMI'!$A$1:$AZ$1,),))</f>
        <v/>
      </c>
      <c r="C15" s="24">
        <f>Table13468111214151617[[#This Row],[PMI]]-B14</f>
        <v/>
      </c>
    </row>
    <row r="16">
      <c r="A16" s="10" t="n">
        <v>39356</v>
      </c>
      <c r="B16" s="18">
        <f>IF(VLOOKUP(A16,'DB Country PMI'!$A:$AZ,MATCH($A$1,'DB Country PMI'!$A$1:$AZ$1,),)=0,#N/A,VLOOKUP(A16,'DB Country PMI'!$A:$AZ,MATCH($A$1,'DB Country PMI'!$A$1:$AZ$1,),))</f>
        <v/>
      </c>
      <c r="C16" s="24">
        <f>Table13468111214151617[[#This Row],[PMI]]-B15</f>
        <v/>
      </c>
    </row>
    <row r="17">
      <c r="A17" s="10" t="n">
        <v>39387</v>
      </c>
      <c r="B17" s="18">
        <f>IF(VLOOKUP(A17,'DB Country PMI'!$A:$AZ,MATCH($A$1,'DB Country PMI'!$A$1:$AZ$1,),)=0,#N/A,VLOOKUP(A17,'DB Country PMI'!$A:$AZ,MATCH($A$1,'DB Country PMI'!$A$1:$AZ$1,),))</f>
        <v/>
      </c>
      <c r="C17" s="24">
        <f>Table13468111214151617[[#This Row],[PMI]]-B16</f>
        <v/>
      </c>
    </row>
    <row r="18">
      <c r="A18" s="10" t="n">
        <v>39417</v>
      </c>
      <c r="B18" s="18">
        <f>IF(VLOOKUP(A18,'DB Country PMI'!$A:$AZ,MATCH($A$1,'DB Country PMI'!$A$1:$AZ$1,),)=0,#N/A,VLOOKUP(A18,'DB Country PMI'!$A:$AZ,MATCH($A$1,'DB Country PMI'!$A$1:$AZ$1,),))</f>
        <v/>
      </c>
      <c r="C18" s="24">
        <f>Table13468111214151617[[#This Row],[PMI]]-B17</f>
        <v/>
      </c>
    </row>
    <row r="19">
      <c r="A19" s="10" t="n">
        <v>39448</v>
      </c>
      <c r="B19" s="18">
        <f>IF(VLOOKUP(A19,'DB Country PMI'!$A:$AZ,MATCH($A$1,'DB Country PMI'!$A$1:$AZ$1,),)=0,#N/A,VLOOKUP(A19,'DB Country PMI'!$A:$AZ,MATCH($A$1,'DB Country PMI'!$A$1:$AZ$1,),))</f>
        <v/>
      </c>
      <c r="C19" s="24">
        <f>Table13468111214151617[[#This Row],[PMI]]-B18</f>
        <v/>
      </c>
    </row>
    <row r="20">
      <c r="A20" s="10" t="n">
        <v>39479</v>
      </c>
      <c r="B20" s="18">
        <f>IF(VLOOKUP(A20,'DB Country PMI'!$A:$AZ,MATCH($A$1,'DB Country PMI'!$A$1:$AZ$1,),)=0,#N/A,VLOOKUP(A20,'DB Country PMI'!$A:$AZ,MATCH($A$1,'DB Country PMI'!$A$1:$AZ$1,),))</f>
        <v/>
      </c>
      <c r="C20" s="24">
        <f>Table13468111214151617[[#This Row],[PMI]]-B19</f>
        <v/>
      </c>
    </row>
    <row r="21">
      <c r="A21" s="10" t="n">
        <v>39508</v>
      </c>
      <c r="B21" s="18">
        <f>IF(VLOOKUP(A21,'DB Country PMI'!$A:$AZ,MATCH($A$1,'DB Country PMI'!$A$1:$AZ$1,),)=0,#N/A,VLOOKUP(A21,'DB Country PMI'!$A:$AZ,MATCH($A$1,'DB Country PMI'!$A$1:$AZ$1,),))</f>
        <v/>
      </c>
      <c r="C21" s="24">
        <f>Table13468111214151617[[#This Row],[PMI]]-B20</f>
        <v/>
      </c>
    </row>
    <row r="22">
      <c r="A22" s="10" t="n">
        <v>39539</v>
      </c>
      <c r="B22" s="18">
        <f>IF(VLOOKUP(A22,'DB Country PMI'!$A:$AZ,MATCH($A$1,'DB Country PMI'!$A$1:$AZ$1,),)=0,#N/A,VLOOKUP(A22,'DB Country PMI'!$A:$AZ,MATCH($A$1,'DB Country PMI'!$A$1:$AZ$1,),))</f>
        <v/>
      </c>
      <c r="C22" s="24">
        <f>Table13468111214151617[[#This Row],[PMI]]-B21</f>
        <v/>
      </c>
    </row>
    <row r="23">
      <c r="A23" s="10" t="n">
        <v>39569</v>
      </c>
      <c r="B23" s="18">
        <f>IF(VLOOKUP(A23,'DB Country PMI'!$A:$AZ,MATCH($A$1,'DB Country PMI'!$A$1:$AZ$1,),)=0,#N/A,VLOOKUP(A23,'DB Country PMI'!$A:$AZ,MATCH($A$1,'DB Country PMI'!$A$1:$AZ$1,),))</f>
        <v/>
      </c>
      <c r="C23" s="24">
        <f>Table13468111214151617[[#This Row],[PMI]]-B22</f>
        <v/>
      </c>
    </row>
    <row r="24">
      <c r="A24" s="10" t="n">
        <v>39600</v>
      </c>
      <c r="B24" s="18">
        <f>IF(VLOOKUP(A24,'DB Country PMI'!$A:$AZ,MATCH($A$1,'DB Country PMI'!$A$1:$AZ$1,),)=0,#N/A,VLOOKUP(A24,'DB Country PMI'!$A:$AZ,MATCH($A$1,'DB Country PMI'!$A$1:$AZ$1,),))</f>
        <v/>
      </c>
      <c r="C24" s="24">
        <f>Table13468111214151617[[#This Row],[PMI]]-B23</f>
        <v/>
      </c>
    </row>
    <row r="25">
      <c r="A25" s="10" t="n">
        <v>39630</v>
      </c>
      <c r="B25" s="18">
        <f>IF(VLOOKUP(A25,'DB Country PMI'!$A:$AZ,MATCH($A$1,'DB Country PMI'!$A$1:$AZ$1,),)=0,#N/A,VLOOKUP(A25,'DB Country PMI'!$A:$AZ,MATCH($A$1,'DB Country PMI'!$A$1:$AZ$1,),))</f>
        <v/>
      </c>
      <c r="C25" s="24">
        <f>Table13468111214151617[[#This Row],[PMI]]-B24</f>
        <v/>
      </c>
    </row>
    <row r="26">
      <c r="A26" s="10" t="n">
        <v>39661</v>
      </c>
      <c r="B26" s="18">
        <f>IF(VLOOKUP(A26,'DB Country PMI'!$A:$AZ,MATCH($A$1,'DB Country PMI'!$A$1:$AZ$1,),)=0,#N/A,VLOOKUP(A26,'DB Country PMI'!$A:$AZ,MATCH($A$1,'DB Country PMI'!$A$1:$AZ$1,),))</f>
        <v/>
      </c>
      <c r="C26" s="24">
        <f>Table13468111214151617[[#This Row],[PMI]]-B25</f>
        <v/>
      </c>
    </row>
    <row r="27">
      <c r="A27" s="10" t="n">
        <v>39692</v>
      </c>
      <c r="B27" s="18">
        <f>IF(VLOOKUP(A27,'DB Country PMI'!$A:$AZ,MATCH($A$1,'DB Country PMI'!$A$1:$AZ$1,),)=0,#N/A,VLOOKUP(A27,'DB Country PMI'!$A:$AZ,MATCH($A$1,'DB Country PMI'!$A$1:$AZ$1,),))</f>
        <v/>
      </c>
      <c r="C27" s="24">
        <f>Table13468111214151617[[#This Row],[PMI]]-B26</f>
        <v/>
      </c>
    </row>
    <row r="28">
      <c r="A28" s="10" t="n">
        <v>39722</v>
      </c>
      <c r="B28" s="18">
        <f>IF(VLOOKUP(A28,'DB Country PMI'!$A:$AZ,MATCH($A$1,'DB Country PMI'!$A$1:$AZ$1,),)=0,#N/A,VLOOKUP(A28,'DB Country PMI'!$A:$AZ,MATCH($A$1,'DB Country PMI'!$A$1:$AZ$1,),))</f>
        <v/>
      </c>
      <c r="C28" s="24">
        <f>Table13468111214151617[[#This Row],[PMI]]-B27</f>
        <v/>
      </c>
    </row>
    <row r="29">
      <c r="A29" s="10" t="n">
        <v>39753</v>
      </c>
      <c r="B29" s="18">
        <f>IF(VLOOKUP(A29,'DB Country PMI'!$A:$AZ,MATCH($A$1,'DB Country PMI'!$A$1:$AZ$1,),)=0,#N/A,VLOOKUP(A29,'DB Country PMI'!$A:$AZ,MATCH($A$1,'DB Country PMI'!$A$1:$AZ$1,),))</f>
        <v/>
      </c>
      <c r="C29" s="24">
        <f>Table13468111214151617[[#This Row],[PMI]]-B28</f>
        <v/>
      </c>
    </row>
    <row r="30">
      <c r="A30" s="10" t="n">
        <v>39783</v>
      </c>
      <c r="B30" s="18">
        <f>IF(VLOOKUP(A30,'DB Country PMI'!$A:$AZ,MATCH($A$1,'DB Country PMI'!$A$1:$AZ$1,),)=0,#N/A,VLOOKUP(A30,'DB Country PMI'!$A:$AZ,MATCH($A$1,'DB Country PMI'!$A$1:$AZ$1,),))</f>
        <v/>
      </c>
      <c r="C30" s="24">
        <f>Table13468111214151617[[#This Row],[PMI]]-B29</f>
        <v/>
      </c>
    </row>
    <row r="31">
      <c r="A31" s="10" t="n">
        <v>39814</v>
      </c>
      <c r="B31" s="18">
        <f>IF(VLOOKUP(A31,'DB Country PMI'!$A:$AZ,MATCH($A$1,'DB Country PMI'!$A$1:$AZ$1,),)=0,#N/A,VLOOKUP(A31,'DB Country PMI'!$A:$AZ,MATCH($A$1,'DB Country PMI'!$A$1:$AZ$1,),))</f>
        <v/>
      </c>
      <c r="C31" s="24">
        <f>Table13468111214151617[[#This Row],[PMI]]-B30</f>
        <v/>
      </c>
    </row>
    <row r="32">
      <c r="A32" s="10" t="n">
        <v>39845</v>
      </c>
      <c r="B32" s="18">
        <f>IF(VLOOKUP(A32,'DB Country PMI'!$A:$AZ,MATCH($A$1,'DB Country PMI'!$A$1:$AZ$1,),)=0,#N/A,VLOOKUP(A32,'DB Country PMI'!$A:$AZ,MATCH($A$1,'DB Country PMI'!$A$1:$AZ$1,),))</f>
        <v/>
      </c>
      <c r="C32" s="24">
        <f>Table13468111214151617[[#This Row],[PMI]]-B31</f>
        <v/>
      </c>
    </row>
    <row r="33">
      <c r="A33" s="10" t="n">
        <v>39873</v>
      </c>
      <c r="B33" s="18">
        <f>IF(VLOOKUP(A33,'DB Country PMI'!$A:$AZ,MATCH($A$1,'DB Country PMI'!$A$1:$AZ$1,),)=0,#N/A,VLOOKUP(A33,'DB Country PMI'!$A:$AZ,MATCH($A$1,'DB Country PMI'!$A$1:$AZ$1,),))</f>
        <v/>
      </c>
      <c r="C33" s="24">
        <f>Table13468111214151617[[#This Row],[PMI]]-B32</f>
        <v/>
      </c>
    </row>
    <row r="34">
      <c r="A34" s="10" t="n">
        <v>39904</v>
      </c>
      <c r="B34" s="18">
        <f>IF(VLOOKUP(A34,'DB Country PMI'!$A:$AZ,MATCH($A$1,'DB Country PMI'!$A$1:$AZ$1,),)=0,#N/A,VLOOKUP(A34,'DB Country PMI'!$A:$AZ,MATCH($A$1,'DB Country PMI'!$A$1:$AZ$1,),))</f>
        <v/>
      </c>
      <c r="C34" s="24">
        <f>Table13468111214151617[[#This Row],[PMI]]-B33</f>
        <v/>
      </c>
    </row>
    <row r="35">
      <c r="A35" s="10" t="n">
        <v>39934</v>
      </c>
      <c r="B35" s="18">
        <f>IF(VLOOKUP(A35,'DB Country PMI'!$A:$AZ,MATCH($A$1,'DB Country PMI'!$A$1:$AZ$1,),)=0,#N/A,VLOOKUP(A35,'DB Country PMI'!$A:$AZ,MATCH($A$1,'DB Country PMI'!$A$1:$AZ$1,),))</f>
        <v/>
      </c>
      <c r="C35" s="24">
        <f>Table13468111214151617[[#This Row],[PMI]]-B34</f>
        <v/>
      </c>
    </row>
    <row r="36">
      <c r="A36" s="10" t="n">
        <v>39965</v>
      </c>
      <c r="B36" s="18">
        <f>IF(VLOOKUP(A36,'DB Country PMI'!$A:$AZ,MATCH($A$1,'DB Country PMI'!$A$1:$AZ$1,),)=0,#N/A,VLOOKUP(A36,'DB Country PMI'!$A:$AZ,MATCH($A$1,'DB Country PMI'!$A$1:$AZ$1,),))</f>
        <v/>
      </c>
      <c r="C36" s="24">
        <f>Table13468111214151617[[#This Row],[PMI]]-B35</f>
        <v/>
      </c>
    </row>
    <row r="37">
      <c r="A37" s="10" t="n">
        <v>39995</v>
      </c>
      <c r="B37" s="18">
        <f>IF(VLOOKUP(A37,'DB Country PMI'!$A:$AZ,MATCH($A$1,'DB Country PMI'!$A$1:$AZ$1,),)=0,#N/A,VLOOKUP(A37,'DB Country PMI'!$A:$AZ,MATCH($A$1,'DB Country PMI'!$A$1:$AZ$1,),))</f>
        <v/>
      </c>
      <c r="C37" s="24">
        <f>Table13468111214151617[[#This Row],[PMI]]-B36</f>
        <v/>
      </c>
    </row>
    <row r="38">
      <c r="A38" s="10" t="n">
        <v>40026</v>
      </c>
      <c r="B38" s="18">
        <f>IF(VLOOKUP(A38,'DB Country PMI'!$A:$AZ,MATCH($A$1,'DB Country PMI'!$A$1:$AZ$1,),)=0,#N/A,VLOOKUP(A38,'DB Country PMI'!$A:$AZ,MATCH($A$1,'DB Country PMI'!$A$1:$AZ$1,),))</f>
        <v/>
      </c>
      <c r="C38" s="24">
        <f>Table13468111214151617[[#This Row],[PMI]]-B37</f>
        <v/>
      </c>
    </row>
    <row r="39">
      <c r="A39" s="10" t="n">
        <v>40057</v>
      </c>
      <c r="B39" s="18">
        <f>IF(VLOOKUP(A39,'DB Country PMI'!$A:$AZ,MATCH($A$1,'DB Country PMI'!$A$1:$AZ$1,),)=0,#N/A,VLOOKUP(A39,'DB Country PMI'!$A:$AZ,MATCH($A$1,'DB Country PMI'!$A$1:$AZ$1,),))</f>
        <v/>
      </c>
      <c r="C39" s="24">
        <f>Table13468111214151617[[#This Row],[PMI]]-B38</f>
        <v/>
      </c>
    </row>
    <row r="40">
      <c r="A40" s="10" t="n">
        <v>40087</v>
      </c>
      <c r="B40" s="18">
        <f>IF(VLOOKUP(A40,'DB Country PMI'!$A:$AZ,MATCH($A$1,'DB Country PMI'!$A$1:$AZ$1,),)=0,#N/A,VLOOKUP(A40,'DB Country PMI'!$A:$AZ,MATCH($A$1,'DB Country PMI'!$A$1:$AZ$1,),))</f>
        <v/>
      </c>
      <c r="C40" s="24">
        <f>Table13468111214151617[[#This Row],[PMI]]-B39</f>
        <v/>
      </c>
    </row>
    <row r="41">
      <c r="A41" s="10" t="n">
        <v>40118</v>
      </c>
      <c r="B41" s="18">
        <f>IF(VLOOKUP(A41,'DB Country PMI'!$A:$AZ,MATCH($A$1,'DB Country PMI'!$A$1:$AZ$1,),)=0,#N/A,VLOOKUP(A41,'DB Country PMI'!$A:$AZ,MATCH($A$1,'DB Country PMI'!$A$1:$AZ$1,),))</f>
        <v/>
      </c>
      <c r="C41" s="24">
        <f>Table13468111214151617[[#This Row],[PMI]]-B40</f>
        <v/>
      </c>
    </row>
    <row r="42">
      <c r="A42" s="10" t="n">
        <v>40148</v>
      </c>
      <c r="B42" s="18">
        <f>IF(VLOOKUP(A42,'DB Country PMI'!$A:$AZ,MATCH($A$1,'DB Country PMI'!$A$1:$AZ$1,),)=0,#N/A,VLOOKUP(A42,'DB Country PMI'!$A:$AZ,MATCH($A$1,'DB Country PMI'!$A$1:$AZ$1,),))</f>
        <v/>
      </c>
      <c r="C42" s="24">
        <f>Table13468111214151617[[#This Row],[PMI]]-B41</f>
        <v/>
      </c>
    </row>
    <row r="43">
      <c r="A43" s="10" t="n">
        <v>40179</v>
      </c>
      <c r="B43" s="18">
        <f>IF(VLOOKUP(A43,'DB Country PMI'!$A:$AZ,MATCH($A$1,'DB Country PMI'!$A$1:$AZ$1,),)=0,#N/A,VLOOKUP(A43,'DB Country PMI'!$A:$AZ,MATCH($A$1,'DB Country PMI'!$A$1:$AZ$1,),))</f>
        <v/>
      </c>
      <c r="C43" s="24">
        <f>Table13468111214151617[[#This Row],[PMI]]-B42</f>
        <v/>
      </c>
    </row>
    <row r="44">
      <c r="A44" s="10" t="n">
        <v>40210</v>
      </c>
      <c r="B44" s="18">
        <f>IF(VLOOKUP(A44,'DB Country PMI'!$A:$AZ,MATCH($A$1,'DB Country PMI'!$A$1:$AZ$1,),)=0,#N/A,VLOOKUP(A44,'DB Country PMI'!$A:$AZ,MATCH($A$1,'DB Country PMI'!$A$1:$AZ$1,),))</f>
        <v/>
      </c>
      <c r="C44" s="24">
        <f>Table13468111214151617[[#This Row],[PMI]]-B43</f>
        <v/>
      </c>
    </row>
    <row r="45">
      <c r="A45" s="10" t="n">
        <v>40238</v>
      </c>
      <c r="B45" s="18">
        <f>IF(VLOOKUP(A45,'DB Country PMI'!$A:$AZ,MATCH($A$1,'DB Country PMI'!$A$1:$AZ$1,),)=0,#N/A,VLOOKUP(A45,'DB Country PMI'!$A:$AZ,MATCH($A$1,'DB Country PMI'!$A$1:$AZ$1,),))</f>
        <v/>
      </c>
      <c r="C45" s="24">
        <f>Table13468111214151617[[#This Row],[PMI]]-B44</f>
        <v/>
      </c>
    </row>
    <row r="46">
      <c r="A46" s="10" t="n">
        <v>40269</v>
      </c>
      <c r="B46" s="18">
        <f>IF(VLOOKUP(A46,'DB Country PMI'!$A:$AZ,MATCH($A$1,'DB Country PMI'!$A$1:$AZ$1,),)=0,#N/A,VLOOKUP(A46,'DB Country PMI'!$A:$AZ,MATCH($A$1,'DB Country PMI'!$A$1:$AZ$1,),))</f>
        <v/>
      </c>
      <c r="C46" s="24">
        <f>Table13468111214151617[[#This Row],[PMI]]-B45</f>
        <v/>
      </c>
    </row>
    <row r="47">
      <c r="A47" s="10" t="n">
        <v>40299</v>
      </c>
      <c r="B47" s="18">
        <f>IF(VLOOKUP(A47,'DB Country PMI'!$A:$AZ,MATCH($A$1,'DB Country PMI'!$A$1:$AZ$1,),)=0,#N/A,VLOOKUP(A47,'DB Country PMI'!$A:$AZ,MATCH($A$1,'DB Country PMI'!$A$1:$AZ$1,),))</f>
        <v/>
      </c>
      <c r="C47" s="24">
        <f>Table13468111214151617[[#This Row],[PMI]]-B46</f>
        <v/>
      </c>
    </row>
    <row r="48">
      <c r="A48" s="10" t="n">
        <v>40330</v>
      </c>
      <c r="B48" s="18">
        <f>IF(VLOOKUP(A48,'DB Country PMI'!$A:$AZ,MATCH($A$1,'DB Country PMI'!$A$1:$AZ$1,),)=0,#N/A,VLOOKUP(A48,'DB Country PMI'!$A:$AZ,MATCH($A$1,'DB Country PMI'!$A$1:$AZ$1,),))</f>
        <v/>
      </c>
      <c r="C48" s="24">
        <f>Table13468111214151617[[#This Row],[PMI]]-B47</f>
        <v/>
      </c>
    </row>
    <row r="49">
      <c r="A49" s="10" t="n">
        <v>40360</v>
      </c>
      <c r="B49" s="18">
        <f>IF(VLOOKUP(A49,'DB Country PMI'!$A:$AZ,MATCH($A$1,'DB Country PMI'!$A$1:$AZ$1,),)=0,#N/A,VLOOKUP(A49,'DB Country PMI'!$A:$AZ,MATCH($A$1,'DB Country PMI'!$A$1:$AZ$1,),))</f>
        <v/>
      </c>
      <c r="C49" s="24">
        <f>Table13468111214151617[[#This Row],[PMI]]-B48</f>
        <v/>
      </c>
    </row>
    <row r="50">
      <c r="A50" s="10" t="n">
        <v>40391</v>
      </c>
      <c r="B50" s="18">
        <f>IF(VLOOKUP(A50,'DB Country PMI'!$A:$AZ,MATCH($A$1,'DB Country PMI'!$A$1:$AZ$1,),)=0,#N/A,VLOOKUP(A50,'DB Country PMI'!$A:$AZ,MATCH($A$1,'DB Country PMI'!$A$1:$AZ$1,),))</f>
        <v/>
      </c>
      <c r="C50" s="24">
        <f>Table13468111214151617[[#This Row],[PMI]]-B49</f>
        <v/>
      </c>
    </row>
    <row r="51">
      <c r="A51" s="10" t="n">
        <v>40422</v>
      </c>
      <c r="B51" s="18">
        <f>IF(VLOOKUP(A51,'DB Country PMI'!$A:$AZ,MATCH($A$1,'DB Country PMI'!$A$1:$AZ$1,),)=0,#N/A,VLOOKUP(A51,'DB Country PMI'!$A:$AZ,MATCH($A$1,'DB Country PMI'!$A$1:$AZ$1,),))</f>
        <v/>
      </c>
      <c r="C51" s="24">
        <f>Table13468111214151617[[#This Row],[PMI]]-B50</f>
        <v/>
      </c>
    </row>
    <row r="52">
      <c r="A52" s="10" t="n">
        <v>40452</v>
      </c>
      <c r="B52" s="18">
        <f>IF(VLOOKUP(A52,'DB Country PMI'!$A:$AZ,MATCH($A$1,'DB Country PMI'!$A$1:$AZ$1,),)=0,#N/A,VLOOKUP(A52,'DB Country PMI'!$A:$AZ,MATCH($A$1,'DB Country PMI'!$A$1:$AZ$1,),))</f>
        <v/>
      </c>
      <c r="C52" s="24">
        <f>Table13468111214151617[[#This Row],[PMI]]-B51</f>
        <v/>
      </c>
    </row>
    <row r="53">
      <c r="A53" s="10" t="n">
        <v>40483</v>
      </c>
      <c r="B53" s="18">
        <f>IF(VLOOKUP(A53,'DB Country PMI'!$A:$AZ,MATCH($A$1,'DB Country PMI'!$A$1:$AZ$1,),)=0,#N/A,VLOOKUP(A53,'DB Country PMI'!$A:$AZ,MATCH($A$1,'DB Country PMI'!$A$1:$AZ$1,),))</f>
        <v/>
      </c>
      <c r="C53" s="24">
        <f>Table13468111214151617[[#This Row],[PMI]]-B52</f>
        <v/>
      </c>
    </row>
    <row r="54">
      <c r="A54" s="10" t="n">
        <v>40513</v>
      </c>
      <c r="B54" s="18">
        <f>IF(VLOOKUP(A54,'DB Country PMI'!$A:$AZ,MATCH($A$1,'DB Country PMI'!$A$1:$AZ$1,),)=0,#N/A,VLOOKUP(A54,'DB Country PMI'!$A:$AZ,MATCH($A$1,'DB Country PMI'!$A$1:$AZ$1,),))</f>
        <v/>
      </c>
      <c r="C54" s="24">
        <f>Table13468111214151617[[#This Row],[PMI]]-B53</f>
        <v/>
      </c>
    </row>
    <row r="55">
      <c r="A55" s="10" t="n">
        <v>40544</v>
      </c>
      <c r="B55" s="18">
        <f>IF(VLOOKUP(A55,'DB Country PMI'!$A:$AZ,MATCH($A$1,'DB Country PMI'!$A$1:$AZ$1,),)=0,#N/A,VLOOKUP(A55,'DB Country PMI'!$A:$AZ,MATCH($A$1,'DB Country PMI'!$A$1:$AZ$1,),))</f>
        <v/>
      </c>
      <c r="C55" s="24">
        <f>Table13468111214151617[[#This Row],[PMI]]-B54</f>
        <v/>
      </c>
    </row>
    <row r="56">
      <c r="A56" s="10" t="n">
        <v>40575</v>
      </c>
      <c r="B56" s="18">
        <f>IF(VLOOKUP(A56,'DB Country PMI'!$A:$AZ,MATCH($A$1,'DB Country PMI'!$A$1:$AZ$1,),)=0,#N/A,VLOOKUP(A56,'DB Country PMI'!$A:$AZ,MATCH($A$1,'DB Country PMI'!$A$1:$AZ$1,),))</f>
        <v/>
      </c>
      <c r="C56" s="24">
        <f>Table13468111214151617[[#This Row],[PMI]]-B55</f>
        <v/>
      </c>
    </row>
    <row r="57">
      <c r="A57" s="10" t="n">
        <v>40603</v>
      </c>
      <c r="B57" s="18">
        <f>IF(VLOOKUP(A57,'DB Country PMI'!$A:$AZ,MATCH($A$1,'DB Country PMI'!$A$1:$AZ$1,),)=0,#N/A,VLOOKUP(A57,'DB Country PMI'!$A:$AZ,MATCH($A$1,'DB Country PMI'!$A$1:$AZ$1,),))</f>
        <v/>
      </c>
      <c r="C57" s="24">
        <f>Table13468111214151617[[#This Row],[PMI]]-B56</f>
        <v/>
      </c>
    </row>
    <row r="58">
      <c r="A58" s="10" t="n">
        <v>40634</v>
      </c>
      <c r="B58" s="18">
        <f>IF(VLOOKUP(A58,'DB Country PMI'!$A:$AZ,MATCH($A$1,'DB Country PMI'!$A$1:$AZ$1,),)=0,#N/A,VLOOKUP(A58,'DB Country PMI'!$A:$AZ,MATCH($A$1,'DB Country PMI'!$A$1:$AZ$1,),))</f>
        <v/>
      </c>
      <c r="C58" s="24">
        <f>Table13468111214151617[[#This Row],[PMI]]-B57</f>
        <v/>
      </c>
    </row>
    <row r="59">
      <c r="A59" s="10" t="n">
        <v>40664</v>
      </c>
      <c r="B59" s="18">
        <f>IF(VLOOKUP(A59,'DB Country PMI'!$A:$AZ,MATCH($A$1,'DB Country PMI'!$A$1:$AZ$1,),)=0,#N/A,VLOOKUP(A59,'DB Country PMI'!$A:$AZ,MATCH($A$1,'DB Country PMI'!$A$1:$AZ$1,),))</f>
        <v/>
      </c>
      <c r="C59" s="24">
        <f>Table13468111214151617[[#This Row],[PMI]]-B58</f>
        <v/>
      </c>
    </row>
    <row r="60">
      <c r="A60" s="10" t="n">
        <v>40695</v>
      </c>
      <c r="B60" s="18">
        <f>IF(VLOOKUP(A60,'DB Country PMI'!$A:$AZ,MATCH($A$1,'DB Country PMI'!$A$1:$AZ$1,),)=0,#N/A,VLOOKUP(A60,'DB Country PMI'!$A:$AZ,MATCH($A$1,'DB Country PMI'!$A$1:$AZ$1,),))</f>
        <v/>
      </c>
      <c r="C60" s="24">
        <f>Table13468111214151617[[#This Row],[PMI]]-B59</f>
        <v/>
      </c>
    </row>
    <row r="61">
      <c r="A61" s="10" t="n">
        <v>40725</v>
      </c>
      <c r="B61" s="18">
        <f>IF(VLOOKUP(A61,'DB Country PMI'!$A:$AZ,MATCH($A$1,'DB Country PMI'!$A$1:$AZ$1,),)=0,#N/A,VLOOKUP(A61,'DB Country PMI'!$A:$AZ,MATCH($A$1,'DB Country PMI'!$A$1:$AZ$1,),))</f>
        <v/>
      </c>
      <c r="C61" s="24">
        <f>Table13468111214151617[[#This Row],[PMI]]-B60</f>
        <v/>
      </c>
    </row>
    <row r="62">
      <c r="A62" s="10" t="n">
        <v>40756</v>
      </c>
      <c r="B62" s="18">
        <f>IF(VLOOKUP(A62,'DB Country PMI'!$A:$AZ,MATCH($A$1,'DB Country PMI'!$A$1:$AZ$1,),)=0,#N/A,VLOOKUP(A62,'DB Country PMI'!$A:$AZ,MATCH($A$1,'DB Country PMI'!$A$1:$AZ$1,),))</f>
        <v/>
      </c>
      <c r="C62" s="24">
        <f>Table13468111214151617[[#This Row],[PMI]]-B61</f>
        <v/>
      </c>
    </row>
    <row r="63">
      <c r="A63" s="10" t="n">
        <v>40787</v>
      </c>
      <c r="B63" s="18">
        <f>IF(VLOOKUP(A63,'DB Country PMI'!$A:$AZ,MATCH($A$1,'DB Country PMI'!$A$1:$AZ$1,),)=0,#N/A,VLOOKUP(A63,'DB Country PMI'!$A:$AZ,MATCH($A$1,'DB Country PMI'!$A$1:$AZ$1,),))</f>
        <v/>
      </c>
      <c r="C63" s="24">
        <f>Table13468111214151617[[#This Row],[PMI]]-B62</f>
        <v/>
      </c>
    </row>
    <row r="64">
      <c r="A64" s="10" t="n">
        <v>40817</v>
      </c>
      <c r="B64" s="18">
        <f>IF(VLOOKUP(A64,'DB Country PMI'!$A:$AZ,MATCH($A$1,'DB Country PMI'!$A$1:$AZ$1,),)=0,#N/A,VLOOKUP(A64,'DB Country PMI'!$A:$AZ,MATCH($A$1,'DB Country PMI'!$A$1:$AZ$1,),))</f>
        <v/>
      </c>
      <c r="C64" s="24">
        <f>Table13468111214151617[[#This Row],[PMI]]-B63</f>
        <v/>
      </c>
    </row>
    <row r="65">
      <c r="A65" s="10" t="n">
        <v>40848</v>
      </c>
      <c r="B65" s="18">
        <f>IF(VLOOKUP(A65,'DB Country PMI'!$A:$AZ,MATCH($A$1,'DB Country PMI'!$A$1:$AZ$1,),)=0,#N/A,VLOOKUP(A65,'DB Country PMI'!$A:$AZ,MATCH($A$1,'DB Country PMI'!$A$1:$AZ$1,),))</f>
        <v/>
      </c>
      <c r="C65" s="24">
        <f>Table13468111214151617[[#This Row],[PMI]]-B64</f>
        <v/>
      </c>
    </row>
    <row r="66">
      <c r="A66" s="10" t="n">
        <v>40878</v>
      </c>
      <c r="B66" s="18">
        <f>IF(VLOOKUP(A66,'DB Country PMI'!$A:$AZ,MATCH($A$1,'DB Country PMI'!$A$1:$AZ$1,),)=0,#N/A,VLOOKUP(A66,'DB Country PMI'!$A:$AZ,MATCH($A$1,'DB Country PMI'!$A$1:$AZ$1,),))</f>
        <v/>
      </c>
      <c r="C66" s="24">
        <f>Table13468111214151617[[#This Row],[PMI]]-B65</f>
        <v/>
      </c>
    </row>
    <row r="67">
      <c r="A67" s="10" t="n">
        <v>40909</v>
      </c>
      <c r="B67" s="18">
        <f>IF(VLOOKUP(A67,'DB Country PMI'!$A:$AZ,MATCH($A$1,'DB Country PMI'!$A$1:$AZ$1,),)=0,#N/A,VLOOKUP(A67,'DB Country PMI'!$A:$AZ,MATCH($A$1,'DB Country PMI'!$A$1:$AZ$1,),))</f>
        <v/>
      </c>
      <c r="C67" s="24">
        <f>Table13468111214151617[[#This Row],[PMI]]-B66</f>
        <v/>
      </c>
    </row>
    <row r="68">
      <c r="A68" s="10" t="n">
        <v>40940</v>
      </c>
      <c r="B68" s="18">
        <f>IF(VLOOKUP(A68,'DB Country PMI'!$A:$AZ,MATCH($A$1,'DB Country PMI'!$A$1:$AZ$1,),)=0,#N/A,VLOOKUP(A68,'DB Country PMI'!$A:$AZ,MATCH($A$1,'DB Country PMI'!$A$1:$AZ$1,),))</f>
        <v/>
      </c>
      <c r="C68" s="24">
        <f>Table13468111214151617[[#This Row],[PMI]]-B67</f>
        <v/>
      </c>
    </row>
    <row r="69">
      <c r="A69" s="10" t="n">
        <v>40969</v>
      </c>
      <c r="B69" s="18">
        <f>IF(VLOOKUP(A69,'DB Country PMI'!$A:$AZ,MATCH($A$1,'DB Country PMI'!$A$1:$AZ$1,),)=0,#N/A,VLOOKUP(A69,'DB Country PMI'!$A:$AZ,MATCH($A$1,'DB Country PMI'!$A$1:$AZ$1,),))</f>
        <v/>
      </c>
      <c r="C69" s="24">
        <f>Table13468111214151617[[#This Row],[PMI]]-B68</f>
        <v/>
      </c>
    </row>
    <row r="70">
      <c r="A70" s="10" t="n">
        <v>41000</v>
      </c>
      <c r="B70" s="18">
        <f>IF(VLOOKUP(A70,'DB Country PMI'!$A:$AZ,MATCH($A$1,'DB Country PMI'!$A$1:$AZ$1,),)=0,#N/A,VLOOKUP(A70,'DB Country PMI'!$A:$AZ,MATCH($A$1,'DB Country PMI'!$A$1:$AZ$1,),))</f>
        <v/>
      </c>
      <c r="C70" s="24">
        <f>Table13468111214151617[[#This Row],[PMI]]-B69</f>
        <v/>
      </c>
    </row>
    <row r="71">
      <c r="A71" s="10" t="n">
        <v>41030</v>
      </c>
      <c r="B71" s="18">
        <f>IF(VLOOKUP(A71,'DB Country PMI'!$A:$AZ,MATCH($A$1,'DB Country PMI'!$A$1:$AZ$1,),)=0,#N/A,VLOOKUP(A71,'DB Country PMI'!$A:$AZ,MATCH($A$1,'DB Country PMI'!$A$1:$AZ$1,),))</f>
        <v/>
      </c>
      <c r="C71" s="24">
        <f>Table13468111214151617[[#This Row],[PMI]]-B70</f>
        <v/>
      </c>
    </row>
    <row r="72">
      <c r="A72" s="10" t="n">
        <v>41061</v>
      </c>
      <c r="B72" s="18">
        <f>IF(VLOOKUP(A72,'DB Country PMI'!$A:$AZ,MATCH($A$1,'DB Country PMI'!$A$1:$AZ$1,),)=0,#N/A,VLOOKUP(A72,'DB Country PMI'!$A:$AZ,MATCH($A$1,'DB Country PMI'!$A$1:$AZ$1,),))</f>
        <v/>
      </c>
      <c r="C72" s="24">
        <f>Table13468111214151617[[#This Row],[PMI]]-B71</f>
        <v/>
      </c>
    </row>
    <row r="73">
      <c r="A73" s="10" t="n">
        <v>41091</v>
      </c>
      <c r="B73" s="18">
        <f>IF(VLOOKUP(A73,'DB Country PMI'!$A:$AZ,MATCH($A$1,'DB Country PMI'!$A$1:$AZ$1,),)=0,#N/A,VLOOKUP(A73,'DB Country PMI'!$A:$AZ,MATCH($A$1,'DB Country PMI'!$A$1:$AZ$1,),))</f>
        <v/>
      </c>
      <c r="C73" s="24">
        <f>Table13468111214151617[[#This Row],[PMI]]-B72</f>
        <v/>
      </c>
    </row>
    <row r="74">
      <c r="A74" s="10" t="n">
        <v>41122</v>
      </c>
      <c r="B74" s="18">
        <f>IF(VLOOKUP(A74,'DB Country PMI'!$A:$AZ,MATCH($A$1,'DB Country PMI'!$A$1:$AZ$1,),)=0,#N/A,VLOOKUP(A74,'DB Country PMI'!$A:$AZ,MATCH($A$1,'DB Country PMI'!$A$1:$AZ$1,),))</f>
        <v/>
      </c>
      <c r="C74" s="24">
        <f>Table13468111214151617[[#This Row],[PMI]]-B73</f>
        <v/>
      </c>
    </row>
    <row r="75">
      <c r="A75" s="10" t="n">
        <v>41153</v>
      </c>
      <c r="B75" s="18">
        <f>IF(VLOOKUP(A75,'DB Country PMI'!$A:$AZ,MATCH($A$1,'DB Country PMI'!$A$1:$AZ$1,),)=0,#N/A,VLOOKUP(A75,'DB Country PMI'!$A:$AZ,MATCH($A$1,'DB Country PMI'!$A$1:$AZ$1,),))</f>
        <v/>
      </c>
      <c r="C75" s="24">
        <f>Table13468111214151617[[#This Row],[PMI]]-B74</f>
        <v/>
      </c>
    </row>
    <row r="76">
      <c r="A76" s="10" t="n">
        <v>41183</v>
      </c>
      <c r="B76" s="18">
        <f>IF(VLOOKUP(A76,'DB Country PMI'!$A:$AZ,MATCH($A$1,'DB Country PMI'!$A$1:$AZ$1,),)=0,#N/A,VLOOKUP(A76,'DB Country PMI'!$A:$AZ,MATCH($A$1,'DB Country PMI'!$A$1:$AZ$1,),))</f>
        <v/>
      </c>
      <c r="C76" s="24">
        <f>Table13468111214151617[[#This Row],[PMI]]-B75</f>
        <v/>
      </c>
    </row>
    <row r="77">
      <c r="A77" s="10" t="n">
        <v>41214</v>
      </c>
      <c r="B77" s="18">
        <f>IF(VLOOKUP(A77,'DB Country PMI'!$A:$AZ,MATCH($A$1,'DB Country PMI'!$A$1:$AZ$1,),)=0,#N/A,VLOOKUP(A77,'DB Country PMI'!$A:$AZ,MATCH($A$1,'DB Country PMI'!$A$1:$AZ$1,),))</f>
        <v/>
      </c>
      <c r="C77" s="24">
        <f>Table13468111214151617[[#This Row],[PMI]]-B76</f>
        <v/>
      </c>
    </row>
    <row r="78">
      <c r="A78" s="10" t="n">
        <v>41244</v>
      </c>
      <c r="B78" s="18">
        <f>IF(VLOOKUP(A78,'DB Country PMI'!$A:$AZ,MATCH($A$1,'DB Country PMI'!$A$1:$AZ$1,),)=0,#N/A,VLOOKUP(A78,'DB Country PMI'!$A:$AZ,MATCH($A$1,'DB Country PMI'!$A$1:$AZ$1,),))</f>
        <v/>
      </c>
      <c r="C78" s="24">
        <f>Table13468111214151617[[#This Row],[PMI]]-B77</f>
        <v/>
      </c>
    </row>
    <row r="79">
      <c r="A79" s="10" t="n">
        <v>41275</v>
      </c>
      <c r="B79" s="18">
        <f>IF(VLOOKUP(A79,'DB Country PMI'!$A:$AZ,MATCH($A$1,'DB Country PMI'!$A$1:$AZ$1,),)=0,#N/A,VLOOKUP(A79,'DB Country PMI'!$A:$AZ,MATCH($A$1,'DB Country PMI'!$A$1:$AZ$1,),))</f>
        <v/>
      </c>
      <c r="C79" s="24">
        <f>Table13468111214151617[[#This Row],[PMI]]-B78</f>
        <v/>
      </c>
    </row>
    <row r="80">
      <c r="A80" s="10" t="n">
        <v>41306</v>
      </c>
      <c r="B80" s="18">
        <f>IF(VLOOKUP(A80,'DB Country PMI'!$A:$AZ,MATCH($A$1,'DB Country PMI'!$A$1:$AZ$1,),)=0,#N/A,VLOOKUP(A80,'DB Country PMI'!$A:$AZ,MATCH($A$1,'DB Country PMI'!$A$1:$AZ$1,),))</f>
        <v/>
      </c>
      <c r="C80" s="24">
        <f>Table13468111214151617[[#This Row],[PMI]]-B79</f>
        <v/>
      </c>
    </row>
    <row r="81">
      <c r="A81" s="10" t="n">
        <v>41334</v>
      </c>
      <c r="B81" s="18">
        <f>IF(VLOOKUP(A81,'DB Country PMI'!$A:$AZ,MATCH($A$1,'DB Country PMI'!$A$1:$AZ$1,),)=0,#N/A,VLOOKUP(A81,'DB Country PMI'!$A:$AZ,MATCH($A$1,'DB Country PMI'!$A$1:$AZ$1,),))</f>
        <v/>
      </c>
      <c r="C81" s="24">
        <f>Table13468111214151617[[#This Row],[PMI]]-B80</f>
        <v/>
      </c>
    </row>
    <row r="82">
      <c r="A82" s="10" t="n">
        <v>41365</v>
      </c>
      <c r="B82" s="18">
        <f>IF(VLOOKUP(A82,'DB Country PMI'!$A:$AZ,MATCH($A$1,'DB Country PMI'!$A$1:$AZ$1,),)=0,#N/A,VLOOKUP(A82,'DB Country PMI'!$A:$AZ,MATCH($A$1,'DB Country PMI'!$A$1:$AZ$1,),))</f>
        <v/>
      </c>
      <c r="C82" s="24">
        <f>Table13468111214151617[[#This Row],[PMI]]-B81</f>
        <v/>
      </c>
    </row>
    <row r="83">
      <c r="A83" s="10" t="n">
        <v>41395</v>
      </c>
      <c r="B83" s="18">
        <f>IF(VLOOKUP(A83,'DB Country PMI'!$A:$AZ,MATCH($A$1,'DB Country PMI'!$A$1:$AZ$1,),)=0,#N/A,VLOOKUP(A83,'DB Country PMI'!$A:$AZ,MATCH($A$1,'DB Country PMI'!$A$1:$AZ$1,),))</f>
        <v/>
      </c>
      <c r="C83" s="24">
        <f>Table13468111214151617[[#This Row],[PMI]]-B82</f>
        <v/>
      </c>
    </row>
    <row r="84">
      <c r="A84" s="10" t="n">
        <v>41426</v>
      </c>
      <c r="B84" s="18">
        <f>IF(VLOOKUP(A84,'DB Country PMI'!$A:$AZ,MATCH($A$1,'DB Country PMI'!$A$1:$AZ$1,),)=0,#N/A,VLOOKUP(A84,'DB Country PMI'!$A:$AZ,MATCH($A$1,'DB Country PMI'!$A$1:$AZ$1,),))</f>
        <v/>
      </c>
      <c r="C84" s="24">
        <f>Table13468111214151617[[#This Row],[PMI]]-B83</f>
        <v/>
      </c>
    </row>
    <row r="85">
      <c r="A85" s="10" t="n">
        <v>41456</v>
      </c>
      <c r="B85" s="18">
        <f>IF(VLOOKUP(A85,'DB Country PMI'!$A:$AZ,MATCH($A$1,'DB Country PMI'!$A$1:$AZ$1,),)=0,#N/A,VLOOKUP(A85,'DB Country PMI'!$A:$AZ,MATCH($A$1,'DB Country PMI'!$A$1:$AZ$1,),))</f>
        <v/>
      </c>
      <c r="C85" s="24">
        <f>Table13468111214151617[[#This Row],[PMI]]-B84</f>
        <v/>
      </c>
    </row>
    <row r="86">
      <c r="A86" s="10" t="n">
        <v>41487</v>
      </c>
      <c r="B86" s="18">
        <f>IF(VLOOKUP(A86,'DB Country PMI'!$A:$AZ,MATCH($A$1,'DB Country PMI'!$A$1:$AZ$1,),)=0,#N/A,VLOOKUP(A86,'DB Country PMI'!$A:$AZ,MATCH($A$1,'DB Country PMI'!$A$1:$AZ$1,),))</f>
        <v/>
      </c>
      <c r="C86" s="24">
        <f>Table13468111214151617[[#This Row],[PMI]]-B85</f>
        <v/>
      </c>
    </row>
    <row r="87">
      <c r="A87" s="10" t="n">
        <v>41518</v>
      </c>
      <c r="B87" s="18">
        <f>IF(VLOOKUP(A87,'DB Country PMI'!$A:$AZ,MATCH($A$1,'DB Country PMI'!$A$1:$AZ$1,),)=0,#N/A,VLOOKUP(A87,'DB Country PMI'!$A:$AZ,MATCH($A$1,'DB Country PMI'!$A$1:$AZ$1,),))</f>
        <v/>
      </c>
      <c r="C87" s="24">
        <f>Table13468111214151617[[#This Row],[PMI]]-B86</f>
        <v/>
      </c>
    </row>
    <row r="88">
      <c r="A88" s="10" t="n">
        <v>41548</v>
      </c>
      <c r="B88" s="18">
        <f>IF(VLOOKUP(A88,'DB Country PMI'!$A:$AZ,MATCH($A$1,'DB Country PMI'!$A$1:$AZ$1,),)=0,#N/A,VLOOKUP(A88,'DB Country PMI'!$A:$AZ,MATCH($A$1,'DB Country PMI'!$A$1:$AZ$1,),))</f>
        <v/>
      </c>
      <c r="C88" s="24">
        <f>Table13468111214151617[[#This Row],[PMI]]-B87</f>
        <v/>
      </c>
    </row>
    <row r="89">
      <c r="A89" s="10" t="n">
        <v>41579</v>
      </c>
      <c r="B89" s="18">
        <f>IF(VLOOKUP(A89,'DB Country PMI'!$A:$AZ,MATCH($A$1,'DB Country PMI'!$A$1:$AZ$1,),)=0,#N/A,VLOOKUP(A89,'DB Country PMI'!$A:$AZ,MATCH($A$1,'DB Country PMI'!$A$1:$AZ$1,),))</f>
        <v/>
      </c>
      <c r="C89" s="24">
        <f>Table13468111214151617[[#This Row],[PMI]]-B88</f>
        <v/>
      </c>
    </row>
    <row r="90">
      <c r="A90" s="10" t="n">
        <v>41609</v>
      </c>
      <c r="B90" s="18">
        <f>IF(VLOOKUP(A90,'DB Country PMI'!$A:$AZ,MATCH($A$1,'DB Country PMI'!$A$1:$AZ$1,),)=0,#N/A,VLOOKUP(A90,'DB Country PMI'!$A:$AZ,MATCH($A$1,'DB Country PMI'!$A$1:$AZ$1,),))</f>
        <v/>
      </c>
      <c r="C90" s="24">
        <f>Table13468111214151617[[#This Row],[PMI]]-B89</f>
        <v/>
      </c>
    </row>
    <row r="91">
      <c r="A91" s="10" t="n">
        <v>41640</v>
      </c>
      <c r="B91" s="18">
        <f>IF(VLOOKUP(A91,'DB Country PMI'!$A:$AZ,MATCH($A$1,'DB Country PMI'!$A$1:$AZ$1,),)=0,#N/A,VLOOKUP(A91,'DB Country PMI'!$A:$AZ,MATCH($A$1,'DB Country PMI'!$A$1:$AZ$1,),))</f>
        <v/>
      </c>
      <c r="C91" s="24">
        <f>Table13468111214151617[[#This Row],[PMI]]-B90</f>
        <v/>
      </c>
    </row>
    <row r="92">
      <c r="A92" s="10" t="n">
        <v>41671</v>
      </c>
      <c r="B92" s="18">
        <f>IF(VLOOKUP(A92,'DB Country PMI'!$A:$AZ,MATCH($A$1,'DB Country PMI'!$A$1:$AZ$1,),)=0,#N/A,VLOOKUP(A92,'DB Country PMI'!$A:$AZ,MATCH($A$1,'DB Country PMI'!$A$1:$AZ$1,),))</f>
        <v/>
      </c>
      <c r="C92" s="24">
        <f>Table13468111214151617[[#This Row],[PMI]]-B91</f>
        <v/>
      </c>
    </row>
    <row r="93">
      <c r="A93" s="10" t="n">
        <v>41699</v>
      </c>
      <c r="B93" s="18">
        <f>IF(VLOOKUP(A93,'DB Country PMI'!$A:$AZ,MATCH($A$1,'DB Country PMI'!$A$1:$AZ$1,),)=0,#N/A,VLOOKUP(A93,'DB Country PMI'!$A:$AZ,MATCH($A$1,'DB Country PMI'!$A$1:$AZ$1,),))</f>
        <v/>
      </c>
      <c r="C93" s="24">
        <f>Table13468111214151617[[#This Row],[PMI]]-B92</f>
        <v/>
      </c>
    </row>
    <row r="94">
      <c r="A94" s="10" t="n">
        <v>41730</v>
      </c>
      <c r="B94" s="18">
        <f>IF(VLOOKUP(A94,'DB Country PMI'!$A:$AZ,MATCH($A$1,'DB Country PMI'!$A$1:$AZ$1,),)=0,#N/A,VLOOKUP(A94,'DB Country PMI'!$A:$AZ,MATCH($A$1,'DB Country PMI'!$A$1:$AZ$1,),))</f>
        <v/>
      </c>
      <c r="C94" s="24">
        <f>Table13468111214151617[[#This Row],[PMI]]-B93</f>
        <v/>
      </c>
    </row>
    <row r="95">
      <c r="A95" s="10" t="n">
        <v>41760</v>
      </c>
      <c r="B95" s="18">
        <f>IF(VLOOKUP(A95,'DB Country PMI'!$A:$AZ,MATCH($A$1,'DB Country PMI'!$A$1:$AZ$1,),)=0,#N/A,VLOOKUP(A95,'DB Country PMI'!$A:$AZ,MATCH($A$1,'DB Country PMI'!$A$1:$AZ$1,),))</f>
        <v/>
      </c>
      <c r="C95" s="24">
        <f>Table13468111214151617[[#This Row],[PMI]]-B94</f>
        <v/>
      </c>
    </row>
    <row r="96">
      <c r="A96" s="10" t="n">
        <v>41791</v>
      </c>
      <c r="B96" s="18">
        <f>IF(VLOOKUP(A96,'DB Country PMI'!$A:$AZ,MATCH($A$1,'DB Country PMI'!$A$1:$AZ$1,),)=0,#N/A,VLOOKUP(A96,'DB Country PMI'!$A:$AZ,MATCH($A$1,'DB Country PMI'!$A$1:$AZ$1,),))</f>
        <v/>
      </c>
      <c r="C96" s="24">
        <f>Table13468111214151617[[#This Row],[PMI]]-B95</f>
        <v/>
      </c>
    </row>
    <row r="97">
      <c r="A97" s="10" t="n">
        <v>41821</v>
      </c>
      <c r="B97" s="18">
        <f>IF(VLOOKUP(A97,'DB Country PMI'!$A:$AZ,MATCH($A$1,'DB Country PMI'!$A$1:$AZ$1,),)=0,#N/A,VLOOKUP(A97,'DB Country PMI'!$A:$AZ,MATCH($A$1,'DB Country PMI'!$A$1:$AZ$1,),))</f>
        <v/>
      </c>
      <c r="C97" s="24">
        <f>Table13468111214151617[[#This Row],[PMI]]-B96</f>
        <v/>
      </c>
    </row>
    <row r="98">
      <c r="A98" s="10" t="n">
        <v>41852</v>
      </c>
      <c r="B98" s="18">
        <f>IF(VLOOKUP(A98,'DB Country PMI'!$A:$AZ,MATCH($A$1,'DB Country PMI'!$A$1:$AZ$1,),)=0,#N/A,VLOOKUP(A98,'DB Country PMI'!$A:$AZ,MATCH($A$1,'DB Country PMI'!$A$1:$AZ$1,),))</f>
        <v/>
      </c>
      <c r="C98" s="24">
        <f>Table13468111214151617[[#This Row],[PMI]]-B97</f>
        <v/>
      </c>
    </row>
    <row r="99">
      <c r="A99" s="10" t="n">
        <v>41883</v>
      </c>
      <c r="B99" s="18">
        <f>IF(VLOOKUP(A99,'DB Country PMI'!$A:$AZ,MATCH($A$1,'DB Country PMI'!$A$1:$AZ$1,),)=0,#N/A,VLOOKUP(A99,'DB Country PMI'!$A:$AZ,MATCH($A$1,'DB Country PMI'!$A$1:$AZ$1,),))</f>
        <v/>
      </c>
      <c r="C99" s="24">
        <f>Table13468111214151617[[#This Row],[PMI]]-B98</f>
        <v/>
      </c>
    </row>
    <row r="100">
      <c r="A100" s="10" t="n">
        <v>41913</v>
      </c>
      <c r="B100" s="18">
        <f>IF(VLOOKUP(A100,'DB Country PMI'!$A:$AZ,MATCH($A$1,'DB Country PMI'!$A$1:$AZ$1,),)=0,#N/A,VLOOKUP(A100,'DB Country PMI'!$A:$AZ,MATCH($A$1,'DB Country PMI'!$A$1:$AZ$1,),))</f>
        <v/>
      </c>
      <c r="C100" s="24">
        <f>Table13468111214151617[[#This Row],[PMI]]-B99</f>
        <v/>
      </c>
    </row>
    <row r="101">
      <c r="A101" s="10" t="n">
        <v>41944</v>
      </c>
      <c r="B101" s="18">
        <f>IF(VLOOKUP(A101,'DB Country PMI'!$A:$AZ,MATCH($A$1,'DB Country PMI'!$A$1:$AZ$1,),)=0,#N/A,VLOOKUP(A101,'DB Country PMI'!$A:$AZ,MATCH($A$1,'DB Country PMI'!$A$1:$AZ$1,),))</f>
        <v/>
      </c>
      <c r="C101" s="24">
        <f>Table13468111214151617[[#This Row],[PMI]]-B100</f>
        <v/>
      </c>
    </row>
    <row r="102">
      <c r="A102" s="10" t="n">
        <v>41974</v>
      </c>
      <c r="B102" s="18">
        <f>IF(VLOOKUP(A102,'DB Country PMI'!$A:$AZ,MATCH($A$1,'DB Country PMI'!$A$1:$AZ$1,),)=0,#N/A,VLOOKUP(A102,'DB Country PMI'!$A:$AZ,MATCH($A$1,'DB Country PMI'!$A$1:$AZ$1,),))</f>
        <v/>
      </c>
      <c r="C102" s="24">
        <f>Table13468111214151617[[#This Row],[PMI]]-B101</f>
        <v/>
      </c>
    </row>
    <row r="103">
      <c r="A103" s="10" t="n">
        <v>42005</v>
      </c>
      <c r="B103" s="18">
        <f>IF(VLOOKUP(A103,'DB Country PMI'!$A:$AZ,MATCH($A$1,'DB Country PMI'!$A$1:$AZ$1,),)=0,#N/A,VLOOKUP(A103,'DB Country PMI'!$A:$AZ,MATCH($A$1,'DB Country PMI'!$A$1:$AZ$1,),))</f>
        <v/>
      </c>
      <c r="C103" s="24">
        <f>Table13468111214151617[[#This Row],[PMI]]-B102</f>
        <v/>
      </c>
    </row>
    <row r="104">
      <c r="A104" s="10" t="n">
        <v>42036</v>
      </c>
      <c r="B104" s="18">
        <f>IF(VLOOKUP(A104,'DB Country PMI'!$A:$AZ,MATCH($A$1,'DB Country PMI'!$A$1:$AZ$1,),)=0,#N/A,VLOOKUP(A104,'DB Country PMI'!$A:$AZ,MATCH($A$1,'DB Country PMI'!$A$1:$AZ$1,),))</f>
        <v/>
      </c>
      <c r="C104" s="24">
        <f>Table13468111214151617[[#This Row],[PMI]]-B103</f>
        <v/>
      </c>
    </row>
    <row r="105">
      <c r="A105" s="10" t="n">
        <v>42064</v>
      </c>
      <c r="B105" s="18">
        <f>IF(VLOOKUP(A105,'DB Country PMI'!$A:$AZ,MATCH($A$1,'DB Country PMI'!$A$1:$AZ$1,),)=0,#N/A,VLOOKUP(A105,'DB Country PMI'!$A:$AZ,MATCH($A$1,'DB Country PMI'!$A$1:$AZ$1,),))</f>
        <v/>
      </c>
      <c r="C105" s="24">
        <f>Table13468111214151617[[#This Row],[PMI]]-B104</f>
        <v/>
      </c>
    </row>
    <row r="106">
      <c r="A106" s="10" t="n">
        <v>42095</v>
      </c>
      <c r="B106" s="18">
        <f>IF(VLOOKUP(A106,'DB Country PMI'!$A:$AZ,MATCH($A$1,'DB Country PMI'!$A$1:$AZ$1,),)=0,#N/A,VLOOKUP(A106,'DB Country PMI'!$A:$AZ,MATCH($A$1,'DB Country PMI'!$A$1:$AZ$1,),))</f>
        <v/>
      </c>
      <c r="C106" s="24">
        <f>Table13468111214151617[[#This Row],[PMI]]-B105</f>
        <v/>
      </c>
    </row>
    <row r="107">
      <c r="A107" s="10" t="n">
        <v>42125</v>
      </c>
      <c r="B107" s="18">
        <f>IF(VLOOKUP(A107,'DB Country PMI'!$A:$AZ,MATCH($A$1,'DB Country PMI'!$A$1:$AZ$1,),)=0,#N/A,VLOOKUP(A107,'DB Country PMI'!$A:$AZ,MATCH($A$1,'DB Country PMI'!$A$1:$AZ$1,),))</f>
        <v/>
      </c>
      <c r="C107" s="24">
        <f>Table13468111214151617[[#This Row],[PMI]]-B106</f>
        <v/>
      </c>
    </row>
    <row r="108">
      <c r="A108" s="10" t="n">
        <v>42156</v>
      </c>
      <c r="B108" s="18">
        <f>IF(VLOOKUP(A108,'DB Country PMI'!$A:$AZ,MATCH($A$1,'DB Country PMI'!$A$1:$AZ$1,),)=0,#N/A,VLOOKUP(A108,'DB Country PMI'!$A:$AZ,MATCH($A$1,'DB Country PMI'!$A$1:$AZ$1,),))</f>
        <v/>
      </c>
      <c r="C108" s="24">
        <f>Table13468111214151617[[#This Row],[PMI]]-B107</f>
        <v/>
      </c>
    </row>
    <row r="109">
      <c r="A109" s="10" t="n">
        <v>42186</v>
      </c>
      <c r="B109" s="18">
        <f>IF(VLOOKUP(A109,'DB Country PMI'!$A:$AZ,MATCH($A$1,'DB Country PMI'!$A$1:$AZ$1,),)=0,#N/A,VLOOKUP(A109,'DB Country PMI'!$A:$AZ,MATCH($A$1,'DB Country PMI'!$A$1:$AZ$1,),))</f>
        <v/>
      </c>
      <c r="C109" s="24">
        <f>Table13468111214151617[[#This Row],[PMI]]-B108</f>
        <v/>
      </c>
    </row>
    <row r="110">
      <c r="A110" s="10" t="n">
        <v>42217</v>
      </c>
      <c r="B110" s="18">
        <f>IF(VLOOKUP(A110,'DB Country PMI'!$A:$AZ,MATCH($A$1,'DB Country PMI'!$A$1:$AZ$1,),)=0,#N/A,VLOOKUP(A110,'DB Country PMI'!$A:$AZ,MATCH($A$1,'DB Country PMI'!$A$1:$AZ$1,),))</f>
        <v/>
      </c>
      <c r="C110" s="24">
        <f>Table13468111214151617[[#This Row],[PMI]]-B109</f>
        <v/>
      </c>
    </row>
    <row r="111">
      <c r="A111" s="10" t="n">
        <v>42248</v>
      </c>
      <c r="B111" s="18">
        <f>IF(VLOOKUP(A111,'DB Country PMI'!$A:$AZ,MATCH($A$1,'DB Country PMI'!$A$1:$AZ$1,),)=0,#N/A,VLOOKUP(A111,'DB Country PMI'!$A:$AZ,MATCH($A$1,'DB Country PMI'!$A$1:$AZ$1,),))</f>
        <v/>
      </c>
      <c r="C111" s="24">
        <f>Table13468111214151617[[#This Row],[PMI]]-B110</f>
        <v/>
      </c>
    </row>
    <row r="112">
      <c r="A112" s="10" t="n">
        <v>42278</v>
      </c>
      <c r="B112" s="18">
        <f>IF(VLOOKUP(A112,'DB Country PMI'!$A:$AZ,MATCH($A$1,'DB Country PMI'!$A$1:$AZ$1,),)=0,#N/A,VLOOKUP(A112,'DB Country PMI'!$A:$AZ,MATCH($A$1,'DB Country PMI'!$A$1:$AZ$1,),))</f>
        <v/>
      </c>
      <c r="C112" s="24">
        <f>Table13468111214151617[[#This Row],[PMI]]-B111</f>
        <v/>
      </c>
    </row>
    <row r="113">
      <c r="A113" s="10" t="n">
        <v>42309</v>
      </c>
      <c r="B113" s="18">
        <f>IF(VLOOKUP(A113,'DB Country PMI'!$A:$AZ,MATCH($A$1,'DB Country PMI'!$A$1:$AZ$1,),)=0,#N/A,VLOOKUP(A113,'DB Country PMI'!$A:$AZ,MATCH($A$1,'DB Country PMI'!$A$1:$AZ$1,),))</f>
        <v/>
      </c>
      <c r="C113" s="24">
        <f>Table13468111214151617[[#This Row],[PMI]]-B112</f>
        <v/>
      </c>
    </row>
    <row r="114">
      <c r="A114" s="10" t="n">
        <v>42339</v>
      </c>
      <c r="B114" s="18">
        <f>IF(VLOOKUP(A114,'DB Country PMI'!$A:$AZ,MATCH($A$1,'DB Country PMI'!$A$1:$AZ$1,),)=0,#N/A,VLOOKUP(A114,'DB Country PMI'!$A:$AZ,MATCH($A$1,'DB Country PMI'!$A$1:$AZ$1,),))</f>
        <v/>
      </c>
      <c r="C114" s="24">
        <f>Table13468111214151617[[#This Row],[PMI]]-B113</f>
        <v/>
      </c>
    </row>
    <row r="115">
      <c r="A115" s="10" t="n">
        <v>42370</v>
      </c>
      <c r="B115" s="18">
        <f>IF(VLOOKUP(A115,'DB Country PMI'!$A:$AZ,MATCH($A$1,'DB Country PMI'!$A$1:$AZ$1,),)=0,#N/A,VLOOKUP(A115,'DB Country PMI'!$A:$AZ,MATCH($A$1,'DB Country PMI'!$A$1:$AZ$1,),))</f>
        <v/>
      </c>
      <c r="C115" s="24">
        <f>Table13468111214151617[[#This Row],[PMI]]-B114</f>
        <v/>
      </c>
    </row>
    <row r="116">
      <c r="A116" s="10" t="n">
        <v>42401</v>
      </c>
      <c r="B116" s="18">
        <f>IF(VLOOKUP(A116,'DB Country PMI'!$A:$AZ,MATCH($A$1,'DB Country PMI'!$A$1:$AZ$1,),)=0,#N/A,VLOOKUP(A116,'DB Country PMI'!$A:$AZ,MATCH($A$1,'DB Country PMI'!$A$1:$AZ$1,),))</f>
        <v/>
      </c>
      <c r="C116" s="24">
        <f>Table13468111214151617[[#This Row],[PMI]]-B115</f>
        <v/>
      </c>
    </row>
    <row r="117">
      <c r="A117" s="10" t="n">
        <v>42430</v>
      </c>
      <c r="B117" s="18">
        <f>IF(VLOOKUP(A117,'DB Country PMI'!$A:$AZ,MATCH($A$1,'DB Country PMI'!$A$1:$AZ$1,),)=0,#N/A,VLOOKUP(A117,'DB Country PMI'!$A:$AZ,MATCH($A$1,'DB Country PMI'!$A$1:$AZ$1,),))</f>
        <v/>
      </c>
      <c r="C117" s="24">
        <f>Table13468111214151617[[#This Row],[PMI]]-B116</f>
        <v/>
      </c>
    </row>
    <row r="118">
      <c r="A118" s="10" t="n">
        <v>42461</v>
      </c>
      <c r="B118" s="18">
        <f>IF(VLOOKUP(A118,'DB Country PMI'!$A:$AZ,MATCH($A$1,'DB Country PMI'!$A$1:$AZ$1,),)=0,#N/A,VLOOKUP(A118,'DB Country PMI'!$A:$AZ,MATCH($A$1,'DB Country PMI'!$A$1:$AZ$1,),))</f>
        <v/>
      </c>
      <c r="C118" s="24">
        <f>Table13468111214151617[[#This Row],[PMI]]-B117</f>
        <v/>
      </c>
    </row>
    <row r="119">
      <c r="A119" s="10" t="n">
        <v>42491</v>
      </c>
      <c r="B119" s="18">
        <f>IF(VLOOKUP(A119,'DB Country PMI'!$A:$AZ,MATCH($A$1,'DB Country PMI'!$A$1:$AZ$1,),)=0,#N/A,VLOOKUP(A119,'DB Country PMI'!$A:$AZ,MATCH($A$1,'DB Country PMI'!$A$1:$AZ$1,),))</f>
        <v/>
      </c>
      <c r="C119" s="24">
        <f>Table13468111214151617[[#This Row],[PMI]]-B118</f>
        <v/>
      </c>
    </row>
    <row r="120">
      <c r="A120" s="10" t="n">
        <v>42522</v>
      </c>
      <c r="B120" s="18">
        <f>IF(VLOOKUP(A120,'DB Country PMI'!$A:$AZ,MATCH($A$1,'DB Country PMI'!$A$1:$AZ$1,),)=0,#N/A,VLOOKUP(A120,'DB Country PMI'!$A:$AZ,MATCH($A$1,'DB Country PMI'!$A$1:$AZ$1,),))</f>
        <v/>
      </c>
      <c r="C120" s="24">
        <f>Table13468111214151617[[#This Row],[PMI]]-B119</f>
        <v/>
      </c>
    </row>
    <row r="121">
      <c r="A121" s="10" t="n">
        <v>42552</v>
      </c>
      <c r="B121" s="18">
        <f>IF(VLOOKUP(A121,'DB Country PMI'!$A:$AZ,MATCH($A$1,'DB Country PMI'!$A$1:$AZ$1,),)=0,#N/A,VLOOKUP(A121,'DB Country PMI'!$A:$AZ,MATCH($A$1,'DB Country PMI'!$A$1:$AZ$1,),))</f>
        <v/>
      </c>
      <c r="C121" s="24">
        <f>Table13468111214151617[[#This Row],[PMI]]-B120</f>
        <v/>
      </c>
    </row>
    <row r="122">
      <c r="A122" s="10" t="n">
        <v>42583</v>
      </c>
      <c r="B122" s="18">
        <f>IF(VLOOKUP(A122,'DB Country PMI'!$A:$AZ,MATCH($A$1,'DB Country PMI'!$A$1:$AZ$1,),)=0,#N/A,VLOOKUP(A122,'DB Country PMI'!$A:$AZ,MATCH($A$1,'DB Country PMI'!$A$1:$AZ$1,),))</f>
        <v/>
      </c>
      <c r="C122" s="24">
        <f>Table13468111214151617[[#This Row],[PMI]]-B121</f>
        <v/>
      </c>
    </row>
    <row r="123">
      <c r="A123" s="10" t="n">
        <v>42614</v>
      </c>
      <c r="B123" s="18">
        <f>IF(VLOOKUP(A123,'DB Country PMI'!$A:$AZ,MATCH($A$1,'DB Country PMI'!$A$1:$AZ$1,),)=0,#N/A,VLOOKUP(A123,'DB Country PMI'!$A:$AZ,MATCH($A$1,'DB Country PMI'!$A$1:$AZ$1,),))</f>
        <v/>
      </c>
      <c r="C123" s="24">
        <f>Table13468111214151617[[#This Row],[PMI]]-B122</f>
        <v/>
      </c>
    </row>
    <row r="124">
      <c r="A124" s="10" t="n">
        <v>42644</v>
      </c>
      <c r="B124" s="18">
        <f>IF(VLOOKUP(A124,'DB Country PMI'!$A:$AZ,MATCH($A$1,'DB Country PMI'!$A$1:$AZ$1,),)=0,#N/A,VLOOKUP(A124,'DB Country PMI'!$A:$AZ,MATCH($A$1,'DB Country PMI'!$A$1:$AZ$1,),))</f>
        <v/>
      </c>
      <c r="C124" s="24">
        <f>Table13468111214151617[[#This Row],[PMI]]-B123</f>
        <v/>
      </c>
    </row>
    <row r="125">
      <c r="A125" s="10" t="n">
        <v>42675</v>
      </c>
      <c r="B125" s="18">
        <f>IF(VLOOKUP(A125,'DB Country PMI'!$A:$AZ,MATCH($A$1,'DB Country PMI'!$A$1:$AZ$1,),)=0,#N/A,VLOOKUP(A125,'DB Country PMI'!$A:$AZ,MATCH($A$1,'DB Country PMI'!$A$1:$AZ$1,),))</f>
        <v/>
      </c>
      <c r="C125" s="24">
        <f>Table13468111214151617[[#This Row],[PMI]]-B124</f>
        <v/>
      </c>
    </row>
    <row r="126">
      <c r="A126" s="10" t="n">
        <v>42705</v>
      </c>
      <c r="B126" s="18">
        <f>IF(VLOOKUP(A126,'DB Country PMI'!$A:$AZ,MATCH($A$1,'DB Country PMI'!$A$1:$AZ$1,),)=0,#N/A,VLOOKUP(A126,'DB Country PMI'!$A:$AZ,MATCH($A$1,'DB Country PMI'!$A$1:$AZ$1,),))</f>
        <v/>
      </c>
      <c r="C126" s="24">
        <f>Table13468111214151617[[#This Row],[PMI]]-B125</f>
        <v/>
      </c>
    </row>
    <row r="127">
      <c r="A127" s="10" t="n">
        <v>42736</v>
      </c>
      <c r="B127" s="18">
        <f>IF(VLOOKUP(A127,'DB Country PMI'!$A:$AZ,MATCH($A$1,'DB Country PMI'!$A$1:$AZ$1,),)=0,#N/A,VLOOKUP(A127,'DB Country PMI'!$A:$AZ,MATCH($A$1,'DB Country PMI'!$A$1:$AZ$1,),))</f>
        <v/>
      </c>
      <c r="C127" s="24">
        <f>Table13468111214151617[[#This Row],[PMI]]-B126</f>
        <v/>
      </c>
    </row>
    <row r="128">
      <c r="A128" s="10" t="n">
        <v>42767</v>
      </c>
      <c r="B128" s="18">
        <f>IF(VLOOKUP(A128,'DB Country PMI'!$A:$AZ,MATCH($A$1,'DB Country PMI'!$A$1:$AZ$1,),)=0,#N/A,VLOOKUP(A128,'DB Country PMI'!$A:$AZ,MATCH($A$1,'DB Country PMI'!$A$1:$AZ$1,),))</f>
        <v/>
      </c>
      <c r="C128" s="24">
        <f>Table13468111214151617[[#This Row],[PMI]]-B127</f>
        <v/>
      </c>
    </row>
    <row r="129">
      <c r="A129" s="10" t="n">
        <v>42795</v>
      </c>
      <c r="B129" s="18">
        <f>IF(VLOOKUP(A129,'DB Country PMI'!$A:$AZ,MATCH($A$1,'DB Country PMI'!$A$1:$AZ$1,),)=0,#N/A,VLOOKUP(A129,'DB Country PMI'!$A:$AZ,MATCH($A$1,'DB Country PMI'!$A$1:$AZ$1,),))</f>
        <v/>
      </c>
      <c r="C129" s="24">
        <f>Table13468111214151617[[#This Row],[PMI]]-B128</f>
        <v/>
      </c>
    </row>
    <row r="130">
      <c r="A130" s="10" t="n">
        <v>42826</v>
      </c>
      <c r="B130" s="18">
        <f>IF(VLOOKUP(A130,'DB Country PMI'!$A:$AZ,MATCH($A$1,'DB Country PMI'!$A$1:$AZ$1,),)=0,#N/A,VLOOKUP(A130,'DB Country PMI'!$A:$AZ,MATCH($A$1,'DB Country PMI'!$A$1:$AZ$1,),))</f>
        <v/>
      </c>
      <c r="C130" s="24">
        <f>Table13468111214151617[[#This Row],[PMI]]-B129</f>
        <v/>
      </c>
    </row>
    <row r="131">
      <c r="A131" s="10" t="n">
        <v>42856</v>
      </c>
      <c r="B131" s="18">
        <f>IF(VLOOKUP(A131,'DB Country PMI'!$A:$AZ,MATCH($A$1,'DB Country PMI'!$A$1:$AZ$1,),)=0,#N/A,VLOOKUP(A131,'DB Country PMI'!$A:$AZ,MATCH($A$1,'DB Country PMI'!$A$1:$AZ$1,),))</f>
        <v/>
      </c>
      <c r="C131" s="24">
        <f>Table13468111214151617[[#This Row],[PMI]]-B130</f>
        <v/>
      </c>
    </row>
    <row r="132">
      <c r="A132" s="10" t="n">
        <v>42887</v>
      </c>
      <c r="B132" s="18">
        <f>IF(VLOOKUP(A132,'DB Country PMI'!$A:$AZ,MATCH($A$1,'DB Country PMI'!$A$1:$AZ$1,),)=0,#N/A,VLOOKUP(A132,'DB Country PMI'!$A:$AZ,MATCH($A$1,'DB Country PMI'!$A$1:$AZ$1,),))</f>
        <v/>
      </c>
      <c r="C132" s="24">
        <f>Table13468111214151617[[#This Row],[PMI]]-B131</f>
        <v/>
      </c>
    </row>
    <row r="133">
      <c r="A133" s="10" t="n">
        <v>42917</v>
      </c>
      <c r="B133" s="18">
        <f>IF(VLOOKUP(A133,'DB Country PMI'!$A:$AZ,MATCH($A$1,'DB Country PMI'!$A$1:$AZ$1,),)=0,#N/A,VLOOKUP(A133,'DB Country PMI'!$A:$AZ,MATCH($A$1,'DB Country PMI'!$A$1:$AZ$1,),))</f>
        <v/>
      </c>
      <c r="C133" s="24">
        <f>Table13468111214151617[[#This Row],[PMI]]-B132</f>
        <v/>
      </c>
    </row>
    <row r="134">
      <c r="A134" s="10" t="n">
        <v>42948</v>
      </c>
      <c r="B134" s="18">
        <f>IF(VLOOKUP(A134,'DB Country PMI'!$A:$AZ,MATCH($A$1,'DB Country PMI'!$A$1:$AZ$1,),)=0,#N/A,VLOOKUP(A134,'DB Country PMI'!$A:$AZ,MATCH($A$1,'DB Country PMI'!$A$1:$AZ$1,),))</f>
        <v/>
      </c>
      <c r="C134" s="24">
        <f>Table13468111214151617[[#This Row],[PMI]]-B133</f>
        <v/>
      </c>
    </row>
    <row r="135">
      <c r="A135" s="10" t="n">
        <v>42979</v>
      </c>
      <c r="B135" s="18">
        <f>IF(VLOOKUP(A135,'DB Country PMI'!$A:$AZ,MATCH($A$1,'DB Country PMI'!$A$1:$AZ$1,),)=0,#N/A,VLOOKUP(A135,'DB Country PMI'!$A:$AZ,MATCH($A$1,'DB Country PMI'!$A$1:$AZ$1,),))</f>
        <v/>
      </c>
      <c r="C135" s="24">
        <f>Table13468111214151617[[#This Row],[PMI]]-B134</f>
        <v/>
      </c>
    </row>
    <row r="136">
      <c r="A136" s="10" t="n">
        <v>43009</v>
      </c>
      <c r="B136" s="18">
        <f>IF(VLOOKUP(A136,'DB Country PMI'!$A:$AZ,MATCH($A$1,'DB Country PMI'!$A$1:$AZ$1,),)=0,#N/A,VLOOKUP(A136,'DB Country PMI'!$A:$AZ,MATCH($A$1,'DB Country PMI'!$A$1:$AZ$1,),))</f>
        <v/>
      </c>
      <c r="C136" s="24">
        <f>Table13468111214151617[[#This Row],[PMI]]-B135</f>
        <v/>
      </c>
    </row>
    <row r="137">
      <c r="A137" s="10" t="n">
        <v>43040</v>
      </c>
      <c r="B137" s="18">
        <f>IF(VLOOKUP(A137,'DB Country PMI'!$A:$AZ,MATCH($A$1,'DB Country PMI'!$A$1:$AZ$1,),)=0,#N/A,VLOOKUP(A137,'DB Country PMI'!$A:$AZ,MATCH($A$1,'DB Country PMI'!$A$1:$AZ$1,),))</f>
        <v/>
      </c>
      <c r="C137" s="24">
        <f>Table13468111214151617[[#This Row],[PMI]]-B136</f>
        <v/>
      </c>
    </row>
    <row r="138">
      <c r="A138" s="10" t="n">
        <v>43070</v>
      </c>
      <c r="B138" s="18">
        <f>IF(VLOOKUP(A138,'DB Country PMI'!$A:$AZ,MATCH($A$1,'DB Country PMI'!$A$1:$AZ$1,),)=0,#N/A,VLOOKUP(A138,'DB Country PMI'!$A:$AZ,MATCH($A$1,'DB Country PMI'!$A$1:$AZ$1,),))</f>
        <v/>
      </c>
      <c r="C138" s="24">
        <f>Table13468111214151617[[#This Row],[PMI]]-B137</f>
        <v/>
      </c>
    </row>
    <row r="139">
      <c r="A139" s="10" t="n">
        <v>43101</v>
      </c>
      <c r="B139" s="18">
        <f>IF(VLOOKUP(A139,'DB Country PMI'!$A:$AZ,MATCH($A$1,'DB Country PMI'!$A$1:$AZ$1,),)=0,#N/A,VLOOKUP(A139,'DB Country PMI'!$A:$AZ,MATCH($A$1,'DB Country PMI'!$A$1:$AZ$1,),))</f>
        <v/>
      </c>
      <c r="C139" s="24">
        <f>Table13468111214151617[[#This Row],[PMI]]-B138</f>
        <v/>
      </c>
    </row>
    <row r="140">
      <c r="A140" s="10" t="n">
        <v>43132</v>
      </c>
      <c r="B140" s="18">
        <f>IF(VLOOKUP(A140,'DB Country PMI'!$A:$AZ,MATCH($A$1,'DB Country PMI'!$A$1:$AZ$1,),)=0,#N/A,VLOOKUP(A140,'DB Country PMI'!$A:$AZ,MATCH($A$1,'DB Country PMI'!$A$1:$AZ$1,),))</f>
        <v/>
      </c>
      <c r="C140" s="24">
        <f>Table13468111214151617[[#This Row],[PMI]]-B139</f>
        <v/>
      </c>
    </row>
    <row r="141">
      <c r="A141" s="10" t="n">
        <v>43160</v>
      </c>
      <c r="B141" s="18">
        <f>IF(VLOOKUP(A141,'DB Country PMI'!$A:$AZ,MATCH($A$1,'DB Country PMI'!$A$1:$AZ$1,),)=0,#N/A,VLOOKUP(A141,'DB Country PMI'!$A:$AZ,MATCH($A$1,'DB Country PMI'!$A$1:$AZ$1,),))</f>
        <v/>
      </c>
      <c r="C141" s="24">
        <f>Table13468111214151617[[#This Row],[PMI]]-B140</f>
        <v/>
      </c>
    </row>
    <row r="142">
      <c r="A142" s="10" t="n">
        <v>43191</v>
      </c>
      <c r="B142" s="18">
        <f>IF(VLOOKUP(A142,'DB Country PMI'!$A:$AZ,MATCH($A$1,'DB Country PMI'!$A$1:$AZ$1,),)=0,#N/A,VLOOKUP(A142,'DB Country PMI'!$A:$AZ,MATCH($A$1,'DB Country PMI'!$A$1:$AZ$1,),))</f>
        <v/>
      </c>
      <c r="C142" s="24">
        <f>Table13468111214151617[[#This Row],[PMI]]-B141</f>
        <v/>
      </c>
    </row>
    <row r="143">
      <c r="A143" s="10" t="n">
        <v>43221</v>
      </c>
      <c r="B143" s="18">
        <f>IF(VLOOKUP(A143,'DB Country PMI'!$A:$AZ,MATCH($A$1,'DB Country PMI'!$A$1:$AZ$1,),)=0,#N/A,VLOOKUP(A143,'DB Country PMI'!$A:$AZ,MATCH($A$1,'DB Country PMI'!$A$1:$AZ$1,),))</f>
        <v/>
      </c>
      <c r="C143" s="24">
        <f>Table13468111214151617[[#This Row],[PMI]]-B142</f>
        <v/>
      </c>
    </row>
    <row r="144">
      <c r="A144" s="10" t="n">
        <v>43252</v>
      </c>
      <c r="B144" s="18">
        <f>IF(VLOOKUP(A144,'DB Country PMI'!$A:$AZ,MATCH($A$1,'DB Country PMI'!$A$1:$AZ$1,),)=0,#N/A,VLOOKUP(A144,'DB Country PMI'!$A:$AZ,MATCH($A$1,'DB Country PMI'!$A$1:$AZ$1,),))</f>
        <v/>
      </c>
      <c r="C144" s="24">
        <f>Table13468111214151617[[#This Row],[PMI]]-B143</f>
        <v/>
      </c>
    </row>
    <row r="145">
      <c r="A145" s="10" t="n">
        <v>43282</v>
      </c>
      <c r="B145" s="18">
        <f>IF(VLOOKUP(A145,'DB Country PMI'!$A:$AZ,MATCH($A$1,'DB Country PMI'!$A$1:$AZ$1,),)=0,#N/A,VLOOKUP(A145,'DB Country PMI'!$A:$AZ,MATCH($A$1,'DB Country PMI'!$A$1:$AZ$1,),))</f>
        <v/>
      </c>
      <c r="C145" s="24">
        <f>Table13468111214151617[[#This Row],[PMI]]-B144</f>
        <v/>
      </c>
    </row>
    <row r="146">
      <c r="A146" s="10" t="n">
        <v>43313</v>
      </c>
      <c r="B146" s="18">
        <f>IF(VLOOKUP(A146,'DB Country PMI'!$A:$AZ,MATCH($A$1,'DB Country PMI'!$A$1:$AZ$1,),)=0,#N/A,VLOOKUP(A146,'DB Country PMI'!$A:$AZ,MATCH($A$1,'DB Country PMI'!$A$1:$AZ$1,),))</f>
        <v/>
      </c>
      <c r="C146" s="24">
        <f>Table13468111214151617[[#This Row],[PMI]]-B145</f>
        <v/>
      </c>
    </row>
    <row r="147">
      <c r="A147" s="10" t="n">
        <v>43344</v>
      </c>
      <c r="B147" s="18">
        <f>IF(VLOOKUP(A147,'DB Country PMI'!$A:$AZ,MATCH($A$1,'DB Country PMI'!$A$1:$AZ$1,),)=0,#N/A,VLOOKUP(A147,'DB Country PMI'!$A:$AZ,MATCH($A$1,'DB Country PMI'!$A$1:$AZ$1,),))</f>
        <v/>
      </c>
      <c r="C147" s="24">
        <f>Table13468111214151617[[#This Row],[PMI]]-B146</f>
        <v/>
      </c>
    </row>
    <row r="148">
      <c r="A148" s="10" t="n">
        <v>43374</v>
      </c>
      <c r="B148" s="18">
        <f>IF(VLOOKUP(A148,'DB Country PMI'!$A:$AZ,MATCH($A$1,'DB Country PMI'!$A$1:$AZ$1,),)=0,#N/A,VLOOKUP(A148,'DB Country PMI'!$A:$AZ,MATCH($A$1,'DB Country PMI'!$A$1:$AZ$1,),))</f>
        <v/>
      </c>
      <c r="C148" s="24">
        <f>Table13468111214151617[[#This Row],[PMI]]-B147</f>
        <v/>
      </c>
    </row>
    <row r="149">
      <c r="A149" s="10" t="n">
        <v>43405</v>
      </c>
      <c r="B149" s="18">
        <f>IF(VLOOKUP(A149,'DB Country PMI'!$A:$AZ,MATCH($A$1,'DB Country PMI'!$A$1:$AZ$1,),)=0,#N/A,VLOOKUP(A149,'DB Country PMI'!$A:$AZ,MATCH($A$1,'DB Country PMI'!$A$1:$AZ$1,),))</f>
        <v/>
      </c>
      <c r="C149" s="24">
        <f>Table13468111214151617[[#This Row],[PMI]]-B148</f>
        <v/>
      </c>
    </row>
    <row r="150">
      <c r="A150" s="10" t="n">
        <v>43435</v>
      </c>
      <c r="B150" s="18">
        <f>IF(VLOOKUP(A150,'DB Country PMI'!$A:$AZ,MATCH($A$1,'DB Country PMI'!$A$1:$AZ$1,),)=0,#N/A,VLOOKUP(A150,'DB Country PMI'!$A:$AZ,MATCH($A$1,'DB Country PMI'!$A$1:$AZ$1,),))</f>
        <v/>
      </c>
      <c r="C150" s="24">
        <f>Table13468111214151617[[#This Row],[PMI]]-B149</f>
        <v/>
      </c>
    </row>
    <row r="151">
      <c r="A151" s="10" t="n">
        <v>43466</v>
      </c>
      <c r="B151" s="18">
        <f>IF(VLOOKUP(A151,'DB Country PMI'!$A:$AZ,MATCH($A$1,'DB Country PMI'!$A$1:$AZ$1,),)=0,#N/A,VLOOKUP(A151,'DB Country PMI'!$A:$AZ,MATCH($A$1,'DB Country PMI'!$A$1:$AZ$1,),))</f>
        <v/>
      </c>
      <c r="C151" s="24">
        <f>Table13468111214151617[[#This Row],[PMI]]-B150</f>
        <v/>
      </c>
    </row>
    <row r="152">
      <c r="A152" s="10" t="n">
        <v>43497</v>
      </c>
      <c r="B152" s="18">
        <f>IF(VLOOKUP(A152,'DB Country PMI'!$A:$AZ,MATCH($A$1,'DB Country PMI'!$A$1:$AZ$1,),)=0,#N/A,VLOOKUP(A152,'DB Country PMI'!$A:$AZ,MATCH($A$1,'DB Country PMI'!$A$1:$AZ$1,),))</f>
        <v/>
      </c>
      <c r="C152" s="24">
        <f>Table13468111214151617[[#This Row],[PMI]]-B151</f>
        <v/>
      </c>
    </row>
    <row r="153">
      <c r="A153" s="10" t="n">
        <v>43525</v>
      </c>
      <c r="B153" s="18">
        <f>IF(VLOOKUP(A153,'DB Country PMI'!$A:$AZ,MATCH($A$1,'DB Country PMI'!$A$1:$AZ$1,),)=0,#N/A,VLOOKUP(A153,'DB Country PMI'!$A:$AZ,MATCH($A$1,'DB Country PMI'!$A$1:$AZ$1,),))</f>
        <v/>
      </c>
      <c r="C153" s="24">
        <f>Table13468111214151617[[#This Row],[PMI]]-B152</f>
        <v/>
      </c>
    </row>
    <row r="154">
      <c r="A154" s="10" t="n">
        <v>43556</v>
      </c>
      <c r="B154" s="18">
        <f>IF(VLOOKUP(A154,'DB Country PMI'!$A:$AZ,MATCH($A$1,'DB Country PMI'!$A$1:$AZ$1,),)=0,#N/A,VLOOKUP(A154,'DB Country PMI'!$A:$AZ,MATCH($A$1,'DB Country PMI'!$A$1:$AZ$1,),))</f>
        <v/>
      </c>
      <c r="C154" s="24">
        <f>Table13468111214151617[[#This Row],[PMI]]-B153</f>
        <v/>
      </c>
    </row>
    <row r="155">
      <c r="A155" s="10" t="n">
        <v>43586</v>
      </c>
      <c r="B155" s="18">
        <f>IF(VLOOKUP(A155,'DB Country PMI'!$A:$AZ,MATCH($A$1,'DB Country PMI'!$A$1:$AZ$1,),)=0,#N/A,VLOOKUP(A155,'DB Country PMI'!$A:$AZ,MATCH($A$1,'DB Country PMI'!$A$1:$AZ$1,),))</f>
        <v/>
      </c>
      <c r="C155" s="24">
        <f>Table13468111214151617[[#This Row],[PMI]]-B154</f>
        <v/>
      </c>
    </row>
    <row r="156">
      <c r="A156" s="10" t="n">
        <v>43617</v>
      </c>
      <c r="B156" s="18">
        <f>IF(VLOOKUP(A156,'DB Country PMI'!$A:$AZ,MATCH($A$1,'DB Country PMI'!$A$1:$AZ$1,),)=0,#N/A,VLOOKUP(A156,'DB Country PMI'!$A:$AZ,MATCH($A$1,'DB Country PMI'!$A$1:$AZ$1,),))</f>
        <v/>
      </c>
      <c r="C156" s="24">
        <f>Table13468111214151617[[#This Row],[PMI]]-B155</f>
        <v/>
      </c>
    </row>
    <row r="157">
      <c r="A157" s="10" t="n">
        <v>43647</v>
      </c>
      <c r="B157" s="18">
        <f>IF(VLOOKUP(A157,'DB Country PMI'!$A:$AZ,MATCH($A$1,'DB Country PMI'!$A$1:$AZ$1,),)=0,#N/A,VLOOKUP(A157,'DB Country PMI'!$A:$AZ,MATCH($A$1,'DB Country PMI'!$A$1:$AZ$1,),))</f>
        <v/>
      </c>
      <c r="C157" s="24">
        <f>Table13468111214151617[[#This Row],[PMI]]-B156</f>
        <v/>
      </c>
    </row>
    <row r="158">
      <c r="A158" s="10" t="n">
        <v>43678</v>
      </c>
      <c r="B158" s="18">
        <f>IF(VLOOKUP(A158,'DB Country PMI'!$A:$AZ,MATCH($A$1,'DB Country PMI'!$A$1:$AZ$1,),)=0,#N/A,VLOOKUP(A158,'DB Country PMI'!$A:$AZ,MATCH($A$1,'DB Country PMI'!$A$1:$AZ$1,),))</f>
        <v/>
      </c>
      <c r="C158" s="24">
        <f>Table13468111214151617[[#This Row],[PMI]]-B157</f>
        <v/>
      </c>
    </row>
    <row r="159">
      <c r="A159" s="10" t="n">
        <v>43709</v>
      </c>
      <c r="B159" s="18">
        <f>IF(VLOOKUP(A159,'DB Country PMI'!$A:$AZ,MATCH($A$1,'DB Country PMI'!$A$1:$AZ$1,),)=0,#N/A,VLOOKUP(A159,'DB Country PMI'!$A:$AZ,MATCH($A$1,'DB Country PMI'!$A$1:$AZ$1,),))</f>
        <v/>
      </c>
      <c r="C159" s="24">
        <f>Table13468111214151617[[#This Row],[PMI]]-B158</f>
        <v/>
      </c>
    </row>
    <row r="160">
      <c r="A160" s="10" t="n">
        <v>43739</v>
      </c>
      <c r="B160" s="18">
        <f>IF(VLOOKUP(A160,'DB Country PMI'!$A:$AZ,MATCH($A$1,'DB Country PMI'!$A$1:$AZ$1,),)=0,#N/A,VLOOKUP(A160,'DB Country PMI'!$A:$AZ,MATCH($A$1,'DB Country PMI'!$A$1:$AZ$1,),))</f>
        <v/>
      </c>
      <c r="C160" s="24">
        <f>Table13468111214151617[[#This Row],[PMI]]-B159</f>
        <v/>
      </c>
    </row>
    <row r="161">
      <c r="A161" s="10" t="n">
        <v>43770</v>
      </c>
      <c r="B161" s="18">
        <f>IF(VLOOKUP(A161,'DB Country PMI'!$A:$AZ,MATCH($A$1,'DB Country PMI'!$A$1:$AZ$1,),)=0,#N/A,VLOOKUP(A161,'DB Country PMI'!$A:$AZ,MATCH($A$1,'DB Country PMI'!$A$1:$AZ$1,),))</f>
        <v/>
      </c>
      <c r="C161" s="24">
        <f>Table13468111214151617[[#This Row],[PMI]]-B160</f>
        <v/>
      </c>
    </row>
    <row r="162">
      <c r="A162" s="10" t="n">
        <v>43800</v>
      </c>
      <c r="B162" s="18">
        <f>IF(VLOOKUP(A162,'DB Country PMI'!$A:$AZ,MATCH($A$1,'DB Country PMI'!$A$1:$AZ$1,),)=0,#N/A,VLOOKUP(A162,'DB Country PMI'!$A:$AZ,MATCH($A$1,'DB Country PMI'!$A$1:$AZ$1,),))</f>
        <v/>
      </c>
      <c r="C162" s="24">
        <f>Table13468111214151617[[#This Row],[PMI]]-B161</f>
        <v/>
      </c>
    </row>
    <row r="163">
      <c r="A163" s="10" t="n">
        <v>43831</v>
      </c>
      <c r="B163" s="18">
        <f>IF(VLOOKUP(A163,'DB Country PMI'!$A:$AZ,MATCH($A$1,'DB Country PMI'!$A$1:$AZ$1,),)=0,#N/A,VLOOKUP(A163,'DB Country PMI'!$A:$AZ,MATCH($A$1,'DB Country PMI'!$A$1:$AZ$1,),))</f>
        <v/>
      </c>
      <c r="C163" s="24">
        <f>Table13468111214151617[[#This Row],[PMI]]-B162</f>
        <v/>
      </c>
    </row>
    <row r="164">
      <c r="A164" s="10" t="n">
        <v>43862</v>
      </c>
      <c r="B164" s="18">
        <f>IF(VLOOKUP(A164,'DB Country PMI'!$A:$AZ,MATCH($A$1,'DB Country PMI'!$A$1:$AZ$1,),)=0,#N/A,VLOOKUP(A164,'DB Country PMI'!$A:$AZ,MATCH($A$1,'DB Country PMI'!$A$1:$AZ$1,),))</f>
        <v/>
      </c>
      <c r="C164" s="24">
        <f>Table13468111214151617[[#This Row],[PMI]]-B163</f>
        <v/>
      </c>
    </row>
    <row r="165">
      <c r="A165" s="10" t="n">
        <v>43891</v>
      </c>
      <c r="B165" s="18">
        <f>IF(VLOOKUP(A165,'DB Country PMI'!$A:$AZ,MATCH($A$1,'DB Country PMI'!$A$1:$AZ$1,),)=0,#N/A,VLOOKUP(A165,'DB Country PMI'!$A:$AZ,MATCH($A$1,'DB Country PMI'!$A$1:$AZ$1,),))</f>
        <v/>
      </c>
      <c r="C165" s="24">
        <f>Table13468111214151617[[#This Row],[PMI]]-B164</f>
        <v/>
      </c>
    </row>
    <row r="166">
      <c r="A166" s="10" t="n">
        <v>43922</v>
      </c>
      <c r="B166" s="18">
        <f>IF(VLOOKUP(A166,'DB Country PMI'!$A:$AZ,MATCH($A$1,'DB Country PMI'!$A$1:$AZ$1,),)=0,#N/A,VLOOKUP(A166,'DB Country PMI'!$A:$AZ,MATCH($A$1,'DB Country PMI'!$A$1:$AZ$1,),))</f>
        <v/>
      </c>
      <c r="C166" s="24">
        <f>Table13468111214151617[[#This Row],[PMI]]-B165</f>
        <v/>
      </c>
    </row>
    <row r="167">
      <c r="A167" s="10" t="n">
        <v>43952</v>
      </c>
      <c r="B167" s="18">
        <f>IF(VLOOKUP(A167,'DB Country PMI'!$A:$AZ,MATCH($A$1,'DB Country PMI'!$A$1:$AZ$1,),)=0,#N/A,VLOOKUP(A167,'DB Country PMI'!$A:$AZ,MATCH($A$1,'DB Country PMI'!$A$1:$AZ$1,),))</f>
        <v/>
      </c>
      <c r="C167" s="24">
        <f>Table13468111214151617[[#This Row],[PMI]]-B166</f>
        <v/>
      </c>
    </row>
    <row r="168">
      <c r="A168" s="10" t="n">
        <v>43983</v>
      </c>
      <c r="B168" s="18">
        <f>IF(VLOOKUP(A168,'DB Country PMI'!$A:$AZ,MATCH($A$1,'DB Country PMI'!$A$1:$AZ$1,),)=0,#N/A,VLOOKUP(A168,'DB Country PMI'!$A:$AZ,MATCH($A$1,'DB Country PMI'!$A$1:$AZ$1,),))</f>
        <v/>
      </c>
      <c r="C168" s="24">
        <f>Table13468111214151617[[#This Row],[PMI]]-B167</f>
        <v/>
      </c>
    </row>
    <row r="169">
      <c r="A169" s="10" t="n">
        <v>44013</v>
      </c>
      <c r="B169" s="18">
        <f>IF(VLOOKUP(A169,'DB Country PMI'!$A:$AZ,MATCH($A$1,'DB Country PMI'!$A$1:$AZ$1,),)=0,#N/A,VLOOKUP(A169,'DB Country PMI'!$A:$AZ,MATCH($A$1,'DB Country PMI'!$A$1:$AZ$1,),))</f>
        <v/>
      </c>
      <c r="C169" s="24">
        <f>Table13468111214151617[[#This Row],[PMI]]-B168</f>
        <v/>
      </c>
    </row>
    <row r="170">
      <c r="A170" s="10" t="n">
        <v>44044</v>
      </c>
      <c r="B170" s="18">
        <f>IF(VLOOKUP(A170,'DB Country PMI'!$A:$AZ,MATCH($A$1,'DB Country PMI'!$A$1:$AZ$1,),)=0,#N/A,VLOOKUP(A170,'DB Country PMI'!$A:$AZ,MATCH($A$1,'DB Country PMI'!$A$1:$AZ$1,),))</f>
        <v/>
      </c>
      <c r="C170" s="24">
        <f>Table13468111214151617[[#This Row],[PMI]]-B169</f>
        <v/>
      </c>
    </row>
    <row r="171">
      <c r="A171" s="10" t="n">
        <v>44075</v>
      </c>
      <c r="B171" s="18">
        <f>IF(VLOOKUP(A171,'DB Country PMI'!$A:$AZ,MATCH($A$1,'DB Country PMI'!$A$1:$AZ$1,),)=0,#N/A,VLOOKUP(A171,'DB Country PMI'!$A:$AZ,MATCH($A$1,'DB Country PMI'!$A$1:$AZ$1,),))</f>
        <v/>
      </c>
      <c r="C171" s="24">
        <f>Table13468111214151617[[#This Row],[PMI]]-B170</f>
        <v/>
      </c>
    </row>
    <row r="172">
      <c r="A172" s="10" t="n">
        <v>44105</v>
      </c>
      <c r="B172" s="18">
        <f>IF(VLOOKUP(A172,'DB Country PMI'!$A:$AZ,MATCH($A$1,'DB Country PMI'!$A$1:$AZ$1,),)=0,#N/A,VLOOKUP(A172,'DB Country PMI'!$A:$AZ,MATCH($A$1,'DB Country PMI'!$A$1:$AZ$1,),))</f>
        <v/>
      </c>
      <c r="C172" s="24">
        <f>Table13468111214151617[[#This Row],[PMI]]-B171</f>
        <v/>
      </c>
    </row>
    <row r="173">
      <c r="A173" s="10" t="n">
        <v>44136</v>
      </c>
      <c r="B173" s="18">
        <f>IF(VLOOKUP(A173,'DB Country PMI'!$A:$AZ,MATCH($A$1,'DB Country PMI'!$A$1:$AZ$1,),)=0,#N/A,VLOOKUP(A173,'DB Country PMI'!$A:$AZ,MATCH($A$1,'DB Country PMI'!$A$1:$AZ$1,),))</f>
        <v/>
      </c>
      <c r="C173" s="24">
        <f>Table13468111214151617[[#This Row],[PMI]]-B172</f>
        <v/>
      </c>
    </row>
    <row r="174">
      <c r="A174" s="10" t="n">
        <v>44166</v>
      </c>
      <c r="B174" s="18">
        <f>IF(VLOOKUP(A174,'DB Country PMI'!$A:$AZ,MATCH($A$1,'DB Country PMI'!$A$1:$AZ$1,),)=0,#N/A,VLOOKUP(A174,'DB Country PMI'!$A:$AZ,MATCH($A$1,'DB Country PMI'!$A$1:$AZ$1,),))</f>
        <v/>
      </c>
      <c r="C174" s="24">
        <f>Table13468111214151617[[#This Row],[PMI]]-B173</f>
        <v/>
      </c>
    </row>
    <row r="175">
      <c r="A175" s="10" t="n">
        <v>44197</v>
      </c>
      <c r="B175" s="18">
        <f>IF(VLOOKUP(A175,'DB Country PMI'!$A:$AZ,MATCH($A$1,'DB Country PMI'!$A$1:$AZ$1,),)=0,#N/A,VLOOKUP(A175,'DB Country PMI'!$A:$AZ,MATCH($A$1,'DB Country PMI'!$A$1:$AZ$1,),))</f>
        <v/>
      </c>
      <c r="C175" s="24">
        <f>Table13468111214151617[[#This Row],[PMI]]-B174</f>
        <v/>
      </c>
    </row>
    <row r="176">
      <c r="A176" s="10" t="n">
        <v>44228</v>
      </c>
      <c r="B176" s="18">
        <f>IF(VLOOKUP(A176,'DB Country PMI'!$A:$AZ,MATCH($A$1,'DB Country PMI'!$A$1:$AZ$1,),)=0,#N/A,VLOOKUP(A176,'DB Country PMI'!$A:$AZ,MATCH($A$1,'DB Country PMI'!$A$1:$AZ$1,),))</f>
        <v/>
      </c>
      <c r="C176" s="24">
        <f>Table13468111214151617[[#This Row],[PMI]]-B175</f>
        <v/>
      </c>
    </row>
    <row r="177">
      <c r="A177" s="10" t="n">
        <v>44256</v>
      </c>
      <c r="B177" s="18">
        <f>IF(VLOOKUP(A177,'DB Country PMI'!$A:$AZ,MATCH($A$1,'DB Country PMI'!$A$1:$AZ$1,),)=0,#N/A,VLOOKUP(A177,'DB Country PMI'!$A:$AZ,MATCH($A$1,'DB Country PMI'!$A$1:$AZ$1,),))</f>
        <v/>
      </c>
      <c r="C177" s="24">
        <f>Table13468111214151617[[#This Row],[PMI]]-B176</f>
        <v/>
      </c>
    </row>
    <row r="178">
      <c r="A178" s="10" t="n">
        <v>44287</v>
      </c>
      <c r="B178" s="18">
        <f>IF(VLOOKUP(A178,'DB Country PMI'!$A:$AZ,MATCH($A$1,'DB Country PMI'!$A$1:$AZ$1,),)=0,#N/A,VLOOKUP(A178,'DB Country PMI'!$A:$AZ,MATCH($A$1,'DB Country PMI'!$A$1:$AZ$1,),))</f>
        <v/>
      </c>
      <c r="C178" s="24">
        <f>Table13468111214151617[[#This Row],[PMI]]-B177</f>
        <v/>
      </c>
    </row>
    <row r="179">
      <c r="A179" s="10" t="n">
        <v>44317</v>
      </c>
      <c r="B179" s="18">
        <f>IF(VLOOKUP(A179,'DB Country PMI'!$A:$AZ,MATCH($A$1,'DB Country PMI'!$A$1:$AZ$1,),)=0,#N/A,VLOOKUP(A179,'DB Country PMI'!$A:$AZ,MATCH($A$1,'DB Country PMI'!$A$1:$AZ$1,),))</f>
        <v/>
      </c>
      <c r="C179" s="24">
        <f>Table13468111214151617[[#This Row],[PMI]]-B178</f>
        <v/>
      </c>
    </row>
    <row r="180">
      <c r="A180" s="10" t="n">
        <v>44348</v>
      </c>
      <c r="B180" s="18">
        <f>IF(VLOOKUP(A180,'DB Country PMI'!$A:$AZ,MATCH($A$1,'DB Country PMI'!$A$1:$AZ$1,),)=0,#N/A,VLOOKUP(A180,'DB Country PMI'!$A:$AZ,MATCH($A$1,'DB Country PMI'!$A$1:$AZ$1,),))</f>
        <v/>
      </c>
      <c r="C180" s="24">
        <f>Table13468111214151617[[#This Row],[PMI]]-B179</f>
        <v/>
      </c>
    </row>
    <row r="181">
      <c r="A181" s="10" t="n">
        <v>44378</v>
      </c>
      <c r="B181" s="18">
        <f>IF(VLOOKUP(A181,'DB Country PMI'!$A:$AZ,MATCH($A$1,'DB Country PMI'!$A$1:$AZ$1,),)=0,#N/A,VLOOKUP(A181,'DB Country PMI'!$A:$AZ,MATCH($A$1,'DB Country PMI'!$A$1:$AZ$1,),))</f>
        <v/>
      </c>
      <c r="C181" s="24">
        <f>Table13468111214151617[[#This Row],[PMI]]-B180</f>
        <v/>
      </c>
    </row>
    <row r="182">
      <c r="A182" s="10" t="n">
        <v>44409</v>
      </c>
      <c r="B182" s="18">
        <f>IF(VLOOKUP(A182,'DB Country PMI'!$A:$AZ,MATCH($A$1,'DB Country PMI'!$A$1:$AZ$1,),)=0,#N/A,VLOOKUP(A182,'DB Country PMI'!$A:$AZ,MATCH($A$1,'DB Country PMI'!$A$1:$AZ$1,),))</f>
        <v/>
      </c>
      <c r="C182" s="24">
        <f>Table13468111214151617[[#This Row],[PMI]]-B181</f>
        <v/>
      </c>
    </row>
    <row r="183">
      <c r="A183" s="10" t="n">
        <v>44440</v>
      </c>
      <c r="B183" s="18">
        <f>IF(VLOOKUP(A183,'DB Country PMI'!$A:$AZ,MATCH($A$1,'DB Country PMI'!$A$1:$AZ$1,),)=0,#N/A,VLOOKUP(A183,'DB Country PMI'!$A:$AZ,MATCH($A$1,'DB Country PMI'!$A$1:$AZ$1,),))</f>
        <v/>
      </c>
      <c r="C183" s="24">
        <f>Table13468111214151617[[#This Row],[PMI]]-B182</f>
        <v/>
      </c>
    </row>
    <row r="184">
      <c r="A184" s="10" t="n">
        <v>44470</v>
      </c>
      <c r="B184" s="18">
        <f>IF(VLOOKUP(A184,'DB Country PMI'!$A:$AZ,MATCH($A$1,'DB Country PMI'!$A$1:$AZ$1,),)=0,#N/A,VLOOKUP(A184,'DB Country PMI'!$A:$AZ,MATCH($A$1,'DB Country PMI'!$A$1:$AZ$1,),))</f>
        <v/>
      </c>
      <c r="C184" s="24">
        <f>Table13468111214151617[[#This Row],[PMI]]-B183</f>
        <v/>
      </c>
    </row>
    <row r="185">
      <c r="A185" s="10" t="n">
        <v>44501</v>
      </c>
      <c r="B185" s="18">
        <f>IF(VLOOKUP(A185,'DB Country PMI'!$A:$AZ,MATCH($A$1,'DB Country PMI'!$A$1:$AZ$1,),)=0,#N/A,VLOOKUP(A185,'DB Country PMI'!$A:$AZ,MATCH($A$1,'DB Country PMI'!$A$1:$AZ$1,),))</f>
        <v/>
      </c>
      <c r="C185" s="24">
        <f>Table13468111214151617[[#This Row],[PMI]]-B184</f>
        <v/>
      </c>
    </row>
    <row r="186">
      <c r="A186" s="10" t="n">
        <v>44531</v>
      </c>
      <c r="B186" s="18">
        <f>IF(VLOOKUP(A186,'DB Country PMI'!$A:$AZ,MATCH($A$1,'DB Country PMI'!$A$1:$AZ$1,),)=0,#N/A,VLOOKUP(A186,'DB Country PMI'!$A:$AZ,MATCH($A$1,'DB Country PMI'!$A$1:$AZ$1,),))</f>
        <v/>
      </c>
      <c r="C186" s="24">
        <f>Table13468111214151617[[#This Row],[PMI]]-B185</f>
        <v/>
      </c>
    </row>
    <row r="187">
      <c r="A187" s="10" t="n">
        <v>44562</v>
      </c>
      <c r="B187" s="18">
        <f>IF(VLOOKUP(A187,'DB Country PMI'!$A:$AZ,MATCH($A$1,'DB Country PMI'!$A$1:$AZ$1,),)=0,#N/A,VLOOKUP(A187,'DB Country PMI'!$A:$AZ,MATCH($A$1,'DB Country PMI'!$A$1:$AZ$1,),))</f>
        <v/>
      </c>
      <c r="C187" s="24">
        <f>Table13468111214151617[[#This Row],[PMI]]-B186</f>
        <v/>
      </c>
    </row>
    <row r="188">
      <c r="A188" s="10" t="n">
        <v>44593</v>
      </c>
      <c r="B188" s="18">
        <f>IF(VLOOKUP(A188,'DB Country PMI'!$A:$AZ,MATCH($A$1,'DB Country PMI'!$A$1:$AZ$1,),)=0,#N/A,VLOOKUP(A188,'DB Country PMI'!$A:$AZ,MATCH($A$1,'DB Country PMI'!$A$1:$AZ$1,),))</f>
        <v/>
      </c>
      <c r="C188" s="24">
        <f>Table13468111214151617[[#This Row],[PMI]]-B187</f>
        <v/>
      </c>
    </row>
    <row r="189">
      <c r="A189" s="10" t="n">
        <v>44621</v>
      </c>
      <c r="B189" s="18">
        <f>IF(VLOOKUP(A189,'DB Country PMI'!$A:$AZ,MATCH($A$1,'DB Country PMI'!$A$1:$AZ$1,),)=0,#N/A,VLOOKUP(A189,'DB Country PMI'!$A:$AZ,MATCH($A$1,'DB Country PMI'!$A$1:$AZ$1,),))</f>
        <v/>
      </c>
      <c r="C189" s="24">
        <f>Table13468111214151617[[#This Row],[PMI]]-B188</f>
        <v/>
      </c>
    </row>
    <row r="190">
      <c r="A190" s="10" t="n">
        <v>44652</v>
      </c>
      <c r="B190" s="18">
        <f>IF(VLOOKUP(A190,'DB Country PMI'!$A:$AZ,MATCH($A$1,'DB Country PMI'!$A$1:$AZ$1,),)=0,#N/A,VLOOKUP(A190,'DB Country PMI'!$A:$AZ,MATCH($A$1,'DB Country PMI'!$A$1:$AZ$1,),))</f>
        <v/>
      </c>
      <c r="C190" s="24">
        <f>Table13468111214151617[[#This Row],[PMI]]-B189</f>
        <v/>
      </c>
    </row>
    <row r="191">
      <c r="A191" s="10" t="n">
        <v>44682</v>
      </c>
      <c r="B191" s="18">
        <f>IF(VLOOKUP(A191,'DB Country PMI'!$A:$AZ,MATCH($A$1,'DB Country PMI'!$A$1:$AZ$1,),)=0,#N/A,VLOOKUP(A191,'DB Country PMI'!$A:$AZ,MATCH($A$1,'DB Country PMI'!$A$1:$AZ$1,),))</f>
        <v/>
      </c>
      <c r="C191" s="24">
        <f>Table13468111214151617[[#This Row],[PMI]]-B190</f>
        <v/>
      </c>
    </row>
    <row r="192">
      <c r="A192" s="10" t="n">
        <v>44713</v>
      </c>
      <c r="B192" s="18">
        <f>IF(VLOOKUP(A192,'DB Country PMI'!$A:$AZ,MATCH($A$1,'DB Country PMI'!$A$1:$AZ$1,),)=0,#N/A,VLOOKUP(A192,'DB Country PMI'!$A:$AZ,MATCH($A$1,'DB Country PMI'!$A$1:$AZ$1,),))</f>
        <v/>
      </c>
      <c r="C192" s="24">
        <f>Table13468111214151617[[#This Row],[PMI]]-B191</f>
        <v/>
      </c>
    </row>
    <row r="193">
      <c r="A193" s="10" t="n">
        <v>44743</v>
      </c>
      <c r="B193" s="18">
        <f>IF(VLOOKUP(A193,'DB Country PMI'!$A:$AZ,MATCH($A$1,'DB Country PMI'!$A$1:$AZ$1,),)=0,#N/A,VLOOKUP(A193,'DB Country PMI'!$A:$AZ,MATCH($A$1,'DB Country PMI'!$A$1:$AZ$1,),))</f>
        <v/>
      </c>
      <c r="C193" s="24">
        <f>Table13468111214151617[[#This Row],[PMI]]-B192</f>
        <v/>
      </c>
    </row>
    <row r="194">
      <c r="A194" s="10" t="n">
        <v>44774</v>
      </c>
      <c r="B194" s="18">
        <f>IF(VLOOKUP(A194,'DB Country PMI'!$A:$AZ,MATCH($A$1,'DB Country PMI'!$A$1:$AZ$1,),)=0,#N/A,VLOOKUP(A194,'DB Country PMI'!$A:$AZ,MATCH($A$1,'DB Country PMI'!$A$1:$AZ$1,),))</f>
        <v/>
      </c>
      <c r="C194" s="24">
        <f>Table13468111214151617[[#This Row],[PMI]]-B193</f>
        <v/>
      </c>
    </row>
    <row r="195">
      <c r="A195" s="10" t="n">
        <v>44805</v>
      </c>
      <c r="B195" s="18">
        <f>IF(VLOOKUP(A195,'DB Country PMI'!$A:$AZ,MATCH($A$1,'DB Country PMI'!$A$1:$AZ$1,),)=0,#N/A,VLOOKUP(A195,'DB Country PMI'!$A:$AZ,MATCH($A$1,'DB Country PMI'!$A$1:$AZ$1,),))</f>
        <v/>
      </c>
      <c r="C195" s="24">
        <f>Table13468111214151617[[#This Row],[PMI]]-B194</f>
        <v/>
      </c>
    </row>
    <row r="196">
      <c r="A196" s="10" t="n">
        <v>44835</v>
      </c>
      <c r="B196" s="18">
        <f>IF(VLOOKUP(A196,'DB Country PMI'!$A:$AZ,MATCH($A$1,'DB Country PMI'!$A$1:$AZ$1,),)=0,#N/A,VLOOKUP(A196,'DB Country PMI'!$A:$AZ,MATCH($A$1,'DB Country PMI'!$A$1:$AZ$1,),))</f>
        <v/>
      </c>
      <c r="C196" s="24">
        <f>Table13468111214151617[[#This Row],[PMI]]-B195</f>
        <v/>
      </c>
    </row>
    <row r="197">
      <c r="A197" s="10" t="n">
        <v>44866</v>
      </c>
      <c r="B197" s="18">
        <f>IF(VLOOKUP(A197,'DB Country PMI'!$A:$AZ,MATCH($A$1,'DB Country PMI'!$A$1:$AZ$1,),)=0,#N/A,VLOOKUP(A197,'DB Country PMI'!$A:$AZ,MATCH($A$1,'DB Country PMI'!$A$1:$AZ$1,),))</f>
        <v/>
      </c>
      <c r="C197" s="24">
        <f>Table13468111214151617[[#This Row],[PMI]]-B196</f>
        <v/>
      </c>
    </row>
  </sheetData>
  <conditionalFormatting sqref="C7:C106">
    <cfRule type="colorScale" priority="1">
      <colorScale>
        <cfvo type="min"/>
        <cfvo type="percentile" val="50"/>
        <cfvo type="max"/>
        <color rgb="FFF8696B"/>
        <color rgb="FFFCFCFF"/>
        <color rgb="FF5A8AC6"/>
      </colorScale>
    </cfRule>
  </conditionalFormatting>
  <conditionalFormatting sqref="B6:B197">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K197"/>
  <sheetViews>
    <sheetView zoomScale="70" zoomScaleNormal="70" workbookViewId="0">
      <pane ySplit="5" topLeftCell="A178" activePane="bottomLeft" state="frozen"/>
      <selection pane="bottomLeft" activeCell="R195" sqref="R195"/>
    </sheetView>
  </sheetViews>
  <sheetFormatPr baseColWidth="8" defaultColWidth="9.1796875" defaultRowHeight="14.5"/>
  <cols>
    <col width="13.453125" customWidth="1" style="69" min="1" max="1"/>
    <col width="11.36328125" customWidth="1" style="69" min="2" max="2"/>
    <col width="9.1796875" customWidth="1" style="69" min="3" max="51"/>
    <col width="9.1796875" customWidth="1" style="69" min="52" max="16384"/>
  </cols>
  <sheetData>
    <row r="1">
      <c r="A1" s="69" t="inlineStr">
        <is>
          <t>Spain</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Table1346811121415161718[[#This Row],[PMI]]-B6</f>
        <v/>
      </c>
    </row>
    <row r="8">
      <c r="A8" s="10" t="n">
        <v>39114</v>
      </c>
      <c r="B8" s="18">
        <f>IF(VLOOKUP(A8,'DB Country PMI'!$A:$AZ,MATCH($A$1,'DB Country PMI'!$A$1:$AZ$1,),)=0,#N/A,VLOOKUP(A8,'DB Country PMI'!$A:$AZ,MATCH($A$1,'DB Country PMI'!$A$1:$AZ$1,),))</f>
        <v/>
      </c>
      <c r="C8" s="24">
        <f>Table1346811121415161718[[#This Row],[PMI]]-B7</f>
        <v/>
      </c>
    </row>
    <row r="9">
      <c r="A9" s="10" t="n">
        <v>39142</v>
      </c>
      <c r="B9" s="18">
        <f>IF(VLOOKUP(A9,'DB Country PMI'!$A:$AZ,MATCH($A$1,'DB Country PMI'!$A$1:$AZ$1,),)=0,#N/A,VLOOKUP(A9,'DB Country PMI'!$A:$AZ,MATCH($A$1,'DB Country PMI'!$A$1:$AZ$1,),))</f>
        <v/>
      </c>
      <c r="C9" s="24">
        <f>Table1346811121415161718[[#This Row],[PMI]]-B8</f>
        <v/>
      </c>
    </row>
    <row r="10">
      <c r="A10" s="10" t="n">
        <v>39173</v>
      </c>
      <c r="B10" s="18">
        <f>IF(VLOOKUP(A10,'DB Country PMI'!$A:$AZ,MATCH($A$1,'DB Country PMI'!$A$1:$AZ$1,),)=0,#N/A,VLOOKUP(A10,'DB Country PMI'!$A:$AZ,MATCH($A$1,'DB Country PMI'!$A$1:$AZ$1,),))</f>
        <v/>
      </c>
      <c r="C10" s="24">
        <f>Table1346811121415161718[[#This Row],[PMI]]-B9</f>
        <v/>
      </c>
    </row>
    <row r="11">
      <c r="A11" s="10" t="n">
        <v>39203</v>
      </c>
      <c r="B11" s="18">
        <f>IF(VLOOKUP(A11,'DB Country PMI'!$A:$AZ,MATCH($A$1,'DB Country PMI'!$A$1:$AZ$1,),)=0,#N/A,VLOOKUP(A11,'DB Country PMI'!$A:$AZ,MATCH($A$1,'DB Country PMI'!$A$1:$AZ$1,),))</f>
        <v/>
      </c>
      <c r="C11" s="24">
        <f>Table1346811121415161718[[#This Row],[PMI]]-B10</f>
        <v/>
      </c>
    </row>
    <row r="12">
      <c r="A12" s="10" t="n">
        <v>39234</v>
      </c>
      <c r="B12" s="18">
        <f>IF(VLOOKUP(A12,'DB Country PMI'!$A:$AZ,MATCH($A$1,'DB Country PMI'!$A$1:$AZ$1,),)=0,#N/A,VLOOKUP(A12,'DB Country PMI'!$A:$AZ,MATCH($A$1,'DB Country PMI'!$A$1:$AZ$1,),))</f>
        <v/>
      </c>
      <c r="C12" s="24">
        <f>Table1346811121415161718[[#This Row],[PMI]]-B11</f>
        <v/>
      </c>
    </row>
    <row r="13">
      <c r="A13" s="10" t="n">
        <v>39264</v>
      </c>
      <c r="B13" s="18">
        <f>IF(VLOOKUP(A13,'DB Country PMI'!$A:$AZ,MATCH($A$1,'DB Country PMI'!$A$1:$AZ$1,),)=0,#N/A,VLOOKUP(A13,'DB Country PMI'!$A:$AZ,MATCH($A$1,'DB Country PMI'!$A$1:$AZ$1,),))</f>
        <v/>
      </c>
      <c r="C13" s="24">
        <f>Table1346811121415161718[[#This Row],[PMI]]-B12</f>
        <v/>
      </c>
    </row>
    <row r="14">
      <c r="A14" s="10" t="n">
        <v>39295</v>
      </c>
      <c r="B14" s="18">
        <f>IF(VLOOKUP(A14,'DB Country PMI'!$A:$AZ,MATCH($A$1,'DB Country PMI'!$A$1:$AZ$1,),)=0,#N/A,VLOOKUP(A14,'DB Country PMI'!$A:$AZ,MATCH($A$1,'DB Country PMI'!$A$1:$AZ$1,),))</f>
        <v/>
      </c>
      <c r="C14" s="24">
        <f>Table1346811121415161718[[#This Row],[PMI]]-B13</f>
        <v/>
      </c>
    </row>
    <row r="15">
      <c r="A15" s="10" t="n">
        <v>39326</v>
      </c>
      <c r="B15" s="18">
        <f>IF(VLOOKUP(A15,'DB Country PMI'!$A:$AZ,MATCH($A$1,'DB Country PMI'!$A$1:$AZ$1,),)=0,#N/A,VLOOKUP(A15,'DB Country PMI'!$A:$AZ,MATCH($A$1,'DB Country PMI'!$A$1:$AZ$1,),))</f>
        <v/>
      </c>
      <c r="C15" s="24">
        <f>Table1346811121415161718[[#This Row],[PMI]]-B14</f>
        <v/>
      </c>
    </row>
    <row r="16">
      <c r="A16" s="10" t="n">
        <v>39356</v>
      </c>
      <c r="B16" s="18">
        <f>IF(VLOOKUP(A16,'DB Country PMI'!$A:$AZ,MATCH($A$1,'DB Country PMI'!$A$1:$AZ$1,),)=0,#N/A,VLOOKUP(A16,'DB Country PMI'!$A:$AZ,MATCH($A$1,'DB Country PMI'!$A$1:$AZ$1,),))</f>
        <v/>
      </c>
      <c r="C16" s="24">
        <f>Table1346811121415161718[[#This Row],[PMI]]-B15</f>
        <v/>
      </c>
    </row>
    <row r="17">
      <c r="A17" s="10" t="n">
        <v>39387</v>
      </c>
      <c r="B17" s="18">
        <f>IF(VLOOKUP(A17,'DB Country PMI'!$A:$AZ,MATCH($A$1,'DB Country PMI'!$A$1:$AZ$1,),)=0,#N/A,VLOOKUP(A17,'DB Country PMI'!$A:$AZ,MATCH($A$1,'DB Country PMI'!$A$1:$AZ$1,),))</f>
        <v/>
      </c>
      <c r="C17" s="24">
        <f>Table1346811121415161718[[#This Row],[PMI]]-B16</f>
        <v/>
      </c>
    </row>
    <row r="18">
      <c r="A18" s="10" t="n">
        <v>39417</v>
      </c>
      <c r="B18" s="18">
        <f>IF(VLOOKUP(A18,'DB Country PMI'!$A:$AZ,MATCH($A$1,'DB Country PMI'!$A$1:$AZ$1,),)=0,#N/A,VLOOKUP(A18,'DB Country PMI'!$A:$AZ,MATCH($A$1,'DB Country PMI'!$A$1:$AZ$1,),))</f>
        <v/>
      </c>
      <c r="C18" s="24">
        <f>Table1346811121415161718[[#This Row],[PMI]]-B17</f>
        <v/>
      </c>
    </row>
    <row r="19">
      <c r="A19" s="10" t="n">
        <v>39448</v>
      </c>
      <c r="B19" s="18">
        <f>IF(VLOOKUP(A19,'DB Country PMI'!$A:$AZ,MATCH($A$1,'DB Country PMI'!$A$1:$AZ$1,),)=0,#N/A,VLOOKUP(A19,'DB Country PMI'!$A:$AZ,MATCH($A$1,'DB Country PMI'!$A$1:$AZ$1,),))</f>
        <v/>
      </c>
      <c r="C19" s="24">
        <f>Table1346811121415161718[[#This Row],[PMI]]-B18</f>
        <v/>
      </c>
    </row>
    <row r="20">
      <c r="A20" s="10" t="n">
        <v>39479</v>
      </c>
      <c r="B20" s="18">
        <f>IF(VLOOKUP(A20,'DB Country PMI'!$A:$AZ,MATCH($A$1,'DB Country PMI'!$A$1:$AZ$1,),)=0,#N/A,VLOOKUP(A20,'DB Country PMI'!$A:$AZ,MATCH($A$1,'DB Country PMI'!$A$1:$AZ$1,),))</f>
        <v/>
      </c>
      <c r="C20" s="24">
        <f>Table1346811121415161718[[#This Row],[PMI]]-B19</f>
        <v/>
      </c>
    </row>
    <row r="21">
      <c r="A21" s="10" t="n">
        <v>39508</v>
      </c>
      <c r="B21" s="18">
        <f>IF(VLOOKUP(A21,'DB Country PMI'!$A:$AZ,MATCH($A$1,'DB Country PMI'!$A$1:$AZ$1,),)=0,#N/A,VLOOKUP(A21,'DB Country PMI'!$A:$AZ,MATCH($A$1,'DB Country PMI'!$A$1:$AZ$1,),))</f>
        <v/>
      </c>
      <c r="C21" s="24">
        <f>Table1346811121415161718[[#This Row],[PMI]]-B20</f>
        <v/>
      </c>
    </row>
    <row r="22">
      <c r="A22" s="10" t="n">
        <v>39539</v>
      </c>
      <c r="B22" s="18">
        <f>IF(VLOOKUP(A22,'DB Country PMI'!$A:$AZ,MATCH($A$1,'DB Country PMI'!$A$1:$AZ$1,),)=0,#N/A,VLOOKUP(A22,'DB Country PMI'!$A:$AZ,MATCH($A$1,'DB Country PMI'!$A$1:$AZ$1,),))</f>
        <v/>
      </c>
      <c r="C22" s="24">
        <f>Table1346811121415161718[[#This Row],[PMI]]-B21</f>
        <v/>
      </c>
    </row>
    <row r="23">
      <c r="A23" s="10" t="n">
        <v>39569</v>
      </c>
      <c r="B23" s="18">
        <f>IF(VLOOKUP(A23,'DB Country PMI'!$A:$AZ,MATCH($A$1,'DB Country PMI'!$A$1:$AZ$1,),)=0,#N/A,VLOOKUP(A23,'DB Country PMI'!$A:$AZ,MATCH($A$1,'DB Country PMI'!$A$1:$AZ$1,),))</f>
        <v/>
      </c>
      <c r="C23" s="24">
        <f>Table1346811121415161718[[#This Row],[PMI]]-B22</f>
        <v/>
      </c>
    </row>
    <row r="24">
      <c r="A24" s="10" t="n">
        <v>39600</v>
      </c>
      <c r="B24" s="18">
        <f>IF(VLOOKUP(A24,'DB Country PMI'!$A:$AZ,MATCH($A$1,'DB Country PMI'!$A$1:$AZ$1,),)=0,#N/A,VLOOKUP(A24,'DB Country PMI'!$A:$AZ,MATCH($A$1,'DB Country PMI'!$A$1:$AZ$1,),))</f>
        <v/>
      </c>
      <c r="C24" s="24">
        <f>Table1346811121415161718[[#This Row],[PMI]]-B23</f>
        <v/>
      </c>
    </row>
    <row r="25">
      <c r="A25" s="10" t="n">
        <v>39630</v>
      </c>
      <c r="B25" s="18">
        <f>IF(VLOOKUP(A25,'DB Country PMI'!$A:$AZ,MATCH($A$1,'DB Country PMI'!$A$1:$AZ$1,),)=0,#N/A,VLOOKUP(A25,'DB Country PMI'!$A:$AZ,MATCH($A$1,'DB Country PMI'!$A$1:$AZ$1,),))</f>
        <v/>
      </c>
      <c r="C25" s="24">
        <f>Table1346811121415161718[[#This Row],[PMI]]-B24</f>
        <v/>
      </c>
    </row>
    <row r="26">
      <c r="A26" s="10" t="n">
        <v>39661</v>
      </c>
      <c r="B26" s="18">
        <f>IF(VLOOKUP(A26,'DB Country PMI'!$A:$AZ,MATCH($A$1,'DB Country PMI'!$A$1:$AZ$1,),)=0,#N/A,VLOOKUP(A26,'DB Country PMI'!$A:$AZ,MATCH($A$1,'DB Country PMI'!$A$1:$AZ$1,),))</f>
        <v/>
      </c>
      <c r="C26" s="24">
        <f>Table1346811121415161718[[#This Row],[PMI]]-B25</f>
        <v/>
      </c>
    </row>
    <row r="27">
      <c r="A27" s="10" t="n">
        <v>39692</v>
      </c>
      <c r="B27" s="18">
        <f>IF(VLOOKUP(A27,'DB Country PMI'!$A:$AZ,MATCH($A$1,'DB Country PMI'!$A$1:$AZ$1,),)=0,#N/A,VLOOKUP(A27,'DB Country PMI'!$A:$AZ,MATCH($A$1,'DB Country PMI'!$A$1:$AZ$1,),))</f>
        <v/>
      </c>
      <c r="C27" s="24">
        <f>Table1346811121415161718[[#This Row],[PMI]]-B26</f>
        <v/>
      </c>
    </row>
    <row r="28">
      <c r="A28" s="10" t="n">
        <v>39722</v>
      </c>
      <c r="B28" s="18">
        <f>IF(VLOOKUP(A28,'DB Country PMI'!$A:$AZ,MATCH($A$1,'DB Country PMI'!$A$1:$AZ$1,),)=0,#N/A,VLOOKUP(A28,'DB Country PMI'!$A:$AZ,MATCH($A$1,'DB Country PMI'!$A$1:$AZ$1,),))</f>
        <v/>
      </c>
      <c r="C28" s="24">
        <f>Table1346811121415161718[[#This Row],[PMI]]-B27</f>
        <v/>
      </c>
    </row>
    <row r="29">
      <c r="A29" s="10" t="n">
        <v>39753</v>
      </c>
      <c r="B29" s="18">
        <f>IF(VLOOKUP(A29,'DB Country PMI'!$A:$AZ,MATCH($A$1,'DB Country PMI'!$A$1:$AZ$1,),)=0,#N/A,VLOOKUP(A29,'DB Country PMI'!$A:$AZ,MATCH($A$1,'DB Country PMI'!$A$1:$AZ$1,),))</f>
        <v/>
      </c>
      <c r="C29" s="24">
        <f>Table1346811121415161718[[#This Row],[PMI]]-B28</f>
        <v/>
      </c>
    </row>
    <row r="30">
      <c r="A30" s="10" t="n">
        <v>39783</v>
      </c>
      <c r="B30" s="18">
        <f>IF(VLOOKUP(A30,'DB Country PMI'!$A:$AZ,MATCH($A$1,'DB Country PMI'!$A$1:$AZ$1,),)=0,#N/A,VLOOKUP(A30,'DB Country PMI'!$A:$AZ,MATCH($A$1,'DB Country PMI'!$A$1:$AZ$1,),))</f>
        <v/>
      </c>
      <c r="C30" s="24">
        <f>Table1346811121415161718[[#This Row],[PMI]]-B29</f>
        <v/>
      </c>
    </row>
    <row r="31">
      <c r="A31" s="10" t="n">
        <v>39814</v>
      </c>
      <c r="B31" s="18">
        <f>IF(VLOOKUP(A31,'DB Country PMI'!$A:$AZ,MATCH($A$1,'DB Country PMI'!$A$1:$AZ$1,),)=0,#N/A,VLOOKUP(A31,'DB Country PMI'!$A:$AZ,MATCH($A$1,'DB Country PMI'!$A$1:$AZ$1,),))</f>
        <v/>
      </c>
      <c r="C31" s="24">
        <f>Table1346811121415161718[[#This Row],[PMI]]-B30</f>
        <v/>
      </c>
    </row>
    <row r="32">
      <c r="A32" s="10" t="n">
        <v>39845</v>
      </c>
      <c r="B32" s="18">
        <f>IF(VLOOKUP(A32,'DB Country PMI'!$A:$AZ,MATCH($A$1,'DB Country PMI'!$A$1:$AZ$1,),)=0,#N/A,VLOOKUP(A32,'DB Country PMI'!$A:$AZ,MATCH($A$1,'DB Country PMI'!$A$1:$AZ$1,),))</f>
        <v/>
      </c>
      <c r="C32" s="24">
        <f>Table1346811121415161718[[#This Row],[PMI]]-B31</f>
        <v/>
      </c>
    </row>
    <row r="33">
      <c r="A33" s="10" t="n">
        <v>39873</v>
      </c>
      <c r="B33" s="18">
        <f>IF(VLOOKUP(A33,'DB Country PMI'!$A:$AZ,MATCH($A$1,'DB Country PMI'!$A$1:$AZ$1,),)=0,#N/A,VLOOKUP(A33,'DB Country PMI'!$A:$AZ,MATCH($A$1,'DB Country PMI'!$A$1:$AZ$1,),))</f>
        <v/>
      </c>
      <c r="C33" s="24">
        <f>Table1346811121415161718[[#This Row],[PMI]]-B32</f>
        <v/>
      </c>
    </row>
    <row r="34">
      <c r="A34" s="10" t="n">
        <v>39904</v>
      </c>
      <c r="B34" s="18">
        <f>IF(VLOOKUP(A34,'DB Country PMI'!$A:$AZ,MATCH($A$1,'DB Country PMI'!$A$1:$AZ$1,),)=0,#N/A,VLOOKUP(A34,'DB Country PMI'!$A:$AZ,MATCH($A$1,'DB Country PMI'!$A$1:$AZ$1,),))</f>
        <v/>
      </c>
      <c r="C34" s="24">
        <f>Table1346811121415161718[[#This Row],[PMI]]-B33</f>
        <v/>
      </c>
    </row>
    <row r="35">
      <c r="A35" s="10" t="n">
        <v>39934</v>
      </c>
      <c r="B35" s="18">
        <f>IF(VLOOKUP(A35,'DB Country PMI'!$A:$AZ,MATCH($A$1,'DB Country PMI'!$A$1:$AZ$1,),)=0,#N/A,VLOOKUP(A35,'DB Country PMI'!$A:$AZ,MATCH($A$1,'DB Country PMI'!$A$1:$AZ$1,),))</f>
        <v/>
      </c>
      <c r="C35" s="24">
        <f>Table1346811121415161718[[#This Row],[PMI]]-B34</f>
        <v/>
      </c>
    </row>
    <row r="36">
      <c r="A36" s="10" t="n">
        <v>39965</v>
      </c>
      <c r="B36" s="18">
        <f>IF(VLOOKUP(A36,'DB Country PMI'!$A:$AZ,MATCH($A$1,'DB Country PMI'!$A$1:$AZ$1,),)=0,#N/A,VLOOKUP(A36,'DB Country PMI'!$A:$AZ,MATCH($A$1,'DB Country PMI'!$A$1:$AZ$1,),))</f>
        <v/>
      </c>
      <c r="C36" s="24">
        <f>Table1346811121415161718[[#This Row],[PMI]]-B35</f>
        <v/>
      </c>
    </row>
    <row r="37">
      <c r="A37" s="10" t="n">
        <v>39995</v>
      </c>
      <c r="B37" s="18">
        <f>IF(VLOOKUP(A37,'DB Country PMI'!$A:$AZ,MATCH($A$1,'DB Country PMI'!$A$1:$AZ$1,),)=0,#N/A,VLOOKUP(A37,'DB Country PMI'!$A:$AZ,MATCH($A$1,'DB Country PMI'!$A$1:$AZ$1,),))</f>
        <v/>
      </c>
      <c r="C37" s="24">
        <f>Table1346811121415161718[[#This Row],[PMI]]-B36</f>
        <v/>
      </c>
    </row>
    <row r="38">
      <c r="A38" s="10" t="n">
        <v>40026</v>
      </c>
      <c r="B38" s="18">
        <f>IF(VLOOKUP(A38,'DB Country PMI'!$A:$AZ,MATCH($A$1,'DB Country PMI'!$A$1:$AZ$1,),)=0,#N/A,VLOOKUP(A38,'DB Country PMI'!$A:$AZ,MATCH($A$1,'DB Country PMI'!$A$1:$AZ$1,),))</f>
        <v/>
      </c>
      <c r="C38" s="24">
        <f>Table1346811121415161718[[#This Row],[PMI]]-B37</f>
        <v/>
      </c>
    </row>
    <row r="39">
      <c r="A39" s="10" t="n">
        <v>40057</v>
      </c>
      <c r="B39" s="18">
        <f>IF(VLOOKUP(A39,'DB Country PMI'!$A:$AZ,MATCH($A$1,'DB Country PMI'!$A$1:$AZ$1,),)=0,#N/A,VLOOKUP(A39,'DB Country PMI'!$A:$AZ,MATCH($A$1,'DB Country PMI'!$A$1:$AZ$1,),))</f>
        <v/>
      </c>
      <c r="C39" s="24">
        <f>Table1346811121415161718[[#This Row],[PMI]]-B38</f>
        <v/>
      </c>
    </row>
    <row r="40">
      <c r="A40" s="10" t="n">
        <v>40087</v>
      </c>
      <c r="B40" s="18">
        <f>IF(VLOOKUP(A40,'DB Country PMI'!$A:$AZ,MATCH($A$1,'DB Country PMI'!$A$1:$AZ$1,),)=0,#N/A,VLOOKUP(A40,'DB Country PMI'!$A:$AZ,MATCH($A$1,'DB Country PMI'!$A$1:$AZ$1,),))</f>
        <v/>
      </c>
      <c r="C40" s="24">
        <f>Table1346811121415161718[[#This Row],[PMI]]-B39</f>
        <v/>
      </c>
    </row>
    <row r="41">
      <c r="A41" s="10" t="n">
        <v>40118</v>
      </c>
      <c r="B41" s="18">
        <f>IF(VLOOKUP(A41,'DB Country PMI'!$A:$AZ,MATCH($A$1,'DB Country PMI'!$A$1:$AZ$1,),)=0,#N/A,VLOOKUP(A41,'DB Country PMI'!$A:$AZ,MATCH($A$1,'DB Country PMI'!$A$1:$AZ$1,),))</f>
        <v/>
      </c>
      <c r="C41" s="24">
        <f>Table1346811121415161718[[#This Row],[PMI]]-B40</f>
        <v/>
      </c>
    </row>
    <row r="42">
      <c r="A42" s="10" t="n">
        <v>40148</v>
      </c>
      <c r="B42" s="18">
        <f>IF(VLOOKUP(A42,'DB Country PMI'!$A:$AZ,MATCH($A$1,'DB Country PMI'!$A$1:$AZ$1,),)=0,#N/A,VLOOKUP(A42,'DB Country PMI'!$A:$AZ,MATCH($A$1,'DB Country PMI'!$A$1:$AZ$1,),))</f>
        <v/>
      </c>
      <c r="C42" s="24">
        <f>Table1346811121415161718[[#This Row],[PMI]]-B41</f>
        <v/>
      </c>
    </row>
    <row r="43">
      <c r="A43" s="10" t="n">
        <v>40179</v>
      </c>
      <c r="B43" s="18">
        <f>IF(VLOOKUP(A43,'DB Country PMI'!$A:$AZ,MATCH($A$1,'DB Country PMI'!$A$1:$AZ$1,),)=0,#N/A,VLOOKUP(A43,'DB Country PMI'!$A:$AZ,MATCH($A$1,'DB Country PMI'!$A$1:$AZ$1,),))</f>
        <v/>
      </c>
      <c r="C43" s="24">
        <f>Table1346811121415161718[[#This Row],[PMI]]-B42</f>
        <v/>
      </c>
    </row>
    <row r="44">
      <c r="A44" s="10" t="n">
        <v>40210</v>
      </c>
      <c r="B44" s="18">
        <f>IF(VLOOKUP(A44,'DB Country PMI'!$A:$AZ,MATCH($A$1,'DB Country PMI'!$A$1:$AZ$1,),)=0,#N/A,VLOOKUP(A44,'DB Country PMI'!$A:$AZ,MATCH($A$1,'DB Country PMI'!$A$1:$AZ$1,),))</f>
        <v/>
      </c>
      <c r="C44" s="24">
        <f>Table1346811121415161718[[#This Row],[PMI]]-B43</f>
        <v/>
      </c>
    </row>
    <row r="45">
      <c r="A45" s="10" t="n">
        <v>40238</v>
      </c>
      <c r="B45" s="18">
        <f>IF(VLOOKUP(A45,'DB Country PMI'!$A:$AZ,MATCH($A$1,'DB Country PMI'!$A$1:$AZ$1,),)=0,#N/A,VLOOKUP(A45,'DB Country PMI'!$A:$AZ,MATCH($A$1,'DB Country PMI'!$A$1:$AZ$1,),))</f>
        <v/>
      </c>
      <c r="C45" s="24">
        <f>Table1346811121415161718[[#This Row],[PMI]]-B44</f>
        <v/>
      </c>
    </row>
    <row r="46">
      <c r="A46" s="10" t="n">
        <v>40269</v>
      </c>
      <c r="B46" s="18">
        <f>IF(VLOOKUP(A46,'DB Country PMI'!$A:$AZ,MATCH($A$1,'DB Country PMI'!$A$1:$AZ$1,),)=0,#N/A,VLOOKUP(A46,'DB Country PMI'!$A:$AZ,MATCH($A$1,'DB Country PMI'!$A$1:$AZ$1,),))</f>
        <v/>
      </c>
      <c r="C46" s="24">
        <f>Table1346811121415161718[[#This Row],[PMI]]-B45</f>
        <v/>
      </c>
    </row>
    <row r="47">
      <c r="A47" s="10" t="n">
        <v>40299</v>
      </c>
      <c r="B47" s="18">
        <f>IF(VLOOKUP(A47,'DB Country PMI'!$A:$AZ,MATCH($A$1,'DB Country PMI'!$A$1:$AZ$1,),)=0,#N/A,VLOOKUP(A47,'DB Country PMI'!$A:$AZ,MATCH($A$1,'DB Country PMI'!$A$1:$AZ$1,),))</f>
        <v/>
      </c>
      <c r="C47" s="24">
        <f>Table1346811121415161718[[#This Row],[PMI]]-B46</f>
        <v/>
      </c>
    </row>
    <row r="48">
      <c r="A48" s="10" t="n">
        <v>40330</v>
      </c>
      <c r="B48" s="18">
        <f>IF(VLOOKUP(A48,'DB Country PMI'!$A:$AZ,MATCH($A$1,'DB Country PMI'!$A$1:$AZ$1,),)=0,#N/A,VLOOKUP(A48,'DB Country PMI'!$A:$AZ,MATCH($A$1,'DB Country PMI'!$A$1:$AZ$1,),))</f>
        <v/>
      </c>
      <c r="C48" s="24">
        <f>Table1346811121415161718[[#This Row],[PMI]]-B47</f>
        <v/>
      </c>
    </row>
    <row r="49">
      <c r="A49" s="10" t="n">
        <v>40360</v>
      </c>
      <c r="B49" s="18">
        <f>IF(VLOOKUP(A49,'DB Country PMI'!$A:$AZ,MATCH($A$1,'DB Country PMI'!$A$1:$AZ$1,),)=0,#N/A,VLOOKUP(A49,'DB Country PMI'!$A:$AZ,MATCH($A$1,'DB Country PMI'!$A$1:$AZ$1,),))</f>
        <v/>
      </c>
      <c r="C49" s="24">
        <f>Table1346811121415161718[[#This Row],[PMI]]-B48</f>
        <v/>
      </c>
    </row>
    <row r="50">
      <c r="A50" s="10" t="n">
        <v>40391</v>
      </c>
      <c r="B50" s="18">
        <f>IF(VLOOKUP(A50,'DB Country PMI'!$A:$AZ,MATCH($A$1,'DB Country PMI'!$A$1:$AZ$1,),)=0,#N/A,VLOOKUP(A50,'DB Country PMI'!$A:$AZ,MATCH($A$1,'DB Country PMI'!$A$1:$AZ$1,),))</f>
        <v/>
      </c>
      <c r="C50" s="24">
        <f>Table1346811121415161718[[#This Row],[PMI]]-B49</f>
        <v/>
      </c>
    </row>
    <row r="51">
      <c r="A51" s="10" t="n">
        <v>40422</v>
      </c>
      <c r="B51" s="18">
        <f>IF(VLOOKUP(A51,'DB Country PMI'!$A:$AZ,MATCH($A$1,'DB Country PMI'!$A$1:$AZ$1,),)=0,#N/A,VLOOKUP(A51,'DB Country PMI'!$A:$AZ,MATCH($A$1,'DB Country PMI'!$A$1:$AZ$1,),))</f>
        <v/>
      </c>
      <c r="C51" s="24">
        <f>Table1346811121415161718[[#This Row],[PMI]]-B50</f>
        <v/>
      </c>
    </row>
    <row r="52">
      <c r="A52" s="10" t="n">
        <v>40452</v>
      </c>
      <c r="B52" s="18">
        <f>IF(VLOOKUP(A52,'DB Country PMI'!$A:$AZ,MATCH($A$1,'DB Country PMI'!$A$1:$AZ$1,),)=0,#N/A,VLOOKUP(A52,'DB Country PMI'!$A:$AZ,MATCH($A$1,'DB Country PMI'!$A$1:$AZ$1,),))</f>
        <v/>
      </c>
      <c r="C52" s="24">
        <f>Table1346811121415161718[[#This Row],[PMI]]-B51</f>
        <v/>
      </c>
    </row>
    <row r="53">
      <c r="A53" s="10" t="n">
        <v>40483</v>
      </c>
      <c r="B53" s="18">
        <f>IF(VLOOKUP(A53,'DB Country PMI'!$A:$AZ,MATCH($A$1,'DB Country PMI'!$A$1:$AZ$1,),)=0,#N/A,VLOOKUP(A53,'DB Country PMI'!$A:$AZ,MATCH($A$1,'DB Country PMI'!$A$1:$AZ$1,),))</f>
        <v/>
      </c>
      <c r="C53" s="24">
        <f>Table1346811121415161718[[#This Row],[PMI]]-B52</f>
        <v/>
      </c>
    </row>
    <row r="54">
      <c r="A54" s="10" t="n">
        <v>40513</v>
      </c>
      <c r="B54" s="18">
        <f>IF(VLOOKUP(A54,'DB Country PMI'!$A:$AZ,MATCH($A$1,'DB Country PMI'!$A$1:$AZ$1,),)=0,#N/A,VLOOKUP(A54,'DB Country PMI'!$A:$AZ,MATCH($A$1,'DB Country PMI'!$A$1:$AZ$1,),))</f>
        <v/>
      </c>
      <c r="C54" s="24">
        <f>Table1346811121415161718[[#This Row],[PMI]]-B53</f>
        <v/>
      </c>
    </row>
    <row r="55">
      <c r="A55" s="10" t="n">
        <v>40544</v>
      </c>
      <c r="B55" s="18">
        <f>IF(VLOOKUP(A55,'DB Country PMI'!$A:$AZ,MATCH($A$1,'DB Country PMI'!$A$1:$AZ$1,),)=0,#N/A,VLOOKUP(A55,'DB Country PMI'!$A:$AZ,MATCH($A$1,'DB Country PMI'!$A$1:$AZ$1,),))</f>
        <v/>
      </c>
      <c r="C55" s="24">
        <f>Table1346811121415161718[[#This Row],[PMI]]-B54</f>
        <v/>
      </c>
    </row>
    <row r="56">
      <c r="A56" s="10" t="n">
        <v>40575</v>
      </c>
      <c r="B56" s="18">
        <f>IF(VLOOKUP(A56,'DB Country PMI'!$A:$AZ,MATCH($A$1,'DB Country PMI'!$A$1:$AZ$1,),)=0,#N/A,VLOOKUP(A56,'DB Country PMI'!$A:$AZ,MATCH($A$1,'DB Country PMI'!$A$1:$AZ$1,),))</f>
        <v/>
      </c>
      <c r="C56" s="24">
        <f>Table1346811121415161718[[#This Row],[PMI]]-B55</f>
        <v/>
      </c>
    </row>
    <row r="57">
      <c r="A57" s="10" t="n">
        <v>40603</v>
      </c>
      <c r="B57" s="18">
        <f>IF(VLOOKUP(A57,'DB Country PMI'!$A:$AZ,MATCH($A$1,'DB Country PMI'!$A$1:$AZ$1,),)=0,#N/A,VLOOKUP(A57,'DB Country PMI'!$A:$AZ,MATCH($A$1,'DB Country PMI'!$A$1:$AZ$1,),))</f>
        <v/>
      </c>
      <c r="C57" s="24">
        <f>Table1346811121415161718[[#This Row],[PMI]]-B56</f>
        <v/>
      </c>
    </row>
    <row r="58">
      <c r="A58" s="10" t="n">
        <v>40634</v>
      </c>
      <c r="B58" s="18">
        <f>IF(VLOOKUP(A58,'DB Country PMI'!$A:$AZ,MATCH($A$1,'DB Country PMI'!$A$1:$AZ$1,),)=0,#N/A,VLOOKUP(A58,'DB Country PMI'!$A:$AZ,MATCH($A$1,'DB Country PMI'!$A$1:$AZ$1,),))</f>
        <v/>
      </c>
      <c r="C58" s="24">
        <f>Table1346811121415161718[[#This Row],[PMI]]-B57</f>
        <v/>
      </c>
    </row>
    <row r="59">
      <c r="A59" s="10" t="n">
        <v>40664</v>
      </c>
      <c r="B59" s="18">
        <f>IF(VLOOKUP(A59,'DB Country PMI'!$A:$AZ,MATCH($A$1,'DB Country PMI'!$A$1:$AZ$1,),)=0,#N/A,VLOOKUP(A59,'DB Country PMI'!$A:$AZ,MATCH($A$1,'DB Country PMI'!$A$1:$AZ$1,),))</f>
        <v/>
      </c>
      <c r="C59" s="24">
        <f>Table1346811121415161718[[#This Row],[PMI]]-B58</f>
        <v/>
      </c>
    </row>
    <row r="60">
      <c r="A60" s="10" t="n">
        <v>40695</v>
      </c>
      <c r="B60" s="18">
        <f>IF(VLOOKUP(A60,'DB Country PMI'!$A:$AZ,MATCH($A$1,'DB Country PMI'!$A$1:$AZ$1,),)=0,#N/A,VLOOKUP(A60,'DB Country PMI'!$A:$AZ,MATCH($A$1,'DB Country PMI'!$A$1:$AZ$1,),))</f>
        <v/>
      </c>
      <c r="C60" s="24">
        <f>Table1346811121415161718[[#This Row],[PMI]]-B59</f>
        <v/>
      </c>
    </row>
    <row r="61">
      <c r="A61" s="10" t="n">
        <v>40725</v>
      </c>
      <c r="B61" s="18">
        <f>IF(VLOOKUP(A61,'DB Country PMI'!$A:$AZ,MATCH($A$1,'DB Country PMI'!$A$1:$AZ$1,),)=0,#N/A,VLOOKUP(A61,'DB Country PMI'!$A:$AZ,MATCH($A$1,'DB Country PMI'!$A$1:$AZ$1,),))</f>
        <v/>
      </c>
      <c r="C61" s="24">
        <f>Table1346811121415161718[[#This Row],[PMI]]-B60</f>
        <v/>
      </c>
    </row>
    <row r="62">
      <c r="A62" s="10" t="n">
        <v>40756</v>
      </c>
      <c r="B62" s="18">
        <f>IF(VLOOKUP(A62,'DB Country PMI'!$A:$AZ,MATCH($A$1,'DB Country PMI'!$A$1:$AZ$1,),)=0,#N/A,VLOOKUP(A62,'DB Country PMI'!$A:$AZ,MATCH($A$1,'DB Country PMI'!$A$1:$AZ$1,),))</f>
        <v/>
      </c>
      <c r="C62" s="24">
        <f>Table1346811121415161718[[#This Row],[PMI]]-B61</f>
        <v/>
      </c>
    </row>
    <row r="63">
      <c r="A63" s="10" t="n">
        <v>40787</v>
      </c>
      <c r="B63" s="18">
        <f>IF(VLOOKUP(A63,'DB Country PMI'!$A:$AZ,MATCH($A$1,'DB Country PMI'!$A$1:$AZ$1,),)=0,#N/A,VLOOKUP(A63,'DB Country PMI'!$A:$AZ,MATCH($A$1,'DB Country PMI'!$A$1:$AZ$1,),))</f>
        <v/>
      </c>
      <c r="C63" s="24">
        <f>Table1346811121415161718[[#This Row],[PMI]]-B62</f>
        <v/>
      </c>
    </row>
    <row r="64">
      <c r="A64" s="10" t="n">
        <v>40817</v>
      </c>
      <c r="B64" s="18">
        <f>IF(VLOOKUP(A64,'DB Country PMI'!$A:$AZ,MATCH($A$1,'DB Country PMI'!$A$1:$AZ$1,),)=0,#N/A,VLOOKUP(A64,'DB Country PMI'!$A:$AZ,MATCH($A$1,'DB Country PMI'!$A$1:$AZ$1,),))</f>
        <v/>
      </c>
      <c r="C64" s="24">
        <f>Table1346811121415161718[[#This Row],[PMI]]-B63</f>
        <v/>
      </c>
    </row>
    <row r="65">
      <c r="A65" s="10" t="n">
        <v>40848</v>
      </c>
      <c r="B65" s="18">
        <f>IF(VLOOKUP(A65,'DB Country PMI'!$A:$AZ,MATCH($A$1,'DB Country PMI'!$A$1:$AZ$1,),)=0,#N/A,VLOOKUP(A65,'DB Country PMI'!$A:$AZ,MATCH($A$1,'DB Country PMI'!$A$1:$AZ$1,),))</f>
        <v/>
      </c>
      <c r="C65" s="24">
        <f>Table1346811121415161718[[#This Row],[PMI]]-B64</f>
        <v/>
      </c>
    </row>
    <row r="66">
      <c r="A66" s="10" t="n">
        <v>40878</v>
      </c>
      <c r="B66" s="18">
        <f>IF(VLOOKUP(A66,'DB Country PMI'!$A:$AZ,MATCH($A$1,'DB Country PMI'!$A$1:$AZ$1,),)=0,#N/A,VLOOKUP(A66,'DB Country PMI'!$A:$AZ,MATCH($A$1,'DB Country PMI'!$A$1:$AZ$1,),))</f>
        <v/>
      </c>
      <c r="C66" s="24">
        <f>Table1346811121415161718[[#This Row],[PMI]]-B65</f>
        <v/>
      </c>
    </row>
    <row r="67">
      <c r="A67" s="10" t="n">
        <v>40909</v>
      </c>
      <c r="B67" s="18">
        <f>IF(VLOOKUP(A67,'DB Country PMI'!$A:$AZ,MATCH($A$1,'DB Country PMI'!$A$1:$AZ$1,),)=0,#N/A,VLOOKUP(A67,'DB Country PMI'!$A:$AZ,MATCH($A$1,'DB Country PMI'!$A$1:$AZ$1,),))</f>
        <v/>
      </c>
      <c r="C67" s="24">
        <f>Table1346811121415161718[[#This Row],[PMI]]-B66</f>
        <v/>
      </c>
    </row>
    <row r="68">
      <c r="A68" s="10" t="n">
        <v>40940</v>
      </c>
      <c r="B68" s="18">
        <f>IF(VLOOKUP(A68,'DB Country PMI'!$A:$AZ,MATCH($A$1,'DB Country PMI'!$A$1:$AZ$1,),)=0,#N/A,VLOOKUP(A68,'DB Country PMI'!$A:$AZ,MATCH($A$1,'DB Country PMI'!$A$1:$AZ$1,),))</f>
        <v/>
      </c>
      <c r="C68" s="24">
        <f>Table1346811121415161718[[#This Row],[PMI]]-B67</f>
        <v/>
      </c>
    </row>
    <row r="69">
      <c r="A69" s="10" t="n">
        <v>40969</v>
      </c>
      <c r="B69" s="18">
        <f>IF(VLOOKUP(A69,'DB Country PMI'!$A:$AZ,MATCH($A$1,'DB Country PMI'!$A$1:$AZ$1,),)=0,#N/A,VLOOKUP(A69,'DB Country PMI'!$A:$AZ,MATCH($A$1,'DB Country PMI'!$A$1:$AZ$1,),))</f>
        <v/>
      </c>
      <c r="C69" s="24">
        <f>Table1346811121415161718[[#This Row],[PMI]]-B68</f>
        <v/>
      </c>
    </row>
    <row r="70">
      <c r="A70" s="10" t="n">
        <v>41000</v>
      </c>
      <c r="B70" s="18">
        <f>IF(VLOOKUP(A70,'DB Country PMI'!$A:$AZ,MATCH($A$1,'DB Country PMI'!$A$1:$AZ$1,),)=0,#N/A,VLOOKUP(A70,'DB Country PMI'!$A:$AZ,MATCH($A$1,'DB Country PMI'!$A$1:$AZ$1,),))</f>
        <v/>
      </c>
      <c r="C70" s="24">
        <f>Table1346811121415161718[[#This Row],[PMI]]-B69</f>
        <v/>
      </c>
    </row>
    <row r="71">
      <c r="A71" s="10" t="n">
        <v>41030</v>
      </c>
      <c r="B71" s="18">
        <f>IF(VLOOKUP(A71,'DB Country PMI'!$A:$AZ,MATCH($A$1,'DB Country PMI'!$A$1:$AZ$1,),)=0,#N/A,VLOOKUP(A71,'DB Country PMI'!$A:$AZ,MATCH($A$1,'DB Country PMI'!$A$1:$AZ$1,),))</f>
        <v/>
      </c>
      <c r="C71" s="24">
        <f>Table1346811121415161718[[#This Row],[PMI]]-B70</f>
        <v/>
      </c>
    </row>
    <row r="72">
      <c r="A72" s="10" t="n">
        <v>41061</v>
      </c>
      <c r="B72" s="18">
        <f>IF(VLOOKUP(A72,'DB Country PMI'!$A:$AZ,MATCH($A$1,'DB Country PMI'!$A$1:$AZ$1,),)=0,#N/A,VLOOKUP(A72,'DB Country PMI'!$A:$AZ,MATCH($A$1,'DB Country PMI'!$A$1:$AZ$1,),))</f>
        <v/>
      </c>
      <c r="C72" s="24">
        <f>Table1346811121415161718[[#This Row],[PMI]]-B71</f>
        <v/>
      </c>
    </row>
    <row r="73">
      <c r="A73" s="10" t="n">
        <v>41091</v>
      </c>
      <c r="B73" s="18">
        <f>IF(VLOOKUP(A73,'DB Country PMI'!$A:$AZ,MATCH($A$1,'DB Country PMI'!$A$1:$AZ$1,),)=0,#N/A,VLOOKUP(A73,'DB Country PMI'!$A:$AZ,MATCH($A$1,'DB Country PMI'!$A$1:$AZ$1,),))</f>
        <v/>
      </c>
      <c r="C73" s="24">
        <f>Table1346811121415161718[[#This Row],[PMI]]-B72</f>
        <v/>
      </c>
    </row>
    <row r="74">
      <c r="A74" s="10" t="n">
        <v>41122</v>
      </c>
      <c r="B74" s="18">
        <f>IF(VLOOKUP(A74,'DB Country PMI'!$A:$AZ,MATCH($A$1,'DB Country PMI'!$A$1:$AZ$1,),)=0,#N/A,VLOOKUP(A74,'DB Country PMI'!$A:$AZ,MATCH($A$1,'DB Country PMI'!$A$1:$AZ$1,),))</f>
        <v/>
      </c>
      <c r="C74" s="24">
        <f>Table1346811121415161718[[#This Row],[PMI]]-B73</f>
        <v/>
      </c>
    </row>
    <row r="75">
      <c r="A75" s="10" t="n">
        <v>41153</v>
      </c>
      <c r="B75" s="18">
        <f>IF(VLOOKUP(A75,'DB Country PMI'!$A:$AZ,MATCH($A$1,'DB Country PMI'!$A$1:$AZ$1,),)=0,#N/A,VLOOKUP(A75,'DB Country PMI'!$A:$AZ,MATCH($A$1,'DB Country PMI'!$A$1:$AZ$1,),))</f>
        <v/>
      </c>
      <c r="C75" s="24">
        <f>Table1346811121415161718[[#This Row],[PMI]]-B74</f>
        <v/>
      </c>
    </row>
    <row r="76">
      <c r="A76" s="10" t="n">
        <v>41183</v>
      </c>
      <c r="B76" s="18">
        <f>IF(VLOOKUP(A76,'DB Country PMI'!$A:$AZ,MATCH($A$1,'DB Country PMI'!$A$1:$AZ$1,),)=0,#N/A,VLOOKUP(A76,'DB Country PMI'!$A:$AZ,MATCH($A$1,'DB Country PMI'!$A$1:$AZ$1,),))</f>
        <v/>
      </c>
      <c r="C76" s="24">
        <f>Table1346811121415161718[[#This Row],[PMI]]-B75</f>
        <v/>
      </c>
    </row>
    <row r="77">
      <c r="A77" s="10" t="n">
        <v>41214</v>
      </c>
      <c r="B77" s="18">
        <f>IF(VLOOKUP(A77,'DB Country PMI'!$A:$AZ,MATCH($A$1,'DB Country PMI'!$A$1:$AZ$1,),)=0,#N/A,VLOOKUP(A77,'DB Country PMI'!$A:$AZ,MATCH($A$1,'DB Country PMI'!$A$1:$AZ$1,),))</f>
        <v/>
      </c>
      <c r="C77" s="24">
        <f>Table1346811121415161718[[#This Row],[PMI]]-B76</f>
        <v/>
      </c>
    </row>
    <row r="78">
      <c r="A78" s="10" t="n">
        <v>41244</v>
      </c>
      <c r="B78" s="18">
        <f>IF(VLOOKUP(A78,'DB Country PMI'!$A:$AZ,MATCH($A$1,'DB Country PMI'!$A$1:$AZ$1,),)=0,#N/A,VLOOKUP(A78,'DB Country PMI'!$A:$AZ,MATCH($A$1,'DB Country PMI'!$A$1:$AZ$1,),))</f>
        <v/>
      </c>
      <c r="C78" s="24">
        <f>Table1346811121415161718[[#This Row],[PMI]]-B77</f>
        <v/>
      </c>
    </row>
    <row r="79">
      <c r="A79" s="10" t="n">
        <v>41275</v>
      </c>
      <c r="B79" s="18">
        <f>IF(VLOOKUP(A79,'DB Country PMI'!$A:$AZ,MATCH($A$1,'DB Country PMI'!$A$1:$AZ$1,),)=0,#N/A,VLOOKUP(A79,'DB Country PMI'!$A:$AZ,MATCH($A$1,'DB Country PMI'!$A$1:$AZ$1,),))</f>
        <v/>
      </c>
      <c r="C79" s="24">
        <f>Table1346811121415161718[[#This Row],[PMI]]-B78</f>
        <v/>
      </c>
    </row>
    <row r="80">
      <c r="A80" s="10" t="n">
        <v>41306</v>
      </c>
      <c r="B80" s="18">
        <f>IF(VLOOKUP(A80,'DB Country PMI'!$A:$AZ,MATCH($A$1,'DB Country PMI'!$A$1:$AZ$1,),)=0,#N/A,VLOOKUP(A80,'DB Country PMI'!$A:$AZ,MATCH($A$1,'DB Country PMI'!$A$1:$AZ$1,),))</f>
        <v/>
      </c>
      <c r="C80" s="24">
        <f>Table1346811121415161718[[#This Row],[PMI]]-B79</f>
        <v/>
      </c>
    </row>
    <row r="81">
      <c r="A81" s="10" t="n">
        <v>41334</v>
      </c>
      <c r="B81" s="18">
        <f>IF(VLOOKUP(A81,'DB Country PMI'!$A:$AZ,MATCH($A$1,'DB Country PMI'!$A$1:$AZ$1,),)=0,#N/A,VLOOKUP(A81,'DB Country PMI'!$A:$AZ,MATCH($A$1,'DB Country PMI'!$A$1:$AZ$1,),))</f>
        <v/>
      </c>
      <c r="C81" s="24">
        <f>Table1346811121415161718[[#This Row],[PMI]]-B80</f>
        <v/>
      </c>
    </row>
    <row r="82">
      <c r="A82" s="10" t="n">
        <v>41365</v>
      </c>
      <c r="B82" s="18">
        <f>IF(VLOOKUP(A82,'DB Country PMI'!$A:$AZ,MATCH($A$1,'DB Country PMI'!$A$1:$AZ$1,),)=0,#N/A,VLOOKUP(A82,'DB Country PMI'!$A:$AZ,MATCH($A$1,'DB Country PMI'!$A$1:$AZ$1,),))</f>
        <v/>
      </c>
      <c r="C82" s="24">
        <f>Table1346811121415161718[[#This Row],[PMI]]-B81</f>
        <v/>
      </c>
    </row>
    <row r="83">
      <c r="A83" s="10" t="n">
        <v>41395</v>
      </c>
      <c r="B83" s="18">
        <f>IF(VLOOKUP(A83,'DB Country PMI'!$A:$AZ,MATCH($A$1,'DB Country PMI'!$A$1:$AZ$1,),)=0,#N/A,VLOOKUP(A83,'DB Country PMI'!$A:$AZ,MATCH($A$1,'DB Country PMI'!$A$1:$AZ$1,),))</f>
        <v/>
      </c>
      <c r="C83" s="24">
        <f>Table1346811121415161718[[#This Row],[PMI]]-B82</f>
        <v/>
      </c>
    </row>
    <row r="84">
      <c r="A84" s="10" t="n">
        <v>41426</v>
      </c>
      <c r="B84" s="18">
        <f>IF(VLOOKUP(A84,'DB Country PMI'!$A:$AZ,MATCH($A$1,'DB Country PMI'!$A$1:$AZ$1,),)=0,#N/A,VLOOKUP(A84,'DB Country PMI'!$A:$AZ,MATCH($A$1,'DB Country PMI'!$A$1:$AZ$1,),))</f>
        <v/>
      </c>
      <c r="C84" s="24">
        <f>Table1346811121415161718[[#This Row],[PMI]]-B83</f>
        <v/>
      </c>
    </row>
    <row r="85">
      <c r="A85" s="10" t="n">
        <v>41456</v>
      </c>
      <c r="B85" s="18">
        <f>IF(VLOOKUP(A85,'DB Country PMI'!$A:$AZ,MATCH($A$1,'DB Country PMI'!$A$1:$AZ$1,),)=0,#N/A,VLOOKUP(A85,'DB Country PMI'!$A:$AZ,MATCH($A$1,'DB Country PMI'!$A$1:$AZ$1,),))</f>
        <v/>
      </c>
      <c r="C85" s="24">
        <f>Table1346811121415161718[[#This Row],[PMI]]-B84</f>
        <v/>
      </c>
    </row>
    <row r="86">
      <c r="A86" s="10" t="n">
        <v>41487</v>
      </c>
      <c r="B86" s="18">
        <f>IF(VLOOKUP(A86,'DB Country PMI'!$A:$AZ,MATCH($A$1,'DB Country PMI'!$A$1:$AZ$1,),)=0,#N/A,VLOOKUP(A86,'DB Country PMI'!$A:$AZ,MATCH($A$1,'DB Country PMI'!$A$1:$AZ$1,),))</f>
        <v/>
      </c>
      <c r="C86" s="24">
        <f>Table1346811121415161718[[#This Row],[PMI]]-B85</f>
        <v/>
      </c>
    </row>
    <row r="87">
      <c r="A87" s="10" t="n">
        <v>41518</v>
      </c>
      <c r="B87" s="18">
        <f>IF(VLOOKUP(A87,'DB Country PMI'!$A:$AZ,MATCH($A$1,'DB Country PMI'!$A$1:$AZ$1,),)=0,#N/A,VLOOKUP(A87,'DB Country PMI'!$A:$AZ,MATCH($A$1,'DB Country PMI'!$A$1:$AZ$1,),))</f>
        <v/>
      </c>
      <c r="C87" s="24">
        <f>Table1346811121415161718[[#This Row],[PMI]]-B86</f>
        <v/>
      </c>
    </row>
    <row r="88">
      <c r="A88" s="10" t="n">
        <v>41548</v>
      </c>
      <c r="B88" s="18">
        <f>IF(VLOOKUP(A88,'DB Country PMI'!$A:$AZ,MATCH($A$1,'DB Country PMI'!$A$1:$AZ$1,),)=0,#N/A,VLOOKUP(A88,'DB Country PMI'!$A:$AZ,MATCH($A$1,'DB Country PMI'!$A$1:$AZ$1,),))</f>
        <v/>
      </c>
      <c r="C88" s="24">
        <f>Table1346811121415161718[[#This Row],[PMI]]-B87</f>
        <v/>
      </c>
    </row>
    <row r="89">
      <c r="A89" s="10" t="n">
        <v>41579</v>
      </c>
      <c r="B89" s="18">
        <f>IF(VLOOKUP(A89,'DB Country PMI'!$A:$AZ,MATCH($A$1,'DB Country PMI'!$A$1:$AZ$1,),)=0,#N/A,VLOOKUP(A89,'DB Country PMI'!$A:$AZ,MATCH($A$1,'DB Country PMI'!$A$1:$AZ$1,),))</f>
        <v/>
      </c>
      <c r="C89" s="24">
        <f>Table1346811121415161718[[#This Row],[PMI]]-B88</f>
        <v/>
      </c>
    </row>
    <row r="90">
      <c r="A90" s="10" t="n">
        <v>41609</v>
      </c>
      <c r="B90" s="18">
        <f>IF(VLOOKUP(A90,'DB Country PMI'!$A:$AZ,MATCH($A$1,'DB Country PMI'!$A$1:$AZ$1,),)=0,#N/A,VLOOKUP(A90,'DB Country PMI'!$A:$AZ,MATCH($A$1,'DB Country PMI'!$A$1:$AZ$1,),))</f>
        <v/>
      </c>
      <c r="C90" s="24">
        <f>Table1346811121415161718[[#This Row],[PMI]]-B89</f>
        <v/>
      </c>
    </row>
    <row r="91">
      <c r="A91" s="10" t="n">
        <v>41640</v>
      </c>
      <c r="B91" s="18">
        <f>IF(VLOOKUP(A91,'DB Country PMI'!$A:$AZ,MATCH($A$1,'DB Country PMI'!$A$1:$AZ$1,),)=0,#N/A,VLOOKUP(A91,'DB Country PMI'!$A:$AZ,MATCH($A$1,'DB Country PMI'!$A$1:$AZ$1,),))</f>
        <v/>
      </c>
      <c r="C91" s="24">
        <f>Table1346811121415161718[[#This Row],[PMI]]-B90</f>
        <v/>
      </c>
    </row>
    <row r="92">
      <c r="A92" s="10" t="n">
        <v>41671</v>
      </c>
      <c r="B92" s="18">
        <f>IF(VLOOKUP(A92,'DB Country PMI'!$A:$AZ,MATCH($A$1,'DB Country PMI'!$A$1:$AZ$1,),)=0,#N/A,VLOOKUP(A92,'DB Country PMI'!$A:$AZ,MATCH($A$1,'DB Country PMI'!$A$1:$AZ$1,),))</f>
        <v/>
      </c>
      <c r="C92" s="24">
        <f>Table1346811121415161718[[#This Row],[PMI]]-B91</f>
        <v/>
      </c>
    </row>
    <row r="93">
      <c r="A93" s="10" t="n">
        <v>41699</v>
      </c>
      <c r="B93" s="18">
        <f>IF(VLOOKUP(A93,'DB Country PMI'!$A:$AZ,MATCH($A$1,'DB Country PMI'!$A$1:$AZ$1,),)=0,#N/A,VLOOKUP(A93,'DB Country PMI'!$A:$AZ,MATCH($A$1,'DB Country PMI'!$A$1:$AZ$1,),))</f>
        <v/>
      </c>
      <c r="C93" s="24">
        <f>Table1346811121415161718[[#This Row],[PMI]]-B92</f>
        <v/>
      </c>
    </row>
    <row r="94">
      <c r="A94" s="10" t="n">
        <v>41730</v>
      </c>
      <c r="B94" s="18">
        <f>IF(VLOOKUP(A94,'DB Country PMI'!$A:$AZ,MATCH($A$1,'DB Country PMI'!$A$1:$AZ$1,),)=0,#N/A,VLOOKUP(A94,'DB Country PMI'!$A:$AZ,MATCH($A$1,'DB Country PMI'!$A$1:$AZ$1,),))</f>
        <v/>
      </c>
      <c r="C94" s="24">
        <f>Table1346811121415161718[[#This Row],[PMI]]-B93</f>
        <v/>
      </c>
    </row>
    <row r="95">
      <c r="A95" s="10" t="n">
        <v>41760</v>
      </c>
      <c r="B95" s="18">
        <f>IF(VLOOKUP(A95,'DB Country PMI'!$A:$AZ,MATCH($A$1,'DB Country PMI'!$A$1:$AZ$1,),)=0,#N/A,VLOOKUP(A95,'DB Country PMI'!$A:$AZ,MATCH($A$1,'DB Country PMI'!$A$1:$AZ$1,),))</f>
        <v/>
      </c>
      <c r="C95" s="24">
        <f>Table1346811121415161718[[#This Row],[PMI]]-B94</f>
        <v/>
      </c>
    </row>
    <row r="96">
      <c r="A96" s="10" t="n">
        <v>41791</v>
      </c>
      <c r="B96" s="18">
        <f>IF(VLOOKUP(A96,'DB Country PMI'!$A:$AZ,MATCH($A$1,'DB Country PMI'!$A$1:$AZ$1,),)=0,#N/A,VLOOKUP(A96,'DB Country PMI'!$A:$AZ,MATCH($A$1,'DB Country PMI'!$A$1:$AZ$1,),))</f>
        <v/>
      </c>
      <c r="C96" s="24">
        <f>Table1346811121415161718[[#This Row],[PMI]]-B95</f>
        <v/>
      </c>
    </row>
    <row r="97">
      <c r="A97" s="10" t="n">
        <v>41821</v>
      </c>
      <c r="B97" s="18">
        <f>IF(VLOOKUP(A97,'DB Country PMI'!$A:$AZ,MATCH($A$1,'DB Country PMI'!$A$1:$AZ$1,),)=0,#N/A,VLOOKUP(A97,'DB Country PMI'!$A:$AZ,MATCH($A$1,'DB Country PMI'!$A$1:$AZ$1,),))</f>
        <v/>
      </c>
      <c r="C97" s="24">
        <f>Table1346811121415161718[[#This Row],[PMI]]-B96</f>
        <v/>
      </c>
    </row>
    <row r="98">
      <c r="A98" s="10" t="n">
        <v>41852</v>
      </c>
      <c r="B98" s="18">
        <f>IF(VLOOKUP(A98,'DB Country PMI'!$A:$AZ,MATCH($A$1,'DB Country PMI'!$A$1:$AZ$1,),)=0,#N/A,VLOOKUP(A98,'DB Country PMI'!$A:$AZ,MATCH($A$1,'DB Country PMI'!$A$1:$AZ$1,),))</f>
        <v/>
      </c>
      <c r="C98" s="24">
        <f>Table1346811121415161718[[#This Row],[PMI]]-B97</f>
        <v/>
      </c>
    </row>
    <row r="99">
      <c r="A99" s="10" t="n">
        <v>41883</v>
      </c>
      <c r="B99" s="18">
        <f>IF(VLOOKUP(A99,'DB Country PMI'!$A:$AZ,MATCH($A$1,'DB Country PMI'!$A$1:$AZ$1,),)=0,#N/A,VLOOKUP(A99,'DB Country PMI'!$A:$AZ,MATCH($A$1,'DB Country PMI'!$A$1:$AZ$1,),))</f>
        <v/>
      </c>
      <c r="C99" s="24">
        <f>Table1346811121415161718[[#This Row],[PMI]]-B98</f>
        <v/>
      </c>
    </row>
    <row r="100">
      <c r="A100" s="10" t="n">
        <v>41913</v>
      </c>
      <c r="B100" s="18">
        <f>IF(VLOOKUP(A100,'DB Country PMI'!$A:$AZ,MATCH($A$1,'DB Country PMI'!$A$1:$AZ$1,),)=0,#N/A,VLOOKUP(A100,'DB Country PMI'!$A:$AZ,MATCH($A$1,'DB Country PMI'!$A$1:$AZ$1,),))</f>
        <v/>
      </c>
      <c r="C100" s="24">
        <f>Table1346811121415161718[[#This Row],[PMI]]-B99</f>
        <v/>
      </c>
    </row>
    <row r="101">
      <c r="A101" s="10" t="n">
        <v>41944</v>
      </c>
      <c r="B101" s="18">
        <f>IF(VLOOKUP(A101,'DB Country PMI'!$A:$AZ,MATCH($A$1,'DB Country PMI'!$A$1:$AZ$1,),)=0,#N/A,VLOOKUP(A101,'DB Country PMI'!$A:$AZ,MATCH($A$1,'DB Country PMI'!$A$1:$AZ$1,),))</f>
        <v/>
      </c>
      <c r="C101" s="24">
        <f>Table1346811121415161718[[#This Row],[PMI]]-B100</f>
        <v/>
      </c>
    </row>
    <row r="102">
      <c r="A102" s="10" t="n">
        <v>41974</v>
      </c>
      <c r="B102" s="18">
        <f>IF(VLOOKUP(A102,'DB Country PMI'!$A:$AZ,MATCH($A$1,'DB Country PMI'!$A$1:$AZ$1,),)=0,#N/A,VLOOKUP(A102,'DB Country PMI'!$A:$AZ,MATCH($A$1,'DB Country PMI'!$A$1:$AZ$1,),))</f>
        <v/>
      </c>
      <c r="C102" s="24">
        <f>Table1346811121415161718[[#This Row],[PMI]]-B101</f>
        <v/>
      </c>
    </row>
    <row r="103">
      <c r="A103" s="10" t="n">
        <v>42005</v>
      </c>
      <c r="B103" s="18">
        <f>IF(VLOOKUP(A103,'DB Country PMI'!$A:$AZ,MATCH($A$1,'DB Country PMI'!$A$1:$AZ$1,),)=0,#N/A,VLOOKUP(A103,'DB Country PMI'!$A:$AZ,MATCH($A$1,'DB Country PMI'!$A$1:$AZ$1,),))</f>
        <v/>
      </c>
      <c r="C103" s="24">
        <f>Table1346811121415161718[[#This Row],[PMI]]-B102</f>
        <v/>
      </c>
    </row>
    <row r="104">
      <c r="A104" s="10" t="n">
        <v>42036</v>
      </c>
      <c r="B104" s="18">
        <f>IF(VLOOKUP(A104,'DB Country PMI'!$A:$AZ,MATCH($A$1,'DB Country PMI'!$A$1:$AZ$1,),)=0,#N/A,VLOOKUP(A104,'DB Country PMI'!$A:$AZ,MATCH($A$1,'DB Country PMI'!$A$1:$AZ$1,),))</f>
        <v/>
      </c>
      <c r="C104" s="24">
        <f>Table1346811121415161718[[#This Row],[PMI]]-B103</f>
        <v/>
      </c>
    </row>
    <row r="105">
      <c r="A105" s="10" t="n">
        <v>42064</v>
      </c>
      <c r="B105" s="18">
        <f>IF(VLOOKUP(A105,'DB Country PMI'!$A:$AZ,MATCH($A$1,'DB Country PMI'!$A$1:$AZ$1,),)=0,#N/A,VLOOKUP(A105,'DB Country PMI'!$A:$AZ,MATCH($A$1,'DB Country PMI'!$A$1:$AZ$1,),))</f>
        <v/>
      </c>
      <c r="C105" s="24">
        <f>Table1346811121415161718[[#This Row],[PMI]]-B104</f>
        <v/>
      </c>
    </row>
    <row r="106">
      <c r="A106" s="10" t="n">
        <v>42095</v>
      </c>
      <c r="B106" s="18">
        <f>IF(VLOOKUP(A106,'DB Country PMI'!$A:$AZ,MATCH($A$1,'DB Country PMI'!$A$1:$AZ$1,),)=0,#N/A,VLOOKUP(A106,'DB Country PMI'!$A:$AZ,MATCH($A$1,'DB Country PMI'!$A$1:$AZ$1,),))</f>
        <v/>
      </c>
      <c r="C106" s="24">
        <f>Table1346811121415161718[[#This Row],[PMI]]-B105</f>
        <v/>
      </c>
    </row>
    <row r="107">
      <c r="A107" s="10" t="n">
        <v>42125</v>
      </c>
      <c r="B107" s="18">
        <f>IF(VLOOKUP(A107,'DB Country PMI'!$A:$AZ,MATCH($A$1,'DB Country PMI'!$A$1:$AZ$1,),)=0,#N/A,VLOOKUP(A107,'DB Country PMI'!$A:$AZ,MATCH($A$1,'DB Country PMI'!$A$1:$AZ$1,),))</f>
        <v/>
      </c>
      <c r="C107" s="24">
        <f>Table1346811121415161718[[#This Row],[PMI]]-B106</f>
        <v/>
      </c>
    </row>
    <row r="108">
      <c r="A108" s="10" t="n">
        <v>42156</v>
      </c>
      <c r="B108" s="18">
        <f>IF(VLOOKUP(A108,'DB Country PMI'!$A:$AZ,MATCH($A$1,'DB Country PMI'!$A$1:$AZ$1,),)=0,#N/A,VLOOKUP(A108,'DB Country PMI'!$A:$AZ,MATCH($A$1,'DB Country PMI'!$A$1:$AZ$1,),))</f>
        <v/>
      </c>
      <c r="C108" s="24">
        <f>Table1346811121415161718[[#This Row],[PMI]]-B107</f>
        <v/>
      </c>
    </row>
    <row r="109">
      <c r="A109" s="10" t="n">
        <v>42186</v>
      </c>
      <c r="B109" s="18">
        <f>IF(VLOOKUP(A109,'DB Country PMI'!$A:$AZ,MATCH($A$1,'DB Country PMI'!$A$1:$AZ$1,),)=0,#N/A,VLOOKUP(A109,'DB Country PMI'!$A:$AZ,MATCH($A$1,'DB Country PMI'!$A$1:$AZ$1,),))</f>
        <v/>
      </c>
      <c r="C109" s="24">
        <f>Table1346811121415161718[[#This Row],[PMI]]-B108</f>
        <v/>
      </c>
    </row>
    <row r="110">
      <c r="A110" s="10" t="n">
        <v>42217</v>
      </c>
      <c r="B110" s="18">
        <f>IF(VLOOKUP(A110,'DB Country PMI'!$A:$AZ,MATCH($A$1,'DB Country PMI'!$A$1:$AZ$1,),)=0,#N/A,VLOOKUP(A110,'DB Country PMI'!$A:$AZ,MATCH($A$1,'DB Country PMI'!$A$1:$AZ$1,),))</f>
        <v/>
      </c>
      <c r="C110" s="24">
        <f>Table1346811121415161718[[#This Row],[PMI]]-B109</f>
        <v/>
      </c>
    </row>
    <row r="111">
      <c r="A111" s="10" t="n">
        <v>42248</v>
      </c>
      <c r="B111" s="18">
        <f>IF(VLOOKUP(A111,'DB Country PMI'!$A:$AZ,MATCH($A$1,'DB Country PMI'!$A$1:$AZ$1,),)=0,#N/A,VLOOKUP(A111,'DB Country PMI'!$A:$AZ,MATCH($A$1,'DB Country PMI'!$A$1:$AZ$1,),))</f>
        <v/>
      </c>
      <c r="C111" s="24">
        <f>Table1346811121415161718[[#This Row],[PMI]]-B110</f>
        <v/>
      </c>
    </row>
    <row r="112">
      <c r="A112" s="10" t="n">
        <v>42278</v>
      </c>
      <c r="B112" s="18">
        <f>IF(VLOOKUP(A112,'DB Country PMI'!$A:$AZ,MATCH($A$1,'DB Country PMI'!$A$1:$AZ$1,),)=0,#N/A,VLOOKUP(A112,'DB Country PMI'!$A:$AZ,MATCH($A$1,'DB Country PMI'!$A$1:$AZ$1,),))</f>
        <v/>
      </c>
      <c r="C112" s="24">
        <f>Table1346811121415161718[[#This Row],[PMI]]-B111</f>
        <v/>
      </c>
    </row>
    <row r="113">
      <c r="A113" s="10" t="n">
        <v>42309</v>
      </c>
      <c r="B113" s="18">
        <f>IF(VLOOKUP(A113,'DB Country PMI'!$A:$AZ,MATCH($A$1,'DB Country PMI'!$A$1:$AZ$1,),)=0,#N/A,VLOOKUP(A113,'DB Country PMI'!$A:$AZ,MATCH($A$1,'DB Country PMI'!$A$1:$AZ$1,),))</f>
        <v/>
      </c>
      <c r="C113" s="24">
        <f>Table1346811121415161718[[#This Row],[PMI]]-B112</f>
        <v/>
      </c>
    </row>
    <row r="114">
      <c r="A114" s="10" t="n">
        <v>42339</v>
      </c>
      <c r="B114" s="18">
        <f>IF(VLOOKUP(A114,'DB Country PMI'!$A:$AZ,MATCH($A$1,'DB Country PMI'!$A$1:$AZ$1,),)=0,#N/A,VLOOKUP(A114,'DB Country PMI'!$A:$AZ,MATCH($A$1,'DB Country PMI'!$A$1:$AZ$1,),))</f>
        <v/>
      </c>
      <c r="C114" s="24">
        <f>Table1346811121415161718[[#This Row],[PMI]]-B113</f>
        <v/>
      </c>
    </row>
    <row r="115">
      <c r="A115" s="10" t="n">
        <v>42370</v>
      </c>
      <c r="B115" s="18">
        <f>IF(VLOOKUP(A115,'DB Country PMI'!$A:$AZ,MATCH($A$1,'DB Country PMI'!$A$1:$AZ$1,),)=0,#N/A,VLOOKUP(A115,'DB Country PMI'!$A:$AZ,MATCH($A$1,'DB Country PMI'!$A$1:$AZ$1,),))</f>
        <v/>
      </c>
      <c r="C115" s="24">
        <f>Table1346811121415161718[[#This Row],[PMI]]-B114</f>
        <v/>
      </c>
    </row>
    <row r="116">
      <c r="A116" s="10" t="n">
        <v>42401</v>
      </c>
      <c r="B116" s="18">
        <f>IF(VLOOKUP(A116,'DB Country PMI'!$A:$AZ,MATCH($A$1,'DB Country PMI'!$A$1:$AZ$1,),)=0,#N/A,VLOOKUP(A116,'DB Country PMI'!$A:$AZ,MATCH($A$1,'DB Country PMI'!$A$1:$AZ$1,),))</f>
        <v/>
      </c>
      <c r="C116" s="24">
        <f>Table1346811121415161718[[#This Row],[PMI]]-B115</f>
        <v/>
      </c>
    </row>
    <row r="117">
      <c r="A117" s="10" t="n">
        <v>42430</v>
      </c>
      <c r="B117" s="18">
        <f>IF(VLOOKUP(A117,'DB Country PMI'!$A:$AZ,MATCH($A$1,'DB Country PMI'!$A$1:$AZ$1,),)=0,#N/A,VLOOKUP(A117,'DB Country PMI'!$A:$AZ,MATCH($A$1,'DB Country PMI'!$A$1:$AZ$1,),))</f>
        <v/>
      </c>
      <c r="C117" s="24">
        <f>Table1346811121415161718[[#This Row],[PMI]]-B116</f>
        <v/>
      </c>
    </row>
    <row r="118">
      <c r="A118" s="10" t="n">
        <v>42461</v>
      </c>
      <c r="B118" s="18">
        <f>IF(VLOOKUP(A118,'DB Country PMI'!$A:$AZ,MATCH($A$1,'DB Country PMI'!$A$1:$AZ$1,),)=0,#N/A,VLOOKUP(A118,'DB Country PMI'!$A:$AZ,MATCH($A$1,'DB Country PMI'!$A$1:$AZ$1,),))</f>
        <v/>
      </c>
      <c r="C118" s="24">
        <f>Table1346811121415161718[[#This Row],[PMI]]-B117</f>
        <v/>
      </c>
    </row>
    <row r="119">
      <c r="A119" s="10" t="n">
        <v>42491</v>
      </c>
      <c r="B119" s="18">
        <f>IF(VLOOKUP(A119,'DB Country PMI'!$A:$AZ,MATCH($A$1,'DB Country PMI'!$A$1:$AZ$1,),)=0,#N/A,VLOOKUP(A119,'DB Country PMI'!$A:$AZ,MATCH($A$1,'DB Country PMI'!$A$1:$AZ$1,),))</f>
        <v/>
      </c>
      <c r="C119" s="24">
        <f>Table1346811121415161718[[#This Row],[PMI]]-B118</f>
        <v/>
      </c>
    </row>
    <row r="120">
      <c r="A120" s="10" t="n">
        <v>42522</v>
      </c>
      <c r="B120" s="18">
        <f>IF(VLOOKUP(A120,'DB Country PMI'!$A:$AZ,MATCH($A$1,'DB Country PMI'!$A$1:$AZ$1,),)=0,#N/A,VLOOKUP(A120,'DB Country PMI'!$A:$AZ,MATCH($A$1,'DB Country PMI'!$A$1:$AZ$1,),))</f>
        <v/>
      </c>
      <c r="C120" s="24">
        <f>Table1346811121415161718[[#This Row],[PMI]]-B119</f>
        <v/>
      </c>
    </row>
    <row r="121">
      <c r="A121" s="10" t="n">
        <v>42552</v>
      </c>
      <c r="B121" s="18">
        <f>IF(VLOOKUP(A121,'DB Country PMI'!$A:$AZ,MATCH($A$1,'DB Country PMI'!$A$1:$AZ$1,),)=0,#N/A,VLOOKUP(A121,'DB Country PMI'!$A:$AZ,MATCH($A$1,'DB Country PMI'!$A$1:$AZ$1,),))</f>
        <v/>
      </c>
      <c r="C121" s="24">
        <f>Table1346811121415161718[[#This Row],[PMI]]-B120</f>
        <v/>
      </c>
    </row>
    <row r="122">
      <c r="A122" s="10" t="n">
        <v>42583</v>
      </c>
      <c r="B122" s="18">
        <f>IF(VLOOKUP(A122,'DB Country PMI'!$A:$AZ,MATCH($A$1,'DB Country PMI'!$A$1:$AZ$1,),)=0,#N/A,VLOOKUP(A122,'DB Country PMI'!$A:$AZ,MATCH($A$1,'DB Country PMI'!$A$1:$AZ$1,),))</f>
        <v/>
      </c>
      <c r="C122" s="24">
        <f>Table1346811121415161718[[#This Row],[PMI]]-B121</f>
        <v/>
      </c>
    </row>
    <row r="123">
      <c r="A123" s="10" t="n">
        <v>42614</v>
      </c>
      <c r="B123" s="18">
        <f>IF(VLOOKUP(A123,'DB Country PMI'!$A:$AZ,MATCH($A$1,'DB Country PMI'!$A$1:$AZ$1,),)=0,#N/A,VLOOKUP(A123,'DB Country PMI'!$A:$AZ,MATCH($A$1,'DB Country PMI'!$A$1:$AZ$1,),))</f>
        <v/>
      </c>
      <c r="C123" s="24">
        <f>Table1346811121415161718[[#This Row],[PMI]]-B122</f>
        <v/>
      </c>
    </row>
    <row r="124">
      <c r="A124" s="10" t="n">
        <v>42644</v>
      </c>
      <c r="B124" s="18">
        <f>IF(VLOOKUP(A124,'DB Country PMI'!$A:$AZ,MATCH($A$1,'DB Country PMI'!$A$1:$AZ$1,),)=0,#N/A,VLOOKUP(A124,'DB Country PMI'!$A:$AZ,MATCH($A$1,'DB Country PMI'!$A$1:$AZ$1,),))</f>
        <v/>
      </c>
      <c r="C124" s="24">
        <f>Table1346811121415161718[[#This Row],[PMI]]-B123</f>
        <v/>
      </c>
    </row>
    <row r="125">
      <c r="A125" s="10" t="n">
        <v>42675</v>
      </c>
      <c r="B125" s="18">
        <f>IF(VLOOKUP(A125,'DB Country PMI'!$A:$AZ,MATCH($A$1,'DB Country PMI'!$A$1:$AZ$1,),)=0,#N/A,VLOOKUP(A125,'DB Country PMI'!$A:$AZ,MATCH($A$1,'DB Country PMI'!$A$1:$AZ$1,),))</f>
        <v/>
      </c>
      <c r="C125" s="24">
        <f>Table1346811121415161718[[#This Row],[PMI]]-B124</f>
        <v/>
      </c>
    </row>
    <row r="126">
      <c r="A126" s="10" t="n">
        <v>42705</v>
      </c>
      <c r="B126" s="18">
        <f>IF(VLOOKUP(A126,'DB Country PMI'!$A:$AZ,MATCH($A$1,'DB Country PMI'!$A$1:$AZ$1,),)=0,#N/A,VLOOKUP(A126,'DB Country PMI'!$A:$AZ,MATCH($A$1,'DB Country PMI'!$A$1:$AZ$1,),))</f>
        <v/>
      </c>
      <c r="C126" s="24">
        <f>Table1346811121415161718[[#This Row],[PMI]]-B125</f>
        <v/>
      </c>
    </row>
    <row r="127">
      <c r="A127" s="10" t="n">
        <v>42736</v>
      </c>
      <c r="B127" s="18">
        <f>IF(VLOOKUP(A127,'DB Country PMI'!$A:$AZ,MATCH($A$1,'DB Country PMI'!$A$1:$AZ$1,),)=0,#N/A,VLOOKUP(A127,'DB Country PMI'!$A:$AZ,MATCH($A$1,'DB Country PMI'!$A$1:$AZ$1,),))</f>
        <v/>
      </c>
      <c r="C127" s="24">
        <f>Table1346811121415161718[[#This Row],[PMI]]-B126</f>
        <v/>
      </c>
    </row>
    <row r="128">
      <c r="A128" s="10" t="n">
        <v>42767</v>
      </c>
      <c r="B128" s="18">
        <f>IF(VLOOKUP(A128,'DB Country PMI'!$A:$AZ,MATCH($A$1,'DB Country PMI'!$A$1:$AZ$1,),)=0,#N/A,VLOOKUP(A128,'DB Country PMI'!$A:$AZ,MATCH($A$1,'DB Country PMI'!$A$1:$AZ$1,),))</f>
        <v/>
      </c>
      <c r="C128" s="24">
        <f>Table1346811121415161718[[#This Row],[PMI]]-B127</f>
        <v/>
      </c>
    </row>
    <row r="129">
      <c r="A129" s="10" t="n">
        <v>42795</v>
      </c>
      <c r="B129" s="18">
        <f>IF(VLOOKUP(A129,'DB Country PMI'!$A:$AZ,MATCH($A$1,'DB Country PMI'!$A$1:$AZ$1,),)=0,#N/A,VLOOKUP(A129,'DB Country PMI'!$A:$AZ,MATCH($A$1,'DB Country PMI'!$A$1:$AZ$1,),))</f>
        <v/>
      </c>
      <c r="C129" s="24">
        <f>Table1346811121415161718[[#This Row],[PMI]]-B128</f>
        <v/>
      </c>
    </row>
    <row r="130">
      <c r="A130" s="10" t="n">
        <v>42826</v>
      </c>
      <c r="B130" s="18">
        <f>IF(VLOOKUP(A130,'DB Country PMI'!$A:$AZ,MATCH($A$1,'DB Country PMI'!$A$1:$AZ$1,),)=0,#N/A,VLOOKUP(A130,'DB Country PMI'!$A:$AZ,MATCH($A$1,'DB Country PMI'!$A$1:$AZ$1,),))</f>
        <v/>
      </c>
      <c r="C130" s="24">
        <f>Table1346811121415161718[[#This Row],[PMI]]-B129</f>
        <v/>
      </c>
    </row>
    <row r="131">
      <c r="A131" s="10" t="n">
        <v>42856</v>
      </c>
      <c r="B131" s="18">
        <f>IF(VLOOKUP(A131,'DB Country PMI'!$A:$AZ,MATCH($A$1,'DB Country PMI'!$A$1:$AZ$1,),)=0,#N/A,VLOOKUP(A131,'DB Country PMI'!$A:$AZ,MATCH($A$1,'DB Country PMI'!$A$1:$AZ$1,),))</f>
        <v/>
      </c>
      <c r="C131" s="24">
        <f>Table1346811121415161718[[#This Row],[PMI]]-B130</f>
        <v/>
      </c>
    </row>
    <row r="132">
      <c r="A132" s="10" t="n">
        <v>42887</v>
      </c>
      <c r="B132" s="18">
        <f>IF(VLOOKUP(A132,'DB Country PMI'!$A:$AZ,MATCH($A$1,'DB Country PMI'!$A$1:$AZ$1,),)=0,#N/A,VLOOKUP(A132,'DB Country PMI'!$A:$AZ,MATCH($A$1,'DB Country PMI'!$A$1:$AZ$1,),))</f>
        <v/>
      </c>
      <c r="C132" s="24">
        <f>Table1346811121415161718[[#This Row],[PMI]]-B131</f>
        <v/>
      </c>
    </row>
    <row r="133">
      <c r="A133" s="10" t="n">
        <v>42917</v>
      </c>
      <c r="B133" s="18">
        <f>IF(VLOOKUP(A133,'DB Country PMI'!$A:$AZ,MATCH($A$1,'DB Country PMI'!$A$1:$AZ$1,),)=0,#N/A,VLOOKUP(A133,'DB Country PMI'!$A:$AZ,MATCH($A$1,'DB Country PMI'!$A$1:$AZ$1,),))</f>
        <v/>
      </c>
      <c r="C133" s="24">
        <f>Table1346811121415161718[[#This Row],[PMI]]-B132</f>
        <v/>
      </c>
    </row>
    <row r="134">
      <c r="A134" s="10" t="n">
        <v>42948</v>
      </c>
      <c r="B134" s="18">
        <f>IF(VLOOKUP(A134,'DB Country PMI'!$A:$AZ,MATCH($A$1,'DB Country PMI'!$A$1:$AZ$1,),)=0,#N/A,VLOOKUP(A134,'DB Country PMI'!$A:$AZ,MATCH($A$1,'DB Country PMI'!$A$1:$AZ$1,),))</f>
        <v/>
      </c>
      <c r="C134" s="24">
        <f>Table1346811121415161718[[#This Row],[PMI]]-B133</f>
        <v/>
      </c>
    </row>
    <row r="135">
      <c r="A135" s="10" t="n">
        <v>42979</v>
      </c>
      <c r="B135" s="18">
        <f>IF(VLOOKUP(A135,'DB Country PMI'!$A:$AZ,MATCH($A$1,'DB Country PMI'!$A$1:$AZ$1,),)=0,#N/A,VLOOKUP(A135,'DB Country PMI'!$A:$AZ,MATCH($A$1,'DB Country PMI'!$A$1:$AZ$1,),))</f>
        <v/>
      </c>
      <c r="C135" s="24">
        <f>Table1346811121415161718[[#This Row],[PMI]]-B134</f>
        <v/>
      </c>
    </row>
    <row r="136">
      <c r="A136" s="10" t="n">
        <v>43009</v>
      </c>
      <c r="B136" s="18">
        <f>IF(VLOOKUP(A136,'DB Country PMI'!$A:$AZ,MATCH($A$1,'DB Country PMI'!$A$1:$AZ$1,),)=0,#N/A,VLOOKUP(A136,'DB Country PMI'!$A:$AZ,MATCH($A$1,'DB Country PMI'!$A$1:$AZ$1,),))</f>
        <v/>
      </c>
      <c r="C136" s="24">
        <f>Table1346811121415161718[[#This Row],[PMI]]-B135</f>
        <v/>
      </c>
    </row>
    <row r="137">
      <c r="A137" s="10" t="n">
        <v>43040</v>
      </c>
      <c r="B137" s="18">
        <f>IF(VLOOKUP(A137,'DB Country PMI'!$A:$AZ,MATCH($A$1,'DB Country PMI'!$A$1:$AZ$1,),)=0,#N/A,VLOOKUP(A137,'DB Country PMI'!$A:$AZ,MATCH($A$1,'DB Country PMI'!$A$1:$AZ$1,),))</f>
        <v/>
      </c>
      <c r="C137" s="24">
        <f>Table1346811121415161718[[#This Row],[PMI]]-B136</f>
        <v/>
      </c>
    </row>
    <row r="138">
      <c r="A138" s="10" t="n">
        <v>43070</v>
      </c>
      <c r="B138" s="18">
        <f>IF(VLOOKUP(A138,'DB Country PMI'!$A:$AZ,MATCH($A$1,'DB Country PMI'!$A$1:$AZ$1,),)=0,#N/A,VLOOKUP(A138,'DB Country PMI'!$A:$AZ,MATCH($A$1,'DB Country PMI'!$A$1:$AZ$1,),))</f>
        <v/>
      </c>
      <c r="C138" s="24">
        <f>Table1346811121415161718[[#This Row],[PMI]]-B137</f>
        <v/>
      </c>
    </row>
    <row r="139">
      <c r="A139" s="10" t="n">
        <v>43101</v>
      </c>
      <c r="B139" s="18">
        <f>IF(VLOOKUP(A139,'DB Country PMI'!$A:$AZ,MATCH($A$1,'DB Country PMI'!$A$1:$AZ$1,),)=0,#N/A,VLOOKUP(A139,'DB Country PMI'!$A:$AZ,MATCH($A$1,'DB Country PMI'!$A$1:$AZ$1,),))</f>
        <v/>
      </c>
      <c r="C139" s="24">
        <f>Table1346811121415161718[[#This Row],[PMI]]-B138</f>
        <v/>
      </c>
    </row>
    <row r="140">
      <c r="A140" s="10" t="n">
        <v>43132</v>
      </c>
      <c r="B140" s="18">
        <f>IF(VLOOKUP(A140,'DB Country PMI'!$A:$AZ,MATCH($A$1,'DB Country PMI'!$A$1:$AZ$1,),)=0,#N/A,VLOOKUP(A140,'DB Country PMI'!$A:$AZ,MATCH($A$1,'DB Country PMI'!$A$1:$AZ$1,),))</f>
        <v/>
      </c>
      <c r="C140" s="24">
        <f>Table1346811121415161718[[#This Row],[PMI]]-B139</f>
        <v/>
      </c>
    </row>
    <row r="141">
      <c r="A141" s="10" t="n">
        <v>43160</v>
      </c>
      <c r="B141" s="18">
        <f>IF(VLOOKUP(A141,'DB Country PMI'!$A:$AZ,MATCH($A$1,'DB Country PMI'!$A$1:$AZ$1,),)=0,#N/A,VLOOKUP(A141,'DB Country PMI'!$A:$AZ,MATCH($A$1,'DB Country PMI'!$A$1:$AZ$1,),))</f>
        <v/>
      </c>
      <c r="C141" s="24">
        <f>Table1346811121415161718[[#This Row],[PMI]]-B140</f>
        <v/>
      </c>
    </row>
    <row r="142">
      <c r="A142" s="10" t="n">
        <v>43191</v>
      </c>
      <c r="B142" s="18">
        <f>IF(VLOOKUP(A142,'DB Country PMI'!$A:$AZ,MATCH($A$1,'DB Country PMI'!$A$1:$AZ$1,),)=0,#N/A,VLOOKUP(A142,'DB Country PMI'!$A:$AZ,MATCH($A$1,'DB Country PMI'!$A$1:$AZ$1,),))</f>
        <v/>
      </c>
      <c r="C142" s="24">
        <f>Table1346811121415161718[[#This Row],[PMI]]-B141</f>
        <v/>
      </c>
    </row>
    <row r="143">
      <c r="A143" s="10" t="n">
        <v>43221</v>
      </c>
      <c r="B143" s="18">
        <f>IF(VLOOKUP(A143,'DB Country PMI'!$A:$AZ,MATCH($A$1,'DB Country PMI'!$A$1:$AZ$1,),)=0,#N/A,VLOOKUP(A143,'DB Country PMI'!$A:$AZ,MATCH($A$1,'DB Country PMI'!$A$1:$AZ$1,),))</f>
        <v/>
      </c>
      <c r="C143" s="24">
        <f>Table1346811121415161718[[#This Row],[PMI]]-B142</f>
        <v/>
      </c>
    </row>
    <row r="144">
      <c r="A144" s="10" t="n">
        <v>43252</v>
      </c>
      <c r="B144" s="18">
        <f>IF(VLOOKUP(A144,'DB Country PMI'!$A:$AZ,MATCH($A$1,'DB Country PMI'!$A$1:$AZ$1,),)=0,#N/A,VLOOKUP(A144,'DB Country PMI'!$A:$AZ,MATCH($A$1,'DB Country PMI'!$A$1:$AZ$1,),))</f>
        <v/>
      </c>
      <c r="C144" s="24">
        <f>Table1346811121415161718[[#This Row],[PMI]]-B143</f>
        <v/>
      </c>
    </row>
    <row r="145">
      <c r="A145" s="10" t="n">
        <v>43282</v>
      </c>
      <c r="B145" s="18">
        <f>IF(VLOOKUP(A145,'DB Country PMI'!$A:$AZ,MATCH($A$1,'DB Country PMI'!$A$1:$AZ$1,),)=0,#N/A,VLOOKUP(A145,'DB Country PMI'!$A:$AZ,MATCH($A$1,'DB Country PMI'!$A$1:$AZ$1,),))</f>
        <v/>
      </c>
      <c r="C145" s="24">
        <f>Table1346811121415161718[[#This Row],[PMI]]-B144</f>
        <v/>
      </c>
    </row>
    <row r="146">
      <c r="A146" s="10" t="n">
        <v>43313</v>
      </c>
      <c r="B146" s="18">
        <f>IF(VLOOKUP(A146,'DB Country PMI'!$A:$AZ,MATCH($A$1,'DB Country PMI'!$A$1:$AZ$1,),)=0,#N/A,VLOOKUP(A146,'DB Country PMI'!$A:$AZ,MATCH($A$1,'DB Country PMI'!$A$1:$AZ$1,),))</f>
        <v/>
      </c>
      <c r="C146" s="24">
        <f>Table1346811121415161718[[#This Row],[PMI]]-B145</f>
        <v/>
      </c>
    </row>
    <row r="147">
      <c r="A147" s="10" t="n">
        <v>43344</v>
      </c>
      <c r="B147" s="18">
        <f>IF(VLOOKUP(A147,'DB Country PMI'!$A:$AZ,MATCH($A$1,'DB Country PMI'!$A$1:$AZ$1,),)=0,#N/A,VLOOKUP(A147,'DB Country PMI'!$A:$AZ,MATCH($A$1,'DB Country PMI'!$A$1:$AZ$1,),))</f>
        <v/>
      </c>
      <c r="C147" s="24">
        <f>Table1346811121415161718[[#This Row],[PMI]]-B146</f>
        <v/>
      </c>
    </row>
    <row r="148">
      <c r="A148" s="10" t="n">
        <v>43374</v>
      </c>
      <c r="B148" s="18">
        <f>IF(VLOOKUP(A148,'DB Country PMI'!$A:$AZ,MATCH($A$1,'DB Country PMI'!$A$1:$AZ$1,),)=0,#N/A,VLOOKUP(A148,'DB Country PMI'!$A:$AZ,MATCH($A$1,'DB Country PMI'!$A$1:$AZ$1,),))</f>
        <v/>
      </c>
      <c r="C148" s="24">
        <f>Table1346811121415161718[[#This Row],[PMI]]-B147</f>
        <v/>
      </c>
    </row>
    <row r="149">
      <c r="A149" s="10" t="n">
        <v>43405</v>
      </c>
      <c r="B149" s="18">
        <f>IF(VLOOKUP(A149,'DB Country PMI'!$A:$AZ,MATCH($A$1,'DB Country PMI'!$A$1:$AZ$1,),)=0,#N/A,VLOOKUP(A149,'DB Country PMI'!$A:$AZ,MATCH($A$1,'DB Country PMI'!$A$1:$AZ$1,),))</f>
        <v/>
      </c>
      <c r="C149" s="24">
        <f>Table1346811121415161718[[#This Row],[PMI]]-B148</f>
        <v/>
      </c>
    </row>
    <row r="150">
      <c r="A150" s="10" t="n">
        <v>43435</v>
      </c>
      <c r="B150" s="18">
        <f>IF(VLOOKUP(A150,'DB Country PMI'!$A:$AZ,MATCH($A$1,'DB Country PMI'!$A$1:$AZ$1,),)=0,#N/A,VLOOKUP(A150,'DB Country PMI'!$A:$AZ,MATCH($A$1,'DB Country PMI'!$A$1:$AZ$1,),))</f>
        <v/>
      </c>
      <c r="C150" s="24">
        <f>Table1346811121415161718[[#This Row],[PMI]]-B149</f>
        <v/>
      </c>
    </row>
    <row r="151">
      <c r="A151" s="10" t="n">
        <v>43466</v>
      </c>
      <c r="B151" s="18">
        <f>IF(VLOOKUP(A151,'DB Country PMI'!$A:$AZ,MATCH($A$1,'DB Country PMI'!$A$1:$AZ$1,),)=0,#N/A,VLOOKUP(A151,'DB Country PMI'!$A:$AZ,MATCH($A$1,'DB Country PMI'!$A$1:$AZ$1,),))</f>
        <v/>
      </c>
      <c r="C151" s="24">
        <f>Table1346811121415161718[[#This Row],[PMI]]-B150</f>
        <v/>
      </c>
    </row>
    <row r="152">
      <c r="A152" s="10" t="n">
        <v>43497</v>
      </c>
      <c r="B152" s="18">
        <f>IF(VLOOKUP(A152,'DB Country PMI'!$A:$AZ,MATCH($A$1,'DB Country PMI'!$A$1:$AZ$1,),)=0,#N/A,VLOOKUP(A152,'DB Country PMI'!$A:$AZ,MATCH($A$1,'DB Country PMI'!$A$1:$AZ$1,),))</f>
        <v/>
      </c>
      <c r="C152" s="24">
        <f>Table1346811121415161718[[#This Row],[PMI]]-B151</f>
        <v/>
      </c>
    </row>
    <row r="153">
      <c r="A153" s="10" t="n">
        <v>43525</v>
      </c>
      <c r="B153" s="18">
        <f>IF(VLOOKUP(A153,'DB Country PMI'!$A:$AZ,MATCH($A$1,'DB Country PMI'!$A$1:$AZ$1,),)=0,#N/A,VLOOKUP(A153,'DB Country PMI'!$A:$AZ,MATCH($A$1,'DB Country PMI'!$A$1:$AZ$1,),))</f>
        <v/>
      </c>
      <c r="C153" s="24">
        <f>Table1346811121415161718[[#This Row],[PMI]]-B152</f>
        <v/>
      </c>
    </row>
    <row r="154">
      <c r="A154" s="10" t="n">
        <v>43556</v>
      </c>
      <c r="B154" s="18">
        <f>IF(VLOOKUP(A154,'DB Country PMI'!$A:$AZ,MATCH($A$1,'DB Country PMI'!$A$1:$AZ$1,),)=0,#N/A,VLOOKUP(A154,'DB Country PMI'!$A:$AZ,MATCH($A$1,'DB Country PMI'!$A$1:$AZ$1,),))</f>
        <v/>
      </c>
      <c r="C154" s="24">
        <f>Table1346811121415161718[[#This Row],[PMI]]-B153</f>
        <v/>
      </c>
    </row>
    <row r="155">
      <c r="A155" s="10" t="n">
        <v>43586</v>
      </c>
      <c r="B155" s="18">
        <f>IF(VLOOKUP(A155,'DB Country PMI'!$A:$AZ,MATCH($A$1,'DB Country PMI'!$A$1:$AZ$1,),)=0,#N/A,VLOOKUP(A155,'DB Country PMI'!$A:$AZ,MATCH($A$1,'DB Country PMI'!$A$1:$AZ$1,),))</f>
        <v/>
      </c>
      <c r="C155" s="24">
        <f>Table1346811121415161718[[#This Row],[PMI]]-B154</f>
        <v/>
      </c>
    </row>
    <row r="156">
      <c r="A156" s="10" t="n">
        <v>43617</v>
      </c>
      <c r="B156" s="18">
        <f>IF(VLOOKUP(A156,'DB Country PMI'!$A:$AZ,MATCH($A$1,'DB Country PMI'!$A$1:$AZ$1,),)=0,#N/A,VLOOKUP(A156,'DB Country PMI'!$A:$AZ,MATCH($A$1,'DB Country PMI'!$A$1:$AZ$1,),))</f>
        <v/>
      </c>
      <c r="C156" s="24">
        <f>Table1346811121415161718[[#This Row],[PMI]]-B155</f>
        <v/>
      </c>
    </row>
    <row r="157">
      <c r="A157" s="10" t="n">
        <v>43647</v>
      </c>
      <c r="B157" s="18">
        <f>IF(VLOOKUP(A157,'DB Country PMI'!$A:$AZ,MATCH($A$1,'DB Country PMI'!$A$1:$AZ$1,),)=0,#N/A,VLOOKUP(A157,'DB Country PMI'!$A:$AZ,MATCH($A$1,'DB Country PMI'!$A$1:$AZ$1,),))</f>
        <v/>
      </c>
      <c r="C157" s="24">
        <f>Table1346811121415161718[[#This Row],[PMI]]-B156</f>
        <v/>
      </c>
    </row>
    <row r="158">
      <c r="A158" s="10" t="n">
        <v>43678</v>
      </c>
      <c r="B158" s="18">
        <f>IF(VLOOKUP(A158,'DB Country PMI'!$A:$AZ,MATCH($A$1,'DB Country PMI'!$A$1:$AZ$1,),)=0,#N/A,VLOOKUP(A158,'DB Country PMI'!$A:$AZ,MATCH($A$1,'DB Country PMI'!$A$1:$AZ$1,),))</f>
        <v/>
      </c>
      <c r="C158" s="24">
        <f>Table1346811121415161718[[#This Row],[PMI]]-B157</f>
        <v/>
      </c>
    </row>
    <row r="159">
      <c r="A159" s="10" t="n">
        <v>43709</v>
      </c>
      <c r="B159" s="18">
        <f>IF(VLOOKUP(A159,'DB Country PMI'!$A:$AZ,MATCH($A$1,'DB Country PMI'!$A$1:$AZ$1,),)=0,#N/A,VLOOKUP(A159,'DB Country PMI'!$A:$AZ,MATCH($A$1,'DB Country PMI'!$A$1:$AZ$1,),))</f>
        <v/>
      </c>
      <c r="C159" s="24">
        <f>Table1346811121415161718[[#This Row],[PMI]]-B158</f>
        <v/>
      </c>
    </row>
    <row r="160">
      <c r="A160" s="10" t="n">
        <v>43739</v>
      </c>
      <c r="B160" s="18">
        <f>IF(VLOOKUP(A160,'DB Country PMI'!$A:$AZ,MATCH($A$1,'DB Country PMI'!$A$1:$AZ$1,),)=0,#N/A,VLOOKUP(A160,'DB Country PMI'!$A:$AZ,MATCH($A$1,'DB Country PMI'!$A$1:$AZ$1,),))</f>
        <v/>
      </c>
      <c r="C160" s="24">
        <f>Table1346811121415161718[[#This Row],[PMI]]-B159</f>
        <v/>
      </c>
    </row>
    <row r="161">
      <c r="A161" s="10" t="n">
        <v>43770</v>
      </c>
      <c r="B161" s="18">
        <f>IF(VLOOKUP(A161,'DB Country PMI'!$A:$AZ,MATCH($A$1,'DB Country PMI'!$A$1:$AZ$1,),)=0,#N/A,VLOOKUP(A161,'DB Country PMI'!$A:$AZ,MATCH($A$1,'DB Country PMI'!$A$1:$AZ$1,),))</f>
        <v/>
      </c>
      <c r="C161" s="24">
        <f>Table1346811121415161718[[#This Row],[PMI]]-B160</f>
        <v/>
      </c>
    </row>
    <row r="162">
      <c r="A162" s="10" t="n">
        <v>43800</v>
      </c>
      <c r="B162" s="18">
        <f>IF(VLOOKUP(A162,'DB Country PMI'!$A:$AZ,MATCH($A$1,'DB Country PMI'!$A$1:$AZ$1,),)=0,#N/A,VLOOKUP(A162,'DB Country PMI'!$A:$AZ,MATCH($A$1,'DB Country PMI'!$A$1:$AZ$1,),))</f>
        <v/>
      </c>
      <c r="C162" s="24">
        <f>Table1346811121415161718[[#This Row],[PMI]]-B161</f>
        <v/>
      </c>
    </row>
    <row r="163">
      <c r="A163" s="10" t="n">
        <v>43831</v>
      </c>
      <c r="B163" s="18">
        <f>IF(VLOOKUP(A163,'DB Country PMI'!$A:$AZ,MATCH($A$1,'DB Country PMI'!$A$1:$AZ$1,),)=0,#N/A,VLOOKUP(A163,'DB Country PMI'!$A:$AZ,MATCH($A$1,'DB Country PMI'!$A$1:$AZ$1,),))</f>
        <v/>
      </c>
      <c r="C163" s="24">
        <f>Table1346811121415161718[[#This Row],[PMI]]-B162</f>
        <v/>
      </c>
    </row>
    <row r="164">
      <c r="A164" s="10" t="n">
        <v>43862</v>
      </c>
      <c r="B164" s="18">
        <f>IF(VLOOKUP(A164,'DB Country PMI'!$A:$AZ,MATCH($A$1,'DB Country PMI'!$A$1:$AZ$1,),)=0,#N/A,VLOOKUP(A164,'DB Country PMI'!$A:$AZ,MATCH($A$1,'DB Country PMI'!$A$1:$AZ$1,),))</f>
        <v/>
      </c>
      <c r="C164" s="24">
        <f>Table1346811121415161718[[#This Row],[PMI]]-B163</f>
        <v/>
      </c>
    </row>
    <row r="165">
      <c r="A165" s="10" t="n">
        <v>43891</v>
      </c>
      <c r="B165" s="18">
        <f>IF(VLOOKUP(A165,'DB Country PMI'!$A:$AZ,MATCH($A$1,'DB Country PMI'!$A$1:$AZ$1,),)=0,#N/A,VLOOKUP(A165,'DB Country PMI'!$A:$AZ,MATCH($A$1,'DB Country PMI'!$A$1:$AZ$1,),))</f>
        <v/>
      </c>
      <c r="C165" s="24">
        <f>Table1346811121415161718[[#This Row],[PMI]]-B164</f>
        <v/>
      </c>
    </row>
    <row r="166">
      <c r="A166" s="10" t="n">
        <v>43922</v>
      </c>
      <c r="B166" s="18">
        <f>IF(VLOOKUP(A166,'DB Country PMI'!$A:$AZ,MATCH($A$1,'DB Country PMI'!$A$1:$AZ$1,),)=0,#N/A,VLOOKUP(A166,'DB Country PMI'!$A:$AZ,MATCH($A$1,'DB Country PMI'!$A$1:$AZ$1,),))</f>
        <v/>
      </c>
      <c r="C166" s="24">
        <f>Table1346811121415161718[[#This Row],[PMI]]-B165</f>
        <v/>
      </c>
    </row>
    <row r="167">
      <c r="A167" s="10" t="n">
        <v>43952</v>
      </c>
      <c r="B167" s="18">
        <f>IF(VLOOKUP(A167,'DB Country PMI'!$A:$AZ,MATCH($A$1,'DB Country PMI'!$A$1:$AZ$1,),)=0,#N/A,VLOOKUP(A167,'DB Country PMI'!$A:$AZ,MATCH($A$1,'DB Country PMI'!$A$1:$AZ$1,),))</f>
        <v/>
      </c>
      <c r="C167" s="24">
        <f>Table1346811121415161718[[#This Row],[PMI]]-B166</f>
        <v/>
      </c>
    </row>
    <row r="168">
      <c r="A168" s="10" t="n">
        <v>43983</v>
      </c>
      <c r="B168" s="18">
        <f>IF(VLOOKUP(A168,'DB Country PMI'!$A:$AZ,MATCH($A$1,'DB Country PMI'!$A$1:$AZ$1,),)=0,#N/A,VLOOKUP(A168,'DB Country PMI'!$A:$AZ,MATCH($A$1,'DB Country PMI'!$A$1:$AZ$1,),))</f>
        <v/>
      </c>
      <c r="C168" s="24">
        <f>Table1346811121415161718[[#This Row],[PMI]]-B167</f>
        <v/>
      </c>
    </row>
    <row r="169">
      <c r="A169" s="10" t="n">
        <v>44013</v>
      </c>
      <c r="B169" s="18">
        <f>IF(VLOOKUP(A169,'DB Country PMI'!$A:$AZ,MATCH($A$1,'DB Country PMI'!$A$1:$AZ$1,),)=0,#N/A,VLOOKUP(A169,'DB Country PMI'!$A:$AZ,MATCH($A$1,'DB Country PMI'!$A$1:$AZ$1,),))</f>
        <v/>
      </c>
      <c r="C169" s="24">
        <f>Table1346811121415161718[[#This Row],[PMI]]-B168</f>
        <v/>
      </c>
    </row>
    <row r="170">
      <c r="A170" s="10" t="n">
        <v>44044</v>
      </c>
      <c r="B170" s="18">
        <f>IF(VLOOKUP(A170,'DB Country PMI'!$A:$AZ,MATCH($A$1,'DB Country PMI'!$A$1:$AZ$1,),)=0,#N/A,VLOOKUP(A170,'DB Country PMI'!$A:$AZ,MATCH($A$1,'DB Country PMI'!$A$1:$AZ$1,),))</f>
        <v/>
      </c>
      <c r="C170" s="24">
        <f>Table1346811121415161718[[#This Row],[PMI]]-B169</f>
        <v/>
      </c>
    </row>
    <row r="171">
      <c r="A171" s="10" t="n">
        <v>44075</v>
      </c>
      <c r="B171" s="18">
        <f>IF(VLOOKUP(A171,'DB Country PMI'!$A:$AZ,MATCH($A$1,'DB Country PMI'!$A$1:$AZ$1,),)=0,#N/A,VLOOKUP(A171,'DB Country PMI'!$A:$AZ,MATCH($A$1,'DB Country PMI'!$A$1:$AZ$1,),))</f>
        <v/>
      </c>
      <c r="C171" s="24">
        <f>Table1346811121415161718[[#This Row],[PMI]]-B170</f>
        <v/>
      </c>
    </row>
    <row r="172">
      <c r="A172" s="10" t="n">
        <v>44105</v>
      </c>
      <c r="B172" s="18">
        <f>IF(VLOOKUP(A172,'DB Country PMI'!$A:$AZ,MATCH($A$1,'DB Country PMI'!$A$1:$AZ$1,),)=0,#N/A,VLOOKUP(A172,'DB Country PMI'!$A:$AZ,MATCH($A$1,'DB Country PMI'!$A$1:$AZ$1,),))</f>
        <v/>
      </c>
      <c r="C172" s="24">
        <f>Table1346811121415161718[[#This Row],[PMI]]-B171</f>
        <v/>
      </c>
    </row>
    <row r="173">
      <c r="A173" s="10" t="n">
        <v>44136</v>
      </c>
      <c r="B173" s="18">
        <f>IF(VLOOKUP(A173,'DB Country PMI'!$A:$AZ,MATCH($A$1,'DB Country PMI'!$A$1:$AZ$1,),)=0,#N/A,VLOOKUP(A173,'DB Country PMI'!$A:$AZ,MATCH($A$1,'DB Country PMI'!$A$1:$AZ$1,),))</f>
        <v/>
      </c>
      <c r="C173" s="24">
        <f>Table1346811121415161718[[#This Row],[PMI]]-B172</f>
        <v/>
      </c>
    </row>
    <row r="174">
      <c r="A174" s="10" t="n">
        <v>44166</v>
      </c>
      <c r="B174" s="18">
        <f>IF(VLOOKUP(A174,'DB Country PMI'!$A:$AZ,MATCH($A$1,'DB Country PMI'!$A$1:$AZ$1,),)=0,#N/A,VLOOKUP(A174,'DB Country PMI'!$A:$AZ,MATCH($A$1,'DB Country PMI'!$A$1:$AZ$1,),))</f>
        <v/>
      </c>
      <c r="C174" s="24">
        <f>Table1346811121415161718[[#This Row],[PMI]]-B173</f>
        <v/>
      </c>
    </row>
    <row r="175">
      <c r="A175" s="10" t="n">
        <v>44197</v>
      </c>
      <c r="B175" s="18">
        <f>IF(VLOOKUP(A175,'DB Country PMI'!$A:$AZ,MATCH($A$1,'DB Country PMI'!$A$1:$AZ$1,),)=0,#N/A,VLOOKUP(A175,'DB Country PMI'!$A:$AZ,MATCH($A$1,'DB Country PMI'!$A$1:$AZ$1,),))</f>
        <v/>
      </c>
      <c r="C175" s="24">
        <f>Table1346811121415161718[[#This Row],[PMI]]-B174</f>
        <v/>
      </c>
    </row>
    <row r="176">
      <c r="A176" s="10" t="n">
        <v>44228</v>
      </c>
      <c r="B176" s="18">
        <f>IF(VLOOKUP(A176,'DB Country PMI'!$A:$AZ,MATCH($A$1,'DB Country PMI'!$A$1:$AZ$1,),)=0,#N/A,VLOOKUP(A176,'DB Country PMI'!$A:$AZ,MATCH($A$1,'DB Country PMI'!$A$1:$AZ$1,),))</f>
        <v/>
      </c>
      <c r="C176" s="24">
        <f>Table1346811121415161718[[#This Row],[PMI]]-B175</f>
        <v/>
      </c>
    </row>
    <row r="177">
      <c r="A177" s="10" t="n">
        <v>44256</v>
      </c>
      <c r="B177" s="18">
        <f>IF(VLOOKUP(A177,'DB Country PMI'!$A:$AZ,MATCH($A$1,'DB Country PMI'!$A$1:$AZ$1,),)=0,#N/A,VLOOKUP(A177,'DB Country PMI'!$A:$AZ,MATCH($A$1,'DB Country PMI'!$A$1:$AZ$1,),))</f>
        <v/>
      </c>
      <c r="C177" s="24">
        <f>Table1346811121415161718[[#This Row],[PMI]]-B176</f>
        <v/>
      </c>
    </row>
    <row r="178">
      <c r="A178" s="10" t="n">
        <v>44287</v>
      </c>
      <c r="B178" s="18">
        <f>IF(VLOOKUP(A178,'DB Country PMI'!$A:$AZ,MATCH($A$1,'DB Country PMI'!$A$1:$AZ$1,),)=0,#N/A,VLOOKUP(A178,'DB Country PMI'!$A:$AZ,MATCH($A$1,'DB Country PMI'!$A$1:$AZ$1,),))</f>
        <v/>
      </c>
      <c r="C178" s="24">
        <f>Table1346811121415161718[[#This Row],[PMI]]-B177</f>
        <v/>
      </c>
    </row>
    <row r="179">
      <c r="A179" s="10" t="n">
        <v>44317</v>
      </c>
      <c r="B179" s="18">
        <f>IF(VLOOKUP(A179,'DB Country PMI'!$A:$AZ,MATCH($A$1,'DB Country PMI'!$A$1:$AZ$1,),)=0,#N/A,VLOOKUP(A179,'DB Country PMI'!$A:$AZ,MATCH($A$1,'DB Country PMI'!$A$1:$AZ$1,),))</f>
        <v/>
      </c>
      <c r="C179" s="24">
        <f>Table1346811121415161718[[#This Row],[PMI]]-B178</f>
        <v/>
      </c>
    </row>
    <row r="180">
      <c r="A180" s="10" t="n">
        <v>44348</v>
      </c>
      <c r="B180" s="18">
        <f>IF(VLOOKUP(A180,'DB Country PMI'!$A:$AZ,MATCH($A$1,'DB Country PMI'!$A$1:$AZ$1,),)=0,#N/A,VLOOKUP(A180,'DB Country PMI'!$A:$AZ,MATCH($A$1,'DB Country PMI'!$A$1:$AZ$1,),))</f>
        <v/>
      </c>
      <c r="C180" s="24">
        <f>Table1346811121415161718[[#This Row],[PMI]]-B179</f>
        <v/>
      </c>
    </row>
    <row r="181">
      <c r="A181" s="10" t="n">
        <v>44378</v>
      </c>
      <c r="B181" s="18">
        <f>IF(VLOOKUP(A181,'DB Country PMI'!$A:$AZ,MATCH($A$1,'DB Country PMI'!$A$1:$AZ$1,),)=0,#N/A,VLOOKUP(A181,'DB Country PMI'!$A:$AZ,MATCH($A$1,'DB Country PMI'!$A$1:$AZ$1,),))</f>
        <v/>
      </c>
      <c r="C181" s="24">
        <f>Table1346811121415161718[[#This Row],[PMI]]-B180</f>
        <v/>
      </c>
    </row>
    <row r="182">
      <c r="A182" s="10" t="n">
        <v>44409</v>
      </c>
      <c r="B182" s="18">
        <f>IF(VLOOKUP(A182,'DB Country PMI'!$A:$AZ,MATCH($A$1,'DB Country PMI'!$A$1:$AZ$1,),)=0,#N/A,VLOOKUP(A182,'DB Country PMI'!$A:$AZ,MATCH($A$1,'DB Country PMI'!$A$1:$AZ$1,),))</f>
        <v/>
      </c>
      <c r="C182" s="24">
        <f>Table1346811121415161718[[#This Row],[PMI]]-B181</f>
        <v/>
      </c>
    </row>
    <row r="183">
      <c r="A183" s="10" t="n">
        <v>44440</v>
      </c>
      <c r="B183" s="18">
        <f>IF(VLOOKUP(A183,'DB Country PMI'!$A:$AZ,MATCH($A$1,'DB Country PMI'!$A$1:$AZ$1,),)=0,#N/A,VLOOKUP(A183,'DB Country PMI'!$A:$AZ,MATCH($A$1,'DB Country PMI'!$A$1:$AZ$1,),))</f>
        <v/>
      </c>
      <c r="C183" s="24">
        <f>Table1346811121415161718[[#This Row],[PMI]]-B182</f>
        <v/>
      </c>
    </row>
    <row r="184">
      <c r="A184" s="10" t="n">
        <v>44470</v>
      </c>
      <c r="B184" s="18">
        <f>IF(VLOOKUP(A184,'DB Country PMI'!$A:$AZ,MATCH($A$1,'DB Country PMI'!$A$1:$AZ$1,),)=0,#N/A,VLOOKUP(A184,'DB Country PMI'!$A:$AZ,MATCH($A$1,'DB Country PMI'!$A$1:$AZ$1,),))</f>
        <v/>
      </c>
      <c r="C184" s="24">
        <f>Table1346811121415161718[[#This Row],[PMI]]-B183</f>
        <v/>
      </c>
    </row>
    <row r="185">
      <c r="A185" s="10" t="n">
        <v>44501</v>
      </c>
      <c r="B185" s="18">
        <f>IF(VLOOKUP(A185,'DB Country PMI'!$A:$AZ,MATCH($A$1,'DB Country PMI'!$A$1:$AZ$1,),)=0,#N/A,VLOOKUP(A185,'DB Country PMI'!$A:$AZ,MATCH($A$1,'DB Country PMI'!$A$1:$AZ$1,),))</f>
        <v/>
      </c>
      <c r="C185" s="24">
        <f>Table1346811121415161718[[#This Row],[PMI]]-B184</f>
        <v/>
      </c>
    </row>
    <row r="186">
      <c r="A186" s="10" t="n">
        <v>44531</v>
      </c>
      <c r="B186" s="18">
        <f>IF(VLOOKUP(A186,'DB Country PMI'!$A:$AZ,MATCH($A$1,'DB Country PMI'!$A$1:$AZ$1,),)=0,#N/A,VLOOKUP(A186,'DB Country PMI'!$A:$AZ,MATCH($A$1,'DB Country PMI'!$A$1:$AZ$1,),))</f>
        <v/>
      </c>
      <c r="C186" s="24">
        <f>Table1346811121415161718[[#This Row],[PMI]]-B185</f>
        <v/>
      </c>
    </row>
    <row r="187">
      <c r="A187" s="10" t="n">
        <v>44562</v>
      </c>
      <c r="B187" s="18">
        <f>IF(VLOOKUP(A187,'DB Country PMI'!$A:$AZ,MATCH($A$1,'DB Country PMI'!$A$1:$AZ$1,),)=0,#N/A,VLOOKUP(A187,'DB Country PMI'!$A:$AZ,MATCH($A$1,'DB Country PMI'!$A$1:$AZ$1,),))</f>
        <v/>
      </c>
      <c r="C187" s="24">
        <f>Table1346811121415161718[[#This Row],[PMI]]-B186</f>
        <v/>
      </c>
    </row>
    <row r="188">
      <c r="A188" s="10" t="n">
        <v>44593</v>
      </c>
      <c r="B188" s="18">
        <f>IF(VLOOKUP(A188,'DB Country PMI'!$A:$AZ,MATCH($A$1,'DB Country PMI'!$A$1:$AZ$1,),)=0,#N/A,VLOOKUP(A188,'DB Country PMI'!$A:$AZ,MATCH($A$1,'DB Country PMI'!$A$1:$AZ$1,),))</f>
        <v/>
      </c>
      <c r="C188" s="24">
        <f>Table1346811121415161718[[#This Row],[PMI]]-B187</f>
        <v/>
      </c>
    </row>
    <row r="189">
      <c r="A189" s="10" t="n">
        <v>44621</v>
      </c>
      <c r="B189" s="18">
        <f>IF(VLOOKUP(A189,'DB Country PMI'!$A:$AZ,MATCH($A$1,'DB Country PMI'!$A$1:$AZ$1,),)=0,#N/A,VLOOKUP(A189,'DB Country PMI'!$A:$AZ,MATCH($A$1,'DB Country PMI'!$A$1:$AZ$1,),))</f>
        <v/>
      </c>
      <c r="C189" s="24">
        <f>Table1346811121415161718[[#This Row],[PMI]]-B188</f>
        <v/>
      </c>
    </row>
    <row r="190">
      <c r="A190" s="10" t="n">
        <v>44652</v>
      </c>
      <c r="B190" s="18">
        <f>IF(VLOOKUP(A190,'DB Country PMI'!$A:$AZ,MATCH($A$1,'DB Country PMI'!$A$1:$AZ$1,),)=0,#N/A,VLOOKUP(A190,'DB Country PMI'!$A:$AZ,MATCH($A$1,'DB Country PMI'!$A$1:$AZ$1,),))</f>
        <v/>
      </c>
      <c r="C190" s="24">
        <f>Table1346811121415161718[[#This Row],[PMI]]-B189</f>
        <v/>
      </c>
    </row>
    <row r="191">
      <c r="A191" s="10" t="n">
        <v>44682</v>
      </c>
      <c r="B191" s="18">
        <f>IF(VLOOKUP(A191,'DB Country PMI'!$A:$AZ,MATCH($A$1,'DB Country PMI'!$A$1:$AZ$1,),)=0,#N/A,VLOOKUP(A191,'DB Country PMI'!$A:$AZ,MATCH($A$1,'DB Country PMI'!$A$1:$AZ$1,),))</f>
        <v/>
      </c>
      <c r="C191" s="24">
        <f>Table1346811121415161718[[#This Row],[PMI]]-B190</f>
        <v/>
      </c>
    </row>
    <row r="192">
      <c r="A192" s="10" t="n">
        <v>44713</v>
      </c>
      <c r="B192" s="18">
        <f>IF(VLOOKUP(A192,'DB Country PMI'!$A:$AZ,MATCH($A$1,'DB Country PMI'!$A$1:$AZ$1,),)=0,#N/A,VLOOKUP(A192,'DB Country PMI'!$A:$AZ,MATCH($A$1,'DB Country PMI'!$A$1:$AZ$1,),))</f>
        <v/>
      </c>
      <c r="C192" s="24">
        <f>Table1346811121415161718[[#This Row],[PMI]]-B191</f>
        <v/>
      </c>
    </row>
    <row r="193">
      <c r="A193" s="10" t="n">
        <v>44743</v>
      </c>
      <c r="B193" s="18">
        <f>IF(VLOOKUP(A193,'DB Country PMI'!$A:$AZ,MATCH($A$1,'DB Country PMI'!$A$1:$AZ$1,),)=0,#N/A,VLOOKUP(A193,'DB Country PMI'!$A:$AZ,MATCH($A$1,'DB Country PMI'!$A$1:$AZ$1,),))</f>
        <v/>
      </c>
      <c r="C193" s="24">
        <f>Table1346811121415161718[[#This Row],[PMI]]-B192</f>
        <v/>
      </c>
    </row>
    <row r="194">
      <c r="A194" s="10" t="n">
        <v>44774</v>
      </c>
      <c r="B194" s="18">
        <f>IF(VLOOKUP(A194,'DB Country PMI'!$A:$AZ,MATCH($A$1,'DB Country PMI'!$A$1:$AZ$1,),)=0,#N/A,VLOOKUP(A194,'DB Country PMI'!$A:$AZ,MATCH($A$1,'DB Country PMI'!$A$1:$AZ$1,),))</f>
        <v/>
      </c>
      <c r="C194" s="24">
        <f>Table1346811121415161718[[#This Row],[PMI]]-B193</f>
        <v/>
      </c>
    </row>
    <row r="195">
      <c r="A195" s="10" t="n">
        <v>44805</v>
      </c>
      <c r="B195" s="18">
        <f>IF(VLOOKUP(A195,'DB Country PMI'!$A:$AZ,MATCH($A$1,'DB Country PMI'!$A$1:$AZ$1,),)=0,#N/A,VLOOKUP(A195,'DB Country PMI'!$A:$AZ,MATCH($A$1,'DB Country PMI'!$A$1:$AZ$1,),))</f>
        <v/>
      </c>
      <c r="C195" s="24">
        <f>Table1346811121415161718[[#This Row],[PMI]]-B194</f>
        <v/>
      </c>
    </row>
    <row r="196">
      <c r="A196" s="10" t="n">
        <v>44835</v>
      </c>
      <c r="B196" s="18">
        <f>IF(VLOOKUP(A196,'DB Country PMI'!$A:$AZ,MATCH($A$1,'DB Country PMI'!$A$1:$AZ$1,),)=0,#N/A,VLOOKUP(A196,'DB Country PMI'!$A:$AZ,MATCH($A$1,'DB Country PMI'!$A$1:$AZ$1,),))</f>
        <v/>
      </c>
      <c r="C196" s="24">
        <f>Table1346811121415161718[[#This Row],[PMI]]-B195</f>
        <v/>
      </c>
    </row>
    <row r="197">
      <c r="A197" s="10" t="n">
        <v>44866</v>
      </c>
      <c r="B197" s="18">
        <f>IF(VLOOKUP(A197,'DB Country PMI'!$A:$AZ,MATCH($A$1,'DB Country PMI'!$A$1:$AZ$1,),)=0,#N/A,VLOOKUP(A197,'DB Country PMI'!$A:$AZ,MATCH($A$1,'DB Country PMI'!$A$1:$AZ$1,),))</f>
        <v/>
      </c>
      <c r="C197" s="24">
        <f>Table1346811121415161718[[#This Row],[PMI]]-B196</f>
        <v/>
      </c>
    </row>
  </sheetData>
  <conditionalFormatting sqref="C7:C106">
    <cfRule type="colorScale" priority="1">
      <colorScale>
        <cfvo type="min"/>
        <cfvo type="percentile" val="50"/>
        <cfvo type="max"/>
        <color rgb="FFF8696B"/>
        <color rgb="FFFCFCFF"/>
        <color rgb="FF5A8AC6"/>
      </colorScale>
    </cfRule>
  </conditionalFormatting>
  <conditionalFormatting sqref="B6:B197">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K151"/>
  <sheetViews>
    <sheetView zoomScale="80" zoomScaleNormal="80" workbookViewId="0">
      <pane ySplit="5" topLeftCell="A129" activePane="bottomLeft" state="frozen"/>
      <selection pane="bottomLeft" activeCell="A144" sqref="A144:C151"/>
    </sheetView>
  </sheetViews>
  <sheetFormatPr baseColWidth="8" defaultColWidth="9.1796875" defaultRowHeight="14.5"/>
  <cols>
    <col width="13.453125" customWidth="1" style="69" min="1" max="1"/>
    <col width="11.36328125" customWidth="1" style="69" min="2" max="2"/>
    <col width="9.1796875" customWidth="1" style="69" min="3" max="51"/>
    <col width="9.1796875" customWidth="1" style="69" min="52" max="16384"/>
  </cols>
  <sheetData>
    <row r="1">
      <c r="A1" s="69" t="inlineStr">
        <is>
          <t>Brazil</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Table134681112141516171819202223[[#This Row],[PMI]]-B6</f>
        <v/>
      </c>
    </row>
    <row r="8">
      <c r="A8" s="10" t="n">
        <v>40513</v>
      </c>
      <c r="B8" s="18">
        <f>IF(VLOOKUP(A8,'DB Country PMI'!$A:$AZ,MATCH($A$1,'DB Country PMI'!$A$1:$AZ$1,),)=0,#N/A,VLOOKUP(A8,'DB Country PMI'!$A:$AZ,MATCH($A$1,'DB Country PMI'!$A$1:$AZ$1,),))</f>
        <v/>
      </c>
      <c r="C8" s="24">
        <f>Table134681112141516171819202223[[#This Row],[PMI]]-B7</f>
        <v/>
      </c>
    </row>
    <row r="9">
      <c r="A9" s="10" t="n">
        <v>40544</v>
      </c>
      <c r="B9" s="18">
        <f>IF(VLOOKUP(A9,'DB Country PMI'!$A:$AZ,MATCH($A$1,'DB Country PMI'!$A$1:$AZ$1,),)=0,#N/A,VLOOKUP(A9,'DB Country PMI'!$A:$AZ,MATCH($A$1,'DB Country PMI'!$A$1:$AZ$1,),))</f>
        <v/>
      </c>
      <c r="C9" s="24">
        <f>Table134681112141516171819202223[[#This Row],[PMI]]-B8</f>
        <v/>
      </c>
    </row>
    <row r="10">
      <c r="A10" s="10" t="n">
        <v>40575</v>
      </c>
      <c r="B10" s="18">
        <f>IF(VLOOKUP(A10,'DB Country PMI'!$A:$AZ,MATCH($A$1,'DB Country PMI'!$A$1:$AZ$1,),)=0,#N/A,VLOOKUP(A10,'DB Country PMI'!$A:$AZ,MATCH($A$1,'DB Country PMI'!$A$1:$AZ$1,),))</f>
        <v/>
      </c>
      <c r="C10" s="24">
        <f>Table134681112141516171819202223[[#This Row],[PMI]]-B9</f>
        <v/>
      </c>
    </row>
    <row r="11">
      <c r="A11" s="10" t="n">
        <v>40603</v>
      </c>
      <c r="B11" s="18">
        <f>IF(VLOOKUP(A11,'DB Country PMI'!$A:$AZ,MATCH($A$1,'DB Country PMI'!$A$1:$AZ$1,),)=0,#N/A,VLOOKUP(A11,'DB Country PMI'!$A:$AZ,MATCH($A$1,'DB Country PMI'!$A$1:$AZ$1,),))</f>
        <v/>
      </c>
      <c r="C11" s="24">
        <f>Table134681112141516171819202223[[#This Row],[PMI]]-B10</f>
        <v/>
      </c>
    </row>
    <row r="12">
      <c r="A12" s="10" t="n">
        <v>40634</v>
      </c>
      <c r="B12" s="18">
        <f>IF(VLOOKUP(A12,'DB Country PMI'!$A:$AZ,MATCH($A$1,'DB Country PMI'!$A$1:$AZ$1,),)=0,#N/A,VLOOKUP(A12,'DB Country PMI'!$A:$AZ,MATCH($A$1,'DB Country PMI'!$A$1:$AZ$1,),))</f>
        <v/>
      </c>
      <c r="C12" s="24">
        <f>Table134681112141516171819202223[[#This Row],[PMI]]-B11</f>
        <v/>
      </c>
    </row>
    <row r="13">
      <c r="A13" s="10" t="n">
        <v>40664</v>
      </c>
      <c r="B13" s="18">
        <f>IF(VLOOKUP(A13,'DB Country PMI'!$A:$AZ,MATCH($A$1,'DB Country PMI'!$A$1:$AZ$1,),)=0,#N/A,VLOOKUP(A13,'DB Country PMI'!$A:$AZ,MATCH($A$1,'DB Country PMI'!$A$1:$AZ$1,),))</f>
        <v/>
      </c>
      <c r="C13" s="24">
        <f>Table134681112141516171819202223[[#This Row],[PMI]]-B12</f>
        <v/>
      </c>
    </row>
    <row r="14">
      <c r="A14" s="10" t="n">
        <v>40695</v>
      </c>
      <c r="B14" s="18">
        <f>IF(VLOOKUP(A14,'DB Country PMI'!$A:$AZ,MATCH($A$1,'DB Country PMI'!$A$1:$AZ$1,),)=0,#N/A,VLOOKUP(A14,'DB Country PMI'!$A:$AZ,MATCH($A$1,'DB Country PMI'!$A$1:$AZ$1,),))</f>
        <v/>
      </c>
      <c r="C14" s="24">
        <f>Table134681112141516171819202223[[#This Row],[PMI]]-B13</f>
        <v/>
      </c>
    </row>
    <row r="15">
      <c r="A15" s="10" t="n">
        <v>40725</v>
      </c>
      <c r="B15" s="18">
        <f>IF(VLOOKUP(A15,'DB Country PMI'!$A:$AZ,MATCH($A$1,'DB Country PMI'!$A$1:$AZ$1,),)=0,#N/A,VLOOKUP(A15,'DB Country PMI'!$A:$AZ,MATCH($A$1,'DB Country PMI'!$A$1:$AZ$1,),))</f>
        <v/>
      </c>
      <c r="C15" s="24">
        <f>Table134681112141516171819202223[[#This Row],[PMI]]-B14</f>
        <v/>
      </c>
    </row>
    <row r="16">
      <c r="A16" s="10" t="n">
        <v>40756</v>
      </c>
      <c r="B16" s="18">
        <f>IF(VLOOKUP(A16,'DB Country PMI'!$A:$AZ,MATCH($A$1,'DB Country PMI'!$A$1:$AZ$1,),)=0,#N/A,VLOOKUP(A16,'DB Country PMI'!$A:$AZ,MATCH($A$1,'DB Country PMI'!$A$1:$AZ$1,),))</f>
        <v/>
      </c>
      <c r="C16" s="24">
        <f>Table134681112141516171819202223[[#This Row],[PMI]]-B15</f>
        <v/>
      </c>
    </row>
    <row r="17">
      <c r="A17" s="10" t="n">
        <v>40787</v>
      </c>
      <c r="B17" s="18">
        <f>IF(VLOOKUP(A17,'DB Country PMI'!$A:$AZ,MATCH($A$1,'DB Country PMI'!$A$1:$AZ$1,),)=0,#N/A,VLOOKUP(A17,'DB Country PMI'!$A:$AZ,MATCH($A$1,'DB Country PMI'!$A$1:$AZ$1,),))</f>
        <v/>
      </c>
      <c r="C17" s="24">
        <f>Table134681112141516171819202223[[#This Row],[PMI]]-B16</f>
        <v/>
      </c>
    </row>
    <row r="18">
      <c r="A18" s="10" t="n">
        <v>40817</v>
      </c>
      <c r="B18" s="18">
        <f>IF(VLOOKUP(A18,'DB Country PMI'!$A:$AZ,MATCH($A$1,'DB Country PMI'!$A$1:$AZ$1,),)=0,#N/A,VLOOKUP(A18,'DB Country PMI'!$A:$AZ,MATCH($A$1,'DB Country PMI'!$A$1:$AZ$1,),))</f>
        <v/>
      </c>
      <c r="C18" s="24">
        <f>Table134681112141516171819202223[[#This Row],[PMI]]-B17</f>
        <v/>
      </c>
    </row>
    <row r="19">
      <c r="A19" s="10" t="n">
        <v>40848</v>
      </c>
      <c r="B19" s="18">
        <f>IF(VLOOKUP(A19,'DB Country PMI'!$A:$AZ,MATCH($A$1,'DB Country PMI'!$A$1:$AZ$1,),)=0,#N/A,VLOOKUP(A19,'DB Country PMI'!$A:$AZ,MATCH($A$1,'DB Country PMI'!$A$1:$AZ$1,),))</f>
        <v/>
      </c>
      <c r="C19" s="24">
        <f>Table134681112141516171819202223[[#This Row],[PMI]]-B18</f>
        <v/>
      </c>
    </row>
    <row r="20">
      <c r="A20" s="10" t="n">
        <v>40878</v>
      </c>
      <c r="B20" s="18">
        <f>IF(VLOOKUP(A20,'DB Country PMI'!$A:$AZ,MATCH($A$1,'DB Country PMI'!$A$1:$AZ$1,),)=0,#N/A,VLOOKUP(A20,'DB Country PMI'!$A:$AZ,MATCH($A$1,'DB Country PMI'!$A$1:$AZ$1,),))</f>
        <v/>
      </c>
      <c r="C20" s="24">
        <f>Table134681112141516171819202223[[#This Row],[PMI]]-B19</f>
        <v/>
      </c>
    </row>
    <row r="21">
      <c r="A21" s="10" t="n">
        <v>40909</v>
      </c>
      <c r="B21" s="18">
        <f>IF(VLOOKUP(A21,'DB Country PMI'!$A:$AZ,MATCH($A$1,'DB Country PMI'!$A$1:$AZ$1,),)=0,#N/A,VLOOKUP(A21,'DB Country PMI'!$A:$AZ,MATCH($A$1,'DB Country PMI'!$A$1:$AZ$1,),))</f>
        <v/>
      </c>
      <c r="C21" s="24">
        <f>Table134681112141516171819202223[[#This Row],[PMI]]-B20</f>
        <v/>
      </c>
    </row>
    <row r="22">
      <c r="A22" s="10" t="n">
        <v>40940</v>
      </c>
      <c r="B22" s="18">
        <f>IF(VLOOKUP(A22,'DB Country PMI'!$A:$AZ,MATCH($A$1,'DB Country PMI'!$A$1:$AZ$1,),)=0,#N/A,VLOOKUP(A22,'DB Country PMI'!$A:$AZ,MATCH($A$1,'DB Country PMI'!$A$1:$AZ$1,),))</f>
        <v/>
      </c>
      <c r="C22" s="24">
        <f>Table134681112141516171819202223[[#This Row],[PMI]]-B21</f>
        <v/>
      </c>
    </row>
    <row r="23">
      <c r="A23" s="10" t="n">
        <v>40969</v>
      </c>
      <c r="B23" s="18">
        <f>IF(VLOOKUP(A23,'DB Country PMI'!$A:$AZ,MATCH($A$1,'DB Country PMI'!$A$1:$AZ$1,),)=0,#N/A,VLOOKUP(A23,'DB Country PMI'!$A:$AZ,MATCH($A$1,'DB Country PMI'!$A$1:$AZ$1,),))</f>
        <v/>
      </c>
      <c r="C23" s="24">
        <f>Table134681112141516171819202223[[#This Row],[PMI]]-B22</f>
        <v/>
      </c>
    </row>
    <row r="24">
      <c r="A24" s="10" t="n">
        <v>41000</v>
      </c>
      <c r="B24" s="18">
        <f>IF(VLOOKUP(A24,'DB Country PMI'!$A:$AZ,MATCH($A$1,'DB Country PMI'!$A$1:$AZ$1,),)=0,#N/A,VLOOKUP(A24,'DB Country PMI'!$A:$AZ,MATCH($A$1,'DB Country PMI'!$A$1:$AZ$1,),))</f>
        <v/>
      </c>
      <c r="C24" s="24">
        <f>Table134681112141516171819202223[[#This Row],[PMI]]-B23</f>
        <v/>
      </c>
    </row>
    <row r="25">
      <c r="A25" s="10" t="n">
        <v>41030</v>
      </c>
      <c r="B25" s="18">
        <f>IF(VLOOKUP(A25,'DB Country PMI'!$A:$AZ,MATCH($A$1,'DB Country PMI'!$A$1:$AZ$1,),)=0,#N/A,VLOOKUP(A25,'DB Country PMI'!$A:$AZ,MATCH($A$1,'DB Country PMI'!$A$1:$AZ$1,),))</f>
        <v/>
      </c>
      <c r="C25" s="24">
        <f>Table134681112141516171819202223[[#This Row],[PMI]]-B24</f>
        <v/>
      </c>
    </row>
    <row r="26">
      <c r="A26" s="10" t="n">
        <v>41061</v>
      </c>
      <c r="B26" s="18">
        <f>IF(VLOOKUP(A26,'DB Country PMI'!$A:$AZ,MATCH($A$1,'DB Country PMI'!$A$1:$AZ$1,),)=0,#N/A,VLOOKUP(A26,'DB Country PMI'!$A:$AZ,MATCH($A$1,'DB Country PMI'!$A$1:$AZ$1,),))</f>
        <v/>
      </c>
      <c r="C26" s="24">
        <f>Table134681112141516171819202223[[#This Row],[PMI]]-B25</f>
        <v/>
      </c>
    </row>
    <row r="27">
      <c r="A27" s="10" t="n">
        <v>41091</v>
      </c>
      <c r="B27" s="18">
        <f>IF(VLOOKUP(A27,'DB Country PMI'!$A:$AZ,MATCH($A$1,'DB Country PMI'!$A$1:$AZ$1,),)=0,#N/A,VLOOKUP(A27,'DB Country PMI'!$A:$AZ,MATCH($A$1,'DB Country PMI'!$A$1:$AZ$1,),))</f>
        <v/>
      </c>
      <c r="C27" s="24">
        <f>Table134681112141516171819202223[[#This Row],[PMI]]-B26</f>
        <v/>
      </c>
    </row>
    <row r="28">
      <c r="A28" s="10" t="n">
        <v>41122</v>
      </c>
      <c r="B28" s="18">
        <f>IF(VLOOKUP(A28,'DB Country PMI'!$A:$AZ,MATCH($A$1,'DB Country PMI'!$A$1:$AZ$1,),)=0,#N/A,VLOOKUP(A28,'DB Country PMI'!$A:$AZ,MATCH($A$1,'DB Country PMI'!$A$1:$AZ$1,),))</f>
        <v/>
      </c>
      <c r="C28" s="24">
        <f>Table134681112141516171819202223[[#This Row],[PMI]]-B27</f>
        <v/>
      </c>
    </row>
    <row r="29">
      <c r="A29" s="10" t="n">
        <v>41153</v>
      </c>
      <c r="B29" s="18">
        <f>IF(VLOOKUP(A29,'DB Country PMI'!$A:$AZ,MATCH($A$1,'DB Country PMI'!$A$1:$AZ$1,),)=0,#N/A,VLOOKUP(A29,'DB Country PMI'!$A:$AZ,MATCH($A$1,'DB Country PMI'!$A$1:$AZ$1,),))</f>
        <v/>
      </c>
      <c r="C29" s="24">
        <f>Table134681112141516171819202223[[#This Row],[PMI]]-B28</f>
        <v/>
      </c>
    </row>
    <row r="30">
      <c r="A30" s="10" t="n">
        <v>41183</v>
      </c>
      <c r="B30" s="18">
        <f>IF(VLOOKUP(A30,'DB Country PMI'!$A:$AZ,MATCH($A$1,'DB Country PMI'!$A$1:$AZ$1,),)=0,#N/A,VLOOKUP(A30,'DB Country PMI'!$A:$AZ,MATCH($A$1,'DB Country PMI'!$A$1:$AZ$1,),))</f>
        <v/>
      </c>
      <c r="C30" s="24">
        <f>Table134681112141516171819202223[[#This Row],[PMI]]-B29</f>
        <v/>
      </c>
    </row>
    <row r="31">
      <c r="A31" s="10" t="n">
        <v>41214</v>
      </c>
      <c r="B31" s="18">
        <f>IF(VLOOKUP(A31,'DB Country PMI'!$A:$AZ,MATCH($A$1,'DB Country PMI'!$A$1:$AZ$1,),)=0,#N/A,VLOOKUP(A31,'DB Country PMI'!$A:$AZ,MATCH($A$1,'DB Country PMI'!$A$1:$AZ$1,),))</f>
        <v/>
      </c>
      <c r="C31" s="24">
        <f>Table134681112141516171819202223[[#This Row],[PMI]]-B30</f>
        <v/>
      </c>
    </row>
    <row r="32">
      <c r="A32" s="10" t="n">
        <v>41244</v>
      </c>
      <c r="B32" s="18">
        <f>IF(VLOOKUP(A32,'DB Country PMI'!$A:$AZ,MATCH($A$1,'DB Country PMI'!$A$1:$AZ$1,),)=0,#N/A,VLOOKUP(A32,'DB Country PMI'!$A:$AZ,MATCH($A$1,'DB Country PMI'!$A$1:$AZ$1,),))</f>
        <v/>
      </c>
      <c r="C32" s="24">
        <f>Table134681112141516171819202223[[#This Row],[PMI]]-B31</f>
        <v/>
      </c>
    </row>
    <row r="33">
      <c r="A33" s="10" t="n">
        <v>41275</v>
      </c>
      <c r="B33" s="18">
        <f>IF(VLOOKUP(A33,'DB Country PMI'!$A:$AZ,MATCH($A$1,'DB Country PMI'!$A$1:$AZ$1,),)=0,#N/A,VLOOKUP(A33,'DB Country PMI'!$A:$AZ,MATCH($A$1,'DB Country PMI'!$A$1:$AZ$1,),))</f>
        <v/>
      </c>
      <c r="C33" s="24">
        <f>Table134681112141516171819202223[[#This Row],[PMI]]-B32</f>
        <v/>
      </c>
    </row>
    <row r="34">
      <c r="A34" s="10" t="n">
        <v>41306</v>
      </c>
      <c r="B34" s="18">
        <f>IF(VLOOKUP(A34,'DB Country PMI'!$A:$AZ,MATCH($A$1,'DB Country PMI'!$A$1:$AZ$1,),)=0,#N/A,VLOOKUP(A34,'DB Country PMI'!$A:$AZ,MATCH($A$1,'DB Country PMI'!$A$1:$AZ$1,),))</f>
        <v/>
      </c>
      <c r="C34" s="24">
        <f>Table134681112141516171819202223[[#This Row],[PMI]]-B33</f>
        <v/>
      </c>
    </row>
    <row r="35">
      <c r="A35" s="10" t="n">
        <v>41334</v>
      </c>
      <c r="B35" s="18">
        <f>IF(VLOOKUP(A35,'DB Country PMI'!$A:$AZ,MATCH($A$1,'DB Country PMI'!$A$1:$AZ$1,),)=0,#N/A,VLOOKUP(A35,'DB Country PMI'!$A:$AZ,MATCH($A$1,'DB Country PMI'!$A$1:$AZ$1,),))</f>
        <v/>
      </c>
      <c r="C35" s="24">
        <f>Table134681112141516171819202223[[#This Row],[PMI]]-B34</f>
        <v/>
      </c>
    </row>
    <row r="36">
      <c r="A36" s="10" t="n">
        <v>41365</v>
      </c>
      <c r="B36" s="18">
        <f>IF(VLOOKUP(A36,'DB Country PMI'!$A:$AZ,MATCH($A$1,'DB Country PMI'!$A$1:$AZ$1,),)=0,#N/A,VLOOKUP(A36,'DB Country PMI'!$A:$AZ,MATCH($A$1,'DB Country PMI'!$A$1:$AZ$1,),))</f>
        <v/>
      </c>
      <c r="C36" s="24">
        <f>Table134681112141516171819202223[[#This Row],[PMI]]-B35</f>
        <v/>
      </c>
    </row>
    <row r="37">
      <c r="A37" s="10" t="n">
        <v>41395</v>
      </c>
      <c r="B37" s="18">
        <f>IF(VLOOKUP(A37,'DB Country PMI'!$A:$AZ,MATCH($A$1,'DB Country PMI'!$A$1:$AZ$1,),)=0,#N/A,VLOOKUP(A37,'DB Country PMI'!$A:$AZ,MATCH($A$1,'DB Country PMI'!$A$1:$AZ$1,),))</f>
        <v/>
      </c>
      <c r="C37" s="24">
        <f>Table134681112141516171819202223[[#This Row],[PMI]]-B36</f>
        <v/>
      </c>
    </row>
    <row r="38">
      <c r="A38" s="10" t="n">
        <v>41426</v>
      </c>
      <c r="B38" s="18">
        <f>IF(VLOOKUP(A38,'DB Country PMI'!$A:$AZ,MATCH($A$1,'DB Country PMI'!$A$1:$AZ$1,),)=0,#N/A,VLOOKUP(A38,'DB Country PMI'!$A:$AZ,MATCH($A$1,'DB Country PMI'!$A$1:$AZ$1,),))</f>
        <v/>
      </c>
      <c r="C38" s="24">
        <f>Table134681112141516171819202223[[#This Row],[PMI]]-B37</f>
        <v/>
      </c>
    </row>
    <row r="39">
      <c r="A39" s="10" t="n">
        <v>41456</v>
      </c>
      <c r="B39" s="18">
        <f>IF(VLOOKUP(A39,'DB Country PMI'!$A:$AZ,MATCH($A$1,'DB Country PMI'!$A$1:$AZ$1,),)=0,#N/A,VLOOKUP(A39,'DB Country PMI'!$A:$AZ,MATCH($A$1,'DB Country PMI'!$A$1:$AZ$1,),))</f>
        <v/>
      </c>
      <c r="C39" s="24">
        <f>Table134681112141516171819202223[[#This Row],[PMI]]-B38</f>
        <v/>
      </c>
    </row>
    <row r="40">
      <c r="A40" s="10" t="n">
        <v>41487</v>
      </c>
      <c r="B40" s="18">
        <f>IF(VLOOKUP(A40,'DB Country PMI'!$A:$AZ,MATCH($A$1,'DB Country PMI'!$A$1:$AZ$1,),)=0,#N/A,VLOOKUP(A40,'DB Country PMI'!$A:$AZ,MATCH($A$1,'DB Country PMI'!$A$1:$AZ$1,),))</f>
        <v/>
      </c>
      <c r="C40" s="24">
        <f>Table134681112141516171819202223[[#This Row],[PMI]]-B39</f>
        <v/>
      </c>
    </row>
    <row r="41">
      <c r="A41" s="10" t="n">
        <v>41518</v>
      </c>
      <c r="B41" s="18">
        <f>IF(VLOOKUP(A41,'DB Country PMI'!$A:$AZ,MATCH($A$1,'DB Country PMI'!$A$1:$AZ$1,),)=0,#N/A,VLOOKUP(A41,'DB Country PMI'!$A:$AZ,MATCH($A$1,'DB Country PMI'!$A$1:$AZ$1,),))</f>
        <v/>
      </c>
      <c r="C41" s="24">
        <f>Table134681112141516171819202223[[#This Row],[PMI]]-B40</f>
        <v/>
      </c>
    </row>
    <row r="42">
      <c r="A42" s="10" t="n">
        <v>41548</v>
      </c>
      <c r="B42" s="18">
        <f>IF(VLOOKUP(A42,'DB Country PMI'!$A:$AZ,MATCH($A$1,'DB Country PMI'!$A$1:$AZ$1,),)=0,#N/A,VLOOKUP(A42,'DB Country PMI'!$A:$AZ,MATCH($A$1,'DB Country PMI'!$A$1:$AZ$1,),))</f>
        <v/>
      </c>
      <c r="C42" s="24">
        <f>Table134681112141516171819202223[[#This Row],[PMI]]-B41</f>
        <v/>
      </c>
    </row>
    <row r="43">
      <c r="A43" s="10" t="n">
        <v>41579</v>
      </c>
      <c r="B43" s="18">
        <f>IF(VLOOKUP(A43,'DB Country PMI'!$A:$AZ,MATCH($A$1,'DB Country PMI'!$A$1:$AZ$1,),)=0,#N/A,VLOOKUP(A43,'DB Country PMI'!$A:$AZ,MATCH($A$1,'DB Country PMI'!$A$1:$AZ$1,),))</f>
        <v/>
      </c>
      <c r="C43" s="24">
        <f>Table134681112141516171819202223[[#This Row],[PMI]]-B42</f>
        <v/>
      </c>
    </row>
    <row r="44">
      <c r="A44" s="10" t="n">
        <v>41609</v>
      </c>
      <c r="B44" s="18">
        <f>IF(VLOOKUP(A44,'DB Country PMI'!$A:$AZ,MATCH($A$1,'DB Country PMI'!$A$1:$AZ$1,),)=0,#N/A,VLOOKUP(A44,'DB Country PMI'!$A:$AZ,MATCH($A$1,'DB Country PMI'!$A$1:$AZ$1,),))</f>
        <v/>
      </c>
      <c r="C44" s="24">
        <f>Table134681112141516171819202223[[#This Row],[PMI]]-B43</f>
        <v/>
      </c>
    </row>
    <row r="45">
      <c r="A45" s="10" t="n">
        <v>41640</v>
      </c>
      <c r="B45" s="18">
        <f>IF(VLOOKUP(A45,'DB Country PMI'!$A:$AZ,MATCH($A$1,'DB Country PMI'!$A$1:$AZ$1,),)=0,#N/A,VLOOKUP(A45,'DB Country PMI'!$A:$AZ,MATCH($A$1,'DB Country PMI'!$A$1:$AZ$1,),))</f>
        <v/>
      </c>
      <c r="C45" s="24">
        <f>Table134681112141516171819202223[[#This Row],[PMI]]-B44</f>
        <v/>
      </c>
    </row>
    <row r="46">
      <c r="A46" s="10" t="n">
        <v>41671</v>
      </c>
      <c r="B46" s="18">
        <f>IF(VLOOKUP(A46,'DB Country PMI'!$A:$AZ,MATCH($A$1,'DB Country PMI'!$A$1:$AZ$1,),)=0,#N/A,VLOOKUP(A46,'DB Country PMI'!$A:$AZ,MATCH($A$1,'DB Country PMI'!$A$1:$AZ$1,),))</f>
        <v/>
      </c>
      <c r="C46" s="24">
        <f>Table134681112141516171819202223[[#This Row],[PMI]]-B45</f>
        <v/>
      </c>
    </row>
    <row r="47">
      <c r="A47" s="10" t="n">
        <v>41699</v>
      </c>
      <c r="B47" s="18">
        <f>IF(VLOOKUP(A47,'DB Country PMI'!$A:$AZ,MATCH($A$1,'DB Country PMI'!$A$1:$AZ$1,),)=0,#N/A,VLOOKUP(A47,'DB Country PMI'!$A:$AZ,MATCH($A$1,'DB Country PMI'!$A$1:$AZ$1,),))</f>
        <v/>
      </c>
      <c r="C47" s="24">
        <f>Table134681112141516171819202223[[#This Row],[PMI]]-B46</f>
        <v/>
      </c>
    </row>
    <row r="48">
      <c r="A48" s="10" t="n">
        <v>41730</v>
      </c>
      <c r="B48" s="18">
        <f>IF(VLOOKUP(A48,'DB Country PMI'!$A:$AZ,MATCH($A$1,'DB Country PMI'!$A$1:$AZ$1,),)=0,#N/A,VLOOKUP(A48,'DB Country PMI'!$A:$AZ,MATCH($A$1,'DB Country PMI'!$A$1:$AZ$1,),))</f>
        <v/>
      </c>
      <c r="C48" s="24">
        <f>Table134681112141516171819202223[[#This Row],[PMI]]-B47</f>
        <v/>
      </c>
    </row>
    <row r="49">
      <c r="A49" s="10" t="n">
        <v>41760</v>
      </c>
      <c r="B49" s="18">
        <f>IF(VLOOKUP(A49,'DB Country PMI'!$A:$AZ,MATCH($A$1,'DB Country PMI'!$A$1:$AZ$1,),)=0,#N/A,VLOOKUP(A49,'DB Country PMI'!$A:$AZ,MATCH($A$1,'DB Country PMI'!$A$1:$AZ$1,),))</f>
        <v/>
      </c>
      <c r="C49" s="24">
        <f>Table134681112141516171819202223[[#This Row],[PMI]]-B48</f>
        <v/>
      </c>
    </row>
    <row r="50">
      <c r="A50" s="10" t="n">
        <v>41791</v>
      </c>
      <c r="B50" s="18">
        <f>IF(VLOOKUP(A50,'DB Country PMI'!$A:$AZ,MATCH($A$1,'DB Country PMI'!$A$1:$AZ$1,),)=0,#N/A,VLOOKUP(A50,'DB Country PMI'!$A:$AZ,MATCH($A$1,'DB Country PMI'!$A$1:$AZ$1,),))</f>
        <v/>
      </c>
      <c r="C50" s="24">
        <f>Table134681112141516171819202223[[#This Row],[PMI]]-B49</f>
        <v/>
      </c>
    </row>
    <row r="51">
      <c r="A51" s="10" t="n">
        <v>41821</v>
      </c>
      <c r="B51" s="18">
        <f>IF(VLOOKUP(A51,'DB Country PMI'!$A:$AZ,MATCH($A$1,'DB Country PMI'!$A$1:$AZ$1,),)=0,#N/A,VLOOKUP(A51,'DB Country PMI'!$A:$AZ,MATCH($A$1,'DB Country PMI'!$A$1:$AZ$1,),))</f>
        <v/>
      </c>
      <c r="C51" s="24">
        <f>Table134681112141516171819202223[[#This Row],[PMI]]-B50</f>
        <v/>
      </c>
    </row>
    <row r="52">
      <c r="A52" s="10" t="n">
        <v>41852</v>
      </c>
      <c r="B52" s="18">
        <f>IF(VLOOKUP(A52,'DB Country PMI'!$A:$AZ,MATCH($A$1,'DB Country PMI'!$A$1:$AZ$1,),)=0,#N/A,VLOOKUP(A52,'DB Country PMI'!$A:$AZ,MATCH($A$1,'DB Country PMI'!$A$1:$AZ$1,),))</f>
        <v/>
      </c>
      <c r="C52" s="24">
        <f>Table134681112141516171819202223[[#This Row],[PMI]]-B51</f>
        <v/>
      </c>
    </row>
    <row r="53">
      <c r="A53" s="10" t="n">
        <v>41883</v>
      </c>
      <c r="B53" s="18">
        <f>IF(VLOOKUP(A53,'DB Country PMI'!$A:$AZ,MATCH($A$1,'DB Country PMI'!$A$1:$AZ$1,),)=0,#N/A,VLOOKUP(A53,'DB Country PMI'!$A:$AZ,MATCH($A$1,'DB Country PMI'!$A$1:$AZ$1,),))</f>
        <v/>
      </c>
      <c r="C53" s="24">
        <f>Table134681112141516171819202223[[#This Row],[PMI]]-B52</f>
        <v/>
      </c>
    </row>
    <row r="54">
      <c r="A54" s="10" t="n">
        <v>41913</v>
      </c>
      <c r="B54" s="18">
        <f>IF(VLOOKUP(A54,'DB Country PMI'!$A:$AZ,MATCH($A$1,'DB Country PMI'!$A$1:$AZ$1,),)=0,#N/A,VLOOKUP(A54,'DB Country PMI'!$A:$AZ,MATCH($A$1,'DB Country PMI'!$A$1:$AZ$1,),))</f>
        <v/>
      </c>
      <c r="C54" s="24">
        <f>Table134681112141516171819202223[[#This Row],[PMI]]-B53</f>
        <v/>
      </c>
    </row>
    <row r="55">
      <c r="A55" s="10" t="n">
        <v>41944</v>
      </c>
      <c r="B55" s="18">
        <f>IF(VLOOKUP(A55,'DB Country PMI'!$A:$AZ,MATCH($A$1,'DB Country PMI'!$A$1:$AZ$1,),)=0,#N/A,VLOOKUP(A55,'DB Country PMI'!$A:$AZ,MATCH($A$1,'DB Country PMI'!$A$1:$AZ$1,),))</f>
        <v/>
      </c>
      <c r="C55" s="24">
        <f>Table134681112141516171819202223[[#This Row],[PMI]]-B54</f>
        <v/>
      </c>
    </row>
    <row r="56">
      <c r="A56" s="10" t="n">
        <v>41974</v>
      </c>
      <c r="B56" s="18">
        <f>IF(VLOOKUP(A56,'DB Country PMI'!$A:$AZ,MATCH($A$1,'DB Country PMI'!$A$1:$AZ$1,),)=0,#N/A,VLOOKUP(A56,'DB Country PMI'!$A:$AZ,MATCH($A$1,'DB Country PMI'!$A$1:$AZ$1,),))</f>
        <v/>
      </c>
      <c r="C56" s="24">
        <f>Table134681112141516171819202223[[#This Row],[PMI]]-B55</f>
        <v/>
      </c>
    </row>
    <row r="57">
      <c r="A57" s="10" t="n">
        <v>42005</v>
      </c>
      <c r="B57" s="18">
        <f>IF(VLOOKUP(A57,'DB Country PMI'!$A:$AZ,MATCH($A$1,'DB Country PMI'!$A$1:$AZ$1,),)=0,#N/A,VLOOKUP(A57,'DB Country PMI'!$A:$AZ,MATCH($A$1,'DB Country PMI'!$A$1:$AZ$1,),))</f>
        <v/>
      </c>
      <c r="C57" s="24">
        <f>Table134681112141516171819202223[[#This Row],[PMI]]-B56</f>
        <v/>
      </c>
    </row>
    <row r="58">
      <c r="A58" s="10" t="n">
        <v>42036</v>
      </c>
      <c r="B58" s="18">
        <f>IF(VLOOKUP(A58,'DB Country PMI'!$A:$AZ,MATCH($A$1,'DB Country PMI'!$A$1:$AZ$1,),)=0,#N/A,VLOOKUP(A58,'DB Country PMI'!$A:$AZ,MATCH($A$1,'DB Country PMI'!$A$1:$AZ$1,),))</f>
        <v/>
      </c>
      <c r="C58" s="24">
        <f>Table134681112141516171819202223[[#This Row],[PMI]]-B57</f>
        <v/>
      </c>
    </row>
    <row r="59">
      <c r="A59" s="10" t="n">
        <v>42064</v>
      </c>
      <c r="B59" s="18">
        <f>IF(VLOOKUP(A59,'DB Country PMI'!$A:$AZ,MATCH($A$1,'DB Country PMI'!$A$1:$AZ$1,),)=0,#N/A,VLOOKUP(A59,'DB Country PMI'!$A:$AZ,MATCH($A$1,'DB Country PMI'!$A$1:$AZ$1,),))</f>
        <v/>
      </c>
      <c r="C59" s="24">
        <f>Table134681112141516171819202223[[#This Row],[PMI]]-B58</f>
        <v/>
      </c>
    </row>
    <row r="60">
      <c r="A60" s="10" t="n">
        <v>42095</v>
      </c>
      <c r="B60" s="18">
        <f>IF(VLOOKUP(A60,'DB Country PMI'!$A:$AZ,MATCH($A$1,'DB Country PMI'!$A$1:$AZ$1,),)=0,#N/A,VLOOKUP(A60,'DB Country PMI'!$A:$AZ,MATCH($A$1,'DB Country PMI'!$A$1:$AZ$1,),))</f>
        <v/>
      </c>
      <c r="C60" s="24">
        <f>Table134681112141516171819202223[[#This Row],[PMI]]-B59</f>
        <v/>
      </c>
    </row>
    <row r="61">
      <c r="A61" s="10" t="n">
        <v>42125</v>
      </c>
      <c r="B61" s="18">
        <f>IF(VLOOKUP(A61,'DB Country PMI'!$A:$AZ,MATCH($A$1,'DB Country PMI'!$A$1:$AZ$1,),)=0,#N/A,VLOOKUP(A61,'DB Country PMI'!$A:$AZ,MATCH($A$1,'DB Country PMI'!$A$1:$AZ$1,),))</f>
        <v/>
      </c>
      <c r="C61" s="24">
        <f>Table134681112141516171819202223[[#This Row],[PMI]]-B60</f>
        <v/>
      </c>
    </row>
    <row r="62">
      <c r="A62" s="10" t="n">
        <v>42156</v>
      </c>
      <c r="B62" s="18">
        <f>IF(VLOOKUP(A62,'DB Country PMI'!$A:$AZ,MATCH($A$1,'DB Country PMI'!$A$1:$AZ$1,),)=0,#N/A,VLOOKUP(A62,'DB Country PMI'!$A:$AZ,MATCH($A$1,'DB Country PMI'!$A$1:$AZ$1,),))</f>
        <v/>
      </c>
      <c r="C62" s="24">
        <f>Table134681112141516171819202223[[#This Row],[PMI]]-B61</f>
        <v/>
      </c>
    </row>
    <row r="63">
      <c r="A63" s="10" t="n">
        <v>42186</v>
      </c>
      <c r="B63" s="18">
        <f>IF(VLOOKUP(A63,'DB Country PMI'!$A:$AZ,MATCH($A$1,'DB Country PMI'!$A$1:$AZ$1,),)=0,#N/A,VLOOKUP(A63,'DB Country PMI'!$A:$AZ,MATCH($A$1,'DB Country PMI'!$A$1:$AZ$1,),))</f>
        <v/>
      </c>
      <c r="C63" s="24">
        <f>Table134681112141516171819202223[[#This Row],[PMI]]-B62</f>
        <v/>
      </c>
    </row>
    <row r="64">
      <c r="A64" s="10" t="n">
        <v>42217</v>
      </c>
      <c r="B64" s="18">
        <f>IF(VLOOKUP(A64,'DB Country PMI'!$A:$AZ,MATCH($A$1,'DB Country PMI'!$A$1:$AZ$1,),)=0,#N/A,VLOOKUP(A64,'DB Country PMI'!$A:$AZ,MATCH($A$1,'DB Country PMI'!$A$1:$AZ$1,),))</f>
        <v/>
      </c>
      <c r="C64" s="24">
        <f>Table134681112141516171819202223[[#This Row],[PMI]]-B63</f>
        <v/>
      </c>
    </row>
    <row r="65">
      <c r="A65" s="10" t="n">
        <v>42248</v>
      </c>
      <c r="B65" s="18">
        <f>IF(VLOOKUP(A65,'DB Country PMI'!$A:$AZ,MATCH($A$1,'DB Country PMI'!$A$1:$AZ$1,),)=0,#N/A,VLOOKUP(A65,'DB Country PMI'!$A:$AZ,MATCH($A$1,'DB Country PMI'!$A$1:$AZ$1,),))</f>
        <v/>
      </c>
      <c r="C65" s="24">
        <f>Table134681112141516171819202223[[#This Row],[PMI]]-B64</f>
        <v/>
      </c>
    </row>
    <row r="66">
      <c r="A66" s="10" t="n">
        <v>42278</v>
      </c>
      <c r="B66" s="18">
        <f>IF(VLOOKUP(A66,'DB Country PMI'!$A:$AZ,MATCH($A$1,'DB Country PMI'!$A$1:$AZ$1,),)=0,#N/A,VLOOKUP(A66,'DB Country PMI'!$A:$AZ,MATCH($A$1,'DB Country PMI'!$A$1:$AZ$1,),))</f>
        <v/>
      </c>
      <c r="C66" s="24">
        <f>Table134681112141516171819202223[[#This Row],[PMI]]-B65</f>
        <v/>
      </c>
    </row>
    <row r="67">
      <c r="A67" s="10" t="n">
        <v>42309</v>
      </c>
      <c r="B67" s="18">
        <f>IF(VLOOKUP(A67,'DB Country PMI'!$A:$AZ,MATCH($A$1,'DB Country PMI'!$A$1:$AZ$1,),)=0,#N/A,VLOOKUP(A67,'DB Country PMI'!$A:$AZ,MATCH($A$1,'DB Country PMI'!$A$1:$AZ$1,),))</f>
        <v/>
      </c>
      <c r="C67" s="24">
        <f>Table134681112141516171819202223[[#This Row],[PMI]]-B66</f>
        <v/>
      </c>
    </row>
    <row r="68">
      <c r="A68" s="10" t="n">
        <v>42339</v>
      </c>
      <c r="B68" s="18">
        <f>IF(VLOOKUP(A68,'DB Country PMI'!$A:$AZ,MATCH($A$1,'DB Country PMI'!$A$1:$AZ$1,),)=0,#N/A,VLOOKUP(A68,'DB Country PMI'!$A:$AZ,MATCH($A$1,'DB Country PMI'!$A$1:$AZ$1,),))</f>
        <v/>
      </c>
      <c r="C68" s="24">
        <f>Table134681112141516171819202223[[#This Row],[PMI]]-B67</f>
        <v/>
      </c>
    </row>
    <row r="69">
      <c r="A69" s="10" t="n">
        <v>42370</v>
      </c>
      <c r="B69" s="18">
        <f>IF(VLOOKUP(A69,'DB Country PMI'!$A:$AZ,MATCH($A$1,'DB Country PMI'!$A$1:$AZ$1,),)=0,#N/A,VLOOKUP(A69,'DB Country PMI'!$A:$AZ,MATCH($A$1,'DB Country PMI'!$A$1:$AZ$1,),))</f>
        <v/>
      </c>
      <c r="C69" s="24">
        <f>Table134681112141516171819202223[[#This Row],[PMI]]-B68</f>
        <v/>
      </c>
    </row>
    <row r="70">
      <c r="A70" s="10" t="n">
        <v>42401</v>
      </c>
      <c r="B70" s="18">
        <f>IF(VLOOKUP(A70,'DB Country PMI'!$A:$AZ,MATCH($A$1,'DB Country PMI'!$A$1:$AZ$1,),)=0,#N/A,VLOOKUP(A70,'DB Country PMI'!$A:$AZ,MATCH($A$1,'DB Country PMI'!$A$1:$AZ$1,),))</f>
        <v/>
      </c>
      <c r="C70" s="24">
        <f>Table134681112141516171819202223[[#This Row],[PMI]]-B69</f>
        <v/>
      </c>
    </row>
    <row r="71">
      <c r="A71" s="10" t="n">
        <v>42430</v>
      </c>
      <c r="B71" s="18">
        <f>IF(VLOOKUP(A71,'DB Country PMI'!$A:$AZ,MATCH($A$1,'DB Country PMI'!$A$1:$AZ$1,),)=0,#N/A,VLOOKUP(A71,'DB Country PMI'!$A:$AZ,MATCH($A$1,'DB Country PMI'!$A$1:$AZ$1,),))</f>
        <v/>
      </c>
      <c r="C71" s="24">
        <f>Table134681112141516171819202223[[#This Row],[PMI]]-B70</f>
        <v/>
      </c>
    </row>
    <row r="72">
      <c r="A72" s="10" t="n">
        <v>42461</v>
      </c>
      <c r="B72" s="18">
        <f>IF(VLOOKUP(A72,'DB Country PMI'!$A:$AZ,MATCH($A$1,'DB Country PMI'!$A$1:$AZ$1,),)=0,#N/A,VLOOKUP(A72,'DB Country PMI'!$A:$AZ,MATCH($A$1,'DB Country PMI'!$A$1:$AZ$1,),))</f>
        <v/>
      </c>
      <c r="C72" s="24">
        <f>Table134681112141516171819202223[[#This Row],[PMI]]-B71</f>
        <v/>
      </c>
    </row>
    <row r="73">
      <c r="A73" s="10" t="n">
        <v>42491</v>
      </c>
      <c r="B73" s="18">
        <f>IF(VLOOKUP(A73,'DB Country PMI'!$A:$AZ,MATCH($A$1,'DB Country PMI'!$A$1:$AZ$1,),)=0,#N/A,VLOOKUP(A73,'DB Country PMI'!$A:$AZ,MATCH($A$1,'DB Country PMI'!$A$1:$AZ$1,),))</f>
        <v/>
      </c>
      <c r="C73" s="24">
        <f>Table134681112141516171819202223[[#This Row],[PMI]]-B72</f>
        <v/>
      </c>
    </row>
    <row r="74">
      <c r="A74" s="10" t="n">
        <v>42522</v>
      </c>
      <c r="B74" s="18">
        <f>IF(VLOOKUP(A74,'DB Country PMI'!$A:$AZ,MATCH($A$1,'DB Country PMI'!$A$1:$AZ$1,),)=0,#N/A,VLOOKUP(A74,'DB Country PMI'!$A:$AZ,MATCH($A$1,'DB Country PMI'!$A$1:$AZ$1,),))</f>
        <v/>
      </c>
      <c r="C74" s="24">
        <f>Table134681112141516171819202223[[#This Row],[PMI]]-B73</f>
        <v/>
      </c>
    </row>
    <row r="75">
      <c r="A75" s="10" t="n">
        <v>42552</v>
      </c>
      <c r="B75" s="18">
        <f>IF(VLOOKUP(A75,'DB Country PMI'!$A:$AZ,MATCH($A$1,'DB Country PMI'!$A$1:$AZ$1,),)=0,#N/A,VLOOKUP(A75,'DB Country PMI'!$A:$AZ,MATCH($A$1,'DB Country PMI'!$A$1:$AZ$1,),))</f>
        <v/>
      </c>
      <c r="C75" s="24">
        <f>Table134681112141516171819202223[[#This Row],[PMI]]-B74</f>
        <v/>
      </c>
    </row>
    <row r="76">
      <c r="A76" s="10" t="n">
        <v>42583</v>
      </c>
      <c r="B76" s="18">
        <f>IF(VLOOKUP(A76,'DB Country PMI'!$A:$AZ,MATCH($A$1,'DB Country PMI'!$A$1:$AZ$1,),)=0,#N/A,VLOOKUP(A76,'DB Country PMI'!$A:$AZ,MATCH($A$1,'DB Country PMI'!$A$1:$AZ$1,),))</f>
        <v/>
      </c>
      <c r="C76" s="24">
        <f>Table134681112141516171819202223[[#This Row],[PMI]]-B75</f>
        <v/>
      </c>
    </row>
    <row r="77">
      <c r="A77" s="10" t="n">
        <v>42614</v>
      </c>
      <c r="B77" s="18">
        <f>IF(VLOOKUP(A77,'DB Country PMI'!$A:$AZ,MATCH($A$1,'DB Country PMI'!$A$1:$AZ$1,),)=0,#N/A,VLOOKUP(A77,'DB Country PMI'!$A:$AZ,MATCH($A$1,'DB Country PMI'!$A$1:$AZ$1,),))</f>
        <v/>
      </c>
      <c r="C77" s="24">
        <f>Table134681112141516171819202223[[#This Row],[PMI]]-B76</f>
        <v/>
      </c>
    </row>
    <row r="78">
      <c r="A78" s="10" t="n">
        <v>42644</v>
      </c>
      <c r="B78" s="18">
        <f>IF(VLOOKUP(A78,'DB Country PMI'!$A:$AZ,MATCH($A$1,'DB Country PMI'!$A$1:$AZ$1,),)=0,#N/A,VLOOKUP(A78,'DB Country PMI'!$A:$AZ,MATCH($A$1,'DB Country PMI'!$A$1:$AZ$1,),))</f>
        <v/>
      </c>
      <c r="C78" s="24">
        <f>Table134681112141516171819202223[[#This Row],[PMI]]-B77</f>
        <v/>
      </c>
    </row>
    <row r="79">
      <c r="A79" s="10" t="n">
        <v>42675</v>
      </c>
      <c r="B79" s="18">
        <f>IF(VLOOKUP(A79,'DB Country PMI'!$A:$AZ,MATCH($A$1,'DB Country PMI'!$A$1:$AZ$1,),)=0,#N/A,VLOOKUP(A79,'DB Country PMI'!$A:$AZ,MATCH($A$1,'DB Country PMI'!$A$1:$AZ$1,),))</f>
        <v/>
      </c>
      <c r="C79" s="24">
        <f>Table134681112141516171819202223[[#This Row],[PMI]]-B78</f>
        <v/>
      </c>
    </row>
    <row r="80">
      <c r="A80" s="10" t="n">
        <v>42705</v>
      </c>
      <c r="B80" s="18">
        <f>IF(VLOOKUP(A80,'DB Country PMI'!$A:$AZ,MATCH($A$1,'DB Country PMI'!$A$1:$AZ$1,),)=0,#N/A,VLOOKUP(A80,'DB Country PMI'!$A:$AZ,MATCH($A$1,'DB Country PMI'!$A$1:$AZ$1,),))</f>
        <v/>
      </c>
      <c r="C80" s="24">
        <f>Table134681112141516171819202223[[#This Row],[PMI]]-B79</f>
        <v/>
      </c>
    </row>
    <row r="81">
      <c r="A81" s="10" t="n">
        <v>42736</v>
      </c>
      <c r="B81" s="18">
        <f>IF(VLOOKUP(A81,'DB Country PMI'!$A:$AZ,MATCH($A$1,'DB Country PMI'!$A$1:$AZ$1,),)=0,#N/A,VLOOKUP(A81,'DB Country PMI'!$A:$AZ,MATCH($A$1,'DB Country PMI'!$A$1:$AZ$1,),))</f>
        <v/>
      </c>
      <c r="C81" s="24">
        <f>Table134681112141516171819202223[[#This Row],[PMI]]-B80</f>
        <v/>
      </c>
    </row>
    <row r="82">
      <c r="A82" s="10" t="n">
        <v>42767</v>
      </c>
      <c r="B82" s="18">
        <f>IF(VLOOKUP(A82,'DB Country PMI'!$A:$AZ,MATCH($A$1,'DB Country PMI'!$A$1:$AZ$1,),)=0,#N/A,VLOOKUP(A82,'DB Country PMI'!$A:$AZ,MATCH($A$1,'DB Country PMI'!$A$1:$AZ$1,),))</f>
        <v/>
      </c>
      <c r="C82" s="24">
        <f>Table134681112141516171819202223[[#This Row],[PMI]]-B81</f>
        <v/>
      </c>
    </row>
    <row r="83">
      <c r="A83" s="10" t="n">
        <v>42795</v>
      </c>
      <c r="B83" s="18">
        <f>IF(VLOOKUP(A83,'DB Country PMI'!$A:$AZ,MATCH($A$1,'DB Country PMI'!$A$1:$AZ$1,),)=0,#N/A,VLOOKUP(A83,'DB Country PMI'!$A:$AZ,MATCH($A$1,'DB Country PMI'!$A$1:$AZ$1,),))</f>
        <v/>
      </c>
      <c r="C83" s="24">
        <f>Table134681112141516171819202223[[#This Row],[PMI]]-B82</f>
        <v/>
      </c>
    </row>
    <row r="84">
      <c r="A84" s="10" t="n">
        <v>42826</v>
      </c>
      <c r="B84" s="18">
        <f>IF(VLOOKUP(A84,'DB Country PMI'!$A:$AZ,MATCH($A$1,'DB Country PMI'!$A$1:$AZ$1,),)=0,#N/A,VLOOKUP(A84,'DB Country PMI'!$A:$AZ,MATCH($A$1,'DB Country PMI'!$A$1:$AZ$1,),))</f>
        <v/>
      </c>
      <c r="C84" s="24">
        <f>Table134681112141516171819202223[[#This Row],[PMI]]-B83</f>
        <v/>
      </c>
    </row>
    <row r="85">
      <c r="A85" s="10" t="n">
        <v>42856</v>
      </c>
      <c r="B85" s="18">
        <f>IF(VLOOKUP(A85,'DB Country PMI'!$A:$AZ,MATCH($A$1,'DB Country PMI'!$A$1:$AZ$1,),)=0,#N/A,VLOOKUP(A85,'DB Country PMI'!$A:$AZ,MATCH($A$1,'DB Country PMI'!$A$1:$AZ$1,),))</f>
        <v/>
      </c>
      <c r="C85" s="24">
        <f>Table134681112141516171819202223[[#This Row],[PMI]]-B84</f>
        <v/>
      </c>
    </row>
    <row r="86">
      <c r="A86" s="10" t="n">
        <v>42887</v>
      </c>
      <c r="B86" s="18">
        <f>IF(VLOOKUP(A86,'DB Country PMI'!$A:$AZ,MATCH($A$1,'DB Country PMI'!$A$1:$AZ$1,),)=0,#N/A,VLOOKUP(A86,'DB Country PMI'!$A:$AZ,MATCH($A$1,'DB Country PMI'!$A$1:$AZ$1,),))</f>
        <v/>
      </c>
      <c r="C86" s="24">
        <f>Table134681112141516171819202223[[#This Row],[PMI]]-B85</f>
        <v/>
      </c>
    </row>
    <row r="87">
      <c r="A87" s="10" t="n">
        <v>42917</v>
      </c>
      <c r="B87" s="18">
        <f>IF(VLOOKUP(A87,'DB Country PMI'!$A:$AZ,MATCH($A$1,'DB Country PMI'!$A$1:$AZ$1,),)=0,#N/A,VLOOKUP(A87,'DB Country PMI'!$A:$AZ,MATCH($A$1,'DB Country PMI'!$A$1:$AZ$1,),))</f>
        <v/>
      </c>
      <c r="C87" s="24">
        <f>Table134681112141516171819202223[[#This Row],[PMI]]-B86</f>
        <v/>
      </c>
    </row>
    <row r="88">
      <c r="A88" s="10" t="n">
        <v>42948</v>
      </c>
      <c r="B88" s="18">
        <f>IF(VLOOKUP(A88,'DB Country PMI'!$A:$AZ,MATCH($A$1,'DB Country PMI'!$A$1:$AZ$1,),)=0,#N/A,VLOOKUP(A88,'DB Country PMI'!$A:$AZ,MATCH($A$1,'DB Country PMI'!$A$1:$AZ$1,),))</f>
        <v/>
      </c>
      <c r="C88" s="24">
        <f>Table134681112141516171819202223[[#This Row],[PMI]]-B87</f>
        <v/>
      </c>
    </row>
    <row r="89">
      <c r="A89" s="10" t="n">
        <v>42979</v>
      </c>
      <c r="B89" s="18">
        <f>IF(VLOOKUP(A89,'DB Country PMI'!$A:$AZ,MATCH($A$1,'DB Country PMI'!$A$1:$AZ$1,),)=0,#N/A,VLOOKUP(A89,'DB Country PMI'!$A:$AZ,MATCH($A$1,'DB Country PMI'!$A$1:$AZ$1,),))</f>
        <v/>
      </c>
      <c r="C89" s="24">
        <f>Table134681112141516171819202223[[#This Row],[PMI]]-B88</f>
        <v/>
      </c>
    </row>
    <row r="90">
      <c r="A90" s="10" t="n">
        <v>43009</v>
      </c>
      <c r="B90" s="18">
        <f>IF(VLOOKUP(A90,'DB Country PMI'!$A:$AZ,MATCH($A$1,'DB Country PMI'!$A$1:$AZ$1,),)=0,#N/A,VLOOKUP(A90,'DB Country PMI'!$A:$AZ,MATCH($A$1,'DB Country PMI'!$A$1:$AZ$1,),))</f>
        <v/>
      </c>
      <c r="C90" s="24">
        <f>Table134681112141516171819202223[[#This Row],[PMI]]-B89</f>
        <v/>
      </c>
    </row>
    <row r="91">
      <c r="A91" s="10" t="n">
        <v>43040</v>
      </c>
      <c r="B91" s="18">
        <f>IF(VLOOKUP(A91,'DB Country PMI'!$A:$AZ,MATCH($A$1,'DB Country PMI'!$A$1:$AZ$1,),)=0,#N/A,VLOOKUP(A91,'DB Country PMI'!$A:$AZ,MATCH($A$1,'DB Country PMI'!$A$1:$AZ$1,),))</f>
        <v/>
      </c>
      <c r="C91" s="24">
        <f>Table134681112141516171819202223[[#This Row],[PMI]]-B90</f>
        <v/>
      </c>
    </row>
    <row r="92">
      <c r="A92" s="10" t="n">
        <v>43070</v>
      </c>
      <c r="B92" s="18">
        <f>IF(VLOOKUP(A92,'DB Country PMI'!$A:$AZ,MATCH($A$1,'DB Country PMI'!$A$1:$AZ$1,),)=0,#N/A,VLOOKUP(A92,'DB Country PMI'!$A:$AZ,MATCH($A$1,'DB Country PMI'!$A$1:$AZ$1,),))</f>
        <v/>
      </c>
      <c r="C92" s="24">
        <f>Table134681112141516171819202223[[#This Row],[PMI]]-B91</f>
        <v/>
      </c>
    </row>
    <row r="93">
      <c r="A93" s="10" t="n">
        <v>43101</v>
      </c>
      <c r="B93" s="18">
        <f>IF(VLOOKUP(A93,'DB Country PMI'!$A:$AZ,MATCH($A$1,'DB Country PMI'!$A$1:$AZ$1,),)=0,#N/A,VLOOKUP(A93,'DB Country PMI'!$A:$AZ,MATCH($A$1,'DB Country PMI'!$A$1:$AZ$1,),))</f>
        <v/>
      </c>
      <c r="C93" s="24">
        <f>Table134681112141516171819202223[[#This Row],[PMI]]-B92</f>
        <v/>
      </c>
    </row>
    <row r="94">
      <c r="A94" s="10" t="n">
        <v>43132</v>
      </c>
      <c r="B94" s="18">
        <f>IF(VLOOKUP(A94,'DB Country PMI'!$A:$AZ,MATCH($A$1,'DB Country PMI'!$A$1:$AZ$1,),)=0,#N/A,VLOOKUP(A94,'DB Country PMI'!$A:$AZ,MATCH($A$1,'DB Country PMI'!$A$1:$AZ$1,),))</f>
        <v/>
      </c>
      <c r="C94" s="24">
        <f>Table134681112141516171819202223[[#This Row],[PMI]]-B93</f>
        <v/>
      </c>
    </row>
    <row r="95">
      <c r="A95" s="10" t="n">
        <v>43160</v>
      </c>
      <c r="B95" s="18">
        <f>IF(VLOOKUP(A95,'DB Country PMI'!$A:$AZ,MATCH($A$1,'DB Country PMI'!$A$1:$AZ$1,),)=0,#N/A,VLOOKUP(A95,'DB Country PMI'!$A:$AZ,MATCH($A$1,'DB Country PMI'!$A$1:$AZ$1,),))</f>
        <v/>
      </c>
      <c r="C95" s="24">
        <f>Table134681112141516171819202223[[#This Row],[PMI]]-B94</f>
        <v/>
      </c>
    </row>
    <row r="96">
      <c r="A96" s="10" t="n">
        <v>43191</v>
      </c>
      <c r="B96" s="18">
        <f>IF(VLOOKUP(A96,'DB Country PMI'!$A:$AZ,MATCH($A$1,'DB Country PMI'!$A$1:$AZ$1,),)=0,#N/A,VLOOKUP(A96,'DB Country PMI'!$A:$AZ,MATCH($A$1,'DB Country PMI'!$A$1:$AZ$1,),))</f>
        <v/>
      </c>
      <c r="C96" s="24">
        <f>Table134681112141516171819202223[[#This Row],[PMI]]-B95</f>
        <v/>
      </c>
    </row>
    <row r="97">
      <c r="A97" s="10" t="n">
        <v>43221</v>
      </c>
      <c r="B97" s="18">
        <f>IF(VLOOKUP(A97,'DB Country PMI'!$A:$AZ,MATCH($A$1,'DB Country PMI'!$A$1:$AZ$1,),)=0,#N/A,VLOOKUP(A97,'DB Country PMI'!$A:$AZ,MATCH($A$1,'DB Country PMI'!$A$1:$AZ$1,),))</f>
        <v/>
      </c>
      <c r="C97" s="24">
        <f>Table134681112141516171819202223[[#This Row],[PMI]]-B96</f>
        <v/>
      </c>
    </row>
    <row r="98">
      <c r="A98" s="10" t="n">
        <v>43252</v>
      </c>
      <c r="B98" s="18">
        <f>IF(VLOOKUP(A98,'DB Country PMI'!$A:$AZ,MATCH($A$1,'DB Country PMI'!$A$1:$AZ$1,),)=0,#N/A,VLOOKUP(A98,'DB Country PMI'!$A:$AZ,MATCH($A$1,'DB Country PMI'!$A$1:$AZ$1,),))</f>
        <v/>
      </c>
      <c r="C98" s="24">
        <f>Table134681112141516171819202223[[#This Row],[PMI]]-B97</f>
        <v/>
      </c>
    </row>
    <row r="99">
      <c r="A99" s="10" t="n">
        <v>43282</v>
      </c>
      <c r="B99" s="18">
        <f>IF(VLOOKUP(A99,'DB Country PMI'!$A:$AZ,MATCH($A$1,'DB Country PMI'!$A$1:$AZ$1,),)=0,#N/A,VLOOKUP(A99,'DB Country PMI'!$A:$AZ,MATCH($A$1,'DB Country PMI'!$A$1:$AZ$1,),))</f>
        <v/>
      </c>
      <c r="C99" s="24">
        <f>Table134681112141516171819202223[[#This Row],[PMI]]-B98</f>
        <v/>
      </c>
    </row>
    <row r="100">
      <c r="A100" s="10" t="n">
        <v>43313</v>
      </c>
      <c r="B100" s="18">
        <f>IF(VLOOKUP(A100,'DB Country PMI'!$A:$AZ,MATCH($A$1,'DB Country PMI'!$A$1:$AZ$1,),)=0,#N/A,VLOOKUP(A100,'DB Country PMI'!$A:$AZ,MATCH($A$1,'DB Country PMI'!$A$1:$AZ$1,),))</f>
        <v/>
      </c>
      <c r="C100" s="24">
        <f>Table134681112141516171819202223[[#This Row],[PMI]]-B99</f>
        <v/>
      </c>
    </row>
    <row r="101">
      <c r="A101" s="10" t="n">
        <v>43344</v>
      </c>
      <c r="B101" s="18">
        <f>IF(VLOOKUP(A101,'DB Country PMI'!$A:$AZ,MATCH($A$1,'DB Country PMI'!$A$1:$AZ$1,),)=0,#N/A,VLOOKUP(A101,'DB Country PMI'!$A:$AZ,MATCH($A$1,'DB Country PMI'!$A$1:$AZ$1,),))</f>
        <v/>
      </c>
      <c r="C101" s="24">
        <f>Table134681112141516171819202223[[#This Row],[PMI]]-B100</f>
        <v/>
      </c>
    </row>
    <row r="102">
      <c r="A102" s="10" t="n">
        <v>43374</v>
      </c>
      <c r="B102" s="18">
        <f>IF(VLOOKUP(A102,'DB Country PMI'!$A:$AZ,MATCH($A$1,'DB Country PMI'!$A$1:$AZ$1,),)=0,#N/A,VLOOKUP(A102,'DB Country PMI'!$A:$AZ,MATCH($A$1,'DB Country PMI'!$A$1:$AZ$1,),))</f>
        <v/>
      </c>
      <c r="C102" s="24">
        <f>Table134681112141516171819202223[[#This Row],[PMI]]-B101</f>
        <v/>
      </c>
    </row>
    <row r="103">
      <c r="A103" s="10" t="n">
        <v>43405</v>
      </c>
      <c r="B103" s="18">
        <f>IF(VLOOKUP(A103,'DB Country PMI'!$A:$AZ,MATCH($A$1,'DB Country PMI'!$A$1:$AZ$1,),)=0,#N/A,VLOOKUP(A103,'DB Country PMI'!$A:$AZ,MATCH($A$1,'DB Country PMI'!$A$1:$AZ$1,),))</f>
        <v/>
      </c>
      <c r="C103" s="24">
        <f>Table134681112141516171819202223[[#This Row],[PMI]]-B102</f>
        <v/>
      </c>
    </row>
    <row r="104">
      <c r="A104" s="10" t="n">
        <v>43435</v>
      </c>
      <c r="B104" s="18">
        <f>IF(VLOOKUP(A104,'DB Country PMI'!$A:$AZ,MATCH($A$1,'DB Country PMI'!$A$1:$AZ$1,),)=0,#N/A,VLOOKUP(A104,'DB Country PMI'!$A:$AZ,MATCH($A$1,'DB Country PMI'!$A$1:$AZ$1,),))</f>
        <v/>
      </c>
      <c r="C104" s="24">
        <f>Table134681112141516171819202223[[#This Row],[PMI]]-B103</f>
        <v/>
      </c>
    </row>
    <row r="105">
      <c r="A105" s="10" t="n">
        <v>43466</v>
      </c>
      <c r="B105" s="18">
        <f>IF(VLOOKUP(A105,'DB Country PMI'!$A:$AZ,MATCH($A$1,'DB Country PMI'!$A$1:$AZ$1,),)=0,#N/A,VLOOKUP(A105,'DB Country PMI'!$A:$AZ,MATCH($A$1,'DB Country PMI'!$A$1:$AZ$1,),))</f>
        <v/>
      </c>
      <c r="C105" s="24">
        <f>Table134681112141516171819202223[[#This Row],[PMI]]-B104</f>
        <v/>
      </c>
    </row>
    <row r="106">
      <c r="A106" s="10" t="n">
        <v>43497</v>
      </c>
      <c r="B106" s="18">
        <f>IF(VLOOKUP(A106,'DB Country PMI'!$A:$AZ,MATCH($A$1,'DB Country PMI'!$A$1:$AZ$1,),)=0,#N/A,VLOOKUP(A106,'DB Country PMI'!$A:$AZ,MATCH($A$1,'DB Country PMI'!$A$1:$AZ$1,),))</f>
        <v/>
      </c>
      <c r="C106" s="24">
        <f>Table134681112141516171819202223[[#This Row],[PMI]]-B105</f>
        <v/>
      </c>
    </row>
    <row r="107">
      <c r="A107" s="10" t="n">
        <v>43525</v>
      </c>
      <c r="B107" s="18">
        <f>IF(VLOOKUP(A107,'DB Country PMI'!$A:$AZ,MATCH($A$1,'DB Country PMI'!$A$1:$AZ$1,),)=0,#N/A,VLOOKUP(A107,'DB Country PMI'!$A:$AZ,MATCH($A$1,'DB Country PMI'!$A$1:$AZ$1,),))</f>
        <v/>
      </c>
      <c r="C107" s="24">
        <f>Table134681112141516171819202223[[#This Row],[PMI]]-B106</f>
        <v/>
      </c>
    </row>
    <row r="108">
      <c r="A108" s="10" t="n">
        <v>43556</v>
      </c>
      <c r="B108" s="18">
        <f>IF(VLOOKUP(A108,'DB Country PMI'!$A:$AZ,MATCH($A$1,'DB Country PMI'!$A$1:$AZ$1,),)=0,#N/A,VLOOKUP(A108,'DB Country PMI'!$A:$AZ,MATCH($A$1,'DB Country PMI'!$A$1:$AZ$1,),))</f>
        <v/>
      </c>
      <c r="C108" s="24">
        <f>Table134681112141516171819202223[[#This Row],[PMI]]-B107</f>
        <v/>
      </c>
    </row>
    <row r="109">
      <c r="A109" s="10" t="n">
        <v>43586</v>
      </c>
      <c r="B109" s="18">
        <f>IF(VLOOKUP(A109,'DB Country PMI'!$A:$AZ,MATCH($A$1,'DB Country PMI'!$A$1:$AZ$1,),)=0,#N/A,VLOOKUP(A109,'DB Country PMI'!$A:$AZ,MATCH($A$1,'DB Country PMI'!$A$1:$AZ$1,),))</f>
        <v/>
      </c>
      <c r="C109" s="24">
        <f>Table134681112141516171819202223[[#This Row],[PMI]]-B108</f>
        <v/>
      </c>
    </row>
    <row r="110">
      <c r="A110" s="10" t="n">
        <v>43617</v>
      </c>
      <c r="B110" s="18">
        <f>IF(VLOOKUP(A110,'DB Country PMI'!$A:$AZ,MATCH($A$1,'DB Country PMI'!$A$1:$AZ$1,),)=0,#N/A,VLOOKUP(A110,'DB Country PMI'!$A:$AZ,MATCH($A$1,'DB Country PMI'!$A$1:$AZ$1,),))</f>
        <v/>
      </c>
      <c r="C110" s="24">
        <f>Table134681112141516171819202223[[#This Row],[PMI]]-B109</f>
        <v/>
      </c>
    </row>
    <row r="111">
      <c r="A111" s="10" t="n">
        <v>43647</v>
      </c>
      <c r="B111" s="18">
        <f>IF(VLOOKUP(A111,'DB Country PMI'!$A:$AZ,MATCH($A$1,'DB Country PMI'!$A$1:$AZ$1,),)=0,#N/A,VLOOKUP(A111,'DB Country PMI'!$A:$AZ,MATCH($A$1,'DB Country PMI'!$A$1:$AZ$1,),))</f>
        <v/>
      </c>
      <c r="C111" s="24">
        <f>Table134681112141516171819202223[[#This Row],[PMI]]-B110</f>
        <v/>
      </c>
    </row>
    <row r="112">
      <c r="A112" s="10" t="n">
        <v>43678</v>
      </c>
      <c r="B112" s="18">
        <f>IF(VLOOKUP(A112,'DB Country PMI'!$A:$AZ,MATCH($A$1,'DB Country PMI'!$A$1:$AZ$1,),)=0,#N/A,VLOOKUP(A112,'DB Country PMI'!$A:$AZ,MATCH($A$1,'DB Country PMI'!$A$1:$AZ$1,),))</f>
        <v/>
      </c>
      <c r="C112" s="24">
        <f>Table134681112141516171819202223[[#This Row],[PMI]]-B111</f>
        <v/>
      </c>
    </row>
    <row r="113">
      <c r="A113" s="10" t="n">
        <v>43709</v>
      </c>
      <c r="B113" s="18">
        <f>IF(VLOOKUP(A113,'DB Country PMI'!$A:$AZ,MATCH($A$1,'DB Country PMI'!$A$1:$AZ$1,),)=0,#N/A,VLOOKUP(A113,'DB Country PMI'!$A:$AZ,MATCH($A$1,'DB Country PMI'!$A$1:$AZ$1,),))</f>
        <v/>
      </c>
      <c r="C113" s="24">
        <f>Table134681112141516171819202223[[#This Row],[PMI]]-B112</f>
        <v/>
      </c>
    </row>
    <row r="114">
      <c r="A114" s="10" t="n">
        <v>43739</v>
      </c>
      <c r="B114" s="18">
        <f>IF(VLOOKUP(A114,'DB Country PMI'!$A:$AZ,MATCH($A$1,'DB Country PMI'!$A$1:$AZ$1,),)=0,#N/A,VLOOKUP(A114,'DB Country PMI'!$A:$AZ,MATCH($A$1,'DB Country PMI'!$A$1:$AZ$1,),))</f>
        <v/>
      </c>
      <c r="C114" s="24">
        <f>Table134681112141516171819202223[[#This Row],[PMI]]-B113</f>
        <v/>
      </c>
    </row>
    <row r="115">
      <c r="A115" s="10" t="n">
        <v>43770</v>
      </c>
      <c r="B115" s="18">
        <f>IF(VLOOKUP(A115,'DB Country PMI'!$A:$AZ,MATCH($A$1,'DB Country PMI'!$A$1:$AZ$1,),)=0,#N/A,VLOOKUP(A115,'DB Country PMI'!$A:$AZ,MATCH($A$1,'DB Country PMI'!$A$1:$AZ$1,),))</f>
        <v/>
      </c>
      <c r="C115" s="24">
        <f>Table134681112141516171819202223[[#This Row],[PMI]]-B114</f>
        <v/>
      </c>
    </row>
    <row r="116">
      <c r="A116" s="10" t="n">
        <v>43800</v>
      </c>
      <c r="B116" s="18">
        <f>IF(VLOOKUP(A116,'DB Country PMI'!$A:$AZ,MATCH($A$1,'DB Country PMI'!$A$1:$AZ$1,),)=0,#N/A,VLOOKUP(A116,'DB Country PMI'!$A:$AZ,MATCH($A$1,'DB Country PMI'!$A$1:$AZ$1,),))</f>
        <v/>
      </c>
      <c r="C116" s="24">
        <f>Table134681112141516171819202223[[#This Row],[PMI]]-B115</f>
        <v/>
      </c>
    </row>
    <row r="117">
      <c r="A117" s="10" t="n">
        <v>43831</v>
      </c>
      <c r="B117" s="18">
        <f>IF(VLOOKUP(A117,'DB Country PMI'!$A:$AZ,MATCH($A$1,'DB Country PMI'!$A$1:$AZ$1,),)=0,#N/A,VLOOKUP(A117,'DB Country PMI'!$A:$AZ,MATCH($A$1,'DB Country PMI'!$A$1:$AZ$1,),))</f>
        <v/>
      </c>
      <c r="C117" s="24">
        <f>Table134681112141516171819202223[[#This Row],[PMI]]-B116</f>
        <v/>
      </c>
    </row>
    <row r="118">
      <c r="A118" s="10" t="n">
        <v>43862</v>
      </c>
      <c r="B118" s="18">
        <f>IF(VLOOKUP(A118,'DB Country PMI'!$A:$AZ,MATCH($A$1,'DB Country PMI'!$A$1:$AZ$1,),)=0,#N/A,VLOOKUP(A118,'DB Country PMI'!$A:$AZ,MATCH($A$1,'DB Country PMI'!$A$1:$AZ$1,),))</f>
        <v/>
      </c>
      <c r="C118" s="24">
        <f>Table134681112141516171819202223[[#This Row],[PMI]]-B117</f>
        <v/>
      </c>
    </row>
    <row r="119">
      <c r="A119" s="10" t="n">
        <v>43891</v>
      </c>
      <c r="B119" s="18">
        <f>IF(VLOOKUP(A119,'DB Country PMI'!$A:$AZ,MATCH($A$1,'DB Country PMI'!$A$1:$AZ$1,),)=0,#N/A,VLOOKUP(A119,'DB Country PMI'!$A:$AZ,MATCH($A$1,'DB Country PMI'!$A$1:$AZ$1,),))</f>
        <v/>
      </c>
      <c r="C119" s="24">
        <f>Table134681112141516171819202223[[#This Row],[PMI]]-B118</f>
        <v/>
      </c>
    </row>
    <row r="120">
      <c r="A120" s="10" t="n">
        <v>43922</v>
      </c>
      <c r="B120" s="18">
        <f>IF(VLOOKUP(A120,'DB Country PMI'!$A:$AZ,MATCH($A$1,'DB Country PMI'!$A$1:$AZ$1,),)=0,#N/A,VLOOKUP(A120,'DB Country PMI'!$A:$AZ,MATCH($A$1,'DB Country PMI'!$A$1:$AZ$1,),))</f>
        <v/>
      </c>
      <c r="C120" s="24">
        <f>Table134681112141516171819202223[[#This Row],[PMI]]-B119</f>
        <v/>
      </c>
    </row>
    <row r="121">
      <c r="A121" s="10" t="n">
        <v>43952</v>
      </c>
      <c r="B121" s="18">
        <f>IF(VLOOKUP(A121,'DB Country PMI'!$A:$AZ,MATCH($A$1,'DB Country PMI'!$A$1:$AZ$1,),)=0,#N/A,VLOOKUP(A121,'DB Country PMI'!$A:$AZ,MATCH($A$1,'DB Country PMI'!$A$1:$AZ$1,),))</f>
        <v/>
      </c>
      <c r="C121" s="24">
        <f>Table134681112141516171819202223[[#This Row],[PMI]]-B120</f>
        <v/>
      </c>
    </row>
    <row r="122">
      <c r="A122" s="10" t="n">
        <v>43983</v>
      </c>
      <c r="B122" s="18">
        <f>IF(VLOOKUP(A122,'DB Country PMI'!$A:$AZ,MATCH($A$1,'DB Country PMI'!$A$1:$AZ$1,),)=0,#N/A,VLOOKUP(A122,'DB Country PMI'!$A:$AZ,MATCH($A$1,'DB Country PMI'!$A$1:$AZ$1,),))</f>
        <v/>
      </c>
      <c r="C122" s="24">
        <f>Table134681112141516171819202223[[#This Row],[PMI]]-B121</f>
        <v/>
      </c>
    </row>
    <row r="123">
      <c r="A123" s="10" t="n">
        <v>44013</v>
      </c>
      <c r="B123" s="18">
        <f>IF(VLOOKUP(A123,'DB Country PMI'!$A:$AZ,MATCH($A$1,'DB Country PMI'!$A$1:$AZ$1,),)=0,#N/A,VLOOKUP(A123,'DB Country PMI'!$A:$AZ,MATCH($A$1,'DB Country PMI'!$A$1:$AZ$1,),))</f>
        <v/>
      </c>
      <c r="C123" s="24">
        <f>Table134681112141516171819202223[[#This Row],[PMI]]-B122</f>
        <v/>
      </c>
    </row>
    <row r="124">
      <c r="A124" s="10" t="n">
        <v>44044</v>
      </c>
      <c r="B124" s="18">
        <f>IF(VLOOKUP(A124,'DB Country PMI'!$A:$AZ,MATCH($A$1,'DB Country PMI'!$A$1:$AZ$1,),)=0,#N/A,VLOOKUP(A124,'DB Country PMI'!$A:$AZ,MATCH($A$1,'DB Country PMI'!$A$1:$AZ$1,),))</f>
        <v/>
      </c>
      <c r="C124" s="24">
        <f>Table134681112141516171819202223[[#This Row],[PMI]]-B123</f>
        <v/>
      </c>
    </row>
    <row r="125">
      <c r="A125" s="10" t="n">
        <v>44075</v>
      </c>
      <c r="B125" s="18">
        <f>IF(VLOOKUP(A125,'DB Country PMI'!$A:$AZ,MATCH($A$1,'DB Country PMI'!$A$1:$AZ$1,),)=0,#N/A,VLOOKUP(A125,'DB Country PMI'!$A:$AZ,MATCH($A$1,'DB Country PMI'!$A$1:$AZ$1,),))</f>
        <v/>
      </c>
      <c r="C125" s="24">
        <f>Table134681112141516171819202223[[#This Row],[PMI]]-B124</f>
        <v/>
      </c>
    </row>
    <row r="126">
      <c r="A126" s="10" t="n">
        <v>44105</v>
      </c>
      <c r="B126" s="18">
        <f>IF(VLOOKUP(A126,'DB Country PMI'!$A:$AZ,MATCH($A$1,'DB Country PMI'!$A$1:$AZ$1,),)=0,#N/A,VLOOKUP(A126,'DB Country PMI'!$A:$AZ,MATCH($A$1,'DB Country PMI'!$A$1:$AZ$1,),))</f>
        <v/>
      </c>
      <c r="C126" s="24">
        <f>Table134681112141516171819202223[[#This Row],[PMI]]-B125</f>
        <v/>
      </c>
    </row>
    <row r="127">
      <c r="A127" s="10" t="n">
        <v>44136</v>
      </c>
      <c r="B127" s="18">
        <f>IF(VLOOKUP(A127,'DB Country PMI'!$A:$AZ,MATCH($A$1,'DB Country PMI'!$A$1:$AZ$1,),)=0,#N/A,VLOOKUP(A127,'DB Country PMI'!$A:$AZ,MATCH($A$1,'DB Country PMI'!$A$1:$AZ$1,),))</f>
        <v/>
      </c>
      <c r="C127" s="24">
        <f>Table134681112141516171819202223[[#This Row],[PMI]]-B126</f>
        <v/>
      </c>
    </row>
    <row r="128">
      <c r="A128" s="10" t="n">
        <v>44166</v>
      </c>
      <c r="B128" s="18">
        <f>IF(VLOOKUP(A128,'DB Country PMI'!$A:$AZ,MATCH($A$1,'DB Country PMI'!$A$1:$AZ$1,),)=0,#N/A,VLOOKUP(A128,'DB Country PMI'!$A:$AZ,MATCH($A$1,'DB Country PMI'!$A$1:$AZ$1,),))</f>
        <v/>
      </c>
      <c r="C128" s="24">
        <f>Table134681112141516171819202223[[#This Row],[PMI]]-B127</f>
        <v/>
      </c>
    </row>
    <row r="129">
      <c r="A129" s="10" t="n">
        <v>44197</v>
      </c>
      <c r="B129" s="18">
        <f>IF(VLOOKUP(A129,'DB Country PMI'!$A:$AZ,MATCH($A$1,'DB Country PMI'!$A$1:$AZ$1,),)=0,#N/A,VLOOKUP(A129,'DB Country PMI'!$A:$AZ,MATCH($A$1,'DB Country PMI'!$A$1:$AZ$1,),))</f>
        <v/>
      </c>
      <c r="C129" s="24">
        <f>Table134681112141516171819202223[[#This Row],[PMI]]-B128</f>
        <v/>
      </c>
    </row>
    <row r="130">
      <c r="A130" s="10" t="n">
        <v>44228</v>
      </c>
      <c r="B130" s="18">
        <f>IF(VLOOKUP(A130,'DB Country PMI'!$A:$AZ,MATCH($A$1,'DB Country PMI'!$A$1:$AZ$1,),)=0,#N/A,VLOOKUP(A130,'DB Country PMI'!$A:$AZ,MATCH($A$1,'DB Country PMI'!$A$1:$AZ$1,),))</f>
        <v/>
      </c>
      <c r="C130" s="24">
        <f>Table134681112141516171819202223[[#This Row],[PMI]]-B129</f>
        <v/>
      </c>
    </row>
    <row r="131">
      <c r="A131" s="10" t="n">
        <v>44256</v>
      </c>
      <c r="B131" s="18">
        <f>IF(VLOOKUP(A131,'DB Country PMI'!$A:$AZ,MATCH($A$1,'DB Country PMI'!$A$1:$AZ$1,),)=0,#N/A,VLOOKUP(A131,'DB Country PMI'!$A:$AZ,MATCH($A$1,'DB Country PMI'!$A$1:$AZ$1,),))</f>
        <v/>
      </c>
      <c r="C131" s="24">
        <f>Table134681112141516171819202223[[#This Row],[PMI]]-B130</f>
        <v/>
      </c>
    </row>
    <row r="132">
      <c r="A132" s="10" t="n">
        <v>44287</v>
      </c>
      <c r="B132" s="18">
        <f>IF(VLOOKUP(A132,'DB Country PMI'!$A:$AZ,MATCH($A$1,'DB Country PMI'!$A$1:$AZ$1,),)=0,#N/A,VLOOKUP(A132,'DB Country PMI'!$A:$AZ,MATCH($A$1,'DB Country PMI'!$A$1:$AZ$1,),))</f>
        <v/>
      </c>
      <c r="C132" s="24">
        <f>Table134681112141516171819202223[[#This Row],[PMI]]-B131</f>
        <v/>
      </c>
    </row>
    <row r="133">
      <c r="A133" s="10" t="n">
        <v>44317</v>
      </c>
      <c r="B133" s="18">
        <f>IF(VLOOKUP(A133,'DB Country PMI'!$A:$AZ,MATCH($A$1,'DB Country PMI'!$A$1:$AZ$1,),)=0,#N/A,VLOOKUP(A133,'DB Country PMI'!$A:$AZ,MATCH($A$1,'DB Country PMI'!$A$1:$AZ$1,),))</f>
        <v/>
      </c>
      <c r="C133" s="24">
        <f>Table134681112141516171819202223[[#This Row],[PMI]]-B132</f>
        <v/>
      </c>
    </row>
    <row r="134">
      <c r="A134" s="10" t="n">
        <v>44348</v>
      </c>
      <c r="B134" s="18">
        <f>IF(VLOOKUP(A134,'DB Country PMI'!$A:$AZ,MATCH($A$1,'DB Country PMI'!$A$1:$AZ$1,),)=0,#N/A,VLOOKUP(A134,'DB Country PMI'!$A:$AZ,MATCH($A$1,'DB Country PMI'!$A$1:$AZ$1,),))</f>
        <v/>
      </c>
      <c r="C134" s="24">
        <f>Table134681112141516171819202223[[#This Row],[PMI]]-B133</f>
        <v/>
      </c>
    </row>
    <row r="135">
      <c r="A135" s="10" t="n">
        <v>44378</v>
      </c>
      <c r="B135" s="18">
        <f>IF(VLOOKUP(A135,'DB Country PMI'!$A:$AZ,MATCH($A$1,'DB Country PMI'!$A$1:$AZ$1,),)=0,#N/A,VLOOKUP(A135,'DB Country PMI'!$A:$AZ,MATCH($A$1,'DB Country PMI'!$A$1:$AZ$1,),))</f>
        <v/>
      </c>
      <c r="C135" s="24">
        <f>Table134681112141516171819202223[[#This Row],[PMI]]-B134</f>
        <v/>
      </c>
    </row>
    <row r="136">
      <c r="A136" s="10" t="n">
        <v>44409</v>
      </c>
      <c r="B136" s="18">
        <f>IF(VLOOKUP(A136,'DB Country PMI'!$A:$AZ,MATCH($A$1,'DB Country PMI'!$A$1:$AZ$1,),)=0,#N/A,VLOOKUP(A136,'DB Country PMI'!$A:$AZ,MATCH($A$1,'DB Country PMI'!$A$1:$AZ$1,),))</f>
        <v/>
      </c>
      <c r="C136" s="24">
        <f>Table134681112141516171819202223[[#This Row],[PMI]]-B135</f>
        <v/>
      </c>
    </row>
    <row r="137">
      <c r="A137" s="10" t="n">
        <v>44440</v>
      </c>
      <c r="B137" s="18">
        <f>IF(VLOOKUP(A137,'DB Country PMI'!$A:$AZ,MATCH($A$1,'DB Country PMI'!$A$1:$AZ$1,),)=0,#N/A,VLOOKUP(A137,'DB Country PMI'!$A:$AZ,MATCH($A$1,'DB Country PMI'!$A$1:$AZ$1,),))</f>
        <v/>
      </c>
      <c r="C137" s="24">
        <f>Table134681112141516171819202223[[#This Row],[PMI]]-B136</f>
        <v/>
      </c>
    </row>
    <row r="138">
      <c r="A138" s="10" t="n">
        <v>44470</v>
      </c>
      <c r="B138" s="18">
        <f>IF(VLOOKUP(A138,'DB Country PMI'!$A:$AZ,MATCH($A$1,'DB Country PMI'!$A$1:$AZ$1,),)=0,#N/A,VLOOKUP(A138,'DB Country PMI'!$A:$AZ,MATCH($A$1,'DB Country PMI'!$A$1:$AZ$1,),))</f>
        <v/>
      </c>
      <c r="C138" s="24">
        <f>Table134681112141516171819202223[[#This Row],[PMI]]-B137</f>
        <v/>
      </c>
    </row>
    <row r="139">
      <c r="A139" s="10" t="n">
        <v>44501</v>
      </c>
      <c r="B139" s="18">
        <f>IF(VLOOKUP(A139,'DB Country PMI'!$A:$AZ,MATCH($A$1,'DB Country PMI'!$A$1:$AZ$1,),)=0,#N/A,VLOOKUP(A139,'DB Country PMI'!$A:$AZ,MATCH($A$1,'DB Country PMI'!$A$1:$AZ$1,),))</f>
        <v/>
      </c>
      <c r="C139" s="24">
        <f>Table134681112141516171819202223[[#This Row],[PMI]]-B138</f>
        <v/>
      </c>
    </row>
    <row r="140">
      <c r="A140" s="10" t="n">
        <v>44531</v>
      </c>
      <c r="B140" s="18">
        <f>IF(VLOOKUP(A140,'DB Country PMI'!$A:$AZ,MATCH($A$1,'DB Country PMI'!$A$1:$AZ$1,),)=0,#N/A,VLOOKUP(A140,'DB Country PMI'!$A:$AZ,MATCH($A$1,'DB Country PMI'!$A$1:$AZ$1,),))</f>
        <v/>
      </c>
      <c r="C140" s="24">
        <f>Table134681112141516171819202223[[#This Row],[PMI]]-B139</f>
        <v/>
      </c>
    </row>
    <row r="141">
      <c r="A141" s="10" t="n">
        <v>44562</v>
      </c>
      <c r="B141" s="18">
        <f>IF(VLOOKUP(A141,'DB Country PMI'!$A:$AZ,MATCH($A$1,'DB Country PMI'!$A$1:$AZ$1,),)=0,#N/A,VLOOKUP(A141,'DB Country PMI'!$A:$AZ,MATCH($A$1,'DB Country PMI'!$A$1:$AZ$1,),))</f>
        <v/>
      </c>
      <c r="C141" s="24">
        <f>Table134681112141516171819202223[[#This Row],[PMI]]-B140</f>
        <v/>
      </c>
    </row>
    <row r="142">
      <c r="A142" s="10" t="n">
        <v>44593</v>
      </c>
      <c r="B142" s="18">
        <f>IF(VLOOKUP(A142,'DB Country PMI'!$A:$AZ,MATCH($A$1,'DB Country PMI'!$A$1:$AZ$1,),)=0,#N/A,VLOOKUP(A142,'DB Country PMI'!$A:$AZ,MATCH($A$1,'DB Country PMI'!$A$1:$AZ$1,),))</f>
        <v/>
      </c>
      <c r="C142" s="24">
        <f>Table134681112141516171819202223[[#This Row],[PMI]]-B141</f>
        <v/>
      </c>
    </row>
    <row r="143">
      <c r="A143" s="10" t="n">
        <v>44621</v>
      </c>
      <c r="B143" s="18">
        <f>IF(VLOOKUP(A143,'DB Country PMI'!$A:$AZ,MATCH($A$1,'DB Country PMI'!$A$1:$AZ$1,),)=0,#N/A,VLOOKUP(A143,'DB Country PMI'!$A:$AZ,MATCH($A$1,'DB Country PMI'!$A$1:$AZ$1,),))</f>
        <v/>
      </c>
      <c r="C143" s="24">
        <f>Table134681112141516171819202223[[#This Row],[PMI]]-B142</f>
        <v/>
      </c>
    </row>
    <row r="144">
      <c r="A144" s="10" t="n">
        <v>44652</v>
      </c>
      <c r="B144" s="18">
        <f>IF(VLOOKUP(A144,'DB Country PMI'!$A:$AZ,MATCH($A$1,'DB Country PMI'!$A$1:$AZ$1,),)=0,#N/A,VLOOKUP(A144,'DB Country PMI'!$A:$AZ,MATCH($A$1,'DB Country PMI'!$A$1:$AZ$1,),))</f>
        <v/>
      </c>
      <c r="C144" s="24">
        <f>Table134681112141516171819202223[[#This Row],[PMI]]-B143</f>
        <v/>
      </c>
    </row>
    <row r="145">
      <c r="A145" s="10" t="n">
        <v>44682</v>
      </c>
      <c r="B145" s="18">
        <f>IF(VLOOKUP(A145,'DB Country PMI'!$A:$AZ,MATCH($A$1,'DB Country PMI'!$A$1:$AZ$1,),)=0,#N/A,VLOOKUP(A145,'DB Country PMI'!$A:$AZ,MATCH($A$1,'DB Country PMI'!$A$1:$AZ$1,),))</f>
        <v/>
      </c>
      <c r="C145" s="24">
        <f>Table134681112141516171819202223[[#This Row],[PMI]]-B144</f>
        <v/>
      </c>
    </row>
    <row r="146">
      <c r="A146" s="10" t="n">
        <v>44713</v>
      </c>
      <c r="B146" s="18">
        <f>IF(VLOOKUP(A146,'DB Country PMI'!$A:$AZ,MATCH($A$1,'DB Country PMI'!$A$1:$AZ$1,),)=0,#N/A,VLOOKUP(A146,'DB Country PMI'!$A:$AZ,MATCH($A$1,'DB Country PMI'!$A$1:$AZ$1,),))</f>
        <v/>
      </c>
      <c r="C146" s="24">
        <f>Table134681112141516171819202223[[#This Row],[PMI]]-B145</f>
        <v/>
      </c>
    </row>
    <row r="147">
      <c r="A147" s="10" t="n">
        <v>44743</v>
      </c>
      <c r="B147" s="18">
        <f>IF(VLOOKUP(A147,'DB Country PMI'!$A:$AZ,MATCH($A$1,'DB Country PMI'!$A$1:$AZ$1,),)=0,#N/A,VLOOKUP(A147,'DB Country PMI'!$A:$AZ,MATCH($A$1,'DB Country PMI'!$A$1:$AZ$1,),))</f>
        <v/>
      </c>
      <c r="C147" s="24">
        <f>Table134681112141516171819202223[[#This Row],[PMI]]-B146</f>
        <v/>
      </c>
    </row>
    <row r="148">
      <c r="A148" s="10" t="n">
        <v>44774</v>
      </c>
      <c r="B148" s="18">
        <f>IF(VLOOKUP(A148,'DB Country PMI'!$A:$AZ,MATCH($A$1,'DB Country PMI'!$A$1:$AZ$1,),)=0,#N/A,VLOOKUP(A148,'DB Country PMI'!$A:$AZ,MATCH($A$1,'DB Country PMI'!$A$1:$AZ$1,),))</f>
        <v/>
      </c>
      <c r="C148" s="24">
        <f>Table134681112141516171819202223[[#This Row],[PMI]]-B147</f>
        <v/>
      </c>
    </row>
    <row r="149">
      <c r="A149" s="10" t="n">
        <v>44805</v>
      </c>
      <c r="B149" s="18">
        <f>IF(VLOOKUP(A149,'DB Country PMI'!$A:$AZ,MATCH($A$1,'DB Country PMI'!$A$1:$AZ$1,),)=0,#N/A,VLOOKUP(A149,'DB Country PMI'!$A:$AZ,MATCH($A$1,'DB Country PMI'!$A$1:$AZ$1,),))</f>
        <v/>
      </c>
      <c r="C149" s="24">
        <f>Table134681112141516171819202223[[#This Row],[PMI]]-B148</f>
        <v/>
      </c>
    </row>
    <row r="150">
      <c r="A150" s="10" t="n">
        <v>44835</v>
      </c>
      <c r="B150" s="18">
        <f>IF(VLOOKUP(A150,'DB Country PMI'!$A:$AZ,MATCH($A$1,'DB Country PMI'!$A$1:$AZ$1,),)=0,#N/A,VLOOKUP(A150,'DB Country PMI'!$A:$AZ,MATCH($A$1,'DB Country PMI'!$A$1:$AZ$1,),))</f>
        <v/>
      </c>
      <c r="C150" s="24">
        <f>Table134681112141516171819202223[[#This Row],[PMI]]-B149</f>
        <v/>
      </c>
    </row>
    <row r="151">
      <c r="A151" s="10" t="n">
        <v>44866</v>
      </c>
      <c r="B151" s="18">
        <f>IF(VLOOKUP(A151,'DB Country PMI'!$A:$AZ,MATCH($A$1,'DB Country PMI'!$A$1:$AZ$1,),)=0,#N/A,VLOOKUP(A151,'DB Country PMI'!$A:$AZ,MATCH($A$1,'DB Country PMI'!$A$1:$AZ$1,),))</f>
        <v/>
      </c>
      <c r="C151" s="24">
        <f>Table134681112141516171819202223[[#This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1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K145"/>
  <sheetViews>
    <sheetView zoomScale="60" zoomScaleNormal="60" workbookViewId="0">
      <pane ySplit="5" topLeftCell="A118" activePane="bottomLeft" state="frozen"/>
      <selection pane="bottomLeft" activeCell="T144" sqref="T144"/>
    </sheetView>
  </sheetViews>
  <sheetFormatPr baseColWidth="8" defaultColWidth="9.1796875" defaultRowHeight="14.5"/>
  <cols>
    <col width="13.453125" customWidth="1" style="69" min="1" max="1"/>
    <col width="11.36328125" customWidth="1" style="69" min="2" max="2"/>
    <col width="9.1796875" customWidth="1" style="69" min="3" max="51"/>
    <col width="9.1796875" customWidth="1" style="69" min="52" max="16384"/>
  </cols>
  <sheetData>
    <row r="1">
      <c r="A1" s="69" t="inlineStr">
        <is>
          <t>Mexico</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Table13468111214151617181920222526[[#This Row],[PMI]]-B6</f>
        <v/>
      </c>
    </row>
    <row r="8">
      <c r="A8" s="10" t="n">
        <v>40695</v>
      </c>
      <c r="B8" s="18">
        <f>IF(VLOOKUP(A8,'DB Country PMI'!$A:$AZ,MATCH($A$1,'DB Country PMI'!$A$1:$AZ$1,),)=0,#N/A,VLOOKUP(A8,'DB Country PMI'!$A:$AZ,MATCH($A$1,'DB Country PMI'!$A$1:$AZ$1,),))</f>
        <v/>
      </c>
      <c r="C8" s="24">
        <f>Table13468111214151617181920222526[[#This Row],[PMI]]-B7</f>
        <v/>
      </c>
    </row>
    <row r="9">
      <c r="A9" s="10" t="n">
        <v>40725</v>
      </c>
      <c r="B9" s="18">
        <f>IF(VLOOKUP(A9,'DB Country PMI'!$A:$AZ,MATCH($A$1,'DB Country PMI'!$A$1:$AZ$1,),)=0,#N/A,VLOOKUP(A9,'DB Country PMI'!$A:$AZ,MATCH($A$1,'DB Country PMI'!$A$1:$AZ$1,),))</f>
        <v/>
      </c>
      <c r="C9" s="24">
        <f>Table13468111214151617181920222526[[#This Row],[PMI]]-B8</f>
        <v/>
      </c>
    </row>
    <row r="10">
      <c r="A10" s="10" t="n">
        <v>40756</v>
      </c>
      <c r="B10" s="18">
        <f>IF(VLOOKUP(A10,'DB Country PMI'!$A:$AZ,MATCH($A$1,'DB Country PMI'!$A$1:$AZ$1,),)=0,#N/A,VLOOKUP(A10,'DB Country PMI'!$A:$AZ,MATCH($A$1,'DB Country PMI'!$A$1:$AZ$1,),))</f>
        <v/>
      </c>
      <c r="C10" s="24">
        <f>Table13468111214151617181920222526[[#This Row],[PMI]]-B9</f>
        <v/>
      </c>
    </row>
    <row r="11">
      <c r="A11" s="10" t="n">
        <v>40787</v>
      </c>
      <c r="B11" s="18">
        <f>IF(VLOOKUP(A11,'DB Country PMI'!$A:$AZ,MATCH($A$1,'DB Country PMI'!$A$1:$AZ$1,),)=0,#N/A,VLOOKUP(A11,'DB Country PMI'!$A:$AZ,MATCH($A$1,'DB Country PMI'!$A$1:$AZ$1,),))</f>
        <v/>
      </c>
      <c r="C11" s="24">
        <f>Table13468111214151617181920222526[[#This Row],[PMI]]-B10</f>
        <v/>
      </c>
    </row>
    <row r="12">
      <c r="A12" s="10" t="n">
        <v>40817</v>
      </c>
      <c r="B12" s="18">
        <f>IF(VLOOKUP(A12,'DB Country PMI'!$A:$AZ,MATCH($A$1,'DB Country PMI'!$A$1:$AZ$1,),)=0,#N/A,VLOOKUP(A12,'DB Country PMI'!$A:$AZ,MATCH($A$1,'DB Country PMI'!$A$1:$AZ$1,),))</f>
        <v/>
      </c>
      <c r="C12" s="24">
        <f>Table13468111214151617181920222526[[#This Row],[PMI]]-B11</f>
        <v/>
      </c>
    </row>
    <row r="13">
      <c r="A13" s="10" t="n">
        <v>40848</v>
      </c>
      <c r="B13" s="18">
        <f>IF(VLOOKUP(A13,'DB Country PMI'!$A:$AZ,MATCH($A$1,'DB Country PMI'!$A$1:$AZ$1,),)=0,#N/A,VLOOKUP(A13,'DB Country PMI'!$A:$AZ,MATCH($A$1,'DB Country PMI'!$A$1:$AZ$1,),))</f>
        <v/>
      </c>
      <c r="C13" s="24">
        <f>Table13468111214151617181920222526[[#This Row],[PMI]]-B12</f>
        <v/>
      </c>
    </row>
    <row r="14">
      <c r="A14" s="10" t="n">
        <v>40878</v>
      </c>
      <c r="B14" s="18">
        <f>IF(VLOOKUP(A14,'DB Country PMI'!$A:$AZ,MATCH($A$1,'DB Country PMI'!$A$1:$AZ$1,),)=0,#N/A,VLOOKUP(A14,'DB Country PMI'!$A:$AZ,MATCH($A$1,'DB Country PMI'!$A$1:$AZ$1,),))</f>
        <v/>
      </c>
      <c r="C14" s="24">
        <f>Table13468111214151617181920222526[[#This Row],[PMI]]-B13</f>
        <v/>
      </c>
    </row>
    <row r="15">
      <c r="A15" s="10" t="n">
        <v>40909</v>
      </c>
      <c r="B15" s="18">
        <f>IF(VLOOKUP(A15,'DB Country PMI'!$A:$AZ,MATCH($A$1,'DB Country PMI'!$A$1:$AZ$1,),)=0,#N/A,VLOOKUP(A15,'DB Country PMI'!$A:$AZ,MATCH($A$1,'DB Country PMI'!$A$1:$AZ$1,),))</f>
        <v/>
      </c>
      <c r="C15" s="24">
        <f>Table13468111214151617181920222526[[#This Row],[PMI]]-B14</f>
        <v/>
      </c>
    </row>
    <row r="16">
      <c r="A16" s="10" t="n">
        <v>40940</v>
      </c>
      <c r="B16" s="18">
        <f>IF(VLOOKUP(A16,'DB Country PMI'!$A:$AZ,MATCH($A$1,'DB Country PMI'!$A$1:$AZ$1,),)=0,#N/A,VLOOKUP(A16,'DB Country PMI'!$A:$AZ,MATCH($A$1,'DB Country PMI'!$A$1:$AZ$1,),))</f>
        <v/>
      </c>
      <c r="C16" s="24">
        <f>Table13468111214151617181920222526[[#This Row],[PMI]]-B15</f>
        <v/>
      </c>
    </row>
    <row r="17">
      <c r="A17" s="10" t="n">
        <v>40969</v>
      </c>
      <c r="B17" s="18">
        <f>IF(VLOOKUP(A17,'DB Country PMI'!$A:$AZ,MATCH($A$1,'DB Country PMI'!$A$1:$AZ$1,),)=0,#N/A,VLOOKUP(A17,'DB Country PMI'!$A:$AZ,MATCH($A$1,'DB Country PMI'!$A$1:$AZ$1,),))</f>
        <v/>
      </c>
      <c r="C17" s="24">
        <f>Table13468111214151617181920222526[[#This Row],[PMI]]-B16</f>
        <v/>
      </c>
    </row>
    <row r="18">
      <c r="A18" s="10" t="n">
        <v>41000</v>
      </c>
      <c r="B18" s="18">
        <f>IF(VLOOKUP(A18,'DB Country PMI'!$A:$AZ,MATCH($A$1,'DB Country PMI'!$A$1:$AZ$1,),)=0,#N/A,VLOOKUP(A18,'DB Country PMI'!$A:$AZ,MATCH($A$1,'DB Country PMI'!$A$1:$AZ$1,),))</f>
        <v/>
      </c>
      <c r="C18" s="24">
        <f>Table13468111214151617181920222526[[#This Row],[PMI]]-B17</f>
        <v/>
      </c>
    </row>
    <row r="19">
      <c r="A19" s="10" t="n">
        <v>41030</v>
      </c>
      <c r="B19" s="18">
        <f>IF(VLOOKUP(A19,'DB Country PMI'!$A:$AZ,MATCH($A$1,'DB Country PMI'!$A$1:$AZ$1,),)=0,#N/A,VLOOKUP(A19,'DB Country PMI'!$A:$AZ,MATCH($A$1,'DB Country PMI'!$A$1:$AZ$1,),))</f>
        <v/>
      </c>
      <c r="C19" s="24">
        <f>Table13468111214151617181920222526[[#This Row],[PMI]]-B18</f>
        <v/>
      </c>
    </row>
    <row r="20">
      <c r="A20" s="10" t="n">
        <v>41061</v>
      </c>
      <c r="B20" s="18">
        <f>IF(VLOOKUP(A20,'DB Country PMI'!$A:$AZ,MATCH($A$1,'DB Country PMI'!$A$1:$AZ$1,),)=0,#N/A,VLOOKUP(A20,'DB Country PMI'!$A:$AZ,MATCH($A$1,'DB Country PMI'!$A$1:$AZ$1,),))</f>
        <v/>
      </c>
      <c r="C20" s="24">
        <f>Table13468111214151617181920222526[[#This Row],[PMI]]-B19</f>
        <v/>
      </c>
    </row>
    <row r="21">
      <c r="A21" s="10" t="n">
        <v>41091</v>
      </c>
      <c r="B21" s="18">
        <f>IF(VLOOKUP(A21,'DB Country PMI'!$A:$AZ,MATCH($A$1,'DB Country PMI'!$A$1:$AZ$1,),)=0,#N/A,VLOOKUP(A21,'DB Country PMI'!$A:$AZ,MATCH($A$1,'DB Country PMI'!$A$1:$AZ$1,),))</f>
        <v/>
      </c>
      <c r="C21" s="24">
        <f>Table13468111214151617181920222526[[#This Row],[PMI]]-B20</f>
        <v/>
      </c>
    </row>
    <row r="22">
      <c r="A22" s="10" t="n">
        <v>41122</v>
      </c>
      <c r="B22" s="18">
        <f>IF(VLOOKUP(A22,'DB Country PMI'!$A:$AZ,MATCH($A$1,'DB Country PMI'!$A$1:$AZ$1,),)=0,#N/A,VLOOKUP(A22,'DB Country PMI'!$A:$AZ,MATCH($A$1,'DB Country PMI'!$A$1:$AZ$1,),))</f>
        <v/>
      </c>
      <c r="C22" s="24">
        <f>Table13468111214151617181920222526[[#This Row],[PMI]]-B21</f>
        <v/>
      </c>
    </row>
    <row r="23">
      <c r="A23" s="10" t="n">
        <v>41153</v>
      </c>
      <c r="B23" s="18">
        <f>IF(VLOOKUP(A23,'DB Country PMI'!$A:$AZ,MATCH($A$1,'DB Country PMI'!$A$1:$AZ$1,),)=0,#N/A,VLOOKUP(A23,'DB Country PMI'!$A:$AZ,MATCH($A$1,'DB Country PMI'!$A$1:$AZ$1,),))</f>
        <v/>
      </c>
      <c r="C23" s="24">
        <f>Table13468111214151617181920222526[[#This Row],[PMI]]-B22</f>
        <v/>
      </c>
    </row>
    <row r="24">
      <c r="A24" s="10" t="n">
        <v>41183</v>
      </c>
      <c r="B24" s="18">
        <f>IF(VLOOKUP(A24,'DB Country PMI'!$A:$AZ,MATCH($A$1,'DB Country PMI'!$A$1:$AZ$1,),)=0,#N/A,VLOOKUP(A24,'DB Country PMI'!$A:$AZ,MATCH($A$1,'DB Country PMI'!$A$1:$AZ$1,),))</f>
        <v/>
      </c>
      <c r="C24" s="24">
        <f>Table13468111214151617181920222526[[#This Row],[PMI]]-B23</f>
        <v/>
      </c>
    </row>
    <row r="25">
      <c r="A25" s="10" t="n">
        <v>41214</v>
      </c>
      <c r="B25" s="18">
        <f>IF(VLOOKUP(A25,'DB Country PMI'!$A:$AZ,MATCH($A$1,'DB Country PMI'!$A$1:$AZ$1,),)=0,#N/A,VLOOKUP(A25,'DB Country PMI'!$A:$AZ,MATCH($A$1,'DB Country PMI'!$A$1:$AZ$1,),))</f>
        <v/>
      </c>
      <c r="C25" s="24">
        <f>Table13468111214151617181920222526[[#This Row],[PMI]]-B24</f>
        <v/>
      </c>
    </row>
    <row r="26">
      <c r="A26" s="10" t="n">
        <v>41244</v>
      </c>
      <c r="B26" s="18">
        <f>IF(VLOOKUP(A26,'DB Country PMI'!$A:$AZ,MATCH($A$1,'DB Country PMI'!$A$1:$AZ$1,),)=0,#N/A,VLOOKUP(A26,'DB Country PMI'!$A:$AZ,MATCH($A$1,'DB Country PMI'!$A$1:$AZ$1,),))</f>
        <v/>
      </c>
      <c r="C26" s="24">
        <f>Table13468111214151617181920222526[[#This Row],[PMI]]-B25</f>
        <v/>
      </c>
    </row>
    <row r="27">
      <c r="A27" s="10" t="n">
        <v>41275</v>
      </c>
      <c r="B27" s="18">
        <f>IF(VLOOKUP(A27,'DB Country PMI'!$A:$AZ,MATCH($A$1,'DB Country PMI'!$A$1:$AZ$1,),)=0,#N/A,VLOOKUP(A27,'DB Country PMI'!$A:$AZ,MATCH($A$1,'DB Country PMI'!$A$1:$AZ$1,),))</f>
        <v/>
      </c>
      <c r="C27" s="24">
        <f>Table13468111214151617181920222526[[#This Row],[PMI]]-B26</f>
        <v/>
      </c>
    </row>
    <row r="28">
      <c r="A28" s="10" t="n">
        <v>41306</v>
      </c>
      <c r="B28" s="18">
        <f>IF(VLOOKUP(A28,'DB Country PMI'!$A:$AZ,MATCH($A$1,'DB Country PMI'!$A$1:$AZ$1,),)=0,#N/A,VLOOKUP(A28,'DB Country PMI'!$A:$AZ,MATCH($A$1,'DB Country PMI'!$A$1:$AZ$1,),))</f>
        <v/>
      </c>
      <c r="C28" s="24">
        <f>Table13468111214151617181920222526[[#This Row],[PMI]]-B27</f>
        <v/>
      </c>
    </row>
    <row r="29">
      <c r="A29" s="10" t="n">
        <v>41334</v>
      </c>
      <c r="B29" s="18">
        <f>IF(VLOOKUP(A29,'DB Country PMI'!$A:$AZ,MATCH($A$1,'DB Country PMI'!$A$1:$AZ$1,),)=0,#N/A,VLOOKUP(A29,'DB Country PMI'!$A:$AZ,MATCH($A$1,'DB Country PMI'!$A$1:$AZ$1,),))</f>
        <v/>
      </c>
      <c r="C29" s="24">
        <f>Table13468111214151617181920222526[[#This Row],[PMI]]-B28</f>
        <v/>
      </c>
    </row>
    <row r="30">
      <c r="A30" s="10" t="n">
        <v>41365</v>
      </c>
      <c r="B30" s="18">
        <f>IF(VLOOKUP(A30,'DB Country PMI'!$A:$AZ,MATCH($A$1,'DB Country PMI'!$A$1:$AZ$1,),)=0,#N/A,VLOOKUP(A30,'DB Country PMI'!$A:$AZ,MATCH($A$1,'DB Country PMI'!$A$1:$AZ$1,),))</f>
        <v/>
      </c>
      <c r="C30" s="24">
        <f>Table13468111214151617181920222526[[#This Row],[PMI]]-B29</f>
        <v/>
      </c>
    </row>
    <row r="31">
      <c r="A31" s="10" t="n">
        <v>41395</v>
      </c>
      <c r="B31" s="18">
        <f>IF(VLOOKUP(A31,'DB Country PMI'!$A:$AZ,MATCH($A$1,'DB Country PMI'!$A$1:$AZ$1,),)=0,#N/A,VLOOKUP(A31,'DB Country PMI'!$A:$AZ,MATCH($A$1,'DB Country PMI'!$A$1:$AZ$1,),))</f>
        <v/>
      </c>
      <c r="C31" s="24">
        <f>Table13468111214151617181920222526[[#This Row],[PMI]]-B30</f>
        <v/>
      </c>
    </row>
    <row r="32">
      <c r="A32" s="10" t="n">
        <v>41426</v>
      </c>
      <c r="B32" s="18">
        <f>IF(VLOOKUP(A32,'DB Country PMI'!$A:$AZ,MATCH($A$1,'DB Country PMI'!$A$1:$AZ$1,),)=0,#N/A,VLOOKUP(A32,'DB Country PMI'!$A:$AZ,MATCH($A$1,'DB Country PMI'!$A$1:$AZ$1,),))</f>
        <v/>
      </c>
      <c r="C32" s="24">
        <f>Table13468111214151617181920222526[[#This Row],[PMI]]-B31</f>
        <v/>
      </c>
    </row>
    <row r="33">
      <c r="A33" s="10" t="n">
        <v>41456</v>
      </c>
      <c r="B33" s="18">
        <f>IF(VLOOKUP(A33,'DB Country PMI'!$A:$AZ,MATCH($A$1,'DB Country PMI'!$A$1:$AZ$1,),)=0,#N/A,VLOOKUP(A33,'DB Country PMI'!$A:$AZ,MATCH($A$1,'DB Country PMI'!$A$1:$AZ$1,),))</f>
        <v/>
      </c>
      <c r="C33" s="24">
        <f>Table13468111214151617181920222526[[#This Row],[PMI]]-B32</f>
        <v/>
      </c>
    </row>
    <row r="34">
      <c r="A34" s="10" t="n">
        <v>41487</v>
      </c>
      <c r="B34" s="18">
        <f>IF(VLOOKUP(A34,'DB Country PMI'!$A:$AZ,MATCH($A$1,'DB Country PMI'!$A$1:$AZ$1,),)=0,#N/A,VLOOKUP(A34,'DB Country PMI'!$A:$AZ,MATCH($A$1,'DB Country PMI'!$A$1:$AZ$1,),))</f>
        <v/>
      </c>
      <c r="C34" s="24">
        <f>Table13468111214151617181920222526[[#This Row],[PMI]]-B33</f>
        <v/>
      </c>
    </row>
    <row r="35">
      <c r="A35" s="10" t="n">
        <v>41518</v>
      </c>
      <c r="B35" s="18">
        <f>IF(VLOOKUP(A35,'DB Country PMI'!$A:$AZ,MATCH($A$1,'DB Country PMI'!$A$1:$AZ$1,),)=0,#N/A,VLOOKUP(A35,'DB Country PMI'!$A:$AZ,MATCH($A$1,'DB Country PMI'!$A$1:$AZ$1,),))</f>
        <v/>
      </c>
      <c r="C35" s="24">
        <f>Table13468111214151617181920222526[[#This Row],[PMI]]-B34</f>
        <v/>
      </c>
    </row>
    <row r="36">
      <c r="A36" s="10" t="n">
        <v>41548</v>
      </c>
      <c r="B36" s="18">
        <f>IF(VLOOKUP(A36,'DB Country PMI'!$A:$AZ,MATCH($A$1,'DB Country PMI'!$A$1:$AZ$1,),)=0,#N/A,VLOOKUP(A36,'DB Country PMI'!$A:$AZ,MATCH($A$1,'DB Country PMI'!$A$1:$AZ$1,),))</f>
        <v/>
      </c>
      <c r="C36" s="24">
        <f>Table13468111214151617181920222526[[#This Row],[PMI]]-B35</f>
        <v/>
      </c>
    </row>
    <row r="37">
      <c r="A37" s="10" t="n">
        <v>41579</v>
      </c>
      <c r="B37" s="18">
        <f>IF(VLOOKUP(A37,'DB Country PMI'!$A:$AZ,MATCH($A$1,'DB Country PMI'!$A$1:$AZ$1,),)=0,#N/A,VLOOKUP(A37,'DB Country PMI'!$A:$AZ,MATCH($A$1,'DB Country PMI'!$A$1:$AZ$1,),))</f>
        <v/>
      </c>
      <c r="C37" s="24">
        <f>Table13468111214151617181920222526[[#This Row],[PMI]]-B36</f>
        <v/>
      </c>
    </row>
    <row r="38">
      <c r="A38" s="10" t="n">
        <v>41609</v>
      </c>
      <c r="B38" s="18">
        <f>IF(VLOOKUP(A38,'DB Country PMI'!$A:$AZ,MATCH($A$1,'DB Country PMI'!$A$1:$AZ$1,),)=0,#N/A,VLOOKUP(A38,'DB Country PMI'!$A:$AZ,MATCH($A$1,'DB Country PMI'!$A$1:$AZ$1,),))</f>
        <v/>
      </c>
      <c r="C38" s="24">
        <f>Table13468111214151617181920222526[[#This Row],[PMI]]-B37</f>
        <v/>
      </c>
    </row>
    <row r="39">
      <c r="A39" s="10" t="n">
        <v>41640</v>
      </c>
      <c r="B39" s="18">
        <f>IF(VLOOKUP(A39,'DB Country PMI'!$A:$AZ,MATCH($A$1,'DB Country PMI'!$A$1:$AZ$1,),)=0,#N/A,VLOOKUP(A39,'DB Country PMI'!$A:$AZ,MATCH($A$1,'DB Country PMI'!$A$1:$AZ$1,),))</f>
        <v/>
      </c>
      <c r="C39" s="24">
        <f>Table13468111214151617181920222526[[#This Row],[PMI]]-B38</f>
        <v/>
      </c>
    </row>
    <row r="40">
      <c r="A40" s="10" t="n">
        <v>41671</v>
      </c>
      <c r="B40" s="18">
        <f>IF(VLOOKUP(A40,'DB Country PMI'!$A:$AZ,MATCH($A$1,'DB Country PMI'!$A$1:$AZ$1,),)=0,#N/A,VLOOKUP(A40,'DB Country PMI'!$A:$AZ,MATCH($A$1,'DB Country PMI'!$A$1:$AZ$1,),))</f>
        <v/>
      </c>
      <c r="C40" s="24">
        <f>Table13468111214151617181920222526[[#This Row],[PMI]]-B39</f>
        <v/>
      </c>
    </row>
    <row r="41">
      <c r="A41" s="10" t="n">
        <v>41699</v>
      </c>
      <c r="B41" s="18">
        <f>IF(VLOOKUP(A41,'DB Country PMI'!$A:$AZ,MATCH($A$1,'DB Country PMI'!$A$1:$AZ$1,),)=0,#N/A,VLOOKUP(A41,'DB Country PMI'!$A:$AZ,MATCH($A$1,'DB Country PMI'!$A$1:$AZ$1,),))</f>
        <v/>
      </c>
      <c r="C41" s="24">
        <f>Table13468111214151617181920222526[[#This Row],[PMI]]-B40</f>
        <v/>
      </c>
    </row>
    <row r="42">
      <c r="A42" s="10" t="n">
        <v>41730</v>
      </c>
      <c r="B42" s="18">
        <f>IF(VLOOKUP(A42,'DB Country PMI'!$A:$AZ,MATCH($A$1,'DB Country PMI'!$A$1:$AZ$1,),)=0,#N/A,VLOOKUP(A42,'DB Country PMI'!$A:$AZ,MATCH($A$1,'DB Country PMI'!$A$1:$AZ$1,),))</f>
        <v/>
      </c>
      <c r="C42" s="24">
        <f>Table13468111214151617181920222526[[#This Row],[PMI]]-B41</f>
        <v/>
      </c>
    </row>
    <row r="43">
      <c r="A43" s="10" t="n">
        <v>41760</v>
      </c>
      <c r="B43" s="18">
        <f>IF(VLOOKUP(A43,'DB Country PMI'!$A:$AZ,MATCH($A$1,'DB Country PMI'!$A$1:$AZ$1,),)=0,#N/A,VLOOKUP(A43,'DB Country PMI'!$A:$AZ,MATCH($A$1,'DB Country PMI'!$A$1:$AZ$1,),))</f>
        <v/>
      </c>
      <c r="C43" s="24">
        <f>Table13468111214151617181920222526[[#This Row],[PMI]]-B42</f>
        <v/>
      </c>
    </row>
    <row r="44">
      <c r="A44" s="10" t="n">
        <v>41791</v>
      </c>
      <c r="B44" s="18">
        <f>IF(VLOOKUP(A44,'DB Country PMI'!$A:$AZ,MATCH($A$1,'DB Country PMI'!$A$1:$AZ$1,),)=0,#N/A,VLOOKUP(A44,'DB Country PMI'!$A:$AZ,MATCH($A$1,'DB Country PMI'!$A$1:$AZ$1,),))</f>
        <v/>
      </c>
      <c r="C44" s="24">
        <f>Table13468111214151617181920222526[[#This Row],[PMI]]-B43</f>
        <v/>
      </c>
    </row>
    <row r="45">
      <c r="A45" s="10" t="n">
        <v>41821</v>
      </c>
      <c r="B45" s="18">
        <f>IF(VLOOKUP(A45,'DB Country PMI'!$A:$AZ,MATCH($A$1,'DB Country PMI'!$A$1:$AZ$1,),)=0,#N/A,VLOOKUP(A45,'DB Country PMI'!$A:$AZ,MATCH($A$1,'DB Country PMI'!$A$1:$AZ$1,),))</f>
        <v/>
      </c>
      <c r="C45" s="24">
        <f>Table13468111214151617181920222526[[#This Row],[PMI]]-B44</f>
        <v/>
      </c>
    </row>
    <row r="46">
      <c r="A46" s="10" t="n">
        <v>41852</v>
      </c>
      <c r="B46" s="18">
        <f>IF(VLOOKUP(A46,'DB Country PMI'!$A:$AZ,MATCH($A$1,'DB Country PMI'!$A$1:$AZ$1,),)=0,#N/A,VLOOKUP(A46,'DB Country PMI'!$A:$AZ,MATCH($A$1,'DB Country PMI'!$A$1:$AZ$1,),))</f>
        <v/>
      </c>
      <c r="C46" s="24">
        <f>Table13468111214151617181920222526[[#This Row],[PMI]]-B45</f>
        <v/>
      </c>
    </row>
    <row r="47">
      <c r="A47" s="10" t="n">
        <v>41883</v>
      </c>
      <c r="B47" s="18">
        <f>IF(VLOOKUP(A47,'DB Country PMI'!$A:$AZ,MATCH($A$1,'DB Country PMI'!$A$1:$AZ$1,),)=0,#N/A,VLOOKUP(A47,'DB Country PMI'!$A:$AZ,MATCH($A$1,'DB Country PMI'!$A$1:$AZ$1,),))</f>
        <v/>
      </c>
      <c r="C47" s="24">
        <f>Table13468111214151617181920222526[[#This Row],[PMI]]-B46</f>
        <v/>
      </c>
    </row>
    <row r="48">
      <c r="A48" s="10" t="n">
        <v>41913</v>
      </c>
      <c r="B48" s="18">
        <f>IF(VLOOKUP(A48,'DB Country PMI'!$A:$AZ,MATCH($A$1,'DB Country PMI'!$A$1:$AZ$1,),)=0,#N/A,VLOOKUP(A48,'DB Country PMI'!$A:$AZ,MATCH($A$1,'DB Country PMI'!$A$1:$AZ$1,),))</f>
        <v/>
      </c>
      <c r="C48" s="24">
        <f>Table13468111214151617181920222526[[#This Row],[PMI]]-B47</f>
        <v/>
      </c>
    </row>
    <row r="49">
      <c r="A49" s="10" t="n">
        <v>41944</v>
      </c>
      <c r="B49" s="18">
        <f>IF(VLOOKUP(A49,'DB Country PMI'!$A:$AZ,MATCH($A$1,'DB Country PMI'!$A$1:$AZ$1,),)=0,#N/A,VLOOKUP(A49,'DB Country PMI'!$A:$AZ,MATCH($A$1,'DB Country PMI'!$A$1:$AZ$1,),))</f>
        <v/>
      </c>
      <c r="C49" s="24">
        <f>Table13468111214151617181920222526[[#This Row],[PMI]]-B48</f>
        <v/>
      </c>
    </row>
    <row r="50">
      <c r="A50" s="10" t="n">
        <v>41974</v>
      </c>
      <c r="B50" s="18">
        <f>IF(VLOOKUP(A50,'DB Country PMI'!$A:$AZ,MATCH($A$1,'DB Country PMI'!$A$1:$AZ$1,),)=0,#N/A,VLOOKUP(A50,'DB Country PMI'!$A:$AZ,MATCH($A$1,'DB Country PMI'!$A$1:$AZ$1,),))</f>
        <v/>
      </c>
      <c r="C50" s="24">
        <f>Table13468111214151617181920222526[[#This Row],[PMI]]-B49</f>
        <v/>
      </c>
    </row>
    <row r="51">
      <c r="A51" s="10" t="n">
        <v>42005</v>
      </c>
      <c r="B51" s="18">
        <f>IF(VLOOKUP(A51,'DB Country PMI'!$A:$AZ,MATCH($A$1,'DB Country PMI'!$A$1:$AZ$1,),)=0,#N/A,VLOOKUP(A51,'DB Country PMI'!$A:$AZ,MATCH($A$1,'DB Country PMI'!$A$1:$AZ$1,),))</f>
        <v/>
      </c>
      <c r="C51" s="24">
        <f>Table13468111214151617181920222526[[#This Row],[PMI]]-B50</f>
        <v/>
      </c>
    </row>
    <row r="52">
      <c r="A52" s="10" t="n">
        <v>42036</v>
      </c>
      <c r="B52" s="18">
        <f>IF(VLOOKUP(A52,'DB Country PMI'!$A:$AZ,MATCH($A$1,'DB Country PMI'!$A$1:$AZ$1,),)=0,#N/A,VLOOKUP(A52,'DB Country PMI'!$A:$AZ,MATCH($A$1,'DB Country PMI'!$A$1:$AZ$1,),))</f>
        <v/>
      </c>
      <c r="C52" s="24">
        <f>Table13468111214151617181920222526[[#This Row],[PMI]]-B51</f>
        <v/>
      </c>
    </row>
    <row r="53">
      <c r="A53" s="10" t="n">
        <v>42064</v>
      </c>
      <c r="B53" s="18">
        <f>IF(VLOOKUP(A53,'DB Country PMI'!$A:$AZ,MATCH($A$1,'DB Country PMI'!$A$1:$AZ$1,),)=0,#N/A,VLOOKUP(A53,'DB Country PMI'!$A:$AZ,MATCH($A$1,'DB Country PMI'!$A$1:$AZ$1,),))</f>
        <v/>
      </c>
      <c r="C53" s="24">
        <f>Table13468111214151617181920222526[[#This Row],[PMI]]-B52</f>
        <v/>
      </c>
    </row>
    <row r="54">
      <c r="A54" s="10" t="n">
        <v>42095</v>
      </c>
      <c r="B54" s="18">
        <f>IF(VLOOKUP(A54,'DB Country PMI'!$A:$AZ,MATCH($A$1,'DB Country PMI'!$A$1:$AZ$1,),)=0,#N/A,VLOOKUP(A54,'DB Country PMI'!$A:$AZ,MATCH($A$1,'DB Country PMI'!$A$1:$AZ$1,),))</f>
        <v/>
      </c>
      <c r="C54" s="24">
        <f>Table13468111214151617181920222526[[#This Row],[PMI]]-B53</f>
        <v/>
      </c>
    </row>
    <row r="55">
      <c r="A55" s="10" t="n">
        <v>42125</v>
      </c>
      <c r="B55" s="18">
        <f>IF(VLOOKUP(A55,'DB Country PMI'!$A:$AZ,MATCH($A$1,'DB Country PMI'!$A$1:$AZ$1,),)=0,#N/A,VLOOKUP(A55,'DB Country PMI'!$A:$AZ,MATCH($A$1,'DB Country PMI'!$A$1:$AZ$1,),))</f>
        <v/>
      </c>
      <c r="C55" s="24">
        <f>Table13468111214151617181920222526[[#This Row],[PMI]]-B54</f>
        <v/>
      </c>
    </row>
    <row r="56">
      <c r="A56" s="10" t="n">
        <v>42156</v>
      </c>
      <c r="B56" s="18">
        <f>IF(VLOOKUP(A56,'DB Country PMI'!$A:$AZ,MATCH($A$1,'DB Country PMI'!$A$1:$AZ$1,),)=0,#N/A,VLOOKUP(A56,'DB Country PMI'!$A:$AZ,MATCH($A$1,'DB Country PMI'!$A$1:$AZ$1,),))</f>
        <v/>
      </c>
      <c r="C56" s="24">
        <f>Table13468111214151617181920222526[[#This Row],[PMI]]-B55</f>
        <v/>
      </c>
    </row>
    <row r="57">
      <c r="A57" s="10" t="n">
        <v>42186</v>
      </c>
      <c r="B57" s="18">
        <f>IF(VLOOKUP(A57,'DB Country PMI'!$A:$AZ,MATCH($A$1,'DB Country PMI'!$A$1:$AZ$1,),)=0,#N/A,VLOOKUP(A57,'DB Country PMI'!$A:$AZ,MATCH($A$1,'DB Country PMI'!$A$1:$AZ$1,),))</f>
        <v/>
      </c>
      <c r="C57" s="24">
        <f>Table13468111214151617181920222526[[#This Row],[PMI]]-B56</f>
        <v/>
      </c>
    </row>
    <row r="58">
      <c r="A58" s="10" t="n">
        <v>42217</v>
      </c>
      <c r="B58" s="18">
        <f>IF(VLOOKUP(A58,'DB Country PMI'!$A:$AZ,MATCH($A$1,'DB Country PMI'!$A$1:$AZ$1,),)=0,#N/A,VLOOKUP(A58,'DB Country PMI'!$A:$AZ,MATCH($A$1,'DB Country PMI'!$A$1:$AZ$1,),))</f>
        <v/>
      </c>
      <c r="C58" s="24">
        <f>Table13468111214151617181920222526[[#This Row],[PMI]]-B57</f>
        <v/>
      </c>
    </row>
    <row r="59">
      <c r="A59" s="10" t="n">
        <v>42248</v>
      </c>
      <c r="B59" s="18">
        <f>IF(VLOOKUP(A59,'DB Country PMI'!$A:$AZ,MATCH($A$1,'DB Country PMI'!$A$1:$AZ$1,),)=0,#N/A,VLOOKUP(A59,'DB Country PMI'!$A:$AZ,MATCH($A$1,'DB Country PMI'!$A$1:$AZ$1,),))</f>
        <v/>
      </c>
      <c r="C59" s="24">
        <f>Table13468111214151617181920222526[[#This Row],[PMI]]-B58</f>
        <v/>
      </c>
    </row>
    <row r="60">
      <c r="A60" s="10" t="n">
        <v>42278</v>
      </c>
      <c r="B60" s="18">
        <f>IF(VLOOKUP(A60,'DB Country PMI'!$A:$AZ,MATCH($A$1,'DB Country PMI'!$A$1:$AZ$1,),)=0,#N/A,VLOOKUP(A60,'DB Country PMI'!$A:$AZ,MATCH($A$1,'DB Country PMI'!$A$1:$AZ$1,),))</f>
        <v/>
      </c>
      <c r="C60" s="24">
        <f>Table13468111214151617181920222526[[#This Row],[PMI]]-B59</f>
        <v/>
      </c>
    </row>
    <row r="61">
      <c r="A61" s="10" t="n">
        <v>42309</v>
      </c>
      <c r="B61" s="18">
        <f>IF(VLOOKUP(A61,'DB Country PMI'!$A:$AZ,MATCH($A$1,'DB Country PMI'!$A$1:$AZ$1,),)=0,#N/A,VLOOKUP(A61,'DB Country PMI'!$A:$AZ,MATCH($A$1,'DB Country PMI'!$A$1:$AZ$1,),))</f>
        <v/>
      </c>
      <c r="C61" s="24">
        <f>Table13468111214151617181920222526[[#This Row],[PMI]]-B60</f>
        <v/>
      </c>
    </row>
    <row r="62">
      <c r="A62" s="10" t="n">
        <v>42339</v>
      </c>
      <c r="B62" s="18">
        <f>IF(VLOOKUP(A62,'DB Country PMI'!$A:$AZ,MATCH($A$1,'DB Country PMI'!$A$1:$AZ$1,),)=0,#N/A,VLOOKUP(A62,'DB Country PMI'!$A:$AZ,MATCH($A$1,'DB Country PMI'!$A$1:$AZ$1,),))</f>
        <v/>
      </c>
      <c r="C62" s="24">
        <f>Table13468111214151617181920222526[[#This Row],[PMI]]-B61</f>
        <v/>
      </c>
    </row>
    <row r="63">
      <c r="A63" s="10" t="n">
        <v>42370</v>
      </c>
      <c r="B63" s="18">
        <f>IF(VLOOKUP(A63,'DB Country PMI'!$A:$AZ,MATCH($A$1,'DB Country PMI'!$A$1:$AZ$1,),)=0,#N/A,VLOOKUP(A63,'DB Country PMI'!$A:$AZ,MATCH($A$1,'DB Country PMI'!$A$1:$AZ$1,),))</f>
        <v/>
      </c>
      <c r="C63" s="24">
        <f>Table13468111214151617181920222526[[#This Row],[PMI]]-B62</f>
        <v/>
      </c>
    </row>
    <row r="64">
      <c r="A64" s="10" t="n">
        <v>42401</v>
      </c>
      <c r="B64" s="18">
        <f>IF(VLOOKUP(A64,'DB Country PMI'!$A:$AZ,MATCH($A$1,'DB Country PMI'!$A$1:$AZ$1,),)=0,#N/A,VLOOKUP(A64,'DB Country PMI'!$A:$AZ,MATCH($A$1,'DB Country PMI'!$A$1:$AZ$1,),))</f>
        <v/>
      </c>
      <c r="C64" s="24">
        <f>Table13468111214151617181920222526[[#This Row],[PMI]]-B63</f>
        <v/>
      </c>
    </row>
    <row r="65">
      <c r="A65" s="10" t="n">
        <v>42430</v>
      </c>
      <c r="B65" s="18">
        <f>IF(VLOOKUP(A65,'DB Country PMI'!$A:$AZ,MATCH($A$1,'DB Country PMI'!$A$1:$AZ$1,),)=0,#N/A,VLOOKUP(A65,'DB Country PMI'!$A:$AZ,MATCH($A$1,'DB Country PMI'!$A$1:$AZ$1,),))</f>
        <v/>
      </c>
      <c r="C65" s="24">
        <f>Table13468111214151617181920222526[[#This Row],[PMI]]-B64</f>
        <v/>
      </c>
    </row>
    <row r="66">
      <c r="A66" s="10" t="n">
        <v>42461</v>
      </c>
      <c r="B66" s="18">
        <f>IF(VLOOKUP(A66,'DB Country PMI'!$A:$AZ,MATCH($A$1,'DB Country PMI'!$A$1:$AZ$1,),)=0,#N/A,VLOOKUP(A66,'DB Country PMI'!$A:$AZ,MATCH($A$1,'DB Country PMI'!$A$1:$AZ$1,),))</f>
        <v/>
      </c>
      <c r="C66" s="24">
        <f>Table13468111214151617181920222526[[#This Row],[PMI]]-B65</f>
        <v/>
      </c>
    </row>
    <row r="67">
      <c r="A67" s="10" t="n">
        <v>42491</v>
      </c>
      <c r="B67" s="18">
        <f>IF(VLOOKUP(A67,'DB Country PMI'!$A:$AZ,MATCH($A$1,'DB Country PMI'!$A$1:$AZ$1,),)=0,#N/A,VLOOKUP(A67,'DB Country PMI'!$A:$AZ,MATCH($A$1,'DB Country PMI'!$A$1:$AZ$1,),))</f>
        <v/>
      </c>
      <c r="C67" s="24">
        <f>Table13468111214151617181920222526[[#This Row],[PMI]]-B66</f>
        <v/>
      </c>
    </row>
    <row r="68">
      <c r="A68" s="10" t="n">
        <v>42522</v>
      </c>
      <c r="B68" s="18">
        <f>IF(VLOOKUP(A68,'DB Country PMI'!$A:$AZ,MATCH($A$1,'DB Country PMI'!$A$1:$AZ$1,),)=0,#N/A,VLOOKUP(A68,'DB Country PMI'!$A:$AZ,MATCH($A$1,'DB Country PMI'!$A$1:$AZ$1,),))</f>
        <v/>
      </c>
      <c r="C68" s="24">
        <f>Table13468111214151617181920222526[[#This Row],[PMI]]-B67</f>
        <v/>
      </c>
    </row>
    <row r="69">
      <c r="A69" s="10" t="n">
        <v>42552</v>
      </c>
      <c r="B69" s="18">
        <f>IF(VLOOKUP(A69,'DB Country PMI'!$A:$AZ,MATCH($A$1,'DB Country PMI'!$A$1:$AZ$1,),)=0,#N/A,VLOOKUP(A69,'DB Country PMI'!$A:$AZ,MATCH($A$1,'DB Country PMI'!$A$1:$AZ$1,),))</f>
        <v/>
      </c>
      <c r="C69" s="24">
        <f>Table13468111214151617181920222526[[#This Row],[PMI]]-B68</f>
        <v/>
      </c>
    </row>
    <row r="70">
      <c r="A70" s="10" t="n">
        <v>42583</v>
      </c>
      <c r="B70" s="18">
        <f>IF(VLOOKUP(A70,'DB Country PMI'!$A:$AZ,MATCH($A$1,'DB Country PMI'!$A$1:$AZ$1,),)=0,#N/A,VLOOKUP(A70,'DB Country PMI'!$A:$AZ,MATCH($A$1,'DB Country PMI'!$A$1:$AZ$1,),))</f>
        <v/>
      </c>
      <c r="C70" s="24">
        <f>Table13468111214151617181920222526[[#This Row],[PMI]]-B69</f>
        <v/>
      </c>
    </row>
    <row r="71">
      <c r="A71" s="10" t="n">
        <v>42614</v>
      </c>
      <c r="B71" s="18">
        <f>IF(VLOOKUP(A71,'DB Country PMI'!$A:$AZ,MATCH($A$1,'DB Country PMI'!$A$1:$AZ$1,),)=0,#N/A,VLOOKUP(A71,'DB Country PMI'!$A:$AZ,MATCH($A$1,'DB Country PMI'!$A$1:$AZ$1,),))</f>
        <v/>
      </c>
      <c r="C71" s="24">
        <f>Table13468111214151617181920222526[[#This Row],[PMI]]-B70</f>
        <v/>
      </c>
    </row>
    <row r="72">
      <c r="A72" s="10" t="n">
        <v>42644</v>
      </c>
      <c r="B72" s="18">
        <f>IF(VLOOKUP(A72,'DB Country PMI'!$A:$AZ,MATCH($A$1,'DB Country PMI'!$A$1:$AZ$1,),)=0,#N/A,VLOOKUP(A72,'DB Country PMI'!$A:$AZ,MATCH($A$1,'DB Country PMI'!$A$1:$AZ$1,),))</f>
        <v/>
      </c>
      <c r="C72" s="24">
        <f>Table13468111214151617181920222526[[#This Row],[PMI]]-B71</f>
        <v/>
      </c>
    </row>
    <row r="73">
      <c r="A73" s="10" t="n">
        <v>42675</v>
      </c>
      <c r="B73" s="18">
        <f>IF(VLOOKUP(A73,'DB Country PMI'!$A:$AZ,MATCH($A$1,'DB Country PMI'!$A$1:$AZ$1,),)=0,#N/A,VLOOKUP(A73,'DB Country PMI'!$A:$AZ,MATCH($A$1,'DB Country PMI'!$A$1:$AZ$1,),))</f>
        <v/>
      </c>
      <c r="C73" s="24">
        <f>Table13468111214151617181920222526[[#This Row],[PMI]]-B72</f>
        <v/>
      </c>
    </row>
    <row r="74">
      <c r="A74" s="10" t="n">
        <v>42705</v>
      </c>
      <c r="B74" s="18">
        <f>IF(VLOOKUP(A74,'DB Country PMI'!$A:$AZ,MATCH($A$1,'DB Country PMI'!$A$1:$AZ$1,),)=0,#N/A,VLOOKUP(A74,'DB Country PMI'!$A:$AZ,MATCH($A$1,'DB Country PMI'!$A$1:$AZ$1,),))</f>
        <v/>
      </c>
      <c r="C74" s="24">
        <f>Table13468111214151617181920222526[[#This Row],[PMI]]-B73</f>
        <v/>
      </c>
    </row>
    <row r="75">
      <c r="A75" s="10" t="n">
        <v>42736</v>
      </c>
      <c r="B75" s="18">
        <f>IF(VLOOKUP(A75,'DB Country PMI'!$A:$AZ,MATCH($A$1,'DB Country PMI'!$A$1:$AZ$1,),)=0,#N/A,VLOOKUP(A75,'DB Country PMI'!$A:$AZ,MATCH($A$1,'DB Country PMI'!$A$1:$AZ$1,),))</f>
        <v/>
      </c>
      <c r="C75" s="24">
        <f>Table13468111214151617181920222526[[#This Row],[PMI]]-B74</f>
        <v/>
      </c>
    </row>
    <row r="76">
      <c r="A76" s="10" t="n">
        <v>42767</v>
      </c>
      <c r="B76" s="18">
        <f>IF(VLOOKUP(A76,'DB Country PMI'!$A:$AZ,MATCH($A$1,'DB Country PMI'!$A$1:$AZ$1,),)=0,#N/A,VLOOKUP(A76,'DB Country PMI'!$A:$AZ,MATCH($A$1,'DB Country PMI'!$A$1:$AZ$1,),))</f>
        <v/>
      </c>
      <c r="C76" s="24">
        <f>Table13468111214151617181920222526[[#This Row],[PMI]]-B75</f>
        <v/>
      </c>
    </row>
    <row r="77">
      <c r="A77" s="10" t="n">
        <v>42795</v>
      </c>
      <c r="B77" s="18">
        <f>IF(VLOOKUP(A77,'DB Country PMI'!$A:$AZ,MATCH($A$1,'DB Country PMI'!$A$1:$AZ$1,),)=0,#N/A,VLOOKUP(A77,'DB Country PMI'!$A:$AZ,MATCH($A$1,'DB Country PMI'!$A$1:$AZ$1,),))</f>
        <v/>
      </c>
      <c r="C77" s="24">
        <f>Table13468111214151617181920222526[[#This Row],[PMI]]-B76</f>
        <v/>
      </c>
    </row>
    <row r="78">
      <c r="A78" s="10" t="n">
        <v>42826</v>
      </c>
      <c r="B78" s="18">
        <f>IF(VLOOKUP(A78,'DB Country PMI'!$A:$AZ,MATCH($A$1,'DB Country PMI'!$A$1:$AZ$1,),)=0,#N/A,VLOOKUP(A78,'DB Country PMI'!$A:$AZ,MATCH($A$1,'DB Country PMI'!$A$1:$AZ$1,),))</f>
        <v/>
      </c>
      <c r="C78" s="24">
        <f>Table13468111214151617181920222526[[#This Row],[PMI]]-B77</f>
        <v/>
      </c>
    </row>
    <row r="79">
      <c r="A79" s="10" t="n">
        <v>42856</v>
      </c>
      <c r="B79" s="18">
        <f>IF(VLOOKUP(A79,'DB Country PMI'!$A:$AZ,MATCH($A$1,'DB Country PMI'!$A$1:$AZ$1,),)=0,#N/A,VLOOKUP(A79,'DB Country PMI'!$A:$AZ,MATCH($A$1,'DB Country PMI'!$A$1:$AZ$1,),))</f>
        <v/>
      </c>
      <c r="C79" s="24">
        <f>Table13468111214151617181920222526[[#This Row],[PMI]]-B78</f>
        <v/>
      </c>
    </row>
    <row r="80">
      <c r="A80" s="10" t="n">
        <v>42887</v>
      </c>
      <c r="B80" s="18">
        <f>IF(VLOOKUP(A80,'DB Country PMI'!$A:$AZ,MATCH($A$1,'DB Country PMI'!$A$1:$AZ$1,),)=0,#N/A,VLOOKUP(A80,'DB Country PMI'!$A:$AZ,MATCH($A$1,'DB Country PMI'!$A$1:$AZ$1,),))</f>
        <v/>
      </c>
      <c r="C80" s="24">
        <f>Table13468111214151617181920222526[[#This Row],[PMI]]-B79</f>
        <v/>
      </c>
    </row>
    <row r="81">
      <c r="A81" s="10" t="n">
        <v>42917</v>
      </c>
      <c r="B81" s="18">
        <f>IF(VLOOKUP(A81,'DB Country PMI'!$A:$AZ,MATCH($A$1,'DB Country PMI'!$A$1:$AZ$1,),)=0,#N/A,VLOOKUP(A81,'DB Country PMI'!$A:$AZ,MATCH($A$1,'DB Country PMI'!$A$1:$AZ$1,),))</f>
        <v/>
      </c>
      <c r="C81" s="24">
        <f>Table13468111214151617181920222526[[#This Row],[PMI]]-B80</f>
        <v/>
      </c>
    </row>
    <row r="82">
      <c r="A82" s="10" t="n">
        <v>42948</v>
      </c>
      <c r="B82" s="18">
        <f>IF(VLOOKUP(A82,'DB Country PMI'!$A:$AZ,MATCH($A$1,'DB Country PMI'!$A$1:$AZ$1,),)=0,#N/A,VLOOKUP(A82,'DB Country PMI'!$A:$AZ,MATCH($A$1,'DB Country PMI'!$A$1:$AZ$1,),))</f>
        <v/>
      </c>
      <c r="C82" s="24">
        <f>Table13468111214151617181920222526[[#This Row],[PMI]]-B81</f>
        <v/>
      </c>
    </row>
    <row r="83">
      <c r="A83" s="10" t="n">
        <v>42979</v>
      </c>
      <c r="B83" s="18">
        <f>IF(VLOOKUP(A83,'DB Country PMI'!$A:$AZ,MATCH($A$1,'DB Country PMI'!$A$1:$AZ$1,),)=0,#N/A,VLOOKUP(A83,'DB Country PMI'!$A:$AZ,MATCH($A$1,'DB Country PMI'!$A$1:$AZ$1,),))</f>
        <v/>
      </c>
      <c r="C83" s="24">
        <f>Table13468111214151617181920222526[[#This Row],[PMI]]-B82</f>
        <v/>
      </c>
    </row>
    <row r="84">
      <c r="A84" s="10" t="n">
        <v>43009</v>
      </c>
      <c r="B84" s="18">
        <f>IF(VLOOKUP(A84,'DB Country PMI'!$A:$AZ,MATCH($A$1,'DB Country PMI'!$A$1:$AZ$1,),)=0,#N/A,VLOOKUP(A84,'DB Country PMI'!$A:$AZ,MATCH($A$1,'DB Country PMI'!$A$1:$AZ$1,),))</f>
        <v/>
      </c>
      <c r="C84" s="24">
        <f>Table13468111214151617181920222526[[#This Row],[PMI]]-B83</f>
        <v/>
      </c>
    </row>
    <row r="85">
      <c r="A85" s="10" t="n">
        <v>43040</v>
      </c>
      <c r="B85" s="18">
        <f>IF(VLOOKUP(A85,'DB Country PMI'!$A:$AZ,MATCH($A$1,'DB Country PMI'!$A$1:$AZ$1,),)=0,#N/A,VLOOKUP(A85,'DB Country PMI'!$A:$AZ,MATCH($A$1,'DB Country PMI'!$A$1:$AZ$1,),))</f>
        <v/>
      </c>
      <c r="C85" s="24">
        <f>Table13468111214151617181920222526[[#This Row],[PMI]]-B84</f>
        <v/>
      </c>
    </row>
    <row r="86">
      <c r="A86" s="10" t="n">
        <v>43070</v>
      </c>
      <c r="B86" s="18">
        <f>IF(VLOOKUP(A86,'DB Country PMI'!$A:$AZ,MATCH($A$1,'DB Country PMI'!$A$1:$AZ$1,),)=0,#N/A,VLOOKUP(A86,'DB Country PMI'!$A:$AZ,MATCH($A$1,'DB Country PMI'!$A$1:$AZ$1,),))</f>
        <v/>
      </c>
      <c r="C86" s="24">
        <f>Table13468111214151617181920222526[[#This Row],[PMI]]-B85</f>
        <v/>
      </c>
    </row>
    <row r="87">
      <c r="A87" s="10" t="n">
        <v>43101</v>
      </c>
      <c r="B87" s="18">
        <f>IF(VLOOKUP(A87,'DB Country PMI'!$A:$AZ,MATCH($A$1,'DB Country PMI'!$A$1:$AZ$1,),)=0,#N/A,VLOOKUP(A87,'DB Country PMI'!$A:$AZ,MATCH($A$1,'DB Country PMI'!$A$1:$AZ$1,),))</f>
        <v/>
      </c>
      <c r="C87" s="24">
        <f>Table13468111214151617181920222526[[#This Row],[PMI]]-B86</f>
        <v/>
      </c>
    </row>
    <row r="88">
      <c r="A88" s="10" t="n">
        <v>43132</v>
      </c>
      <c r="B88" s="18">
        <f>IF(VLOOKUP(A88,'DB Country PMI'!$A:$AZ,MATCH($A$1,'DB Country PMI'!$A$1:$AZ$1,),)=0,#N/A,VLOOKUP(A88,'DB Country PMI'!$A:$AZ,MATCH($A$1,'DB Country PMI'!$A$1:$AZ$1,),))</f>
        <v/>
      </c>
      <c r="C88" s="24">
        <f>Table13468111214151617181920222526[[#This Row],[PMI]]-B87</f>
        <v/>
      </c>
    </row>
    <row r="89">
      <c r="A89" s="10" t="n">
        <v>43160</v>
      </c>
      <c r="B89" s="18">
        <f>IF(VLOOKUP(A89,'DB Country PMI'!$A:$AZ,MATCH($A$1,'DB Country PMI'!$A$1:$AZ$1,),)=0,#N/A,VLOOKUP(A89,'DB Country PMI'!$A:$AZ,MATCH($A$1,'DB Country PMI'!$A$1:$AZ$1,),))</f>
        <v/>
      </c>
      <c r="C89" s="24">
        <f>Table13468111214151617181920222526[[#This Row],[PMI]]-B88</f>
        <v/>
      </c>
    </row>
    <row r="90">
      <c r="A90" s="10" t="n">
        <v>43191</v>
      </c>
      <c r="B90" s="18">
        <f>IF(VLOOKUP(A90,'DB Country PMI'!$A:$AZ,MATCH($A$1,'DB Country PMI'!$A$1:$AZ$1,),)=0,#N/A,VLOOKUP(A90,'DB Country PMI'!$A:$AZ,MATCH($A$1,'DB Country PMI'!$A$1:$AZ$1,),))</f>
        <v/>
      </c>
      <c r="C90" s="24">
        <f>Table13468111214151617181920222526[[#This Row],[PMI]]-B89</f>
        <v/>
      </c>
    </row>
    <row r="91">
      <c r="A91" s="10" t="n">
        <v>43221</v>
      </c>
      <c r="B91" s="18">
        <f>IF(VLOOKUP(A91,'DB Country PMI'!$A:$AZ,MATCH($A$1,'DB Country PMI'!$A$1:$AZ$1,),)=0,#N/A,VLOOKUP(A91,'DB Country PMI'!$A:$AZ,MATCH($A$1,'DB Country PMI'!$A$1:$AZ$1,),))</f>
        <v/>
      </c>
      <c r="C91" s="24">
        <f>Table13468111214151617181920222526[[#This Row],[PMI]]-B90</f>
        <v/>
      </c>
    </row>
    <row r="92">
      <c r="A92" s="10" t="n">
        <v>43252</v>
      </c>
      <c r="B92" s="18">
        <f>IF(VLOOKUP(A92,'DB Country PMI'!$A:$AZ,MATCH($A$1,'DB Country PMI'!$A$1:$AZ$1,),)=0,#N/A,VLOOKUP(A92,'DB Country PMI'!$A:$AZ,MATCH($A$1,'DB Country PMI'!$A$1:$AZ$1,),))</f>
        <v/>
      </c>
      <c r="C92" s="24">
        <f>Table13468111214151617181920222526[[#This Row],[PMI]]-B91</f>
        <v/>
      </c>
    </row>
    <row r="93">
      <c r="A93" s="10" t="n">
        <v>43282</v>
      </c>
      <c r="B93" s="18">
        <f>IF(VLOOKUP(A93,'DB Country PMI'!$A:$AZ,MATCH($A$1,'DB Country PMI'!$A$1:$AZ$1,),)=0,#N/A,VLOOKUP(A93,'DB Country PMI'!$A:$AZ,MATCH($A$1,'DB Country PMI'!$A$1:$AZ$1,),))</f>
        <v/>
      </c>
      <c r="C93" s="24">
        <f>Table13468111214151617181920222526[[#This Row],[PMI]]-B92</f>
        <v/>
      </c>
    </row>
    <row r="94">
      <c r="A94" s="10" t="n">
        <v>43313</v>
      </c>
      <c r="B94" s="18">
        <f>IF(VLOOKUP(A94,'DB Country PMI'!$A:$AZ,MATCH($A$1,'DB Country PMI'!$A$1:$AZ$1,),)=0,#N/A,VLOOKUP(A94,'DB Country PMI'!$A:$AZ,MATCH($A$1,'DB Country PMI'!$A$1:$AZ$1,),))</f>
        <v/>
      </c>
      <c r="C94" s="24">
        <f>Table13468111214151617181920222526[[#This Row],[PMI]]-B93</f>
        <v/>
      </c>
    </row>
    <row r="95">
      <c r="A95" s="10" t="n">
        <v>43344</v>
      </c>
      <c r="B95" s="18">
        <f>IF(VLOOKUP(A95,'DB Country PMI'!$A:$AZ,MATCH($A$1,'DB Country PMI'!$A$1:$AZ$1,),)=0,#N/A,VLOOKUP(A95,'DB Country PMI'!$A:$AZ,MATCH($A$1,'DB Country PMI'!$A$1:$AZ$1,),))</f>
        <v/>
      </c>
      <c r="C95" s="24">
        <f>Table13468111214151617181920222526[[#This Row],[PMI]]-B94</f>
        <v/>
      </c>
    </row>
    <row r="96">
      <c r="A96" s="10" t="n">
        <v>43374</v>
      </c>
      <c r="B96" s="18">
        <f>IF(VLOOKUP(A96,'DB Country PMI'!$A:$AZ,MATCH($A$1,'DB Country PMI'!$A$1:$AZ$1,),)=0,#N/A,VLOOKUP(A96,'DB Country PMI'!$A:$AZ,MATCH($A$1,'DB Country PMI'!$A$1:$AZ$1,),))</f>
        <v/>
      </c>
      <c r="C96" s="24">
        <f>Table13468111214151617181920222526[[#This Row],[PMI]]-B95</f>
        <v/>
      </c>
    </row>
    <row r="97">
      <c r="A97" s="10" t="n">
        <v>43405</v>
      </c>
      <c r="B97" s="18">
        <f>IF(VLOOKUP(A97,'DB Country PMI'!$A:$AZ,MATCH($A$1,'DB Country PMI'!$A$1:$AZ$1,),)=0,#N/A,VLOOKUP(A97,'DB Country PMI'!$A:$AZ,MATCH($A$1,'DB Country PMI'!$A$1:$AZ$1,),))</f>
        <v/>
      </c>
      <c r="C97" s="24">
        <f>Table13468111214151617181920222526[[#This Row],[PMI]]-B96</f>
        <v/>
      </c>
    </row>
    <row r="98">
      <c r="A98" s="10" t="n">
        <v>43435</v>
      </c>
      <c r="B98" s="18">
        <f>IF(VLOOKUP(A98,'DB Country PMI'!$A:$AZ,MATCH($A$1,'DB Country PMI'!$A$1:$AZ$1,),)=0,#N/A,VLOOKUP(A98,'DB Country PMI'!$A:$AZ,MATCH($A$1,'DB Country PMI'!$A$1:$AZ$1,),))</f>
        <v/>
      </c>
      <c r="C98" s="24">
        <f>Table13468111214151617181920222526[[#This Row],[PMI]]-B97</f>
        <v/>
      </c>
    </row>
    <row r="99">
      <c r="A99" s="10" t="n">
        <v>43466</v>
      </c>
      <c r="B99" s="18">
        <f>IF(VLOOKUP(A99,'DB Country PMI'!$A:$AZ,MATCH($A$1,'DB Country PMI'!$A$1:$AZ$1,),)=0,#N/A,VLOOKUP(A99,'DB Country PMI'!$A:$AZ,MATCH($A$1,'DB Country PMI'!$A$1:$AZ$1,),))</f>
        <v/>
      </c>
      <c r="C99" s="24">
        <f>Table13468111214151617181920222526[[#This Row],[PMI]]-B98</f>
        <v/>
      </c>
    </row>
    <row r="100">
      <c r="A100" s="10" t="n">
        <v>43497</v>
      </c>
      <c r="B100" s="18">
        <f>IF(VLOOKUP(A100,'DB Country PMI'!$A:$AZ,MATCH($A$1,'DB Country PMI'!$A$1:$AZ$1,),)=0,#N/A,VLOOKUP(A100,'DB Country PMI'!$A:$AZ,MATCH($A$1,'DB Country PMI'!$A$1:$AZ$1,),))</f>
        <v/>
      </c>
      <c r="C100" s="24">
        <f>Table13468111214151617181920222526[[#This Row],[PMI]]-B99</f>
        <v/>
      </c>
    </row>
    <row r="101">
      <c r="A101" s="10" t="n">
        <v>43525</v>
      </c>
      <c r="B101" s="18">
        <f>IF(VLOOKUP(A101,'DB Country PMI'!$A:$AZ,MATCH($A$1,'DB Country PMI'!$A$1:$AZ$1,),)=0,#N/A,VLOOKUP(A101,'DB Country PMI'!$A:$AZ,MATCH($A$1,'DB Country PMI'!$A$1:$AZ$1,),))</f>
        <v/>
      </c>
      <c r="C101" s="24">
        <f>Table13468111214151617181920222526[[#This Row],[PMI]]-B100</f>
        <v/>
      </c>
    </row>
    <row r="102">
      <c r="A102" s="10" t="n">
        <v>43556</v>
      </c>
      <c r="B102" s="18">
        <f>IF(VLOOKUP(A102,'DB Country PMI'!$A:$AZ,MATCH($A$1,'DB Country PMI'!$A$1:$AZ$1,),)=0,#N/A,VLOOKUP(A102,'DB Country PMI'!$A:$AZ,MATCH($A$1,'DB Country PMI'!$A$1:$AZ$1,),))</f>
        <v/>
      </c>
      <c r="C102" s="24">
        <f>Table13468111214151617181920222526[[#This Row],[PMI]]-B101</f>
        <v/>
      </c>
    </row>
    <row r="103">
      <c r="A103" s="10" t="n">
        <v>43586</v>
      </c>
      <c r="B103" s="18">
        <f>IF(VLOOKUP(A103,'DB Country PMI'!$A:$AZ,MATCH($A$1,'DB Country PMI'!$A$1:$AZ$1,),)=0,#N/A,VLOOKUP(A103,'DB Country PMI'!$A:$AZ,MATCH($A$1,'DB Country PMI'!$A$1:$AZ$1,),))</f>
        <v/>
      </c>
      <c r="C103" s="24">
        <f>Table13468111214151617181920222526[[#This Row],[PMI]]-B102</f>
        <v/>
      </c>
    </row>
    <row r="104">
      <c r="A104" s="10" t="n">
        <v>43617</v>
      </c>
      <c r="B104" s="18">
        <f>IF(VLOOKUP(A104,'DB Country PMI'!$A:$AZ,MATCH($A$1,'DB Country PMI'!$A$1:$AZ$1,),)=0,#N/A,VLOOKUP(A104,'DB Country PMI'!$A:$AZ,MATCH($A$1,'DB Country PMI'!$A$1:$AZ$1,),))</f>
        <v/>
      </c>
      <c r="C104" s="24">
        <f>Table13468111214151617181920222526[[#This Row],[PMI]]-B103</f>
        <v/>
      </c>
    </row>
    <row r="105">
      <c r="A105" s="10" t="n">
        <v>43647</v>
      </c>
      <c r="B105" s="18">
        <f>IF(VLOOKUP(A105,'DB Country PMI'!$A:$AZ,MATCH($A$1,'DB Country PMI'!$A$1:$AZ$1,),)=0,#N/A,VLOOKUP(A105,'DB Country PMI'!$A:$AZ,MATCH($A$1,'DB Country PMI'!$A$1:$AZ$1,),))</f>
        <v/>
      </c>
      <c r="C105" s="24">
        <f>Table13468111214151617181920222526[[#This Row],[PMI]]-B104</f>
        <v/>
      </c>
    </row>
    <row r="106">
      <c r="A106" s="10" t="n">
        <v>43678</v>
      </c>
      <c r="B106" s="18">
        <f>IF(VLOOKUP(A106,'DB Country PMI'!$A:$AZ,MATCH($A$1,'DB Country PMI'!$A$1:$AZ$1,),)=0,#N/A,VLOOKUP(A106,'DB Country PMI'!$A:$AZ,MATCH($A$1,'DB Country PMI'!$A$1:$AZ$1,),))</f>
        <v/>
      </c>
      <c r="C106" s="24">
        <f>Table13468111214151617181920222526[[#This Row],[PMI]]-B105</f>
        <v/>
      </c>
    </row>
    <row r="107">
      <c r="A107" s="10" t="n">
        <v>43709</v>
      </c>
      <c r="B107" s="18">
        <f>IF(VLOOKUP(A107,'DB Country PMI'!$A:$AZ,MATCH($A$1,'DB Country PMI'!$A$1:$AZ$1,),)=0,#N/A,VLOOKUP(A107,'DB Country PMI'!$A:$AZ,MATCH($A$1,'DB Country PMI'!$A$1:$AZ$1,),))</f>
        <v/>
      </c>
      <c r="C107" s="24">
        <f>Table13468111214151617181920222526[[#This Row],[PMI]]-B106</f>
        <v/>
      </c>
    </row>
    <row r="108">
      <c r="A108" s="10" t="n">
        <v>43739</v>
      </c>
      <c r="B108" s="18">
        <f>IF(VLOOKUP(A108,'DB Country PMI'!$A:$AZ,MATCH($A$1,'DB Country PMI'!$A$1:$AZ$1,),)=0,#N/A,VLOOKUP(A108,'DB Country PMI'!$A:$AZ,MATCH($A$1,'DB Country PMI'!$A$1:$AZ$1,),))</f>
        <v/>
      </c>
      <c r="C108" s="24">
        <f>Table13468111214151617181920222526[[#This Row],[PMI]]-B107</f>
        <v/>
      </c>
    </row>
    <row r="109">
      <c r="A109" s="10" t="n">
        <v>43770</v>
      </c>
      <c r="B109" s="18">
        <f>IF(VLOOKUP(A109,'DB Country PMI'!$A:$AZ,MATCH($A$1,'DB Country PMI'!$A$1:$AZ$1,),)=0,#N/A,VLOOKUP(A109,'DB Country PMI'!$A:$AZ,MATCH($A$1,'DB Country PMI'!$A$1:$AZ$1,),))</f>
        <v/>
      </c>
      <c r="C109" s="24">
        <f>Table13468111214151617181920222526[[#This Row],[PMI]]-B108</f>
        <v/>
      </c>
    </row>
    <row r="110">
      <c r="A110" s="10" t="n">
        <v>43800</v>
      </c>
      <c r="B110" s="18">
        <f>IF(VLOOKUP(A110,'DB Country PMI'!$A:$AZ,MATCH($A$1,'DB Country PMI'!$A$1:$AZ$1,),)=0,#N/A,VLOOKUP(A110,'DB Country PMI'!$A:$AZ,MATCH($A$1,'DB Country PMI'!$A$1:$AZ$1,),))</f>
        <v/>
      </c>
      <c r="C110" s="24">
        <f>Table13468111214151617181920222526[[#This Row],[PMI]]-B109</f>
        <v/>
      </c>
    </row>
    <row r="111">
      <c r="A111" s="10" t="n">
        <v>43831</v>
      </c>
      <c r="B111" s="18">
        <f>IF(VLOOKUP(A111,'DB Country PMI'!$A:$AZ,MATCH($A$1,'DB Country PMI'!$A$1:$AZ$1,),)=0,#N/A,VLOOKUP(A111,'DB Country PMI'!$A:$AZ,MATCH($A$1,'DB Country PMI'!$A$1:$AZ$1,),))</f>
        <v/>
      </c>
      <c r="C111" s="24">
        <f>Table13468111214151617181920222526[[#This Row],[PMI]]-B110</f>
        <v/>
      </c>
    </row>
    <row r="112">
      <c r="A112" s="10" t="n">
        <v>43862</v>
      </c>
      <c r="B112" s="18">
        <f>IF(VLOOKUP(A112,'DB Country PMI'!$A:$AZ,MATCH($A$1,'DB Country PMI'!$A$1:$AZ$1,),)=0,#N/A,VLOOKUP(A112,'DB Country PMI'!$A:$AZ,MATCH($A$1,'DB Country PMI'!$A$1:$AZ$1,),))</f>
        <v/>
      </c>
      <c r="C112" s="24">
        <f>Table13468111214151617181920222526[[#This Row],[PMI]]-B111</f>
        <v/>
      </c>
    </row>
    <row r="113">
      <c r="A113" s="10" t="n">
        <v>43891</v>
      </c>
      <c r="B113" s="18">
        <f>IF(VLOOKUP(A113,'DB Country PMI'!$A:$AZ,MATCH($A$1,'DB Country PMI'!$A$1:$AZ$1,),)=0,#N/A,VLOOKUP(A113,'DB Country PMI'!$A:$AZ,MATCH($A$1,'DB Country PMI'!$A$1:$AZ$1,),))</f>
        <v/>
      </c>
      <c r="C113" s="24">
        <f>Table13468111214151617181920222526[[#This Row],[PMI]]-B112</f>
        <v/>
      </c>
    </row>
    <row r="114">
      <c r="A114" s="10" t="n">
        <v>43922</v>
      </c>
      <c r="B114" s="18">
        <f>IF(VLOOKUP(A114,'DB Country PMI'!$A:$AZ,MATCH($A$1,'DB Country PMI'!$A$1:$AZ$1,),)=0,#N/A,VLOOKUP(A114,'DB Country PMI'!$A:$AZ,MATCH($A$1,'DB Country PMI'!$A$1:$AZ$1,),))</f>
        <v/>
      </c>
      <c r="C114" s="24">
        <f>Table13468111214151617181920222526[[#This Row],[PMI]]-B113</f>
        <v/>
      </c>
    </row>
    <row r="115">
      <c r="A115" s="10" t="n">
        <v>43952</v>
      </c>
      <c r="B115" s="18">
        <f>IF(VLOOKUP(A115,'DB Country PMI'!$A:$AZ,MATCH($A$1,'DB Country PMI'!$A$1:$AZ$1,),)=0,#N/A,VLOOKUP(A115,'DB Country PMI'!$A:$AZ,MATCH($A$1,'DB Country PMI'!$A$1:$AZ$1,),))</f>
        <v/>
      </c>
      <c r="C115" s="24">
        <f>Table13468111214151617181920222526[[#This Row],[PMI]]-B114</f>
        <v/>
      </c>
    </row>
    <row r="116">
      <c r="A116" s="10" t="n">
        <v>43983</v>
      </c>
      <c r="B116" s="18">
        <f>IF(VLOOKUP(A116,'DB Country PMI'!$A:$AZ,MATCH($A$1,'DB Country PMI'!$A$1:$AZ$1,),)=0,#N/A,VLOOKUP(A116,'DB Country PMI'!$A:$AZ,MATCH($A$1,'DB Country PMI'!$A$1:$AZ$1,),))</f>
        <v/>
      </c>
      <c r="C116" s="24">
        <f>Table13468111214151617181920222526[[#This Row],[PMI]]-B115</f>
        <v/>
      </c>
    </row>
    <row r="117">
      <c r="A117" s="10" t="n">
        <v>44013</v>
      </c>
      <c r="B117" s="18">
        <f>IF(VLOOKUP(A117,'DB Country PMI'!$A:$AZ,MATCH($A$1,'DB Country PMI'!$A$1:$AZ$1,),)=0,#N/A,VLOOKUP(A117,'DB Country PMI'!$A:$AZ,MATCH($A$1,'DB Country PMI'!$A$1:$AZ$1,),))</f>
        <v/>
      </c>
      <c r="C117" s="24">
        <f>Table13468111214151617181920222526[[#This Row],[PMI]]-B116</f>
        <v/>
      </c>
    </row>
    <row r="118">
      <c r="A118" s="10" t="n">
        <v>44044</v>
      </c>
      <c r="B118" s="18">
        <f>IF(VLOOKUP(A118,'DB Country PMI'!$A:$AZ,MATCH($A$1,'DB Country PMI'!$A$1:$AZ$1,),)=0,#N/A,VLOOKUP(A118,'DB Country PMI'!$A:$AZ,MATCH($A$1,'DB Country PMI'!$A$1:$AZ$1,),))</f>
        <v/>
      </c>
      <c r="C118" s="24">
        <f>Table13468111214151617181920222526[[#This Row],[PMI]]-B117</f>
        <v/>
      </c>
    </row>
    <row r="119">
      <c r="A119" s="10" t="n">
        <v>44075</v>
      </c>
      <c r="B119" s="18">
        <f>IF(VLOOKUP(A119,'DB Country PMI'!$A:$AZ,MATCH($A$1,'DB Country PMI'!$A$1:$AZ$1,),)=0,#N/A,VLOOKUP(A119,'DB Country PMI'!$A:$AZ,MATCH($A$1,'DB Country PMI'!$A$1:$AZ$1,),))</f>
        <v/>
      </c>
      <c r="C119" s="24">
        <f>Table13468111214151617181920222526[[#This Row],[PMI]]-B118</f>
        <v/>
      </c>
    </row>
    <row r="120">
      <c r="A120" s="10" t="n">
        <v>44105</v>
      </c>
      <c r="B120" s="18">
        <f>IF(VLOOKUP(A120,'DB Country PMI'!$A:$AZ,MATCH($A$1,'DB Country PMI'!$A$1:$AZ$1,),)=0,#N/A,VLOOKUP(A120,'DB Country PMI'!$A:$AZ,MATCH($A$1,'DB Country PMI'!$A$1:$AZ$1,),))</f>
        <v/>
      </c>
      <c r="C120" s="24">
        <f>Table13468111214151617181920222526[[#This Row],[PMI]]-B119</f>
        <v/>
      </c>
    </row>
    <row r="121">
      <c r="A121" s="10" t="n">
        <v>44136</v>
      </c>
      <c r="B121" s="18">
        <f>IF(VLOOKUP(A121,'DB Country PMI'!$A:$AZ,MATCH($A$1,'DB Country PMI'!$A$1:$AZ$1,),)=0,#N/A,VLOOKUP(A121,'DB Country PMI'!$A:$AZ,MATCH($A$1,'DB Country PMI'!$A$1:$AZ$1,),))</f>
        <v/>
      </c>
      <c r="C121" s="24">
        <f>Table13468111214151617181920222526[[#This Row],[PMI]]-B120</f>
        <v/>
      </c>
    </row>
    <row r="122">
      <c r="A122" s="10" t="n">
        <v>44166</v>
      </c>
      <c r="B122" s="18">
        <f>IF(VLOOKUP(A122,'DB Country PMI'!$A:$AZ,MATCH($A$1,'DB Country PMI'!$A$1:$AZ$1,),)=0,#N/A,VLOOKUP(A122,'DB Country PMI'!$A:$AZ,MATCH($A$1,'DB Country PMI'!$A$1:$AZ$1,),))</f>
        <v/>
      </c>
      <c r="C122" s="24">
        <f>Table13468111214151617181920222526[[#This Row],[PMI]]-B121</f>
        <v/>
      </c>
    </row>
    <row r="123">
      <c r="A123" s="10" t="n">
        <v>44197</v>
      </c>
      <c r="B123" s="18">
        <f>IF(VLOOKUP(A123,'DB Country PMI'!$A:$AZ,MATCH($A$1,'DB Country PMI'!$A$1:$AZ$1,),)=0,#N/A,VLOOKUP(A123,'DB Country PMI'!$A:$AZ,MATCH($A$1,'DB Country PMI'!$A$1:$AZ$1,),))</f>
        <v/>
      </c>
      <c r="C123" s="24">
        <f>Table13468111214151617181920222526[[#This Row],[PMI]]-B122</f>
        <v/>
      </c>
    </row>
    <row r="124">
      <c r="A124" s="10" t="n">
        <v>44228</v>
      </c>
      <c r="B124" s="18">
        <f>IF(VLOOKUP(A124,'DB Country PMI'!$A:$AZ,MATCH($A$1,'DB Country PMI'!$A$1:$AZ$1,),)=0,#N/A,VLOOKUP(A124,'DB Country PMI'!$A:$AZ,MATCH($A$1,'DB Country PMI'!$A$1:$AZ$1,),))</f>
        <v/>
      </c>
      <c r="C124" s="24">
        <f>Table13468111214151617181920222526[[#This Row],[PMI]]-B123</f>
        <v/>
      </c>
    </row>
    <row r="125">
      <c r="A125" s="10" t="n">
        <v>44256</v>
      </c>
      <c r="B125" s="18">
        <f>IF(VLOOKUP(A125,'DB Country PMI'!$A:$AZ,MATCH($A$1,'DB Country PMI'!$A$1:$AZ$1,),)=0,#N/A,VLOOKUP(A125,'DB Country PMI'!$A:$AZ,MATCH($A$1,'DB Country PMI'!$A$1:$AZ$1,),))</f>
        <v/>
      </c>
      <c r="C125" s="24">
        <f>Table13468111214151617181920222526[[#This Row],[PMI]]-B124</f>
        <v/>
      </c>
    </row>
    <row r="126">
      <c r="A126" s="10" t="n">
        <v>44287</v>
      </c>
      <c r="B126" s="18">
        <f>IF(VLOOKUP(A126,'DB Country PMI'!$A:$AZ,MATCH($A$1,'DB Country PMI'!$A$1:$AZ$1,),)=0,#N/A,VLOOKUP(A126,'DB Country PMI'!$A:$AZ,MATCH($A$1,'DB Country PMI'!$A$1:$AZ$1,),))</f>
        <v/>
      </c>
      <c r="C126" s="24">
        <f>Table13468111214151617181920222526[[#This Row],[PMI]]-B125</f>
        <v/>
      </c>
    </row>
    <row r="127">
      <c r="A127" s="10" t="n">
        <v>44317</v>
      </c>
      <c r="B127" s="18">
        <f>IF(VLOOKUP(A127,'DB Country PMI'!$A:$AZ,MATCH($A$1,'DB Country PMI'!$A$1:$AZ$1,),)=0,#N/A,VLOOKUP(A127,'DB Country PMI'!$A:$AZ,MATCH($A$1,'DB Country PMI'!$A$1:$AZ$1,),))</f>
        <v/>
      </c>
      <c r="C127" s="24">
        <f>Table13468111214151617181920222526[[#This Row],[PMI]]-B126</f>
        <v/>
      </c>
    </row>
    <row r="128">
      <c r="A128" s="10" t="n">
        <v>44348</v>
      </c>
      <c r="B128" s="18">
        <f>IF(VLOOKUP(A128,'DB Country PMI'!$A:$AZ,MATCH($A$1,'DB Country PMI'!$A$1:$AZ$1,),)=0,#N/A,VLOOKUP(A128,'DB Country PMI'!$A:$AZ,MATCH($A$1,'DB Country PMI'!$A$1:$AZ$1,),))</f>
        <v/>
      </c>
      <c r="C128" s="24">
        <f>Table13468111214151617181920222526[[#This Row],[PMI]]-B127</f>
        <v/>
      </c>
    </row>
    <row r="129">
      <c r="A129" s="10" t="n">
        <v>44378</v>
      </c>
      <c r="B129" s="18">
        <f>IF(VLOOKUP(A129,'DB Country PMI'!$A:$AZ,MATCH($A$1,'DB Country PMI'!$A$1:$AZ$1,),)=0,#N/A,VLOOKUP(A129,'DB Country PMI'!$A:$AZ,MATCH($A$1,'DB Country PMI'!$A$1:$AZ$1,),))</f>
        <v/>
      </c>
      <c r="C129" s="24">
        <f>Table13468111214151617181920222526[[#This Row],[PMI]]-B128</f>
        <v/>
      </c>
    </row>
    <row r="130">
      <c r="A130" s="10" t="n">
        <v>44409</v>
      </c>
      <c r="B130" s="18">
        <f>IF(VLOOKUP(A130,'DB Country PMI'!$A:$AZ,MATCH($A$1,'DB Country PMI'!$A$1:$AZ$1,),)=0,#N/A,VLOOKUP(A130,'DB Country PMI'!$A:$AZ,MATCH($A$1,'DB Country PMI'!$A$1:$AZ$1,),))</f>
        <v/>
      </c>
      <c r="C130" s="24">
        <f>Table13468111214151617181920222526[[#This Row],[PMI]]-B129</f>
        <v/>
      </c>
    </row>
    <row r="131">
      <c r="A131" s="10" t="n">
        <v>44440</v>
      </c>
      <c r="B131" s="18">
        <f>IF(VLOOKUP(A131,'DB Country PMI'!$A:$AZ,MATCH($A$1,'DB Country PMI'!$A$1:$AZ$1,),)=0,#N/A,VLOOKUP(A131,'DB Country PMI'!$A:$AZ,MATCH($A$1,'DB Country PMI'!$A$1:$AZ$1,),))</f>
        <v/>
      </c>
      <c r="C131" s="24">
        <f>Table13468111214151617181920222526[[#This Row],[PMI]]-B130</f>
        <v/>
      </c>
    </row>
    <row r="132">
      <c r="A132" s="10" t="n">
        <v>44470</v>
      </c>
      <c r="B132" s="18">
        <f>IF(VLOOKUP(A132,'DB Country PMI'!$A:$AZ,MATCH($A$1,'DB Country PMI'!$A$1:$AZ$1,),)=0,#N/A,VLOOKUP(A132,'DB Country PMI'!$A:$AZ,MATCH($A$1,'DB Country PMI'!$A$1:$AZ$1,),))</f>
        <v/>
      </c>
      <c r="C132" s="24">
        <f>Table13468111214151617181920222526[[#This Row],[PMI]]-B131</f>
        <v/>
      </c>
    </row>
    <row r="133">
      <c r="A133" s="10" t="n">
        <v>44501</v>
      </c>
      <c r="B133" s="18">
        <f>IF(VLOOKUP(A133,'DB Country PMI'!$A:$AZ,MATCH($A$1,'DB Country PMI'!$A$1:$AZ$1,),)=0,#N/A,VLOOKUP(A133,'DB Country PMI'!$A:$AZ,MATCH($A$1,'DB Country PMI'!$A$1:$AZ$1,),))</f>
        <v/>
      </c>
      <c r="C133" s="24">
        <f>Table13468111214151617181920222526[[#This Row],[PMI]]-B132</f>
        <v/>
      </c>
    </row>
    <row r="134">
      <c r="A134" s="10" t="n">
        <v>44531</v>
      </c>
      <c r="B134" s="18">
        <f>IF(VLOOKUP(A134,'DB Country PMI'!$A:$AZ,MATCH($A$1,'DB Country PMI'!$A$1:$AZ$1,),)=0,#N/A,VLOOKUP(A134,'DB Country PMI'!$A:$AZ,MATCH($A$1,'DB Country PMI'!$A$1:$AZ$1,),))</f>
        <v/>
      </c>
      <c r="C134" s="24">
        <f>Table13468111214151617181920222526[[#This Row],[PMI]]-B133</f>
        <v/>
      </c>
    </row>
    <row r="135">
      <c r="A135" s="10" t="n">
        <v>44562</v>
      </c>
      <c r="B135" s="18">
        <f>IF(VLOOKUP(A135,'DB Country PMI'!$A:$AZ,MATCH($A$1,'DB Country PMI'!$A$1:$AZ$1,),)=0,#N/A,VLOOKUP(A135,'DB Country PMI'!$A:$AZ,MATCH($A$1,'DB Country PMI'!$A$1:$AZ$1,),))</f>
        <v/>
      </c>
      <c r="C135" s="24">
        <f>Table13468111214151617181920222526[[#This Row],[PMI]]-B134</f>
        <v/>
      </c>
    </row>
    <row r="136">
      <c r="A136" s="10" t="n">
        <v>44593</v>
      </c>
      <c r="B136" s="18">
        <f>IF(VLOOKUP(A136,'DB Country PMI'!$A:$AZ,MATCH($A$1,'DB Country PMI'!$A$1:$AZ$1,),)=0,#N/A,VLOOKUP(A136,'DB Country PMI'!$A:$AZ,MATCH($A$1,'DB Country PMI'!$A$1:$AZ$1,),))</f>
        <v/>
      </c>
      <c r="C136" s="24">
        <f>Table13468111214151617181920222526[[#This Row],[PMI]]-B135</f>
        <v/>
      </c>
    </row>
    <row r="137">
      <c r="A137" s="10" t="n">
        <v>44621</v>
      </c>
      <c r="B137" s="18">
        <f>IF(VLOOKUP(A137,'DB Country PMI'!$A:$AZ,MATCH($A$1,'DB Country PMI'!$A$1:$AZ$1,),)=0,#N/A,VLOOKUP(A137,'DB Country PMI'!$A:$AZ,MATCH($A$1,'DB Country PMI'!$A$1:$AZ$1,),))</f>
        <v/>
      </c>
      <c r="C137" s="24">
        <f>Table13468111214151617181920222526[[#This Row],[PMI]]-B136</f>
        <v/>
      </c>
    </row>
    <row r="138">
      <c r="A138" s="10" t="n">
        <v>44652</v>
      </c>
      <c r="B138" s="18">
        <f>IF(VLOOKUP(A138,'DB Country PMI'!$A:$AZ,MATCH($A$1,'DB Country PMI'!$A$1:$AZ$1,),)=0,#N/A,VLOOKUP(A138,'DB Country PMI'!$A:$AZ,MATCH($A$1,'DB Country PMI'!$A$1:$AZ$1,),))</f>
        <v/>
      </c>
      <c r="C138" s="24">
        <f>Table13468111214151617181920222526[[#This Row],[PMI]]-B137</f>
        <v/>
      </c>
    </row>
    <row r="139">
      <c r="A139" s="10" t="n">
        <v>44682</v>
      </c>
      <c r="B139" s="18">
        <f>IF(VLOOKUP(A139,'DB Country PMI'!$A:$AZ,MATCH($A$1,'DB Country PMI'!$A$1:$AZ$1,),)=0,#N/A,VLOOKUP(A139,'DB Country PMI'!$A:$AZ,MATCH($A$1,'DB Country PMI'!$A$1:$AZ$1,),))</f>
        <v/>
      </c>
      <c r="C139" s="24">
        <f>Table13468111214151617181920222526[[#This Row],[PMI]]-B138</f>
        <v/>
      </c>
    </row>
    <row r="140">
      <c r="A140" s="10" t="n">
        <v>44713</v>
      </c>
      <c r="B140" s="18">
        <f>IF(VLOOKUP(A140,'DB Country PMI'!$A:$AZ,MATCH($A$1,'DB Country PMI'!$A$1:$AZ$1,),)=0,#N/A,VLOOKUP(A140,'DB Country PMI'!$A:$AZ,MATCH($A$1,'DB Country PMI'!$A$1:$AZ$1,),))</f>
        <v/>
      </c>
      <c r="C140" s="24">
        <f>Table13468111214151617181920222526[[#This Row],[PMI]]-B139</f>
        <v/>
      </c>
    </row>
    <row r="141">
      <c r="A141" s="10" t="n">
        <v>44743</v>
      </c>
      <c r="B141" s="18">
        <f>IF(VLOOKUP(A141,'DB Country PMI'!$A:$AZ,MATCH($A$1,'DB Country PMI'!$A$1:$AZ$1,),)=0,#N/A,VLOOKUP(A141,'DB Country PMI'!$A:$AZ,MATCH($A$1,'DB Country PMI'!$A$1:$AZ$1,),))</f>
        <v/>
      </c>
      <c r="C141" s="24">
        <f>Table13468111214151617181920222526[[#This Row],[PMI]]-B140</f>
        <v/>
      </c>
    </row>
    <row r="142">
      <c r="A142" s="10" t="n">
        <v>44774</v>
      </c>
      <c r="B142" s="18">
        <f>IF(VLOOKUP(A142,'DB Country PMI'!$A:$AZ,MATCH($A$1,'DB Country PMI'!$A$1:$AZ$1,),)=0,#N/A,VLOOKUP(A142,'DB Country PMI'!$A:$AZ,MATCH($A$1,'DB Country PMI'!$A$1:$AZ$1,),))</f>
        <v/>
      </c>
      <c r="C142" s="24">
        <f>Table13468111214151617181920222526[[#This Row],[PMI]]-B141</f>
        <v/>
      </c>
    </row>
    <row r="143">
      <c r="A143" s="10" t="n">
        <v>44805</v>
      </c>
      <c r="B143" s="18">
        <f>IF(VLOOKUP(A143,'DB Country PMI'!$A:$AZ,MATCH($A$1,'DB Country PMI'!$A$1:$AZ$1,),)=0,#N/A,VLOOKUP(A143,'DB Country PMI'!$A:$AZ,MATCH($A$1,'DB Country PMI'!$A$1:$AZ$1,),))</f>
        <v/>
      </c>
      <c r="C143" s="24">
        <f>Table13468111214151617181920222526[[#This Row],[PMI]]-B142</f>
        <v/>
      </c>
    </row>
    <row r="144">
      <c r="A144" s="10" t="n">
        <v>44835</v>
      </c>
      <c r="B144" s="18">
        <f>IF(VLOOKUP(A144,'DB Country PMI'!$A:$AZ,MATCH($A$1,'DB Country PMI'!$A$1:$AZ$1,),)=0,#N/A,VLOOKUP(A144,'DB Country PMI'!$A:$AZ,MATCH($A$1,'DB Country PMI'!$A$1:$AZ$1,),))</f>
        <v/>
      </c>
      <c r="C144" s="24">
        <f>Table13468111214151617181920222526[[#This Row],[PMI]]-B143</f>
        <v/>
      </c>
    </row>
    <row r="145">
      <c r="A145" s="10" t="n">
        <v>44866</v>
      </c>
      <c r="B145" s="18">
        <f>IF(VLOOKUP(A145,'DB Country PMI'!$A:$AZ,MATCH($A$1,'DB Country PMI'!$A$1:$AZ$1,),)=0,#N/A,VLOOKUP(A145,'DB Country PMI'!$A:$AZ,MATCH($A$1,'DB Country PMI'!$A$1:$AZ$1,),))</f>
        <v/>
      </c>
      <c r="C145" s="24">
        <f>Table13468111214151617181920222526[[#This Row],[PMI]]-B144</f>
        <v/>
      </c>
    </row>
  </sheetData>
  <conditionalFormatting sqref="C7:C145">
    <cfRule type="colorScale" priority="1">
      <colorScale>
        <cfvo type="min"/>
        <cfvo type="percentile" val="50"/>
        <cfvo type="max"/>
        <color rgb="FFF8696B"/>
        <color rgb="FFFCFCFF"/>
        <color rgb="FF5A8AC6"/>
      </colorScale>
    </cfRule>
  </conditionalFormatting>
  <conditionalFormatting sqref="B6:B145">
    <cfRule type="colorScale" priority="1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outlinePr summaryBelow="1" summaryRight="1"/>
    <pageSetUpPr/>
  </sheetPr>
  <dimension ref="A1:K151"/>
  <sheetViews>
    <sheetView zoomScale="90" zoomScaleNormal="90" workbookViewId="0">
      <pane ySplit="5" topLeftCell="A137" activePane="bottomLeft" state="frozen"/>
      <selection pane="bottomLeft" activeCell="P148" sqref="P148"/>
    </sheetView>
  </sheetViews>
  <sheetFormatPr baseColWidth="8" defaultColWidth="9.1796875" defaultRowHeight="14.5"/>
  <cols>
    <col width="13.453125" customWidth="1" style="69" min="1" max="1"/>
    <col width="11.36328125" customWidth="1" style="69" min="2" max="2"/>
    <col width="9.1796875" customWidth="1" style="69" min="3" max="51"/>
    <col width="9.1796875" customWidth="1" style="69" min="52" max="16384"/>
  </cols>
  <sheetData>
    <row r="1">
      <c r="A1" s="69" t="inlineStr">
        <is>
          <t>Russia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Table134681112141516171819202225[[#This Row],[PMI]]-B6</f>
        <v/>
      </c>
    </row>
    <row r="8">
      <c r="A8" s="10" t="n">
        <v>40513</v>
      </c>
      <c r="B8" s="18">
        <f>IF(VLOOKUP(A8,'DB Country PMI'!$A:$AZ,MATCH($A$1,'DB Country PMI'!$A$1:$AZ$1,),)=0,#N/A,VLOOKUP(A8,'DB Country PMI'!$A:$AZ,MATCH($A$1,'DB Country PMI'!$A$1:$AZ$1,),))</f>
        <v/>
      </c>
      <c r="C8" s="24">
        <f>Table134681112141516171819202225[[#This Row],[PMI]]-B7</f>
        <v/>
      </c>
    </row>
    <row r="9">
      <c r="A9" s="10" t="n">
        <v>40544</v>
      </c>
      <c r="B9" s="18">
        <f>IF(VLOOKUP(A9,'DB Country PMI'!$A:$AZ,MATCH($A$1,'DB Country PMI'!$A$1:$AZ$1,),)=0,#N/A,VLOOKUP(A9,'DB Country PMI'!$A:$AZ,MATCH($A$1,'DB Country PMI'!$A$1:$AZ$1,),))</f>
        <v/>
      </c>
      <c r="C9" s="24">
        <f>Table134681112141516171819202225[[#This Row],[PMI]]-B8</f>
        <v/>
      </c>
    </row>
    <row r="10">
      <c r="A10" s="10" t="n">
        <v>40575</v>
      </c>
      <c r="B10" s="18">
        <f>IF(VLOOKUP(A10,'DB Country PMI'!$A:$AZ,MATCH($A$1,'DB Country PMI'!$A$1:$AZ$1,),)=0,#N/A,VLOOKUP(A10,'DB Country PMI'!$A:$AZ,MATCH($A$1,'DB Country PMI'!$A$1:$AZ$1,),))</f>
        <v/>
      </c>
      <c r="C10" s="24">
        <f>Table134681112141516171819202225[[#This Row],[PMI]]-B9</f>
        <v/>
      </c>
    </row>
    <row r="11">
      <c r="A11" s="10" t="n">
        <v>40603</v>
      </c>
      <c r="B11" s="18">
        <f>IF(VLOOKUP(A11,'DB Country PMI'!$A:$AZ,MATCH($A$1,'DB Country PMI'!$A$1:$AZ$1,),)=0,#N/A,VLOOKUP(A11,'DB Country PMI'!$A:$AZ,MATCH($A$1,'DB Country PMI'!$A$1:$AZ$1,),))</f>
        <v/>
      </c>
      <c r="C11" s="24">
        <f>Table134681112141516171819202225[[#This Row],[PMI]]-B10</f>
        <v/>
      </c>
    </row>
    <row r="12">
      <c r="A12" s="10" t="n">
        <v>40634</v>
      </c>
      <c r="B12" s="18">
        <f>IF(VLOOKUP(A12,'DB Country PMI'!$A:$AZ,MATCH($A$1,'DB Country PMI'!$A$1:$AZ$1,),)=0,#N/A,VLOOKUP(A12,'DB Country PMI'!$A:$AZ,MATCH($A$1,'DB Country PMI'!$A$1:$AZ$1,),))</f>
        <v/>
      </c>
      <c r="C12" s="24">
        <f>Table134681112141516171819202225[[#This Row],[PMI]]-B11</f>
        <v/>
      </c>
    </row>
    <row r="13">
      <c r="A13" s="10" t="n">
        <v>40664</v>
      </c>
      <c r="B13" s="18">
        <f>IF(VLOOKUP(A13,'DB Country PMI'!$A:$AZ,MATCH($A$1,'DB Country PMI'!$A$1:$AZ$1,),)=0,#N/A,VLOOKUP(A13,'DB Country PMI'!$A:$AZ,MATCH($A$1,'DB Country PMI'!$A$1:$AZ$1,),))</f>
        <v/>
      </c>
      <c r="C13" s="24">
        <f>Table134681112141516171819202225[[#This Row],[PMI]]-B12</f>
        <v/>
      </c>
    </row>
    <row r="14">
      <c r="A14" s="10" t="n">
        <v>40695</v>
      </c>
      <c r="B14" s="18">
        <f>IF(VLOOKUP(A14,'DB Country PMI'!$A:$AZ,MATCH($A$1,'DB Country PMI'!$A$1:$AZ$1,),)=0,#N/A,VLOOKUP(A14,'DB Country PMI'!$A:$AZ,MATCH($A$1,'DB Country PMI'!$A$1:$AZ$1,),))</f>
        <v/>
      </c>
      <c r="C14" s="24">
        <f>Table134681112141516171819202225[[#This Row],[PMI]]-B13</f>
        <v/>
      </c>
    </row>
    <row r="15">
      <c r="A15" s="10" t="n">
        <v>40725</v>
      </c>
      <c r="B15" s="18">
        <f>IF(VLOOKUP(A15,'DB Country PMI'!$A:$AZ,MATCH($A$1,'DB Country PMI'!$A$1:$AZ$1,),)=0,#N/A,VLOOKUP(A15,'DB Country PMI'!$A:$AZ,MATCH($A$1,'DB Country PMI'!$A$1:$AZ$1,),))</f>
        <v/>
      </c>
      <c r="C15" s="24">
        <f>Table134681112141516171819202225[[#This Row],[PMI]]-B14</f>
        <v/>
      </c>
    </row>
    <row r="16">
      <c r="A16" s="10" t="n">
        <v>40756</v>
      </c>
      <c r="B16" s="18">
        <f>IF(VLOOKUP(A16,'DB Country PMI'!$A:$AZ,MATCH($A$1,'DB Country PMI'!$A$1:$AZ$1,),)=0,#N/A,VLOOKUP(A16,'DB Country PMI'!$A:$AZ,MATCH($A$1,'DB Country PMI'!$A$1:$AZ$1,),))</f>
        <v/>
      </c>
      <c r="C16" s="24">
        <f>Table134681112141516171819202225[[#This Row],[PMI]]-B15</f>
        <v/>
      </c>
    </row>
    <row r="17">
      <c r="A17" s="10" t="n">
        <v>40787</v>
      </c>
      <c r="B17" s="18">
        <f>IF(VLOOKUP(A17,'DB Country PMI'!$A:$AZ,MATCH($A$1,'DB Country PMI'!$A$1:$AZ$1,),)=0,#N/A,VLOOKUP(A17,'DB Country PMI'!$A:$AZ,MATCH($A$1,'DB Country PMI'!$A$1:$AZ$1,),))</f>
        <v/>
      </c>
      <c r="C17" s="24">
        <f>Table134681112141516171819202225[[#This Row],[PMI]]-B16</f>
        <v/>
      </c>
    </row>
    <row r="18">
      <c r="A18" s="10" t="n">
        <v>40817</v>
      </c>
      <c r="B18" s="18">
        <f>IF(VLOOKUP(A18,'DB Country PMI'!$A:$AZ,MATCH($A$1,'DB Country PMI'!$A$1:$AZ$1,),)=0,#N/A,VLOOKUP(A18,'DB Country PMI'!$A:$AZ,MATCH($A$1,'DB Country PMI'!$A$1:$AZ$1,),))</f>
        <v/>
      </c>
      <c r="C18" s="24">
        <f>Table134681112141516171819202225[[#This Row],[PMI]]-B17</f>
        <v/>
      </c>
    </row>
    <row r="19">
      <c r="A19" s="10" t="n">
        <v>40848</v>
      </c>
      <c r="B19" s="18">
        <f>IF(VLOOKUP(A19,'DB Country PMI'!$A:$AZ,MATCH($A$1,'DB Country PMI'!$A$1:$AZ$1,),)=0,#N/A,VLOOKUP(A19,'DB Country PMI'!$A:$AZ,MATCH($A$1,'DB Country PMI'!$A$1:$AZ$1,),))</f>
        <v/>
      </c>
      <c r="C19" s="24">
        <f>Table134681112141516171819202225[[#This Row],[PMI]]-B18</f>
        <v/>
      </c>
    </row>
    <row r="20">
      <c r="A20" s="10" t="n">
        <v>40878</v>
      </c>
      <c r="B20" s="18">
        <f>IF(VLOOKUP(A20,'DB Country PMI'!$A:$AZ,MATCH($A$1,'DB Country PMI'!$A$1:$AZ$1,),)=0,#N/A,VLOOKUP(A20,'DB Country PMI'!$A:$AZ,MATCH($A$1,'DB Country PMI'!$A$1:$AZ$1,),))</f>
        <v/>
      </c>
      <c r="C20" s="24">
        <f>Table134681112141516171819202225[[#This Row],[PMI]]-B19</f>
        <v/>
      </c>
    </row>
    <row r="21">
      <c r="A21" s="10" t="n">
        <v>40909</v>
      </c>
      <c r="B21" s="18">
        <f>IF(VLOOKUP(A21,'DB Country PMI'!$A:$AZ,MATCH($A$1,'DB Country PMI'!$A$1:$AZ$1,),)=0,#N/A,VLOOKUP(A21,'DB Country PMI'!$A:$AZ,MATCH($A$1,'DB Country PMI'!$A$1:$AZ$1,),))</f>
        <v/>
      </c>
      <c r="C21" s="24">
        <f>Table134681112141516171819202225[[#This Row],[PMI]]-B20</f>
        <v/>
      </c>
    </row>
    <row r="22">
      <c r="A22" s="10" t="n">
        <v>40940</v>
      </c>
      <c r="B22" s="18">
        <f>IF(VLOOKUP(A22,'DB Country PMI'!$A:$AZ,MATCH($A$1,'DB Country PMI'!$A$1:$AZ$1,),)=0,#N/A,VLOOKUP(A22,'DB Country PMI'!$A:$AZ,MATCH($A$1,'DB Country PMI'!$A$1:$AZ$1,),))</f>
        <v/>
      </c>
      <c r="C22" s="24">
        <f>Table134681112141516171819202225[[#This Row],[PMI]]-B21</f>
        <v/>
      </c>
    </row>
    <row r="23">
      <c r="A23" s="10" t="n">
        <v>40969</v>
      </c>
      <c r="B23" s="18">
        <f>IF(VLOOKUP(A23,'DB Country PMI'!$A:$AZ,MATCH($A$1,'DB Country PMI'!$A$1:$AZ$1,),)=0,#N/A,VLOOKUP(A23,'DB Country PMI'!$A:$AZ,MATCH($A$1,'DB Country PMI'!$A$1:$AZ$1,),))</f>
        <v/>
      </c>
      <c r="C23" s="24">
        <f>Table134681112141516171819202225[[#This Row],[PMI]]-B22</f>
        <v/>
      </c>
    </row>
    <row r="24">
      <c r="A24" s="10" t="n">
        <v>41000</v>
      </c>
      <c r="B24" s="18">
        <f>IF(VLOOKUP(A24,'DB Country PMI'!$A:$AZ,MATCH($A$1,'DB Country PMI'!$A$1:$AZ$1,),)=0,#N/A,VLOOKUP(A24,'DB Country PMI'!$A:$AZ,MATCH($A$1,'DB Country PMI'!$A$1:$AZ$1,),))</f>
        <v/>
      </c>
      <c r="C24" s="24">
        <f>Table134681112141516171819202225[[#This Row],[PMI]]-B23</f>
        <v/>
      </c>
    </row>
    <row r="25">
      <c r="A25" s="10" t="n">
        <v>41030</v>
      </c>
      <c r="B25" s="18">
        <f>IF(VLOOKUP(A25,'DB Country PMI'!$A:$AZ,MATCH($A$1,'DB Country PMI'!$A$1:$AZ$1,),)=0,#N/A,VLOOKUP(A25,'DB Country PMI'!$A:$AZ,MATCH($A$1,'DB Country PMI'!$A$1:$AZ$1,),))</f>
        <v/>
      </c>
      <c r="C25" s="24">
        <f>Table134681112141516171819202225[[#This Row],[PMI]]-B24</f>
        <v/>
      </c>
    </row>
    <row r="26">
      <c r="A26" s="10" t="n">
        <v>41061</v>
      </c>
      <c r="B26" s="18">
        <f>IF(VLOOKUP(A26,'DB Country PMI'!$A:$AZ,MATCH($A$1,'DB Country PMI'!$A$1:$AZ$1,),)=0,#N/A,VLOOKUP(A26,'DB Country PMI'!$A:$AZ,MATCH($A$1,'DB Country PMI'!$A$1:$AZ$1,),))</f>
        <v/>
      </c>
      <c r="C26" s="24">
        <f>Table134681112141516171819202225[[#This Row],[PMI]]-B25</f>
        <v/>
      </c>
    </row>
    <row r="27">
      <c r="A27" s="10" t="n">
        <v>41091</v>
      </c>
      <c r="B27" s="18">
        <f>IF(VLOOKUP(A27,'DB Country PMI'!$A:$AZ,MATCH($A$1,'DB Country PMI'!$A$1:$AZ$1,),)=0,#N/A,VLOOKUP(A27,'DB Country PMI'!$A:$AZ,MATCH($A$1,'DB Country PMI'!$A$1:$AZ$1,),))</f>
        <v/>
      </c>
      <c r="C27" s="24">
        <f>Table134681112141516171819202225[[#This Row],[PMI]]-B26</f>
        <v/>
      </c>
    </row>
    <row r="28">
      <c r="A28" s="10" t="n">
        <v>41122</v>
      </c>
      <c r="B28" s="18">
        <f>IF(VLOOKUP(A28,'DB Country PMI'!$A:$AZ,MATCH($A$1,'DB Country PMI'!$A$1:$AZ$1,),)=0,#N/A,VLOOKUP(A28,'DB Country PMI'!$A:$AZ,MATCH($A$1,'DB Country PMI'!$A$1:$AZ$1,),))</f>
        <v/>
      </c>
      <c r="C28" s="24">
        <f>Table134681112141516171819202225[[#This Row],[PMI]]-B27</f>
        <v/>
      </c>
    </row>
    <row r="29">
      <c r="A29" s="10" t="n">
        <v>41153</v>
      </c>
      <c r="B29" s="18">
        <f>IF(VLOOKUP(A29,'DB Country PMI'!$A:$AZ,MATCH($A$1,'DB Country PMI'!$A$1:$AZ$1,),)=0,#N/A,VLOOKUP(A29,'DB Country PMI'!$A:$AZ,MATCH($A$1,'DB Country PMI'!$A$1:$AZ$1,),))</f>
        <v/>
      </c>
      <c r="C29" s="24">
        <f>Table134681112141516171819202225[[#This Row],[PMI]]-B28</f>
        <v/>
      </c>
    </row>
    <row r="30">
      <c r="A30" s="10" t="n">
        <v>41183</v>
      </c>
      <c r="B30" s="18">
        <f>IF(VLOOKUP(A30,'DB Country PMI'!$A:$AZ,MATCH($A$1,'DB Country PMI'!$A$1:$AZ$1,),)=0,#N/A,VLOOKUP(A30,'DB Country PMI'!$A:$AZ,MATCH($A$1,'DB Country PMI'!$A$1:$AZ$1,),))</f>
        <v/>
      </c>
      <c r="C30" s="24">
        <f>Table134681112141516171819202225[[#This Row],[PMI]]-B29</f>
        <v/>
      </c>
    </row>
    <row r="31">
      <c r="A31" s="10" t="n">
        <v>41214</v>
      </c>
      <c r="B31" s="18">
        <f>IF(VLOOKUP(A31,'DB Country PMI'!$A:$AZ,MATCH($A$1,'DB Country PMI'!$A$1:$AZ$1,),)=0,#N/A,VLOOKUP(A31,'DB Country PMI'!$A:$AZ,MATCH($A$1,'DB Country PMI'!$A$1:$AZ$1,),))</f>
        <v/>
      </c>
      <c r="C31" s="24">
        <f>Table134681112141516171819202225[[#This Row],[PMI]]-B30</f>
        <v/>
      </c>
    </row>
    <row r="32">
      <c r="A32" s="10" t="n">
        <v>41244</v>
      </c>
      <c r="B32" s="18">
        <f>IF(VLOOKUP(A32,'DB Country PMI'!$A:$AZ,MATCH($A$1,'DB Country PMI'!$A$1:$AZ$1,),)=0,#N/A,VLOOKUP(A32,'DB Country PMI'!$A:$AZ,MATCH($A$1,'DB Country PMI'!$A$1:$AZ$1,),))</f>
        <v/>
      </c>
      <c r="C32" s="24">
        <f>Table134681112141516171819202225[[#This Row],[PMI]]-B31</f>
        <v/>
      </c>
    </row>
    <row r="33">
      <c r="A33" s="10" t="n">
        <v>41275</v>
      </c>
      <c r="B33" s="18">
        <f>IF(VLOOKUP(A33,'DB Country PMI'!$A:$AZ,MATCH($A$1,'DB Country PMI'!$A$1:$AZ$1,),)=0,#N/A,VLOOKUP(A33,'DB Country PMI'!$A:$AZ,MATCH($A$1,'DB Country PMI'!$A$1:$AZ$1,),))</f>
        <v/>
      </c>
      <c r="C33" s="24">
        <f>Table134681112141516171819202225[[#This Row],[PMI]]-B32</f>
        <v/>
      </c>
    </row>
    <row r="34">
      <c r="A34" s="10" t="n">
        <v>41306</v>
      </c>
      <c r="B34" s="18">
        <f>IF(VLOOKUP(A34,'DB Country PMI'!$A:$AZ,MATCH($A$1,'DB Country PMI'!$A$1:$AZ$1,),)=0,#N/A,VLOOKUP(A34,'DB Country PMI'!$A:$AZ,MATCH($A$1,'DB Country PMI'!$A$1:$AZ$1,),))</f>
        <v/>
      </c>
      <c r="C34" s="24">
        <f>Table134681112141516171819202225[[#This Row],[PMI]]-B33</f>
        <v/>
      </c>
    </row>
    <row r="35">
      <c r="A35" s="10" t="n">
        <v>41334</v>
      </c>
      <c r="B35" s="18">
        <f>IF(VLOOKUP(A35,'DB Country PMI'!$A:$AZ,MATCH($A$1,'DB Country PMI'!$A$1:$AZ$1,),)=0,#N/A,VLOOKUP(A35,'DB Country PMI'!$A:$AZ,MATCH($A$1,'DB Country PMI'!$A$1:$AZ$1,),))</f>
        <v/>
      </c>
      <c r="C35" s="24">
        <f>Table134681112141516171819202225[[#This Row],[PMI]]-B34</f>
        <v/>
      </c>
    </row>
    <row r="36">
      <c r="A36" s="10" t="n">
        <v>41365</v>
      </c>
      <c r="B36" s="18">
        <f>IF(VLOOKUP(A36,'DB Country PMI'!$A:$AZ,MATCH($A$1,'DB Country PMI'!$A$1:$AZ$1,),)=0,#N/A,VLOOKUP(A36,'DB Country PMI'!$A:$AZ,MATCH($A$1,'DB Country PMI'!$A$1:$AZ$1,),))</f>
        <v/>
      </c>
      <c r="C36" s="24">
        <f>Table134681112141516171819202225[[#This Row],[PMI]]-B35</f>
        <v/>
      </c>
    </row>
    <row r="37">
      <c r="A37" s="10" t="n">
        <v>41395</v>
      </c>
      <c r="B37" s="18">
        <f>IF(VLOOKUP(A37,'DB Country PMI'!$A:$AZ,MATCH($A$1,'DB Country PMI'!$A$1:$AZ$1,),)=0,#N/A,VLOOKUP(A37,'DB Country PMI'!$A:$AZ,MATCH($A$1,'DB Country PMI'!$A$1:$AZ$1,),))</f>
        <v/>
      </c>
      <c r="C37" s="24">
        <f>Table134681112141516171819202225[[#This Row],[PMI]]-B36</f>
        <v/>
      </c>
    </row>
    <row r="38">
      <c r="A38" s="10" t="n">
        <v>41426</v>
      </c>
      <c r="B38" s="18">
        <f>IF(VLOOKUP(A38,'DB Country PMI'!$A:$AZ,MATCH($A$1,'DB Country PMI'!$A$1:$AZ$1,),)=0,#N/A,VLOOKUP(A38,'DB Country PMI'!$A:$AZ,MATCH($A$1,'DB Country PMI'!$A$1:$AZ$1,),))</f>
        <v/>
      </c>
      <c r="C38" s="24">
        <f>Table134681112141516171819202225[[#This Row],[PMI]]-B37</f>
        <v/>
      </c>
    </row>
    <row r="39">
      <c r="A39" s="10" t="n">
        <v>41456</v>
      </c>
      <c r="B39" s="18">
        <f>IF(VLOOKUP(A39,'DB Country PMI'!$A:$AZ,MATCH($A$1,'DB Country PMI'!$A$1:$AZ$1,),)=0,#N/A,VLOOKUP(A39,'DB Country PMI'!$A:$AZ,MATCH($A$1,'DB Country PMI'!$A$1:$AZ$1,),))</f>
        <v/>
      </c>
      <c r="C39" s="24">
        <f>Table134681112141516171819202225[[#This Row],[PMI]]-B38</f>
        <v/>
      </c>
    </row>
    <row r="40">
      <c r="A40" s="10" t="n">
        <v>41487</v>
      </c>
      <c r="B40" s="18">
        <f>IF(VLOOKUP(A40,'DB Country PMI'!$A:$AZ,MATCH($A$1,'DB Country PMI'!$A$1:$AZ$1,),)=0,#N/A,VLOOKUP(A40,'DB Country PMI'!$A:$AZ,MATCH($A$1,'DB Country PMI'!$A$1:$AZ$1,),))</f>
        <v/>
      </c>
      <c r="C40" s="24">
        <f>Table134681112141516171819202225[[#This Row],[PMI]]-B39</f>
        <v/>
      </c>
    </row>
    <row r="41">
      <c r="A41" s="10" t="n">
        <v>41518</v>
      </c>
      <c r="B41" s="18">
        <f>IF(VLOOKUP(A41,'DB Country PMI'!$A:$AZ,MATCH($A$1,'DB Country PMI'!$A$1:$AZ$1,),)=0,#N/A,VLOOKUP(A41,'DB Country PMI'!$A:$AZ,MATCH($A$1,'DB Country PMI'!$A$1:$AZ$1,),))</f>
        <v/>
      </c>
      <c r="C41" s="24">
        <f>Table134681112141516171819202225[[#This Row],[PMI]]-B40</f>
        <v/>
      </c>
    </row>
    <row r="42">
      <c r="A42" s="10" t="n">
        <v>41548</v>
      </c>
      <c r="B42" s="18">
        <f>IF(VLOOKUP(A42,'DB Country PMI'!$A:$AZ,MATCH($A$1,'DB Country PMI'!$A$1:$AZ$1,),)=0,#N/A,VLOOKUP(A42,'DB Country PMI'!$A:$AZ,MATCH($A$1,'DB Country PMI'!$A$1:$AZ$1,),))</f>
        <v/>
      </c>
      <c r="C42" s="24">
        <f>Table134681112141516171819202225[[#This Row],[PMI]]-B41</f>
        <v/>
      </c>
    </row>
    <row r="43">
      <c r="A43" s="10" t="n">
        <v>41579</v>
      </c>
      <c r="B43" s="18">
        <f>IF(VLOOKUP(A43,'DB Country PMI'!$A:$AZ,MATCH($A$1,'DB Country PMI'!$A$1:$AZ$1,),)=0,#N/A,VLOOKUP(A43,'DB Country PMI'!$A:$AZ,MATCH($A$1,'DB Country PMI'!$A$1:$AZ$1,),))</f>
        <v/>
      </c>
      <c r="C43" s="24">
        <f>Table134681112141516171819202225[[#This Row],[PMI]]-B42</f>
        <v/>
      </c>
    </row>
    <row r="44">
      <c r="A44" s="10" t="n">
        <v>41609</v>
      </c>
      <c r="B44" s="18">
        <f>IF(VLOOKUP(A44,'DB Country PMI'!$A:$AZ,MATCH($A$1,'DB Country PMI'!$A$1:$AZ$1,),)=0,#N/A,VLOOKUP(A44,'DB Country PMI'!$A:$AZ,MATCH($A$1,'DB Country PMI'!$A$1:$AZ$1,),))</f>
        <v/>
      </c>
      <c r="C44" s="24">
        <f>Table134681112141516171819202225[[#This Row],[PMI]]-B43</f>
        <v/>
      </c>
    </row>
    <row r="45">
      <c r="A45" s="10" t="n">
        <v>41640</v>
      </c>
      <c r="B45" s="18">
        <f>IF(VLOOKUP(A45,'DB Country PMI'!$A:$AZ,MATCH($A$1,'DB Country PMI'!$A$1:$AZ$1,),)=0,#N/A,VLOOKUP(A45,'DB Country PMI'!$A:$AZ,MATCH($A$1,'DB Country PMI'!$A$1:$AZ$1,),))</f>
        <v/>
      </c>
      <c r="C45" s="24">
        <f>Table134681112141516171819202225[[#This Row],[PMI]]-B44</f>
        <v/>
      </c>
    </row>
    <row r="46">
      <c r="A46" s="10" t="n">
        <v>41671</v>
      </c>
      <c r="B46" s="18">
        <f>IF(VLOOKUP(A46,'DB Country PMI'!$A:$AZ,MATCH($A$1,'DB Country PMI'!$A$1:$AZ$1,),)=0,#N/A,VLOOKUP(A46,'DB Country PMI'!$A:$AZ,MATCH($A$1,'DB Country PMI'!$A$1:$AZ$1,),))</f>
        <v/>
      </c>
      <c r="C46" s="24">
        <f>Table134681112141516171819202225[[#This Row],[PMI]]-B45</f>
        <v/>
      </c>
    </row>
    <row r="47">
      <c r="A47" s="10" t="n">
        <v>41699</v>
      </c>
      <c r="B47" s="18">
        <f>IF(VLOOKUP(A47,'DB Country PMI'!$A:$AZ,MATCH($A$1,'DB Country PMI'!$A$1:$AZ$1,),)=0,#N/A,VLOOKUP(A47,'DB Country PMI'!$A:$AZ,MATCH($A$1,'DB Country PMI'!$A$1:$AZ$1,),))</f>
        <v/>
      </c>
      <c r="C47" s="24">
        <f>Table134681112141516171819202225[[#This Row],[PMI]]-B46</f>
        <v/>
      </c>
    </row>
    <row r="48">
      <c r="A48" s="10" t="n">
        <v>41730</v>
      </c>
      <c r="B48" s="18">
        <f>IF(VLOOKUP(A48,'DB Country PMI'!$A:$AZ,MATCH($A$1,'DB Country PMI'!$A$1:$AZ$1,),)=0,#N/A,VLOOKUP(A48,'DB Country PMI'!$A:$AZ,MATCH($A$1,'DB Country PMI'!$A$1:$AZ$1,),))</f>
        <v/>
      </c>
      <c r="C48" s="24">
        <f>Table134681112141516171819202225[[#This Row],[PMI]]-B47</f>
        <v/>
      </c>
    </row>
    <row r="49">
      <c r="A49" s="10" t="n">
        <v>41760</v>
      </c>
      <c r="B49" s="18">
        <f>IF(VLOOKUP(A49,'DB Country PMI'!$A:$AZ,MATCH($A$1,'DB Country PMI'!$A$1:$AZ$1,),)=0,#N/A,VLOOKUP(A49,'DB Country PMI'!$A:$AZ,MATCH($A$1,'DB Country PMI'!$A$1:$AZ$1,),))</f>
        <v/>
      </c>
      <c r="C49" s="24">
        <f>Table134681112141516171819202225[[#This Row],[PMI]]-B48</f>
        <v/>
      </c>
    </row>
    <row r="50">
      <c r="A50" s="10" t="n">
        <v>41791</v>
      </c>
      <c r="B50" s="18">
        <f>IF(VLOOKUP(A50,'DB Country PMI'!$A:$AZ,MATCH($A$1,'DB Country PMI'!$A$1:$AZ$1,),)=0,#N/A,VLOOKUP(A50,'DB Country PMI'!$A:$AZ,MATCH($A$1,'DB Country PMI'!$A$1:$AZ$1,),))</f>
        <v/>
      </c>
      <c r="C50" s="24">
        <f>Table134681112141516171819202225[[#This Row],[PMI]]-B49</f>
        <v/>
      </c>
    </row>
    <row r="51">
      <c r="A51" s="10" t="n">
        <v>41821</v>
      </c>
      <c r="B51" s="18">
        <f>IF(VLOOKUP(A51,'DB Country PMI'!$A:$AZ,MATCH($A$1,'DB Country PMI'!$A$1:$AZ$1,),)=0,#N/A,VLOOKUP(A51,'DB Country PMI'!$A:$AZ,MATCH($A$1,'DB Country PMI'!$A$1:$AZ$1,),))</f>
        <v/>
      </c>
      <c r="C51" s="24">
        <f>Table134681112141516171819202225[[#This Row],[PMI]]-B50</f>
        <v/>
      </c>
    </row>
    <row r="52">
      <c r="A52" s="10" t="n">
        <v>41852</v>
      </c>
      <c r="B52" s="18">
        <f>IF(VLOOKUP(A52,'DB Country PMI'!$A:$AZ,MATCH($A$1,'DB Country PMI'!$A$1:$AZ$1,),)=0,#N/A,VLOOKUP(A52,'DB Country PMI'!$A:$AZ,MATCH($A$1,'DB Country PMI'!$A$1:$AZ$1,),))</f>
        <v/>
      </c>
      <c r="C52" s="24">
        <f>Table134681112141516171819202225[[#This Row],[PMI]]-B51</f>
        <v/>
      </c>
    </row>
    <row r="53">
      <c r="A53" s="10" t="n">
        <v>41883</v>
      </c>
      <c r="B53" s="18">
        <f>IF(VLOOKUP(A53,'DB Country PMI'!$A:$AZ,MATCH($A$1,'DB Country PMI'!$A$1:$AZ$1,),)=0,#N/A,VLOOKUP(A53,'DB Country PMI'!$A:$AZ,MATCH($A$1,'DB Country PMI'!$A$1:$AZ$1,),))</f>
        <v/>
      </c>
      <c r="C53" s="24">
        <f>Table134681112141516171819202225[[#This Row],[PMI]]-B52</f>
        <v/>
      </c>
    </row>
    <row r="54">
      <c r="A54" s="10" t="n">
        <v>41913</v>
      </c>
      <c r="B54" s="18">
        <f>IF(VLOOKUP(A54,'DB Country PMI'!$A:$AZ,MATCH($A$1,'DB Country PMI'!$A$1:$AZ$1,),)=0,#N/A,VLOOKUP(A54,'DB Country PMI'!$A:$AZ,MATCH($A$1,'DB Country PMI'!$A$1:$AZ$1,),))</f>
        <v/>
      </c>
      <c r="C54" s="24">
        <f>Table134681112141516171819202225[[#This Row],[PMI]]-B53</f>
        <v/>
      </c>
    </row>
    <row r="55">
      <c r="A55" s="10" t="n">
        <v>41944</v>
      </c>
      <c r="B55" s="18">
        <f>IF(VLOOKUP(A55,'DB Country PMI'!$A:$AZ,MATCH($A$1,'DB Country PMI'!$A$1:$AZ$1,),)=0,#N/A,VLOOKUP(A55,'DB Country PMI'!$A:$AZ,MATCH($A$1,'DB Country PMI'!$A$1:$AZ$1,),))</f>
        <v/>
      </c>
      <c r="C55" s="24">
        <f>Table134681112141516171819202225[[#This Row],[PMI]]-B54</f>
        <v/>
      </c>
    </row>
    <row r="56">
      <c r="A56" s="10" t="n">
        <v>41974</v>
      </c>
      <c r="B56" s="18">
        <f>IF(VLOOKUP(A56,'DB Country PMI'!$A:$AZ,MATCH($A$1,'DB Country PMI'!$A$1:$AZ$1,),)=0,#N/A,VLOOKUP(A56,'DB Country PMI'!$A:$AZ,MATCH($A$1,'DB Country PMI'!$A$1:$AZ$1,),))</f>
        <v/>
      </c>
      <c r="C56" s="24">
        <f>Table134681112141516171819202225[[#This Row],[PMI]]-B55</f>
        <v/>
      </c>
    </row>
    <row r="57">
      <c r="A57" s="10" t="n">
        <v>42005</v>
      </c>
      <c r="B57" s="18">
        <f>IF(VLOOKUP(A57,'DB Country PMI'!$A:$AZ,MATCH($A$1,'DB Country PMI'!$A$1:$AZ$1,),)=0,#N/A,VLOOKUP(A57,'DB Country PMI'!$A:$AZ,MATCH($A$1,'DB Country PMI'!$A$1:$AZ$1,),))</f>
        <v/>
      </c>
      <c r="C57" s="24">
        <f>Table134681112141516171819202225[[#This Row],[PMI]]-B56</f>
        <v/>
      </c>
    </row>
    <row r="58">
      <c r="A58" s="10" t="n">
        <v>42036</v>
      </c>
      <c r="B58" s="18">
        <f>IF(VLOOKUP(A58,'DB Country PMI'!$A:$AZ,MATCH($A$1,'DB Country PMI'!$A$1:$AZ$1,),)=0,#N/A,VLOOKUP(A58,'DB Country PMI'!$A:$AZ,MATCH($A$1,'DB Country PMI'!$A$1:$AZ$1,),))</f>
        <v/>
      </c>
      <c r="C58" s="24">
        <f>Table134681112141516171819202225[[#This Row],[PMI]]-B57</f>
        <v/>
      </c>
    </row>
    <row r="59">
      <c r="A59" s="10" t="n">
        <v>42064</v>
      </c>
      <c r="B59" s="18">
        <f>IF(VLOOKUP(A59,'DB Country PMI'!$A:$AZ,MATCH($A$1,'DB Country PMI'!$A$1:$AZ$1,),)=0,#N/A,VLOOKUP(A59,'DB Country PMI'!$A:$AZ,MATCH($A$1,'DB Country PMI'!$A$1:$AZ$1,),))</f>
        <v/>
      </c>
      <c r="C59" s="24">
        <f>Table134681112141516171819202225[[#This Row],[PMI]]-B58</f>
        <v/>
      </c>
    </row>
    <row r="60">
      <c r="A60" s="10" t="n">
        <v>42095</v>
      </c>
      <c r="B60" s="18">
        <f>IF(VLOOKUP(A60,'DB Country PMI'!$A:$AZ,MATCH($A$1,'DB Country PMI'!$A$1:$AZ$1,),)=0,#N/A,VLOOKUP(A60,'DB Country PMI'!$A:$AZ,MATCH($A$1,'DB Country PMI'!$A$1:$AZ$1,),))</f>
        <v/>
      </c>
      <c r="C60" s="24">
        <f>Table134681112141516171819202225[[#This Row],[PMI]]-B59</f>
        <v/>
      </c>
    </row>
    <row r="61">
      <c r="A61" s="10" t="n">
        <v>42125</v>
      </c>
      <c r="B61" s="18">
        <f>IF(VLOOKUP(A61,'DB Country PMI'!$A:$AZ,MATCH($A$1,'DB Country PMI'!$A$1:$AZ$1,),)=0,#N/A,VLOOKUP(A61,'DB Country PMI'!$A:$AZ,MATCH($A$1,'DB Country PMI'!$A$1:$AZ$1,),))</f>
        <v/>
      </c>
      <c r="C61" s="24">
        <f>Table134681112141516171819202225[[#This Row],[PMI]]-B60</f>
        <v/>
      </c>
    </row>
    <row r="62">
      <c r="A62" s="10" t="n">
        <v>42156</v>
      </c>
      <c r="B62" s="18">
        <f>IF(VLOOKUP(A62,'DB Country PMI'!$A:$AZ,MATCH($A$1,'DB Country PMI'!$A$1:$AZ$1,),)=0,#N/A,VLOOKUP(A62,'DB Country PMI'!$A:$AZ,MATCH($A$1,'DB Country PMI'!$A$1:$AZ$1,),))</f>
        <v/>
      </c>
      <c r="C62" s="24">
        <f>Table134681112141516171819202225[[#This Row],[PMI]]-B61</f>
        <v/>
      </c>
    </row>
    <row r="63">
      <c r="A63" s="10" t="n">
        <v>42186</v>
      </c>
      <c r="B63" s="18">
        <f>IF(VLOOKUP(A63,'DB Country PMI'!$A:$AZ,MATCH($A$1,'DB Country PMI'!$A$1:$AZ$1,),)=0,#N/A,VLOOKUP(A63,'DB Country PMI'!$A:$AZ,MATCH($A$1,'DB Country PMI'!$A$1:$AZ$1,),))</f>
        <v/>
      </c>
      <c r="C63" s="24">
        <f>Table134681112141516171819202225[[#This Row],[PMI]]-B62</f>
        <v/>
      </c>
    </row>
    <row r="64">
      <c r="A64" s="10" t="n">
        <v>42217</v>
      </c>
      <c r="B64" s="18">
        <f>IF(VLOOKUP(A64,'DB Country PMI'!$A:$AZ,MATCH($A$1,'DB Country PMI'!$A$1:$AZ$1,),)=0,#N/A,VLOOKUP(A64,'DB Country PMI'!$A:$AZ,MATCH($A$1,'DB Country PMI'!$A$1:$AZ$1,),))</f>
        <v/>
      </c>
      <c r="C64" s="24">
        <f>Table134681112141516171819202225[[#This Row],[PMI]]-B63</f>
        <v/>
      </c>
    </row>
    <row r="65">
      <c r="A65" s="10" t="n">
        <v>42248</v>
      </c>
      <c r="B65" s="18">
        <f>IF(VLOOKUP(A65,'DB Country PMI'!$A:$AZ,MATCH($A$1,'DB Country PMI'!$A$1:$AZ$1,),)=0,#N/A,VLOOKUP(A65,'DB Country PMI'!$A:$AZ,MATCH($A$1,'DB Country PMI'!$A$1:$AZ$1,),))</f>
        <v/>
      </c>
      <c r="C65" s="24">
        <f>Table134681112141516171819202225[[#This Row],[PMI]]-B64</f>
        <v/>
      </c>
    </row>
    <row r="66">
      <c r="A66" s="10" t="n">
        <v>42278</v>
      </c>
      <c r="B66" s="18">
        <f>IF(VLOOKUP(A66,'DB Country PMI'!$A:$AZ,MATCH($A$1,'DB Country PMI'!$A$1:$AZ$1,),)=0,#N/A,VLOOKUP(A66,'DB Country PMI'!$A:$AZ,MATCH($A$1,'DB Country PMI'!$A$1:$AZ$1,),))</f>
        <v/>
      </c>
      <c r="C66" s="24">
        <f>Table134681112141516171819202225[[#This Row],[PMI]]-B65</f>
        <v/>
      </c>
    </row>
    <row r="67">
      <c r="A67" s="10" t="n">
        <v>42309</v>
      </c>
      <c r="B67" s="18">
        <f>IF(VLOOKUP(A67,'DB Country PMI'!$A:$AZ,MATCH($A$1,'DB Country PMI'!$A$1:$AZ$1,),)=0,#N/A,VLOOKUP(A67,'DB Country PMI'!$A:$AZ,MATCH($A$1,'DB Country PMI'!$A$1:$AZ$1,),))</f>
        <v/>
      </c>
      <c r="C67" s="24">
        <f>Table134681112141516171819202225[[#This Row],[PMI]]-B66</f>
        <v/>
      </c>
    </row>
    <row r="68">
      <c r="A68" s="10" t="n">
        <v>42339</v>
      </c>
      <c r="B68" s="18">
        <f>IF(VLOOKUP(A68,'DB Country PMI'!$A:$AZ,MATCH($A$1,'DB Country PMI'!$A$1:$AZ$1,),)=0,#N/A,VLOOKUP(A68,'DB Country PMI'!$A:$AZ,MATCH($A$1,'DB Country PMI'!$A$1:$AZ$1,),))</f>
        <v/>
      </c>
      <c r="C68" s="24">
        <f>Table134681112141516171819202225[[#This Row],[PMI]]-B67</f>
        <v/>
      </c>
    </row>
    <row r="69">
      <c r="A69" s="10" t="n">
        <v>42370</v>
      </c>
      <c r="B69" s="18">
        <f>IF(VLOOKUP(A69,'DB Country PMI'!$A:$AZ,MATCH($A$1,'DB Country PMI'!$A$1:$AZ$1,),)=0,#N/A,VLOOKUP(A69,'DB Country PMI'!$A:$AZ,MATCH($A$1,'DB Country PMI'!$A$1:$AZ$1,),))</f>
        <v/>
      </c>
      <c r="C69" s="24">
        <f>Table134681112141516171819202225[[#This Row],[PMI]]-B68</f>
        <v/>
      </c>
    </row>
    <row r="70">
      <c r="A70" s="10" t="n">
        <v>42401</v>
      </c>
      <c r="B70" s="18">
        <f>IF(VLOOKUP(A70,'DB Country PMI'!$A:$AZ,MATCH($A$1,'DB Country PMI'!$A$1:$AZ$1,),)=0,#N/A,VLOOKUP(A70,'DB Country PMI'!$A:$AZ,MATCH($A$1,'DB Country PMI'!$A$1:$AZ$1,),))</f>
        <v/>
      </c>
      <c r="C70" s="24">
        <f>Table134681112141516171819202225[[#This Row],[PMI]]-B69</f>
        <v/>
      </c>
    </row>
    <row r="71">
      <c r="A71" s="10" t="n">
        <v>42430</v>
      </c>
      <c r="B71" s="18">
        <f>IF(VLOOKUP(A71,'DB Country PMI'!$A:$AZ,MATCH($A$1,'DB Country PMI'!$A$1:$AZ$1,),)=0,#N/A,VLOOKUP(A71,'DB Country PMI'!$A:$AZ,MATCH($A$1,'DB Country PMI'!$A$1:$AZ$1,),))</f>
        <v/>
      </c>
      <c r="C71" s="24">
        <f>Table134681112141516171819202225[[#This Row],[PMI]]-B70</f>
        <v/>
      </c>
    </row>
    <row r="72">
      <c r="A72" s="10" t="n">
        <v>42461</v>
      </c>
      <c r="B72" s="18">
        <f>IF(VLOOKUP(A72,'DB Country PMI'!$A:$AZ,MATCH($A$1,'DB Country PMI'!$A$1:$AZ$1,),)=0,#N/A,VLOOKUP(A72,'DB Country PMI'!$A:$AZ,MATCH($A$1,'DB Country PMI'!$A$1:$AZ$1,),))</f>
        <v/>
      </c>
      <c r="C72" s="24">
        <f>Table134681112141516171819202225[[#This Row],[PMI]]-B71</f>
        <v/>
      </c>
    </row>
    <row r="73">
      <c r="A73" s="10" t="n">
        <v>42491</v>
      </c>
      <c r="B73" s="18">
        <f>IF(VLOOKUP(A73,'DB Country PMI'!$A:$AZ,MATCH($A$1,'DB Country PMI'!$A$1:$AZ$1,),)=0,#N/A,VLOOKUP(A73,'DB Country PMI'!$A:$AZ,MATCH($A$1,'DB Country PMI'!$A$1:$AZ$1,),))</f>
        <v/>
      </c>
      <c r="C73" s="24">
        <f>Table134681112141516171819202225[[#This Row],[PMI]]-B72</f>
        <v/>
      </c>
    </row>
    <row r="74">
      <c r="A74" s="10" t="n">
        <v>42522</v>
      </c>
      <c r="B74" s="18">
        <f>IF(VLOOKUP(A74,'DB Country PMI'!$A:$AZ,MATCH($A$1,'DB Country PMI'!$A$1:$AZ$1,),)=0,#N/A,VLOOKUP(A74,'DB Country PMI'!$A:$AZ,MATCH($A$1,'DB Country PMI'!$A$1:$AZ$1,),))</f>
        <v/>
      </c>
      <c r="C74" s="24">
        <f>Table134681112141516171819202225[[#This Row],[PMI]]-B73</f>
        <v/>
      </c>
    </row>
    <row r="75">
      <c r="A75" s="10" t="n">
        <v>42552</v>
      </c>
      <c r="B75" s="18">
        <f>IF(VLOOKUP(A75,'DB Country PMI'!$A:$AZ,MATCH($A$1,'DB Country PMI'!$A$1:$AZ$1,),)=0,#N/A,VLOOKUP(A75,'DB Country PMI'!$A:$AZ,MATCH($A$1,'DB Country PMI'!$A$1:$AZ$1,),))</f>
        <v/>
      </c>
      <c r="C75" s="24">
        <f>Table134681112141516171819202225[[#This Row],[PMI]]-B74</f>
        <v/>
      </c>
    </row>
    <row r="76">
      <c r="A76" s="10" t="n">
        <v>42583</v>
      </c>
      <c r="B76" s="18">
        <f>IF(VLOOKUP(A76,'DB Country PMI'!$A:$AZ,MATCH($A$1,'DB Country PMI'!$A$1:$AZ$1,),)=0,#N/A,VLOOKUP(A76,'DB Country PMI'!$A:$AZ,MATCH($A$1,'DB Country PMI'!$A$1:$AZ$1,),))</f>
        <v/>
      </c>
      <c r="C76" s="24">
        <f>Table134681112141516171819202225[[#This Row],[PMI]]-B75</f>
        <v/>
      </c>
    </row>
    <row r="77">
      <c r="A77" s="10" t="n">
        <v>42614</v>
      </c>
      <c r="B77" s="18">
        <f>IF(VLOOKUP(A77,'DB Country PMI'!$A:$AZ,MATCH($A$1,'DB Country PMI'!$A$1:$AZ$1,),)=0,#N/A,VLOOKUP(A77,'DB Country PMI'!$A:$AZ,MATCH($A$1,'DB Country PMI'!$A$1:$AZ$1,),))</f>
        <v/>
      </c>
      <c r="C77" s="24">
        <f>Table134681112141516171819202225[[#This Row],[PMI]]-B76</f>
        <v/>
      </c>
    </row>
    <row r="78">
      <c r="A78" s="10" t="n">
        <v>42644</v>
      </c>
      <c r="B78" s="18">
        <f>IF(VLOOKUP(A78,'DB Country PMI'!$A:$AZ,MATCH($A$1,'DB Country PMI'!$A$1:$AZ$1,),)=0,#N/A,VLOOKUP(A78,'DB Country PMI'!$A:$AZ,MATCH($A$1,'DB Country PMI'!$A$1:$AZ$1,),))</f>
        <v/>
      </c>
      <c r="C78" s="24">
        <f>Table134681112141516171819202225[[#This Row],[PMI]]-B77</f>
        <v/>
      </c>
    </row>
    <row r="79">
      <c r="A79" s="10" t="n">
        <v>42675</v>
      </c>
      <c r="B79" s="18">
        <f>IF(VLOOKUP(A79,'DB Country PMI'!$A:$AZ,MATCH($A$1,'DB Country PMI'!$A$1:$AZ$1,),)=0,#N/A,VLOOKUP(A79,'DB Country PMI'!$A:$AZ,MATCH($A$1,'DB Country PMI'!$A$1:$AZ$1,),))</f>
        <v/>
      </c>
      <c r="C79" s="24">
        <f>Table134681112141516171819202225[[#This Row],[PMI]]-B78</f>
        <v/>
      </c>
    </row>
    <row r="80">
      <c r="A80" s="10" t="n">
        <v>42705</v>
      </c>
      <c r="B80" s="18">
        <f>IF(VLOOKUP(A80,'DB Country PMI'!$A:$AZ,MATCH($A$1,'DB Country PMI'!$A$1:$AZ$1,),)=0,#N/A,VLOOKUP(A80,'DB Country PMI'!$A:$AZ,MATCH($A$1,'DB Country PMI'!$A$1:$AZ$1,),))</f>
        <v/>
      </c>
      <c r="C80" s="24">
        <f>Table134681112141516171819202225[[#This Row],[PMI]]-B79</f>
        <v/>
      </c>
    </row>
    <row r="81">
      <c r="A81" s="10" t="n">
        <v>42736</v>
      </c>
      <c r="B81" s="18">
        <f>IF(VLOOKUP(A81,'DB Country PMI'!$A:$AZ,MATCH($A$1,'DB Country PMI'!$A$1:$AZ$1,),)=0,#N/A,VLOOKUP(A81,'DB Country PMI'!$A:$AZ,MATCH($A$1,'DB Country PMI'!$A$1:$AZ$1,),))</f>
        <v/>
      </c>
      <c r="C81" s="24">
        <f>Table134681112141516171819202225[[#This Row],[PMI]]-B80</f>
        <v/>
      </c>
    </row>
    <row r="82">
      <c r="A82" s="10" t="n">
        <v>42767</v>
      </c>
      <c r="B82" s="18">
        <f>IF(VLOOKUP(A82,'DB Country PMI'!$A:$AZ,MATCH($A$1,'DB Country PMI'!$A$1:$AZ$1,),)=0,#N/A,VLOOKUP(A82,'DB Country PMI'!$A:$AZ,MATCH($A$1,'DB Country PMI'!$A$1:$AZ$1,),))</f>
        <v/>
      </c>
      <c r="C82" s="24">
        <f>Table134681112141516171819202225[[#This Row],[PMI]]-B81</f>
        <v/>
      </c>
    </row>
    <row r="83">
      <c r="A83" s="10" t="n">
        <v>42795</v>
      </c>
      <c r="B83" s="18">
        <f>IF(VLOOKUP(A83,'DB Country PMI'!$A:$AZ,MATCH($A$1,'DB Country PMI'!$A$1:$AZ$1,),)=0,#N/A,VLOOKUP(A83,'DB Country PMI'!$A:$AZ,MATCH($A$1,'DB Country PMI'!$A$1:$AZ$1,),))</f>
        <v/>
      </c>
      <c r="C83" s="24">
        <f>Table134681112141516171819202225[[#This Row],[PMI]]-B82</f>
        <v/>
      </c>
    </row>
    <row r="84">
      <c r="A84" s="10" t="n">
        <v>42826</v>
      </c>
      <c r="B84" s="18">
        <f>IF(VLOOKUP(A84,'DB Country PMI'!$A:$AZ,MATCH($A$1,'DB Country PMI'!$A$1:$AZ$1,),)=0,#N/A,VLOOKUP(A84,'DB Country PMI'!$A:$AZ,MATCH($A$1,'DB Country PMI'!$A$1:$AZ$1,),))</f>
        <v/>
      </c>
      <c r="C84" s="24">
        <f>Table134681112141516171819202225[[#This Row],[PMI]]-B83</f>
        <v/>
      </c>
    </row>
    <row r="85">
      <c r="A85" s="10" t="n">
        <v>42856</v>
      </c>
      <c r="B85" s="18">
        <f>IF(VLOOKUP(A85,'DB Country PMI'!$A:$AZ,MATCH($A$1,'DB Country PMI'!$A$1:$AZ$1,),)=0,#N/A,VLOOKUP(A85,'DB Country PMI'!$A:$AZ,MATCH($A$1,'DB Country PMI'!$A$1:$AZ$1,),))</f>
        <v/>
      </c>
      <c r="C85" s="24">
        <f>Table134681112141516171819202225[[#This Row],[PMI]]-B84</f>
        <v/>
      </c>
    </row>
    <row r="86">
      <c r="A86" s="10" t="n">
        <v>42887</v>
      </c>
      <c r="B86" s="18">
        <f>IF(VLOOKUP(A86,'DB Country PMI'!$A:$AZ,MATCH($A$1,'DB Country PMI'!$A$1:$AZ$1,),)=0,#N/A,VLOOKUP(A86,'DB Country PMI'!$A:$AZ,MATCH($A$1,'DB Country PMI'!$A$1:$AZ$1,),))</f>
        <v/>
      </c>
      <c r="C86" s="24">
        <f>Table134681112141516171819202225[[#This Row],[PMI]]-B85</f>
        <v/>
      </c>
    </row>
    <row r="87">
      <c r="A87" s="10" t="n">
        <v>42917</v>
      </c>
      <c r="B87" s="18">
        <f>IF(VLOOKUP(A87,'DB Country PMI'!$A:$AZ,MATCH($A$1,'DB Country PMI'!$A$1:$AZ$1,),)=0,#N/A,VLOOKUP(A87,'DB Country PMI'!$A:$AZ,MATCH($A$1,'DB Country PMI'!$A$1:$AZ$1,),))</f>
        <v/>
      </c>
      <c r="C87" s="24">
        <f>Table134681112141516171819202225[[#This Row],[PMI]]-B86</f>
        <v/>
      </c>
    </row>
    <row r="88">
      <c r="A88" s="10" t="n">
        <v>42948</v>
      </c>
      <c r="B88" s="18">
        <f>IF(VLOOKUP(A88,'DB Country PMI'!$A:$AZ,MATCH($A$1,'DB Country PMI'!$A$1:$AZ$1,),)=0,#N/A,VLOOKUP(A88,'DB Country PMI'!$A:$AZ,MATCH($A$1,'DB Country PMI'!$A$1:$AZ$1,),))</f>
        <v/>
      </c>
      <c r="C88" s="24">
        <f>Table134681112141516171819202225[[#This Row],[PMI]]-B87</f>
        <v/>
      </c>
    </row>
    <row r="89">
      <c r="A89" s="10" t="n">
        <v>42979</v>
      </c>
      <c r="B89" s="18">
        <f>IF(VLOOKUP(A89,'DB Country PMI'!$A:$AZ,MATCH($A$1,'DB Country PMI'!$A$1:$AZ$1,),)=0,#N/A,VLOOKUP(A89,'DB Country PMI'!$A:$AZ,MATCH($A$1,'DB Country PMI'!$A$1:$AZ$1,),))</f>
        <v/>
      </c>
      <c r="C89" s="24">
        <f>Table134681112141516171819202225[[#This Row],[PMI]]-B88</f>
        <v/>
      </c>
    </row>
    <row r="90">
      <c r="A90" s="10" t="n">
        <v>43009</v>
      </c>
      <c r="B90" s="18">
        <f>IF(VLOOKUP(A90,'DB Country PMI'!$A:$AZ,MATCH($A$1,'DB Country PMI'!$A$1:$AZ$1,),)=0,#N/A,VLOOKUP(A90,'DB Country PMI'!$A:$AZ,MATCH($A$1,'DB Country PMI'!$A$1:$AZ$1,),))</f>
        <v/>
      </c>
      <c r="C90" s="24">
        <f>Table134681112141516171819202225[[#This Row],[PMI]]-B89</f>
        <v/>
      </c>
    </row>
    <row r="91">
      <c r="A91" s="10" t="n">
        <v>43040</v>
      </c>
      <c r="B91" s="18">
        <f>IF(VLOOKUP(A91,'DB Country PMI'!$A:$AZ,MATCH($A$1,'DB Country PMI'!$A$1:$AZ$1,),)=0,#N/A,VLOOKUP(A91,'DB Country PMI'!$A:$AZ,MATCH($A$1,'DB Country PMI'!$A$1:$AZ$1,),))</f>
        <v/>
      </c>
      <c r="C91" s="24">
        <f>Table134681112141516171819202225[[#This Row],[PMI]]-B90</f>
        <v/>
      </c>
    </row>
    <row r="92">
      <c r="A92" s="10" t="n">
        <v>43070</v>
      </c>
      <c r="B92" s="18">
        <f>IF(VLOOKUP(A92,'DB Country PMI'!$A:$AZ,MATCH($A$1,'DB Country PMI'!$A$1:$AZ$1,),)=0,#N/A,VLOOKUP(A92,'DB Country PMI'!$A:$AZ,MATCH($A$1,'DB Country PMI'!$A$1:$AZ$1,),))</f>
        <v/>
      </c>
      <c r="C92" s="24">
        <f>Table134681112141516171819202225[[#This Row],[PMI]]-B91</f>
        <v/>
      </c>
    </row>
    <row r="93">
      <c r="A93" s="10" t="n">
        <v>43101</v>
      </c>
      <c r="B93" s="18">
        <f>IF(VLOOKUP(A93,'DB Country PMI'!$A:$AZ,MATCH($A$1,'DB Country PMI'!$A$1:$AZ$1,),)=0,#N/A,VLOOKUP(A93,'DB Country PMI'!$A:$AZ,MATCH($A$1,'DB Country PMI'!$A$1:$AZ$1,),))</f>
        <v/>
      </c>
      <c r="C93" s="24">
        <f>Table134681112141516171819202225[[#This Row],[PMI]]-B92</f>
        <v/>
      </c>
    </row>
    <row r="94">
      <c r="A94" s="10" t="n">
        <v>43132</v>
      </c>
      <c r="B94" s="18">
        <f>IF(VLOOKUP(A94,'DB Country PMI'!$A:$AZ,MATCH($A$1,'DB Country PMI'!$A$1:$AZ$1,),)=0,#N/A,VLOOKUP(A94,'DB Country PMI'!$A:$AZ,MATCH($A$1,'DB Country PMI'!$A$1:$AZ$1,),))</f>
        <v/>
      </c>
      <c r="C94" s="24">
        <f>Table134681112141516171819202225[[#This Row],[PMI]]-B93</f>
        <v/>
      </c>
    </row>
    <row r="95">
      <c r="A95" s="10" t="n">
        <v>43160</v>
      </c>
      <c r="B95" s="18">
        <f>IF(VLOOKUP(A95,'DB Country PMI'!$A:$AZ,MATCH($A$1,'DB Country PMI'!$A$1:$AZ$1,),)=0,#N/A,VLOOKUP(A95,'DB Country PMI'!$A:$AZ,MATCH($A$1,'DB Country PMI'!$A$1:$AZ$1,),))</f>
        <v/>
      </c>
      <c r="C95" s="24">
        <f>Table134681112141516171819202225[[#This Row],[PMI]]-B94</f>
        <v/>
      </c>
    </row>
    <row r="96">
      <c r="A96" s="10" t="n">
        <v>43191</v>
      </c>
      <c r="B96" s="18">
        <f>IF(VLOOKUP(A96,'DB Country PMI'!$A:$AZ,MATCH($A$1,'DB Country PMI'!$A$1:$AZ$1,),)=0,#N/A,VLOOKUP(A96,'DB Country PMI'!$A:$AZ,MATCH($A$1,'DB Country PMI'!$A$1:$AZ$1,),))</f>
        <v/>
      </c>
      <c r="C96" s="24">
        <f>Table134681112141516171819202225[[#This Row],[PMI]]-B95</f>
        <v/>
      </c>
    </row>
    <row r="97">
      <c r="A97" s="10" t="n">
        <v>43221</v>
      </c>
      <c r="B97" s="18">
        <f>IF(VLOOKUP(A97,'DB Country PMI'!$A:$AZ,MATCH($A$1,'DB Country PMI'!$A$1:$AZ$1,),)=0,#N/A,VLOOKUP(A97,'DB Country PMI'!$A:$AZ,MATCH($A$1,'DB Country PMI'!$A$1:$AZ$1,),))</f>
        <v/>
      </c>
      <c r="C97" s="24">
        <f>Table134681112141516171819202225[[#This Row],[PMI]]-B96</f>
        <v/>
      </c>
    </row>
    <row r="98">
      <c r="A98" s="10" t="n">
        <v>43252</v>
      </c>
      <c r="B98" s="18">
        <f>IF(VLOOKUP(A98,'DB Country PMI'!$A:$AZ,MATCH($A$1,'DB Country PMI'!$A$1:$AZ$1,),)=0,#N/A,VLOOKUP(A98,'DB Country PMI'!$A:$AZ,MATCH($A$1,'DB Country PMI'!$A$1:$AZ$1,),))</f>
        <v/>
      </c>
      <c r="C98" s="24">
        <f>Table134681112141516171819202225[[#This Row],[PMI]]-B97</f>
        <v/>
      </c>
    </row>
    <row r="99">
      <c r="A99" s="10" t="n">
        <v>43282</v>
      </c>
      <c r="B99" s="18">
        <f>IF(VLOOKUP(A99,'DB Country PMI'!$A:$AZ,MATCH($A$1,'DB Country PMI'!$A$1:$AZ$1,),)=0,#N/A,VLOOKUP(A99,'DB Country PMI'!$A:$AZ,MATCH($A$1,'DB Country PMI'!$A$1:$AZ$1,),))</f>
        <v/>
      </c>
      <c r="C99" s="24">
        <f>Table134681112141516171819202225[[#This Row],[PMI]]-B98</f>
        <v/>
      </c>
    </row>
    <row r="100">
      <c r="A100" s="10" t="n">
        <v>43313</v>
      </c>
      <c r="B100" s="18">
        <f>IF(VLOOKUP(A100,'DB Country PMI'!$A:$AZ,MATCH($A$1,'DB Country PMI'!$A$1:$AZ$1,),)=0,#N/A,VLOOKUP(A100,'DB Country PMI'!$A:$AZ,MATCH($A$1,'DB Country PMI'!$A$1:$AZ$1,),))</f>
        <v/>
      </c>
      <c r="C100" s="24">
        <f>Table134681112141516171819202225[[#This Row],[PMI]]-B99</f>
        <v/>
      </c>
    </row>
    <row r="101">
      <c r="A101" s="10" t="n">
        <v>43344</v>
      </c>
      <c r="B101" s="18">
        <f>IF(VLOOKUP(A101,'DB Country PMI'!$A:$AZ,MATCH($A$1,'DB Country PMI'!$A$1:$AZ$1,),)=0,#N/A,VLOOKUP(A101,'DB Country PMI'!$A:$AZ,MATCH($A$1,'DB Country PMI'!$A$1:$AZ$1,),))</f>
        <v/>
      </c>
      <c r="C101" s="24">
        <f>Table134681112141516171819202225[[#This Row],[PMI]]-B100</f>
        <v/>
      </c>
    </row>
    <row r="102">
      <c r="A102" s="10" t="n">
        <v>43374</v>
      </c>
      <c r="B102" s="18">
        <f>IF(VLOOKUP(A102,'DB Country PMI'!$A:$AZ,MATCH($A$1,'DB Country PMI'!$A$1:$AZ$1,),)=0,#N/A,VLOOKUP(A102,'DB Country PMI'!$A:$AZ,MATCH($A$1,'DB Country PMI'!$A$1:$AZ$1,),))</f>
        <v/>
      </c>
      <c r="C102" s="24">
        <f>Table134681112141516171819202225[[#This Row],[PMI]]-B101</f>
        <v/>
      </c>
    </row>
    <row r="103">
      <c r="A103" s="10" t="n">
        <v>43405</v>
      </c>
      <c r="B103" s="18">
        <f>IF(VLOOKUP(A103,'DB Country PMI'!$A:$AZ,MATCH($A$1,'DB Country PMI'!$A$1:$AZ$1,),)=0,#N/A,VLOOKUP(A103,'DB Country PMI'!$A:$AZ,MATCH($A$1,'DB Country PMI'!$A$1:$AZ$1,),))</f>
        <v/>
      </c>
      <c r="C103" s="24">
        <f>Table134681112141516171819202225[[#This Row],[PMI]]-B102</f>
        <v/>
      </c>
    </row>
    <row r="104">
      <c r="A104" s="10" t="n">
        <v>43435</v>
      </c>
      <c r="B104" s="18">
        <f>IF(VLOOKUP(A104,'DB Country PMI'!$A:$AZ,MATCH($A$1,'DB Country PMI'!$A$1:$AZ$1,),)=0,#N/A,VLOOKUP(A104,'DB Country PMI'!$A:$AZ,MATCH($A$1,'DB Country PMI'!$A$1:$AZ$1,),))</f>
        <v/>
      </c>
      <c r="C104" s="24">
        <f>Table134681112141516171819202225[[#This Row],[PMI]]-B103</f>
        <v/>
      </c>
    </row>
    <row r="105">
      <c r="A105" s="10" t="n">
        <v>43466</v>
      </c>
      <c r="B105" s="18">
        <f>IF(VLOOKUP(A105,'DB Country PMI'!$A:$AZ,MATCH($A$1,'DB Country PMI'!$A$1:$AZ$1,),)=0,#N/A,VLOOKUP(A105,'DB Country PMI'!$A:$AZ,MATCH($A$1,'DB Country PMI'!$A$1:$AZ$1,),))</f>
        <v/>
      </c>
      <c r="C105" s="24">
        <f>Table134681112141516171819202225[[#This Row],[PMI]]-B104</f>
        <v/>
      </c>
    </row>
    <row r="106">
      <c r="A106" s="10" t="n">
        <v>43497</v>
      </c>
      <c r="B106" s="18">
        <f>IF(VLOOKUP(A106,'DB Country PMI'!$A:$AZ,MATCH($A$1,'DB Country PMI'!$A$1:$AZ$1,),)=0,#N/A,VLOOKUP(A106,'DB Country PMI'!$A:$AZ,MATCH($A$1,'DB Country PMI'!$A$1:$AZ$1,),))</f>
        <v/>
      </c>
      <c r="C106" s="24">
        <f>Table134681112141516171819202225[[#This Row],[PMI]]-B105</f>
        <v/>
      </c>
    </row>
    <row r="107">
      <c r="A107" s="10" t="n">
        <v>43525</v>
      </c>
      <c r="B107" s="18">
        <f>IF(VLOOKUP(A107,'DB Country PMI'!$A:$AZ,MATCH($A$1,'DB Country PMI'!$A$1:$AZ$1,),)=0,#N/A,VLOOKUP(A107,'DB Country PMI'!$A:$AZ,MATCH($A$1,'DB Country PMI'!$A$1:$AZ$1,),))</f>
        <v/>
      </c>
      <c r="C107" s="24">
        <f>Table134681112141516171819202225[[#This Row],[PMI]]-B106</f>
        <v/>
      </c>
    </row>
    <row r="108">
      <c r="A108" s="10" t="n">
        <v>43556</v>
      </c>
      <c r="B108" s="18">
        <f>IF(VLOOKUP(A108,'DB Country PMI'!$A:$AZ,MATCH($A$1,'DB Country PMI'!$A$1:$AZ$1,),)=0,#N/A,VLOOKUP(A108,'DB Country PMI'!$A:$AZ,MATCH($A$1,'DB Country PMI'!$A$1:$AZ$1,),))</f>
        <v/>
      </c>
      <c r="C108" s="24">
        <f>Table134681112141516171819202225[[#This Row],[PMI]]-B107</f>
        <v/>
      </c>
    </row>
    <row r="109">
      <c r="A109" s="10" t="n">
        <v>43586</v>
      </c>
      <c r="B109" s="18">
        <f>IF(VLOOKUP(A109,'DB Country PMI'!$A:$AZ,MATCH($A$1,'DB Country PMI'!$A$1:$AZ$1,),)=0,#N/A,VLOOKUP(A109,'DB Country PMI'!$A:$AZ,MATCH($A$1,'DB Country PMI'!$A$1:$AZ$1,),))</f>
        <v/>
      </c>
      <c r="C109" s="24">
        <f>Table134681112141516171819202225[[#This Row],[PMI]]-B108</f>
        <v/>
      </c>
    </row>
    <row r="110">
      <c r="A110" s="10" t="n">
        <v>43617</v>
      </c>
      <c r="B110" s="18">
        <f>IF(VLOOKUP(A110,'DB Country PMI'!$A:$AZ,MATCH($A$1,'DB Country PMI'!$A$1:$AZ$1,),)=0,#N/A,VLOOKUP(A110,'DB Country PMI'!$A:$AZ,MATCH($A$1,'DB Country PMI'!$A$1:$AZ$1,),))</f>
        <v/>
      </c>
      <c r="C110" s="24">
        <f>Table134681112141516171819202225[[#This Row],[PMI]]-B109</f>
        <v/>
      </c>
    </row>
    <row r="111">
      <c r="A111" s="10" t="n">
        <v>43647</v>
      </c>
      <c r="B111" s="18">
        <f>IF(VLOOKUP(A111,'DB Country PMI'!$A:$AZ,MATCH($A$1,'DB Country PMI'!$A$1:$AZ$1,),)=0,#N/A,VLOOKUP(A111,'DB Country PMI'!$A:$AZ,MATCH($A$1,'DB Country PMI'!$A$1:$AZ$1,),))</f>
        <v/>
      </c>
      <c r="C111" s="24">
        <f>Table134681112141516171819202225[[#This Row],[PMI]]-B110</f>
        <v/>
      </c>
    </row>
    <row r="112">
      <c r="A112" s="10" t="n">
        <v>43678</v>
      </c>
      <c r="B112" s="18">
        <f>IF(VLOOKUP(A112,'DB Country PMI'!$A:$AZ,MATCH($A$1,'DB Country PMI'!$A$1:$AZ$1,),)=0,#N/A,VLOOKUP(A112,'DB Country PMI'!$A:$AZ,MATCH($A$1,'DB Country PMI'!$A$1:$AZ$1,),))</f>
        <v/>
      </c>
      <c r="C112" s="24">
        <f>Table134681112141516171819202225[[#This Row],[PMI]]-B111</f>
        <v/>
      </c>
    </row>
    <row r="113">
      <c r="A113" s="10" t="n">
        <v>43709</v>
      </c>
      <c r="B113" s="18">
        <f>IF(VLOOKUP(A113,'DB Country PMI'!$A:$AZ,MATCH($A$1,'DB Country PMI'!$A$1:$AZ$1,),)=0,#N/A,VLOOKUP(A113,'DB Country PMI'!$A:$AZ,MATCH($A$1,'DB Country PMI'!$A$1:$AZ$1,),))</f>
        <v/>
      </c>
      <c r="C113" s="24">
        <f>Table134681112141516171819202225[[#This Row],[PMI]]-B112</f>
        <v/>
      </c>
    </row>
    <row r="114">
      <c r="A114" s="10" t="n">
        <v>43739</v>
      </c>
      <c r="B114" s="18">
        <f>IF(VLOOKUP(A114,'DB Country PMI'!$A:$AZ,MATCH($A$1,'DB Country PMI'!$A$1:$AZ$1,),)=0,#N/A,VLOOKUP(A114,'DB Country PMI'!$A:$AZ,MATCH($A$1,'DB Country PMI'!$A$1:$AZ$1,),))</f>
        <v/>
      </c>
      <c r="C114" s="24">
        <f>Table134681112141516171819202225[[#This Row],[PMI]]-B113</f>
        <v/>
      </c>
    </row>
    <row r="115">
      <c r="A115" s="10" t="n">
        <v>43770</v>
      </c>
      <c r="B115" s="18">
        <f>IF(VLOOKUP(A115,'DB Country PMI'!$A:$AZ,MATCH($A$1,'DB Country PMI'!$A$1:$AZ$1,),)=0,#N/A,VLOOKUP(A115,'DB Country PMI'!$A:$AZ,MATCH($A$1,'DB Country PMI'!$A$1:$AZ$1,),))</f>
        <v/>
      </c>
      <c r="C115" s="24">
        <f>Table134681112141516171819202225[[#This Row],[PMI]]-B114</f>
        <v/>
      </c>
    </row>
    <row r="116">
      <c r="A116" s="10" t="n">
        <v>43800</v>
      </c>
      <c r="B116" s="18">
        <f>IF(VLOOKUP(A116,'DB Country PMI'!$A:$AZ,MATCH($A$1,'DB Country PMI'!$A$1:$AZ$1,),)=0,#N/A,VLOOKUP(A116,'DB Country PMI'!$A:$AZ,MATCH($A$1,'DB Country PMI'!$A$1:$AZ$1,),))</f>
        <v/>
      </c>
      <c r="C116" s="24">
        <f>Table134681112141516171819202225[[#This Row],[PMI]]-B115</f>
        <v/>
      </c>
    </row>
    <row r="117">
      <c r="A117" s="10" t="n">
        <v>43831</v>
      </c>
      <c r="B117" s="18">
        <f>IF(VLOOKUP(A117,'DB Country PMI'!$A:$AZ,MATCH($A$1,'DB Country PMI'!$A$1:$AZ$1,),)=0,#N/A,VLOOKUP(A117,'DB Country PMI'!$A:$AZ,MATCH($A$1,'DB Country PMI'!$A$1:$AZ$1,),))</f>
        <v/>
      </c>
      <c r="C117" s="24">
        <f>Table134681112141516171819202225[[#This Row],[PMI]]-B116</f>
        <v/>
      </c>
    </row>
    <row r="118">
      <c r="A118" s="10" t="n">
        <v>43862</v>
      </c>
      <c r="B118" s="18">
        <f>IF(VLOOKUP(A118,'DB Country PMI'!$A:$AZ,MATCH($A$1,'DB Country PMI'!$A$1:$AZ$1,),)=0,#N/A,VLOOKUP(A118,'DB Country PMI'!$A:$AZ,MATCH($A$1,'DB Country PMI'!$A$1:$AZ$1,),))</f>
        <v/>
      </c>
      <c r="C118" s="24">
        <f>Table134681112141516171819202225[[#This Row],[PMI]]-B117</f>
        <v/>
      </c>
    </row>
    <row r="119">
      <c r="A119" s="10" t="n">
        <v>43891</v>
      </c>
      <c r="B119" s="18">
        <f>IF(VLOOKUP(A119,'DB Country PMI'!$A:$AZ,MATCH($A$1,'DB Country PMI'!$A$1:$AZ$1,),)=0,#N/A,VLOOKUP(A119,'DB Country PMI'!$A:$AZ,MATCH($A$1,'DB Country PMI'!$A$1:$AZ$1,),))</f>
        <v/>
      </c>
      <c r="C119" s="24">
        <f>Table134681112141516171819202225[[#This Row],[PMI]]-B118</f>
        <v/>
      </c>
    </row>
    <row r="120">
      <c r="A120" s="10" t="n">
        <v>43922</v>
      </c>
      <c r="B120" s="18">
        <f>IF(VLOOKUP(A120,'DB Country PMI'!$A:$AZ,MATCH($A$1,'DB Country PMI'!$A$1:$AZ$1,),)=0,#N/A,VLOOKUP(A120,'DB Country PMI'!$A:$AZ,MATCH($A$1,'DB Country PMI'!$A$1:$AZ$1,),))</f>
        <v/>
      </c>
      <c r="C120" s="24">
        <f>Table134681112141516171819202225[[#This Row],[PMI]]-B119</f>
        <v/>
      </c>
    </row>
    <row r="121">
      <c r="A121" s="10" t="n">
        <v>43952</v>
      </c>
      <c r="B121" s="18">
        <f>IF(VLOOKUP(A121,'DB Country PMI'!$A:$AZ,MATCH($A$1,'DB Country PMI'!$A$1:$AZ$1,),)=0,#N/A,VLOOKUP(A121,'DB Country PMI'!$A:$AZ,MATCH($A$1,'DB Country PMI'!$A$1:$AZ$1,),))</f>
        <v/>
      </c>
      <c r="C121" s="24">
        <f>Table134681112141516171819202225[[#This Row],[PMI]]-B120</f>
        <v/>
      </c>
    </row>
    <row r="122">
      <c r="A122" s="10" t="n">
        <v>43983</v>
      </c>
      <c r="B122" s="18">
        <f>IF(VLOOKUP(A122,'DB Country PMI'!$A:$AZ,MATCH($A$1,'DB Country PMI'!$A$1:$AZ$1,),)=0,#N/A,VLOOKUP(A122,'DB Country PMI'!$A:$AZ,MATCH($A$1,'DB Country PMI'!$A$1:$AZ$1,),))</f>
        <v/>
      </c>
      <c r="C122" s="24">
        <f>Table134681112141516171819202225[[#This Row],[PMI]]-B121</f>
        <v/>
      </c>
    </row>
    <row r="123">
      <c r="A123" s="10" t="n">
        <v>44013</v>
      </c>
      <c r="B123" s="18">
        <f>IF(VLOOKUP(A123,'DB Country PMI'!$A:$AZ,MATCH($A$1,'DB Country PMI'!$A$1:$AZ$1,),)=0,#N/A,VLOOKUP(A123,'DB Country PMI'!$A:$AZ,MATCH($A$1,'DB Country PMI'!$A$1:$AZ$1,),))</f>
        <v/>
      </c>
      <c r="C123" s="24">
        <f>Table134681112141516171819202225[[#This Row],[PMI]]-B122</f>
        <v/>
      </c>
    </row>
    <row r="124">
      <c r="A124" s="10" t="n">
        <v>44044</v>
      </c>
      <c r="B124" s="18">
        <f>IF(VLOOKUP(A124,'DB Country PMI'!$A:$AZ,MATCH($A$1,'DB Country PMI'!$A$1:$AZ$1,),)=0,#N/A,VLOOKUP(A124,'DB Country PMI'!$A:$AZ,MATCH($A$1,'DB Country PMI'!$A$1:$AZ$1,),))</f>
        <v/>
      </c>
      <c r="C124" s="24">
        <f>Table134681112141516171819202225[[#This Row],[PMI]]-B123</f>
        <v/>
      </c>
    </row>
    <row r="125">
      <c r="A125" s="10" t="n">
        <v>44075</v>
      </c>
      <c r="B125" s="18">
        <f>IF(VLOOKUP(A125,'DB Country PMI'!$A:$AZ,MATCH($A$1,'DB Country PMI'!$A$1:$AZ$1,),)=0,#N/A,VLOOKUP(A125,'DB Country PMI'!$A:$AZ,MATCH($A$1,'DB Country PMI'!$A$1:$AZ$1,),))</f>
        <v/>
      </c>
      <c r="C125" s="24">
        <f>Table134681112141516171819202225[[#This Row],[PMI]]-B124</f>
        <v/>
      </c>
    </row>
    <row r="126">
      <c r="A126" s="10" t="n">
        <v>44105</v>
      </c>
      <c r="B126" s="18">
        <f>IF(VLOOKUP(A126,'DB Country PMI'!$A:$AZ,MATCH($A$1,'DB Country PMI'!$A$1:$AZ$1,),)=0,#N/A,VLOOKUP(A126,'DB Country PMI'!$A:$AZ,MATCH($A$1,'DB Country PMI'!$A$1:$AZ$1,),))</f>
        <v/>
      </c>
      <c r="C126" s="24">
        <f>Table134681112141516171819202225[[#This Row],[PMI]]-B125</f>
        <v/>
      </c>
    </row>
    <row r="127">
      <c r="A127" s="10" t="n">
        <v>44136</v>
      </c>
      <c r="B127" s="18">
        <f>IF(VLOOKUP(A127,'DB Country PMI'!$A:$AZ,MATCH($A$1,'DB Country PMI'!$A$1:$AZ$1,),)=0,#N/A,VLOOKUP(A127,'DB Country PMI'!$A:$AZ,MATCH($A$1,'DB Country PMI'!$A$1:$AZ$1,),))</f>
        <v/>
      </c>
      <c r="C127" s="24">
        <f>Table134681112141516171819202225[[#This Row],[PMI]]-B126</f>
        <v/>
      </c>
    </row>
    <row r="128">
      <c r="A128" s="10" t="n">
        <v>44166</v>
      </c>
      <c r="B128" s="18">
        <f>IF(VLOOKUP(A128,'DB Country PMI'!$A:$AZ,MATCH($A$1,'DB Country PMI'!$A$1:$AZ$1,),)=0,#N/A,VLOOKUP(A128,'DB Country PMI'!$A:$AZ,MATCH($A$1,'DB Country PMI'!$A$1:$AZ$1,),))</f>
        <v/>
      </c>
      <c r="C128" s="24">
        <f>Table134681112141516171819202225[[#This Row],[PMI]]-B127</f>
        <v/>
      </c>
    </row>
    <row r="129">
      <c r="A129" s="10" t="n">
        <v>44197</v>
      </c>
      <c r="B129" s="18">
        <f>IF(VLOOKUP(A129,'DB Country PMI'!$A:$AZ,MATCH($A$1,'DB Country PMI'!$A$1:$AZ$1,),)=0,#N/A,VLOOKUP(A129,'DB Country PMI'!$A:$AZ,MATCH($A$1,'DB Country PMI'!$A$1:$AZ$1,),))</f>
        <v/>
      </c>
      <c r="C129" s="24">
        <f>Table134681112141516171819202225[[#This Row],[PMI]]-B128</f>
        <v/>
      </c>
    </row>
    <row r="130">
      <c r="A130" s="10" t="n">
        <v>44228</v>
      </c>
      <c r="B130" s="18">
        <f>IF(VLOOKUP(A130,'DB Country PMI'!$A:$AZ,MATCH($A$1,'DB Country PMI'!$A$1:$AZ$1,),)=0,#N/A,VLOOKUP(A130,'DB Country PMI'!$A:$AZ,MATCH($A$1,'DB Country PMI'!$A$1:$AZ$1,),))</f>
        <v/>
      </c>
      <c r="C130" s="24">
        <f>Table134681112141516171819202225[[#This Row],[PMI]]-B129</f>
        <v/>
      </c>
    </row>
    <row r="131">
      <c r="A131" s="10" t="n">
        <v>44256</v>
      </c>
      <c r="B131" s="18">
        <f>IF(VLOOKUP(A131,'DB Country PMI'!$A:$AZ,MATCH($A$1,'DB Country PMI'!$A$1:$AZ$1,),)=0,#N/A,VLOOKUP(A131,'DB Country PMI'!$A:$AZ,MATCH($A$1,'DB Country PMI'!$A$1:$AZ$1,),))</f>
        <v/>
      </c>
      <c r="C131" s="24">
        <f>Table134681112141516171819202225[[#This Row],[PMI]]-B130</f>
        <v/>
      </c>
    </row>
    <row r="132">
      <c r="A132" s="10" t="n">
        <v>44287</v>
      </c>
      <c r="B132" s="18">
        <f>IF(VLOOKUP(A132,'DB Country PMI'!$A:$AZ,MATCH($A$1,'DB Country PMI'!$A$1:$AZ$1,),)=0,#N/A,VLOOKUP(A132,'DB Country PMI'!$A:$AZ,MATCH($A$1,'DB Country PMI'!$A$1:$AZ$1,),))</f>
        <v/>
      </c>
      <c r="C132" s="24">
        <f>Table134681112141516171819202225[[#This Row],[PMI]]-B131</f>
        <v/>
      </c>
    </row>
    <row r="133">
      <c r="A133" s="10" t="n">
        <v>44317</v>
      </c>
      <c r="B133" s="18">
        <f>IF(VLOOKUP(A133,'DB Country PMI'!$A:$AZ,MATCH($A$1,'DB Country PMI'!$A$1:$AZ$1,),)=0,#N/A,VLOOKUP(A133,'DB Country PMI'!$A:$AZ,MATCH($A$1,'DB Country PMI'!$A$1:$AZ$1,),))</f>
        <v/>
      </c>
      <c r="C133" s="24">
        <f>Table134681112141516171819202225[[#This Row],[PMI]]-B132</f>
        <v/>
      </c>
    </row>
    <row r="134">
      <c r="A134" s="10" t="n">
        <v>44348</v>
      </c>
      <c r="B134" s="18">
        <f>IF(VLOOKUP(A134,'DB Country PMI'!$A:$AZ,MATCH($A$1,'DB Country PMI'!$A$1:$AZ$1,),)=0,#N/A,VLOOKUP(A134,'DB Country PMI'!$A:$AZ,MATCH($A$1,'DB Country PMI'!$A$1:$AZ$1,),))</f>
        <v/>
      </c>
      <c r="C134" s="24">
        <f>Table134681112141516171819202225[[#This Row],[PMI]]-B133</f>
        <v/>
      </c>
    </row>
    <row r="135">
      <c r="A135" s="10" t="n">
        <v>44378</v>
      </c>
      <c r="B135" s="18">
        <f>IF(VLOOKUP(A135,'DB Country PMI'!$A:$AZ,MATCH($A$1,'DB Country PMI'!$A$1:$AZ$1,),)=0,#N/A,VLOOKUP(A135,'DB Country PMI'!$A:$AZ,MATCH($A$1,'DB Country PMI'!$A$1:$AZ$1,),))</f>
        <v/>
      </c>
      <c r="C135" s="24">
        <f>Table134681112141516171819202225[[#This Row],[PMI]]-B134</f>
        <v/>
      </c>
    </row>
    <row r="136">
      <c r="A136" s="10" t="n">
        <v>44409</v>
      </c>
      <c r="B136" s="18">
        <f>IF(VLOOKUP(A136,'DB Country PMI'!$A:$AZ,MATCH($A$1,'DB Country PMI'!$A$1:$AZ$1,),)=0,#N/A,VLOOKUP(A136,'DB Country PMI'!$A:$AZ,MATCH($A$1,'DB Country PMI'!$A$1:$AZ$1,),))</f>
        <v/>
      </c>
      <c r="C136" s="24">
        <f>Table134681112141516171819202225[[#This Row],[PMI]]-B135</f>
        <v/>
      </c>
    </row>
    <row r="137">
      <c r="A137" s="10" t="n">
        <v>44440</v>
      </c>
      <c r="B137" s="18">
        <f>IF(VLOOKUP(A137,'DB Country PMI'!$A:$AZ,MATCH($A$1,'DB Country PMI'!$A$1:$AZ$1,),)=0,#N/A,VLOOKUP(A137,'DB Country PMI'!$A:$AZ,MATCH($A$1,'DB Country PMI'!$A$1:$AZ$1,),))</f>
        <v/>
      </c>
      <c r="C137" s="24">
        <f>Table134681112141516171819202225[[#This Row],[PMI]]-B136</f>
        <v/>
      </c>
    </row>
    <row r="138">
      <c r="A138" s="10" t="n">
        <v>44470</v>
      </c>
      <c r="B138" s="18">
        <f>IF(VLOOKUP(A138,'DB Country PMI'!$A:$AZ,MATCH($A$1,'DB Country PMI'!$A$1:$AZ$1,),)=0,#N/A,VLOOKUP(A138,'DB Country PMI'!$A:$AZ,MATCH($A$1,'DB Country PMI'!$A$1:$AZ$1,),))</f>
        <v/>
      </c>
      <c r="C138" s="24">
        <f>Table134681112141516171819202225[[#This Row],[PMI]]-B137</f>
        <v/>
      </c>
    </row>
    <row r="139">
      <c r="A139" s="10" t="n">
        <v>44501</v>
      </c>
      <c r="B139" s="18">
        <f>IF(VLOOKUP(A139,'DB Country PMI'!$A:$AZ,MATCH($A$1,'DB Country PMI'!$A$1:$AZ$1,),)=0,#N/A,VLOOKUP(A139,'DB Country PMI'!$A:$AZ,MATCH($A$1,'DB Country PMI'!$A$1:$AZ$1,),))</f>
        <v/>
      </c>
      <c r="C139" s="24">
        <f>Table134681112141516171819202225[[#This Row],[PMI]]-B138</f>
        <v/>
      </c>
    </row>
    <row r="140">
      <c r="A140" s="10" t="n">
        <v>44531</v>
      </c>
      <c r="B140" s="18">
        <f>IF(VLOOKUP(A140,'DB Country PMI'!$A:$AZ,MATCH($A$1,'DB Country PMI'!$A$1:$AZ$1,),)=0,#N/A,VLOOKUP(A140,'DB Country PMI'!$A:$AZ,MATCH($A$1,'DB Country PMI'!$A$1:$AZ$1,),))</f>
        <v/>
      </c>
      <c r="C140" s="24">
        <f>Table134681112141516171819202225[[#This Row],[PMI]]-B139</f>
        <v/>
      </c>
    </row>
    <row r="141">
      <c r="A141" s="10" t="n">
        <v>44562</v>
      </c>
      <c r="B141" s="18">
        <f>IF(VLOOKUP(A141,'DB Country PMI'!$A:$AZ,MATCH($A$1,'DB Country PMI'!$A$1:$AZ$1,),)=0,#N/A,VLOOKUP(A141,'DB Country PMI'!$A:$AZ,MATCH($A$1,'DB Country PMI'!$A$1:$AZ$1,),))</f>
        <v/>
      </c>
      <c r="C141" s="24">
        <f>Table134681112141516171819202225[[#This Row],[PMI]]-B140</f>
        <v/>
      </c>
    </row>
    <row r="142">
      <c r="A142" s="10" t="n">
        <v>44593</v>
      </c>
      <c r="B142" s="18">
        <f>IF(VLOOKUP(A142,'DB Country PMI'!$A:$AZ,MATCH($A$1,'DB Country PMI'!$A$1:$AZ$1,),)=0,#N/A,VLOOKUP(A142,'DB Country PMI'!$A:$AZ,MATCH($A$1,'DB Country PMI'!$A$1:$AZ$1,),))</f>
        <v/>
      </c>
      <c r="C142" s="24">
        <f>Table134681112141516171819202225[[#This Row],[PMI]]-B141</f>
        <v/>
      </c>
    </row>
    <row r="143">
      <c r="A143" s="10" t="n">
        <v>44621</v>
      </c>
      <c r="B143" s="18">
        <f>IF(VLOOKUP(A143,'DB Country PMI'!$A:$AZ,MATCH($A$1,'DB Country PMI'!$A$1:$AZ$1,),)=0,#N/A,VLOOKUP(A143,'DB Country PMI'!$A:$AZ,MATCH($A$1,'DB Country PMI'!$A$1:$AZ$1,),))</f>
        <v/>
      </c>
      <c r="C143" s="24">
        <f>Table134681112141516171819202225[[#This Row],[PMI]]-B142</f>
        <v/>
      </c>
    </row>
    <row r="144">
      <c r="A144" s="10" t="n">
        <v>44652</v>
      </c>
      <c r="B144" s="18">
        <f>IF(VLOOKUP(A144,'DB Country PMI'!$A:$AZ,MATCH($A$1,'DB Country PMI'!$A$1:$AZ$1,),)=0,#N/A,VLOOKUP(A144,'DB Country PMI'!$A:$AZ,MATCH($A$1,'DB Country PMI'!$A$1:$AZ$1,),))</f>
        <v/>
      </c>
      <c r="C144" s="24">
        <f>Table134681112141516171819202225[[#This Row],[PMI]]-B143</f>
        <v/>
      </c>
    </row>
    <row r="145">
      <c r="A145" s="10" t="n">
        <v>44682</v>
      </c>
      <c r="B145" s="18">
        <f>IF(VLOOKUP(A145,'DB Country PMI'!$A:$AZ,MATCH($A$1,'DB Country PMI'!$A$1:$AZ$1,),)=0,#N/A,VLOOKUP(A145,'DB Country PMI'!$A:$AZ,MATCH($A$1,'DB Country PMI'!$A$1:$AZ$1,),))</f>
        <v/>
      </c>
      <c r="C145" s="24">
        <f>Table134681112141516171819202225[[#This Row],[PMI]]-B144</f>
        <v/>
      </c>
    </row>
    <row r="146">
      <c r="A146" s="10" t="n">
        <v>44713</v>
      </c>
      <c r="B146" s="18">
        <f>IF(VLOOKUP(A146,'DB Country PMI'!$A:$AZ,MATCH($A$1,'DB Country PMI'!$A$1:$AZ$1,),)=0,#N/A,VLOOKUP(A146,'DB Country PMI'!$A:$AZ,MATCH($A$1,'DB Country PMI'!$A$1:$AZ$1,),))</f>
        <v/>
      </c>
      <c r="C146" s="24">
        <f>Table134681112141516171819202225[[#This Row],[PMI]]-B145</f>
        <v/>
      </c>
    </row>
    <row r="147">
      <c r="A147" s="10" t="n">
        <v>44743</v>
      </c>
      <c r="B147" s="18">
        <f>IF(VLOOKUP(A147,'DB Country PMI'!$A:$AZ,MATCH($A$1,'DB Country PMI'!$A$1:$AZ$1,),)=0,#N/A,VLOOKUP(A147,'DB Country PMI'!$A:$AZ,MATCH($A$1,'DB Country PMI'!$A$1:$AZ$1,),))</f>
        <v/>
      </c>
      <c r="C147" s="24">
        <f>Table134681112141516171819202225[[#This Row],[PMI]]-B146</f>
        <v/>
      </c>
    </row>
    <row r="148">
      <c r="A148" s="10" t="n">
        <v>44774</v>
      </c>
      <c r="B148" s="18">
        <f>IF(VLOOKUP(A148,'DB Country PMI'!$A:$AZ,MATCH($A$1,'DB Country PMI'!$A$1:$AZ$1,),)=0,#N/A,VLOOKUP(A148,'DB Country PMI'!$A:$AZ,MATCH($A$1,'DB Country PMI'!$A$1:$AZ$1,),))</f>
        <v/>
      </c>
      <c r="C148" s="24">
        <f>Table134681112141516171819202225[[#This Row],[PMI]]-B147</f>
        <v/>
      </c>
    </row>
    <row r="149">
      <c r="A149" s="10" t="n">
        <v>44805</v>
      </c>
      <c r="B149" s="18">
        <f>IF(VLOOKUP(A149,'DB Country PMI'!$A:$AZ,MATCH($A$1,'DB Country PMI'!$A$1:$AZ$1,),)=0,#N/A,VLOOKUP(A149,'DB Country PMI'!$A:$AZ,MATCH($A$1,'DB Country PMI'!$A$1:$AZ$1,),))</f>
        <v/>
      </c>
      <c r="C149" s="24">
        <f>Table134681112141516171819202225[[#This Row],[PMI]]-B148</f>
        <v/>
      </c>
    </row>
    <row r="150">
      <c r="A150" s="10" t="n">
        <v>44835</v>
      </c>
      <c r="B150" s="18">
        <f>IF(VLOOKUP(A150,'DB Country PMI'!$A:$AZ,MATCH($A$1,'DB Country PMI'!$A$1:$AZ$1,),)=0,#N/A,VLOOKUP(A150,'DB Country PMI'!$A:$AZ,MATCH($A$1,'DB Country PMI'!$A$1:$AZ$1,),))</f>
        <v/>
      </c>
      <c r="C150" s="24">
        <f>Table134681112141516171819202225[[#This Row],[PMI]]-B149</f>
        <v/>
      </c>
    </row>
    <row r="151">
      <c r="A151" s="10" t="n">
        <v>44866</v>
      </c>
      <c r="B151" s="18">
        <f>IF(VLOOKUP(A151,'DB Country PMI'!$A:$AZ,MATCH($A$1,'DB Country PMI'!$A$1:$AZ$1,),)=0,#N/A,VLOOKUP(A151,'DB Country PMI'!$A:$AZ,MATCH($A$1,'DB Country PMI'!$A$1:$AZ$1,),))</f>
        <v/>
      </c>
      <c r="C151" s="24">
        <f>Table134681112141516171819202225[[#This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1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0.xml><?xml version="1.0" encoding="utf-8"?>
<worksheet xmlns="http://schemas.openxmlformats.org/spreadsheetml/2006/main">
  <sheetPr>
    <outlinePr summaryBelow="1" summaryRight="1"/>
    <pageSetUpPr/>
  </sheetPr>
  <dimension ref="A1:K151"/>
  <sheetViews>
    <sheetView zoomScaleNormal="100" workbookViewId="0">
      <pane ySplit="5" topLeftCell="A137" activePane="bottomLeft" state="frozen"/>
      <selection pane="bottomLeft" activeCell="A143" sqref="A143:C151"/>
    </sheetView>
  </sheetViews>
  <sheetFormatPr baseColWidth="8" defaultColWidth="9.1796875" defaultRowHeight="14.5"/>
  <cols>
    <col width="13.453125" customWidth="1" style="69" min="1" max="1"/>
    <col width="11.36328125" customWidth="1" style="69" min="2" max="2"/>
    <col width="9.1796875" customWidth="1" style="69" min="3" max="51"/>
    <col width="9.1796875" customWidth="1" style="69" min="52" max="16384"/>
  </cols>
  <sheetData>
    <row r="1">
      <c r="A1" s="69" t="inlineStr">
        <is>
          <t>India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Table13468111214151617181920222324[[#This Row],[PMI]]-B6</f>
        <v/>
      </c>
    </row>
    <row r="8">
      <c r="A8" s="10" t="n">
        <v>40513</v>
      </c>
      <c r="B8" s="18">
        <f>IF(VLOOKUP(A8,'DB Country PMI'!$A:$AZ,MATCH($A$1,'DB Country PMI'!$A$1:$AZ$1,),)=0,#N/A,VLOOKUP(A8,'DB Country PMI'!$A:$AZ,MATCH($A$1,'DB Country PMI'!$A$1:$AZ$1,),))</f>
        <v/>
      </c>
      <c r="C8" s="24">
        <f>Table13468111214151617181920222324[[#This Row],[PMI]]-B7</f>
        <v/>
      </c>
    </row>
    <row r="9">
      <c r="A9" s="10" t="n">
        <v>40544</v>
      </c>
      <c r="B9" s="18">
        <f>IF(VLOOKUP(A9,'DB Country PMI'!$A:$AZ,MATCH($A$1,'DB Country PMI'!$A$1:$AZ$1,),)=0,#N/A,VLOOKUP(A9,'DB Country PMI'!$A:$AZ,MATCH($A$1,'DB Country PMI'!$A$1:$AZ$1,),))</f>
        <v/>
      </c>
      <c r="C9" s="24">
        <f>Table13468111214151617181920222324[[#This Row],[PMI]]-B8</f>
        <v/>
      </c>
    </row>
    <row r="10">
      <c r="A10" s="10" t="n">
        <v>40575</v>
      </c>
      <c r="B10" s="18">
        <f>IF(VLOOKUP(A10,'DB Country PMI'!$A:$AZ,MATCH($A$1,'DB Country PMI'!$A$1:$AZ$1,),)=0,#N/A,VLOOKUP(A10,'DB Country PMI'!$A:$AZ,MATCH($A$1,'DB Country PMI'!$A$1:$AZ$1,),))</f>
        <v/>
      </c>
      <c r="C10" s="24">
        <f>Table13468111214151617181920222324[[#This Row],[PMI]]-B9</f>
        <v/>
      </c>
    </row>
    <row r="11">
      <c r="A11" s="10" t="n">
        <v>40603</v>
      </c>
      <c r="B11" s="18">
        <f>IF(VLOOKUP(A11,'DB Country PMI'!$A:$AZ,MATCH($A$1,'DB Country PMI'!$A$1:$AZ$1,),)=0,#N/A,VLOOKUP(A11,'DB Country PMI'!$A:$AZ,MATCH($A$1,'DB Country PMI'!$A$1:$AZ$1,),))</f>
        <v/>
      </c>
      <c r="C11" s="24">
        <f>Table13468111214151617181920222324[[#This Row],[PMI]]-B10</f>
        <v/>
      </c>
    </row>
    <row r="12">
      <c r="A12" s="10" t="n">
        <v>40634</v>
      </c>
      <c r="B12" s="18">
        <f>IF(VLOOKUP(A12,'DB Country PMI'!$A:$AZ,MATCH($A$1,'DB Country PMI'!$A$1:$AZ$1,),)=0,#N/A,VLOOKUP(A12,'DB Country PMI'!$A:$AZ,MATCH($A$1,'DB Country PMI'!$A$1:$AZ$1,),))</f>
        <v/>
      </c>
      <c r="C12" s="24">
        <f>Table13468111214151617181920222324[[#This Row],[PMI]]-B11</f>
        <v/>
      </c>
    </row>
    <row r="13">
      <c r="A13" s="10" t="n">
        <v>40664</v>
      </c>
      <c r="B13" s="18">
        <f>IF(VLOOKUP(A13,'DB Country PMI'!$A:$AZ,MATCH($A$1,'DB Country PMI'!$A$1:$AZ$1,),)=0,#N/A,VLOOKUP(A13,'DB Country PMI'!$A:$AZ,MATCH($A$1,'DB Country PMI'!$A$1:$AZ$1,),))</f>
        <v/>
      </c>
      <c r="C13" s="24">
        <f>Table13468111214151617181920222324[[#This Row],[PMI]]-B12</f>
        <v/>
      </c>
    </row>
    <row r="14">
      <c r="A14" s="10" t="n">
        <v>40695</v>
      </c>
      <c r="B14" s="18">
        <f>IF(VLOOKUP(A14,'DB Country PMI'!$A:$AZ,MATCH($A$1,'DB Country PMI'!$A$1:$AZ$1,),)=0,#N/A,VLOOKUP(A14,'DB Country PMI'!$A:$AZ,MATCH($A$1,'DB Country PMI'!$A$1:$AZ$1,),))</f>
        <v/>
      </c>
      <c r="C14" s="24">
        <f>Table13468111214151617181920222324[[#This Row],[PMI]]-B13</f>
        <v/>
      </c>
    </row>
    <row r="15">
      <c r="A15" s="10" t="n">
        <v>40725</v>
      </c>
      <c r="B15" s="18">
        <f>IF(VLOOKUP(A15,'DB Country PMI'!$A:$AZ,MATCH($A$1,'DB Country PMI'!$A$1:$AZ$1,),)=0,#N/A,VLOOKUP(A15,'DB Country PMI'!$A:$AZ,MATCH($A$1,'DB Country PMI'!$A$1:$AZ$1,),))</f>
        <v/>
      </c>
      <c r="C15" s="24">
        <f>Table13468111214151617181920222324[[#This Row],[PMI]]-B14</f>
        <v/>
      </c>
    </row>
    <row r="16">
      <c r="A16" s="10" t="n">
        <v>40756</v>
      </c>
      <c r="B16" s="18">
        <f>IF(VLOOKUP(A16,'DB Country PMI'!$A:$AZ,MATCH($A$1,'DB Country PMI'!$A$1:$AZ$1,),)=0,#N/A,VLOOKUP(A16,'DB Country PMI'!$A:$AZ,MATCH($A$1,'DB Country PMI'!$A$1:$AZ$1,),))</f>
        <v/>
      </c>
      <c r="C16" s="24">
        <f>Table13468111214151617181920222324[[#This Row],[PMI]]-B15</f>
        <v/>
      </c>
    </row>
    <row r="17">
      <c r="A17" s="10" t="n">
        <v>40787</v>
      </c>
      <c r="B17" s="18">
        <f>IF(VLOOKUP(A17,'DB Country PMI'!$A:$AZ,MATCH($A$1,'DB Country PMI'!$A$1:$AZ$1,),)=0,#N/A,VLOOKUP(A17,'DB Country PMI'!$A:$AZ,MATCH($A$1,'DB Country PMI'!$A$1:$AZ$1,),))</f>
        <v/>
      </c>
      <c r="C17" s="24">
        <f>Table13468111214151617181920222324[[#This Row],[PMI]]-B16</f>
        <v/>
      </c>
    </row>
    <row r="18">
      <c r="A18" s="10" t="n">
        <v>40817</v>
      </c>
      <c r="B18" s="18">
        <f>IF(VLOOKUP(A18,'DB Country PMI'!$A:$AZ,MATCH($A$1,'DB Country PMI'!$A$1:$AZ$1,),)=0,#N/A,VLOOKUP(A18,'DB Country PMI'!$A:$AZ,MATCH($A$1,'DB Country PMI'!$A$1:$AZ$1,),))</f>
        <v/>
      </c>
      <c r="C18" s="24">
        <f>Table13468111214151617181920222324[[#This Row],[PMI]]-B17</f>
        <v/>
      </c>
    </row>
    <row r="19">
      <c r="A19" s="10" t="n">
        <v>40848</v>
      </c>
      <c r="B19" s="18">
        <f>IF(VLOOKUP(A19,'DB Country PMI'!$A:$AZ,MATCH($A$1,'DB Country PMI'!$A$1:$AZ$1,),)=0,#N/A,VLOOKUP(A19,'DB Country PMI'!$A:$AZ,MATCH($A$1,'DB Country PMI'!$A$1:$AZ$1,),))</f>
        <v/>
      </c>
      <c r="C19" s="24">
        <f>Table13468111214151617181920222324[[#This Row],[PMI]]-B18</f>
        <v/>
      </c>
    </row>
    <row r="20">
      <c r="A20" s="10" t="n">
        <v>40878</v>
      </c>
      <c r="B20" s="18">
        <f>IF(VLOOKUP(A20,'DB Country PMI'!$A:$AZ,MATCH($A$1,'DB Country PMI'!$A$1:$AZ$1,),)=0,#N/A,VLOOKUP(A20,'DB Country PMI'!$A:$AZ,MATCH($A$1,'DB Country PMI'!$A$1:$AZ$1,),))</f>
        <v/>
      </c>
      <c r="C20" s="24">
        <f>Table13468111214151617181920222324[[#This Row],[PMI]]-B19</f>
        <v/>
      </c>
    </row>
    <row r="21">
      <c r="A21" s="10" t="n">
        <v>40909</v>
      </c>
      <c r="B21" s="18">
        <f>IF(VLOOKUP(A21,'DB Country PMI'!$A:$AZ,MATCH($A$1,'DB Country PMI'!$A$1:$AZ$1,),)=0,#N/A,VLOOKUP(A21,'DB Country PMI'!$A:$AZ,MATCH($A$1,'DB Country PMI'!$A$1:$AZ$1,),))</f>
        <v/>
      </c>
      <c r="C21" s="24">
        <f>Table13468111214151617181920222324[[#This Row],[PMI]]-B20</f>
        <v/>
      </c>
    </row>
    <row r="22">
      <c r="A22" s="10" t="n">
        <v>40940</v>
      </c>
      <c r="B22" s="18">
        <f>IF(VLOOKUP(A22,'DB Country PMI'!$A:$AZ,MATCH($A$1,'DB Country PMI'!$A$1:$AZ$1,),)=0,#N/A,VLOOKUP(A22,'DB Country PMI'!$A:$AZ,MATCH($A$1,'DB Country PMI'!$A$1:$AZ$1,),))</f>
        <v/>
      </c>
      <c r="C22" s="24">
        <f>Table13468111214151617181920222324[[#This Row],[PMI]]-B21</f>
        <v/>
      </c>
    </row>
    <row r="23">
      <c r="A23" s="10" t="n">
        <v>40969</v>
      </c>
      <c r="B23" s="18">
        <f>IF(VLOOKUP(A23,'DB Country PMI'!$A:$AZ,MATCH($A$1,'DB Country PMI'!$A$1:$AZ$1,),)=0,#N/A,VLOOKUP(A23,'DB Country PMI'!$A:$AZ,MATCH($A$1,'DB Country PMI'!$A$1:$AZ$1,),))</f>
        <v/>
      </c>
      <c r="C23" s="24">
        <f>Table13468111214151617181920222324[[#This Row],[PMI]]-B22</f>
        <v/>
      </c>
    </row>
    <row r="24">
      <c r="A24" s="10" t="n">
        <v>41000</v>
      </c>
      <c r="B24" s="18">
        <f>IF(VLOOKUP(A24,'DB Country PMI'!$A:$AZ,MATCH($A$1,'DB Country PMI'!$A$1:$AZ$1,),)=0,#N/A,VLOOKUP(A24,'DB Country PMI'!$A:$AZ,MATCH($A$1,'DB Country PMI'!$A$1:$AZ$1,),))</f>
        <v/>
      </c>
      <c r="C24" s="24">
        <f>Table13468111214151617181920222324[[#This Row],[PMI]]-B23</f>
        <v/>
      </c>
    </row>
    <row r="25">
      <c r="A25" s="10" t="n">
        <v>41030</v>
      </c>
      <c r="B25" s="18">
        <f>IF(VLOOKUP(A25,'DB Country PMI'!$A:$AZ,MATCH($A$1,'DB Country PMI'!$A$1:$AZ$1,),)=0,#N/A,VLOOKUP(A25,'DB Country PMI'!$A:$AZ,MATCH($A$1,'DB Country PMI'!$A$1:$AZ$1,),))</f>
        <v/>
      </c>
      <c r="C25" s="24">
        <f>Table13468111214151617181920222324[[#This Row],[PMI]]-B24</f>
        <v/>
      </c>
    </row>
    <row r="26">
      <c r="A26" s="10" t="n">
        <v>41061</v>
      </c>
      <c r="B26" s="18">
        <f>IF(VLOOKUP(A26,'DB Country PMI'!$A:$AZ,MATCH($A$1,'DB Country PMI'!$A$1:$AZ$1,),)=0,#N/A,VLOOKUP(A26,'DB Country PMI'!$A:$AZ,MATCH($A$1,'DB Country PMI'!$A$1:$AZ$1,),))</f>
        <v/>
      </c>
      <c r="C26" s="24">
        <f>Table13468111214151617181920222324[[#This Row],[PMI]]-B25</f>
        <v/>
      </c>
    </row>
    <row r="27">
      <c r="A27" s="10" t="n">
        <v>41091</v>
      </c>
      <c r="B27" s="18">
        <f>IF(VLOOKUP(A27,'DB Country PMI'!$A:$AZ,MATCH($A$1,'DB Country PMI'!$A$1:$AZ$1,),)=0,#N/A,VLOOKUP(A27,'DB Country PMI'!$A:$AZ,MATCH($A$1,'DB Country PMI'!$A$1:$AZ$1,),))</f>
        <v/>
      </c>
      <c r="C27" s="24">
        <f>Table13468111214151617181920222324[[#This Row],[PMI]]-B26</f>
        <v/>
      </c>
    </row>
    <row r="28">
      <c r="A28" s="10" t="n">
        <v>41122</v>
      </c>
      <c r="B28" s="18">
        <f>IF(VLOOKUP(A28,'DB Country PMI'!$A:$AZ,MATCH($A$1,'DB Country PMI'!$A$1:$AZ$1,),)=0,#N/A,VLOOKUP(A28,'DB Country PMI'!$A:$AZ,MATCH($A$1,'DB Country PMI'!$A$1:$AZ$1,),))</f>
        <v/>
      </c>
      <c r="C28" s="24">
        <f>Table13468111214151617181920222324[[#This Row],[PMI]]-B27</f>
        <v/>
      </c>
    </row>
    <row r="29">
      <c r="A29" s="10" t="n">
        <v>41153</v>
      </c>
      <c r="B29" s="18">
        <f>IF(VLOOKUP(A29,'DB Country PMI'!$A:$AZ,MATCH($A$1,'DB Country PMI'!$A$1:$AZ$1,),)=0,#N/A,VLOOKUP(A29,'DB Country PMI'!$A:$AZ,MATCH($A$1,'DB Country PMI'!$A$1:$AZ$1,),))</f>
        <v/>
      </c>
      <c r="C29" s="24">
        <f>Table13468111214151617181920222324[[#This Row],[PMI]]-B28</f>
        <v/>
      </c>
    </row>
    <row r="30">
      <c r="A30" s="10" t="n">
        <v>41183</v>
      </c>
      <c r="B30" s="18">
        <f>IF(VLOOKUP(A30,'DB Country PMI'!$A:$AZ,MATCH($A$1,'DB Country PMI'!$A$1:$AZ$1,),)=0,#N/A,VLOOKUP(A30,'DB Country PMI'!$A:$AZ,MATCH($A$1,'DB Country PMI'!$A$1:$AZ$1,),))</f>
        <v/>
      </c>
      <c r="C30" s="24">
        <f>Table13468111214151617181920222324[[#This Row],[PMI]]-B29</f>
        <v/>
      </c>
    </row>
    <row r="31">
      <c r="A31" s="10" t="n">
        <v>41214</v>
      </c>
      <c r="B31" s="18">
        <f>IF(VLOOKUP(A31,'DB Country PMI'!$A:$AZ,MATCH($A$1,'DB Country PMI'!$A$1:$AZ$1,),)=0,#N/A,VLOOKUP(A31,'DB Country PMI'!$A:$AZ,MATCH($A$1,'DB Country PMI'!$A$1:$AZ$1,),))</f>
        <v/>
      </c>
      <c r="C31" s="24">
        <f>Table13468111214151617181920222324[[#This Row],[PMI]]-B30</f>
        <v/>
      </c>
    </row>
    <row r="32">
      <c r="A32" s="10" t="n">
        <v>41244</v>
      </c>
      <c r="B32" s="18">
        <f>IF(VLOOKUP(A32,'DB Country PMI'!$A:$AZ,MATCH($A$1,'DB Country PMI'!$A$1:$AZ$1,),)=0,#N/A,VLOOKUP(A32,'DB Country PMI'!$A:$AZ,MATCH($A$1,'DB Country PMI'!$A$1:$AZ$1,),))</f>
        <v/>
      </c>
      <c r="C32" s="24">
        <f>Table13468111214151617181920222324[[#This Row],[PMI]]-B31</f>
        <v/>
      </c>
    </row>
    <row r="33">
      <c r="A33" s="10" t="n">
        <v>41275</v>
      </c>
      <c r="B33" s="18">
        <f>IF(VLOOKUP(A33,'DB Country PMI'!$A:$AZ,MATCH($A$1,'DB Country PMI'!$A$1:$AZ$1,),)=0,#N/A,VLOOKUP(A33,'DB Country PMI'!$A:$AZ,MATCH($A$1,'DB Country PMI'!$A$1:$AZ$1,),))</f>
        <v/>
      </c>
      <c r="C33" s="24">
        <f>Table13468111214151617181920222324[[#This Row],[PMI]]-B32</f>
        <v/>
      </c>
    </row>
    <row r="34">
      <c r="A34" s="10" t="n">
        <v>41306</v>
      </c>
      <c r="B34" s="18">
        <f>IF(VLOOKUP(A34,'DB Country PMI'!$A:$AZ,MATCH($A$1,'DB Country PMI'!$A$1:$AZ$1,),)=0,#N/A,VLOOKUP(A34,'DB Country PMI'!$A:$AZ,MATCH($A$1,'DB Country PMI'!$A$1:$AZ$1,),))</f>
        <v/>
      </c>
      <c r="C34" s="24">
        <f>Table13468111214151617181920222324[[#This Row],[PMI]]-B33</f>
        <v/>
      </c>
    </row>
    <row r="35">
      <c r="A35" s="10" t="n">
        <v>41334</v>
      </c>
      <c r="B35" s="18">
        <f>IF(VLOOKUP(A35,'DB Country PMI'!$A:$AZ,MATCH($A$1,'DB Country PMI'!$A$1:$AZ$1,),)=0,#N/A,VLOOKUP(A35,'DB Country PMI'!$A:$AZ,MATCH($A$1,'DB Country PMI'!$A$1:$AZ$1,),))</f>
        <v/>
      </c>
      <c r="C35" s="24">
        <f>Table13468111214151617181920222324[[#This Row],[PMI]]-B34</f>
        <v/>
      </c>
    </row>
    <row r="36">
      <c r="A36" s="10" t="n">
        <v>41365</v>
      </c>
      <c r="B36" s="18">
        <f>IF(VLOOKUP(A36,'DB Country PMI'!$A:$AZ,MATCH($A$1,'DB Country PMI'!$A$1:$AZ$1,),)=0,#N/A,VLOOKUP(A36,'DB Country PMI'!$A:$AZ,MATCH($A$1,'DB Country PMI'!$A$1:$AZ$1,),))</f>
        <v/>
      </c>
      <c r="C36" s="24">
        <f>Table13468111214151617181920222324[[#This Row],[PMI]]-B35</f>
        <v/>
      </c>
    </row>
    <row r="37">
      <c r="A37" s="10" t="n">
        <v>41395</v>
      </c>
      <c r="B37" s="18">
        <f>IF(VLOOKUP(A37,'DB Country PMI'!$A:$AZ,MATCH($A$1,'DB Country PMI'!$A$1:$AZ$1,),)=0,#N/A,VLOOKUP(A37,'DB Country PMI'!$A:$AZ,MATCH($A$1,'DB Country PMI'!$A$1:$AZ$1,),))</f>
        <v/>
      </c>
      <c r="C37" s="24">
        <f>Table13468111214151617181920222324[[#This Row],[PMI]]-B36</f>
        <v/>
      </c>
    </row>
    <row r="38">
      <c r="A38" s="10" t="n">
        <v>41426</v>
      </c>
      <c r="B38" s="18">
        <f>IF(VLOOKUP(A38,'DB Country PMI'!$A:$AZ,MATCH($A$1,'DB Country PMI'!$A$1:$AZ$1,),)=0,#N/A,VLOOKUP(A38,'DB Country PMI'!$A:$AZ,MATCH($A$1,'DB Country PMI'!$A$1:$AZ$1,),))</f>
        <v/>
      </c>
      <c r="C38" s="24">
        <f>Table13468111214151617181920222324[[#This Row],[PMI]]-B37</f>
        <v/>
      </c>
    </row>
    <row r="39">
      <c r="A39" s="10" t="n">
        <v>41456</v>
      </c>
      <c r="B39" s="18">
        <f>IF(VLOOKUP(A39,'DB Country PMI'!$A:$AZ,MATCH($A$1,'DB Country PMI'!$A$1:$AZ$1,),)=0,#N/A,VLOOKUP(A39,'DB Country PMI'!$A:$AZ,MATCH($A$1,'DB Country PMI'!$A$1:$AZ$1,),))</f>
        <v/>
      </c>
      <c r="C39" s="24">
        <f>Table13468111214151617181920222324[[#This Row],[PMI]]-B38</f>
        <v/>
      </c>
    </row>
    <row r="40">
      <c r="A40" s="10" t="n">
        <v>41487</v>
      </c>
      <c r="B40" s="18">
        <f>IF(VLOOKUP(A40,'DB Country PMI'!$A:$AZ,MATCH($A$1,'DB Country PMI'!$A$1:$AZ$1,),)=0,#N/A,VLOOKUP(A40,'DB Country PMI'!$A:$AZ,MATCH($A$1,'DB Country PMI'!$A$1:$AZ$1,),))</f>
        <v/>
      </c>
      <c r="C40" s="24">
        <f>Table13468111214151617181920222324[[#This Row],[PMI]]-B39</f>
        <v/>
      </c>
    </row>
    <row r="41">
      <c r="A41" s="10" t="n">
        <v>41518</v>
      </c>
      <c r="B41" s="18">
        <f>IF(VLOOKUP(A41,'DB Country PMI'!$A:$AZ,MATCH($A$1,'DB Country PMI'!$A$1:$AZ$1,),)=0,#N/A,VLOOKUP(A41,'DB Country PMI'!$A:$AZ,MATCH($A$1,'DB Country PMI'!$A$1:$AZ$1,),))</f>
        <v/>
      </c>
      <c r="C41" s="24">
        <f>Table13468111214151617181920222324[[#This Row],[PMI]]-B40</f>
        <v/>
      </c>
    </row>
    <row r="42">
      <c r="A42" s="10" t="n">
        <v>41548</v>
      </c>
      <c r="B42" s="18">
        <f>IF(VLOOKUP(A42,'DB Country PMI'!$A:$AZ,MATCH($A$1,'DB Country PMI'!$A$1:$AZ$1,),)=0,#N/A,VLOOKUP(A42,'DB Country PMI'!$A:$AZ,MATCH($A$1,'DB Country PMI'!$A$1:$AZ$1,),))</f>
        <v/>
      </c>
      <c r="C42" s="24">
        <f>Table13468111214151617181920222324[[#This Row],[PMI]]-B41</f>
        <v/>
      </c>
    </row>
    <row r="43">
      <c r="A43" s="10" t="n">
        <v>41579</v>
      </c>
      <c r="B43" s="18">
        <f>IF(VLOOKUP(A43,'DB Country PMI'!$A:$AZ,MATCH($A$1,'DB Country PMI'!$A$1:$AZ$1,),)=0,#N/A,VLOOKUP(A43,'DB Country PMI'!$A:$AZ,MATCH($A$1,'DB Country PMI'!$A$1:$AZ$1,),))</f>
        <v/>
      </c>
      <c r="C43" s="24">
        <f>Table13468111214151617181920222324[[#This Row],[PMI]]-B42</f>
        <v/>
      </c>
    </row>
    <row r="44">
      <c r="A44" s="10" t="n">
        <v>41609</v>
      </c>
      <c r="B44" s="18">
        <f>IF(VLOOKUP(A44,'DB Country PMI'!$A:$AZ,MATCH($A$1,'DB Country PMI'!$A$1:$AZ$1,),)=0,#N/A,VLOOKUP(A44,'DB Country PMI'!$A:$AZ,MATCH($A$1,'DB Country PMI'!$A$1:$AZ$1,),))</f>
        <v/>
      </c>
      <c r="C44" s="24">
        <f>Table13468111214151617181920222324[[#This Row],[PMI]]-B43</f>
        <v/>
      </c>
    </row>
    <row r="45">
      <c r="A45" s="10" t="n">
        <v>41640</v>
      </c>
      <c r="B45" s="18">
        <f>IF(VLOOKUP(A45,'DB Country PMI'!$A:$AZ,MATCH($A$1,'DB Country PMI'!$A$1:$AZ$1,),)=0,#N/A,VLOOKUP(A45,'DB Country PMI'!$A:$AZ,MATCH($A$1,'DB Country PMI'!$A$1:$AZ$1,),))</f>
        <v/>
      </c>
      <c r="C45" s="24">
        <f>Table13468111214151617181920222324[[#This Row],[PMI]]-B44</f>
        <v/>
      </c>
    </row>
    <row r="46">
      <c r="A46" s="10" t="n">
        <v>41671</v>
      </c>
      <c r="B46" s="18">
        <f>IF(VLOOKUP(A46,'DB Country PMI'!$A:$AZ,MATCH($A$1,'DB Country PMI'!$A$1:$AZ$1,),)=0,#N/A,VLOOKUP(A46,'DB Country PMI'!$A:$AZ,MATCH($A$1,'DB Country PMI'!$A$1:$AZ$1,),))</f>
        <v/>
      </c>
      <c r="C46" s="24">
        <f>Table13468111214151617181920222324[[#This Row],[PMI]]-B45</f>
        <v/>
      </c>
    </row>
    <row r="47">
      <c r="A47" s="10" t="n">
        <v>41699</v>
      </c>
      <c r="B47" s="18">
        <f>IF(VLOOKUP(A47,'DB Country PMI'!$A:$AZ,MATCH($A$1,'DB Country PMI'!$A$1:$AZ$1,),)=0,#N/A,VLOOKUP(A47,'DB Country PMI'!$A:$AZ,MATCH($A$1,'DB Country PMI'!$A$1:$AZ$1,),))</f>
        <v/>
      </c>
      <c r="C47" s="24">
        <f>Table13468111214151617181920222324[[#This Row],[PMI]]-B46</f>
        <v/>
      </c>
    </row>
    <row r="48">
      <c r="A48" s="10" t="n">
        <v>41730</v>
      </c>
      <c r="B48" s="18">
        <f>IF(VLOOKUP(A48,'DB Country PMI'!$A:$AZ,MATCH($A$1,'DB Country PMI'!$A$1:$AZ$1,),)=0,#N/A,VLOOKUP(A48,'DB Country PMI'!$A:$AZ,MATCH($A$1,'DB Country PMI'!$A$1:$AZ$1,),))</f>
        <v/>
      </c>
      <c r="C48" s="24">
        <f>Table13468111214151617181920222324[[#This Row],[PMI]]-B47</f>
        <v/>
      </c>
    </row>
    <row r="49">
      <c r="A49" s="10" t="n">
        <v>41760</v>
      </c>
      <c r="B49" s="18">
        <f>IF(VLOOKUP(A49,'DB Country PMI'!$A:$AZ,MATCH($A$1,'DB Country PMI'!$A$1:$AZ$1,),)=0,#N/A,VLOOKUP(A49,'DB Country PMI'!$A:$AZ,MATCH($A$1,'DB Country PMI'!$A$1:$AZ$1,),))</f>
        <v/>
      </c>
      <c r="C49" s="24">
        <f>Table13468111214151617181920222324[[#This Row],[PMI]]-B48</f>
        <v/>
      </c>
    </row>
    <row r="50">
      <c r="A50" s="10" t="n">
        <v>41791</v>
      </c>
      <c r="B50" s="18">
        <f>IF(VLOOKUP(A50,'DB Country PMI'!$A:$AZ,MATCH($A$1,'DB Country PMI'!$A$1:$AZ$1,),)=0,#N/A,VLOOKUP(A50,'DB Country PMI'!$A:$AZ,MATCH($A$1,'DB Country PMI'!$A$1:$AZ$1,),))</f>
        <v/>
      </c>
      <c r="C50" s="24">
        <f>Table13468111214151617181920222324[[#This Row],[PMI]]-B49</f>
        <v/>
      </c>
    </row>
    <row r="51">
      <c r="A51" s="10" t="n">
        <v>41821</v>
      </c>
      <c r="B51" s="18">
        <f>IF(VLOOKUP(A51,'DB Country PMI'!$A:$AZ,MATCH($A$1,'DB Country PMI'!$A$1:$AZ$1,),)=0,#N/A,VLOOKUP(A51,'DB Country PMI'!$A:$AZ,MATCH($A$1,'DB Country PMI'!$A$1:$AZ$1,),))</f>
        <v/>
      </c>
      <c r="C51" s="24">
        <f>Table13468111214151617181920222324[[#This Row],[PMI]]-B50</f>
        <v/>
      </c>
    </row>
    <row r="52">
      <c r="A52" s="10" t="n">
        <v>41852</v>
      </c>
      <c r="B52" s="18">
        <f>IF(VLOOKUP(A52,'DB Country PMI'!$A:$AZ,MATCH($A$1,'DB Country PMI'!$A$1:$AZ$1,),)=0,#N/A,VLOOKUP(A52,'DB Country PMI'!$A:$AZ,MATCH($A$1,'DB Country PMI'!$A$1:$AZ$1,),))</f>
        <v/>
      </c>
      <c r="C52" s="24">
        <f>Table13468111214151617181920222324[[#This Row],[PMI]]-B51</f>
        <v/>
      </c>
    </row>
    <row r="53">
      <c r="A53" s="10" t="n">
        <v>41883</v>
      </c>
      <c r="B53" s="18">
        <f>IF(VLOOKUP(A53,'DB Country PMI'!$A:$AZ,MATCH($A$1,'DB Country PMI'!$A$1:$AZ$1,),)=0,#N/A,VLOOKUP(A53,'DB Country PMI'!$A:$AZ,MATCH($A$1,'DB Country PMI'!$A$1:$AZ$1,),))</f>
        <v/>
      </c>
      <c r="C53" s="24">
        <f>Table13468111214151617181920222324[[#This Row],[PMI]]-B52</f>
        <v/>
      </c>
    </row>
    <row r="54">
      <c r="A54" s="10" t="n">
        <v>41913</v>
      </c>
      <c r="B54" s="18">
        <f>IF(VLOOKUP(A54,'DB Country PMI'!$A:$AZ,MATCH($A$1,'DB Country PMI'!$A$1:$AZ$1,),)=0,#N/A,VLOOKUP(A54,'DB Country PMI'!$A:$AZ,MATCH($A$1,'DB Country PMI'!$A$1:$AZ$1,),))</f>
        <v/>
      </c>
      <c r="C54" s="24">
        <f>Table13468111214151617181920222324[[#This Row],[PMI]]-B53</f>
        <v/>
      </c>
    </row>
    <row r="55">
      <c r="A55" s="10" t="n">
        <v>41944</v>
      </c>
      <c r="B55" s="18">
        <f>IF(VLOOKUP(A55,'DB Country PMI'!$A:$AZ,MATCH($A$1,'DB Country PMI'!$A$1:$AZ$1,),)=0,#N/A,VLOOKUP(A55,'DB Country PMI'!$A:$AZ,MATCH($A$1,'DB Country PMI'!$A$1:$AZ$1,),))</f>
        <v/>
      </c>
      <c r="C55" s="24">
        <f>Table13468111214151617181920222324[[#This Row],[PMI]]-B54</f>
        <v/>
      </c>
    </row>
    <row r="56">
      <c r="A56" s="10" t="n">
        <v>41974</v>
      </c>
      <c r="B56" s="18">
        <f>IF(VLOOKUP(A56,'DB Country PMI'!$A:$AZ,MATCH($A$1,'DB Country PMI'!$A$1:$AZ$1,),)=0,#N/A,VLOOKUP(A56,'DB Country PMI'!$A:$AZ,MATCH($A$1,'DB Country PMI'!$A$1:$AZ$1,),))</f>
        <v/>
      </c>
      <c r="C56" s="24">
        <f>Table13468111214151617181920222324[[#This Row],[PMI]]-B55</f>
        <v/>
      </c>
    </row>
    <row r="57">
      <c r="A57" s="10" t="n">
        <v>42005</v>
      </c>
      <c r="B57" s="18">
        <f>IF(VLOOKUP(A57,'DB Country PMI'!$A:$AZ,MATCH($A$1,'DB Country PMI'!$A$1:$AZ$1,),)=0,#N/A,VLOOKUP(A57,'DB Country PMI'!$A:$AZ,MATCH($A$1,'DB Country PMI'!$A$1:$AZ$1,),))</f>
        <v/>
      </c>
      <c r="C57" s="24">
        <f>Table13468111214151617181920222324[[#This Row],[PMI]]-B56</f>
        <v/>
      </c>
    </row>
    <row r="58">
      <c r="A58" s="10" t="n">
        <v>42036</v>
      </c>
      <c r="B58" s="18">
        <f>IF(VLOOKUP(A58,'DB Country PMI'!$A:$AZ,MATCH($A$1,'DB Country PMI'!$A$1:$AZ$1,),)=0,#N/A,VLOOKUP(A58,'DB Country PMI'!$A:$AZ,MATCH($A$1,'DB Country PMI'!$A$1:$AZ$1,),))</f>
        <v/>
      </c>
      <c r="C58" s="24">
        <f>Table13468111214151617181920222324[[#This Row],[PMI]]-B57</f>
        <v/>
      </c>
    </row>
    <row r="59">
      <c r="A59" s="10" t="n">
        <v>42064</v>
      </c>
      <c r="B59" s="18">
        <f>IF(VLOOKUP(A59,'DB Country PMI'!$A:$AZ,MATCH($A$1,'DB Country PMI'!$A$1:$AZ$1,),)=0,#N/A,VLOOKUP(A59,'DB Country PMI'!$A:$AZ,MATCH($A$1,'DB Country PMI'!$A$1:$AZ$1,),))</f>
        <v/>
      </c>
      <c r="C59" s="24">
        <f>Table13468111214151617181920222324[[#This Row],[PMI]]-B58</f>
        <v/>
      </c>
    </row>
    <row r="60">
      <c r="A60" s="10" t="n">
        <v>42095</v>
      </c>
      <c r="B60" s="18">
        <f>IF(VLOOKUP(A60,'DB Country PMI'!$A:$AZ,MATCH($A$1,'DB Country PMI'!$A$1:$AZ$1,),)=0,#N/A,VLOOKUP(A60,'DB Country PMI'!$A:$AZ,MATCH($A$1,'DB Country PMI'!$A$1:$AZ$1,),))</f>
        <v/>
      </c>
      <c r="C60" s="24">
        <f>Table13468111214151617181920222324[[#This Row],[PMI]]-B59</f>
        <v/>
      </c>
    </row>
    <row r="61">
      <c r="A61" s="10" t="n">
        <v>42125</v>
      </c>
      <c r="B61" s="18">
        <f>IF(VLOOKUP(A61,'DB Country PMI'!$A:$AZ,MATCH($A$1,'DB Country PMI'!$A$1:$AZ$1,),)=0,#N/A,VLOOKUP(A61,'DB Country PMI'!$A:$AZ,MATCH($A$1,'DB Country PMI'!$A$1:$AZ$1,),))</f>
        <v/>
      </c>
      <c r="C61" s="24">
        <f>Table13468111214151617181920222324[[#This Row],[PMI]]-B60</f>
        <v/>
      </c>
    </row>
    <row r="62">
      <c r="A62" s="10" t="n">
        <v>42156</v>
      </c>
      <c r="B62" s="18">
        <f>IF(VLOOKUP(A62,'DB Country PMI'!$A:$AZ,MATCH($A$1,'DB Country PMI'!$A$1:$AZ$1,),)=0,#N/A,VLOOKUP(A62,'DB Country PMI'!$A:$AZ,MATCH($A$1,'DB Country PMI'!$A$1:$AZ$1,),))</f>
        <v/>
      </c>
      <c r="C62" s="24">
        <f>Table13468111214151617181920222324[[#This Row],[PMI]]-B61</f>
        <v/>
      </c>
    </row>
    <row r="63">
      <c r="A63" s="10" t="n">
        <v>42186</v>
      </c>
      <c r="B63" s="18">
        <f>IF(VLOOKUP(A63,'DB Country PMI'!$A:$AZ,MATCH($A$1,'DB Country PMI'!$A$1:$AZ$1,),)=0,#N/A,VLOOKUP(A63,'DB Country PMI'!$A:$AZ,MATCH($A$1,'DB Country PMI'!$A$1:$AZ$1,),))</f>
        <v/>
      </c>
      <c r="C63" s="24">
        <f>Table13468111214151617181920222324[[#This Row],[PMI]]-B62</f>
        <v/>
      </c>
    </row>
    <row r="64">
      <c r="A64" s="10" t="n">
        <v>42217</v>
      </c>
      <c r="B64" s="18">
        <f>IF(VLOOKUP(A64,'DB Country PMI'!$A:$AZ,MATCH($A$1,'DB Country PMI'!$A$1:$AZ$1,),)=0,#N/A,VLOOKUP(A64,'DB Country PMI'!$A:$AZ,MATCH($A$1,'DB Country PMI'!$A$1:$AZ$1,),))</f>
        <v/>
      </c>
      <c r="C64" s="24">
        <f>Table13468111214151617181920222324[[#This Row],[PMI]]-B63</f>
        <v/>
      </c>
    </row>
    <row r="65">
      <c r="A65" s="10" t="n">
        <v>42248</v>
      </c>
      <c r="B65" s="18">
        <f>IF(VLOOKUP(A65,'DB Country PMI'!$A:$AZ,MATCH($A$1,'DB Country PMI'!$A$1:$AZ$1,),)=0,#N/A,VLOOKUP(A65,'DB Country PMI'!$A:$AZ,MATCH($A$1,'DB Country PMI'!$A$1:$AZ$1,),))</f>
        <v/>
      </c>
      <c r="C65" s="24">
        <f>Table13468111214151617181920222324[[#This Row],[PMI]]-B64</f>
        <v/>
      </c>
    </row>
    <row r="66">
      <c r="A66" s="10" t="n">
        <v>42278</v>
      </c>
      <c r="B66" s="18">
        <f>IF(VLOOKUP(A66,'DB Country PMI'!$A:$AZ,MATCH($A$1,'DB Country PMI'!$A$1:$AZ$1,),)=0,#N/A,VLOOKUP(A66,'DB Country PMI'!$A:$AZ,MATCH($A$1,'DB Country PMI'!$A$1:$AZ$1,),))</f>
        <v/>
      </c>
      <c r="C66" s="24">
        <f>Table13468111214151617181920222324[[#This Row],[PMI]]-B65</f>
        <v/>
      </c>
    </row>
    <row r="67">
      <c r="A67" s="10" t="n">
        <v>42309</v>
      </c>
      <c r="B67" s="18">
        <f>IF(VLOOKUP(A67,'DB Country PMI'!$A:$AZ,MATCH($A$1,'DB Country PMI'!$A$1:$AZ$1,),)=0,#N/A,VLOOKUP(A67,'DB Country PMI'!$A:$AZ,MATCH($A$1,'DB Country PMI'!$A$1:$AZ$1,),))</f>
        <v/>
      </c>
      <c r="C67" s="24">
        <f>Table13468111214151617181920222324[[#This Row],[PMI]]-B66</f>
        <v/>
      </c>
    </row>
    <row r="68">
      <c r="A68" s="10" t="n">
        <v>42339</v>
      </c>
      <c r="B68" s="18">
        <f>IF(VLOOKUP(A68,'DB Country PMI'!$A:$AZ,MATCH($A$1,'DB Country PMI'!$A$1:$AZ$1,),)=0,#N/A,VLOOKUP(A68,'DB Country PMI'!$A:$AZ,MATCH($A$1,'DB Country PMI'!$A$1:$AZ$1,),))</f>
        <v/>
      </c>
      <c r="C68" s="24">
        <f>Table13468111214151617181920222324[[#This Row],[PMI]]-B67</f>
        <v/>
      </c>
    </row>
    <row r="69">
      <c r="A69" s="10" t="n">
        <v>42370</v>
      </c>
      <c r="B69" s="18">
        <f>IF(VLOOKUP(A69,'DB Country PMI'!$A:$AZ,MATCH($A$1,'DB Country PMI'!$A$1:$AZ$1,),)=0,#N/A,VLOOKUP(A69,'DB Country PMI'!$A:$AZ,MATCH($A$1,'DB Country PMI'!$A$1:$AZ$1,),))</f>
        <v/>
      </c>
      <c r="C69" s="24">
        <f>Table13468111214151617181920222324[[#This Row],[PMI]]-B68</f>
        <v/>
      </c>
    </row>
    <row r="70">
      <c r="A70" s="10" t="n">
        <v>42401</v>
      </c>
      <c r="B70" s="18">
        <f>IF(VLOOKUP(A70,'DB Country PMI'!$A:$AZ,MATCH($A$1,'DB Country PMI'!$A$1:$AZ$1,),)=0,#N/A,VLOOKUP(A70,'DB Country PMI'!$A:$AZ,MATCH($A$1,'DB Country PMI'!$A$1:$AZ$1,),))</f>
        <v/>
      </c>
      <c r="C70" s="24">
        <f>Table13468111214151617181920222324[[#This Row],[PMI]]-B69</f>
        <v/>
      </c>
    </row>
    <row r="71">
      <c r="A71" s="10" t="n">
        <v>42430</v>
      </c>
      <c r="B71" s="18">
        <f>IF(VLOOKUP(A71,'DB Country PMI'!$A:$AZ,MATCH($A$1,'DB Country PMI'!$A$1:$AZ$1,),)=0,#N/A,VLOOKUP(A71,'DB Country PMI'!$A:$AZ,MATCH($A$1,'DB Country PMI'!$A$1:$AZ$1,),))</f>
        <v/>
      </c>
      <c r="C71" s="24">
        <f>Table13468111214151617181920222324[[#This Row],[PMI]]-B70</f>
        <v/>
      </c>
    </row>
    <row r="72">
      <c r="A72" s="10" t="n">
        <v>42461</v>
      </c>
      <c r="B72" s="18">
        <f>IF(VLOOKUP(A72,'DB Country PMI'!$A:$AZ,MATCH($A$1,'DB Country PMI'!$A$1:$AZ$1,),)=0,#N/A,VLOOKUP(A72,'DB Country PMI'!$A:$AZ,MATCH($A$1,'DB Country PMI'!$A$1:$AZ$1,),))</f>
        <v/>
      </c>
      <c r="C72" s="24">
        <f>Table13468111214151617181920222324[[#This Row],[PMI]]-B71</f>
        <v/>
      </c>
    </row>
    <row r="73">
      <c r="A73" s="10" t="n">
        <v>42491</v>
      </c>
      <c r="B73" s="18">
        <f>IF(VLOOKUP(A73,'DB Country PMI'!$A:$AZ,MATCH($A$1,'DB Country PMI'!$A$1:$AZ$1,),)=0,#N/A,VLOOKUP(A73,'DB Country PMI'!$A:$AZ,MATCH($A$1,'DB Country PMI'!$A$1:$AZ$1,),))</f>
        <v/>
      </c>
      <c r="C73" s="24">
        <f>Table13468111214151617181920222324[[#This Row],[PMI]]-B72</f>
        <v/>
      </c>
    </row>
    <row r="74">
      <c r="A74" s="10" t="n">
        <v>42522</v>
      </c>
      <c r="B74" s="18">
        <f>IF(VLOOKUP(A74,'DB Country PMI'!$A:$AZ,MATCH($A$1,'DB Country PMI'!$A$1:$AZ$1,),)=0,#N/A,VLOOKUP(A74,'DB Country PMI'!$A:$AZ,MATCH($A$1,'DB Country PMI'!$A$1:$AZ$1,),))</f>
        <v/>
      </c>
      <c r="C74" s="24">
        <f>Table13468111214151617181920222324[[#This Row],[PMI]]-B73</f>
        <v/>
      </c>
    </row>
    <row r="75">
      <c r="A75" s="10" t="n">
        <v>42552</v>
      </c>
      <c r="B75" s="18">
        <f>IF(VLOOKUP(A75,'DB Country PMI'!$A:$AZ,MATCH($A$1,'DB Country PMI'!$A$1:$AZ$1,),)=0,#N/A,VLOOKUP(A75,'DB Country PMI'!$A:$AZ,MATCH($A$1,'DB Country PMI'!$A$1:$AZ$1,),))</f>
        <v/>
      </c>
      <c r="C75" s="24">
        <f>Table13468111214151617181920222324[[#This Row],[PMI]]-B74</f>
        <v/>
      </c>
    </row>
    <row r="76">
      <c r="A76" s="10" t="n">
        <v>42583</v>
      </c>
      <c r="B76" s="18">
        <f>IF(VLOOKUP(A76,'DB Country PMI'!$A:$AZ,MATCH($A$1,'DB Country PMI'!$A$1:$AZ$1,),)=0,#N/A,VLOOKUP(A76,'DB Country PMI'!$A:$AZ,MATCH($A$1,'DB Country PMI'!$A$1:$AZ$1,),))</f>
        <v/>
      </c>
      <c r="C76" s="24">
        <f>Table13468111214151617181920222324[[#This Row],[PMI]]-B75</f>
        <v/>
      </c>
    </row>
    <row r="77">
      <c r="A77" s="10" t="n">
        <v>42614</v>
      </c>
      <c r="B77" s="18">
        <f>IF(VLOOKUP(A77,'DB Country PMI'!$A:$AZ,MATCH($A$1,'DB Country PMI'!$A$1:$AZ$1,),)=0,#N/A,VLOOKUP(A77,'DB Country PMI'!$A:$AZ,MATCH($A$1,'DB Country PMI'!$A$1:$AZ$1,),))</f>
        <v/>
      </c>
      <c r="C77" s="24">
        <f>Table13468111214151617181920222324[[#This Row],[PMI]]-B76</f>
        <v/>
      </c>
    </row>
    <row r="78">
      <c r="A78" s="10" t="n">
        <v>42644</v>
      </c>
      <c r="B78" s="18">
        <f>IF(VLOOKUP(A78,'DB Country PMI'!$A:$AZ,MATCH($A$1,'DB Country PMI'!$A$1:$AZ$1,),)=0,#N/A,VLOOKUP(A78,'DB Country PMI'!$A:$AZ,MATCH($A$1,'DB Country PMI'!$A$1:$AZ$1,),))</f>
        <v/>
      </c>
      <c r="C78" s="24">
        <f>Table13468111214151617181920222324[[#This Row],[PMI]]-B77</f>
        <v/>
      </c>
    </row>
    <row r="79">
      <c r="A79" s="10" t="n">
        <v>42675</v>
      </c>
      <c r="B79" s="18">
        <f>IF(VLOOKUP(A79,'DB Country PMI'!$A:$AZ,MATCH($A$1,'DB Country PMI'!$A$1:$AZ$1,),)=0,#N/A,VLOOKUP(A79,'DB Country PMI'!$A:$AZ,MATCH($A$1,'DB Country PMI'!$A$1:$AZ$1,),))</f>
        <v/>
      </c>
      <c r="C79" s="24">
        <f>Table13468111214151617181920222324[[#This Row],[PMI]]-B78</f>
        <v/>
      </c>
    </row>
    <row r="80">
      <c r="A80" s="10" t="n">
        <v>42705</v>
      </c>
      <c r="B80" s="18">
        <f>IF(VLOOKUP(A80,'DB Country PMI'!$A:$AZ,MATCH($A$1,'DB Country PMI'!$A$1:$AZ$1,),)=0,#N/A,VLOOKUP(A80,'DB Country PMI'!$A:$AZ,MATCH($A$1,'DB Country PMI'!$A$1:$AZ$1,),))</f>
        <v/>
      </c>
      <c r="C80" s="24">
        <f>Table13468111214151617181920222324[[#This Row],[PMI]]-B79</f>
        <v/>
      </c>
    </row>
    <row r="81">
      <c r="A81" s="10" t="n">
        <v>42736</v>
      </c>
      <c r="B81" s="18">
        <f>IF(VLOOKUP(A81,'DB Country PMI'!$A:$AZ,MATCH($A$1,'DB Country PMI'!$A$1:$AZ$1,),)=0,#N/A,VLOOKUP(A81,'DB Country PMI'!$A:$AZ,MATCH($A$1,'DB Country PMI'!$A$1:$AZ$1,),))</f>
        <v/>
      </c>
      <c r="C81" s="24">
        <f>Table13468111214151617181920222324[[#This Row],[PMI]]-B80</f>
        <v/>
      </c>
    </row>
    <row r="82">
      <c r="A82" s="10" t="n">
        <v>42767</v>
      </c>
      <c r="B82" s="18">
        <f>IF(VLOOKUP(A82,'DB Country PMI'!$A:$AZ,MATCH($A$1,'DB Country PMI'!$A$1:$AZ$1,),)=0,#N/A,VLOOKUP(A82,'DB Country PMI'!$A:$AZ,MATCH($A$1,'DB Country PMI'!$A$1:$AZ$1,),))</f>
        <v/>
      </c>
      <c r="C82" s="24">
        <f>Table13468111214151617181920222324[[#This Row],[PMI]]-B81</f>
        <v/>
      </c>
    </row>
    <row r="83">
      <c r="A83" s="10" t="n">
        <v>42795</v>
      </c>
      <c r="B83" s="18">
        <f>IF(VLOOKUP(A83,'DB Country PMI'!$A:$AZ,MATCH($A$1,'DB Country PMI'!$A$1:$AZ$1,),)=0,#N/A,VLOOKUP(A83,'DB Country PMI'!$A:$AZ,MATCH($A$1,'DB Country PMI'!$A$1:$AZ$1,),))</f>
        <v/>
      </c>
      <c r="C83" s="24">
        <f>Table13468111214151617181920222324[[#This Row],[PMI]]-B82</f>
        <v/>
      </c>
    </row>
    <row r="84">
      <c r="A84" s="10" t="n">
        <v>42826</v>
      </c>
      <c r="B84" s="18">
        <f>IF(VLOOKUP(A84,'DB Country PMI'!$A:$AZ,MATCH($A$1,'DB Country PMI'!$A$1:$AZ$1,),)=0,#N/A,VLOOKUP(A84,'DB Country PMI'!$A:$AZ,MATCH($A$1,'DB Country PMI'!$A$1:$AZ$1,),))</f>
        <v/>
      </c>
      <c r="C84" s="24">
        <f>Table13468111214151617181920222324[[#This Row],[PMI]]-B83</f>
        <v/>
      </c>
    </row>
    <row r="85">
      <c r="A85" s="10" t="n">
        <v>42856</v>
      </c>
      <c r="B85" s="18">
        <f>IF(VLOOKUP(A85,'DB Country PMI'!$A:$AZ,MATCH($A$1,'DB Country PMI'!$A$1:$AZ$1,),)=0,#N/A,VLOOKUP(A85,'DB Country PMI'!$A:$AZ,MATCH($A$1,'DB Country PMI'!$A$1:$AZ$1,),))</f>
        <v/>
      </c>
      <c r="C85" s="24">
        <f>Table13468111214151617181920222324[[#This Row],[PMI]]-B84</f>
        <v/>
      </c>
    </row>
    <row r="86">
      <c r="A86" s="10" t="n">
        <v>42887</v>
      </c>
      <c r="B86" s="18">
        <f>IF(VLOOKUP(A86,'DB Country PMI'!$A:$AZ,MATCH($A$1,'DB Country PMI'!$A$1:$AZ$1,),)=0,#N/A,VLOOKUP(A86,'DB Country PMI'!$A:$AZ,MATCH($A$1,'DB Country PMI'!$A$1:$AZ$1,),))</f>
        <v/>
      </c>
      <c r="C86" s="24">
        <f>Table13468111214151617181920222324[[#This Row],[PMI]]-B85</f>
        <v/>
      </c>
    </row>
    <row r="87">
      <c r="A87" s="10" t="n">
        <v>42917</v>
      </c>
      <c r="B87" s="18">
        <f>IF(VLOOKUP(A87,'DB Country PMI'!$A:$AZ,MATCH($A$1,'DB Country PMI'!$A$1:$AZ$1,),)=0,#N/A,VLOOKUP(A87,'DB Country PMI'!$A:$AZ,MATCH($A$1,'DB Country PMI'!$A$1:$AZ$1,),))</f>
        <v/>
      </c>
      <c r="C87" s="24">
        <f>Table13468111214151617181920222324[[#This Row],[PMI]]-B86</f>
        <v/>
      </c>
    </row>
    <row r="88">
      <c r="A88" s="10" t="n">
        <v>42948</v>
      </c>
      <c r="B88" s="18">
        <f>IF(VLOOKUP(A88,'DB Country PMI'!$A:$AZ,MATCH($A$1,'DB Country PMI'!$A$1:$AZ$1,),)=0,#N/A,VLOOKUP(A88,'DB Country PMI'!$A:$AZ,MATCH($A$1,'DB Country PMI'!$A$1:$AZ$1,),))</f>
        <v/>
      </c>
      <c r="C88" s="24">
        <f>Table13468111214151617181920222324[[#This Row],[PMI]]-B87</f>
        <v/>
      </c>
    </row>
    <row r="89">
      <c r="A89" s="10" t="n">
        <v>42979</v>
      </c>
      <c r="B89" s="18">
        <f>IF(VLOOKUP(A89,'DB Country PMI'!$A:$AZ,MATCH($A$1,'DB Country PMI'!$A$1:$AZ$1,),)=0,#N/A,VLOOKUP(A89,'DB Country PMI'!$A:$AZ,MATCH($A$1,'DB Country PMI'!$A$1:$AZ$1,),))</f>
        <v/>
      </c>
      <c r="C89" s="24">
        <f>Table13468111214151617181920222324[[#This Row],[PMI]]-B88</f>
        <v/>
      </c>
    </row>
    <row r="90">
      <c r="A90" s="10" t="n">
        <v>43009</v>
      </c>
      <c r="B90" s="18">
        <f>IF(VLOOKUP(A90,'DB Country PMI'!$A:$AZ,MATCH($A$1,'DB Country PMI'!$A$1:$AZ$1,),)=0,#N/A,VLOOKUP(A90,'DB Country PMI'!$A:$AZ,MATCH($A$1,'DB Country PMI'!$A$1:$AZ$1,),))</f>
        <v/>
      </c>
      <c r="C90" s="24">
        <f>Table13468111214151617181920222324[[#This Row],[PMI]]-B89</f>
        <v/>
      </c>
    </row>
    <row r="91">
      <c r="A91" s="10" t="n">
        <v>43040</v>
      </c>
      <c r="B91" s="18">
        <f>IF(VLOOKUP(A91,'DB Country PMI'!$A:$AZ,MATCH($A$1,'DB Country PMI'!$A$1:$AZ$1,),)=0,#N/A,VLOOKUP(A91,'DB Country PMI'!$A:$AZ,MATCH($A$1,'DB Country PMI'!$A$1:$AZ$1,),))</f>
        <v/>
      </c>
      <c r="C91" s="24">
        <f>Table13468111214151617181920222324[[#This Row],[PMI]]-B90</f>
        <v/>
      </c>
    </row>
    <row r="92">
      <c r="A92" s="10" t="n">
        <v>43070</v>
      </c>
      <c r="B92" s="18">
        <f>IF(VLOOKUP(A92,'DB Country PMI'!$A:$AZ,MATCH($A$1,'DB Country PMI'!$A$1:$AZ$1,),)=0,#N/A,VLOOKUP(A92,'DB Country PMI'!$A:$AZ,MATCH($A$1,'DB Country PMI'!$A$1:$AZ$1,),))</f>
        <v/>
      </c>
      <c r="C92" s="24">
        <f>Table13468111214151617181920222324[[#This Row],[PMI]]-B91</f>
        <v/>
      </c>
    </row>
    <row r="93">
      <c r="A93" s="10" t="n">
        <v>43101</v>
      </c>
      <c r="B93" s="18">
        <f>IF(VLOOKUP(A93,'DB Country PMI'!$A:$AZ,MATCH($A$1,'DB Country PMI'!$A$1:$AZ$1,),)=0,#N/A,VLOOKUP(A93,'DB Country PMI'!$A:$AZ,MATCH($A$1,'DB Country PMI'!$A$1:$AZ$1,),))</f>
        <v/>
      </c>
      <c r="C93" s="24">
        <f>Table13468111214151617181920222324[[#This Row],[PMI]]-B92</f>
        <v/>
      </c>
    </row>
    <row r="94">
      <c r="A94" s="10" t="n">
        <v>43132</v>
      </c>
      <c r="B94" s="18">
        <f>IF(VLOOKUP(A94,'DB Country PMI'!$A:$AZ,MATCH($A$1,'DB Country PMI'!$A$1:$AZ$1,),)=0,#N/A,VLOOKUP(A94,'DB Country PMI'!$A:$AZ,MATCH($A$1,'DB Country PMI'!$A$1:$AZ$1,),))</f>
        <v/>
      </c>
      <c r="C94" s="24">
        <f>Table13468111214151617181920222324[[#This Row],[PMI]]-B93</f>
        <v/>
      </c>
    </row>
    <row r="95">
      <c r="A95" s="10" t="n">
        <v>43160</v>
      </c>
      <c r="B95" s="18">
        <f>IF(VLOOKUP(A95,'DB Country PMI'!$A:$AZ,MATCH($A$1,'DB Country PMI'!$A$1:$AZ$1,),)=0,#N/A,VLOOKUP(A95,'DB Country PMI'!$A:$AZ,MATCH($A$1,'DB Country PMI'!$A$1:$AZ$1,),))</f>
        <v/>
      </c>
      <c r="C95" s="24">
        <f>Table13468111214151617181920222324[[#This Row],[PMI]]-B94</f>
        <v/>
      </c>
    </row>
    <row r="96">
      <c r="A96" s="10" t="n">
        <v>43191</v>
      </c>
      <c r="B96" s="18">
        <f>IF(VLOOKUP(A96,'DB Country PMI'!$A:$AZ,MATCH($A$1,'DB Country PMI'!$A$1:$AZ$1,),)=0,#N/A,VLOOKUP(A96,'DB Country PMI'!$A:$AZ,MATCH($A$1,'DB Country PMI'!$A$1:$AZ$1,),))</f>
        <v/>
      </c>
      <c r="C96" s="24">
        <f>Table13468111214151617181920222324[[#This Row],[PMI]]-B95</f>
        <v/>
      </c>
    </row>
    <row r="97">
      <c r="A97" s="10" t="n">
        <v>43221</v>
      </c>
      <c r="B97" s="18">
        <f>IF(VLOOKUP(A97,'DB Country PMI'!$A:$AZ,MATCH($A$1,'DB Country PMI'!$A$1:$AZ$1,),)=0,#N/A,VLOOKUP(A97,'DB Country PMI'!$A:$AZ,MATCH($A$1,'DB Country PMI'!$A$1:$AZ$1,),))</f>
        <v/>
      </c>
      <c r="C97" s="24">
        <f>Table13468111214151617181920222324[[#This Row],[PMI]]-B96</f>
        <v/>
      </c>
    </row>
    <row r="98">
      <c r="A98" s="10" t="n">
        <v>43252</v>
      </c>
      <c r="B98" s="18">
        <f>IF(VLOOKUP(A98,'DB Country PMI'!$A:$AZ,MATCH($A$1,'DB Country PMI'!$A$1:$AZ$1,),)=0,#N/A,VLOOKUP(A98,'DB Country PMI'!$A:$AZ,MATCH($A$1,'DB Country PMI'!$A$1:$AZ$1,),))</f>
        <v/>
      </c>
      <c r="C98" s="24">
        <f>Table13468111214151617181920222324[[#This Row],[PMI]]-B97</f>
        <v/>
      </c>
    </row>
    <row r="99">
      <c r="A99" s="10" t="n">
        <v>43282</v>
      </c>
      <c r="B99" s="18">
        <f>IF(VLOOKUP(A99,'DB Country PMI'!$A:$AZ,MATCH($A$1,'DB Country PMI'!$A$1:$AZ$1,),)=0,#N/A,VLOOKUP(A99,'DB Country PMI'!$A:$AZ,MATCH($A$1,'DB Country PMI'!$A$1:$AZ$1,),))</f>
        <v/>
      </c>
      <c r="C99" s="24">
        <f>Table13468111214151617181920222324[[#This Row],[PMI]]-B98</f>
        <v/>
      </c>
    </row>
    <row r="100">
      <c r="A100" s="10" t="n">
        <v>43313</v>
      </c>
      <c r="B100" s="18">
        <f>IF(VLOOKUP(A100,'DB Country PMI'!$A:$AZ,MATCH($A$1,'DB Country PMI'!$A$1:$AZ$1,),)=0,#N/A,VLOOKUP(A100,'DB Country PMI'!$A:$AZ,MATCH($A$1,'DB Country PMI'!$A$1:$AZ$1,),))</f>
        <v/>
      </c>
      <c r="C100" s="24">
        <f>Table13468111214151617181920222324[[#This Row],[PMI]]-B99</f>
        <v/>
      </c>
    </row>
    <row r="101">
      <c r="A101" s="10" t="n">
        <v>43344</v>
      </c>
      <c r="B101" s="18">
        <f>IF(VLOOKUP(A101,'DB Country PMI'!$A:$AZ,MATCH($A$1,'DB Country PMI'!$A$1:$AZ$1,),)=0,#N/A,VLOOKUP(A101,'DB Country PMI'!$A:$AZ,MATCH($A$1,'DB Country PMI'!$A$1:$AZ$1,),))</f>
        <v/>
      </c>
      <c r="C101" s="24">
        <f>Table13468111214151617181920222324[[#This Row],[PMI]]-B100</f>
        <v/>
      </c>
    </row>
    <row r="102">
      <c r="A102" s="10" t="n">
        <v>43374</v>
      </c>
      <c r="B102" s="18">
        <f>IF(VLOOKUP(A102,'DB Country PMI'!$A:$AZ,MATCH($A$1,'DB Country PMI'!$A$1:$AZ$1,),)=0,#N/A,VLOOKUP(A102,'DB Country PMI'!$A:$AZ,MATCH($A$1,'DB Country PMI'!$A$1:$AZ$1,),))</f>
        <v/>
      </c>
      <c r="C102" s="24">
        <f>Table13468111214151617181920222324[[#This Row],[PMI]]-B101</f>
        <v/>
      </c>
    </row>
    <row r="103">
      <c r="A103" s="10" t="n">
        <v>43405</v>
      </c>
      <c r="B103" s="18">
        <f>IF(VLOOKUP(A103,'DB Country PMI'!$A:$AZ,MATCH($A$1,'DB Country PMI'!$A$1:$AZ$1,),)=0,#N/A,VLOOKUP(A103,'DB Country PMI'!$A:$AZ,MATCH($A$1,'DB Country PMI'!$A$1:$AZ$1,),))</f>
        <v/>
      </c>
      <c r="C103" s="24">
        <f>Table13468111214151617181920222324[[#This Row],[PMI]]-B102</f>
        <v/>
      </c>
    </row>
    <row r="104">
      <c r="A104" s="10" t="n">
        <v>43435</v>
      </c>
      <c r="B104" s="18">
        <f>IF(VLOOKUP(A104,'DB Country PMI'!$A:$AZ,MATCH($A$1,'DB Country PMI'!$A$1:$AZ$1,),)=0,#N/A,VLOOKUP(A104,'DB Country PMI'!$A:$AZ,MATCH($A$1,'DB Country PMI'!$A$1:$AZ$1,),))</f>
        <v/>
      </c>
      <c r="C104" s="24">
        <f>Table13468111214151617181920222324[[#This Row],[PMI]]-B103</f>
        <v/>
      </c>
    </row>
    <row r="105">
      <c r="A105" s="10" t="n">
        <v>43466</v>
      </c>
      <c r="B105" s="18">
        <f>IF(VLOOKUP(A105,'DB Country PMI'!$A:$AZ,MATCH($A$1,'DB Country PMI'!$A$1:$AZ$1,),)=0,#N/A,VLOOKUP(A105,'DB Country PMI'!$A:$AZ,MATCH($A$1,'DB Country PMI'!$A$1:$AZ$1,),))</f>
        <v/>
      </c>
      <c r="C105" s="24">
        <f>Table13468111214151617181920222324[[#This Row],[PMI]]-B104</f>
        <v/>
      </c>
    </row>
    <row r="106">
      <c r="A106" s="10" t="n">
        <v>43497</v>
      </c>
      <c r="B106" s="18">
        <f>IF(VLOOKUP(A106,'DB Country PMI'!$A:$AZ,MATCH($A$1,'DB Country PMI'!$A$1:$AZ$1,),)=0,#N/A,VLOOKUP(A106,'DB Country PMI'!$A:$AZ,MATCH($A$1,'DB Country PMI'!$A$1:$AZ$1,),))</f>
        <v/>
      </c>
      <c r="C106" s="24">
        <f>Table13468111214151617181920222324[[#This Row],[PMI]]-B105</f>
        <v/>
      </c>
    </row>
    <row r="107">
      <c r="A107" s="10" t="n">
        <v>43525</v>
      </c>
      <c r="B107" s="18">
        <f>IF(VLOOKUP(A107,'DB Country PMI'!$A:$AZ,MATCH($A$1,'DB Country PMI'!$A$1:$AZ$1,),)=0,#N/A,VLOOKUP(A107,'DB Country PMI'!$A:$AZ,MATCH($A$1,'DB Country PMI'!$A$1:$AZ$1,),))</f>
        <v/>
      </c>
      <c r="C107" s="24">
        <f>Table13468111214151617181920222324[[#This Row],[PMI]]-B106</f>
        <v/>
      </c>
    </row>
    <row r="108">
      <c r="A108" s="10" t="n">
        <v>43556</v>
      </c>
      <c r="B108" s="18">
        <f>IF(VLOOKUP(A108,'DB Country PMI'!$A:$AZ,MATCH($A$1,'DB Country PMI'!$A$1:$AZ$1,),)=0,#N/A,VLOOKUP(A108,'DB Country PMI'!$A:$AZ,MATCH($A$1,'DB Country PMI'!$A$1:$AZ$1,),))</f>
        <v/>
      </c>
      <c r="C108" s="24">
        <f>Table13468111214151617181920222324[[#This Row],[PMI]]-B107</f>
        <v/>
      </c>
    </row>
    <row r="109">
      <c r="A109" s="10" t="n">
        <v>43586</v>
      </c>
      <c r="B109" s="18">
        <f>IF(VLOOKUP(A109,'DB Country PMI'!$A:$AZ,MATCH($A$1,'DB Country PMI'!$A$1:$AZ$1,),)=0,#N/A,VLOOKUP(A109,'DB Country PMI'!$A:$AZ,MATCH($A$1,'DB Country PMI'!$A$1:$AZ$1,),))</f>
        <v/>
      </c>
      <c r="C109" s="24">
        <f>Table13468111214151617181920222324[[#This Row],[PMI]]-B108</f>
        <v/>
      </c>
    </row>
    <row r="110">
      <c r="A110" s="10" t="n">
        <v>43617</v>
      </c>
      <c r="B110" s="18">
        <f>IF(VLOOKUP(A110,'DB Country PMI'!$A:$AZ,MATCH($A$1,'DB Country PMI'!$A$1:$AZ$1,),)=0,#N/A,VLOOKUP(A110,'DB Country PMI'!$A:$AZ,MATCH($A$1,'DB Country PMI'!$A$1:$AZ$1,),))</f>
        <v/>
      </c>
      <c r="C110" s="24">
        <f>Table13468111214151617181920222324[[#This Row],[PMI]]-B109</f>
        <v/>
      </c>
    </row>
    <row r="111">
      <c r="A111" s="10" t="n">
        <v>43647</v>
      </c>
      <c r="B111" s="18">
        <f>IF(VLOOKUP(A111,'DB Country PMI'!$A:$AZ,MATCH($A$1,'DB Country PMI'!$A$1:$AZ$1,),)=0,#N/A,VLOOKUP(A111,'DB Country PMI'!$A:$AZ,MATCH($A$1,'DB Country PMI'!$A$1:$AZ$1,),))</f>
        <v/>
      </c>
      <c r="C111" s="24">
        <f>Table13468111214151617181920222324[[#This Row],[PMI]]-B110</f>
        <v/>
      </c>
    </row>
    <row r="112">
      <c r="A112" s="10" t="n">
        <v>43678</v>
      </c>
      <c r="B112" s="18">
        <f>IF(VLOOKUP(A112,'DB Country PMI'!$A:$AZ,MATCH($A$1,'DB Country PMI'!$A$1:$AZ$1,),)=0,#N/A,VLOOKUP(A112,'DB Country PMI'!$A:$AZ,MATCH($A$1,'DB Country PMI'!$A$1:$AZ$1,),))</f>
        <v/>
      </c>
      <c r="C112" s="24">
        <f>Table13468111214151617181920222324[[#This Row],[PMI]]-B111</f>
        <v/>
      </c>
    </row>
    <row r="113">
      <c r="A113" s="10" t="n">
        <v>43709</v>
      </c>
      <c r="B113" s="18">
        <f>IF(VLOOKUP(A113,'DB Country PMI'!$A:$AZ,MATCH($A$1,'DB Country PMI'!$A$1:$AZ$1,),)=0,#N/A,VLOOKUP(A113,'DB Country PMI'!$A:$AZ,MATCH($A$1,'DB Country PMI'!$A$1:$AZ$1,),))</f>
        <v/>
      </c>
      <c r="C113" s="24">
        <f>Table13468111214151617181920222324[[#This Row],[PMI]]-B112</f>
        <v/>
      </c>
    </row>
    <row r="114">
      <c r="A114" s="10" t="n">
        <v>43739</v>
      </c>
      <c r="B114" s="18">
        <f>IF(VLOOKUP(A114,'DB Country PMI'!$A:$AZ,MATCH($A$1,'DB Country PMI'!$A$1:$AZ$1,),)=0,#N/A,VLOOKUP(A114,'DB Country PMI'!$A:$AZ,MATCH($A$1,'DB Country PMI'!$A$1:$AZ$1,),))</f>
        <v/>
      </c>
      <c r="C114" s="24">
        <f>Table13468111214151617181920222324[[#This Row],[PMI]]-B113</f>
        <v/>
      </c>
    </row>
    <row r="115">
      <c r="A115" s="10" t="n">
        <v>43770</v>
      </c>
      <c r="B115" s="18">
        <f>IF(VLOOKUP(A115,'DB Country PMI'!$A:$AZ,MATCH($A$1,'DB Country PMI'!$A$1:$AZ$1,),)=0,#N/A,VLOOKUP(A115,'DB Country PMI'!$A:$AZ,MATCH($A$1,'DB Country PMI'!$A$1:$AZ$1,),))</f>
        <v/>
      </c>
      <c r="C115" s="24">
        <f>Table13468111214151617181920222324[[#This Row],[PMI]]-B114</f>
        <v/>
      </c>
    </row>
    <row r="116">
      <c r="A116" s="10" t="n">
        <v>43800</v>
      </c>
      <c r="B116" s="18">
        <f>IF(VLOOKUP(A116,'DB Country PMI'!$A:$AZ,MATCH($A$1,'DB Country PMI'!$A$1:$AZ$1,),)=0,#N/A,VLOOKUP(A116,'DB Country PMI'!$A:$AZ,MATCH($A$1,'DB Country PMI'!$A$1:$AZ$1,),))</f>
        <v/>
      </c>
      <c r="C116" s="24">
        <f>Table13468111214151617181920222324[[#This Row],[PMI]]-B115</f>
        <v/>
      </c>
    </row>
    <row r="117">
      <c r="A117" s="10" t="n">
        <v>43831</v>
      </c>
      <c r="B117" s="18">
        <f>IF(VLOOKUP(A117,'DB Country PMI'!$A:$AZ,MATCH($A$1,'DB Country PMI'!$A$1:$AZ$1,),)=0,#N/A,VLOOKUP(A117,'DB Country PMI'!$A:$AZ,MATCH($A$1,'DB Country PMI'!$A$1:$AZ$1,),))</f>
        <v/>
      </c>
      <c r="C117" s="24">
        <f>Table13468111214151617181920222324[[#This Row],[PMI]]-B116</f>
        <v/>
      </c>
    </row>
    <row r="118">
      <c r="A118" s="10" t="n">
        <v>43862</v>
      </c>
      <c r="B118" s="18">
        <f>IF(VLOOKUP(A118,'DB Country PMI'!$A:$AZ,MATCH($A$1,'DB Country PMI'!$A$1:$AZ$1,),)=0,#N/A,VLOOKUP(A118,'DB Country PMI'!$A:$AZ,MATCH($A$1,'DB Country PMI'!$A$1:$AZ$1,),))</f>
        <v/>
      </c>
      <c r="C118" s="24">
        <f>Table13468111214151617181920222324[[#This Row],[PMI]]-B117</f>
        <v/>
      </c>
    </row>
    <row r="119">
      <c r="A119" s="10" t="n">
        <v>43891</v>
      </c>
      <c r="B119" s="18">
        <f>IF(VLOOKUP(A119,'DB Country PMI'!$A:$AZ,MATCH($A$1,'DB Country PMI'!$A$1:$AZ$1,),)=0,#N/A,VLOOKUP(A119,'DB Country PMI'!$A:$AZ,MATCH($A$1,'DB Country PMI'!$A$1:$AZ$1,),))</f>
        <v/>
      </c>
      <c r="C119" s="24">
        <f>Table13468111214151617181920222324[[#This Row],[PMI]]-B118</f>
        <v/>
      </c>
    </row>
    <row r="120">
      <c r="A120" s="10" t="n">
        <v>43922</v>
      </c>
      <c r="B120" s="18">
        <f>IF(VLOOKUP(A120,'DB Country PMI'!$A:$AZ,MATCH($A$1,'DB Country PMI'!$A$1:$AZ$1,),)=0,#N/A,VLOOKUP(A120,'DB Country PMI'!$A:$AZ,MATCH($A$1,'DB Country PMI'!$A$1:$AZ$1,),))</f>
        <v/>
      </c>
      <c r="C120" s="24">
        <f>Table13468111214151617181920222324[[#This Row],[PMI]]-B119</f>
        <v/>
      </c>
    </row>
    <row r="121">
      <c r="A121" s="10" t="n">
        <v>43952</v>
      </c>
      <c r="B121" s="18">
        <f>IF(VLOOKUP(A121,'DB Country PMI'!$A:$AZ,MATCH($A$1,'DB Country PMI'!$A$1:$AZ$1,),)=0,#N/A,VLOOKUP(A121,'DB Country PMI'!$A:$AZ,MATCH($A$1,'DB Country PMI'!$A$1:$AZ$1,),))</f>
        <v/>
      </c>
      <c r="C121" s="24">
        <f>Table13468111214151617181920222324[[#This Row],[PMI]]-B120</f>
        <v/>
      </c>
    </row>
    <row r="122">
      <c r="A122" s="10" t="n">
        <v>43983</v>
      </c>
      <c r="B122" s="18">
        <f>IF(VLOOKUP(A122,'DB Country PMI'!$A:$AZ,MATCH($A$1,'DB Country PMI'!$A$1:$AZ$1,),)=0,#N/A,VLOOKUP(A122,'DB Country PMI'!$A:$AZ,MATCH($A$1,'DB Country PMI'!$A$1:$AZ$1,),))</f>
        <v/>
      </c>
      <c r="C122" s="24">
        <f>Table13468111214151617181920222324[[#This Row],[PMI]]-B121</f>
        <v/>
      </c>
    </row>
    <row r="123">
      <c r="A123" s="10" t="n">
        <v>44013</v>
      </c>
      <c r="B123" s="18">
        <f>IF(VLOOKUP(A123,'DB Country PMI'!$A:$AZ,MATCH($A$1,'DB Country PMI'!$A$1:$AZ$1,),)=0,#N/A,VLOOKUP(A123,'DB Country PMI'!$A:$AZ,MATCH($A$1,'DB Country PMI'!$A$1:$AZ$1,),))</f>
        <v/>
      </c>
      <c r="C123" s="24">
        <f>Table13468111214151617181920222324[[#This Row],[PMI]]-B122</f>
        <v/>
      </c>
    </row>
    <row r="124">
      <c r="A124" s="10" t="n">
        <v>44044</v>
      </c>
      <c r="B124" s="18">
        <f>IF(VLOOKUP(A124,'DB Country PMI'!$A:$AZ,MATCH($A$1,'DB Country PMI'!$A$1:$AZ$1,),)=0,#N/A,VLOOKUP(A124,'DB Country PMI'!$A:$AZ,MATCH($A$1,'DB Country PMI'!$A$1:$AZ$1,),))</f>
        <v/>
      </c>
      <c r="C124" s="24">
        <f>Table13468111214151617181920222324[[#This Row],[PMI]]-B123</f>
        <v/>
      </c>
    </row>
    <row r="125">
      <c r="A125" s="10" t="n">
        <v>44075</v>
      </c>
      <c r="B125" s="18">
        <f>IF(VLOOKUP(A125,'DB Country PMI'!$A:$AZ,MATCH($A$1,'DB Country PMI'!$A$1:$AZ$1,),)=0,#N/A,VLOOKUP(A125,'DB Country PMI'!$A:$AZ,MATCH($A$1,'DB Country PMI'!$A$1:$AZ$1,),))</f>
        <v/>
      </c>
      <c r="C125" s="24">
        <f>Table13468111214151617181920222324[[#This Row],[PMI]]-B124</f>
        <v/>
      </c>
    </row>
    <row r="126">
      <c r="A126" s="10" t="n">
        <v>44105</v>
      </c>
      <c r="B126" s="18">
        <f>IF(VLOOKUP(A126,'DB Country PMI'!$A:$AZ,MATCH($A$1,'DB Country PMI'!$A$1:$AZ$1,),)=0,#N/A,VLOOKUP(A126,'DB Country PMI'!$A:$AZ,MATCH($A$1,'DB Country PMI'!$A$1:$AZ$1,),))</f>
        <v/>
      </c>
      <c r="C126" s="24">
        <f>Table13468111214151617181920222324[[#This Row],[PMI]]-B125</f>
        <v/>
      </c>
    </row>
    <row r="127">
      <c r="A127" s="10" t="n">
        <v>44136</v>
      </c>
      <c r="B127" s="18">
        <f>IF(VLOOKUP(A127,'DB Country PMI'!$A:$AZ,MATCH($A$1,'DB Country PMI'!$A$1:$AZ$1,),)=0,#N/A,VLOOKUP(A127,'DB Country PMI'!$A:$AZ,MATCH($A$1,'DB Country PMI'!$A$1:$AZ$1,),))</f>
        <v/>
      </c>
      <c r="C127" s="24">
        <f>Table13468111214151617181920222324[[#This Row],[PMI]]-B126</f>
        <v/>
      </c>
    </row>
    <row r="128">
      <c r="A128" s="10" t="n">
        <v>44166</v>
      </c>
      <c r="B128" s="18">
        <f>IF(VLOOKUP(A128,'DB Country PMI'!$A:$AZ,MATCH($A$1,'DB Country PMI'!$A$1:$AZ$1,),)=0,#N/A,VLOOKUP(A128,'DB Country PMI'!$A:$AZ,MATCH($A$1,'DB Country PMI'!$A$1:$AZ$1,),))</f>
        <v/>
      </c>
      <c r="C128" s="24">
        <f>Table13468111214151617181920222324[[#This Row],[PMI]]-B127</f>
        <v/>
      </c>
    </row>
    <row r="129">
      <c r="A129" s="10" t="n">
        <v>44197</v>
      </c>
      <c r="B129" s="18">
        <f>IF(VLOOKUP(A129,'DB Country PMI'!$A:$AZ,MATCH($A$1,'DB Country PMI'!$A$1:$AZ$1,),)=0,#N/A,VLOOKUP(A129,'DB Country PMI'!$A:$AZ,MATCH($A$1,'DB Country PMI'!$A$1:$AZ$1,),))</f>
        <v/>
      </c>
      <c r="C129" s="24">
        <f>Table13468111214151617181920222324[[#This Row],[PMI]]-B128</f>
        <v/>
      </c>
    </row>
    <row r="130">
      <c r="A130" s="10" t="n">
        <v>44228</v>
      </c>
      <c r="B130" s="18">
        <f>IF(VLOOKUP(A130,'DB Country PMI'!$A:$AZ,MATCH($A$1,'DB Country PMI'!$A$1:$AZ$1,),)=0,#N/A,VLOOKUP(A130,'DB Country PMI'!$A:$AZ,MATCH($A$1,'DB Country PMI'!$A$1:$AZ$1,),))</f>
        <v/>
      </c>
      <c r="C130" s="24">
        <f>Table13468111214151617181920222324[[#This Row],[PMI]]-B129</f>
        <v/>
      </c>
    </row>
    <row r="131">
      <c r="A131" s="10" t="n">
        <v>44256</v>
      </c>
      <c r="B131" s="18">
        <f>IF(VLOOKUP(A131,'DB Country PMI'!$A:$AZ,MATCH($A$1,'DB Country PMI'!$A$1:$AZ$1,),)=0,#N/A,VLOOKUP(A131,'DB Country PMI'!$A:$AZ,MATCH($A$1,'DB Country PMI'!$A$1:$AZ$1,),))</f>
        <v/>
      </c>
      <c r="C131" s="24">
        <f>Table13468111214151617181920222324[[#This Row],[PMI]]-B130</f>
        <v/>
      </c>
    </row>
    <row r="132">
      <c r="A132" s="10" t="n">
        <v>44287</v>
      </c>
      <c r="B132" s="18">
        <f>IF(VLOOKUP(A132,'DB Country PMI'!$A:$AZ,MATCH($A$1,'DB Country PMI'!$A$1:$AZ$1,),)=0,#N/A,VLOOKUP(A132,'DB Country PMI'!$A:$AZ,MATCH($A$1,'DB Country PMI'!$A$1:$AZ$1,),))</f>
        <v/>
      </c>
      <c r="C132" s="24">
        <f>Table13468111214151617181920222324[[#This Row],[PMI]]-B131</f>
        <v/>
      </c>
    </row>
    <row r="133">
      <c r="A133" s="10" t="n">
        <v>44317</v>
      </c>
      <c r="B133" s="18">
        <f>IF(VLOOKUP(A133,'DB Country PMI'!$A:$AZ,MATCH($A$1,'DB Country PMI'!$A$1:$AZ$1,),)=0,#N/A,VLOOKUP(A133,'DB Country PMI'!$A:$AZ,MATCH($A$1,'DB Country PMI'!$A$1:$AZ$1,),))</f>
        <v/>
      </c>
      <c r="C133" s="24">
        <f>Table13468111214151617181920222324[[#This Row],[PMI]]-B132</f>
        <v/>
      </c>
    </row>
    <row r="134">
      <c r="A134" s="10" t="n">
        <v>44348</v>
      </c>
      <c r="B134" s="18">
        <f>IF(VLOOKUP(A134,'DB Country PMI'!$A:$AZ,MATCH($A$1,'DB Country PMI'!$A$1:$AZ$1,),)=0,#N/A,VLOOKUP(A134,'DB Country PMI'!$A:$AZ,MATCH($A$1,'DB Country PMI'!$A$1:$AZ$1,),))</f>
        <v/>
      </c>
      <c r="C134" s="24">
        <f>Table13468111214151617181920222324[[#This Row],[PMI]]-B133</f>
        <v/>
      </c>
    </row>
    <row r="135">
      <c r="A135" s="10" t="n">
        <v>44378</v>
      </c>
      <c r="B135" s="18">
        <f>IF(VLOOKUP(A135,'DB Country PMI'!$A:$AZ,MATCH($A$1,'DB Country PMI'!$A$1:$AZ$1,),)=0,#N/A,VLOOKUP(A135,'DB Country PMI'!$A:$AZ,MATCH($A$1,'DB Country PMI'!$A$1:$AZ$1,),))</f>
        <v/>
      </c>
      <c r="C135" s="24">
        <f>Table13468111214151617181920222324[[#This Row],[PMI]]-B134</f>
        <v/>
      </c>
    </row>
    <row r="136">
      <c r="A136" s="10" t="n">
        <v>44409</v>
      </c>
      <c r="B136" s="18">
        <f>IF(VLOOKUP(A136,'DB Country PMI'!$A:$AZ,MATCH($A$1,'DB Country PMI'!$A$1:$AZ$1,),)=0,#N/A,VLOOKUP(A136,'DB Country PMI'!$A:$AZ,MATCH($A$1,'DB Country PMI'!$A$1:$AZ$1,),))</f>
        <v/>
      </c>
      <c r="C136" s="24">
        <f>Table13468111214151617181920222324[[#This Row],[PMI]]-B135</f>
        <v/>
      </c>
    </row>
    <row r="137">
      <c r="A137" s="10" t="n">
        <v>44440</v>
      </c>
      <c r="B137" s="18">
        <f>IF(VLOOKUP(A137,'DB Country PMI'!$A:$AZ,MATCH($A$1,'DB Country PMI'!$A$1:$AZ$1,),)=0,#N/A,VLOOKUP(A137,'DB Country PMI'!$A:$AZ,MATCH($A$1,'DB Country PMI'!$A$1:$AZ$1,),))</f>
        <v/>
      </c>
      <c r="C137" s="24">
        <f>Table13468111214151617181920222324[[#This Row],[PMI]]-B136</f>
        <v/>
      </c>
    </row>
    <row r="138">
      <c r="A138" s="10" t="n">
        <v>44470</v>
      </c>
      <c r="B138" s="18">
        <f>IF(VLOOKUP(A138,'DB Country PMI'!$A:$AZ,MATCH($A$1,'DB Country PMI'!$A$1:$AZ$1,),)=0,#N/A,VLOOKUP(A138,'DB Country PMI'!$A:$AZ,MATCH($A$1,'DB Country PMI'!$A$1:$AZ$1,),))</f>
        <v/>
      </c>
      <c r="C138" s="24">
        <f>Table13468111214151617181920222324[[#This Row],[PMI]]-B137</f>
        <v/>
      </c>
    </row>
    <row r="139">
      <c r="A139" s="10" t="n">
        <v>44501</v>
      </c>
      <c r="B139" s="18">
        <f>IF(VLOOKUP(A139,'DB Country PMI'!$A:$AZ,MATCH($A$1,'DB Country PMI'!$A$1:$AZ$1,),)=0,#N/A,VLOOKUP(A139,'DB Country PMI'!$A:$AZ,MATCH($A$1,'DB Country PMI'!$A$1:$AZ$1,),))</f>
        <v/>
      </c>
      <c r="C139" s="24">
        <f>Table13468111214151617181920222324[[#This Row],[PMI]]-B138</f>
        <v/>
      </c>
    </row>
    <row r="140">
      <c r="A140" s="10" t="n">
        <v>44531</v>
      </c>
      <c r="B140" s="18">
        <f>IF(VLOOKUP(A140,'DB Country PMI'!$A:$AZ,MATCH($A$1,'DB Country PMI'!$A$1:$AZ$1,),)=0,#N/A,VLOOKUP(A140,'DB Country PMI'!$A:$AZ,MATCH($A$1,'DB Country PMI'!$A$1:$AZ$1,),))</f>
        <v/>
      </c>
      <c r="C140" s="24">
        <f>Table13468111214151617181920222324[[#This Row],[PMI]]-B139</f>
        <v/>
      </c>
    </row>
    <row r="141">
      <c r="A141" s="10" t="n">
        <v>44562</v>
      </c>
      <c r="B141" s="18">
        <f>IF(VLOOKUP(A141,'DB Country PMI'!$A:$AZ,MATCH($A$1,'DB Country PMI'!$A$1:$AZ$1,),)=0,#N/A,VLOOKUP(A141,'DB Country PMI'!$A:$AZ,MATCH($A$1,'DB Country PMI'!$A$1:$AZ$1,),))</f>
        <v/>
      </c>
      <c r="C141" s="24">
        <f>Table13468111214151617181920222324[[#This Row],[PMI]]-B140</f>
        <v/>
      </c>
    </row>
    <row r="142">
      <c r="A142" s="10" t="n">
        <v>44593</v>
      </c>
      <c r="B142" s="18">
        <f>IF(VLOOKUP(A142,'DB Country PMI'!$A:$AZ,MATCH($A$1,'DB Country PMI'!$A$1:$AZ$1,),)=0,#N/A,VLOOKUP(A142,'DB Country PMI'!$A:$AZ,MATCH($A$1,'DB Country PMI'!$A$1:$AZ$1,),))</f>
        <v/>
      </c>
      <c r="C142" s="24">
        <f>Table13468111214151617181920222324[[#This Row],[PMI]]-B141</f>
        <v/>
      </c>
    </row>
    <row r="143">
      <c r="A143" s="10" t="n">
        <v>44621</v>
      </c>
      <c r="B143" s="18">
        <f>IF(VLOOKUP(A143,'DB Country PMI'!$A:$AZ,MATCH($A$1,'DB Country PMI'!$A$1:$AZ$1,),)=0,#N/A,VLOOKUP(A143,'DB Country PMI'!$A:$AZ,MATCH($A$1,'DB Country PMI'!$A$1:$AZ$1,),))</f>
        <v/>
      </c>
      <c r="C143" s="24">
        <f>Table13468111214151617181920222324[[#This Row],[PMI]]-B142</f>
        <v/>
      </c>
    </row>
    <row r="144">
      <c r="A144" s="10" t="n">
        <v>44652</v>
      </c>
      <c r="B144" s="18">
        <f>IF(VLOOKUP(A144,'DB Country PMI'!$A:$AZ,MATCH($A$1,'DB Country PMI'!$A$1:$AZ$1,),)=0,#N/A,VLOOKUP(A144,'DB Country PMI'!$A:$AZ,MATCH($A$1,'DB Country PMI'!$A$1:$AZ$1,),))</f>
        <v/>
      </c>
      <c r="C144" s="24">
        <f>Table13468111214151617181920222324[[#This Row],[PMI]]-B143</f>
        <v/>
      </c>
    </row>
    <row r="145">
      <c r="A145" s="10" t="n">
        <v>44682</v>
      </c>
      <c r="B145" s="18">
        <f>IF(VLOOKUP(A145,'DB Country PMI'!$A:$AZ,MATCH($A$1,'DB Country PMI'!$A$1:$AZ$1,),)=0,#N/A,VLOOKUP(A145,'DB Country PMI'!$A:$AZ,MATCH($A$1,'DB Country PMI'!$A$1:$AZ$1,),))</f>
        <v/>
      </c>
      <c r="C145" s="24">
        <f>Table13468111214151617181920222324[[#This Row],[PMI]]-B144</f>
        <v/>
      </c>
    </row>
    <row r="146">
      <c r="A146" s="10" t="n">
        <v>44713</v>
      </c>
      <c r="B146" s="18">
        <f>IF(VLOOKUP(A146,'DB Country PMI'!$A:$AZ,MATCH($A$1,'DB Country PMI'!$A$1:$AZ$1,),)=0,#N/A,VLOOKUP(A146,'DB Country PMI'!$A:$AZ,MATCH($A$1,'DB Country PMI'!$A$1:$AZ$1,),))</f>
        <v/>
      </c>
      <c r="C146" s="24">
        <f>Table13468111214151617181920222324[[#This Row],[PMI]]-B145</f>
        <v/>
      </c>
    </row>
    <row r="147">
      <c r="A147" s="10" t="n">
        <v>44743</v>
      </c>
      <c r="B147" s="18">
        <f>IF(VLOOKUP(A147,'DB Country PMI'!$A:$AZ,MATCH($A$1,'DB Country PMI'!$A$1:$AZ$1,),)=0,#N/A,VLOOKUP(A147,'DB Country PMI'!$A:$AZ,MATCH($A$1,'DB Country PMI'!$A$1:$AZ$1,),))</f>
        <v/>
      </c>
      <c r="C147" s="24">
        <f>Table13468111214151617181920222324[[#This Row],[PMI]]-B146</f>
        <v/>
      </c>
    </row>
    <row r="148">
      <c r="A148" s="10" t="n">
        <v>44774</v>
      </c>
      <c r="B148" s="18">
        <f>IF(VLOOKUP(A148,'DB Country PMI'!$A:$AZ,MATCH($A$1,'DB Country PMI'!$A$1:$AZ$1,),)=0,#N/A,VLOOKUP(A148,'DB Country PMI'!$A:$AZ,MATCH($A$1,'DB Country PMI'!$A$1:$AZ$1,),))</f>
        <v/>
      </c>
      <c r="C148" s="24">
        <f>Table13468111214151617181920222324[[#This Row],[PMI]]-B147</f>
        <v/>
      </c>
    </row>
    <row r="149">
      <c r="A149" s="10" t="n">
        <v>44805</v>
      </c>
      <c r="B149" s="18">
        <f>IF(VLOOKUP(A149,'DB Country PMI'!$A:$AZ,MATCH($A$1,'DB Country PMI'!$A$1:$AZ$1,),)=0,#N/A,VLOOKUP(A149,'DB Country PMI'!$A:$AZ,MATCH($A$1,'DB Country PMI'!$A$1:$AZ$1,),))</f>
        <v/>
      </c>
      <c r="C149" s="24">
        <f>Table13468111214151617181920222324[[#This Row],[PMI]]-B148</f>
        <v/>
      </c>
    </row>
    <row r="150">
      <c r="A150" s="10" t="n">
        <v>44835</v>
      </c>
      <c r="B150" s="18">
        <f>IF(VLOOKUP(A150,'DB Country PMI'!$A:$AZ,MATCH($A$1,'DB Country PMI'!$A$1:$AZ$1,),)=0,#N/A,VLOOKUP(A150,'DB Country PMI'!$A:$AZ,MATCH($A$1,'DB Country PMI'!$A$1:$AZ$1,),))</f>
        <v/>
      </c>
      <c r="C150" s="24">
        <f>Table13468111214151617181920222324[[#This Row],[PMI]]-B149</f>
        <v/>
      </c>
    </row>
    <row r="151">
      <c r="A151" s="10" t="n">
        <v>44866</v>
      </c>
      <c r="B151" s="18">
        <f>IF(VLOOKUP(A151,'DB Country PMI'!$A:$AZ,MATCH($A$1,'DB Country PMI'!$A$1:$AZ$1,),)=0,#N/A,VLOOKUP(A151,'DB Country PMI'!$A:$AZ,MATCH($A$1,'DB Country PMI'!$A$1:$AZ$1,),))</f>
        <v/>
      </c>
      <c r="C151" s="24">
        <f>Table13468111214151617181920222324[[#This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1.xml><?xml version="1.0" encoding="utf-8"?>
<worksheet xmlns="http://schemas.openxmlformats.org/spreadsheetml/2006/main">
  <sheetPr>
    <outlinePr summaryBelow="1" summaryRight="1"/>
    <pageSetUpPr/>
  </sheetPr>
  <dimension ref="A1:K145"/>
  <sheetViews>
    <sheetView zoomScale="90" zoomScaleNormal="90" workbookViewId="0">
      <pane ySplit="5" topLeftCell="A126" activePane="bottomLeft" state="frozen"/>
      <selection pane="bottomLeft" activeCell="P141" sqref="P141"/>
    </sheetView>
  </sheetViews>
  <sheetFormatPr baseColWidth="8" defaultColWidth="9.1796875" defaultRowHeight="14.5"/>
  <cols>
    <col width="13.453125" customWidth="1" style="69" min="1" max="1"/>
    <col width="11.36328125" customWidth="1" style="69" min="2" max="2"/>
    <col width="9.1796875" customWidth="1" style="69" min="3" max="51"/>
    <col width="9.1796875" customWidth="1" style="69" min="52" max="16384"/>
  </cols>
  <sheetData>
    <row r="1">
      <c r="A1" s="69" t="inlineStr">
        <is>
          <t>Canada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Table13468[[#This Row],[PMI]]-B6</f>
        <v/>
      </c>
    </row>
    <row r="8">
      <c r="A8" s="10" t="n">
        <v>40695</v>
      </c>
      <c r="B8" s="18">
        <f>IF(VLOOKUP(A8,'DB Country PMI'!$A:$AZ,MATCH($A$1,'DB Country PMI'!$A$1:$AZ$1,),)=0,#N/A,VLOOKUP(A8,'DB Country PMI'!$A:$AZ,MATCH($A$1,'DB Country PMI'!$A$1:$AZ$1,),))</f>
        <v/>
      </c>
      <c r="C8" s="24">
        <f>Table13468[[#This Row],[PMI]]-B7</f>
        <v/>
      </c>
    </row>
    <row r="9">
      <c r="A9" s="10" t="n">
        <v>40725</v>
      </c>
      <c r="B9" s="18">
        <f>IF(VLOOKUP(A9,'DB Country PMI'!$A:$AZ,MATCH($A$1,'DB Country PMI'!$A$1:$AZ$1,),)=0,#N/A,VLOOKUP(A9,'DB Country PMI'!$A:$AZ,MATCH($A$1,'DB Country PMI'!$A$1:$AZ$1,),))</f>
        <v/>
      </c>
      <c r="C9" s="24">
        <f>Table13468[[#This Row],[PMI]]-B8</f>
        <v/>
      </c>
    </row>
    <row r="10">
      <c r="A10" s="10" t="n">
        <v>40756</v>
      </c>
      <c r="B10" s="18">
        <f>IF(VLOOKUP(A10,'DB Country PMI'!$A:$AZ,MATCH($A$1,'DB Country PMI'!$A$1:$AZ$1,),)=0,#N/A,VLOOKUP(A10,'DB Country PMI'!$A:$AZ,MATCH($A$1,'DB Country PMI'!$A$1:$AZ$1,),))</f>
        <v/>
      </c>
      <c r="C10" s="24">
        <f>Table13468[[#This Row],[PMI]]-B9</f>
        <v/>
      </c>
    </row>
    <row r="11">
      <c r="A11" s="10" t="n">
        <v>40787</v>
      </c>
      <c r="B11" s="18">
        <f>IF(VLOOKUP(A11,'DB Country PMI'!$A:$AZ,MATCH($A$1,'DB Country PMI'!$A$1:$AZ$1,),)=0,#N/A,VLOOKUP(A11,'DB Country PMI'!$A:$AZ,MATCH($A$1,'DB Country PMI'!$A$1:$AZ$1,),))</f>
        <v/>
      </c>
      <c r="C11" s="24">
        <f>Table13468[[#This Row],[PMI]]-B10</f>
        <v/>
      </c>
    </row>
    <row r="12">
      <c r="A12" s="10" t="n">
        <v>40817</v>
      </c>
      <c r="B12" s="18">
        <f>IF(VLOOKUP(A12,'DB Country PMI'!$A:$AZ,MATCH($A$1,'DB Country PMI'!$A$1:$AZ$1,),)=0,#N/A,VLOOKUP(A12,'DB Country PMI'!$A:$AZ,MATCH($A$1,'DB Country PMI'!$A$1:$AZ$1,),))</f>
        <v/>
      </c>
      <c r="C12" s="24">
        <f>Table13468[[#This Row],[PMI]]-B11</f>
        <v/>
      </c>
    </row>
    <row r="13">
      <c r="A13" s="10" t="n">
        <v>40848</v>
      </c>
      <c r="B13" s="18">
        <f>IF(VLOOKUP(A13,'DB Country PMI'!$A:$AZ,MATCH($A$1,'DB Country PMI'!$A$1:$AZ$1,),)=0,#N/A,VLOOKUP(A13,'DB Country PMI'!$A:$AZ,MATCH($A$1,'DB Country PMI'!$A$1:$AZ$1,),))</f>
        <v/>
      </c>
      <c r="C13" s="24">
        <f>Table13468[[#This Row],[PMI]]-B12</f>
        <v/>
      </c>
    </row>
    <row r="14">
      <c r="A14" s="10" t="n">
        <v>40878</v>
      </c>
      <c r="B14" s="18">
        <f>IF(VLOOKUP(A14,'DB Country PMI'!$A:$AZ,MATCH($A$1,'DB Country PMI'!$A$1:$AZ$1,),)=0,#N/A,VLOOKUP(A14,'DB Country PMI'!$A:$AZ,MATCH($A$1,'DB Country PMI'!$A$1:$AZ$1,),))</f>
        <v/>
      </c>
      <c r="C14" s="24">
        <f>Table13468[[#This Row],[PMI]]-B13</f>
        <v/>
      </c>
    </row>
    <row r="15">
      <c r="A15" s="10" t="n">
        <v>40909</v>
      </c>
      <c r="B15" s="18">
        <f>IF(VLOOKUP(A15,'DB Country PMI'!$A:$AZ,MATCH($A$1,'DB Country PMI'!$A$1:$AZ$1,),)=0,#N/A,VLOOKUP(A15,'DB Country PMI'!$A:$AZ,MATCH($A$1,'DB Country PMI'!$A$1:$AZ$1,),))</f>
        <v/>
      </c>
      <c r="C15" s="24">
        <f>Table13468[[#This Row],[PMI]]-B14</f>
        <v/>
      </c>
    </row>
    <row r="16">
      <c r="A16" s="10" t="n">
        <v>40940</v>
      </c>
      <c r="B16" s="18">
        <f>IF(VLOOKUP(A16,'DB Country PMI'!$A:$AZ,MATCH($A$1,'DB Country PMI'!$A$1:$AZ$1,),)=0,#N/A,VLOOKUP(A16,'DB Country PMI'!$A:$AZ,MATCH($A$1,'DB Country PMI'!$A$1:$AZ$1,),))</f>
        <v/>
      </c>
      <c r="C16" s="24">
        <f>Table13468[[#This Row],[PMI]]-B15</f>
        <v/>
      </c>
    </row>
    <row r="17">
      <c r="A17" s="10" t="n">
        <v>40969</v>
      </c>
      <c r="B17" s="18">
        <f>IF(VLOOKUP(A17,'DB Country PMI'!$A:$AZ,MATCH($A$1,'DB Country PMI'!$A$1:$AZ$1,),)=0,#N/A,VLOOKUP(A17,'DB Country PMI'!$A:$AZ,MATCH($A$1,'DB Country PMI'!$A$1:$AZ$1,),))</f>
        <v/>
      </c>
      <c r="C17" s="24">
        <f>Table13468[[#This Row],[PMI]]-B16</f>
        <v/>
      </c>
    </row>
    <row r="18">
      <c r="A18" s="10" t="n">
        <v>41000</v>
      </c>
      <c r="B18" s="18">
        <f>IF(VLOOKUP(A18,'DB Country PMI'!$A:$AZ,MATCH($A$1,'DB Country PMI'!$A$1:$AZ$1,),)=0,#N/A,VLOOKUP(A18,'DB Country PMI'!$A:$AZ,MATCH($A$1,'DB Country PMI'!$A$1:$AZ$1,),))</f>
        <v/>
      </c>
      <c r="C18" s="24">
        <f>Table13468[[#This Row],[PMI]]-B17</f>
        <v/>
      </c>
    </row>
    <row r="19">
      <c r="A19" s="10" t="n">
        <v>41030</v>
      </c>
      <c r="B19" s="18">
        <f>IF(VLOOKUP(A19,'DB Country PMI'!$A:$AZ,MATCH($A$1,'DB Country PMI'!$A$1:$AZ$1,),)=0,#N/A,VLOOKUP(A19,'DB Country PMI'!$A:$AZ,MATCH($A$1,'DB Country PMI'!$A$1:$AZ$1,),))</f>
        <v/>
      </c>
      <c r="C19" s="24">
        <f>Table13468[[#This Row],[PMI]]-B18</f>
        <v/>
      </c>
    </row>
    <row r="20">
      <c r="A20" s="10" t="n">
        <v>41061</v>
      </c>
      <c r="B20" s="18">
        <f>IF(VLOOKUP(A20,'DB Country PMI'!$A:$AZ,MATCH($A$1,'DB Country PMI'!$A$1:$AZ$1,),)=0,#N/A,VLOOKUP(A20,'DB Country PMI'!$A:$AZ,MATCH($A$1,'DB Country PMI'!$A$1:$AZ$1,),))</f>
        <v/>
      </c>
      <c r="C20" s="24">
        <f>Table13468[[#This Row],[PMI]]-B19</f>
        <v/>
      </c>
    </row>
    <row r="21">
      <c r="A21" s="10" t="n">
        <v>41091</v>
      </c>
      <c r="B21" s="18">
        <f>IF(VLOOKUP(A21,'DB Country PMI'!$A:$AZ,MATCH($A$1,'DB Country PMI'!$A$1:$AZ$1,),)=0,#N/A,VLOOKUP(A21,'DB Country PMI'!$A:$AZ,MATCH($A$1,'DB Country PMI'!$A$1:$AZ$1,),))</f>
        <v/>
      </c>
      <c r="C21" s="24">
        <f>Table13468[[#This Row],[PMI]]-B20</f>
        <v/>
      </c>
    </row>
    <row r="22">
      <c r="A22" s="10" t="n">
        <v>41122</v>
      </c>
      <c r="B22" s="18">
        <f>IF(VLOOKUP(A22,'DB Country PMI'!$A:$AZ,MATCH($A$1,'DB Country PMI'!$A$1:$AZ$1,),)=0,#N/A,VLOOKUP(A22,'DB Country PMI'!$A:$AZ,MATCH($A$1,'DB Country PMI'!$A$1:$AZ$1,),))</f>
        <v/>
      </c>
      <c r="C22" s="24">
        <f>Table13468[[#This Row],[PMI]]-B21</f>
        <v/>
      </c>
    </row>
    <row r="23">
      <c r="A23" s="10" t="n">
        <v>41153</v>
      </c>
      <c r="B23" s="18">
        <f>IF(VLOOKUP(A23,'DB Country PMI'!$A:$AZ,MATCH($A$1,'DB Country PMI'!$A$1:$AZ$1,),)=0,#N/A,VLOOKUP(A23,'DB Country PMI'!$A:$AZ,MATCH($A$1,'DB Country PMI'!$A$1:$AZ$1,),))</f>
        <v/>
      </c>
      <c r="C23" s="24">
        <f>Table13468[[#This Row],[PMI]]-B22</f>
        <v/>
      </c>
    </row>
    <row r="24">
      <c r="A24" s="10" t="n">
        <v>41183</v>
      </c>
      <c r="B24" s="18">
        <f>IF(VLOOKUP(A24,'DB Country PMI'!$A:$AZ,MATCH($A$1,'DB Country PMI'!$A$1:$AZ$1,),)=0,#N/A,VLOOKUP(A24,'DB Country PMI'!$A:$AZ,MATCH($A$1,'DB Country PMI'!$A$1:$AZ$1,),))</f>
        <v/>
      </c>
      <c r="C24" s="24">
        <f>Table13468[[#This Row],[PMI]]-B23</f>
        <v/>
      </c>
    </row>
    <row r="25">
      <c r="A25" s="10" t="n">
        <v>41214</v>
      </c>
      <c r="B25" s="18">
        <f>IF(VLOOKUP(A25,'DB Country PMI'!$A:$AZ,MATCH($A$1,'DB Country PMI'!$A$1:$AZ$1,),)=0,#N/A,VLOOKUP(A25,'DB Country PMI'!$A:$AZ,MATCH($A$1,'DB Country PMI'!$A$1:$AZ$1,),))</f>
        <v/>
      </c>
      <c r="C25" s="24">
        <f>Table13468[[#This Row],[PMI]]-B24</f>
        <v/>
      </c>
    </row>
    <row r="26">
      <c r="A26" s="10" t="n">
        <v>41244</v>
      </c>
      <c r="B26" s="18">
        <f>IF(VLOOKUP(A26,'DB Country PMI'!$A:$AZ,MATCH($A$1,'DB Country PMI'!$A$1:$AZ$1,),)=0,#N/A,VLOOKUP(A26,'DB Country PMI'!$A:$AZ,MATCH($A$1,'DB Country PMI'!$A$1:$AZ$1,),))</f>
        <v/>
      </c>
      <c r="C26" s="24">
        <f>Table13468[[#This Row],[PMI]]-B25</f>
        <v/>
      </c>
    </row>
    <row r="27">
      <c r="A27" s="10" t="n">
        <v>41275</v>
      </c>
      <c r="B27" s="18">
        <f>IF(VLOOKUP(A27,'DB Country PMI'!$A:$AZ,MATCH($A$1,'DB Country PMI'!$A$1:$AZ$1,),)=0,#N/A,VLOOKUP(A27,'DB Country PMI'!$A:$AZ,MATCH($A$1,'DB Country PMI'!$A$1:$AZ$1,),))</f>
        <v/>
      </c>
      <c r="C27" s="24">
        <f>Table13468[[#This Row],[PMI]]-B26</f>
        <v/>
      </c>
    </row>
    <row r="28">
      <c r="A28" s="10" t="n">
        <v>41306</v>
      </c>
      <c r="B28" s="18">
        <f>IF(VLOOKUP(A28,'DB Country PMI'!$A:$AZ,MATCH($A$1,'DB Country PMI'!$A$1:$AZ$1,),)=0,#N/A,VLOOKUP(A28,'DB Country PMI'!$A:$AZ,MATCH($A$1,'DB Country PMI'!$A$1:$AZ$1,),))</f>
        <v/>
      </c>
      <c r="C28" s="24">
        <f>Table13468[[#This Row],[PMI]]-B27</f>
        <v/>
      </c>
    </row>
    <row r="29">
      <c r="A29" s="10" t="n">
        <v>41334</v>
      </c>
      <c r="B29" s="18">
        <f>IF(VLOOKUP(A29,'DB Country PMI'!$A:$AZ,MATCH($A$1,'DB Country PMI'!$A$1:$AZ$1,),)=0,#N/A,VLOOKUP(A29,'DB Country PMI'!$A:$AZ,MATCH($A$1,'DB Country PMI'!$A$1:$AZ$1,),))</f>
        <v/>
      </c>
      <c r="C29" s="24">
        <f>Table13468[[#This Row],[PMI]]-B28</f>
        <v/>
      </c>
    </row>
    <row r="30">
      <c r="A30" s="10" t="n">
        <v>41365</v>
      </c>
      <c r="B30" s="18">
        <f>IF(VLOOKUP(A30,'DB Country PMI'!$A:$AZ,MATCH($A$1,'DB Country PMI'!$A$1:$AZ$1,),)=0,#N/A,VLOOKUP(A30,'DB Country PMI'!$A:$AZ,MATCH($A$1,'DB Country PMI'!$A$1:$AZ$1,),))</f>
        <v/>
      </c>
      <c r="C30" s="24">
        <f>Table13468[[#This Row],[PMI]]-B29</f>
        <v/>
      </c>
    </row>
    <row r="31">
      <c r="A31" s="10" t="n">
        <v>41395</v>
      </c>
      <c r="B31" s="18">
        <f>IF(VLOOKUP(A31,'DB Country PMI'!$A:$AZ,MATCH($A$1,'DB Country PMI'!$A$1:$AZ$1,),)=0,#N/A,VLOOKUP(A31,'DB Country PMI'!$A:$AZ,MATCH($A$1,'DB Country PMI'!$A$1:$AZ$1,),))</f>
        <v/>
      </c>
      <c r="C31" s="24">
        <f>Table13468[[#This Row],[PMI]]-B30</f>
        <v/>
      </c>
    </row>
    <row r="32">
      <c r="A32" s="10" t="n">
        <v>41426</v>
      </c>
      <c r="B32" s="18">
        <f>IF(VLOOKUP(A32,'DB Country PMI'!$A:$AZ,MATCH($A$1,'DB Country PMI'!$A$1:$AZ$1,),)=0,#N/A,VLOOKUP(A32,'DB Country PMI'!$A:$AZ,MATCH($A$1,'DB Country PMI'!$A$1:$AZ$1,),))</f>
        <v/>
      </c>
      <c r="C32" s="24">
        <f>Table13468[[#This Row],[PMI]]-B31</f>
        <v/>
      </c>
    </row>
    <row r="33">
      <c r="A33" s="10" t="n">
        <v>41456</v>
      </c>
      <c r="B33" s="18">
        <f>IF(VLOOKUP(A33,'DB Country PMI'!$A:$AZ,MATCH($A$1,'DB Country PMI'!$A$1:$AZ$1,),)=0,#N/A,VLOOKUP(A33,'DB Country PMI'!$A:$AZ,MATCH($A$1,'DB Country PMI'!$A$1:$AZ$1,),))</f>
        <v/>
      </c>
      <c r="C33" s="24">
        <f>Table13468[[#This Row],[PMI]]-B32</f>
        <v/>
      </c>
    </row>
    <row r="34">
      <c r="A34" s="10" t="n">
        <v>41487</v>
      </c>
      <c r="B34" s="18">
        <f>IF(VLOOKUP(A34,'DB Country PMI'!$A:$AZ,MATCH($A$1,'DB Country PMI'!$A$1:$AZ$1,),)=0,#N/A,VLOOKUP(A34,'DB Country PMI'!$A:$AZ,MATCH($A$1,'DB Country PMI'!$A$1:$AZ$1,),))</f>
        <v/>
      </c>
      <c r="C34" s="24">
        <f>Table13468[[#This Row],[PMI]]-B33</f>
        <v/>
      </c>
    </row>
    <row r="35">
      <c r="A35" s="10" t="n">
        <v>41518</v>
      </c>
      <c r="B35" s="18">
        <f>IF(VLOOKUP(A35,'DB Country PMI'!$A:$AZ,MATCH($A$1,'DB Country PMI'!$A$1:$AZ$1,),)=0,#N/A,VLOOKUP(A35,'DB Country PMI'!$A:$AZ,MATCH($A$1,'DB Country PMI'!$A$1:$AZ$1,),))</f>
        <v/>
      </c>
      <c r="C35" s="24">
        <f>Table13468[[#This Row],[PMI]]-B34</f>
        <v/>
      </c>
    </row>
    <row r="36">
      <c r="A36" s="10" t="n">
        <v>41548</v>
      </c>
      <c r="B36" s="18">
        <f>IF(VLOOKUP(A36,'DB Country PMI'!$A:$AZ,MATCH($A$1,'DB Country PMI'!$A$1:$AZ$1,),)=0,#N/A,VLOOKUP(A36,'DB Country PMI'!$A:$AZ,MATCH($A$1,'DB Country PMI'!$A$1:$AZ$1,),))</f>
        <v/>
      </c>
      <c r="C36" s="24">
        <f>Table13468[[#This Row],[PMI]]-B35</f>
        <v/>
      </c>
    </row>
    <row r="37">
      <c r="A37" s="10" t="n">
        <v>41579</v>
      </c>
      <c r="B37" s="18">
        <f>IF(VLOOKUP(A37,'DB Country PMI'!$A:$AZ,MATCH($A$1,'DB Country PMI'!$A$1:$AZ$1,),)=0,#N/A,VLOOKUP(A37,'DB Country PMI'!$A:$AZ,MATCH($A$1,'DB Country PMI'!$A$1:$AZ$1,),))</f>
        <v/>
      </c>
      <c r="C37" s="24">
        <f>Table13468[[#This Row],[PMI]]-B36</f>
        <v/>
      </c>
    </row>
    <row r="38">
      <c r="A38" s="10" t="n">
        <v>41609</v>
      </c>
      <c r="B38" s="18">
        <f>IF(VLOOKUP(A38,'DB Country PMI'!$A:$AZ,MATCH($A$1,'DB Country PMI'!$A$1:$AZ$1,),)=0,#N/A,VLOOKUP(A38,'DB Country PMI'!$A:$AZ,MATCH($A$1,'DB Country PMI'!$A$1:$AZ$1,),))</f>
        <v/>
      </c>
      <c r="C38" s="24">
        <f>Table13468[[#This Row],[PMI]]-B37</f>
        <v/>
      </c>
    </row>
    <row r="39">
      <c r="A39" s="10" t="n">
        <v>41640</v>
      </c>
      <c r="B39" s="18">
        <f>IF(VLOOKUP(A39,'DB Country PMI'!$A:$AZ,MATCH($A$1,'DB Country PMI'!$A$1:$AZ$1,),)=0,#N/A,VLOOKUP(A39,'DB Country PMI'!$A:$AZ,MATCH($A$1,'DB Country PMI'!$A$1:$AZ$1,),))</f>
        <v/>
      </c>
      <c r="C39" s="24">
        <f>Table13468[[#This Row],[PMI]]-B38</f>
        <v/>
      </c>
    </row>
    <row r="40">
      <c r="A40" s="10" t="n">
        <v>41671</v>
      </c>
      <c r="B40" s="18">
        <f>IF(VLOOKUP(A40,'DB Country PMI'!$A:$AZ,MATCH($A$1,'DB Country PMI'!$A$1:$AZ$1,),)=0,#N/A,VLOOKUP(A40,'DB Country PMI'!$A:$AZ,MATCH($A$1,'DB Country PMI'!$A$1:$AZ$1,),))</f>
        <v/>
      </c>
      <c r="C40" s="24">
        <f>Table13468[[#This Row],[PMI]]-B39</f>
        <v/>
      </c>
    </row>
    <row r="41">
      <c r="A41" s="10" t="n">
        <v>41699</v>
      </c>
      <c r="B41" s="18">
        <f>IF(VLOOKUP(A41,'DB Country PMI'!$A:$AZ,MATCH($A$1,'DB Country PMI'!$A$1:$AZ$1,),)=0,#N/A,VLOOKUP(A41,'DB Country PMI'!$A:$AZ,MATCH($A$1,'DB Country PMI'!$A$1:$AZ$1,),))</f>
        <v/>
      </c>
      <c r="C41" s="24">
        <f>Table13468[[#This Row],[PMI]]-B40</f>
        <v/>
      </c>
    </row>
    <row r="42">
      <c r="A42" s="10" t="n">
        <v>41730</v>
      </c>
      <c r="B42" s="18">
        <f>IF(VLOOKUP(A42,'DB Country PMI'!$A:$AZ,MATCH($A$1,'DB Country PMI'!$A$1:$AZ$1,),)=0,#N/A,VLOOKUP(A42,'DB Country PMI'!$A:$AZ,MATCH($A$1,'DB Country PMI'!$A$1:$AZ$1,),))</f>
        <v/>
      </c>
      <c r="C42" s="24">
        <f>Table13468[[#This Row],[PMI]]-B41</f>
        <v/>
      </c>
    </row>
    <row r="43">
      <c r="A43" s="10" t="n">
        <v>41760</v>
      </c>
      <c r="B43" s="18">
        <f>IF(VLOOKUP(A43,'DB Country PMI'!$A:$AZ,MATCH($A$1,'DB Country PMI'!$A$1:$AZ$1,),)=0,#N/A,VLOOKUP(A43,'DB Country PMI'!$A:$AZ,MATCH($A$1,'DB Country PMI'!$A$1:$AZ$1,),))</f>
        <v/>
      </c>
      <c r="C43" s="24">
        <f>Table13468[[#This Row],[PMI]]-B42</f>
        <v/>
      </c>
    </row>
    <row r="44">
      <c r="A44" s="10" t="n">
        <v>41791</v>
      </c>
      <c r="B44" s="18">
        <f>IF(VLOOKUP(A44,'DB Country PMI'!$A:$AZ,MATCH($A$1,'DB Country PMI'!$A$1:$AZ$1,),)=0,#N/A,VLOOKUP(A44,'DB Country PMI'!$A:$AZ,MATCH($A$1,'DB Country PMI'!$A$1:$AZ$1,),))</f>
        <v/>
      </c>
      <c r="C44" s="24">
        <f>Table13468[[#This Row],[PMI]]-B43</f>
        <v/>
      </c>
    </row>
    <row r="45">
      <c r="A45" s="10" t="n">
        <v>41821</v>
      </c>
      <c r="B45" s="18">
        <f>IF(VLOOKUP(A45,'DB Country PMI'!$A:$AZ,MATCH($A$1,'DB Country PMI'!$A$1:$AZ$1,),)=0,#N/A,VLOOKUP(A45,'DB Country PMI'!$A:$AZ,MATCH($A$1,'DB Country PMI'!$A$1:$AZ$1,),))</f>
        <v/>
      </c>
      <c r="C45" s="24">
        <f>Table13468[[#This Row],[PMI]]-B44</f>
        <v/>
      </c>
    </row>
    <row r="46">
      <c r="A46" s="10" t="n">
        <v>41852</v>
      </c>
      <c r="B46" s="18">
        <f>IF(VLOOKUP(A46,'DB Country PMI'!$A:$AZ,MATCH($A$1,'DB Country PMI'!$A$1:$AZ$1,),)=0,#N/A,VLOOKUP(A46,'DB Country PMI'!$A:$AZ,MATCH($A$1,'DB Country PMI'!$A$1:$AZ$1,),))</f>
        <v/>
      </c>
      <c r="C46" s="24">
        <f>Table13468[[#This Row],[PMI]]-B45</f>
        <v/>
      </c>
    </row>
    <row r="47">
      <c r="A47" s="10" t="n">
        <v>41883</v>
      </c>
      <c r="B47" s="18">
        <f>IF(VLOOKUP(A47,'DB Country PMI'!$A:$AZ,MATCH($A$1,'DB Country PMI'!$A$1:$AZ$1,),)=0,#N/A,VLOOKUP(A47,'DB Country PMI'!$A:$AZ,MATCH($A$1,'DB Country PMI'!$A$1:$AZ$1,),))</f>
        <v/>
      </c>
      <c r="C47" s="24">
        <f>Table13468[[#This Row],[PMI]]-B46</f>
        <v/>
      </c>
    </row>
    <row r="48">
      <c r="A48" s="10" t="n">
        <v>41913</v>
      </c>
      <c r="B48" s="18">
        <f>IF(VLOOKUP(A48,'DB Country PMI'!$A:$AZ,MATCH($A$1,'DB Country PMI'!$A$1:$AZ$1,),)=0,#N/A,VLOOKUP(A48,'DB Country PMI'!$A:$AZ,MATCH($A$1,'DB Country PMI'!$A$1:$AZ$1,),))</f>
        <v/>
      </c>
      <c r="C48" s="24">
        <f>Table13468[[#This Row],[PMI]]-B47</f>
        <v/>
      </c>
    </row>
    <row r="49">
      <c r="A49" s="10" t="n">
        <v>41944</v>
      </c>
      <c r="B49" s="18">
        <f>IF(VLOOKUP(A49,'DB Country PMI'!$A:$AZ,MATCH($A$1,'DB Country PMI'!$A$1:$AZ$1,),)=0,#N/A,VLOOKUP(A49,'DB Country PMI'!$A:$AZ,MATCH($A$1,'DB Country PMI'!$A$1:$AZ$1,),))</f>
        <v/>
      </c>
      <c r="C49" s="24">
        <f>Table13468[[#This Row],[PMI]]-B48</f>
        <v/>
      </c>
    </row>
    <row r="50">
      <c r="A50" s="10" t="n">
        <v>41974</v>
      </c>
      <c r="B50" s="18">
        <f>IF(VLOOKUP(A50,'DB Country PMI'!$A:$AZ,MATCH($A$1,'DB Country PMI'!$A$1:$AZ$1,),)=0,#N/A,VLOOKUP(A50,'DB Country PMI'!$A:$AZ,MATCH($A$1,'DB Country PMI'!$A$1:$AZ$1,),))</f>
        <v/>
      </c>
      <c r="C50" s="24">
        <f>Table13468[[#This Row],[PMI]]-B49</f>
        <v/>
      </c>
    </row>
    <row r="51">
      <c r="A51" s="10" t="n">
        <v>42005</v>
      </c>
      <c r="B51" s="18">
        <f>IF(VLOOKUP(A51,'DB Country PMI'!$A:$AZ,MATCH($A$1,'DB Country PMI'!$A$1:$AZ$1,),)=0,#N/A,VLOOKUP(A51,'DB Country PMI'!$A:$AZ,MATCH($A$1,'DB Country PMI'!$A$1:$AZ$1,),))</f>
        <v/>
      </c>
      <c r="C51" s="24">
        <f>Table13468[[#This Row],[PMI]]-B50</f>
        <v/>
      </c>
    </row>
    <row r="52">
      <c r="A52" s="10" t="n">
        <v>42036</v>
      </c>
      <c r="B52" s="18">
        <f>IF(VLOOKUP(A52,'DB Country PMI'!$A:$AZ,MATCH($A$1,'DB Country PMI'!$A$1:$AZ$1,),)=0,#N/A,VLOOKUP(A52,'DB Country PMI'!$A:$AZ,MATCH($A$1,'DB Country PMI'!$A$1:$AZ$1,),))</f>
        <v/>
      </c>
      <c r="C52" s="24">
        <f>Table13468[[#This Row],[PMI]]-B51</f>
        <v/>
      </c>
    </row>
    <row r="53">
      <c r="A53" s="10" t="n">
        <v>42064</v>
      </c>
      <c r="B53" s="18">
        <f>IF(VLOOKUP(A53,'DB Country PMI'!$A:$AZ,MATCH($A$1,'DB Country PMI'!$A$1:$AZ$1,),)=0,#N/A,VLOOKUP(A53,'DB Country PMI'!$A:$AZ,MATCH($A$1,'DB Country PMI'!$A$1:$AZ$1,),))</f>
        <v/>
      </c>
      <c r="C53" s="24">
        <f>Table13468[[#This Row],[PMI]]-B52</f>
        <v/>
      </c>
    </row>
    <row r="54">
      <c r="A54" s="10" t="n">
        <v>42095</v>
      </c>
      <c r="B54" s="18">
        <f>IF(VLOOKUP(A54,'DB Country PMI'!$A:$AZ,MATCH($A$1,'DB Country PMI'!$A$1:$AZ$1,),)=0,#N/A,VLOOKUP(A54,'DB Country PMI'!$A:$AZ,MATCH($A$1,'DB Country PMI'!$A$1:$AZ$1,),))</f>
        <v/>
      </c>
      <c r="C54" s="24">
        <f>Table13468[[#This Row],[PMI]]-B53</f>
        <v/>
      </c>
    </row>
    <row r="55">
      <c r="A55" s="10" t="n">
        <v>42125</v>
      </c>
      <c r="B55" s="18">
        <f>IF(VLOOKUP(A55,'DB Country PMI'!$A:$AZ,MATCH($A$1,'DB Country PMI'!$A$1:$AZ$1,),)=0,#N/A,VLOOKUP(A55,'DB Country PMI'!$A:$AZ,MATCH($A$1,'DB Country PMI'!$A$1:$AZ$1,),))</f>
        <v/>
      </c>
      <c r="C55" s="24">
        <f>Table13468[[#This Row],[PMI]]-B54</f>
        <v/>
      </c>
    </row>
    <row r="56">
      <c r="A56" s="10" t="n">
        <v>42156</v>
      </c>
      <c r="B56" s="18">
        <f>IF(VLOOKUP(A56,'DB Country PMI'!$A:$AZ,MATCH($A$1,'DB Country PMI'!$A$1:$AZ$1,),)=0,#N/A,VLOOKUP(A56,'DB Country PMI'!$A:$AZ,MATCH($A$1,'DB Country PMI'!$A$1:$AZ$1,),))</f>
        <v/>
      </c>
      <c r="C56" s="24">
        <f>Table13468[[#This Row],[PMI]]-B55</f>
        <v/>
      </c>
    </row>
    <row r="57">
      <c r="A57" s="10" t="n">
        <v>42186</v>
      </c>
      <c r="B57" s="18">
        <f>IF(VLOOKUP(A57,'DB Country PMI'!$A:$AZ,MATCH($A$1,'DB Country PMI'!$A$1:$AZ$1,),)=0,#N/A,VLOOKUP(A57,'DB Country PMI'!$A:$AZ,MATCH($A$1,'DB Country PMI'!$A$1:$AZ$1,),))</f>
        <v/>
      </c>
      <c r="C57" s="24">
        <f>Table13468[[#This Row],[PMI]]-B56</f>
        <v/>
      </c>
    </row>
    <row r="58">
      <c r="A58" s="10" t="n">
        <v>42217</v>
      </c>
      <c r="B58" s="18">
        <f>IF(VLOOKUP(A58,'DB Country PMI'!$A:$AZ,MATCH($A$1,'DB Country PMI'!$A$1:$AZ$1,),)=0,#N/A,VLOOKUP(A58,'DB Country PMI'!$A:$AZ,MATCH($A$1,'DB Country PMI'!$A$1:$AZ$1,),))</f>
        <v/>
      </c>
      <c r="C58" s="24">
        <f>Table13468[[#This Row],[PMI]]-B57</f>
        <v/>
      </c>
    </row>
    <row r="59">
      <c r="A59" s="10" t="n">
        <v>42248</v>
      </c>
      <c r="B59" s="18">
        <f>IF(VLOOKUP(A59,'DB Country PMI'!$A:$AZ,MATCH($A$1,'DB Country PMI'!$A$1:$AZ$1,),)=0,#N/A,VLOOKUP(A59,'DB Country PMI'!$A:$AZ,MATCH($A$1,'DB Country PMI'!$A$1:$AZ$1,),))</f>
        <v/>
      </c>
      <c r="C59" s="24">
        <f>Table13468[[#This Row],[PMI]]-B58</f>
        <v/>
      </c>
    </row>
    <row r="60">
      <c r="A60" s="10" t="n">
        <v>42278</v>
      </c>
      <c r="B60" s="18">
        <f>IF(VLOOKUP(A60,'DB Country PMI'!$A:$AZ,MATCH($A$1,'DB Country PMI'!$A$1:$AZ$1,),)=0,#N/A,VLOOKUP(A60,'DB Country PMI'!$A:$AZ,MATCH($A$1,'DB Country PMI'!$A$1:$AZ$1,),))</f>
        <v/>
      </c>
      <c r="C60" s="24">
        <f>Table13468[[#This Row],[PMI]]-B59</f>
        <v/>
      </c>
    </row>
    <row r="61">
      <c r="A61" s="10" t="n">
        <v>42309</v>
      </c>
      <c r="B61" s="18">
        <f>IF(VLOOKUP(A61,'DB Country PMI'!$A:$AZ,MATCH($A$1,'DB Country PMI'!$A$1:$AZ$1,),)=0,#N/A,VLOOKUP(A61,'DB Country PMI'!$A:$AZ,MATCH($A$1,'DB Country PMI'!$A$1:$AZ$1,),))</f>
        <v/>
      </c>
      <c r="C61" s="24">
        <f>Table13468[[#This Row],[PMI]]-B60</f>
        <v/>
      </c>
    </row>
    <row r="62">
      <c r="A62" s="10" t="n">
        <v>42339</v>
      </c>
      <c r="B62" s="18">
        <f>IF(VLOOKUP(A62,'DB Country PMI'!$A:$AZ,MATCH($A$1,'DB Country PMI'!$A$1:$AZ$1,),)=0,#N/A,VLOOKUP(A62,'DB Country PMI'!$A:$AZ,MATCH($A$1,'DB Country PMI'!$A$1:$AZ$1,),))</f>
        <v/>
      </c>
      <c r="C62" s="24">
        <f>Table13468[[#This Row],[PMI]]-B61</f>
        <v/>
      </c>
    </row>
    <row r="63">
      <c r="A63" s="10" t="n">
        <v>42370</v>
      </c>
      <c r="B63" s="18">
        <f>IF(VLOOKUP(A63,'DB Country PMI'!$A:$AZ,MATCH($A$1,'DB Country PMI'!$A$1:$AZ$1,),)=0,#N/A,VLOOKUP(A63,'DB Country PMI'!$A:$AZ,MATCH($A$1,'DB Country PMI'!$A$1:$AZ$1,),))</f>
        <v/>
      </c>
      <c r="C63" s="24">
        <f>Table13468[[#This Row],[PMI]]-B62</f>
        <v/>
      </c>
    </row>
    <row r="64">
      <c r="A64" s="10" t="n">
        <v>42401</v>
      </c>
      <c r="B64" s="18">
        <f>IF(VLOOKUP(A64,'DB Country PMI'!$A:$AZ,MATCH($A$1,'DB Country PMI'!$A$1:$AZ$1,),)=0,#N/A,VLOOKUP(A64,'DB Country PMI'!$A:$AZ,MATCH($A$1,'DB Country PMI'!$A$1:$AZ$1,),))</f>
        <v/>
      </c>
      <c r="C64" s="24">
        <f>Table13468[[#This Row],[PMI]]-B63</f>
        <v/>
      </c>
    </row>
    <row r="65">
      <c r="A65" s="10" t="n">
        <v>42430</v>
      </c>
      <c r="B65" s="18">
        <f>IF(VLOOKUP(A65,'DB Country PMI'!$A:$AZ,MATCH($A$1,'DB Country PMI'!$A$1:$AZ$1,),)=0,#N/A,VLOOKUP(A65,'DB Country PMI'!$A:$AZ,MATCH($A$1,'DB Country PMI'!$A$1:$AZ$1,),))</f>
        <v/>
      </c>
      <c r="C65" s="24">
        <f>Table13468[[#This Row],[PMI]]-B64</f>
        <v/>
      </c>
    </row>
    <row r="66">
      <c r="A66" s="10" t="n">
        <v>42461</v>
      </c>
      <c r="B66" s="18">
        <f>IF(VLOOKUP(A66,'DB Country PMI'!$A:$AZ,MATCH($A$1,'DB Country PMI'!$A$1:$AZ$1,),)=0,#N/A,VLOOKUP(A66,'DB Country PMI'!$A:$AZ,MATCH($A$1,'DB Country PMI'!$A$1:$AZ$1,),))</f>
        <v/>
      </c>
      <c r="C66" s="24">
        <f>Table13468[[#This Row],[PMI]]-B65</f>
        <v/>
      </c>
    </row>
    <row r="67">
      <c r="A67" s="10" t="n">
        <v>42491</v>
      </c>
      <c r="B67" s="18">
        <f>IF(VLOOKUP(A67,'DB Country PMI'!$A:$AZ,MATCH($A$1,'DB Country PMI'!$A$1:$AZ$1,),)=0,#N/A,VLOOKUP(A67,'DB Country PMI'!$A:$AZ,MATCH($A$1,'DB Country PMI'!$A$1:$AZ$1,),))</f>
        <v/>
      </c>
      <c r="C67" s="24">
        <f>Table13468[[#This Row],[PMI]]-B66</f>
        <v/>
      </c>
    </row>
    <row r="68">
      <c r="A68" s="10" t="n">
        <v>42522</v>
      </c>
      <c r="B68" s="18">
        <f>IF(VLOOKUP(A68,'DB Country PMI'!$A:$AZ,MATCH($A$1,'DB Country PMI'!$A$1:$AZ$1,),)=0,#N/A,VLOOKUP(A68,'DB Country PMI'!$A:$AZ,MATCH($A$1,'DB Country PMI'!$A$1:$AZ$1,),))</f>
        <v/>
      </c>
      <c r="C68" s="24">
        <f>Table13468[[#This Row],[PMI]]-B67</f>
        <v/>
      </c>
    </row>
    <row r="69">
      <c r="A69" s="10" t="n">
        <v>42552</v>
      </c>
      <c r="B69" s="18">
        <f>IF(VLOOKUP(A69,'DB Country PMI'!$A:$AZ,MATCH($A$1,'DB Country PMI'!$A$1:$AZ$1,),)=0,#N/A,VLOOKUP(A69,'DB Country PMI'!$A:$AZ,MATCH($A$1,'DB Country PMI'!$A$1:$AZ$1,),))</f>
        <v/>
      </c>
      <c r="C69" s="24">
        <f>Table13468[[#This Row],[PMI]]-B68</f>
        <v/>
      </c>
    </row>
    <row r="70">
      <c r="A70" s="10" t="n">
        <v>42583</v>
      </c>
      <c r="B70" s="18">
        <f>IF(VLOOKUP(A70,'DB Country PMI'!$A:$AZ,MATCH($A$1,'DB Country PMI'!$A$1:$AZ$1,),)=0,#N/A,VLOOKUP(A70,'DB Country PMI'!$A:$AZ,MATCH($A$1,'DB Country PMI'!$A$1:$AZ$1,),))</f>
        <v/>
      </c>
      <c r="C70" s="24">
        <f>Table13468[[#This Row],[PMI]]-B69</f>
        <v/>
      </c>
    </row>
    <row r="71">
      <c r="A71" s="10" t="n">
        <v>42614</v>
      </c>
      <c r="B71" s="18">
        <f>IF(VLOOKUP(A71,'DB Country PMI'!$A:$AZ,MATCH($A$1,'DB Country PMI'!$A$1:$AZ$1,),)=0,#N/A,VLOOKUP(A71,'DB Country PMI'!$A:$AZ,MATCH($A$1,'DB Country PMI'!$A$1:$AZ$1,),))</f>
        <v/>
      </c>
      <c r="C71" s="24">
        <f>Table13468[[#This Row],[PMI]]-B70</f>
        <v/>
      </c>
    </row>
    <row r="72">
      <c r="A72" s="10" t="n">
        <v>42644</v>
      </c>
      <c r="B72" s="18">
        <f>IF(VLOOKUP(A72,'DB Country PMI'!$A:$AZ,MATCH($A$1,'DB Country PMI'!$A$1:$AZ$1,),)=0,#N/A,VLOOKUP(A72,'DB Country PMI'!$A:$AZ,MATCH($A$1,'DB Country PMI'!$A$1:$AZ$1,),))</f>
        <v/>
      </c>
      <c r="C72" s="24">
        <f>Table13468[[#This Row],[PMI]]-B71</f>
        <v/>
      </c>
    </row>
    <row r="73">
      <c r="A73" s="10" t="n">
        <v>42675</v>
      </c>
      <c r="B73" s="18">
        <f>IF(VLOOKUP(A73,'DB Country PMI'!$A:$AZ,MATCH($A$1,'DB Country PMI'!$A$1:$AZ$1,),)=0,#N/A,VLOOKUP(A73,'DB Country PMI'!$A:$AZ,MATCH($A$1,'DB Country PMI'!$A$1:$AZ$1,),))</f>
        <v/>
      </c>
      <c r="C73" s="24">
        <f>Table13468[[#This Row],[PMI]]-B72</f>
        <v/>
      </c>
    </row>
    <row r="74">
      <c r="A74" s="10" t="n">
        <v>42705</v>
      </c>
      <c r="B74" s="18">
        <f>IF(VLOOKUP(A74,'DB Country PMI'!$A:$AZ,MATCH($A$1,'DB Country PMI'!$A$1:$AZ$1,),)=0,#N/A,VLOOKUP(A74,'DB Country PMI'!$A:$AZ,MATCH($A$1,'DB Country PMI'!$A$1:$AZ$1,),))</f>
        <v/>
      </c>
      <c r="C74" s="24">
        <f>Table13468[[#This Row],[PMI]]-B73</f>
        <v/>
      </c>
    </row>
    <row r="75">
      <c r="A75" s="10" t="n">
        <v>42736</v>
      </c>
      <c r="B75" s="18">
        <f>IF(VLOOKUP(A75,'DB Country PMI'!$A:$AZ,MATCH($A$1,'DB Country PMI'!$A$1:$AZ$1,),)=0,#N/A,VLOOKUP(A75,'DB Country PMI'!$A:$AZ,MATCH($A$1,'DB Country PMI'!$A$1:$AZ$1,),))</f>
        <v/>
      </c>
      <c r="C75" s="24">
        <f>Table13468[[#This Row],[PMI]]-B74</f>
        <v/>
      </c>
    </row>
    <row r="76">
      <c r="A76" s="10" t="n">
        <v>42767</v>
      </c>
      <c r="B76" s="18">
        <f>IF(VLOOKUP(A76,'DB Country PMI'!$A:$AZ,MATCH($A$1,'DB Country PMI'!$A$1:$AZ$1,),)=0,#N/A,VLOOKUP(A76,'DB Country PMI'!$A:$AZ,MATCH($A$1,'DB Country PMI'!$A$1:$AZ$1,),))</f>
        <v/>
      </c>
      <c r="C76" s="24">
        <f>Table13468[[#This Row],[PMI]]-B75</f>
        <v/>
      </c>
    </row>
    <row r="77">
      <c r="A77" s="10" t="n">
        <v>42795</v>
      </c>
      <c r="B77" s="18">
        <f>IF(VLOOKUP(A77,'DB Country PMI'!$A:$AZ,MATCH($A$1,'DB Country PMI'!$A$1:$AZ$1,),)=0,#N/A,VLOOKUP(A77,'DB Country PMI'!$A:$AZ,MATCH($A$1,'DB Country PMI'!$A$1:$AZ$1,),))</f>
        <v/>
      </c>
      <c r="C77" s="24">
        <f>Table13468[[#This Row],[PMI]]-B76</f>
        <v/>
      </c>
    </row>
    <row r="78">
      <c r="A78" s="10" t="n">
        <v>42826</v>
      </c>
      <c r="B78" s="18">
        <f>IF(VLOOKUP(A78,'DB Country PMI'!$A:$AZ,MATCH($A$1,'DB Country PMI'!$A$1:$AZ$1,),)=0,#N/A,VLOOKUP(A78,'DB Country PMI'!$A:$AZ,MATCH($A$1,'DB Country PMI'!$A$1:$AZ$1,),))</f>
        <v/>
      </c>
      <c r="C78" s="24">
        <f>Table13468[[#This Row],[PMI]]-B77</f>
        <v/>
      </c>
    </row>
    <row r="79">
      <c r="A79" s="10" t="n">
        <v>42856</v>
      </c>
      <c r="B79" s="18">
        <f>IF(VLOOKUP(A79,'DB Country PMI'!$A:$AZ,MATCH($A$1,'DB Country PMI'!$A$1:$AZ$1,),)=0,#N/A,VLOOKUP(A79,'DB Country PMI'!$A:$AZ,MATCH($A$1,'DB Country PMI'!$A$1:$AZ$1,),))</f>
        <v/>
      </c>
      <c r="C79" s="24">
        <f>Table13468[[#This Row],[PMI]]-B78</f>
        <v/>
      </c>
    </row>
    <row r="80">
      <c r="A80" s="10" t="n">
        <v>42887</v>
      </c>
      <c r="B80" s="18">
        <f>IF(VLOOKUP(A80,'DB Country PMI'!$A:$AZ,MATCH($A$1,'DB Country PMI'!$A$1:$AZ$1,),)=0,#N/A,VLOOKUP(A80,'DB Country PMI'!$A:$AZ,MATCH($A$1,'DB Country PMI'!$A$1:$AZ$1,),))</f>
        <v/>
      </c>
      <c r="C80" s="24">
        <f>Table13468[[#This Row],[PMI]]-B79</f>
        <v/>
      </c>
    </row>
    <row r="81">
      <c r="A81" s="10" t="n">
        <v>42917</v>
      </c>
      <c r="B81" s="18">
        <f>IF(VLOOKUP(A81,'DB Country PMI'!$A:$AZ,MATCH($A$1,'DB Country PMI'!$A$1:$AZ$1,),)=0,#N/A,VLOOKUP(A81,'DB Country PMI'!$A:$AZ,MATCH($A$1,'DB Country PMI'!$A$1:$AZ$1,),))</f>
        <v/>
      </c>
      <c r="C81" s="24">
        <f>Table13468[[#This Row],[PMI]]-B80</f>
        <v/>
      </c>
    </row>
    <row r="82">
      <c r="A82" s="10" t="n">
        <v>42948</v>
      </c>
      <c r="B82" s="18">
        <f>IF(VLOOKUP(A82,'DB Country PMI'!$A:$AZ,MATCH($A$1,'DB Country PMI'!$A$1:$AZ$1,),)=0,#N/A,VLOOKUP(A82,'DB Country PMI'!$A:$AZ,MATCH($A$1,'DB Country PMI'!$A$1:$AZ$1,),))</f>
        <v/>
      </c>
      <c r="C82" s="24">
        <f>Table13468[[#This Row],[PMI]]-B81</f>
        <v/>
      </c>
    </row>
    <row r="83">
      <c r="A83" s="10" t="n">
        <v>42979</v>
      </c>
      <c r="B83" s="18">
        <f>IF(VLOOKUP(A83,'DB Country PMI'!$A:$AZ,MATCH($A$1,'DB Country PMI'!$A$1:$AZ$1,),)=0,#N/A,VLOOKUP(A83,'DB Country PMI'!$A:$AZ,MATCH($A$1,'DB Country PMI'!$A$1:$AZ$1,),))</f>
        <v/>
      </c>
      <c r="C83" s="24">
        <f>Table13468[[#This Row],[PMI]]-B82</f>
        <v/>
      </c>
    </row>
    <row r="84">
      <c r="A84" s="10" t="n">
        <v>43009</v>
      </c>
      <c r="B84" s="18">
        <f>IF(VLOOKUP(A84,'DB Country PMI'!$A:$AZ,MATCH($A$1,'DB Country PMI'!$A$1:$AZ$1,),)=0,#N/A,VLOOKUP(A84,'DB Country PMI'!$A:$AZ,MATCH($A$1,'DB Country PMI'!$A$1:$AZ$1,),))</f>
        <v/>
      </c>
      <c r="C84" s="24">
        <f>Table13468[[#This Row],[PMI]]-B83</f>
        <v/>
      </c>
    </row>
    <row r="85">
      <c r="A85" s="10" t="n">
        <v>43040</v>
      </c>
      <c r="B85" s="18">
        <f>IF(VLOOKUP(A85,'DB Country PMI'!$A:$AZ,MATCH($A$1,'DB Country PMI'!$A$1:$AZ$1,),)=0,#N/A,VLOOKUP(A85,'DB Country PMI'!$A:$AZ,MATCH($A$1,'DB Country PMI'!$A$1:$AZ$1,),))</f>
        <v/>
      </c>
      <c r="C85" s="24">
        <f>Table13468[[#This Row],[PMI]]-B84</f>
        <v/>
      </c>
    </row>
    <row r="86">
      <c r="A86" s="10" t="n">
        <v>43070</v>
      </c>
      <c r="B86" s="18">
        <f>IF(VLOOKUP(A86,'DB Country PMI'!$A:$AZ,MATCH($A$1,'DB Country PMI'!$A$1:$AZ$1,),)=0,#N/A,VLOOKUP(A86,'DB Country PMI'!$A:$AZ,MATCH($A$1,'DB Country PMI'!$A$1:$AZ$1,),))</f>
        <v/>
      </c>
      <c r="C86" s="24">
        <f>Table13468[[#This Row],[PMI]]-B85</f>
        <v/>
      </c>
    </row>
    <row r="87">
      <c r="A87" s="10" t="n">
        <v>43101</v>
      </c>
      <c r="B87" s="18">
        <f>IF(VLOOKUP(A87,'DB Country PMI'!$A:$AZ,MATCH($A$1,'DB Country PMI'!$A$1:$AZ$1,),)=0,#N/A,VLOOKUP(A87,'DB Country PMI'!$A:$AZ,MATCH($A$1,'DB Country PMI'!$A$1:$AZ$1,),))</f>
        <v/>
      </c>
      <c r="C87" s="24">
        <f>Table13468[[#This Row],[PMI]]-B86</f>
        <v/>
      </c>
    </row>
    <row r="88">
      <c r="A88" s="10" t="n">
        <v>43132</v>
      </c>
      <c r="B88" s="18">
        <f>IF(VLOOKUP(A88,'DB Country PMI'!$A:$AZ,MATCH($A$1,'DB Country PMI'!$A$1:$AZ$1,),)=0,#N/A,VLOOKUP(A88,'DB Country PMI'!$A:$AZ,MATCH($A$1,'DB Country PMI'!$A$1:$AZ$1,),))</f>
        <v/>
      </c>
      <c r="C88" s="24">
        <f>Table13468[[#This Row],[PMI]]-B87</f>
        <v/>
      </c>
    </row>
    <row r="89">
      <c r="A89" s="10" t="n">
        <v>43160</v>
      </c>
      <c r="B89" s="18">
        <f>IF(VLOOKUP(A89,'DB Country PMI'!$A:$AZ,MATCH($A$1,'DB Country PMI'!$A$1:$AZ$1,),)=0,#N/A,VLOOKUP(A89,'DB Country PMI'!$A:$AZ,MATCH($A$1,'DB Country PMI'!$A$1:$AZ$1,),))</f>
        <v/>
      </c>
      <c r="C89" s="24">
        <f>Table13468[[#This Row],[PMI]]-B88</f>
        <v/>
      </c>
    </row>
    <row r="90">
      <c r="A90" s="10" t="n">
        <v>43191</v>
      </c>
      <c r="B90" s="18">
        <f>IF(VLOOKUP(A90,'DB Country PMI'!$A:$AZ,MATCH($A$1,'DB Country PMI'!$A$1:$AZ$1,),)=0,#N/A,VLOOKUP(A90,'DB Country PMI'!$A:$AZ,MATCH($A$1,'DB Country PMI'!$A$1:$AZ$1,),))</f>
        <v/>
      </c>
      <c r="C90" s="24">
        <f>Table13468[[#This Row],[PMI]]-B89</f>
        <v/>
      </c>
    </row>
    <row r="91">
      <c r="A91" s="10" t="n">
        <v>43221</v>
      </c>
      <c r="B91" s="18">
        <f>IF(VLOOKUP(A91,'DB Country PMI'!$A:$AZ,MATCH($A$1,'DB Country PMI'!$A$1:$AZ$1,),)=0,#N/A,VLOOKUP(A91,'DB Country PMI'!$A:$AZ,MATCH($A$1,'DB Country PMI'!$A$1:$AZ$1,),))</f>
        <v/>
      </c>
      <c r="C91" s="24">
        <f>Table13468[[#This Row],[PMI]]-B90</f>
        <v/>
      </c>
    </row>
    <row r="92">
      <c r="A92" s="10" t="n">
        <v>43252</v>
      </c>
      <c r="B92" s="18">
        <f>IF(VLOOKUP(A92,'DB Country PMI'!$A:$AZ,MATCH($A$1,'DB Country PMI'!$A$1:$AZ$1,),)=0,#N/A,VLOOKUP(A92,'DB Country PMI'!$A:$AZ,MATCH($A$1,'DB Country PMI'!$A$1:$AZ$1,),))</f>
        <v/>
      </c>
      <c r="C92" s="24">
        <f>Table13468[[#This Row],[PMI]]-B91</f>
        <v/>
      </c>
    </row>
    <row r="93">
      <c r="A93" s="10" t="n">
        <v>43282</v>
      </c>
      <c r="B93" s="18">
        <f>IF(VLOOKUP(A93,'DB Country PMI'!$A:$AZ,MATCH($A$1,'DB Country PMI'!$A$1:$AZ$1,),)=0,#N/A,VLOOKUP(A93,'DB Country PMI'!$A:$AZ,MATCH($A$1,'DB Country PMI'!$A$1:$AZ$1,),))</f>
        <v/>
      </c>
      <c r="C93" s="24">
        <f>Table13468[[#This Row],[PMI]]-B92</f>
        <v/>
      </c>
    </row>
    <row r="94">
      <c r="A94" s="10" t="n">
        <v>43313</v>
      </c>
      <c r="B94" s="18">
        <f>IF(VLOOKUP(A94,'DB Country PMI'!$A:$AZ,MATCH($A$1,'DB Country PMI'!$A$1:$AZ$1,),)=0,#N/A,VLOOKUP(A94,'DB Country PMI'!$A:$AZ,MATCH($A$1,'DB Country PMI'!$A$1:$AZ$1,),))</f>
        <v/>
      </c>
      <c r="C94" s="24">
        <f>Table13468[[#This Row],[PMI]]-B93</f>
        <v/>
      </c>
    </row>
    <row r="95">
      <c r="A95" s="10" t="n">
        <v>43344</v>
      </c>
      <c r="B95" s="18">
        <f>IF(VLOOKUP(A95,'DB Country PMI'!$A:$AZ,MATCH($A$1,'DB Country PMI'!$A$1:$AZ$1,),)=0,#N/A,VLOOKUP(A95,'DB Country PMI'!$A:$AZ,MATCH($A$1,'DB Country PMI'!$A$1:$AZ$1,),))</f>
        <v/>
      </c>
      <c r="C95" s="24">
        <f>Table13468[[#This Row],[PMI]]-B94</f>
        <v/>
      </c>
    </row>
    <row r="96">
      <c r="A96" s="10" t="n">
        <v>43374</v>
      </c>
      <c r="B96" s="18">
        <f>IF(VLOOKUP(A96,'DB Country PMI'!$A:$AZ,MATCH($A$1,'DB Country PMI'!$A$1:$AZ$1,),)=0,#N/A,VLOOKUP(A96,'DB Country PMI'!$A:$AZ,MATCH($A$1,'DB Country PMI'!$A$1:$AZ$1,),))</f>
        <v/>
      </c>
      <c r="C96" s="24">
        <f>Table13468[[#This Row],[PMI]]-B95</f>
        <v/>
      </c>
    </row>
    <row r="97">
      <c r="A97" s="10" t="n">
        <v>43405</v>
      </c>
      <c r="B97" s="18">
        <f>IF(VLOOKUP(A97,'DB Country PMI'!$A:$AZ,MATCH($A$1,'DB Country PMI'!$A$1:$AZ$1,),)=0,#N/A,VLOOKUP(A97,'DB Country PMI'!$A:$AZ,MATCH($A$1,'DB Country PMI'!$A$1:$AZ$1,),))</f>
        <v/>
      </c>
      <c r="C97" s="24">
        <f>Table13468[[#This Row],[PMI]]-B96</f>
        <v/>
      </c>
    </row>
    <row r="98">
      <c r="A98" s="10" t="n">
        <v>43435</v>
      </c>
      <c r="B98" s="18">
        <f>IF(VLOOKUP(A98,'DB Country PMI'!$A:$AZ,MATCH($A$1,'DB Country PMI'!$A$1:$AZ$1,),)=0,#N/A,VLOOKUP(A98,'DB Country PMI'!$A:$AZ,MATCH($A$1,'DB Country PMI'!$A$1:$AZ$1,),))</f>
        <v/>
      </c>
      <c r="C98" s="24">
        <f>Table13468[[#This Row],[PMI]]-B97</f>
        <v/>
      </c>
    </row>
    <row r="99">
      <c r="A99" s="10" t="n">
        <v>43466</v>
      </c>
      <c r="B99" s="18">
        <f>IF(VLOOKUP(A99,'DB Country PMI'!$A:$AZ,MATCH($A$1,'DB Country PMI'!$A$1:$AZ$1,),)=0,#N/A,VLOOKUP(A99,'DB Country PMI'!$A:$AZ,MATCH($A$1,'DB Country PMI'!$A$1:$AZ$1,),))</f>
        <v/>
      </c>
      <c r="C99" s="24">
        <f>Table13468[[#This Row],[PMI]]-B98</f>
        <v/>
      </c>
    </row>
    <row r="100">
      <c r="A100" s="10" t="n">
        <v>43497</v>
      </c>
      <c r="B100" s="18">
        <f>IF(VLOOKUP(A100,'DB Country PMI'!$A:$AZ,MATCH($A$1,'DB Country PMI'!$A$1:$AZ$1,),)=0,#N/A,VLOOKUP(A100,'DB Country PMI'!$A:$AZ,MATCH($A$1,'DB Country PMI'!$A$1:$AZ$1,),))</f>
        <v/>
      </c>
      <c r="C100" s="24">
        <f>Table13468[[#This Row],[PMI]]-B99</f>
        <v/>
      </c>
    </row>
    <row r="101">
      <c r="A101" s="10" t="n">
        <v>43525</v>
      </c>
      <c r="B101" s="18">
        <f>IF(VLOOKUP(A101,'DB Country PMI'!$A:$AZ,MATCH($A$1,'DB Country PMI'!$A$1:$AZ$1,),)=0,#N/A,VLOOKUP(A101,'DB Country PMI'!$A:$AZ,MATCH($A$1,'DB Country PMI'!$A$1:$AZ$1,),))</f>
        <v/>
      </c>
      <c r="C101" s="24">
        <f>Table13468[[#This Row],[PMI]]-B100</f>
        <v/>
      </c>
    </row>
    <row r="102">
      <c r="A102" s="10" t="n">
        <v>43556</v>
      </c>
      <c r="B102" s="18">
        <f>IF(VLOOKUP(A102,'DB Country PMI'!$A:$AZ,MATCH($A$1,'DB Country PMI'!$A$1:$AZ$1,),)=0,#N/A,VLOOKUP(A102,'DB Country PMI'!$A:$AZ,MATCH($A$1,'DB Country PMI'!$A$1:$AZ$1,),))</f>
        <v/>
      </c>
      <c r="C102" s="24">
        <f>Table13468[[#This Row],[PMI]]-B101</f>
        <v/>
      </c>
    </row>
    <row r="103">
      <c r="A103" s="10" t="n">
        <v>43586</v>
      </c>
      <c r="B103" s="18">
        <f>IF(VLOOKUP(A103,'DB Country PMI'!$A:$AZ,MATCH($A$1,'DB Country PMI'!$A$1:$AZ$1,),)=0,#N/A,VLOOKUP(A103,'DB Country PMI'!$A:$AZ,MATCH($A$1,'DB Country PMI'!$A$1:$AZ$1,),))</f>
        <v/>
      </c>
      <c r="C103" s="24">
        <f>Table13468[[#This Row],[PMI]]-B102</f>
        <v/>
      </c>
    </row>
    <row r="104">
      <c r="A104" s="10" t="n">
        <v>43617</v>
      </c>
      <c r="B104" s="18">
        <f>IF(VLOOKUP(A104,'DB Country PMI'!$A:$AZ,MATCH($A$1,'DB Country PMI'!$A$1:$AZ$1,),)=0,#N/A,VLOOKUP(A104,'DB Country PMI'!$A:$AZ,MATCH($A$1,'DB Country PMI'!$A$1:$AZ$1,),))</f>
        <v/>
      </c>
      <c r="C104" s="24">
        <f>Table13468[[#This Row],[PMI]]-B103</f>
        <v/>
      </c>
    </row>
    <row r="105">
      <c r="A105" s="10" t="n">
        <v>43647</v>
      </c>
      <c r="B105" s="18">
        <f>IF(VLOOKUP(A105,'DB Country PMI'!$A:$AZ,MATCH($A$1,'DB Country PMI'!$A$1:$AZ$1,),)=0,#N/A,VLOOKUP(A105,'DB Country PMI'!$A:$AZ,MATCH($A$1,'DB Country PMI'!$A$1:$AZ$1,),))</f>
        <v/>
      </c>
      <c r="C105" s="24">
        <f>Table13468[[#This Row],[PMI]]-B104</f>
        <v/>
      </c>
    </row>
    <row r="106">
      <c r="A106" s="10" t="n">
        <v>43678</v>
      </c>
      <c r="B106" s="18">
        <f>IF(VLOOKUP(A106,'DB Country PMI'!$A:$AZ,MATCH($A$1,'DB Country PMI'!$A$1:$AZ$1,),)=0,#N/A,VLOOKUP(A106,'DB Country PMI'!$A:$AZ,MATCH($A$1,'DB Country PMI'!$A$1:$AZ$1,),))</f>
        <v/>
      </c>
      <c r="C106" s="24">
        <f>Table13468[[#This Row],[PMI]]-B105</f>
        <v/>
      </c>
    </row>
    <row r="107">
      <c r="A107" s="10" t="n">
        <v>43709</v>
      </c>
      <c r="B107" s="18">
        <f>IF(VLOOKUP(A107,'DB Country PMI'!$A:$AZ,MATCH($A$1,'DB Country PMI'!$A$1:$AZ$1,),)=0,#N/A,VLOOKUP(A107,'DB Country PMI'!$A:$AZ,MATCH($A$1,'DB Country PMI'!$A$1:$AZ$1,),))</f>
        <v/>
      </c>
      <c r="C107" s="24">
        <f>Table13468[[#This Row],[PMI]]-B106</f>
        <v/>
      </c>
    </row>
    <row r="108">
      <c r="A108" s="10" t="n">
        <v>43739</v>
      </c>
      <c r="B108" s="18">
        <f>IF(VLOOKUP(A108,'DB Country PMI'!$A:$AZ,MATCH($A$1,'DB Country PMI'!$A$1:$AZ$1,),)=0,#N/A,VLOOKUP(A108,'DB Country PMI'!$A:$AZ,MATCH($A$1,'DB Country PMI'!$A$1:$AZ$1,),))</f>
        <v/>
      </c>
      <c r="C108" s="24">
        <f>Table13468[[#This Row],[PMI]]-B107</f>
        <v/>
      </c>
    </row>
    <row r="109">
      <c r="A109" s="10" t="n">
        <v>43770</v>
      </c>
      <c r="B109" s="18">
        <f>IF(VLOOKUP(A109,'DB Country PMI'!$A:$AZ,MATCH($A$1,'DB Country PMI'!$A$1:$AZ$1,),)=0,#N/A,VLOOKUP(A109,'DB Country PMI'!$A:$AZ,MATCH($A$1,'DB Country PMI'!$A$1:$AZ$1,),))</f>
        <v/>
      </c>
      <c r="C109" s="24">
        <f>Table13468[[#This Row],[PMI]]-B108</f>
        <v/>
      </c>
    </row>
    <row r="110">
      <c r="A110" s="10" t="n">
        <v>43800</v>
      </c>
      <c r="B110" s="18">
        <f>IF(VLOOKUP(A110,'DB Country PMI'!$A:$AZ,MATCH($A$1,'DB Country PMI'!$A$1:$AZ$1,),)=0,#N/A,VLOOKUP(A110,'DB Country PMI'!$A:$AZ,MATCH($A$1,'DB Country PMI'!$A$1:$AZ$1,),))</f>
        <v/>
      </c>
      <c r="C110" s="24">
        <f>Table13468[[#This Row],[PMI]]-B109</f>
        <v/>
      </c>
    </row>
    <row r="111">
      <c r="A111" s="10" t="n">
        <v>43831</v>
      </c>
      <c r="B111" s="18">
        <f>IF(VLOOKUP(A111,'DB Country PMI'!$A:$AZ,MATCH($A$1,'DB Country PMI'!$A$1:$AZ$1,),)=0,#N/A,VLOOKUP(A111,'DB Country PMI'!$A:$AZ,MATCH($A$1,'DB Country PMI'!$A$1:$AZ$1,),))</f>
        <v/>
      </c>
      <c r="C111" s="24">
        <f>Table13468[[#This Row],[PMI]]-B110</f>
        <v/>
      </c>
    </row>
    <row r="112">
      <c r="A112" s="10" t="n">
        <v>43862</v>
      </c>
      <c r="B112" s="18">
        <f>IF(VLOOKUP(A112,'DB Country PMI'!$A:$AZ,MATCH($A$1,'DB Country PMI'!$A$1:$AZ$1,),)=0,#N/A,VLOOKUP(A112,'DB Country PMI'!$A:$AZ,MATCH($A$1,'DB Country PMI'!$A$1:$AZ$1,),))</f>
        <v/>
      </c>
      <c r="C112" s="24">
        <f>Table13468[[#This Row],[PMI]]-B111</f>
        <v/>
      </c>
    </row>
    <row r="113">
      <c r="A113" s="10" t="n">
        <v>43891</v>
      </c>
      <c r="B113" s="18">
        <f>IF(VLOOKUP(A113,'DB Country PMI'!$A:$AZ,MATCH($A$1,'DB Country PMI'!$A$1:$AZ$1,),)=0,#N/A,VLOOKUP(A113,'DB Country PMI'!$A:$AZ,MATCH($A$1,'DB Country PMI'!$A$1:$AZ$1,),))</f>
        <v/>
      </c>
      <c r="C113" s="24">
        <f>Table13468[[#This Row],[PMI]]-B112</f>
        <v/>
      </c>
    </row>
    <row r="114">
      <c r="A114" s="10" t="n">
        <v>43922</v>
      </c>
      <c r="B114" s="18">
        <f>IF(VLOOKUP(A114,'DB Country PMI'!$A:$AZ,MATCH($A$1,'DB Country PMI'!$A$1:$AZ$1,),)=0,#N/A,VLOOKUP(A114,'DB Country PMI'!$A:$AZ,MATCH($A$1,'DB Country PMI'!$A$1:$AZ$1,),))</f>
        <v/>
      </c>
      <c r="C114" s="24">
        <f>Table13468[[#This Row],[PMI]]-B113</f>
        <v/>
      </c>
    </row>
    <row r="115">
      <c r="A115" s="10" t="n">
        <v>43952</v>
      </c>
      <c r="B115" s="18">
        <f>IF(VLOOKUP(A115,'DB Country PMI'!$A:$AZ,MATCH($A$1,'DB Country PMI'!$A$1:$AZ$1,),)=0,#N/A,VLOOKUP(A115,'DB Country PMI'!$A:$AZ,MATCH($A$1,'DB Country PMI'!$A$1:$AZ$1,),))</f>
        <v/>
      </c>
      <c r="C115" s="24">
        <f>Table13468[[#This Row],[PMI]]-B114</f>
        <v/>
      </c>
    </row>
    <row r="116">
      <c r="A116" s="10" t="n">
        <v>43983</v>
      </c>
      <c r="B116" s="18">
        <f>IF(VLOOKUP(A116,'DB Country PMI'!$A:$AZ,MATCH($A$1,'DB Country PMI'!$A$1:$AZ$1,),)=0,#N/A,VLOOKUP(A116,'DB Country PMI'!$A:$AZ,MATCH($A$1,'DB Country PMI'!$A$1:$AZ$1,),))</f>
        <v/>
      </c>
      <c r="C116" s="24">
        <f>Table13468[[#This Row],[PMI]]-B115</f>
        <v/>
      </c>
    </row>
    <row r="117">
      <c r="A117" s="10" t="n">
        <v>44013</v>
      </c>
      <c r="B117" s="18">
        <f>IF(VLOOKUP(A117,'DB Country PMI'!$A:$AZ,MATCH($A$1,'DB Country PMI'!$A$1:$AZ$1,),)=0,#N/A,VLOOKUP(A117,'DB Country PMI'!$A:$AZ,MATCH($A$1,'DB Country PMI'!$A$1:$AZ$1,),))</f>
        <v/>
      </c>
      <c r="C117" s="24">
        <f>Table13468[[#This Row],[PMI]]-B116</f>
        <v/>
      </c>
    </row>
    <row r="118">
      <c r="A118" s="10" t="n">
        <v>44044</v>
      </c>
      <c r="B118" s="18">
        <f>IF(VLOOKUP(A118,'DB Country PMI'!$A:$AZ,MATCH($A$1,'DB Country PMI'!$A$1:$AZ$1,),)=0,#N/A,VLOOKUP(A118,'DB Country PMI'!$A:$AZ,MATCH($A$1,'DB Country PMI'!$A$1:$AZ$1,),))</f>
        <v/>
      </c>
      <c r="C118" s="24">
        <f>Table13468[[#This Row],[PMI]]-B117</f>
        <v/>
      </c>
    </row>
    <row r="119">
      <c r="A119" s="10" t="n">
        <v>44075</v>
      </c>
      <c r="B119" s="18">
        <f>IF(VLOOKUP(A119,'DB Country PMI'!$A:$AZ,MATCH($A$1,'DB Country PMI'!$A$1:$AZ$1,),)=0,#N/A,VLOOKUP(A119,'DB Country PMI'!$A:$AZ,MATCH($A$1,'DB Country PMI'!$A$1:$AZ$1,),))</f>
        <v/>
      </c>
      <c r="C119" s="24">
        <f>Table13468[[#This Row],[PMI]]-B118</f>
        <v/>
      </c>
    </row>
    <row r="120">
      <c r="A120" s="10" t="n">
        <v>44105</v>
      </c>
      <c r="B120" s="18">
        <f>IF(VLOOKUP(A120,'DB Country PMI'!$A:$AZ,MATCH($A$1,'DB Country PMI'!$A$1:$AZ$1,),)=0,#N/A,VLOOKUP(A120,'DB Country PMI'!$A:$AZ,MATCH($A$1,'DB Country PMI'!$A$1:$AZ$1,),))</f>
        <v/>
      </c>
      <c r="C120" s="24">
        <f>Table13468[[#This Row],[PMI]]-B119</f>
        <v/>
      </c>
    </row>
    <row r="121">
      <c r="A121" s="10" t="n">
        <v>44136</v>
      </c>
      <c r="B121" s="18">
        <f>IF(VLOOKUP(A121,'DB Country PMI'!$A:$AZ,MATCH($A$1,'DB Country PMI'!$A$1:$AZ$1,),)=0,#N/A,VLOOKUP(A121,'DB Country PMI'!$A:$AZ,MATCH($A$1,'DB Country PMI'!$A$1:$AZ$1,),))</f>
        <v/>
      </c>
      <c r="C121" s="24">
        <f>Table13468[[#This Row],[PMI]]-B120</f>
        <v/>
      </c>
    </row>
    <row r="122">
      <c r="A122" s="10" t="n">
        <v>44166</v>
      </c>
      <c r="B122" s="18">
        <f>IF(VLOOKUP(A122,'DB Country PMI'!$A:$AZ,MATCH($A$1,'DB Country PMI'!$A$1:$AZ$1,),)=0,#N/A,VLOOKUP(A122,'DB Country PMI'!$A:$AZ,MATCH($A$1,'DB Country PMI'!$A$1:$AZ$1,),))</f>
        <v/>
      </c>
      <c r="C122" s="24">
        <f>Table13468[[#This Row],[PMI]]-B121</f>
        <v/>
      </c>
    </row>
    <row r="123">
      <c r="A123" s="10" t="n">
        <v>44197</v>
      </c>
      <c r="B123" s="18">
        <f>IF(VLOOKUP(A123,'DB Country PMI'!$A:$AZ,MATCH($A$1,'DB Country PMI'!$A$1:$AZ$1,),)=0,#N/A,VLOOKUP(A123,'DB Country PMI'!$A:$AZ,MATCH($A$1,'DB Country PMI'!$A$1:$AZ$1,),))</f>
        <v/>
      </c>
      <c r="C123" s="24">
        <f>Table13468[[#This Row],[PMI]]-B122</f>
        <v/>
      </c>
    </row>
    <row r="124">
      <c r="A124" s="10" t="n">
        <v>44228</v>
      </c>
      <c r="B124" s="18">
        <f>IF(VLOOKUP(A124,'DB Country PMI'!$A:$AZ,MATCH($A$1,'DB Country PMI'!$A$1:$AZ$1,),)=0,#N/A,VLOOKUP(A124,'DB Country PMI'!$A:$AZ,MATCH($A$1,'DB Country PMI'!$A$1:$AZ$1,),))</f>
        <v/>
      </c>
      <c r="C124" s="24">
        <f>Table13468[[#This Row],[PMI]]-B123</f>
        <v/>
      </c>
    </row>
    <row r="125">
      <c r="A125" s="10" t="n">
        <v>44256</v>
      </c>
      <c r="B125" s="18">
        <f>IF(VLOOKUP(A125,'DB Country PMI'!$A:$AZ,MATCH($A$1,'DB Country PMI'!$A$1:$AZ$1,),)=0,#N/A,VLOOKUP(A125,'DB Country PMI'!$A:$AZ,MATCH($A$1,'DB Country PMI'!$A$1:$AZ$1,),))</f>
        <v/>
      </c>
      <c r="C125" s="24">
        <f>Table13468[[#This Row],[PMI]]-B124</f>
        <v/>
      </c>
    </row>
    <row r="126">
      <c r="A126" s="10" t="n">
        <v>44287</v>
      </c>
      <c r="B126" s="18">
        <f>IF(VLOOKUP(A126,'DB Country PMI'!$A:$AZ,MATCH($A$1,'DB Country PMI'!$A$1:$AZ$1,),)=0,#N/A,VLOOKUP(A126,'DB Country PMI'!$A:$AZ,MATCH($A$1,'DB Country PMI'!$A$1:$AZ$1,),))</f>
        <v/>
      </c>
      <c r="C126" s="24">
        <f>Table13468[[#This Row],[PMI]]-B125</f>
        <v/>
      </c>
    </row>
    <row r="127">
      <c r="A127" s="10" t="n">
        <v>44317</v>
      </c>
      <c r="B127" s="18">
        <f>IF(VLOOKUP(A127,'DB Country PMI'!$A:$AZ,MATCH($A$1,'DB Country PMI'!$A$1:$AZ$1,),)=0,#N/A,VLOOKUP(A127,'DB Country PMI'!$A:$AZ,MATCH($A$1,'DB Country PMI'!$A$1:$AZ$1,),))</f>
        <v/>
      </c>
      <c r="C127" s="24">
        <f>Table13468[[#This Row],[PMI]]-B126</f>
        <v/>
      </c>
    </row>
    <row r="128">
      <c r="A128" s="10" t="n">
        <v>44348</v>
      </c>
      <c r="B128" s="18">
        <f>IF(VLOOKUP(A128,'DB Country PMI'!$A:$AZ,MATCH($A$1,'DB Country PMI'!$A$1:$AZ$1,),)=0,#N/A,VLOOKUP(A128,'DB Country PMI'!$A:$AZ,MATCH($A$1,'DB Country PMI'!$A$1:$AZ$1,),))</f>
        <v/>
      </c>
      <c r="C128" s="24">
        <f>Table13468[[#This Row],[PMI]]-B127</f>
        <v/>
      </c>
    </row>
    <row r="129">
      <c r="A129" s="10" t="n">
        <v>44378</v>
      </c>
      <c r="B129" s="18">
        <f>IF(VLOOKUP(A129,'DB Country PMI'!$A:$AZ,MATCH($A$1,'DB Country PMI'!$A$1:$AZ$1,),)=0,#N/A,VLOOKUP(A129,'DB Country PMI'!$A:$AZ,MATCH($A$1,'DB Country PMI'!$A$1:$AZ$1,),))</f>
        <v/>
      </c>
      <c r="C129" s="24">
        <f>Table13468[[#This Row],[PMI]]-B128</f>
        <v/>
      </c>
    </row>
    <row r="130">
      <c r="A130" s="10" t="n">
        <v>44409</v>
      </c>
      <c r="B130" s="18">
        <f>IF(VLOOKUP(A130,'DB Country PMI'!$A:$AZ,MATCH($A$1,'DB Country PMI'!$A$1:$AZ$1,),)=0,#N/A,VLOOKUP(A130,'DB Country PMI'!$A:$AZ,MATCH($A$1,'DB Country PMI'!$A$1:$AZ$1,),))</f>
        <v/>
      </c>
      <c r="C130" s="24">
        <f>Table13468[[#This Row],[PMI]]-B129</f>
        <v/>
      </c>
    </row>
    <row r="131">
      <c r="A131" s="10" t="n">
        <v>44440</v>
      </c>
      <c r="B131" s="18">
        <f>IF(VLOOKUP(A131,'DB Country PMI'!$A:$AZ,MATCH($A$1,'DB Country PMI'!$A$1:$AZ$1,),)=0,#N/A,VLOOKUP(A131,'DB Country PMI'!$A:$AZ,MATCH($A$1,'DB Country PMI'!$A$1:$AZ$1,),))</f>
        <v/>
      </c>
      <c r="C131" s="24">
        <f>Table13468[[#This Row],[PMI]]-B130</f>
        <v/>
      </c>
    </row>
    <row r="132">
      <c r="A132" s="10" t="n">
        <v>44470</v>
      </c>
      <c r="B132" s="18">
        <f>IF(VLOOKUP(A132,'DB Country PMI'!$A:$AZ,MATCH($A$1,'DB Country PMI'!$A$1:$AZ$1,),)=0,#N/A,VLOOKUP(A132,'DB Country PMI'!$A:$AZ,MATCH($A$1,'DB Country PMI'!$A$1:$AZ$1,),))</f>
        <v/>
      </c>
      <c r="C132" s="24">
        <f>Table13468[[#This Row],[PMI]]-B131</f>
        <v/>
      </c>
    </row>
    <row r="133">
      <c r="A133" s="10" t="n">
        <v>44501</v>
      </c>
      <c r="B133" s="18">
        <f>IF(VLOOKUP(A133,'DB Country PMI'!$A:$AZ,MATCH($A$1,'DB Country PMI'!$A$1:$AZ$1,),)=0,#N/A,VLOOKUP(A133,'DB Country PMI'!$A:$AZ,MATCH($A$1,'DB Country PMI'!$A$1:$AZ$1,),))</f>
        <v/>
      </c>
      <c r="C133" s="24">
        <f>Table13468[[#This Row],[PMI]]-B132</f>
        <v/>
      </c>
    </row>
    <row r="134">
      <c r="A134" s="10" t="n">
        <v>44531</v>
      </c>
      <c r="B134" s="18">
        <f>IF(VLOOKUP(A134,'DB Country PMI'!$A:$AZ,MATCH($A$1,'DB Country PMI'!$A$1:$AZ$1,),)=0,#N/A,VLOOKUP(A134,'DB Country PMI'!$A:$AZ,MATCH($A$1,'DB Country PMI'!$A$1:$AZ$1,),))</f>
        <v/>
      </c>
      <c r="C134" s="24">
        <f>Table13468[[#This Row],[PMI]]-B133</f>
        <v/>
      </c>
    </row>
    <row r="135">
      <c r="A135" s="10" t="n">
        <v>44562</v>
      </c>
      <c r="B135" s="18">
        <f>IF(VLOOKUP(A135,'DB Country PMI'!$A:$AZ,MATCH($A$1,'DB Country PMI'!$A$1:$AZ$1,),)=0,#N/A,VLOOKUP(A135,'DB Country PMI'!$A:$AZ,MATCH($A$1,'DB Country PMI'!$A$1:$AZ$1,),))</f>
        <v/>
      </c>
      <c r="C135" s="24">
        <f>Table13468[[#This Row],[PMI]]-B134</f>
        <v/>
      </c>
    </row>
    <row r="136">
      <c r="A136" s="10" t="n">
        <v>44593</v>
      </c>
      <c r="B136" s="18">
        <f>IF(VLOOKUP(A136,'DB Country PMI'!$A:$AZ,MATCH($A$1,'DB Country PMI'!$A$1:$AZ$1,),)=0,#N/A,VLOOKUP(A136,'DB Country PMI'!$A:$AZ,MATCH($A$1,'DB Country PMI'!$A$1:$AZ$1,),))</f>
        <v/>
      </c>
      <c r="C136" s="24">
        <f>Table13468[[#This Row],[PMI]]-B135</f>
        <v/>
      </c>
    </row>
    <row r="137">
      <c r="A137" s="10" t="n">
        <v>44621</v>
      </c>
      <c r="B137" s="18">
        <f>IF(VLOOKUP(A137,'DB Country PMI'!$A:$AZ,MATCH($A$1,'DB Country PMI'!$A$1:$AZ$1,),)=0,#N/A,VLOOKUP(A137,'DB Country PMI'!$A:$AZ,MATCH($A$1,'DB Country PMI'!$A$1:$AZ$1,),))</f>
        <v/>
      </c>
      <c r="C137" s="24">
        <f>Table13468[[#This Row],[PMI]]-B136</f>
        <v/>
      </c>
    </row>
    <row r="138">
      <c r="A138" s="10" t="n">
        <v>44652</v>
      </c>
      <c r="B138" s="18">
        <f>IF(VLOOKUP(A138,'DB Country PMI'!$A:$AZ,MATCH($A$1,'DB Country PMI'!$A$1:$AZ$1,),)=0,#N/A,VLOOKUP(A138,'DB Country PMI'!$A:$AZ,MATCH($A$1,'DB Country PMI'!$A$1:$AZ$1,),))</f>
        <v/>
      </c>
      <c r="C138" s="24">
        <f>Table13468[[#This Row],[PMI]]-B137</f>
        <v/>
      </c>
    </row>
    <row r="139">
      <c r="A139" s="10" t="n">
        <v>44682</v>
      </c>
      <c r="B139" s="18">
        <f>IF(VLOOKUP(A139,'DB Country PMI'!$A:$AZ,MATCH($A$1,'DB Country PMI'!$A$1:$AZ$1,),)=0,#N/A,VLOOKUP(A139,'DB Country PMI'!$A:$AZ,MATCH($A$1,'DB Country PMI'!$A$1:$AZ$1,),))</f>
        <v/>
      </c>
      <c r="C139" s="24">
        <f>Table13468[[#This Row],[PMI]]-B138</f>
        <v/>
      </c>
    </row>
    <row r="140">
      <c r="A140" s="10" t="n">
        <v>44713</v>
      </c>
      <c r="B140" s="18">
        <f>IF(VLOOKUP(A140,'DB Country PMI'!$A:$AZ,MATCH($A$1,'DB Country PMI'!$A$1:$AZ$1,),)=0,#N/A,VLOOKUP(A140,'DB Country PMI'!$A:$AZ,MATCH($A$1,'DB Country PMI'!$A$1:$AZ$1,),))</f>
        <v/>
      </c>
      <c r="C140" s="24">
        <f>Table13468[[#This Row],[PMI]]-B139</f>
        <v/>
      </c>
    </row>
    <row r="141">
      <c r="A141" s="10" t="n">
        <v>44743</v>
      </c>
      <c r="B141" s="18">
        <f>IF(VLOOKUP(A141,'DB Country PMI'!$A:$AZ,MATCH($A$1,'DB Country PMI'!$A$1:$AZ$1,),)=0,#N/A,VLOOKUP(A141,'DB Country PMI'!$A:$AZ,MATCH($A$1,'DB Country PMI'!$A$1:$AZ$1,),))</f>
        <v/>
      </c>
      <c r="C141" s="24">
        <f>Table13468[[#This Row],[PMI]]-B140</f>
        <v/>
      </c>
    </row>
    <row r="142">
      <c r="A142" s="10" t="n">
        <v>44774</v>
      </c>
      <c r="B142" s="18">
        <f>IF(VLOOKUP(A142,'DB Country PMI'!$A:$AZ,MATCH($A$1,'DB Country PMI'!$A$1:$AZ$1,),)=0,#N/A,VLOOKUP(A142,'DB Country PMI'!$A:$AZ,MATCH($A$1,'DB Country PMI'!$A$1:$AZ$1,),))</f>
        <v/>
      </c>
      <c r="C142" s="24">
        <f>Table13468[[#This Row],[PMI]]-B141</f>
        <v/>
      </c>
    </row>
    <row r="143">
      <c r="A143" s="10" t="n">
        <v>44805</v>
      </c>
      <c r="B143" s="18">
        <f>IF(VLOOKUP(A143,'DB Country PMI'!$A:$AZ,MATCH($A$1,'DB Country PMI'!$A$1:$AZ$1,),)=0,#N/A,VLOOKUP(A143,'DB Country PMI'!$A:$AZ,MATCH($A$1,'DB Country PMI'!$A$1:$AZ$1,),))</f>
        <v/>
      </c>
      <c r="C143" s="24">
        <f>Table13468[[#This Row],[PMI]]-B142</f>
        <v/>
      </c>
    </row>
    <row r="144">
      <c r="A144" s="10" t="n">
        <v>44835</v>
      </c>
      <c r="B144" s="18">
        <f>IF(VLOOKUP(A144,'DB Country PMI'!$A:$AZ,MATCH($A$1,'DB Country PMI'!$A$1:$AZ$1,),)=0,#N/A,VLOOKUP(A144,'DB Country PMI'!$A:$AZ,MATCH($A$1,'DB Country PMI'!$A$1:$AZ$1,),))</f>
        <v/>
      </c>
      <c r="C144" s="24">
        <f>Table13468[[#This Row],[PMI]]-B143</f>
        <v/>
      </c>
    </row>
    <row r="145">
      <c r="A145" s="10" t="n">
        <v>44866</v>
      </c>
      <c r="B145" s="18">
        <f>IF(VLOOKUP(A145,'DB Country PMI'!$A:$AZ,MATCH($A$1,'DB Country PMI'!$A$1:$AZ$1,),)=0,#N/A,VLOOKUP(A145,'DB Country PMI'!$A:$AZ,MATCH($A$1,'DB Country PMI'!$A$1:$AZ$1,),))</f>
        <v/>
      </c>
      <c r="C145" s="24">
        <f>Table13468[[#This Row],[PMI]]-B144</f>
        <v/>
      </c>
    </row>
  </sheetData>
  <conditionalFormatting sqref="B6:B145">
    <cfRule type="colorScale" priority="2">
      <colorScale>
        <cfvo type="min"/>
        <cfvo type="percentile" val="50"/>
        <cfvo type="max"/>
        <color rgb="FFF8696B"/>
        <color rgb="FFFFEB84"/>
        <color rgb="FF63BE7B"/>
      </colorScale>
    </cfRule>
  </conditionalFormatting>
  <conditionalFormatting sqref="C7:C145">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2.xml><?xml version="1.0" encoding="utf-8"?>
<worksheet xmlns="http://schemas.openxmlformats.org/spreadsheetml/2006/main">
  <sheetPr>
    <outlinePr summaryBelow="1" summaryRight="1"/>
    <pageSetUpPr/>
  </sheetPr>
  <dimension ref="A1:K180"/>
  <sheetViews>
    <sheetView zoomScaleNormal="100" workbookViewId="0">
      <pane ySplit="5" topLeftCell="A164" activePane="bottomLeft" state="frozen"/>
      <selection pane="bottomLeft" activeCell="P182" sqref="P182"/>
    </sheetView>
  </sheetViews>
  <sheetFormatPr baseColWidth="8" defaultColWidth="9.1796875" defaultRowHeight="14.5"/>
  <cols>
    <col width="13.453125" customWidth="1" style="69" min="1" max="1"/>
    <col width="11.36328125" customWidth="1" style="69" min="2" max="2"/>
    <col width="9.1796875" customWidth="1" style="69" min="3" max="51"/>
    <col width="9.1796875" customWidth="1" style="69" min="52" max="16384"/>
  </cols>
  <sheetData>
    <row r="1">
      <c r="A1" s="69" t="inlineStr">
        <is>
          <t>Australia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39569</v>
      </c>
      <c r="B6" s="18">
        <f>IF(VLOOKUP(A6,'DB Country PMI'!$A:$AZ,MATCH($A$1,'DB Country PMI'!$A$1:$AZ$1,),)=0,#N/A,VLOOKUP(A6,'DB Country PMI'!$A:$AZ,MATCH($A$1,'DB Country PMI'!$A$1:$AZ$1,),))</f>
        <v/>
      </c>
      <c r="C6" s="18" t="n"/>
    </row>
    <row r="7">
      <c r="A7" s="10" t="n">
        <v>39600</v>
      </c>
      <c r="B7" s="18">
        <f>IF(VLOOKUP(A7,'DB Country PMI'!$A:$AZ,MATCH($A$1,'DB Country PMI'!$A$1:$AZ$1,),)=0,#N/A,VLOOKUP(A7,'DB Country PMI'!$A:$AZ,MATCH($A$1,'DB Country PMI'!$A$1:$AZ$1,),))</f>
        <v/>
      </c>
      <c r="C7" s="24">
        <f>Table1346811121415161718192022252627[[#This Row],[PMI]]-B6</f>
        <v/>
      </c>
    </row>
    <row r="8">
      <c r="A8" s="10" t="n">
        <v>39630</v>
      </c>
      <c r="B8" s="18">
        <f>IF(VLOOKUP(A8,'DB Country PMI'!$A:$AZ,MATCH($A$1,'DB Country PMI'!$A$1:$AZ$1,),)=0,#N/A,VLOOKUP(A8,'DB Country PMI'!$A:$AZ,MATCH($A$1,'DB Country PMI'!$A$1:$AZ$1,),))</f>
        <v/>
      </c>
      <c r="C8" s="24">
        <f>Table1346811121415161718192022252627[[#This Row],[PMI]]-B7</f>
        <v/>
      </c>
    </row>
    <row r="9">
      <c r="A9" s="10" t="n">
        <v>39661</v>
      </c>
      <c r="B9" s="18">
        <f>IF(VLOOKUP(A9,'DB Country PMI'!$A:$AZ,MATCH($A$1,'DB Country PMI'!$A$1:$AZ$1,),)=0,#N/A,VLOOKUP(A9,'DB Country PMI'!$A:$AZ,MATCH($A$1,'DB Country PMI'!$A$1:$AZ$1,),))</f>
        <v/>
      </c>
      <c r="C9" s="24">
        <f>Table1346811121415161718192022252627[[#This Row],[PMI]]-B8</f>
        <v/>
      </c>
    </row>
    <row r="10">
      <c r="A10" s="10" t="n">
        <v>39692</v>
      </c>
      <c r="B10" s="18">
        <f>IF(VLOOKUP(A10,'DB Country PMI'!$A:$AZ,MATCH($A$1,'DB Country PMI'!$A$1:$AZ$1,),)=0,#N/A,VLOOKUP(A10,'DB Country PMI'!$A:$AZ,MATCH($A$1,'DB Country PMI'!$A$1:$AZ$1,),))</f>
        <v/>
      </c>
      <c r="C10" s="24">
        <f>Table1346811121415161718192022252627[[#This Row],[PMI]]-B9</f>
        <v/>
      </c>
    </row>
    <row r="11">
      <c r="A11" s="10" t="n">
        <v>39722</v>
      </c>
      <c r="B11" s="18">
        <f>IF(VLOOKUP(A11,'DB Country PMI'!$A:$AZ,MATCH($A$1,'DB Country PMI'!$A$1:$AZ$1,),)=0,#N/A,VLOOKUP(A11,'DB Country PMI'!$A:$AZ,MATCH($A$1,'DB Country PMI'!$A$1:$AZ$1,),))</f>
        <v/>
      </c>
      <c r="C11" s="24">
        <f>Table1346811121415161718192022252627[[#This Row],[PMI]]-B10</f>
        <v/>
      </c>
    </row>
    <row r="12">
      <c r="A12" s="10" t="n">
        <v>39753</v>
      </c>
      <c r="B12" s="18">
        <f>IF(VLOOKUP(A12,'DB Country PMI'!$A:$AZ,MATCH($A$1,'DB Country PMI'!$A$1:$AZ$1,),)=0,#N/A,VLOOKUP(A12,'DB Country PMI'!$A:$AZ,MATCH($A$1,'DB Country PMI'!$A$1:$AZ$1,),))</f>
        <v/>
      </c>
      <c r="C12" s="24">
        <f>Table1346811121415161718192022252627[[#This Row],[PMI]]-B11</f>
        <v/>
      </c>
    </row>
    <row r="13">
      <c r="A13" s="10" t="n">
        <v>39783</v>
      </c>
      <c r="B13" s="18">
        <f>IF(VLOOKUP(A13,'DB Country PMI'!$A:$AZ,MATCH($A$1,'DB Country PMI'!$A$1:$AZ$1,),)=0,#N/A,VLOOKUP(A13,'DB Country PMI'!$A:$AZ,MATCH($A$1,'DB Country PMI'!$A$1:$AZ$1,),))</f>
        <v/>
      </c>
      <c r="C13" s="24">
        <f>Table1346811121415161718192022252627[[#This Row],[PMI]]-B12</f>
        <v/>
      </c>
    </row>
    <row r="14">
      <c r="A14" s="10" t="n">
        <v>39814</v>
      </c>
      <c r="B14" s="18">
        <f>IF(VLOOKUP(A14,'DB Country PMI'!$A:$AZ,MATCH($A$1,'DB Country PMI'!$A$1:$AZ$1,),)=0,#N/A,VLOOKUP(A14,'DB Country PMI'!$A:$AZ,MATCH($A$1,'DB Country PMI'!$A$1:$AZ$1,),))</f>
        <v/>
      </c>
      <c r="C14" s="24">
        <f>Table1346811121415161718192022252627[[#This Row],[PMI]]-B13</f>
        <v/>
      </c>
    </row>
    <row r="15">
      <c r="A15" s="10" t="n">
        <v>39845</v>
      </c>
      <c r="B15" s="18">
        <f>IF(VLOOKUP(A15,'DB Country PMI'!$A:$AZ,MATCH($A$1,'DB Country PMI'!$A$1:$AZ$1,),)=0,#N/A,VLOOKUP(A15,'DB Country PMI'!$A:$AZ,MATCH($A$1,'DB Country PMI'!$A$1:$AZ$1,),))</f>
        <v/>
      </c>
      <c r="C15" s="24">
        <f>Table1346811121415161718192022252627[[#This Row],[PMI]]-B14</f>
        <v/>
      </c>
    </row>
    <row r="16">
      <c r="A16" s="10" t="n">
        <v>39873</v>
      </c>
      <c r="B16" s="18">
        <f>IF(VLOOKUP(A16,'DB Country PMI'!$A:$AZ,MATCH($A$1,'DB Country PMI'!$A$1:$AZ$1,),)=0,#N/A,VLOOKUP(A16,'DB Country PMI'!$A:$AZ,MATCH($A$1,'DB Country PMI'!$A$1:$AZ$1,),))</f>
        <v/>
      </c>
      <c r="C16" s="24">
        <f>Table1346811121415161718192022252627[[#This Row],[PMI]]-B15</f>
        <v/>
      </c>
    </row>
    <row r="17">
      <c r="A17" s="10" t="n">
        <v>39904</v>
      </c>
      <c r="B17" s="18">
        <f>IF(VLOOKUP(A17,'DB Country PMI'!$A:$AZ,MATCH($A$1,'DB Country PMI'!$A$1:$AZ$1,),)=0,#N/A,VLOOKUP(A17,'DB Country PMI'!$A:$AZ,MATCH($A$1,'DB Country PMI'!$A$1:$AZ$1,),))</f>
        <v/>
      </c>
      <c r="C17" s="24">
        <f>Table1346811121415161718192022252627[[#This Row],[PMI]]-B16</f>
        <v/>
      </c>
    </row>
    <row r="18">
      <c r="A18" s="10" t="n">
        <v>39934</v>
      </c>
      <c r="B18" s="18">
        <f>IF(VLOOKUP(A18,'DB Country PMI'!$A:$AZ,MATCH($A$1,'DB Country PMI'!$A$1:$AZ$1,),)=0,#N/A,VLOOKUP(A18,'DB Country PMI'!$A:$AZ,MATCH($A$1,'DB Country PMI'!$A$1:$AZ$1,),))</f>
        <v/>
      </c>
      <c r="C18" s="24">
        <f>Table1346811121415161718192022252627[[#This Row],[PMI]]-B17</f>
        <v/>
      </c>
    </row>
    <row r="19">
      <c r="A19" s="10" t="n">
        <v>39965</v>
      </c>
      <c r="B19" s="18">
        <f>IF(VLOOKUP(A19,'DB Country PMI'!$A:$AZ,MATCH($A$1,'DB Country PMI'!$A$1:$AZ$1,),)=0,#N/A,VLOOKUP(A19,'DB Country PMI'!$A:$AZ,MATCH($A$1,'DB Country PMI'!$A$1:$AZ$1,),))</f>
        <v/>
      </c>
      <c r="C19" s="24">
        <f>Table1346811121415161718192022252627[[#This Row],[PMI]]-B18</f>
        <v/>
      </c>
    </row>
    <row r="20">
      <c r="A20" s="10" t="n">
        <v>39995</v>
      </c>
      <c r="B20" s="18">
        <f>IF(VLOOKUP(A20,'DB Country PMI'!$A:$AZ,MATCH($A$1,'DB Country PMI'!$A$1:$AZ$1,),)=0,#N/A,VLOOKUP(A20,'DB Country PMI'!$A:$AZ,MATCH($A$1,'DB Country PMI'!$A$1:$AZ$1,),))</f>
        <v/>
      </c>
      <c r="C20" s="24">
        <f>Table1346811121415161718192022252627[[#This Row],[PMI]]-B19</f>
        <v/>
      </c>
    </row>
    <row r="21">
      <c r="A21" s="10" t="n">
        <v>40026</v>
      </c>
      <c r="B21" s="18">
        <f>IF(VLOOKUP(A21,'DB Country PMI'!$A:$AZ,MATCH($A$1,'DB Country PMI'!$A$1:$AZ$1,),)=0,#N/A,VLOOKUP(A21,'DB Country PMI'!$A:$AZ,MATCH($A$1,'DB Country PMI'!$A$1:$AZ$1,),))</f>
        <v/>
      </c>
      <c r="C21" s="24">
        <f>Table1346811121415161718192022252627[[#This Row],[PMI]]-B20</f>
        <v/>
      </c>
    </row>
    <row r="22">
      <c r="A22" s="10" t="n">
        <v>40057</v>
      </c>
      <c r="B22" s="18">
        <f>IF(VLOOKUP(A22,'DB Country PMI'!$A:$AZ,MATCH($A$1,'DB Country PMI'!$A$1:$AZ$1,),)=0,#N/A,VLOOKUP(A22,'DB Country PMI'!$A:$AZ,MATCH($A$1,'DB Country PMI'!$A$1:$AZ$1,),))</f>
        <v/>
      </c>
      <c r="C22" s="24">
        <f>Table1346811121415161718192022252627[[#This Row],[PMI]]-B21</f>
        <v/>
      </c>
    </row>
    <row r="23">
      <c r="A23" s="10" t="n">
        <v>40087</v>
      </c>
      <c r="B23" s="18">
        <f>IF(VLOOKUP(A23,'DB Country PMI'!$A:$AZ,MATCH($A$1,'DB Country PMI'!$A$1:$AZ$1,),)=0,#N/A,VLOOKUP(A23,'DB Country PMI'!$A:$AZ,MATCH($A$1,'DB Country PMI'!$A$1:$AZ$1,),))</f>
        <v/>
      </c>
      <c r="C23" s="24">
        <f>Table1346811121415161718192022252627[[#This Row],[PMI]]-B22</f>
        <v/>
      </c>
    </row>
    <row r="24">
      <c r="A24" s="10" t="n">
        <v>40118</v>
      </c>
      <c r="B24" s="18">
        <f>IF(VLOOKUP(A24,'DB Country PMI'!$A:$AZ,MATCH($A$1,'DB Country PMI'!$A$1:$AZ$1,),)=0,#N/A,VLOOKUP(A24,'DB Country PMI'!$A:$AZ,MATCH($A$1,'DB Country PMI'!$A$1:$AZ$1,),))</f>
        <v/>
      </c>
      <c r="C24" s="24">
        <f>Table1346811121415161718192022252627[[#This Row],[PMI]]-B23</f>
        <v/>
      </c>
    </row>
    <row r="25">
      <c r="A25" s="10" t="n">
        <v>40148</v>
      </c>
      <c r="B25" s="18">
        <f>IF(VLOOKUP(A25,'DB Country PMI'!$A:$AZ,MATCH($A$1,'DB Country PMI'!$A$1:$AZ$1,),)=0,#N/A,VLOOKUP(A25,'DB Country PMI'!$A:$AZ,MATCH($A$1,'DB Country PMI'!$A$1:$AZ$1,),))</f>
        <v/>
      </c>
      <c r="C25" s="24">
        <f>Table1346811121415161718192022252627[[#This Row],[PMI]]-B24</f>
        <v/>
      </c>
    </row>
    <row r="26">
      <c r="A26" s="10" t="n">
        <v>40179</v>
      </c>
      <c r="B26" s="18">
        <f>IF(VLOOKUP(A26,'DB Country PMI'!$A:$AZ,MATCH($A$1,'DB Country PMI'!$A$1:$AZ$1,),)=0,#N/A,VLOOKUP(A26,'DB Country PMI'!$A:$AZ,MATCH($A$1,'DB Country PMI'!$A$1:$AZ$1,),))</f>
        <v/>
      </c>
      <c r="C26" s="24">
        <f>Table1346811121415161718192022252627[[#This Row],[PMI]]-B25</f>
        <v/>
      </c>
    </row>
    <row r="27">
      <c r="A27" s="10" t="n">
        <v>40210</v>
      </c>
      <c r="B27" s="18">
        <f>IF(VLOOKUP(A27,'DB Country PMI'!$A:$AZ,MATCH($A$1,'DB Country PMI'!$A$1:$AZ$1,),)=0,#N/A,VLOOKUP(A27,'DB Country PMI'!$A:$AZ,MATCH($A$1,'DB Country PMI'!$A$1:$AZ$1,),))</f>
        <v/>
      </c>
      <c r="C27" s="24">
        <f>Table1346811121415161718192022252627[[#This Row],[PMI]]-B26</f>
        <v/>
      </c>
    </row>
    <row r="28">
      <c r="A28" s="10" t="n">
        <v>40238</v>
      </c>
      <c r="B28" s="18">
        <f>IF(VLOOKUP(A28,'DB Country PMI'!$A:$AZ,MATCH($A$1,'DB Country PMI'!$A$1:$AZ$1,),)=0,#N/A,VLOOKUP(A28,'DB Country PMI'!$A:$AZ,MATCH($A$1,'DB Country PMI'!$A$1:$AZ$1,),))</f>
        <v/>
      </c>
      <c r="C28" s="24">
        <f>Table1346811121415161718192022252627[[#This Row],[PMI]]-B27</f>
        <v/>
      </c>
    </row>
    <row r="29">
      <c r="A29" s="10" t="n">
        <v>40269</v>
      </c>
      <c r="B29" s="18">
        <f>IF(VLOOKUP(A29,'DB Country PMI'!$A:$AZ,MATCH($A$1,'DB Country PMI'!$A$1:$AZ$1,),)=0,#N/A,VLOOKUP(A29,'DB Country PMI'!$A:$AZ,MATCH($A$1,'DB Country PMI'!$A$1:$AZ$1,),))</f>
        <v/>
      </c>
      <c r="C29" s="24">
        <f>Table1346811121415161718192022252627[[#This Row],[PMI]]-B28</f>
        <v/>
      </c>
    </row>
    <row r="30">
      <c r="A30" s="10" t="n">
        <v>40299</v>
      </c>
      <c r="B30" s="18">
        <f>IF(VLOOKUP(A30,'DB Country PMI'!$A:$AZ,MATCH($A$1,'DB Country PMI'!$A$1:$AZ$1,),)=0,#N/A,VLOOKUP(A30,'DB Country PMI'!$A:$AZ,MATCH($A$1,'DB Country PMI'!$A$1:$AZ$1,),))</f>
        <v/>
      </c>
      <c r="C30" s="24">
        <f>Table1346811121415161718192022252627[[#This Row],[PMI]]-B29</f>
        <v/>
      </c>
    </row>
    <row r="31">
      <c r="A31" s="10" t="n">
        <v>40330</v>
      </c>
      <c r="B31" s="18">
        <f>IF(VLOOKUP(A31,'DB Country PMI'!$A:$AZ,MATCH($A$1,'DB Country PMI'!$A$1:$AZ$1,),)=0,#N/A,VLOOKUP(A31,'DB Country PMI'!$A:$AZ,MATCH($A$1,'DB Country PMI'!$A$1:$AZ$1,),))</f>
        <v/>
      </c>
      <c r="C31" s="24">
        <f>Table1346811121415161718192022252627[[#This Row],[PMI]]-B30</f>
        <v/>
      </c>
    </row>
    <row r="32">
      <c r="A32" s="10" t="n">
        <v>40360</v>
      </c>
      <c r="B32" s="18">
        <f>IF(VLOOKUP(A32,'DB Country PMI'!$A:$AZ,MATCH($A$1,'DB Country PMI'!$A$1:$AZ$1,),)=0,#N/A,VLOOKUP(A32,'DB Country PMI'!$A:$AZ,MATCH($A$1,'DB Country PMI'!$A$1:$AZ$1,),))</f>
        <v/>
      </c>
      <c r="C32" s="24">
        <f>Table1346811121415161718192022252627[[#This Row],[PMI]]-B31</f>
        <v/>
      </c>
    </row>
    <row r="33">
      <c r="A33" s="10" t="n">
        <v>40391</v>
      </c>
      <c r="B33" s="18">
        <f>IF(VLOOKUP(A33,'DB Country PMI'!$A:$AZ,MATCH($A$1,'DB Country PMI'!$A$1:$AZ$1,),)=0,#N/A,VLOOKUP(A33,'DB Country PMI'!$A:$AZ,MATCH($A$1,'DB Country PMI'!$A$1:$AZ$1,),))</f>
        <v/>
      </c>
      <c r="C33" s="24">
        <f>Table1346811121415161718192022252627[[#This Row],[PMI]]-B32</f>
        <v/>
      </c>
    </row>
    <row r="34">
      <c r="A34" s="10" t="n">
        <v>40422</v>
      </c>
      <c r="B34" s="18">
        <f>IF(VLOOKUP(A34,'DB Country PMI'!$A:$AZ,MATCH($A$1,'DB Country PMI'!$A$1:$AZ$1,),)=0,#N/A,VLOOKUP(A34,'DB Country PMI'!$A:$AZ,MATCH($A$1,'DB Country PMI'!$A$1:$AZ$1,),))</f>
        <v/>
      </c>
      <c r="C34" s="24">
        <f>Table1346811121415161718192022252627[[#This Row],[PMI]]-B33</f>
        <v/>
      </c>
    </row>
    <row r="35">
      <c r="A35" s="10" t="n">
        <v>40452</v>
      </c>
      <c r="B35" s="18">
        <f>IF(VLOOKUP(A35,'DB Country PMI'!$A:$AZ,MATCH($A$1,'DB Country PMI'!$A$1:$AZ$1,),)=0,#N/A,VLOOKUP(A35,'DB Country PMI'!$A:$AZ,MATCH($A$1,'DB Country PMI'!$A$1:$AZ$1,),))</f>
        <v/>
      </c>
      <c r="C35" s="24">
        <f>Table1346811121415161718192022252627[[#This Row],[PMI]]-B34</f>
        <v/>
      </c>
    </row>
    <row r="36">
      <c r="A36" s="10" t="n">
        <v>40483</v>
      </c>
      <c r="B36" s="18">
        <f>IF(VLOOKUP(A36,'DB Country PMI'!$A:$AZ,MATCH($A$1,'DB Country PMI'!$A$1:$AZ$1,),)=0,#N/A,VLOOKUP(A36,'DB Country PMI'!$A:$AZ,MATCH($A$1,'DB Country PMI'!$A$1:$AZ$1,),))</f>
        <v/>
      </c>
      <c r="C36" s="24">
        <f>Table1346811121415161718192022252627[[#This Row],[PMI]]-B35</f>
        <v/>
      </c>
    </row>
    <row r="37">
      <c r="A37" s="10" t="n">
        <v>40513</v>
      </c>
      <c r="B37" s="18">
        <f>IF(VLOOKUP(A37,'DB Country PMI'!$A:$AZ,MATCH($A$1,'DB Country PMI'!$A$1:$AZ$1,),)=0,#N/A,VLOOKUP(A37,'DB Country PMI'!$A:$AZ,MATCH($A$1,'DB Country PMI'!$A$1:$AZ$1,),))</f>
        <v/>
      </c>
      <c r="C37" s="24">
        <f>Table1346811121415161718192022252627[[#This Row],[PMI]]-B36</f>
        <v/>
      </c>
    </row>
    <row r="38">
      <c r="A38" s="10" t="n">
        <v>40544</v>
      </c>
      <c r="B38" s="18">
        <f>IF(VLOOKUP(A38,'DB Country PMI'!$A:$AZ,MATCH($A$1,'DB Country PMI'!$A$1:$AZ$1,),)=0,#N/A,VLOOKUP(A38,'DB Country PMI'!$A:$AZ,MATCH($A$1,'DB Country PMI'!$A$1:$AZ$1,),))</f>
        <v/>
      </c>
      <c r="C38" s="24">
        <f>Table1346811121415161718192022252627[[#This Row],[PMI]]-B37</f>
        <v/>
      </c>
    </row>
    <row r="39">
      <c r="A39" s="10" t="n">
        <v>40575</v>
      </c>
      <c r="B39" s="18">
        <f>IF(VLOOKUP(A39,'DB Country PMI'!$A:$AZ,MATCH($A$1,'DB Country PMI'!$A$1:$AZ$1,),)=0,#N/A,VLOOKUP(A39,'DB Country PMI'!$A:$AZ,MATCH($A$1,'DB Country PMI'!$A$1:$AZ$1,),))</f>
        <v/>
      </c>
      <c r="C39" s="24">
        <f>Table1346811121415161718192022252627[[#This Row],[PMI]]-B38</f>
        <v/>
      </c>
    </row>
    <row r="40">
      <c r="A40" s="10" t="n">
        <v>40603</v>
      </c>
      <c r="B40" s="18">
        <f>IF(VLOOKUP(A40,'DB Country PMI'!$A:$AZ,MATCH($A$1,'DB Country PMI'!$A$1:$AZ$1,),)=0,#N/A,VLOOKUP(A40,'DB Country PMI'!$A:$AZ,MATCH($A$1,'DB Country PMI'!$A$1:$AZ$1,),))</f>
        <v/>
      </c>
      <c r="C40" s="24">
        <f>Table1346811121415161718192022252627[[#This Row],[PMI]]-B39</f>
        <v/>
      </c>
    </row>
    <row r="41">
      <c r="A41" s="10" t="n">
        <v>40634</v>
      </c>
      <c r="B41" s="18">
        <f>IF(VLOOKUP(A41,'DB Country PMI'!$A:$AZ,MATCH($A$1,'DB Country PMI'!$A$1:$AZ$1,),)=0,#N/A,VLOOKUP(A41,'DB Country PMI'!$A:$AZ,MATCH($A$1,'DB Country PMI'!$A$1:$AZ$1,),))</f>
        <v/>
      </c>
      <c r="C41" s="24">
        <f>Table1346811121415161718192022252627[[#This Row],[PMI]]-B40</f>
        <v/>
      </c>
    </row>
    <row r="42">
      <c r="A42" s="10" t="n">
        <v>40664</v>
      </c>
      <c r="B42" s="18">
        <f>IF(VLOOKUP(A42,'DB Country PMI'!$A:$AZ,MATCH($A$1,'DB Country PMI'!$A$1:$AZ$1,),)=0,#N/A,VLOOKUP(A42,'DB Country PMI'!$A:$AZ,MATCH($A$1,'DB Country PMI'!$A$1:$AZ$1,),))</f>
        <v/>
      </c>
      <c r="C42" s="24">
        <f>Table1346811121415161718192022252627[[#This Row],[PMI]]-B41</f>
        <v/>
      </c>
    </row>
    <row r="43">
      <c r="A43" s="10" t="n">
        <v>40695</v>
      </c>
      <c r="B43" s="18">
        <f>IF(VLOOKUP(A43,'DB Country PMI'!$A:$AZ,MATCH($A$1,'DB Country PMI'!$A$1:$AZ$1,),)=0,#N/A,VLOOKUP(A43,'DB Country PMI'!$A:$AZ,MATCH($A$1,'DB Country PMI'!$A$1:$AZ$1,),))</f>
        <v/>
      </c>
      <c r="C43" s="24">
        <f>Table1346811121415161718192022252627[[#This Row],[PMI]]-B42</f>
        <v/>
      </c>
    </row>
    <row r="44">
      <c r="A44" s="10" t="n">
        <v>40725</v>
      </c>
      <c r="B44" s="18">
        <f>IF(VLOOKUP(A44,'DB Country PMI'!$A:$AZ,MATCH($A$1,'DB Country PMI'!$A$1:$AZ$1,),)=0,#N/A,VLOOKUP(A44,'DB Country PMI'!$A:$AZ,MATCH($A$1,'DB Country PMI'!$A$1:$AZ$1,),))</f>
        <v/>
      </c>
      <c r="C44" s="24">
        <f>Table1346811121415161718192022252627[[#This Row],[PMI]]-B43</f>
        <v/>
      </c>
    </row>
    <row r="45">
      <c r="A45" s="10" t="n">
        <v>40756</v>
      </c>
      <c r="B45" s="18">
        <f>IF(VLOOKUP(A45,'DB Country PMI'!$A:$AZ,MATCH($A$1,'DB Country PMI'!$A$1:$AZ$1,),)=0,#N/A,VLOOKUP(A45,'DB Country PMI'!$A:$AZ,MATCH($A$1,'DB Country PMI'!$A$1:$AZ$1,),))</f>
        <v/>
      </c>
      <c r="C45" s="24">
        <f>Table1346811121415161718192022252627[[#This Row],[PMI]]-B44</f>
        <v/>
      </c>
    </row>
    <row r="46">
      <c r="A46" s="10" t="n">
        <v>40787</v>
      </c>
      <c r="B46" s="18">
        <f>IF(VLOOKUP(A46,'DB Country PMI'!$A:$AZ,MATCH($A$1,'DB Country PMI'!$A$1:$AZ$1,),)=0,#N/A,VLOOKUP(A46,'DB Country PMI'!$A:$AZ,MATCH($A$1,'DB Country PMI'!$A$1:$AZ$1,),))</f>
        <v/>
      </c>
      <c r="C46" s="24">
        <f>Table1346811121415161718192022252627[[#This Row],[PMI]]-B45</f>
        <v/>
      </c>
    </row>
    <row r="47">
      <c r="A47" s="10" t="n">
        <v>40817</v>
      </c>
      <c r="B47" s="18">
        <f>IF(VLOOKUP(A47,'DB Country PMI'!$A:$AZ,MATCH($A$1,'DB Country PMI'!$A$1:$AZ$1,),)=0,#N/A,VLOOKUP(A47,'DB Country PMI'!$A:$AZ,MATCH($A$1,'DB Country PMI'!$A$1:$AZ$1,),))</f>
        <v/>
      </c>
      <c r="C47" s="24">
        <f>Table1346811121415161718192022252627[[#This Row],[PMI]]-B46</f>
        <v/>
      </c>
    </row>
    <row r="48">
      <c r="A48" s="10" t="n">
        <v>40848</v>
      </c>
      <c r="B48" s="18">
        <f>IF(VLOOKUP(A48,'DB Country PMI'!$A:$AZ,MATCH($A$1,'DB Country PMI'!$A$1:$AZ$1,),)=0,#N/A,VLOOKUP(A48,'DB Country PMI'!$A:$AZ,MATCH($A$1,'DB Country PMI'!$A$1:$AZ$1,),))</f>
        <v/>
      </c>
      <c r="C48" s="24">
        <f>Table1346811121415161718192022252627[[#This Row],[PMI]]-B47</f>
        <v/>
      </c>
    </row>
    <row r="49">
      <c r="A49" s="10" t="n">
        <v>40878</v>
      </c>
      <c r="B49" s="18">
        <f>IF(VLOOKUP(A49,'DB Country PMI'!$A:$AZ,MATCH($A$1,'DB Country PMI'!$A$1:$AZ$1,),)=0,#N/A,VLOOKUP(A49,'DB Country PMI'!$A:$AZ,MATCH($A$1,'DB Country PMI'!$A$1:$AZ$1,),))</f>
        <v/>
      </c>
      <c r="C49" s="24">
        <f>Table1346811121415161718192022252627[[#This Row],[PMI]]-B48</f>
        <v/>
      </c>
    </row>
    <row r="50">
      <c r="A50" s="10" t="n">
        <v>40909</v>
      </c>
      <c r="B50" s="18">
        <f>IF(VLOOKUP(A50,'DB Country PMI'!$A:$AZ,MATCH($A$1,'DB Country PMI'!$A$1:$AZ$1,),)=0,#N/A,VLOOKUP(A50,'DB Country PMI'!$A:$AZ,MATCH($A$1,'DB Country PMI'!$A$1:$AZ$1,),))</f>
        <v/>
      </c>
      <c r="C50" s="24">
        <f>Table1346811121415161718192022252627[[#This Row],[PMI]]-B49</f>
        <v/>
      </c>
    </row>
    <row r="51">
      <c r="A51" s="10" t="n">
        <v>40940</v>
      </c>
      <c r="B51" s="18">
        <f>IF(VLOOKUP(A51,'DB Country PMI'!$A:$AZ,MATCH($A$1,'DB Country PMI'!$A$1:$AZ$1,),)=0,#N/A,VLOOKUP(A51,'DB Country PMI'!$A:$AZ,MATCH($A$1,'DB Country PMI'!$A$1:$AZ$1,),))</f>
        <v/>
      </c>
      <c r="C51" s="24">
        <f>Table1346811121415161718192022252627[[#This Row],[PMI]]-B50</f>
        <v/>
      </c>
    </row>
    <row r="52">
      <c r="A52" s="10" t="n">
        <v>40969</v>
      </c>
      <c r="B52" s="18">
        <f>IF(VLOOKUP(A52,'DB Country PMI'!$A:$AZ,MATCH($A$1,'DB Country PMI'!$A$1:$AZ$1,),)=0,#N/A,VLOOKUP(A52,'DB Country PMI'!$A:$AZ,MATCH($A$1,'DB Country PMI'!$A$1:$AZ$1,),))</f>
        <v/>
      </c>
      <c r="C52" s="24">
        <f>Table1346811121415161718192022252627[[#This Row],[PMI]]-B51</f>
        <v/>
      </c>
    </row>
    <row r="53">
      <c r="A53" s="10" t="n">
        <v>41000</v>
      </c>
      <c r="B53" s="18">
        <f>IF(VLOOKUP(A53,'DB Country PMI'!$A:$AZ,MATCH($A$1,'DB Country PMI'!$A$1:$AZ$1,),)=0,#N/A,VLOOKUP(A53,'DB Country PMI'!$A:$AZ,MATCH($A$1,'DB Country PMI'!$A$1:$AZ$1,),))</f>
        <v/>
      </c>
      <c r="C53" s="24">
        <f>Table1346811121415161718192022252627[[#This Row],[PMI]]-B52</f>
        <v/>
      </c>
    </row>
    <row r="54">
      <c r="A54" s="10" t="n">
        <v>41030</v>
      </c>
      <c r="B54" s="18">
        <f>IF(VLOOKUP(A54,'DB Country PMI'!$A:$AZ,MATCH($A$1,'DB Country PMI'!$A$1:$AZ$1,),)=0,#N/A,VLOOKUP(A54,'DB Country PMI'!$A:$AZ,MATCH($A$1,'DB Country PMI'!$A$1:$AZ$1,),))</f>
        <v/>
      </c>
      <c r="C54" s="24">
        <f>Table1346811121415161718192022252627[[#This Row],[PMI]]-B53</f>
        <v/>
      </c>
    </row>
    <row r="55">
      <c r="A55" s="10" t="n">
        <v>41061</v>
      </c>
      <c r="B55" s="18">
        <f>IF(VLOOKUP(A55,'DB Country PMI'!$A:$AZ,MATCH($A$1,'DB Country PMI'!$A$1:$AZ$1,),)=0,#N/A,VLOOKUP(A55,'DB Country PMI'!$A:$AZ,MATCH($A$1,'DB Country PMI'!$A$1:$AZ$1,),))</f>
        <v/>
      </c>
      <c r="C55" s="24">
        <f>Table1346811121415161718192022252627[[#This Row],[PMI]]-B54</f>
        <v/>
      </c>
    </row>
    <row r="56">
      <c r="A56" s="10" t="n">
        <v>41091</v>
      </c>
      <c r="B56" s="18">
        <f>IF(VLOOKUP(A56,'DB Country PMI'!$A:$AZ,MATCH($A$1,'DB Country PMI'!$A$1:$AZ$1,),)=0,#N/A,VLOOKUP(A56,'DB Country PMI'!$A:$AZ,MATCH($A$1,'DB Country PMI'!$A$1:$AZ$1,),))</f>
        <v/>
      </c>
      <c r="C56" s="24">
        <f>Table1346811121415161718192022252627[[#This Row],[PMI]]-B55</f>
        <v/>
      </c>
    </row>
    <row r="57">
      <c r="A57" s="10" t="n">
        <v>41122</v>
      </c>
      <c r="B57" s="18">
        <f>IF(VLOOKUP(A57,'DB Country PMI'!$A:$AZ,MATCH($A$1,'DB Country PMI'!$A$1:$AZ$1,),)=0,#N/A,VLOOKUP(A57,'DB Country PMI'!$A:$AZ,MATCH($A$1,'DB Country PMI'!$A$1:$AZ$1,),))</f>
        <v/>
      </c>
      <c r="C57" s="24">
        <f>Table1346811121415161718192022252627[[#This Row],[PMI]]-B56</f>
        <v/>
      </c>
    </row>
    <row r="58">
      <c r="A58" s="10" t="n">
        <v>41153</v>
      </c>
      <c r="B58" s="18">
        <f>IF(VLOOKUP(A58,'DB Country PMI'!$A:$AZ,MATCH($A$1,'DB Country PMI'!$A$1:$AZ$1,),)=0,#N/A,VLOOKUP(A58,'DB Country PMI'!$A:$AZ,MATCH($A$1,'DB Country PMI'!$A$1:$AZ$1,),))</f>
        <v/>
      </c>
      <c r="C58" s="24">
        <f>Table1346811121415161718192022252627[[#This Row],[PMI]]-B57</f>
        <v/>
      </c>
    </row>
    <row r="59">
      <c r="A59" s="10" t="n">
        <v>41183</v>
      </c>
      <c r="B59" s="18">
        <f>IF(VLOOKUP(A59,'DB Country PMI'!$A:$AZ,MATCH($A$1,'DB Country PMI'!$A$1:$AZ$1,),)=0,#N/A,VLOOKUP(A59,'DB Country PMI'!$A:$AZ,MATCH($A$1,'DB Country PMI'!$A$1:$AZ$1,),))</f>
        <v/>
      </c>
      <c r="C59" s="24">
        <f>Table1346811121415161718192022252627[[#This Row],[PMI]]-B58</f>
        <v/>
      </c>
    </row>
    <row r="60">
      <c r="A60" s="10" t="n">
        <v>41214</v>
      </c>
      <c r="B60" s="18">
        <f>IF(VLOOKUP(A60,'DB Country PMI'!$A:$AZ,MATCH($A$1,'DB Country PMI'!$A$1:$AZ$1,),)=0,#N/A,VLOOKUP(A60,'DB Country PMI'!$A:$AZ,MATCH($A$1,'DB Country PMI'!$A$1:$AZ$1,),))</f>
        <v/>
      </c>
      <c r="C60" s="24">
        <f>Table1346811121415161718192022252627[[#This Row],[PMI]]-B59</f>
        <v/>
      </c>
    </row>
    <row r="61">
      <c r="A61" s="10" t="n">
        <v>41244</v>
      </c>
      <c r="B61" s="18">
        <f>IF(VLOOKUP(A61,'DB Country PMI'!$A:$AZ,MATCH($A$1,'DB Country PMI'!$A$1:$AZ$1,),)=0,#N/A,VLOOKUP(A61,'DB Country PMI'!$A:$AZ,MATCH($A$1,'DB Country PMI'!$A$1:$AZ$1,),))</f>
        <v/>
      </c>
      <c r="C61" s="24">
        <f>Table1346811121415161718192022252627[[#This Row],[PMI]]-B60</f>
        <v/>
      </c>
    </row>
    <row r="62">
      <c r="A62" s="10" t="n">
        <v>41275</v>
      </c>
      <c r="B62" s="18">
        <f>IF(VLOOKUP(A62,'DB Country PMI'!$A:$AZ,MATCH($A$1,'DB Country PMI'!$A$1:$AZ$1,),)=0,#N/A,VLOOKUP(A62,'DB Country PMI'!$A:$AZ,MATCH($A$1,'DB Country PMI'!$A$1:$AZ$1,),))</f>
        <v/>
      </c>
      <c r="C62" s="24">
        <f>Table1346811121415161718192022252627[[#This Row],[PMI]]-B61</f>
        <v/>
      </c>
    </row>
    <row r="63">
      <c r="A63" s="10" t="n">
        <v>41306</v>
      </c>
      <c r="B63" s="18">
        <f>IF(VLOOKUP(A63,'DB Country PMI'!$A:$AZ,MATCH($A$1,'DB Country PMI'!$A$1:$AZ$1,),)=0,#N/A,VLOOKUP(A63,'DB Country PMI'!$A:$AZ,MATCH($A$1,'DB Country PMI'!$A$1:$AZ$1,),))</f>
        <v/>
      </c>
      <c r="C63" s="24">
        <f>Table1346811121415161718192022252627[[#This Row],[PMI]]-B62</f>
        <v/>
      </c>
    </row>
    <row r="64">
      <c r="A64" s="10" t="n">
        <v>41334</v>
      </c>
      <c r="B64" s="18">
        <f>IF(VLOOKUP(A64,'DB Country PMI'!$A:$AZ,MATCH($A$1,'DB Country PMI'!$A$1:$AZ$1,),)=0,#N/A,VLOOKUP(A64,'DB Country PMI'!$A:$AZ,MATCH($A$1,'DB Country PMI'!$A$1:$AZ$1,),))</f>
        <v/>
      </c>
      <c r="C64" s="24">
        <f>Table1346811121415161718192022252627[[#This Row],[PMI]]-B63</f>
        <v/>
      </c>
    </row>
    <row r="65">
      <c r="A65" s="10" t="n">
        <v>41365</v>
      </c>
      <c r="B65" s="18">
        <f>IF(VLOOKUP(A65,'DB Country PMI'!$A:$AZ,MATCH($A$1,'DB Country PMI'!$A$1:$AZ$1,),)=0,#N/A,VLOOKUP(A65,'DB Country PMI'!$A:$AZ,MATCH($A$1,'DB Country PMI'!$A$1:$AZ$1,),))</f>
        <v/>
      </c>
      <c r="C65" s="24">
        <f>Table1346811121415161718192022252627[[#This Row],[PMI]]-B64</f>
        <v/>
      </c>
    </row>
    <row r="66">
      <c r="A66" s="10" t="n">
        <v>41395</v>
      </c>
      <c r="B66" s="18">
        <f>IF(VLOOKUP(A66,'DB Country PMI'!$A:$AZ,MATCH($A$1,'DB Country PMI'!$A$1:$AZ$1,),)=0,#N/A,VLOOKUP(A66,'DB Country PMI'!$A:$AZ,MATCH($A$1,'DB Country PMI'!$A$1:$AZ$1,),))</f>
        <v/>
      </c>
      <c r="C66" s="24">
        <f>Table1346811121415161718192022252627[[#This Row],[PMI]]-B65</f>
        <v/>
      </c>
    </row>
    <row r="67">
      <c r="A67" s="10" t="n">
        <v>41426</v>
      </c>
      <c r="B67" s="18">
        <f>IF(VLOOKUP(A67,'DB Country PMI'!$A:$AZ,MATCH($A$1,'DB Country PMI'!$A$1:$AZ$1,),)=0,#N/A,VLOOKUP(A67,'DB Country PMI'!$A:$AZ,MATCH($A$1,'DB Country PMI'!$A$1:$AZ$1,),))</f>
        <v/>
      </c>
      <c r="C67" s="24">
        <f>Table1346811121415161718192022252627[[#This Row],[PMI]]-B66</f>
        <v/>
      </c>
    </row>
    <row r="68">
      <c r="A68" s="10" t="n">
        <v>41456</v>
      </c>
      <c r="B68" s="18">
        <f>IF(VLOOKUP(A68,'DB Country PMI'!$A:$AZ,MATCH($A$1,'DB Country PMI'!$A$1:$AZ$1,),)=0,#N/A,VLOOKUP(A68,'DB Country PMI'!$A:$AZ,MATCH($A$1,'DB Country PMI'!$A$1:$AZ$1,),))</f>
        <v/>
      </c>
      <c r="C68" s="24">
        <f>Table1346811121415161718192022252627[[#This Row],[PMI]]-B67</f>
        <v/>
      </c>
    </row>
    <row r="69">
      <c r="A69" s="10" t="n">
        <v>41487</v>
      </c>
      <c r="B69" s="18">
        <f>IF(VLOOKUP(A69,'DB Country PMI'!$A:$AZ,MATCH($A$1,'DB Country PMI'!$A$1:$AZ$1,),)=0,#N/A,VLOOKUP(A69,'DB Country PMI'!$A:$AZ,MATCH($A$1,'DB Country PMI'!$A$1:$AZ$1,),))</f>
        <v/>
      </c>
      <c r="C69" s="24">
        <f>Table1346811121415161718192022252627[[#This Row],[PMI]]-B68</f>
        <v/>
      </c>
    </row>
    <row r="70">
      <c r="A70" s="10" t="n">
        <v>41518</v>
      </c>
      <c r="B70" s="18">
        <f>IF(VLOOKUP(A70,'DB Country PMI'!$A:$AZ,MATCH($A$1,'DB Country PMI'!$A$1:$AZ$1,),)=0,#N/A,VLOOKUP(A70,'DB Country PMI'!$A:$AZ,MATCH($A$1,'DB Country PMI'!$A$1:$AZ$1,),))</f>
        <v/>
      </c>
      <c r="C70" s="24">
        <f>Table1346811121415161718192022252627[[#This Row],[PMI]]-B69</f>
        <v/>
      </c>
    </row>
    <row r="71">
      <c r="A71" s="10" t="n">
        <v>41548</v>
      </c>
      <c r="B71" s="18">
        <f>IF(VLOOKUP(A71,'DB Country PMI'!$A:$AZ,MATCH($A$1,'DB Country PMI'!$A$1:$AZ$1,),)=0,#N/A,VLOOKUP(A71,'DB Country PMI'!$A:$AZ,MATCH($A$1,'DB Country PMI'!$A$1:$AZ$1,),))</f>
        <v/>
      </c>
      <c r="C71" s="24">
        <f>Table1346811121415161718192022252627[[#This Row],[PMI]]-B70</f>
        <v/>
      </c>
    </row>
    <row r="72">
      <c r="A72" s="10" t="n">
        <v>41579</v>
      </c>
      <c r="B72" s="18">
        <f>IF(VLOOKUP(A72,'DB Country PMI'!$A:$AZ,MATCH($A$1,'DB Country PMI'!$A$1:$AZ$1,),)=0,#N/A,VLOOKUP(A72,'DB Country PMI'!$A:$AZ,MATCH($A$1,'DB Country PMI'!$A$1:$AZ$1,),))</f>
        <v/>
      </c>
      <c r="C72" s="24">
        <f>Table1346811121415161718192022252627[[#This Row],[PMI]]-B71</f>
        <v/>
      </c>
    </row>
    <row r="73">
      <c r="A73" s="10" t="n">
        <v>41609</v>
      </c>
      <c r="B73" s="18">
        <f>IF(VLOOKUP(A73,'DB Country PMI'!$A:$AZ,MATCH($A$1,'DB Country PMI'!$A$1:$AZ$1,),)=0,#N/A,VLOOKUP(A73,'DB Country PMI'!$A:$AZ,MATCH($A$1,'DB Country PMI'!$A$1:$AZ$1,),))</f>
        <v/>
      </c>
      <c r="C73" s="24">
        <f>Table1346811121415161718192022252627[[#This Row],[PMI]]-B72</f>
        <v/>
      </c>
    </row>
    <row r="74">
      <c r="A74" s="10" t="n">
        <v>41640</v>
      </c>
      <c r="B74" s="18">
        <f>IF(VLOOKUP(A74,'DB Country PMI'!$A:$AZ,MATCH($A$1,'DB Country PMI'!$A$1:$AZ$1,),)=0,#N/A,VLOOKUP(A74,'DB Country PMI'!$A:$AZ,MATCH($A$1,'DB Country PMI'!$A$1:$AZ$1,),))</f>
        <v/>
      </c>
      <c r="C74" s="24">
        <f>Table1346811121415161718192022252627[[#This Row],[PMI]]-B73</f>
        <v/>
      </c>
    </row>
    <row r="75">
      <c r="A75" s="10" t="n">
        <v>41671</v>
      </c>
      <c r="B75" s="18">
        <f>IF(VLOOKUP(A75,'DB Country PMI'!$A:$AZ,MATCH($A$1,'DB Country PMI'!$A$1:$AZ$1,),)=0,#N/A,VLOOKUP(A75,'DB Country PMI'!$A:$AZ,MATCH($A$1,'DB Country PMI'!$A$1:$AZ$1,),))</f>
        <v/>
      </c>
      <c r="C75" s="24">
        <f>Table1346811121415161718192022252627[[#This Row],[PMI]]-B74</f>
        <v/>
      </c>
    </row>
    <row r="76">
      <c r="A76" s="10" t="n">
        <v>41699</v>
      </c>
      <c r="B76" s="18">
        <f>IF(VLOOKUP(A76,'DB Country PMI'!$A:$AZ,MATCH($A$1,'DB Country PMI'!$A$1:$AZ$1,),)=0,#N/A,VLOOKUP(A76,'DB Country PMI'!$A:$AZ,MATCH($A$1,'DB Country PMI'!$A$1:$AZ$1,),))</f>
        <v/>
      </c>
      <c r="C76" s="24">
        <f>Table1346811121415161718192022252627[[#This Row],[PMI]]-B75</f>
        <v/>
      </c>
    </row>
    <row r="77">
      <c r="A77" s="10" t="n">
        <v>41730</v>
      </c>
      <c r="B77" s="18">
        <f>IF(VLOOKUP(A77,'DB Country PMI'!$A:$AZ,MATCH($A$1,'DB Country PMI'!$A$1:$AZ$1,),)=0,#N/A,VLOOKUP(A77,'DB Country PMI'!$A:$AZ,MATCH($A$1,'DB Country PMI'!$A$1:$AZ$1,),))</f>
        <v/>
      </c>
      <c r="C77" s="24">
        <f>Table1346811121415161718192022252627[[#This Row],[PMI]]-B76</f>
        <v/>
      </c>
    </row>
    <row r="78">
      <c r="A78" s="10" t="n">
        <v>41760</v>
      </c>
      <c r="B78" s="18">
        <f>IF(VLOOKUP(A78,'DB Country PMI'!$A:$AZ,MATCH($A$1,'DB Country PMI'!$A$1:$AZ$1,),)=0,#N/A,VLOOKUP(A78,'DB Country PMI'!$A:$AZ,MATCH($A$1,'DB Country PMI'!$A$1:$AZ$1,),))</f>
        <v/>
      </c>
      <c r="C78" s="24">
        <f>Table1346811121415161718192022252627[[#This Row],[PMI]]-B77</f>
        <v/>
      </c>
    </row>
    <row r="79">
      <c r="A79" s="10" t="n">
        <v>41791</v>
      </c>
      <c r="B79" s="18">
        <f>IF(VLOOKUP(A79,'DB Country PMI'!$A:$AZ,MATCH($A$1,'DB Country PMI'!$A$1:$AZ$1,),)=0,#N/A,VLOOKUP(A79,'DB Country PMI'!$A:$AZ,MATCH($A$1,'DB Country PMI'!$A$1:$AZ$1,),))</f>
        <v/>
      </c>
      <c r="C79" s="24">
        <f>Table1346811121415161718192022252627[[#This Row],[PMI]]-B78</f>
        <v/>
      </c>
    </row>
    <row r="80">
      <c r="A80" s="10" t="n">
        <v>41821</v>
      </c>
      <c r="B80" s="18">
        <f>IF(VLOOKUP(A80,'DB Country PMI'!$A:$AZ,MATCH($A$1,'DB Country PMI'!$A$1:$AZ$1,),)=0,#N/A,VLOOKUP(A80,'DB Country PMI'!$A:$AZ,MATCH($A$1,'DB Country PMI'!$A$1:$AZ$1,),))</f>
        <v/>
      </c>
      <c r="C80" s="24">
        <f>Table1346811121415161718192022252627[[#This Row],[PMI]]-B79</f>
        <v/>
      </c>
    </row>
    <row r="81">
      <c r="A81" s="10" t="n">
        <v>41852</v>
      </c>
      <c r="B81" s="18">
        <f>IF(VLOOKUP(A81,'DB Country PMI'!$A:$AZ,MATCH($A$1,'DB Country PMI'!$A$1:$AZ$1,),)=0,#N/A,VLOOKUP(A81,'DB Country PMI'!$A:$AZ,MATCH($A$1,'DB Country PMI'!$A$1:$AZ$1,),))</f>
        <v/>
      </c>
      <c r="C81" s="24">
        <f>Table1346811121415161718192022252627[[#This Row],[PMI]]-B80</f>
        <v/>
      </c>
    </row>
    <row r="82">
      <c r="A82" s="10" t="n">
        <v>41883</v>
      </c>
      <c r="B82" s="18">
        <f>IF(VLOOKUP(A82,'DB Country PMI'!$A:$AZ,MATCH($A$1,'DB Country PMI'!$A$1:$AZ$1,),)=0,#N/A,VLOOKUP(A82,'DB Country PMI'!$A:$AZ,MATCH($A$1,'DB Country PMI'!$A$1:$AZ$1,),))</f>
        <v/>
      </c>
      <c r="C82" s="24">
        <f>Table1346811121415161718192022252627[[#This Row],[PMI]]-B81</f>
        <v/>
      </c>
    </row>
    <row r="83">
      <c r="A83" s="10" t="n">
        <v>41913</v>
      </c>
      <c r="B83" s="18">
        <f>IF(VLOOKUP(A83,'DB Country PMI'!$A:$AZ,MATCH($A$1,'DB Country PMI'!$A$1:$AZ$1,),)=0,#N/A,VLOOKUP(A83,'DB Country PMI'!$A:$AZ,MATCH($A$1,'DB Country PMI'!$A$1:$AZ$1,),))</f>
        <v/>
      </c>
      <c r="C83" s="24">
        <f>Table1346811121415161718192022252627[[#This Row],[PMI]]-B82</f>
        <v/>
      </c>
    </row>
    <row r="84">
      <c r="A84" s="10" t="n">
        <v>41944</v>
      </c>
      <c r="B84" s="18">
        <f>IF(VLOOKUP(A84,'DB Country PMI'!$A:$AZ,MATCH($A$1,'DB Country PMI'!$A$1:$AZ$1,),)=0,#N/A,VLOOKUP(A84,'DB Country PMI'!$A:$AZ,MATCH($A$1,'DB Country PMI'!$A$1:$AZ$1,),))</f>
        <v/>
      </c>
      <c r="C84" s="24">
        <f>Table1346811121415161718192022252627[[#This Row],[PMI]]-B83</f>
        <v/>
      </c>
    </row>
    <row r="85">
      <c r="A85" s="10" t="n">
        <v>41974</v>
      </c>
      <c r="B85" s="18">
        <f>IF(VLOOKUP(A85,'DB Country PMI'!$A:$AZ,MATCH($A$1,'DB Country PMI'!$A$1:$AZ$1,),)=0,#N/A,VLOOKUP(A85,'DB Country PMI'!$A:$AZ,MATCH($A$1,'DB Country PMI'!$A$1:$AZ$1,),))</f>
        <v/>
      </c>
      <c r="C85" s="24">
        <f>Table1346811121415161718192022252627[[#This Row],[PMI]]-B84</f>
        <v/>
      </c>
    </row>
    <row r="86">
      <c r="A86" s="10" t="n">
        <v>42005</v>
      </c>
      <c r="B86" s="18">
        <f>IF(VLOOKUP(A86,'DB Country PMI'!$A:$AZ,MATCH($A$1,'DB Country PMI'!$A$1:$AZ$1,),)=0,#N/A,VLOOKUP(A86,'DB Country PMI'!$A:$AZ,MATCH($A$1,'DB Country PMI'!$A$1:$AZ$1,),))</f>
        <v/>
      </c>
      <c r="C86" s="24">
        <f>Table1346811121415161718192022252627[[#This Row],[PMI]]-B85</f>
        <v/>
      </c>
    </row>
    <row r="87">
      <c r="A87" s="10" t="n">
        <v>42036</v>
      </c>
      <c r="B87" s="18">
        <f>IF(VLOOKUP(A87,'DB Country PMI'!$A:$AZ,MATCH($A$1,'DB Country PMI'!$A$1:$AZ$1,),)=0,#N/A,VLOOKUP(A87,'DB Country PMI'!$A:$AZ,MATCH($A$1,'DB Country PMI'!$A$1:$AZ$1,),))</f>
        <v/>
      </c>
      <c r="C87" s="24">
        <f>Table1346811121415161718192022252627[[#This Row],[PMI]]-B86</f>
        <v/>
      </c>
    </row>
    <row r="88">
      <c r="A88" s="10" t="n">
        <v>42064</v>
      </c>
      <c r="B88" s="18">
        <f>IF(VLOOKUP(A88,'DB Country PMI'!$A:$AZ,MATCH($A$1,'DB Country PMI'!$A$1:$AZ$1,),)=0,#N/A,VLOOKUP(A88,'DB Country PMI'!$A:$AZ,MATCH($A$1,'DB Country PMI'!$A$1:$AZ$1,),))</f>
        <v/>
      </c>
      <c r="C88" s="24">
        <f>Table1346811121415161718192022252627[[#This Row],[PMI]]-B87</f>
        <v/>
      </c>
    </row>
    <row r="89">
      <c r="A89" s="10" t="n">
        <v>42095</v>
      </c>
      <c r="B89" s="18">
        <f>IF(VLOOKUP(A89,'DB Country PMI'!$A:$AZ,MATCH($A$1,'DB Country PMI'!$A$1:$AZ$1,),)=0,#N/A,VLOOKUP(A89,'DB Country PMI'!$A:$AZ,MATCH($A$1,'DB Country PMI'!$A$1:$AZ$1,),))</f>
        <v/>
      </c>
      <c r="C89" s="24">
        <f>Table1346811121415161718192022252627[[#This Row],[PMI]]-B88</f>
        <v/>
      </c>
    </row>
    <row r="90">
      <c r="A90" s="10" t="n">
        <v>42125</v>
      </c>
      <c r="B90" s="18">
        <f>IF(VLOOKUP(A90,'DB Country PMI'!$A:$AZ,MATCH($A$1,'DB Country PMI'!$A$1:$AZ$1,),)=0,#N/A,VLOOKUP(A90,'DB Country PMI'!$A:$AZ,MATCH($A$1,'DB Country PMI'!$A$1:$AZ$1,),))</f>
        <v/>
      </c>
      <c r="C90" s="24">
        <f>Table1346811121415161718192022252627[[#This Row],[PMI]]-B89</f>
        <v/>
      </c>
    </row>
    <row r="91">
      <c r="A91" s="10" t="n">
        <v>42156</v>
      </c>
      <c r="B91" s="18">
        <f>IF(VLOOKUP(A91,'DB Country PMI'!$A:$AZ,MATCH($A$1,'DB Country PMI'!$A$1:$AZ$1,),)=0,#N/A,VLOOKUP(A91,'DB Country PMI'!$A:$AZ,MATCH($A$1,'DB Country PMI'!$A$1:$AZ$1,),))</f>
        <v/>
      </c>
      <c r="C91" s="24">
        <f>Table1346811121415161718192022252627[[#This Row],[PMI]]-B90</f>
        <v/>
      </c>
    </row>
    <row r="92">
      <c r="A92" s="10" t="n">
        <v>42186</v>
      </c>
      <c r="B92" s="18">
        <f>IF(VLOOKUP(A92,'DB Country PMI'!$A:$AZ,MATCH($A$1,'DB Country PMI'!$A$1:$AZ$1,),)=0,#N/A,VLOOKUP(A92,'DB Country PMI'!$A:$AZ,MATCH($A$1,'DB Country PMI'!$A$1:$AZ$1,),))</f>
        <v/>
      </c>
      <c r="C92" s="24">
        <f>Table1346811121415161718192022252627[[#This Row],[PMI]]-B91</f>
        <v/>
      </c>
    </row>
    <row r="93">
      <c r="A93" s="10" t="n">
        <v>42217</v>
      </c>
      <c r="B93" s="18">
        <f>IF(VLOOKUP(A93,'DB Country PMI'!$A:$AZ,MATCH($A$1,'DB Country PMI'!$A$1:$AZ$1,),)=0,#N/A,VLOOKUP(A93,'DB Country PMI'!$A:$AZ,MATCH($A$1,'DB Country PMI'!$A$1:$AZ$1,),))</f>
        <v/>
      </c>
      <c r="C93" s="24">
        <f>Table1346811121415161718192022252627[[#This Row],[PMI]]-B92</f>
        <v/>
      </c>
    </row>
    <row r="94">
      <c r="A94" s="10" t="n">
        <v>42248</v>
      </c>
      <c r="B94" s="18">
        <f>IF(VLOOKUP(A94,'DB Country PMI'!$A:$AZ,MATCH($A$1,'DB Country PMI'!$A$1:$AZ$1,),)=0,#N/A,VLOOKUP(A94,'DB Country PMI'!$A:$AZ,MATCH($A$1,'DB Country PMI'!$A$1:$AZ$1,),))</f>
        <v/>
      </c>
      <c r="C94" s="24">
        <f>Table1346811121415161718192022252627[[#This Row],[PMI]]-B93</f>
        <v/>
      </c>
    </row>
    <row r="95">
      <c r="A95" s="10" t="n">
        <v>42278</v>
      </c>
      <c r="B95" s="18">
        <f>IF(VLOOKUP(A95,'DB Country PMI'!$A:$AZ,MATCH($A$1,'DB Country PMI'!$A$1:$AZ$1,),)=0,#N/A,VLOOKUP(A95,'DB Country PMI'!$A:$AZ,MATCH($A$1,'DB Country PMI'!$A$1:$AZ$1,),))</f>
        <v/>
      </c>
      <c r="C95" s="24">
        <f>Table1346811121415161718192022252627[[#This Row],[PMI]]-B94</f>
        <v/>
      </c>
    </row>
    <row r="96">
      <c r="A96" s="10" t="n">
        <v>42309</v>
      </c>
      <c r="B96" s="18">
        <f>IF(VLOOKUP(A96,'DB Country PMI'!$A:$AZ,MATCH($A$1,'DB Country PMI'!$A$1:$AZ$1,),)=0,#N/A,VLOOKUP(A96,'DB Country PMI'!$A:$AZ,MATCH($A$1,'DB Country PMI'!$A$1:$AZ$1,),))</f>
        <v/>
      </c>
      <c r="C96" s="24">
        <f>Table1346811121415161718192022252627[[#This Row],[PMI]]-B95</f>
        <v/>
      </c>
    </row>
    <row r="97">
      <c r="A97" s="10" t="n">
        <v>42339</v>
      </c>
      <c r="B97" s="18">
        <f>IF(VLOOKUP(A97,'DB Country PMI'!$A:$AZ,MATCH($A$1,'DB Country PMI'!$A$1:$AZ$1,),)=0,#N/A,VLOOKUP(A97,'DB Country PMI'!$A:$AZ,MATCH($A$1,'DB Country PMI'!$A$1:$AZ$1,),))</f>
        <v/>
      </c>
      <c r="C97" s="24">
        <f>Table1346811121415161718192022252627[[#This Row],[PMI]]-B96</f>
        <v/>
      </c>
    </row>
    <row r="98">
      <c r="A98" s="10" t="n">
        <v>42370</v>
      </c>
      <c r="B98" s="18">
        <f>IF(VLOOKUP(A98,'DB Country PMI'!$A:$AZ,MATCH($A$1,'DB Country PMI'!$A$1:$AZ$1,),)=0,#N/A,VLOOKUP(A98,'DB Country PMI'!$A:$AZ,MATCH($A$1,'DB Country PMI'!$A$1:$AZ$1,),))</f>
        <v/>
      </c>
      <c r="C98" s="24">
        <f>Table1346811121415161718192022252627[[#This Row],[PMI]]-B97</f>
        <v/>
      </c>
    </row>
    <row r="99">
      <c r="A99" s="10" t="n">
        <v>42401</v>
      </c>
      <c r="B99" s="18">
        <f>IF(VLOOKUP(A99,'DB Country PMI'!$A:$AZ,MATCH($A$1,'DB Country PMI'!$A$1:$AZ$1,),)=0,#N/A,VLOOKUP(A99,'DB Country PMI'!$A:$AZ,MATCH($A$1,'DB Country PMI'!$A$1:$AZ$1,),))</f>
        <v/>
      </c>
      <c r="C99" s="24">
        <f>Table1346811121415161718192022252627[[#This Row],[PMI]]-B98</f>
        <v/>
      </c>
    </row>
    <row r="100">
      <c r="A100" s="10" t="n">
        <v>42430</v>
      </c>
      <c r="B100" s="18">
        <f>IF(VLOOKUP(A100,'DB Country PMI'!$A:$AZ,MATCH($A$1,'DB Country PMI'!$A$1:$AZ$1,),)=0,#N/A,VLOOKUP(A100,'DB Country PMI'!$A:$AZ,MATCH($A$1,'DB Country PMI'!$A$1:$AZ$1,),))</f>
        <v/>
      </c>
      <c r="C100" s="24">
        <f>Table1346811121415161718192022252627[[#This Row],[PMI]]-B99</f>
        <v/>
      </c>
    </row>
    <row r="101">
      <c r="A101" s="10" t="n">
        <v>42461</v>
      </c>
      <c r="B101" s="18">
        <f>IF(VLOOKUP(A101,'DB Country PMI'!$A:$AZ,MATCH($A$1,'DB Country PMI'!$A$1:$AZ$1,),)=0,#N/A,VLOOKUP(A101,'DB Country PMI'!$A:$AZ,MATCH($A$1,'DB Country PMI'!$A$1:$AZ$1,),))</f>
        <v/>
      </c>
      <c r="C101" s="24">
        <f>Table1346811121415161718192022252627[[#This Row],[PMI]]-B100</f>
        <v/>
      </c>
    </row>
    <row r="102">
      <c r="A102" s="10" t="n">
        <v>42491</v>
      </c>
      <c r="B102" s="18">
        <f>IF(VLOOKUP(A102,'DB Country PMI'!$A:$AZ,MATCH($A$1,'DB Country PMI'!$A$1:$AZ$1,),)=0,#N/A,VLOOKUP(A102,'DB Country PMI'!$A:$AZ,MATCH($A$1,'DB Country PMI'!$A$1:$AZ$1,),))</f>
        <v/>
      </c>
      <c r="C102" s="24">
        <f>Table1346811121415161718192022252627[[#This Row],[PMI]]-B101</f>
        <v/>
      </c>
    </row>
    <row r="103">
      <c r="A103" s="10" t="n">
        <v>42522</v>
      </c>
      <c r="B103" s="18">
        <f>IF(VLOOKUP(A103,'DB Country PMI'!$A:$AZ,MATCH($A$1,'DB Country PMI'!$A$1:$AZ$1,),)=0,#N/A,VLOOKUP(A103,'DB Country PMI'!$A:$AZ,MATCH($A$1,'DB Country PMI'!$A$1:$AZ$1,),))</f>
        <v/>
      </c>
      <c r="C103" s="24">
        <f>Table1346811121415161718192022252627[[#This Row],[PMI]]-B102</f>
        <v/>
      </c>
    </row>
    <row r="104">
      <c r="A104" s="10" t="n">
        <v>42552</v>
      </c>
      <c r="B104" s="18">
        <f>IF(VLOOKUP(A104,'DB Country PMI'!$A:$AZ,MATCH($A$1,'DB Country PMI'!$A$1:$AZ$1,),)=0,#N/A,VLOOKUP(A104,'DB Country PMI'!$A:$AZ,MATCH($A$1,'DB Country PMI'!$A$1:$AZ$1,),))</f>
        <v/>
      </c>
      <c r="C104" s="24">
        <f>Table1346811121415161718192022252627[[#This Row],[PMI]]-B103</f>
        <v/>
      </c>
    </row>
    <row r="105">
      <c r="A105" s="10" t="n">
        <v>42583</v>
      </c>
      <c r="B105" s="18">
        <f>IF(VLOOKUP(A105,'DB Country PMI'!$A:$AZ,MATCH($A$1,'DB Country PMI'!$A$1:$AZ$1,),)=0,#N/A,VLOOKUP(A105,'DB Country PMI'!$A:$AZ,MATCH($A$1,'DB Country PMI'!$A$1:$AZ$1,),))</f>
        <v/>
      </c>
      <c r="C105" s="24">
        <f>Table1346811121415161718192022252627[[#This Row],[PMI]]-B104</f>
        <v/>
      </c>
    </row>
    <row r="106">
      <c r="A106" s="10" t="n">
        <v>42614</v>
      </c>
      <c r="B106" s="18">
        <f>IF(VLOOKUP(A106,'DB Country PMI'!$A:$AZ,MATCH($A$1,'DB Country PMI'!$A$1:$AZ$1,),)=0,#N/A,VLOOKUP(A106,'DB Country PMI'!$A:$AZ,MATCH($A$1,'DB Country PMI'!$A$1:$AZ$1,),))</f>
        <v/>
      </c>
      <c r="C106" s="24">
        <f>Table1346811121415161718192022252627[[#This Row],[PMI]]-B105</f>
        <v/>
      </c>
    </row>
    <row r="107">
      <c r="A107" s="10" t="n">
        <v>42644</v>
      </c>
      <c r="B107" s="18">
        <f>IF(VLOOKUP(A107,'DB Country PMI'!$A:$AZ,MATCH($A$1,'DB Country PMI'!$A$1:$AZ$1,),)=0,#N/A,VLOOKUP(A107,'DB Country PMI'!$A:$AZ,MATCH($A$1,'DB Country PMI'!$A$1:$AZ$1,),))</f>
        <v/>
      </c>
      <c r="C107" s="24">
        <f>Table1346811121415161718192022252627[[#This Row],[PMI]]-B106</f>
        <v/>
      </c>
    </row>
    <row r="108">
      <c r="A108" s="10" t="n">
        <v>42675</v>
      </c>
      <c r="B108" s="18">
        <f>IF(VLOOKUP(A108,'DB Country PMI'!$A:$AZ,MATCH($A$1,'DB Country PMI'!$A$1:$AZ$1,),)=0,#N/A,VLOOKUP(A108,'DB Country PMI'!$A:$AZ,MATCH($A$1,'DB Country PMI'!$A$1:$AZ$1,),))</f>
        <v/>
      </c>
      <c r="C108" s="24">
        <f>Table1346811121415161718192022252627[[#This Row],[PMI]]-B107</f>
        <v/>
      </c>
    </row>
    <row r="109">
      <c r="A109" s="10" t="n">
        <v>42705</v>
      </c>
      <c r="B109" s="18">
        <f>IF(VLOOKUP(A109,'DB Country PMI'!$A:$AZ,MATCH($A$1,'DB Country PMI'!$A$1:$AZ$1,),)=0,#N/A,VLOOKUP(A109,'DB Country PMI'!$A:$AZ,MATCH($A$1,'DB Country PMI'!$A$1:$AZ$1,),))</f>
        <v/>
      </c>
      <c r="C109" s="24">
        <f>Table1346811121415161718192022252627[[#This Row],[PMI]]-B108</f>
        <v/>
      </c>
    </row>
    <row r="110">
      <c r="A110" s="10" t="n">
        <v>42736</v>
      </c>
      <c r="B110" s="18">
        <f>IF(VLOOKUP(A110,'DB Country PMI'!$A:$AZ,MATCH($A$1,'DB Country PMI'!$A$1:$AZ$1,),)=0,#N/A,VLOOKUP(A110,'DB Country PMI'!$A:$AZ,MATCH($A$1,'DB Country PMI'!$A$1:$AZ$1,),))</f>
        <v/>
      </c>
      <c r="C110" s="24">
        <f>Table1346811121415161718192022252627[[#This Row],[PMI]]-B109</f>
        <v/>
      </c>
    </row>
    <row r="111">
      <c r="A111" s="10" t="n">
        <v>42767</v>
      </c>
      <c r="B111" s="18">
        <f>IF(VLOOKUP(A111,'DB Country PMI'!$A:$AZ,MATCH($A$1,'DB Country PMI'!$A$1:$AZ$1,),)=0,#N/A,VLOOKUP(A111,'DB Country PMI'!$A:$AZ,MATCH($A$1,'DB Country PMI'!$A$1:$AZ$1,),))</f>
        <v/>
      </c>
      <c r="C111" s="24">
        <f>Table1346811121415161718192022252627[[#This Row],[PMI]]-B110</f>
        <v/>
      </c>
    </row>
    <row r="112">
      <c r="A112" s="10" t="n">
        <v>42795</v>
      </c>
      <c r="B112" s="18">
        <f>IF(VLOOKUP(A112,'DB Country PMI'!$A:$AZ,MATCH($A$1,'DB Country PMI'!$A$1:$AZ$1,),)=0,#N/A,VLOOKUP(A112,'DB Country PMI'!$A:$AZ,MATCH($A$1,'DB Country PMI'!$A$1:$AZ$1,),))</f>
        <v/>
      </c>
      <c r="C112" s="24">
        <f>Table1346811121415161718192022252627[[#This Row],[PMI]]-B111</f>
        <v/>
      </c>
    </row>
    <row r="113">
      <c r="A113" s="10" t="n">
        <v>42826</v>
      </c>
      <c r="B113" s="18">
        <f>IF(VLOOKUP(A113,'DB Country PMI'!$A:$AZ,MATCH($A$1,'DB Country PMI'!$A$1:$AZ$1,),)=0,#N/A,VLOOKUP(A113,'DB Country PMI'!$A:$AZ,MATCH($A$1,'DB Country PMI'!$A$1:$AZ$1,),))</f>
        <v/>
      </c>
      <c r="C113" s="24">
        <f>Table1346811121415161718192022252627[[#This Row],[PMI]]-B112</f>
        <v/>
      </c>
    </row>
    <row r="114">
      <c r="A114" s="10" t="n">
        <v>42856</v>
      </c>
      <c r="B114" s="18">
        <f>IF(VLOOKUP(A114,'DB Country PMI'!$A:$AZ,MATCH($A$1,'DB Country PMI'!$A$1:$AZ$1,),)=0,#N/A,VLOOKUP(A114,'DB Country PMI'!$A:$AZ,MATCH($A$1,'DB Country PMI'!$A$1:$AZ$1,),))</f>
        <v/>
      </c>
      <c r="C114" s="24">
        <f>Table1346811121415161718192022252627[[#This Row],[PMI]]-B113</f>
        <v/>
      </c>
    </row>
    <row r="115">
      <c r="A115" s="10" t="n">
        <v>42887</v>
      </c>
      <c r="B115" s="18">
        <f>IF(VLOOKUP(A115,'DB Country PMI'!$A:$AZ,MATCH($A$1,'DB Country PMI'!$A$1:$AZ$1,),)=0,#N/A,VLOOKUP(A115,'DB Country PMI'!$A:$AZ,MATCH($A$1,'DB Country PMI'!$A$1:$AZ$1,),))</f>
        <v/>
      </c>
      <c r="C115" s="24">
        <f>Table1346811121415161718192022252627[[#This Row],[PMI]]-B114</f>
        <v/>
      </c>
    </row>
    <row r="116">
      <c r="A116" s="10" t="n">
        <v>42917</v>
      </c>
      <c r="B116" s="18">
        <f>IF(VLOOKUP(A116,'DB Country PMI'!$A:$AZ,MATCH($A$1,'DB Country PMI'!$A$1:$AZ$1,),)=0,#N/A,VLOOKUP(A116,'DB Country PMI'!$A:$AZ,MATCH($A$1,'DB Country PMI'!$A$1:$AZ$1,),))</f>
        <v/>
      </c>
      <c r="C116" s="24">
        <f>Table1346811121415161718192022252627[[#This Row],[PMI]]-B115</f>
        <v/>
      </c>
    </row>
    <row r="117">
      <c r="A117" s="10" t="n">
        <v>42948</v>
      </c>
      <c r="B117" s="18">
        <f>IF(VLOOKUP(A117,'DB Country PMI'!$A:$AZ,MATCH($A$1,'DB Country PMI'!$A$1:$AZ$1,),)=0,#N/A,VLOOKUP(A117,'DB Country PMI'!$A:$AZ,MATCH($A$1,'DB Country PMI'!$A$1:$AZ$1,),))</f>
        <v/>
      </c>
      <c r="C117" s="24">
        <f>Table1346811121415161718192022252627[[#This Row],[PMI]]-B116</f>
        <v/>
      </c>
    </row>
    <row r="118">
      <c r="A118" s="10" t="n">
        <v>42979</v>
      </c>
      <c r="B118" s="18">
        <f>IF(VLOOKUP(A118,'DB Country PMI'!$A:$AZ,MATCH($A$1,'DB Country PMI'!$A$1:$AZ$1,),)=0,#N/A,VLOOKUP(A118,'DB Country PMI'!$A:$AZ,MATCH($A$1,'DB Country PMI'!$A$1:$AZ$1,),))</f>
        <v/>
      </c>
      <c r="C118" s="24">
        <f>Table1346811121415161718192022252627[[#This Row],[PMI]]-B117</f>
        <v/>
      </c>
    </row>
    <row r="119">
      <c r="A119" s="10" t="n">
        <v>43009</v>
      </c>
      <c r="B119" s="18">
        <f>IF(VLOOKUP(A119,'DB Country PMI'!$A:$AZ,MATCH($A$1,'DB Country PMI'!$A$1:$AZ$1,),)=0,#N/A,VLOOKUP(A119,'DB Country PMI'!$A:$AZ,MATCH($A$1,'DB Country PMI'!$A$1:$AZ$1,),))</f>
        <v/>
      </c>
      <c r="C119" s="24">
        <f>Table1346811121415161718192022252627[[#This Row],[PMI]]-B118</f>
        <v/>
      </c>
    </row>
    <row r="120">
      <c r="A120" s="10" t="n">
        <v>43040</v>
      </c>
      <c r="B120" s="18">
        <f>IF(VLOOKUP(A120,'DB Country PMI'!$A:$AZ,MATCH($A$1,'DB Country PMI'!$A$1:$AZ$1,),)=0,#N/A,VLOOKUP(A120,'DB Country PMI'!$A:$AZ,MATCH($A$1,'DB Country PMI'!$A$1:$AZ$1,),))</f>
        <v/>
      </c>
      <c r="C120" s="24">
        <f>Table1346811121415161718192022252627[[#This Row],[PMI]]-B119</f>
        <v/>
      </c>
    </row>
    <row r="121">
      <c r="A121" s="10" t="n">
        <v>43070</v>
      </c>
      <c r="B121" s="18">
        <f>IF(VLOOKUP(A121,'DB Country PMI'!$A:$AZ,MATCH($A$1,'DB Country PMI'!$A$1:$AZ$1,),)=0,#N/A,VLOOKUP(A121,'DB Country PMI'!$A:$AZ,MATCH($A$1,'DB Country PMI'!$A$1:$AZ$1,),))</f>
        <v/>
      </c>
      <c r="C121" s="24">
        <f>Table1346811121415161718192022252627[[#This Row],[PMI]]-B120</f>
        <v/>
      </c>
    </row>
    <row r="122">
      <c r="A122" s="10" t="n">
        <v>43101</v>
      </c>
      <c r="B122" s="18">
        <f>IF(VLOOKUP(A122,'DB Country PMI'!$A:$AZ,MATCH($A$1,'DB Country PMI'!$A$1:$AZ$1,),)=0,#N/A,VLOOKUP(A122,'DB Country PMI'!$A:$AZ,MATCH($A$1,'DB Country PMI'!$A$1:$AZ$1,),))</f>
        <v/>
      </c>
      <c r="C122" s="24">
        <f>Table1346811121415161718192022252627[[#This Row],[PMI]]-B121</f>
        <v/>
      </c>
    </row>
    <row r="123">
      <c r="A123" s="10" t="n">
        <v>43132</v>
      </c>
      <c r="B123" s="18">
        <f>IF(VLOOKUP(A123,'DB Country PMI'!$A:$AZ,MATCH($A$1,'DB Country PMI'!$A$1:$AZ$1,),)=0,#N/A,VLOOKUP(A123,'DB Country PMI'!$A:$AZ,MATCH($A$1,'DB Country PMI'!$A$1:$AZ$1,),))</f>
        <v/>
      </c>
      <c r="C123" s="24">
        <f>Table1346811121415161718192022252627[[#This Row],[PMI]]-B122</f>
        <v/>
      </c>
    </row>
    <row r="124">
      <c r="A124" s="10" t="n">
        <v>43160</v>
      </c>
      <c r="B124" s="18">
        <f>IF(VLOOKUP(A124,'DB Country PMI'!$A:$AZ,MATCH($A$1,'DB Country PMI'!$A$1:$AZ$1,),)=0,#N/A,VLOOKUP(A124,'DB Country PMI'!$A:$AZ,MATCH($A$1,'DB Country PMI'!$A$1:$AZ$1,),))</f>
        <v/>
      </c>
      <c r="C124" s="24">
        <f>Table1346811121415161718192022252627[[#This Row],[PMI]]-B123</f>
        <v/>
      </c>
    </row>
    <row r="125">
      <c r="A125" s="10" t="n">
        <v>43191</v>
      </c>
      <c r="B125" s="18">
        <f>IF(VLOOKUP(A125,'DB Country PMI'!$A:$AZ,MATCH($A$1,'DB Country PMI'!$A$1:$AZ$1,),)=0,#N/A,VLOOKUP(A125,'DB Country PMI'!$A:$AZ,MATCH($A$1,'DB Country PMI'!$A$1:$AZ$1,),))</f>
        <v/>
      </c>
      <c r="C125" s="24">
        <f>Table1346811121415161718192022252627[[#This Row],[PMI]]-B124</f>
        <v/>
      </c>
    </row>
    <row r="126">
      <c r="A126" s="10" t="n">
        <v>43221</v>
      </c>
      <c r="B126" s="18">
        <f>IF(VLOOKUP(A126,'DB Country PMI'!$A:$AZ,MATCH($A$1,'DB Country PMI'!$A$1:$AZ$1,),)=0,#N/A,VLOOKUP(A126,'DB Country PMI'!$A:$AZ,MATCH($A$1,'DB Country PMI'!$A$1:$AZ$1,),))</f>
        <v/>
      </c>
      <c r="C126" s="24">
        <f>Table1346811121415161718192022252627[[#This Row],[PMI]]-B125</f>
        <v/>
      </c>
    </row>
    <row r="127">
      <c r="A127" s="10" t="n">
        <v>43252</v>
      </c>
      <c r="B127" s="18">
        <f>IF(VLOOKUP(A127,'DB Country PMI'!$A:$AZ,MATCH($A$1,'DB Country PMI'!$A$1:$AZ$1,),)=0,#N/A,VLOOKUP(A127,'DB Country PMI'!$A:$AZ,MATCH($A$1,'DB Country PMI'!$A$1:$AZ$1,),))</f>
        <v/>
      </c>
      <c r="C127" s="24">
        <f>Table1346811121415161718192022252627[[#This Row],[PMI]]-B126</f>
        <v/>
      </c>
    </row>
    <row r="128">
      <c r="A128" s="10" t="n">
        <v>43282</v>
      </c>
      <c r="B128" s="18">
        <f>IF(VLOOKUP(A128,'DB Country PMI'!$A:$AZ,MATCH($A$1,'DB Country PMI'!$A$1:$AZ$1,),)=0,#N/A,VLOOKUP(A128,'DB Country PMI'!$A:$AZ,MATCH($A$1,'DB Country PMI'!$A$1:$AZ$1,),))</f>
        <v/>
      </c>
      <c r="C128" s="24">
        <f>Table1346811121415161718192022252627[[#This Row],[PMI]]-B127</f>
        <v/>
      </c>
    </row>
    <row r="129">
      <c r="A129" s="10" t="n">
        <v>43313</v>
      </c>
      <c r="B129" s="18">
        <f>IF(VLOOKUP(A129,'DB Country PMI'!$A:$AZ,MATCH($A$1,'DB Country PMI'!$A$1:$AZ$1,),)=0,#N/A,VLOOKUP(A129,'DB Country PMI'!$A:$AZ,MATCH($A$1,'DB Country PMI'!$A$1:$AZ$1,),))</f>
        <v/>
      </c>
      <c r="C129" s="24">
        <f>Table1346811121415161718192022252627[[#This Row],[PMI]]-B128</f>
        <v/>
      </c>
    </row>
    <row r="130">
      <c r="A130" s="10" t="n">
        <v>43344</v>
      </c>
      <c r="B130" s="18">
        <f>IF(VLOOKUP(A130,'DB Country PMI'!$A:$AZ,MATCH($A$1,'DB Country PMI'!$A$1:$AZ$1,),)=0,#N/A,VLOOKUP(A130,'DB Country PMI'!$A:$AZ,MATCH($A$1,'DB Country PMI'!$A$1:$AZ$1,),))</f>
        <v/>
      </c>
      <c r="C130" s="24">
        <f>Table1346811121415161718192022252627[[#This Row],[PMI]]-B129</f>
        <v/>
      </c>
    </row>
    <row r="131">
      <c r="A131" s="10" t="n">
        <v>43374</v>
      </c>
      <c r="B131" s="18">
        <f>IF(VLOOKUP(A131,'DB Country PMI'!$A:$AZ,MATCH($A$1,'DB Country PMI'!$A$1:$AZ$1,),)=0,#N/A,VLOOKUP(A131,'DB Country PMI'!$A:$AZ,MATCH($A$1,'DB Country PMI'!$A$1:$AZ$1,),))</f>
        <v/>
      </c>
      <c r="C131" s="24">
        <f>Table1346811121415161718192022252627[[#This Row],[PMI]]-B130</f>
        <v/>
      </c>
    </row>
    <row r="132">
      <c r="A132" s="10" t="n">
        <v>43405</v>
      </c>
      <c r="B132" s="18">
        <f>IF(VLOOKUP(A132,'DB Country PMI'!$A:$AZ,MATCH($A$1,'DB Country PMI'!$A$1:$AZ$1,),)=0,#N/A,VLOOKUP(A132,'DB Country PMI'!$A:$AZ,MATCH($A$1,'DB Country PMI'!$A$1:$AZ$1,),))</f>
        <v/>
      </c>
      <c r="C132" s="24">
        <f>Table1346811121415161718192022252627[[#This Row],[PMI]]-B131</f>
        <v/>
      </c>
    </row>
    <row r="133">
      <c r="A133" s="10" t="n">
        <v>43435</v>
      </c>
      <c r="B133" s="18">
        <f>IF(VLOOKUP(A133,'DB Country PMI'!$A:$AZ,MATCH($A$1,'DB Country PMI'!$A$1:$AZ$1,),)=0,#N/A,VLOOKUP(A133,'DB Country PMI'!$A:$AZ,MATCH($A$1,'DB Country PMI'!$A$1:$AZ$1,),))</f>
        <v/>
      </c>
      <c r="C133" s="24">
        <f>Table1346811121415161718192022252627[[#This Row],[PMI]]-B132</f>
        <v/>
      </c>
    </row>
    <row r="134">
      <c r="A134" s="10" t="n">
        <v>43466</v>
      </c>
      <c r="B134" s="18">
        <f>IF(VLOOKUP(A134,'DB Country PMI'!$A:$AZ,MATCH($A$1,'DB Country PMI'!$A$1:$AZ$1,),)=0,#N/A,VLOOKUP(A134,'DB Country PMI'!$A:$AZ,MATCH($A$1,'DB Country PMI'!$A$1:$AZ$1,),))</f>
        <v/>
      </c>
      <c r="C134" s="24">
        <f>Table1346811121415161718192022252627[[#This Row],[PMI]]-B133</f>
        <v/>
      </c>
    </row>
    <row r="135">
      <c r="A135" s="10" t="n">
        <v>43497</v>
      </c>
      <c r="B135" s="18">
        <f>IF(VLOOKUP(A135,'DB Country PMI'!$A:$AZ,MATCH($A$1,'DB Country PMI'!$A$1:$AZ$1,),)=0,#N/A,VLOOKUP(A135,'DB Country PMI'!$A:$AZ,MATCH($A$1,'DB Country PMI'!$A$1:$AZ$1,),))</f>
        <v/>
      </c>
      <c r="C135" s="24">
        <f>Table1346811121415161718192022252627[[#This Row],[PMI]]-B134</f>
        <v/>
      </c>
    </row>
    <row r="136">
      <c r="A136" s="10" t="n">
        <v>43525</v>
      </c>
      <c r="B136" s="18">
        <f>IF(VLOOKUP(A136,'DB Country PMI'!$A:$AZ,MATCH($A$1,'DB Country PMI'!$A$1:$AZ$1,),)=0,#N/A,VLOOKUP(A136,'DB Country PMI'!$A:$AZ,MATCH($A$1,'DB Country PMI'!$A$1:$AZ$1,),))</f>
        <v/>
      </c>
      <c r="C136" s="24">
        <f>Table1346811121415161718192022252627[[#This Row],[PMI]]-B135</f>
        <v/>
      </c>
    </row>
    <row r="137">
      <c r="A137" s="10" t="n">
        <v>43556</v>
      </c>
      <c r="B137" s="18">
        <f>IF(VLOOKUP(A137,'DB Country PMI'!$A:$AZ,MATCH($A$1,'DB Country PMI'!$A$1:$AZ$1,),)=0,#N/A,VLOOKUP(A137,'DB Country PMI'!$A:$AZ,MATCH($A$1,'DB Country PMI'!$A$1:$AZ$1,),))</f>
        <v/>
      </c>
      <c r="C137" s="24">
        <f>Table1346811121415161718192022252627[[#This Row],[PMI]]-B136</f>
        <v/>
      </c>
    </row>
    <row r="138">
      <c r="A138" s="10" t="n">
        <v>43586</v>
      </c>
      <c r="B138" s="18">
        <f>IF(VLOOKUP(A138,'DB Country PMI'!$A:$AZ,MATCH($A$1,'DB Country PMI'!$A$1:$AZ$1,),)=0,#N/A,VLOOKUP(A138,'DB Country PMI'!$A:$AZ,MATCH($A$1,'DB Country PMI'!$A$1:$AZ$1,),))</f>
        <v/>
      </c>
      <c r="C138" s="24">
        <f>Table1346811121415161718192022252627[[#This Row],[PMI]]-B137</f>
        <v/>
      </c>
    </row>
    <row r="139">
      <c r="A139" s="10" t="n">
        <v>43617</v>
      </c>
      <c r="B139" s="18">
        <f>IF(VLOOKUP(A139,'DB Country PMI'!$A:$AZ,MATCH($A$1,'DB Country PMI'!$A$1:$AZ$1,),)=0,#N/A,VLOOKUP(A139,'DB Country PMI'!$A:$AZ,MATCH($A$1,'DB Country PMI'!$A$1:$AZ$1,),))</f>
        <v/>
      </c>
      <c r="C139" s="24">
        <f>Table1346811121415161718192022252627[[#This Row],[PMI]]-B138</f>
        <v/>
      </c>
    </row>
    <row r="140">
      <c r="A140" s="10" t="n">
        <v>43647</v>
      </c>
      <c r="B140" s="18">
        <f>IF(VLOOKUP(A140,'DB Country PMI'!$A:$AZ,MATCH($A$1,'DB Country PMI'!$A$1:$AZ$1,),)=0,#N/A,VLOOKUP(A140,'DB Country PMI'!$A:$AZ,MATCH($A$1,'DB Country PMI'!$A$1:$AZ$1,),))</f>
        <v/>
      </c>
      <c r="C140" s="24">
        <f>Table1346811121415161718192022252627[[#This Row],[PMI]]-B139</f>
        <v/>
      </c>
    </row>
    <row r="141">
      <c r="A141" s="10" t="n">
        <v>43678</v>
      </c>
      <c r="B141" s="18">
        <f>IF(VLOOKUP(A141,'DB Country PMI'!$A:$AZ,MATCH($A$1,'DB Country PMI'!$A$1:$AZ$1,),)=0,#N/A,VLOOKUP(A141,'DB Country PMI'!$A:$AZ,MATCH($A$1,'DB Country PMI'!$A$1:$AZ$1,),))</f>
        <v/>
      </c>
      <c r="C141" s="24">
        <f>Table1346811121415161718192022252627[[#This Row],[PMI]]-B140</f>
        <v/>
      </c>
    </row>
    <row r="142">
      <c r="A142" s="10" t="n">
        <v>43709</v>
      </c>
      <c r="B142" s="18">
        <f>IF(VLOOKUP(A142,'DB Country PMI'!$A:$AZ,MATCH($A$1,'DB Country PMI'!$A$1:$AZ$1,),)=0,#N/A,VLOOKUP(A142,'DB Country PMI'!$A:$AZ,MATCH($A$1,'DB Country PMI'!$A$1:$AZ$1,),))</f>
        <v/>
      </c>
      <c r="C142" s="24">
        <f>Table1346811121415161718192022252627[[#This Row],[PMI]]-B141</f>
        <v/>
      </c>
    </row>
    <row r="143">
      <c r="A143" s="10" t="n">
        <v>43739</v>
      </c>
      <c r="B143" s="18">
        <f>IF(VLOOKUP(A143,'DB Country PMI'!$A:$AZ,MATCH($A$1,'DB Country PMI'!$A$1:$AZ$1,),)=0,#N/A,VLOOKUP(A143,'DB Country PMI'!$A:$AZ,MATCH($A$1,'DB Country PMI'!$A$1:$AZ$1,),))</f>
        <v/>
      </c>
      <c r="C143" s="24">
        <f>Table1346811121415161718192022252627[[#This Row],[PMI]]-B142</f>
        <v/>
      </c>
    </row>
    <row r="144">
      <c r="A144" s="10" t="n">
        <v>43770</v>
      </c>
      <c r="B144" s="18">
        <f>IF(VLOOKUP(A144,'DB Country PMI'!$A:$AZ,MATCH($A$1,'DB Country PMI'!$A$1:$AZ$1,),)=0,#N/A,VLOOKUP(A144,'DB Country PMI'!$A:$AZ,MATCH($A$1,'DB Country PMI'!$A$1:$AZ$1,),))</f>
        <v/>
      </c>
      <c r="C144" s="24">
        <f>Table1346811121415161718192022252627[[#This Row],[PMI]]-B143</f>
        <v/>
      </c>
    </row>
    <row r="145">
      <c r="A145" s="10" t="n">
        <v>43800</v>
      </c>
      <c r="B145" s="18">
        <f>IF(VLOOKUP(A145,'DB Country PMI'!$A:$AZ,MATCH($A$1,'DB Country PMI'!$A$1:$AZ$1,),)=0,#N/A,VLOOKUP(A145,'DB Country PMI'!$A:$AZ,MATCH($A$1,'DB Country PMI'!$A$1:$AZ$1,),))</f>
        <v/>
      </c>
      <c r="C145" s="24">
        <f>Table1346811121415161718192022252627[[#This Row],[PMI]]-B144</f>
        <v/>
      </c>
    </row>
    <row r="146">
      <c r="A146" s="10" t="n">
        <v>43831</v>
      </c>
      <c r="B146" s="18">
        <f>IF(VLOOKUP(A146,'DB Country PMI'!$A:$AZ,MATCH($A$1,'DB Country PMI'!$A$1:$AZ$1,),)=0,#N/A,VLOOKUP(A146,'DB Country PMI'!$A:$AZ,MATCH($A$1,'DB Country PMI'!$A$1:$AZ$1,),))</f>
        <v/>
      </c>
      <c r="C146" s="24">
        <f>Table1346811121415161718192022252627[[#This Row],[PMI]]-B145</f>
        <v/>
      </c>
    </row>
    <row r="147">
      <c r="A147" s="10" t="n">
        <v>43862</v>
      </c>
      <c r="B147" s="18">
        <f>IF(VLOOKUP(A147,'DB Country PMI'!$A:$AZ,MATCH($A$1,'DB Country PMI'!$A$1:$AZ$1,),)=0,#N/A,VLOOKUP(A147,'DB Country PMI'!$A:$AZ,MATCH($A$1,'DB Country PMI'!$A$1:$AZ$1,),))</f>
        <v/>
      </c>
      <c r="C147" s="24">
        <f>Table1346811121415161718192022252627[[#This Row],[PMI]]-B146</f>
        <v/>
      </c>
    </row>
    <row r="148">
      <c r="A148" s="10" t="n">
        <v>43891</v>
      </c>
      <c r="B148" s="18">
        <f>IF(VLOOKUP(A148,'DB Country PMI'!$A:$AZ,MATCH($A$1,'DB Country PMI'!$A$1:$AZ$1,),)=0,#N/A,VLOOKUP(A148,'DB Country PMI'!$A:$AZ,MATCH($A$1,'DB Country PMI'!$A$1:$AZ$1,),))</f>
        <v/>
      </c>
      <c r="C148" s="24">
        <f>Table1346811121415161718192022252627[[#This Row],[PMI]]-B147</f>
        <v/>
      </c>
    </row>
    <row r="149">
      <c r="A149" s="10" t="n">
        <v>43922</v>
      </c>
      <c r="B149" s="18">
        <f>IF(VLOOKUP(A149,'DB Country PMI'!$A:$AZ,MATCH($A$1,'DB Country PMI'!$A$1:$AZ$1,),)=0,#N/A,VLOOKUP(A149,'DB Country PMI'!$A:$AZ,MATCH($A$1,'DB Country PMI'!$A$1:$AZ$1,),))</f>
        <v/>
      </c>
      <c r="C149" s="24">
        <f>Table1346811121415161718192022252627[[#This Row],[PMI]]-B148</f>
        <v/>
      </c>
    </row>
    <row r="150">
      <c r="A150" s="10" t="n">
        <v>43952</v>
      </c>
      <c r="B150" s="18">
        <f>IF(VLOOKUP(A150,'DB Country PMI'!$A:$AZ,MATCH($A$1,'DB Country PMI'!$A$1:$AZ$1,),)=0,#N/A,VLOOKUP(A150,'DB Country PMI'!$A:$AZ,MATCH($A$1,'DB Country PMI'!$A$1:$AZ$1,),))</f>
        <v/>
      </c>
      <c r="C150" s="24">
        <f>Table1346811121415161718192022252627[[#This Row],[PMI]]-B149</f>
        <v/>
      </c>
    </row>
    <row r="151">
      <c r="A151" s="10" t="n">
        <v>43983</v>
      </c>
      <c r="B151" s="18">
        <f>IF(VLOOKUP(A151,'DB Country PMI'!$A:$AZ,MATCH($A$1,'DB Country PMI'!$A$1:$AZ$1,),)=0,#N/A,VLOOKUP(A151,'DB Country PMI'!$A:$AZ,MATCH($A$1,'DB Country PMI'!$A$1:$AZ$1,),))</f>
        <v/>
      </c>
      <c r="C151" s="24">
        <f>Table1346811121415161718192022252627[[#This Row],[PMI]]-B150</f>
        <v/>
      </c>
    </row>
    <row r="152">
      <c r="A152" s="10" t="n">
        <v>44013</v>
      </c>
      <c r="B152" s="18">
        <f>IF(VLOOKUP(A152,'DB Country PMI'!$A:$AZ,MATCH($A$1,'DB Country PMI'!$A$1:$AZ$1,),)=0,#N/A,VLOOKUP(A152,'DB Country PMI'!$A:$AZ,MATCH($A$1,'DB Country PMI'!$A$1:$AZ$1,),))</f>
        <v/>
      </c>
      <c r="C152" s="24">
        <f>Table1346811121415161718192022252627[[#This Row],[PMI]]-B151</f>
        <v/>
      </c>
    </row>
    <row r="153">
      <c r="A153" s="10" t="n">
        <v>44044</v>
      </c>
      <c r="B153" s="18">
        <f>IF(VLOOKUP(A153,'DB Country PMI'!$A:$AZ,MATCH($A$1,'DB Country PMI'!$A$1:$AZ$1,),)=0,#N/A,VLOOKUP(A153,'DB Country PMI'!$A:$AZ,MATCH($A$1,'DB Country PMI'!$A$1:$AZ$1,),))</f>
        <v/>
      </c>
      <c r="C153" s="24">
        <f>Table1346811121415161718192022252627[[#This Row],[PMI]]-B152</f>
        <v/>
      </c>
    </row>
    <row r="154">
      <c r="A154" s="10" t="n">
        <v>44075</v>
      </c>
      <c r="B154" s="18">
        <f>IF(VLOOKUP(A154,'DB Country PMI'!$A:$AZ,MATCH($A$1,'DB Country PMI'!$A$1:$AZ$1,),)=0,#N/A,VLOOKUP(A154,'DB Country PMI'!$A:$AZ,MATCH($A$1,'DB Country PMI'!$A$1:$AZ$1,),))</f>
        <v/>
      </c>
      <c r="C154" s="24">
        <f>Table1346811121415161718192022252627[[#This Row],[PMI]]-B153</f>
        <v/>
      </c>
    </row>
    <row r="155">
      <c r="A155" s="10" t="n">
        <v>44105</v>
      </c>
      <c r="B155" s="18">
        <f>IF(VLOOKUP(A155,'DB Country PMI'!$A:$AZ,MATCH($A$1,'DB Country PMI'!$A$1:$AZ$1,),)=0,#N/A,VLOOKUP(A155,'DB Country PMI'!$A:$AZ,MATCH($A$1,'DB Country PMI'!$A$1:$AZ$1,),))</f>
        <v/>
      </c>
      <c r="C155" s="24">
        <f>Table1346811121415161718192022252627[[#This Row],[PMI]]-B154</f>
        <v/>
      </c>
    </row>
    <row r="156">
      <c r="A156" s="10" t="n">
        <v>44136</v>
      </c>
      <c r="B156" s="18">
        <f>IF(VLOOKUP(A156,'DB Country PMI'!$A:$AZ,MATCH($A$1,'DB Country PMI'!$A$1:$AZ$1,),)=0,#N/A,VLOOKUP(A156,'DB Country PMI'!$A:$AZ,MATCH($A$1,'DB Country PMI'!$A$1:$AZ$1,),))</f>
        <v/>
      </c>
      <c r="C156" s="24">
        <f>Table1346811121415161718192022252627[[#This Row],[PMI]]-B155</f>
        <v/>
      </c>
    </row>
    <row r="157">
      <c r="A157" s="10" t="n">
        <v>44166</v>
      </c>
      <c r="B157" s="18">
        <f>IF(VLOOKUP(A157,'DB Country PMI'!$A:$AZ,MATCH($A$1,'DB Country PMI'!$A$1:$AZ$1,),)=0,#N/A,VLOOKUP(A157,'DB Country PMI'!$A:$AZ,MATCH($A$1,'DB Country PMI'!$A$1:$AZ$1,),))</f>
        <v/>
      </c>
      <c r="C157" s="24">
        <f>Table1346811121415161718192022252627[[#This Row],[PMI]]-B156</f>
        <v/>
      </c>
    </row>
    <row r="158">
      <c r="A158" s="10" t="n">
        <v>44197</v>
      </c>
      <c r="B158" s="18">
        <f>IF(VLOOKUP(A158,'DB Country PMI'!$A:$AZ,MATCH($A$1,'DB Country PMI'!$A$1:$AZ$1,),)=0,#N/A,VLOOKUP(A158,'DB Country PMI'!$A:$AZ,MATCH($A$1,'DB Country PMI'!$A$1:$AZ$1,),))</f>
        <v/>
      </c>
      <c r="C158" s="24">
        <f>Table1346811121415161718192022252627[[#This Row],[PMI]]-B157</f>
        <v/>
      </c>
    </row>
    <row r="159">
      <c r="A159" s="10" t="n">
        <v>44228</v>
      </c>
      <c r="B159" s="18">
        <f>IF(VLOOKUP(A159,'DB Country PMI'!$A:$AZ,MATCH($A$1,'DB Country PMI'!$A$1:$AZ$1,),)=0,#N/A,VLOOKUP(A159,'DB Country PMI'!$A:$AZ,MATCH($A$1,'DB Country PMI'!$A$1:$AZ$1,),))</f>
        <v/>
      </c>
      <c r="C159" s="24">
        <f>Table1346811121415161718192022252627[[#This Row],[PMI]]-B158</f>
        <v/>
      </c>
    </row>
    <row r="160">
      <c r="A160" s="10" t="n">
        <v>44256</v>
      </c>
      <c r="B160" s="18">
        <f>IF(VLOOKUP(A160,'DB Country PMI'!$A:$AZ,MATCH($A$1,'DB Country PMI'!$A$1:$AZ$1,),)=0,#N/A,VLOOKUP(A160,'DB Country PMI'!$A:$AZ,MATCH($A$1,'DB Country PMI'!$A$1:$AZ$1,),))</f>
        <v/>
      </c>
      <c r="C160" s="24">
        <f>Table1346811121415161718192022252627[[#This Row],[PMI]]-B159</f>
        <v/>
      </c>
    </row>
    <row r="161">
      <c r="A161" s="10" t="n">
        <v>44287</v>
      </c>
      <c r="B161" s="18">
        <f>IF(VLOOKUP(A161,'DB Country PMI'!$A:$AZ,MATCH($A$1,'DB Country PMI'!$A$1:$AZ$1,),)=0,#N/A,VLOOKUP(A161,'DB Country PMI'!$A:$AZ,MATCH($A$1,'DB Country PMI'!$A$1:$AZ$1,),))</f>
        <v/>
      </c>
      <c r="C161" s="24">
        <f>Table1346811121415161718192022252627[[#This Row],[PMI]]-B160</f>
        <v/>
      </c>
    </row>
    <row r="162">
      <c r="A162" s="10" t="n">
        <v>44317</v>
      </c>
      <c r="B162" s="18">
        <f>IF(VLOOKUP(A162,'DB Country PMI'!$A:$AZ,MATCH($A$1,'DB Country PMI'!$A$1:$AZ$1,),)=0,#N/A,VLOOKUP(A162,'DB Country PMI'!$A:$AZ,MATCH($A$1,'DB Country PMI'!$A$1:$AZ$1,),))</f>
        <v/>
      </c>
      <c r="C162" s="24">
        <f>Table1346811121415161718192022252627[[#This Row],[PMI]]-B161</f>
        <v/>
      </c>
    </row>
    <row r="163">
      <c r="A163" s="10" t="n">
        <v>44348</v>
      </c>
      <c r="B163" s="18">
        <f>IF(VLOOKUP(A163,'DB Country PMI'!$A:$AZ,MATCH($A$1,'DB Country PMI'!$A$1:$AZ$1,),)=0,#N/A,VLOOKUP(A163,'DB Country PMI'!$A:$AZ,MATCH($A$1,'DB Country PMI'!$A$1:$AZ$1,),))</f>
        <v/>
      </c>
      <c r="C163" s="24">
        <f>Table1346811121415161718192022252627[[#This Row],[PMI]]-B162</f>
        <v/>
      </c>
    </row>
    <row r="164">
      <c r="A164" s="10" t="n">
        <v>44378</v>
      </c>
      <c r="B164" s="18">
        <f>IF(VLOOKUP(A164,'DB Country PMI'!$A:$AZ,MATCH($A$1,'DB Country PMI'!$A$1:$AZ$1,),)=0,#N/A,VLOOKUP(A164,'DB Country PMI'!$A:$AZ,MATCH($A$1,'DB Country PMI'!$A$1:$AZ$1,),))</f>
        <v/>
      </c>
      <c r="C164" s="24">
        <f>Table1346811121415161718192022252627[[#This Row],[PMI]]-B163</f>
        <v/>
      </c>
    </row>
    <row r="165">
      <c r="A165" s="10" t="n">
        <v>44409</v>
      </c>
      <c r="B165" s="18">
        <f>IF(VLOOKUP(A165,'DB Country PMI'!$A:$AZ,MATCH($A$1,'DB Country PMI'!$A$1:$AZ$1,),)=0,#N/A,VLOOKUP(A165,'DB Country PMI'!$A:$AZ,MATCH($A$1,'DB Country PMI'!$A$1:$AZ$1,),))</f>
        <v/>
      </c>
      <c r="C165" s="24">
        <f>Table1346811121415161718192022252627[[#This Row],[PMI]]-B164</f>
        <v/>
      </c>
    </row>
    <row r="166">
      <c r="A166" s="10" t="n">
        <v>44440</v>
      </c>
      <c r="B166" s="18">
        <f>IF(VLOOKUP(A166,'DB Country PMI'!$A:$AZ,MATCH($A$1,'DB Country PMI'!$A$1:$AZ$1,),)=0,#N/A,VLOOKUP(A166,'DB Country PMI'!$A:$AZ,MATCH($A$1,'DB Country PMI'!$A$1:$AZ$1,),))</f>
        <v/>
      </c>
      <c r="C166" s="24">
        <f>Table1346811121415161718192022252627[[#This Row],[PMI]]-B165</f>
        <v/>
      </c>
    </row>
    <row r="167">
      <c r="A167" s="10" t="n">
        <v>44470</v>
      </c>
      <c r="B167" s="18">
        <f>IF(VLOOKUP(A167,'DB Country PMI'!$A:$AZ,MATCH($A$1,'DB Country PMI'!$A$1:$AZ$1,),)=0,#N/A,VLOOKUP(A167,'DB Country PMI'!$A:$AZ,MATCH($A$1,'DB Country PMI'!$A$1:$AZ$1,),))</f>
        <v/>
      </c>
      <c r="C167" s="24">
        <f>Table1346811121415161718192022252627[[#This Row],[PMI]]-B166</f>
        <v/>
      </c>
    </row>
    <row r="168">
      <c r="A168" s="10" t="n">
        <v>44501</v>
      </c>
      <c r="B168" s="18">
        <f>IF(VLOOKUP(A168,'DB Country PMI'!$A:$AZ,MATCH($A$1,'DB Country PMI'!$A$1:$AZ$1,),)=0,#N/A,VLOOKUP(A168,'DB Country PMI'!$A:$AZ,MATCH($A$1,'DB Country PMI'!$A$1:$AZ$1,),))</f>
        <v/>
      </c>
      <c r="C168" s="24">
        <f>Table1346811121415161718192022252627[[#This Row],[PMI]]-B167</f>
        <v/>
      </c>
    </row>
    <row r="169">
      <c r="A169" s="10" t="n">
        <v>44531</v>
      </c>
      <c r="B169" s="18">
        <f>IF(VLOOKUP(A169,'DB Country PMI'!$A:$AZ,MATCH($A$1,'DB Country PMI'!$A$1:$AZ$1,),)=0,#N/A,VLOOKUP(A169,'DB Country PMI'!$A:$AZ,MATCH($A$1,'DB Country PMI'!$A$1:$AZ$1,),))</f>
        <v/>
      </c>
      <c r="C169" s="24">
        <f>Table1346811121415161718192022252627[[#This Row],[PMI]]-B168</f>
        <v/>
      </c>
    </row>
    <row r="170">
      <c r="A170" s="10" t="n">
        <v>44562</v>
      </c>
      <c r="B170" s="18">
        <f>IF(VLOOKUP(A170,'DB Country PMI'!$A:$AZ,MATCH($A$1,'DB Country PMI'!$A$1:$AZ$1,),)=0,#N/A,VLOOKUP(A170,'DB Country PMI'!$A:$AZ,MATCH($A$1,'DB Country PMI'!$A$1:$AZ$1,),))</f>
        <v/>
      </c>
      <c r="C170" s="24">
        <f>Table1346811121415161718192022252627[[#This Row],[PMI]]-B169</f>
        <v/>
      </c>
    </row>
    <row r="171">
      <c r="A171" s="10" t="n">
        <v>44593</v>
      </c>
      <c r="B171" s="18">
        <f>IF(VLOOKUP(A171,'DB Country PMI'!$A:$AZ,MATCH($A$1,'DB Country PMI'!$A$1:$AZ$1,),)=0,#N/A,VLOOKUP(A171,'DB Country PMI'!$A:$AZ,MATCH($A$1,'DB Country PMI'!$A$1:$AZ$1,),))</f>
        <v/>
      </c>
      <c r="C171" s="24">
        <f>Table1346811121415161718192022252627[[#This Row],[PMI]]-B170</f>
        <v/>
      </c>
    </row>
    <row r="172">
      <c r="A172" s="10" t="n">
        <v>44621</v>
      </c>
      <c r="B172" s="18">
        <f>IF(VLOOKUP(A172,'DB Country PMI'!$A:$AZ,MATCH($A$1,'DB Country PMI'!$A$1:$AZ$1,),)=0,#N/A,VLOOKUP(A172,'DB Country PMI'!$A:$AZ,MATCH($A$1,'DB Country PMI'!$A$1:$AZ$1,),))</f>
        <v/>
      </c>
      <c r="C172" s="24">
        <f>Table1346811121415161718192022252627[[#This Row],[PMI]]-B171</f>
        <v/>
      </c>
    </row>
    <row r="173">
      <c r="A173" s="10" t="n">
        <v>44652</v>
      </c>
      <c r="B173" s="18">
        <f>IF(VLOOKUP(A173,'DB Country PMI'!$A:$AZ,MATCH($A$1,'DB Country PMI'!$A$1:$AZ$1,),)=0,#N/A,VLOOKUP(A173,'DB Country PMI'!$A:$AZ,MATCH($A$1,'DB Country PMI'!$A$1:$AZ$1,),))</f>
        <v/>
      </c>
      <c r="C173" s="24">
        <f>Table1346811121415161718192022252627[[#This Row],[PMI]]-B172</f>
        <v/>
      </c>
    </row>
    <row r="174">
      <c r="A174" s="10" t="n">
        <v>44682</v>
      </c>
      <c r="B174" s="18">
        <f>IF(VLOOKUP(A174,'DB Country PMI'!$A:$AZ,MATCH($A$1,'DB Country PMI'!$A$1:$AZ$1,),)=0,#N/A,VLOOKUP(A174,'DB Country PMI'!$A:$AZ,MATCH($A$1,'DB Country PMI'!$A$1:$AZ$1,),))</f>
        <v/>
      </c>
      <c r="C174" s="24">
        <f>Table1346811121415161718192022252627[[#This Row],[PMI]]-B173</f>
        <v/>
      </c>
    </row>
    <row r="175">
      <c r="A175" s="10" t="n">
        <v>44713</v>
      </c>
      <c r="B175" s="18">
        <f>IF(VLOOKUP(A175,'DB Country PMI'!$A:$AZ,MATCH($A$1,'DB Country PMI'!$A$1:$AZ$1,),)=0,#N/A,VLOOKUP(A175,'DB Country PMI'!$A:$AZ,MATCH($A$1,'DB Country PMI'!$A$1:$AZ$1,),))</f>
        <v/>
      </c>
      <c r="C175" s="24">
        <f>Table1346811121415161718192022252627[[#This Row],[PMI]]-B174</f>
        <v/>
      </c>
    </row>
    <row r="176">
      <c r="A176" s="10" t="n">
        <v>44743</v>
      </c>
      <c r="B176" s="18">
        <f>IF(VLOOKUP(A176,'DB Country PMI'!$A:$AZ,MATCH($A$1,'DB Country PMI'!$A$1:$AZ$1,),)=0,#N/A,VLOOKUP(A176,'DB Country PMI'!$A:$AZ,MATCH($A$1,'DB Country PMI'!$A$1:$AZ$1,),))</f>
        <v/>
      </c>
      <c r="C176" s="24">
        <f>Table1346811121415161718192022252627[[#This Row],[PMI]]-B175</f>
        <v/>
      </c>
    </row>
    <row r="177">
      <c r="A177" s="10" t="n">
        <v>44774</v>
      </c>
      <c r="B177" s="18">
        <f>IF(VLOOKUP(A177,'DB Country PMI'!$A:$AZ,MATCH($A$1,'DB Country PMI'!$A$1:$AZ$1,),)=0,#N/A,VLOOKUP(A177,'DB Country PMI'!$A:$AZ,MATCH($A$1,'DB Country PMI'!$A$1:$AZ$1,),))</f>
        <v/>
      </c>
      <c r="C177" s="24">
        <f>Table1346811121415161718192022252627[[#This Row],[PMI]]-B176</f>
        <v/>
      </c>
    </row>
    <row r="178">
      <c r="A178" s="10" t="n">
        <v>44805</v>
      </c>
      <c r="B178" s="18">
        <f>IF(VLOOKUP(A178,'DB Country PMI'!$A:$AZ,MATCH($A$1,'DB Country PMI'!$A$1:$AZ$1,),)=0,#N/A,VLOOKUP(A178,'DB Country PMI'!$A:$AZ,MATCH($A$1,'DB Country PMI'!$A$1:$AZ$1,),))</f>
        <v/>
      </c>
      <c r="C178" s="24">
        <f>Table1346811121415161718192022252627[[#This Row],[PMI]]-B177</f>
        <v/>
      </c>
    </row>
    <row r="179">
      <c r="A179" s="10" t="n">
        <v>44835</v>
      </c>
      <c r="B179" s="18">
        <f>IF(VLOOKUP(A179,'DB Country PMI'!$A:$AZ,MATCH($A$1,'DB Country PMI'!$A$1:$AZ$1,),)=0,#N/A,VLOOKUP(A179,'DB Country PMI'!$A:$AZ,MATCH($A$1,'DB Country PMI'!$A$1:$AZ$1,),))</f>
        <v/>
      </c>
      <c r="C179" s="24">
        <f>Table1346811121415161718192022252627[[#This Row],[PMI]]-B178</f>
        <v/>
      </c>
    </row>
    <row r="180">
      <c r="A180" s="10" t="n">
        <v>44866</v>
      </c>
      <c r="B180" s="18">
        <f>IF(VLOOKUP(A180,'DB Country PMI'!$A:$AZ,MATCH($A$1,'DB Country PMI'!$A$1:$AZ$1,),)=0,#N/A,VLOOKUP(A180,'DB Country PMI'!$A:$AZ,MATCH($A$1,'DB Country PMI'!$A$1:$AZ$1,),))</f>
        <v/>
      </c>
      <c r="C180" s="24">
        <f>Table1346811121415161718192022252627[[#This Row],[PMI]]-B179</f>
        <v/>
      </c>
    </row>
  </sheetData>
  <conditionalFormatting sqref="C7:C106">
    <cfRule type="colorScale" priority="1">
      <colorScale>
        <cfvo type="min"/>
        <cfvo type="percentile" val="50"/>
        <cfvo type="max"/>
        <color rgb="FFF8696B"/>
        <color rgb="FFFCFCFF"/>
        <color rgb="FF5A8AC6"/>
      </colorScale>
    </cfRule>
  </conditionalFormatting>
  <conditionalFormatting sqref="B6:B180">
    <cfRule type="colorScale" priority="5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3.xml><?xml version="1.0" encoding="utf-8"?>
<worksheet xmlns="http://schemas.openxmlformats.org/spreadsheetml/2006/main">
  <sheetPr>
    <outlinePr summaryBelow="1" summaryRight="1"/>
    <pageSetUpPr/>
  </sheetPr>
  <dimension ref="A1:K145"/>
  <sheetViews>
    <sheetView zoomScaleNormal="100" workbookViewId="0">
      <pane ySplit="5" topLeftCell="A130" activePane="bottomLeft" state="frozen"/>
      <selection pane="bottomLeft" activeCell="A140" sqref="A140:C145"/>
    </sheetView>
  </sheetViews>
  <sheetFormatPr baseColWidth="8" defaultColWidth="9.1796875" defaultRowHeight="14.5"/>
  <cols>
    <col width="13.453125" customWidth="1" style="69" min="1" max="1"/>
    <col width="11.36328125" customWidth="1" style="69" min="2" max="2"/>
    <col width="9.1796875" customWidth="1" style="69" min="3" max="51"/>
    <col width="9.1796875" customWidth="1" style="69" min="52" max="16384"/>
  </cols>
  <sheetData>
    <row r="1">
      <c r="A1" s="69" t="inlineStr">
        <is>
          <t>Indonesia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Table13468111214151617181920222530[[#This Row],[PMI]]-B6</f>
        <v/>
      </c>
    </row>
    <row r="8">
      <c r="A8" s="10" t="n">
        <v>40695</v>
      </c>
      <c r="B8" s="18">
        <f>IF(VLOOKUP(A8,'DB Country PMI'!$A:$AZ,MATCH($A$1,'DB Country PMI'!$A$1:$AZ$1,),)=0,#N/A,VLOOKUP(A8,'DB Country PMI'!$A:$AZ,MATCH($A$1,'DB Country PMI'!$A$1:$AZ$1,),))</f>
        <v/>
      </c>
      <c r="C8" s="24">
        <f>Table13468111214151617181920222530[[#This Row],[PMI]]-B7</f>
        <v/>
      </c>
    </row>
    <row r="9">
      <c r="A9" s="10" t="n">
        <v>40725</v>
      </c>
      <c r="B9" s="18">
        <f>IF(VLOOKUP(A9,'DB Country PMI'!$A:$AZ,MATCH($A$1,'DB Country PMI'!$A$1:$AZ$1,),)=0,#N/A,VLOOKUP(A9,'DB Country PMI'!$A:$AZ,MATCH($A$1,'DB Country PMI'!$A$1:$AZ$1,),))</f>
        <v/>
      </c>
      <c r="C9" s="24">
        <f>Table13468111214151617181920222530[[#This Row],[PMI]]-B8</f>
        <v/>
      </c>
    </row>
    <row r="10">
      <c r="A10" s="10" t="n">
        <v>40756</v>
      </c>
      <c r="B10" s="18">
        <f>IF(VLOOKUP(A10,'DB Country PMI'!$A:$AZ,MATCH($A$1,'DB Country PMI'!$A$1:$AZ$1,),)=0,#N/A,VLOOKUP(A10,'DB Country PMI'!$A:$AZ,MATCH($A$1,'DB Country PMI'!$A$1:$AZ$1,),))</f>
        <v/>
      </c>
      <c r="C10" s="24">
        <f>Table13468111214151617181920222530[[#This Row],[PMI]]-B9</f>
        <v/>
      </c>
    </row>
    <row r="11">
      <c r="A11" s="10" t="n">
        <v>40787</v>
      </c>
      <c r="B11" s="18">
        <f>IF(VLOOKUP(A11,'DB Country PMI'!$A:$AZ,MATCH($A$1,'DB Country PMI'!$A$1:$AZ$1,),)=0,#N/A,VLOOKUP(A11,'DB Country PMI'!$A:$AZ,MATCH($A$1,'DB Country PMI'!$A$1:$AZ$1,),))</f>
        <v/>
      </c>
      <c r="C11" s="24">
        <f>Table13468111214151617181920222530[[#This Row],[PMI]]-B10</f>
        <v/>
      </c>
    </row>
    <row r="12">
      <c r="A12" s="10" t="n">
        <v>40817</v>
      </c>
      <c r="B12" s="18">
        <f>IF(VLOOKUP(A12,'DB Country PMI'!$A:$AZ,MATCH($A$1,'DB Country PMI'!$A$1:$AZ$1,),)=0,#N/A,VLOOKUP(A12,'DB Country PMI'!$A:$AZ,MATCH($A$1,'DB Country PMI'!$A$1:$AZ$1,),))</f>
        <v/>
      </c>
      <c r="C12" s="24">
        <f>Table13468111214151617181920222530[[#This Row],[PMI]]-B11</f>
        <v/>
      </c>
    </row>
    <row r="13">
      <c r="A13" s="10" t="n">
        <v>40848</v>
      </c>
      <c r="B13" s="18">
        <f>IF(VLOOKUP(A13,'DB Country PMI'!$A:$AZ,MATCH($A$1,'DB Country PMI'!$A$1:$AZ$1,),)=0,#N/A,VLOOKUP(A13,'DB Country PMI'!$A:$AZ,MATCH($A$1,'DB Country PMI'!$A$1:$AZ$1,),))</f>
        <v/>
      </c>
      <c r="C13" s="24">
        <f>Table13468111214151617181920222530[[#This Row],[PMI]]-B12</f>
        <v/>
      </c>
    </row>
    <row r="14">
      <c r="A14" s="10" t="n">
        <v>40878</v>
      </c>
      <c r="B14" s="18">
        <f>IF(VLOOKUP(A14,'DB Country PMI'!$A:$AZ,MATCH($A$1,'DB Country PMI'!$A$1:$AZ$1,),)=0,#N/A,VLOOKUP(A14,'DB Country PMI'!$A:$AZ,MATCH($A$1,'DB Country PMI'!$A$1:$AZ$1,),))</f>
        <v/>
      </c>
      <c r="C14" s="24">
        <f>Table13468111214151617181920222530[[#This Row],[PMI]]-B13</f>
        <v/>
      </c>
    </row>
    <row r="15">
      <c r="A15" s="10" t="n">
        <v>40909</v>
      </c>
      <c r="B15" s="18">
        <f>IF(VLOOKUP(A15,'DB Country PMI'!$A:$AZ,MATCH($A$1,'DB Country PMI'!$A$1:$AZ$1,),)=0,#N/A,VLOOKUP(A15,'DB Country PMI'!$A:$AZ,MATCH($A$1,'DB Country PMI'!$A$1:$AZ$1,),))</f>
        <v/>
      </c>
      <c r="C15" s="24">
        <f>Table13468111214151617181920222530[[#This Row],[PMI]]-B14</f>
        <v/>
      </c>
    </row>
    <row r="16">
      <c r="A16" s="10" t="n">
        <v>40940</v>
      </c>
      <c r="B16" s="18">
        <f>IF(VLOOKUP(A16,'DB Country PMI'!$A:$AZ,MATCH($A$1,'DB Country PMI'!$A$1:$AZ$1,),)=0,#N/A,VLOOKUP(A16,'DB Country PMI'!$A:$AZ,MATCH($A$1,'DB Country PMI'!$A$1:$AZ$1,),))</f>
        <v/>
      </c>
      <c r="C16" s="24">
        <f>Table13468111214151617181920222530[[#This Row],[PMI]]-B15</f>
        <v/>
      </c>
    </row>
    <row r="17">
      <c r="A17" s="10" t="n">
        <v>40969</v>
      </c>
      <c r="B17" s="18">
        <f>IF(VLOOKUP(A17,'DB Country PMI'!$A:$AZ,MATCH($A$1,'DB Country PMI'!$A$1:$AZ$1,),)=0,#N/A,VLOOKUP(A17,'DB Country PMI'!$A:$AZ,MATCH($A$1,'DB Country PMI'!$A$1:$AZ$1,),))</f>
        <v/>
      </c>
      <c r="C17" s="24">
        <f>Table13468111214151617181920222530[[#This Row],[PMI]]-B16</f>
        <v/>
      </c>
    </row>
    <row r="18">
      <c r="A18" s="10" t="n">
        <v>41000</v>
      </c>
      <c r="B18" s="18">
        <f>IF(VLOOKUP(A18,'DB Country PMI'!$A:$AZ,MATCH($A$1,'DB Country PMI'!$A$1:$AZ$1,),)=0,#N/A,VLOOKUP(A18,'DB Country PMI'!$A:$AZ,MATCH($A$1,'DB Country PMI'!$A$1:$AZ$1,),))</f>
        <v/>
      </c>
      <c r="C18" s="24">
        <f>Table13468111214151617181920222530[[#This Row],[PMI]]-B17</f>
        <v/>
      </c>
    </row>
    <row r="19">
      <c r="A19" s="10" t="n">
        <v>41030</v>
      </c>
      <c r="B19" s="18">
        <f>IF(VLOOKUP(A19,'DB Country PMI'!$A:$AZ,MATCH($A$1,'DB Country PMI'!$A$1:$AZ$1,),)=0,#N/A,VLOOKUP(A19,'DB Country PMI'!$A:$AZ,MATCH($A$1,'DB Country PMI'!$A$1:$AZ$1,),))</f>
        <v/>
      </c>
      <c r="C19" s="24">
        <f>Table13468111214151617181920222530[[#This Row],[PMI]]-B18</f>
        <v/>
      </c>
    </row>
    <row r="20">
      <c r="A20" s="10" t="n">
        <v>41061</v>
      </c>
      <c r="B20" s="18">
        <f>IF(VLOOKUP(A20,'DB Country PMI'!$A:$AZ,MATCH($A$1,'DB Country PMI'!$A$1:$AZ$1,),)=0,#N/A,VLOOKUP(A20,'DB Country PMI'!$A:$AZ,MATCH($A$1,'DB Country PMI'!$A$1:$AZ$1,),))</f>
        <v/>
      </c>
      <c r="C20" s="24">
        <f>Table13468111214151617181920222530[[#This Row],[PMI]]-B19</f>
        <v/>
      </c>
    </row>
    <row r="21">
      <c r="A21" s="10" t="n">
        <v>41091</v>
      </c>
      <c r="B21" s="18">
        <f>IF(VLOOKUP(A21,'DB Country PMI'!$A:$AZ,MATCH($A$1,'DB Country PMI'!$A$1:$AZ$1,),)=0,#N/A,VLOOKUP(A21,'DB Country PMI'!$A:$AZ,MATCH($A$1,'DB Country PMI'!$A$1:$AZ$1,),))</f>
        <v/>
      </c>
      <c r="C21" s="24">
        <f>Table13468111214151617181920222530[[#This Row],[PMI]]-B20</f>
        <v/>
      </c>
    </row>
    <row r="22">
      <c r="A22" s="10" t="n">
        <v>41122</v>
      </c>
      <c r="B22" s="18">
        <f>IF(VLOOKUP(A22,'DB Country PMI'!$A:$AZ,MATCH($A$1,'DB Country PMI'!$A$1:$AZ$1,),)=0,#N/A,VLOOKUP(A22,'DB Country PMI'!$A:$AZ,MATCH($A$1,'DB Country PMI'!$A$1:$AZ$1,),))</f>
        <v/>
      </c>
      <c r="C22" s="24">
        <f>Table13468111214151617181920222530[[#This Row],[PMI]]-B21</f>
        <v/>
      </c>
    </row>
    <row r="23">
      <c r="A23" s="10" t="n">
        <v>41153</v>
      </c>
      <c r="B23" s="18">
        <f>IF(VLOOKUP(A23,'DB Country PMI'!$A:$AZ,MATCH($A$1,'DB Country PMI'!$A$1:$AZ$1,),)=0,#N/A,VLOOKUP(A23,'DB Country PMI'!$A:$AZ,MATCH($A$1,'DB Country PMI'!$A$1:$AZ$1,),))</f>
        <v/>
      </c>
      <c r="C23" s="24">
        <f>Table13468111214151617181920222530[[#This Row],[PMI]]-B22</f>
        <v/>
      </c>
    </row>
    <row r="24">
      <c r="A24" s="10" t="n">
        <v>41183</v>
      </c>
      <c r="B24" s="18">
        <f>IF(VLOOKUP(A24,'DB Country PMI'!$A:$AZ,MATCH($A$1,'DB Country PMI'!$A$1:$AZ$1,),)=0,#N/A,VLOOKUP(A24,'DB Country PMI'!$A:$AZ,MATCH($A$1,'DB Country PMI'!$A$1:$AZ$1,),))</f>
        <v/>
      </c>
      <c r="C24" s="24">
        <f>Table13468111214151617181920222530[[#This Row],[PMI]]-B23</f>
        <v/>
      </c>
    </row>
    <row r="25">
      <c r="A25" s="10" t="n">
        <v>41214</v>
      </c>
      <c r="B25" s="18">
        <f>IF(VLOOKUP(A25,'DB Country PMI'!$A:$AZ,MATCH($A$1,'DB Country PMI'!$A$1:$AZ$1,),)=0,#N/A,VLOOKUP(A25,'DB Country PMI'!$A:$AZ,MATCH($A$1,'DB Country PMI'!$A$1:$AZ$1,),))</f>
        <v/>
      </c>
      <c r="C25" s="24">
        <f>Table13468111214151617181920222530[[#This Row],[PMI]]-B24</f>
        <v/>
      </c>
    </row>
    <row r="26">
      <c r="A26" s="10" t="n">
        <v>41244</v>
      </c>
      <c r="B26" s="18">
        <f>IF(VLOOKUP(A26,'DB Country PMI'!$A:$AZ,MATCH($A$1,'DB Country PMI'!$A$1:$AZ$1,),)=0,#N/A,VLOOKUP(A26,'DB Country PMI'!$A:$AZ,MATCH($A$1,'DB Country PMI'!$A$1:$AZ$1,),))</f>
        <v/>
      </c>
      <c r="C26" s="24">
        <f>Table13468111214151617181920222530[[#This Row],[PMI]]-B25</f>
        <v/>
      </c>
    </row>
    <row r="27">
      <c r="A27" s="10" t="n">
        <v>41275</v>
      </c>
      <c r="B27" s="18">
        <f>IF(VLOOKUP(A27,'DB Country PMI'!$A:$AZ,MATCH($A$1,'DB Country PMI'!$A$1:$AZ$1,),)=0,#N/A,VLOOKUP(A27,'DB Country PMI'!$A:$AZ,MATCH($A$1,'DB Country PMI'!$A$1:$AZ$1,),))</f>
        <v/>
      </c>
      <c r="C27" s="24">
        <f>Table13468111214151617181920222530[[#This Row],[PMI]]-B26</f>
        <v/>
      </c>
    </row>
    <row r="28">
      <c r="A28" s="10" t="n">
        <v>41306</v>
      </c>
      <c r="B28" s="18">
        <f>IF(VLOOKUP(A28,'DB Country PMI'!$A:$AZ,MATCH($A$1,'DB Country PMI'!$A$1:$AZ$1,),)=0,#N/A,VLOOKUP(A28,'DB Country PMI'!$A:$AZ,MATCH($A$1,'DB Country PMI'!$A$1:$AZ$1,),))</f>
        <v/>
      </c>
      <c r="C28" s="24">
        <f>Table13468111214151617181920222530[[#This Row],[PMI]]-B27</f>
        <v/>
      </c>
    </row>
    <row r="29">
      <c r="A29" s="10" t="n">
        <v>41334</v>
      </c>
      <c r="B29" s="18">
        <f>IF(VLOOKUP(A29,'DB Country PMI'!$A:$AZ,MATCH($A$1,'DB Country PMI'!$A$1:$AZ$1,),)=0,#N/A,VLOOKUP(A29,'DB Country PMI'!$A:$AZ,MATCH($A$1,'DB Country PMI'!$A$1:$AZ$1,),))</f>
        <v/>
      </c>
      <c r="C29" s="24">
        <f>Table13468111214151617181920222530[[#This Row],[PMI]]-B28</f>
        <v/>
      </c>
    </row>
    <row r="30">
      <c r="A30" s="10" t="n">
        <v>41365</v>
      </c>
      <c r="B30" s="18">
        <f>IF(VLOOKUP(A30,'DB Country PMI'!$A:$AZ,MATCH($A$1,'DB Country PMI'!$A$1:$AZ$1,),)=0,#N/A,VLOOKUP(A30,'DB Country PMI'!$A:$AZ,MATCH($A$1,'DB Country PMI'!$A$1:$AZ$1,),))</f>
        <v/>
      </c>
      <c r="C30" s="24">
        <f>Table13468111214151617181920222530[[#This Row],[PMI]]-B29</f>
        <v/>
      </c>
    </row>
    <row r="31">
      <c r="A31" s="10" t="n">
        <v>41395</v>
      </c>
      <c r="B31" s="18">
        <f>IF(VLOOKUP(A31,'DB Country PMI'!$A:$AZ,MATCH($A$1,'DB Country PMI'!$A$1:$AZ$1,),)=0,#N/A,VLOOKUP(A31,'DB Country PMI'!$A:$AZ,MATCH($A$1,'DB Country PMI'!$A$1:$AZ$1,),))</f>
        <v/>
      </c>
      <c r="C31" s="24">
        <f>Table13468111214151617181920222530[[#This Row],[PMI]]-B30</f>
        <v/>
      </c>
    </row>
    <row r="32">
      <c r="A32" s="10" t="n">
        <v>41426</v>
      </c>
      <c r="B32" s="18">
        <f>IF(VLOOKUP(A32,'DB Country PMI'!$A:$AZ,MATCH($A$1,'DB Country PMI'!$A$1:$AZ$1,),)=0,#N/A,VLOOKUP(A32,'DB Country PMI'!$A:$AZ,MATCH($A$1,'DB Country PMI'!$A$1:$AZ$1,),))</f>
        <v/>
      </c>
      <c r="C32" s="24">
        <f>Table13468111214151617181920222530[[#This Row],[PMI]]-B31</f>
        <v/>
      </c>
    </row>
    <row r="33">
      <c r="A33" s="10" t="n">
        <v>41456</v>
      </c>
      <c r="B33" s="18">
        <f>IF(VLOOKUP(A33,'DB Country PMI'!$A:$AZ,MATCH($A$1,'DB Country PMI'!$A$1:$AZ$1,),)=0,#N/A,VLOOKUP(A33,'DB Country PMI'!$A:$AZ,MATCH($A$1,'DB Country PMI'!$A$1:$AZ$1,),))</f>
        <v/>
      </c>
      <c r="C33" s="24">
        <f>Table13468111214151617181920222530[[#This Row],[PMI]]-B32</f>
        <v/>
      </c>
    </row>
    <row r="34">
      <c r="A34" s="10" t="n">
        <v>41487</v>
      </c>
      <c r="B34" s="18">
        <f>IF(VLOOKUP(A34,'DB Country PMI'!$A:$AZ,MATCH($A$1,'DB Country PMI'!$A$1:$AZ$1,),)=0,#N/A,VLOOKUP(A34,'DB Country PMI'!$A:$AZ,MATCH($A$1,'DB Country PMI'!$A$1:$AZ$1,),))</f>
        <v/>
      </c>
      <c r="C34" s="24">
        <f>Table13468111214151617181920222530[[#This Row],[PMI]]-B33</f>
        <v/>
      </c>
    </row>
    <row r="35">
      <c r="A35" s="10" t="n">
        <v>41518</v>
      </c>
      <c r="B35" s="18">
        <f>IF(VLOOKUP(A35,'DB Country PMI'!$A:$AZ,MATCH($A$1,'DB Country PMI'!$A$1:$AZ$1,),)=0,#N/A,VLOOKUP(A35,'DB Country PMI'!$A:$AZ,MATCH($A$1,'DB Country PMI'!$A$1:$AZ$1,),))</f>
        <v/>
      </c>
      <c r="C35" s="24">
        <f>Table13468111214151617181920222530[[#This Row],[PMI]]-B34</f>
        <v/>
      </c>
    </row>
    <row r="36">
      <c r="A36" s="10" t="n">
        <v>41548</v>
      </c>
      <c r="B36" s="18">
        <f>IF(VLOOKUP(A36,'DB Country PMI'!$A:$AZ,MATCH($A$1,'DB Country PMI'!$A$1:$AZ$1,),)=0,#N/A,VLOOKUP(A36,'DB Country PMI'!$A:$AZ,MATCH($A$1,'DB Country PMI'!$A$1:$AZ$1,),))</f>
        <v/>
      </c>
      <c r="C36" s="24">
        <f>Table13468111214151617181920222530[[#This Row],[PMI]]-B35</f>
        <v/>
      </c>
    </row>
    <row r="37">
      <c r="A37" s="10" t="n">
        <v>41579</v>
      </c>
      <c r="B37" s="18">
        <f>IF(VLOOKUP(A37,'DB Country PMI'!$A:$AZ,MATCH($A$1,'DB Country PMI'!$A$1:$AZ$1,),)=0,#N/A,VLOOKUP(A37,'DB Country PMI'!$A:$AZ,MATCH($A$1,'DB Country PMI'!$A$1:$AZ$1,),))</f>
        <v/>
      </c>
      <c r="C37" s="24">
        <f>Table13468111214151617181920222530[[#This Row],[PMI]]-B36</f>
        <v/>
      </c>
    </row>
    <row r="38">
      <c r="A38" s="10" t="n">
        <v>41609</v>
      </c>
      <c r="B38" s="18">
        <f>IF(VLOOKUP(A38,'DB Country PMI'!$A:$AZ,MATCH($A$1,'DB Country PMI'!$A$1:$AZ$1,),)=0,#N/A,VLOOKUP(A38,'DB Country PMI'!$A:$AZ,MATCH($A$1,'DB Country PMI'!$A$1:$AZ$1,),))</f>
        <v/>
      </c>
      <c r="C38" s="24">
        <f>Table13468111214151617181920222530[[#This Row],[PMI]]-B37</f>
        <v/>
      </c>
    </row>
    <row r="39">
      <c r="A39" s="10" t="n">
        <v>41640</v>
      </c>
      <c r="B39" s="18">
        <f>IF(VLOOKUP(A39,'DB Country PMI'!$A:$AZ,MATCH($A$1,'DB Country PMI'!$A$1:$AZ$1,),)=0,#N/A,VLOOKUP(A39,'DB Country PMI'!$A:$AZ,MATCH($A$1,'DB Country PMI'!$A$1:$AZ$1,),))</f>
        <v/>
      </c>
      <c r="C39" s="24">
        <f>Table13468111214151617181920222530[[#This Row],[PMI]]-B38</f>
        <v/>
      </c>
    </row>
    <row r="40">
      <c r="A40" s="10" t="n">
        <v>41671</v>
      </c>
      <c r="B40" s="18">
        <f>IF(VLOOKUP(A40,'DB Country PMI'!$A:$AZ,MATCH($A$1,'DB Country PMI'!$A$1:$AZ$1,),)=0,#N/A,VLOOKUP(A40,'DB Country PMI'!$A:$AZ,MATCH($A$1,'DB Country PMI'!$A$1:$AZ$1,),))</f>
        <v/>
      </c>
      <c r="C40" s="24">
        <f>Table13468111214151617181920222530[[#This Row],[PMI]]-B39</f>
        <v/>
      </c>
    </row>
    <row r="41">
      <c r="A41" s="10" t="n">
        <v>41699</v>
      </c>
      <c r="B41" s="18">
        <f>IF(VLOOKUP(A41,'DB Country PMI'!$A:$AZ,MATCH($A$1,'DB Country PMI'!$A$1:$AZ$1,),)=0,#N/A,VLOOKUP(A41,'DB Country PMI'!$A:$AZ,MATCH($A$1,'DB Country PMI'!$A$1:$AZ$1,),))</f>
        <v/>
      </c>
      <c r="C41" s="24">
        <f>Table13468111214151617181920222530[[#This Row],[PMI]]-B40</f>
        <v/>
      </c>
    </row>
    <row r="42">
      <c r="A42" s="10" t="n">
        <v>41730</v>
      </c>
      <c r="B42" s="18">
        <f>IF(VLOOKUP(A42,'DB Country PMI'!$A:$AZ,MATCH($A$1,'DB Country PMI'!$A$1:$AZ$1,),)=0,#N/A,VLOOKUP(A42,'DB Country PMI'!$A:$AZ,MATCH($A$1,'DB Country PMI'!$A$1:$AZ$1,),))</f>
        <v/>
      </c>
      <c r="C42" s="24">
        <f>Table13468111214151617181920222530[[#This Row],[PMI]]-B41</f>
        <v/>
      </c>
    </row>
    <row r="43">
      <c r="A43" s="10" t="n">
        <v>41760</v>
      </c>
      <c r="B43" s="18">
        <f>IF(VLOOKUP(A43,'DB Country PMI'!$A:$AZ,MATCH($A$1,'DB Country PMI'!$A$1:$AZ$1,),)=0,#N/A,VLOOKUP(A43,'DB Country PMI'!$A:$AZ,MATCH($A$1,'DB Country PMI'!$A$1:$AZ$1,),))</f>
        <v/>
      </c>
      <c r="C43" s="24">
        <f>Table13468111214151617181920222530[[#This Row],[PMI]]-B42</f>
        <v/>
      </c>
    </row>
    <row r="44">
      <c r="A44" s="10" t="n">
        <v>41791</v>
      </c>
      <c r="B44" s="18">
        <f>IF(VLOOKUP(A44,'DB Country PMI'!$A:$AZ,MATCH($A$1,'DB Country PMI'!$A$1:$AZ$1,),)=0,#N/A,VLOOKUP(A44,'DB Country PMI'!$A:$AZ,MATCH($A$1,'DB Country PMI'!$A$1:$AZ$1,),))</f>
        <v/>
      </c>
      <c r="C44" s="24">
        <f>Table13468111214151617181920222530[[#This Row],[PMI]]-B43</f>
        <v/>
      </c>
    </row>
    <row r="45">
      <c r="A45" s="10" t="n">
        <v>41821</v>
      </c>
      <c r="B45" s="18">
        <f>IF(VLOOKUP(A45,'DB Country PMI'!$A:$AZ,MATCH($A$1,'DB Country PMI'!$A$1:$AZ$1,),)=0,#N/A,VLOOKUP(A45,'DB Country PMI'!$A:$AZ,MATCH($A$1,'DB Country PMI'!$A$1:$AZ$1,),))</f>
        <v/>
      </c>
      <c r="C45" s="24">
        <f>Table13468111214151617181920222530[[#This Row],[PMI]]-B44</f>
        <v/>
      </c>
    </row>
    <row r="46">
      <c r="A46" s="10" t="n">
        <v>41852</v>
      </c>
      <c r="B46" s="18">
        <f>IF(VLOOKUP(A46,'DB Country PMI'!$A:$AZ,MATCH($A$1,'DB Country PMI'!$A$1:$AZ$1,),)=0,#N/A,VLOOKUP(A46,'DB Country PMI'!$A:$AZ,MATCH($A$1,'DB Country PMI'!$A$1:$AZ$1,),))</f>
        <v/>
      </c>
      <c r="C46" s="24">
        <f>Table13468111214151617181920222530[[#This Row],[PMI]]-B45</f>
        <v/>
      </c>
    </row>
    <row r="47">
      <c r="A47" s="10" t="n">
        <v>41883</v>
      </c>
      <c r="B47" s="18">
        <f>IF(VLOOKUP(A47,'DB Country PMI'!$A:$AZ,MATCH($A$1,'DB Country PMI'!$A$1:$AZ$1,),)=0,#N/A,VLOOKUP(A47,'DB Country PMI'!$A:$AZ,MATCH($A$1,'DB Country PMI'!$A$1:$AZ$1,),))</f>
        <v/>
      </c>
      <c r="C47" s="24">
        <f>Table13468111214151617181920222530[[#This Row],[PMI]]-B46</f>
        <v/>
      </c>
    </row>
    <row r="48">
      <c r="A48" s="10" t="n">
        <v>41913</v>
      </c>
      <c r="B48" s="18">
        <f>IF(VLOOKUP(A48,'DB Country PMI'!$A:$AZ,MATCH($A$1,'DB Country PMI'!$A$1:$AZ$1,),)=0,#N/A,VLOOKUP(A48,'DB Country PMI'!$A:$AZ,MATCH($A$1,'DB Country PMI'!$A$1:$AZ$1,),))</f>
        <v/>
      </c>
      <c r="C48" s="24">
        <f>Table13468111214151617181920222530[[#This Row],[PMI]]-B47</f>
        <v/>
      </c>
    </row>
    <row r="49">
      <c r="A49" s="10" t="n">
        <v>41944</v>
      </c>
      <c r="B49" s="18">
        <f>IF(VLOOKUP(A49,'DB Country PMI'!$A:$AZ,MATCH($A$1,'DB Country PMI'!$A$1:$AZ$1,),)=0,#N/A,VLOOKUP(A49,'DB Country PMI'!$A:$AZ,MATCH($A$1,'DB Country PMI'!$A$1:$AZ$1,),))</f>
        <v/>
      </c>
      <c r="C49" s="24">
        <f>Table13468111214151617181920222530[[#This Row],[PMI]]-B48</f>
        <v/>
      </c>
    </row>
    <row r="50">
      <c r="A50" s="10" t="n">
        <v>41974</v>
      </c>
      <c r="B50" s="18">
        <f>IF(VLOOKUP(A50,'DB Country PMI'!$A:$AZ,MATCH($A$1,'DB Country PMI'!$A$1:$AZ$1,),)=0,#N/A,VLOOKUP(A50,'DB Country PMI'!$A:$AZ,MATCH($A$1,'DB Country PMI'!$A$1:$AZ$1,),))</f>
        <v/>
      </c>
      <c r="C50" s="24">
        <f>Table13468111214151617181920222530[[#This Row],[PMI]]-B49</f>
        <v/>
      </c>
    </row>
    <row r="51">
      <c r="A51" s="10" t="n">
        <v>42005</v>
      </c>
      <c r="B51" s="18">
        <f>IF(VLOOKUP(A51,'DB Country PMI'!$A:$AZ,MATCH($A$1,'DB Country PMI'!$A$1:$AZ$1,),)=0,#N/A,VLOOKUP(A51,'DB Country PMI'!$A:$AZ,MATCH($A$1,'DB Country PMI'!$A$1:$AZ$1,),))</f>
        <v/>
      </c>
      <c r="C51" s="24">
        <f>Table13468111214151617181920222530[[#This Row],[PMI]]-B50</f>
        <v/>
      </c>
    </row>
    <row r="52">
      <c r="A52" s="10" t="n">
        <v>42036</v>
      </c>
      <c r="B52" s="18">
        <f>IF(VLOOKUP(A52,'DB Country PMI'!$A:$AZ,MATCH($A$1,'DB Country PMI'!$A$1:$AZ$1,),)=0,#N/A,VLOOKUP(A52,'DB Country PMI'!$A:$AZ,MATCH($A$1,'DB Country PMI'!$A$1:$AZ$1,),))</f>
        <v/>
      </c>
      <c r="C52" s="24">
        <f>Table13468111214151617181920222530[[#This Row],[PMI]]-B51</f>
        <v/>
      </c>
    </row>
    <row r="53">
      <c r="A53" s="10" t="n">
        <v>42064</v>
      </c>
      <c r="B53" s="18">
        <f>IF(VLOOKUP(A53,'DB Country PMI'!$A:$AZ,MATCH($A$1,'DB Country PMI'!$A$1:$AZ$1,),)=0,#N/A,VLOOKUP(A53,'DB Country PMI'!$A:$AZ,MATCH($A$1,'DB Country PMI'!$A$1:$AZ$1,),))</f>
        <v/>
      </c>
      <c r="C53" s="24">
        <f>Table13468111214151617181920222530[[#This Row],[PMI]]-B52</f>
        <v/>
      </c>
    </row>
    <row r="54">
      <c r="A54" s="10" t="n">
        <v>42095</v>
      </c>
      <c r="B54" s="18">
        <f>IF(VLOOKUP(A54,'DB Country PMI'!$A:$AZ,MATCH($A$1,'DB Country PMI'!$A$1:$AZ$1,),)=0,#N/A,VLOOKUP(A54,'DB Country PMI'!$A:$AZ,MATCH($A$1,'DB Country PMI'!$A$1:$AZ$1,),))</f>
        <v/>
      </c>
      <c r="C54" s="24">
        <f>Table13468111214151617181920222530[[#This Row],[PMI]]-B53</f>
        <v/>
      </c>
    </row>
    <row r="55">
      <c r="A55" s="10" t="n">
        <v>42125</v>
      </c>
      <c r="B55" s="18">
        <f>IF(VLOOKUP(A55,'DB Country PMI'!$A:$AZ,MATCH($A$1,'DB Country PMI'!$A$1:$AZ$1,),)=0,#N/A,VLOOKUP(A55,'DB Country PMI'!$A:$AZ,MATCH($A$1,'DB Country PMI'!$A$1:$AZ$1,),))</f>
        <v/>
      </c>
      <c r="C55" s="24">
        <f>Table13468111214151617181920222530[[#This Row],[PMI]]-B54</f>
        <v/>
      </c>
    </row>
    <row r="56">
      <c r="A56" s="10" t="n">
        <v>42156</v>
      </c>
      <c r="B56" s="18">
        <f>IF(VLOOKUP(A56,'DB Country PMI'!$A:$AZ,MATCH($A$1,'DB Country PMI'!$A$1:$AZ$1,),)=0,#N/A,VLOOKUP(A56,'DB Country PMI'!$A:$AZ,MATCH($A$1,'DB Country PMI'!$A$1:$AZ$1,),))</f>
        <v/>
      </c>
      <c r="C56" s="24">
        <f>Table13468111214151617181920222530[[#This Row],[PMI]]-B55</f>
        <v/>
      </c>
    </row>
    <row r="57">
      <c r="A57" s="10" t="n">
        <v>42186</v>
      </c>
      <c r="B57" s="18">
        <f>IF(VLOOKUP(A57,'DB Country PMI'!$A:$AZ,MATCH($A$1,'DB Country PMI'!$A$1:$AZ$1,),)=0,#N/A,VLOOKUP(A57,'DB Country PMI'!$A:$AZ,MATCH($A$1,'DB Country PMI'!$A$1:$AZ$1,),))</f>
        <v/>
      </c>
      <c r="C57" s="24">
        <f>Table13468111214151617181920222530[[#This Row],[PMI]]-B56</f>
        <v/>
      </c>
    </row>
    <row r="58">
      <c r="A58" s="10" t="n">
        <v>42217</v>
      </c>
      <c r="B58" s="18">
        <f>IF(VLOOKUP(A58,'DB Country PMI'!$A:$AZ,MATCH($A$1,'DB Country PMI'!$A$1:$AZ$1,),)=0,#N/A,VLOOKUP(A58,'DB Country PMI'!$A:$AZ,MATCH($A$1,'DB Country PMI'!$A$1:$AZ$1,),))</f>
        <v/>
      </c>
      <c r="C58" s="24">
        <f>Table13468111214151617181920222530[[#This Row],[PMI]]-B57</f>
        <v/>
      </c>
    </row>
    <row r="59">
      <c r="A59" s="10" t="n">
        <v>42248</v>
      </c>
      <c r="B59" s="18">
        <f>IF(VLOOKUP(A59,'DB Country PMI'!$A:$AZ,MATCH($A$1,'DB Country PMI'!$A$1:$AZ$1,),)=0,#N/A,VLOOKUP(A59,'DB Country PMI'!$A:$AZ,MATCH($A$1,'DB Country PMI'!$A$1:$AZ$1,),))</f>
        <v/>
      </c>
      <c r="C59" s="24">
        <f>Table13468111214151617181920222530[[#This Row],[PMI]]-B58</f>
        <v/>
      </c>
    </row>
    <row r="60">
      <c r="A60" s="10" t="n">
        <v>42278</v>
      </c>
      <c r="B60" s="18">
        <f>IF(VLOOKUP(A60,'DB Country PMI'!$A:$AZ,MATCH($A$1,'DB Country PMI'!$A$1:$AZ$1,),)=0,#N/A,VLOOKUP(A60,'DB Country PMI'!$A:$AZ,MATCH($A$1,'DB Country PMI'!$A$1:$AZ$1,),))</f>
        <v/>
      </c>
      <c r="C60" s="24">
        <f>Table13468111214151617181920222530[[#This Row],[PMI]]-B59</f>
        <v/>
      </c>
    </row>
    <row r="61">
      <c r="A61" s="10" t="n">
        <v>42309</v>
      </c>
      <c r="B61" s="18">
        <f>IF(VLOOKUP(A61,'DB Country PMI'!$A:$AZ,MATCH($A$1,'DB Country PMI'!$A$1:$AZ$1,),)=0,#N/A,VLOOKUP(A61,'DB Country PMI'!$A:$AZ,MATCH($A$1,'DB Country PMI'!$A$1:$AZ$1,),))</f>
        <v/>
      </c>
      <c r="C61" s="24">
        <f>Table13468111214151617181920222530[[#This Row],[PMI]]-B60</f>
        <v/>
      </c>
    </row>
    <row r="62">
      <c r="A62" s="10" t="n">
        <v>42339</v>
      </c>
      <c r="B62" s="18">
        <f>IF(VLOOKUP(A62,'DB Country PMI'!$A:$AZ,MATCH($A$1,'DB Country PMI'!$A$1:$AZ$1,),)=0,#N/A,VLOOKUP(A62,'DB Country PMI'!$A:$AZ,MATCH($A$1,'DB Country PMI'!$A$1:$AZ$1,),))</f>
        <v/>
      </c>
      <c r="C62" s="24">
        <f>Table13468111214151617181920222530[[#This Row],[PMI]]-B61</f>
        <v/>
      </c>
    </row>
    <row r="63">
      <c r="A63" s="10" t="n">
        <v>42370</v>
      </c>
      <c r="B63" s="18">
        <f>IF(VLOOKUP(A63,'DB Country PMI'!$A:$AZ,MATCH($A$1,'DB Country PMI'!$A$1:$AZ$1,),)=0,#N/A,VLOOKUP(A63,'DB Country PMI'!$A:$AZ,MATCH($A$1,'DB Country PMI'!$A$1:$AZ$1,),))</f>
        <v/>
      </c>
      <c r="C63" s="24">
        <f>Table13468111214151617181920222530[[#This Row],[PMI]]-B62</f>
        <v/>
      </c>
    </row>
    <row r="64">
      <c r="A64" s="10" t="n">
        <v>42401</v>
      </c>
      <c r="B64" s="18">
        <f>IF(VLOOKUP(A64,'DB Country PMI'!$A:$AZ,MATCH($A$1,'DB Country PMI'!$A$1:$AZ$1,),)=0,#N/A,VLOOKUP(A64,'DB Country PMI'!$A:$AZ,MATCH($A$1,'DB Country PMI'!$A$1:$AZ$1,),))</f>
        <v/>
      </c>
      <c r="C64" s="24">
        <f>Table13468111214151617181920222530[[#This Row],[PMI]]-B63</f>
        <v/>
      </c>
    </row>
    <row r="65">
      <c r="A65" s="10" t="n">
        <v>42430</v>
      </c>
      <c r="B65" s="18">
        <f>IF(VLOOKUP(A65,'DB Country PMI'!$A:$AZ,MATCH($A$1,'DB Country PMI'!$A$1:$AZ$1,),)=0,#N/A,VLOOKUP(A65,'DB Country PMI'!$A:$AZ,MATCH($A$1,'DB Country PMI'!$A$1:$AZ$1,),))</f>
        <v/>
      </c>
      <c r="C65" s="24">
        <f>Table13468111214151617181920222530[[#This Row],[PMI]]-B64</f>
        <v/>
      </c>
    </row>
    <row r="66">
      <c r="A66" s="10" t="n">
        <v>42461</v>
      </c>
      <c r="B66" s="18">
        <f>IF(VLOOKUP(A66,'DB Country PMI'!$A:$AZ,MATCH($A$1,'DB Country PMI'!$A$1:$AZ$1,),)=0,#N/A,VLOOKUP(A66,'DB Country PMI'!$A:$AZ,MATCH($A$1,'DB Country PMI'!$A$1:$AZ$1,),))</f>
        <v/>
      </c>
      <c r="C66" s="24">
        <f>Table13468111214151617181920222530[[#This Row],[PMI]]-B65</f>
        <v/>
      </c>
    </row>
    <row r="67">
      <c r="A67" s="10" t="n">
        <v>42491</v>
      </c>
      <c r="B67" s="18">
        <f>IF(VLOOKUP(A67,'DB Country PMI'!$A:$AZ,MATCH($A$1,'DB Country PMI'!$A$1:$AZ$1,),)=0,#N/A,VLOOKUP(A67,'DB Country PMI'!$A:$AZ,MATCH($A$1,'DB Country PMI'!$A$1:$AZ$1,),))</f>
        <v/>
      </c>
      <c r="C67" s="24">
        <f>Table13468111214151617181920222530[[#This Row],[PMI]]-B66</f>
        <v/>
      </c>
    </row>
    <row r="68">
      <c r="A68" s="10" t="n">
        <v>42522</v>
      </c>
      <c r="B68" s="18">
        <f>IF(VLOOKUP(A68,'DB Country PMI'!$A:$AZ,MATCH($A$1,'DB Country PMI'!$A$1:$AZ$1,),)=0,#N/A,VLOOKUP(A68,'DB Country PMI'!$A:$AZ,MATCH($A$1,'DB Country PMI'!$A$1:$AZ$1,),))</f>
        <v/>
      </c>
      <c r="C68" s="24">
        <f>Table13468111214151617181920222530[[#This Row],[PMI]]-B67</f>
        <v/>
      </c>
    </row>
    <row r="69">
      <c r="A69" s="10" t="n">
        <v>42552</v>
      </c>
      <c r="B69" s="18">
        <f>IF(VLOOKUP(A69,'DB Country PMI'!$A:$AZ,MATCH($A$1,'DB Country PMI'!$A$1:$AZ$1,),)=0,#N/A,VLOOKUP(A69,'DB Country PMI'!$A:$AZ,MATCH($A$1,'DB Country PMI'!$A$1:$AZ$1,),))</f>
        <v/>
      </c>
      <c r="C69" s="24">
        <f>Table13468111214151617181920222530[[#This Row],[PMI]]-B68</f>
        <v/>
      </c>
    </row>
    <row r="70">
      <c r="A70" s="10" t="n">
        <v>42583</v>
      </c>
      <c r="B70" s="18">
        <f>IF(VLOOKUP(A70,'DB Country PMI'!$A:$AZ,MATCH($A$1,'DB Country PMI'!$A$1:$AZ$1,),)=0,#N/A,VLOOKUP(A70,'DB Country PMI'!$A:$AZ,MATCH($A$1,'DB Country PMI'!$A$1:$AZ$1,),))</f>
        <v/>
      </c>
      <c r="C70" s="24">
        <f>Table13468111214151617181920222530[[#This Row],[PMI]]-B69</f>
        <v/>
      </c>
    </row>
    <row r="71">
      <c r="A71" s="10" t="n">
        <v>42614</v>
      </c>
      <c r="B71" s="18">
        <f>IF(VLOOKUP(A71,'DB Country PMI'!$A:$AZ,MATCH($A$1,'DB Country PMI'!$A$1:$AZ$1,),)=0,#N/A,VLOOKUP(A71,'DB Country PMI'!$A:$AZ,MATCH($A$1,'DB Country PMI'!$A$1:$AZ$1,),))</f>
        <v/>
      </c>
      <c r="C71" s="24">
        <f>Table13468111214151617181920222530[[#This Row],[PMI]]-B70</f>
        <v/>
      </c>
    </row>
    <row r="72">
      <c r="A72" s="10" t="n">
        <v>42644</v>
      </c>
      <c r="B72" s="18">
        <f>IF(VLOOKUP(A72,'DB Country PMI'!$A:$AZ,MATCH($A$1,'DB Country PMI'!$A$1:$AZ$1,),)=0,#N/A,VLOOKUP(A72,'DB Country PMI'!$A:$AZ,MATCH($A$1,'DB Country PMI'!$A$1:$AZ$1,),))</f>
        <v/>
      </c>
      <c r="C72" s="24">
        <f>Table13468111214151617181920222530[[#This Row],[PMI]]-B71</f>
        <v/>
      </c>
    </row>
    <row r="73">
      <c r="A73" s="10" t="n">
        <v>42675</v>
      </c>
      <c r="B73" s="18">
        <f>IF(VLOOKUP(A73,'DB Country PMI'!$A:$AZ,MATCH($A$1,'DB Country PMI'!$A$1:$AZ$1,),)=0,#N/A,VLOOKUP(A73,'DB Country PMI'!$A:$AZ,MATCH($A$1,'DB Country PMI'!$A$1:$AZ$1,),))</f>
        <v/>
      </c>
      <c r="C73" s="24">
        <f>Table13468111214151617181920222530[[#This Row],[PMI]]-B72</f>
        <v/>
      </c>
    </row>
    <row r="74">
      <c r="A74" s="10" t="n">
        <v>42705</v>
      </c>
      <c r="B74" s="18">
        <f>IF(VLOOKUP(A74,'DB Country PMI'!$A:$AZ,MATCH($A$1,'DB Country PMI'!$A$1:$AZ$1,),)=0,#N/A,VLOOKUP(A74,'DB Country PMI'!$A:$AZ,MATCH($A$1,'DB Country PMI'!$A$1:$AZ$1,),))</f>
        <v/>
      </c>
      <c r="C74" s="24">
        <f>Table13468111214151617181920222530[[#This Row],[PMI]]-B73</f>
        <v/>
      </c>
    </row>
    <row r="75">
      <c r="A75" s="10" t="n">
        <v>42736</v>
      </c>
      <c r="B75" s="18">
        <f>IF(VLOOKUP(A75,'DB Country PMI'!$A:$AZ,MATCH($A$1,'DB Country PMI'!$A$1:$AZ$1,),)=0,#N/A,VLOOKUP(A75,'DB Country PMI'!$A:$AZ,MATCH($A$1,'DB Country PMI'!$A$1:$AZ$1,),))</f>
        <v/>
      </c>
      <c r="C75" s="24">
        <f>Table13468111214151617181920222530[[#This Row],[PMI]]-B74</f>
        <v/>
      </c>
    </row>
    <row r="76">
      <c r="A76" s="10" t="n">
        <v>42767</v>
      </c>
      <c r="B76" s="18">
        <f>IF(VLOOKUP(A76,'DB Country PMI'!$A:$AZ,MATCH($A$1,'DB Country PMI'!$A$1:$AZ$1,),)=0,#N/A,VLOOKUP(A76,'DB Country PMI'!$A:$AZ,MATCH($A$1,'DB Country PMI'!$A$1:$AZ$1,),))</f>
        <v/>
      </c>
      <c r="C76" s="24">
        <f>Table13468111214151617181920222530[[#This Row],[PMI]]-B75</f>
        <v/>
      </c>
    </row>
    <row r="77">
      <c r="A77" s="10" t="n">
        <v>42795</v>
      </c>
      <c r="B77" s="18">
        <f>IF(VLOOKUP(A77,'DB Country PMI'!$A:$AZ,MATCH($A$1,'DB Country PMI'!$A$1:$AZ$1,),)=0,#N/A,VLOOKUP(A77,'DB Country PMI'!$A:$AZ,MATCH($A$1,'DB Country PMI'!$A$1:$AZ$1,),))</f>
        <v/>
      </c>
      <c r="C77" s="24">
        <f>Table13468111214151617181920222530[[#This Row],[PMI]]-B76</f>
        <v/>
      </c>
    </row>
    <row r="78">
      <c r="A78" s="10" t="n">
        <v>42826</v>
      </c>
      <c r="B78" s="18">
        <f>IF(VLOOKUP(A78,'DB Country PMI'!$A:$AZ,MATCH($A$1,'DB Country PMI'!$A$1:$AZ$1,),)=0,#N/A,VLOOKUP(A78,'DB Country PMI'!$A:$AZ,MATCH($A$1,'DB Country PMI'!$A$1:$AZ$1,),))</f>
        <v/>
      </c>
      <c r="C78" s="24">
        <f>Table13468111214151617181920222530[[#This Row],[PMI]]-B77</f>
        <v/>
      </c>
    </row>
    <row r="79">
      <c r="A79" s="10" t="n">
        <v>42856</v>
      </c>
      <c r="B79" s="18">
        <f>IF(VLOOKUP(A79,'DB Country PMI'!$A:$AZ,MATCH($A$1,'DB Country PMI'!$A$1:$AZ$1,),)=0,#N/A,VLOOKUP(A79,'DB Country PMI'!$A:$AZ,MATCH($A$1,'DB Country PMI'!$A$1:$AZ$1,),))</f>
        <v/>
      </c>
      <c r="C79" s="24">
        <f>Table13468111214151617181920222530[[#This Row],[PMI]]-B78</f>
        <v/>
      </c>
    </row>
    <row r="80">
      <c r="A80" s="10" t="n">
        <v>42887</v>
      </c>
      <c r="B80" s="18">
        <f>IF(VLOOKUP(A80,'DB Country PMI'!$A:$AZ,MATCH($A$1,'DB Country PMI'!$A$1:$AZ$1,),)=0,#N/A,VLOOKUP(A80,'DB Country PMI'!$A:$AZ,MATCH($A$1,'DB Country PMI'!$A$1:$AZ$1,),))</f>
        <v/>
      </c>
      <c r="C80" s="24">
        <f>Table13468111214151617181920222530[[#This Row],[PMI]]-B79</f>
        <v/>
      </c>
    </row>
    <row r="81">
      <c r="A81" s="10" t="n">
        <v>42917</v>
      </c>
      <c r="B81" s="18">
        <f>IF(VLOOKUP(A81,'DB Country PMI'!$A:$AZ,MATCH($A$1,'DB Country PMI'!$A$1:$AZ$1,),)=0,#N/A,VLOOKUP(A81,'DB Country PMI'!$A:$AZ,MATCH($A$1,'DB Country PMI'!$A$1:$AZ$1,),))</f>
        <v/>
      </c>
      <c r="C81" s="24">
        <f>Table13468111214151617181920222530[[#This Row],[PMI]]-B80</f>
        <v/>
      </c>
    </row>
    <row r="82">
      <c r="A82" s="10" t="n">
        <v>42948</v>
      </c>
      <c r="B82" s="18">
        <f>IF(VLOOKUP(A82,'DB Country PMI'!$A:$AZ,MATCH($A$1,'DB Country PMI'!$A$1:$AZ$1,),)=0,#N/A,VLOOKUP(A82,'DB Country PMI'!$A:$AZ,MATCH($A$1,'DB Country PMI'!$A$1:$AZ$1,),))</f>
        <v/>
      </c>
      <c r="C82" s="24">
        <f>Table13468111214151617181920222530[[#This Row],[PMI]]-B81</f>
        <v/>
      </c>
    </row>
    <row r="83">
      <c r="A83" s="10" t="n">
        <v>42979</v>
      </c>
      <c r="B83" s="18">
        <f>IF(VLOOKUP(A83,'DB Country PMI'!$A:$AZ,MATCH($A$1,'DB Country PMI'!$A$1:$AZ$1,),)=0,#N/A,VLOOKUP(A83,'DB Country PMI'!$A:$AZ,MATCH($A$1,'DB Country PMI'!$A$1:$AZ$1,),))</f>
        <v/>
      </c>
      <c r="C83" s="24">
        <f>Table13468111214151617181920222530[[#This Row],[PMI]]-B82</f>
        <v/>
      </c>
    </row>
    <row r="84">
      <c r="A84" s="10" t="n">
        <v>43009</v>
      </c>
      <c r="B84" s="18">
        <f>IF(VLOOKUP(A84,'DB Country PMI'!$A:$AZ,MATCH($A$1,'DB Country PMI'!$A$1:$AZ$1,),)=0,#N/A,VLOOKUP(A84,'DB Country PMI'!$A:$AZ,MATCH($A$1,'DB Country PMI'!$A$1:$AZ$1,),))</f>
        <v/>
      </c>
      <c r="C84" s="24">
        <f>Table13468111214151617181920222530[[#This Row],[PMI]]-B83</f>
        <v/>
      </c>
    </row>
    <row r="85">
      <c r="A85" s="10" t="n">
        <v>43040</v>
      </c>
      <c r="B85" s="18">
        <f>IF(VLOOKUP(A85,'DB Country PMI'!$A:$AZ,MATCH($A$1,'DB Country PMI'!$A$1:$AZ$1,),)=0,#N/A,VLOOKUP(A85,'DB Country PMI'!$A:$AZ,MATCH($A$1,'DB Country PMI'!$A$1:$AZ$1,),))</f>
        <v/>
      </c>
      <c r="C85" s="24">
        <f>Table13468111214151617181920222530[[#This Row],[PMI]]-B84</f>
        <v/>
      </c>
    </row>
    <row r="86">
      <c r="A86" s="10" t="n">
        <v>43070</v>
      </c>
      <c r="B86" s="18">
        <f>IF(VLOOKUP(A86,'DB Country PMI'!$A:$AZ,MATCH($A$1,'DB Country PMI'!$A$1:$AZ$1,),)=0,#N/A,VLOOKUP(A86,'DB Country PMI'!$A:$AZ,MATCH($A$1,'DB Country PMI'!$A$1:$AZ$1,),))</f>
        <v/>
      </c>
      <c r="C86" s="24">
        <f>Table13468111214151617181920222530[[#This Row],[PMI]]-B85</f>
        <v/>
      </c>
    </row>
    <row r="87">
      <c r="A87" s="10" t="n">
        <v>43101</v>
      </c>
      <c r="B87" s="18">
        <f>IF(VLOOKUP(A87,'DB Country PMI'!$A:$AZ,MATCH($A$1,'DB Country PMI'!$A$1:$AZ$1,),)=0,#N/A,VLOOKUP(A87,'DB Country PMI'!$A:$AZ,MATCH($A$1,'DB Country PMI'!$A$1:$AZ$1,),))</f>
        <v/>
      </c>
      <c r="C87" s="24">
        <f>Table13468111214151617181920222530[[#This Row],[PMI]]-B86</f>
        <v/>
      </c>
    </row>
    <row r="88">
      <c r="A88" s="10" t="n">
        <v>43132</v>
      </c>
      <c r="B88" s="18">
        <f>IF(VLOOKUP(A88,'DB Country PMI'!$A:$AZ,MATCH($A$1,'DB Country PMI'!$A$1:$AZ$1,),)=0,#N/A,VLOOKUP(A88,'DB Country PMI'!$A:$AZ,MATCH($A$1,'DB Country PMI'!$A$1:$AZ$1,),))</f>
        <v/>
      </c>
      <c r="C88" s="24">
        <f>Table13468111214151617181920222530[[#This Row],[PMI]]-B87</f>
        <v/>
      </c>
    </row>
    <row r="89">
      <c r="A89" s="10" t="n">
        <v>43160</v>
      </c>
      <c r="B89" s="18">
        <f>IF(VLOOKUP(A89,'DB Country PMI'!$A:$AZ,MATCH($A$1,'DB Country PMI'!$A$1:$AZ$1,),)=0,#N/A,VLOOKUP(A89,'DB Country PMI'!$A:$AZ,MATCH($A$1,'DB Country PMI'!$A$1:$AZ$1,),))</f>
        <v/>
      </c>
      <c r="C89" s="24">
        <f>Table13468111214151617181920222530[[#This Row],[PMI]]-B88</f>
        <v/>
      </c>
    </row>
    <row r="90">
      <c r="A90" s="10" t="n">
        <v>43191</v>
      </c>
      <c r="B90" s="18">
        <f>IF(VLOOKUP(A90,'DB Country PMI'!$A:$AZ,MATCH($A$1,'DB Country PMI'!$A$1:$AZ$1,),)=0,#N/A,VLOOKUP(A90,'DB Country PMI'!$A:$AZ,MATCH($A$1,'DB Country PMI'!$A$1:$AZ$1,),))</f>
        <v/>
      </c>
      <c r="C90" s="24">
        <f>Table13468111214151617181920222530[[#This Row],[PMI]]-B89</f>
        <v/>
      </c>
    </row>
    <row r="91">
      <c r="A91" s="10" t="n">
        <v>43221</v>
      </c>
      <c r="B91" s="18">
        <f>IF(VLOOKUP(A91,'DB Country PMI'!$A:$AZ,MATCH($A$1,'DB Country PMI'!$A$1:$AZ$1,),)=0,#N/A,VLOOKUP(A91,'DB Country PMI'!$A:$AZ,MATCH($A$1,'DB Country PMI'!$A$1:$AZ$1,),))</f>
        <v/>
      </c>
      <c r="C91" s="24">
        <f>Table13468111214151617181920222530[[#This Row],[PMI]]-B90</f>
        <v/>
      </c>
    </row>
    <row r="92">
      <c r="A92" s="10" t="n">
        <v>43252</v>
      </c>
      <c r="B92" s="18">
        <f>IF(VLOOKUP(A92,'DB Country PMI'!$A:$AZ,MATCH($A$1,'DB Country PMI'!$A$1:$AZ$1,),)=0,#N/A,VLOOKUP(A92,'DB Country PMI'!$A:$AZ,MATCH($A$1,'DB Country PMI'!$A$1:$AZ$1,),))</f>
        <v/>
      </c>
      <c r="C92" s="24">
        <f>Table13468111214151617181920222530[[#This Row],[PMI]]-B91</f>
        <v/>
      </c>
    </row>
    <row r="93">
      <c r="A93" s="10" t="n">
        <v>43282</v>
      </c>
      <c r="B93" s="18">
        <f>IF(VLOOKUP(A93,'DB Country PMI'!$A:$AZ,MATCH($A$1,'DB Country PMI'!$A$1:$AZ$1,),)=0,#N/A,VLOOKUP(A93,'DB Country PMI'!$A:$AZ,MATCH($A$1,'DB Country PMI'!$A$1:$AZ$1,),))</f>
        <v/>
      </c>
      <c r="C93" s="24">
        <f>Table13468111214151617181920222530[[#This Row],[PMI]]-B92</f>
        <v/>
      </c>
    </row>
    <row r="94">
      <c r="A94" s="10" t="n">
        <v>43313</v>
      </c>
      <c r="B94" s="18">
        <f>IF(VLOOKUP(A94,'DB Country PMI'!$A:$AZ,MATCH($A$1,'DB Country PMI'!$A$1:$AZ$1,),)=0,#N/A,VLOOKUP(A94,'DB Country PMI'!$A:$AZ,MATCH($A$1,'DB Country PMI'!$A$1:$AZ$1,),))</f>
        <v/>
      </c>
      <c r="C94" s="24">
        <f>Table13468111214151617181920222530[[#This Row],[PMI]]-B93</f>
        <v/>
      </c>
    </row>
    <row r="95">
      <c r="A95" s="10" t="n">
        <v>43344</v>
      </c>
      <c r="B95" s="18">
        <f>IF(VLOOKUP(A95,'DB Country PMI'!$A:$AZ,MATCH($A$1,'DB Country PMI'!$A$1:$AZ$1,),)=0,#N/A,VLOOKUP(A95,'DB Country PMI'!$A:$AZ,MATCH($A$1,'DB Country PMI'!$A$1:$AZ$1,),))</f>
        <v/>
      </c>
      <c r="C95" s="24">
        <f>Table13468111214151617181920222530[[#This Row],[PMI]]-B94</f>
        <v/>
      </c>
    </row>
    <row r="96">
      <c r="A96" s="10" t="n">
        <v>43374</v>
      </c>
      <c r="B96" s="18">
        <f>IF(VLOOKUP(A96,'DB Country PMI'!$A:$AZ,MATCH($A$1,'DB Country PMI'!$A$1:$AZ$1,),)=0,#N/A,VLOOKUP(A96,'DB Country PMI'!$A:$AZ,MATCH($A$1,'DB Country PMI'!$A$1:$AZ$1,),))</f>
        <v/>
      </c>
      <c r="C96" s="24">
        <f>Table13468111214151617181920222530[[#This Row],[PMI]]-B95</f>
        <v/>
      </c>
    </row>
    <row r="97">
      <c r="A97" s="10" t="n">
        <v>43405</v>
      </c>
      <c r="B97" s="18">
        <f>IF(VLOOKUP(A97,'DB Country PMI'!$A:$AZ,MATCH($A$1,'DB Country PMI'!$A$1:$AZ$1,),)=0,#N/A,VLOOKUP(A97,'DB Country PMI'!$A:$AZ,MATCH($A$1,'DB Country PMI'!$A$1:$AZ$1,),))</f>
        <v/>
      </c>
      <c r="C97" s="24">
        <f>Table13468111214151617181920222530[[#This Row],[PMI]]-B96</f>
        <v/>
      </c>
    </row>
    <row r="98">
      <c r="A98" s="10" t="n">
        <v>43435</v>
      </c>
      <c r="B98" s="18">
        <f>IF(VLOOKUP(A98,'DB Country PMI'!$A:$AZ,MATCH($A$1,'DB Country PMI'!$A$1:$AZ$1,),)=0,#N/A,VLOOKUP(A98,'DB Country PMI'!$A:$AZ,MATCH($A$1,'DB Country PMI'!$A$1:$AZ$1,),))</f>
        <v/>
      </c>
      <c r="C98" s="24">
        <f>Table13468111214151617181920222530[[#This Row],[PMI]]-B97</f>
        <v/>
      </c>
    </row>
    <row r="99">
      <c r="A99" s="10" t="n">
        <v>43466</v>
      </c>
      <c r="B99" s="18">
        <f>IF(VLOOKUP(A99,'DB Country PMI'!$A:$AZ,MATCH($A$1,'DB Country PMI'!$A$1:$AZ$1,),)=0,#N/A,VLOOKUP(A99,'DB Country PMI'!$A:$AZ,MATCH($A$1,'DB Country PMI'!$A$1:$AZ$1,),))</f>
        <v/>
      </c>
      <c r="C99" s="24">
        <f>Table13468111214151617181920222530[[#This Row],[PMI]]-B98</f>
        <v/>
      </c>
    </row>
    <row r="100">
      <c r="A100" s="10" t="n">
        <v>43497</v>
      </c>
      <c r="B100" s="18">
        <f>IF(VLOOKUP(A100,'DB Country PMI'!$A:$AZ,MATCH($A$1,'DB Country PMI'!$A$1:$AZ$1,),)=0,#N/A,VLOOKUP(A100,'DB Country PMI'!$A:$AZ,MATCH($A$1,'DB Country PMI'!$A$1:$AZ$1,),))</f>
        <v/>
      </c>
      <c r="C100" s="24">
        <f>Table13468111214151617181920222530[[#This Row],[PMI]]-B99</f>
        <v/>
      </c>
    </row>
    <row r="101">
      <c r="A101" s="10" t="n">
        <v>43525</v>
      </c>
      <c r="B101" s="18">
        <f>IF(VLOOKUP(A101,'DB Country PMI'!$A:$AZ,MATCH($A$1,'DB Country PMI'!$A$1:$AZ$1,),)=0,#N/A,VLOOKUP(A101,'DB Country PMI'!$A:$AZ,MATCH($A$1,'DB Country PMI'!$A$1:$AZ$1,),))</f>
        <v/>
      </c>
      <c r="C101" s="24">
        <f>Table13468111214151617181920222530[[#This Row],[PMI]]-B100</f>
        <v/>
      </c>
    </row>
    <row r="102">
      <c r="A102" s="10" t="n">
        <v>43556</v>
      </c>
      <c r="B102" s="18">
        <f>IF(VLOOKUP(A102,'DB Country PMI'!$A:$AZ,MATCH($A$1,'DB Country PMI'!$A$1:$AZ$1,),)=0,#N/A,VLOOKUP(A102,'DB Country PMI'!$A:$AZ,MATCH($A$1,'DB Country PMI'!$A$1:$AZ$1,),))</f>
        <v/>
      </c>
      <c r="C102" s="24">
        <f>Table13468111214151617181920222530[[#This Row],[PMI]]-B101</f>
        <v/>
      </c>
    </row>
    <row r="103">
      <c r="A103" s="10" t="n">
        <v>43586</v>
      </c>
      <c r="B103" s="18">
        <f>IF(VLOOKUP(A103,'DB Country PMI'!$A:$AZ,MATCH($A$1,'DB Country PMI'!$A$1:$AZ$1,),)=0,#N/A,VLOOKUP(A103,'DB Country PMI'!$A:$AZ,MATCH($A$1,'DB Country PMI'!$A$1:$AZ$1,),))</f>
        <v/>
      </c>
      <c r="C103" s="24">
        <f>Table13468111214151617181920222530[[#This Row],[PMI]]-B102</f>
        <v/>
      </c>
    </row>
    <row r="104">
      <c r="A104" s="10" t="n">
        <v>43617</v>
      </c>
      <c r="B104" s="18">
        <f>IF(VLOOKUP(A104,'DB Country PMI'!$A:$AZ,MATCH($A$1,'DB Country PMI'!$A$1:$AZ$1,),)=0,#N/A,VLOOKUP(A104,'DB Country PMI'!$A:$AZ,MATCH($A$1,'DB Country PMI'!$A$1:$AZ$1,),))</f>
        <v/>
      </c>
      <c r="C104" s="24">
        <f>Table13468111214151617181920222530[[#This Row],[PMI]]-B103</f>
        <v/>
      </c>
    </row>
    <row r="105">
      <c r="A105" s="10" t="n">
        <v>43647</v>
      </c>
      <c r="B105" s="18">
        <f>IF(VLOOKUP(A105,'DB Country PMI'!$A:$AZ,MATCH($A$1,'DB Country PMI'!$A$1:$AZ$1,),)=0,#N/A,VLOOKUP(A105,'DB Country PMI'!$A:$AZ,MATCH($A$1,'DB Country PMI'!$A$1:$AZ$1,),))</f>
        <v/>
      </c>
      <c r="C105" s="24">
        <f>Table13468111214151617181920222530[[#This Row],[PMI]]-B104</f>
        <v/>
      </c>
    </row>
    <row r="106">
      <c r="A106" s="10" t="n">
        <v>43678</v>
      </c>
      <c r="B106" s="18">
        <f>IF(VLOOKUP(A106,'DB Country PMI'!$A:$AZ,MATCH($A$1,'DB Country PMI'!$A$1:$AZ$1,),)=0,#N/A,VLOOKUP(A106,'DB Country PMI'!$A:$AZ,MATCH($A$1,'DB Country PMI'!$A$1:$AZ$1,),))</f>
        <v/>
      </c>
      <c r="C106" s="24">
        <f>Table13468111214151617181920222530[[#This Row],[PMI]]-B105</f>
        <v/>
      </c>
    </row>
    <row r="107">
      <c r="A107" s="10" t="n">
        <v>43709</v>
      </c>
      <c r="B107" s="18">
        <f>IF(VLOOKUP(A107,'DB Country PMI'!$A:$AZ,MATCH($A$1,'DB Country PMI'!$A$1:$AZ$1,),)=0,#N/A,VLOOKUP(A107,'DB Country PMI'!$A:$AZ,MATCH($A$1,'DB Country PMI'!$A$1:$AZ$1,),))</f>
        <v/>
      </c>
      <c r="C107" s="24">
        <f>Table13468111214151617181920222530[[#This Row],[PMI]]-B106</f>
        <v/>
      </c>
    </row>
    <row r="108">
      <c r="A108" s="10" t="n">
        <v>43739</v>
      </c>
      <c r="B108" s="18">
        <f>IF(VLOOKUP(A108,'DB Country PMI'!$A:$AZ,MATCH($A$1,'DB Country PMI'!$A$1:$AZ$1,),)=0,#N/A,VLOOKUP(A108,'DB Country PMI'!$A:$AZ,MATCH($A$1,'DB Country PMI'!$A$1:$AZ$1,),))</f>
        <v/>
      </c>
      <c r="C108" s="24">
        <f>Table13468111214151617181920222530[[#This Row],[PMI]]-B107</f>
        <v/>
      </c>
    </row>
    <row r="109">
      <c r="A109" s="10" t="n">
        <v>43770</v>
      </c>
      <c r="B109" s="18">
        <f>IF(VLOOKUP(A109,'DB Country PMI'!$A:$AZ,MATCH($A$1,'DB Country PMI'!$A$1:$AZ$1,),)=0,#N/A,VLOOKUP(A109,'DB Country PMI'!$A:$AZ,MATCH($A$1,'DB Country PMI'!$A$1:$AZ$1,),))</f>
        <v/>
      </c>
      <c r="C109" s="24">
        <f>Table13468111214151617181920222530[[#This Row],[PMI]]-B108</f>
        <v/>
      </c>
    </row>
    <row r="110">
      <c r="A110" s="10" t="n">
        <v>43800</v>
      </c>
      <c r="B110" s="18">
        <f>IF(VLOOKUP(A110,'DB Country PMI'!$A:$AZ,MATCH($A$1,'DB Country PMI'!$A$1:$AZ$1,),)=0,#N/A,VLOOKUP(A110,'DB Country PMI'!$A:$AZ,MATCH($A$1,'DB Country PMI'!$A$1:$AZ$1,),))</f>
        <v/>
      </c>
      <c r="C110" s="24">
        <f>Table13468111214151617181920222530[[#This Row],[PMI]]-B109</f>
        <v/>
      </c>
    </row>
    <row r="111">
      <c r="A111" s="10" t="n">
        <v>43831</v>
      </c>
      <c r="B111" s="18">
        <f>IF(VLOOKUP(A111,'DB Country PMI'!$A:$AZ,MATCH($A$1,'DB Country PMI'!$A$1:$AZ$1,),)=0,#N/A,VLOOKUP(A111,'DB Country PMI'!$A:$AZ,MATCH($A$1,'DB Country PMI'!$A$1:$AZ$1,),))</f>
        <v/>
      </c>
      <c r="C111" s="24">
        <f>Table13468111214151617181920222530[[#This Row],[PMI]]-B110</f>
        <v/>
      </c>
    </row>
    <row r="112">
      <c r="A112" s="10" t="n">
        <v>43862</v>
      </c>
      <c r="B112" s="18">
        <f>IF(VLOOKUP(A112,'DB Country PMI'!$A:$AZ,MATCH($A$1,'DB Country PMI'!$A$1:$AZ$1,),)=0,#N/A,VLOOKUP(A112,'DB Country PMI'!$A:$AZ,MATCH($A$1,'DB Country PMI'!$A$1:$AZ$1,),))</f>
        <v/>
      </c>
      <c r="C112" s="24">
        <f>Table13468111214151617181920222530[[#This Row],[PMI]]-B111</f>
        <v/>
      </c>
    </row>
    <row r="113">
      <c r="A113" s="10" t="n">
        <v>43891</v>
      </c>
      <c r="B113" s="18">
        <f>IF(VLOOKUP(A113,'DB Country PMI'!$A:$AZ,MATCH($A$1,'DB Country PMI'!$A$1:$AZ$1,),)=0,#N/A,VLOOKUP(A113,'DB Country PMI'!$A:$AZ,MATCH($A$1,'DB Country PMI'!$A$1:$AZ$1,),))</f>
        <v/>
      </c>
      <c r="C113" s="24">
        <f>Table13468111214151617181920222530[[#This Row],[PMI]]-B112</f>
        <v/>
      </c>
    </row>
    <row r="114">
      <c r="A114" s="10" t="n">
        <v>43922</v>
      </c>
      <c r="B114" s="18">
        <f>IF(VLOOKUP(A114,'DB Country PMI'!$A:$AZ,MATCH($A$1,'DB Country PMI'!$A$1:$AZ$1,),)=0,#N/A,VLOOKUP(A114,'DB Country PMI'!$A:$AZ,MATCH($A$1,'DB Country PMI'!$A$1:$AZ$1,),))</f>
        <v/>
      </c>
      <c r="C114" s="24">
        <f>Table13468111214151617181920222530[[#This Row],[PMI]]-B113</f>
        <v/>
      </c>
    </row>
    <row r="115">
      <c r="A115" s="10" t="n">
        <v>43952</v>
      </c>
      <c r="B115" s="18">
        <f>IF(VLOOKUP(A115,'DB Country PMI'!$A:$AZ,MATCH($A$1,'DB Country PMI'!$A$1:$AZ$1,),)=0,#N/A,VLOOKUP(A115,'DB Country PMI'!$A:$AZ,MATCH($A$1,'DB Country PMI'!$A$1:$AZ$1,),))</f>
        <v/>
      </c>
      <c r="C115" s="24">
        <f>Table13468111214151617181920222530[[#This Row],[PMI]]-B114</f>
        <v/>
      </c>
    </row>
    <row r="116">
      <c r="A116" s="10" t="n">
        <v>43983</v>
      </c>
      <c r="B116" s="18">
        <f>IF(VLOOKUP(A116,'DB Country PMI'!$A:$AZ,MATCH($A$1,'DB Country PMI'!$A$1:$AZ$1,),)=0,#N/A,VLOOKUP(A116,'DB Country PMI'!$A:$AZ,MATCH($A$1,'DB Country PMI'!$A$1:$AZ$1,),))</f>
        <v/>
      </c>
      <c r="C116" s="24">
        <f>Table13468111214151617181920222530[[#This Row],[PMI]]-B115</f>
        <v/>
      </c>
    </row>
    <row r="117">
      <c r="A117" s="10" t="n">
        <v>44013</v>
      </c>
      <c r="B117" s="18">
        <f>IF(VLOOKUP(A117,'DB Country PMI'!$A:$AZ,MATCH($A$1,'DB Country PMI'!$A$1:$AZ$1,),)=0,#N/A,VLOOKUP(A117,'DB Country PMI'!$A:$AZ,MATCH($A$1,'DB Country PMI'!$A$1:$AZ$1,),))</f>
        <v/>
      </c>
      <c r="C117" s="24">
        <f>Table13468111214151617181920222530[[#This Row],[PMI]]-B116</f>
        <v/>
      </c>
    </row>
    <row r="118">
      <c r="A118" s="10" t="n">
        <v>44044</v>
      </c>
      <c r="B118" s="18">
        <f>IF(VLOOKUP(A118,'DB Country PMI'!$A:$AZ,MATCH($A$1,'DB Country PMI'!$A$1:$AZ$1,),)=0,#N/A,VLOOKUP(A118,'DB Country PMI'!$A:$AZ,MATCH($A$1,'DB Country PMI'!$A$1:$AZ$1,),))</f>
        <v/>
      </c>
      <c r="C118" s="24">
        <f>Table13468111214151617181920222530[[#This Row],[PMI]]-B117</f>
        <v/>
      </c>
    </row>
    <row r="119">
      <c r="A119" s="10" t="n">
        <v>44075</v>
      </c>
      <c r="B119" s="18">
        <f>IF(VLOOKUP(A119,'DB Country PMI'!$A:$AZ,MATCH($A$1,'DB Country PMI'!$A$1:$AZ$1,),)=0,#N/A,VLOOKUP(A119,'DB Country PMI'!$A:$AZ,MATCH($A$1,'DB Country PMI'!$A$1:$AZ$1,),))</f>
        <v/>
      </c>
      <c r="C119" s="24">
        <f>Table13468111214151617181920222530[[#This Row],[PMI]]-B118</f>
        <v/>
      </c>
    </row>
    <row r="120">
      <c r="A120" s="10" t="n">
        <v>44105</v>
      </c>
      <c r="B120" s="18">
        <f>IF(VLOOKUP(A120,'DB Country PMI'!$A:$AZ,MATCH($A$1,'DB Country PMI'!$A$1:$AZ$1,),)=0,#N/A,VLOOKUP(A120,'DB Country PMI'!$A:$AZ,MATCH($A$1,'DB Country PMI'!$A$1:$AZ$1,),))</f>
        <v/>
      </c>
      <c r="C120" s="24">
        <f>Table13468111214151617181920222530[[#This Row],[PMI]]-B119</f>
        <v/>
      </c>
    </row>
    <row r="121">
      <c r="A121" s="10" t="n">
        <v>44136</v>
      </c>
      <c r="B121" s="18">
        <f>IF(VLOOKUP(A121,'DB Country PMI'!$A:$AZ,MATCH($A$1,'DB Country PMI'!$A$1:$AZ$1,),)=0,#N/A,VLOOKUP(A121,'DB Country PMI'!$A:$AZ,MATCH($A$1,'DB Country PMI'!$A$1:$AZ$1,),))</f>
        <v/>
      </c>
      <c r="C121" s="24">
        <f>Table13468111214151617181920222530[[#This Row],[PMI]]-B120</f>
        <v/>
      </c>
    </row>
    <row r="122">
      <c r="A122" s="10" t="n">
        <v>44166</v>
      </c>
      <c r="B122" s="18">
        <f>IF(VLOOKUP(A122,'DB Country PMI'!$A:$AZ,MATCH($A$1,'DB Country PMI'!$A$1:$AZ$1,),)=0,#N/A,VLOOKUP(A122,'DB Country PMI'!$A:$AZ,MATCH($A$1,'DB Country PMI'!$A$1:$AZ$1,),))</f>
        <v/>
      </c>
      <c r="C122" s="24">
        <f>Table13468111214151617181920222530[[#This Row],[PMI]]-B121</f>
        <v/>
      </c>
    </row>
    <row r="123">
      <c r="A123" s="10" t="n">
        <v>44197</v>
      </c>
      <c r="B123" s="18">
        <f>IF(VLOOKUP(A123,'DB Country PMI'!$A:$AZ,MATCH($A$1,'DB Country PMI'!$A$1:$AZ$1,),)=0,#N/A,VLOOKUP(A123,'DB Country PMI'!$A:$AZ,MATCH($A$1,'DB Country PMI'!$A$1:$AZ$1,),))</f>
        <v/>
      </c>
      <c r="C123" s="24">
        <f>Table13468111214151617181920222530[[#This Row],[PMI]]-B122</f>
        <v/>
      </c>
    </row>
    <row r="124">
      <c r="A124" s="10" t="n">
        <v>44228</v>
      </c>
      <c r="B124" s="18">
        <f>IF(VLOOKUP(A124,'DB Country PMI'!$A:$AZ,MATCH($A$1,'DB Country PMI'!$A$1:$AZ$1,),)=0,#N/A,VLOOKUP(A124,'DB Country PMI'!$A:$AZ,MATCH($A$1,'DB Country PMI'!$A$1:$AZ$1,),))</f>
        <v/>
      </c>
      <c r="C124" s="24">
        <f>Table13468111214151617181920222530[[#This Row],[PMI]]-B123</f>
        <v/>
      </c>
    </row>
    <row r="125">
      <c r="A125" s="10" t="n">
        <v>44256</v>
      </c>
      <c r="B125" s="18">
        <f>IF(VLOOKUP(A125,'DB Country PMI'!$A:$AZ,MATCH($A$1,'DB Country PMI'!$A$1:$AZ$1,),)=0,#N/A,VLOOKUP(A125,'DB Country PMI'!$A:$AZ,MATCH($A$1,'DB Country PMI'!$A$1:$AZ$1,),))</f>
        <v/>
      </c>
      <c r="C125" s="24">
        <f>Table13468111214151617181920222530[[#This Row],[PMI]]-B124</f>
        <v/>
      </c>
    </row>
    <row r="126">
      <c r="A126" s="10" t="n">
        <v>44287</v>
      </c>
      <c r="B126" s="18">
        <f>IF(VLOOKUP(A126,'DB Country PMI'!$A:$AZ,MATCH($A$1,'DB Country PMI'!$A$1:$AZ$1,),)=0,#N/A,VLOOKUP(A126,'DB Country PMI'!$A:$AZ,MATCH($A$1,'DB Country PMI'!$A$1:$AZ$1,),))</f>
        <v/>
      </c>
      <c r="C126" s="24">
        <f>Table13468111214151617181920222530[[#This Row],[PMI]]-B125</f>
        <v/>
      </c>
    </row>
    <row r="127">
      <c r="A127" s="10" t="n">
        <v>44317</v>
      </c>
      <c r="B127" s="18">
        <f>IF(VLOOKUP(A127,'DB Country PMI'!$A:$AZ,MATCH($A$1,'DB Country PMI'!$A$1:$AZ$1,),)=0,#N/A,VLOOKUP(A127,'DB Country PMI'!$A:$AZ,MATCH($A$1,'DB Country PMI'!$A$1:$AZ$1,),))</f>
        <v/>
      </c>
      <c r="C127" s="24">
        <f>Table13468111214151617181920222530[[#This Row],[PMI]]-B126</f>
        <v/>
      </c>
    </row>
    <row r="128">
      <c r="A128" s="10" t="n">
        <v>44348</v>
      </c>
      <c r="B128" s="18">
        <f>IF(VLOOKUP(A128,'DB Country PMI'!$A:$AZ,MATCH($A$1,'DB Country PMI'!$A$1:$AZ$1,),)=0,#N/A,VLOOKUP(A128,'DB Country PMI'!$A:$AZ,MATCH($A$1,'DB Country PMI'!$A$1:$AZ$1,),))</f>
        <v/>
      </c>
      <c r="C128" s="24">
        <f>Table13468111214151617181920222530[[#This Row],[PMI]]-B127</f>
        <v/>
      </c>
    </row>
    <row r="129">
      <c r="A129" s="10" t="n">
        <v>44378</v>
      </c>
      <c r="B129" s="18">
        <f>IF(VLOOKUP(A129,'DB Country PMI'!$A:$AZ,MATCH($A$1,'DB Country PMI'!$A$1:$AZ$1,),)=0,#N/A,VLOOKUP(A129,'DB Country PMI'!$A:$AZ,MATCH($A$1,'DB Country PMI'!$A$1:$AZ$1,),))</f>
        <v/>
      </c>
      <c r="C129" s="24">
        <f>Table13468111214151617181920222530[[#This Row],[PMI]]-B128</f>
        <v/>
      </c>
    </row>
    <row r="130">
      <c r="A130" s="10" t="n">
        <v>44409</v>
      </c>
      <c r="B130" s="18">
        <f>IF(VLOOKUP(A130,'DB Country PMI'!$A:$AZ,MATCH($A$1,'DB Country PMI'!$A$1:$AZ$1,),)=0,#N/A,VLOOKUP(A130,'DB Country PMI'!$A:$AZ,MATCH($A$1,'DB Country PMI'!$A$1:$AZ$1,),))</f>
        <v/>
      </c>
      <c r="C130" s="24">
        <f>Table13468111214151617181920222530[[#This Row],[PMI]]-B129</f>
        <v/>
      </c>
    </row>
    <row r="131">
      <c r="A131" s="10" t="n">
        <v>44440</v>
      </c>
      <c r="B131" s="18">
        <f>IF(VLOOKUP(A131,'DB Country PMI'!$A:$AZ,MATCH($A$1,'DB Country PMI'!$A$1:$AZ$1,),)=0,#N/A,VLOOKUP(A131,'DB Country PMI'!$A:$AZ,MATCH($A$1,'DB Country PMI'!$A$1:$AZ$1,),))</f>
        <v/>
      </c>
      <c r="C131" s="24">
        <f>Table13468111214151617181920222530[[#This Row],[PMI]]-B130</f>
        <v/>
      </c>
    </row>
    <row r="132">
      <c r="A132" s="10" t="n">
        <v>44470</v>
      </c>
      <c r="B132" s="18">
        <f>IF(VLOOKUP(A132,'DB Country PMI'!$A:$AZ,MATCH($A$1,'DB Country PMI'!$A$1:$AZ$1,),)=0,#N/A,VLOOKUP(A132,'DB Country PMI'!$A:$AZ,MATCH($A$1,'DB Country PMI'!$A$1:$AZ$1,),))</f>
        <v/>
      </c>
      <c r="C132" s="24">
        <f>Table13468111214151617181920222530[[#This Row],[PMI]]-B131</f>
        <v/>
      </c>
    </row>
    <row r="133">
      <c r="A133" s="10" t="n">
        <v>44501</v>
      </c>
      <c r="B133" s="18">
        <f>IF(VLOOKUP(A133,'DB Country PMI'!$A:$AZ,MATCH($A$1,'DB Country PMI'!$A$1:$AZ$1,),)=0,#N/A,VLOOKUP(A133,'DB Country PMI'!$A:$AZ,MATCH($A$1,'DB Country PMI'!$A$1:$AZ$1,),))</f>
        <v/>
      </c>
      <c r="C133" s="24">
        <f>Table13468111214151617181920222530[[#This Row],[PMI]]-B132</f>
        <v/>
      </c>
    </row>
    <row r="134">
      <c r="A134" s="10" t="n">
        <v>44531</v>
      </c>
      <c r="B134" s="18">
        <f>IF(VLOOKUP(A134,'DB Country PMI'!$A:$AZ,MATCH($A$1,'DB Country PMI'!$A$1:$AZ$1,),)=0,#N/A,VLOOKUP(A134,'DB Country PMI'!$A:$AZ,MATCH($A$1,'DB Country PMI'!$A$1:$AZ$1,),))</f>
        <v/>
      </c>
      <c r="C134" s="24">
        <f>Table13468111214151617181920222530[[#This Row],[PMI]]-B133</f>
        <v/>
      </c>
    </row>
    <row r="135">
      <c r="A135" s="10" t="n">
        <v>44562</v>
      </c>
      <c r="B135" s="18">
        <f>IF(VLOOKUP(A135,'DB Country PMI'!$A:$AZ,MATCH($A$1,'DB Country PMI'!$A$1:$AZ$1,),)=0,#N/A,VLOOKUP(A135,'DB Country PMI'!$A:$AZ,MATCH($A$1,'DB Country PMI'!$A$1:$AZ$1,),))</f>
        <v/>
      </c>
      <c r="C135" s="24">
        <f>Table13468111214151617181920222530[[#This Row],[PMI]]-B134</f>
        <v/>
      </c>
    </row>
    <row r="136">
      <c r="A136" s="10" t="n">
        <v>44593</v>
      </c>
      <c r="B136" s="18">
        <f>IF(VLOOKUP(A136,'DB Country PMI'!$A:$AZ,MATCH($A$1,'DB Country PMI'!$A$1:$AZ$1,),)=0,#N/A,VLOOKUP(A136,'DB Country PMI'!$A:$AZ,MATCH($A$1,'DB Country PMI'!$A$1:$AZ$1,),))</f>
        <v/>
      </c>
      <c r="C136" s="24">
        <f>Table13468111214151617181920222530[[#This Row],[PMI]]-B135</f>
        <v/>
      </c>
    </row>
    <row r="137">
      <c r="A137" s="10" t="n">
        <v>44621</v>
      </c>
      <c r="B137" s="18">
        <f>IF(VLOOKUP(A137,'DB Country PMI'!$A:$AZ,MATCH($A$1,'DB Country PMI'!$A$1:$AZ$1,),)=0,#N/A,VLOOKUP(A137,'DB Country PMI'!$A:$AZ,MATCH($A$1,'DB Country PMI'!$A$1:$AZ$1,),))</f>
        <v/>
      </c>
      <c r="C137" s="24">
        <f>Table13468111214151617181920222530[[#This Row],[PMI]]-B136</f>
        <v/>
      </c>
    </row>
    <row r="138">
      <c r="A138" s="10" t="n">
        <v>44652</v>
      </c>
      <c r="B138" s="18">
        <f>IF(VLOOKUP(A138,'DB Country PMI'!$A:$AZ,MATCH($A$1,'DB Country PMI'!$A$1:$AZ$1,),)=0,#N/A,VLOOKUP(A138,'DB Country PMI'!$A:$AZ,MATCH($A$1,'DB Country PMI'!$A$1:$AZ$1,),))</f>
        <v/>
      </c>
      <c r="C138" s="24">
        <f>Table13468111214151617181920222530[[#This Row],[PMI]]-B137</f>
        <v/>
      </c>
    </row>
    <row r="139">
      <c r="A139" s="10" t="n">
        <v>44682</v>
      </c>
      <c r="B139" s="18">
        <f>IF(VLOOKUP(A139,'DB Country PMI'!$A:$AZ,MATCH($A$1,'DB Country PMI'!$A$1:$AZ$1,),)=0,#N/A,VLOOKUP(A139,'DB Country PMI'!$A:$AZ,MATCH($A$1,'DB Country PMI'!$A$1:$AZ$1,),))</f>
        <v/>
      </c>
      <c r="C139" s="24">
        <f>Table13468111214151617181920222530[[#This Row],[PMI]]-B138</f>
        <v/>
      </c>
    </row>
    <row r="140">
      <c r="A140" s="10" t="n">
        <v>44713</v>
      </c>
      <c r="B140" s="18">
        <f>IF(VLOOKUP(A140,'DB Country PMI'!$A:$AZ,MATCH($A$1,'DB Country PMI'!$A$1:$AZ$1,),)=0,#N/A,VLOOKUP(A140,'DB Country PMI'!$A:$AZ,MATCH($A$1,'DB Country PMI'!$A$1:$AZ$1,),))</f>
        <v/>
      </c>
      <c r="C140" s="24">
        <f>Table13468111214151617181920222530[[#This Row],[PMI]]-B139</f>
        <v/>
      </c>
    </row>
    <row r="141">
      <c r="A141" s="10" t="n">
        <v>44743</v>
      </c>
      <c r="B141" s="18">
        <f>IF(VLOOKUP(A141,'DB Country PMI'!$A:$AZ,MATCH($A$1,'DB Country PMI'!$A$1:$AZ$1,),)=0,#N/A,VLOOKUP(A141,'DB Country PMI'!$A:$AZ,MATCH($A$1,'DB Country PMI'!$A$1:$AZ$1,),))</f>
        <v/>
      </c>
      <c r="C141" s="24">
        <f>Table13468111214151617181920222530[[#This Row],[PMI]]-B140</f>
        <v/>
      </c>
    </row>
    <row r="142">
      <c r="A142" s="10" t="n">
        <v>44774</v>
      </c>
      <c r="B142" s="18">
        <f>IF(VLOOKUP(A142,'DB Country PMI'!$A:$AZ,MATCH($A$1,'DB Country PMI'!$A$1:$AZ$1,),)=0,#N/A,VLOOKUP(A142,'DB Country PMI'!$A:$AZ,MATCH($A$1,'DB Country PMI'!$A$1:$AZ$1,),))</f>
        <v/>
      </c>
      <c r="C142" s="24">
        <f>Table13468111214151617181920222530[[#This Row],[PMI]]-B141</f>
        <v/>
      </c>
    </row>
    <row r="143">
      <c r="A143" s="10" t="n">
        <v>44805</v>
      </c>
      <c r="B143" s="18">
        <f>IF(VLOOKUP(A143,'DB Country PMI'!$A:$AZ,MATCH($A$1,'DB Country PMI'!$A$1:$AZ$1,),)=0,#N/A,VLOOKUP(A143,'DB Country PMI'!$A:$AZ,MATCH($A$1,'DB Country PMI'!$A$1:$AZ$1,),))</f>
        <v/>
      </c>
      <c r="C143" s="24">
        <f>Table13468111214151617181920222530[[#This Row],[PMI]]-B142</f>
        <v/>
      </c>
    </row>
    <row r="144">
      <c r="A144" s="10" t="n">
        <v>44835</v>
      </c>
      <c r="B144" s="18">
        <f>IF(VLOOKUP(A144,'DB Country PMI'!$A:$AZ,MATCH($A$1,'DB Country PMI'!$A$1:$AZ$1,),)=0,#N/A,VLOOKUP(A144,'DB Country PMI'!$A:$AZ,MATCH($A$1,'DB Country PMI'!$A$1:$AZ$1,),))</f>
        <v/>
      </c>
      <c r="C144" s="24">
        <f>Table13468111214151617181920222530[[#This Row],[PMI]]-B143</f>
        <v/>
      </c>
    </row>
    <row r="145">
      <c r="A145" s="10" t="n">
        <v>44866</v>
      </c>
      <c r="B145" s="18">
        <f>IF(VLOOKUP(A145,'DB Country PMI'!$A:$AZ,MATCH($A$1,'DB Country PMI'!$A$1:$AZ$1,),)=0,#N/A,VLOOKUP(A145,'DB Country PMI'!$A:$AZ,MATCH($A$1,'DB Country PMI'!$A$1:$AZ$1,),))</f>
        <v/>
      </c>
      <c r="C145" s="24">
        <f>Table13468111214151617181920222530[[#This Row],[PMI]]-B144</f>
        <v/>
      </c>
    </row>
  </sheetData>
  <conditionalFormatting sqref="C7:C145">
    <cfRule type="colorScale" priority="1">
      <colorScale>
        <cfvo type="min"/>
        <cfvo type="percentile" val="50"/>
        <cfvo type="max"/>
        <color rgb="FFF8696B"/>
        <color rgb="FFFCFCFF"/>
        <color rgb="FF5A8AC6"/>
      </colorScale>
    </cfRule>
  </conditionalFormatting>
  <conditionalFormatting sqref="B6:B145">
    <cfRule type="colorScale" priority="1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4.xml><?xml version="1.0" encoding="utf-8"?>
<worksheet xmlns="http://schemas.openxmlformats.org/spreadsheetml/2006/main">
  <sheetPr>
    <outlinePr summaryBelow="1" summaryRight="1"/>
    <pageSetUpPr/>
  </sheetPr>
  <dimension ref="A1:K149"/>
  <sheetViews>
    <sheetView zoomScale="80" zoomScaleNormal="80" workbookViewId="0">
      <pane ySplit="5" topLeftCell="A130" activePane="bottomLeft" state="frozen"/>
      <selection pane="bottomLeft" activeCell="P147" sqref="P147"/>
    </sheetView>
  </sheetViews>
  <sheetFormatPr baseColWidth="8" defaultColWidth="9.1796875" defaultRowHeight="14.5"/>
  <cols>
    <col width="13.453125" customWidth="1" style="69" min="1" max="1"/>
    <col width="11.36328125" customWidth="1" style="69" min="2" max="2"/>
    <col width="9.1796875" customWidth="1" style="69" min="3" max="51"/>
    <col width="9.1796875" customWidth="1" style="69" min="52" max="16384"/>
  </cols>
  <sheetData>
    <row r="1">
      <c r="A1" s="69" t="inlineStr">
        <is>
          <t>South Korea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40513</v>
      </c>
      <c r="B6" s="18">
        <f>IF(VLOOKUP(A6,'DB Country PMI'!$A:$AZ,MATCH($A$1,'DB Country PMI'!$A$1:$AZ$1,),)=0,#N/A,VLOOKUP(A6,'DB Country PMI'!$A:$AZ,MATCH($A$1,'DB Country PMI'!$A$1:$AZ$1,),))</f>
        <v/>
      </c>
      <c r="C6" s="18" t="n"/>
    </row>
    <row r="7">
      <c r="A7" s="10" t="n">
        <v>40544</v>
      </c>
      <c r="B7" s="18">
        <f>IF(VLOOKUP(A7,'DB Country PMI'!$A:$AZ,MATCH($A$1,'DB Country PMI'!$A$1:$AZ$1,),)=0,#N/A,VLOOKUP(A7,'DB Country PMI'!$A:$AZ,MATCH($A$1,'DB Country PMI'!$A$1:$AZ$1,),))</f>
        <v/>
      </c>
      <c r="C7" s="24">
        <f>Table1346811121415161718192022252629[[#This Row],[PMI]]-B6</f>
        <v/>
      </c>
    </row>
    <row r="8">
      <c r="A8" s="10" t="n">
        <v>40575</v>
      </c>
      <c r="B8" s="18">
        <f>IF(VLOOKUP(A8,'DB Country PMI'!$A:$AZ,MATCH($A$1,'DB Country PMI'!$A$1:$AZ$1,),)=0,#N/A,VLOOKUP(A8,'DB Country PMI'!$A:$AZ,MATCH($A$1,'DB Country PMI'!$A$1:$AZ$1,),))</f>
        <v/>
      </c>
      <c r="C8" s="24">
        <f>Table1346811121415161718192022252629[[#This Row],[PMI]]-B7</f>
        <v/>
      </c>
    </row>
    <row r="9">
      <c r="A9" s="10" t="n">
        <v>40603</v>
      </c>
      <c r="B9" s="18">
        <f>IF(VLOOKUP(A9,'DB Country PMI'!$A:$AZ,MATCH($A$1,'DB Country PMI'!$A$1:$AZ$1,),)=0,#N/A,VLOOKUP(A9,'DB Country PMI'!$A:$AZ,MATCH($A$1,'DB Country PMI'!$A$1:$AZ$1,),))</f>
        <v/>
      </c>
      <c r="C9" s="24">
        <f>Table1346811121415161718192022252629[[#This Row],[PMI]]-B8</f>
        <v/>
      </c>
    </row>
    <row r="10">
      <c r="A10" s="10" t="n">
        <v>40634</v>
      </c>
      <c r="B10" s="18">
        <f>IF(VLOOKUP(A10,'DB Country PMI'!$A:$AZ,MATCH($A$1,'DB Country PMI'!$A$1:$AZ$1,),)=0,#N/A,VLOOKUP(A10,'DB Country PMI'!$A:$AZ,MATCH($A$1,'DB Country PMI'!$A$1:$AZ$1,),))</f>
        <v/>
      </c>
      <c r="C10" s="24">
        <f>Table1346811121415161718192022252629[[#This Row],[PMI]]-B9</f>
        <v/>
      </c>
    </row>
    <row r="11">
      <c r="A11" s="10" t="n">
        <v>40664</v>
      </c>
      <c r="B11" s="18">
        <f>IF(VLOOKUP(A11,'DB Country PMI'!$A:$AZ,MATCH($A$1,'DB Country PMI'!$A$1:$AZ$1,),)=0,#N/A,VLOOKUP(A11,'DB Country PMI'!$A:$AZ,MATCH($A$1,'DB Country PMI'!$A$1:$AZ$1,),))</f>
        <v/>
      </c>
      <c r="C11" s="24">
        <f>Table1346811121415161718192022252629[[#This Row],[PMI]]-B10</f>
        <v/>
      </c>
    </row>
    <row r="12">
      <c r="A12" s="10" t="n">
        <v>40695</v>
      </c>
      <c r="B12" s="18">
        <f>IF(VLOOKUP(A12,'DB Country PMI'!$A:$AZ,MATCH($A$1,'DB Country PMI'!$A$1:$AZ$1,),)=0,#N/A,VLOOKUP(A12,'DB Country PMI'!$A:$AZ,MATCH($A$1,'DB Country PMI'!$A$1:$AZ$1,),))</f>
        <v/>
      </c>
      <c r="C12" s="24">
        <f>Table1346811121415161718192022252629[[#This Row],[PMI]]-B11</f>
        <v/>
      </c>
    </row>
    <row r="13">
      <c r="A13" s="10" t="n">
        <v>40725</v>
      </c>
      <c r="B13" s="18">
        <f>IF(VLOOKUP(A13,'DB Country PMI'!$A:$AZ,MATCH($A$1,'DB Country PMI'!$A$1:$AZ$1,),)=0,#N/A,VLOOKUP(A13,'DB Country PMI'!$A:$AZ,MATCH($A$1,'DB Country PMI'!$A$1:$AZ$1,),))</f>
        <v/>
      </c>
      <c r="C13" s="24">
        <f>Table1346811121415161718192022252629[[#This Row],[PMI]]-B12</f>
        <v/>
      </c>
    </row>
    <row r="14">
      <c r="A14" s="10" t="n">
        <v>40756</v>
      </c>
      <c r="B14" s="18">
        <f>IF(VLOOKUP(A14,'DB Country PMI'!$A:$AZ,MATCH($A$1,'DB Country PMI'!$A$1:$AZ$1,),)=0,#N/A,VLOOKUP(A14,'DB Country PMI'!$A:$AZ,MATCH($A$1,'DB Country PMI'!$A$1:$AZ$1,),))</f>
        <v/>
      </c>
      <c r="C14" s="24">
        <f>Table1346811121415161718192022252629[[#This Row],[PMI]]-B13</f>
        <v/>
      </c>
    </row>
    <row r="15">
      <c r="A15" s="10" t="n">
        <v>40787</v>
      </c>
      <c r="B15" s="18">
        <f>IF(VLOOKUP(A15,'DB Country PMI'!$A:$AZ,MATCH($A$1,'DB Country PMI'!$A$1:$AZ$1,),)=0,#N/A,VLOOKUP(A15,'DB Country PMI'!$A:$AZ,MATCH($A$1,'DB Country PMI'!$A$1:$AZ$1,),))</f>
        <v/>
      </c>
      <c r="C15" s="24">
        <f>Table1346811121415161718192022252629[[#This Row],[PMI]]-B14</f>
        <v/>
      </c>
    </row>
    <row r="16">
      <c r="A16" s="10" t="n">
        <v>40817</v>
      </c>
      <c r="B16" s="18">
        <f>IF(VLOOKUP(A16,'DB Country PMI'!$A:$AZ,MATCH($A$1,'DB Country PMI'!$A$1:$AZ$1,),)=0,#N/A,VLOOKUP(A16,'DB Country PMI'!$A:$AZ,MATCH($A$1,'DB Country PMI'!$A$1:$AZ$1,),))</f>
        <v/>
      </c>
      <c r="C16" s="24">
        <f>Table1346811121415161718192022252629[[#This Row],[PMI]]-B15</f>
        <v/>
      </c>
    </row>
    <row r="17">
      <c r="A17" s="10" t="n">
        <v>40848</v>
      </c>
      <c r="B17" s="18">
        <f>IF(VLOOKUP(A17,'DB Country PMI'!$A:$AZ,MATCH($A$1,'DB Country PMI'!$A$1:$AZ$1,),)=0,#N/A,VLOOKUP(A17,'DB Country PMI'!$A:$AZ,MATCH($A$1,'DB Country PMI'!$A$1:$AZ$1,),))</f>
        <v/>
      </c>
      <c r="C17" s="24">
        <f>Table1346811121415161718192022252629[[#This Row],[PMI]]-B16</f>
        <v/>
      </c>
    </row>
    <row r="18">
      <c r="A18" s="10" t="n">
        <v>40878</v>
      </c>
      <c r="B18" s="18">
        <f>IF(VLOOKUP(A18,'DB Country PMI'!$A:$AZ,MATCH($A$1,'DB Country PMI'!$A$1:$AZ$1,),)=0,#N/A,VLOOKUP(A18,'DB Country PMI'!$A:$AZ,MATCH($A$1,'DB Country PMI'!$A$1:$AZ$1,),))</f>
        <v/>
      </c>
      <c r="C18" s="24">
        <f>Table1346811121415161718192022252629[[#This Row],[PMI]]-B17</f>
        <v/>
      </c>
    </row>
    <row r="19">
      <c r="A19" s="10" t="n">
        <v>40909</v>
      </c>
      <c r="B19" s="18">
        <f>IF(VLOOKUP(A19,'DB Country PMI'!$A:$AZ,MATCH($A$1,'DB Country PMI'!$A$1:$AZ$1,),)=0,#N/A,VLOOKUP(A19,'DB Country PMI'!$A:$AZ,MATCH($A$1,'DB Country PMI'!$A$1:$AZ$1,),))</f>
        <v/>
      </c>
      <c r="C19" s="24">
        <f>Table1346811121415161718192022252629[[#This Row],[PMI]]-B18</f>
        <v/>
      </c>
    </row>
    <row r="20">
      <c r="A20" s="10" t="n">
        <v>40940</v>
      </c>
      <c r="B20" s="18">
        <f>IF(VLOOKUP(A20,'DB Country PMI'!$A:$AZ,MATCH($A$1,'DB Country PMI'!$A$1:$AZ$1,),)=0,#N/A,VLOOKUP(A20,'DB Country PMI'!$A:$AZ,MATCH($A$1,'DB Country PMI'!$A$1:$AZ$1,),))</f>
        <v/>
      </c>
      <c r="C20" s="24">
        <f>Table1346811121415161718192022252629[[#This Row],[PMI]]-B19</f>
        <v/>
      </c>
    </row>
    <row r="21">
      <c r="A21" s="10" t="n">
        <v>40969</v>
      </c>
      <c r="B21" s="18">
        <f>IF(VLOOKUP(A21,'DB Country PMI'!$A:$AZ,MATCH($A$1,'DB Country PMI'!$A$1:$AZ$1,),)=0,#N/A,VLOOKUP(A21,'DB Country PMI'!$A:$AZ,MATCH($A$1,'DB Country PMI'!$A$1:$AZ$1,),))</f>
        <v/>
      </c>
      <c r="C21" s="24">
        <f>Table1346811121415161718192022252629[[#This Row],[PMI]]-B20</f>
        <v/>
      </c>
    </row>
    <row r="22">
      <c r="A22" s="10" t="n">
        <v>41000</v>
      </c>
      <c r="B22" s="18">
        <f>IF(VLOOKUP(A22,'DB Country PMI'!$A:$AZ,MATCH($A$1,'DB Country PMI'!$A$1:$AZ$1,),)=0,#N/A,VLOOKUP(A22,'DB Country PMI'!$A:$AZ,MATCH($A$1,'DB Country PMI'!$A$1:$AZ$1,),))</f>
        <v/>
      </c>
      <c r="C22" s="24">
        <f>Table1346811121415161718192022252629[[#This Row],[PMI]]-B21</f>
        <v/>
      </c>
    </row>
    <row r="23">
      <c r="A23" s="10" t="n">
        <v>41030</v>
      </c>
      <c r="B23" s="18">
        <f>IF(VLOOKUP(A23,'DB Country PMI'!$A:$AZ,MATCH($A$1,'DB Country PMI'!$A$1:$AZ$1,),)=0,#N/A,VLOOKUP(A23,'DB Country PMI'!$A:$AZ,MATCH($A$1,'DB Country PMI'!$A$1:$AZ$1,),))</f>
        <v/>
      </c>
      <c r="C23" s="24">
        <f>Table1346811121415161718192022252629[[#This Row],[PMI]]-B22</f>
        <v/>
      </c>
    </row>
    <row r="24">
      <c r="A24" s="10" t="n">
        <v>41061</v>
      </c>
      <c r="B24" s="18">
        <f>IF(VLOOKUP(A24,'DB Country PMI'!$A:$AZ,MATCH($A$1,'DB Country PMI'!$A$1:$AZ$1,),)=0,#N/A,VLOOKUP(A24,'DB Country PMI'!$A:$AZ,MATCH($A$1,'DB Country PMI'!$A$1:$AZ$1,),))</f>
        <v/>
      </c>
      <c r="C24" s="24">
        <f>Table1346811121415161718192022252629[[#This Row],[PMI]]-B23</f>
        <v/>
      </c>
    </row>
    <row r="25">
      <c r="A25" s="10" t="n">
        <v>41091</v>
      </c>
      <c r="B25" s="18">
        <f>IF(VLOOKUP(A25,'DB Country PMI'!$A:$AZ,MATCH($A$1,'DB Country PMI'!$A$1:$AZ$1,),)=0,#N/A,VLOOKUP(A25,'DB Country PMI'!$A:$AZ,MATCH($A$1,'DB Country PMI'!$A$1:$AZ$1,),))</f>
        <v/>
      </c>
      <c r="C25" s="24">
        <f>Table1346811121415161718192022252629[[#This Row],[PMI]]-B24</f>
        <v/>
      </c>
    </row>
    <row r="26">
      <c r="A26" s="10" t="n">
        <v>41122</v>
      </c>
      <c r="B26" s="18">
        <f>IF(VLOOKUP(A26,'DB Country PMI'!$A:$AZ,MATCH($A$1,'DB Country PMI'!$A$1:$AZ$1,),)=0,#N/A,VLOOKUP(A26,'DB Country PMI'!$A:$AZ,MATCH($A$1,'DB Country PMI'!$A$1:$AZ$1,),))</f>
        <v/>
      </c>
      <c r="C26" s="24">
        <f>Table1346811121415161718192022252629[[#This Row],[PMI]]-B25</f>
        <v/>
      </c>
    </row>
    <row r="27">
      <c r="A27" s="10" t="n">
        <v>41153</v>
      </c>
      <c r="B27" s="18">
        <f>IF(VLOOKUP(A27,'DB Country PMI'!$A:$AZ,MATCH($A$1,'DB Country PMI'!$A$1:$AZ$1,),)=0,#N/A,VLOOKUP(A27,'DB Country PMI'!$A:$AZ,MATCH($A$1,'DB Country PMI'!$A$1:$AZ$1,),))</f>
        <v/>
      </c>
      <c r="C27" s="24">
        <f>Table1346811121415161718192022252629[[#This Row],[PMI]]-B26</f>
        <v/>
      </c>
    </row>
    <row r="28">
      <c r="A28" s="10" t="n">
        <v>41183</v>
      </c>
      <c r="B28" s="18">
        <f>IF(VLOOKUP(A28,'DB Country PMI'!$A:$AZ,MATCH($A$1,'DB Country PMI'!$A$1:$AZ$1,),)=0,#N/A,VLOOKUP(A28,'DB Country PMI'!$A:$AZ,MATCH($A$1,'DB Country PMI'!$A$1:$AZ$1,),))</f>
        <v/>
      </c>
      <c r="C28" s="24">
        <f>Table1346811121415161718192022252629[[#This Row],[PMI]]-B27</f>
        <v/>
      </c>
    </row>
    <row r="29">
      <c r="A29" s="10" t="n">
        <v>41214</v>
      </c>
      <c r="B29" s="18">
        <f>IF(VLOOKUP(A29,'DB Country PMI'!$A:$AZ,MATCH($A$1,'DB Country PMI'!$A$1:$AZ$1,),)=0,#N/A,VLOOKUP(A29,'DB Country PMI'!$A:$AZ,MATCH($A$1,'DB Country PMI'!$A$1:$AZ$1,),))</f>
        <v/>
      </c>
      <c r="C29" s="24">
        <f>Table1346811121415161718192022252629[[#This Row],[PMI]]-B28</f>
        <v/>
      </c>
    </row>
    <row r="30">
      <c r="A30" s="10" t="n">
        <v>41244</v>
      </c>
      <c r="B30" s="18">
        <f>IF(VLOOKUP(A30,'DB Country PMI'!$A:$AZ,MATCH($A$1,'DB Country PMI'!$A$1:$AZ$1,),)=0,#N/A,VLOOKUP(A30,'DB Country PMI'!$A:$AZ,MATCH($A$1,'DB Country PMI'!$A$1:$AZ$1,),))</f>
        <v/>
      </c>
      <c r="C30" s="24">
        <f>Table1346811121415161718192022252629[[#This Row],[PMI]]-B29</f>
        <v/>
      </c>
    </row>
    <row r="31">
      <c r="A31" s="10" t="n">
        <v>41275</v>
      </c>
      <c r="B31" s="18">
        <f>IF(VLOOKUP(A31,'DB Country PMI'!$A:$AZ,MATCH($A$1,'DB Country PMI'!$A$1:$AZ$1,),)=0,#N/A,VLOOKUP(A31,'DB Country PMI'!$A:$AZ,MATCH($A$1,'DB Country PMI'!$A$1:$AZ$1,),))</f>
        <v/>
      </c>
      <c r="C31" s="24">
        <f>Table1346811121415161718192022252629[[#This Row],[PMI]]-B30</f>
        <v/>
      </c>
    </row>
    <row r="32">
      <c r="A32" s="10" t="n">
        <v>41306</v>
      </c>
      <c r="B32" s="18">
        <f>IF(VLOOKUP(A32,'DB Country PMI'!$A:$AZ,MATCH($A$1,'DB Country PMI'!$A$1:$AZ$1,),)=0,#N/A,VLOOKUP(A32,'DB Country PMI'!$A:$AZ,MATCH($A$1,'DB Country PMI'!$A$1:$AZ$1,),))</f>
        <v/>
      </c>
      <c r="C32" s="24">
        <f>Table1346811121415161718192022252629[[#This Row],[PMI]]-B31</f>
        <v/>
      </c>
    </row>
    <row r="33">
      <c r="A33" s="10" t="n">
        <v>41334</v>
      </c>
      <c r="B33" s="18">
        <f>IF(VLOOKUP(A33,'DB Country PMI'!$A:$AZ,MATCH($A$1,'DB Country PMI'!$A$1:$AZ$1,),)=0,#N/A,VLOOKUP(A33,'DB Country PMI'!$A:$AZ,MATCH($A$1,'DB Country PMI'!$A$1:$AZ$1,),))</f>
        <v/>
      </c>
      <c r="C33" s="24">
        <f>Table1346811121415161718192022252629[[#This Row],[PMI]]-B32</f>
        <v/>
      </c>
    </row>
    <row r="34">
      <c r="A34" s="10" t="n">
        <v>41365</v>
      </c>
      <c r="B34" s="18">
        <f>IF(VLOOKUP(A34,'DB Country PMI'!$A:$AZ,MATCH($A$1,'DB Country PMI'!$A$1:$AZ$1,),)=0,#N/A,VLOOKUP(A34,'DB Country PMI'!$A:$AZ,MATCH($A$1,'DB Country PMI'!$A$1:$AZ$1,),))</f>
        <v/>
      </c>
      <c r="C34" s="24">
        <f>Table1346811121415161718192022252629[[#This Row],[PMI]]-B33</f>
        <v/>
      </c>
    </row>
    <row r="35">
      <c r="A35" s="10" t="n">
        <v>41395</v>
      </c>
      <c r="B35" s="18">
        <f>IF(VLOOKUP(A35,'DB Country PMI'!$A:$AZ,MATCH($A$1,'DB Country PMI'!$A$1:$AZ$1,),)=0,#N/A,VLOOKUP(A35,'DB Country PMI'!$A:$AZ,MATCH($A$1,'DB Country PMI'!$A$1:$AZ$1,),))</f>
        <v/>
      </c>
      <c r="C35" s="24">
        <f>Table1346811121415161718192022252629[[#This Row],[PMI]]-B34</f>
        <v/>
      </c>
    </row>
    <row r="36">
      <c r="A36" s="10" t="n">
        <v>41426</v>
      </c>
      <c r="B36" s="18">
        <f>IF(VLOOKUP(A36,'DB Country PMI'!$A:$AZ,MATCH($A$1,'DB Country PMI'!$A$1:$AZ$1,),)=0,#N/A,VLOOKUP(A36,'DB Country PMI'!$A:$AZ,MATCH($A$1,'DB Country PMI'!$A$1:$AZ$1,),))</f>
        <v/>
      </c>
      <c r="C36" s="24">
        <f>Table1346811121415161718192022252629[[#This Row],[PMI]]-B35</f>
        <v/>
      </c>
    </row>
    <row r="37">
      <c r="A37" s="10" t="n">
        <v>41456</v>
      </c>
      <c r="B37" s="18">
        <f>IF(VLOOKUP(A37,'DB Country PMI'!$A:$AZ,MATCH($A$1,'DB Country PMI'!$A$1:$AZ$1,),)=0,#N/A,VLOOKUP(A37,'DB Country PMI'!$A:$AZ,MATCH($A$1,'DB Country PMI'!$A$1:$AZ$1,),))</f>
        <v/>
      </c>
      <c r="C37" s="24">
        <f>Table1346811121415161718192022252629[[#This Row],[PMI]]-B36</f>
        <v/>
      </c>
    </row>
    <row r="38">
      <c r="A38" s="10" t="n">
        <v>41487</v>
      </c>
      <c r="B38" s="18">
        <f>IF(VLOOKUP(A38,'DB Country PMI'!$A:$AZ,MATCH($A$1,'DB Country PMI'!$A$1:$AZ$1,),)=0,#N/A,VLOOKUP(A38,'DB Country PMI'!$A:$AZ,MATCH($A$1,'DB Country PMI'!$A$1:$AZ$1,),))</f>
        <v/>
      </c>
      <c r="C38" s="24">
        <f>Table1346811121415161718192022252629[[#This Row],[PMI]]-B37</f>
        <v/>
      </c>
    </row>
    <row r="39">
      <c r="A39" s="10" t="n">
        <v>41518</v>
      </c>
      <c r="B39" s="18">
        <f>IF(VLOOKUP(A39,'DB Country PMI'!$A:$AZ,MATCH($A$1,'DB Country PMI'!$A$1:$AZ$1,),)=0,#N/A,VLOOKUP(A39,'DB Country PMI'!$A:$AZ,MATCH($A$1,'DB Country PMI'!$A$1:$AZ$1,),))</f>
        <v/>
      </c>
      <c r="C39" s="24">
        <f>Table1346811121415161718192022252629[[#This Row],[PMI]]-B38</f>
        <v/>
      </c>
    </row>
    <row r="40">
      <c r="A40" s="10" t="n">
        <v>41548</v>
      </c>
      <c r="B40" s="18">
        <f>IF(VLOOKUP(A40,'DB Country PMI'!$A:$AZ,MATCH($A$1,'DB Country PMI'!$A$1:$AZ$1,),)=0,#N/A,VLOOKUP(A40,'DB Country PMI'!$A:$AZ,MATCH($A$1,'DB Country PMI'!$A$1:$AZ$1,),))</f>
        <v/>
      </c>
      <c r="C40" s="24">
        <f>Table1346811121415161718192022252629[[#This Row],[PMI]]-B39</f>
        <v/>
      </c>
    </row>
    <row r="41">
      <c r="A41" s="10" t="n">
        <v>41579</v>
      </c>
      <c r="B41" s="18">
        <f>IF(VLOOKUP(A41,'DB Country PMI'!$A:$AZ,MATCH($A$1,'DB Country PMI'!$A$1:$AZ$1,),)=0,#N/A,VLOOKUP(A41,'DB Country PMI'!$A:$AZ,MATCH($A$1,'DB Country PMI'!$A$1:$AZ$1,),))</f>
        <v/>
      </c>
      <c r="C41" s="24">
        <f>Table1346811121415161718192022252629[[#This Row],[PMI]]-B40</f>
        <v/>
      </c>
    </row>
    <row r="42">
      <c r="A42" s="10" t="n">
        <v>41609</v>
      </c>
      <c r="B42" s="18">
        <f>IF(VLOOKUP(A42,'DB Country PMI'!$A:$AZ,MATCH($A$1,'DB Country PMI'!$A$1:$AZ$1,),)=0,#N/A,VLOOKUP(A42,'DB Country PMI'!$A:$AZ,MATCH($A$1,'DB Country PMI'!$A$1:$AZ$1,),))</f>
        <v/>
      </c>
      <c r="C42" s="24">
        <f>Table1346811121415161718192022252629[[#This Row],[PMI]]-B41</f>
        <v/>
      </c>
    </row>
    <row r="43">
      <c r="A43" s="10" t="n">
        <v>41640</v>
      </c>
      <c r="B43" s="18">
        <f>IF(VLOOKUP(A43,'DB Country PMI'!$A:$AZ,MATCH($A$1,'DB Country PMI'!$A$1:$AZ$1,),)=0,#N/A,VLOOKUP(A43,'DB Country PMI'!$A:$AZ,MATCH($A$1,'DB Country PMI'!$A$1:$AZ$1,),))</f>
        <v/>
      </c>
      <c r="C43" s="24">
        <f>Table1346811121415161718192022252629[[#This Row],[PMI]]-B42</f>
        <v/>
      </c>
    </row>
    <row r="44">
      <c r="A44" s="10" t="n">
        <v>41671</v>
      </c>
      <c r="B44" s="18">
        <f>IF(VLOOKUP(A44,'DB Country PMI'!$A:$AZ,MATCH($A$1,'DB Country PMI'!$A$1:$AZ$1,),)=0,#N/A,VLOOKUP(A44,'DB Country PMI'!$A:$AZ,MATCH($A$1,'DB Country PMI'!$A$1:$AZ$1,),))</f>
        <v/>
      </c>
      <c r="C44" s="24">
        <f>Table1346811121415161718192022252629[[#This Row],[PMI]]-B43</f>
        <v/>
      </c>
    </row>
    <row r="45">
      <c r="A45" s="10" t="n">
        <v>41699</v>
      </c>
      <c r="B45" s="18">
        <f>IF(VLOOKUP(A45,'DB Country PMI'!$A:$AZ,MATCH($A$1,'DB Country PMI'!$A$1:$AZ$1,),)=0,#N/A,VLOOKUP(A45,'DB Country PMI'!$A:$AZ,MATCH($A$1,'DB Country PMI'!$A$1:$AZ$1,),))</f>
        <v/>
      </c>
      <c r="C45" s="24">
        <f>Table1346811121415161718192022252629[[#This Row],[PMI]]-B44</f>
        <v/>
      </c>
    </row>
    <row r="46">
      <c r="A46" s="10" t="n">
        <v>41730</v>
      </c>
      <c r="B46" s="18">
        <f>IF(VLOOKUP(A46,'DB Country PMI'!$A:$AZ,MATCH($A$1,'DB Country PMI'!$A$1:$AZ$1,),)=0,#N/A,VLOOKUP(A46,'DB Country PMI'!$A:$AZ,MATCH($A$1,'DB Country PMI'!$A$1:$AZ$1,),))</f>
        <v/>
      </c>
      <c r="C46" s="24">
        <f>Table1346811121415161718192022252629[[#This Row],[PMI]]-B45</f>
        <v/>
      </c>
    </row>
    <row r="47">
      <c r="A47" s="10" t="n">
        <v>41760</v>
      </c>
      <c r="B47" s="18">
        <f>IF(VLOOKUP(A47,'DB Country PMI'!$A:$AZ,MATCH($A$1,'DB Country PMI'!$A$1:$AZ$1,),)=0,#N/A,VLOOKUP(A47,'DB Country PMI'!$A:$AZ,MATCH($A$1,'DB Country PMI'!$A$1:$AZ$1,),))</f>
        <v/>
      </c>
      <c r="C47" s="24">
        <f>Table1346811121415161718192022252629[[#This Row],[PMI]]-B46</f>
        <v/>
      </c>
    </row>
    <row r="48">
      <c r="A48" s="10" t="n">
        <v>41791</v>
      </c>
      <c r="B48" s="18">
        <f>IF(VLOOKUP(A48,'DB Country PMI'!$A:$AZ,MATCH($A$1,'DB Country PMI'!$A$1:$AZ$1,),)=0,#N/A,VLOOKUP(A48,'DB Country PMI'!$A:$AZ,MATCH($A$1,'DB Country PMI'!$A$1:$AZ$1,),))</f>
        <v/>
      </c>
      <c r="C48" s="24">
        <f>Table1346811121415161718192022252629[[#This Row],[PMI]]-B47</f>
        <v/>
      </c>
    </row>
    <row r="49">
      <c r="A49" s="10" t="n">
        <v>41821</v>
      </c>
      <c r="B49" s="18">
        <f>IF(VLOOKUP(A49,'DB Country PMI'!$A:$AZ,MATCH($A$1,'DB Country PMI'!$A$1:$AZ$1,),)=0,#N/A,VLOOKUP(A49,'DB Country PMI'!$A:$AZ,MATCH($A$1,'DB Country PMI'!$A$1:$AZ$1,),))</f>
        <v/>
      </c>
      <c r="C49" s="24">
        <f>Table1346811121415161718192022252629[[#This Row],[PMI]]-B48</f>
        <v/>
      </c>
    </row>
    <row r="50">
      <c r="A50" s="10" t="n">
        <v>41852</v>
      </c>
      <c r="B50" s="18">
        <f>IF(VLOOKUP(A50,'DB Country PMI'!$A:$AZ,MATCH($A$1,'DB Country PMI'!$A$1:$AZ$1,),)=0,#N/A,VLOOKUP(A50,'DB Country PMI'!$A:$AZ,MATCH($A$1,'DB Country PMI'!$A$1:$AZ$1,),))</f>
        <v/>
      </c>
      <c r="C50" s="24">
        <f>Table1346811121415161718192022252629[[#This Row],[PMI]]-B49</f>
        <v/>
      </c>
    </row>
    <row r="51">
      <c r="A51" s="10" t="n">
        <v>41883</v>
      </c>
      <c r="B51" s="18">
        <f>IF(VLOOKUP(A51,'DB Country PMI'!$A:$AZ,MATCH($A$1,'DB Country PMI'!$A$1:$AZ$1,),)=0,#N/A,VLOOKUP(A51,'DB Country PMI'!$A:$AZ,MATCH($A$1,'DB Country PMI'!$A$1:$AZ$1,),))</f>
        <v/>
      </c>
      <c r="C51" s="24">
        <f>Table1346811121415161718192022252629[[#This Row],[PMI]]-B50</f>
        <v/>
      </c>
    </row>
    <row r="52">
      <c r="A52" s="10" t="n">
        <v>41913</v>
      </c>
      <c r="B52" s="18">
        <f>IF(VLOOKUP(A52,'DB Country PMI'!$A:$AZ,MATCH($A$1,'DB Country PMI'!$A$1:$AZ$1,),)=0,#N/A,VLOOKUP(A52,'DB Country PMI'!$A:$AZ,MATCH($A$1,'DB Country PMI'!$A$1:$AZ$1,),))</f>
        <v/>
      </c>
      <c r="C52" s="24">
        <f>Table1346811121415161718192022252629[[#This Row],[PMI]]-B51</f>
        <v/>
      </c>
    </row>
    <row r="53">
      <c r="A53" s="10" t="n">
        <v>41944</v>
      </c>
      <c r="B53" s="18">
        <f>IF(VLOOKUP(A53,'DB Country PMI'!$A:$AZ,MATCH($A$1,'DB Country PMI'!$A$1:$AZ$1,),)=0,#N/A,VLOOKUP(A53,'DB Country PMI'!$A:$AZ,MATCH($A$1,'DB Country PMI'!$A$1:$AZ$1,),))</f>
        <v/>
      </c>
      <c r="C53" s="24">
        <f>Table1346811121415161718192022252629[[#This Row],[PMI]]-B52</f>
        <v/>
      </c>
    </row>
    <row r="54">
      <c r="A54" s="10" t="n">
        <v>41974</v>
      </c>
      <c r="B54" s="18">
        <f>IF(VLOOKUP(A54,'DB Country PMI'!$A:$AZ,MATCH($A$1,'DB Country PMI'!$A$1:$AZ$1,),)=0,#N/A,VLOOKUP(A54,'DB Country PMI'!$A:$AZ,MATCH($A$1,'DB Country PMI'!$A$1:$AZ$1,),))</f>
        <v/>
      </c>
      <c r="C54" s="24">
        <f>Table1346811121415161718192022252629[[#This Row],[PMI]]-B53</f>
        <v/>
      </c>
    </row>
    <row r="55">
      <c r="A55" s="10" t="n">
        <v>42005</v>
      </c>
      <c r="B55" s="18">
        <f>IF(VLOOKUP(A55,'DB Country PMI'!$A:$AZ,MATCH($A$1,'DB Country PMI'!$A$1:$AZ$1,),)=0,#N/A,VLOOKUP(A55,'DB Country PMI'!$A:$AZ,MATCH($A$1,'DB Country PMI'!$A$1:$AZ$1,),))</f>
        <v/>
      </c>
      <c r="C55" s="24">
        <f>Table1346811121415161718192022252629[[#This Row],[PMI]]-B54</f>
        <v/>
      </c>
    </row>
    <row r="56">
      <c r="A56" s="10" t="n">
        <v>42036</v>
      </c>
      <c r="B56" s="18">
        <f>IF(VLOOKUP(A56,'DB Country PMI'!$A:$AZ,MATCH($A$1,'DB Country PMI'!$A$1:$AZ$1,),)=0,#N/A,VLOOKUP(A56,'DB Country PMI'!$A:$AZ,MATCH($A$1,'DB Country PMI'!$A$1:$AZ$1,),))</f>
        <v/>
      </c>
      <c r="C56" s="24">
        <f>Table1346811121415161718192022252629[[#This Row],[PMI]]-B55</f>
        <v/>
      </c>
    </row>
    <row r="57">
      <c r="A57" s="10" t="n">
        <v>42064</v>
      </c>
      <c r="B57" s="18">
        <f>IF(VLOOKUP(A57,'DB Country PMI'!$A:$AZ,MATCH($A$1,'DB Country PMI'!$A$1:$AZ$1,),)=0,#N/A,VLOOKUP(A57,'DB Country PMI'!$A:$AZ,MATCH($A$1,'DB Country PMI'!$A$1:$AZ$1,),))</f>
        <v/>
      </c>
      <c r="C57" s="24">
        <f>Table1346811121415161718192022252629[[#This Row],[PMI]]-B56</f>
        <v/>
      </c>
    </row>
    <row r="58">
      <c r="A58" s="10" t="n">
        <v>42095</v>
      </c>
      <c r="B58" s="18">
        <f>IF(VLOOKUP(A58,'DB Country PMI'!$A:$AZ,MATCH($A$1,'DB Country PMI'!$A$1:$AZ$1,),)=0,#N/A,VLOOKUP(A58,'DB Country PMI'!$A:$AZ,MATCH($A$1,'DB Country PMI'!$A$1:$AZ$1,),))</f>
        <v/>
      </c>
      <c r="C58" s="24">
        <f>Table1346811121415161718192022252629[[#This Row],[PMI]]-B57</f>
        <v/>
      </c>
    </row>
    <row r="59">
      <c r="A59" s="10" t="n">
        <v>42125</v>
      </c>
      <c r="B59" s="18">
        <f>IF(VLOOKUP(A59,'DB Country PMI'!$A:$AZ,MATCH($A$1,'DB Country PMI'!$A$1:$AZ$1,),)=0,#N/A,VLOOKUP(A59,'DB Country PMI'!$A:$AZ,MATCH($A$1,'DB Country PMI'!$A$1:$AZ$1,),))</f>
        <v/>
      </c>
      <c r="C59" s="24">
        <f>Table1346811121415161718192022252629[[#This Row],[PMI]]-B58</f>
        <v/>
      </c>
    </row>
    <row r="60">
      <c r="A60" s="10" t="n">
        <v>42156</v>
      </c>
      <c r="B60" s="18">
        <f>IF(VLOOKUP(A60,'DB Country PMI'!$A:$AZ,MATCH($A$1,'DB Country PMI'!$A$1:$AZ$1,),)=0,#N/A,VLOOKUP(A60,'DB Country PMI'!$A:$AZ,MATCH($A$1,'DB Country PMI'!$A$1:$AZ$1,),))</f>
        <v/>
      </c>
      <c r="C60" s="24">
        <f>Table1346811121415161718192022252629[[#This Row],[PMI]]-B59</f>
        <v/>
      </c>
    </row>
    <row r="61">
      <c r="A61" s="10" t="n">
        <v>42186</v>
      </c>
      <c r="B61" s="18">
        <f>IF(VLOOKUP(A61,'DB Country PMI'!$A:$AZ,MATCH($A$1,'DB Country PMI'!$A$1:$AZ$1,),)=0,#N/A,VLOOKUP(A61,'DB Country PMI'!$A:$AZ,MATCH($A$1,'DB Country PMI'!$A$1:$AZ$1,),))</f>
        <v/>
      </c>
      <c r="C61" s="24">
        <f>Table1346811121415161718192022252629[[#This Row],[PMI]]-B60</f>
        <v/>
      </c>
    </row>
    <row r="62">
      <c r="A62" s="10" t="n">
        <v>42217</v>
      </c>
      <c r="B62" s="18">
        <f>IF(VLOOKUP(A62,'DB Country PMI'!$A:$AZ,MATCH($A$1,'DB Country PMI'!$A$1:$AZ$1,),)=0,#N/A,VLOOKUP(A62,'DB Country PMI'!$A:$AZ,MATCH($A$1,'DB Country PMI'!$A$1:$AZ$1,),))</f>
        <v/>
      </c>
      <c r="C62" s="24">
        <f>Table1346811121415161718192022252629[[#This Row],[PMI]]-B61</f>
        <v/>
      </c>
    </row>
    <row r="63">
      <c r="A63" s="10" t="n">
        <v>42248</v>
      </c>
      <c r="B63" s="18">
        <f>IF(VLOOKUP(A63,'DB Country PMI'!$A:$AZ,MATCH($A$1,'DB Country PMI'!$A$1:$AZ$1,),)=0,#N/A,VLOOKUP(A63,'DB Country PMI'!$A:$AZ,MATCH($A$1,'DB Country PMI'!$A$1:$AZ$1,),))</f>
        <v/>
      </c>
      <c r="C63" s="24">
        <f>Table1346811121415161718192022252629[[#This Row],[PMI]]-B62</f>
        <v/>
      </c>
    </row>
    <row r="64">
      <c r="A64" s="10" t="n">
        <v>42278</v>
      </c>
      <c r="B64" s="18">
        <f>IF(VLOOKUP(A64,'DB Country PMI'!$A:$AZ,MATCH($A$1,'DB Country PMI'!$A$1:$AZ$1,),)=0,#N/A,VLOOKUP(A64,'DB Country PMI'!$A:$AZ,MATCH($A$1,'DB Country PMI'!$A$1:$AZ$1,),))</f>
        <v/>
      </c>
      <c r="C64" s="24">
        <f>Table1346811121415161718192022252629[[#This Row],[PMI]]-B63</f>
        <v/>
      </c>
    </row>
    <row r="65">
      <c r="A65" s="10" t="n">
        <v>42309</v>
      </c>
      <c r="B65" s="18">
        <f>IF(VLOOKUP(A65,'DB Country PMI'!$A:$AZ,MATCH($A$1,'DB Country PMI'!$A$1:$AZ$1,),)=0,#N/A,VLOOKUP(A65,'DB Country PMI'!$A:$AZ,MATCH($A$1,'DB Country PMI'!$A$1:$AZ$1,),))</f>
        <v/>
      </c>
      <c r="C65" s="24">
        <f>Table1346811121415161718192022252629[[#This Row],[PMI]]-B64</f>
        <v/>
      </c>
    </row>
    <row r="66">
      <c r="A66" s="10" t="n">
        <v>42339</v>
      </c>
      <c r="B66" s="18">
        <f>IF(VLOOKUP(A66,'DB Country PMI'!$A:$AZ,MATCH($A$1,'DB Country PMI'!$A$1:$AZ$1,),)=0,#N/A,VLOOKUP(A66,'DB Country PMI'!$A:$AZ,MATCH($A$1,'DB Country PMI'!$A$1:$AZ$1,),))</f>
        <v/>
      </c>
      <c r="C66" s="24">
        <f>Table1346811121415161718192022252629[[#This Row],[PMI]]-B65</f>
        <v/>
      </c>
    </row>
    <row r="67">
      <c r="A67" s="10" t="n">
        <v>42370</v>
      </c>
      <c r="B67" s="18">
        <f>IF(VLOOKUP(A67,'DB Country PMI'!$A:$AZ,MATCH($A$1,'DB Country PMI'!$A$1:$AZ$1,),)=0,#N/A,VLOOKUP(A67,'DB Country PMI'!$A:$AZ,MATCH($A$1,'DB Country PMI'!$A$1:$AZ$1,),))</f>
        <v/>
      </c>
      <c r="C67" s="24">
        <f>Table1346811121415161718192022252629[[#This Row],[PMI]]-B66</f>
        <v/>
      </c>
    </row>
    <row r="68">
      <c r="A68" s="10" t="n">
        <v>42401</v>
      </c>
      <c r="B68" s="18">
        <f>IF(VLOOKUP(A68,'DB Country PMI'!$A:$AZ,MATCH($A$1,'DB Country PMI'!$A$1:$AZ$1,),)=0,#N/A,VLOOKUP(A68,'DB Country PMI'!$A:$AZ,MATCH($A$1,'DB Country PMI'!$A$1:$AZ$1,),))</f>
        <v/>
      </c>
      <c r="C68" s="24">
        <f>Table1346811121415161718192022252629[[#This Row],[PMI]]-B67</f>
        <v/>
      </c>
    </row>
    <row r="69">
      <c r="A69" s="10" t="n">
        <v>42430</v>
      </c>
      <c r="B69" s="18">
        <f>IF(VLOOKUP(A69,'DB Country PMI'!$A:$AZ,MATCH($A$1,'DB Country PMI'!$A$1:$AZ$1,),)=0,#N/A,VLOOKUP(A69,'DB Country PMI'!$A:$AZ,MATCH($A$1,'DB Country PMI'!$A$1:$AZ$1,),))</f>
        <v/>
      </c>
      <c r="C69" s="24">
        <f>Table1346811121415161718192022252629[[#This Row],[PMI]]-B68</f>
        <v/>
      </c>
    </row>
    <row r="70">
      <c r="A70" s="10" t="n">
        <v>42461</v>
      </c>
      <c r="B70" s="18">
        <f>IF(VLOOKUP(A70,'DB Country PMI'!$A:$AZ,MATCH($A$1,'DB Country PMI'!$A$1:$AZ$1,),)=0,#N/A,VLOOKUP(A70,'DB Country PMI'!$A:$AZ,MATCH($A$1,'DB Country PMI'!$A$1:$AZ$1,),))</f>
        <v/>
      </c>
      <c r="C70" s="24">
        <f>Table1346811121415161718192022252629[[#This Row],[PMI]]-B69</f>
        <v/>
      </c>
    </row>
    <row r="71">
      <c r="A71" s="10" t="n">
        <v>42491</v>
      </c>
      <c r="B71" s="18">
        <f>IF(VLOOKUP(A71,'DB Country PMI'!$A:$AZ,MATCH($A$1,'DB Country PMI'!$A$1:$AZ$1,),)=0,#N/A,VLOOKUP(A71,'DB Country PMI'!$A:$AZ,MATCH($A$1,'DB Country PMI'!$A$1:$AZ$1,),))</f>
        <v/>
      </c>
      <c r="C71" s="24">
        <f>Table1346811121415161718192022252629[[#This Row],[PMI]]-B70</f>
        <v/>
      </c>
    </row>
    <row r="72">
      <c r="A72" s="10" t="n">
        <v>42522</v>
      </c>
      <c r="B72" s="18">
        <f>IF(VLOOKUP(A72,'DB Country PMI'!$A:$AZ,MATCH($A$1,'DB Country PMI'!$A$1:$AZ$1,),)=0,#N/A,VLOOKUP(A72,'DB Country PMI'!$A:$AZ,MATCH($A$1,'DB Country PMI'!$A$1:$AZ$1,),))</f>
        <v/>
      </c>
      <c r="C72" s="24">
        <f>Table1346811121415161718192022252629[[#This Row],[PMI]]-B71</f>
        <v/>
      </c>
    </row>
    <row r="73">
      <c r="A73" s="10" t="n">
        <v>42552</v>
      </c>
      <c r="B73" s="18">
        <f>IF(VLOOKUP(A73,'DB Country PMI'!$A:$AZ,MATCH($A$1,'DB Country PMI'!$A$1:$AZ$1,),)=0,#N/A,VLOOKUP(A73,'DB Country PMI'!$A:$AZ,MATCH($A$1,'DB Country PMI'!$A$1:$AZ$1,),))</f>
        <v/>
      </c>
      <c r="C73" s="24">
        <f>Table1346811121415161718192022252629[[#This Row],[PMI]]-B72</f>
        <v/>
      </c>
    </row>
    <row r="74">
      <c r="A74" s="10" t="n">
        <v>42583</v>
      </c>
      <c r="B74" s="18">
        <f>IF(VLOOKUP(A74,'DB Country PMI'!$A:$AZ,MATCH($A$1,'DB Country PMI'!$A$1:$AZ$1,),)=0,#N/A,VLOOKUP(A74,'DB Country PMI'!$A:$AZ,MATCH($A$1,'DB Country PMI'!$A$1:$AZ$1,),))</f>
        <v/>
      </c>
      <c r="C74" s="24">
        <f>Table1346811121415161718192022252629[[#This Row],[PMI]]-B73</f>
        <v/>
      </c>
    </row>
    <row r="75">
      <c r="A75" s="10" t="n">
        <v>42614</v>
      </c>
      <c r="B75" s="18">
        <f>IF(VLOOKUP(A75,'DB Country PMI'!$A:$AZ,MATCH($A$1,'DB Country PMI'!$A$1:$AZ$1,),)=0,#N/A,VLOOKUP(A75,'DB Country PMI'!$A:$AZ,MATCH($A$1,'DB Country PMI'!$A$1:$AZ$1,),))</f>
        <v/>
      </c>
      <c r="C75" s="24">
        <f>Table1346811121415161718192022252629[[#This Row],[PMI]]-B74</f>
        <v/>
      </c>
    </row>
    <row r="76">
      <c r="A76" s="10" t="n">
        <v>42644</v>
      </c>
      <c r="B76" s="18">
        <f>IF(VLOOKUP(A76,'DB Country PMI'!$A:$AZ,MATCH($A$1,'DB Country PMI'!$A$1:$AZ$1,),)=0,#N/A,VLOOKUP(A76,'DB Country PMI'!$A:$AZ,MATCH($A$1,'DB Country PMI'!$A$1:$AZ$1,),))</f>
        <v/>
      </c>
      <c r="C76" s="24">
        <f>Table1346811121415161718192022252629[[#This Row],[PMI]]-B75</f>
        <v/>
      </c>
    </row>
    <row r="77">
      <c r="A77" s="10" t="n">
        <v>42675</v>
      </c>
      <c r="B77" s="18">
        <f>IF(VLOOKUP(A77,'DB Country PMI'!$A:$AZ,MATCH($A$1,'DB Country PMI'!$A$1:$AZ$1,),)=0,#N/A,VLOOKUP(A77,'DB Country PMI'!$A:$AZ,MATCH($A$1,'DB Country PMI'!$A$1:$AZ$1,),))</f>
        <v/>
      </c>
      <c r="C77" s="24">
        <f>Table1346811121415161718192022252629[[#This Row],[PMI]]-B76</f>
        <v/>
      </c>
    </row>
    <row r="78">
      <c r="A78" s="10" t="n">
        <v>42705</v>
      </c>
      <c r="B78" s="18">
        <f>IF(VLOOKUP(A78,'DB Country PMI'!$A:$AZ,MATCH($A$1,'DB Country PMI'!$A$1:$AZ$1,),)=0,#N/A,VLOOKUP(A78,'DB Country PMI'!$A:$AZ,MATCH($A$1,'DB Country PMI'!$A$1:$AZ$1,),))</f>
        <v/>
      </c>
      <c r="C78" s="24">
        <f>Table1346811121415161718192022252629[[#This Row],[PMI]]-B77</f>
        <v/>
      </c>
    </row>
    <row r="79">
      <c r="A79" s="10" t="n">
        <v>42736</v>
      </c>
      <c r="B79" s="18">
        <f>IF(VLOOKUP(A79,'DB Country PMI'!$A:$AZ,MATCH($A$1,'DB Country PMI'!$A$1:$AZ$1,),)=0,#N/A,VLOOKUP(A79,'DB Country PMI'!$A:$AZ,MATCH($A$1,'DB Country PMI'!$A$1:$AZ$1,),))</f>
        <v/>
      </c>
      <c r="C79" s="24">
        <f>Table1346811121415161718192022252629[[#This Row],[PMI]]-B78</f>
        <v/>
      </c>
    </row>
    <row r="80">
      <c r="A80" s="10" t="n">
        <v>42767</v>
      </c>
      <c r="B80" s="18">
        <f>IF(VLOOKUP(A80,'DB Country PMI'!$A:$AZ,MATCH($A$1,'DB Country PMI'!$A$1:$AZ$1,),)=0,#N/A,VLOOKUP(A80,'DB Country PMI'!$A:$AZ,MATCH($A$1,'DB Country PMI'!$A$1:$AZ$1,),))</f>
        <v/>
      </c>
      <c r="C80" s="24">
        <f>Table1346811121415161718192022252629[[#This Row],[PMI]]-B79</f>
        <v/>
      </c>
    </row>
    <row r="81">
      <c r="A81" s="10" t="n">
        <v>42795</v>
      </c>
      <c r="B81" s="18">
        <f>IF(VLOOKUP(A81,'DB Country PMI'!$A:$AZ,MATCH($A$1,'DB Country PMI'!$A$1:$AZ$1,),)=0,#N/A,VLOOKUP(A81,'DB Country PMI'!$A:$AZ,MATCH($A$1,'DB Country PMI'!$A$1:$AZ$1,),))</f>
        <v/>
      </c>
      <c r="C81" s="24">
        <f>Table1346811121415161718192022252629[[#This Row],[PMI]]-B80</f>
        <v/>
      </c>
    </row>
    <row r="82">
      <c r="A82" s="10" t="n">
        <v>42826</v>
      </c>
      <c r="B82" s="18">
        <f>IF(VLOOKUP(A82,'DB Country PMI'!$A:$AZ,MATCH($A$1,'DB Country PMI'!$A$1:$AZ$1,),)=0,#N/A,VLOOKUP(A82,'DB Country PMI'!$A:$AZ,MATCH($A$1,'DB Country PMI'!$A$1:$AZ$1,),))</f>
        <v/>
      </c>
      <c r="C82" s="24">
        <f>Table1346811121415161718192022252629[[#This Row],[PMI]]-B81</f>
        <v/>
      </c>
    </row>
    <row r="83">
      <c r="A83" s="10" t="n">
        <v>42856</v>
      </c>
      <c r="B83" s="18">
        <f>IF(VLOOKUP(A83,'DB Country PMI'!$A:$AZ,MATCH($A$1,'DB Country PMI'!$A$1:$AZ$1,),)=0,#N/A,VLOOKUP(A83,'DB Country PMI'!$A:$AZ,MATCH($A$1,'DB Country PMI'!$A$1:$AZ$1,),))</f>
        <v/>
      </c>
      <c r="C83" s="24">
        <f>Table1346811121415161718192022252629[[#This Row],[PMI]]-B82</f>
        <v/>
      </c>
    </row>
    <row r="84">
      <c r="A84" s="10" t="n">
        <v>42887</v>
      </c>
      <c r="B84" s="18">
        <f>IF(VLOOKUP(A84,'DB Country PMI'!$A:$AZ,MATCH($A$1,'DB Country PMI'!$A$1:$AZ$1,),)=0,#N/A,VLOOKUP(A84,'DB Country PMI'!$A:$AZ,MATCH($A$1,'DB Country PMI'!$A$1:$AZ$1,),))</f>
        <v/>
      </c>
      <c r="C84" s="24">
        <f>Table1346811121415161718192022252629[[#This Row],[PMI]]-B83</f>
        <v/>
      </c>
    </row>
    <row r="85">
      <c r="A85" s="10" t="n">
        <v>42917</v>
      </c>
      <c r="B85" s="18">
        <f>IF(VLOOKUP(A85,'DB Country PMI'!$A:$AZ,MATCH($A$1,'DB Country PMI'!$A$1:$AZ$1,),)=0,#N/A,VLOOKUP(A85,'DB Country PMI'!$A:$AZ,MATCH($A$1,'DB Country PMI'!$A$1:$AZ$1,),))</f>
        <v/>
      </c>
      <c r="C85" s="24">
        <f>Table1346811121415161718192022252629[[#This Row],[PMI]]-B84</f>
        <v/>
      </c>
    </row>
    <row r="86">
      <c r="A86" s="10" t="n">
        <v>42948</v>
      </c>
      <c r="B86" s="18">
        <f>IF(VLOOKUP(A86,'DB Country PMI'!$A:$AZ,MATCH($A$1,'DB Country PMI'!$A$1:$AZ$1,),)=0,#N/A,VLOOKUP(A86,'DB Country PMI'!$A:$AZ,MATCH($A$1,'DB Country PMI'!$A$1:$AZ$1,),))</f>
        <v/>
      </c>
      <c r="C86" s="24">
        <f>Table1346811121415161718192022252629[[#This Row],[PMI]]-B85</f>
        <v/>
      </c>
    </row>
    <row r="87">
      <c r="A87" s="10" t="n">
        <v>42979</v>
      </c>
      <c r="B87" s="18">
        <f>IF(VLOOKUP(A87,'DB Country PMI'!$A:$AZ,MATCH($A$1,'DB Country PMI'!$A$1:$AZ$1,),)=0,#N/A,VLOOKUP(A87,'DB Country PMI'!$A:$AZ,MATCH($A$1,'DB Country PMI'!$A$1:$AZ$1,),))</f>
        <v/>
      </c>
      <c r="C87" s="24">
        <f>Table1346811121415161718192022252629[[#This Row],[PMI]]-B86</f>
        <v/>
      </c>
    </row>
    <row r="88">
      <c r="A88" s="10" t="n">
        <v>43009</v>
      </c>
      <c r="B88" s="18">
        <f>IF(VLOOKUP(A88,'DB Country PMI'!$A:$AZ,MATCH($A$1,'DB Country PMI'!$A$1:$AZ$1,),)=0,#N/A,VLOOKUP(A88,'DB Country PMI'!$A:$AZ,MATCH($A$1,'DB Country PMI'!$A$1:$AZ$1,),))</f>
        <v/>
      </c>
      <c r="C88" s="24">
        <f>Table1346811121415161718192022252629[[#This Row],[PMI]]-B87</f>
        <v/>
      </c>
    </row>
    <row r="89">
      <c r="A89" s="10" t="n">
        <v>43040</v>
      </c>
      <c r="B89" s="18">
        <f>IF(VLOOKUP(A89,'DB Country PMI'!$A:$AZ,MATCH($A$1,'DB Country PMI'!$A$1:$AZ$1,),)=0,#N/A,VLOOKUP(A89,'DB Country PMI'!$A:$AZ,MATCH($A$1,'DB Country PMI'!$A$1:$AZ$1,),))</f>
        <v/>
      </c>
      <c r="C89" s="24">
        <f>Table1346811121415161718192022252629[[#This Row],[PMI]]-B88</f>
        <v/>
      </c>
    </row>
    <row r="90">
      <c r="A90" s="10" t="n">
        <v>43070</v>
      </c>
      <c r="B90" s="18">
        <f>IF(VLOOKUP(A90,'DB Country PMI'!$A:$AZ,MATCH($A$1,'DB Country PMI'!$A$1:$AZ$1,),)=0,#N/A,VLOOKUP(A90,'DB Country PMI'!$A:$AZ,MATCH($A$1,'DB Country PMI'!$A$1:$AZ$1,),))</f>
        <v/>
      </c>
      <c r="C90" s="24">
        <f>Table1346811121415161718192022252629[[#This Row],[PMI]]-B89</f>
        <v/>
      </c>
    </row>
    <row r="91">
      <c r="A91" s="10" t="n">
        <v>43101</v>
      </c>
      <c r="B91" s="18">
        <f>IF(VLOOKUP(A91,'DB Country PMI'!$A:$AZ,MATCH($A$1,'DB Country PMI'!$A$1:$AZ$1,),)=0,#N/A,VLOOKUP(A91,'DB Country PMI'!$A:$AZ,MATCH($A$1,'DB Country PMI'!$A$1:$AZ$1,),))</f>
        <v/>
      </c>
      <c r="C91" s="24">
        <f>Table1346811121415161718192022252629[[#This Row],[PMI]]-B90</f>
        <v/>
      </c>
    </row>
    <row r="92">
      <c r="A92" s="10" t="n">
        <v>43132</v>
      </c>
      <c r="B92" s="18">
        <f>IF(VLOOKUP(A92,'DB Country PMI'!$A:$AZ,MATCH($A$1,'DB Country PMI'!$A$1:$AZ$1,),)=0,#N/A,VLOOKUP(A92,'DB Country PMI'!$A:$AZ,MATCH($A$1,'DB Country PMI'!$A$1:$AZ$1,),))</f>
        <v/>
      </c>
      <c r="C92" s="24">
        <f>Table1346811121415161718192022252629[[#This Row],[PMI]]-B91</f>
        <v/>
      </c>
    </row>
    <row r="93">
      <c r="A93" s="10" t="n">
        <v>43160</v>
      </c>
      <c r="B93" s="18">
        <f>IF(VLOOKUP(A93,'DB Country PMI'!$A:$AZ,MATCH($A$1,'DB Country PMI'!$A$1:$AZ$1,),)=0,#N/A,VLOOKUP(A93,'DB Country PMI'!$A:$AZ,MATCH($A$1,'DB Country PMI'!$A$1:$AZ$1,),))</f>
        <v/>
      </c>
      <c r="C93" s="24">
        <f>Table1346811121415161718192022252629[[#This Row],[PMI]]-B92</f>
        <v/>
      </c>
    </row>
    <row r="94">
      <c r="A94" s="10" t="n">
        <v>43191</v>
      </c>
      <c r="B94" s="18">
        <f>IF(VLOOKUP(A94,'DB Country PMI'!$A:$AZ,MATCH($A$1,'DB Country PMI'!$A$1:$AZ$1,),)=0,#N/A,VLOOKUP(A94,'DB Country PMI'!$A:$AZ,MATCH($A$1,'DB Country PMI'!$A$1:$AZ$1,),))</f>
        <v/>
      </c>
      <c r="C94" s="24">
        <f>Table1346811121415161718192022252629[[#This Row],[PMI]]-B93</f>
        <v/>
      </c>
    </row>
    <row r="95">
      <c r="A95" s="10" t="n">
        <v>43221</v>
      </c>
      <c r="B95" s="18">
        <f>IF(VLOOKUP(A95,'DB Country PMI'!$A:$AZ,MATCH($A$1,'DB Country PMI'!$A$1:$AZ$1,),)=0,#N/A,VLOOKUP(A95,'DB Country PMI'!$A:$AZ,MATCH($A$1,'DB Country PMI'!$A$1:$AZ$1,),))</f>
        <v/>
      </c>
      <c r="C95" s="24">
        <f>Table1346811121415161718192022252629[[#This Row],[PMI]]-B94</f>
        <v/>
      </c>
    </row>
    <row r="96">
      <c r="A96" s="10" t="n">
        <v>43252</v>
      </c>
      <c r="B96" s="18">
        <f>IF(VLOOKUP(A96,'DB Country PMI'!$A:$AZ,MATCH($A$1,'DB Country PMI'!$A$1:$AZ$1,),)=0,#N/A,VLOOKUP(A96,'DB Country PMI'!$A:$AZ,MATCH($A$1,'DB Country PMI'!$A$1:$AZ$1,),))</f>
        <v/>
      </c>
      <c r="C96" s="24">
        <f>Table1346811121415161718192022252629[[#This Row],[PMI]]-B95</f>
        <v/>
      </c>
    </row>
    <row r="97">
      <c r="A97" s="10" t="n">
        <v>43282</v>
      </c>
      <c r="B97" s="18">
        <f>IF(VLOOKUP(A97,'DB Country PMI'!$A:$AZ,MATCH($A$1,'DB Country PMI'!$A$1:$AZ$1,),)=0,#N/A,VLOOKUP(A97,'DB Country PMI'!$A:$AZ,MATCH($A$1,'DB Country PMI'!$A$1:$AZ$1,),))</f>
        <v/>
      </c>
      <c r="C97" s="24">
        <f>Table1346811121415161718192022252629[[#This Row],[PMI]]-B96</f>
        <v/>
      </c>
    </row>
    <row r="98">
      <c r="A98" s="10" t="n">
        <v>43313</v>
      </c>
      <c r="B98" s="18">
        <f>IF(VLOOKUP(A98,'DB Country PMI'!$A:$AZ,MATCH($A$1,'DB Country PMI'!$A$1:$AZ$1,),)=0,#N/A,VLOOKUP(A98,'DB Country PMI'!$A:$AZ,MATCH($A$1,'DB Country PMI'!$A$1:$AZ$1,),))</f>
        <v/>
      </c>
      <c r="C98" s="24">
        <f>Table1346811121415161718192022252629[[#This Row],[PMI]]-B97</f>
        <v/>
      </c>
    </row>
    <row r="99">
      <c r="A99" s="10" t="n">
        <v>43344</v>
      </c>
      <c r="B99" s="18">
        <f>IF(VLOOKUP(A99,'DB Country PMI'!$A:$AZ,MATCH($A$1,'DB Country PMI'!$A$1:$AZ$1,),)=0,#N/A,VLOOKUP(A99,'DB Country PMI'!$A:$AZ,MATCH($A$1,'DB Country PMI'!$A$1:$AZ$1,),))</f>
        <v/>
      </c>
      <c r="C99" s="24">
        <f>Table1346811121415161718192022252629[[#This Row],[PMI]]-B98</f>
        <v/>
      </c>
    </row>
    <row r="100">
      <c r="A100" s="10" t="n">
        <v>43374</v>
      </c>
      <c r="B100" s="18">
        <f>IF(VLOOKUP(A100,'DB Country PMI'!$A:$AZ,MATCH($A$1,'DB Country PMI'!$A$1:$AZ$1,),)=0,#N/A,VLOOKUP(A100,'DB Country PMI'!$A:$AZ,MATCH($A$1,'DB Country PMI'!$A$1:$AZ$1,),))</f>
        <v/>
      </c>
      <c r="C100" s="24">
        <f>Table1346811121415161718192022252629[[#This Row],[PMI]]-B99</f>
        <v/>
      </c>
    </row>
    <row r="101">
      <c r="A101" s="10" t="n">
        <v>43405</v>
      </c>
      <c r="B101" s="18">
        <f>IF(VLOOKUP(A101,'DB Country PMI'!$A:$AZ,MATCH($A$1,'DB Country PMI'!$A$1:$AZ$1,),)=0,#N/A,VLOOKUP(A101,'DB Country PMI'!$A:$AZ,MATCH($A$1,'DB Country PMI'!$A$1:$AZ$1,),))</f>
        <v/>
      </c>
      <c r="C101" s="24">
        <f>Table1346811121415161718192022252629[[#This Row],[PMI]]-B100</f>
        <v/>
      </c>
    </row>
    <row r="102">
      <c r="A102" s="10" t="n">
        <v>43435</v>
      </c>
      <c r="B102" s="18">
        <f>IF(VLOOKUP(A102,'DB Country PMI'!$A:$AZ,MATCH($A$1,'DB Country PMI'!$A$1:$AZ$1,),)=0,#N/A,VLOOKUP(A102,'DB Country PMI'!$A:$AZ,MATCH($A$1,'DB Country PMI'!$A$1:$AZ$1,),))</f>
        <v/>
      </c>
      <c r="C102" s="24">
        <f>Table1346811121415161718192022252629[[#This Row],[PMI]]-B101</f>
        <v/>
      </c>
    </row>
    <row r="103">
      <c r="A103" s="10" t="n">
        <v>43466</v>
      </c>
      <c r="B103" s="18">
        <f>IF(VLOOKUP(A103,'DB Country PMI'!$A:$AZ,MATCH($A$1,'DB Country PMI'!$A$1:$AZ$1,),)=0,#N/A,VLOOKUP(A103,'DB Country PMI'!$A:$AZ,MATCH($A$1,'DB Country PMI'!$A$1:$AZ$1,),))</f>
        <v/>
      </c>
      <c r="C103" s="24">
        <f>Table1346811121415161718192022252629[[#This Row],[PMI]]-B102</f>
        <v/>
      </c>
    </row>
    <row r="104">
      <c r="A104" s="10" t="n">
        <v>43497</v>
      </c>
      <c r="B104" s="18">
        <f>IF(VLOOKUP(A104,'DB Country PMI'!$A:$AZ,MATCH($A$1,'DB Country PMI'!$A$1:$AZ$1,),)=0,#N/A,VLOOKUP(A104,'DB Country PMI'!$A:$AZ,MATCH($A$1,'DB Country PMI'!$A$1:$AZ$1,),))</f>
        <v/>
      </c>
      <c r="C104" s="24">
        <f>Table1346811121415161718192022252629[[#This Row],[PMI]]-B103</f>
        <v/>
      </c>
    </row>
    <row r="105">
      <c r="A105" s="10" t="n">
        <v>43525</v>
      </c>
      <c r="B105" s="18">
        <f>IF(VLOOKUP(A105,'DB Country PMI'!$A:$AZ,MATCH($A$1,'DB Country PMI'!$A$1:$AZ$1,),)=0,#N/A,VLOOKUP(A105,'DB Country PMI'!$A:$AZ,MATCH($A$1,'DB Country PMI'!$A$1:$AZ$1,),))</f>
        <v/>
      </c>
      <c r="C105" s="24">
        <f>Table1346811121415161718192022252629[[#This Row],[PMI]]-B104</f>
        <v/>
      </c>
    </row>
    <row r="106">
      <c r="A106" s="10" t="n">
        <v>43556</v>
      </c>
      <c r="B106" s="18">
        <f>IF(VLOOKUP(A106,'DB Country PMI'!$A:$AZ,MATCH($A$1,'DB Country PMI'!$A$1:$AZ$1,),)=0,#N/A,VLOOKUP(A106,'DB Country PMI'!$A:$AZ,MATCH($A$1,'DB Country PMI'!$A$1:$AZ$1,),))</f>
        <v/>
      </c>
      <c r="C106" s="24">
        <f>Table1346811121415161718192022252629[[#This Row],[PMI]]-B105</f>
        <v/>
      </c>
    </row>
    <row r="107">
      <c r="A107" s="10" t="n">
        <v>43586</v>
      </c>
      <c r="B107" s="18">
        <f>IF(VLOOKUP(A107,'DB Country PMI'!$A:$AZ,MATCH($A$1,'DB Country PMI'!$A$1:$AZ$1,),)=0,#N/A,VLOOKUP(A107,'DB Country PMI'!$A:$AZ,MATCH($A$1,'DB Country PMI'!$A$1:$AZ$1,),))</f>
        <v/>
      </c>
      <c r="C107" s="24">
        <f>Table1346811121415161718192022252629[[#This Row],[PMI]]-B106</f>
        <v/>
      </c>
    </row>
    <row r="108">
      <c r="A108" s="10" t="n">
        <v>43617</v>
      </c>
      <c r="B108" s="18">
        <f>IF(VLOOKUP(A108,'DB Country PMI'!$A:$AZ,MATCH($A$1,'DB Country PMI'!$A$1:$AZ$1,),)=0,#N/A,VLOOKUP(A108,'DB Country PMI'!$A:$AZ,MATCH($A$1,'DB Country PMI'!$A$1:$AZ$1,),))</f>
        <v/>
      </c>
      <c r="C108" s="24">
        <f>Table1346811121415161718192022252629[[#This Row],[PMI]]-B107</f>
        <v/>
      </c>
    </row>
    <row r="109">
      <c r="A109" s="10" t="n">
        <v>43647</v>
      </c>
      <c r="B109" s="18">
        <f>IF(VLOOKUP(A109,'DB Country PMI'!$A:$AZ,MATCH($A$1,'DB Country PMI'!$A$1:$AZ$1,),)=0,#N/A,VLOOKUP(A109,'DB Country PMI'!$A:$AZ,MATCH($A$1,'DB Country PMI'!$A$1:$AZ$1,),))</f>
        <v/>
      </c>
      <c r="C109" s="24">
        <f>Table1346811121415161718192022252629[[#This Row],[PMI]]-B108</f>
        <v/>
      </c>
    </row>
    <row r="110">
      <c r="A110" s="10" t="n">
        <v>43678</v>
      </c>
      <c r="B110" s="18">
        <f>IF(VLOOKUP(A110,'DB Country PMI'!$A:$AZ,MATCH($A$1,'DB Country PMI'!$A$1:$AZ$1,),)=0,#N/A,VLOOKUP(A110,'DB Country PMI'!$A:$AZ,MATCH($A$1,'DB Country PMI'!$A$1:$AZ$1,),))</f>
        <v/>
      </c>
      <c r="C110" s="24">
        <f>Table1346811121415161718192022252629[[#This Row],[PMI]]-B109</f>
        <v/>
      </c>
    </row>
    <row r="111">
      <c r="A111" s="10" t="n">
        <v>43709</v>
      </c>
      <c r="B111" s="18">
        <f>IF(VLOOKUP(A111,'DB Country PMI'!$A:$AZ,MATCH($A$1,'DB Country PMI'!$A$1:$AZ$1,),)=0,#N/A,VLOOKUP(A111,'DB Country PMI'!$A:$AZ,MATCH($A$1,'DB Country PMI'!$A$1:$AZ$1,),))</f>
        <v/>
      </c>
      <c r="C111" s="24">
        <f>Table1346811121415161718192022252629[[#This Row],[PMI]]-B110</f>
        <v/>
      </c>
    </row>
    <row r="112">
      <c r="A112" s="10" t="n">
        <v>43739</v>
      </c>
      <c r="B112" s="18">
        <f>IF(VLOOKUP(A112,'DB Country PMI'!$A:$AZ,MATCH($A$1,'DB Country PMI'!$A$1:$AZ$1,),)=0,#N/A,VLOOKUP(A112,'DB Country PMI'!$A:$AZ,MATCH($A$1,'DB Country PMI'!$A$1:$AZ$1,),))</f>
        <v/>
      </c>
      <c r="C112" s="24">
        <f>Table1346811121415161718192022252629[[#This Row],[PMI]]-B111</f>
        <v/>
      </c>
    </row>
    <row r="113">
      <c r="A113" s="10" t="n">
        <v>43770</v>
      </c>
      <c r="B113" s="18">
        <f>IF(VLOOKUP(A113,'DB Country PMI'!$A:$AZ,MATCH($A$1,'DB Country PMI'!$A$1:$AZ$1,),)=0,#N/A,VLOOKUP(A113,'DB Country PMI'!$A:$AZ,MATCH($A$1,'DB Country PMI'!$A$1:$AZ$1,),))</f>
        <v/>
      </c>
      <c r="C113" s="24">
        <f>Table1346811121415161718192022252629[[#This Row],[PMI]]-B112</f>
        <v/>
      </c>
    </row>
    <row r="114">
      <c r="A114" s="10" t="n">
        <v>43800</v>
      </c>
      <c r="B114" s="18">
        <f>IF(VLOOKUP(A114,'DB Country PMI'!$A:$AZ,MATCH($A$1,'DB Country PMI'!$A$1:$AZ$1,),)=0,#N/A,VLOOKUP(A114,'DB Country PMI'!$A:$AZ,MATCH($A$1,'DB Country PMI'!$A$1:$AZ$1,),))</f>
        <v/>
      </c>
      <c r="C114" s="24">
        <f>Table1346811121415161718192022252629[[#This Row],[PMI]]-B113</f>
        <v/>
      </c>
    </row>
    <row r="115">
      <c r="A115" s="10" t="n">
        <v>43831</v>
      </c>
      <c r="B115" s="18">
        <f>IF(VLOOKUP(A115,'DB Country PMI'!$A:$AZ,MATCH($A$1,'DB Country PMI'!$A$1:$AZ$1,),)=0,#N/A,VLOOKUP(A115,'DB Country PMI'!$A:$AZ,MATCH($A$1,'DB Country PMI'!$A$1:$AZ$1,),))</f>
        <v/>
      </c>
      <c r="C115" s="24">
        <f>Table1346811121415161718192022252629[[#This Row],[PMI]]-B114</f>
        <v/>
      </c>
    </row>
    <row r="116">
      <c r="A116" s="10" t="n">
        <v>43862</v>
      </c>
      <c r="B116" s="18">
        <f>IF(VLOOKUP(A116,'DB Country PMI'!$A:$AZ,MATCH($A$1,'DB Country PMI'!$A$1:$AZ$1,),)=0,#N/A,VLOOKUP(A116,'DB Country PMI'!$A:$AZ,MATCH($A$1,'DB Country PMI'!$A$1:$AZ$1,),))</f>
        <v/>
      </c>
      <c r="C116" s="24">
        <f>Table1346811121415161718192022252629[[#This Row],[PMI]]-B115</f>
        <v/>
      </c>
    </row>
    <row r="117">
      <c r="A117" s="10" t="n">
        <v>43891</v>
      </c>
      <c r="B117" s="18">
        <f>IF(VLOOKUP(A117,'DB Country PMI'!$A:$AZ,MATCH($A$1,'DB Country PMI'!$A$1:$AZ$1,),)=0,#N/A,VLOOKUP(A117,'DB Country PMI'!$A:$AZ,MATCH($A$1,'DB Country PMI'!$A$1:$AZ$1,),))</f>
        <v/>
      </c>
      <c r="C117" s="24">
        <f>Table1346811121415161718192022252629[[#This Row],[PMI]]-B116</f>
        <v/>
      </c>
    </row>
    <row r="118">
      <c r="A118" s="10" t="n">
        <v>43922</v>
      </c>
      <c r="B118" s="18">
        <f>IF(VLOOKUP(A118,'DB Country PMI'!$A:$AZ,MATCH($A$1,'DB Country PMI'!$A$1:$AZ$1,),)=0,#N/A,VLOOKUP(A118,'DB Country PMI'!$A:$AZ,MATCH($A$1,'DB Country PMI'!$A$1:$AZ$1,),))</f>
        <v/>
      </c>
      <c r="C118" s="24">
        <f>Table1346811121415161718192022252629[[#This Row],[PMI]]-B117</f>
        <v/>
      </c>
    </row>
    <row r="119">
      <c r="A119" s="10" t="n">
        <v>43952</v>
      </c>
      <c r="B119" s="18">
        <f>IF(VLOOKUP(A119,'DB Country PMI'!$A:$AZ,MATCH($A$1,'DB Country PMI'!$A$1:$AZ$1,),)=0,#N/A,VLOOKUP(A119,'DB Country PMI'!$A:$AZ,MATCH($A$1,'DB Country PMI'!$A$1:$AZ$1,),))</f>
        <v/>
      </c>
      <c r="C119" s="24">
        <f>Table1346811121415161718192022252629[[#This Row],[PMI]]-B118</f>
        <v/>
      </c>
    </row>
    <row r="120">
      <c r="A120" s="10" t="n">
        <v>43983</v>
      </c>
      <c r="B120" s="18">
        <f>IF(VLOOKUP(A120,'DB Country PMI'!$A:$AZ,MATCH($A$1,'DB Country PMI'!$A$1:$AZ$1,),)=0,#N/A,VLOOKUP(A120,'DB Country PMI'!$A:$AZ,MATCH($A$1,'DB Country PMI'!$A$1:$AZ$1,),))</f>
        <v/>
      </c>
      <c r="C120" s="24">
        <f>Table1346811121415161718192022252629[[#This Row],[PMI]]-B119</f>
        <v/>
      </c>
    </row>
    <row r="121">
      <c r="A121" s="10" t="n">
        <v>44013</v>
      </c>
      <c r="B121" s="18">
        <f>IF(VLOOKUP(A121,'DB Country PMI'!$A:$AZ,MATCH($A$1,'DB Country PMI'!$A$1:$AZ$1,),)=0,#N/A,VLOOKUP(A121,'DB Country PMI'!$A:$AZ,MATCH($A$1,'DB Country PMI'!$A$1:$AZ$1,),))</f>
        <v/>
      </c>
      <c r="C121" s="24">
        <f>Table1346811121415161718192022252629[[#This Row],[PMI]]-B120</f>
        <v/>
      </c>
    </row>
    <row r="122">
      <c r="A122" s="10" t="n">
        <v>44044</v>
      </c>
      <c r="B122" s="18">
        <f>IF(VLOOKUP(A122,'DB Country PMI'!$A:$AZ,MATCH($A$1,'DB Country PMI'!$A$1:$AZ$1,),)=0,#N/A,VLOOKUP(A122,'DB Country PMI'!$A:$AZ,MATCH($A$1,'DB Country PMI'!$A$1:$AZ$1,),))</f>
        <v/>
      </c>
      <c r="C122" s="24">
        <f>Table1346811121415161718192022252629[[#This Row],[PMI]]-B121</f>
        <v/>
      </c>
    </row>
    <row r="123">
      <c r="A123" s="10" t="n">
        <v>44075</v>
      </c>
      <c r="B123" s="18">
        <f>IF(VLOOKUP(A123,'DB Country PMI'!$A:$AZ,MATCH($A$1,'DB Country PMI'!$A$1:$AZ$1,),)=0,#N/A,VLOOKUP(A123,'DB Country PMI'!$A:$AZ,MATCH($A$1,'DB Country PMI'!$A$1:$AZ$1,),))</f>
        <v/>
      </c>
      <c r="C123" s="24">
        <f>Table1346811121415161718192022252629[[#This Row],[PMI]]-B122</f>
        <v/>
      </c>
    </row>
    <row r="124">
      <c r="A124" s="10" t="n">
        <v>44105</v>
      </c>
      <c r="B124" s="18">
        <f>IF(VLOOKUP(A124,'DB Country PMI'!$A:$AZ,MATCH($A$1,'DB Country PMI'!$A$1:$AZ$1,),)=0,#N/A,VLOOKUP(A124,'DB Country PMI'!$A:$AZ,MATCH($A$1,'DB Country PMI'!$A$1:$AZ$1,),))</f>
        <v/>
      </c>
      <c r="C124" s="24">
        <f>Table1346811121415161718192022252629[[#This Row],[PMI]]-B123</f>
        <v/>
      </c>
    </row>
    <row r="125">
      <c r="A125" s="10" t="n">
        <v>44136</v>
      </c>
      <c r="B125" s="18">
        <f>IF(VLOOKUP(A125,'DB Country PMI'!$A:$AZ,MATCH($A$1,'DB Country PMI'!$A$1:$AZ$1,),)=0,#N/A,VLOOKUP(A125,'DB Country PMI'!$A:$AZ,MATCH($A$1,'DB Country PMI'!$A$1:$AZ$1,),))</f>
        <v/>
      </c>
      <c r="C125" s="24">
        <f>Table1346811121415161718192022252629[[#This Row],[PMI]]-B124</f>
        <v/>
      </c>
    </row>
    <row r="126">
      <c r="A126" s="10" t="n">
        <v>44166</v>
      </c>
      <c r="B126" s="18">
        <f>IF(VLOOKUP(A126,'DB Country PMI'!$A:$AZ,MATCH($A$1,'DB Country PMI'!$A$1:$AZ$1,),)=0,#N/A,VLOOKUP(A126,'DB Country PMI'!$A:$AZ,MATCH($A$1,'DB Country PMI'!$A$1:$AZ$1,),))</f>
        <v/>
      </c>
      <c r="C126" s="24">
        <f>Table1346811121415161718192022252629[[#This Row],[PMI]]-B125</f>
        <v/>
      </c>
    </row>
    <row r="127">
      <c r="A127" s="10" t="n">
        <v>44197</v>
      </c>
      <c r="B127" s="18">
        <f>IF(VLOOKUP(A127,'DB Country PMI'!$A:$AZ,MATCH($A$1,'DB Country PMI'!$A$1:$AZ$1,),)=0,#N/A,VLOOKUP(A127,'DB Country PMI'!$A:$AZ,MATCH($A$1,'DB Country PMI'!$A$1:$AZ$1,),))</f>
        <v/>
      </c>
      <c r="C127" s="24">
        <f>Table1346811121415161718192022252629[[#This Row],[PMI]]-B126</f>
        <v/>
      </c>
    </row>
    <row r="128">
      <c r="A128" s="10" t="n">
        <v>44228</v>
      </c>
      <c r="B128" s="18">
        <f>IF(VLOOKUP(A128,'DB Country PMI'!$A:$AZ,MATCH($A$1,'DB Country PMI'!$A$1:$AZ$1,),)=0,#N/A,VLOOKUP(A128,'DB Country PMI'!$A:$AZ,MATCH($A$1,'DB Country PMI'!$A$1:$AZ$1,),))</f>
        <v/>
      </c>
      <c r="C128" s="24">
        <f>Table1346811121415161718192022252629[[#This Row],[PMI]]-B127</f>
        <v/>
      </c>
    </row>
    <row r="129">
      <c r="A129" s="10" t="n">
        <v>44256</v>
      </c>
      <c r="B129" s="18">
        <f>IF(VLOOKUP(A129,'DB Country PMI'!$A:$AZ,MATCH($A$1,'DB Country PMI'!$A$1:$AZ$1,),)=0,#N/A,VLOOKUP(A129,'DB Country PMI'!$A:$AZ,MATCH($A$1,'DB Country PMI'!$A$1:$AZ$1,),))</f>
        <v/>
      </c>
      <c r="C129" s="24">
        <f>Table1346811121415161718192022252629[[#This Row],[PMI]]-B128</f>
        <v/>
      </c>
    </row>
    <row r="130">
      <c r="A130" s="10" t="n">
        <v>44287</v>
      </c>
      <c r="B130" s="18">
        <f>IF(VLOOKUP(A130,'DB Country PMI'!$A:$AZ,MATCH($A$1,'DB Country PMI'!$A$1:$AZ$1,),)=0,#N/A,VLOOKUP(A130,'DB Country PMI'!$A:$AZ,MATCH($A$1,'DB Country PMI'!$A$1:$AZ$1,),))</f>
        <v/>
      </c>
      <c r="C130" s="24">
        <f>Table1346811121415161718192022252629[[#This Row],[PMI]]-B129</f>
        <v/>
      </c>
    </row>
    <row r="131">
      <c r="A131" s="10" t="n">
        <v>44317</v>
      </c>
      <c r="B131" s="18">
        <f>IF(VLOOKUP(A131,'DB Country PMI'!$A:$AZ,MATCH($A$1,'DB Country PMI'!$A$1:$AZ$1,),)=0,#N/A,VLOOKUP(A131,'DB Country PMI'!$A:$AZ,MATCH($A$1,'DB Country PMI'!$A$1:$AZ$1,),))</f>
        <v/>
      </c>
      <c r="C131" s="24">
        <f>Table1346811121415161718192022252629[[#This Row],[PMI]]-B130</f>
        <v/>
      </c>
    </row>
    <row r="132">
      <c r="A132" s="10" t="n">
        <v>44348</v>
      </c>
      <c r="B132" s="18">
        <f>IF(VLOOKUP(A132,'DB Country PMI'!$A:$AZ,MATCH($A$1,'DB Country PMI'!$A$1:$AZ$1,),)=0,#N/A,VLOOKUP(A132,'DB Country PMI'!$A:$AZ,MATCH($A$1,'DB Country PMI'!$A$1:$AZ$1,),))</f>
        <v/>
      </c>
      <c r="C132" s="24">
        <f>Table1346811121415161718192022252629[[#This Row],[PMI]]-B131</f>
        <v/>
      </c>
    </row>
    <row r="133">
      <c r="A133" s="10" t="n">
        <v>44378</v>
      </c>
      <c r="B133" s="18">
        <f>IF(VLOOKUP(A133,'DB Country PMI'!$A:$AZ,MATCH($A$1,'DB Country PMI'!$A$1:$AZ$1,),)=0,#N/A,VLOOKUP(A133,'DB Country PMI'!$A:$AZ,MATCH($A$1,'DB Country PMI'!$A$1:$AZ$1,),))</f>
        <v/>
      </c>
      <c r="C133" s="24">
        <f>Table1346811121415161718192022252629[[#This Row],[PMI]]-B132</f>
        <v/>
      </c>
    </row>
    <row r="134">
      <c r="A134" s="10" t="n">
        <v>44409</v>
      </c>
      <c r="B134" s="18">
        <f>IF(VLOOKUP(A134,'DB Country PMI'!$A:$AZ,MATCH($A$1,'DB Country PMI'!$A$1:$AZ$1,),)=0,#N/A,VLOOKUP(A134,'DB Country PMI'!$A:$AZ,MATCH($A$1,'DB Country PMI'!$A$1:$AZ$1,),))</f>
        <v/>
      </c>
      <c r="C134" s="24">
        <f>Table1346811121415161718192022252629[[#This Row],[PMI]]-B133</f>
        <v/>
      </c>
    </row>
    <row r="135">
      <c r="A135" s="10" t="n">
        <v>44440</v>
      </c>
      <c r="B135" s="18">
        <f>IF(VLOOKUP(A135,'DB Country PMI'!$A:$AZ,MATCH($A$1,'DB Country PMI'!$A$1:$AZ$1,),)=0,#N/A,VLOOKUP(A135,'DB Country PMI'!$A:$AZ,MATCH($A$1,'DB Country PMI'!$A$1:$AZ$1,),))</f>
        <v/>
      </c>
      <c r="C135" s="24">
        <f>Table1346811121415161718192022252629[[#This Row],[PMI]]-B134</f>
        <v/>
      </c>
    </row>
    <row r="136">
      <c r="A136" s="10" t="n">
        <v>44470</v>
      </c>
      <c r="B136" s="18">
        <f>IF(VLOOKUP(A136,'DB Country PMI'!$A:$AZ,MATCH($A$1,'DB Country PMI'!$A$1:$AZ$1,),)=0,#N/A,VLOOKUP(A136,'DB Country PMI'!$A:$AZ,MATCH($A$1,'DB Country PMI'!$A$1:$AZ$1,),))</f>
        <v/>
      </c>
      <c r="C136" s="24">
        <f>Table1346811121415161718192022252629[[#This Row],[PMI]]-B135</f>
        <v/>
      </c>
    </row>
    <row r="137">
      <c r="A137" s="10" t="n">
        <v>44501</v>
      </c>
      <c r="B137" s="18">
        <f>IF(VLOOKUP(A137,'DB Country PMI'!$A:$AZ,MATCH($A$1,'DB Country PMI'!$A$1:$AZ$1,),)=0,#N/A,VLOOKUP(A137,'DB Country PMI'!$A:$AZ,MATCH($A$1,'DB Country PMI'!$A$1:$AZ$1,),))</f>
        <v/>
      </c>
      <c r="C137" s="24">
        <f>Table1346811121415161718192022252629[[#This Row],[PMI]]-B136</f>
        <v/>
      </c>
    </row>
    <row r="138">
      <c r="A138" s="10" t="n">
        <v>44531</v>
      </c>
      <c r="B138" s="18">
        <f>IF(VLOOKUP(A138,'DB Country PMI'!$A:$AZ,MATCH($A$1,'DB Country PMI'!$A$1:$AZ$1,),)=0,#N/A,VLOOKUP(A138,'DB Country PMI'!$A:$AZ,MATCH($A$1,'DB Country PMI'!$A$1:$AZ$1,),))</f>
        <v/>
      </c>
      <c r="C138" s="24">
        <f>Table1346811121415161718192022252629[[#This Row],[PMI]]-B137</f>
        <v/>
      </c>
    </row>
    <row r="139">
      <c r="A139" s="10" t="n">
        <v>44562</v>
      </c>
      <c r="B139" s="18">
        <f>IF(VLOOKUP(A139,'DB Country PMI'!$A:$AZ,MATCH($A$1,'DB Country PMI'!$A$1:$AZ$1,),)=0,#N/A,VLOOKUP(A139,'DB Country PMI'!$A:$AZ,MATCH($A$1,'DB Country PMI'!$A$1:$AZ$1,),))</f>
        <v/>
      </c>
      <c r="C139" s="24">
        <f>Table1346811121415161718192022252629[[#This Row],[PMI]]-B138</f>
        <v/>
      </c>
    </row>
    <row r="140">
      <c r="A140" s="10" t="n">
        <v>44593</v>
      </c>
      <c r="B140" s="18">
        <f>IF(VLOOKUP(A140,'DB Country PMI'!$A:$AZ,MATCH($A$1,'DB Country PMI'!$A$1:$AZ$1,),)=0,#N/A,VLOOKUP(A140,'DB Country PMI'!$A:$AZ,MATCH($A$1,'DB Country PMI'!$A$1:$AZ$1,),))</f>
        <v/>
      </c>
      <c r="C140" s="24">
        <f>Table1346811121415161718192022252629[[#This Row],[PMI]]-B139</f>
        <v/>
      </c>
    </row>
    <row r="141">
      <c r="A141" s="10" t="n">
        <v>44621</v>
      </c>
      <c r="B141" s="18">
        <f>IF(VLOOKUP(A141,'DB Country PMI'!$A:$AZ,MATCH($A$1,'DB Country PMI'!$A$1:$AZ$1,),)=0,#N/A,VLOOKUP(A141,'DB Country PMI'!$A:$AZ,MATCH($A$1,'DB Country PMI'!$A$1:$AZ$1,),))</f>
        <v/>
      </c>
      <c r="C141" s="24">
        <f>Table1346811121415161718192022252629[[#This Row],[PMI]]-B140</f>
        <v/>
      </c>
    </row>
    <row r="142">
      <c r="A142" s="10" t="n">
        <v>44652</v>
      </c>
      <c r="B142" s="18">
        <f>IF(VLOOKUP(A142,'DB Country PMI'!$A:$AZ,MATCH($A$1,'DB Country PMI'!$A$1:$AZ$1,),)=0,#N/A,VLOOKUP(A142,'DB Country PMI'!$A:$AZ,MATCH($A$1,'DB Country PMI'!$A$1:$AZ$1,),))</f>
        <v/>
      </c>
      <c r="C142" s="24">
        <f>Table1346811121415161718192022252629[[#This Row],[PMI]]-B141</f>
        <v/>
      </c>
    </row>
    <row r="143">
      <c r="A143" s="10" t="n">
        <v>44682</v>
      </c>
      <c r="B143" s="18">
        <f>IF(VLOOKUP(A143,'DB Country PMI'!$A:$AZ,MATCH($A$1,'DB Country PMI'!$A$1:$AZ$1,),)=0,#N/A,VLOOKUP(A143,'DB Country PMI'!$A:$AZ,MATCH($A$1,'DB Country PMI'!$A$1:$AZ$1,),))</f>
        <v/>
      </c>
      <c r="C143" s="24">
        <f>Table1346811121415161718192022252629[[#This Row],[PMI]]-B142</f>
        <v/>
      </c>
    </row>
    <row r="144">
      <c r="A144" s="10" t="n">
        <v>44713</v>
      </c>
      <c r="B144" s="18">
        <f>IF(VLOOKUP(A144,'DB Country PMI'!$A:$AZ,MATCH($A$1,'DB Country PMI'!$A$1:$AZ$1,),)=0,#N/A,VLOOKUP(A144,'DB Country PMI'!$A:$AZ,MATCH($A$1,'DB Country PMI'!$A$1:$AZ$1,),))</f>
        <v/>
      </c>
      <c r="C144" s="24">
        <f>Table1346811121415161718192022252629[[#This Row],[PMI]]-B143</f>
        <v/>
      </c>
    </row>
    <row r="145">
      <c r="A145" s="10" t="n">
        <v>44743</v>
      </c>
      <c r="B145" s="18">
        <f>IF(VLOOKUP(A145,'DB Country PMI'!$A:$AZ,MATCH($A$1,'DB Country PMI'!$A$1:$AZ$1,),)=0,#N/A,VLOOKUP(A145,'DB Country PMI'!$A:$AZ,MATCH($A$1,'DB Country PMI'!$A$1:$AZ$1,),))</f>
        <v/>
      </c>
      <c r="C145" s="24">
        <f>Table1346811121415161718192022252629[[#This Row],[PMI]]-B144</f>
        <v/>
      </c>
    </row>
    <row r="146">
      <c r="A146" s="10" t="n">
        <v>44774</v>
      </c>
      <c r="B146" s="18">
        <f>IF(VLOOKUP(A146,'DB Country PMI'!$A:$AZ,MATCH($A$1,'DB Country PMI'!$A$1:$AZ$1,),)=0,#N/A,VLOOKUP(A146,'DB Country PMI'!$A:$AZ,MATCH($A$1,'DB Country PMI'!$A$1:$AZ$1,),))</f>
        <v/>
      </c>
      <c r="C146" s="24">
        <f>Table1346811121415161718192022252629[[#This Row],[PMI]]-B145</f>
        <v/>
      </c>
    </row>
    <row r="147">
      <c r="A147" s="10" t="n">
        <v>44805</v>
      </c>
      <c r="B147" s="18">
        <f>IF(VLOOKUP(A147,'DB Country PMI'!$A:$AZ,MATCH($A$1,'DB Country PMI'!$A$1:$AZ$1,),)=0,#N/A,VLOOKUP(A147,'DB Country PMI'!$A:$AZ,MATCH($A$1,'DB Country PMI'!$A$1:$AZ$1,),))</f>
        <v/>
      </c>
      <c r="C147" s="24">
        <f>Table1346811121415161718192022252629[[#This Row],[PMI]]-B146</f>
        <v/>
      </c>
    </row>
    <row r="148">
      <c r="A148" s="10" t="n">
        <v>44835</v>
      </c>
      <c r="B148" s="18">
        <f>IF(VLOOKUP(A148,'DB Country PMI'!$A:$AZ,MATCH($A$1,'DB Country PMI'!$A$1:$AZ$1,),)=0,#N/A,VLOOKUP(A148,'DB Country PMI'!$A:$AZ,MATCH($A$1,'DB Country PMI'!$A$1:$AZ$1,),))</f>
        <v/>
      </c>
      <c r="C148" s="24">
        <f>Table1346811121415161718192022252629[[#This Row],[PMI]]-B147</f>
        <v/>
      </c>
    </row>
    <row r="149">
      <c r="A149" s="10" t="n">
        <v>44866</v>
      </c>
      <c r="B149" s="18">
        <f>IF(VLOOKUP(A149,'DB Country PMI'!$A:$AZ,MATCH($A$1,'DB Country PMI'!$A$1:$AZ$1,),)=0,#N/A,VLOOKUP(A149,'DB Country PMI'!$A:$AZ,MATCH($A$1,'DB Country PMI'!$A$1:$AZ$1,),))</f>
        <v/>
      </c>
      <c r="C149" s="24">
        <f>Table1346811121415161718192022252629[[#This Row],[PMI]]-B148</f>
        <v/>
      </c>
    </row>
  </sheetData>
  <conditionalFormatting sqref="C7:C106">
    <cfRule type="colorScale" priority="1">
      <colorScale>
        <cfvo type="min"/>
        <cfvo type="percentile" val="50"/>
        <cfvo type="max"/>
        <color rgb="FFF8696B"/>
        <color rgb="FFFCFCFF"/>
        <color rgb="FF5A8AC6"/>
      </colorScale>
    </cfRule>
  </conditionalFormatting>
  <conditionalFormatting sqref="B6:B14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5.xml><?xml version="1.0" encoding="utf-8"?>
<worksheet xmlns="http://schemas.openxmlformats.org/spreadsheetml/2006/main">
  <sheetPr>
    <outlinePr summaryBelow="1" summaryRight="1"/>
    <pageSetUpPr/>
  </sheetPr>
  <dimension ref="A1:K151"/>
  <sheetViews>
    <sheetView zoomScale="90" zoomScaleNormal="90" workbookViewId="0">
      <pane ySplit="5" topLeftCell="A137" activePane="bottomLeft" state="frozen"/>
      <selection pane="bottomLeft" activeCell="O151" sqref="O151"/>
    </sheetView>
  </sheetViews>
  <sheetFormatPr baseColWidth="8" defaultColWidth="9.1796875" defaultRowHeight="14.5"/>
  <cols>
    <col width="13.453125" customWidth="1" style="69" min="1" max="1"/>
    <col width="11.36328125" customWidth="1" style="69" min="2" max="2"/>
    <col width="9.1796875" customWidth="1" style="69" min="3" max="51"/>
    <col width="9.1796875" customWidth="1" style="69" min="52" max="16384"/>
  </cols>
  <sheetData>
    <row r="1">
      <c r="A1" s="69" t="inlineStr">
        <is>
          <t>Taiwan</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Table1346811121415161718192022253033[[#This Row],[PMI]]-B6</f>
        <v/>
      </c>
    </row>
    <row r="8">
      <c r="A8" s="10" t="n">
        <v>40513</v>
      </c>
      <c r="B8" s="18">
        <f>IF(VLOOKUP(A8,'DB Country PMI'!$A:$AZ,MATCH($A$1,'DB Country PMI'!$A$1:$AZ$1,),)=0,#N/A,VLOOKUP(A8,'DB Country PMI'!$A:$AZ,MATCH($A$1,'DB Country PMI'!$A$1:$AZ$1,),))</f>
        <v/>
      </c>
      <c r="C8" s="24">
        <f>Table1346811121415161718192022253033[[#This Row],[PMI]]-B7</f>
        <v/>
      </c>
    </row>
    <row r="9">
      <c r="A9" s="10" t="n">
        <v>40544</v>
      </c>
      <c r="B9" s="18">
        <f>IF(VLOOKUP(A9,'DB Country PMI'!$A:$AZ,MATCH($A$1,'DB Country PMI'!$A$1:$AZ$1,),)=0,#N/A,VLOOKUP(A9,'DB Country PMI'!$A:$AZ,MATCH($A$1,'DB Country PMI'!$A$1:$AZ$1,),))</f>
        <v/>
      </c>
      <c r="C9" s="24">
        <f>Table1346811121415161718192022253033[[#This Row],[PMI]]-B8</f>
        <v/>
      </c>
    </row>
    <row r="10">
      <c r="A10" s="10" t="n">
        <v>40575</v>
      </c>
      <c r="B10" s="18">
        <f>IF(VLOOKUP(A10,'DB Country PMI'!$A:$AZ,MATCH($A$1,'DB Country PMI'!$A$1:$AZ$1,),)=0,#N/A,VLOOKUP(A10,'DB Country PMI'!$A:$AZ,MATCH($A$1,'DB Country PMI'!$A$1:$AZ$1,),))</f>
        <v/>
      </c>
      <c r="C10" s="24">
        <f>Table1346811121415161718192022253033[[#This Row],[PMI]]-B9</f>
        <v/>
      </c>
    </row>
    <row r="11">
      <c r="A11" s="10" t="n">
        <v>40603</v>
      </c>
      <c r="B11" s="18">
        <f>IF(VLOOKUP(A11,'DB Country PMI'!$A:$AZ,MATCH($A$1,'DB Country PMI'!$A$1:$AZ$1,),)=0,#N/A,VLOOKUP(A11,'DB Country PMI'!$A:$AZ,MATCH($A$1,'DB Country PMI'!$A$1:$AZ$1,),))</f>
        <v/>
      </c>
      <c r="C11" s="24">
        <f>Table1346811121415161718192022253033[[#This Row],[PMI]]-B10</f>
        <v/>
      </c>
    </row>
    <row r="12">
      <c r="A12" s="10" t="n">
        <v>40634</v>
      </c>
      <c r="B12" s="18">
        <f>IF(VLOOKUP(A12,'DB Country PMI'!$A:$AZ,MATCH($A$1,'DB Country PMI'!$A$1:$AZ$1,),)=0,#N/A,VLOOKUP(A12,'DB Country PMI'!$A:$AZ,MATCH($A$1,'DB Country PMI'!$A$1:$AZ$1,),))</f>
        <v/>
      </c>
      <c r="C12" s="24">
        <f>Table1346811121415161718192022253033[[#This Row],[PMI]]-B11</f>
        <v/>
      </c>
    </row>
    <row r="13">
      <c r="A13" s="10" t="n">
        <v>40664</v>
      </c>
      <c r="B13" s="18">
        <f>IF(VLOOKUP(A13,'DB Country PMI'!$A:$AZ,MATCH($A$1,'DB Country PMI'!$A$1:$AZ$1,),)=0,#N/A,VLOOKUP(A13,'DB Country PMI'!$A:$AZ,MATCH($A$1,'DB Country PMI'!$A$1:$AZ$1,),))</f>
        <v/>
      </c>
      <c r="C13" s="24">
        <f>Table1346811121415161718192022253033[[#This Row],[PMI]]-B12</f>
        <v/>
      </c>
    </row>
    <row r="14">
      <c r="A14" s="10" t="n">
        <v>40695</v>
      </c>
      <c r="B14" s="18">
        <f>IF(VLOOKUP(A14,'DB Country PMI'!$A:$AZ,MATCH($A$1,'DB Country PMI'!$A$1:$AZ$1,),)=0,#N/A,VLOOKUP(A14,'DB Country PMI'!$A:$AZ,MATCH($A$1,'DB Country PMI'!$A$1:$AZ$1,),))</f>
        <v/>
      </c>
      <c r="C14" s="24">
        <f>Table1346811121415161718192022253033[[#This Row],[PMI]]-B13</f>
        <v/>
      </c>
    </row>
    <row r="15">
      <c r="A15" s="10" t="n">
        <v>40725</v>
      </c>
      <c r="B15" s="18">
        <f>IF(VLOOKUP(A15,'DB Country PMI'!$A:$AZ,MATCH($A$1,'DB Country PMI'!$A$1:$AZ$1,),)=0,#N/A,VLOOKUP(A15,'DB Country PMI'!$A:$AZ,MATCH($A$1,'DB Country PMI'!$A$1:$AZ$1,),))</f>
        <v/>
      </c>
      <c r="C15" s="24">
        <f>Table1346811121415161718192022253033[[#This Row],[PMI]]-B14</f>
        <v/>
      </c>
    </row>
    <row r="16">
      <c r="A16" s="10" t="n">
        <v>40756</v>
      </c>
      <c r="B16" s="18">
        <f>IF(VLOOKUP(A16,'DB Country PMI'!$A:$AZ,MATCH($A$1,'DB Country PMI'!$A$1:$AZ$1,),)=0,#N/A,VLOOKUP(A16,'DB Country PMI'!$A:$AZ,MATCH($A$1,'DB Country PMI'!$A$1:$AZ$1,),))</f>
        <v/>
      </c>
      <c r="C16" s="24">
        <f>Table1346811121415161718192022253033[[#This Row],[PMI]]-B15</f>
        <v/>
      </c>
    </row>
    <row r="17">
      <c r="A17" s="10" t="n">
        <v>40787</v>
      </c>
      <c r="B17" s="18">
        <f>IF(VLOOKUP(A17,'DB Country PMI'!$A:$AZ,MATCH($A$1,'DB Country PMI'!$A$1:$AZ$1,),)=0,#N/A,VLOOKUP(A17,'DB Country PMI'!$A:$AZ,MATCH($A$1,'DB Country PMI'!$A$1:$AZ$1,),))</f>
        <v/>
      </c>
      <c r="C17" s="24">
        <f>Table1346811121415161718192022253033[[#This Row],[PMI]]-B16</f>
        <v/>
      </c>
    </row>
    <row r="18">
      <c r="A18" s="10" t="n">
        <v>40817</v>
      </c>
      <c r="B18" s="18">
        <f>IF(VLOOKUP(A18,'DB Country PMI'!$A:$AZ,MATCH($A$1,'DB Country PMI'!$A$1:$AZ$1,),)=0,#N/A,VLOOKUP(A18,'DB Country PMI'!$A:$AZ,MATCH($A$1,'DB Country PMI'!$A$1:$AZ$1,),))</f>
        <v/>
      </c>
      <c r="C18" s="24">
        <f>Table1346811121415161718192022253033[[#This Row],[PMI]]-B17</f>
        <v/>
      </c>
    </row>
    <row r="19">
      <c r="A19" s="10" t="n">
        <v>40848</v>
      </c>
      <c r="B19" s="18">
        <f>IF(VLOOKUP(A19,'DB Country PMI'!$A:$AZ,MATCH($A$1,'DB Country PMI'!$A$1:$AZ$1,),)=0,#N/A,VLOOKUP(A19,'DB Country PMI'!$A:$AZ,MATCH($A$1,'DB Country PMI'!$A$1:$AZ$1,),))</f>
        <v/>
      </c>
      <c r="C19" s="24">
        <f>Table1346811121415161718192022253033[[#This Row],[PMI]]-B18</f>
        <v/>
      </c>
    </row>
    <row r="20">
      <c r="A20" s="10" t="n">
        <v>40878</v>
      </c>
      <c r="B20" s="18">
        <f>IF(VLOOKUP(A20,'DB Country PMI'!$A:$AZ,MATCH($A$1,'DB Country PMI'!$A$1:$AZ$1,),)=0,#N/A,VLOOKUP(A20,'DB Country PMI'!$A:$AZ,MATCH($A$1,'DB Country PMI'!$A$1:$AZ$1,),))</f>
        <v/>
      </c>
      <c r="C20" s="24">
        <f>Table1346811121415161718192022253033[[#This Row],[PMI]]-B19</f>
        <v/>
      </c>
    </row>
    <row r="21">
      <c r="A21" s="10" t="n">
        <v>40909</v>
      </c>
      <c r="B21" s="18">
        <f>IF(VLOOKUP(A21,'DB Country PMI'!$A:$AZ,MATCH($A$1,'DB Country PMI'!$A$1:$AZ$1,),)=0,#N/A,VLOOKUP(A21,'DB Country PMI'!$A:$AZ,MATCH($A$1,'DB Country PMI'!$A$1:$AZ$1,),))</f>
        <v/>
      </c>
      <c r="C21" s="24">
        <f>Table1346811121415161718192022253033[[#This Row],[PMI]]-B20</f>
        <v/>
      </c>
    </row>
    <row r="22">
      <c r="A22" s="10" t="n">
        <v>40940</v>
      </c>
      <c r="B22" s="18">
        <f>IF(VLOOKUP(A22,'DB Country PMI'!$A:$AZ,MATCH($A$1,'DB Country PMI'!$A$1:$AZ$1,),)=0,#N/A,VLOOKUP(A22,'DB Country PMI'!$A:$AZ,MATCH($A$1,'DB Country PMI'!$A$1:$AZ$1,),))</f>
        <v/>
      </c>
      <c r="C22" s="24">
        <f>Table1346811121415161718192022253033[[#This Row],[PMI]]-B21</f>
        <v/>
      </c>
    </row>
    <row r="23">
      <c r="A23" s="10" t="n">
        <v>40969</v>
      </c>
      <c r="B23" s="18">
        <f>IF(VLOOKUP(A23,'DB Country PMI'!$A:$AZ,MATCH($A$1,'DB Country PMI'!$A$1:$AZ$1,),)=0,#N/A,VLOOKUP(A23,'DB Country PMI'!$A:$AZ,MATCH($A$1,'DB Country PMI'!$A$1:$AZ$1,),))</f>
        <v/>
      </c>
      <c r="C23" s="24">
        <f>Table1346811121415161718192022253033[[#This Row],[PMI]]-B22</f>
        <v/>
      </c>
    </row>
    <row r="24">
      <c r="A24" s="10" t="n">
        <v>41000</v>
      </c>
      <c r="B24" s="18">
        <f>IF(VLOOKUP(A24,'DB Country PMI'!$A:$AZ,MATCH($A$1,'DB Country PMI'!$A$1:$AZ$1,),)=0,#N/A,VLOOKUP(A24,'DB Country PMI'!$A:$AZ,MATCH($A$1,'DB Country PMI'!$A$1:$AZ$1,),))</f>
        <v/>
      </c>
      <c r="C24" s="24">
        <f>Table1346811121415161718192022253033[[#This Row],[PMI]]-B23</f>
        <v/>
      </c>
    </row>
    <row r="25">
      <c r="A25" s="10" t="n">
        <v>41030</v>
      </c>
      <c r="B25" s="18">
        <f>IF(VLOOKUP(A25,'DB Country PMI'!$A:$AZ,MATCH($A$1,'DB Country PMI'!$A$1:$AZ$1,),)=0,#N/A,VLOOKUP(A25,'DB Country PMI'!$A:$AZ,MATCH($A$1,'DB Country PMI'!$A$1:$AZ$1,),))</f>
        <v/>
      </c>
      <c r="C25" s="24">
        <f>Table1346811121415161718192022253033[[#This Row],[PMI]]-B24</f>
        <v/>
      </c>
    </row>
    <row r="26">
      <c r="A26" s="10" t="n">
        <v>41061</v>
      </c>
      <c r="B26" s="18">
        <f>IF(VLOOKUP(A26,'DB Country PMI'!$A:$AZ,MATCH($A$1,'DB Country PMI'!$A$1:$AZ$1,),)=0,#N/A,VLOOKUP(A26,'DB Country PMI'!$A:$AZ,MATCH($A$1,'DB Country PMI'!$A$1:$AZ$1,),))</f>
        <v/>
      </c>
      <c r="C26" s="24">
        <f>Table1346811121415161718192022253033[[#This Row],[PMI]]-B25</f>
        <v/>
      </c>
    </row>
    <row r="27">
      <c r="A27" s="10" t="n">
        <v>41091</v>
      </c>
      <c r="B27" s="18">
        <f>IF(VLOOKUP(A27,'DB Country PMI'!$A:$AZ,MATCH($A$1,'DB Country PMI'!$A$1:$AZ$1,),)=0,#N/A,VLOOKUP(A27,'DB Country PMI'!$A:$AZ,MATCH($A$1,'DB Country PMI'!$A$1:$AZ$1,),))</f>
        <v/>
      </c>
      <c r="C27" s="24">
        <f>Table1346811121415161718192022253033[[#This Row],[PMI]]-B26</f>
        <v/>
      </c>
    </row>
    <row r="28">
      <c r="A28" s="10" t="n">
        <v>41122</v>
      </c>
      <c r="B28" s="18">
        <f>IF(VLOOKUP(A28,'DB Country PMI'!$A:$AZ,MATCH($A$1,'DB Country PMI'!$A$1:$AZ$1,),)=0,#N/A,VLOOKUP(A28,'DB Country PMI'!$A:$AZ,MATCH($A$1,'DB Country PMI'!$A$1:$AZ$1,),))</f>
        <v/>
      </c>
      <c r="C28" s="24">
        <f>Table1346811121415161718192022253033[[#This Row],[PMI]]-B27</f>
        <v/>
      </c>
    </row>
    <row r="29">
      <c r="A29" s="10" t="n">
        <v>41153</v>
      </c>
      <c r="B29" s="18">
        <f>IF(VLOOKUP(A29,'DB Country PMI'!$A:$AZ,MATCH($A$1,'DB Country PMI'!$A$1:$AZ$1,),)=0,#N/A,VLOOKUP(A29,'DB Country PMI'!$A:$AZ,MATCH($A$1,'DB Country PMI'!$A$1:$AZ$1,),))</f>
        <v/>
      </c>
      <c r="C29" s="24">
        <f>Table1346811121415161718192022253033[[#This Row],[PMI]]-B28</f>
        <v/>
      </c>
    </row>
    <row r="30">
      <c r="A30" s="10" t="n">
        <v>41183</v>
      </c>
      <c r="B30" s="18">
        <f>IF(VLOOKUP(A30,'DB Country PMI'!$A:$AZ,MATCH($A$1,'DB Country PMI'!$A$1:$AZ$1,),)=0,#N/A,VLOOKUP(A30,'DB Country PMI'!$A:$AZ,MATCH($A$1,'DB Country PMI'!$A$1:$AZ$1,),))</f>
        <v/>
      </c>
      <c r="C30" s="24">
        <f>Table1346811121415161718192022253033[[#This Row],[PMI]]-B29</f>
        <v/>
      </c>
    </row>
    <row r="31">
      <c r="A31" s="10" t="n">
        <v>41214</v>
      </c>
      <c r="B31" s="18">
        <f>IF(VLOOKUP(A31,'DB Country PMI'!$A:$AZ,MATCH($A$1,'DB Country PMI'!$A$1:$AZ$1,),)=0,#N/A,VLOOKUP(A31,'DB Country PMI'!$A:$AZ,MATCH($A$1,'DB Country PMI'!$A$1:$AZ$1,),))</f>
        <v/>
      </c>
      <c r="C31" s="24">
        <f>Table1346811121415161718192022253033[[#This Row],[PMI]]-B30</f>
        <v/>
      </c>
    </row>
    <row r="32">
      <c r="A32" s="10" t="n">
        <v>41244</v>
      </c>
      <c r="B32" s="18">
        <f>IF(VLOOKUP(A32,'DB Country PMI'!$A:$AZ,MATCH($A$1,'DB Country PMI'!$A$1:$AZ$1,),)=0,#N/A,VLOOKUP(A32,'DB Country PMI'!$A:$AZ,MATCH($A$1,'DB Country PMI'!$A$1:$AZ$1,),))</f>
        <v/>
      </c>
      <c r="C32" s="24">
        <f>Table1346811121415161718192022253033[[#This Row],[PMI]]-B31</f>
        <v/>
      </c>
    </row>
    <row r="33">
      <c r="A33" s="10" t="n">
        <v>41275</v>
      </c>
      <c r="B33" s="18">
        <f>IF(VLOOKUP(A33,'DB Country PMI'!$A:$AZ,MATCH($A$1,'DB Country PMI'!$A$1:$AZ$1,),)=0,#N/A,VLOOKUP(A33,'DB Country PMI'!$A:$AZ,MATCH($A$1,'DB Country PMI'!$A$1:$AZ$1,),))</f>
        <v/>
      </c>
      <c r="C33" s="24">
        <f>Table1346811121415161718192022253033[[#This Row],[PMI]]-B32</f>
        <v/>
      </c>
    </row>
    <row r="34">
      <c r="A34" s="10" t="n">
        <v>41306</v>
      </c>
      <c r="B34" s="18">
        <f>IF(VLOOKUP(A34,'DB Country PMI'!$A:$AZ,MATCH($A$1,'DB Country PMI'!$A$1:$AZ$1,),)=0,#N/A,VLOOKUP(A34,'DB Country PMI'!$A:$AZ,MATCH($A$1,'DB Country PMI'!$A$1:$AZ$1,),))</f>
        <v/>
      </c>
      <c r="C34" s="24">
        <f>Table1346811121415161718192022253033[[#This Row],[PMI]]-B33</f>
        <v/>
      </c>
    </row>
    <row r="35">
      <c r="A35" s="10" t="n">
        <v>41334</v>
      </c>
      <c r="B35" s="18">
        <f>IF(VLOOKUP(A35,'DB Country PMI'!$A:$AZ,MATCH($A$1,'DB Country PMI'!$A$1:$AZ$1,),)=0,#N/A,VLOOKUP(A35,'DB Country PMI'!$A:$AZ,MATCH($A$1,'DB Country PMI'!$A$1:$AZ$1,),))</f>
        <v/>
      </c>
      <c r="C35" s="24">
        <f>Table1346811121415161718192022253033[[#This Row],[PMI]]-B34</f>
        <v/>
      </c>
    </row>
    <row r="36">
      <c r="A36" s="10" t="n">
        <v>41365</v>
      </c>
      <c r="B36" s="18">
        <f>IF(VLOOKUP(A36,'DB Country PMI'!$A:$AZ,MATCH($A$1,'DB Country PMI'!$A$1:$AZ$1,),)=0,#N/A,VLOOKUP(A36,'DB Country PMI'!$A:$AZ,MATCH($A$1,'DB Country PMI'!$A$1:$AZ$1,),))</f>
        <v/>
      </c>
      <c r="C36" s="24">
        <f>Table1346811121415161718192022253033[[#This Row],[PMI]]-B35</f>
        <v/>
      </c>
    </row>
    <row r="37">
      <c r="A37" s="10" t="n">
        <v>41395</v>
      </c>
      <c r="B37" s="18">
        <f>IF(VLOOKUP(A37,'DB Country PMI'!$A:$AZ,MATCH($A$1,'DB Country PMI'!$A$1:$AZ$1,),)=0,#N/A,VLOOKUP(A37,'DB Country PMI'!$A:$AZ,MATCH($A$1,'DB Country PMI'!$A$1:$AZ$1,),))</f>
        <v/>
      </c>
      <c r="C37" s="24">
        <f>Table1346811121415161718192022253033[[#This Row],[PMI]]-B36</f>
        <v/>
      </c>
    </row>
    <row r="38">
      <c r="A38" s="10" t="n">
        <v>41426</v>
      </c>
      <c r="B38" s="18">
        <f>IF(VLOOKUP(A38,'DB Country PMI'!$A:$AZ,MATCH($A$1,'DB Country PMI'!$A$1:$AZ$1,),)=0,#N/A,VLOOKUP(A38,'DB Country PMI'!$A:$AZ,MATCH($A$1,'DB Country PMI'!$A$1:$AZ$1,),))</f>
        <v/>
      </c>
      <c r="C38" s="24">
        <f>Table1346811121415161718192022253033[[#This Row],[PMI]]-B37</f>
        <v/>
      </c>
    </row>
    <row r="39">
      <c r="A39" s="10" t="n">
        <v>41456</v>
      </c>
      <c r="B39" s="18">
        <f>IF(VLOOKUP(A39,'DB Country PMI'!$A:$AZ,MATCH($A$1,'DB Country PMI'!$A$1:$AZ$1,),)=0,#N/A,VLOOKUP(A39,'DB Country PMI'!$A:$AZ,MATCH($A$1,'DB Country PMI'!$A$1:$AZ$1,),))</f>
        <v/>
      </c>
      <c r="C39" s="24">
        <f>Table1346811121415161718192022253033[[#This Row],[PMI]]-B38</f>
        <v/>
      </c>
    </row>
    <row r="40">
      <c r="A40" s="10" t="n">
        <v>41487</v>
      </c>
      <c r="B40" s="18">
        <f>IF(VLOOKUP(A40,'DB Country PMI'!$A:$AZ,MATCH($A$1,'DB Country PMI'!$A$1:$AZ$1,),)=0,#N/A,VLOOKUP(A40,'DB Country PMI'!$A:$AZ,MATCH($A$1,'DB Country PMI'!$A$1:$AZ$1,),))</f>
        <v/>
      </c>
      <c r="C40" s="24">
        <f>Table1346811121415161718192022253033[[#This Row],[PMI]]-B39</f>
        <v/>
      </c>
    </row>
    <row r="41">
      <c r="A41" s="10" t="n">
        <v>41518</v>
      </c>
      <c r="B41" s="18">
        <f>IF(VLOOKUP(A41,'DB Country PMI'!$A:$AZ,MATCH($A$1,'DB Country PMI'!$A$1:$AZ$1,),)=0,#N/A,VLOOKUP(A41,'DB Country PMI'!$A:$AZ,MATCH($A$1,'DB Country PMI'!$A$1:$AZ$1,),))</f>
        <v/>
      </c>
      <c r="C41" s="24">
        <f>Table1346811121415161718192022253033[[#This Row],[PMI]]-B40</f>
        <v/>
      </c>
    </row>
    <row r="42">
      <c r="A42" s="10" t="n">
        <v>41548</v>
      </c>
      <c r="B42" s="18">
        <f>IF(VLOOKUP(A42,'DB Country PMI'!$A:$AZ,MATCH($A$1,'DB Country PMI'!$A$1:$AZ$1,),)=0,#N/A,VLOOKUP(A42,'DB Country PMI'!$A:$AZ,MATCH($A$1,'DB Country PMI'!$A$1:$AZ$1,),))</f>
        <v/>
      </c>
      <c r="C42" s="24">
        <f>Table1346811121415161718192022253033[[#This Row],[PMI]]-B41</f>
        <v/>
      </c>
    </row>
    <row r="43">
      <c r="A43" s="10" t="n">
        <v>41579</v>
      </c>
      <c r="B43" s="18">
        <f>IF(VLOOKUP(A43,'DB Country PMI'!$A:$AZ,MATCH($A$1,'DB Country PMI'!$A$1:$AZ$1,),)=0,#N/A,VLOOKUP(A43,'DB Country PMI'!$A:$AZ,MATCH($A$1,'DB Country PMI'!$A$1:$AZ$1,),))</f>
        <v/>
      </c>
      <c r="C43" s="24">
        <f>Table1346811121415161718192022253033[[#This Row],[PMI]]-B42</f>
        <v/>
      </c>
    </row>
    <row r="44">
      <c r="A44" s="10" t="n">
        <v>41609</v>
      </c>
      <c r="B44" s="18">
        <f>IF(VLOOKUP(A44,'DB Country PMI'!$A:$AZ,MATCH($A$1,'DB Country PMI'!$A$1:$AZ$1,),)=0,#N/A,VLOOKUP(A44,'DB Country PMI'!$A:$AZ,MATCH($A$1,'DB Country PMI'!$A$1:$AZ$1,),))</f>
        <v/>
      </c>
      <c r="C44" s="24">
        <f>Table1346811121415161718192022253033[[#This Row],[PMI]]-B43</f>
        <v/>
      </c>
    </row>
    <row r="45">
      <c r="A45" s="10" t="n">
        <v>41640</v>
      </c>
      <c r="B45" s="18">
        <f>IF(VLOOKUP(A45,'DB Country PMI'!$A:$AZ,MATCH($A$1,'DB Country PMI'!$A$1:$AZ$1,),)=0,#N/A,VLOOKUP(A45,'DB Country PMI'!$A:$AZ,MATCH($A$1,'DB Country PMI'!$A$1:$AZ$1,),))</f>
        <v/>
      </c>
      <c r="C45" s="24">
        <f>Table1346811121415161718192022253033[[#This Row],[PMI]]-B44</f>
        <v/>
      </c>
    </row>
    <row r="46">
      <c r="A46" s="10" t="n">
        <v>41671</v>
      </c>
      <c r="B46" s="18">
        <f>IF(VLOOKUP(A46,'DB Country PMI'!$A:$AZ,MATCH($A$1,'DB Country PMI'!$A$1:$AZ$1,),)=0,#N/A,VLOOKUP(A46,'DB Country PMI'!$A:$AZ,MATCH($A$1,'DB Country PMI'!$A$1:$AZ$1,),))</f>
        <v/>
      </c>
      <c r="C46" s="24">
        <f>Table1346811121415161718192022253033[[#This Row],[PMI]]-B45</f>
        <v/>
      </c>
    </row>
    <row r="47">
      <c r="A47" s="10" t="n">
        <v>41699</v>
      </c>
      <c r="B47" s="18">
        <f>IF(VLOOKUP(A47,'DB Country PMI'!$A:$AZ,MATCH($A$1,'DB Country PMI'!$A$1:$AZ$1,),)=0,#N/A,VLOOKUP(A47,'DB Country PMI'!$A:$AZ,MATCH($A$1,'DB Country PMI'!$A$1:$AZ$1,),))</f>
        <v/>
      </c>
      <c r="C47" s="24">
        <f>Table1346811121415161718192022253033[[#This Row],[PMI]]-B46</f>
        <v/>
      </c>
    </row>
    <row r="48">
      <c r="A48" s="10" t="n">
        <v>41730</v>
      </c>
      <c r="B48" s="18">
        <f>IF(VLOOKUP(A48,'DB Country PMI'!$A:$AZ,MATCH($A$1,'DB Country PMI'!$A$1:$AZ$1,),)=0,#N/A,VLOOKUP(A48,'DB Country PMI'!$A:$AZ,MATCH($A$1,'DB Country PMI'!$A$1:$AZ$1,),))</f>
        <v/>
      </c>
      <c r="C48" s="24">
        <f>Table1346811121415161718192022253033[[#This Row],[PMI]]-B47</f>
        <v/>
      </c>
    </row>
    <row r="49">
      <c r="A49" s="10" t="n">
        <v>41760</v>
      </c>
      <c r="B49" s="18">
        <f>IF(VLOOKUP(A49,'DB Country PMI'!$A:$AZ,MATCH($A$1,'DB Country PMI'!$A$1:$AZ$1,),)=0,#N/A,VLOOKUP(A49,'DB Country PMI'!$A:$AZ,MATCH($A$1,'DB Country PMI'!$A$1:$AZ$1,),))</f>
        <v/>
      </c>
      <c r="C49" s="24">
        <f>Table1346811121415161718192022253033[[#This Row],[PMI]]-B48</f>
        <v/>
      </c>
    </row>
    <row r="50">
      <c r="A50" s="10" t="n">
        <v>41791</v>
      </c>
      <c r="B50" s="18">
        <f>IF(VLOOKUP(A50,'DB Country PMI'!$A:$AZ,MATCH($A$1,'DB Country PMI'!$A$1:$AZ$1,),)=0,#N/A,VLOOKUP(A50,'DB Country PMI'!$A:$AZ,MATCH($A$1,'DB Country PMI'!$A$1:$AZ$1,),))</f>
        <v/>
      </c>
      <c r="C50" s="24">
        <f>Table1346811121415161718192022253033[[#This Row],[PMI]]-B49</f>
        <v/>
      </c>
    </row>
    <row r="51">
      <c r="A51" s="10" t="n">
        <v>41821</v>
      </c>
      <c r="B51" s="18">
        <f>IF(VLOOKUP(A51,'DB Country PMI'!$A:$AZ,MATCH($A$1,'DB Country PMI'!$A$1:$AZ$1,),)=0,#N/A,VLOOKUP(A51,'DB Country PMI'!$A:$AZ,MATCH($A$1,'DB Country PMI'!$A$1:$AZ$1,),))</f>
        <v/>
      </c>
      <c r="C51" s="24">
        <f>Table1346811121415161718192022253033[[#This Row],[PMI]]-B50</f>
        <v/>
      </c>
    </row>
    <row r="52">
      <c r="A52" s="10" t="n">
        <v>41852</v>
      </c>
      <c r="B52" s="18">
        <f>IF(VLOOKUP(A52,'DB Country PMI'!$A:$AZ,MATCH($A$1,'DB Country PMI'!$A$1:$AZ$1,),)=0,#N/A,VLOOKUP(A52,'DB Country PMI'!$A:$AZ,MATCH($A$1,'DB Country PMI'!$A$1:$AZ$1,),))</f>
        <v/>
      </c>
      <c r="C52" s="24">
        <f>Table1346811121415161718192022253033[[#This Row],[PMI]]-B51</f>
        <v/>
      </c>
    </row>
    <row r="53">
      <c r="A53" s="10" t="n">
        <v>41883</v>
      </c>
      <c r="B53" s="18">
        <f>IF(VLOOKUP(A53,'DB Country PMI'!$A:$AZ,MATCH($A$1,'DB Country PMI'!$A$1:$AZ$1,),)=0,#N/A,VLOOKUP(A53,'DB Country PMI'!$A:$AZ,MATCH($A$1,'DB Country PMI'!$A$1:$AZ$1,),))</f>
        <v/>
      </c>
      <c r="C53" s="24">
        <f>Table1346811121415161718192022253033[[#This Row],[PMI]]-B52</f>
        <v/>
      </c>
    </row>
    <row r="54">
      <c r="A54" s="10" t="n">
        <v>41913</v>
      </c>
      <c r="B54" s="18">
        <f>IF(VLOOKUP(A54,'DB Country PMI'!$A:$AZ,MATCH($A$1,'DB Country PMI'!$A$1:$AZ$1,),)=0,#N/A,VLOOKUP(A54,'DB Country PMI'!$A:$AZ,MATCH($A$1,'DB Country PMI'!$A$1:$AZ$1,),))</f>
        <v/>
      </c>
      <c r="C54" s="24">
        <f>Table1346811121415161718192022253033[[#This Row],[PMI]]-B53</f>
        <v/>
      </c>
    </row>
    <row r="55">
      <c r="A55" s="10" t="n">
        <v>41944</v>
      </c>
      <c r="B55" s="18">
        <f>IF(VLOOKUP(A55,'DB Country PMI'!$A:$AZ,MATCH($A$1,'DB Country PMI'!$A$1:$AZ$1,),)=0,#N/A,VLOOKUP(A55,'DB Country PMI'!$A:$AZ,MATCH($A$1,'DB Country PMI'!$A$1:$AZ$1,),))</f>
        <v/>
      </c>
      <c r="C55" s="24">
        <f>Table1346811121415161718192022253033[[#This Row],[PMI]]-B54</f>
        <v/>
      </c>
    </row>
    <row r="56">
      <c r="A56" s="10" t="n">
        <v>41974</v>
      </c>
      <c r="B56" s="18">
        <f>IF(VLOOKUP(A56,'DB Country PMI'!$A:$AZ,MATCH($A$1,'DB Country PMI'!$A$1:$AZ$1,),)=0,#N/A,VLOOKUP(A56,'DB Country PMI'!$A:$AZ,MATCH($A$1,'DB Country PMI'!$A$1:$AZ$1,),))</f>
        <v/>
      </c>
      <c r="C56" s="24">
        <f>Table1346811121415161718192022253033[[#This Row],[PMI]]-B55</f>
        <v/>
      </c>
    </row>
    <row r="57">
      <c r="A57" s="10" t="n">
        <v>42005</v>
      </c>
      <c r="B57" s="18">
        <f>IF(VLOOKUP(A57,'DB Country PMI'!$A:$AZ,MATCH($A$1,'DB Country PMI'!$A$1:$AZ$1,),)=0,#N/A,VLOOKUP(A57,'DB Country PMI'!$A:$AZ,MATCH($A$1,'DB Country PMI'!$A$1:$AZ$1,),))</f>
        <v/>
      </c>
      <c r="C57" s="24">
        <f>Table1346811121415161718192022253033[[#This Row],[PMI]]-B56</f>
        <v/>
      </c>
    </row>
    <row r="58">
      <c r="A58" s="10" t="n">
        <v>42036</v>
      </c>
      <c r="B58" s="18">
        <f>IF(VLOOKUP(A58,'DB Country PMI'!$A:$AZ,MATCH($A$1,'DB Country PMI'!$A$1:$AZ$1,),)=0,#N/A,VLOOKUP(A58,'DB Country PMI'!$A:$AZ,MATCH($A$1,'DB Country PMI'!$A$1:$AZ$1,),))</f>
        <v/>
      </c>
      <c r="C58" s="24">
        <f>Table1346811121415161718192022253033[[#This Row],[PMI]]-B57</f>
        <v/>
      </c>
    </row>
    <row r="59">
      <c r="A59" s="10" t="n">
        <v>42064</v>
      </c>
      <c r="B59" s="18">
        <f>IF(VLOOKUP(A59,'DB Country PMI'!$A:$AZ,MATCH($A$1,'DB Country PMI'!$A$1:$AZ$1,),)=0,#N/A,VLOOKUP(A59,'DB Country PMI'!$A:$AZ,MATCH($A$1,'DB Country PMI'!$A$1:$AZ$1,),))</f>
        <v/>
      </c>
      <c r="C59" s="24">
        <f>Table1346811121415161718192022253033[[#This Row],[PMI]]-B58</f>
        <v/>
      </c>
    </row>
    <row r="60">
      <c r="A60" s="10" t="n">
        <v>42095</v>
      </c>
      <c r="B60" s="18">
        <f>IF(VLOOKUP(A60,'DB Country PMI'!$A:$AZ,MATCH($A$1,'DB Country PMI'!$A$1:$AZ$1,),)=0,#N/A,VLOOKUP(A60,'DB Country PMI'!$A:$AZ,MATCH($A$1,'DB Country PMI'!$A$1:$AZ$1,),))</f>
        <v/>
      </c>
      <c r="C60" s="24">
        <f>Table1346811121415161718192022253033[[#This Row],[PMI]]-B59</f>
        <v/>
      </c>
    </row>
    <row r="61">
      <c r="A61" s="10" t="n">
        <v>42125</v>
      </c>
      <c r="B61" s="18">
        <f>IF(VLOOKUP(A61,'DB Country PMI'!$A:$AZ,MATCH($A$1,'DB Country PMI'!$A$1:$AZ$1,),)=0,#N/A,VLOOKUP(A61,'DB Country PMI'!$A:$AZ,MATCH($A$1,'DB Country PMI'!$A$1:$AZ$1,),))</f>
        <v/>
      </c>
      <c r="C61" s="24">
        <f>Table1346811121415161718192022253033[[#This Row],[PMI]]-B60</f>
        <v/>
      </c>
    </row>
    <row r="62">
      <c r="A62" s="10" t="n">
        <v>42156</v>
      </c>
      <c r="B62" s="18">
        <f>IF(VLOOKUP(A62,'DB Country PMI'!$A:$AZ,MATCH($A$1,'DB Country PMI'!$A$1:$AZ$1,),)=0,#N/A,VLOOKUP(A62,'DB Country PMI'!$A:$AZ,MATCH($A$1,'DB Country PMI'!$A$1:$AZ$1,),))</f>
        <v/>
      </c>
      <c r="C62" s="24">
        <f>Table1346811121415161718192022253033[[#This Row],[PMI]]-B61</f>
        <v/>
      </c>
    </row>
    <row r="63">
      <c r="A63" s="10" t="n">
        <v>42186</v>
      </c>
      <c r="B63" s="18">
        <f>IF(VLOOKUP(A63,'DB Country PMI'!$A:$AZ,MATCH($A$1,'DB Country PMI'!$A$1:$AZ$1,),)=0,#N/A,VLOOKUP(A63,'DB Country PMI'!$A:$AZ,MATCH($A$1,'DB Country PMI'!$A$1:$AZ$1,),))</f>
        <v/>
      </c>
      <c r="C63" s="24">
        <f>Table1346811121415161718192022253033[[#This Row],[PMI]]-B62</f>
        <v/>
      </c>
    </row>
    <row r="64">
      <c r="A64" s="10" t="n">
        <v>42217</v>
      </c>
      <c r="B64" s="18">
        <f>IF(VLOOKUP(A64,'DB Country PMI'!$A:$AZ,MATCH($A$1,'DB Country PMI'!$A$1:$AZ$1,),)=0,#N/A,VLOOKUP(A64,'DB Country PMI'!$A:$AZ,MATCH($A$1,'DB Country PMI'!$A$1:$AZ$1,),))</f>
        <v/>
      </c>
      <c r="C64" s="24">
        <f>Table1346811121415161718192022253033[[#This Row],[PMI]]-B63</f>
        <v/>
      </c>
    </row>
    <row r="65">
      <c r="A65" s="10" t="n">
        <v>42248</v>
      </c>
      <c r="B65" s="18">
        <f>IF(VLOOKUP(A65,'DB Country PMI'!$A:$AZ,MATCH($A$1,'DB Country PMI'!$A$1:$AZ$1,),)=0,#N/A,VLOOKUP(A65,'DB Country PMI'!$A:$AZ,MATCH($A$1,'DB Country PMI'!$A$1:$AZ$1,),))</f>
        <v/>
      </c>
      <c r="C65" s="24">
        <f>Table1346811121415161718192022253033[[#This Row],[PMI]]-B64</f>
        <v/>
      </c>
    </row>
    <row r="66">
      <c r="A66" s="10" t="n">
        <v>42278</v>
      </c>
      <c r="B66" s="18">
        <f>IF(VLOOKUP(A66,'DB Country PMI'!$A:$AZ,MATCH($A$1,'DB Country PMI'!$A$1:$AZ$1,),)=0,#N/A,VLOOKUP(A66,'DB Country PMI'!$A:$AZ,MATCH($A$1,'DB Country PMI'!$A$1:$AZ$1,),))</f>
        <v/>
      </c>
      <c r="C66" s="24">
        <f>Table1346811121415161718192022253033[[#This Row],[PMI]]-B65</f>
        <v/>
      </c>
    </row>
    <row r="67">
      <c r="A67" s="10" t="n">
        <v>42309</v>
      </c>
      <c r="B67" s="18">
        <f>IF(VLOOKUP(A67,'DB Country PMI'!$A:$AZ,MATCH($A$1,'DB Country PMI'!$A$1:$AZ$1,),)=0,#N/A,VLOOKUP(A67,'DB Country PMI'!$A:$AZ,MATCH($A$1,'DB Country PMI'!$A$1:$AZ$1,),))</f>
        <v/>
      </c>
      <c r="C67" s="24">
        <f>Table1346811121415161718192022253033[[#This Row],[PMI]]-B66</f>
        <v/>
      </c>
    </row>
    <row r="68">
      <c r="A68" s="10" t="n">
        <v>42339</v>
      </c>
      <c r="B68" s="18">
        <f>IF(VLOOKUP(A68,'DB Country PMI'!$A:$AZ,MATCH($A$1,'DB Country PMI'!$A$1:$AZ$1,),)=0,#N/A,VLOOKUP(A68,'DB Country PMI'!$A:$AZ,MATCH($A$1,'DB Country PMI'!$A$1:$AZ$1,),))</f>
        <v/>
      </c>
      <c r="C68" s="24">
        <f>Table1346811121415161718192022253033[[#This Row],[PMI]]-B67</f>
        <v/>
      </c>
    </row>
    <row r="69">
      <c r="A69" s="10" t="n">
        <v>42370</v>
      </c>
      <c r="B69" s="18">
        <f>IF(VLOOKUP(A69,'DB Country PMI'!$A:$AZ,MATCH($A$1,'DB Country PMI'!$A$1:$AZ$1,),)=0,#N/A,VLOOKUP(A69,'DB Country PMI'!$A:$AZ,MATCH($A$1,'DB Country PMI'!$A$1:$AZ$1,),))</f>
        <v/>
      </c>
      <c r="C69" s="24">
        <f>Table1346811121415161718192022253033[[#This Row],[PMI]]-B68</f>
        <v/>
      </c>
    </row>
    <row r="70">
      <c r="A70" s="10" t="n">
        <v>42401</v>
      </c>
      <c r="B70" s="18">
        <f>IF(VLOOKUP(A70,'DB Country PMI'!$A:$AZ,MATCH($A$1,'DB Country PMI'!$A$1:$AZ$1,),)=0,#N/A,VLOOKUP(A70,'DB Country PMI'!$A:$AZ,MATCH($A$1,'DB Country PMI'!$A$1:$AZ$1,),))</f>
        <v/>
      </c>
      <c r="C70" s="24">
        <f>Table1346811121415161718192022253033[[#This Row],[PMI]]-B69</f>
        <v/>
      </c>
    </row>
    <row r="71">
      <c r="A71" s="10" t="n">
        <v>42430</v>
      </c>
      <c r="B71" s="18">
        <f>IF(VLOOKUP(A71,'DB Country PMI'!$A:$AZ,MATCH($A$1,'DB Country PMI'!$A$1:$AZ$1,),)=0,#N/A,VLOOKUP(A71,'DB Country PMI'!$A:$AZ,MATCH($A$1,'DB Country PMI'!$A$1:$AZ$1,),))</f>
        <v/>
      </c>
      <c r="C71" s="24">
        <f>Table1346811121415161718192022253033[[#This Row],[PMI]]-B70</f>
        <v/>
      </c>
    </row>
    <row r="72">
      <c r="A72" s="10" t="n">
        <v>42461</v>
      </c>
      <c r="B72" s="18">
        <f>IF(VLOOKUP(A72,'DB Country PMI'!$A:$AZ,MATCH($A$1,'DB Country PMI'!$A$1:$AZ$1,),)=0,#N/A,VLOOKUP(A72,'DB Country PMI'!$A:$AZ,MATCH($A$1,'DB Country PMI'!$A$1:$AZ$1,),))</f>
        <v/>
      </c>
      <c r="C72" s="24">
        <f>Table1346811121415161718192022253033[[#This Row],[PMI]]-B71</f>
        <v/>
      </c>
    </row>
    <row r="73">
      <c r="A73" s="10" t="n">
        <v>42491</v>
      </c>
      <c r="B73" s="18">
        <f>IF(VLOOKUP(A73,'DB Country PMI'!$A:$AZ,MATCH($A$1,'DB Country PMI'!$A$1:$AZ$1,),)=0,#N/A,VLOOKUP(A73,'DB Country PMI'!$A:$AZ,MATCH($A$1,'DB Country PMI'!$A$1:$AZ$1,),))</f>
        <v/>
      </c>
      <c r="C73" s="24">
        <f>Table1346811121415161718192022253033[[#This Row],[PMI]]-B72</f>
        <v/>
      </c>
    </row>
    <row r="74">
      <c r="A74" s="10" t="n">
        <v>42522</v>
      </c>
      <c r="B74" s="18">
        <f>IF(VLOOKUP(A74,'DB Country PMI'!$A:$AZ,MATCH($A$1,'DB Country PMI'!$A$1:$AZ$1,),)=0,#N/A,VLOOKUP(A74,'DB Country PMI'!$A:$AZ,MATCH($A$1,'DB Country PMI'!$A$1:$AZ$1,),))</f>
        <v/>
      </c>
      <c r="C74" s="24">
        <f>Table1346811121415161718192022253033[[#This Row],[PMI]]-B73</f>
        <v/>
      </c>
    </row>
    <row r="75">
      <c r="A75" s="10" t="n">
        <v>42552</v>
      </c>
      <c r="B75" s="18">
        <f>IF(VLOOKUP(A75,'DB Country PMI'!$A:$AZ,MATCH($A$1,'DB Country PMI'!$A$1:$AZ$1,),)=0,#N/A,VLOOKUP(A75,'DB Country PMI'!$A:$AZ,MATCH($A$1,'DB Country PMI'!$A$1:$AZ$1,),))</f>
        <v/>
      </c>
      <c r="C75" s="24">
        <f>Table1346811121415161718192022253033[[#This Row],[PMI]]-B74</f>
        <v/>
      </c>
    </row>
    <row r="76">
      <c r="A76" s="10" t="n">
        <v>42583</v>
      </c>
      <c r="B76" s="18">
        <f>IF(VLOOKUP(A76,'DB Country PMI'!$A:$AZ,MATCH($A$1,'DB Country PMI'!$A$1:$AZ$1,),)=0,#N/A,VLOOKUP(A76,'DB Country PMI'!$A:$AZ,MATCH($A$1,'DB Country PMI'!$A$1:$AZ$1,),))</f>
        <v/>
      </c>
      <c r="C76" s="24">
        <f>Table1346811121415161718192022253033[[#This Row],[PMI]]-B75</f>
        <v/>
      </c>
    </row>
    <row r="77">
      <c r="A77" s="10" t="n">
        <v>42614</v>
      </c>
      <c r="B77" s="18">
        <f>IF(VLOOKUP(A77,'DB Country PMI'!$A:$AZ,MATCH($A$1,'DB Country PMI'!$A$1:$AZ$1,),)=0,#N/A,VLOOKUP(A77,'DB Country PMI'!$A:$AZ,MATCH($A$1,'DB Country PMI'!$A$1:$AZ$1,),))</f>
        <v/>
      </c>
      <c r="C77" s="24">
        <f>Table1346811121415161718192022253033[[#This Row],[PMI]]-B76</f>
        <v/>
      </c>
    </row>
    <row r="78">
      <c r="A78" s="10" t="n">
        <v>42644</v>
      </c>
      <c r="B78" s="18">
        <f>IF(VLOOKUP(A78,'DB Country PMI'!$A:$AZ,MATCH($A$1,'DB Country PMI'!$A$1:$AZ$1,),)=0,#N/A,VLOOKUP(A78,'DB Country PMI'!$A:$AZ,MATCH($A$1,'DB Country PMI'!$A$1:$AZ$1,),))</f>
        <v/>
      </c>
      <c r="C78" s="24">
        <f>Table1346811121415161718192022253033[[#This Row],[PMI]]-B77</f>
        <v/>
      </c>
    </row>
    <row r="79">
      <c r="A79" s="10" t="n">
        <v>42675</v>
      </c>
      <c r="B79" s="18">
        <f>IF(VLOOKUP(A79,'DB Country PMI'!$A:$AZ,MATCH($A$1,'DB Country PMI'!$A$1:$AZ$1,),)=0,#N/A,VLOOKUP(A79,'DB Country PMI'!$A:$AZ,MATCH($A$1,'DB Country PMI'!$A$1:$AZ$1,),))</f>
        <v/>
      </c>
      <c r="C79" s="24">
        <f>Table1346811121415161718192022253033[[#This Row],[PMI]]-B78</f>
        <v/>
      </c>
    </row>
    <row r="80">
      <c r="A80" s="10" t="n">
        <v>42705</v>
      </c>
      <c r="B80" s="18">
        <f>IF(VLOOKUP(A80,'DB Country PMI'!$A:$AZ,MATCH($A$1,'DB Country PMI'!$A$1:$AZ$1,),)=0,#N/A,VLOOKUP(A80,'DB Country PMI'!$A:$AZ,MATCH($A$1,'DB Country PMI'!$A$1:$AZ$1,),))</f>
        <v/>
      </c>
      <c r="C80" s="24">
        <f>Table1346811121415161718192022253033[[#This Row],[PMI]]-B79</f>
        <v/>
      </c>
    </row>
    <row r="81">
      <c r="A81" s="10" t="n">
        <v>42736</v>
      </c>
      <c r="B81" s="18">
        <f>IF(VLOOKUP(A81,'DB Country PMI'!$A:$AZ,MATCH($A$1,'DB Country PMI'!$A$1:$AZ$1,),)=0,#N/A,VLOOKUP(A81,'DB Country PMI'!$A:$AZ,MATCH($A$1,'DB Country PMI'!$A$1:$AZ$1,),))</f>
        <v/>
      </c>
      <c r="C81" s="24">
        <f>Table1346811121415161718192022253033[[#This Row],[PMI]]-B80</f>
        <v/>
      </c>
    </row>
    <row r="82">
      <c r="A82" s="10" t="n">
        <v>42767</v>
      </c>
      <c r="B82" s="18">
        <f>IF(VLOOKUP(A82,'DB Country PMI'!$A:$AZ,MATCH($A$1,'DB Country PMI'!$A$1:$AZ$1,),)=0,#N/A,VLOOKUP(A82,'DB Country PMI'!$A:$AZ,MATCH($A$1,'DB Country PMI'!$A$1:$AZ$1,),))</f>
        <v/>
      </c>
      <c r="C82" s="24">
        <f>Table1346811121415161718192022253033[[#This Row],[PMI]]-B81</f>
        <v/>
      </c>
    </row>
    <row r="83">
      <c r="A83" s="10" t="n">
        <v>42795</v>
      </c>
      <c r="B83" s="18">
        <f>IF(VLOOKUP(A83,'DB Country PMI'!$A:$AZ,MATCH($A$1,'DB Country PMI'!$A$1:$AZ$1,),)=0,#N/A,VLOOKUP(A83,'DB Country PMI'!$A:$AZ,MATCH($A$1,'DB Country PMI'!$A$1:$AZ$1,),))</f>
        <v/>
      </c>
      <c r="C83" s="24">
        <f>Table1346811121415161718192022253033[[#This Row],[PMI]]-B82</f>
        <v/>
      </c>
    </row>
    <row r="84">
      <c r="A84" s="10" t="n">
        <v>42826</v>
      </c>
      <c r="B84" s="18">
        <f>IF(VLOOKUP(A84,'DB Country PMI'!$A:$AZ,MATCH($A$1,'DB Country PMI'!$A$1:$AZ$1,),)=0,#N/A,VLOOKUP(A84,'DB Country PMI'!$A:$AZ,MATCH($A$1,'DB Country PMI'!$A$1:$AZ$1,),))</f>
        <v/>
      </c>
      <c r="C84" s="24">
        <f>Table1346811121415161718192022253033[[#This Row],[PMI]]-B83</f>
        <v/>
      </c>
    </row>
    <row r="85">
      <c r="A85" s="10" t="n">
        <v>42856</v>
      </c>
      <c r="B85" s="18">
        <f>IF(VLOOKUP(A85,'DB Country PMI'!$A:$AZ,MATCH($A$1,'DB Country PMI'!$A$1:$AZ$1,),)=0,#N/A,VLOOKUP(A85,'DB Country PMI'!$A:$AZ,MATCH($A$1,'DB Country PMI'!$A$1:$AZ$1,),))</f>
        <v/>
      </c>
      <c r="C85" s="24">
        <f>Table1346811121415161718192022253033[[#This Row],[PMI]]-B84</f>
        <v/>
      </c>
    </row>
    <row r="86">
      <c r="A86" s="10" t="n">
        <v>42887</v>
      </c>
      <c r="B86" s="18">
        <f>IF(VLOOKUP(A86,'DB Country PMI'!$A:$AZ,MATCH($A$1,'DB Country PMI'!$A$1:$AZ$1,),)=0,#N/A,VLOOKUP(A86,'DB Country PMI'!$A:$AZ,MATCH($A$1,'DB Country PMI'!$A$1:$AZ$1,),))</f>
        <v/>
      </c>
      <c r="C86" s="24">
        <f>Table1346811121415161718192022253033[[#This Row],[PMI]]-B85</f>
        <v/>
      </c>
    </row>
    <row r="87">
      <c r="A87" s="10" t="n">
        <v>42917</v>
      </c>
      <c r="B87" s="18">
        <f>IF(VLOOKUP(A87,'DB Country PMI'!$A:$AZ,MATCH($A$1,'DB Country PMI'!$A$1:$AZ$1,),)=0,#N/A,VLOOKUP(A87,'DB Country PMI'!$A:$AZ,MATCH($A$1,'DB Country PMI'!$A$1:$AZ$1,),))</f>
        <v/>
      </c>
      <c r="C87" s="24">
        <f>Table1346811121415161718192022253033[[#This Row],[PMI]]-B86</f>
        <v/>
      </c>
    </row>
    <row r="88">
      <c r="A88" s="10" t="n">
        <v>42948</v>
      </c>
      <c r="B88" s="18">
        <f>IF(VLOOKUP(A88,'DB Country PMI'!$A:$AZ,MATCH($A$1,'DB Country PMI'!$A$1:$AZ$1,),)=0,#N/A,VLOOKUP(A88,'DB Country PMI'!$A:$AZ,MATCH($A$1,'DB Country PMI'!$A$1:$AZ$1,),))</f>
        <v/>
      </c>
      <c r="C88" s="24">
        <f>Table1346811121415161718192022253033[[#This Row],[PMI]]-B87</f>
        <v/>
      </c>
    </row>
    <row r="89">
      <c r="A89" s="10" t="n">
        <v>42979</v>
      </c>
      <c r="B89" s="18">
        <f>IF(VLOOKUP(A89,'DB Country PMI'!$A:$AZ,MATCH($A$1,'DB Country PMI'!$A$1:$AZ$1,),)=0,#N/A,VLOOKUP(A89,'DB Country PMI'!$A:$AZ,MATCH($A$1,'DB Country PMI'!$A$1:$AZ$1,),))</f>
        <v/>
      </c>
      <c r="C89" s="24">
        <f>Table1346811121415161718192022253033[[#This Row],[PMI]]-B88</f>
        <v/>
      </c>
    </row>
    <row r="90">
      <c r="A90" s="10" t="n">
        <v>43009</v>
      </c>
      <c r="B90" s="18">
        <f>IF(VLOOKUP(A90,'DB Country PMI'!$A:$AZ,MATCH($A$1,'DB Country PMI'!$A$1:$AZ$1,),)=0,#N/A,VLOOKUP(A90,'DB Country PMI'!$A:$AZ,MATCH($A$1,'DB Country PMI'!$A$1:$AZ$1,),))</f>
        <v/>
      </c>
      <c r="C90" s="24">
        <f>Table1346811121415161718192022253033[[#This Row],[PMI]]-B89</f>
        <v/>
      </c>
    </row>
    <row r="91">
      <c r="A91" s="10" t="n">
        <v>43040</v>
      </c>
      <c r="B91" s="18">
        <f>IF(VLOOKUP(A91,'DB Country PMI'!$A:$AZ,MATCH($A$1,'DB Country PMI'!$A$1:$AZ$1,),)=0,#N/A,VLOOKUP(A91,'DB Country PMI'!$A:$AZ,MATCH($A$1,'DB Country PMI'!$A$1:$AZ$1,),))</f>
        <v/>
      </c>
      <c r="C91" s="24">
        <f>Table1346811121415161718192022253033[[#This Row],[PMI]]-B90</f>
        <v/>
      </c>
    </row>
    <row r="92">
      <c r="A92" s="10" t="n">
        <v>43070</v>
      </c>
      <c r="B92" s="18">
        <f>IF(VLOOKUP(A92,'DB Country PMI'!$A:$AZ,MATCH($A$1,'DB Country PMI'!$A$1:$AZ$1,),)=0,#N/A,VLOOKUP(A92,'DB Country PMI'!$A:$AZ,MATCH($A$1,'DB Country PMI'!$A$1:$AZ$1,),))</f>
        <v/>
      </c>
      <c r="C92" s="24">
        <f>Table1346811121415161718192022253033[[#This Row],[PMI]]-B91</f>
        <v/>
      </c>
    </row>
    <row r="93">
      <c r="A93" s="10" t="n">
        <v>43101</v>
      </c>
      <c r="B93" s="18">
        <f>IF(VLOOKUP(A93,'DB Country PMI'!$A:$AZ,MATCH($A$1,'DB Country PMI'!$A$1:$AZ$1,),)=0,#N/A,VLOOKUP(A93,'DB Country PMI'!$A:$AZ,MATCH($A$1,'DB Country PMI'!$A$1:$AZ$1,),))</f>
        <v/>
      </c>
      <c r="C93" s="24">
        <f>Table1346811121415161718192022253033[[#This Row],[PMI]]-B92</f>
        <v/>
      </c>
    </row>
    <row r="94">
      <c r="A94" s="10" t="n">
        <v>43132</v>
      </c>
      <c r="B94" s="18">
        <f>IF(VLOOKUP(A94,'DB Country PMI'!$A:$AZ,MATCH($A$1,'DB Country PMI'!$A$1:$AZ$1,),)=0,#N/A,VLOOKUP(A94,'DB Country PMI'!$A:$AZ,MATCH($A$1,'DB Country PMI'!$A$1:$AZ$1,),))</f>
        <v/>
      </c>
      <c r="C94" s="24">
        <f>Table1346811121415161718192022253033[[#This Row],[PMI]]-B93</f>
        <v/>
      </c>
    </row>
    <row r="95">
      <c r="A95" s="10" t="n">
        <v>43160</v>
      </c>
      <c r="B95" s="18">
        <f>IF(VLOOKUP(A95,'DB Country PMI'!$A:$AZ,MATCH($A$1,'DB Country PMI'!$A$1:$AZ$1,),)=0,#N/A,VLOOKUP(A95,'DB Country PMI'!$A:$AZ,MATCH($A$1,'DB Country PMI'!$A$1:$AZ$1,),))</f>
        <v/>
      </c>
      <c r="C95" s="24">
        <f>Table1346811121415161718192022253033[[#This Row],[PMI]]-B94</f>
        <v/>
      </c>
    </row>
    <row r="96">
      <c r="A96" s="10" t="n">
        <v>43191</v>
      </c>
      <c r="B96" s="18">
        <f>IF(VLOOKUP(A96,'DB Country PMI'!$A:$AZ,MATCH($A$1,'DB Country PMI'!$A$1:$AZ$1,),)=0,#N/A,VLOOKUP(A96,'DB Country PMI'!$A:$AZ,MATCH($A$1,'DB Country PMI'!$A$1:$AZ$1,),))</f>
        <v/>
      </c>
      <c r="C96" s="24">
        <f>Table1346811121415161718192022253033[[#This Row],[PMI]]-B95</f>
        <v/>
      </c>
    </row>
    <row r="97">
      <c r="A97" s="10" t="n">
        <v>43221</v>
      </c>
      <c r="B97" s="18">
        <f>IF(VLOOKUP(A97,'DB Country PMI'!$A:$AZ,MATCH($A$1,'DB Country PMI'!$A$1:$AZ$1,),)=0,#N/A,VLOOKUP(A97,'DB Country PMI'!$A:$AZ,MATCH($A$1,'DB Country PMI'!$A$1:$AZ$1,),))</f>
        <v/>
      </c>
      <c r="C97" s="24">
        <f>Table1346811121415161718192022253033[[#This Row],[PMI]]-B96</f>
        <v/>
      </c>
    </row>
    <row r="98">
      <c r="A98" s="10" t="n">
        <v>43252</v>
      </c>
      <c r="B98" s="18">
        <f>IF(VLOOKUP(A98,'DB Country PMI'!$A:$AZ,MATCH($A$1,'DB Country PMI'!$A$1:$AZ$1,),)=0,#N/A,VLOOKUP(A98,'DB Country PMI'!$A:$AZ,MATCH($A$1,'DB Country PMI'!$A$1:$AZ$1,),))</f>
        <v/>
      </c>
      <c r="C98" s="24">
        <f>Table1346811121415161718192022253033[[#This Row],[PMI]]-B97</f>
        <v/>
      </c>
    </row>
    <row r="99">
      <c r="A99" s="10" t="n">
        <v>43282</v>
      </c>
      <c r="B99" s="18">
        <f>IF(VLOOKUP(A99,'DB Country PMI'!$A:$AZ,MATCH($A$1,'DB Country PMI'!$A$1:$AZ$1,),)=0,#N/A,VLOOKUP(A99,'DB Country PMI'!$A:$AZ,MATCH($A$1,'DB Country PMI'!$A$1:$AZ$1,),))</f>
        <v/>
      </c>
      <c r="C99" s="24">
        <f>Table1346811121415161718192022253033[[#This Row],[PMI]]-B98</f>
        <v/>
      </c>
    </row>
    <row r="100">
      <c r="A100" s="10" t="n">
        <v>43313</v>
      </c>
      <c r="B100" s="18">
        <f>IF(VLOOKUP(A100,'DB Country PMI'!$A:$AZ,MATCH($A$1,'DB Country PMI'!$A$1:$AZ$1,),)=0,#N/A,VLOOKUP(A100,'DB Country PMI'!$A:$AZ,MATCH($A$1,'DB Country PMI'!$A$1:$AZ$1,),))</f>
        <v/>
      </c>
      <c r="C100" s="24">
        <f>Table1346811121415161718192022253033[[#This Row],[PMI]]-B99</f>
        <v/>
      </c>
    </row>
    <row r="101">
      <c r="A101" s="10" t="n">
        <v>43344</v>
      </c>
      <c r="B101" s="18">
        <f>IF(VLOOKUP(A101,'DB Country PMI'!$A:$AZ,MATCH($A$1,'DB Country PMI'!$A$1:$AZ$1,),)=0,#N/A,VLOOKUP(A101,'DB Country PMI'!$A:$AZ,MATCH($A$1,'DB Country PMI'!$A$1:$AZ$1,),))</f>
        <v/>
      </c>
      <c r="C101" s="24">
        <f>Table1346811121415161718192022253033[[#This Row],[PMI]]-B100</f>
        <v/>
      </c>
    </row>
    <row r="102">
      <c r="A102" s="10" t="n">
        <v>43374</v>
      </c>
      <c r="B102" s="18">
        <f>IF(VLOOKUP(A102,'DB Country PMI'!$A:$AZ,MATCH($A$1,'DB Country PMI'!$A$1:$AZ$1,),)=0,#N/A,VLOOKUP(A102,'DB Country PMI'!$A:$AZ,MATCH($A$1,'DB Country PMI'!$A$1:$AZ$1,),))</f>
        <v/>
      </c>
      <c r="C102" s="24">
        <f>Table1346811121415161718192022253033[[#This Row],[PMI]]-B101</f>
        <v/>
      </c>
    </row>
    <row r="103">
      <c r="A103" s="10" t="n">
        <v>43405</v>
      </c>
      <c r="B103" s="18">
        <f>IF(VLOOKUP(A103,'DB Country PMI'!$A:$AZ,MATCH($A$1,'DB Country PMI'!$A$1:$AZ$1,),)=0,#N/A,VLOOKUP(A103,'DB Country PMI'!$A:$AZ,MATCH($A$1,'DB Country PMI'!$A$1:$AZ$1,),))</f>
        <v/>
      </c>
      <c r="C103" s="24">
        <f>Table1346811121415161718192022253033[[#This Row],[PMI]]-B102</f>
        <v/>
      </c>
    </row>
    <row r="104">
      <c r="A104" s="10" t="n">
        <v>43435</v>
      </c>
      <c r="B104" s="18">
        <f>IF(VLOOKUP(A104,'DB Country PMI'!$A:$AZ,MATCH($A$1,'DB Country PMI'!$A$1:$AZ$1,),)=0,#N/A,VLOOKUP(A104,'DB Country PMI'!$A:$AZ,MATCH($A$1,'DB Country PMI'!$A$1:$AZ$1,),))</f>
        <v/>
      </c>
      <c r="C104" s="24">
        <f>Table1346811121415161718192022253033[[#This Row],[PMI]]-B103</f>
        <v/>
      </c>
    </row>
    <row r="105">
      <c r="A105" s="10" t="n">
        <v>43466</v>
      </c>
      <c r="B105" s="18">
        <f>IF(VLOOKUP(A105,'DB Country PMI'!$A:$AZ,MATCH($A$1,'DB Country PMI'!$A$1:$AZ$1,),)=0,#N/A,VLOOKUP(A105,'DB Country PMI'!$A:$AZ,MATCH($A$1,'DB Country PMI'!$A$1:$AZ$1,),))</f>
        <v/>
      </c>
      <c r="C105" s="24">
        <f>Table1346811121415161718192022253033[[#This Row],[PMI]]-B104</f>
        <v/>
      </c>
    </row>
    <row r="106">
      <c r="A106" s="10" t="n">
        <v>43497</v>
      </c>
      <c r="B106" s="18">
        <f>IF(VLOOKUP(A106,'DB Country PMI'!$A:$AZ,MATCH($A$1,'DB Country PMI'!$A$1:$AZ$1,),)=0,#N/A,VLOOKUP(A106,'DB Country PMI'!$A:$AZ,MATCH($A$1,'DB Country PMI'!$A$1:$AZ$1,),))</f>
        <v/>
      </c>
      <c r="C106" s="24">
        <f>Table1346811121415161718192022253033[[#This Row],[PMI]]-B105</f>
        <v/>
      </c>
    </row>
    <row r="107">
      <c r="A107" s="10" t="n">
        <v>43525</v>
      </c>
      <c r="B107" s="18">
        <f>IF(VLOOKUP(A107,'DB Country PMI'!$A:$AZ,MATCH($A$1,'DB Country PMI'!$A$1:$AZ$1,),)=0,#N/A,VLOOKUP(A107,'DB Country PMI'!$A:$AZ,MATCH($A$1,'DB Country PMI'!$A$1:$AZ$1,),))</f>
        <v/>
      </c>
      <c r="C107" s="24">
        <f>Table1346811121415161718192022253033[[#This Row],[PMI]]-B106</f>
        <v/>
      </c>
    </row>
    <row r="108">
      <c r="A108" s="10" t="n">
        <v>43556</v>
      </c>
      <c r="B108" s="18">
        <f>IF(VLOOKUP(A108,'DB Country PMI'!$A:$AZ,MATCH($A$1,'DB Country PMI'!$A$1:$AZ$1,),)=0,#N/A,VLOOKUP(A108,'DB Country PMI'!$A:$AZ,MATCH($A$1,'DB Country PMI'!$A$1:$AZ$1,),))</f>
        <v/>
      </c>
      <c r="C108" s="24">
        <f>Table1346811121415161718192022253033[[#This Row],[PMI]]-B107</f>
        <v/>
      </c>
    </row>
    <row r="109">
      <c r="A109" s="10" t="n">
        <v>43586</v>
      </c>
      <c r="B109" s="18">
        <f>IF(VLOOKUP(A109,'DB Country PMI'!$A:$AZ,MATCH($A$1,'DB Country PMI'!$A$1:$AZ$1,),)=0,#N/A,VLOOKUP(A109,'DB Country PMI'!$A:$AZ,MATCH($A$1,'DB Country PMI'!$A$1:$AZ$1,),))</f>
        <v/>
      </c>
      <c r="C109" s="24">
        <f>Table1346811121415161718192022253033[[#This Row],[PMI]]-B108</f>
        <v/>
      </c>
    </row>
    <row r="110">
      <c r="A110" s="10" t="n">
        <v>43617</v>
      </c>
      <c r="B110" s="18">
        <f>IF(VLOOKUP(A110,'DB Country PMI'!$A:$AZ,MATCH($A$1,'DB Country PMI'!$A$1:$AZ$1,),)=0,#N/A,VLOOKUP(A110,'DB Country PMI'!$A:$AZ,MATCH($A$1,'DB Country PMI'!$A$1:$AZ$1,),))</f>
        <v/>
      </c>
      <c r="C110" s="24">
        <f>Table1346811121415161718192022253033[[#This Row],[PMI]]-B109</f>
        <v/>
      </c>
    </row>
    <row r="111">
      <c r="A111" s="10" t="n">
        <v>43647</v>
      </c>
      <c r="B111" s="18">
        <f>IF(VLOOKUP(A111,'DB Country PMI'!$A:$AZ,MATCH($A$1,'DB Country PMI'!$A$1:$AZ$1,),)=0,#N/A,VLOOKUP(A111,'DB Country PMI'!$A:$AZ,MATCH($A$1,'DB Country PMI'!$A$1:$AZ$1,),))</f>
        <v/>
      </c>
      <c r="C111" s="24">
        <f>Table1346811121415161718192022253033[[#This Row],[PMI]]-B110</f>
        <v/>
      </c>
    </row>
    <row r="112">
      <c r="A112" s="10" t="n">
        <v>43678</v>
      </c>
      <c r="B112" s="18">
        <f>IF(VLOOKUP(A112,'DB Country PMI'!$A:$AZ,MATCH($A$1,'DB Country PMI'!$A$1:$AZ$1,),)=0,#N/A,VLOOKUP(A112,'DB Country PMI'!$A:$AZ,MATCH($A$1,'DB Country PMI'!$A$1:$AZ$1,),))</f>
        <v/>
      </c>
      <c r="C112" s="24">
        <f>Table1346811121415161718192022253033[[#This Row],[PMI]]-B111</f>
        <v/>
      </c>
    </row>
    <row r="113">
      <c r="A113" s="10" t="n">
        <v>43709</v>
      </c>
      <c r="B113" s="18">
        <f>IF(VLOOKUP(A113,'DB Country PMI'!$A:$AZ,MATCH($A$1,'DB Country PMI'!$A$1:$AZ$1,),)=0,#N/A,VLOOKUP(A113,'DB Country PMI'!$A:$AZ,MATCH($A$1,'DB Country PMI'!$A$1:$AZ$1,),))</f>
        <v/>
      </c>
      <c r="C113" s="24">
        <f>Table1346811121415161718192022253033[[#This Row],[PMI]]-B112</f>
        <v/>
      </c>
    </row>
    <row r="114">
      <c r="A114" s="10" t="n">
        <v>43739</v>
      </c>
      <c r="B114" s="18">
        <f>IF(VLOOKUP(A114,'DB Country PMI'!$A:$AZ,MATCH($A$1,'DB Country PMI'!$A$1:$AZ$1,),)=0,#N/A,VLOOKUP(A114,'DB Country PMI'!$A:$AZ,MATCH($A$1,'DB Country PMI'!$A$1:$AZ$1,),))</f>
        <v/>
      </c>
      <c r="C114" s="24">
        <f>Table1346811121415161718192022253033[[#This Row],[PMI]]-B113</f>
        <v/>
      </c>
    </row>
    <row r="115">
      <c r="A115" s="10" t="n">
        <v>43770</v>
      </c>
      <c r="B115" s="18">
        <f>IF(VLOOKUP(A115,'DB Country PMI'!$A:$AZ,MATCH($A$1,'DB Country PMI'!$A$1:$AZ$1,),)=0,#N/A,VLOOKUP(A115,'DB Country PMI'!$A:$AZ,MATCH($A$1,'DB Country PMI'!$A$1:$AZ$1,),))</f>
        <v/>
      </c>
      <c r="C115" s="24">
        <f>Table1346811121415161718192022253033[[#This Row],[PMI]]-B114</f>
        <v/>
      </c>
    </row>
    <row r="116">
      <c r="A116" s="10" t="n">
        <v>43800</v>
      </c>
      <c r="B116" s="18">
        <f>IF(VLOOKUP(A116,'DB Country PMI'!$A:$AZ,MATCH($A$1,'DB Country PMI'!$A$1:$AZ$1,),)=0,#N/A,VLOOKUP(A116,'DB Country PMI'!$A:$AZ,MATCH($A$1,'DB Country PMI'!$A$1:$AZ$1,),))</f>
        <v/>
      </c>
      <c r="C116" s="24">
        <f>Table1346811121415161718192022253033[[#This Row],[PMI]]-B115</f>
        <v/>
      </c>
    </row>
    <row r="117">
      <c r="A117" s="10" t="n">
        <v>43831</v>
      </c>
      <c r="B117" s="18">
        <f>IF(VLOOKUP(A117,'DB Country PMI'!$A:$AZ,MATCH($A$1,'DB Country PMI'!$A$1:$AZ$1,),)=0,#N/A,VLOOKUP(A117,'DB Country PMI'!$A:$AZ,MATCH($A$1,'DB Country PMI'!$A$1:$AZ$1,),))</f>
        <v/>
      </c>
      <c r="C117" s="24">
        <f>Table1346811121415161718192022253033[[#This Row],[PMI]]-B116</f>
        <v/>
      </c>
    </row>
    <row r="118">
      <c r="A118" s="10" t="n">
        <v>43862</v>
      </c>
      <c r="B118" s="18">
        <f>IF(VLOOKUP(A118,'DB Country PMI'!$A:$AZ,MATCH($A$1,'DB Country PMI'!$A$1:$AZ$1,),)=0,#N/A,VLOOKUP(A118,'DB Country PMI'!$A:$AZ,MATCH($A$1,'DB Country PMI'!$A$1:$AZ$1,),))</f>
        <v/>
      </c>
      <c r="C118" s="24">
        <f>Table1346811121415161718192022253033[[#This Row],[PMI]]-B117</f>
        <v/>
      </c>
    </row>
    <row r="119">
      <c r="A119" s="10" t="n">
        <v>43891</v>
      </c>
      <c r="B119" s="18">
        <f>IF(VLOOKUP(A119,'DB Country PMI'!$A:$AZ,MATCH($A$1,'DB Country PMI'!$A$1:$AZ$1,),)=0,#N/A,VLOOKUP(A119,'DB Country PMI'!$A:$AZ,MATCH($A$1,'DB Country PMI'!$A$1:$AZ$1,),))</f>
        <v/>
      </c>
      <c r="C119" s="24">
        <f>Table1346811121415161718192022253033[[#This Row],[PMI]]-B118</f>
        <v/>
      </c>
    </row>
    <row r="120">
      <c r="A120" s="10" t="n">
        <v>43922</v>
      </c>
      <c r="B120" s="18">
        <f>IF(VLOOKUP(A120,'DB Country PMI'!$A:$AZ,MATCH($A$1,'DB Country PMI'!$A$1:$AZ$1,),)=0,#N/A,VLOOKUP(A120,'DB Country PMI'!$A:$AZ,MATCH($A$1,'DB Country PMI'!$A$1:$AZ$1,),))</f>
        <v/>
      </c>
      <c r="C120" s="24">
        <f>Table1346811121415161718192022253033[[#This Row],[PMI]]-B119</f>
        <v/>
      </c>
    </row>
    <row r="121">
      <c r="A121" s="10" t="n">
        <v>43952</v>
      </c>
      <c r="B121" s="18">
        <f>IF(VLOOKUP(A121,'DB Country PMI'!$A:$AZ,MATCH($A$1,'DB Country PMI'!$A$1:$AZ$1,),)=0,#N/A,VLOOKUP(A121,'DB Country PMI'!$A:$AZ,MATCH($A$1,'DB Country PMI'!$A$1:$AZ$1,),))</f>
        <v/>
      </c>
      <c r="C121" s="24">
        <f>Table1346811121415161718192022253033[[#This Row],[PMI]]-B120</f>
        <v/>
      </c>
    </row>
    <row r="122">
      <c r="A122" s="10" t="n">
        <v>43983</v>
      </c>
      <c r="B122" s="18">
        <f>IF(VLOOKUP(A122,'DB Country PMI'!$A:$AZ,MATCH($A$1,'DB Country PMI'!$A$1:$AZ$1,),)=0,#N/A,VLOOKUP(A122,'DB Country PMI'!$A:$AZ,MATCH($A$1,'DB Country PMI'!$A$1:$AZ$1,),))</f>
        <v/>
      </c>
      <c r="C122" s="24">
        <f>Table1346811121415161718192022253033[[#This Row],[PMI]]-B121</f>
        <v/>
      </c>
    </row>
    <row r="123">
      <c r="A123" s="10" t="n">
        <v>44013</v>
      </c>
      <c r="B123" s="18">
        <f>IF(VLOOKUP(A123,'DB Country PMI'!$A:$AZ,MATCH($A$1,'DB Country PMI'!$A$1:$AZ$1,),)=0,#N/A,VLOOKUP(A123,'DB Country PMI'!$A:$AZ,MATCH($A$1,'DB Country PMI'!$A$1:$AZ$1,),))</f>
        <v/>
      </c>
      <c r="C123" s="24">
        <f>Table1346811121415161718192022253033[[#This Row],[PMI]]-B122</f>
        <v/>
      </c>
    </row>
    <row r="124">
      <c r="A124" s="10" t="n">
        <v>44044</v>
      </c>
      <c r="B124" s="18">
        <f>IF(VLOOKUP(A124,'DB Country PMI'!$A:$AZ,MATCH($A$1,'DB Country PMI'!$A$1:$AZ$1,),)=0,#N/A,VLOOKUP(A124,'DB Country PMI'!$A:$AZ,MATCH($A$1,'DB Country PMI'!$A$1:$AZ$1,),))</f>
        <v/>
      </c>
      <c r="C124" s="24">
        <f>Table1346811121415161718192022253033[[#This Row],[PMI]]-B123</f>
        <v/>
      </c>
    </row>
    <row r="125">
      <c r="A125" s="10" t="n">
        <v>44075</v>
      </c>
      <c r="B125" s="18">
        <f>IF(VLOOKUP(A125,'DB Country PMI'!$A:$AZ,MATCH($A$1,'DB Country PMI'!$A$1:$AZ$1,),)=0,#N/A,VLOOKUP(A125,'DB Country PMI'!$A:$AZ,MATCH($A$1,'DB Country PMI'!$A$1:$AZ$1,),))</f>
        <v/>
      </c>
      <c r="C125" s="24">
        <f>Table1346811121415161718192022253033[[#This Row],[PMI]]-B124</f>
        <v/>
      </c>
    </row>
    <row r="126">
      <c r="A126" s="10" t="n">
        <v>44105</v>
      </c>
      <c r="B126" s="18">
        <f>IF(VLOOKUP(A126,'DB Country PMI'!$A:$AZ,MATCH($A$1,'DB Country PMI'!$A$1:$AZ$1,),)=0,#N/A,VLOOKUP(A126,'DB Country PMI'!$A:$AZ,MATCH($A$1,'DB Country PMI'!$A$1:$AZ$1,),))</f>
        <v/>
      </c>
      <c r="C126" s="24">
        <f>Table1346811121415161718192022253033[[#This Row],[PMI]]-B125</f>
        <v/>
      </c>
    </row>
    <row r="127">
      <c r="A127" s="10" t="n">
        <v>44136</v>
      </c>
      <c r="B127" s="18">
        <f>IF(VLOOKUP(A127,'DB Country PMI'!$A:$AZ,MATCH($A$1,'DB Country PMI'!$A$1:$AZ$1,),)=0,#N/A,VLOOKUP(A127,'DB Country PMI'!$A:$AZ,MATCH($A$1,'DB Country PMI'!$A$1:$AZ$1,),))</f>
        <v/>
      </c>
      <c r="C127" s="24">
        <f>Table1346811121415161718192022253033[[#This Row],[PMI]]-B126</f>
        <v/>
      </c>
    </row>
    <row r="128">
      <c r="A128" s="10" t="n">
        <v>44166</v>
      </c>
      <c r="B128" s="18">
        <f>IF(VLOOKUP(A128,'DB Country PMI'!$A:$AZ,MATCH($A$1,'DB Country PMI'!$A$1:$AZ$1,),)=0,#N/A,VLOOKUP(A128,'DB Country PMI'!$A:$AZ,MATCH($A$1,'DB Country PMI'!$A$1:$AZ$1,),))</f>
        <v/>
      </c>
      <c r="C128" s="24">
        <f>Table1346811121415161718192022253033[[#This Row],[PMI]]-B127</f>
        <v/>
      </c>
    </row>
    <row r="129">
      <c r="A129" s="10" t="n">
        <v>44197</v>
      </c>
      <c r="B129" s="18">
        <f>IF(VLOOKUP(A129,'DB Country PMI'!$A:$AZ,MATCH($A$1,'DB Country PMI'!$A$1:$AZ$1,),)=0,#N/A,VLOOKUP(A129,'DB Country PMI'!$A:$AZ,MATCH($A$1,'DB Country PMI'!$A$1:$AZ$1,),))</f>
        <v/>
      </c>
      <c r="C129" s="24">
        <f>Table1346811121415161718192022253033[[#This Row],[PMI]]-B128</f>
        <v/>
      </c>
    </row>
    <row r="130">
      <c r="A130" s="10" t="n">
        <v>44228</v>
      </c>
      <c r="B130" s="18">
        <f>IF(VLOOKUP(A130,'DB Country PMI'!$A:$AZ,MATCH($A$1,'DB Country PMI'!$A$1:$AZ$1,),)=0,#N/A,VLOOKUP(A130,'DB Country PMI'!$A:$AZ,MATCH($A$1,'DB Country PMI'!$A$1:$AZ$1,),))</f>
        <v/>
      </c>
      <c r="C130" s="24">
        <f>Table1346811121415161718192022253033[[#This Row],[PMI]]-B129</f>
        <v/>
      </c>
    </row>
    <row r="131">
      <c r="A131" s="10" t="n">
        <v>44256</v>
      </c>
      <c r="B131" s="18">
        <f>IF(VLOOKUP(A131,'DB Country PMI'!$A:$AZ,MATCH($A$1,'DB Country PMI'!$A$1:$AZ$1,),)=0,#N/A,VLOOKUP(A131,'DB Country PMI'!$A:$AZ,MATCH($A$1,'DB Country PMI'!$A$1:$AZ$1,),))</f>
        <v/>
      </c>
      <c r="C131" s="24">
        <f>Table1346811121415161718192022253033[[#This Row],[PMI]]-B130</f>
        <v/>
      </c>
    </row>
    <row r="132">
      <c r="A132" s="10" t="n">
        <v>44287</v>
      </c>
      <c r="B132" s="18">
        <f>IF(VLOOKUP(A132,'DB Country PMI'!$A:$AZ,MATCH($A$1,'DB Country PMI'!$A$1:$AZ$1,),)=0,#N/A,VLOOKUP(A132,'DB Country PMI'!$A:$AZ,MATCH($A$1,'DB Country PMI'!$A$1:$AZ$1,),))</f>
        <v/>
      </c>
      <c r="C132" s="24">
        <f>Table1346811121415161718192022253033[[#This Row],[PMI]]-B131</f>
        <v/>
      </c>
    </row>
    <row r="133">
      <c r="A133" s="10" t="n">
        <v>44317</v>
      </c>
      <c r="B133" s="18">
        <f>IF(VLOOKUP(A133,'DB Country PMI'!$A:$AZ,MATCH($A$1,'DB Country PMI'!$A$1:$AZ$1,),)=0,#N/A,VLOOKUP(A133,'DB Country PMI'!$A:$AZ,MATCH($A$1,'DB Country PMI'!$A$1:$AZ$1,),))</f>
        <v/>
      </c>
      <c r="C133" s="24">
        <f>Table1346811121415161718192022253033[[#This Row],[PMI]]-B132</f>
        <v/>
      </c>
    </row>
    <row r="134">
      <c r="A134" s="10" t="n">
        <v>44348</v>
      </c>
      <c r="B134" s="18">
        <f>IF(VLOOKUP(A134,'DB Country PMI'!$A:$AZ,MATCH($A$1,'DB Country PMI'!$A$1:$AZ$1,),)=0,#N/A,VLOOKUP(A134,'DB Country PMI'!$A:$AZ,MATCH($A$1,'DB Country PMI'!$A$1:$AZ$1,),))</f>
        <v/>
      </c>
      <c r="C134" s="24">
        <f>Table1346811121415161718192022253033[[#This Row],[PMI]]-B133</f>
        <v/>
      </c>
    </row>
    <row r="135">
      <c r="A135" s="10" t="n">
        <v>44378</v>
      </c>
      <c r="B135" s="18">
        <f>IF(VLOOKUP(A135,'DB Country PMI'!$A:$AZ,MATCH($A$1,'DB Country PMI'!$A$1:$AZ$1,),)=0,#N/A,VLOOKUP(A135,'DB Country PMI'!$A:$AZ,MATCH($A$1,'DB Country PMI'!$A$1:$AZ$1,),))</f>
        <v/>
      </c>
      <c r="C135" s="24">
        <f>Table1346811121415161718192022253033[[#This Row],[PMI]]-B134</f>
        <v/>
      </c>
    </row>
    <row r="136">
      <c r="A136" s="10" t="n">
        <v>44409</v>
      </c>
      <c r="B136" s="18">
        <f>IF(VLOOKUP(A136,'DB Country PMI'!$A:$AZ,MATCH($A$1,'DB Country PMI'!$A$1:$AZ$1,),)=0,#N/A,VLOOKUP(A136,'DB Country PMI'!$A:$AZ,MATCH($A$1,'DB Country PMI'!$A$1:$AZ$1,),))</f>
        <v/>
      </c>
      <c r="C136" s="24">
        <f>Table1346811121415161718192022253033[[#This Row],[PMI]]-B135</f>
        <v/>
      </c>
    </row>
    <row r="137">
      <c r="A137" s="10" t="n">
        <v>44440</v>
      </c>
      <c r="B137" s="18">
        <f>IF(VLOOKUP(A137,'DB Country PMI'!$A:$AZ,MATCH($A$1,'DB Country PMI'!$A$1:$AZ$1,),)=0,#N/A,VLOOKUP(A137,'DB Country PMI'!$A:$AZ,MATCH($A$1,'DB Country PMI'!$A$1:$AZ$1,),))</f>
        <v/>
      </c>
      <c r="C137" s="24">
        <f>Table1346811121415161718192022253033[[#This Row],[PMI]]-B136</f>
        <v/>
      </c>
    </row>
    <row r="138">
      <c r="A138" s="10" t="n">
        <v>44470</v>
      </c>
      <c r="B138" s="18">
        <f>IF(VLOOKUP(A138,'DB Country PMI'!$A:$AZ,MATCH($A$1,'DB Country PMI'!$A$1:$AZ$1,),)=0,#N/A,VLOOKUP(A138,'DB Country PMI'!$A:$AZ,MATCH($A$1,'DB Country PMI'!$A$1:$AZ$1,),))</f>
        <v/>
      </c>
      <c r="C138" s="24">
        <f>Table1346811121415161718192022253033[[#This Row],[PMI]]-B137</f>
        <v/>
      </c>
    </row>
    <row r="139">
      <c r="A139" s="10" t="n">
        <v>44501</v>
      </c>
      <c r="B139" s="18">
        <f>IF(VLOOKUP(A139,'DB Country PMI'!$A:$AZ,MATCH($A$1,'DB Country PMI'!$A$1:$AZ$1,),)=0,#N/A,VLOOKUP(A139,'DB Country PMI'!$A:$AZ,MATCH($A$1,'DB Country PMI'!$A$1:$AZ$1,),))</f>
        <v/>
      </c>
      <c r="C139" s="24">
        <f>Table1346811121415161718192022253033[[#This Row],[PMI]]-B138</f>
        <v/>
      </c>
    </row>
    <row r="140">
      <c r="A140" s="10" t="n">
        <v>44531</v>
      </c>
      <c r="B140" s="18">
        <f>IF(VLOOKUP(A140,'DB Country PMI'!$A:$AZ,MATCH($A$1,'DB Country PMI'!$A$1:$AZ$1,),)=0,#N/A,VLOOKUP(A140,'DB Country PMI'!$A:$AZ,MATCH($A$1,'DB Country PMI'!$A$1:$AZ$1,),))</f>
        <v/>
      </c>
      <c r="C140" s="24">
        <f>Table1346811121415161718192022253033[[#This Row],[PMI]]-B139</f>
        <v/>
      </c>
    </row>
    <row r="141">
      <c r="A141" s="10" t="n">
        <v>44562</v>
      </c>
      <c r="B141" s="18">
        <f>IF(VLOOKUP(A141,'DB Country PMI'!$A:$AZ,MATCH($A$1,'DB Country PMI'!$A$1:$AZ$1,),)=0,#N/A,VLOOKUP(A141,'DB Country PMI'!$A:$AZ,MATCH($A$1,'DB Country PMI'!$A$1:$AZ$1,),))</f>
        <v/>
      </c>
      <c r="C141" s="24">
        <f>Table1346811121415161718192022253033[[#This Row],[PMI]]-B140</f>
        <v/>
      </c>
    </row>
    <row r="142">
      <c r="A142" s="10" t="n">
        <v>44593</v>
      </c>
      <c r="B142" s="18">
        <f>IF(VLOOKUP(A142,'DB Country PMI'!$A:$AZ,MATCH($A$1,'DB Country PMI'!$A$1:$AZ$1,),)=0,#N/A,VLOOKUP(A142,'DB Country PMI'!$A:$AZ,MATCH($A$1,'DB Country PMI'!$A$1:$AZ$1,),))</f>
        <v/>
      </c>
      <c r="C142" s="24">
        <f>Table1346811121415161718192022253033[[#This Row],[PMI]]-B141</f>
        <v/>
      </c>
    </row>
    <row r="143">
      <c r="A143" s="10" t="n">
        <v>44621</v>
      </c>
      <c r="B143" s="18">
        <f>IF(VLOOKUP(A143,'DB Country PMI'!$A:$AZ,MATCH($A$1,'DB Country PMI'!$A$1:$AZ$1,),)=0,#N/A,VLOOKUP(A143,'DB Country PMI'!$A:$AZ,MATCH($A$1,'DB Country PMI'!$A$1:$AZ$1,),))</f>
        <v/>
      </c>
      <c r="C143" s="24">
        <f>Table1346811121415161718192022253033[[#This Row],[PMI]]-B142</f>
        <v/>
      </c>
    </row>
    <row r="144">
      <c r="A144" s="10" t="n">
        <v>44652</v>
      </c>
      <c r="B144" s="18">
        <f>IF(VLOOKUP(A144,'DB Country PMI'!$A:$AZ,MATCH($A$1,'DB Country PMI'!$A$1:$AZ$1,),)=0,#N/A,VLOOKUP(A144,'DB Country PMI'!$A:$AZ,MATCH($A$1,'DB Country PMI'!$A$1:$AZ$1,),))</f>
        <v/>
      </c>
      <c r="C144" s="24">
        <f>Table1346811121415161718192022253033[[#This Row],[PMI]]-B143</f>
        <v/>
      </c>
    </row>
    <row r="145">
      <c r="A145" s="10" t="n">
        <v>44682</v>
      </c>
      <c r="B145" s="18">
        <f>IF(VLOOKUP(A145,'DB Country PMI'!$A:$AZ,MATCH($A$1,'DB Country PMI'!$A$1:$AZ$1,),)=0,#N/A,VLOOKUP(A145,'DB Country PMI'!$A:$AZ,MATCH($A$1,'DB Country PMI'!$A$1:$AZ$1,),))</f>
        <v/>
      </c>
      <c r="C145" s="24">
        <f>Table1346811121415161718192022253033[[#This Row],[PMI]]-B144</f>
        <v/>
      </c>
    </row>
    <row r="146">
      <c r="A146" s="10" t="n">
        <v>44713</v>
      </c>
      <c r="B146" s="18">
        <f>IF(VLOOKUP(A146,'DB Country PMI'!$A:$AZ,MATCH($A$1,'DB Country PMI'!$A$1:$AZ$1,),)=0,#N/A,VLOOKUP(A146,'DB Country PMI'!$A:$AZ,MATCH($A$1,'DB Country PMI'!$A$1:$AZ$1,),))</f>
        <v/>
      </c>
      <c r="C146" s="24">
        <f>Table1346811121415161718192022253033[[#This Row],[PMI]]-B145</f>
        <v/>
      </c>
    </row>
    <row r="147">
      <c r="A147" s="10" t="n">
        <v>44743</v>
      </c>
      <c r="B147" s="18">
        <f>IF(VLOOKUP(A147,'DB Country PMI'!$A:$AZ,MATCH($A$1,'DB Country PMI'!$A$1:$AZ$1,),)=0,#N/A,VLOOKUP(A147,'DB Country PMI'!$A:$AZ,MATCH($A$1,'DB Country PMI'!$A$1:$AZ$1,),))</f>
        <v/>
      </c>
      <c r="C147" s="24">
        <f>Table1346811121415161718192022253033[[#This Row],[PMI]]-B146</f>
        <v/>
      </c>
    </row>
    <row r="148">
      <c r="A148" s="10" t="n">
        <v>44774</v>
      </c>
      <c r="B148" s="18">
        <f>IF(VLOOKUP(A148,'DB Country PMI'!$A:$AZ,MATCH($A$1,'DB Country PMI'!$A$1:$AZ$1,),)=0,#N/A,VLOOKUP(A148,'DB Country PMI'!$A:$AZ,MATCH($A$1,'DB Country PMI'!$A$1:$AZ$1,),))</f>
        <v/>
      </c>
      <c r="C148" s="24">
        <f>Table1346811121415161718192022253033[[#This Row],[PMI]]-B147</f>
        <v/>
      </c>
    </row>
    <row r="149">
      <c r="A149" s="10" t="n">
        <v>44805</v>
      </c>
      <c r="B149" s="18">
        <f>IF(VLOOKUP(A149,'DB Country PMI'!$A:$AZ,MATCH($A$1,'DB Country PMI'!$A$1:$AZ$1,),)=0,#N/A,VLOOKUP(A149,'DB Country PMI'!$A:$AZ,MATCH($A$1,'DB Country PMI'!$A$1:$AZ$1,),))</f>
        <v/>
      </c>
      <c r="C149" s="24">
        <f>Table1346811121415161718192022253033[[#This Row],[PMI]]-B148</f>
        <v/>
      </c>
    </row>
    <row r="150">
      <c r="A150" s="10" t="n">
        <v>44835</v>
      </c>
      <c r="B150" s="18">
        <f>IF(VLOOKUP(A150,'DB Country PMI'!$A:$AZ,MATCH($A$1,'DB Country PMI'!$A$1:$AZ$1,),)=0,#N/A,VLOOKUP(A150,'DB Country PMI'!$A:$AZ,MATCH($A$1,'DB Country PMI'!$A$1:$AZ$1,),))</f>
        <v/>
      </c>
      <c r="C150" s="24">
        <f>Table1346811121415161718192022253033[[#This Row],[PMI]]-B149</f>
        <v/>
      </c>
    </row>
    <row r="151">
      <c r="A151" s="10" t="n">
        <v>44866</v>
      </c>
      <c r="B151" s="18">
        <f>IF(VLOOKUP(A151,'DB Country PMI'!$A:$AZ,MATCH($A$1,'DB Country PMI'!$A$1:$AZ$1,),)=0,#N/A,VLOOKUP(A151,'DB Country PMI'!$A:$AZ,MATCH($A$1,'DB Country PMI'!$A$1:$AZ$1,),))</f>
        <v/>
      </c>
      <c r="C151" s="24">
        <f>Table1346811121415161718192022253033[[#This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6.xml><?xml version="1.0" encoding="utf-8"?>
<worksheet xmlns="http://schemas.openxmlformats.org/spreadsheetml/2006/main">
  <sheetPr>
    <outlinePr summaryBelow="1" summaryRight="1"/>
    <pageSetUpPr/>
  </sheetPr>
  <dimension ref="A1:K151"/>
  <sheetViews>
    <sheetView zoomScale="80" zoomScaleNormal="80" workbookViewId="0">
      <pane ySplit="5" topLeftCell="A136" activePane="bottomLeft" state="frozen"/>
      <selection pane="bottomLeft" activeCell="P150" sqref="P150"/>
    </sheetView>
  </sheetViews>
  <sheetFormatPr baseColWidth="8" defaultColWidth="9.1796875" defaultRowHeight="14.5"/>
  <cols>
    <col width="13.453125" customWidth="1" style="69" min="1" max="1"/>
    <col width="11.36328125" customWidth="1" style="69" min="2" max="2"/>
    <col width="9.1796875" customWidth="1" style="69" min="3" max="51"/>
    <col width="9.1796875" customWidth="1" style="69" min="52" max="16384"/>
  </cols>
  <sheetData>
    <row r="1">
      <c r="A1" s="69" t="inlineStr">
        <is>
          <t>Greece</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40482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Table134681112141516171819[[#This Row],[PMI]]-B6</f>
        <v/>
      </c>
    </row>
    <row r="8">
      <c r="A8" s="10" t="n">
        <v>40513</v>
      </c>
      <c r="B8" s="18">
        <f>IF(VLOOKUP(A8,'DB Country PMI'!$A:$AZ,MATCH($A$1,'DB Country PMI'!$A$1:$AZ$1,),)=0,#N/A,VLOOKUP(A8,'DB Country PMI'!$A:$AZ,MATCH($A$1,'DB Country PMI'!$A$1:$AZ$1,),))</f>
        <v/>
      </c>
      <c r="C8" s="24">
        <f>Table134681112141516171819[[#This Row],[PMI]]-B7</f>
        <v/>
      </c>
    </row>
    <row r="9">
      <c r="A9" s="10" t="n">
        <v>40544</v>
      </c>
      <c r="B9" s="18">
        <f>IF(VLOOKUP(A9,'DB Country PMI'!$A:$AZ,MATCH($A$1,'DB Country PMI'!$A$1:$AZ$1,),)=0,#N/A,VLOOKUP(A9,'DB Country PMI'!$A:$AZ,MATCH($A$1,'DB Country PMI'!$A$1:$AZ$1,),))</f>
        <v/>
      </c>
      <c r="C9" s="24">
        <f>Table134681112141516171819[[#This Row],[PMI]]-B8</f>
        <v/>
      </c>
    </row>
    <row r="10">
      <c r="A10" s="10" t="n">
        <v>40575</v>
      </c>
      <c r="B10" s="18">
        <f>IF(VLOOKUP(A10,'DB Country PMI'!$A:$AZ,MATCH($A$1,'DB Country PMI'!$A$1:$AZ$1,),)=0,#N/A,VLOOKUP(A10,'DB Country PMI'!$A:$AZ,MATCH($A$1,'DB Country PMI'!$A$1:$AZ$1,),))</f>
        <v/>
      </c>
      <c r="C10" s="24">
        <f>Table134681112141516171819[[#This Row],[PMI]]-B9</f>
        <v/>
      </c>
    </row>
    <row r="11">
      <c r="A11" s="10" t="n">
        <v>40603</v>
      </c>
      <c r="B11" s="18">
        <f>IF(VLOOKUP(A11,'DB Country PMI'!$A:$AZ,MATCH($A$1,'DB Country PMI'!$A$1:$AZ$1,),)=0,#N/A,VLOOKUP(A11,'DB Country PMI'!$A:$AZ,MATCH($A$1,'DB Country PMI'!$A$1:$AZ$1,),))</f>
        <v/>
      </c>
      <c r="C11" s="24">
        <f>Table134681112141516171819[[#This Row],[PMI]]-B10</f>
        <v/>
      </c>
    </row>
    <row r="12">
      <c r="A12" s="10" t="n">
        <v>40634</v>
      </c>
      <c r="B12" s="18">
        <f>IF(VLOOKUP(A12,'DB Country PMI'!$A:$AZ,MATCH($A$1,'DB Country PMI'!$A$1:$AZ$1,),)=0,#N/A,VLOOKUP(A12,'DB Country PMI'!$A:$AZ,MATCH($A$1,'DB Country PMI'!$A$1:$AZ$1,),))</f>
        <v/>
      </c>
      <c r="C12" s="24">
        <f>Table134681112141516171819[[#This Row],[PMI]]-B11</f>
        <v/>
      </c>
    </row>
    <row r="13">
      <c r="A13" s="10" t="n">
        <v>40664</v>
      </c>
      <c r="B13" s="18">
        <f>IF(VLOOKUP(A13,'DB Country PMI'!$A:$AZ,MATCH($A$1,'DB Country PMI'!$A$1:$AZ$1,),)=0,#N/A,VLOOKUP(A13,'DB Country PMI'!$A:$AZ,MATCH($A$1,'DB Country PMI'!$A$1:$AZ$1,),))</f>
        <v/>
      </c>
      <c r="C13" s="24">
        <f>Table134681112141516171819[[#This Row],[PMI]]-B12</f>
        <v/>
      </c>
    </row>
    <row r="14">
      <c r="A14" s="10" t="n">
        <v>40695</v>
      </c>
      <c r="B14" s="18">
        <f>IF(VLOOKUP(A14,'DB Country PMI'!$A:$AZ,MATCH($A$1,'DB Country PMI'!$A$1:$AZ$1,),)=0,#N/A,VLOOKUP(A14,'DB Country PMI'!$A:$AZ,MATCH($A$1,'DB Country PMI'!$A$1:$AZ$1,),))</f>
        <v/>
      </c>
      <c r="C14" s="24">
        <f>Table134681112141516171819[[#This Row],[PMI]]-B13</f>
        <v/>
      </c>
    </row>
    <row r="15">
      <c r="A15" s="10" t="n">
        <v>40725</v>
      </c>
      <c r="B15" s="18">
        <f>IF(VLOOKUP(A15,'DB Country PMI'!$A:$AZ,MATCH($A$1,'DB Country PMI'!$A$1:$AZ$1,),)=0,#N/A,VLOOKUP(A15,'DB Country PMI'!$A:$AZ,MATCH($A$1,'DB Country PMI'!$A$1:$AZ$1,),))</f>
        <v/>
      </c>
      <c r="C15" s="24">
        <f>Table134681112141516171819[[#This Row],[PMI]]-B14</f>
        <v/>
      </c>
    </row>
    <row r="16">
      <c r="A16" s="10" t="n">
        <v>40756</v>
      </c>
      <c r="B16" s="18">
        <f>IF(VLOOKUP(A16,'DB Country PMI'!$A:$AZ,MATCH($A$1,'DB Country PMI'!$A$1:$AZ$1,),)=0,#N/A,VLOOKUP(A16,'DB Country PMI'!$A:$AZ,MATCH($A$1,'DB Country PMI'!$A$1:$AZ$1,),))</f>
        <v/>
      </c>
      <c r="C16" s="24">
        <f>Table134681112141516171819[[#This Row],[PMI]]-B15</f>
        <v/>
      </c>
    </row>
    <row r="17">
      <c r="A17" s="10" t="n">
        <v>40787</v>
      </c>
      <c r="B17" s="18">
        <f>IF(VLOOKUP(A17,'DB Country PMI'!$A:$AZ,MATCH($A$1,'DB Country PMI'!$A$1:$AZ$1,),)=0,#N/A,VLOOKUP(A17,'DB Country PMI'!$A:$AZ,MATCH($A$1,'DB Country PMI'!$A$1:$AZ$1,),))</f>
        <v/>
      </c>
      <c r="C17" s="24">
        <f>Table134681112141516171819[[#This Row],[PMI]]-B16</f>
        <v/>
      </c>
    </row>
    <row r="18">
      <c r="A18" s="10" t="n">
        <v>40817</v>
      </c>
      <c r="B18" s="18">
        <f>IF(VLOOKUP(A18,'DB Country PMI'!$A:$AZ,MATCH($A$1,'DB Country PMI'!$A$1:$AZ$1,),)=0,#N/A,VLOOKUP(A18,'DB Country PMI'!$A:$AZ,MATCH($A$1,'DB Country PMI'!$A$1:$AZ$1,),))</f>
        <v/>
      </c>
      <c r="C18" s="24">
        <f>Table134681112141516171819[[#This Row],[PMI]]-B17</f>
        <v/>
      </c>
    </row>
    <row r="19">
      <c r="A19" s="10" t="n">
        <v>40848</v>
      </c>
      <c r="B19" s="18">
        <f>IF(VLOOKUP(A19,'DB Country PMI'!$A:$AZ,MATCH($A$1,'DB Country PMI'!$A$1:$AZ$1,),)=0,#N/A,VLOOKUP(A19,'DB Country PMI'!$A:$AZ,MATCH($A$1,'DB Country PMI'!$A$1:$AZ$1,),))</f>
        <v/>
      </c>
      <c r="C19" s="24">
        <f>Table134681112141516171819[[#This Row],[PMI]]-B18</f>
        <v/>
      </c>
    </row>
    <row r="20">
      <c r="A20" s="10" t="n">
        <v>40878</v>
      </c>
      <c r="B20" s="18">
        <f>IF(VLOOKUP(A20,'DB Country PMI'!$A:$AZ,MATCH($A$1,'DB Country PMI'!$A$1:$AZ$1,),)=0,#N/A,VLOOKUP(A20,'DB Country PMI'!$A:$AZ,MATCH($A$1,'DB Country PMI'!$A$1:$AZ$1,),))</f>
        <v/>
      </c>
      <c r="C20" s="24">
        <f>Table134681112141516171819[[#This Row],[PMI]]-B19</f>
        <v/>
      </c>
    </row>
    <row r="21">
      <c r="A21" s="10" t="n">
        <v>40909</v>
      </c>
      <c r="B21" s="18">
        <f>IF(VLOOKUP(A21,'DB Country PMI'!$A:$AZ,MATCH($A$1,'DB Country PMI'!$A$1:$AZ$1,),)=0,#N/A,VLOOKUP(A21,'DB Country PMI'!$A:$AZ,MATCH($A$1,'DB Country PMI'!$A$1:$AZ$1,),))</f>
        <v/>
      </c>
      <c r="C21" s="24">
        <f>Table134681112141516171819[[#This Row],[PMI]]-B20</f>
        <v/>
      </c>
    </row>
    <row r="22">
      <c r="A22" s="10" t="n">
        <v>40940</v>
      </c>
      <c r="B22" s="18">
        <f>IF(VLOOKUP(A22,'DB Country PMI'!$A:$AZ,MATCH($A$1,'DB Country PMI'!$A$1:$AZ$1,),)=0,#N/A,VLOOKUP(A22,'DB Country PMI'!$A:$AZ,MATCH($A$1,'DB Country PMI'!$A$1:$AZ$1,),))</f>
        <v/>
      </c>
      <c r="C22" s="24">
        <f>Table134681112141516171819[[#This Row],[PMI]]-B21</f>
        <v/>
      </c>
    </row>
    <row r="23">
      <c r="A23" s="10" t="n">
        <v>40969</v>
      </c>
      <c r="B23" s="18">
        <f>IF(VLOOKUP(A23,'DB Country PMI'!$A:$AZ,MATCH($A$1,'DB Country PMI'!$A$1:$AZ$1,),)=0,#N/A,VLOOKUP(A23,'DB Country PMI'!$A:$AZ,MATCH($A$1,'DB Country PMI'!$A$1:$AZ$1,),))</f>
        <v/>
      </c>
      <c r="C23" s="24">
        <f>Table134681112141516171819[[#This Row],[PMI]]-B22</f>
        <v/>
      </c>
    </row>
    <row r="24">
      <c r="A24" s="10" t="n">
        <v>41000</v>
      </c>
      <c r="B24" s="18">
        <f>IF(VLOOKUP(A24,'DB Country PMI'!$A:$AZ,MATCH($A$1,'DB Country PMI'!$A$1:$AZ$1,),)=0,#N/A,VLOOKUP(A24,'DB Country PMI'!$A:$AZ,MATCH($A$1,'DB Country PMI'!$A$1:$AZ$1,),))</f>
        <v/>
      </c>
      <c r="C24" s="24">
        <f>Table134681112141516171819[[#This Row],[PMI]]-B23</f>
        <v/>
      </c>
    </row>
    <row r="25">
      <c r="A25" s="10" t="n">
        <v>41030</v>
      </c>
      <c r="B25" s="18">
        <f>IF(VLOOKUP(A25,'DB Country PMI'!$A:$AZ,MATCH($A$1,'DB Country PMI'!$A$1:$AZ$1,),)=0,#N/A,VLOOKUP(A25,'DB Country PMI'!$A:$AZ,MATCH($A$1,'DB Country PMI'!$A$1:$AZ$1,),))</f>
        <v/>
      </c>
      <c r="C25" s="24">
        <f>Table134681112141516171819[[#This Row],[PMI]]-B24</f>
        <v/>
      </c>
    </row>
    <row r="26">
      <c r="A26" s="10" t="n">
        <v>41061</v>
      </c>
      <c r="B26" s="18">
        <f>IF(VLOOKUP(A26,'DB Country PMI'!$A:$AZ,MATCH($A$1,'DB Country PMI'!$A$1:$AZ$1,),)=0,#N/A,VLOOKUP(A26,'DB Country PMI'!$A:$AZ,MATCH($A$1,'DB Country PMI'!$A$1:$AZ$1,),))</f>
        <v/>
      </c>
      <c r="C26" s="24">
        <f>Table134681112141516171819[[#This Row],[PMI]]-B25</f>
        <v/>
      </c>
    </row>
    <row r="27">
      <c r="A27" s="10" t="n">
        <v>41091</v>
      </c>
      <c r="B27" s="18">
        <f>IF(VLOOKUP(A27,'DB Country PMI'!$A:$AZ,MATCH($A$1,'DB Country PMI'!$A$1:$AZ$1,),)=0,#N/A,VLOOKUP(A27,'DB Country PMI'!$A:$AZ,MATCH($A$1,'DB Country PMI'!$A$1:$AZ$1,),))</f>
        <v/>
      </c>
      <c r="C27" s="24">
        <f>Table134681112141516171819[[#This Row],[PMI]]-B26</f>
        <v/>
      </c>
    </row>
    <row r="28">
      <c r="A28" s="10" t="n">
        <v>41122</v>
      </c>
      <c r="B28" s="18">
        <f>IF(VLOOKUP(A28,'DB Country PMI'!$A:$AZ,MATCH($A$1,'DB Country PMI'!$A$1:$AZ$1,),)=0,#N/A,VLOOKUP(A28,'DB Country PMI'!$A:$AZ,MATCH($A$1,'DB Country PMI'!$A$1:$AZ$1,),))</f>
        <v/>
      </c>
      <c r="C28" s="24">
        <f>Table134681112141516171819[[#This Row],[PMI]]-B27</f>
        <v/>
      </c>
    </row>
    <row r="29">
      <c r="A29" s="10" t="n">
        <v>41153</v>
      </c>
      <c r="B29" s="18">
        <f>IF(VLOOKUP(A29,'DB Country PMI'!$A:$AZ,MATCH($A$1,'DB Country PMI'!$A$1:$AZ$1,),)=0,#N/A,VLOOKUP(A29,'DB Country PMI'!$A:$AZ,MATCH($A$1,'DB Country PMI'!$A$1:$AZ$1,),))</f>
        <v/>
      </c>
      <c r="C29" s="24">
        <f>Table134681112141516171819[[#This Row],[PMI]]-B28</f>
        <v/>
      </c>
    </row>
    <row r="30">
      <c r="A30" s="10" t="n">
        <v>41183</v>
      </c>
      <c r="B30" s="18">
        <f>IF(VLOOKUP(A30,'DB Country PMI'!$A:$AZ,MATCH($A$1,'DB Country PMI'!$A$1:$AZ$1,),)=0,#N/A,VLOOKUP(A30,'DB Country PMI'!$A:$AZ,MATCH($A$1,'DB Country PMI'!$A$1:$AZ$1,),))</f>
        <v/>
      </c>
      <c r="C30" s="24">
        <f>Table134681112141516171819[[#This Row],[PMI]]-B29</f>
        <v/>
      </c>
    </row>
    <row r="31">
      <c r="A31" s="10" t="n">
        <v>41214</v>
      </c>
      <c r="B31" s="18">
        <f>IF(VLOOKUP(A31,'DB Country PMI'!$A:$AZ,MATCH($A$1,'DB Country PMI'!$A$1:$AZ$1,),)=0,#N/A,VLOOKUP(A31,'DB Country PMI'!$A:$AZ,MATCH($A$1,'DB Country PMI'!$A$1:$AZ$1,),))</f>
        <v/>
      </c>
      <c r="C31" s="24">
        <f>Table134681112141516171819[[#This Row],[PMI]]-B30</f>
        <v/>
      </c>
    </row>
    <row r="32">
      <c r="A32" s="10" t="n">
        <v>41244</v>
      </c>
      <c r="B32" s="18">
        <f>IF(VLOOKUP(A32,'DB Country PMI'!$A:$AZ,MATCH($A$1,'DB Country PMI'!$A$1:$AZ$1,),)=0,#N/A,VLOOKUP(A32,'DB Country PMI'!$A:$AZ,MATCH($A$1,'DB Country PMI'!$A$1:$AZ$1,),))</f>
        <v/>
      </c>
      <c r="C32" s="24">
        <f>Table134681112141516171819[[#This Row],[PMI]]-B31</f>
        <v/>
      </c>
    </row>
    <row r="33">
      <c r="A33" s="10" t="n">
        <v>41275</v>
      </c>
      <c r="B33" s="18">
        <f>IF(VLOOKUP(A33,'DB Country PMI'!$A:$AZ,MATCH($A$1,'DB Country PMI'!$A$1:$AZ$1,),)=0,#N/A,VLOOKUP(A33,'DB Country PMI'!$A:$AZ,MATCH($A$1,'DB Country PMI'!$A$1:$AZ$1,),))</f>
        <v/>
      </c>
      <c r="C33" s="24">
        <f>Table134681112141516171819[[#This Row],[PMI]]-B32</f>
        <v/>
      </c>
    </row>
    <row r="34">
      <c r="A34" s="10" t="n">
        <v>41306</v>
      </c>
      <c r="B34" s="18">
        <f>IF(VLOOKUP(A34,'DB Country PMI'!$A:$AZ,MATCH($A$1,'DB Country PMI'!$A$1:$AZ$1,),)=0,#N/A,VLOOKUP(A34,'DB Country PMI'!$A:$AZ,MATCH($A$1,'DB Country PMI'!$A$1:$AZ$1,),))</f>
        <v/>
      </c>
      <c r="C34" s="24">
        <f>Table134681112141516171819[[#This Row],[PMI]]-B33</f>
        <v/>
      </c>
    </row>
    <row r="35">
      <c r="A35" s="10" t="n">
        <v>41334</v>
      </c>
      <c r="B35" s="18">
        <f>IF(VLOOKUP(A35,'DB Country PMI'!$A:$AZ,MATCH($A$1,'DB Country PMI'!$A$1:$AZ$1,),)=0,#N/A,VLOOKUP(A35,'DB Country PMI'!$A:$AZ,MATCH($A$1,'DB Country PMI'!$A$1:$AZ$1,),))</f>
        <v/>
      </c>
      <c r="C35" s="24">
        <f>Table134681112141516171819[[#This Row],[PMI]]-B34</f>
        <v/>
      </c>
    </row>
    <row r="36">
      <c r="A36" s="10" t="n">
        <v>41365</v>
      </c>
      <c r="B36" s="18">
        <f>IF(VLOOKUP(A36,'DB Country PMI'!$A:$AZ,MATCH($A$1,'DB Country PMI'!$A$1:$AZ$1,),)=0,#N/A,VLOOKUP(A36,'DB Country PMI'!$A:$AZ,MATCH($A$1,'DB Country PMI'!$A$1:$AZ$1,),))</f>
        <v/>
      </c>
      <c r="C36" s="24">
        <f>Table134681112141516171819[[#This Row],[PMI]]-B35</f>
        <v/>
      </c>
    </row>
    <row r="37">
      <c r="A37" s="10" t="n">
        <v>41395</v>
      </c>
      <c r="B37" s="18">
        <f>IF(VLOOKUP(A37,'DB Country PMI'!$A:$AZ,MATCH($A$1,'DB Country PMI'!$A$1:$AZ$1,),)=0,#N/A,VLOOKUP(A37,'DB Country PMI'!$A:$AZ,MATCH($A$1,'DB Country PMI'!$A$1:$AZ$1,),))</f>
        <v/>
      </c>
      <c r="C37" s="24">
        <f>Table134681112141516171819[[#This Row],[PMI]]-B36</f>
        <v/>
      </c>
    </row>
    <row r="38">
      <c r="A38" s="10" t="n">
        <v>41426</v>
      </c>
      <c r="B38" s="18">
        <f>IF(VLOOKUP(A38,'DB Country PMI'!$A:$AZ,MATCH($A$1,'DB Country PMI'!$A$1:$AZ$1,),)=0,#N/A,VLOOKUP(A38,'DB Country PMI'!$A:$AZ,MATCH($A$1,'DB Country PMI'!$A$1:$AZ$1,),))</f>
        <v/>
      </c>
      <c r="C38" s="24">
        <f>Table134681112141516171819[[#This Row],[PMI]]-B37</f>
        <v/>
      </c>
    </row>
    <row r="39">
      <c r="A39" s="10" t="n">
        <v>41456</v>
      </c>
      <c r="B39" s="18">
        <f>IF(VLOOKUP(A39,'DB Country PMI'!$A:$AZ,MATCH($A$1,'DB Country PMI'!$A$1:$AZ$1,),)=0,#N/A,VLOOKUP(A39,'DB Country PMI'!$A:$AZ,MATCH($A$1,'DB Country PMI'!$A$1:$AZ$1,),))</f>
        <v/>
      </c>
      <c r="C39" s="24">
        <f>Table134681112141516171819[[#This Row],[PMI]]-B38</f>
        <v/>
      </c>
    </row>
    <row r="40">
      <c r="A40" s="10" t="n">
        <v>41487</v>
      </c>
      <c r="B40" s="18">
        <f>IF(VLOOKUP(A40,'DB Country PMI'!$A:$AZ,MATCH($A$1,'DB Country PMI'!$A$1:$AZ$1,),)=0,#N/A,VLOOKUP(A40,'DB Country PMI'!$A:$AZ,MATCH($A$1,'DB Country PMI'!$A$1:$AZ$1,),))</f>
        <v/>
      </c>
      <c r="C40" s="24">
        <f>Table134681112141516171819[[#This Row],[PMI]]-B39</f>
        <v/>
      </c>
    </row>
    <row r="41">
      <c r="A41" s="10" t="n">
        <v>41518</v>
      </c>
      <c r="B41" s="18">
        <f>IF(VLOOKUP(A41,'DB Country PMI'!$A:$AZ,MATCH($A$1,'DB Country PMI'!$A$1:$AZ$1,),)=0,#N/A,VLOOKUP(A41,'DB Country PMI'!$A:$AZ,MATCH($A$1,'DB Country PMI'!$A$1:$AZ$1,),))</f>
        <v/>
      </c>
      <c r="C41" s="24">
        <f>Table134681112141516171819[[#This Row],[PMI]]-B40</f>
        <v/>
      </c>
    </row>
    <row r="42">
      <c r="A42" s="10" t="n">
        <v>41548</v>
      </c>
      <c r="B42" s="18">
        <f>IF(VLOOKUP(A42,'DB Country PMI'!$A:$AZ,MATCH($A$1,'DB Country PMI'!$A$1:$AZ$1,),)=0,#N/A,VLOOKUP(A42,'DB Country PMI'!$A:$AZ,MATCH($A$1,'DB Country PMI'!$A$1:$AZ$1,),))</f>
        <v/>
      </c>
      <c r="C42" s="24">
        <f>Table134681112141516171819[[#This Row],[PMI]]-B41</f>
        <v/>
      </c>
    </row>
    <row r="43">
      <c r="A43" s="10" t="n">
        <v>41579</v>
      </c>
      <c r="B43" s="18">
        <f>IF(VLOOKUP(A43,'DB Country PMI'!$A:$AZ,MATCH($A$1,'DB Country PMI'!$A$1:$AZ$1,),)=0,#N/A,VLOOKUP(A43,'DB Country PMI'!$A:$AZ,MATCH($A$1,'DB Country PMI'!$A$1:$AZ$1,),))</f>
        <v/>
      </c>
      <c r="C43" s="24">
        <f>Table134681112141516171819[[#This Row],[PMI]]-B42</f>
        <v/>
      </c>
    </row>
    <row r="44">
      <c r="A44" s="10" t="n">
        <v>41609</v>
      </c>
      <c r="B44" s="18">
        <f>IF(VLOOKUP(A44,'DB Country PMI'!$A:$AZ,MATCH($A$1,'DB Country PMI'!$A$1:$AZ$1,),)=0,#N/A,VLOOKUP(A44,'DB Country PMI'!$A:$AZ,MATCH($A$1,'DB Country PMI'!$A$1:$AZ$1,),))</f>
        <v/>
      </c>
      <c r="C44" s="24">
        <f>Table134681112141516171819[[#This Row],[PMI]]-B43</f>
        <v/>
      </c>
    </row>
    <row r="45">
      <c r="A45" s="10" t="n">
        <v>41640</v>
      </c>
      <c r="B45" s="18">
        <f>IF(VLOOKUP(A45,'DB Country PMI'!$A:$AZ,MATCH($A$1,'DB Country PMI'!$A$1:$AZ$1,),)=0,#N/A,VLOOKUP(A45,'DB Country PMI'!$A:$AZ,MATCH($A$1,'DB Country PMI'!$A$1:$AZ$1,),))</f>
        <v/>
      </c>
      <c r="C45" s="24">
        <f>Table134681112141516171819[[#This Row],[PMI]]-B44</f>
        <v/>
      </c>
    </row>
    <row r="46">
      <c r="A46" s="10" t="n">
        <v>41671</v>
      </c>
      <c r="B46" s="18">
        <f>IF(VLOOKUP(A46,'DB Country PMI'!$A:$AZ,MATCH($A$1,'DB Country PMI'!$A$1:$AZ$1,),)=0,#N/A,VLOOKUP(A46,'DB Country PMI'!$A:$AZ,MATCH($A$1,'DB Country PMI'!$A$1:$AZ$1,),))</f>
        <v/>
      </c>
      <c r="C46" s="24">
        <f>Table134681112141516171819[[#This Row],[PMI]]-B45</f>
        <v/>
      </c>
    </row>
    <row r="47">
      <c r="A47" s="10" t="n">
        <v>41699</v>
      </c>
      <c r="B47" s="18">
        <f>IF(VLOOKUP(A47,'DB Country PMI'!$A:$AZ,MATCH($A$1,'DB Country PMI'!$A$1:$AZ$1,),)=0,#N/A,VLOOKUP(A47,'DB Country PMI'!$A:$AZ,MATCH($A$1,'DB Country PMI'!$A$1:$AZ$1,),))</f>
        <v/>
      </c>
      <c r="C47" s="24">
        <f>Table134681112141516171819[[#This Row],[PMI]]-B46</f>
        <v/>
      </c>
    </row>
    <row r="48">
      <c r="A48" s="10" t="n">
        <v>41730</v>
      </c>
      <c r="B48" s="18">
        <f>IF(VLOOKUP(A48,'DB Country PMI'!$A:$AZ,MATCH($A$1,'DB Country PMI'!$A$1:$AZ$1,),)=0,#N/A,VLOOKUP(A48,'DB Country PMI'!$A:$AZ,MATCH($A$1,'DB Country PMI'!$A$1:$AZ$1,),))</f>
        <v/>
      </c>
      <c r="C48" s="24">
        <f>Table134681112141516171819[[#This Row],[PMI]]-B47</f>
        <v/>
      </c>
    </row>
    <row r="49">
      <c r="A49" s="10" t="n">
        <v>41760</v>
      </c>
      <c r="B49" s="18">
        <f>IF(VLOOKUP(A49,'DB Country PMI'!$A:$AZ,MATCH($A$1,'DB Country PMI'!$A$1:$AZ$1,),)=0,#N/A,VLOOKUP(A49,'DB Country PMI'!$A:$AZ,MATCH($A$1,'DB Country PMI'!$A$1:$AZ$1,),))</f>
        <v/>
      </c>
      <c r="C49" s="24">
        <f>Table134681112141516171819[[#This Row],[PMI]]-B48</f>
        <v/>
      </c>
    </row>
    <row r="50">
      <c r="A50" s="10" t="n">
        <v>41791</v>
      </c>
      <c r="B50" s="18">
        <f>IF(VLOOKUP(A50,'DB Country PMI'!$A:$AZ,MATCH($A$1,'DB Country PMI'!$A$1:$AZ$1,),)=0,#N/A,VLOOKUP(A50,'DB Country PMI'!$A:$AZ,MATCH($A$1,'DB Country PMI'!$A$1:$AZ$1,),))</f>
        <v/>
      </c>
      <c r="C50" s="24">
        <f>Table134681112141516171819[[#This Row],[PMI]]-B49</f>
        <v/>
      </c>
    </row>
    <row r="51">
      <c r="A51" s="10" t="n">
        <v>41821</v>
      </c>
      <c r="B51" s="18">
        <f>IF(VLOOKUP(A51,'DB Country PMI'!$A:$AZ,MATCH($A$1,'DB Country PMI'!$A$1:$AZ$1,),)=0,#N/A,VLOOKUP(A51,'DB Country PMI'!$A:$AZ,MATCH($A$1,'DB Country PMI'!$A$1:$AZ$1,),))</f>
        <v/>
      </c>
      <c r="C51" s="24">
        <f>Table134681112141516171819[[#This Row],[PMI]]-B50</f>
        <v/>
      </c>
    </row>
    <row r="52">
      <c r="A52" s="10" t="n">
        <v>41852</v>
      </c>
      <c r="B52" s="18">
        <f>IF(VLOOKUP(A52,'DB Country PMI'!$A:$AZ,MATCH($A$1,'DB Country PMI'!$A$1:$AZ$1,),)=0,#N/A,VLOOKUP(A52,'DB Country PMI'!$A:$AZ,MATCH($A$1,'DB Country PMI'!$A$1:$AZ$1,),))</f>
        <v/>
      </c>
      <c r="C52" s="24">
        <f>Table134681112141516171819[[#This Row],[PMI]]-B51</f>
        <v/>
      </c>
    </row>
    <row r="53">
      <c r="A53" s="10" t="n">
        <v>41883</v>
      </c>
      <c r="B53" s="18">
        <f>IF(VLOOKUP(A53,'DB Country PMI'!$A:$AZ,MATCH($A$1,'DB Country PMI'!$A$1:$AZ$1,),)=0,#N/A,VLOOKUP(A53,'DB Country PMI'!$A:$AZ,MATCH($A$1,'DB Country PMI'!$A$1:$AZ$1,),))</f>
        <v/>
      </c>
      <c r="C53" s="24">
        <f>Table134681112141516171819[[#This Row],[PMI]]-B52</f>
        <v/>
      </c>
    </row>
    <row r="54">
      <c r="A54" s="10" t="n">
        <v>41913</v>
      </c>
      <c r="B54" s="18">
        <f>IF(VLOOKUP(A54,'DB Country PMI'!$A:$AZ,MATCH($A$1,'DB Country PMI'!$A$1:$AZ$1,),)=0,#N/A,VLOOKUP(A54,'DB Country PMI'!$A:$AZ,MATCH($A$1,'DB Country PMI'!$A$1:$AZ$1,),))</f>
        <v/>
      </c>
      <c r="C54" s="24">
        <f>Table134681112141516171819[[#This Row],[PMI]]-B53</f>
        <v/>
      </c>
    </row>
    <row r="55">
      <c r="A55" s="10" t="n">
        <v>41944</v>
      </c>
      <c r="B55" s="18">
        <f>IF(VLOOKUP(A55,'DB Country PMI'!$A:$AZ,MATCH($A$1,'DB Country PMI'!$A$1:$AZ$1,),)=0,#N/A,VLOOKUP(A55,'DB Country PMI'!$A:$AZ,MATCH($A$1,'DB Country PMI'!$A$1:$AZ$1,),))</f>
        <v/>
      </c>
      <c r="C55" s="24">
        <f>Table134681112141516171819[[#This Row],[PMI]]-B54</f>
        <v/>
      </c>
    </row>
    <row r="56">
      <c r="A56" s="10" t="n">
        <v>41974</v>
      </c>
      <c r="B56" s="18">
        <f>IF(VLOOKUP(A56,'DB Country PMI'!$A:$AZ,MATCH($A$1,'DB Country PMI'!$A$1:$AZ$1,),)=0,#N/A,VLOOKUP(A56,'DB Country PMI'!$A:$AZ,MATCH($A$1,'DB Country PMI'!$A$1:$AZ$1,),))</f>
        <v/>
      </c>
      <c r="C56" s="24">
        <f>Table134681112141516171819[[#This Row],[PMI]]-B55</f>
        <v/>
      </c>
    </row>
    <row r="57">
      <c r="A57" s="10" t="n">
        <v>42005</v>
      </c>
      <c r="B57" s="18">
        <f>IF(VLOOKUP(A57,'DB Country PMI'!$A:$AZ,MATCH($A$1,'DB Country PMI'!$A$1:$AZ$1,),)=0,#N/A,VLOOKUP(A57,'DB Country PMI'!$A:$AZ,MATCH($A$1,'DB Country PMI'!$A$1:$AZ$1,),))</f>
        <v/>
      </c>
      <c r="C57" s="24">
        <f>Table134681112141516171819[[#This Row],[PMI]]-B56</f>
        <v/>
      </c>
    </row>
    <row r="58">
      <c r="A58" s="10" t="n">
        <v>42036</v>
      </c>
      <c r="B58" s="18">
        <f>IF(VLOOKUP(A58,'DB Country PMI'!$A:$AZ,MATCH($A$1,'DB Country PMI'!$A$1:$AZ$1,),)=0,#N/A,VLOOKUP(A58,'DB Country PMI'!$A:$AZ,MATCH($A$1,'DB Country PMI'!$A$1:$AZ$1,),))</f>
        <v/>
      </c>
      <c r="C58" s="24">
        <f>Table134681112141516171819[[#This Row],[PMI]]-B57</f>
        <v/>
      </c>
    </row>
    <row r="59">
      <c r="A59" s="10" t="n">
        <v>42064</v>
      </c>
      <c r="B59" s="18">
        <f>IF(VLOOKUP(A59,'DB Country PMI'!$A:$AZ,MATCH($A$1,'DB Country PMI'!$A$1:$AZ$1,),)=0,#N/A,VLOOKUP(A59,'DB Country PMI'!$A:$AZ,MATCH($A$1,'DB Country PMI'!$A$1:$AZ$1,),))</f>
        <v/>
      </c>
      <c r="C59" s="24">
        <f>Table134681112141516171819[[#This Row],[PMI]]-B58</f>
        <v/>
      </c>
    </row>
    <row r="60">
      <c r="A60" s="10" t="n">
        <v>42095</v>
      </c>
      <c r="B60" s="18">
        <f>IF(VLOOKUP(A60,'DB Country PMI'!$A:$AZ,MATCH($A$1,'DB Country PMI'!$A$1:$AZ$1,),)=0,#N/A,VLOOKUP(A60,'DB Country PMI'!$A:$AZ,MATCH($A$1,'DB Country PMI'!$A$1:$AZ$1,),))</f>
        <v/>
      </c>
      <c r="C60" s="24">
        <f>Table134681112141516171819[[#This Row],[PMI]]-B59</f>
        <v/>
      </c>
    </row>
    <row r="61">
      <c r="A61" s="10" t="n">
        <v>42125</v>
      </c>
      <c r="B61" s="18">
        <f>IF(VLOOKUP(A61,'DB Country PMI'!$A:$AZ,MATCH($A$1,'DB Country PMI'!$A$1:$AZ$1,),)=0,#N/A,VLOOKUP(A61,'DB Country PMI'!$A:$AZ,MATCH($A$1,'DB Country PMI'!$A$1:$AZ$1,),))</f>
        <v/>
      </c>
      <c r="C61" s="24">
        <f>Table134681112141516171819[[#This Row],[PMI]]-B60</f>
        <v/>
      </c>
    </row>
    <row r="62">
      <c r="A62" s="10" t="n">
        <v>42156</v>
      </c>
      <c r="B62" s="18">
        <f>IF(VLOOKUP(A62,'DB Country PMI'!$A:$AZ,MATCH($A$1,'DB Country PMI'!$A$1:$AZ$1,),)=0,#N/A,VLOOKUP(A62,'DB Country PMI'!$A:$AZ,MATCH($A$1,'DB Country PMI'!$A$1:$AZ$1,),))</f>
        <v/>
      </c>
      <c r="C62" s="24">
        <f>Table134681112141516171819[[#This Row],[PMI]]-B61</f>
        <v/>
      </c>
    </row>
    <row r="63">
      <c r="A63" s="10" t="n">
        <v>42186</v>
      </c>
      <c r="B63" s="18">
        <f>IF(VLOOKUP(A63,'DB Country PMI'!$A:$AZ,MATCH($A$1,'DB Country PMI'!$A$1:$AZ$1,),)=0,#N/A,VLOOKUP(A63,'DB Country PMI'!$A:$AZ,MATCH($A$1,'DB Country PMI'!$A$1:$AZ$1,),))</f>
        <v/>
      </c>
      <c r="C63" s="24">
        <f>Table134681112141516171819[[#This Row],[PMI]]-B62</f>
        <v/>
      </c>
    </row>
    <row r="64">
      <c r="A64" s="10" t="n">
        <v>42217</v>
      </c>
      <c r="B64" s="18">
        <f>IF(VLOOKUP(A64,'DB Country PMI'!$A:$AZ,MATCH($A$1,'DB Country PMI'!$A$1:$AZ$1,),)=0,#N/A,VLOOKUP(A64,'DB Country PMI'!$A:$AZ,MATCH($A$1,'DB Country PMI'!$A$1:$AZ$1,),))</f>
        <v/>
      </c>
      <c r="C64" s="24">
        <f>Table134681112141516171819[[#This Row],[PMI]]-B63</f>
        <v/>
      </c>
    </row>
    <row r="65">
      <c r="A65" s="10" t="n">
        <v>42248</v>
      </c>
      <c r="B65" s="18">
        <f>IF(VLOOKUP(A65,'DB Country PMI'!$A:$AZ,MATCH($A$1,'DB Country PMI'!$A$1:$AZ$1,),)=0,#N/A,VLOOKUP(A65,'DB Country PMI'!$A:$AZ,MATCH($A$1,'DB Country PMI'!$A$1:$AZ$1,),))</f>
        <v/>
      </c>
      <c r="C65" s="24">
        <f>Table134681112141516171819[[#This Row],[PMI]]-B64</f>
        <v/>
      </c>
    </row>
    <row r="66">
      <c r="A66" s="10" t="n">
        <v>42278</v>
      </c>
      <c r="B66" s="18">
        <f>IF(VLOOKUP(A66,'DB Country PMI'!$A:$AZ,MATCH($A$1,'DB Country PMI'!$A$1:$AZ$1,),)=0,#N/A,VLOOKUP(A66,'DB Country PMI'!$A:$AZ,MATCH($A$1,'DB Country PMI'!$A$1:$AZ$1,),))</f>
        <v/>
      </c>
      <c r="C66" s="24">
        <f>Table134681112141516171819[[#This Row],[PMI]]-B65</f>
        <v/>
      </c>
    </row>
    <row r="67">
      <c r="A67" s="10" t="n">
        <v>42309</v>
      </c>
      <c r="B67" s="18">
        <f>IF(VLOOKUP(A67,'DB Country PMI'!$A:$AZ,MATCH($A$1,'DB Country PMI'!$A$1:$AZ$1,),)=0,#N/A,VLOOKUP(A67,'DB Country PMI'!$A:$AZ,MATCH($A$1,'DB Country PMI'!$A$1:$AZ$1,),))</f>
        <v/>
      </c>
      <c r="C67" s="24">
        <f>Table134681112141516171819[[#This Row],[PMI]]-B66</f>
        <v/>
      </c>
    </row>
    <row r="68">
      <c r="A68" s="10" t="n">
        <v>42339</v>
      </c>
      <c r="B68" s="18">
        <f>IF(VLOOKUP(A68,'DB Country PMI'!$A:$AZ,MATCH($A$1,'DB Country PMI'!$A$1:$AZ$1,),)=0,#N/A,VLOOKUP(A68,'DB Country PMI'!$A:$AZ,MATCH($A$1,'DB Country PMI'!$A$1:$AZ$1,),))</f>
        <v/>
      </c>
      <c r="C68" s="24">
        <f>Table134681112141516171819[[#This Row],[PMI]]-B67</f>
        <v/>
      </c>
    </row>
    <row r="69">
      <c r="A69" s="10" t="n">
        <v>42370</v>
      </c>
      <c r="B69" s="18">
        <f>IF(VLOOKUP(A69,'DB Country PMI'!$A:$AZ,MATCH($A$1,'DB Country PMI'!$A$1:$AZ$1,),)=0,#N/A,VLOOKUP(A69,'DB Country PMI'!$A:$AZ,MATCH($A$1,'DB Country PMI'!$A$1:$AZ$1,),))</f>
        <v/>
      </c>
      <c r="C69" s="24">
        <f>Table134681112141516171819[[#This Row],[PMI]]-B68</f>
        <v/>
      </c>
    </row>
    <row r="70">
      <c r="A70" s="10" t="n">
        <v>42401</v>
      </c>
      <c r="B70" s="18">
        <f>IF(VLOOKUP(A70,'DB Country PMI'!$A:$AZ,MATCH($A$1,'DB Country PMI'!$A$1:$AZ$1,),)=0,#N/A,VLOOKUP(A70,'DB Country PMI'!$A:$AZ,MATCH($A$1,'DB Country PMI'!$A$1:$AZ$1,),))</f>
        <v/>
      </c>
      <c r="C70" s="24">
        <f>Table134681112141516171819[[#This Row],[PMI]]-B69</f>
        <v/>
      </c>
    </row>
    <row r="71">
      <c r="A71" s="10" t="n">
        <v>42430</v>
      </c>
      <c r="B71" s="18">
        <f>IF(VLOOKUP(A71,'DB Country PMI'!$A:$AZ,MATCH($A$1,'DB Country PMI'!$A$1:$AZ$1,),)=0,#N/A,VLOOKUP(A71,'DB Country PMI'!$A:$AZ,MATCH($A$1,'DB Country PMI'!$A$1:$AZ$1,),))</f>
        <v/>
      </c>
      <c r="C71" s="24">
        <f>Table134681112141516171819[[#This Row],[PMI]]-B70</f>
        <v/>
      </c>
    </row>
    <row r="72">
      <c r="A72" s="10" t="n">
        <v>42461</v>
      </c>
      <c r="B72" s="18">
        <f>IF(VLOOKUP(A72,'DB Country PMI'!$A:$AZ,MATCH($A$1,'DB Country PMI'!$A$1:$AZ$1,),)=0,#N/A,VLOOKUP(A72,'DB Country PMI'!$A:$AZ,MATCH($A$1,'DB Country PMI'!$A$1:$AZ$1,),))</f>
        <v/>
      </c>
      <c r="C72" s="24">
        <f>Table134681112141516171819[[#This Row],[PMI]]-B71</f>
        <v/>
      </c>
    </row>
    <row r="73">
      <c r="A73" s="10" t="n">
        <v>42491</v>
      </c>
      <c r="B73" s="18">
        <f>IF(VLOOKUP(A73,'DB Country PMI'!$A:$AZ,MATCH($A$1,'DB Country PMI'!$A$1:$AZ$1,),)=0,#N/A,VLOOKUP(A73,'DB Country PMI'!$A:$AZ,MATCH($A$1,'DB Country PMI'!$A$1:$AZ$1,),))</f>
        <v/>
      </c>
      <c r="C73" s="24">
        <f>Table134681112141516171819[[#This Row],[PMI]]-B72</f>
        <v/>
      </c>
    </row>
    <row r="74">
      <c r="A74" s="10" t="n">
        <v>42522</v>
      </c>
      <c r="B74" s="18">
        <f>IF(VLOOKUP(A74,'DB Country PMI'!$A:$AZ,MATCH($A$1,'DB Country PMI'!$A$1:$AZ$1,),)=0,#N/A,VLOOKUP(A74,'DB Country PMI'!$A:$AZ,MATCH($A$1,'DB Country PMI'!$A$1:$AZ$1,),))</f>
        <v/>
      </c>
      <c r="C74" s="24">
        <f>Table134681112141516171819[[#This Row],[PMI]]-B73</f>
        <v/>
      </c>
    </row>
    <row r="75">
      <c r="A75" s="10" t="n">
        <v>42552</v>
      </c>
      <c r="B75" s="18">
        <f>IF(VLOOKUP(A75,'DB Country PMI'!$A:$AZ,MATCH($A$1,'DB Country PMI'!$A$1:$AZ$1,),)=0,#N/A,VLOOKUP(A75,'DB Country PMI'!$A:$AZ,MATCH($A$1,'DB Country PMI'!$A$1:$AZ$1,),))</f>
        <v/>
      </c>
      <c r="C75" s="24">
        <f>Table134681112141516171819[[#This Row],[PMI]]-B74</f>
        <v/>
      </c>
    </row>
    <row r="76">
      <c r="A76" s="10" t="n">
        <v>42583</v>
      </c>
      <c r="B76" s="18">
        <f>IF(VLOOKUP(A76,'DB Country PMI'!$A:$AZ,MATCH($A$1,'DB Country PMI'!$A$1:$AZ$1,),)=0,#N/A,VLOOKUP(A76,'DB Country PMI'!$A:$AZ,MATCH($A$1,'DB Country PMI'!$A$1:$AZ$1,),))</f>
        <v/>
      </c>
      <c r="C76" s="24">
        <f>Table134681112141516171819[[#This Row],[PMI]]-B75</f>
        <v/>
      </c>
    </row>
    <row r="77">
      <c r="A77" s="10" t="n">
        <v>42614</v>
      </c>
      <c r="B77" s="18">
        <f>IF(VLOOKUP(A77,'DB Country PMI'!$A:$AZ,MATCH($A$1,'DB Country PMI'!$A$1:$AZ$1,),)=0,#N/A,VLOOKUP(A77,'DB Country PMI'!$A:$AZ,MATCH($A$1,'DB Country PMI'!$A$1:$AZ$1,),))</f>
        <v/>
      </c>
      <c r="C77" s="24">
        <f>Table134681112141516171819[[#This Row],[PMI]]-B76</f>
        <v/>
      </c>
    </row>
    <row r="78">
      <c r="A78" s="10" t="n">
        <v>42644</v>
      </c>
      <c r="B78" s="18">
        <f>IF(VLOOKUP(A78,'DB Country PMI'!$A:$AZ,MATCH($A$1,'DB Country PMI'!$A$1:$AZ$1,),)=0,#N/A,VLOOKUP(A78,'DB Country PMI'!$A:$AZ,MATCH($A$1,'DB Country PMI'!$A$1:$AZ$1,),))</f>
        <v/>
      </c>
      <c r="C78" s="24">
        <f>Table134681112141516171819[[#This Row],[PMI]]-B77</f>
        <v/>
      </c>
    </row>
    <row r="79">
      <c r="A79" s="10" t="n">
        <v>42675</v>
      </c>
      <c r="B79" s="18">
        <f>IF(VLOOKUP(A79,'DB Country PMI'!$A:$AZ,MATCH($A$1,'DB Country PMI'!$A$1:$AZ$1,),)=0,#N/A,VLOOKUP(A79,'DB Country PMI'!$A:$AZ,MATCH($A$1,'DB Country PMI'!$A$1:$AZ$1,),))</f>
        <v/>
      </c>
      <c r="C79" s="24">
        <f>Table134681112141516171819[[#This Row],[PMI]]-B78</f>
        <v/>
      </c>
    </row>
    <row r="80">
      <c r="A80" s="10" t="n">
        <v>42705</v>
      </c>
      <c r="B80" s="18">
        <f>IF(VLOOKUP(A80,'DB Country PMI'!$A:$AZ,MATCH($A$1,'DB Country PMI'!$A$1:$AZ$1,),)=0,#N/A,VLOOKUP(A80,'DB Country PMI'!$A:$AZ,MATCH($A$1,'DB Country PMI'!$A$1:$AZ$1,),))</f>
        <v/>
      </c>
      <c r="C80" s="24">
        <f>Table134681112141516171819[[#This Row],[PMI]]-B79</f>
        <v/>
      </c>
    </row>
    <row r="81">
      <c r="A81" s="10" t="n">
        <v>42736</v>
      </c>
      <c r="B81" s="18">
        <f>IF(VLOOKUP(A81,'DB Country PMI'!$A:$AZ,MATCH($A$1,'DB Country PMI'!$A$1:$AZ$1,),)=0,#N/A,VLOOKUP(A81,'DB Country PMI'!$A:$AZ,MATCH($A$1,'DB Country PMI'!$A$1:$AZ$1,),))</f>
        <v/>
      </c>
      <c r="C81" s="24">
        <f>Table134681112141516171819[[#This Row],[PMI]]-B80</f>
        <v/>
      </c>
    </row>
    <row r="82">
      <c r="A82" s="10" t="n">
        <v>42767</v>
      </c>
      <c r="B82" s="18">
        <f>IF(VLOOKUP(A82,'DB Country PMI'!$A:$AZ,MATCH($A$1,'DB Country PMI'!$A$1:$AZ$1,),)=0,#N/A,VLOOKUP(A82,'DB Country PMI'!$A:$AZ,MATCH($A$1,'DB Country PMI'!$A$1:$AZ$1,),))</f>
        <v/>
      </c>
      <c r="C82" s="24">
        <f>Table134681112141516171819[[#This Row],[PMI]]-B81</f>
        <v/>
      </c>
    </row>
    <row r="83">
      <c r="A83" s="10" t="n">
        <v>42795</v>
      </c>
      <c r="B83" s="18">
        <f>IF(VLOOKUP(A83,'DB Country PMI'!$A:$AZ,MATCH($A$1,'DB Country PMI'!$A$1:$AZ$1,),)=0,#N/A,VLOOKUP(A83,'DB Country PMI'!$A:$AZ,MATCH($A$1,'DB Country PMI'!$A$1:$AZ$1,),))</f>
        <v/>
      </c>
      <c r="C83" s="24">
        <f>Table134681112141516171819[[#This Row],[PMI]]-B82</f>
        <v/>
      </c>
    </row>
    <row r="84">
      <c r="A84" s="10" t="n">
        <v>42826</v>
      </c>
      <c r="B84" s="18">
        <f>IF(VLOOKUP(A84,'DB Country PMI'!$A:$AZ,MATCH($A$1,'DB Country PMI'!$A$1:$AZ$1,),)=0,#N/A,VLOOKUP(A84,'DB Country PMI'!$A:$AZ,MATCH($A$1,'DB Country PMI'!$A$1:$AZ$1,),))</f>
        <v/>
      </c>
      <c r="C84" s="24">
        <f>Table134681112141516171819[[#This Row],[PMI]]-B83</f>
        <v/>
      </c>
    </row>
    <row r="85">
      <c r="A85" s="10" t="n">
        <v>42856</v>
      </c>
      <c r="B85" s="18">
        <f>IF(VLOOKUP(A85,'DB Country PMI'!$A:$AZ,MATCH($A$1,'DB Country PMI'!$A$1:$AZ$1,),)=0,#N/A,VLOOKUP(A85,'DB Country PMI'!$A:$AZ,MATCH($A$1,'DB Country PMI'!$A$1:$AZ$1,),))</f>
        <v/>
      </c>
      <c r="C85" s="24">
        <f>Table134681112141516171819[[#This Row],[PMI]]-B84</f>
        <v/>
      </c>
    </row>
    <row r="86">
      <c r="A86" s="10" t="n">
        <v>42887</v>
      </c>
      <c r="B86" s="18">
        <f>IF(VLOOKUP(A86,'DB Country PMI'!$A:$AZ,MATCH($A$1,'DB Country PMI'!$A$1:$AZ$1,),)=0,#N/A,VLOOKUP(A86,'DB Country PMI'!$A:$AZ,MATCH($A$1,'DB Country PMI'!$A$1:$AZ$1,),))</f>
        <v/>
      </c>
      <c r="C86" s="24">
        <f>Table134681112141516171819[[#This Row],[PMI]]-B85</f>
        <v/>
      </c>
    </row>
    <row r="87">
      <c r="A87" s="10" t="n">
        <v>42917</v>
      </c>
      <c r="B87" s="18">
        <f>IF(VLOOKUP(A87,'DB Country PMI'!$A:$AZ,MATCH($A$1,'DB Country PMI'!$A$1:$AZ$1,),)=0,#N/A,VLOOKUP(A87,'DB Country PMI'!$A:$AZ,MATCH($A$1,'DB Country PMI'!$A$1:$AZ$1,),))</f>
        <v/>
      </c>
      <c r="C87" s="24">
        <f>Table134681112141516171819[[#This Row],[PMI]]-B86</f>
        <v/>
      </c>
    </row>
    <row r="88">
      <c r="A88" s="10" t="n">
        <v>42948</v>
      </c>
      <c r="B88" s="18">
        <f>IF(VLOOKUP(A88,'DB Country PMI'!$A:$AZ,MATCH($A$1,'DB Country PMI'!$A$1:$AZ$1,),)=0,#N/A,VLOOKUP(A88,'DB Country PMI'!$A:$AZ,MATCH($A$1,'DB Country PMI'!$A$1:$AZ$1,),))</f>
        <v/>
      </c>
      <c r="C88" s="24">
        <f>Table134681112141516171819[[#This Row],[PMI]]-B87</f>
        <v/>
      </c>
    </row>
    <row r="89">
      <c r="A89" s="10" t="n">
        <v>42979</v>
      </c>
      <c r="B89" s="18">
        <f>IF(VLOOKUP(A89,'DB Country PMI'!$A:$AZ,MATCH($A$1,'DB Country PMI'!$A$1:$AZ$1,),)=0,#N/A,VLOOKUP(A89,'DB Country PMI'!$A:$AZ,MATCH($A$1,'DB Country PMI'!$A$1:$AZ$1,),))</f>
        <v/>
      </c>
      <c r="C89" s="24">
        <f>Table134681112141516171819[[#This Row],[PMI]]-B88</f>
        <v/>
      </c>
    </row>
    <row r="90">
      <c r="A90" s="10" t="n">
        <v>43009</v>
      </c>
      <c r="B90" s="18">
        <f>IF(VLOOKUP(A90,'DB Country PMI'!$A:$AZ,MATCH($A$1,'DB Country PMI'!$A$1:$AZ$1,),)=0,#N/A,VLOOKUP(A90,'DB Country PMI'!$A:$AZ,MATCH($A$1,'DB Country PMI'!$A$1:$AZ$1,),))</f>
        <v/>
      </c>
      <c r="C90" s="24">
        <f>Table134681112141516171819[[#This Row],[PMI]]-B89</f>
        <v/>
      </c>
    </row>
    <row r="91">
      <c r="A91" s="10" t="n">
        <v>43040</v>
      </c>
      <c r="B91" s="18">
        <f>IF(VLOOKUP(A91,'DB Country PMI'!$A:$AZ,MATCH($A$1,'DB Country PMI'!$A$1:$AZ$1,),)=0,#N/A,VLOOKUP(A91,'DB Country PMI'!$A:$AZ,MATCH($A$1,'DB Country PMI'!$A$1:$AZ$1,),))</f>
        <v/>
      </c>
      <c r="C91" s="24">
        <f>Table134681112141516171819[[#This Row],[PMI]]-B90</f>
        <v/>
      </c>
    </row>
    <row r="92">
      <c r="A92" s="10" t="n">
        <v>43070</v>
      </c>
      <c r="B92" s="18">
        <f>IF(VLOOKUP(A92,'DB Country PMI'!$A:$AZ,MATCH($A$1,'DB Country PMI'!$A$1:$AZ$1,),)=0,#N/A,VLOOKUP(A92,'DB Country PMI'!$A:$AZ,MATCH($A$1,'DB Country PMI'!$A$1:$AZ$1,),))</f>
        <v/>
      </c>
      <c r="C92" s="24">
        <f>Table134681112141516171819[[#This Row],[PMI]]-B91</f>
        <v/>
      </c>
    </row>
    <row r="93">
      <c r="A93" s="10" t="n">
        <v>43101</v>
      </c>
      <c r="B93" s="18">
        <f>IF(VLOOKUP(A93,'DB Country PMI'!$A:$AZ,MATCH($A$1,'DB Country PMI'!$A$1:$AZ$1,),)=0,#N/A,VLOOKUP(A93,'DB Country PMI'!$A:$AZ,MATCH($A$1,'DB Country PMI'!$A$1:$AZ$1,),))</f>
        <v/>
      </c>
      <c r="C93" s="24">
        <f>Table134681112141516171819[[#This Row],[PMI]]-B92</f>
        <v/>
      </c>
    </row>
    <row r="94">
      <c r="A94" s="10" t="n">
        <v>43132</v>
      </c>
      <c r="B94" s="18">
        <f>IF(VLOOKUP(A94,'DB Country PMI'!$A:$AZ,MATCH($A$1,'DB Country PMI'!$A$1:$AZ$1,),)=0,#N/A,VLOOKUP(A94,'DB Country PMI'!$A:$AZ,MATCH($A$1,'DB Country PMI'!$A$1:$AZ$1,),))</f>
        <v/>
      </c>
      <c r="C94" s="24">
        <f>Table134681112141516171819[[#This Row],[PMI]]-B93</f>
        <v/>
      </c>
    </row>
    <row r="95">
      <c r="A95" s="10" t="n">
        <v>43160</v>
      </c>
      <c r="B95" s="18">
        <f>IF(VLOOKUP(A95,'DB Country PMI'!$A:$AZ,MATCH($A$1,'DB Country PMI'!$A$1:$AZ$1,),)=0,#N/A,VLOOKUP(A95,'DB Country PMI'!$A:$AZ,MATCH($A$1,'DB Country PMI'!$A$1:$AZ$1,),))</f>
        <v/>
      </c>
      <c r="C95" s="24">
        <f>Table134681112141516171819[[#This Row],[PMI]]-B94</f>
        <v/>
      </c>
    </row>
    <row r="96">
      <c r="A96" s="10" t="n">
        <v>43191</v>
      </c>
      <c r="B96" s="18">
        <f>IF(VLOOKUP(A96,'DB Country PMI'!$A:$AZ,MATCH($A$1,'DB Country PMI'!$A$1:$AZ$1,),)=0,#N/A,VLOOKUP(A96,'DB Country PMI'!$A:$AZ,MATCH($A$1,'DB Country PMI'!$A$1:$AZ$1,),))</f>
        <v/>
      </c>
      <c r="C96" s="24">
        <f>Table134681112141516171819[[#This Row],[PMI]]-B95</f>
        <v/>
      </c>
    </row>
    <row r="97">
      <c r="A97" s="10" t="n">
        <v>43221</v>
      </c>
      <c r="B97" s="18">
        <f>IF(VLOOKUP(A97,'DB Country PMI'!$A:$AZ,MATCH($A$1,'DB Country PMI'!$A$1:$AZ$1,),)=0,#N/A,VLOOKUP(A97,'DB Country PMI'!$A:$AZ,MATCH($A$1,'DB Country PMI'!$A$1:$AZ$1,),))</f>
        <v/>
      </c>
      <c r="C97" s="24">
        <f>Table134681112141516171819[[#This Row],[PMI]]-B96</f>
        <v/>
      </c>
    </row>
    <row r="98">
      <c r="A98" s="10" t="n">
        <v>43252</v>
      </c>
      <c r="B98" s="18">
        <f>IF(VLOOKUP(A98,'DB Country PMI'!$A:$AZ,MATCH($A$1,'DB Country PMI'!$A$1:$AZ$1,),)=0,#N/A,VLOOKUP(A98,'DB Country PMI'!$A:$AZ,MATCH($A$1,'DB Country PMI'!$A$1:$AZ$1,),))</f>
        <v/>
      </c>
      <c r="C98" s="24">
        <f>Table134681112141516171819[[#This Row],[PMI]]-B97</f>
        <v/>
      </c>
    </row>
    <row r="99">
      <c r="A99" s="10" t="n">
        <v>43282</v>
      </c>
      <c r="B99" s="18">
        <f>IF(VLOOKUP(A99,'DB Country PMI'!$A:$AZ,MATCH($A$1,'DB Country PMI'!$A$1:$AZ$1,),)=0,#N/A,VLOOKUP(A99,'DB Country PMI'!$A:$AZ,MATCH($A$1,'DB Country PMI'!$A$1:$AZ$1,),))</f>
        <v/>
      </c>
      <c r="C99" s="24">
        <f>Table134681112141516171819[[#This Row],[PMI]]-B98</f>
        <v/>
      </c>
    </row>
    <row r="100">
      <c r="A100" s="10" t="n">
        <v>43313</v>
      </c>
      <c r="B100" s="18">
        <f>IF(VLOOKUP(A100,'DB Country PMI'!$A:$AZ,MATCH($A$1,'DB Country PMI'!$A$1:$AZ$1,),)=0,#N/A,VLOOKUP(A100,'DB Country PMI'!$A:$AZ,MATCH($A$1,'DB Country PMI'!$A$1:$AZ$1,),))</f>
        <v/>
      </c>
      <c r="C100" s="24">
        <f>Table134681112141516171819[[#This Row],[PMI]]-B99</f>
        <v/>
      </c>
    </row>
    <row r="101">
      <c r="A101" s="10" t="n">
        <v>43344</v>
      </c>
      <c r="B101" s="18">
        <f>IF(VLOOKUP(A101,'DB Country PMI'!$A:$AZ,MATCH($A$1,'DB Country PMI'!$A$1:$AZ$1,),)=0,#N/A,VLOOKUP(A101,'DB Country PMI'!$A:$AZ,MATCH($A$1,'DB Country PMI'!$A$1:$AZ$1,),))</f>
        <v/>
      </c>
      <c r="C101" s="24">
        <f>Table134681112141516171819[[#This Row],[PMI]]-B100</f>
        <v/>
      </c>
    </row>
    <row r="102">
      <c r="A102" s="10" t="n">
        <v>43374</v>
      </c>
      <c r="B102" s="18">
        <f>IF(VLOOKUP(A102,'DB Country PMI'!$A:$AZ,MATCH($A$1,'DB Country PMI'!$A$1:$AZ$1,),)=0,#N/A,VLOOKUP(A102,'DB Country PMI'!$A:$AZ,MATCH($A$1,'DB Country PMI'!$A$1:$AZ$1,),))</f>
        <v/>
      </c>
      <c r="C102" s="24">
        <f>Table134681112141516171819[[#This Row],[PMI]]-B101</f>
        <v/>
      </c>
    </row>
    <row r="103">
      <c r="A103" s="10" t="n">
        <v>43405</v>
      </c>
      <c r="B103" s="18">
        <f>IF(VLOOKUP(A103,'DB Country PMI'!$A:$AZ,MATCH($A$1,'DB Country PMI'!$A$1:$AZ$1,),)=0,#N/A,VLOOKUP(A103,'DB Country PMI'!$A:$AZ,MATCH($A$1,'DB Country PMI'!$A$1:$AZ$1,),))</f>
        <v/>
      </c>
      <c r="C103" s="24">
        <f>Table134681112141516171819[[#This Row],[PMI]]-B102</f>
        <v/>
      </c>
    </row>
    <row r="104">
      <c r="A104" s="10" t="n">
        <v>43435</v>
      </c>
      <c r="B104" s="18">
        <f>IF(VLOOKUP(A104,'DB Country PMI'!$A:$AZ,MATCH($A$1,'DB Country PMI'!$A$1:$AZ$1,),)=0,#N/A,VLOOKUP(A104,'DB Country PMI'!$A:$AZ,MATCH($A$1,'DB Country PMI'!$A$1:$AZ$1,),))</f>
        <v/>
      </c>
      <c r="C104" s="24">
        <f>Table134681112141516171819[[#This Row],[PMI]]-B103</f>
        <v/>
      </c>
    </row>
    <row r="105">
      <c r="A105" s="10" t="n">
        <v>43466</v>
      </c>
      <c r="B105" s="18">
        <f>IF(VLOOKUP(A105,'DB Country PMI'!$A:$AZ,MATCH($A$1,'DB Country PMI'!$A$1:$AZ$1,),)=0,#N/A,VLOOKUP(A105,'DB Country PMI'!$A:$AZ,MATCH($A$1,'DB Country PMI'!$A$1:$AZ$1,),))</f>
        <v/>
      </c>
      <c r="C105" s="24">
        <f>Table134681112141516171819[[#This Row],[PMI]]-B104</f>
        <v/>
      </c>
    </row>
    <row r="106">
      <c r="A106" s="10" t="n">
        <v>43497</v>
      </c>
      <c r="B106" s="18">
        <f>IF(VLOOKUP(A106,'DB Country PMI'!$A:$AZ,MATCH($A$1,'DB Country PMI'!$A$1:$AZ$1,),)=0,#N/A,VLOOKUP(A106,'DB Country PMI'!$A:$AZ,MATCH($A$1,'DB Country PMI'!$A$1:$AZ$1,),))</f>
        <v/>
      </c>
      <c r="C106" s="24">
        <f>Table134681112141516171819[[#This Row],[PMI]]-B105</f>
        <v/>
      </c>
    </row>
    <row r="107">
      <c r="A107" s="10" t="n">
        <v>43525</v>
      </c>
      <c r="B107" s="18">
        <f>IF(VLOOKUP(A107,'DB Country PMI'!$A:$AZ,MATCH($A$1,'DB Country PMI'!$A$1:$AZ$1,),)=0,#N/A,VLOOKUP(A107,'DB Country PMI'!$A:$AZ,MATCH($A$1,'DB Country PMI'!$A$1:$AZ$1,),))</f>
        <v/>
      </c>
      <c r="C107" s="24">
        <f>Table134681112141516171819[[#This Row],[PMI]]-B106</f>
        <v/>
      </c>
    </row>
    <row r="108">
      <c r="A108" s="10" t="n">
        <v>43556</v>
      </c>
      <c r="B108" s="18">
        <f>IF(VLOOKUP(A108,'DB Country PMI'!$A:$AZ,MATCH($A$1,'DB Country PMI'!$A$1:$AZ$1,),)=0,#N/A,VLOOKUP(A108,'DB Country PMI'!$A:$AZ,MATCH($A$1,'DB Country PMI'!$A$1:$AZ$1,),))</f>
        <v/>
      </c>
      <c r="C108" s="24">
        <f>Table134681112141516171819[[#This Row],[PMI]]-B107</f>
        <v/>
      </c>
    </row>
    <row r="109">
      <c r="A109" s="10" t="n">
        <v>43586</v>
      </c>
      <c r="B109" s="18">
        <f>IF(VLOOKUP(A109,'DB Country PMI'!$A:$AZ,MATCH($A$1,'DB Country PMI'!$A$1:$AZ$1,),)=0,#N/A,VLOOKUP(A109,'DB Country PMI'!$A:$AZ,MATCH($A$1,'DB Country PMI'!$A$1:$AZ$1,),))</f>
        <v/>
      </c>
      <c r="C109" s="24">
        <f>Table134681112141516171819[[#This Row],[PMI]]-B108</f>
        <v/>
      </c>
    </row>
    <row r="110">
      <c r="A110" s="10" t="n">
        <v>43617</v>
      </c>
      <c r="B110" s="18">
        <f>IF(VLOOKUP(A110,'DB Country PMI'!$A:$AZ,MATCH($A$1,'DB Country PMI'!$A$1:$AZ$1,),)=0,#N/A,VLOOKUP(A110,'DB Country PMI'!$A:$AZ,MATCH($A$1,'DB Country PMI'!$A$1:$AZ$1,),))</f>
        <v/>
      </c>
      <c r="C110" s="24">
        <f>Table134681112141516171819[[#This Row],[PMI]]-B109</f>
        <v/>
      </c>
    </row>
    <row r="111">
      <c r="A111" s="10" t="n">
        <v>43647</v>
      </c>
      <c r="B111" s="18">
        <f>IF(VLOOKUP(A111,'DB Country PMI'!$A:$AZ,MATCH($A$1,'DB Country PMI'!$A$1:$AZ$1,),)=0,#N/A,VLOOKUP(A111,'DB Country PMI'!$A:$AZ,MATCH($A$1,'DB Country PMI'!$A$1:$AZ$1,),))</f>
        <v/>
      </c>
      <c r="C111" s="24">
        <f>Table134681112141516171819[[#This Row],[PMI]]-B110</f>
        <v/>
      </c>
    </row>
    <row r="112">
      <c r="A112" s="10" t="n">
        <v>43678</v>
      </c>
      <c r="B112" s="18">
        <f>IF(VLOOKUP(A112,'DB Country PMI'!$A:$AZ,MATCH($A$1,'DB Country PMI'!$A$1:$AZ$1,),)=0,#N/A,VLOOKUP(A112,'DB Country PMI'!$A:$AZ,MATCH($A$1,'DB Country PMI'!$A$1:$AZ$1,),))</f>
        <v/>
      </c>
      <c r="C112" s="24">
        <f>Table134681112141516171819[[#This Row],[PMI]]-B111</f>
        <v/>
      </c>
    </row>
    <row r="113">
      <c r="A113" s="10" t="n">
        <v>43709</v>
      </c>
      <c r="B113" s="18">
        <f>IF(VLOOKUP(A113,'DB Country PMI'!$A:$AZ,MATCH($A$1,'DB Country PMI'!$A$1:$AZ$1,),)=0,#N/A,VLOOKUP(A113,'DB Country PMI'!$A:$AZ,MATCH($A$1,'DB Country PMI'!$A$1:$AZ$1,),))</f>
        <v/>
      </c>
      <c r="C113" s="24">
        <f>Table134681112141516171819[[#This Row],[PMI]]-B112</f>
        <v/>
      </c>
    </row>
    <row r="114">
      <c r="A114" s="10" t="n">
        <v>43739</v>
      </c>
      <c r="B114" s="18">
        <f>IF(VLOOKUP(A114,'DB Country PMI'!$A:$AZ,MATCH($A$1,'DB Country PMI'!$A$1:$AZ$1,),)=0,#N/A,VLOOKUP(A114,'DB Country PMI'!$A:$AZ,MATCH($A$1,'DB Country PMI'!$A$1:$AZ$1,),))</f>
        <v/>
      </c>
      <c r="C114" s="24">
        <f>Table134681112141516171819[[#This Row],[PMI]]-B113</f>
        <v/>
      </c>
    </row>
    <row r="115">
      <c r="A115" s="10" t="n">
        <v>43770</v>
      </c>
      <c r="B115" s="18">
        <f>IF(VLOOKUP(A115,'DB Country PMI'!$A:$AZ,MATCH($A$1,'DB Country PMI'!$A$1:$AZ$1,),)=0,#N/A,VLOOKUP(A115,'DB Country PMI'!$A:$AZ,MATCH($A$1,'DB Country PMI'!$A$1:$AZ$1,),))</f>
        <v/>
      </c>
      <c r="C115" s="24">
        <f>Table134681112141516171819[[#This Row],[PMI]]-B114</f>
        <v/>
      </c>
    </row>
    <row r="116">
      <c r="A116" s="10" t="n">
        <v>43800</v>
      </c>
      <c r="B116" s="18">
        <f>IF(VLOOKUP(A116,'DB Country PMI'!$A:$AZ,MATCH($A$1,'DB Country PMI'!$A$1:$AZ$1,),)=0,#N/A,VLOOKUP(A116,'DB Country PMI'!$A:$AZ,MATCH($A$1,'DB Country PMI'!$A$1:$AZ$1,),))</f>
        <v/>
      </c>
      <c r="C116" s="24">
        <f>Table134681112141516171819[[#This Row],[PMI]]-B115</f>
        <v/>
      </c>
    </row>
    <row r="117">
      <c r="A117" s="10" t="n">
        <v>43831</v>
      </c>
      <c r="B117" s="18">
        <f>IF(VLOOKUP(A117,'DB Country PMI'!$A:$AZ,MATCH($A$1,'DB Country PMI'!$A$1:$AZ$1,),)=0,#N/A,VLOOKUP(A117,'DB Country PMI'!$A:$AZ,MATCH($A$1,'DB Country PMI'!$A$1:$AZ$1,),))</f>
        <v/>
      </c>
      <c r="C117" s="24">
        <f>Table134681112141516171819[[#This Row],[PMI]]-B116</f>
        <v/>
      </c>
    </row>
    <row r="118">
      <c r="A118" s="10" t="n">
        <v>43862</v>
      </c>
      <c r="B118" s="18">
        <f>IF(VLOOKUP(A118,'DB Country PMI'!$A:$AZ,MATCH($A$1,'DB Country PMI'!$A$1:$AZ$1,),)=0,#N/A,VLOOKUP(A118,'DB Country PMI'!$A:$AZ,MATCH($A$1,'DB Country PMI'!$A$1:$AZ$1,),))</f>
        <v/>
      </c>
      <c r="C118" s="24">
        <f>Table134681112141516171819[[#This Row],[PMI]]-B117</f>
        <v/>
      </c>
    </row>
    <row r="119">
      <c r="A119" s="10" t="n">
        <v>43891</v>
      </c>
      <c r="B119" s="18">
        <f>IF(VLOOKUP(A119,'DB Country PMI'!$A:$AZ,MATCH($A$1,'DB Country PMI'!$A$1:$AZ$1,),)=0,#N/A,VLOOKUP(A119,'DB Country PMI'!$A:$AZ,MATCH($A$1,'DB Country PMI'!$A$1:$AZ$1,),))</f>
        <v/>
      </c>
      <c r="C119" s="24">
        <f>Table134681112141516171819[[#This Row],[PMI]]-B118</f>
        <v/>
      </c>
    </row>
    <row r="120">
      <c r="A120" s="10" t="n">
        <v>43922</v>
      </c>
      <c r="B120" s="18">
        <f>IF(VLOOKUP(A120,'DB Country PMI'!$A:$AZ,MATCH($A$1,'DB Country PMI'!$A$1:$AZ$1,),)=0,#N/A,VLOOKUP(A120,'DB Country PMI'!$A:$AZ,MATCH($A$1,'DB Country PMI'!$A$1:$AZ$1,),))</f>
        <v/>
      </c>
      <c r="C120" s="24">
        <f>Table134681112141516171819[[#This Row],[PMI]]-B119</f>
        <v/>
      </c>
    </row>
    <row r="121">
      <c r="A121" s="10" t="n">
        <v>43952</v>
      </c>
      <c r="B121" s="18">
        <f>IF(VLOOKUP(A121,'DB Country PMI'!$A:$AZ,MATCH($A$1,'DB Country PMI'!$A$1:$AZ$1,),)=0,#N/A,VLOOKUP(A121,'DB Country PMI'!$A:$AZ,MATCH($A$1,'DB Country PMI'!$A$1:$AZ$1,),))</f>
        <v/>
      </c>
      <c r="C121" s="24">
        <f>Table134681112141516171819[[#This Row],[PMI]]-B120</f>
        <v/>
      </c>
    </row>
    <row r="122">
      <c r="A122" s="10" t="n">
        <v>43983</v>
      </c>
      <c r="B122" s="18">
        <f>IF(VLOOKUP(A122,'DB Country PMI'!$A:$AZ,MATCH($A$1,'DB Country PMI'!$A$1:$AZ$1,),)=0,#N/A,VLOOKUP(A122,'DB Country PMI'!$A:$AZ,MATCH($A$1,'DB Country PMI'!$A$1:$AZ$1,),))</f>
        <v/>
      </c>
      <c r="C122" s="24">
        <f>Table134681112141516171819[[#This Row],[PMI]]-B121</f>
        <v/>
      </c>
    </row>
    <row r="123">
      <c r="A123" s="10" t="n">
        <v>44013</v>
      </c>
      <c r="B123" s="18">
        <f>IF(VLOOKUP(A123,'DB Country PMI'!$A:$AZ,MATCH($A$1,'DB Country PMI'!$A$1:$AZ$1,),)=0,#N/A,VLOOKUP(A123,'DB Country PMI'!$A:$AZ,MATCH($A$1,'DB Country PMI'!$A$1:$AZ$1,),))</f>
        <v/>
      </c>
      <c r="C123" s="24">
        <f>Table134681112141516171819[[#This Row],[PMI]]-B122</f>
        <v/>
      </c>
    </row>
    <row r="124">
      <c r="A124" s="10" t="n">
        <v>44044</v>
      </c>
      <c r="B124" s="18">
        <f>IF(VLOOKUP(A124,'DB Country PMI'!$A:$AZ,MATCH($A$1,'DB Country PMI'!$A$1:$AZ$1,),)=0,#N/A,VLOOKUP(A124,'DB Country PMI'!$A:$AZ,MATCH($A$1,'DB Country PMI'!$A$1:$AZ$1,),))</f>
        <v/>
      </c>
      <c r="C124" s="24">
        <f>Table134681112141516171819[[#This Row],[PMI]]-B123</f>
        <v/>
      </c>
    </row>
    <row r="125">
      <c r="A125" s="10" t="n">
        <v>44075</v>
      </c>
      <c r="B125" s="18">
        <f>IF(VLOOKUP(A125,'DB Country PMI'!$A:$AZ,MATCH($A$1,'DB Country PMI'!$A$1:$AZ$1,),)=0,#N/A,VLOOKUP(A125,'DB Country PMI'!$A:$AZ,MATCH($A$1,'DB Country PMI'!$A$1:$AZ$1,),))</f>
        <v/>
      </c>
      <c r="C125" s="24">
        <f>Table134681112141516171819[[#This Row],[PMI]]-B124</f>
        <v/>
      </c>
    </row>
    <row r="126">
      <c r="A126" s="10" t="n">
        <v>44105</v>
      </c>
      <c r="B126" s="18">
        <f>IF(VLOOKUP(A126,'DB Country PMI'!$A:$AZ,MATCH($A$1,'DB Country PMI'!$A$1:$AZ$1,),)=0,#N/A,VLOOKUP(A126,'DB Country PMI'!$A:$AZ,MATCH($A$1,'DB Country PMI'!$A$1:$AZ$1,),))</f>
        <v/>
      </c>
      <c r="C126" s="24">
        <f>Table134681112141516171819[[#This Row],[PMI]]-B125</f>
        <v/>
      </c>
    </row>
    <row r="127">
      <c r="A127" s="10" t="n">
        <v>44136</v>
      </c>
      <c r="B127" s="18">
        <f>IF(VLOOKUP(A127,'DB Country PMI'!$A:$AZ,MATCH($A$1,'DB Country PMI'!$A$1:$AZ$1,),)=0,#N/A,VLOOKUP(A127,'DB Country PMI'!$A:$AZ,MATCH($A$1,'DB Country PMI'!$A$1:$AZ$1,),))</f>
        <v/>
      </c>
      <c r="C127" s="24">
        <f>Table134681112141516171819[[#This Row],[PMI]]-B126</f>
        <v/>
      </c>
    </row>
    <row r="128">
      <c r="A128" s="10" t="n">
        <v>44166</v>
      </c>
      <c r="B128" s="18">
        <f>IF(VLOOKUP(A128,'DB Country PMI'!$A:$AZ,MATCH($A$1,'DB Country PMI'!$A$1:$AZ$1,),)=0,#N/A,VLOOKUP(A128,'DB Country PMI'!$A:$AZ,MATCH($A$1,'DB Country PMI'!$A$1:$AZ$1,),))</f>
        <v/>
      </c>
      <c r="C128" s="24">
        <f>Table134681112141516171819[[#This Row],[PMI]]-B127</f>
        <v/>
      </c>
    </row>
    <row r="129">
      <c r="A129" s="10" t="n">
        <v>44197</v>
      </c>
      <c r="B129" s="18">
        <f>IF(VLOOKUP(A129,'DB Country PMI'!$A:$AZ,MATCH($A$1,'DB Country PMI'!$A$1:$AZ$1,),)=0,#N/A,VLOOKUP(A129,'DB Country PMI'!$A:$AZ,MATCH($A$1,'DB Country PMI'!$A$1:$AZ$1,),))</f>
        <v/>
      </c>
      <c r="C129" s="24">
        <f>Table134681112141516171819[[#This Row],[PMI]]-B128</f>
        <v/>
      </c>
    </row>
    <row r="130">
      <c r="A130" s="10" t="n">
        <v>44228</v>
      </c>
      <c r="B130" s="18">
        <f>IF(VLOOKUP(A130,'DB Country PMI'!$A:$AZ,MATCH($A$1,'DB Country PMI'!$A$1:$AZ$1,),)=0,#N/A,VLOOKUP(A130,'DB Country PMI'!$A:$AZ,MATCH($A$1,'DB Country PMI'!$A$1:$AZ$1,),))</f>
        <v/>
      </c>
      <c r="C130" s="24">
        <f>Table134681112141516171819[[#This Row],[PMI]]-B129</f>
        <v/>
      </c>
    </row>
    <row r="131">
      <c r="A131" s="10" t="n">
        <v>44256</v>
      </c>
      <c r="B131" s="18">
        <f>IF(VLOOKUP(A131,'DB Country PMI'!$A:$AZ,MATCH($A$1,'DB Country PMI'!$A$1:$AZ$1,),)=0,#N/A,VLOOKUP(A131,'DB Country PMI'!$A:$AZ,MATCH($A$1,'DB Country PMI'!$A$1:$AZ$1,),))</f>
        <v/>
      </c>
      <c r="C131" s="24">
        <f>Table134681112141516171819[[#This Row],[PMI]]-B130</f>
        <v/>
      </c>
    </row>
    <row r="132">
      <c r="A132" s="10" t="n">
        <v>44287</v>
      </c>
      <c r="B132" s="18">
        <f>IF(VLOOKUP(A132,'DB Country PMI'!$A:$AZ,MATCH($A$1,'DB Country PMI'!$A$1:$AZ$1,),)=0,#N/A,VLOOKUP(A132,'DB Country PMI'!$A:$AZ,MATCH($A$1,'DB Country PMI'!$A$1:$AZ$1,),))</f>
        <v/>
      </c>
      <c r="C132" s="24">
        <f>Table134681112141516171819[[#This Row],[PMI]]-B131</f>
        <v/>
      </c>
    </row>
    <row r="133">
      <c r="A133" s="10" t="n">
        <v>44317</v>
      </c>
      <c r="B133" s="18">
        <f>IF(VLOOKUP(A133,'DB Country PMI'!$A:$AZ,MATCH($A$1,'DB Country PMI'!$A$1:$AZ$1,),)=0,#N/A,VLOOKUP(A133,'DB Country PMI'!$A:$AZ,MATCH($A$1,'DB Country PMI'!$A$1:$AZ$1,),))</f>
        <v/>
      </c>
      <c r="C133" s="24">
        <f>Table134681112141516171819[[#This Row],[PMI]]-B132</f>
        <v/>
      </c>
    </row>
    <row r="134">
      <c r="A134" s="10" t="n">
        <v>44348</v>
      </c>
      <c r="B134" s="18">
        <f>IF(VLOOKUP(A134,'DB Country PMI'!$A:$AZ,MATCH($A$1,'DB Country PMI'!$A$1:$AZ$1,),)=0,#N/A,VLOOKUP(A134,'DB Country PMI'!$A:$AZ,MATCH($A$1,'DB Country PMI'!$A$1:$AZ$1,),))</f>
        <v/>
      </c>
      <c r="C134" s="24">
        <f>Table134681112141516171819[[#This Row],[PMI]]-B133</f>
        <v/>
      </c>
    </row>
    <row r="135">
      <c r="A135" s="10" t="n">
        <v>44378</v>
      </c>
      <c r="B135" s="18">
        <f>IF(VLOOKUP(A135,'DB Country PMI'!$A:$AZ,MATCH($A$1,'DB Country PMI'!$A$1:$AZ$1,),)=0,#N/A,VLOOKUP(A135,'DB Country PMI'!$A:$AZ,MATCH($A$1,'DB Country PMI'!$A$1:$AZ$1,),))</f>
        <v/>
      </c>
      <c r="C135" s="24">
        <f>Table134681112141516171819[[#This Row],[PMI]]-B134</f>
        <v/>
      </c>
    </row>
    <row r="136">
      <c r="A136" s="10" t="n">
        <v>44409</v>
      </c>
      <c r="B136" s="18">
        <f>IF(VLOOKUP(A136,'DB Country PMI'!$A:$AZ,MATCH($A$1,'DB Country PMI'!$A$1:$AZ$1,),)=0,#N/A,VLOOKUP(A136,'DB Country PMI'!$A:$AZ,MATCH($A$1,'DB Country PMI'!$A$1:$AZ$1,),))</f>
        <v/>
      </c>
      <c r="C136" s="24">
        <f>Table134681112141516171819[[#This Row],[PMI]]-B135</f>
        <v/>
      </c>
    </row>
    <row r="137">
      <c r="A137" s="10" t="n">
        <v>44440</v>
      </c>
      <c r="B137" s="18">
        <f>IF(VLOOKUP(A137,'DB Country PMI'!$A:$AZ,MATCH($A$1,'DB Country PMI'!$A$1:$AZ$1,),)=0,#N/A,VLOOKUP(A137,'DB Country PMI'!$A:$AZ,MATCH($A$1,'DB Country PMI'!$A$1:$AZ$1,),))</f>
        <v/>
      </c>
      <c r="C137" s="24">
        <f>Table134681112141516171819[[#This Row],[PMI]]-B136</f>
        <v/>
      </c>
    </row>
    <row r="138">
      <c r="A138" s="10" t="n">
        <v>44470</v>
      </c>
      <c r="B138" s="18">
        <f>IF(VLOOKUP(A138,'DB Country PMI'!$A:$AZ,MATCH($A$1,'DB Country PMI'!$A$1:$AZ$1,),)=0,#N/A,VLOOKUP(A138,'DB Country PMI'!$A:$AZ,MATCH($A$1,'DB Country PMI'!$A$1:$AZ$1,),))</f>
        <v/>
      </c>
      <c r="C138" s="24">
        <f>Table134681112141516171819[[#This Row],[PMI]]-B137</f>
        <v/>
      </c>
    </row>
    <row r="139">
      <c r="A139" s="10" t="n">
        <v>44501</v>
      </c>
      <c r="B139" s="18">
        <f>IF(VLOOKUP(A139,'DB Country PMI'!$A:$AZ,MATCH($A$1,'DB Country PMI'!$A$1:$AZ$1,),)=0,#N/A,VLOOKUP(A139,'DB Country PMI'!$A:$AZ,MATCH($A$1,'DB Country PMI'!$A$1:$AZ$1,),))</f>
        <v/>
      </c>
      <c r="C139" s="24">
        <f>Table134681112141516171819[[#This Row],[PMI]]-B138</f>
        <v/>
      </c>
    </row>
    <row r="140">
      <c r="A140" s="10" t="n">
        <v>44531</v>
      </c>
      <c r="B140" s="18">
        <f>IF(VLOOKUP(A140,'DB Country PMI'!$A:$AZ,MATCH($A$1,'DB Country PMI'!$A$1:$AZ$1,),)=0,#N/A,VLOOKUP(A140,'DB Country PMI'!$A:$AZ,MATCH($A$1,'DB Country PMI'!$A$1:$AZ$1,),))</f>
        <v/>
      </c>
      <c r="C140" s="24">
        <f>Table134681112141516171819[[#This Row],[PMI]]-B139</f>
        <v/>
      </c>
    </row>
    <row r="141">
      <c r="A141" s="10" t="n">
        <v>44562</v>
      </c>
      <c r="B141" s="18">
        <f>IF(VLOOKUP(A141,'DB Country PMI'!$A:$AZ,MATCH($A$1,'DB Country PMI'!$A$1:$AZ$1,),)=0,#N/A,VLOOKUP(A141,'DB Country PMI'!$A:$AZ,MATCH($A$1,'DB Country PMI'!$A$1:$AZ$1,),))</f>
        <v/>
      </c>
      <c r="C141" s="24">
        <f>Table134681112141516171819[[#This Row],[PMI]]-B140</f>
        <v/>
      </c>
    </row>
    <row r="142">
      <c r="A142" s="10" t="n">
        <v>44593</v>
      </c>
      <c r="B142" s="18">
        <f>IF(VLOOKUP(A142,'DB Country PMI'!$A:$AZ,MATCH($A$1,'DB Country PMI'!$A$1:$AZ$1,),)=0,#N/A,VLOOKUP(A142,'DB Country PMI'!$A:$AZ,MATCH($A$1,'DB Country PMI'!$A$1:$AZ$1,),))</f>
        <v/>
      </c>
      <c r="C142" s="24">
        <f>Table134681112141516171819[[#This Row],[PMI]]-B141</f>
        <v/>
      </c>
    </row>
    <row r="143">
      <c r="A143" s="10" t="n">
        <v>44621</v>
      </c>
      <c r="B143" s="18">
        <f>IF(VLOOKUP(A143,'DB Country PMI'!$A:$AZ,MATCH($A$1,'DB Country PMI'!$A$1:$AZ$1,),)=0,#N/A,VLOOKUP(A143,'DB Country PMI'!$A:$AZ,MATCH($A$1,'DB Country PMI'!$A$1:$AZ$1,),))</f>
        <v/>
      </c>
      <c r="C143" s="24">
        <f>Table134681112141516171819[[#This Row],[PMI]]-B142</f>
        <v/>
      </c>
    </row>
    <row r="144">
      <c r="A144" s="10" t="n">
        <v>44652</v>
      </c>
      <c r="B144" s="18">
        <f>IF(VLOOKUP(A144,'DB Country PMI'!$A:$AZ,MATCH($A$1,'DB Country PMI'!$A$1:$AZ$1,),)=0,#N/A,VLOOKUP(A144,'DB Country PMI'!$A:$AZ,MATCH($A$1,'DB Country PMI'!$A$1:$AZ$1,),))</f>
        <v/>
      </c>
      <c r="C144" s="24">
        <f>Table134681112141516171819[[#This Row],[PMI]]-B143</f>
        <v/>
      </c>
    </row>
    <row r="145">
      <c r="A145" s="10" t="n">
        <v>44682</v>
      </c>
      <c r="B145" s="18">
        <f>IF(VLOOKUP(A145,'DB Country PMI'!$A:$AZ,MATCH($A$1,'DB Country PMI'!$A$1:$AZ$1,),)=0,#N/A,VLOOKUP(A145,'DB Country PMI'!$A:$AZ,MATCH($A$1,'DB Country PMI'!$A$1:$AZ$1,),))</f>
        <v/>
      </c>
      <c r="C145" s="24">
        <f>Table134681112141516171819[[#This Row],[PMI]]-B144</f>
        <v/>
      </c>
    </row>
    <row r="146">
      <c r="A146" s="10" t="n">
        <v>44713</v>
      </c>
      <c r="B146" s="18">
        <f>IF(VLOOKUP(A146,'DB Country PMI'!$A:$AZ,MATCH($A$1,'DB Country PMI'!$A$1:$AZ$1,),)=0,#N/A,VLOOKUP(A146,'DB Country PMI'!$A:$AZ,MATCH($A$1,'DB Country PMI'!$A$1:$AZ$1,),))</f>
        <v/>
      </c>
      <c r="C146" s="24">
        <f>Table134681112141516171819[[#This Row],[PMI]]-B145</f>
        <v/>
      </c>
    </row>
    <row r="147">
      <c r="A147" s="10" t="n">
        <v>44743</v>
      </c>
      <c r="B147" s="18">
        <f>IF(VLOOKUP(A147,'DB Country PMI'!$A:$AZ,MATCH($A$1,'DB Country PMI'!$A$1:$AZ$1,),)=0,#N/A,VLOOKUP(A147,'DB Country PMI'!$A:$AZ,MATCH($A$1,'DB Country PMI'!$A$1:$AZ$1,),))</f>
        <v/>
      </c>
      <c r="C147" s="24">
        <f>Table134681112141516171819[[#This Row],[PMI]]-B146</f>
        <v/>
      </c>
    </row>
    <row r="148">
      <c r="A148" s="10" t="n">
        <v>44774</v>
      </c>
      <c r="B148" s="18">
        <f>IF(VLOOKUP(A148,'DB Country PMI'!$A:$AZ,MATCH($A$1,'DB Country PMI'!$A$1:$AZ$1,),)=0,#N/A,VLOOKUP(A148,'DB Country PMI'!$A:$AZ,MATCH($A$1,'DB Country PMI'!$A$1:$AZ$1,),))</f>
        <v/>
      </c>
      <c r="C148" s="24">
        <f>Table134681112141516171819[[#This Row],[PMI]]-B147</f>
        <v/>
      </c>
    </row>
    <row r="149">
      <c r="A149" s="10" t="n">
        <v>44805</v>
      </c>
      <c r="B149" s="18">
        <f>IF(VLOOKUP(A149,'DB Country PMI'!$A:$AZ,MATCH($A$1,'DB Country PMI'!$A$1:$AZ$1,),)=0,#N/A,VLOOKUP(A149,'DB Country PMI'!$A:$AZ,MATCH($A$1,'DB Country PMI'!$A$1:$AZ$1,),))</f>
        <v/>
      </c>
      <c r="C149" s="24">
        <f>Table134681112141516171819[[#This Row],[PMI]]-B148</f>
        <v/>
      </c>
    </row>
    <row r="150">
      <c r="A150" s="10" t="n">
        <v>44835</v>
      </c>
      <c r="B150" s="18">
        <f>IF(VLOOKUP(A150,'DB Country PMI'!$A:$AZ,MATCH($A$1,'DB Country PMI'!$A$1:$AZ$1,),)=0,#N/A,VLOOKUP(A150,'DB Country PMI'!$A:$AZ,MATCH($A$1,'DB Country PMI'!$A$1:$AZ$1,),))</f>
        <v/>
      </c>
      <c r="C150" s="24">
        <f>Table134681112141516171819[[#This Row],[PMI]]-B149</f>
        <v/>
      </c>
    </row>
    <row r="151">
      <c r="A151" s="10" t="n">
        <v>44866</v>
      </c>
      <c r="B151" s="18">
        <f>IF(VLOOKUP(A151,'DB Country PMI'!$A:$AZ,MATCH($A$1,'DB Country PMI'!$A$1:$AZ$1,),)=0,#N/A,VLOOKUP(A151,'DB Country PMI'!$A:$AZ,MATCH($A$1,'DB Country PMI'!$A$1:$AZ$1,),))</f>
        <v/>
      </c>
      <c r="C151" s="24">
        <f>Table134681112141516171819[[#This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7.xml><?xml version="1.0" encoding="utf-8"?>
<worksheet xmlns="http://schemas.openxmlformats.org/spreadsheetml/2006/main">
  <sheetPr>
    <outlinePr summaryBelow="1" summaryRight="1"/>
    <pageSetUpPr/>
  </sheetPr>
  <dimension ref="A1:K151"/>
  <sheetViews>
    <sheetView zoomScale="90" zoomScaleNormal="90" workbookViewId="0">
      <pane ySplit="5" topLeftCell="A136" activePane="bottomLeft" state="frozen"/>
      <selection pane="bottomLeft" activeCell="O148" sqref="O148"/>
    </sheetView>
  </sheetViews>
  <sheetFormatPr baseColWidth="8" defaultColWidth="9.1796875" defaultRowHeight="14.5"/>
  <cols>
    <col width="13.453125" customWidth="1" style="69" min="1" max="1"/>
    <col width="11.36328125" customWidth="1" style="69" min="2" max="2"/>
    <col width="9.1796875" customWidth="1" style="69" min="3" max="51"/>
    <col width="9.1796875" customWidth="1" style="69" min="52" max="16384"/>
  </cols>
  <sheetData>
    <row r="1">
      <c r="A1" s="69" t="inlineStr">
        <is>
          <t>Ireland</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Table13468111214151617181920[[#This Row],[PMI]]-B6</f>
        <v/>
      </c>
    </row>
    <row r="8">
      <c r="A8" s="10" t="n">
        <v>40513</v>
      </c>
      <c r="B8" s="18">
        <f>IF(VLOOKUP(A8,'DB Country PMI'!$A:$AZ,MATCH($A$1,'DB Country PMI'!$A$1:$AZ$1,),)=0,#N/A,VLOOKUP(A8,'DB Country PMI'!$A:$AZ,MATCH($A$1,'DB Country PMI'!$A$1:$AZ$1,),))</f>
        <v/>
      </c>
      <c r="C8" s="24">
        <f>Table13468111214151617181920[[#This Row],[PMI]]-B7</f>
        <v/>
      </c>
    </row>
    <row r="9">
      <c r="A9" s="10" t="n">
        <v>40544</v>
      </c>
      <c r="B9" s="18">
        <f>IF(VLOOKUP(A9,'DB Country PMI'!$A:$AZ,MATCH($A$1,'DB Country PMI'!$A$1:$AZ$1,),)=0,#N/A,VLOOKUP(A9,'DB Country PMI'!$A:$AZ,MATCH($A$1,'DB Country PMI'!$A$1:$AZ$1,),))</f>
        <v/>
      </c>
      <c r="C9" s="24">
        <f>Table13468111214151617181920[[#This Row],[PMI]]-B8</f>
        <v/>
      </c>
    </row>
    <row r="10">
      <c r="A10" s="10" t="n">
        <v>40575</v>
      </c>
      <c r="B10" s="18">
        <f>IF(VLOOKUP(A10,'DB Country PMI'!$A:$AZ,MATCH($A$1,'DB Country PMI'!$A$1:$AZ$1,),)=0,#N/A,VLOOKUP(A10,'DB Country PMI'!$A:$AZ,MATCH($A$1,'DB Country PMI'!$A$1:$AZ$1,),))</f>
        <v/>
      </c>
      <c r="C10" s="24">
        <f>Table13468111214151617181920[[#This Row],[PMI]]-B9</f>
        <v/>
      </c>
    </row>
    <row r="11">
      <c r="A11" s="10" t="n">
        <v>40603</v>
      </c>
      <c r="B11" s="18">
        <f>IF(VLOOKUP(A11,'DB Country PMI'!$A:$AZ,MATCH($A$1,'DB Country PMI'!$A$1:$AZ$1,),)=0,#N/A,VLOOKUP(A11,'DB Country PMI'!$A:$AZ,MATCH($A$1,'DB Country PMI'!$A$1:$AZ$1,),))</f>
        <v/>
      </c>
      <c r="C11" s="24">
        <f>Table13468111214151617181920[[#This Row],[PMI]]-B10</f>
        <v/>
      </c>
    </row>
    <row r="12">
      <c r="A12" s="10" t="n">
        <v>40634</v>
      </c>
      <c r="B12" s="18">
        <f>IF(VLOOKUP(A12,'DB Country PMI'!$A:$AZ,MATCH($A$1,'DB Country PMI'!$A$1:$AZ$1,),)=0,#N/A,VLOOKUP(A12,'DB Country PMI'!$A:$AZ,MATCH($A$1,'DB Country PMI'!$A$1:$AZ$1,),))</f>
        <v/>
      </c>
      <c r="C12" s="24">
        <f>Table13468111214151617181920[[#This Row],[PMI]]-B11</f>
        <v/>
      </c>
    </row>
    <row r="13">
      <c r="A13" s="10" t="n">
        <v>40664</v>
      </c>
      <c r="B13" s="18">
        <f>IF(VLOOKUP(A13,'DB Country PMI'!$A:$AZ,MATCH($A$1,'DB Country PMI'!$A$1:$AZ$1,),)=0,#N/A,VLOOKUP(A13,'DB Country PMI'!$A:$AZ,MATCH($A$1,'DB Country PMI'!$A$1:$AZ$1,),))</f>
        <v/>
      </c>
      <c r="C13" s="24">
        <f>Table13468111214151617181920[[#This Row],[PMI]]-B12</f>
        <v/>
      </c>
    </row>
    <row r="14">
      <c r="A14" s="10" t="n">
        <v>40695</v>
      </c>
      <c r="B14" s="18">
        <f>IF(VLOOKUP(A14,'DB Country PMI'!$A:$AZ,MATCH($A$1,'DB Country PMI'!$A$1:$AZ$1,),)=0,#N/A,VLOOKUP(A14,'DB Country PMI'!$A:$AZ,MATCH($A$1,'DB Country PMI'!$A$1:$AZ$1,),))</f>
        <v/>
      </c>
      <c r="C14" s="24">
        <f>Table13468111214151617181920[[#This Row],[PMI]]-B13</f>
        <v/>
      </c>
    </row>
    <row r="15">
      <c r="A15" s="10" t="n">
        <v>40725</v>
      </c>
      <c r="B15" s="18">
        <f>IF(VLOOKUP(A15,'DB Country PMI'!$A:$AZ,MATCH($A$1,'DB Country PMI'!$A$1:$AZ$1,),)=0,#N/A,VLOOKUP(A15,'DB Country PMI'!$A:$AZ,MATCH($A$1,'DB Country PMI'!$A$1:$AZ$1,),))</f>
        <v/>
      </c>
      <c r="C15" s="24">
        <f>Table13468111214151617181920[[#This Row],[PMI]]-B14</f>
        <v/>
      </c>
    </row>
    <row r="16">
      <c r="A16" s="10" t="n">
        <v>40756</v>
      </c>
      <c r="B16" s="18">
        <f>IF(VLOOKUP(A16,'DB Country PMI'!$A:$AZ,MATCH($A$1,'DB Country PMI'!$A$1:$AZ$1,),)=0,#N/A,VLOOKUP(A16,'DB Country PMI'!$A:$AZ,MATCH($A$1,'DB Country PMI'!$A$1:$AZ$1,),))</f>
        <v/>
      </c>
      <c r="C16" s="24">
        <f>Table13468111214151617181920[[#This Row],[PMI]]-B15</f>
        <v/>
      </c>
    </row>
    <row r="17">
      <c r="A17" s="10" t="n">
        <v>40787</v>
      </c>
      <c r="B17" s="18">
        <f>IF(VLOOKUP(A17,'DB Country PMI'!$A:$AZ,MATCH($A$1,'DB Country PMI'!$A$1:$AZ$1,),)=0,#N/A,VLOOKUP(A17,'DB Country PMI'!$A:$AZ,MATCH($A$1,'DB Country PMI'!$A$1:$AZ$1,),))</f>
        <v/>
      </c>
      <c r="C17" s="24">
        <f>Table13468111214151617181920[[#This Row],[PMI]]-B16</f>
        <v/>
      </c>
    </row>
    <row r="18">
      <c r="A18" s="10" t="n">
        <v>40817</v>
      </c>
      <c r="B18" s="18">
        <f>IF(VLOOKUP(A18,'DB Country PMI'!$A:$AZ,MATCH($A$1,'DB Country PMI'!$A$1:$AZ$1,),)=0,#N/A,VLOOKUP(A18,'DB Country PMI'!$A:$AZ,MATCH($A$1,'DB Country PMI'!$A$1:$AZ$1,),))</f>
        <v/>
      </c>
      <c r="C18" s="24">
        <f>Table13468111214151617181920[[#This Row],[PMI]]-B17</f>
        <v/>
      </c>
    </row>
    <row r="19">
      <c r="A19" s="10" t="n">
        <v>40848</v>
      </c>
      <c r="B19" s="18">
        <f>IF(VLOOKUP(A19,'DB Country PMI'!$A:$AZ,MATCH($A$1,'DB Country PMI'!$A$1:$AZ$1,),)=0,#N/A,VLOOKUP(A19,'DB Country PMI'!$A:$AZ,MATCH($A$1,'DB Country PMI'!$A$1:$AZ$1,),))</f>
        <v/>
      </c>
      <c r="C19" s="24">
        <f>Table13468111214151617181920[[#This Row],[PMI]]-B18</f>
        <v/>
      </c>
    </row>
    <row r="20">
      <c r="A20" s="10" t="n">
        <v>40878</v>
      </c>
      <c r="B20" s="18">
        <f>IF(VLOOKUP(A20,'DB Country PMI'!$A:$AZ,MATCH($A$1,'DB Country PMI'!$A$1:$AZ$1,),)=0,#N/A,VLOOKUP(A20,'DB Country PMI'!$A:$AZ,MATCH($A$1,'DB Country PMI'!$A$1:$AZ$1,),))</f>
        <v/>
      </c>
      <c r="C20" s="24">
        <f>Table13468111214151617181920[[#This Row],[PMI]]-B19</f>
        <v/>
      </c>
    </row>
    <row r="21">
      <c r="A21" s="10" t="n">
        <v>40909</v>
      </c>
      <c r="B21" s="18">
        <f>IF(VLOOKUP(A21,'DB Country PMI'!$A:$AZ,MATCH($A$1,'DB Country PMI'!$A$1:$AZ$1,),)=0,#N/A,VLOOKUP(A21,'DB Country PMI'!$A:$AZ,MATCH($A$1,'DB Country PMI'!$A$1:$AZ$1,),))</f>
        <v/>
      </c>
      <c r="C21" s="24">
        <f>Table13468111214151617181920[[#This Row],[PMI]]-B20</f>
        <v/>
      </c>
    </row>
    <row r="22">
      <c r="A22" s="10" t="n">
        <v>40940</v>
      </c>
      <c r="B22" s="18">
        <f>IF(VLOOKUP(A22,'DB Country PMI'!$A:$AZ,MATCH($A$1,'DB Country PMI'!$A$1:$AZ$1,),)=0,#N/A,VLOOKUP(A22,'DB Country PMI'!$A:$AZ,MATCH($A$1,'DB Country PMI'!$A$1:$AZ$1,),))</f>
        <v/>
      </c>
      <c r="C22" s="24">
        <f>Table13468111214151617181920[[#This Row],[PMI]]-B21</f>
        <v/>
      </c>
    </row>
    <row r="23">
      <c r="A23" s="10" t="n">
        <v>40969</v>
      </c>
      <c r="B23" s="18">
        <f>IF(VLOOKUP(A23,'DB Country PMI'!$A:$AZ,MATCH($A$1,'DB Country PMI'!$A$1:$AZ$1,),)=0,#N/A,VLOOKUP(A23,'DB Country PMI'!$A:$AZ,MATCH($A$1,'DB Country PMI'!$A$1:$AZ$1,),))</f>
        <v/>
      </c>
      <c r="C23" s="24">
        <f>Table13468111214151617181920[[#This Row],[PMI]]-B22</f>
        <v/>
      </c>
    </row>
    <row r="24">
      <c r="A24" s="10" t="n">
        <v>41000</v>
      </c>
      <c r="B24" s="18">
        <f>IF(VLOOKUP(A24,'DB Country PMI'!$A:$AZ,MATCH($A$1,'DB Country PMI'!$A$1:$AZ$1,),)=0,#N/A,VLOOKUP(A24,'DB Country PMI'!$A:$AZ,MATCH($A$1,'DB Country PMI'!$A$1:$AZ$1,),))</f>
        <v/>
      </c>
      <c r="C24" s="24">
        <f>Table13468111214151617181920[[#This Row],[PMI]]-B23</f>
        <v/>
      </c>
    </row>
    <row r="25">
      <c r="A25" s="10" t="n">
        <v>41030</v>
      </c>
      <c r="B25" s="18">
        <f>IF(VLOOKUP(A25,'DB Country PMI'!$A:$AZ,MATCH($A$1,'DB Country PMI'!$A$1:$AZ$1,),)=0,#N/A,VLOOKUP(A25,'DB Country PMI'!$A:$AZ,MATCH($A$1,'DB Country PMI'!$A$1:$AZ$1,),))</f>
        <v/>
      </c>
      <c r="C25" s="24">
        <f>Table13468111214151617181920[[#This Row],[PMI]]-B24</f>
        <v/>
      </c>
    </row>
    <row r="26">
      <c r="A26" s="10" t="n">
        <v>41061</v>
      </c>
      <c r="B26" s="18">
        <f>IF(VLOOKUP(A26,'DB Country PMI'!$A:$AZ,MATCH($A$1,'DB Country PMI'!$A$1:$AZ$1,),)=0,#N/A,VLOOKUP(A26,'DB Country PMI'!$A:$AZ,MATCH($A$1,'DB Country PMI'!$A$1:$AZ$1,),))</f>
        <v/>
      </c>
      <c r="C26" s="24">
        <f>Table13468111214151617181920[[#This Row],[PMI]]-B25</f>
        <v/>
      </c>
    </row>
    <row r="27">
      <c r="A27" s="10" t="n">
        <v>41091</v>
      </c>
      <c r="B27" s="18">
        <f>IF(VLOOKUP(A27,'DB Country PMI'!$A:$AZ,MATCH($A$1,'DB Country PMI'!$A$1:$AZ$1,),)=0,#N/A,VLOOKUP(A27,'DB Country PMI'!$A:$AZ,MATCH($A$1,'DB Country PMI'!$A$1:$AZ$1,),))</f>
        <v/>
      </c>
      <c r="C27" s="24">
        <f>Table13468111214151617181920[[#This Row],[PMI]]-B26</f>
        <v/>
      </c>
    </row>
    <row r="28">
      <c r="A28" s="10" t="n">
        <v>41122</v>
      </c>
      <c r="B28" s="18">
        <f>IF(VLOOKUP(A28,'DB Country PMI'!$A:$AZ,MATCH($A$1,'DB Country PMI'!$A$1:$AZ$1,),)=0,#N/A,VLOOKUP(A28,'DB Country PMI'!$A:$AZ,MATCH($A$1,'DB Country PMI'!$A$1:$AZ$1,),))</f>
        <v/>
      </c>
      <c r="C28" s="24">
        <f>Table13468111214151617181920[[#This Row],[PMI]]-B27</f>
        <v/>
      </c>
    </row>
    <row r="29">
      <c r="A29" s="10" t="n">
        <v>41153</v>
      </c>
      <c r="B29" s="18">
        <f>IF(VLOOKUP(A29,'DB Country PMI'!$A:$AZ,MATCH($A$1,'DB Country PMI'!$A$1:$AZ$1,),)=0,#N/A,VLOOKUP(A29,'DB Country PMI'!$A:$AZ,MATCH($A$1,'DB Country PMI'!$A$1:$AZ$1,),))</f>
        <v/>
      </c>
      <c r="C29" s="24">
        <f>Table13468111214151617181920[[#This Row],[PMI]]-B28</f>
        <v/>
      </c>
    </row>
    <row r="30">
      <c r="A30" s="10" t="n">
        <v>41183</v>
      </c>
      <c r="B30" s="18">
        <f>IF(VLOOKUP(A30,'DB Country PMI'!$A:$AZ,MATCH($A$1,'DB Country PMI'!$A$1:$AZ$1,),)=0,#N/A,VLOOKUP(A30,'DB Country PMI'!$A:$AZ,MATCH($A$1,'DB Country PMI'!$A$1:$AZ$1,),))</f>
        <v/>
      </c>
      <c r="C30" s="24">
        <f>Table13468111214151617181920[[#This Row],[PMI]]-B29</f>
        <v/>
      </c>
    </row>
    <row r="31">
      <c r="A31" s="10" t="n">
        <v>41214</v>
      </c>
      <c r="B31" s="18">
        <f>IF(VLOOKUP(A31,'DB Country PMI'!$A:$AZ,MATCH($A$1,'DB Country PMI'!$A$1:$AZ$1,),)=0,#N/A,VLOOKUP(A31,'DB Country PMI'!$A:$AZ,MATCH($A$1,'DB Country PMI'!$A$1:$AZ$1,),))</f>
        <v/>
      </c>
      <c r="C31" s="24">
        <f>Table13468111214151617181920[[#This Row],[PMI]]-B30</f>
        <v/>
      </c>
    </row>
    <row r="32">
      <c r="A32" s="10" t="n">
        <v>41244</v>
      </c>
      <c r="B32" s="18">
        <f>IF(VLOOKUP(A32,'DB Country PMI'!$A:$AZ,MATCH($A$1,'DB Country PMI'!$A$1:$AZ$1,),)=0,#N/A,VLOOKUP(A32,'DB Country PMI'!$A:$AZ,MATCH($A$1,'DB Country PMI'!$A$1:$AZ$1,),))</f>
        <v/>
      </c>
      <c r="C32" s="24">
        <f>Table13468111214151617181920[[#This Row],[PMI]]-B31</f>
        <v/>
      </c>
    </row>
    <row r="33">
      <c r="A33" s="10" t="n">
        <v>41275</v>
      </c>
      <c r="B33" s="18">
        <f>IF(VLOOKUP(A33,'DB Country PMI'!$A:$AZ,MATCH($A$1,'DB Country PMI'!$A$1:$AZ$1,),)=0,#N/A,VLOOKUP(A33,'DB Country PMI'!$A:$AZ,MATCH($A$1,'DB Country PMI'!$A$1:$AZ$1,),))</f>
        <v/>
      </c>
      <c r="C33" s="24">
        <f>Table13468111214151617181920[[#This Row],[PMI]]-B32</f>
        <v/>
      </c>
    </row>
    <row r="34">
      <c r="A34" s="10" t="n">
        <v>41306</v>
      </c>
      <c r="B34" s="18">
        <f>IF(VLOOKUP(A34,'DB Country PMI'!$A:$AZ,MATCH($A$1,'DB Country PMI'!$A$1:$AZ$1,),)=0,#N/A,VLOOKUP(A34,'DB Country PMI'!$A:$AZ,MATCH($A$1,'DB Country PMI'!$A$1:$AZ$1,),))</f>
        <v/>
      </c>
      <c r="C34" s="24">
        <f>Table13468111214151617181920[[#This Row],[PMI]]-B33</f>
        <v/>
      </c>
    </row>
    <row r="35">
      <c r="A35" s="10" t="n">
        <v>41334</v>
      </c>
      <c r="B35" s="18">
        <f>IF(VLOOKUP(A35,'DB Country PMI'!$A:$AZ,MATCH($A$1,'DB Country PMI'!$A$1:$AZ$1,),)=0,#N/A,VLOOKUP(A35,'DB Country PMI'!$A:$AZ,MATCH($A$1,'DB Country PMI'!$A$1:$AZ$1,),))</f>
        <v/>
      </c>
      <c r="C35" s="24">
        <f>Table13468111214151617181920[[#This Row],[PMI]]-B34</f>
        <v/>
      </c>
    </row>
    <row r="36">
      <c r="A36" s="10" t="n">
        <v>41365</v>
      </c>
      <c r="B36" s="18">
        <f>IF(VLOOKUP(A36,'DB Country PMI'!$A:$AZ,MATCH($A$1,'DB Country PMI'!$A$1:$AZ$1,),)=0,#N/A,VLOOKUP(A36,'DB Country PMI'!$A:$AZ,MATCH($A$1,'DB Country PMI'!$A$1:$AZ$1,),))</f>
        <v/>
      </c>
      <c r="C36" s="24">
        <f>Table13468111214151617181920[[#This Row],[PMI]]-B35</f>
        <v/>
      </c>
    </row>
    <row r="37">
      <c r="A37" s="10" t="n">
        <v>41395</v>
      </c>
      <c r="B37" s="18">
        <f>IF(VLOOKUP(A37,'DB Country PMI'!$A:$AZ,MATCH($A$1,'DB Country PMI'!$A$1:$AZ$1,),)=0,#N/A,VLOOKUP(A37,'DB Country PMI'!$A:$AZ,MATCH($A$1,'DB Country PMI'!$A$1:$AZ$1,),))</f>
        <v/>
      </c>
      <c r="C37" s="24">
        <f>Table13468111214151617181920[[#This Row],[PMI]]-B36</f>
        <v/>
      </c>
    </row>
    <row r="38">
      <c r="A38" s="10" t="n">
        <v>41426</v>
      </c>
      <c r="B38" s="18">
        <f>IF(VLOOKUP(A38,'DB Country PMI'!$A:$AZ,MATCH($A$1,'DB Country PMI'!$A$1:$AZ$1,),)=0,#N/A,VLOOKUP(A38,'DB Country PMI'!$A:$AZ,MATCH($A$1,'DB Country PMI'!$A$1:$AZ$1,),))</f>
        <v/>
      </c>
      <c r="C38" s="24">
        <f>Table13468111214151617181920[[#This Row],[PMI]]-B37</f>
        <v/>
      </c>
    </row>
    <row r="39">
      <c r="A39" s="10" t="n">
        <v>41456</v>
      </c>
      <c r="B39" s="18">
        <f>IF(VLOOKUP(A39,'DB Country PMI'!$A:$AZ,MATCH($A$1,'DB Country PMI'!$A$1:$AZ$1,),)=0,#N/A,VLOOKUP(A39,'DB Country PMI'!$A:$AZ,MATCH($A$1,'DB Country PMI'!$A$1:$AZ$1,),))</f>
        <v/>
      </c>
      <c r="C39" s="24">
        <f>Table13468111214151617181920[[#This Row],[PMI]]-B38</f>
        <v/>
      </c>
    </row>
    <row r="40">
      <c r="A40" s="10" t="n">
        <v>41487</v>
      </c>
      <c r="B40" s="18">
        <f>IF(VLOOKUP(A40,'DB Country PMI'!$A:$AZ,MATCH($A$1,'DB Country PMI'!$A$1:$AZ$1,),)=0,#N/A,VLOOKUP(A40,'DB Country PMI'!$A:$AZ,MATCH($A$1,'DB Country PMI'!$A$1:$AZ$1,),))</f>
        <v/>
      </c>
      <c r="C40" s="24">
        <f>Table13468111214151617181920[[#This Row],[PMI]]-B39</f>
        <v/>
      </c>
    </row>
    <row r="41">
      <c r="A41" s="10" t="n">
        <v>41518</v>
      </c>
      <c r="B41" s="18">
        <f>IF(VLOOKUP(A41,'DB Country PMI'!$A:$AZ,MATCH($A$1,'DB Country PMI'!$A$1:$AZ$1,),)=0,#N/A,VLOOKUP(A41,'DB Country PMI'!$A:$AZ,MATCH($A$1,'DB Country PMI'!$A$1:$AZ$1,),))</f>
        <v/>
      </c>
      <c r="C41" s="24">
        <f>Table13468111214151617181920[[#This Row],[PMI]]-B40</f>
        <v/>
      </c>
    </row>
    <row r="42">
      <c r="A42" s="10" t="n">
        <v>41548</v>
      </c>
      <c r="B42" s="18">
        <f>IF(VLOOKUP(A42,'DB Country PMI'!$A:$AZ,MATCH($A$1,'DB Country PMI'!$A$1:$AZ$1,),)=0,#N/A,VLOOKUP(A42,'DB Country PMI'!$A:$AZ,MATCH($A$1,'DB Country PMI'!$A$1:$AZ$1,),))</f>
        <v/>
      </c>
      <c r="C42" s="24">
        <f>Table13468111214151617181920[[#This Row],[PMI]]-B41</f>
        <v/>
      </c>
    </row>
    <row r="43">
      <c r="A43" s="10" t="n">
        <v>41579</v>
      </c>
      <c r="B43" s="18">
        <f>IF(VLOOKUP(A43,'DB Country PMI'!$A:$AZ,MATCH($A$1,'DB Country PMI'!$A$1:$AZ$1,),)=0,#N/A,VLOOKUP(A43,'DB Country PMI'!$A:$AZ,MATCH($A$1,'DB Country PMI'!$A$1:$AZ$1,),))</f>
        <v/>
      </c>
      <c r="C43" s="24">
        <f>Table13468111214151617181920[[#This Row],[PMI]]-B42</f>
        <v/>
      </c>
    </row>
    <row r="44">
      <c r="A44" s="10" t="n">
        <v>41609</v>
      </c>
      <c r="B44" s="18">
        <f>IF(VLOOKUP(A44,'DB Country PMI'!$A:$AZ,MATCH($A$1,'DB Country PMI'!$A$1:$AZ$1,),)=0,#N/A,VLOOKUP(A44,'DB Country PMI'!$A:$AZ,MATCH($A$1,'DB Country PMI'!$A$1:$AZ$1,),))</f>
        <v/>
      </c>
      <c r="C44" s="24">
        <f>Table13468111214151617181920[[#This Row],[PMI]]-B43</f>
        <v/>
      </c>
    </row>
    <row r="45">
      <c r="A45" s="10" t="n">
        <v>41640</v>
      </c>
      <c r="B45" s="18">
        <f>IF(VLOOKUP(A45,'DB Country PMI'!$A:$AZ,MATCH($A$1,'DB Country PMI'!$A$1:$AZ$1,),)=0,#N/A,VLOOKUP(A45,'DB Country PMI'!$A:$AZ,MATCH($A$1,'DB Country PMI'!$A$1:$AZ$1,),))</f>
        <v/>
      </c>
      <c r="C45" s="24">
        <f>Table13468111214151617181920[[#This Row],[PMI]]-B44</f>
        <v/>
      </c>
    </row>
    <row r="46">
      <c r="A46" s="10" t="n">
        <v>41671</v>
      </c>
      <c r="B46" s="18">
        <f>IF(VLOOKUP(A46,'DB Country PMI'!$A:$AZ,MATCH($A$1,'DB Country PMI'!$A$1:$AZ$1,),)=0,#N/A,VLOOKUP(A46,'DB Country PMI'!$A:$AZ,MATCH($A$1,'DB Country PMI'!$A$1:$AZ$1,),))</f>
        <v/>
      </c>
      <c r="C46" s="24">
        <f>Table13468111214151617181920[[#This Row],[PMI]]-B45</f>
        <v/>
      </c>
    </row>
    <row r="47">
      <c r="A47" s="10" t="n">
        <v>41699</v>
      </c>
      <c r="B47" s="18">
        <f>IF(VLOOKUP(A47,'DB Country PMI'!$A:$AZ,MATCH($A$1,'DB Country PMI'!$A$1:$AZ$1,),)=0,#N/A,VLOOKUP(A47,'DB Country PMI'!$A:$AZ,MATCH($A$1,'DB Country PMI'!$A$1:$AZ$1,),))</f>
        <v/>
      </c>
      <c r="C47" s="24">
        <f>Table13468111214151617181920[[#This Row],[PMI]]-B46</f>
        <v/>
      </c>
    </row>
    <row r="48">
      <c r="A48" s="10" t="n">
        <v>41730</v>
      </c>
      <c r="B48" s="18">
        <f>IF(VLOOKUP(A48,'DB Country PMI'!$A:$AZ,MATCH($A$1,'DB Country PMI'!$A$1:$AZ$1,),)=0,#N/A,VLOOKUP(A48,'DB Country PMI'!$A:$AZ,MATCH($A$1,'DB Country PMI'!$A$1:$AZ$1,),))</f>
        <v/>
      </c>
      <c r="C48" s="24">
        <f>Table13468111214151617181920[[#This Row],[PMI]]-B47</f>
        <v/>
      </c>
    </row>
    <row r="49">
      <c r="A49" s="10" t="n">
        <v>41760</v>
      </c>
      <c r="B49" s="18">
        <f>IF(VLOOKUP(A49,'DB Country PMI'!$A:$AZ,MATCH($A$1,'DB Country PMI'!$A$1:$AZ$1,),)=0,#N/A,VLOOKUP(A49,'DB Country PMI'!$A:$AZ,MATCH($A$1,'DB Country PMI'!$A$1:$AZ$1,),))</f>
        <v/>
      </c>
      <c r="C49" s="24">
        <f>Table13468111214151617181920[[#This Row],[PMI]]-B48</f>
        <v/>
      </c>
    </row>
    <row r="50">
      <c r="A50" s="10" t="n">
        <v>41791</v>
      </c>
      <c r="B50" s="18">
        <f>IF(VLOOKUP(A50,'DB Country PMI'!$A:$AZ,MATCH($A$1,'DB Country PMI'!$A$1:$AZ$1,),)=0,#N/A,VLOOKUP(A50,'DB Country PMI'!$A:$AZ,MATCH($A$1,'DB Country PMI'!$A$1:$AZ$1,),))</f>
        <v/>
      </c>
      <c r="C50" s="24">
        <f>Table13468111214151617181920[[#This Row],[PMI]]-B49</f>
        <v/>
      </c>
    </row>
    <row r="51">
      <c r="A51" s="10" t="n">
        <v>41821</v>
      </c>
      <c r="B51" s="18">
        <f>IF(VLOOKUP(A51,'DB Country PMI'!$A:$AZ,MATCH($A$1,'DB Country PMI'!$A$1:$AZ$1,),)=0,#N/A,VLOOKUP(A51,'DB Country PMI'!$A:$AZ,MATCH($A$1,'DB Country PMI'!$A$1:$AZ$1,),))</f>
        <v/>
      </c>
      <c r="C51" s="24">
        <f>Table13468111214151617181920[[#This Row],[PMI]]-B50</f>
        <v/>
      </c>
    </row>
    <row r="52">
      <c r="A52" s="10" t="n">
        <v>41852</v>
      </c>
      <c r="B52" s="18">
        <f>IF(VLOOKUP(A52,'DB Country PMI'!$A:$AZ,MATCH($A$1,'DB Country PMI'!$A$1:$AZ$1,),)=0,#N/A,VLOOKUP(A52,'DB Country PMI'!$A:$AZ,MATCH($A$1,'DB Country PMI'!$A$1:$AZ$1,),))</f>
        <v/>
      </c>
      <c r="C52" s="24">
        <f>Table13468111214151617181920[[#This Row],[PMI]]-B51</f>
        <v/>
      </c>
    </row>
    <row r="53">
      <c r="A53" s="10" t="n">
        <v>41883</v>
      </c>
      <c r="B53" s="18">
        <f>IF(VLOOKUP(A53,'DB Country PMI'!$A:$AZ,MATCH($A$1,'DB Country PMI'!$A$1:$AZ$1,),)=0,#N/A,VLOOKUP(A53,'DB Country PMI'!$A:$AZ,MATCH($A$1,'DB Country PMI'!$A$1:$AZ$1,),))</f>
        <v/>
      </c>
      <c r="C53" s="24">
        <f>Table13468111214151617181920[[#This Row],[PMI]]-B52</f>
        <v/>
      </c>
    </row>
    <row r="54">
      <c r="A54" s="10" t="n">
        <v>41913</v>
      </c>
      <c r="B54" s="18">
        <f>IF(VLOOKUP(A54,'DB Country PMI'!$A:$AZ,MATCH($A$1,'DB Country PMI'!$A$1:$AZ$1,),)=0,#N/A,VLOOKUP(A54,'DB Country PMI'!$A:$AZ,MATCH($A$1,'DB Country PMI'!$A$1:$AZ$1,),))</f>
        <v/>
      </c>
      <c r="C54" s="24">
        <f>Table13468111214151617181920[[#This Row],[PMI]]-B53</f>
        <v/>
      </c>
    </row>
    <row r="55">
      <c r="A55" s="10" t="n">
        <v>41944</v>
      </c>
      <c r="B55" s="18">
        <f>IF(VLOOKUP(A55,'DB Country PMI'!$A:$AZ,MATCH($A$1,'DB Country PMI'!$A$1:$AZ$1,),)=0,#N/A,VLOOKUP(A55,'DB Country PMI'!$A:$AZ,MATCH($A$1,'DB Country PMI'!$A$1:$AZ$1,),))</f>
        <v/>
      </c>
      <c r="C55" s="24">
        <f>Table13468111214151617181920[[#This Row],[PMI]]-B54</f>
        <v/>
      </c>
    </row>
    <row r="56">
      <c r="A56" s="10" t="n">
        <v>41974</v>
      </c>
      <c r="B56" s="18">
        <f>IF(VLOOKUP(A56,'DB Country PMI'!$A:$AZ,MATCH($A$1,'DB Country PMI'!$A$1:$AZ$1,),)=0,#N/A,VLOOKUP(A56,'DB Country PMI'!$A:$AZ,MATCH($A$1,'DB Country PMI'!$A$1:$AZ$1,),))</f>
        <v/>
      </c>
      <c r="C56" s="24">
        <f>Table13468111214151617181920[[#This Row],[PMI]]-B55</f>
        <v/>
      </c>
    </row>
    <row r="57">
      <c r="A57" s="10" t="n">
        <v>42005</v>
      </c>
      <c r="B57" s="18">
        <f>IF(VLOOKUP(A57,'DB Country PMI'!$A:$AZ,MATCH($A$1,'DB Country PMI'!$A$1:$AZ$1,),)=0,#N/A,VLOOKUP(A57,'DB Country PMI'!$A:$AZ,MATCH($A$1,'DB Country PMI'!$A$1:$AZ$1,),))</f>
        <v/>
      </c>
      <c r="C57" s="24">
        <f>Table13468111214151617181920[[#This Row],[PMI]]-B56</f>
        <v/>
      </c>
    </row>
    <row r="58">
      <c r="A58" s="10" t="n">
        <v>42036</v>
      </c>
      <c r="B58" s="18">
        <f>IF(VLOOKUP(A58,'DB Country PMI'!$A:$AZ,MATCH($A$1,'DB Country PMI'!$A$1:$AZ$1,),)=0,#N/A,VLOOKUP(A58,'DB Country PMI'!$A:$AZ,MATCH($A$1,'DB Country PMI'!$A$1:$AZ$1,),))</f>
        <v/>
      </c>
      <c r="C58" s="24">
        <f>Table13468111214151617181920[[#This Row],[PMI]]-B57</f>
        <v/>
      </c>
    </row>
    <row r="59">
      <c r="A59" s="10" t="n">
        <v>42064</v>
      </c>
      <c r="B59" s="18">
        <f>IF(VLOOKUP(A59,'DB Country PMI'!$A:$AZ,MATCH($A$1,'DB Country PMI'!$A$1:$AZ$1,),)=0,#N/A,VLOOKUP(A59,'DB Country PMI'!$A:$AZ,MATCH($A$1,'DB Country PMI'!$A$1:$AZ$1,),))</f>
        <v/>
      </c>
      <c r="C59" s="24">
        <f>Table13468111214151617181920[[#This Row],[PMI]]-B58</f>
        <v/>
      </c>
    </row>
    <row r="60">
      <c r="A60" s="10" t="n">
        <v>42095</v>
      </c>
      <c r="B60" s="18">
        <f>IF(VLOOKUP(A60,'DB Country PMI'!$A:$AZ,MATCH($A$1,'DB Country PMI'!$A$1:$AZ$1,),)=0,#N/A,VLOOKUP(A60,'DB Country PMI'!$A:$AZ,MATCH($A$1,'DB Country PMI'!$A$1:$AZ$1,),))</f>
        <v/>
      </c>
      <c r="C60" s="24">
        <f>Table13468111214151617181920[[#This Row],[PMI]]-B59</f>
        <v/>
      </c>
    </row>
    <row r="61">
      <c r="A61" s="10" t="n">
        <v>42125</v>
      </c>
      <c r="B61" s="18">
        <f>IF(VLOOKUP(A61,'DB Country PMI'!$A:$AZ,MATCH($A$1,'DB Country PMI'!$A$1:$AZ$1,),)=0,#N/A,VLOOKUP(A61,'DB Country PMI'!$A:$AZ,MATCH($A$1,'DB Country PMI'!$A$1:$AZ$1,),))</f>
        <v/>
      </c>
      <c r="C61" s="24">
        <f>Table13468111214151617181920[[#This Row],[PMI]]-B60</f>
        <v/>
      </c>
    </row>
    <row r="62">
      <c r="A62" s="10" t="n">
        <v>42156</v>
      </c>
      <c r="B62" s="18">
        <f>IF(VLOOKUP(A62,'DB Country PMI'!$A:$AZ,MATCH($A$1,'DB Country PMI'!$A$1:$AZ$1,),)=0,#N/A,VLOOKUP(A62,'DB Country PMI'!$A:$AZ,MATCH($A$1,'DB Country PMI'!$A$1:$AZ$1,),))</f>
        <v/>
      </c>
      <c r="C62" s="24">
        <f>Table13468111214151617181920[[#This Row],[PMI]]-B61</f>
        <v/>
      </c>
    </row>
    <row r="63">
      <c r="A63" s="10" t="n">
        <v>42186</v>
      </c>
      <c r="B63" s="18">
        <f>IF(VLOOKUP(A63,'DB Country PMI'!$A:$AZ,MATCH($A$1,'DB Country PMI'!$A$1:$AZ$1,),)=0,#N/A,VLOOKUP(A63,'DB Country PMI'!$A:$AZ,MATCH($A$1,'DB Country PMI'!$A$1:$AZ$1,),))</f>
        <v/>
      </c>
      <c r="C63" s="24">
        <f>Table13468111214151617181920[[#This Row],[PMI]]-B62</f>
        <v/>
      </c>
    </row>
    <row r="64">
      <c r="A64" s="10" t="n">
        <v>42217</v>
      </c>
      <c r="B64" s="18">
        <f>IF(VLOOKUP(A64,'DB Country PMI'!$A:$AZ,MATCH($A$1,'DB Country PMI'!$A$1:$AZ$1,),)=0,#N/A,VLOOKUP(A64,'DB Country PMI'!$A:$AZ,MATCH($A$1,'DB Country PMI'!$A$1:$AZ$1,),))</f>
        <v/>
      </c>
      <c r="C64" s="24">
        <f>Table13468111214151617181920[[#This Row],[PMI]]-B63</f>
        <v/>
      </c>
    </row>
    <row r="65">
      <c r="A65" s="10" t="n">
        <v>42248</v>
      </c>
      <c r="B65" s="18">
        <f>IF(VLOOKUP(A65,'DB Country PMI'!$A:$AZ,MATCH($A$1,'DB Country PMI'!$A$1:$AZ$1,),)=0,#N/A,VLOOKUP(A65,'DB Country PMI'!$A:$AZ,MATCH($A$1,'DB Country PMI'!$A$1:$AZ$1,),))</f>
        <v/>
      </c>
      <c r="C65" s="24">
        <f>Table13468111214151617181920[[#This Row],[PMI]]-B64</f>
        <v/>
      </c>
    </row>
    <row r="66">
      <c r="A66" s="10" t="n">
        <v>42278</v>
      </c>
      <c r="B66" s="18">
        <f>IF(VLOOKUP(A66,'DB Country PMI'!$A:$AZ,MATCH($A$1,'DB Country PMI'!$A$1:$AZ$1,),)=0,#N/A,VLOOKUP(A66,'DB Country PMI'!$A:$AZ,MATCH($A$1,'DB Country PMI'!$A$1:$AZ$1,),))</f>
        <v/>
      </c>
      <c r="C66" s="24">
        <f>Table13468111214151617181920[[#This Row],[PMI]]-B65</f>
        <v/>
      </c>
    </row>
    <row r="67">
      <c r="A67" s="10" t="n">
        <v>42309</v>
      </c>
      <c r="B67" s="18">
        <f>IF(VLOOKUP(A67,'DB Country PMI'!$A:$AZ,MATCH($A$1,'DB Country PMI'!$A$1:$AZ$1,),)=0,#N/A,VLOOKUP(A67,'DB Country PMI'!$A:$AZ,MATCH($A$1,'DB Country PMI'!$A$1:$AZ$1,),))</f>
        <v/>
      </c>
      <c r="C67" s="24">
        <f>Table13468111214151617181920[[#This Row],[PMI]]-B66</f>
        <v/>
      </c>
    </row>
    <row r="68">
      <c r="A68" s="10" t="n">
        <v>42339</v>
      </c>
      <c r="B68" s="18">
        <f>IF(VLOOKUP(A68,'DB Country PMI'!$A:$AZ,MATCH($A$1,'DB Country PMI'!$A$1:$AZ$1,),)=0,#N/A,VLOOKUP(A68,'DB Country PMI'!$A:$AZ,MATCH($A$1,'DB Country PMI'!$A$1:$AZ$1,),))</f>
        <v/>
      </c>
      <c r="C68" s="24">
        <f>Table13468111214151617181920[[#This Row],[PMI]]-B67</f>
        <v/>
      </c>
    </row>
    <row r="69">
      <c r="A69" s="10" t="n">
        <v>42370</v>
      </c>
      <c r="B69" s="18">
        <f>IF(VLOOKUP(A69,'DB Country PMI'!$A:$AZ,MATCH($A$1,'DB Country PMI'!$A$1:$AZ$1,),)=0,#N/A,VLOOKUP(A69,'DB Country PMI'!$A:$AZ,MATCH($A$1,'DB Country PMI'!$A$1:$AZ$1,),))</f>
        <v/>
      </c>
      <c r="C69" s="24">
        <f>Table13468111214151617181920[[#This Row],[PMI]]-B68</f>
        <v/>
      </c>
    </row>
    <row r="70">
      <c r="A70" s="10" t="n">
        <v>42401</v>
      </c>
      <c r="B70" s="18">
        <f>IF(VLOOKUP(A70,'DB Country PMI'!$A:$AZ,MATCH($A$1,'DB Country PMI'!$A$1:$AZ$1,),)=0,#N/A,VLOOKUP(A70,'DB Country PMI'!$A:$AZ,MATCH($A$1,'DB Country PMI'!$A$1:$AZ$1,),))</f>
        <v/>
      </c>
      <c r="C70" s="24">
        <f>Table13468111214151617181920[[#This Row],[PMI]]-B69</f>
        <v/>
      </c>
    </row>
    <row r="71">
      <c r="A71" s="10" t="n">
        <v>42430</v>
      </c>
      <c r="B71" s="18">
        <f>IF(VLOOKUP(A71,'DB Country PMI'!$A:$AZ,MATCH($A$1,'DB Country PMI'!$A$1:$AZ$1,),)=0,#N/A,VLOOKUP(A71,'DB Country PMI'!$A:$AZ,MATCH($A$1,'DB Country PMI'!$A$1:$AZ$1,),))</f>
        <v/>
      </c>
      <c r="C71" s="24">
        <f>Table13468111214151617181920[[#This Row],[PMI]]-B70</f>
        <v/>
      </c>
    </row>
    <row r="72">
      <c r="A72" s="10" t="n">
        <v>42461</v>
      </c>
      <c r="B72" s="18">
        <f>IF(VLOOKUP(A72,'DB Country PMI'!$A:$AZ,MATCH($A$1,'DB Country PMI'!$A$1:$AZ$1,),)=0,#N/A,VLOOKUP(A72,'DB Country PMI'!$A:$AZ,MATCH($A$1,'DB Country PMI'!$A$1:$AZ$1,),))</f>
        <v/>
      </c>
      <c r="C72" s="24">
        <f>Table13468111214151617181920[[#This Row],[PMI]]-B71</f>
        <v/>
      </c>
    </row>
    <row r="73">
      <c r="A73" s="10" t="n">
        <v>42491</v>
      </c>
      <c r="B73" s="18">
        <f>IF(VLOOKUP(A73,'DB Country PMI'!$A:$AZ,MATCH($A$1,'DB Country PMI'!$A$1:$AZ$1,),)=0,#N/A,VLOOKUP(A73,'DB Country PMI'!$A:$AZ,MATCH($A$1,'DB Country PMI'!$A$1:$AZ$1,),))</f>
        <v/>
      </c>
      <c r="C73" s="24">
        <f>Table13468111214151617181920[[#This Row],[PMI]]-B72</f>
        <v/>
      </c>
    </row>
    <row r="74">
      <c r="A74" s="10" t="n">
        <v>42522</v>
      </c>
      <c r="B74" s="18">
        <f>IF(VLOOKUP(A74,'DB Country PMI'!$A:$AZ,MATCH($A$1,'DB Country PMI'!$A$1:$AZ$1,),)=0,#N/A,VLOOKUP(A74,'DB Country PMI'!$A:$AZ,MATCH($A$1,'DB Country PMI'!$A$1:$AZ$1,),))</f>
        <v/>
      </c>
      <c r="C74" s="24">
        <f>Table13468111214151617181920[[#This Row],[PMI]]-B73</f>
        <v/>
      </c>
    </row>
    <row r="75">
      <c r="A75" s="10" t="n">
        <v>42552</v>
      </c>
      <c r="B75" s="18">
        <f>IF(VLOOKUP(A75,'DB Country PMI'!$A:$AZ,MATCH($A$1,'DB Country PMI'!$A$1:$AZ$1,),)=0,#N/A,VLOOKUP(A75,'DB Country PMI'!$A:$AZ,MATCH($A$1,'DB Country PMI'!$A$1:$AZ$1,),))</f>
        <v/>
      </c>
      <c r="C75" s="24">
        <f>Table13468111214151617181920[[#This Row],[PMI]]-B74</f>
        <v/>
      </c>
    </row>
    <row r="76">
      <c r="A76" s="10" t="n">
        <v>42583</v>
      </c>
      <c r="B76" s="18">
        <f>IF(VLOOKUP(A76,'DB Country PMI'!$A:$AZ,MATCH($A$1,'DB Country PMI'!$A$1:$AZ$1,),)=0,#N/A,VLOOKUP(A76,'DB Country PMI'!$A:$AZ,MATCH($A$1,'DB Country PMI'!$A$1:$AZ$1,),))</f>
        <v/>
      </c>
      <c r="C76" s="24">
        <f>Table13468111214151617181920[[#This Row],[PMI]]-B75</f>
        <v/>
      </c>
    </row>
    <row r="77">
      <c r="A77" s="10" t="n">
        <v>42614</v>
      </c>
      <c r="B77" s="18">
        <f>IF(VLOOKUP(A77,'DB Country PMI'!$A:$AZ,MATCH($A$1,'DB Country PMI'!$A$1:$AZ$1,),)=0,#N/A,VLOOKUP(A77,'DB Country PMI'!$A:$AZ,MATCH($A$1,'DB Country PMI'!$A$1:$AZ$1,),))</f>
        <v/>
      </c>
      <c r="C77" s="24">
        <f>Table13468111214151617181920[[#This Row],[PMI]]-B76</f>
        <v/>
      </c>
    </row>
    <row r="78">
      <c r="A78" s="10" t="n">
        <v>42644</v>
      </c>
      <c r="B78" s="18">
        <f>IF(VLOOKUP(A78,'DB Country PMI'!$A:$AZ,MATCH($A$1,'DB Country PMI'!$A$1:$AZ$1,),)=0,#N/A,VLOOKUP(A78,'DB Country PMI'!$A:$AZ,MATCH($A$1,'DB Country PMI'!$A$1:$AZ$1,),))</f>
        <v/>
      </c>
      <c r="C78" s="24">
        <f>Table13468111214151617181920[[#This Row],[PMI]]-B77</f>
        <v/>
      </c>
    </row>
    <row r="79">
      <c r="A79" s="10" t="n">
        <v>42675</v>
      </c>
      <c r="B79" s="18">
        <f>IF(VLOOKUP(A79,'DB Country PMI'!$A:$AZ,MATCH($A$1,'DB Country PMI'!$A$1:$AZ$1,),)=0,#N/A,VLOOKUP(A79,'DB Country PMI'!$A:$AZ,MATCH($A$1,'DB Country PMI'!$A$1:$AZ$1,),))</f>
        <v/>
      </c>
      <c r="C79" s="24">
        <f>Table13468111214151617181920[[#This Row],[PMI]]-B78</f>
        <v/>
      </c>
    </row>
    <row r="80">
      <c r="A80" s="10" t="n">
        <v>42705</v>
      </c>
      <c r="B80" s="18">
        <f>IF(VLOOKUP(A80,'DB Country PMI'!$A:$AZ,MATCH($A$1,'DB Country PMI'!$A$1:$AZ$1,),)=0,#N/A,VLOOKUP(A80,'DB Country PMI'!$A:$AZ,MATCH($A$1,'DB Country PMI'!$A$1:$AZ$1,),))</f>
        <v/>
      </c>
      <c r="C80" s="24">
        <f>Table13468111214151617181920[[#This Row],[PMI]]-B79</f>
        <v/>
      </c>
    </row>
    <row r="81">
      <c r="A81" s="10" t="n">
        <v>42736</v>
      </c>
      <c r="B81" s="18">
        <f>IF(VLOOKUP(A81,'DB Country PMI'!$A:$AZ,MATCH($A$1,'DB Country PMI'!$A$1:$AZ$1,),)=0,#N/A,VLOOKUP(A81,'DB Country PMI'!$A:$AZ,MATCH($A$1,'DB Country PMI'!$A$1:$AZ$1,),))</f>
        <v/>
      </c>
      <c r="C81" s="24">
        <f>Table13468111214151617181920[[#This Row],[PMI]]-B80</f>
        <v/>
      </c>
    </row>
    <row r="82">
      <c r="A82" s="10" t="n">
        <v>42767</v>
      </c>
      <c r="B82" s="18">
        <f>IF(VLOOKUP(A82,'DB Country PMI'!$A:$AZ,MATCH($A$1,'DB Country PMI'!$A$1:$AZ$1,),)=0,#N/A,VLOOKUP(A82,'DB Country PMI'!$A:$AZ,MATCH($A$1,'DB Country PMI'!$A$1:$AZ$1,),))</f>
        <v/>
      </c>
      <c r="C82" s="24">
        <f>Table13468111214151617181920[[#This Row],[PMI]]-B81</f>
        <v/>
      </c>
    </row>
    <row r="83">
      <c r="A83" s="10" t="n">
        <v>42795</v>
      </c>
      <c r="B83" s="18">
        <f>IF(VLOOKUP(A83,'DB Country PMI'!$A:$AZ,MATCH($A$1,'DB Country PMI'!$A$1:$AZ$1,),)=0,#N/A,VLOOKUP(A83,'DB Country PMI'!$A:$AZ,MATCH($A$1,'DB Country PMI'!$A$1:$AZ$1,),))</f>
        <v/>
      </c>
      <c r="C83" s="24">
        <f>Table13468111214151617181920[[#This Row],[PMI]]-B82</f>
        <v/>
      </c>
    </row>
    <row r="84">
      <c r="A84" s="10" t="n">
        <v>42826</v>
      </c>
      <c r="B84" s="18">
        <f>IF(VLOOKUP(A84,'DB Country PMI'!$A:$AZ,MATCH($A$1,'DB Country PMI'!$A$1:$AZ$1,),)=0,#N/A,VLOOKUP(A84,'DB Country PMI'!$A:$AZ,MATCH($A$1,'DB Country PMI'!$A$1:$AZ$1,),))</f>
        <v/>
      </c>
      <c r="C84" s="24">
        <f>Table13468111214151617181920[[#This Row],[PMI]]-B83</f>
        <v/>
      </c>
    </row>
    <row r="85">
      <c r="A85" s="10" t="n">
        <v>42856</v>
      </c>
      <c r="B85" s="18">
        <f>IF(VLOOKUP(A85,'DB Country PMI'!$A:$AZ,MATCH($A$1,'DB Country PMI'!$A$1:$AZ$1,),)=0,#N/A,VLOOKUP(A85,'DB Country PMI'!$A:$AZ,MATCH($A$1,'DB Country PMI'!$A$1:$AZ$1,),))</f>
        <v/>
      </c>
      <c r="C85" s="24">
        <f>Table13468111214151617181920[[#This Row],[PMI]]-B84</f>
        <v/>
      </c>
    </row>
    <row r="86">
      <c r="A86" s="10" t="n">
        <v>42887</v>
      </c>
      <c r="B86" s="18">
        <f>IF(VLOOKUP(A86,'DB Country PMI'!$A:$AZ,MATCH($A$1,'DB Country PMI'!$A$1:$AZ$1,),)=0,#N/A,VLOOKUP(A86,'DB Country PMI'!$A:$AZ,MATCH($A$1,'DB Country PMI'!$A$1:$AZ$1,),))</f>
        <v/>
      </c>
      <c r="C86" s="24">
        <f>Table13468111214151617181920[[#This Row],[PMI]]-B85</f>
        <v/>
      </c>
    </row>
    <row r="87">
      <c r="A87" s="10" t="n">
        <v>42917</v>
      </c>
      <c r="B87" s="18">
        <f>IF(VLOOKUP(A87,'DB Country PMI'!$A:$AZ,MATCH($A$1,'DB Country PMI'!$A$1:$AZ$1,),)=0,#N/A,VLOOKUP(A87,'DB Country PMI'!$A:$AZ,MATCH($A$1,'DB Country PMI'!$A$1:$AZ$1,),))</f>
        <v/>
      </c>
      <c r="C87" s="24">
        <f>Table13468111214151617181920[[#This Row],[PMI]]-B86</f>
        <v/>
      </c>
    </row>
    <row r="88">
      <c r="A88" s="10" t="n">
        <v>42948</v>
      </c>
      <c r="B88" s="18">
        <f>IF(VLOOKUP(A88,'DB Country PMI'!$A:$AZ,MATCH($A$1,'DB Country PMI'!$A$1:$AZ$1,),)=0,#N/A,VLOOKUP(A88,'DB Country PMI'!$A:$AZ,MATCH($A$1,'DB Country PMI'!$A$1:$AZ$1,),))</f>
        <v/>
      </c>
      <c r="C88" s="24">
        <f>Table13468111214151617181920[[#This Row],[PMI]]-B87</f>
        <v/>
      </c>
    </row>
    <row r="89">
      <c r="A89" s="10" t="n">
        <v>42979</v>
      </c>
      <c r="B89" s="18">
        <f>IF(VLOOKUP(A89,'DB Country PMI'!$A:$AZ,MATCH($A$1,'DB Country PMI'!$A$1:$AZ$1,),)=0,#N/A,VLOOKUP(A89,'DB Country PMI'!$A:$AZ,MATCH($A$1,'DB Country PMI'!$A$1:$AZ$1,),))</f>
        <v/>
      </c>
      <c r="C89" s="24">
        <f>Table13468111214151617181920[[#This Row],[PMI]]-B88</f>
        <v/>
      </c>
    </row>
    <row r="90">
      <c r="A90" s="10" t="n">
        <v>43009</v>
      </c>
      <c r="B90" s="18">
        <f>IF(VLOOKUP(A90,'DB Country PMI'!$A:$AZ,MATCH($A$1,'DB Country PMI'!$A$1:$AZ$1,),)=0,#N/A,VLOOKUP(A90,'DB Country PMI'!$A:$AZ,MATCH($A$1,'DB Country PMI'!$A$1:$AZ$1,),))</f>
        <v/>
      </c>
      <c r="C90" s="24">
        <f>Table13468111214151617181920[[#This Row],[PMI]]-B89</f>
        <v/>
      </c>
    </row>
    <row r="91">
      <c r="A91" s="10" t="n">
        <v>43040</v>
      </c>
      <c r="B91" s="18">
        <f>IF(VLOOKUP(A91,'DB Country PMI'!$A:$AZ,MATCH($A$1,'DB Country PMI'!$A$1:$AZ$1,),)=0,#N/A,VLOOKUP(A91,'DB Country PMI'!$A:$AZ,MATCH($A$1,'DB Country PMI'!$A$1:$AZ$1,),))</f>
        <v/>
      </c>
      <c r="C91" s="24">
        <f>Table13468111214151617181920[[#This Row],[PMI]]-B90</f>
        <v/>
      </c>
    </row>
    <row r="92">
      <c r="A92" s="10" t="n">
        <v>43070</v>
      </c>
      <c r="B92" s="18">
        <f>IF(VLOOKUP(A92,'DB Country PMI'!$A:$AZ,MATCH($A$1,'DB Country PMI'!$A$1:$AZ$1,),)=0,#N/A,VLOOKUP(A92,'DB Country PMI'!$A:$AZ,MATCH($A$1,'DB Country PMI'!$A$1:$AZ$1,),))</f>
        <v/>
      </c>
      <c r="C92" s="24">
        <f>Table13468111214151617181920[[#This Row],[PMI]]-B91</f>
        <v/>
      </c>
    </row>
    <row r="93">
      <c r="A93" s="10" t="n">
        <v>43101</v>
      </c>
      <c r="B93" s="18">
        <f>IF(VLOOKUP(A93,'DB Country PMI'!$A:$AZ,MATCH($A$1,'DB Country PMI'!$A$1:$AZ$1,),)=0,#N/A,VLOOKUP(A93,'DB Country PMI'!$A:$AZ,MATCH($A$1,'DB Country PMI'!$A$1:$AZ$1,),))</f>
        <v/>
      </c>
      <c r="C93" s="24">
        <f>Table13468111214151617181920[[#This Row],[PMI]]-B92</f>
        <v/>
      </c>
    </row>
    <row r="94">
      <c r="A94" s="10" t="n">
        <v>43132</v>
      </c>
      <c r="B94" s="18">
        <f>IF(VLOOKUP(A94,'DB Country PMI'!$A:$AZ,MATCH($A$1,'DB Country PMI'!$A$1:$AZ$1,),)=0,#N/A,VLOOKUP(A94,'DB Country PMI'!$A:$AZ,MATCH($A$1,'DB Country PMI'!$A$1:$AZ$1,),))</f>
        <v/>
      </c>
      <c r="C94" s="24">
        <f>Table13468111214151617181920[[#This Row],[PMI]]-B93</f>
        <v/>
      </c>
    </row>
    <row r="95">
      <c r="A95" s="10" t="n">
        <v>43160</v>
      </c>
      <c r="B95" s="18">
        <f>IF(VLOOKUP(A95,'DB Country PMI'!$A:$AZ,MATCH($A$1,'DB Country PMI'!$A$1:$AZ$1,),)=0,#N/A,VLOOKUP(A95,'DB Country PMI'!$A:$AZ,MATCH($A$1,'DB Country PMI'!$A$1:$AZ$1,),))</f>
        <v/>
      </c>
      <c r="C95" s="24">
        <f>Table13468111214151617181920[[#This Row],[PMI]]-B94</f>
        <v/>
      </c>
    </row>
    <row r="96">
      <c r="A96" s="10" t="n">
        <v>43191</v>
      </c>
      <c r="B96" s="18">
        <f>IF(VLOOKUP(A96,'DB Country PMI'!$A:$AZ,MATCH($A$1,'DB Country PMI'!$A$1:$AZ$1,),)=0,#N/A,VLOOKUP(A96,'DB Country PMI'!$A:$AZ,MATCH($A$1,'DB Country PMI'!$A$1:$AZ$1,),))</f>
        <v/>
      </c>
      <c r="C96" s="24">
        <f>Table13468111214151617181920[[#This Row],[PMI]]-B95</f>
        <v/>
      </c>
    </row>
    <row r="97">
      <c r="A97" s="10" t="n">
        <v>43221</v>
      </c>
      <c r="B97" s="18">
        <f>IF(VLOOKUP(A97,'DB Country PMI'!$A:$AZ,MATCH($A$1,'DB Country PMI'!$A$1:$AZ$1,),)=0,#N/A,VLOOKUP(A97,'DB Country PMI'!$A:$AZ,MATCH($A$1,'DB Country PMI'!$A$1:$AZ$1,),))</f>
        <v/>
      </c>
      <c r="C97" s="24">
        <f>Table13468111214151617181920[[#This Row],[PMI]]-B96</f>
        <v/>
      </c>
    </row>
    <row r="98">
      <c r="A98" s="10" t="n">
        <v>43252</v>
      </c>
      <c r="B98" s="18">
        <f>IF(VLOOKUP(A98,'DB Country PMI'!$A:$AZ,MATCH($A$1,'DB Country PMI'!$A$1:$AZ$1,),)=0,#N/A,VLOOKUP(A98,'DB Country PMI'!$A:$AZ,MATCH($A$1,'DB Country PMI'!$A$1:$AZ$1,),))</f>
        <v/>
      </c>
      <c r="C98" s="24">
        <f>Table13468111214151617181920[[#This Row],[PMI]]-B97</f>
        <v/>
      </c>
    </row>
    <row r="99">
      <c r="A99" s="10" t="n">
        <v>43282</v>
      </c>
      <c r="B99" s="18">
        <f>IF(VLOOKUP(A99,'DB Country PMI'!$A:$AZ,MATCH($A$1,'DB Country PMI'!$A$1:$AZ$1,),)=0,#N/A,VLOOKUP(A99,'DB Country PMI'!$A:$AZ,MATCH($A$1,'DB Country PMI'!$A$1:$AZ$1,),))</f>
        <v/>
      </c>
      <c r="C99" s="24">
        <f>Table13468111214151617181920[[#This Row],[PMI]]-B98</f>
        <v/>
      </c>
    </row>
    <row r="100">
      <c r="A100" s="10" t="n">
        <v>43313</v>
      </c>
      <c r="B100" s="18">
        <f>IF(VLOOKUP(A100,'DB Country PMI'!$A:$AZ,MATCH($A$1,'DB Country PMI'!$A$1:$AZ$1,),)=0,#N/A,VLOOKUP(A100,'DB Country PMI'!$A:$AZ,MATCH($A$1,'DB Country PMI'!$A$1:$AZ$1,),))</f>
        <v/>
      </c>
      <c r="C100" s="24">
        <f>Table13468111214151617181920[[#This Row],[PMI]]-B99</f>
        <v/>
      </c>
    </row>
    <row r="101">
      <c r="A101" s="10" t="n">
        <v>43344</v>
      </c>
      <c r="B101" s="18">
        <f>IF(VLOOKUP(A101,'DB Country PMI'!$A:$AZ,MATCH($A$1,'DB Country PMI'!$A$1:$AZ$1,),)=0,#N/A,VLOOKUP(A101,'DB Country PMI'!$A:$AZ,MATCH($A$1,'DB Country PMI'!$A$1:$AZ$1,),))</f>
        <v/>
      </c>
      <c r="C101" s="24">
        <f>Table13468111214151617181920[[#This Row],[PMI]]-B100</f>
        <v/>
      </c>
    </row>
    <row r="102">
      <c r="A102" s="10" t="n">
        <v>43374</v>
      </c>
      <c r="B102" s="18">
        <f>IF(VLOOKUP(A102,'DB Country PMI'!$A:$AZ,MATCH($A$1,'DB Country PMI'!$A$1:$AZ$1,),)=0,#N/A,VLOOKUP(A102,'DB Country PMI'!$A:$AZ,MATCH($A$1,'DB Country PMI'!$A$1:$AZ$1,),))</f>
        <v/>
      </c>
      <c r="C102" s="24">
        <f>Table13468111214151617181920[[#This Row],[PMI]]-B101</f>
        <v/>
      </c>
    </row>
    <row r="103">
      <c r="A103" s="10" t="n">
        <v>43405</v>
      </c>
      <c r="B103" s="18">
        <f>IF(VLOOKUP(A103,'DB Country PMI'!$A:$AZ,MATCH($A$1,'DB Country PMI'!$A$1:$AZ$1,),)=0,#N/A,VLOOKUP(A103,'DB Country PMI'!$A:$AZ,MATCH($A$1,'DB Country PMI'!$A$1:$AZ$1,),))</f>
        <v/>
      </c>
      <c r="C103" s="24">
        <f>Table13468111214151617181920[[#This Row],[PMI]]-B102</f>
        <v/>
      </c>
    </row>
    <row r="104">
      <c r="A104" s="10" t="n">
        <v>43435</v>
      </c>
      <c r="B104" s="18">
        <f>IF(VLOOKUP(A104,'DB Country PMI'!$A:$AZ,MATCH($A$1,'DB Country PMI'!$A$1:$AZ$1,),)=0,#N/A,VLOOKUP(A104,'DB Country PMI'!$A:$AZ,MATCH($A$1,'DB Country PMI'!$A$1:$AZ$1,),))</f>
        <v/>
      </c>
      <c r="C104" s="24">
        <f>Table13468111214151617181920[[#This Row],[PMI]]-B103</f>
        <v/>
      </c>
    </row>
    <row r="105">
      <c r="A105" s="10" t="n">
        <v>43466</v>
      </c>
      <c r="B105" s="18">
        <f>IF(VLOOKUP(A105,'DB Country PMI'!$A:$AZ,MATCH($A$1,'DB Country PMI'!$A$1:$AZ$1,),)=0,#N/A,VLOOKUP(A105,'DB Country PMI'!$A:$AZ,MATCH($A$1,'DB Country PMI'!$A$1:$AZ$1,),))</f>
        <v/>
      </c>
      <c r="C105" s="24">
        <f>Table13468111214151617181920[[#This Row],[PMI]]-B104</f>
        <v/>
      </c>
    </row>
    <row r="106">
      <c r="A106" s="10" t="n">
        <v>43497</v>
      </c>
      <c r="B106" s="18">
        <f>IF(VLOOKUP(A106,'DB Country PMI'!$A:$AZ,MATCH($A$1,'DB Country PMI'!$A$1:$AZ$1,),)=0,#N/A,VLOOKUP(A106,'DB Country PMI'!$A:$AZ,MATCH($A$1,'DB Country PMI'!$A$1:$AZ$1,),))</f>
        <v/>
      </c>
      <c r="C106" s="24">
        <f>Table13468111214151617181920[[#This Row],[PMI]]-B105</f>
        <v/>
      </c>
    </row>
    <row r="107">
      <c r="A107" s="10" t="n">
        <v>43525</v>
      </c>
      <c r="B107" s="18">
        <f>IF(VLOOKUP(A107,'DB Country PMI'!$A:$AZ,MATCH($A$1,'DB Country PMI'!$A$1:$AZ$1,),)=0,#N/A,VLOOKUP(A107,'DB Country PMI'!$A:$AZ,MATCH($A$1,'DB Country PMI'!$A$1:$AZ$1,),))</f>
        <v/>
      </c>
      <c r="C107" s="24">
        <f>Table13468111214151617181920[[#This Row],[PMI]]-B106</f>
        <v/>
      </c>
    </row>
    <row r="108">
      <c r="A108" s="10" t="n">
        <v>43556</v>
      </c>
      <c r="B108" s="18">
        <f>IF(VLOOKUP(A108,'DB Country PMI'!$A:$AZ,MATCH($A$1,'DB Country PMI'!$A$1:$AZ$1,),)=0,#N/A,VLOOKUP(A108,'DB Country PMI'!$A:$AZ,MATCH($A$1,'DB Country PMI'!$A$1:$AZ$1,),))</f>
        <v/>
      </c>
      <c r="C108" s="24">
        <f>Table13468111214151617181920[[#This Row],[PMI]]-B107</f>
        <v/>
      </c>
    </row>
    <row r="109">
      <c r="A109" s="10" t="n">
        <v>43586</v>
      </c>
      <c r="B109" s="18">
        <f>IF(VLOOKUP(A109,'DB Country PMI'!$A:$AZ,MATCH($A$1,'DB Country PMI'!$A$1:$AZ$1,),)=0,#N/A,VLOOKUP(A109,'DB Country PMI'!$A:$AZ,MATCH($A$1,'DB Country PMI'!$A$1:$AZ$1,),))</f>
        <v/>
      </c>
      <c r="C109" s="24">
        <f>Table13468111214151617181920[[#This Row],[PMI]]-B108</f>
        <v/>
      </c>
    </row>
    <row r="110">
      <c r="A110" s="10" t="n">
        <v>43617</v>
      </c>
      <c r="B110" s="18">
        <f>IF(VLOOKUP(A110,'DB Country PMI'!$A:$AZ,MATCH($A$1,'DB Country PMI'!$A$1:$AZ$1,),)=0,#N/A,VLOOKUP(A110,'DB Country PMI'!$A:$AZ,MATCH($A$1,'DB Country PMI'!$A$1:$AZ$1,),))</f>
        <v/>
      </c>
      <c r="C110" s="24">
        <f>Table13468111214151617181920[[#This Row],[PMI]]-B109</f>
        <v/>
      </c>
    </row>
    <row r="111">
      <c r="A111" s="10" t="n">
        <v>43647</v>
      </c>
      <c r="B111" s="18">
        <f>IF(VLOOKUP(A111,'DB Country PMI'!$A:$AZ,MATCH($A$1,'DB Country PMI'!$A$1:$AZ$1,),)=0,#N/A,VLOOKUP(A111,'DB Country PMI'!$A:$AZ,MATCH($A$1,'DB Country PMI'!$A$1:$AZ$1,),))</f>
        <v/>
      </c>
      <c r="C111" s="24">
        <f>Table13468111214151617181920[[#This Row],[PMI]]-B110</f>
        <v/>
      </c>
    </row>
    <row r="112">
      <c r="A112" s="10" t="n">
        <v>43678</v>
      </c>
      <c r="B112" s="18">
        <f>IF(VLOOKUP(A112,'DB Country PMI'!$A:$AZ,MATCH($A$1,'DB Country PMI'!$A$1:$AZ$1,),)=0,#N/A,VLOOKUP(A112,'DB Country PMI'!$A:$AZ,MATCH($A$1,'DB Country PMI'!$A$1:$AZ$1,),))</f>
        <v/>
      </c>
      <c r="C112" s="24">
        <f>Table13468111214151617181920[[#This Row],[PMI]]-B111</f>
        <v/>
      </c>
    </row>
    <row r="113">
      <c r="A113" s="10" t="n">
        <v>43709</v>
      </c>
      <c r="B113" s="18">
        <f>IF(VLOOKUP(A113,'DB Country PMI'!$A:$AZ,MATCH($A$1,'DB Country PMI'!$A$1:$AZ$1,),)=0,#N/A,VLOOKUP(A113,'DB Country PMI'!$A:$AZ,MATCH($A$1,'DB Country PMI'!$A$1:$AZ$1,),))</f>
        <v/>
      </c>
      <c r="C113" s="24">
        <f>Table13468111214151617181920[[#This Row],[PMI]]-B112</f>
        <v/>
      </c>
    </row>
    <row r="114">
      <c r="A114" s="10" t="n">
        <v>43739</v>
      </c>
      <c r="B114" s="18">
        <f>IF(VLOOKUP(A114,'DB Country PMI'!$A:$AZ,MATCH($A$1,'DB Country PMI'!$A$1:$AZ$1,),)=0,#N/A,VLOOKUP(A114,'DB Country PMI'!$A:$AZ,MATCH($A$1,'DB Country PMI'!$A$1:$AZ$1,),))</f>
        <v/>
      </c>
      <c r="C114" s="24">
        <f>Table13468111214151617181920[[#This Row],[PMI]]-B113</f>
        <v/>
      </c>
    </row>
    <row r="115">
      <c r="A115" s="10" t="n">
        <v>43770</v>
      </c>
      <c r="B115" s="18">
        <f>IF(VLOOKUP(A115,'DB Country PMI'!$A:$AZ,MATCH($A$1,'DB Country PMI'!$A$1:$AZ$1,),)=0,#N/A,VLOOKUP(A115,'DB Country PMI'!$A:$AZ,MATCH($A$1,'DB Country PMI'!$A$1:$AZ$1,),))</f>
        <v/>
      </c>
      <c r="C115" s="24">
        <f>Table13468111214151617181920[[#This Row],[PMI]]-B114</f>
        <v/>
      </c>
    </row>
    <row r="116">
      <c r="A116" s="10" t="n">
        <v>43800</v>
      </c>
      <c r="B116" s="18">
        <f>IF(VLOOKUP(A116,'DB Country PMI'!$A:$AZ,MATCH($A$1,'DB Country PMI'!$A$1:$AZ$1,),)=0,#N/A,VLOOKUP(A116,'DB Country PMI'!$A:$AZ,MATCH($A$1,'DB Country PMI'!$A$1:$AZ$1,),))</f>
        <v/>
      </c>
      <c r="C116" s="24">
        <f>Table13468111214151617181920[[#This Row],[PMI]]-B115</f>
        <v/>
      </c>
    </row>
    <row r="117">
      <c r="A117" s="10" t="n">
        <v>43831</v>
      </c>
      <c r="B117" s="18">
        <f>IF(VLOOKUP(A117,'DB Country PMI'!$A:$AZ,MATCH($A$1,'DB Country PMI'!$A$1:$AZ$1,),)=0,#N/A,VLOOKUP(A117,'DB Country PMI'!$A:$AZ,MATCH($A$1,'DB Country PMI'!$A$1:$AZ$1,),))</f>
        <v/>
      </c>
      <c r="C117" s="24">
        <f>Table13468111214151617181920[[#This Row],[PMI]]-B116</f>
        <v/>
      </c>
    </row>
    <row r="118">
      <c r="A118" s="10" t="n">
        <v>43862</v>
      </c>
      <c r="B118" s="18">
        <f>IF(VLOOKUP(A118,'DB Country PMI'!$A:$AZ,MATCH($A$1,'DB Country PMI'!$A$1:$AZ$1,),)=0,#N/A,VLOOKUP(A118,'DB Country PMI'!$A:$AZ,MATCH($A$1,'DB Country PMI'!$A$1:$AZ$1,),))</f>
        <v/>
      </c>
      <c r="C118" s="24">
        <f>Table13468111214151617181920[[#This Row],[PMI]]-B117</f>
        <v/>
      </c>
    </row>
    <row r="119">
      <c r="A119" s="10" t="n">
        <v>43891</v>
      </c>
      <c r="B119" s="18">
        <f>IF(VLOOKUP(A119,'DB Country PMI'!$A:$AZ,MATCH($A$1,'DB Country PMI'!$A$1:$AZ$1,),)=0,#N/A,VLOOKUP(A119,'DB Country PMI'!$A:$AZ,MATCH($A$1,'DB Country PMI'!$A$1:$AZ$1,),))</f>
        <v/>
      </c>
      <c r="C119" s="24">
        <f>Table13468111214151617181920[[#This Row],[PMI]]-B118</f>
        <v/>
      </c>
    </row>
    <row r="120">
      <c r="A120" s="10" t="n">
        <v>43922</v>
      </c>
      <c r="B120" s="18">
        <f>IF(VLOOKUP(A120,'DB Country PMI'!$A:$AZ,MATCH($A$1,'DB Country PMI'!$A$1:$AZ$1,),)=0,#N/A,VLOOKUP(A120,'DB Country PMI'!$A:$AZ,MATCH($A$1,'DB Country PMI'!$A$1:$AZ$1,),))</f>
        <v/>
      </c>
      <c r="C120" s="24">
        <f>Table13468111214151617181920[[#This Row],[PMI]]-B119</f>
        <v/>
      </c>
    </row>
    <row r="121">
      <c r="A121" s="10" t="n">
        <v>43952</v>
      </c>
      <c r="B121" s="18">
        <f>IF(VLOOKUP(A121,'DB Country PMI'!$A:$AZ,MATCH($A$1,'DB Country PMI'!$A$1:$AZ$1,),)=0,#N/A,VLOOKUP(A121,'DB Country PMI'!$A:$AZ,MATCH($A$1,'DB Country PMI'!$A$1:$AZ$1,),))</f>
        <v/>
      </c>
      <c r="C121" s="24">
        <f>Table13468111214151617181920[[#This Row],[PMI]]-B120</f>
        <v/>
      </c>
    </row>
    <row r="122">
      <c r="A122" s="10" t="n">
        <v>43983</v>
      </c>
      <c r="B122" s="18">
        <f>IF(VLOOKUP(A122,'DB Country PMI'!$A:$AZ,MATCH($A$1,'DB Country PMI'!$A$1:$AZ$1,),)=0,#N/A,VLOOKUP(A122,'DB Country PMI'!$A:$AZ,MATCH($A$1,'DB Country PMI'!$A$1:$AZ$1,),))</f>
        <v/>
      </c>
      <c r="C122" s="24">
        <f>Table13468111214151617181920[[#This Row],[PMI]]-B121</f>
        <v/>
      </c>
    </row>
    <row r="123">
      <c r="A123" s="10" t="n">
        <v>44013</v>
      </c>
      <c r="B123" s="18">
        <f>IF(VLOOKUP(A123,'DB Country PMI'!$A:$AZ,MATCH($A$1,'DB Country PMI'!$A$1:$AZ$1,),)=0,#N/A,VLOOKUP(A123,'DB Country PMI'!$A:$AZ,MATCH($A$1,'DB Country PMI'!$A$1:$AZ$1,),))</f>
        <v/>
      </c>
      <c r="C123" s="24">
        <f>Table13468111214151617181920[[#This Row],[PMI]]-B122</f>
        <v/>
      </c>
    </row>
    <row r="124">
      <c r="A124" s="10" t="n">
        <v>44044</v>
      </c>
      <c r="B124" s="18">
        <f>IF(VLOOKUP(A124,'DB Country PMI'!$A:$AZ,MATCH($A$1,'DB Country PMI'!$A$1:$AZ$1,),)=0,#N/A,VLOOKUP(A124,'DB Country PMI'!$A:$AZ,MATCH($A$1,'DB Country PMI'!$A$1:$AZ$1,),))</f>
        <v/>
      </c>
      <c r="C124" s="24">
        <f>Table13468111214151617181920[[#This Row],[PMI]]-B123</f>
        <v/>
      </c>
    </row>
    <row r="125">
      <c r="A125" s="10" t="n">
        <v>44075</v>
      </c>
      <c r="B125" s="18">
        <f>IF(VLOOKUP(A125,'DB Country PMI'!$A:$AZ,MATCH($A$1,'DB Country PMI'!$A$1:$AZ$1,),)=0,#N/A,VLOOKUP(A125,'DB Country PMI'!$A:$AZ,MATCH($A$1,'DB Country PMI'!$A$1:$AZ$1,),))</f>
        <v/>
      </c>
      <c r="C125" s="24">
        <f>Table13468111214151617181920[[#This Row],[PMI]]-B124</f>
        <v/>
      </c>
    </row>
    <row r="126">
      <c r="A126" s="10" t="n">
        <v>44105</v>
      </c>
      <c r="B126" s="18">
        <f>IF(VLOOKUP(A126,'DB Country PMI'!$A:$AZ,MATCH($A$1,'DB Country PMI'!$A$1:$AZ$1,),)=0,#N/A,VLOOKUP(A126,'DB Country PMI'!$A:$AZ,MATCH($A$1,'DB Country PMI'!$A$1:$AZ$1,),))</f>
        <v/>
      </c>
      <c r="C126" s="24">
        <f>Table13468111214151617181920[[#This Row],[PMI]]-B125</f>
        <v/>
      </c>
    </row>
    <row r="127">
      <c r="A127" s="10" t="n">
        <v>44136</v>
      </c>
      <c r="B127" s="18">
        <f>IF(VLOOKUP(A127,'DB Country PMI'!$A:$AZ,MATCH($A$1,'DB Country PMI'!$A$1:$AZ$1,),)=0,#N/A,VLOOKUP(A127,'DB Country PMI'!$A:$AZ,MATCH($A$1,'DB Country PMI'!$A$1:$AZ$1,),))</f>
        <v/>
      </c>
      <c r="C127" s="24">
        <f>Table13468111214151617181920[[#This Row],[PMI]]-B126</f>
        <v/>
      </c>
    </row>
    <row r="128">
      <c r="A128" s="10" t="n">
        <v>44166</v>
      </c>
      <c r="B128" s="18">
        <f>IF(VLOOKUP(A128,'DB Country PMI'!$A:$AZ,MATCH($A$1,'DB Country PMI'!$A$1:$AZ$1,),)=0,#N/A,VLOOKUP(A128,'DB Country PMI'!$A:$AZ,MATCH($A$1,'DB Country PMI'!$A$1:$AZ$1,),))</f>
        <v/>
      </c>
      <c r="C128" s="24">
        <f>Table13468111214151617181920[[#This Row],[PMI]]-B127</f>
        <v/>
      </c>
    </row>
    <row r="129">
      <c r="A129" s="10" t="n">
        <v>44197</v>
      </c>
      <c r="B129" s="18">
        <f>IF(VLOOKUP(A129,'DB Country PMI'!$A:$AZ,MATCH($A$1,'DB Country PMI'!$A$1:$AZ$1,),)=0,#N/A,VLOOKUP(A129,'DB Country PMI'!$A:$AZ,MATCH($A$1,'DB Country PMI'!$A$1:$AZ$1,),))</f>
        <v/>
      </c>
      <c r="C129" s="24">
        <f>Table13468111214151617181920[[#This Row],[PMI]]-B128</f>
        <v/>
      </c>
    </row>
    <row r="130">
      <c r="A130" s="10" t="n">
        <v>44228</v>
      </c>
      <c r="B130" s="18">
        <f>IF(VLOOKUP(A130,'DB Country PMI'!$A:$AZ,MATCH($A$1,'DB Country PMI'!$A$1:$AZ$1,),)=0,#N/A,VLOOKUP(A130,'DB Country PMI'!$A:$AZ,MATCH($A$1,'DB Country PMI'!$A$1:$AZ$1,),))</f>
        <v/>
      </c>
      <c r="C130" s="24">
        <f>Table13468111214151617181920[[#This Row],[PMI]]-B129</f>
        <v/>
      </c>
    </row>
    <row r="131">
      <c r="A131" s="10" t="n">
        <v>44256</v>
      </c>
      <c r="B131" s="18">
        <f>IF(VLOOKUP(A131,'DB Country PMI'!$A:$AZ,MATCH($A$1,'DB Country PMI'!$A$1:$AZ$1,),)=0,#N/A,VLOOKUP(A131,'DB Country PMI'!$A:$AZ,MATCH($A$1,'DB Country PMI'!$A$1:$AZ$1,),))</f>
        <v/>
      </c>
      <c r="C131" s="24">
        <f>Table13468111214151617181920[[#This Row],[PMI]]-B130</f>
        <v/>
      </c>
    </row>
    <row r="132">
      <c r="A132" s="10" t="n">
        <v>44287</v>
      </c>
      <c r="B132" s="18">
        <f>IF(VLOOKUP(A132,'DB Country PMI'!$A:$AZ,MATCH($A$1,'DB Country PMI'!$A$1:$AZ$1,),)=0,#N/A,VLOOKUP(A132,'DB Country PMI'!$A:$AZ,MATCH($A$1,'DB Country PMI'!$A$1:$AZ$1,),))</f>
        <v/>
      </c>
      <c r="C132" s="24">
        <f>Table13468111214151617181920[[#This Row],[PMI]]-B131</f>
        <v/>
      </c>
    </row>
    <row r="133">
      <c r="A133" s="10" t="n">
        <v>44317</v>
      </c>
      <c r="B133" s="18">
        <f>IF(VLOOKUP(A133,'DB Country PMI'!$A:$AZ,MATCH($A$1,'DB Country PMI'!$A$1:$AZ$1,),)=0,#N/A,VLOOKUP(A133,'DB Country PMI'!$A:$AZ,MATCH($A$1,'DB Country PMI'!$A$1:$AZ$1,),))</f>
        <v/>
      </c>
      <c r="C133" s="24">
        <f>Table13468111214151617181920[[#This Row],[PMI]]-B132</f>
        <v/>
      </c>
    </row>
    <row r="134">
      <c r="A134" s="10" t="n">
        <v>44348</v>
      </c>
      <c r="B134" s="18">
        <f>IF(VLOOKUP(A134,'DB Country PMI'!$A:$AZ,MATCH($A$1,'DB Country PMI'!$A$1:$AZ$1,),)=0,#N/A,VLOOKUP(A134,'DB Country PMI'!$A:$AZ,MATCH($A$1,'DB Country PMI'!$A$1:$AZ$1,),))</f>
        <v/>
      </c>
      <c r="C134" s="24">
        <f>Table13468111214151617181920[[#This Row],[PMI]]-B133</f>
        <v/>
      </c>
    </row>
    <row r="135">
      <c r="A135" s="10" t="n">
        <v>44378</v>
      </c>
      <c r="B135" s="18">
        <f>IF(VLOOKUP(A135,'DB Country PMI'!$A:$AZ,MATCH($A$1,'DB Country PMI'!$A$1:$AZ$1,),)=0,#N/A,VLOOKUP(A135,'DB Country PMI'!$A:$AZ,MATCH($A$1,'DB Country PMI'!$A$1:$AZ$1,),))</f>
        <v/>
      </c>
      <c r="C135" s="24">
        <f>Table13468111214151617181920[[#This Row],[PMI]]-B134</f>
        <v/>
      </c>
    </row>
    <row r="136">
      <c r="A136" s="10" t="n">
        <v>44409</v>
      </c>
      <c r="B136" s="18">
        <f>IF(VLOOKUP(A136,'DB Country PMI'!$A:$AZ,MATCH($A$1,'DB Country PMI'!$A$1:$AZ$1,),)=0,#N/A,VLOOKUP(A136,'DB Country PMI'!$A:$AZ,MATCH($A$1,'DB Country PMI'!$A$1:$AZ$1,),))</f>
        <v/>
      </c>
      <c r="C136" s="24">
        <f>Table13468111214151617181920[[#This Row],[PMI]]-B135</f>
        <v/>
      </c>
    </row>
    <row r="137">
      <c r="A137" s="10" t="n">
        <v>44440</v>
      </c>
      <c r="B137" s="18">
        <f>IF(VLOOKUP(A137,'DB Country PMI'!$A:$AZ,MATCH($A$1,'DB Country PMI'!$A$1:$AZ$1,),)=0,#N/A,VLOOKUP(A137,'DB Country PMI'!$A:$AZ,MATCH($A$1,'DB Country PMI'!$A$1:$AZ$1,),))</f>
        <v/>
      </c>
      <c r="C137" s="24">
        <f>Table13468111214151617181920[[#This Row],[PMI]]-B136</f>
        <v/>
      </c>
    </row>
    <row r="138">
      <c r="A138" s="10" t="n">
        <v>44470</v>
      </c>
      <c r="B138" s="18">
        <f>IF(VLOOKUP(A138,'DB Country PMI'!$A:$AZ,MATCH($A$1,'DB Country PMI'!$A$1:$AZ$1,),)=0,#N/A,VLOOKUP(A138,'DB Country PMI'!$A:$AZ,MATCH($A$1,'DB Country PMI'!$A$1:$AZ$1,),))</f>
        <v/>
      </c>
      <c r="C138" s="24">
        <f>Table13468111214151617181920[[#This Row],[PMI]]-B137</f>
        <v/>
      </c>
    </row>
    <row r="139">
      <c r="A139" s="10" t="n">
        <v>44501</v>
      </c>
      <c r="B139" s="18">
        <f>IF(VLOOKUP(A139,'DB Country PMI'!$A:$AZ,MATCH($A$1,'DB Country PMI'!$A$1:$AZ$1,),)=0,#N/A,VLOOKUP(A139,'DB Country PMI'!$A:$AZ,MATCH($A$1,'DB Country PMI'!$A$1:$AZ$1,),))</f>
        <v/>
      </c>
      <c r="C139" s="24">
        <f>Table13468111214151617181920[[#This Row],[PMI]]-B138</f>
        <v/>
      </c>
    </row>
    <row r="140">
      <c r="A140" s="10" t="n">
        <v>44531</v>
      </c>
      <c r="B140" s="18">
        <f>IF(VLOOKUP(A140,'DB Country PMI'!$A:$AZ,MATCH($A$1,'DB Country PMI'!$A$1:$AZ$1,),)=0,#N/A,VLOOKUP(A140,'DB Country PMI'!$A:$AZ,MATCH($A$1,'DB Country PMI'!$A$1:$AZ$1,),))</f>
        <v/>
      </c>
      <c r="C140" s="24">
        <f>Table13468111214151617181920[[#This Row],[PMI]]-B139</f>
        <v/>
      </c>
    </row>
    <row r="141">
      <c r="A141" s="10" t="n">
        <v>44562</v>
      </c>
      <c r="B141" s="18">
        <f>IF(VLOOKUP(A141,'DB Country PMI'!$A:$AZ,MATCH($A$1,'DB Country PMI'!$A$1:$AZ$1,),)=0,#N/A,VLOOKUP(A141,'DB Country PMI'!$A:$AZ,MATCH($A$1,'DB Country PMI'!$A$1:$AZ$1,),))</f>
        <v/>
      </c>
      <c r="C141" s="24">
        <f>Table13468111214151617181920[[#This Row],[PMI]]-B140</f>
        <v/>
      </c>
    </row>
    <row r="142">
      <c r="A142" s="10" t="n">
        <v>44593</v>
      </c>
      <c r="B142" s="18">
        <f>IF(VLOOKUP(A142,'DB Country PMI'!$A:$AZ,MATCH($A$1,'DB Country PMI'!$A$1:$AZ$1,),)=0,#N/A,VLOOKUP(A142,'DB Country PMI'!$A:$AZ,MATCH($A$1,'DB Country PMI'!$A$1:$AZ$1,),))</f>
        <v/>
      </c>
      <c r="C142" s="24">
        <f>Table13468111214151617181920[[#This Row],[PMI]]-B141</f>
        <v/>
      </c>
    </row>
    <row r="143">
      <c r="A143" s="10" t="n">
        <v>44621</v>
      </c>
      <c r="B143" s="18">
        <f>IF(VLOOKUP(A143,'DB Country PMI'!$A:$AZ,MATCH($A$1,'DB Country PMI'!$A$1:$AZ$1,),)=0,#N/A,VLOOKUP(A143,'DB Country PMI'!$A:$AZ,MATCH($A$1,'DB Country PMI'!$A$1:$AZ$1,),))</f>
        <v/>
      </c>
      <c r="C143" s="24">
        <f>Table13468111214151617181920[[#This Row],[PMI]]-B142</f>
        <v/>
      </c>
    </row>
    <row r="144">
      <c r="A144" s="10" t="n">
        <v>44652</v>
      </c>
      <c r="B144" s="18">
        <f>IF(VLOOKUP(A144,'DB Country PMI'!$A:$AZ,MATCH($A$1,'DB Country PMI'!$A$1:$AZ$1,),)=0,#N/A,VLOOKUP(A144,'DB Country PMI'!$A:$AZ,MATCH($A$1,'DB Country PMI'!$A$1:$AZ$1,),))</f>
        <v/>
      </c>
      <c r="C144" s="24">
        <f>Table13468111214151617181920[[#This Row],[PMI]]-B143</f>
        <v/>
      </c>
    </row>
    <row r="145">
      <c r="A145" s="10" t="n">
        <v>44682</v>
      </c>
      <c r="B145" s="18">
        <f>IF(VLOOKUP(A145,'DB Country PMI'!$A:$AZ,MATCH($A$1,'DB Country PMI'!$A$1:$AZ$1,),)=0,#N/A,VLOOKUP(A145,'DB Country PMI'!$A:$AZ,MATCH($A$1,'DB Country PMI'!$A$1:$AZ$1,),))</f>
        <v/>
      </c>
      <c r="C145" s="24">
        <f>Table13468111214151617181920[[#This Row],[PMI]]-B144</f>
        <v/>
      </c>
    </row>
    <row r="146">
      <c r="A146" s="10" t="n">
        <v>44713</v>
      </c>
      <c r="B146" s="18">
        <f>IF(VLOOKUP(A146,'DB Country PMI'!$A:$AZ,MATCH($A$1,'DB Country PMI'!$A$1:$AZ$1,),)=0,#N/A,VLOOKUP(A146,'DB Country PMI'!$A:$AZ,MATCH($A$1,'DB Country PMI'!$A$1:$AZ$1,),))</f>
        <v/>
      </c>
      <c r="C146" s="24">
        <f>Table13468111214151617181920[[#This Row],[PMI]]-B145</f>
        <v/>
      </c>
    </row>
    <row r="147">
      <c r="A147" s="10" t="n">
        <v>44743</v>
      </c>
      <c r="B147" s="18">
        <f>IF(VLOOKUP(A147,'DB Country PMI'!$A:$AZ,MATCH($A$1,'DB Country PMI'!$A$1:$AZ$1,),)=0,#N/A,VLOOKUP(A147,'DB Country PMI'!$A:$AZ,MATCH($A$1,'DB Country PMI'!$A$1:$AZ$1,),))</f>
        <v/>
      </c>
      <c r="C147" s="24">
        <f>Table13468111214151617181920[[#This Row],[PMI]]-B146</f>
        <v/>
      </c>
    </row>
    <row r="148">
      <c r="A148" s="10" t="n">
        <v>44774</v>
      </c>
      <c r="B148" s="18">
        <f>IF(VLOOKUP(A148,'DB Country PMI'!$A:$AZ,MATCH($A$1,'DB Country PMI'!$A$1:$AZ$1,),)=0,#N/A,VLOOKUP(A148,'DB Country PMI'!$A:$AZ,MATCH($A$1,'DB Country PMI'!$A$1:$AZ$1,),))</f>
        <v/>
      </c>
      <c r="C148" s="24">
        <f>Table13468111214151617181920[[#This Row],[PMI]]-B147</f>
        <v/>
      </c>
    </row>
    <row r="149">
      <c r="A149" s="10" t="n">
        <v>44805</v>
      </c>
      <c r="B149" s="18">
        <f>IF(VLOOKUP(A149,'DB Country PMI'!$A:$AZ,MATCH($A$1,'DB Country PMI'!$A$1:$AZ$1,),)=0,#N/A,VLOOKUP(A149,'DB Country PMI'!$A:$AZ,MATCH($A$1,'DB Country PMI'!$A$1:$AZ$1,),))</f>
        <v/>
      </c>
      <c r="C149" s="24">
        <f>Table13468111214151617181920[[#This Row],[PMI]]-B148</f>
        <v/>
      </c>
    </row>
    <row r="150">
      <c r="A150" s="10" t="n">
        <v>44835</v>
      </c>
      <c r="B150" s="18">
        <f>IF(VLOOKUP(A150,'DB Country PMI'!$A:$AZ,MATCH($A$1,'DB Country PMI'!$A$1:$AZ$1,),)=0,#N/A,VLOOKUP(A150,'DB Country PMI'!$A:$AZ,MATCH($A$1,'DB Country PMI'!$A$1:$AZ$1,),))</f>
        <v/>
      </c>
      <c r="C150" s="24">
        <f>Table13468111214151617181920[[#This Row],[PMI]]-B149</f>
        <v/>
      </c>
    </row>
    <row r="151">
      <c r="A151" s="10" t="n">
        <v>44866</v>
      </c>
      <c r="B151" s="18">
        <f>IF(VLOOKUP(A151,'DB Country PMI'!$A:$AZ,MATCH($A$1,'DB Country PMI'!$A$1:$AZ$1,),)=0,#N/A,VLOOKUP(A151,'DB Country PMI'!$A:$AZ,MATCH($A$1,'DB Country PMI'!$A$1:$AZ$1,),))</f>
        <v/>
      </c>
      <c r="C151" s="24">
        <f>Table13468111214151617181920[[#This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8.xml><?xml version="1.0" encoding="utf-8"?>
<worksheet xmlns="http://schemas.openxmlformats.org/spreadsheetml/2006/main">
  <sheetPr>
    <outlinePr summaryBelow="1" summaryRight="1"/>
    <pageSetUpPr/>
  </sheetPr>
  <dimension ref="A1:K151"/>
  <sheetViews>
    <sheetView zoomScaleNormal="100" workbookViewId="0">
      <pane ySplit="5" topLeftCell="A137" activePane="bottomLeft" state="frozen"/>
      <selection pane="bottomLeft" activeCell="O150" sqref="O150"/>
    </sheetView>
  </sheetViews>
  <sheetFormatPr baseColWidth="8" defaultColWidth="9.1796875" defaultRowHeight="14.5"/>
  <cols>
    <col width="13.453125" customWidth="1" style="69" min="1" max="1"/>
    <col width="11.36328125" customWidth="1" style="69" min="2" max="2"/>
    <col width="9.1796875" customWidth="1" style="69" min="3" max="51"/>
    <col width="9.1796875" customWidth="1" style="69" min="52" max="16384"/>
  </cols>
  <sheetData>
    <row r="1">
      <c r="A1" s="69" t="inlineStr">
        <is>
          <t>Turkey</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Table134681112141516171819202225303334[[#This Row],[PMI]]-B6</f>
        <v/>
      </c>
    </row>
    <row r="8">
      <c r="A8" s="10" t="n">
        <v>40513</v>
      </c>
      <c r="B8" s="18">
        <f>IF(VLOOKUP(A8,'DB Country PMI'!$A:$AZ,MATCH($A$1,'DB Country PMI'!$A$1:$AZ$1,),)=0,#N/A,VLOOKUP(A8,'DB Country PMI'!$A:$AZ,MATCH($A$1,'DB Country PMI'!$A$1:$AZ$1,),))</f>
        <v/>
      </c>
      <c r="C8" s="24">
        <f>Table134681112141516171819202225303334[[#This Row],[PMI]]-B7</f>
        <v/>
      </c>
    </row>
    <row r="9">
      <c r="A9" s="10" t="n">
        <v>40544</v>
      </c>
      <c r="B9" s="18">
        <f>IF(VLOOKUP(A9,'DB Country PMI'!$A:$AZ,MATCH($A$1,'DB Country PMI'!$A$1:$AZ$1,),)=0,#N/A,VLOOKUP(A9,'DB Country PMI'!$A:$AZ,MATCH($A$1,'DB Country PMI'!$A$1:$AZ$1,),))</f>
        <v/>
      </c>
      <c r="C9" s="24">
        <f>Table134681112141516171819202225303334[[#This Row],[PMI]]-B8</f>
        <v/>
      </c>
    </row>
    <row r="10">
      <c r="A10" s="10" t="n">
        <v>40575</v>
      </c>
      <c r="B10" s="18">
        <f>IF(VLOOKUP(A10,'DB Country PMI'!$A:$AZ,MATCH($A$1,'DB Country PMI'!$A$1:$AZ$1,),)=0,#N/A,VLOOKUP(A10,'DB Country PMI'!$A:$AZ,MATCH($A$1,'DB Country PMI'!$A$1:$AZ$1,),))</f>
        <v/>
      </c>
      <c r="C10" s="24">
        <f>Table134681112141516171819202225303334[[#This Row],[PMI]]-B9</f>
        <v/>
      </c>
    </row>
    <row r="11">
      <c r="A11" s="10" t="n">
        <v>40603</v>
      </c>
      <c r="B11" s="18">
        <f>IF(VLOOKUP(A11,'DB Country PMI'!$A:$AZ,MATCH($A$1,'DB Country PMI'!$A$1:$AZ$1,),)=0,#N/A,VLOOKUP(A11,'DB Country PMI'!$A:$AZ,MATCH($A$1,'DB Country PMI'!$A$1:$AZ$1,),))</f>
        <v/>
      </c>
      <c r="C11" s="24">
        <f>Table134681112141516171819202225303334[[#This Row],[PMI]]-B10</f>
        <v/>
      </c>
    </row>
    <row r="12">
      <c r="A12" s="10" t="n">
        <v>40634</v>
      </c>
      <c r="B12" s="18">
        <f>IF(VLOOKUP(A12,'DB Country PMI'!$A:$AZ,MATCH($A$1,'DB Country PMI'!$A$1:$AZ$1,),)=0,#N/A,VLOOKUP(A12,'DB Country PMI'!$A:$AZ,MATCH($A$1,'DB Country PMI'!$A$1:$AZ$1,),))</f>
        <v/>
      </c>
      <c r="C12" s="24">
        <f>Table134681112141516171819202225303334[[#This Row],[PMI]]-B11</f>
        <v/>
      </c>
    </row>
    <row r="13">
      <c r="A13" s="10" t="n">
        <v>40664</v>
      </c>
      <c r="B13" s="18">
        <f>IF(VLOOKUP(A13,'DB Country PMI'!$A:$AZ,MATCH($A$1,'DB Country PMI'!$A$1:$AZ$1,),)=0,#N/A,VLOOKUP(A13,'DB Country PMI'!$A:$AZ,MATCH($A$1,'DB Country PMI'!$A$1:$AZ$1,),))</f>
        <v/>
      </c>
      <c r="C13" s="24">
        <f>Table134681112141516171819202225303334[[#This Row],[PMI]]-B12</f>
        <v/>
      </c>
    </row>
    <row r="14">
      <c r="A14" s="10" t="n">
        <v>40695</v>
      </c>
      <c r="B14" s="18">
        <f>IF(VLOOKUP(A14,'DB Country PMI'!$A:$AZ,MATCH($A$1,'DB Country PMI'!$A$1:$AZ$1,),)=0,#N/A,VLOOKUP(A14,'DB Country PMI'!$A:$AZ,MATCH($A$1,'DB Country PMI'!$A$1:$AZ$1,),))</f>
        <v/>
      </c>
      <c r="C14" s="24">
        <f>Table134681112141516171819202225303334[[#This Row],[PMI]]-B13</f>
        <v/>
      </c>
    </row>
    <row r="15">
      <c r="A15" s="10" t="n">
        <v>40725</v>
      </c>
      <c r="B15" s="18">
        <f>IF(VLOOKUP(A15,'DB Country PMI'!$A:$AZ,MATCH($A$1,'DB Country PMI'!$A$1:$AZ$1,),)=0,#N/A,VLOOKUP(A15,'DB Country PMI'!$A:$AZ,MATCH($A$1,'DB Country PMI'!$A$1:$AZ$1,),))</f>
        <v/>
      </c>
      <c r="C15" s="24">
        <f>Table134681112141516171819202225303334[[#This Row],[PMI]]-B14</f>
        <v/>
      </c>
    </row>
    <row r="16">
      <c r="A16" s="10" t="n">
        <v>40756</v>
      </c>
      <c r="B16" s="18">
        <f>IF(VLOOKUP(A16,'DB Country PMI'!$A:$AZ,MATCH($A$1,'DB Country PMI'!$A$1:$AZ$1,),)=0,#N/A,VLOOKUP(A16,'DB Country PMI'!$A:$AZ,MATCH($A$1,'DB Country PMI'!$A$1:$AZ$1,),))</f>
        <v/>
      </c>
      <c r="C16" s="24">
        <f>Table134681112141516171819202225303334[[#This Row],[PMI]]-B15</f>
        <v/>
      </c>
    </row>
    <row r="17">
      <c r="A17" s="10" t="n">
        <v>40787</v>
      </c>
      <c r="B17" s="18">
        <f>IF(VLOOKUP(A17,'DB Country PMI'!$A:$AZ,MATCH($A$1,'DB Country PMI'!$A$1:$AZ$1,),)=0,#N/A,VLOOKUP(A17,'DB Country PMI'!$A:$AZ,MATCH($A$1,'DB Country PMI'!$A$1:$AZ$1,),))</f>
        <v/>
      </c>
      <c r="C17" s="24">
        <f>Table134681112141516171819202225303334[[#This Row],[PMI]]-B16</f>
        <v/>
      </c>
    </row>
    <row r="18">
      <c r="A18" s="10" t="n">
        <v>40817</v>
      </c>
      <c r="B18" s="18">
        <f>IF(VLOOKUP(A18,'DB Country PMI'!$A:$AZ,MATCH($A$1,'DB Country PMI'!$A$1:$AZ$1,),)=0,#N/A,VLOOKUP(A18,'DB Country PMI'!$A:$AZ,MATCH($A$1,'DB Country PMI'!$A$1:$AZ$1,),))</f>
        <v/>
      </c>
      <c r="C18" s="24">
        <f>Table134681112141516171819202225303334[[#This Row],[PMI]]-B17</f>
        <v/>
      </c>
    </row>
    <row r="19">
      <c r="A19" s="10" t="n">
        <v>40848</v>
      </c>
      <c r="B19" s="18">
        <f>IF(VLOOKUP(A19,'DB Country PMI'!$A:$AZ,MATCH($A$1,'DB Country PMI'!$A$1:$AZ$1,),)=0,#N/A,VLOOKUP(A19,'DB Country PMI'!$A:$AZ,MATCH($A$1,'DB Country PMI'!$A$1:$AZ$1,),))</f>
        <v/>
      </c>
      <c r="C19" s="24">
        <f>Table134681112141516171819202225303334[[#This Row],[PMI]]-B18</f>
        <v/>
      </c>
    </row>
    <row r="20">
      <c r="A20" s="10" t="n">
        <v>40878</v>
      </c>
      <c r="B20" s="18">
        <f>IF(VLOOKUP(A20,'DB Country PMI'!$A:$AZ,MATCH($A$1,'DB Country PMI'!$A$1:$AZ$1,),)=0,#N/A,VLOOKUP(A20,'DB Country PMI'!$A:$AZ,MATCH($A$1,'DB Country PMI'!$A$1:$AZ$1,),))</f>
        <v/>
      </c>
      <c r="C20" s="24">
        <f>Table134681112141516171819202225303334[[#This Row],[PMI]]-B19</f>
        <v/>
      </c>
    </row>
    <row r="21">
      <c r="A21" s="10" t="n">
        <v>40909</v>
      </c>
      <c r="B21" s="18">
        <f>IF(VLOOKUP(A21,'DB Country PMI'!$A:$AZ,MATCH($A$1,'DB Country PMI'!$A$1:$AZ$1,),)=0,#N/A,VLOOKUP(A21,'DB Country PMI'!$A:$AZ,MATCH($A$1,'DB Country PMI'!$A$1:$AZ$1,),))</f>
        <v/>
      </c>
      <c r="C21" s="24">
        <f>Table134681112141516171819202225303334[[#This Row],[PMI]]-B20</f>
        <v/>
      </c>
    </row>
    <row r="22">
      <c r="A22" s="10" t="n">
        <v>40940</v>
      </c>
      <c r="B22" s="18">
        <f>IF(VLOOKUP(A22,'DB Country PMI'!$A:$AZ,MATCH($A$1,'DB Country PMI'!$A$1:$AZ$1,),)=0,#N/A,VLOOKUP(A22,'DB Country PMI'!$A:$AZ,MATCH($A$1,'DB Country PMI'!$A$1:$AZ$1,),))</f>
        <v/>
      </c>
      <c r="C22" s="24">
        <f>Table134681112141516171819202225303334[[#This Row],[PMI]]-B21</f>
        <v/>
      </c>
    </row>
    <row r="23">
      <c r="A23" s="10" t="n">
        <v>40969</v>
      </c>
      <c r="B23" s="18">
        <f>IF(VLOOKUP(A23,'DB Country PMI'!$A:$AZ,MATCH($A$1,'DB Country PMI'!$A$1:$AZ$1,),)=0,#N/A,VLOOKUP(A23,'DB Country PMI'!$A:$AZ,MATCH($A$1,'DB Country PMI'!$A$1:$AZ$1,),))</f>
        <v/>
      </c>
      <c r="C23" s="24">
        <f>Table134681112141516171819202225303334[[#This Row],[PMI]]-B22</f>
        <v/>
      </c>
    </row>
    <row r="24">
      <c r="A24" s="10" t="n">
        <v>41000</v>
      </c>
      <c r="B24" s="18">
        <f>IF(VLOOKUP(A24,'DB Country PMI'!$A:$AZ,MATCH($A$1,'DB Country PMI'!$A$1:$AZ$1,),)=0,#N/A,VLOOKUP(A24,'DB Country PMI'!$A:$AZ,MATCH($A$1,'DB Country PMI'!$A$1:$AZ$1,),))</f>
        <v/>
      </c>
      <c r="C24" s="24">
        <f>Table134681112141516171819202225303334[[#This Row],[PMI]]-B23</f>
        <v/>
      </c>
    </row>
    <row r="25">
      <c r="A25" s="10" t="n">
        <v>41030</v>
      </c>
      <c r="B25" s="18">
        <f>IF(VLOOKUP(A25,'DB Country PMI'!$A:$AZ,MATCH($A$1,'DB Country PMI'!$A$1:$AZ$1,),)=0,#N/A,VLOOKUP(A25,'DB Country PMI'!$A:$AZ,MATCH($A$1,'DB Country PMI'!$A$1:$AZ$1,),))</f>
        <v/>
      </c>
      <c r="C25" s="24">
        <f>Table134681112141516171819202225303334[[#This Row],[PMI]]-B24</f>
        <v/>
      </c>
    </row>
    <row r="26">
      <c r="A26" s="10" t="n">
        <v>41061</v>
      </c>
      <c r="B26" s="18">
        <f>IF(VLOOKUP(A26,'DB Country PMI'!$A:$AZ,MATCH($A$1,'DB Country PMI'!$A$1:$AZ$1,),)=0,#N/A,VLOOKUP(A26,'DB Country PMI'!$A:$AZ,MATCH($A$1,'DB Country PMI'!$A$1:$AZ$1,),))</f>
        <v/>
      </c>
      <c r="C26" s="24">
        <f>Table134681112141516171819202225303334[[#This Row],[PMI]]-B25</f>
        <v/>
      </c>
    </row>
    <row r="27">
      <c r="A27" s="10" t="n">
        <v>41091</v>
      </c>
      <c r="B27" s="18">
        <f>IF(VLOOKUP(A27,'DB Country PMI'!$A:$AZ,MATCH($A$1,'DB Country PMI'!$A$1:$AZ$1,),)=0,#N/A,VLOOKUP(A27,'DB Country PMI'!$A:$AZ,MATCH($A$1,'DB Country PMI'!$A$1:$AZ$1,),))</f>
        <v/>
      </c>
      <c r="C27" s="24">
        <f>Table134681112141516171819202225303334[[#This Row],[PMI]]-B26</f>
        <v/>
      </c>
    </row>
    <row r="28">
      <c r="A28" s="10" t="n">
        <v>41122</v>
      </c>
      <c r="B28" s="18">
        <f>IF(VLOOKUP(A28,'DB Country PMI'!$A:$AZ,MATCH($A$1,'DB Country PMI'!$A$1:$AZ$1,),)=0,#N/A,VLOOKUP(A28,'DB Country PMI'!$A:$AZ,MATCH($A$1,'DB Country PMI'!$A$1:$AZ$1,),))</f>
        <v/>
      </c>
      <c r="C28" s="24">
        <f>Table134681112141516171819202225303334[[#This Row],[PMI]]-B27</f>
        <v/>
      </c>
    </row>
    <row r="29">
      <c r="A29" s="10" t="n">
        <v>41153</v>
      </c>
      <c r="B29" s="18">
        <f>IF(VLOOKUP(A29,'DB Country PMI'!$A:$AZ,MATCH($A$1,'DB Country PMI'!$A$1:$AZ$1,),)=0,#N/A,VLOOKUP(A29,'DB Country PMI'!$A:$AZ,MATCH($A$1,'DB Country PMI'!$A$1:$AZ$1,),))</f>
        <v/>
      </c>
      <c r="C29" s="24">
        <f>Table134681112141516171819202225303334[[#This Row],[PMI]]-B28</f>
        <v/>
      </c>
    </row>
    <row r="30">
      <c r="A30" s="10" t="n">
        <v>41183</v>
      </c>
      <c r="B30" s="18">
        <f>IF(VLOOKUP(A30,'DB Country PMI'!$A:$AZ,MATCH($A$1,'DB Country PMI'!$A$1:$AZ$1,),)=0,#N/A,VLOOKUP(A30,'DB Country PMI'!$A:$AZ,MATCH($A$1,'DB Country PMI'!$A$1:$AZ$1,),))</f>
        <v/>
      </c>
      <c r="C30" s="24">
        <f>Table134681112141516171819202225303334[[#This Row],[PMI]]-B29</f>
        <v/>
      </c>
    </row>
    <row r="31">
      <c r="A31" s="10" t="n">
        <v>41214</v>
      </c>
      <c r="B31" s="18">
        <f>IF(VLOOKUP(A31,'DB Country PMI'!$A:$AZ,MATCH($A$1,'DB Country PMI'!$A$1:$AZ$1,),)=0,#N/A,VLOOKUP(A31,'DB Country PMI'!$A:$AZ,MATCH($A$1,'DB Country PMI'!$A$1:$AZ$1,),))</f>
        <v/>
      </c>
      <c r="C31" s="24">
        <f>Table134681112141516171819202225303334[[#This Row],[PMI]]-B30</f>
        <v/>
      </c>
    </row>
    <row r="32">
      <c r="A32" s="10" t="n">
        <v>41244</v>
      </c>
      <c r="B32" s="18">
        <f>IF(VLOOKUP(A32,'DB Country PMI'!$A:$AZ,MATCH($A$1,'DB Country PMI'!$A$1:$AZ$1,),)=0,#N/A,VLOOKUP(A32,'DB Country PMI'!$A:$AZ,MATCH($A$1,'DB Country PMI'!$A$1:$AZ$1,),))</f>
        <v/>
      </c>
      <c r="C32" s="24">
        <f>Table134681112141516171819202225303334[[#This Row],[PMI]]-B31</f>
        <v/>
      </c>
    </row>
    <row r="33">
      <c r="A33" s="10" t="n">
        <v>41275</v>
      </c>
      <c r="B33" s="18">
        <f>IF(VLOOKUP(A33,'DB Country PMI'!$A:$AZ,MATCH($A$1,'DB Country PMI'!$A$1:$AZ$1,),)=0,#N/A,VLOOKUP(A33,'DB Country PMI'!$A:$AZ,MATCH($A$1,'DB Country PMI'!$A$1:$AZ$1,),))</f>
        <v/>
      </c>
      <c r="C33" s="24">
        <f>Table134681112141516171819202225303334[[#This Row],[PMI]]-B32</f>
        <v/>
      </c>
    </row>
    <row r="34">
      <c r="A34" s="10" t="n">
        <v>41306</v>
      </c>
      <c r="B34" s="18">
        <f>IF(VLOOKUP(A34,'DB Country PMI'!$A:$AZ,MATCH($A$1,'DB Country PMI'!$A$1:$AZ$1,),)=0,#N/A,VLOOKUP(A34,'DB Country PMI'!$A:$AZ,MATCH($A$1,'DB Country PMI'!$A$1:$AZ$1,),))</f>
        <v/>
      </c>
      <c r="C34" s="24">
        <f>Table134681112141516171819202225303334[[#This Row],[PMI]]-B33</f>
        <v/>
      </c>
    </row>
    <row r="35">
      <c r="A35" s="10" t="n">
        <v>41334</v>
      </c>
      <c r="B35" s="18">
        <f>IF(VLOOKUP(A35,'DB Country PMI'!$A:$AZ,MATCH($A$1,'DB Country PMI'!$A$1:$AZ$1,),)=0,#N/A,VLOOKUP(A35,'DB Country PMI'!$A:$AZ,MATCH($A$1,'DB Country PMI'!$A$1:$AZ$1,),))</f>
        <v/>
      </c>
      <c r="C35" s="24">
        <f>Table134681112141516171819202225303334[[#This Row],[PMI]]-B34</f>
        <v/>
      </c>
    </row>
    <row r="36">
      <c r="A36" s="10" t="n">
        <v>41365</v>
      </c>
      <c r="B36" s="18">
        <f>IF(VLOOKUP(A36,'DB Country PMI'!$A:$AZ,MATCH($A$1,'DB Country PMI'!$A$1:$AZ$1,),)=0,#N/A,VLOOKUP(A36,'DB Country PMI'!$A:$AZ,MATCH($A$1,'DB Country PMI'!$A$1:$AZ$1,),))</f>
        <v/>
      </c>
      <c r="C36" s="24">
        <f>Table134681112141516171819202225303334[[#This Row],[PMI]]-B35</f>
        <v/>
      </c>
    </row>
    <row r="37">
      <c r="A37" s="10" t="n">
        <v>41395</v>
      </c>
      <c r="B37" s="18">
        <f>IF(VLOOKUP(A37,'DB Country PMI'!$A:$AZ,MATCH($A$1,'DB Country PMI'!$A$1:$AZ$1,),)=0,#N/A,VLOOKUP(A37,'DB Country PMI'!$A:$AZ,MATCH($A$1,'DB Country PMI'!$A$1:$AZ$1,),))</f>
        <v/>
      </c>
      <c r="C37" s="24">
        <f>Table134681112141516171819202225303334[[#This Row],[PMI]]-B36</f>
        <v/>
      </c>
    </row>
    <row r="38">
      <c r="A38" s="10" t="n">
        <v>41426</v>
      </c>
      <c r="B38" s="18">
        <f>IF(VLOOKUP(A38,'DB Country PMI'!$A:$AZ,MATCH($A$1,'DB Country PMI'!$A$1:$AZ$1,),)=0,#N/A,VLOOKUP(A38,'DB Country PMI'!$A:$AZ,MATCH($A$1,'DB Country PMI'!$A$1:$AZ$1,),))</f>
        <v/>
      </c>
      <c r="C38" s="24">
        <f>Table134681112141516171819202225303334[[#This Row],[PMI]]-B37</f>
        <v/>
      </c>
    </row>
    <row r="39">
      <c r="A39" s="10" t="n">
        <v>41456</v>
      </c>
      <c r="B39" s="18">
        <f>IF(VLOOKUP(A39,'DB Country PMI'!$A:$AZ,MATCH($A$1,'DB Country PMI'!$A$1:$AZ$1,),)=0,#N/A,VLOOKUP(A39,'DB Country PMI'!$A:$AZ,MATCH($A$1,'DB Country PMI'!$A$1:$AZ$1,),))</f>
        <v/>
      </c>
      <c r="C39" s="24">
        <f>Table134681112141516171819202225303334[[#This Row],[PMI]]-B38</f>
        <v/>
      </c>
    </row>
    <row r="40">
      <c r="A40" s="10" t="n">
        <v>41487</v>
      </c>
      <c r="B40" s="18">
        <f>IF(VLOOKUP(A40,'DB Country PMI'!$A:$AZ,MATCH($A$1,'DB Country PMI'!$A$1:$AZ$1,),)=0,#N/A,VLOOKUP(A40,'DB Country PMI'!$A:$AZ,MATCH($A$1,'DB Country PMI'!$A$1:$AZ$1,),))</f>
        <v/>
      </c>
      <c r="C40" s="24">
        <f>Table134681112141516171819202225303334[[#This Row],[PMI]]-B39</f>
        <v/>
      </c>
    </row>
    <row r="41">
      <c r="A41" s="10" t="n">
        <v>41518</v>
      </c>
      <c r="B41" s="18">
        <f>IF(VLOOKUP(A41,'DB Country PMI'!$A:$AZ,MATCH($A$1,'DB Country PMI'!$A$1:$AZ$1,),)=0,#N/A,VLOOKUP(A41,'DB Country PMI'!$A:$AZ,MATCH($A$1,'DB Country PMI'!$A$1:$AZ$1,),))</f>
        <v/>
      </c>
      <c r="C41" s="24">
        <f>Table134681112141516171819202225303334[[#This Row],[PMI]]-B40</f>
        <v/>
      </c>
    </row>
    <row r="42">
      <c r="A42" s="10" t="n">
        <v>41548</v>
      </c>
      <c r="B42" s="18">
        <f>IF(VLOOKUP(A42,'DB Country PMI'!$A:$AZ,MATCH($A$1,'DB Country PMI'!$A$1:$AZ$1,),)=0,#N/A,VLOOKUP(A42,'DB Country PMI'!$A:$AZ,MATCH($A$1,'DB Country PMI'!$A$1:$AZ$1,),))</f>
        <v/>
      </c>
      <c r="C42" s="24">
        <f>Table134681112141516171819202225303334[[#This Row],[PMI]]-B41</f>
        <v/>
      </c>
    </row>
    <row r="43">
      <c r="A43" s="10" t="n">
        <v>41579</v>
      </c>
      <c r="B43" s="18">
        <f>IF(VLOOKUP(A43,'DB Country PMI'!$A:$AZ,MATCH($A$1,'DB Country PMI'!$A$1:$AZ$1,),)=0,#N/A,VLOOKUP(A43,'DB Country PMI'!$A:$AZ,MATCH($A$1,'DB Country PMI'!$A$1:$AZ$1,),))</f>
        <v/>
      </c>
      <c r="C43" s="24">
        <f>Table134681112141516171819202225303334[[#This Row],[PMI]]-B42</f>
        <v/>
      </c>
    </row>
    <row r="44">
      <c r="A44" s="10" t="n">
        <v>41609</v>
      </c>
      <c r="B44" s="18">
        <f>IF(VLOOKUP(A44,'DB Country PMI'!$A:$AZ,MATCH($A$1,'DB Country PMI'!$A$1:$AZ$1,),)=0,#N/A,VLOOKUP(A44,'DB Country PMI'!$A:$AZ,MATCH($A$1,'DB Country PMI'!$A$1:$AZ$1,),))</f>
        <v/>
      </c>
      <c r="C44" s="24">
        <f>Table134681112141516171819202225303334[[#This Row],[PMI]]-B43</f>
        <v/>
      </c>
    </row>
    <row r="45">
      <c r="A45" s="10" t="n">
        <v>41640</v>
      </c>
      <c r="B45" s="18">
        <f>IF(VLOOKUP(A45,'DB Country PMI'!$A:$AZ,MATCH($A$1,'DB Country PMI'!$A$1:$AZ$1,),)=0,#N/A,VLOOKUP(A45,'DB Country PMI'!$A:$AZ,MATCH($A$1,'DB Country PMI'!$A$1:$AZ$1,),))</f>
        <v/>
      </c>
      <c r="C45" s="24">
        <f>Table134681112141516171819202225303334[[#This Row],[PMI]]-B44</f>
        <v/>
      </c>
    </row>
    <row r="46">
      <c r="A46" s="10" t="n">
        <v>41671</v>
      </c>
      <c r="B46" s="18">
        <f>IF(VLOOKUP(A46,'DB Country PMI'!$A:$AZ,MATCH($A$1,'DB Country PMI'!$A$1:$AZ$1,),)=0,#N/A,VLOOKUP(A46,'DB Country PMI'!$A:$AZ,MATCH($A$1,'DB Country PMI'!$A$1:$AZ$1,),))</f>
        <v/>
      </c>
      <c r="C46" s="24">
        <f>Table134681112141516171819202225303334[[#This Row],[PMI]]-B45</f>
        <v/>
      </c>
    </row>
    <row r="47">
      <c r="A47" s="10" t="n">
        <v>41699</v>
      </c>
      <c r="B47" s="18">
        <f>IF(VLOOKUP(A47,'DB Country PMI'!$A:$AZ,MATCH($A$1,'DB Country PMI'!$A$1:$AZ$1,),)=0,#N/A,VLOOKUP(A47,'DB Country PMI'!$A:$AZ,MATCH($A$1,'DB Country PMI'!$A$1:$AZ$1,),))</f>
        <v/>
      </c>
      <c r="C47" s="24">
        <f>Table134681112141516171819202225303334[[#This Row],[PMI]]-B46</f>
        <v/>
      </c>
    </row>
    <row r="48">
      <c r="A48" s="10" t="n">
        <v>41730</v>
      </c>
      <c r="B48" s="18">
        <f>IF(VLOOKUP(A48,'DB Country PMI'!$A:$AZ,MATCH($A$1,'DB Country PMI'!$A$1:$AZ$1,),)=0,#N/A,VLOOKUP(A48,'DB Country PMI'!$A:$AZ,MATCH($A$1,'DB Country PMI'!$A$1:$AZ$1,),))</f>
        <v/>
      </c>
      <c r="C48" s="24">
        <f>Table134681112141516171819202225303334[[#This Row],[PMI]]-B47</f>
        <v/>
      </c>
    </row>
    <row r="49">
      <c r="A49" s="10" t="n">
        <v>41760</v>
      </c>
      <c r="B49" s="18">
        <f>IF(VLOOKUP(A49,'DB Country PMI'!$A:$AZ,MATCH($A$1,'DB Country PMI'!$A$1:$AZ$1,),)=0,#N/A,VLOOKUP(A49,'DB Country PMI'!$A:$AZ,MATCH($A$1,'DB Country PMI'!$A$1:$AZ$1,),))</f>
        <v/>
      </c>
      <c r="C49" s="24">
        <f>Table134681112141516171819202225303334[[#This Row],[PMI]]-B48</f>
        <v/>
      </c>
    </row>
    <row r="50">
      <c r="A50" s="10" t="n">
        <v>41791</v>
      </c>
      <c r="B50" s="18">
        <f>IF(VLOOKUP(A50,'DB Country PMI'!$A:$AZ,MATCH($A$1,'DB Country PMI'!$A$1:$AZ$1,),)=0,#N/A,VLOOKUP(A50,'DB Country PMI'!$A:$AZ,MATCH($A$1,'DB Country PMI'!$A$1:$AZ$1,),))</f>
        <v/>
      </c>
      <c r="C50" s="24">
        <f>Table134681112141516171819202225303334[[#This Row],[PMI]]-B49</f>
        <v/>
      </c>
    </row>
    <row r="51">
      <c r="A51" s="10" t="n">
        <v>41821</v>
      </c>
      <c r="B51" s="18">
        <f>IF(VLOOKUP(A51,'DB Country PMI'!$A:$AZ,MATCH($A$1,'DB Country PMI'!$A$1:$AZ$1,),)=0,#N/A,VLOOKUP(A51,'DB Country PMI'!$A:$AZ,MATCH($A$1,'DB Country PMI'!$A$1:$AZ$1,),))</f>
        <v/>
      </c>
      <c r="C51" s="24">
        <f>Table134681112141516171819202225303334[[#This Row],[PMI]]-B50</f>
        <v/>
      </c>
    </row>
    <row r="52">
      <c r="A52" s="10" t="n">
        <v>41852</v>
      </c>
      <c r="B52" s="18">
        <f>IF(VLOOKUP(A52,'DB Country PMI'!$A:$AZ,MATCH($A$1,'DB Country PMI'!$A$1:$AZ$1,),)=0,#N/A,VLOOKUP(A52,'DB Country PMI'!$A:$AZ,MATCH($A$1,'DB Country PMI'!$A$1:$AZ$1,),))</f>
        <v/>
      </c>
      <c r="C52" s="24">
        <f>Table134681112141516171819202225303334[[#This Row],[PMI]]-B51</f>
        <v/>
      </c>
    </row>
    <row r="53">
      <c r="A53" s="10" t="n">
        <v>41883</v>
      </c>
      <c r="B53" s="18">
        <f>IF(VLOOKUP(A53,'DB Country PMI'!$A:$AZ,MATCH($A$1,'DB Country PMI'!$A$1:$AZ$1,),)=0,#N/A,VLOOKUP(A53,'DB Country PMI'!$A:$AZ,MATCH($A$1,'DB Country PMI'!$A$1:$AZ$1,),))</f>
        <v/>
      </c>
      <c r="C53" s="24">
        <f>Table134681112141516171819202225303334[[#This Row],[PMI]]-B52</f>
        <v/>
      </c>
    </row>
    <row r="54">
      <c r="A54" s="10" t="n">
        <v>41913</v>
      </c>
      <c r="B54" s="18">
        <f>IF(VLOOKUP(A54,'DB Country PMI'!$A:$AZ,MATCH($A$1,'DB Country PMI'!$A$1:$AZ$1,),)=0,#N/A,VLOOKUP(A54,'DB Country PMI'!$A:$AZ,MATCH($A$1,'DB Country PMI'!$A$1:$AZ$1,),))</f>
        <v/>
      </c>
      <c r="C54" s="24">
        <f>Table134681112141516171819202225303334[[#This Row],[PMI]]-B53</f>
        <v/>
      </c>
    </row>
    <row r="55">
      <c r="A55" s="10" t="n">
        <v>41944</v>
      </c>
      <c r="B55" s="18">
        <f>IF(VLOOKUP(A55,'DB Country PMI'!$A:$AZ,MATCH($A$1,'DB Country PMI'!$A$1:$AZ$1,),)=0,#N/A,VLOOKUP(A55,'DB Country PMI'!$A:$AZ,MATCH($A$1,'DB Country PMI'!$A$1:$AZ$1,),))</f>
        <v/>
      </c>
      <c r="C55" s="24">
        <f>Table134681112141516171819202225303334[[#This Row],[PMI]]-B54</f>
        <v/>
      </c>
    </row>
    <row r="56">
      <c r="A56" s="10" t="n">
        <v>41974</v>
      </c>
      <c r="B56" s="18">
        <f>IF(VLOOKUP(A56,'DB Country PMI'!$A:$AZ,MATCH($A$1,'DB Country PMI'!$A$1:$AZ$1,),)=0,#N/A,VLOOKUP(A56,'DB Country PMI'!$A:$AZ,MATCH($A$1,'DB Country PMI'!$A$1:$AZ$1,),))</f>
        <v/>
      </c>
      <c r="C56" s="24">
        <f>Table134681112141516171819202225303334[[#This Row],[PMI]]-B55</f>
        <v/>
      </c>
    </row>
    <row r="57">
      <c r="A57" s="10" t="n">
        <v>42005</v>
      </c>
      <c r="B57" s="18">
        <f>IF(VLOOKUP(A57,'DB Country PMI'!$A:$AZ,MATCH($A$1,'DB Country PMI'!$A$1:$AZ$1,),)=0,#N/A,VLOOKUP(A57,'DB Country PMI'!$A:$AZ,MATCH($A$1,'DB Country PMI'!$A$1:$AZ$1,),))</f>
        <v/>
      </c>
      <c r="C57" s="24">
        <f>Table134681112141516171819202225303334[[#This Row],[PMI]]-B56</f>
        <v/>
      </c>
    </row>
    <row r="58">
      <c r="A58" s="10" t="n">
        <v>42036</v>
      </c>
      <c r="B58" s="18">
        <f>IF(VLOOKUP(A58,'DB Country PMI'!$A:$AZ,MATCH($A$1,'DB Country PMI'!$A$1:$AZ$1,),)=0,#N/A,VLOOKUP(A58,'DB Country PMI'!$A:$AZ,MATCH($A$1,'DB Country PMI'!$A$1:$AZ$1,),))</f>
        <v/>
      </c>
      <c r="C58" s="24">
        <f>Table134681112141516171819202225303334[[#This Row],[PMI]]-B57</f>
        <v/>
      </c>
    </row>
    <row r="59">
      <c r="A59" s="10" t="n">
        <v>42064</v>
      </c>
      <c r="B59" s="18">
        <f>IF(VLOOKUP(A59,'DB Country PMI'!$A:$AZ,MATCH($A$1,'DB Country PMI'!$A$1:$AZ$1,),)=0,#N/A,VLOOKUP(A59,'DB Country PMI'!$A:$AZ,MATCH($A$1,'DB Country PMI'!$A$1:$AZ$1,),))</f>
        <v/>
      </c>
      <c r="C59" s="24">
        <f>Table134681112141516171819202225303334[[#This Row],[PMI]]-B58</f>
        <v/>
      </c>
    </row>
    <row r="60">
      <c r="A60" s="10" t="n">
        <v>42095</v>
      </c>
      <c r="B60" s="18">
        <f>IF(VLOOKUP(A60,'DB Country PMI'!$A:$AZ,MATCH($A$1,'DB Country PMI'!$A$1:$AZ$1,),)=0,#N/A,VLOOKUP(A60,'DB Country PMI'!$A:$AZ,MATCH($A$1,'DB Country PMI'!$A$1:$AZ$1,),))</f>
        <v/>
      </c>
      <c r="C60" s="24">
        <f>Table134681112141516171819202225303334[[#This Row],[PMI]]-B59</f>
        <v/>
      </c>
    </row>
    <row r="61">
      <c r="A61" s="10" t="n">
        <v>42125</v>
      </c>
      <c r="B61" s="18">
        <f>IF(VLOOKUP(A61,'DB Country PMI'!$A:$AZ,MATCH($A$1,'DB Country PMI'!$A$1:$AZ$1,),)=0,#N/A,VLOOKUP(A61,'DB Country PMI'!$A:$AZ,MATCH($A$1,'DB Country PMI'!$A$1:$AZ$1,),))</f>
        <v/>
      </c>
      <c r="C61" s="24">
        <f>Table134681112141516171819202225303334[[#This Row],[PMI]]-B60</f>
        <v/>
      </c>
    </row>
    <row r="62">
      <c r="A62" s="10" t="n">
        <v>42156</v>
      </c>
      <c r="B62" s="18">
        <f>IF(VLOOKUP(A62,'DB Country PMI'!$A:$AZ,MATCH($A$1,'DB Country PMI'!$A$1:$AZ$1,),)=0,#N/A,VLOOKUP(A62,'DB Country PMI'!$A:$AZ,MATCH($A$1,'DB Country PMI'!$A$1:$AZ$1,),))</f>
        <v/>
      </c>
      <c r="C62" s="24">
        <f>Table134681112141516171819202225303334[[#This Row],[PMI]]-B61</f>
        <v/>
      </c>
    </row>
    <row r="63">
      <c r="A63" s="10" t="n">
        <v>42186</v>
      </c>
      <c r="B63" s="18">
        <f>IF(VLOOKUP(A63,'DB Country PMI'!$A:$AZ,MATCH($A$1,'DB Country PMI'!$A$1:$AZ$1,),)=0,#N/A,VLOOKUP(A63,'DB Country PMI'!$A:$AZ,MATCH($A$1,'DB Country PMI'!$A$1:$AZ$1,),))</f>
        <v/>
      </c>
      <c r="C63" s="24">
        <f>Table134681112141516171819202225303334[[#This Row],[PMI]]-B62</f>
        <v/>
      </c>
    </row>
    <row r="64">
      <c r="A64" s="10" t="n">
        <v>42217</v>
      </c>
      <c r="B64" s="18">
        <f>IF(VLOOKUP(A64,'DB Country PMI'!$A:$AZ,MATCH($A$1,'DB Country PMI'!$A$1:$AZ$1,),)=0,#N/A,VLOOKUP(A64,'DB Country PMI'!$A:$AZ,MATCH($A$1,'DB Country PMI'!$A$1:$AZ$1,),))</f>
        <v/>
      </c>
      <c r="C64" s="24">
        <f>Table134681112141516171819202225303334[[#This Row],[PMI]]-B63</f>
        <v/>
      </c>
    </row>
    <row r="65">
      <c r="A65" s="10" t="n">
        <v>42248</v>
      </c>
      <c r="B65" s="18">
        <f>IF(VLOOKUP(A65,'DB Country PMI'!$A:$AZ,MATCH($A$1,'DB Country PMI'!$A$1:$AZ$1,),)=0,#N/A,VLOOKUP(A65,'DB Country PMI'!$A:$AZ,MATCH($A$1,'DB Country PMI'!$A$1:$AZ$1,),))</f>
        <v/>
      </c>
      <c r="C65" s="24">
        <f>Table134681112141516171819202225303334[[#This Row],[PMI]]-B64</f>
        <v/>
      </c>
    </row>
    <row r="66">
      <c r="A66" s="10" t="n">
        <v>42278</v>
      </c>
      <c r="B66" s="18">
        <f>IF(VLOOKUP(A66,'DB Country PMI'!$A:$AZ,MATCH($A$1,'DB Country PMI'!$A$1:$AZ$1,),)=0,#N/A,VLOOKUP(A66,'DB Country PMI'!$A:$AZ,MATCH($A$1,'DB Country PMI'!$A$1:$AZ$1,),))</f>
        <v/>
      </c>
      <c r="C66" s="24">
        <f>Table134681112141516171819202225303334[[#This Row],[PMI]]-B65</f>
        <v/>
      </c>
    </row>
    <row r="67">
      <c r="A67" s="10" t="n">
        <v>42309</v>
      </c>
      <c r="B67" s="18">
        <f>IF(VLOOKUP(A67,'DB Country PMI'!$A:$AZ,MATCH($A$1,'DB Country PMI'!$A$1:$AZ$1,),)=0,#N/A,VLOOKUP(A67,'DB Country PMI'!$A:$AZ,MATCH($A$1,'DB Country PMI'!$A$1:$AZ$1,),))</f>
        <v/>
      </c>
      <c r="C67" s="24">
        <f>Table134681112141516171819202225303334[[#This Row],[PMI]]-B66</f>
        <v/>
      </c>
    </row>
    <row r="68">
      <c r="A68" s="10" t="n">
        <v>42339</v>
      </c>
      <c r="B68" s="18">
        <f>IF(VLOOKUP(A68,'DB Country PMI'!$A:$AZ,MATCH($A$1,'DB Country PMI'!$A$1:$AZ$1,),)=0,#N/A,VLOOKUP(A68,'DB Country PMI'!$A:$AZ,MATCH($A$1,'DB Country PMI'!$A$1:$AZ$1,),))</f>
        <v/>
      </c>
      <c r="C68" s="24">
        <f>Table134681112141516171819202225303334[[#This Row],[PMI]]-B67</f>
        <v/>
      </c>
    </row>
    <row r="69">
      <c r="A69" s="10" t="n">
        <v>42370</v>
      </c>
      <c r="B69" s="18">
        <f>IF(VLOOKUP(A69,'DB Country PMI'!$A:$AZ,MATCH($A$1,'DB Country PMI'!$A$1:$AZ$1,),)=0,#N/A,VLOOKUP(A69,'DB Country PMI'!$A:$AZ,MATCH($A$1,'DB Country PMI'!$A$1:$AZ$1,),))</f>
        <v/>
      </c>
      <c r="C69" s="24">
        <f>Table134681112141516171819202225303334[[#This Row],[PMI]]-B68</f>
        <v/>
      </c>
    </row>
    <row r="70">
      <c r="A70" s="10" t="n">
        <v>42401</v>
      </c>
      <c r="B70" s="18">
        <f>IF(VLOOKUP(A70,'DB Country PMI'!$A:$AZ,MATCH($A$1,'DB Country PMI'!$A$1:$AZ$1,),)=0,#N/A,VLOOKUP(A70,'DB Country PMI'!$A:$AZ,MATCH($A$1,'DB Country PMI'!$A$1:$AZ$1,),))</f>
        <v/>
      </c>
      <c r="C70" s="24">
        <f>Table134681112141516171819202225303334[[#This Row],[PMI]]-B69</f>
        <v/>
      </c>
    </row>
    <row r="71">
      <c r="A71" s="10" t="n">
        <v>42430</v>
      </c>
      <c r="B71" s="18">
        <f>IF(VLOOKUP(A71,'DB Country PMI'!$A:$AZ,MATCH($A$1,'DB Country PMI'!$A$1:$AZ$1,),)=0,#N/A,VLOOKUP(A71,'DB Country PMI'!$A:$AZ,MATCH($A$1,'DB Country PMI'!$A$1:$AZ$1,),))</f>
        <v/>
      </c>
      <c r="C71" s="24">
        <f>Table134681112141516171819202225303334[[#This Row],[PMI]]-B70</f>
        <v/>
      </c>
    </row>
    <row r="72">
      <c r="A72" s="10" t="n">
        <v>42461</v>
      </c>
      <c r="B72" s="18">
        <f>IF(VLOOKUP(A72,'DB Country PMI'!$A:$AZ,MATCH($A$1,'DB Country PMI'!$A$1:$AZ$1,),)=0,#N/A,VLOOKUP(A72,'DB Country PMI'!$A:$AZ,MATCH($A$1,'DB Country PMI'!$A$1:$AZ$1,),))</f>
        <v/>
      </c>
      <c r="C72" s="24">
        <f>Table134681112141516171819202225303334[[#This Row],[PMI]]-B71</f>
        <v/>
      </c>
    </row>
    <row r="73">
      <c r="A73" s="10" t="n">
        <v>42491</v>
      </c>
      <c r="B73" s="18">
        <f>IF(VLOOKUP(A73,'DB Country PMI'!$A:$AZ,MATCH($A$1,'DB Country PMI'!$A$1:$AZ$1,),)=0,#N/A,VLOOKUP(A73,'DB Country PMI'!$A:$AZ,MATCH($A$1,'DB Country PMI'!$A$1:$AZ$1,),))</f>
        <v/>
      </c>
      <c r="C73" s="24">
        <f>Table134681112141516171819202225303334[[#This Row],[PMI]]-B72</f>
        <v/>
      </c>
    </row>
    <row r="74">
      <c r="A74" s="10" t="n">
        <v>42522</v>
      </c>
      <c r="B74" s="18">
        <f>IF(VLOOKUP(A74,'DB Country PMI'!$A:$AZ,MATCH($A$1,'DB Country PMI'!$A$1:$AZ$1,),)=0,#N/A,VLOOKUP(A74,'DB Country PMI'!$A:$AZ,MATCH($A$1,'DB Country PMI'!$A$1:$AZ$1,),))</f>
        <v/>
      </c>
      <c r="C74" s="24">
        <f>Table134681112141516171819202225303334[[#This Row],[PMI]]-B73</f>
        <v/>
      </c>
    </row>
    <row r="75">
      <c r="A75" s="10" t="n">
        <v>42552</v>
      </c>
      <c r="B75" s="18">
        <f>IF(VLOOKUP(A75,'DB Country PMI'!$A:$AZ,MATCH($A$1,'DB Country PMI'!$A$1:$AZ$1,),)=0,#N/A,VLOOKUP(A75,'DB Country PMI'!$A:$AZ,MATCH($A$1,'DB Country PMI'!$A$1:$AZ$1,),))</f>
        <v/>
      </c>
      <c r="C75" s="24">
        <f>Table134681112141516171819202225303334[[#This Row],[PMI]]-B74</f>
        <v/>
      </c>
    </row>
    <row r="76">
      <c r="A76" s="10" t="n">
        <v>42583</v>
      </c>
      <c r="B76" s="18">
        <f>IF(VLOOKUP(A76,'DB Country PMI'!$A:$AZ,MATCH($A$1,'DB Country PMI'!$A$1:$AZ$1,),)=0,#N/A,VLOOKUP(A76,'DB Country PMI'!$A:$AZ,MATCH($A$1,'DB Country PMI'!$A$1:$AZ$1,),))</f>
        <v/>
      </c>
      <c r="C76" s="24">
        <f>Table134681112141516171819202225303334[[#This Row],[PMI]]-B75</f>
        <v/>
      </c>
    </row>
    <row r="77">
      <c r="A77" s="10" t="n">
        <v>42614</v>
      </c>
      <c r="B77" s="18">
        <f>IF(VLOOKUP(A77,'DB Country PMI'!$A:$AZ,MATCH($A$1,'DB Country PMI'!$A$1:$AZ$1,),)=0,#N/A,VLOOKUP(A77,'DB Country PMI'!$A:$AZ,MATCH($A$1,'DB Country PMI'!$A$1:$AZ$1,),))</f>
        <v/>
      </c>
      <c r="C77" s="24">
        <f>Table134681112141516171819202225303334[[#This Row],[PMI]]-B76</f>
        <v/>
      </c>
    </row>
    <row r="78">
      <c r="A78" s="10" t="n">
        <v>42644</v>
      </c>
      <c r="B78" s="18">
        <f>IF(VLOOKUP(A78,'DB Country PMI'!$A:$AZ,MATCH($A$1,'DB Country PMI'!$A$1:$AZ$1,),)=0,#N/A,VLOOKUP(A78,'DB Country PMI'!$A:$AZ,MATCH($A$1,'DB Country PMI'!$A$1:$AZ$1,),))</f>
        <v/>
      </c>
      <c r="C78" s="24">
        <f>Table134681112141516171819202225303334[[#This Row],[PMI]]-B77</f>
        <v/>
      </c>
    </row>
    <row r="79">
      <c r="A79" s="10" t="n">
        <v>42675</v>
      </c>
      <c r="B79" s="18">
        <f>IF(VLOOKUP(A79,'DB Country PMI'!$A:$AZ,MATCH($A$1,'DB Country PMI'!$A$1:$AZ$1,),)=0,#N/A,VLOOKUP(A79,'DB Country PMI'!$A:$AZ,MATCH($A$1,'DB Country PMI'!$A$1:$AZ$1,),))</f>
        <v/>
      </c>
      <c r="C79" s="24">
        <f>Table134681112141516171819202225303334[[#This Row],[PMI]]-B78</f>
        <v/>
      </c>
    </row>
    <row r="80">
      <c r="A80" s="10" t="n">
        <v>42705</v>
      </c>
      <c r="B80" s="18">
        <f>IF(VLOOKUP(A80,'DB Country PMI'!$A:$AZ,MATCH($A$1,'DB Country PMI'!$A$1:$AZ$1,),)=0,#N/A,VLOOKUP(A80,'DB Country PMI'!$A:$AZ,MATCH($A$1,'DB Country PMI'!$A$1:$AZ$1,),))</f>
        <v/>
      </c>
      <c r="C80" s="24">
        <f>Table134681112141516171819202225303334[[#This Row],[PMI]]-B79</f>
        <v/>
      </c>
    </row>
    <row r="81">
      <c r="A81" s="10" t="n">
        <v>42736</v>
      </c>
      <c r="B81" s="18">
        <f>IF(VLOOKUP(A81,'DB Country PMI'!$A:$AZ,MATCH($A$1,'DB Country PMI'!$A$1:$AZ$1,),)=0,#N/A,VLOOKUP(A81,'DB Country PMI'!$A:$AZ,MATCH($A$1,'DB Country PMI'!$A$1:$AZ$1,),))</f>
        <v/>
      </c>
      <c r="C81" s="24">
        <f>Table134681112141516171819202225303334[[#This Row],[PMI]]-B80</f>
        <v/>
      </c>
    </row>
    <row r="82">
      <c r="A82" s="10" t="n">
        <v>42767</v>
      </c>
      <c r="B82" s="18">
        <f>IF(VLOOKUP(A82,'DB Country PMI'!$A:$AZ,MATCH($A$1,'DB Country PMI'!$A$1:$AZ$1,),)=0,#N/A,VLOOKUP(A82,'DB Country PMI'!$A:$AZ,MATCH($A$1,'DB Country PMI'!$A$1:$AZ$1,),))</f>
        <v/>
      </c>
      <c r="C82" s="24">
        <f>Table134681112141516171819202225303334[[#This Row],[PMI]]-B81</f>
        <v/>
      </c>
    </row>
    <row r="83">
      <c r="A83" s="10" t="n">
        <v>42795</v>
      </c>
      <c r="B83" s="18">
        <f>IF(VLOOKUP(A83,'DB Country PMI'!$A:$AZ,MATCH($A$1,'DB Country PMI'!$A$1:$AZ$1,),)=0,#N/A,VLOOKUP(A83,'DB Country PMI'!$A:$AZ,MATCH($A$1,'DB Country PMI'!$A$1:$AZ$1,),))</f>
        <v/>
      </c>
      <c r="C83" s="24">
        <f>Table134681112141516171819202225303334[[#This Row],[PMI]]-B82</f>
        <v/>
      </c>
    </row>
    <row r="84">
      <c r="A84" s="10" t="n">
        <v>42826</v>
      </c>
      <c r="B84" s="18">
        <f>IF(VLOOKUP(A84,'DB Country PMI'!$A:$AZ,MATCH($A$1,'DB Country PMI'!$A$1:$AZ$1,),)=0,#N/A,VLOOKUP(A84,'DB Country PMI'!$A:$AZ,MATCH($A$1,'DB Country PMI'!$A$1:$AZ$1,),))</f>
        <v/>
      </c>
      <c r="C84" s="24">
        <f>Table134681112141516171819202225303334[[#This Row],[PMI]]-B83</f>
        <v/>
      </c>
    </row>
    <row r="85">
      <c r="A85" s="10" t="n">
        <v>42856</v>
      </c>
      <c r="B85" s="18">
        <f>IF(VLOOKUP(A85,'DB Country PMI'!$A:$AZ,MATCH($A$1,'DB Country PMI'!$A$1:$AZ$1,),)=0,#N/A,VLOOKUP(A85,'DB Country PMI'!$A:$AZ,MATCH($A$1,'DB Country PMI'!$A$1:$AZ$1,),))</f>
        <v/>
      </c>
      <c r="C85" s="24">
        <f>Table134681112141516171819202225303334[[#This Row],[PMI]]-B84</f>
        <v/>
      </c>
    </row>
    <row r="86">
      <c r="A86" s="10" t="n">
        <v>42887</v>
      </c>
      <c r="B86" s="18">
        <f>IF(VLOOKUP(A86,'DB Country PMI'!$A:$AZ,MATCH($A$1,'DB Country PMI'!$A$1:$AZ$1,),)=0,#N/A,VLOOKUP(A86,'DB Country PMI'!$A:$AZ,MATCH($A$1,'DB Country PMI'!$A$1:$AZ$1,),))</f>
        <v/>
      </c>
      <c r="C86" s="24">
        <f>Table134681112141516171819202225303334[[#This Row],[PMI]]-B85</f>
        <v/>
      </c>
    </row>
    <row r="87">
      <c r="A87" s="10" t="n">
        <v>42917</v>
      </c>
      <c r="B87" s="18">
        <f>IF(VLOOKUP(A87,'DB Country PMI'!$A:$AZ,MATCH($A$1,'DB Country PMI'!$A$1:$AZ$1,),)=0,#N/A,VLOOKUP(A87,'DB Country PMI'!$A:$AZ,MATCH($A$1,'DB Country PMI'!$A$1:$AZ$1,),))</f>
        <v/>
      </c>
      <c r="C87" s="24">
        <f>Table134681112141516171819202225303334[[#This Row],[PMI]]-B86</f>
        <v/>
      </c>
    </row>
    <row r="88">
      <c r="A88" s="10" t="n">
        <v>42948</v>
      </c>
      <c r="B88" s="18">
        <f>IF(VLOOKUP(A88,'DB Country PMI'!$A:$AZ,MATCH($A$1,'DB Country PMI'!$A$1:$AZ$1,),)=0,#N/A,VLOOKUP(A88,'DB Country PMI'!$A:$AZ,MATCH($A$1,'DB Country PMI'!$A$1:$AZ$1,),))</f>
        <v/>
      </c>
      <c r="C88" s="24">
        <f>Table134681112141516171819202225303334[[#This Row],[PMI]]-B87</f>
        <v/>
      </c>
    </row>
    <row r="89">
      <c r="A89" s="10" t="n">
        <v>42979</v>
      </c>
      <c r="B89" s="18">
        <f>IF(VLOOKUP(A89,'DB Country PMI'!$A:$AZ,MATCH($A$1,'DB Country PMI'!$A$1:$AZ$1,),)=0,#N/A,VLOOKUP(A89,'DB Country PMI'!$A:$AZ,MATCH($A$1,'DB Country PMI'!$A$1:$AZ$1,),))</f>
        <v/>
      </c>
      <c r="C89" s="24">
        <f>Table134681112141516171819202225303334[[#This Row],[PMI]]-B88</f>
        <v/>
      </c>
    </row>
    <row r="90">
      <c r="A90" s="10" t="n">
        <v>43009</v>
      </c>
      <c r="B90" s="18">
        <f>IF(VLOOKUP(A90,'DB Country PMI'!$A:$AZ,MATCH($A$1,'DB Country PMI'!$A$1:$AZ$1,),)=0,#N/A,VLOOKUP(A90,'DB Country PMI'!$A:$AZ,MATCH($A$1,'DB Country PMI'!$A$1:$AZ$1,),))</f>
        <v/>
      </c>
      <c r="C90" s="24">
        <f>Table134681112141516171819202225303334[[#This Row],[PMI]]-B89</f>
        <v/>
      </c>
    </row>
    <row r="91">
      <c r="A91" s="10" t="n">
        <v>43040</v>
      </c>
      <c r="B91" s="18">
        <f>IF(VLOOKUP(A91,'DB Country PMI'!$A:$AZ,MATCH($A$1,'DB Country PMI'!$A$1:$AZ$1,),)=0,#N/A,VLOOKUP(A91,'DB Country PMI'!$A:$AZ,MATCH($A$1,'DB Country PMI'!$A$1:$AZ$1,),))</f>
        <v/>
      </c>
      <c r="C91" s="24">
        <f>Table134681112141516171819202225303334[[#This Row],[PMI]]-B90</f>
        <v/>
      </c>
    </row>
    <row r="92">
      <c r="A92" s="10" t="n">
        <v>43070</v>
      </c>
      <c r="B92" s="18">
        <f>IF(VLOOKUP(A92,'DB Country PMI'!$A:$AZ,MATCH($A$1,'DB Country PMI'!$A$1:$AZ$1,),)=0,#N/A,VLOOKUP(A92,'DB Country PMI'!$A:$AZ,MATCH($A$1,'DB Country PMI'!$A$1:$AZ$1,),))</f>
        <v/>
      </c>
      <c r="C92" s="24">
        <f>Table134681112141516171819202225303334[[#This Row],[PMI]]-B91</f>
        <v/>
      </c>
    </row>
    <row r="93">
      <c r="A93" s="10" t="n">
        <v>43101</v>
      </c>
      <c r="B93" s="18">
        <f>IF(VLOOKUP(A93,'DB Country PMI'!$A:$AZ,MATCH($A$1,'DB Country PMI'!$A$1:$AZ$1,),)=0,#N/A,VLOOKUP(A93,'DB Country PMI'!$A:$AZ,MATCH($A$1,'DB Country PMI'!$A$1:$AZ$1,),))</f>
        <v/>
      </c>
      <c r="C93" s="24">
        <f>Table134681112141516171819202225303334[[#This Row],[PMI]]-B92</f>
        <v/>
      </c>
    </row>
    <row r="94">
      <c r="A94" s="10" t="n">
        <v>43132</v>
      </c>
      <c r="B94" s="18">
        <f>IF(VLOOKUP(A94,'DB Country PMI'!$A:$AZ,MATCH($A$1,'DB Country PMI'!$A$1:$AZ$1,),)=0,#N/A,VLOOKUP(A94,'DB Country PMI'!$A:$AZ,MATCH($A$1,'DB Country PMI'!$A$1:$AZ$1,),))</f>
        <v/>
      </c>
      <c r="C94" s="24">
        <f>Table134681112141516171819202225303334[[#This Row],[PMI]]-B93</f>
        <v/>
      </c>
    </row>
    <row r="95">
      <c r="A95" s="10" t="n">
        <v>43160</v>
      </c>
      <c r="B95" s="18">
        <f>IF(VLOOKUP(A95,'DB Country PMI'!$A:$AZ,MATCH($A$1,'DB Country PMI'!$A$1:$AZ$1,),)=0,#N/A,VLOOKUP(A95,'DB Country PMI'!$A:$AZ,MATCH($A$1,'DB Country PMI'!$A$1:$AZ$1,),))</f>
        <v/>
      </c>
      <c r="C95" s="24">
        <f>Table134681112141516171819202225303334[[#This Row],[PMI]]-B94</f>
        <v/>
      </c>
    </row>
    <row r="96">
      <c r="A96" s="10" t="n">
        <v>43191</v>
      </c>
      <c r="B96" s="18">
        <f>IF(VLOOKUP(A96,'DB Country PMI'!$A:$AZ,MATCH($A$1,'DB Country PMI'!$A$1:$AZ$1,),)=0,#N/A,VLOOKUP(A96,'DB Country PMI'!$A:$AZ,MATCH($A$1,'DB Country PMI'!$A$1:$AZ$1,),))</f>
        <v/>
      </c>
      <c r="C96" s="24">
        <f>Table134681112141516171819202225303334[[#This Row],[PMI]]-B95</f>
        <v/>
      </c>
    </row>
    <row r="97">
      <c r="A97" s="10" t="n">
        <v>43221</v>
      </c>
      <c r="B97" s="18">
        <f>IF(VLOOKUP(A97,'DB Country PMI'!$A:$AZ,MATCH($A$1,'DB Country PMI'!$A$1:$AZ$1,),)=0,#N/A,VLOOKUP(A97,'DB Country PMI'!$A:$AZ,MATCH($A$1,'DB Country PMI'!$A$1:$AZ$1,),))</f>
        <v/>
      </c>
      <c r="C97" s="24">
        <f>Table134681112141516171819202225303334[[#This Row],[PMI]]-B96</f>
        <v/>
      </c>
    </row>
    <row r="98">
      <c r="A98" s="10" t="n">
        <v>43252</v>
      </c>
      <c r="B98" s="18">
        <f>IF(VLOOKUP(A98,'DB Country PMI'!$A:$AZ,MATCH($A$1,'DB Country PMI'!$A$1:$AZ$1,),)=0,#N/A,VLOOKUP(A98,'DB Country PMI'!$A:$AZ,MATCH($A$1,'DB Country PMI'!$A$1:$AZ$1,),))</f>
        <v/>
      </c>
      <c r="C98" s="24">
        <f>Table134681112141516171819202225303334[[#This Row],[PMI]]-B97</f>
        <v/>
      </c>
    </row>
    <row r="99">
      <c r="A99" s="10" t="n">
        <v>43282</v>
      </c>
      <c r="B99" s="18">
        <f>IF(VLOOKUP(A99,'DB Country PMI'!$A:$AZ,MATCH($A$1,'DB Country PMI'!$A$1:$AZ$1,),)=0,#N/A,VLOOKUP(A99,'DB Country PMI'!$A:$AZ,MATCH($A$1,'DB Country PMI'!$A$1:$AZ$1,),))</f>
        <v/>
      </c>
      <c r="C99" s="24">
        <f>Table134681112141516171819202225303334[[#This Row],[PMI]]-B98</f>
        <v/>
      </c>
    </row>
    <row r="100">
      <c r="A100" s="10" t="n">
        <v>43313</v>
      </c>
      <c r="B100" s="18">
        <f>IF(VLOOKUP(A100,'DB Country PMI'!$A:$AZ,MATCH($A$1,'DB Country PMI'!$A$1:$AZ$1,),)=0,#N/A,VLOOKUP(A100,'DB Country PMI'!$A:$AZ,MATCH($A$1,'DB Country PMI'!$A$1:$AZ$1,),))</f>
        <v/>
      </c>
      <c r="C100" s="24">
        <f>Table134681112141516171819202225303334[[#This Row],[PMI]]-B99</f>
        <v/>
      </c>
    </row>
    <row r="101">
      <c r="A101" s="10" t="n">
        <v>43344</v>
      </c>
      <c r="B101" s="18">
        <f>IF(VLOOKUP(A101,'DB Country PMI'!$A:$AZ,MATCH($A$1,'DB Country PMI'!$A$1:$AZ$1,),)=0,#N/A,VLOOKUP(A101,'DB Country PMI'!$A:$AZ,MATCH($A$1,'DB Country PMI'!$A$1:$AZ$1,),))</f>
        <v/>
      </c>
      <c r="C101" s="24">
        <f>Table134681112141516171819202225303334[[#This Row],[PMI]]-B100</f>
        <v/>
      </c>
    </row>
    <row r="102">
      <c r="A102" s="10" t="n">
        <v>43374</v>
      </c>
      <c r="B102" s="18">
        <f>IF(VLOOKUP(A102,'DB Country PMI'!$A:$AZ,MATCH($A$1,'DB Country PMI'!$A$1:$AZ$1,),)=0,#N/A,VLOOKUP(A102,'DB Country PMI'!$A:$AZ,MATCH($A$1,'DB Country PMI'!$A$1:$AZ$1,),))</f>
        <v/>
      </c>
      <c r="C102" s="24">
        <f>Table134681112141516171819202225303334[[#This Row],[PMI]]-B101</f>
        <v/>
      </c>
    </row>
    <row r="103">
      <c r="A103" s="10" t="n">
        <v>43405</v>
      </c>
      <c r="B103" s="18">
        <f>IF(VLOOKUP(A103,'DB Country PMI'!$A:$AZ,MATCH($A$1,'DB Country PMI'!$A$1:$AZ$1,),)=0,#N/A,VLOOKUP(A103,'DB Country PMI'!$A:$AZ,MATCH($A$1,'DB Country PMI'!$A$1:$AZ$1,),))</f>
        <v/>
      </c>
      <c r="C103" s="24">
        <f>Table134681112141516171819202225303334[[#This Row],[PMI]]-B102</f>
        <v/>
      </c>
    </row>
    <row r="104">
      <c r="A104" s="10" t="n">
        <v>43435</v>
      </c>
      <c r="B104" s="18">
        <f>IF(VLOOKUP(A104,'DB Country PMI'!$A:$AZ,MATCH($A$1,'DB Country PMI'!$A$1:$AZ$1,),)=0,#N/A,VLOOKUP(A104,'DB Country PMI'!$A:$AZ,MATCH($A$1,'DB Country PMI'!$A$1:$AZ$1,),))</f>
        <v/>
      </c>
      <c r="C104" s="24">
        <f>Table134681112141516171819202225303334[[#This Row],[PMI]]-B103</f>
        <v/>
      </c>
    </row>
    <row r="105">
      <c r="A105" s="10" t="n">
        <v>43466</v>
      </c>
      <c r="B105" s="18">
        <f>IF(VLOOKUP(A105,'DB Country PMI'!$A:$AZ,MATCH($A$1,'DB Country PMI'!$A$1:$AZ$1,),)=0,#N/A,VLOOKUP(A105,'DB Country PMI'!$A:$AZ,MATCH($A$1,'DB Country PMI'!$A$1:$AZ$1,),))</f>
        <v/>
      </c>
      <c r="C105" s="24">
        <f>Table134681112141516171819202225303334[[#This Row],[PMI]]-B104</f>
        <v/>
      </c>
    </row>
    <row r="106">
      <c r="A106" s="10" t="n">
        <v>43497</v>
      </c>
      <c r="B106" s="18">
        <f>IF(VLOOKUP(A106,'DB Country PMI'!$A:$AZ,MATCH($A$1,'DB Country PMI'!$A$1:$AZ$1,),)=0,#N/A,VLOOKUP(A106,'DB Country PMI'!$A:$AZ,MATCH($A$1,'DB Country PMI'!$A$1:$AZ$1,),))</f>
        <v/>
      </c>
      <c r="C106" s="24">
        <f>Table134681112141516171819202225303334[[#This Row],[PMI]]-B105</f>
        <v/>
      </c>
    </row>
    <row r="107">
      <c r="A107" s="10" t="n">
        <v>43525</v>
      </c>
      <c r="B107" s="18">
        <f>IF(VLOOKUP(A107,'DB Country PMI'!$A:$AZ,MATCH($A$1,'DB Country PMI'!$A$1:$AZ$1,),)=0,#N/A,VLOOKUP(A107,'DB Country PMI'!$A:$AZ,MATCH($A$1,'DB Country PMI'!$A$1:$AZ$1,),))</f>
        <v/>
      </c>
      <c r="C107" s="24">
        <f>Table134681112141516171819202225303334[[#This Row],[PMI]]-B106</f>
        <v/>
      </c>
    </row>
    <row r="108">
      <c r="A108" s="10" t="n">
        <v>43556</v>
      </c>
      <c r="B108" s="18">
        <f>IF(VLOOKUP(A108,'DB Country PMI'!$A:$AZ,MATCH($A$1,'DB Country PMI'!$A$1:$AZ$1,),)=0,#N/A,VLOOKUP(A108,'DB Country PMI'!$A:$AZ,MATCH($A$1,'DB Country PMI'!$A$1:$AZ$1,),))</f>
        <v/>
      </c>
      <c r="C108" s="24">
        <f>Table134681112141516171819202225303334[[#This Row],[PMI]]-B107</f>
        <v/>
      </c>
    </row>
    <row r="109">
      <c r="A109" s="10" t="n">
        <v>43586</v>
      </c>
      <c r="B109" s="18">
        <f>IF(VLOOKUP(A109,'DB Country PMI'!$A:$AZ,MATCH($A$1,'DB Country PMI'!$A$1:$AZ$1,),)=0,#N/A,VLOOKUP(A109,'DB Country PMI'!$A:$AZ,MATCH($A$1,'DB Country PMI'!$A$1:$AZ$1,),))</f>
        <v/>
      </c>
      <c r="C109" s="24">
        <f>Table134681112141516171819202225303334[[#This Row],[PMI]]-B108</f>
        <v/>
      </c>
    </row>
    <row r="110">
      <c r="A110" s="10" t="n">
        <v>43617</v>
      </c>
      <c r="B110" s="18">
        <f>IF(VLOOKUP(A110,'DB Country PMI'!$A:$AZ,MATCH($A$1,'DB Country PMI'!$A$1:$AZ$1,),)=0,#N/A,VLOOKUP(A110,'DB Country PMI'!$A:$AZ,MATCH($A$1,'DB Country PMI'!$A$1:$AZ$1,),))</f>
        <v/>
      </c>
      <c r="C110" s="24">
        <f>Table134681112141516171819202225303334[[#This Row],[PMI]]-B109</f>
        <v/>
      </c>
    </row>
    <row r="111">
      <c r="A111" s="10" t="n">
        <v>43647</v>
      </c>
      <c r="B111" s="18">
        <f>IF(VLOOKUP(A111,'DB Country PMI'!$A:$AZ,MATCH($A$1,'DB Country PMI'!$A$1:$AZ$1,),)=0,#N/A,VLOOKUP(A111,'DB Country PMI'!$A:$AZ,MATCH($A$1,'DB Country PMI'!$A$1:$AZ$1,),))</f>
        <v/>
      </c>
      <c r="C111" s="24">
        <f>Table134681112141516171819202225303334[[#This Row],[PMI]]-B110</f>
        <v/>
      </c>
    </row>
    <row r="112">
      <c r="A112" s="10" t="n">
        <v>43678</v>
      </c>
      <c r="B112" s="18">
        <f>IF(VLOOKUP(A112,'DB Country PMI'!$A:$AZ,MATCH($A$1,'DB Country PMI'!$A$1:$AZ$1,),)=0,#N/A,VLOOKUP(A112,'DB Country PMI'!$A:$AZ,MATCH($A$1,'DB Country PMI'!$A$1:$AZ$1,),))</f>
        <v/>
      </c>
      <c r="C112" s="24">
        <f>Table134681112141516171819202225303334[[#This Row],[PMI]]-B111</f>
        <v/>
      </c>
    </row>
    <row r="113">
      <c r="A113" s="10" t="n">
        <v>43709</v>
      </c>
      <c r="B113" s="18">
        <f>IF(VLOOKUP(A113,'DB Country PMI'!$A:$AZ,MATCH($A$1,'DB Country PMI'!$A$1:$AZ$1,),)=0,#N/A,VLOOKUP(A113,'DB Country PMI'!$A:$AZ,MATCH($A$1,'DB Country PMI'!$A$1:$AZ$1,),))</f>
        <v/>
      </c>
      <c r="C113" s="24">
        <f>Table134681112141516171819202225303334[[#This Row],[PMI]]-B112</f>
        <v/>
      </c>
    </row>
    <row r="114">
      <c r="A114" s="10" t="n">
        <v>43739</v>
      </c>
      <c r="B114" s="18">
        <f>IF(VLOOKUP(A114,'DB Country PMI'!$A:$AZ,MATCH($A$1,'DB Country PMI'!$A$1:$AZ$1,),)=0,#N/A,VLOOKUP(A114,'DB Country PMI'!$A:$AZ,MATCH($A$1,'DB Country PMI'!$A$1:$AZ$1,),))</f>
        <v/>
      </c>
      <c r="C114" s="24">
        <f>Table134681112141516171819202225303334[[#This Row],[PMI]]-B113</f>
        <v/>
      </c>
    </row>
    <row r="115">
      <c r="A115" s="10" t="n">
        <v>43770</v>
      </c>
      <c r="B115" s="18">
        <f>IF(VLOOKUP(A115,'DB Country PMI'!$A:$AZ,MATCH($A$1,'DB Country PMI'!$A$1:$AZ$1,),)=0,#N/A,VLOOKUP(A115,'DB Country PMI'!$A:$AZ,MATCH($A$1,'DB Country PMI'!$A$1:$AZ$1,),))</f>
        <v/>
      </c>
      <c r="C115" s="24">
        <f>Table134681112141516171819202225303334[[#This Row],[PMI]]-B114</f>
        <v/>
      </c>
    </row>
    <row r="116">
      <c r="A116" s="10" t="n">
        <v>43800</v>
      </c>
      <c r="B116" s="18">
        <f>IF(VLOOKUP(A116,'DB Country PMI'!$A:$AZ,MATCH($A$1,'DB Country PMI'!$A$1:$AZ$1,),)=0,#N/A,VLOOKUP(A116,'DB Country PMI'!$A:$AZ,MATCH($A$1,'DB Country PMI'!$A$1:$AZ$1,),))</f>
        <v/>
      </c>
      <c r="C116" s="24">
        <f>Table134681112141516171819202225303334[[#This Row],[PMI]]-B115</f>
        <v/>
      </c>
    </row>
    <row r="117">
      <c r="A117" s="10" t="n">
        <v>43831</v>
      </c>
      <c r="B117" s="18">
        <f>IF(VLOOKUP(A117,'DB Country PMI'!$A:$AZ,MATCH($A$1,'DB Country PMI'!$A$1:$AZ$1,),)=0,#N/A,VLOOKUP(A117,'DB Country PMI'!$A:$AZ,MATCH($A$1,'DB Country PMI'!$A$1:$AZ$1,),))</f>
        <v/>
      </c>
      <c r="C117" s="24">
        <f>Table134681112141516171819202225303334[[#This Row],[PMI]]-B116</f>
        <v/>
      </c>
    </row>
    <row r="118">
      <c r="A118" s="10" t="n">
        <v>43862</v>
      </c>
      <c r="B118" s="18">
        <f>IF(VLOOKUP(A118,'DB Country PMI'!$A:$AZ,MATCH($A$1,'DB Country PMI'!$A$1:$AZ$1,),)=0,#N/A,VLOOKUP(A118,'DB Country PMI'!$A:$AZ,MATCH($A$1,'DB Country PMI'!$A$1:$AZ$1,),))</f>
        <v/>
      </c>
      <c r="C118" s="24">
        <f>Table134681112141516171819202225303334[[#This Row],[PMI]]-B117</f>
        <v/>
      </c>
    </row>
    <row r="119">
      <c r="A119" s="10" t="n">
        <v>43891</v>
      </c>
      <c r="B119" s="18">
        <f>IF(VLOOKUP(A119,'DB Country PMI'!$A:$AZ,MATCH($A$1,'DB Country PMI'!$A$1:$AZ$1,),)=0,#N/A,VLOOKUP(A119,'DB Country PMI'!$A:$AZ,MATCH($A$1,'DB Country PMI'!$A$1:$AZ$1,),))</f>
        <v/>
      </c>
      <c r="C119" s="24">
        <f>Table134681112141516171819202225303334[[#This Row],[PMI]]-B118</f>
        <v/>
      </c>
    </row>
    <row r="120">
      <c r="A120" s="10" t="n">
        <v>43922</v>
      </c>
      <c r="B120" s="18">
        <f>IF(VLOOKUP(A120,'DB Country PMI'!$A:$AZ,MATCH($A$1,'DB Country PMI'!$A$1:$AZ$1,),)=0,#N/A,VLOOKUP(A120,'DB Country PMI'!$A:$AZ,MATCH($A$1,'DB Country PMI'!$A$1:$AZ$1,),))</f>
        <v/>
      </c>
      <c r="C120" s="24">
        <f>Table134681112141516171819202225303334[[#This Row],[PMI]]-B119</f>
        <v/>
      </c>
    </row>
    <row r="121">
      <c r="A121" s="10" t="n">
        <v>43952</v>
      </c>
      <c r="B121" s="18">
        <f>IF(VLOOKUP(A121,'DB Country PMI'!$A:$AZ,MATCH($A$1,'DB Country PMI'!$A$1:$AZ$1,),)=0,#N/A,VLOOKUP(A121,'DB Country PMI'!$A:$AZ,MATCH($A$1,'DB Country PMI'!$A$1:$AZ$1,),))</f>
        <v/>
      </c>
      <c r="C121" s="24">
        <f>Table134681112141516171819202225303334[[#This Row],[PMI]]-B120</f>
        <v/>
      </c>
    </row>
    <row r="122">
      <c r="A122" s="10" t="n">
        <v>43983</v>
      </c>
      <c r="B122" s="18">
        <f>IF(VLOOKUP(A122,'DB Country PMI'!$A:$AZ,MATCH($A$1,'DB Country PMI'!$A$1:$AZ$1,),)=0,#N/A,VLOOKUP(A122,'DB Country PMI'!$A:$AZ,MATCH($A$1,'DB Country PMI'!$A$1:$AZ$1,),))</f>
        <v/>
      </c>
      <c r="C122" s="24">
        <f>Table134681112141516171819202225303334[[#This Row],[PMI]]-B121</f>
        <v/>
      </c>
    </row>
    <row r="123">
      <c r="A123" s="10" t="n">
        <v>44013</v>
      </c>
      <c r="B123" s="18">
        <f>IF(VLOOKUP(A123,'DB Country PMI'!$A:$AZ,MATCH($A$1,'DB Country PMI'!$A$1:$AZ$1,),)=0,#N/A,VLOOKUP(A123,'DB Country PMI'!$A:$AZ,MATCH($A$1,'DB Country PMI'!$A$1:$AZ$1,),))</f>
        <v/>
      </c>
      <c r="C123" s="24">
        <f>Table134681112141516171819202225303334[[#This Row],[PMI]]-B122</f>
        <v/>
      </c>
    </row>
    <row r="124">
      <c r="A124" s="10" t="n">
        <v>44044</v>
      </c>
      <c r="B124" s="18">
        <f>IF(VLOOKUP(A124,'DB Country PMI'!$A:$AZ,MATCH($A$1,'DB Country PMI'!$A$1:$AZ$1,),)=0,#N/A,VLOOKUP(A124,'DB Country PMI'!$A:$AZ,MATCH($A$1,'DB Country PMI'!$A$1:$AZ$1,),))</f>
        <v/>
      </c>
      <c r="C124" s="24">
        <f>Table134681112141516171819202225303334[[#This Row],[PMI]]-B123</f>
        <v/>
      </c>
    </row>
    <row r="125">
      <c r="A125" s="10" t="n">
        <v>44075</v>
      </c>
      <c r="B125" s="18">
        <f>IF(VLOOKUP(A125,'DB Country PMI'!$A:$AZ,MATCH($A$1,'DB Country PMI'!$A$1:$AZ$1,),)=0,#N/A,VLOOKUP(A125,'DB Country PMI'!$A:$AZ,MATCH($A$1,'DB Country PMI'!$A$1:$AZ$1,),))</f>
        <v/>
      </c>
      <c r="C125" s="24">
        <f>Table134681112141516171819202225303334[[#This Row],[PMI]]-B124</f>
        <v/>
      </c>
    </row>
    <row r="126">
      <c r="A126" s="10" t="n">
        <v>44105</v>
      </c>
      <c r="B126" s="18">
        <f>IF(VLOOKUP(A126,'DB Country PMI'!$A:$AZ,MATCH($A$1,'DB Country PMI'!$A$1:$AZ$1,),)=0,#N/A,VLOOKUP(A126,'DB Country PMI'!$A:$AZ,MATCH($A$1,'DB Country PMI'!$A$1:$AZ$1,),))</f>
        <v/>
      </c>
      <c r="C126" s="24">
        <f>Table134681112141516171819202225303334[[#This Row],[PMI]]-B125</f>
        <v/>
      </c>
    </row>
    <row r="127">
      <c r="A127" s="10" t="n">
        <v>44136</v>
      </c>
      <c r="B127" s="18">
        <f>IF(VLOOKUP(A127,'DB Country PMI'!$A:$AZ,MATCH($A$1,'DB Country PMI'!$A$1:$AZ$1,),)=0,#N/A,VLOOKUP(A127,'DB Country PMI'!$A:$AZ,MATCH($A$1,'DB Country PMI'!$A$1:$AZ$1,),))</f>
        <v/>
      </c>
      <c r="C127" s="24">
        <f>Table134681112141516171819202225303334[[#This Row],[PMI]]-B126</f>
        <v/>
      </c>
    </row>
    <row r="128">
      <c r="A128" s="10" t="n">
        <v>44166</v>
      </c>
      <c r="B128" s="18">
        <f>IF(VLOOKUP(A128,'DB Country PMI'!$A:$AZ,MATCH($A$1,'DB Country PMI'!$A$1:$AZ$1,),)=0,#N/A,VLOOKUP(A128,'DB Country PMI'!$A:$AZ,MATCH($A$1,'DB Country PMI'!$A$1:$AZ$1,),))</f>
        <v/>
      </c>
      <c r="C128" s="24">
        <f>Table134681112141516171819202225303334[[#This Row],[PMI]]-B127</f>
        <v/>
      </c>
    </row>
    <row r="129">
      <c r="A129" s="10" t="n">
        <v>44197</v>
      </c>
      <c r="B129" s="18">
        <f>IF(VLOOKUP(A129,'DB Country PMI'!$A:$AZ,MATCH($A$1,'DB Country PMI'!$A$1:$AZ$1,),)=0,#N/A,VLOOKUP(A129,'DB Country PMI'!$A:$AZ,MATCH($A$1,'DB Country PMI'!$A$1:$AZ$1,),))</f>
        <v/>
      </c>
      <c r="C129" s="24">
        <f>Table134681112141516171819202225303334[[#This Row],[PMI]]-B128</f>
        <v/>
      </c>
    </row>
    <row r="130">
      <c r="A130" s="10" t="n">
        <v>44228</v>
      </c>
      <c r="B130" s="18">
        <f>IF(VLOOKUP(A130,'DB Country PMI'!$A:$AZ,MATCH($A$1,'DB Country PMI'!$A$1:$AZ$1,),)=0,#N/A,VLOOKUP(A130,'DB Country PMI'!$A:$AZ,MATCH($A$1,'DB Country PMI'!$A$1:$AZ$1,),))</f>
        <v/>
      </c>
      <c r="C130" s="24">
        <f>Table134681112141516171819202225303334[[#This Row],[PMI]]-B129</f>
        <v/>
      </c>
    </row>
    <row r="131">
      <c r="A131" s="10" t="n">
        <v>44256</v>
      </c>
      <c r="B131" s="18">
        <f>IF(VLOOKUP(A131,'DB Country PMI'!$A:$AZ,MATCH($A$1,'DB Country PMI'!$A$1:$AZ$1,),)=0,#N/A,VLOOKUP(A131,'DB Country PMI'!$A:$AZ,MATCH($A$1,'DB Country PMI'!$A$1:$AZ$1,),))</f>
        <v/>
      </c>
      <c r="C131" s="24">
        <f>Table134681112141516171819202225303334[[#This Row],[PMI]]-B130</f>
        <v/>
      </c>
    </row>
    <row r="132">
      <c r="A132" s="10" t="n">
        <v>44287</v>
      </c>
      <c r="B132" s="18">
        <f>IF(VLOOKUP(A132,'DB Country PMI'!$A:$AZ,MATCH($A$1,'DB Country PMI'!$A$1:$AZ$1,),)=0,#N/A,VLOOKUP(A132,'DB Country PMI'!$A:$AZ,MATCH($A$1,'DB Country PMI'!$A$1:$AZ$1,),))</f>
        <v/>
      </c>
      <c r="C132" s="24">
        <f>Table134681112141516171819202225303334[[#This Row],[PMI]]-B131</f>
        <v/>
      </c>
    </row>
    <row r="133">
      <c r="A133" s="10" t="n">
        <v>44317</v>
      </c>
      <c r="B133" s="18">
        <f>IF(VLOOKUP(A133,'DB Country PMI'!$A:$AZ,MATCH($A$1,'DB Country PMI'!$A$1:$AZ$1,),)=0,#N/A,VLOOKUP(A133,'DB Country PMI'!$A:$AZ,MATCH($A$1,'DB Country PMI'!$A$1:$AZ$1,),))</f>
        <v/>
      </c>
      <c r="C133" s="24">
        <f>Table134681112141516171819202225303334[[#This Row],[PMI]]-B132</f>
        <v/>
      </c>
    </row>
    <row r="134">
      <c r="A134" s="10" t="n">
        <v>44348</v>
      </c>
      <c r="B134" s="18">
        <f>IF(VLOOKUP(A134,'DB Country PMI'!$A:$AZ,MATCH($A$1,'DB Country PMI'!$A$1:$AZ$1,),)=0,#N/A,VLOOKUP(A134,'DB Country PMI'!$A:$AZ,MATCH($A$1,'DB Country PMI'!$A$1:$AZ$1,),))</f>
        <v/>
      </c>
      <c r="C134" s="24">
        <f>Table134681112141516171819202225303334[[#This Row],[PMI]]-B133</f>
        <v/>
      </c>
    </row>
    <row r="135">
      <c r="A135" s="10" t="n">
        <v>44378</v>
      </c>
      <c r="B135" s="18">
        <f>IF(VLOOKUP(A135,'DB Country PMI'!$A:$AZ,MATCH($A$1,'DB Country PMI'!$A$1:$AZ$1,),)=0,#N/A,VLOOKUP(A135,'DB Country PMI'!$A:$AZ,MATCH($A$1,'DB Country PMI'!$A$1:$AZ$1,),))</f>
        <v/>
      </c>
      <c r="C135" s="24">
        <f>Table134681112141516171819202225303334[[#This Row],[PMI]]-B134</f>
        <v/>
      </c>
    </row>
    <row r="136">
      <c r="A136" s="10" t="n">
        <v>44409</v>
      </c>
      <c r="B136" s="18">
        <f>IF(VLOOKUP(A136,'DB Country PMI'!$A:$AZ,MATCH($A$1,'DB Country PMI'!$A$1:$AZ$1,),)=0,#N/A,VLOOKUP(A136,'DB Country PMI'!$A:$AZ,MATCH($A$1,'DB Country PMI'!$A$1:$AZ$1,),))</f>
        <v/>
      </c>
      <c r="C136" s="24">
        <f>Table134681112141516171819202225303334[[#This Row],[PMI]]-B135</f>
        <v/>
      </c>
    </row>
    <row r="137">
      <c r="A137" s="10" t="n">
        <v>44440</v>
      </c>
      <c r="B137" s="18">
        <f>IF(VLOOKUP(A137,'DB Country PMI'!$A:$AZ,MATCH($A$1,'DB Country PMI'!$A$1:$AZ$1,),)=0,#N/A,VLOOKUP(A137,'DB Country PMI'!$A:$AZ,MATCH($A$1,'DB Country PMI'!$A$1:$AZ$1,),))</f>
        <v/>
      </c>
      <c r="C137" s="24">
        <f>Table134681112141516171819202225303334[[#This Row],[PMI]]-B136</f>
        <v/>
      </c>
    </row>
    <row r="138">
      <c r="A138" s="10" t="n">
        <v>44470</v>
      </c>
      <c r="B138" s="18">
        <f>IF(VLOOKUP(A138,'DB Country PMI'!$A:$AZ,MATCH($A$1,'DB Country PMI'!$A$1:$AZ$1,),)=0,#N/A,VLOOKUP(A138,'DB Country PMI'!$A:$AZ,MATCH($A$1,'DB Country PMI'!$A$1:$AZ$1,),))</f>
        <v/>
      </c>
      <c r="C138" s="24">
        <f>Table134681112141516171819202225303334[[#This Row],[PMI]]-B137</f>
        <v/>
      </c>
    </row>
    <row r="139">
      <c r="A139" s="10" t="n">
        <v>44501</v>
      </c>
      <c r="B139" s="18">
        <f>IF(VLOOKUP(A139,'DB Country PMI'!$A:$AZ,MATCH($A$1,'DB Country PMI'!$A$1:$AZ$1,),)=0,#N/A,VLOOKUP(A139,'DB Country PMI'!$A:$AZ,MATCH($A$1,'DB Country PMI'!$A$1:$AZ$1,),))</f>
        <v/>
      </c>
      <c r="C139" s="24">
        <f>Table134681112141516171819202225303334[[#This Row],[PMI]]-B138</f>
        <v/>
      </c>
    </row>
    <row r="140">
      <c r="A140" s="10" t="n">
        <v>44531</v>
      </c>
      <c r="B140" s="18">
        <f>IF(VLOOKUP(A140,'DB Country PMI'!$A:$AZ,MATCH($A$1,'DB Country PMI'!$A$1:$AZ$1,),)=0,#N/A,VLOOKUP(A140,'DB Country PMI'!$A:$AZ,MATCH($A$1,'DB Country PMI'!$A$1:$AZ$1,),))</f>
        <v/>
      </c>
      <c r="C140" s="24">
        <f>Table134681112141516171819202225303334[[#This Row],[PMI]]-B139</f>
        <v/>
      </c>
    </row>
    <row r="141">
      <c r="A141" s="10" t="n">
        <v>44562</v>
      </c>
      <c r="B141" s="18">
        <f>IF(VLOOKUP(A141,'DB Country PMI'!$A:$AZ,MATCH($A$1,'DB Country PMI'!$A$1:$AZ$1,),)=0,#N/A,VLOOKUP(A141,'DB Country PMI'!$A:$AZ,MATCH($A$1,'DB Country PMI'!$A$1:$AZ$1,),))</f>
        <v/>
      </c>
      <c r="C141" s="24">
        <f>Table134681112141516171819202225303334[[#This Row],[PMI]]-B140</f>
        <v/>
      </c>
    </row>
    <row r="142">
      <c r="A142" s="10" t="n">
        <v>44593</v>
      </c>
      <c r="B142" s="18">
        <f>IF(VLOOKUP(A142,'DB Country PMI'!$A:$AZ,MATCH($A$1,'DB Country PMI'!$A$1:$AZ$1,),)=0,#N/A,VLOOKUP(A142,'DB Country PMI'!$A:$AZ,MATCH($A$1,'DB Country PMI'!$A$1:$AZ$1,),))</f>
        <v/>
      </c>
      <c r="C142" s="24">
        <f>Table134681112141516171819202225303334[[#This Row],[PMI]]-B141</f>
        <v/>
      </c>
    </row>
    <row r="143">
      <c r="A143" s="10" t="n">
        <v>44621</v>
      </c>
      <c r="B143" s="18">
        <f>IF(VLOOKUP(A143,'DB Country PMI'!$A:$AZ,MATCH($A$1,'DB Country PMI'!$A$1:$AZ$1,),)=0,#N/A,VLOOKUP(A143,'DB Country PMI'!$A:$AZ,MATCH($A$1,'DB Country PMI'!$A$1:$AZ$1,),))</f>
        <v/>
      </c>
      <c r="C143" s="24">
        <f>Table134681112141516171819202225303334[[#This Row],[PMI]]-B142</f>
        <v/>
      </c>
    </row>
    <row r="144">
      <c r="A144" s="10" t="n">
        <v>44652</v>
      </c>
      <c r="B144" s="18">
        <f>IF(VLOOKUP(A144,'DB Country PMI'!$A:$AZ,MATCH($A$1,'DB Country PMI'!$A$1:$AZ$1,),)=0,#N/A,VLOOKUP(A144,'DB Country PMI'!$A:$AZ,MATCH($A$1,'DB Country PMI'!$A$1:$AZ$1,),))</f>
        <v/>
      </c>
      <c r="C144" s="24">
        <f>Table134681112141516171819202225303334[[#This Row],[PMI]]-B143</f>
        <v/>
      </c>
    </row>
    <row r="145">
      <c r="A145" s="10" t="n">
        <v>44682</v>
      </c>
      <c r="B145" s="18">
        <f>IF(VLOOKUP(A145,'DB Country PMI'!$A:$AZ,MATCH($A$1,'DB Country PMI'!$A$1:$AZ$1,),)=0,#N/A,VLOOKUP(A145,'DB Country PMI'!$A:$AZ,MATCH($A$1,'DB Country PMI'!$A$1:$AZ$1,),))</f>
        <v/>
      </c>
      <c r="C145" s="24">
        <f>Table134681112141516171819202225303334[[#This Row],[PMI]]-B144</f>
        <v/>
      </c>
    </row>
    <row r="146">
      <c r="A146" s="10" t="n">
        <v>44713</v>
      </c>
      <c r="B146" s="18">
        <f>IF(VLOOKUP(A146,'DB Country PMI'!$A:$AZ,MATCH($A$1,'DB Country PMI'!$A$1:$AZ$1,),)=0,#N/A,VLOOKUP(A146,'DB Country PMI'!$A:$AZ,MATCH($A$1,'DB Country PMI'!$A$1:$AZ$1,),))</f>
        <v/>
      </c>
      <c r="C146" s="24">
        <f>Table134681112141516171819202225303334[[#This Row],[PMI]]-B145</f>
        <v/>
      </c>
    </row>
    <row r="147">
      <c r="A147" s="10" t="n">
        <v>44743</v>
      </c>
      <c r="B147" s="18">
        <f>IF(VLOOKUP(A147,'DB Country PMI'!$A:$AZ,MATCH($A$1,'DB Country PMI'!$A$1:$AZ$1,),)=0,#N/A,VLOOKUP(A147,'DB Country PMI'!$A:$AZ,MATCH($A$1,'DB Country PMI'!$A$1:$AZ$1,),))</f>
        <v/>
      </c>
      <c r="C147" s="24">
        <f>Table134681112141516171819202225303334[[#This Row],[PMI]]-B146</f>
        <v/>
      </c>
    </row>
    <row r="148">
      <c r="A148" s="10" t="n">
        <v>44774</v>
      </c>
      <c r="B148" s="18">
        <f>IF(VLOOKUP(A148,'DB Country PMI'!$A:$AZ,MATCH($A$1,'DB Country PMI'!$A$1:$AZ$1,),)=0,#N/A,VLOOKUP(A148,'DB Country PMI'!$A:$AZ,MATCH($A$1,'DB Country PMI'!$A$1:$AZ$1,),))</f>
        <v/>
      </c>
      <c r="C148" s="24">
        <f>Table134681112141516171819202225303334[[#This Row],[PMI]]-B147</f>
        <v/>
      </c>
    </row>
    <row r="149">
      <c r="A149" s="10" t="n">
        <v>44805</v>
      </c>
      <c r="B149" s="18">
        <f>IF(VLOOKUP(A149,'DB Country PMI'!$A:$AZ,MATCH($A$1,'DB Country PMI'!$A$1:$AZ$1,),)=0,#N/A,VLOOKUP(A149,'DB Country PMI'!$A:$AZ,MATCH($A$1,'DB Country PMI'!$A$1:$AZ$1,),))</f>
        <v/>
      </c>
      <c r="C149" s="24">
        <f>Table134681112141516171819202225303334[[#This Row],[PMI]]-B148</f>
        <v/>
      </c>
    </row>
    <row r="150">
      <c r="A150" s="10" t="n">
        <v>44835</v>
      </c>
      <c r="B150" s="18">
        <f>IF(VLOOKUP(A150,'DB Country PMI'!$A:$AZ,MATCH($A$1,'DB Country PMI'!$A$1:$AZ$1,),)=0,#N/A,VLOOKUP(A150,'DB Country PMI'!$A:$AZ,MATCH($A$1,'DB Country PMI'!$A$1:$AZ$1,),))</f>
        <v/>
      </c>
      <c r="C150" s="24">
        <f>Table134681112141516171819202225303334[[#This Row],[PMI]]-B149</f>
        <v/>
      </c>
    </row>
    <row r="151">
      <c r="A151" s="10" t="n">
        <v>44866</v>
      </c>
      <c r="B151" s="18">
        <f>IF(VLOOKUP(A151,'DB Country PMI'!$A:$AZ,MATCH($A$1,'DB Country PMI'!$A$1:$AZ$1,),)=0,#N/A,VLOOKUP(A151,'DB Country PMI'!$A:$AZ,MATCH($A$1,'DB Country PMI'!$A$1:$AZ$1,),))</f>
        <v/>
      </c>
      <c r="C151" s="24">
        <f>Table134681112141516171819202225303334[[#This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9.xml><?xml version="1.0" encoding="utf-8"?>
<worksheet xmlns="http://schemas.openxmlformats.org/spreadsheetml/2006/main">
  <sheetPr>
    <outlinePr summaryBelow="1" summaryRight="1"/>
    <pageSetUpPr/>
  </sheetPr>
  <dimension ref="A1:K151"/>
  <sheetViews>
    <sheetView zoomScaleNormal="100" workbookViewId="0">
      <pane ySplit="5" topLeftCell="A139" activePane="bottomLeft" state="frozen"/>
      <selection pane="bottomLeft" activeCell="O156" sqref="O156"/>
    </sheetView>
  </sheetViews>
  <sheetFormatPr baseColWidth="8" defaultColWidth="9.1796875" defaultRowHeight="14.5"/>
  <cols>
    <col width="13.453125" customWidth="1" style="69" min="1" max="1"/>
    <col width="11.36328125" customWidth="1" style="69" min="2" max="2"/>
    <col width="9.1796875" customWidth="1" style="69" min="3" max="51"/>
    <col width="9.1796875" customWidth="1" style="69" min="52" max="16384"/>
  </cols>
  <sheetData>
    <row r="1">
      <c r="A1" s="69" t="inlineStr">
        <is>
          <t>Czech Republic</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Table13468111214151617181920222530333435[[#This Row],[PMI]]-B6</f>
        <v/>
      </c>
    </row>
    <row r="8">
      <c r="A8" s="10" t="n">
        <v>40513</v>
      </c>
      <c r="B8" s="18">
        <f>IF(VLOOKUP(A8,'DB Country PMI'!$A:$AZ,MATCH($A$1,'DB Country PMI'!$A$1:$AZ$1,),)=0,#N/A,VLOOKUP(A8,'DB Country PMI'!$A:$AZ,MATCH($A$1,'DB Country PMI'!$A$1:$AZ$1,),))</f>
        <v/>
      </c>
      <c r="C8" s="24">
        <f>Table13468111214151617181920222530333435[[#This Row],[PMI]]-B7</f>
        <v/>
      </c>
    </row>
    <row r="9">
      <c r="A9" s="10" t="n">
        <v>40544</v>
      </c>
      <c r="B9" s="18">
        <f>IF(VLOOKUP(A9,'DB Country PMI'!$A:$AZ,MATCH($A$1,'DB Country PMI'!$A$1:$AZ$1,),)=0,#N/A,VLOOKUP(A9,'DB Country PMI'!$A:$AZ,MATCH($A$1,'DB Country PMI'!$A$1:$AZ$1,),))</f>
        <v/>
      </c>
      <c r="C9" s="24">
        <f>Table13468111214151617181920222530333435[[#This Row],[PMI]]-B8</f>
        <v/>
      </c>
    </row>
    <row r="10">
      <c r="A10" s="10" t="n">
        <v>40575</v>
      </c>
      <c r="B10" s="18">
        <f>IF(VLOOKUP(A10,'DB Country PMI'!$A:$AZ,MATCH($A$1,'DB Country PMI'!$A$1:$AZ$1,),)=0,#N/A,VLOOKUP(A10,'DB Country PMI'!$A:$AZ,MATCH($A$1,'DB Country PMI'!$A$1:$AZ$1,),))</f>
        <v/>
      </c>
      <c r="C10" s="24">
        <f>Table13468111214151617181920222530333435[[#This Row],[PMI]]-B9</f>
        <v/>
      </c>
    </row>
    <row r="11">
      <c r="A11" s="10" t="n">
        <v>40603</v>
      </c>
      <c r="B11" s="18">
        <f>IF(VLOOKUP(A11,'DB Country PMI'!$A:$AZ,MATCH($A$1,'DB Country PMI'!$A$1:$AZ$1,),)=0,#N/A,VLOOKUP(A11,'DB Country PMI'!$A:$AZ,MATCH($A$1,'DB Country PMI'!$A$1:$AZ$1,),))</f>
        <v/>
      </c>
      <c r="C11" s="24">
        <f>Table13468111214151617181920222530333435[[#This Row],[PMI]]-B10</f>
        <v/>
      </c>
    </row>
    <row r="12">
      <c r="A12" s="10" t="n">
        <v>40634</v>
      </c>
      <c r="B12" s="18">
        <f>IF(VLOOKUP(A12,'DB Country PMI'!$A:$AZ,MATCH($A$1,'DB Country PMI'!$A$1:$AZ$1,),)=0,#N/A,VLOOKUP(A12,'DB Country PMI'!$A:$AZ,MATCH($A$1,'DB Country PMI'!$A$1:$AZ$1,),))</f>
        <v/>
      </c>
      <c r="C12" s="24">
        <f>Table13468111214151617181920222530333435[[#This Row],[PMI]]-B11</f>
        <v/>
      </c>
    </row>
    <row r="13">
      <c r="A13" s="10" t="n">
        <v>40664</v>
      </c>
      <c r="B13" s="18">
        <f>IF(VLOOKUP(A13,'DB Country PMI'!$A:$AZ,MATCH($A$1,'DB Country PMI'!$A$1:$AZ$1,),)=0,#N/A,VLOOKUP(A13,'DB Country PMI'!$A:$AZ,MATCH($A$1,'DB Country PMI'!$A$1:$AZ$1,),))</f>
        <v/>
      </c>
      <c r="C13" s="24">
        <f>Table13468111214151617181920222530333435[[#This Row],[PMI]]-B12</f>
        <v/>
      </c>
    </row>
    <row r="14">
      <c r="A14" s="10" t="n">
        <v>40695</v>
      </c>
      <c r="B14" s="18">
        <f>IF(VLOOKUP(A14,'DB Country PMI'!$A:$AZ,MATCH($A$1,'DB Country PMI'!$A$1:$AZ$1,),)=0,#N/A,VLOOKUP(A14,'DB Country PMI'!$A:$AZ,MATCH($A$1,'DB Country PMI'!$A$1:$AZ$1,),))</f>
        <v/>
      </c>
      <c r="C14" s="24">
        <f>Table13468111214151617181920222530333435[[#This Row],[PMI]]-B13</f>
        <v/>
      </c>
    </row>
    <row r="15">
      <c r="A15" s="10" t="n">
        <v>40725</v>
      </c>
      <c r="B15" s="18">
        <f>IF(VLOOKUP(A15,'DB Country PMI'!$A:$AZ,MATCH($A$1,'DB Country PMI'!$A$1:$AZ$1,),)=0,#N/A,VLOOKUP(A15,'DB Country PMI'!$A:$AZ,MATCH($A$1,'DB Country PMI'!$A$1:$AZ$1,),))</f>
        <v/>
      </c>
      <c r="C15" s="24">
        <f>Table13468111214151617181920222530333435[[#This Row],[PMI]]-B14</f>
        <v/>
      </c>
    </row>
    <row r="16">
      <c r="A16" s="10" t="n">
        <v>40756</v>
      </c>
      <c r="B16" s="18">
        <f>IF(VLOOKUP(A16,'DB Country PMI'!$A:$AZ,MATCH($A$1,'DB Country PMI'!$A$1:$AZ$1,),)=0,#N/A,VLOOKUP(A16,'DB Country PMI'!$A:$AZ,MATCH($A$1,'DB Country PMI'!$A$1:$AZ$1,),))</f>
        <v/>
      </c>
      <c r="C16" s="24">
        <f>Table13468111214151617181920222530333435[[#This Row],[PMI]]-B15</f>
        <v/>
      </c>
    </row>
    <row r="17">
      <c r="A17" s="10" t="n">
        <v>40787</v>
      </c>
      <c r="B17" s="18">
        <f>IF(VLOOKUP(A17,'DB Country PMI'!$A:$AZ,MATCH($A$1,'DB Country PMI'!$A$1:$AZ$1,),)=0,#N/A,VLOOKUP(A17,'DB Country PMI'!$A:$AZ,MATCH($A$1,'DB Country PMI'!$A$1:$AZ$1,),))</f>
        <v/>
      </c>
      <c r="C17" s="24">
        <f>Table13468111214151617181920222530333435[[#This Row],[PMI]]-B16</f>
        <v/>
      </c>
    </row>
    <row r="18">
      <c r="A18" s="10" t="n">
        <v>40817</v>
      </c>
      <c r="B18" s="18">
        <f>IF(VLOOKUP(A18,'DB Country PMI'!$A:$AZ,MATCH($A$1,'DB Country PMI'!$A$1:$AZ$1,),)=0,#N/A,VLOOKUP(A18,'DB Country PMI'!$A:$AZ,MATCH($A$1,'DB Country PMI'!$A$1:$AZ$1,),))</f>
        <v/>
      </c>
      <c r="C18" s="24">
        <f>Table13468111214151617181920222530333435[[#This Row],[PMI]]-B17</f>
        <v/>
      </c>
    </row>
    <row r="19">
      <c r="A19" s="10" t="n">
        <v>40848</v>
      </c>
      <c r="B19" s="18">
        <f>IF(VLOOKUP(A19,'DB Country PMI'!$A:$AZ,MATCH($A$1,'DB Country PMI'!$A$1:$AZ$1,),)=0,#N/A,VLOOKUP(A19,'DB Country PMI'!$A:$AZ,MATCH($A$1,'DB Country PMI'!$A$1:$AZ$1,),))</f>
        <v/>
      </c>
      <c r="C19" s="24">
        <f>Table13468111214151617181920222530333435[[#This Row],[PMI]]-B18</f>
        <v/>
      </c>
    </row>
    <row r="20">
      <c r="A20" s="10" t="n">
        <v>40878</v>
      </c>
      <c r="B20" s="18">
        <f>IF(VLOOKUP(A20,'DB Country PMI'!$A:$AZ,MATCH($A$1,'DB Country PMI'!$A$1:$AZ$1,),)=0,#N/A,VLOOKUP(A20,'DB Country PMI'!$A:$AZ,MATCH($A$1,'DB Country PMI'!$A$1:$AZ$1,),))</f>
        <v/>
      </c>
      <c r="C20" s="24">
        <f>Table13468111214151617181920222530333435[[#This Row],[PMI]]-B19</f>
        <v/>
      </c>
    </row>
    <row r="21">
      <c r="A21" s="10" t="n">
        <v>40909</v>
      </c>
      <c r="B21" s="18">
        <f>IF(VLOOKUP(A21,'DB Country PMI'!$A:$AZ,MATCH($A$1,'DB Country PMI'!$A$1:$AZ$1,),)=0,#N/A,VLOOKUP(A21,'DB Country PMI'!$A:$AZ,MATCH($A$1,'DB Country PMI'!$A$1:$AZ$1,),))</f>
        <v/>
      </c>
      <c r="C21" s="24">
        <f>Table13468111214151617181920222530333435[[#This Row],[PMI]]-B20</f>
        <v/>
      </c>
    </row>
    <row r="22">
      <c r="A22" s="10" t="n">
        <v>40940</v>
      </c>
      <c r="B22" s="18">
        <f>IF(VLOOKUP(A22,'DB Country PMI'!$A:$AZ,MATCH($A$1,'DB Country PMI'!$A$1:$AZ$1,),)=0,#N/A,VLOOKUP(A22,'DB Country PMI'!$A:$AZ,MATCH($A$1,'DB Country PMI'!$A$1:$AZ$1,),))</f>
        <v/>
      </c>
      <c r="C22" s="24">
        <f>Table13468111214151617181920222530333435[[#This Row],[PMI]]-B21</f>
        <v/>
      </c>
    </row>
    <row r="23">
      <c r="A23" s="10" t="n">
        <v>40969</v>
      </c>
      <c r="B23" s="18">
        <f>IF(VLOOKUP(A23,'DB Country PMI'!$A:$AZ,MATCH($A$1,'DB Country PMI'!$A$1:$AZ$1,),)=0,#N/A,VLOOKUP(A23,'DB Country PMI'!$A:$AZ,MATCH($A$1,'DB Country PMI'!$A$1:$AZ$1,),))</f>
        <v/>
      </c>
      <c r="C23" s="24">
        <f>Table13468111214151617181920222530333435[[#This Row],[PMI]]-B22</f>
        <v/>
      </c>
    </row>
    <row r="24">
      <c r="A24" s="10" t="n">
        <v>41000</v>
      </c>
      <c r="B24" s="18">
        <f>IF(VLOOKUP(A24,'DB Country PMI'!$A:$AZ,MATCH($A$1,'DB Country PMI'!$A$1:$AZ$1,),)=0,#N/A,VLOOKUP(A24,'DB Country PMI'!$A:$AZ,MATCH($A$1,'DB Country PMI'!$A$1:$AZ$1,),))</f>
        <v/>
      </c>
      <c r="C24" s="24">
        <f>Table13468111214151617181920222530333435[[#This Row],[PMI]]-B23</f>
        <v/>
      </c>
    </row>
    <row r="25">
      <c r="A25" s="10" t="n">
        <v>41030</v>
      </c>
      <c r="B25" s="18">
        <f>IF(VLOOKUP(A25,'DB Country PMI'!$A:$AZ,MATCH($A$1,'DB Country PMI'!$A$1:$AZ$1,),)=0,#N/A,VLOOKUP(A25,'DB Country PMI'!$A:$AZ,MATCH($A$1,'DB Country PMI'!$A$1:$AZ$1,),))</f>
        <v/>
      </c>
      <c r="C25" s="24">
        <f>Table13468111214151617181920222530333435[[#This Row],[PMI]]-B24</f>
        <v/>
      </c>
    </row>
    <row r="26">
      <c r="A26" s="10" t="n">
        <v>41061</v>
      </c>
      <c r="B26" s="18">
        <f>IF(VLOOKUP(A26,'DB Country PMI'!$A:$AZ,MATCH($A$1,'DB Country PMI'!$A$1:$AZ$1,),)=0,#N/A,VLOOKUP(A26,'DB Country PMI'!$A:$AZ,MATCH($A$1,'DB Country PMI'!$A$1:$AZ$1,),))</f>
        <v/>
      </c>
      <c r="C26" s="24">
        <f>Table13468111214151617181920222530333435[[#This Row],[PMI]]-B25</f>
        <v/>
      </c>
    </row>
    <row r="27">
      <c r="A27" s="10" t="n">
        <v>41091</v>
      </c>
      <c r="B27" s="18">
        <f>IF(VLOOKUP(A27,'DB Country PMI'!$A:$AZ,MATCH($A$1,'DB Country PMI'!$A$1:$AZ$1,),)=0,#N/A,VLOOKUP(A27,'DB Country PMI'!$A:$AZ,MATCH($A$1,'DB Country PMI'!$A$1:$AZ$1,),))</f>
        <v/>
      </c>
      <c r="C27" s="24">
        <f>Table13468111214151617181920222530333435[[#This Row],[PMI]]-B26</f>
        <v/>
      </c>
    </row>
    <row r="28">
      <c r="A28" s="10" t="n">
        <v>41122</v>
      </c>
      <c r="B28" s="18">
        <f>IF(VLOOKUP(A28,'DB Country PMI'!$A:$AZ,MATCH($A$1,'DB Country PMI'!$A$1:$AZ$1,),)=0,#N/A,VLOOKUP(A28,'DB Country PMI'!$A:$AZ,MATCH($A$1,'DB Country PMI'!$A$1:$AZ$1,),))</f>
        <v/>
      </c>
      <c r="C28" s="24">
        <f>Table13468111214151617181920222530333435[[#This Row],[PMI]]-B27</f>
        <v/>
      </c>
    </row>
    <row r="29">
      <c r="A29" s="10" t="n">
        <v>41153</v>
      </c>
      <c r="B29" s="18">
        <f>IF(VLOOKUP(A29,'DB Country PMI'!$A:$AZ,MATCH($A$1,'DB Country PMI'!$A$1:$AZ$1,),)=0,#N/A,VLOOKUP(A29,'DB Country PMI'!$A:$AZ,MATCH($A$1,'DB Country PMI'!$A$1:$AZ$1,),))</f>
        <v/>
      </c>
      <c r="C29" s="24">
        <f>Table13468111214151617181920222530333435[[#This Row],[PMI]]-B28</f>
        <v/>
      </c>
    </row>
    <row r="30">
      <c r="A30" s="10" t="n">
        <v>41183</v>
      </c>
      <c r="B30" s="18">
        <f>IF(VLOOKUP(A30,'DB Country PMI'!$A:$AZ,MATCH($A$1,'DB Country PMI'!$A$1:$AZ$1,),)=0,#N/A,VLOOKUP(A30,'DB Country PMI'!$A:$AZ,MATCH($A$1,'DB Country PMI'!$A$1:$AZ$1,),))</f>
        <v/>
      </c>
      <c r="C30" s="24">
        <f>Table13468111214151617181920222530333435[[#This Row],[PMI]]-B29</f>
        <v/>
      </c>
    </row>
    <row r="31">
      <c r="A31" s="10" t="n">
        <v>41214</v>
      </c>
      <c r="B31" s="18">
        <f>IF(VLOOKUP(A31,'DB Country PMI'!$A:$AZ,MATCH($A$1,'DB Country PMI'!$A$1:$AZ$1,),)=0,#N/A,VLOOKUP(A31,'DB Country PMI'!$A:$AZ,MATCH($A$1,'DB Country PMI'!$A$1:$AZ$1,),))</f>
        <v/>
      </c>
      <c r="C31" s="24">
        <f>Table13468111214151617181920222530333435[[#This Row],[PMI]]-B30</f>
        <v/>
      </c>
    </row>
    <row r="32">
      <c r="A32" s="10" t="n">
        <v>41244</v>
      </c>
      <c r="B32" s="18">
        <f>IF(VLOOKUP(A32,'DB Country PMI'!$A:$AZ,MATCH($A$1,'DB Country PMI'!$A$1:$AZ$1,),)=0,#N/A,VLOOKUP(A32,'DB Country PMI'!$A:$AZ,MATCH($A$1,'DB Country PMI'!$A$1:$AZ$1,),))</f>
        <v/>
      </c>
      <c r="C32" s="24">
        <f>Table13468111214151617181920222530333435[[#This Row],[PMI]]-B31</f>
        <v/>
      </c>
    </row>
    <row r="33">
      <c r="A33" s="10" t="n">
        <v>41275</v>
      </c>
      <c r="B33" s="18">
        <f>IF(VLOOKUP(A33,'DB Country PMI'!$A:$AZ,MATCH($A$1,'DB Country PMI'!$A$1:$AZ$1,),)=0,#N/A,VLOOKUP(A33,'DB Country PMI'!$A:$AZ,MATCH($A$1,'DB Country PMI'!$A$1:$AZ$1,),))</f>
        <v/>
      </c>
      <c r="C33" s="24">
        <f>Table13468111214151617181920222530333435[[#This Row],[PMI]]-B32</f>
        <v/>
      </c>
    </row>
    <row r="34">
      <c r="A34" s="10" t="n">
        <v>41306</v>
      </c>
      <c r="B34" s="18">
        <f>IF(VLOOKUP(A34,'DB Country PMI'!$A:$AZ,MATCH($A$1,'DB Country PMI'!$A$1:$AZ$1,),)=0,#N/A,VLOOKUP(A34,'DB Country PMI'!$A:$AZ,MATCH($A$1,'DB Country PMI'!$A$1:$AZ$1,),))</f>
        <v/>
      </c>
      <c r="C34" s="24">
        <f>Table13468111214151617181920222530333435[[#This Row],[PMI]]-B33</f>
        <v/>
      </c>
    </row>
    <row r="35">
      <c r="A35" s="10" t="n">
        <v>41334</v>
      </c>
      <c r="B35" s="18">
        <f>IF(VLOOKUP(A35,'DB Country PMI'!$A:$AZ,MATCH($A$1,'DB Country PMI'!$A$1:$AZ$1,),)=0,#N/A,VLOOKUP(A35,'DB Country PMI'!$A:$AZ,MATCH($A$1,'DB Country PMI'!$A$1:$AZ$1,),))</f>
        <v/>
      </c>
      <c r="C35" s="24">
        <f>Table13468111214151617181920222530333435[[#This Row],[PMI]]-B34</f>
        <v/>
      </c>
    </row>
    <row r="36">
      <c r="A36" s="10" t="n">
        <v>41365</v>
      </c>
      <c r="B36" s="18">
        <f>IF(VLOOKUP(A36,'DB Country PMI'!$A:$AZ,MATCH($A$1,'DB Country PMI'!$A$1:$AZ$1,),)=0,#N/A,VLOOKUP(A36,'DB Country PMI'!$A:$AZ,MATCH($A$1,'DB Country PMI'!$A$1:$AZ$1,),))</f>
        <v/>
      </c>
      <c r="C36" s="24">
        <f>Table13468111214151617181920222530333435[[#This Row],[PMI]]-B35</f>
        <v/>
      </c>
    </row>
    <row r="37">
      <c r="A37" s="10" t="n">
        <v>41395</v>
      </c>
      <c r="B37" s="18">
        <f>IF(VLOOKUP(A37,'DB Country PMI'!$A:$AZ,MATCH($A$1,'DB Country PMI'!$A$1:$AZ$1,),)=0,#N/A,VLOOKUP(A37,'DB Country PMI'!$A:$AZ,MATCH($A$1,'DB Country PMI'!$A$1:$AZ$1,),))</f>
        <v/>
      </c>
      <c r="C37" s="24">
        <f>Table13468111214151617181920222530333435[[#This Row],[PMI]]-B36</f>
        <v/>
      </c>
    </row>
    <row r="38">
      <c r="A38" s="10" t="n">
        <v>41426</v>
      </c>
      <c r="B38" s="18">
        <f>IF(VLOOKUP(A38,'DB Country PMI'!$A:$AZ,MATCH($A$1,'DB Country PMI'!$A$1:$AZ$1,),)=0,#N/A,VLOOKUP(A38,'DB Country PMI'!$A:$AZ,MATCH($A$1,'DB Country PMI'!$A$1:$AZ$1,),))</f>
        <v/>
      </c>
      <c r="C38" s="24">
        <f>Table13468111214151617181920222530333435[[#This Row],[PMI]]-B37</f>
        <v/>
      </c>
    </row>
    <row r="39">
      <c r="A39" s="10" t="n">
        <v>41456</v>
      </c>
      <c r="B39" s="18">
        <f>IF(VLOOKUP(A39,'DB Country PMI'!$A:$AZ,MATCH($A$1,'DB Country PMI'!$A$1:$AZ$1,),)=0,#N/A,VLOOKUP(A39,'DB Country PMI'!$A:$AZ,MATCH($A$1,'DB Country PMI'!$A$1:$AZ$1,),))</f>
        <v/>
      </c>
      <c r="C39" s="24">
        <f>Table13468111214151617181920222530333435[[#This Row],[PMI]]-B38</f>
        <v/>
      </c>
    </row>
    <row r="40">
      <c r="A40" s="10" t="n">
        <v>41487</v>
      </c>
      <c r="B40" s="18">
        <f>IF(VLOOKUP(A40,'DB Country PMI'!$A:$AZ,MATCH($A$1,'DB Country PMI'!$A$1:$AZ$1,),)=0,#N/A,VLOOKUP(A40,'DB Country PMI'!$A:$AZ,MATCH($A$1,'DB Country PMI'!$A$1:$AZ$1,),))</f>
        <v/>
      </c>
      <c r="C40" s="24">
        <f>Table13468111214151617181920222530333435[[#This Row],[PMI]]-B39</f>
        <v/>
      </c>
    </row>
    <row r="41">
      <c r="A41" s="10" t="n">
        <v>41518</v>
      </c>
      <c r="B41" s="18">
        <f>IF(VLOOKUP(A41,'DB Country PMI'!$A:$AZ,MATCH($A$1,'DB Country PMI'!$A$1:$AZ$1,),)=0,#N/A,VLOOKUP(A41,'DB Country PMI'!$A:$AZ,MATCH($A$1,'DB Country PMI'!$A$1:$AZ$1,),))</f>
        <v/>
      </c>
      <c r="C41" s="24">
        <f>Table13468111214151617181920222530333435[[#This Row],[PMI]]-B40</f>
        <v/>
      </c>
    </row>
    <row r="42">
      <c r="A42" s="10" t="n">
        <v>41548</v>
      </c>
      <c r="B42" s="18">
        <f>IF(VLOOKUP(A42,'DB Country PMI'!$A:$AZ,MATCH($A$1,'DB Country PMI'!$A$1:$AZ$1,),)=0,#N/A,VLOOKUP(A42,'DB Country PMI'!$A:$AZ,MATCH($A$1,'DB Country PMI'!$A$1:$AZ$1,),))</f>
        <v/>
      </c>
      <c r="C42" s="24">
        <f>Table13468111214151617181920222530333435[[#This Row],[PMI]]-B41</f>
        <v/>
      </c>
    </row>
    <row r="43">
      <c r="A43" s="10" t="n">
        <v>41579</v>
      </c>
      <c r="B43" s="18">
        <f>IF(VLOOKUP(A43,'DB Country PMI'!$A:$AZ,MATCH($A$1,'DB Country PMI'!$A$1:$AZ$1,),)=0,#N/A,VLOOKUP(A43,'DB Country PMI'!$A:$AZ,MATCH($A$1,'DB Country PMI'!$A$1:$AZ$1,),))</f>
        <v/>
      </c>
      <c r="C43" s="24">
        <f>Table13468111214151617181920222530333435[[#This Row],[PMI]]-B42</f>
        <v/>
      </c>
    </row>
    <row r="44">
      <c r="A44" s="10" t="n">
        <v>41609</v>
      </c>
      <c r="B44" s="18">
        <f>IF(VLOOKUP(A44,'DB Country PMI'!$A:$AZ,MATCH($A$1,'DB Country PMI'!$A$1:$AZ$1,),)=0,#N/A,VLOOKUP(A44,'DB Country PMI'!$A:$AZ,MATCH($A$1,'DB Country PMI'!$A$1:$AZ$1,),))</f>
        <v/>
      </c>
      <c r="C44" s="24">
        <f>Table13468111214151617181920222530333435[[#This Row],[PMI]]-B43</f>
        <v/>
      </c>
    </row>
    <row r="45">
      <c r="A45" s="10" t="n">
        <v>41640</v>
      </c>
      <c r="B45" s="18">
        <f>IF(VLOOKUP(A45,'DB Country PMI'!$A:$AZ,MATCH($A$1,'DB Country PMI'!$A$1:$AZ$1,),)=0,#N/A,VLOOKUP(A45,'DB Country PMI'!$A:$AZ,MATCH($A$1,'DB Country PMI'!$A$1:$AZ$1,),))</f>
        <v/>
      </c>
      <c r="C45" s="24">
        <f>Table13468111214151617181920222530333435[[#This Row],[PMI]]-B44</f>
        <v/>
      </c>
    </row>
    <row r="46">
      <c r="A46" s="10" t="n">
        <v>41671</v>
      </c>
      <c r="B46" s="18">
        <f>IF(VLOOKUP(A46,'DB Country PMI'!$A:$AZ,MATCH($A$1,'DB Country PMI'!$A$1:$AZ$1,),)=0,#N/A,VLOOKUP(A46,'DB Country PMI'!$A:$AZ,MATCH($A$1,'DB Country PMI'!$A$1:$AZ$1,),))</f>
        <v/>
      </c>
      <c r="C46" s="24">
        <f>Table13468111214151617181920222530333435[[#This Row],[PMI]]-B45</f>
        <v/>
      </c>
    </row>
    <row r="47">
      <c r="A47" s="10" t="n">
        <v>41699</v>
      </c>
      <c r="B47" s="18">
        <f>IF(VLOOKUP(A47,'DB Country PMI'!$A:$AZ,MATCH($A$1,'DB Country PMI'!$A$1:$AZ$1,),)=0,#N/A,VLOOKUP(A47,'DB Country PMI'!$A:$AZ,MATCH($A$1,'DB Country PMI'!$A$1:$AZ$1,),))</f>
        <v/>
      </c>
      <c r="C47" s="24">
        <f>Table13468111214151617181920222530333435[[#This Row],[PMI]]-B46</f>
        <v/>
      </c>
    </row>
    <row r="48">
      <c r="A48" s="10" t="n">
        <v>41730</v>
      </c>
      <c r="B48" s="18">
        <f>IF(VLOOKUP(A48,'DB Country PMI'!$A:$AZ,MATCH($A$1,'DB Country PMI'!$A$1:$AZ$1,),)=0,#N/A,VLOOKUP(A48,'DB Country PMI'!$A:$AZ,MATCH($A$1,'DB Country PMI'!$A$1:$AZ$1,),))</f>
        <v/>
      </c>
      <c r="C48" s="24">
        <f>Table13468111214151617181920222530333435[[#This Row],[PMI]]-B47</f>
        <v/>
      </c>
    </row>
    <row r="49">
      <c r="A49" s="10" t="n">
        <v>41760</v>
      </c>
      <c r="B49" s="18">
        <f>IF(VLOOKUP(A49,'DB Country PMI'!$A:$AZ,MATCH($A$1,'DB Country PMI'!$A$1:$AZ$1,),)=0,#N/A,VLOOKUP(A49,'DB Country PMI'!$A:$AZ,MATCH($A$1,'DB Country PMI'!$A$1:$AZ$1,),))</f>
        <v/>
      </c>
      <c r="C49" s="24">
        <f>Table13468111214151617181920222530333435[[#This Row],[PMI]]-B48</f>
        <v/>
      </c>
    </row>
    <row r="50">
      <c r="A50" s="10" t="n">
        <v>41791</v>
      </c>
      <c r="B50" s="18">
        <f>IF(VLOOKUP(A50,'DB Country PMI'!$A:$AZ,MATCH($A$1,'DB Country PMI'!$A$1:$AZ$1,),)=0,#N/A,VLOOKUP(A50,'DB Country PMI'!$A:$AZ,MATCH($A$1,'DB Country PMI'!$A$1:$AZ$1,),))</f>
        <v/>
      </c>
      <c r="C50" s="24">
        <f>Table13468111214151617181920222530333435[[#This Row],[PMI]]-B49</f>
        <v/>
      </c>
    </row>
    <row r="51">
      <c r="A51" s="10" t="n">
        <v>41821</v>
      </c>
      <c r="B51" s="18">
        <f>IF(VLOOKUP(A51,'DB Country PMI'!$A:$AZ,MATCH($A$1,'DB Country PMI'!$A$1:$AZ$1,),)=0,#N/A,VLOOKUP(A51,'DB Country PMI'!$A:$AZ,MATCH($A$1,'DB Country PMI'!$A$1:$AZ$1,),))</f>
        <v/>
      </c>
      <c r="C51" s="24">
        <f>Table13468111214151617181920222530333435[[#This Row],[PMI]]-B50</f>
        <v/>
      </c>
    </row>
    <row r="52">
      <c r="A52" s="10" t="n">
        <v>41852</v>
      </c>
      <c r="B52" s="18">
        <f>IF(VLOOKUP(A52,'DB Country PMI'!$A:$AZ,MATCH($A$1,'DB Country PMI'!$A$1:$AZ$1,),)=0,#N/A,VLOOKUP(A52,'DB Country PMI'!$A:$AZ,MATCH($A$1,'DB Country PMI'!$A$1:$AZ$1,),))</f>
        <v/>
      </c>
      <c r="C52" s="24">
        <f>Table13468111214151617181920222530333435[[#This Row],[PMI]]-B51</f>
        <v/>
      </c>
    </row>
    <row r="53">
      <c r="A53" s="10" t="n">
        <v>41883</v>
      </c>
      <c r="B53" s="18">
        <f>IF(VLOOKUP(A53,'DB Country PMI'!$A:$AZ,MATCH($A$1,'DB Country PMI'!$A$1:$AZ$1,),)=0,#N/A,VLOOKUP(A53,'DB Country PMI'!$A:$AZ,MATCH($A$1,'DB Country PMI'!$A$1:$AZ$1,),))</f>
        <v/>
      </c>
      <c r="C53" s="24">
        <f>Table13468111214151617181920222530333435[[#This Row],[PMI]]-B52</f>
        <v/>
      </c>
    </row>
    <row r="54">
      <c r="A54" s="10" t="n">
        <v>41913</v>
      </c>
      <c r="B54" s="18">
        <f>IF(VLOOKUP(A54,'DB Country PMI'!$A:$AZ,MATCH($A$1,'DB Country PMI'!$A$1:$AZ$1,),)=0,#N/A,VLOOKUP(A54,'DB Country PMI'!$A:$AZ,MATCH($A$1,'DB Country PMI'!$A$1:$AZ$1,),))</f>
        <v/>
      </c>
      <c r="C54" s="24">
        <f>Table13468111214151617181920222530333435[[#This Row],[PMI]]-B53</f>
        <v/>
      </c>
    </row>
    <row r="55">
      <c r="A55" s="10" t="n">
        <v>41944</v>
      </c>
      <c r="B55" s="18">
        <f>IF(VLOOKUP(A55,'DB Country PMI'!$A:$AZ,MATCH($A$1,'DB Country PMI'!$A$1:$AZ$1,),)=0,#N/A,VLOOKUP(A55,'DB Country PMI'!$A:$AZ,MATCH($A$1,'DB Country PMI'!$A$1:$AZ$1,),))</f>
        <v/>
      </c>
      <c r="C55" s="24">
        <f>Table13468111214151617181920222530333435[[#This Row],[PMI]]-B54</f>
        <v/>
      </c>
    </row>
    <row r="56">
      <c r="A56" s="10" t="n">
        <v>41974</v>
      </c>
      <c r="B56" s="18">
        <f>IF(VLOOKUP(A56,'DB Country PMI'!$A:$AZ,MATCH($A$1,'DB Country PMI'!$A$1:$AZ$1,),)=0,#N/A,VLOOKUP(A56,'DB Country PMI'!$A:$AZ,MATCH($A$1,'DB Country PMI'!$A$1:$AZ$1,),))</f>
        <v/>
      </c>
      <c r="C56" s="24">
        <f>Table13468111214151617181920222530333435[[#This Row],[PMI]]-B55</f>
        <v/>
      </c>
    </row>
    <row r="57">
      <c r="A57" s="10" t="n">
        <v>42005</v>
      </c>
      <c r="B57" s="18">
        <f>IF(VLOOKUP(A57,'DB Country PMI'!$A:$AZ,MATCH($A$1,'DB Country PMI'!$A$1:$AZ$1,),)=0,#N/A,VLOOKUP(A57,'DB Country PMI'!$A:$AZ,MATCH($A$1,'DB Country PMI'!$A$1:$AZ$1,),))</f>
        <v/>
      </c>
      <c r="C57" s="24">
        <f>Table13468111214151617181920222530333435[[#This Row],[PMI]]-B56</f>
        <v/>
      </c>
    </row>
    <row r="58">
      <c r="A58" s="10" t="n">
        <v>42036</v>
      </c>
      <c r="B58" s="18">
        <f>IF(VLOOKUP(A58,'DB Country PMI'!$A:$AZ,MATCH($A$1,'DB Country PMI'!$A$1:$AZ$1,),)=0,#N/A,VLOOKUP(A58,'DB Country PMI'!$A:$AZ,MATCH($A$1,'DB Country PMI'!$A$1:$AZ$1,),))</f>
        <v/>
      </c>
      <c r="C58" s="24">
        <f>Table13468111214151617181920222530333435[[#This Row],[PMI]]-B57</f>
        <v/>
      </c>
    </row>
    <row r="59">
      <c r="A59" s="10" t="n">
        <v>42064</v>
      </c>
      <c r="B59" s="18">
        <f>IF(VLOOKUP(A59,'DB Country PMI'!$A:$AZ,MATCH($A$1,'DB Country PMI'!$A$1:$AZ$1,),)=0,#N/A,VLOOKUP(A59,'DB Country PMI'!$A:$AZ,MATCH($A$1,'DB Country PMI'!$A$1:$AZ$1,),))</f>
        <v/>
      </c>
      <c r="C59" s="24">
        <f>Table13468111214151617181920222530333435[[#This Row],[PMI]]-B58</f>
        <v/>
      </c>
    </row>
    <row r="60">
      <c r="A60" s="10" t="n">
        <v>42095</v>
      </c>
      <c r="B60" s="18">
        <f>IF(VLOOKUP(A60,'DB Country PMI'!$A:$AZ,MATCH($A$1,'DB Country PMI'!$A$1:$AZ$1,),)=0,#N/A,VLOOKUP(A60,'DB Country PMI'!$A:$AZ,MATCH($A$1,'DB Country PMI'!$A$1:$AZ$1,),))</f>
        <v/>
      </c>
      <c r="C60" s="24">
        <f>Table13468111214151617181920222530333435[[#This Row],[PMI]]-B59</f>
        <v/>
      </c>
    </row>
    <row r="61">
      <c r="A61" s="10" t="n">
        <v>42125</v>
      </c>
      <c r="B61" s="18">
        <f>IF(VLOOKUP(A61,'DB Country PMI'!$A:$AZ,MATCH($A$1,'DB Country PMI'!$A$1:$AZ$1,),)=0,#N/A,VLOOKUP(A61,'DB Country PMI'!$A:$AZ,MATCH($A$1,'DB Country PMI'!$A$1:$AZ$1,),))</f>
        <v/>
      </c>
      <c r="C61" s="24">
        <f>Table13468111214151617181920222530333435[[#This Row],[PMI]]-B60</f>
        <v/>
      </c>
    </row>
    <row r="62">
      <c r="A62" s="10" t="n">
        <v>42156</v>
      </c>
      <c r="B62" s="18">
        <f>IF(VLOOKUP(A62,'DB Country PMI'!$A:$AZ,MATCH($A$1,'DB Country PMI'!$A$1:$AZ$1,),)=0,#N/A,VLOOKUP(A62,'DB Country PMI'!$A:$AZ,MATCH($A$1,'DB Country PMI'!$A$1:$AZ$1,),))</f>
        <v/>
      </c>
      <c r="C62" s="24">
        <f>Table13468111214151617181920222530333435[[#This Row],[PMI]]-B61</f>
        <v/>
      </c>
    </row>
    <row r="63">
      <c r="A63" s="10" t="n">
        <v>42186</v>
      </c>
      <c r="B63" s="18">
        <f>IF(VLOOKUP(A63,'DB Country PMI'!$A:$AZ,MATCH($A$1,'DB Country PMI'!$A$1:$AZ$1,),)=0,#N/A,VLOOKUP(A63,'DB Country PMI'!$A:$AZ,MATCH($A$1,'DB Country PMI'!$A$1:$AZ$1,),))</f>
        <v/>
      </c>
      <c r="C63" s="24">
        <f>Table13468111214151617181920222530333435[[#This Row],[PMI]]-B62</f>
        <v/>
      </c>
    </row>
    <row r="64">
      <c r="A64" s="10" t="n">
        <v>42217</v>
      </c>
      <c r="B64" s="18">
        <f>IF(VLOOKUP(A64,'DB Country PMI'!$A:$AZ,MATCH($A$1,'DB Country PMI'!$A$1:$AZ$1,),)=0,#N/A,VLOOKUP(A64,'DB Country PMI'!$A:$AZ,MATCH($A$1,'DB Country PMI'!$A$1:$AZ$1,),))</f>
        <v/>
      </c>
      <c r="C64" s="24">
        <f>Table13468111214151617181920222530333435[[#This Row],[PMI]]-B63</f>
        <v/>
      </c>
    </row>
    <row r="65">
      <c r="A65" s="10" t="n">
        <v>42248</v>
      </c>
      <c r="B65" s="18">
        <f>IF(VLOOKUP(A65,'DB Country PMI'!$A:$AZ,MATCH($A$1,'DB Country PMI'!$A$1:$AZ$1,),)=0,#N/A,VLOOKUP(A65,'DB Country PMI'!$A:$AZ,MATCH($A$1,'DB Country PMI'!$A$1:$AZ$1,),))</f>
        <v/>
      </c>
      <c r="C65" s="24">
        <f>Table13468111214151617181920222530333435[[#This Row],[PMI]]-B64</f>
        <v/>
      </c>
    </row>
    <row r="66">
      <c r="A66" s="10" t="n">
        <v>42278</v>
      </c>
      <c r="B66" s="18">
        <f>IF(VLOOKUP(A66,'DB Country PMI'!$A:$AZ,MATCH($A$1,'DB Country PMI'!$A$1:$AZ$1,),)=0,#N/A,VLOOKUP(A66,'DB Country PMI'!$A:$AZ,MATCH($A$1,'DB Country PMI'!$A$1:$AZ$1,),))</f>
        <v/>
      </c>
      <c r="C66" s="24">
        <f>Table13468111214151617181920222530333435[[#This Row],[PMI]]-B65</f>
        <v/>
      </c>
    </row>
    <row r="67">
      <c r="A67" s="10" t="n">
        <v>42309</v>
      </c>
      <c r="B67" s="18">
        <f>IF(VLOOKUP(A67,'DB Country PMI'!$A:$AZ,MATCH($A$1,'DB Country PMI'!$A$1:$AZ$1,),)=0,#N/A,VLOOKUP(A67,'DB Country PMI'!$A:$AZ,MATCH($A$1,'DB Country PMI'!$A$1:$AZ$1,),))</f>
        <v/>
      </c>
      <c r="C67" s="24">
        <f>Table13468111214151617181920222530333435[[#This Row],[PMI]]-B66</f>
        <v/>
      </c>
    </row>
    <row r="68">
      <c r="A68" s="10" t="n">
        <v>42339</v>
      </c>
      <c r="B68" s="18">
        <f>IF(VLOOKUP(A68,'DB Country PMI'!$A:$AZ,MATCH($A$1,'DB Country PMI'!$A$1:$AZ$1,),)=0,#N/A,VLOOKUP(A68,'DB Country PMI'!$A:$AZ,MATCH($A$1,'DB Country PMI'!$A$1:$AZ$1,),))</f>
        <v/>
      </c>
      <c r="C68" s="24">
        <f>Table13468111214151617181920222530333435[[#This Row],[PMI]]-B67</f>
        <v/>
      </c>
    </row>
    <row r="69">
      <c r="A69" s="10" t="n">
        <v>42370</v>
      </c>
      <c r="B69" s="18">
        <f>IF(VLOOKUP(A69,'DB Country PMI'!$A:$AZ,MATCH($A$1,'DB Country PMI'!$A$1:$AZ$1,),)=0,#N/A,VLOOKUP(A69,'DB Country PMI'!$A:$AZ,MATCH($A$1,'DB Country PMI'!$A$1:$AZ$1,),))</f>
        <v/>
      </c>
      <c r="C69" s="24">
        <f>Table13468111214151617181920222530333435[[#This Row],[PMI]]-B68</f>
        <v/>
      </c>
    </row>
    <row r="70">
      <c r="A70" s="10" t="n">
        <v>42401</v>
      </c>
      <c r="B70" s="18">
        <f>IF(VLOOKUP(A70,'DB Country PMI'!$A:$AZ,MATCH($A$1,'DB Country PMI'!$A$1:$AZ$1,),)=0,#N/A,VLOOKUP(A70,'DB Country PMI'!$A:$AZ,MATCH($A$1,'DB Country PMI'!$A$1:$AZ$1,),))</f>
        <v/>
      </c>
      <c r="C70" s="24">
        <f>Table13468111214151617181920222530333435[[#This Row],[PMI]]-B69</f>
        <v/>
      </c>
    </row>
    <row r="71">
      <c r="A71" s="10" t="n">
        <v>42430</v>
      </c>
      <c r="B71" s="18">
        <f>IF(VLOOKUP(A71,'DB Country PMI'!$A:$AZ,MATCH($A$1,'DB Country PMI'!$A$1:$AZ$1,),)=0,#N/A,VLOOKUP(A71,'DB Country PMI'!$A:$AZ,MATCH($A$1,'DB Country PMI'!$A$1:$AZ$1,),))</f>
        <v/>
      </c>
      <c r="C71" s="24">
        <f>Table13468111214151617181920222530333435[[#This Row],[PMI]]-B70</f>
        <v/>
      </c>
    </row>
    <row r="72">
      <c r="A72" s="10" t="n">
        <v>42461</v>
      </c>
      <c r="B72" s="18">
        <f>IF(VLOOKUP(A72,'DB Country PMI'!$A:$AZ,MATCH($A$1,'DB Country PMI'!$A$1:$AZ$1,),)=0,#N/A,VLOOKUP(A72,'DB Country PMI'!$A:$AZ,MATCH($A$1,'DB Country PMI'!$A$1:$AZ$1,),))</f>
        <v/>
      </c>
      <c r="C72" s="24">
        <f>Table13468111214151617181920222530333435[[#This Row],[PMI]]-B71</f>
        <v/>
      </c>
    </row>
    <row r="73">
      <c r="A73" s="10" t="n">
        <v>42491</v>
      </c>
      <c r="B73" s="18">
        <f>IF(VLOOKUP(A73,'DB Country PMI'!$A:$AZ,MATCH($A$1,'DB Country PMI'!$A$1:$AZ$1,),)=0,#N/A,VLOOKUP(A73,'DB Country PMI'!$A:$AZ,MATCH($A$1,'DB Country PMI'!$A$1:$AZ$1,),))</f>
        <v/>
      </c>
      <c r="C73" s="24">
        <f>Table13468111214151617181920222530333435[[#This Row],[PMI]]-B72</f>
        <v/>
      </c>
    </row>
    <row r="74">
      <c r="A74" s="10" t="n">
        <v>42522</v>
      </c>
      <c r="B74" s="18">
        <f>IF(VLOOKUP(A74,'DB Country PMI'!$A:$AZ,MATCH($A$1,'DB Country PMI'!$A$1:$AZ$1,),)=0,#N/A,VLOOKUP(A74,'DB Country PMI'!$A:$AZ,MATCH($A$1,'DB Country PMI'!$A$1:$AZ$1,),))</f>
        <v/>
      </c>
      <c r="C74" s="24">
        <f>Table13468111214151617181920222530333435[[#This Row],[PMI]]-B73</f>
        <v/>
      </c>
    </row>
    <row r="75">
      <c r="A75" s="10" t="n">
        <v>42552</v>
      </c>
      <c r="B75" s="18">
        <f>IF(VLOOKUP(A75,'DB Country PMI'!$A:$AZ,MATCH($A$1,'DB Country PMI'!$A$1:$AZ$1,),)=0,#N/A,VLOOKUP(A75,'DB Country PMI'!$A:$AZ,MATCH($A$1,'DB Country PMI'!$A$1:$AZ$1,),))</f>
        <v/>
      </c>
      <c r="C75" s="24">
        <f>Table13468111214151617181920222530333435[[#This Row],[PMI]]-B74</f>
        <v/>
      </c>
    </row>
    <row r="76">
      <c r="A76" s="10" t="n">
        <v>42583</v>
      </c>
      <c r="B76" s="18">
        <f>IF(VLOOKUP(A76,'DB Country PMI'!$A:$AZ,MATCH($A$1,'DB Country PMI'!$A$1:$AZ$1,),)=0,#N/A,VLOOKUP(A76,'DB Country PMI'!$A:$AZ,MATCH($A$1,'DB Country PMI'!$A$1:$AZ$1,),))</f>
        <v/>
      </c>
      <c r="C76" s="24">
        <f>Table13468111214151617181920222530333435[[#This Row],[PMI]]-B75</f>
        <v/>
      </c>
    </row>
    <row r="77">
      <c r="A77" s="10" t="n">
        <v>42614</v>
      </c>
      <c r="B77" s="18">
        <f>IF(VLOOKUP(A77,'DB Country PMI'!$A:$AZ,MATCH($A$1,'DB Country PMI'!$A$1:$AZ$1,),)=0,#N/A,VLOOKUP(A77,'DB Country PMI'!$A:$AZ,MATCH($A$1,'DB Country PMI'!$A$1:$AZ$1,),))</f>
        <v/>
      </c>
      <c r="C77" s="24">
        <f>Table13468111214151617181920222530333435[[#This Row],[PMI]]-B76</f>
        <v/>
      </c>
    </row>
    <row r="78">
      <c r="A78" s="10" t="n">
        <v>42644</v>
      </c>
      <c r="B78" s="18">
        <f>IF(VLOOKUP(A78,'DB Country PMI'!$A:$AZ,MATCH($A$1,'DB Country PMI'!$A$1:$AZ$1,),)=0,#N/A,VLOOKUP(A78,'DB Country PMI'!$A:$AZ,MATCH($A$1,'DB Country PMI'!$A$1:$AZ$1,),))</f>
        <v/>
      </c>
      <c r="C78" s="24">
        <f>Table13468111214151617181920222530333435[[#This Row],[PMI]]-B77</f>
        <v/>
      </c>
    </row>
    <row r="79">
      <c r="A79" s="10" t="n">
        <v>42675</v>
      </c>
      <c r="B79" s="18">
        <f>IF(VLOOKUP(A79,'DB Country PMI'!$A:$AZ,MATCH($A$1,'DB Country PMI'!$A$1:$AZ$1,),)=0,#N/A,VLOOKUP(A79,'DB Country PMI'!$A:$AZ,MATCH($A$1,'DB Country PMI'!$A$1:$AZ$1,),))</f>
        <v/>
      </c>
      <c r="C79" s="24">
        <f>Table13468111214151617181920222530333435[[#This Row],[PMI]]-B78</f>
        <v/>
      </c>
    </row>
    <row r="80">
      <c r="A80" s="10" t="n">
        <v>42705</v>
      </c>
      <c r="B80" s="18">
        <f>IF(VLOOKUP(A80,'DB Country PMI'!$A:$AZ,MATCH($A$1,'DB Country PMI'!$A$1:$AZ$1,),)=0,#N/A,VLOOKUP(A80,'DB Country PMI'!$A:$AZ,MATCH($A$1,'DB Country PMI'!$A$1:$AZ$1,),))</f>
        <v/>
      </c>
      <c r="C80" s="24">
        <f>Table13468111214151617181920222530333435[[#This Row],[PMI]]-B79</f>
        <v/>
      </c>
    </row>
    <row r="81">
      <c r="A81" s="10" t="n">
        <v>42736</v>
      </c>
      <c r="B81" s="18">
        <f>IF(VLOOKUP(A81,'DB Country PMI'!$A:$AZ,MATCH($A$1,'DB Country PMI'!$A$1:$AZ$1,),)=0,#N/A,VLOOKUP(A81,'DB Country PMI'!$A:$AZ,MATCH($A$1,'DB Country PMI'!$A$1:$AZ$1,),))</f>
        <v/>
      </c>
      <c r="C81" s="24">
        <f>Table13468111214151617181920222530333435[[#This Row],[PMI]]-B80</f>
        <v/>
      </c>
    </row>
    <row r="82">
      <c r="A82" s="10" t="n">
        <v>42767</v>
      </c>
      <c r="B82" s="18">
        <f>IF(VLOOKUP(A82,'DB Country PMI'!$A:$AZ,MATCH($A$1,'DB Country PMI'!$A$1:$AZ$1,),)=0,#N/A,VLOOKUP(A82,'DB Country PMI'!$A:$AZ,MATCH($A$1,'DB Country PMI'!$A$1:$AZ$1,),))</f>
        <v/>
      </c>
      <c r="C82" s="24">
        <f>Table13468111214151617181920222530333435[[#This Row],[PMI]]-B81</f>
        <v/>
      </c>
    </row>
    <row r="83">
      <c r="A83" s="10" t="n">
        <v>42795</v>
      </c>
      <c r="B83" s="18">
        <f>IF(VLOOKUP(A83,'DB Country PMI'!$A:$AZ,MATCH($A$1,'DB Country PMI'!$A$1:$AZ$1,),)=0,#N/A,VLOOKUP(A83,'DB Country PMI'!$A:$AZ,MATCH($A$1,'DB Country PMI'!$A$1:$AZ$1,),))</f>
        <v/>
      </c>
      <c r="C83" s="24">
        <f>Table13468111214151617181920222530333435[[#This Row],[PMI]]-B82</f>
        <v/>
      </c>
    </row>
    <row r="84">
      <c r="A84" s="10" t="n">
        <v>42826</v>
      </c>
      <c r="B84" s="18">
        <f>IF(VLOOKUP(A84,'DB Country PMI'!$A:$AZ,MATCH($A$1,'DB Country PMI'!$A$1:$AZ$1,),)=0,#N/A,VLOOKUP(A84,'DB Country PMI'!$A:$AZ,MATCH($A$1,'DB Country PMI'!$A$1:$AZ$1,),))</f>
        <v/>
      </c>
      <c r="C84" s="24">
        <f>Table13468111214151617181920222530333435[[#This Row],[PMI]]-B83</f>
        <v/>
      </c>
    </row>
    <row r="85">
      <c r="A85" s="10" t="n">
        <v>42856</v>
      </c>
      <c r="B85" s="18">
        <f>IF(VLOOKUP(A85,'DB Country PMI'!$A:$AZ,MATCH($A$1,'DB Country PMI'!$A$1:$AZ$1,),)=0,#N/A,VLOOKUP(A85,'DB Country PMI'!$A:$AZ,MATCH($A$1,'DB Country PMI'!$A$1:$AZ$1,),))</f>
        <v/>
      </c>
      <c r="C85" s="24">
        <f>Table13468111214151617181920222530333435[[#This Row],[PMI]]-B84</f>
        <v/>
      </c>
    </row>
    <row r="86">
      <c r="A86" s="10" t="n">
        <v>42887</v>
      </c>
      <c r="B86" s="18">
        <f>IF(VLOOKUP(A86,'DB Country PMI'!$A:$AZ,MATCH($A$1,'DB Country PMI'!$A$1:$AZ$1,),)=0,#N/A,VLOOKUP(A86,'DB Country PMI'!$A:$AZ,MATCH($A$1,'DB Country PMI'!$A$1:$AZ$1,),))</f>
        <v/>
      </c>
      <c r="C86" s="24">
        <f>Table13468111214151617181920222530333435[[#This Row],[PMI]]-B85</f>
        <v/>
      </c>
    </row>
    <row r="87">
      <c r="A87" s="10" t="n">
        <v>42917</v>
      </c>
      <c r="B87" s="18">
        <f>IF(VLOOKUP(A87,'DB Country PMI'!$A:$AZ,MATCH($A$1,'DB Country PMI'!$A$1:$AZ$1,),)=0,#N/A,VLOOKUP(A87,'DB Country PMI'!$A:$AZ,MATCH($A$1,'DB Country PMI'!$A$1:$AZ$1,),))</f>
        <v/>
      </c>
      <c r="C87" s="24">
        <f>Table13468111214151617181920222530333435[[#This Row],[PMI]]-B86</f>
        <v/>
      </c>
    </row>
    <row r="88">
      <c r="A88" s="10" t="n">
        <v>42948</v>
      </c>
      <c r="B88" s="18">
        <f>IF(VLOOKUP(A88,'DB Country PMI'!$A:$AZ,MATCH($A$1,'DB Country PMI'!$A$1:$AZ$1,),)=0,#N/A,VLOOKUP(A88,'DB Country PMI'!$A:$AZ,MATCH($A$1,'DB Country PMI'!$A$1:$AZ$1,),))</f>
        <v/>
      </c>
      <c r="C88" s="24">
        <f>Table13468111214151617181920222530333435[[#This Row],[PMI]]-B87</f>
        <v/>
      </c>
    </row>
    <row r="89">
      <c r="A89" s="10" t="n">
        <v>42979</v>
      </c>
      <c r="B89" s="18">
        <f>IF(VLOOKUP(A89,'DB Country PMI'!$A:$AZ,MATCH($A$1,'DB Country PMI'!$A$1:$AZ$1,),)=0,#N/A,VLOOKUP(A89,'DB Country PMI'!$A:$AZ,MATCH($A$1,'DB Country PMI'!$A$1:$AZ$1,),))</f>
        <v/>
      </c>
      <c r="C89" s="24">
        <f>Table13468111214151617181920222530333435[[#This Row],[PMI]]-B88</f>
        <v/>
      </c>
    </row>
    <row r="90">
      <c r="A90" s="10" t="n">
        <v>43009</v>
      </c>
      <c r="B90" s="18">
        <f>IF(VLOOKUP(A90,'DB Country PMI'!$A:$AZ,MATCH($A$1,'DB Country PMI'!$A$1:$AZ$1,),)=0,#N/A,VLOOKUP(A90,'DB Country PMI'!$A:$AZ,MATCH($A$1,'DB Country PMI'!$A$1:$AZ$1,),))</f>
        <v/>
      </c>
      <c r="C90" s="24">
        <f>Table13468111214151617181920222530333435[[#This Row],[PMI]]-B89</f>
        <v/>
      </c>
    </row>
    <row r="91">
      <c r="A91" s="10" t="n">
        <v>43040</v>
      </c>
      <c r="B91" s="18">
        <f>IF(VLOOKUP(A91,'DB Country PMI'!$A:$AZ,MATCH($A$1,'DB Country PMI'!$A$1:$AZ$1,),)=0,#N/A,VLOOKUP(A91,'DB Country PMI'!$A:$AZ,MATCH($A$1,'DB Country PMI'!$A$1:$AZ$1,),))</f>
        <v/>
      </c>
      <c r="C91" s="24">
        <f>Table13468111214151617181920222530333435[[#This Row],[PMI]]-B90</f>
        <v/>
      </c>
    </row>
    <row r="92">
      <c r="A92" s="10" t="n">
        <v>43070</v>
      </c>
      <c r="B92" s="18">
        <f>IF(VLOOKUP(A92,'DB Country PMI'!$A:$AZ,MATCH($A$1,'DB Country PMI'!$A$1:$AZ$1,),)=0,#N/A,VLOOKUP(A92,'DB Country PMI'!$A:$AZ,MATCH($A$1,'DB Country PMI'!$A$1:$AZ$1,),))</f>
        <v/>
      </c>
      <c r="C92" s="24">
        <f>Table13468111214151617181920222530333435[[#This Row],[PMI]]-B91</f>
        <v/>
      </c>
    </row>
    <row r="93">
      <c r="A93" s="10" t="n">
        <v>43101</v>
      </c>
      <c r="B93" s="18">
        <f>IF(VLOOKUP(A93,'DB Country PMI'!$A:$AZ,MATCH($A$1,'DB Country PMI'!$A$1:$AZ$1,),)=0,#N/A,VLOOKUP(A93,'DB Country PMI'!$A:$AZ,MATCH($A$1,'DB Country PMI'!$A$1:$AZ$1,),))</f>
        <v/>
      </c>
      <c r="C93" s="24">
        <f>Table13468111214151617181920222530333435[[#This Row],[PMI]]-B92</f>
        <v/>
      </c>
    </row>
    <row r="94">
      <c r="A94" s="10" t="n">
        <v>43132</v>
      </c>
      <c r="B94" s="18">
        <f>IF(VLOOKUP(A94,'DB Country PMI'!$A:$AZ,MATCH($A$1,'DB Country PMI'!$A$1:$AZ$1,),)=0,#N/A,VLOOKUP(A94,'DB Country PMI'!$A:$AZ,MATCH($A$1,'DB Country PMI'!$A$1:$AZ$1,),))</f>
        <v/>
      </c>
      <c r="C94" s="24">
        <f>Table13468111214151617181920222530333435[[#This Row],[PMI]]-B93</f>
        <v/>
      </c>
    </row>
    <row r="95">
      <c r="A95" s="10" t="n">
        <v>43160</v>
      </c>
      <c r="B95" s="18">
        <f>IF(VLOOKUP(A95,'DB Country PMI'!$A:$AZ,MATCH($A$1,'DB Country PMI'!$A$1:$AZ$1,),)=0,#N/A,VLOOKUP(A95,'DB Country PMI'!$A:$AZ,MATCH($A$1,'DB Country PMI'!$A$1:$AZ$1,),))</f>
        <v/>
      </c>
      <c r="C95" s="24">
        <f>Table13468111214151617181920222530333435[[#This Row],[PMI]]-B94</f>
        <v/>
      </c>
    </row>
    <row r="96">
      <c r="A96" s="10" t="n">
        <v>43191</v>
      </c>
      <c r="B96" s="18">
        <f>IF(VLOOKUP(A96,'DB Country PMI'!$A:$AZ,MATCH($A$1,'DB Country PMI'!$A$1:$AZ$1,),)=0,#N/A,VLOOKUP(A96,'DB Country PMI'!$A:$AZ,MATCH($A$1,'DB Country PMI'!$A$1:$AZ$1,),))</f>
        <v/>
      </c>
      <c r="C96" s="24">
        <f>Table13468111214151617181920222530333435[[#This Row],[PMI]]-B95</f>
        <v/>
      </c>
    </row>
    <row r="97">
      <c r="A97" s="10" t="n">
        <v>43221</v>
      </c>
      <c r="B97" s="18">
        <f>IF(VLOOKUP(A97,'DB Country PMI'!$A:$AZ,MATCH($A$1,'DB Country PMI'!$A$1:$AZ$1,),)=0,#N/A,VLOOKUP(A97,'DB Country PMI'!$A:$AZ,MATCH($A$1,'DB Country PMI'!$A$1:$AZ$1,),))</f>
        <v/>
      </c>
      <c r="C97" s="24">
        <f>Table13468111214151617181920222530333435[[#This Row],[PMI]]-B96</f>
        <v/>
      </c>
    </row>
    <row r="98">
      <c r="A98" s="10" t="n">
        <v>43252</v>
      </c>
      <c r="B98" s="18">
        <f>IF(VLOOKUP(A98,'DB Country PMI'!$A:$AZ,MATCH($A$1,'DB Country PMI'!$A$1:$AZ$1,),)=0,#N/A,VLOOKUP(A98,'DB Country PMI'!$A:$AZ,MATCH($A$1,'DB Country PMI'!$A$1:$AZ$1,),))</f>
        <v/>
      </c>
      <c r="C98" s="24">
        <f>Table13468111214151617181920222530333435[[#This Row],[PMI]]-B97</f>
        <v/>
      </c>
    </row>
    <row r="99">
      <c r="A99" s="10" t="n">
        <v>43282</v>
      </c>
      <c r="B99" s="18">
        <f>IF(VLOOKUP(A99,'DB Country PMI'!$A:$AZ,MATCH($A$1,'DB Country PMI'!$A$1:$AZ$1,),)=0,#N/A,VLOOKUP(A99,'DB Country PMI'!$A:$AZ,MATCH($A$1,'DB Country PMI'!$A$1:$AZ$1,),))</f>
        <v/>
      </c>
      <c r="C99" s="24">
        <f>Table13468111214151617181920222530333435[[#This Row],[PMI]]-B98</f>
        <v/>
      </c>
    </row>
    <row r="100">
      <c r="A100" s="10" t="n">
        <v>43313</v>
      </c>
      <c r="B100" s="18">
        <f>IF(VLOOKUP(A100,'DB Country PMI'!$A:$AZ,MATCH($A$1,'DB Country PMI'!$A$1:$AZ$1,),)=0,#N/A,VLOOKUP(A100,'DB Country PMI'!$A:$AZ,MATCH($A$1,'DB Country PMI'!$A$1:$AZ$1,),))</f>
        <v/>
      </c>
      <c r="C100" s="24">
        <f>Table13468111214151617181920222530333435[[#This Row],[PMI]]-B99</f>
        <v/>
      </c>
    </row>
    <row r="101">
      <c r="A101" s="10" t="n">
        <v>43344</v>
      </c>
      <c r="B101" s="18">
        <f>IF(VLOOKUP(A101,'DB Country PMI'!$A:$AZ,MATCH($A$1,'DB Country PMI'!$A$1:$AZ$1,),)=0,#N/A,VLOOKUP(A101,'DB Country PMI'!$A:$AZ,MATCH($A$1,'DB Country PMI'!$A$1:$AZ$1,),))</f>
        <v/>
      </c>
      <c r="C101" s="24">
        <f>Table13468111214151617181920222530333435[[#This Row],[PMI]]-B100</f>
        <v/>
      </c>
    </row>
    <row r="102">
      <c r="A102" s="10" t="n">
        <v>43374</v>
      </c>
      <c r="B102" s="18">
        <f>IF(VLOOKUP(A102,'DB Country PMI'!$A:$AZ,MATCH($A$1,'DB Country PMI'!$A$1:$AZ$1,),)=0,#N/A,VLOOKUP(A102,'DB Country PMI'!$A:$AZ,MATCH($A$1,'DB Country PMI'!$A$1:$AZ$1,),))</f>
        <v/>
      </c>
      <c r="C102" s="24">
        <f>Table13468111214151617181920222530333435[[#This Row],[PMI]]-B101</f>
        <v/>
      </c>
    </row>
    <row r="103">
      <c r="A103" s="10" t="n">
        <v>43405</v>
      </c>
      <c r="B103" s="18">
        <f>IF(VLOOKUP(A103,'DB Country PMI'!$A:$AZ,MATCH($A$1,'DB Country PMI'!$A$1:$AZ$1,),)=0,#N/A,VLOOKUP(A103,'DB Country PMI'!$A:$AZ,MATCH($A$1,'DB Country PMI'!$A$1:$AZ$1,),))</f>
        <v/>
      </c>
      <c r="C103" s="24">
        <f>Table13468111214151617181920222530333435[[#This Row],[PMI]]-B102</f>
        <v/>
      </c>
    </row>
    <row r="104">
      <c r="A104" s="10" t="n">
        <v>43435</v>
      </c>
      <c r="B104" s="18">
        <f>IF(VLOOKUP(A104,'DB Country PMI'!$A:$AZ,MATCH($A$1,'DB Country PMI'!$A$1:$AZ$1,),)=0,#N/A,VLOOKUP(A104,'DB Country PMI'!$A:$AZ,MATCH($A$1,'DB Country PMI'!$A$1:$AZ$1,),))</f>
        <v/>
      </c>
      <c r="C104" s="24">
        <f>Table13468111214151617181920222530333435[[#This Row],[PMI]]-B103</f>
        <v/>
      </c>
    </row>
    <row r="105">
      <c r="A105" s="10" t="n">
        <v>43466</v>
      </c>
      <c r="B105" s="18">
        <f>IF(VLOOKUP(A105,'DB Country PMI'!$A:$AZ,MATCH($A$1,'DB Country PMI'!$A$1:$AZ$1,),)=0,#N/A,VLOOKUP(A105,'DB Country PMI'!$A:$AZ,MATCH($A$1,'DB Country PMI'!$A$1:$AZ$1,),))</f>
        <v/>
      </c>
      <c r="C105" s="24">
        <f>Table13468111214151617181920222530333435[[#This Row],[PMI]]-B104</f>
        <v/>
      </c>
    </row>
    <row r="106">
      <c r="A106" s="10" t="n">
        <v>43497</v>
      </c>
      <c r="B106" s="18">
        <f>IF(VLOOKUP(A106,'DB Country PMI'!$A:$AZ,MATCH($A$1,'DB Country PMI'!$A$1:$AZ$1,),)=0,#N/A,VLOOKUP(A106,'DB Country PMI'!$A:$AZ,MATCH($A$1,'DB Country PMI'!$A$1:$AZ$1,),))</f>
        <v/>
      </c>
      <c r="C106" s="24">
        <f>Table13468111214151617181920222530333435[[#This Row],[PMI]]-B105</f>
        <v/>
      </c>
    </row>
    <row r="107">
      <c r="A107" s="10" t="n">
        <v>43525</v>
      </c>
      <c r="B107" s="18">
        <f>IF(VLOOKUP(A107,'DB Country PMI'!$A:$AZ,MATCH($A$1,'DB Country PMI'!$A$1:$AZ$1,),)=0,#N/A,VLOOKUP(A107,'DB Country PMI'!$A:$AZ,MATCH($A$1,'DB Country PMI'!$A$1:$AZ$1,),))</f>
        <v/>
      </c>
      <c r="C107" s="24">
        <f>Table13468111214151617181920222530333435[[#This Row],[PMI]]-B106</f>
        <v/>
      </c>
    </row>
    <row r="108">
      <c r="A108" s="10" t="n">
        <v>43556</v>
      </c>
      <c r="B108" s="18">
        <f>IF(VLOOKUP(A108,'DB Country PMI'!$A:$AZ,MATCH($A$1,'DB Country PMI'!$A$1:$AZ$1,),)=0,#N/A,VLOOKUP(A108,'DB Country PMI'!$A:$AZ,MATCH($A$1,'DB Country PMI'!$A$1:$AZ$1,),))</f>
        <v/>
      </c>
      <c r="C108" s="24">
        <f>Table13468111214151617181920222530333435[[#This Row],[PMI]]-B107</f>
        <v/>
      </c>
    </row>
    <row r="109">
      <c r="A109" s="10" t="n">
        <v>43586</v>
      </c>
      <c r="B109" s="18">
        <f>IF(VLOOKUP(A109,'DB Country PMI'!$A:$AZ,MATCH($A$1,'DB Country PMI'!$A$1:$AZ$1,),)=0,#N/A,VLOOKUP(A109,'DB Country PMI'!$A:$AZ,MATCH($A$1,'DB Country PMI'!$A$1:$AZ$1,),))</f>
        <v/>
      </c>
      <c r="C109" s="24">
        <f>Table13468111214151617181920222530333435[[#This Row],[PMI]]-B108</f>
        <v/>
      </c>
    </row>
    <row r="110">
      <c r="A110" s="10" t="n">
        <v>43617</v>
      </c>
      <c r="B110" s="18">
        <f>IF(VLOOKUP(A110,'DB Country PMI'!$A:$AZ,MATCH($A$1,'DB Country PMI'!$A$1:$AZ$1,),)=0,#N/A,VLOOKUP(A110,'DB Country PMI'!$A:$AZ,MATCH($A$1,'DB Country PMI'!$A$1:$AZ$1,),))</f>
        <v/>
      </c>
      <c r="C110" s="24">
        <f>Table13468111214151617181920222530333435[[#This Row],[PMI]]-B109</f>
        <v/>
      </c>
    </row>
    <row r="111">
      <c r="A111" s="10" t="n">
        <v>43647</v>
      </c>
      <c r="B111" s="18">
        <f>IF(VLOOKUP(A111,'DB Country PMI'!$A:$AZ,MATCH($A$1,'DB Country PMI'!$A$1:$AZ$1,),)=0,#N/A,VLOOKUP(A111,'DB Country PMI'!$A:$AZ,MATCH($A$1,'DB Country PMI'!$A$1:$AZ$1,),))</f>
        <v/>
      </c>
      <c r="C111" s="24">
        <f>Table13468111214151617181920222530333435[[#This Row],[PMI]]-B110</f>
        <v/>
      </c>
    </row>
    <row r="112">
      <c r="A112" s="10" t="n">
        <v>43678</v>
      </c>
      <c r="B112" s="18">
        <f>IF(VLOOKUP(A112,'DB Country PMI'!$A:$AZ,MATCH($A$1,'DB Country PMI'!$A$1:$AZ$1,),)=0,#N/A,VLOOKUP(A112,'DB Country PMI'!$A:$AZ,MATCH($A$1,'DB Country PMI'!$A$1:$AZ$1,),))</f>
        <v/>
      </c>
      <c r="C112" s="24">
        <f>Table13468111214151617181920222530333435[[#This Row],[PMI]]-B111</f>
        <v/>
      </c>
    </row>
    <row r="113">
      <c r="A113" s="10" t="n">
        <v>43709</v>
      </c>
      <c r="B113" s="18">
        <f>IF(VLOOKUP(A113,'DB Country PMI'!$A:$AZ,MATCH($A$1,'DB Country PMI'!$A$1:$AZ$1,),)=0,#N/A,VLOOKUP(A113,'DB Country PMI'!$A:$AZ,MATCH($A$1,'DB Country PMI'!$A$1:$AZ$1,),))</f>
        <v/>
      </c>
      <c r="C113" s="24">
        <f>Table13468111214151617181920222530333435[[#This Row],[PMI]]-B112</f>
        <v/>
      </c>
    </row>
    <row r="114">
      <c r="A114" s="10" t="n">
        <v>43739</v>
      </c>
      <c r="B114" s="18">
        <f>IF(VLOOKUP(A114,'DB Country PMI'!$A:$AZ,MATCH($A$1,'DB Country PMI'!$A$1:$AZ$1,),)=0,#N/A,VLOOKUP(A114,'DB Country PMI'!$A:$AZ,MATCH($A$1,'DB Country PMI'!$A$1:$AZ$1,),))</f>
        <v/>
      </c>
      <c r="C114" s="24">
        <f>Table13468111214151617181920222530333435[[#This Row],[PMI]]-B113</f>
        <v/>
      </c>
    </row>
    <row r="115">
      <c r="A115" s="10" t="n">
        <v>43770</v>
      </c>
      <c r="B115" s="18">
        <f>IF(VLOOKUP(A115,'DB Country PMI'!$A:$AZ,MATCH($A$1,'DB Country PMI'!$A$1:$AZ$1,),)=0,#N/A,VLOOKUP(A115,'DB Country PMI'!$A:$AZ,MATCH($A$1,'DB Country PMI'!$A$1:$AZ$1,),))</f>
        <v/>
      </c>
      <c r="C115" s="24">
        <f>Table13468111214151617181920222530333435[[#This Row],[PMI]]-B114</f>
        <v/>
      </c>
    </row>
    <row r="116">
      <c r="A116" s="10" t="n">
        <v>43800</v>
      </c>
      <c r="B116" s="18">
        <f>IF(VLOOKUP(A116,'DB Country PMI'!$A:$AZ,MATCH($A$1,'DB Country PMI'!$A$1:$AZ$1,),)=0,#N/A,VLOOKUP(A116,'DB Country PMI'!$A:$AZ,MATCH($A$1,'DB Country PMI'!$A$1:$AZ$1,),))</f>
        <v/>
      </c>
      <c r="C116" s="24">
        <f>Table13468111214151617181920222530333435[[#This Row],[PMI]]-B115</f>
        <v/>
      </c>
    </row>
    <row r="117">
      <c r="A117" s="10" t="n">
        <v>43831</v>
      </c>
      <c r="B117" s="18">
        <f>IF(VLOOKUP(A117,'DB Country PMI'!$A:$AZ,MATCH($A$1,'DB Country PMI'!$A$1:$AZ$1,),)=0,#N/A,VLOOKUP(A117,'DB Country PMI'!$A:$AZ,MATCH($A$1,'DB Country PMI'!$A$1:$AZ$1,),))</f>
        <v/>
      </c>
      <c r="C117" s="24">
        <f>Table13468111214151617181920222530333435[[#This Row],[PMI]]-B116</f>
        <v/>
      </c>
    </row>
    <row r="118">
      <c r="A118" s="10" t="n">
        <v>43862</v>
      </c>
      <c r="B118" s="18">
        <f>IF(VLOOKUP(A118,'DB Country PMI'!$A:$AZ,MATCH($A$1,'DB Country PMI'!$A$1:$AZ$1,),)=0,#N/A,VLOOKUP(A118,'DB Country PMI'!$A:$AZ,MATCH($A$1,'DB Country PMI'!$A$1:$AZ$1,),))</f>
        <v/>
      </c>
      <c r="C118" s="24">
        <f>Table13468111214151617181920222530333435[[#This Row],[PMI]]-B117</f>
        <v/>
      </c>
    </row>
    <row r="119">
      <c r="A119" s="10" t="n">
        <v>43891</v>
      </c>
      <c r="B119" s="18">
        <f>IF(VLOOKUP(A119,'DB Country PMI'!$A:$AZ,MATCH($A$1,'DB Country PMI'!$A$1:$AZ$1,),)=0,#N/A,VLOOKUP(A119,'DB Country PMI'!$A:$AZ,MATCH($A$1,'DB Country PMI'!$A$1:$AZ$1,),))</f>
        <v/>
      </c>
      <c r="C119" s="24">
        <f>Table13468111214151617181920222530333435[[#This Row],[PMI]]-B118</f>
        <v/>
      </c>
    </row>
    <row r="120">
      <c r="A120" s="10" t="n">
        <v>43922</v>
      </c>
      <c r="B120" s="18">
        <f>IF(VLOOKUP(A120,'DB Country PMI'!$A:$AZ,MATCH($A$1,'DB Country PMI'!$A$1:$AZ$1,),)=0,#N/A,VLOOKUP(A120,'DB Country PMI'!$A:$AZ,MATCH($A$1,'DB Country PMI'!$A$1:$AZ$1,),))</f>
        <v/>
      </c>
      <c r="C120" s="24">
        <f>Table13468111214151617181920222530333435[[#This Row],[PMI]]-B119</f>
        <v/>
      </c>
    </row>
    <row r="121">
      <c r="A121" s="10" t="n">
        <v>43952</v>
      </c>
      <c r="B121" s="18">
        <f>IF(VLOOKUP(A121,'DB Country PMI'!$A:$AZ,MATCH($A$1,'DB Country PMI'!$A$1:$AZ$1,),)=0,#N/A,VLOOKUP(A121,'DB Country PMI'!$A:$AZ,MATCH($A$1,'DB Country PMI'!$A$1:$AZ$1,),))</f>
        <v/>
      </c>
      <c r="C121" s="24">
        <f>Table13468111214151617181920222530333435[[#This Row],[PMI]]-B120</f>
        <v/>
      </c>
    </row>
    <row r="122">
      <c r="A122" s="10" t="n">
        <v>43983</v>
      </c>
      <c r="B122" s="18">
        <f>IF(VLOOKUP(A122,'DB Country PMI'!$A:$AZ,MATCH($A$1,'DB Country PMI'!$A$1:$AZ$1,),)=0,#N/A,VLOOKUP(A122,'DB Country PMI'!$A:$AZ,MATCH($A$1,'DB Country PMI'!$A$1:$AZ$1,),))</f>
        <v/>
      </c>
      <c r="C122" s="24">
        <f>Table13468111214151617181920222530333435[[#This Row],[PMI]]-B121</f>
        <v/>
      </c>
    </row>
    <row r="123">
      <c r="A123" s="10" t="n">
        <v>44013</v>
      </c>
      <c r="B123" s="18">
        <f>IF(VLOOKUP(A123,'DB Country PMI'!$A:$AZ,MATCH($A$1,'DB Country PMI'!$A$1:$AZ$1,),)=0,#N/A,VLOOKUP(A123,'DB Country PMI'!$A:$AZ,MATCH($A$1,'DB Country PMI'!$A$1:$AZ$1,),))</f>
        <v/>
      </c>
      <c r="C123" s="24">
        <f>Table13468111214151617181920222530333435[[#This Row],[PMI]]-B122</f>
        <v/>
      </c>
    </row>
    <row r="124">
      <c r="A124" s="10" t="n">
        <v>44044</v>
      </c>
      <c r="B124" s="18">
        <f>IF(VLOOKUP(A124,'DB Country PMI'!$A:$AZ,MATCH($A$1,'DB Country PMI'!$A$1:$AZ$1,),)=0,#N/A,VLOOKUP(A124,'DB Country PMI'!$A:$AZ,MATCH($A$1,'DB Country PMI'!$A$1:$AZ$1,),))</f>
        <v/>
      </c>
      <c r="C124" s="24">
        <f>Table13468111214151617181920222530333435[[#This Row],[PMI]]-B123</f>
        <v/>
      </c>
    </row>
    <row r="125">
      <c r="A125" s="10" t="n">
        <v>44075</v>
      </c>
      <c r="B125" s="18">
        <f>IF(VLOOKUP(A125,'DB Country PMI'!$A:$AZ,MATCH($A$1,'DB Country PMI'!$A$1:$AZ$1,),)=0,#N/A,VLOOKUP(A125,'DB Country PMI'!$A:$AZ,MATCH($A$1,'DB Country PMI'!$A$1:$AZ$1,),))</f>
        <v/>
      </c>
      <c r="C125" s="24">
        <f>Table13468111214151617181920222530333435[[#This Row],[PMI]]-B124</f>
        <v/>
      </c>
    </row>
    <row r="126">
      <c r="A126" s="10" t="n">
        <v>44105</v>
      </c>
      <c r="B126" s="18">
        <f>IF(VLOOKUP(A126,'DB Country PMI'!$A:$AZ,MATCH($A$1,'DB Country PMI'!$A$1:$AZ$1,),)=0,#N/A,VLOOKUP(A126,'DB Country PMI'!$A:$AZ,MATCH($A$1,'DB Country PMI'!$A$1:$AZ$1,),))</f>
        <v/>
      </c>
      <c r="C126" s="24">
        <f>Table13468111214151617181920222530333435[[#This Row],[PMI]]-B125</f>
        <v/>
      </c>
    </row>
    <row r="127">
      <c r="A127" s="10" t="n">
        <v>44136</v>
      </c>
      <c r="B127" s="18">
        <f>IF(VLOOKUP(A127,'DB Country PMI'!$A:$AZ,MATCH($A$1,'DB Country PMI'!$A$1:$AZ$1,),)=0,#N/A,VLOOKUP(A127,'DB Country PMI'!$A:$AZ,MATCH($A$1,'DB Country PMI'!$A$1:$AZ$1,),))</f>
        <v/>
      </c>
      <c r="C127" s="24">
        <f>Table13468111214151617181920222530333435[[#This Row],[PMI]]-B126</f>
        <v/>
      </c>
    </row>
    <row r="128">
      <c r="A128" s="10" t="n">
        <v>44166</v>
      </c>
      <c r="B128" s="18">
        <f>IF(VLOOKUP(A128,'DB Country PMI'!$A:$AZ,MATCH($A$1,'DB Country PMI'!$A$1:$AZ$1,),)=0,#N/A,VLOOKUP(A128,'DB Country PMI'!$A:$AZ,MATCH($A$1,'DB Country PMI'!$A$1:$AZ$1,),))</f>
        <v/>
      </c>
      <c r="C128" s="24">
        <f>Table13468111214151617181920222530333435[[#This Row],[PMI]]-B127</f>
        <v/>
      </c>
    </row>
    <row r="129">
      <c r="A129" s="10" t="n">
        <v>44197</v>
      </c>
      <c r="B129" s="18">
        <f>IF(VLOOKUP(A129,'DB Country PMI'!$A:$AZ,MATCH($A$1,'DB Country PMI'!$A$1:$AZ$1,),)=0,#N/A,VLOOKUP(A129,'DB Country PMI'!$A:$AZ,MATCH($A$1,'DB Country PMI'!$A$1:$AZ$1,),))</f>
        <v/>
      </c>
      <c r="C129" s="24">
        <f>Table13468111214151617181920222530333435[[#This Row],[PMI]]-B128</f>
        <v/>
      </c>
    </row>
    <row r="130">
      <c r="A130" s="10" t="n">
        <v>44228</v>
      </c>
      <c r="B130" s="18">
        <f>IF(VLOOKUP(A130,'DB Country PMI'!$A:$AZ,MATCH($A$1,'DB Country PMI'!$A$1:$AZ$1,),)=0,#N/A,VLOOKUP(A130,'DB Country PMI'!$A:$AZ,MATCH($A$1,'DB Country PMI'!$A$1:$AZ$1,),))</f>
        <v/>
      </c>
      <c r="C130" s="24">
        <f>Table13468111214151617181920222530333435[[#This Row],[PMI]]-B129</f>
        <v/>
      </c>
    </row>
    <row r="131">
      <c r="A131" s="10" t="n">
        <v>44256</v>
      </c>
      <c r="B131" s="18">
        <f>IF(VLOOKUP(A131,'DB Country PMI'!$A:$AZ,MATCH($A$1,'DB Country PMI'!$A$1:$AZ$1,),)=0,#N/A,VLOOKUP(A131,'DB Country PMI'!$A:$AZ,MATCH($A$1,'DB Country PMI'!$A$1:$AZ$1,),))</f>
        <v/>
      </c>
      <c r="C131" s="24">
        <f>Table13468111214151617181920222530333435[[#This Row],[PMI]]-B130</f>
        <v/>
      </c>
    </row>
    <row r="132">
      <c r="A132" s="10" t="n">
        <v>44287</v>
      </c>
      <c r="B132" s="18">
        <f>IF(VLOOKUP(A132,'DB Country PMI'!$A:$AZ,MATCH($A$1,'DB Country PMI'!$A$1:$AZ$1,),)=0,#N/A,VLOOKUP(A132,'DB Country PMI'!$A:$AZ,MATCH($A$1,'DB Country PMI'!$A$1:$AZ$1,),))</f>
        <v/>
      </c>
      <c r="C132" s="24">
        <f>Table13468111214151617181920222530333435[[#This Row],[PMI]]-B131</f>
        <v/>
      </c>
    </row>
    <row r="133">
      <c r="A133" s="10" t="n">
        <v>44317</v>
      </c>
      <c r="B133" s="18">
        <f>IF(VLOOKUP(A133,'DB Country PMI'!$A:$AZ,MATCH($A$1,'DB Country PMI'!$A$1:$AZ$1,),)=0,#N/A,VLOOKUP(A133,'DB Country PMI'!$A:$AZ,MATCH($A$1,'DB Country PMI'!$A$1:$AZ$1,),))</f>
        <v/>
      </c>
      <c r="C133" s="24">
        <f>Table13468111214151617181920222530333435[[#This Row],[PMI]]-B132</f>
        <v/>
      </c>
    </row>
    <row r="134">
      <c r="A134" s="10" t="n">
        <v>44348</v>
      </c>
      <c r="B134" s="18">
        <f>IF(VLOOKUP(A134,'DB Country PMI'!$A:$AZ,MATCH($A$1,'DB Country PMI'!$A$1:$AZ$1,),)=0,#N/A,VLOOKUP(A134,'DB Country PMI'!$A:$AZ,MATCH($A$1,'DB Country PMI'!$A$1:$AZ$1,),))</f>
        <v/>
      </c>
      <c r="C134" s="24">
        <f>Table13468111214151617181920222530333435[[#This Row],[PMI]]-B133</f>
        <v/>
      </c>
    </row>
    <row r="135">
      <c r="A135" s="10" t="n">
        <v>44378</v>
      </c>
      <c r="B135" s="18">
        <f>IF(VLOOKUP(A135,'DB Country PMI'!$A:$AZ,MATCH($A$1,'DB Country PMI'!$A$1:$AZ$1,),)=0,#N/A,VLOOKUP(A135,'DB Country PMI'!$A:$AZ,MATCH($A$1,'DB Country PMI'!$A$1:$AZ$1,),))</f>
        <v/>
      </c>
      <c r="C135" s="24">
        <f>Table13468111214151617181920222530333435[[#This Row],[PMI]]-B134</f>
        <v/>
      </c>
    </row>
    <row r="136">
      <c r="A136" s="10" t="n">
        <v>44409</v>
      </c>
      <c r="B136" s="18">
        <f>IF(VLOOKUP(A136,'DB Country PMI'!$A:$AZ,MATCH($A$1,'DB Country PMI'!$A$1:$AZ$1,),)=0,#N/A,VLOOKUP(A136,'DB Country PMI'!$A:$AZ,MATCH($A$1,'DB Country PMI'!$A$1:$AZ$1,),))</f>
        <v/>
      </c>
      <c r="C136" s="24">
        <f>Table13468111214151617181920222530333435[[#This Row],[PMI]]-B135</f>
        <v/>
      </c>
    </row>
    <row r="137">
      <c r="A137" s="10" t="n">
        <v>44440</v>
      </c>
      <c r="B137" s="18">
        <f>IF(VLOOKUP(A137,'DB Country PMI'!$A:$AZ,MATCH($A$1,'DB Country PMI'!$A$1:$AZ$1,),)=0,#N/A,VLOOKUP(A137,'DB Country PMI'!$A:$AZ,MATCH($A$1,'DB Country PMI'!$A$1:$AZ$1,),))</f>
        <v/>
      </c>
      <c r="C137" s="24">
        <f>Table13468111214151617181920222530333435[[#This Row],[PMI]]-B136</f>
        <v/>
      </c>
    </row>
    <row r="138">
      <c r="A138" s="10" t="n">
        <v>44470</v>
      </c>
      <c r="B138" s="18">
        <f>IF(VLOOKUP(A138,'DB Country PMI'!$A:$AZ,MATCH($A$1,'DB Country PMI'!$A$1:$AZ$1,),)=0,#N/A,VLOOKUP(A138,'DB Country PMI'!$A:$AZ,MATCH($A$1,'DB Country PMI'!$A$1:$AZ$1,),))</f>
        <v/>
      </c>
      <c r="C138" s="24">
        <f>Table13468111214151617181920222530333435[[#This Row],[PMI]]-B137</f>
        <v/>
      </c>
    </row>
    <row r="139">
      <c r="A139" s="10" t="n">
        <v>44501</v>
      </c>
      <c r="B139" s="18">
        <f>IF(VLOOKUP(A139,'DB Country PMI'!$A:$AZ,MATCH($A$1,'DB Country PMI'!$A$1:$AZ$1,),)=0,#N/A,VLOOKUP(A139,'DB Country PMI'!$A:$AZ,MATCH($A$1,'DB Country PMI'!$A$1:$AZ$1,),))</f>
        <v/>
      </c>
      <c r="C139" s="24">
        <f>Table13468111214151617181920222530333435[[#This Row],[PMI]]-B138</f>
        <v/>
      </c>
    </row>
    <row r="140">
      <c r="A140" s="10" t="n">
        <v>44531</v>
      </c>
      <c r="B140" s="18">
        <f>IF(VLOOKUP(A140,'DB Country PMI'!$A:$AZ,MATCH($A$1,'DB Country PMI'!$A$1:$AZ$1,),)=0,#N/A,VLOOKUP(A140,'DB Country PMI'!$A:$AZ,MATCH($A$1,'DB Country PMI'!$A$1:$AZ$1,),))</f>
        <v/>
      </c>
      <c r="C140" s="24">
        <f>Table13468111214151617181920222530333435[[#This Row],[PMI]]-B139</f>
        <v/>
      </c>
    </row>
    <row r="141">
      <c r="A141" s="10" t="n">
        <v>44562</v>
      </c>
      <c r="B141" s="18">
        <f>IF(VLOOKUP(A141,'DB Country PMI'!$A:$AZ,MATCH($A$1,'DB Country PMI'!$A$1:$AZ$1,),)=0,#N/A,VLOOKUP(A141,'DB Country PMI'!$A:$AZ,MATCH($A$1,'DB Country PMI'!$A$1:$AZ$1,),))</f>
        <v/>
      </c>
      <c r="C141" s="24">
        <f>Table13468111214151617181920222530333435[[#This Row],[PMI]]-B140</f>
        <v/>
      </c>
    </row>
    <row r="142">
      <c r="A142" s="10" t="n">
        <v>44593</v>
      </c>
      <c r="B142" s="18">
        <f>IF(VLOOKUP(A142,'DB Country PMI'!$A:$AZ,MATCH($A$1,'DB Country PMI'!$A$1:$AZ$1,),)=0,#N/A,VLOOKUP(A142,'DB Country PMI'!$A:$AZ,MATCH($A$1,'DB Country PMI'!$A$1:$AZ$1,),))</f>
        <v/>
      </c>
      <c r="C142" s="24">
        <f>Table13468111214151617181920222530333435[[#This Row],[PMI]]-B141</f>
        <v/>
      </c>
    </row>
    <row r="143">
      <c r="A143" s="10" t="n">
        <v>44621</v>
      </c>
      <c r="B143" s="18">
        <f>IF(VLOOKUP(A143,'DB Country PMI'!$A:$AZ,MATCH($A$1,'DB Country PMI'!$A$1:$AZ$1,),)=0,#N/A,VLOOKUP(A143,'DB Country PMI'!$A:$AZ,MATCH($A$1,'DB Country PMI'!$A$1:$AZ$1,),))</f>
        <v/>
      </c>
      <c r="C143" s="24">
        <f>Table13468111214151617181920222530333435[[#This Row],[PMI]]-B142</f>
        <v/>
      </c>
    </row>
    <row r="144">
      <c r="A144" s="10" t="n">
        <v>44652</v>
      </c>
      <c r="B144" s="18">
        <f>IF(VLOOKUP(A144,'DB Country PMI'!$A:$AZ,MATCH($A$1,'DB Country PMI'!$A$1:$AZ$1,),)=0,#N/A,VLOOKUP(A144,'DB Country PMI'!$A:$AZ,MATCH($A$1,'DB Country PMI'!$A$1:$AZ$1,),))</f>
        <v/>
      </c>
      <c r="C144" s="24">
        <f>Table13468111214151617181920222530333435[[#This Row],[PMI]]-B143</f>
        <v/>
      </c>
    </row>
    <row r="145">
      <c r="A145" s="10" t="n">
        <v>44682</v>
      </c>
      <c r="B145" s="18">
        <f>IF(VLOOKUP(A145,'DB Country PMI'!$A:$AZ,MATCH($A$1,'DB Country PMI'!$A$1:$AZ$1,),)=0,#N/A,VLOOKUP(A145,'DB Country PMI'!$A:$AZ,MATCH($A$1,'DB Country PMI'!$A$1:$AZ$1,),))</f>
        <v/>
      </c>
      <c r="C145" s="24">
        <f>Table13468111214151617181920222530333435[[#This Row],[PMI]]-B144</f>
        <v/>
      </c>
    </row>
    <row r="146">
      <c r="A146" s="10" t="n">
        <v>44713</v>
      </c>
      <c r="B146" s="18">
        <f>IF(VLOOKUP(A146,'DB Country PMI'!$A:$AZ,MATCH($A$1,'DB Country PMI'!$A$1:$AZ$1,),)=0,#N/A,VLOOKUP(A146,'DB Country PMI'!$A:$AZ,MATCH($A$1,'DB Country PMI'!$A$1:$AZ$1,),))</f>
        <v/>
      </c>
      <c r="C146" s="24">
        <f>Table13468111214151617181920222530333435[[#This Row],[PMI]]-B145</f>
        <v/>
      </c>
    </row>
    <row r="147">
      <c r="A147" s="10" t="n">
        <v>44743</v>
      </c>
      <c r="B147" s="18">
        <f>IF(VLOOKUP(A147,'DB Country PMI'!$A:$AZ,MATCH($A$1,'DB Country PMI'!$A$1:$AZ$1,),)=0,#N/A,VLOOKUP(A147,'DB Country PMI'!$A:$AZ,MATCH($A$1,'DB Country PMI'!$A$1:$AZ$1,),))</f>
        <v/>
      </c>
      <c r="C147" s="24">
        <f>Table13468111214151617181920222530333435[[#This Row],[PMI]]-B146</f>
        <v/>
      </c>
    </row>
    <row r="148">
      <c r="A148" s="10" t="n">
        <v>44774</v>
      </c>
      <c r="B148" s="18">
        <f>IF(VLOOKUP(A148,'DB Country PMI'!$A:$AZ,MATCH($A$1,'DB Country PMI'!$A$1:$AZ$1,),)=0,#N/A,VLOOKUP(A148,'DB Country PMI'!$A:$AZ,MATCH($A$1,'DB Country PMI'!$A$1:$AZ$1,),))</f>
        <v/>
      </c>
      <c r="C148" s="24">
        <f>Table13468111214151617181920222530333435[[#This Row],[PMI]]-B147</f>
        <v/>
      </c>
    </row>
    <row r="149">
      <c r="A149" s="10" t="n">
        <v>44805</v>
      </c>
      <c r="B149" s="18">
        <f>IF(VLOOKUP(A149,'DB Country PMI'!$A:$AZ,MATCH($A$1,'DB Country PMI'!$A$1:$AZ$1,),)=0,#N/A,VLOOKUP(A149,'DB Country PMI'!$A:$AZ,MATCH($A$1,'DB Country PMI'!$A$1:$AZ$1,),))</f>
        <v/>
      </c>
      <c r="C149" s="24">
        <f>Table13468111214151617181920222530333435[[#This Row],[PMI]]-B148</f>
        <v/>
      </c>
    </row>
    <row r="150">
      <c r="A150" s="10" t="n">
        <v>44835</v>
      </c>
      <c r="B150" s="18">
        <f>IF(VLOOKUP(A150,'DB Country PMI'!$A:$AZ,MATCH($A$1,'DB Country PMI'!$A$1:$AZ$1,),)=0,#N/A,VLOOKUP(A150,'DB Country PMI'!$A:$AZ,MATCH($A$1,'DB Country PMI'!$A$1:$AZ$1,),))</f>
        <v/>
      </c>
      <c r="C150" s="24">
        <f>Table13468111214151617181920222530333435[[#This Row],[PMI]]-B149</f>
        <v/>
      </c>
    </row>
    <row r="151">
      <c r="A151" s="10" t="n">
        <v>44866</v>
      </c>
      <c r="B151" s="18">
        <f>IF(VLOOKUP(A151,'DB Country PMI'!$A:$AZ,MATCH($A$1,'DB Country PMI'!$A$1:$AZ$1,),)=0,#N/A,VLOOKUP(A151,'DB Country PMI'!$A:$AZ,MATCH($A$1,'DB Country PMI'!$A$1:$AZ$1,),))</f>
        <v/>
      </c>
      <c r="C151" s="24">
        <f>Table13468111214151617181920222530333435[[#This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0.xml><?xml version="1.0" encoding="utf-8"?>
<worksheet xmlns="http://schemas.openxmlformats.org/spreadsheetml/2006/main">
  <sheetPr>
    <outlinePr summaryBelow="1" summaryRight="1"/>
    <pageSetUpPr/>
  </sheetPr>
  <dimension ref="A1:K151"/>
  <sheetViews>
    <sheetView zoomScale="90" zoomScaleNormal="90" workbookViewId="0">
      <pane ySplit="5" topLeftCell="A138" activePane="bottomLeft" state="frozen"/>
      <selection pane="bottomLeft" activeCell="A136" sqref="A136:C151"/>
    </sheetView>
  </sheetViews>
  <sheetFormatPr baseColWidth="8" defaultColWidth="9.1796875" defaultRowHeight="14.5"/>
  <cols>
    <col width="13.453125" customWidth="1" style="69" min="1" max="1"/>
    <col width="11.36328125" customWidth="1" style="69" min="2" max="2"/>
    <col width="9.1796875" customWidth="1" style="69" min="3" max="51"/>
    <col width="9.1796875" customWidth="1" style="69" min="52" max="16384"/>
  </cols>
  <sheetData>
    <row r="1">
      <c r="A1" s="69" t="inlineStr">
        <is>
          <t>Poland</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Table1346811121415161718192022253033343536[[#This Row],[PMI]]-B6</f>
        <v/>
      </c>
    </row>
    <row r="8">
      <c r="A8" s="10" t="n">
        <v>40513</v>
      </c>
      <c r="B8" s="18">
        <f>IF(VLOOKUP(A8,'DB Country PMI'!$A:$AZ,MATCH($A$1,'DB Country PMI'!$A$1:$AZ$1,),)=0,#N/A,VLOOKUP(A8,'DB Country PMI'!$A:$AZ,MATCH($A$1,'DB Country PMI'!$A$1:$AZ$1,),))</f>
        <v/>
      </c>
      <c r="C8" s="24">
        <f>Table1346811121415161718192022253033343536[[#This Row],[PMI]]-B7</f>
        <v/>
      </c>
    </row>
    <row r="9">
      <c r="A9" s="10" t="n">
        <v>40544</v>
      </c>
      <c r="B9" s="18">
        <f>IF(VLOOKUP(A9,'DB Country PMI'!$A:$AZ,MATCH($A$1,'DB Country PMI'!$A$1:$AZ$1,),)=0,#N/A,VLOOKUP(A9,'DB Country PMI'!$A:$AZ,MATCH($A$1,'DB Country PMI'!$A$1:$AZ$1,),))</f>
        <v/>
      </c>
      <c r="C9" s="24">
        <f>Table1346811121415161718192022253033343536[[#This Row],[PMI]]-B8</f>
        <v/>
      </c>
    </row>
    <row r="10">
      <c r="A10" s="10" t="n">
        <v>40575</v>
      </c>
      <c r="B10" s="18">
        <f>IF(VLOOKUP(A10,'DB Country PMI'!$A:$AZ,MATCH($A$1,'DB Country PMI'!$A$1:$AZ$1,),)=0,#N/A,VLOOKUP(A10,'DB Country PMI'!$A:$AZ,MATCH($A$1,'DB Country PMI'!$A$1:$AZ$1,),))</f>
        <v/>
      </c>
      <c r="C10" s="24">
        <f>Table1346811121415161718192022253033343536[[#This Row],[PMI]]-B9</f>
        <v/>
      </c>
    </row>
    <row r="11">
      <c r="A11" s="10" t="n">
        <v>40603</v>
      </c>
      <c r="B11" s="18">
        <f>IF(VLOOKUP(A11,'DB Country PMI'!$A:$AZ,MATCH($A$1,'DB Country PMI'!$A$1:$AZ$1,),)=0,#N/A,VLOOKUP(A11,'DB Country PMI'!$A:$AZ,MATCH($A$1,'DB Country PMI'!$A$1:$AZ$1,),))</f>
        <v/>
      </c>
      <c r="C11" s="24">
        <f>Table1346811121415161718192022253033343536[[#This Row],[PMI]]-B10</f>
        <v/>
      </c>
    </row>
    <row r="12">
      <c r="A12" s="10" t="n">
        <v>40634</v>
      </c>
      <c r="B12" s="18">
        <f>IF(VLOOKUP(A12,'DB Country PMI'!$A:$AZ,MATCH($A$1,'DB Country PMI'!$A$1:$AZ$1,),)=0,#N/A,VLOOKUP(A12,'DB Country PMI'!$A:$AZ,MATCH($A$1,'DB Country PMI'!$A$1:$AZ$1,),))</f>
        <v/>
      </c>
      <c r="C12" s="24">
        <f>Table1346811121415161718192022253033343536[[#This Row],[PMI]]-B11</f>
        <v/>
      </c>
    </row>
    <row r="13">
      <c r="A13" s="10" t="n">
        <v>40664</v>
      </c>
      <c r="B13" s="18">
        <f>IF(VLOOKUP(A13,'DB Country PMI'!$A:$AZ,MATCH($A$1,'DB Country PMI'!$A$1:$AZ$1,),)=0,#N/A,VLOOKUP(A13,'DB Country PMI'!$A:$AZ,MATCH($A$1,'DB Country PMI'!$A$1:$AZ$1,),))</f>
        <v/>
      </c>
      <c r="C13" s="24">
        <f>Table1346811121415161718192022253033343536[[#This Row],[PMI]]-B12</f>
        <v/>
      </c>
    </row>
    <row r="14">
      <c r="A14" s="10" t="n">
        <v>40695</v>
      </c>
      <c r="B14" s="18">
        <f>IF(VLOOKUP(A14,'DB Country PMI'!$A:$AZ,MATCH($A$1,'DB Country PMI'!$A$1:$AZ$1,),)=0,#N/A,VLOOKUP(A14,'DB Country PMI'!$A:$AZ,MATCH($A$1,'DB Country PMI'!$A$1:$AZ$1,),))</f>
        <v/>
      </c>
      <c r="C14" s="24">
        <f>Table1346811121415161718192022253033343536[[#This Row],[PMI]]-B13</f>
        <v/>
      </c>
    </row>
    <row r="15">
      <c r="A15" s="10" t="n">
        <v>40725</v>
      </c>
      <c r="B15" s="18">
        <f>IF(VLOOKUP(A15,'DB Country PMI'!$A:$AZ,MATCH($A$1,'DB Country PMI'!$A$1:$AZ$1,),)=0,#N/A,VLOOKUP(A15,'DB Country PMI'!$A:$AZ,MATCH($A$1,'DB Country PMI'!$A$1:$AZ$1,),))</f>
        <v/>
      </c>
      <c r="C15" s="24">
        <f>Table1346811121415161718192022253033343536[[#This Row],[PMI]]-B14</f>
        <v/>
      </c>
    </row>
    <row r="16">
      <c r="A16" s="10" t="n">
        <v>40756</v>
      </c>
      <c r="B16" s="18">
        <f>IF(VLOOKUP(A16,'DB Country PMI'!$A:$AZ,MATCH($A$1,'DB Country PMI'!$A$1:$AZ$1,),)=0,#N/A,VLOOKUP(A16,'DB Country PMI'!$A:$AZ,MATCH($A$1,'DB Country PMI'!$A$1:$AZ$1,),))</f>
        <v/>
      </c>
      <c r="C16" s="24">
        <f>Table1346811121415161718192022253033343536[[#This Row],[PMI]]-B15</f>
        <v/>
      </c>
    </row>
    <row r="17">
      <c r="A17" s="10" t="n">
        <v>40787</v>
      </c>
      <c r="B17" s="18">
        <f>IF(VLOOKUP(A17,'DB Country PMI'!$A:$AZ,MATCH($A$1,'DB Country PMI'!$A$1:$AZ$1,),)=0,#N/A,VLOOKUP(A17,'DB Country PMI'!$A:$AZ,MATCH($A$1,'DB Country PMI'!$A$1:$AZ$1,),))</f>
        <v/>
      </c>
      <c r="C17" s="24">
        <f>Table1346811121415161718192022253033343536[[#This Row],[PMI]]-B16</f>
        <v/>
      </c>
    </row>
    <row r="18">
      <c r="A18" s="10" t="n">
        <v>40817</v>
      </c>
      <c r="B18" s="18">
        <f>IF(VLOOKUP(A18,'DB Country PMI'!$A:$AZ,MATCH($A$1,'DB Country PMI'!$A$1:$AZ$1,),)=0,#N/A,VLOOKUP(A18,'DB Country PMI'!$A:$AZ,MATCH($A$1,'DB Country PMI'!$A$1:$AZ$1,),))</f>
        <v/>
      </c>
      <c r="C18" s="24">
        <f>Table1346811121415161718192022253033343536[[#This Row],[PMI]]-B17</f>
        <v/>
      </c>
    </row>
    <row r="19">
      <c r="A19" s="10" t="n">
        <v>40848</v>
      </c>
      <c r="B19" s="18">
        <f>IF(VLOOKUP(A19,'DB Country PMI'!$A:$AZ,MATCH($A$1,'DB Country PMI'!$A$1:$AZ$1,),)=0,#N/A,VLOOKUP(A19,'DB Country PMI'!$A:$AZ,MATCH($A$1,'DB Country PMI'!$A$1:$AZ$1,),))</f>
        <v/>
      </c>
      <c r="C19" s="24">
        <f>Table1346811121415161718192022253033343536[[#This Row],[PMI]]-B18</f>
        <v/>
      </c>
    </row>
    <row r="20">
      <c r="A20" s="10" t="n">
        <v>40878</v>
      </c>
      <c r="B20" s="18">
        <f>IF(VLOOKUP(A20,'DB Country PMI'!$A:$AZ,MATCH($A$1,'DB Country PMI'!$A$1:$AZ$1,),)=0,#N/A,VLOOKUP(A20,'DB Country PMI'!$A:$AZ,MATCH($A$1,'DB Country PMI'!$A$1:$AZ$1,),))</f>
        <v/>
      </c>
      <c r="C20" s="24">
        <f>Table1346811121415161718192022253033343536[[#This Row],[PMI]]-B19</f>
        <v/>
      </c>
    </row>
    <row r="21">
      <c r="A21" s="10" t="n">
        <v>40909</v>
      </c>
      <c r="B21" s="18">
        <f>IF(VLOOKUP(A21,'DB Country PMI'!$A:$AZ,MATCH($A$1,'DB Country PMI'!$A$1:$AZ$1,),)=0,#N/A,VLOOKUP(A21,'DB Country PMI'!$A:$AZ,MATCH($A$1,'DB Country PMI'!$A$1:$AZ$1,),))</f>
        <v/>
      </c>
      <c r="C21" s="24">
        <f>Table1346811121415161718192022253033343536[[#This Row],[PMI]]-B20</f>
        <v/>
      </c>
    </row>
    <row r="22">
      <c r="A22" s="10" t="n">
        <v>40940</v>
      </c>
      <c r="B22" s="18">
        <f>IF(VLOOKUP(A22,'DB Country PMI'!$A:$AZ,MATCH($A$1,'DB Country PMI'!$A$1:$AZ$1,),)=0,#N/A,VLOOKUP(A22,'DB Country PMI'!$A:$AZ,MATCH($A$1,'DB Country PMI'!$A$1:$AZ$1,),))</f>
        <v/>
      </c>
      <c r="C22" s="24">
        <f>Table1346811121415161718192022253033343536[[#This Row],[PMI]]-B21</f>
        <v/>
      </c>
    </row>
    <row r="23">
      <c r="A23" s="10" t="n">
        <v>40969</v>
      </c>
      <c r="B23" s="18">
        <f>IF(VLOOKUP(A23,'DB Country PMI'!$A:$AZ,MATCH($A$1,'DB Country PMI'!$A$1:$AZ$1,),)=0,#N/A,VLOOKUP(A23,'DB Country PMI'!$A:$AZ,MATCH($A$1,'DB Country PMI'!$A$1:$AZ$1,),))</f>
        <v/>
      </c>
      <c r="C23" s="24">
        <f>Table1346811121415161718192022253033343536[[#This Row],[PMI]]-B22</f>
        <v/>
      </c>
    </row>
    <row r="24">
      <c r="A24" s="10" t="n">
        <v>41000</v>
      </c>
      <c r="B24" s="18">
        <f>IF(VLOOKUP(A24,'DB Country PMI'!$A:$AZ,MATCH($A$1,'DB Country PMI'!$A$1:$AZ$1,),)=0,#N/A,VLOOKUP(A24,'DB Country PMI'!$A:$AZ,MATCH($A$1,'DB Country PMI'!$A$1:$AZ$1,),))</f>
        <v/>
      </c>
      <c r="C24" s="24">
        <f>Table1346811121415161718192022253033343536[[#This Row],[PMI]]-B23</f>
        <v/>
      </c>
    </row>
    <row r="25">
      <c r="A25" s="10" t="n">
        <v>41030</v>
      </c>
      <c r="B25" s="18">
        <f>IF(VLOOKUP(A25,'DB Country PMI'!$A:$AZ,MATCH($A$1,'DB Country PMI'!$A$1:$AZ$1,),)=0,#N/A,VLOOKUP(A25,'DB Country PMI'!$A:$AZ,MATCH($A$1,'DB Country PMI'!$A$1:$AZ$1,),))</f>
        <v/>
      </c>
      <c r="C25" s="24">
        <f>Table1346811121415161718192022253033343536[[#This Row],[PMI]]-B24</f>
        <v/>
      </c>
    </row>
    <row r="26">
      <c r="A26" s="10" t="n">
        <v>41061</v>
      </c>
      <c r="B26" s="18">
        <f>IF(VLOOKUP(A26,'DB Country PMI'!$A:$AZ,MATCH($A$1,'DB Country PMI'!$A$1:$AZ$1,),)=0,#N/A,VLOOKUP(A26,'DB Country PMI'!$A:$AZ,MATCH($A$1,'DB Country PMI'!$A$1:$AZ$1,),))</f>
        <v/>
      </c>
      <c r="C26" s="24">
        <f>Table1346811121415161718192022253033343536[[#This Row],[PMI]]-B25</f>
        <v/>
      </c>
    </row>
    <row r="27">
      <c r="A27" s="10" t="n">
        <v>41091</v>
      </c>
      <c r="B27" s="18">
        <f>IF(VLOOKUP(A27,'DB Country PMI'!$A:$AZ,MATCH($A$1,'DB Country PMI'!$A$1:$AZ$1,),)=0,#N/A,VLOOKUP(A27,'DB Country PMI'!$A:$AZ,MATCH($A$1,'DB Country PMI'!$A$1:$AZ$1,),))</f>
        <v/>
      </c>
      <c r="C27" s="24">
        <f>Table1346811121415161718192022253033343536[[#This Row],[PMI]]-B26</f>
        <v/>
      </c>
    </row>
    <row r="28">
      <c r="A28" s="10" t="n">
        <v>41122</v>
      </c>
      <c r="B28" s="18">
        <f>IF(VLOOKUP(A28,'DB Country PMI'!$A:$AZ,MATCH($A$1,'DB Country PMI'!$A$1:$AZ$1,),)=0,#N/A,VLOOKUP(A28,'DB Country PMI'!$A:$AZ,MATCH($A$1,'DB Country PMI'!$A$1:$AZ$1,),))</f>
        <v/>
      </c>
      <c r="C28" s="24">
        <f>Table1346811121415161718192022253033343536[[#This Row],[PMI]]-B27</f>
        <v/>
      </c>
    </row>
    <row r="29">
      <c r="A29" s="10" t="n">
        <v>41153</v>
      </c>
      <c r="B29" s="18">
        <f>IF(VLOOKUP(A29,'DB Country PMI'!$A:$AZ,MATCH($A$1,'DB Country PMI'!$A$1:$AZ$1,),)=0,#N/A,VLOOKUP(A29,'DB Country PMI'!$A:$AZ,MATCH($A$1,'DB Country PMI'!$A$1:$AZ$1,),))</f>
        <v/>
      </c>
      <c r="C29" s="24">
        <f>Table1346811121415161718192022253033343536[[#This Row],[PMI]]-B28</f>
        <v/>
      </c>
    </row>
    <row r="30">
      <c r="A30" s="10" t="n">
        <v>41183</v>
      </c>
      <c r="B30" s="18">
        <f>IF(VLOOKUP(A30,'DB Country PMI'!$A:$AZ,MATCH($A$1,'DB Country PMI'!$A$1:$AZ$1,),)=0,#N/A,VLOOKUP(A30,'DB Country PMI'!$A:$AZ,MATCH($A$1,'DB Country PMI'!$A$1:$AZ$1,),))</f>
        <v/>
      </c>
      <c r="C30" s="24">
        <f>Table1346811121415161718192022253033343536[[#This Row],[PMI]]-B29</f>
        <v/>
      </c>
    </row>
    <row r="31">
      <c r="A31" s="10" t="n">
        <v>41214</v>
      </c>
      <c r="B31" s="18">
        <f>IF(VLOOKUP(A31,'DB Country PMI'!$A:$AZ,MATCH($A$1,'DB Country PMI'!$A$1:$AZ$1,),)=0,#N/A,VLOOKUP(A31,'DB Country PMI'!$A:$AZ,MATCH($A$1,'DB Country PMI'!$A$1:$AZ$1,),))</f>
        <v/>
      </c>
      <c r="C31" s="24">
        <f>Table1346811121415161718192022253033343536[[#This Row],[PMI]]-B30</f>
        <v/>
      </c>
    </row>
    <row r="32">
      <c r="A32" s="10" t="n">
        <v>41244</v>
      </c>
      <c r="B32" s="18">
        <f>IF(VLOOKUP(A32,'DB Country PMI'!$A:$AZ,MATCH($A$1,'DB Country PMI'!$A$1:$AZ$1,),)=0,#N/A,VLOOKUP(A32,'DB Country PMI'!$A:$AZ,MATCH($A$1,'DB Country PMI'!$A$1:$AZ$1,),))</f>
        <v/>
      </c>
      <c r="C32" s="24">
        <f>Table1346811121415161718192022253033343536[[#This Row],[PMI]]-B31</f>
        <v/>
      </c>
    </row>
    <row r="33">
      <c r="A33" s="10" t="n">
        <v>41275</v>
      </c>
      <c r="B33" s="18">
        <f>IF(VLOOKUP(A33,'DB Country PMI'!$A:$AZ,MATCH($A$1,'DB Country PMI'!$A$1:$AZ$1,),)=0,#N/A,VLOOKUP(A33,'DB Country PMI'!$A:$AZ,MATCH($A$1,'DB Country PMI'!$A$1:$AZ$1,),))</f>
        <v/>
      </c>
      <c r="C33" s="24">
        <f>Table1346811121415161718192022253033343536[[#This Row],[PMI]]-B32</f>
        <v/>
      </c>
    </row>
    <row r="34">
      <c r="A34" s="10" t="n">
        <v>41306</v>
      </c>
      <c r="B34" s="18">
        <f>IF(VLOOKUP(A34,'DB Country PMI'!$A:$AZ,MATCH($A$1,'DB Country PMI'!$A$1:$AZ$1,),)=0,#N/A,VLOOKUP(A34,'DB Country PMI'!$A:$AZ,MATCH($A$1,'DB Country PMI'!$A$1:$AZ$1,),))</f>
        <v/>
      </c>
      <c r="C34" s="24">
        <f>Table1346811121415161718192022253033343536[[#This Row],[PMI]]-B33</f>
        <v/>
      </c>
    </row>
    <row r="35">
      <c r="A35" s="10" t="n">
        <v>41334</v>
      </c>
      <c r="B35" s="18">
        <f>IF(VLOOKUP(A35,'DB Country PMI'!$A:$AZ,MATCH($A$1,'DB Country PMI'!$A$1:$AZ$1,),)=0,#N/A,VLOOKUP(A35,'DB Country PMI'!$A:$AZ,MATCH($A$1,'DB Country PMI'!$A$1:$AZ$1,),))</f>
        <v/>
      </c>
      <c r="C35" s="24">
        <f>Table1346811121415161718192022253033343536[[#This Row],[PMI]]-B34</f>
        <v/>
      </c>
    </row>
    <row r="36">
      <c r="A36" s="10" t="n">
        <v>41365</v>
      </c>
      <c r="B36" s="18">
        <f>IF(VLOOKUP(A36,'DB Country PMI'!$A:$AZ,MATCH($A$1,'DB Country PMI'!$A$1:$AZ$1,),)=0,#N/A,VLOOKUP(A36,'DB Country PMI'!$A:$AZ,MATCH($A$1,'DB Country PMI'!$A$1:$AZ$1,),))</f>
        <v/>
      </c>
      <c r="C36" s="24">
        <f>Table1346811121415161718192022253033343536[[#This Row],[PMI]]-B35</f>
        <v/>
      </c>
    </row>
    <row r="37">
      <c r="A37" s="10" t="n">
        <v>41395</v>
      </c>
      <c r="B37" s="18">
        <f>IF(VLOOKUP(A37,'DB Country PMI'!$A:$AZ,MATCH($A$1,'DB Country PMI'!$A$1:$AZ$1,),)=0,#N/A,VLOOKUP(A37,'DB Country PMI'!$A:$AZ,MATCH($A$1,'DB Country PMI'!$A$1:$AZ$1,),))</f>
        <v/>
      </c>
      <c r="C37" s="24">
        <f>Table1346811121415161718192022253033343536[[#This Row],[PMI]]-B36</f>
        <v/>
      </c>
    </row>
    <row r="38">
      <c r="A38" s="10" t="n">
        <v>41426</v>
      </c>
      <c r="B38" s="18">
        <f>IF(VLOOKUP(A38,'DB Country PMI'!$A:$AZ,MATCH($A$1,'DB Country PMI'!$A$1:$AZ$1,),)=0,#N/A,VLOOKUP(A38,'DB Country PMI'!$A:$AZ,MATCH($A$1,'DB Country PMI'!$A$1:$AZ$1,),))</f>
        <v/>
      </c>
      <c r="C38" s="24">
        <f>Table1346811121415161718192022253033343536[[#This Row],[PMI]]-B37</f>
        <v/>
      </c>
    </row>
    <row r="39">
      <c r="A39" s="10" t="n">
        <v>41456</v>
      </c>
      <c r="B39" s="18">
        <f>IF(VLOOKUP(A39,'DB Country PMI'!$A:$AZ,MATCH($A$1,'DB Country PMI'!$A$1:$AZ$1,),)=0,#N/A,VLOOKUP(A39,'DB Country PMI'!$A:$AZ,MATCH($A$1,'DB Country PMI'!$A$1:$AZ$1,),))</f>
        <v/>
      </c>
      <c r="C39" s="24">
        <f>Table1346811121415161718192022253033343536[[#This Row],[PMI]]-B38</f>
        <v/>
      </c>
    </row>
    <row r="40">
      <c r="A40" s="10" t="n">
        <v>41487</v>
      </c>
      <c r="B40" s="18">
        <f>IF(VLOOKUP(A40,'DB Country PMI'!$A:$AZ,MATCH($A$1,'DB Country PMI'!$A$1:$AZ$1,),)=0,#N/A,VLOOKUP(A40,'DB Country PMI'!$A:$AZ,MATCH($A$1,'DB Country PMI'!$A$1:$AZ$1,),))</f>
        <v/>
      </c>
      <c r="C40" s="24">
        <f>Table1346811121415161718192022253033343536[[#This Row],[PMI]]-B39</f>
        <v/>
      </c>
    </row>
    <row r="41">
      <c r="A41" s="10" t="n">
        <v>41518</v>
      </c>
      <c r="B41" s="18">
        <f>IF(VLOOKUP(A41,'DB Country PMI'!$A:$AZ,MATCH($A$1,'DB Country PMI'!$A$1:$AZ$1,),)=0,#N/A,VLOOKUP(A41,'DB Country PMI'!$A:$AZ,MATCH($A$1,'DB Country PMI'!$A$1:$AZ$1,),))</f>
        <v/>
      </c>
      <c r="C41" s="24">
        <f>Table1346811121415161718192022253033343536[[#This Row],[PMI]]-B40</f>
        <v/>
      </c>
    </row>
    <row r="42">
      <c r="A42" s="10" t="n">
        <v>41548</v>
      </c>
      <c r="B42" s="18">
        <f>IF(VLOOKUP(A42,'DB Country PMI'!$A:$AZ,MATCH($A$1,'DB Country PMI'!$A$1:$AZ$1,),)=0,#N/A,VLOOKUP(A42,'DB Country PMI'!$A:$AZ,MATCH($A$1,'DB Country PMI'!$A$1:$AZ$1,),))</f>
        <v/>
      </c>
      <c r="C42" s="24">
        <f>Table1346811121415161718192022253033343536[[#This Row],[PMI]]-B41</f>
        <v/>
      </c>
    </row>
    <row r="43">
      <c r="A43" s="10" t="n">
        <v>41579</v>
      </c>
      <c r="B43" s="18">
        <f>IF(VLOOKUP(A43,'DB Country PMI'!$A:$AZ,MATCH($A$1,'DB Country PMI'!$A$1:$AZ$1,),)=0,#N/A,VLOOKUP(A43,'DB Country PMI'!$A:$AZ,MATCH($A$1,'DB Country PMI'!$A$1:$AZ$1,),))</f>
        <v/>
      </c>
      <c r="C43" s="24">
        <f>Table1346811121415161718192022253033343536[[#This Row],[PMI]]-B42</f>
        <v/>
      </c>
    </row>
    <row r="44">
      <c r="A44" s="10" t="n">
        <v>41609</v>
      </c>
      <c r="B44" s="18">
        <f>IF(VLOOKUP(A44,'DB Country PMI'!$A:$AZ,MATCH($A$1,'DB Country PMI'!$A$1:$AZ$1,),)=0,#N/A,VLOOKUP(A44,'DB Country PMI'!$A:$AZ,MATCH($A$1,'DB Country PMI'!$A$1:$AZ$1,),))</f>
        <v/>
      </c>
      <c r="C44" s="24">
        <f>Table1346811121415161718192022253033343536[[#This Row],[PMI]]-B43</f>
        <v/>
      </c>
    </row>
    <row r="45">
      <c r="A45" s="10" t="n">
        <v>41640</v>
      </c>
      <c r="B45" s="18">
        <f>IF(VLOOKUP(A45,'DB Country PMI'!$A:$AZ,MATCH($A$1,'DB Country PMI'!$A$1:$AZ$1,),)=0,#N/A,VLOOKUP(A45,'DB Country PMI'!$A:$AZ,MATCH($A$1,'DB Country PMI'!$A$1:$AZ$1,),))</f>
        <v/>
      </c>
      <c r="C45" s="24">
        <f>Table1346811121415161718192022253033343536[[#This Row],[PMI]]-B44</f>
        <v/>
      </c>
    </row>
    <row r="46">
      <c r="A46" s="10" t="n">
        <v>41671</v>
      </c>
      <c r="B46" s="18">
        <f>IF(VLOOKUP(A46,'DB Country PMI'!$A:$AZ,MATCH($A$1,'DB Country PMI'!$A$1:$AZ$1,),)=0,#N/A,VLOOKUP(A46,'DB Country PMI'!$A:$AZ,MATCH($A$1,'DB Country PMI'!$A$1:$AZ$1,),))</f>
        <v/>
      </c>
      <c r="C46" s="24">
        <f>Table1346811121415161718192022253033343536[[#This Row],[PMI]]-B45</f>
        <v/>
      </c>
    </row>
    <row r="47">
      <c r="A47" s="10" t="n">
        <v>41699</v>
      </c>
      <c r="B47" s="18">
        <f>IF(VLOOKUP(A47,'DB Country PMI'!$A:$AZ,MATCH($A$1,'DB Country PMI'!$A$1:$AZ$1,),)=0,#N/A,VLOOKUP(A47,'DB Country PMI'!$A:$AZ,MATCH($A$1,'DB Country PMI'!$A$1:$AZ$1,),))</f>
        <v/>
      </c>
      <c r="C47" s="24">
        <f>Table1346811121415161718192022253033343536[[#This Row],[PMI]]-B46</f>
        <v/>
      </c>
    </row>
    <row r="48">
      <c r="A48" s="10" t="n">
        <v>41730</v>
      </c>
      <c r="B48" s="18">
        <f>IF(VLOOKUP(A48,'DB Country PMI'!$A:$AZ,MATCH($A$1,'DB Country PMI'!$A$1:$AZ$1,),)=0,#N/A,VLOOKUP(A48,'DB Country PMI'!$A:$AZ,MATCH($A$1,'DB Country PMI'!$A$1:$AZ$1,),))</f>
        <v/>
      </c>
      <c r="C48" s="24">
        <f>Table1346811121415161718192022253033343536[[#This Row],[PMI]]-B47</f>
        <v/>
      </c>
    </row>
    <row r="49">
      <c r="A49" s="10" t="n">
        <v>41760</v>
      </c>
      <c r="B49" s="18">
        <f>IF(VLOOKUP(A49,'DB Country PMI'!$A:$AZ,MATCH($A$1,'DB Country PMI'!$A$1:$AZ$1,),)=0,#N/A,VLOOKUP(A49,'DB Country PMI'!$A:$AZ,MATCH($A$1,'DB Country PMI'!$A$1:$AZ$1,),))</f>
        <v/>
      </c>
      <c r="C49" s="24">
        <f>Table1346811121415161718192022253033343536[[#This Row],[PMI]]-B48</f>
        <v/>
      </c>
    </row>
    <row r="50">
      <c r="A50" s="10" t="n">
        <v>41791</v>
      </c>
      <c r="B50" s="18">
        <f>IF(VLOOKUP(A50,'DB Country PMI'!$A:$AZ,MATCH($A$1,'DB Country PMI'!$A$1:$AZ$1,),)=0,#N/A,VLOOKUP(A50,'DB Country PMI'!$A:$AZ,MATCH($A$1,'DB Country PMI'!$A$1:$AZ$1,),))</f>
        <v/>
      </c>
      <c r="C50" s="24">
        <f>Table1346811121415161718192022253033343536[[#This Row],[PMI]]-B49</f>
        <v/>
      </c>
    </row>
    <row r="51">
      <c r="A51" s="10" t="n">
        <v>41821</v>
      </c>
      <c r="B51" s="18">
        <f>IF(VLOOKUP(A51,'DB Country PMI'!$A:$AZ,MATCH($A$1,'DB Country PMI'!$A$1:$AZ$1,),)=0,#N/A,VLOOKUP(A51,'DB Country PMI'!$A:$AZ,MATCH($A$1,'DB Country PMI'!$A$1:$AZ$1,),))</f>
        <v/>
      </c>
      <c r="C51" s="24">
        <f>Table1346811121415161718192022253033343536[[#This Row],[PMI]]-B50</f>
        <v/>
      </c>
    </row>
    <row r="52">
      <c r="A52" s="10" t="n">
        <v>41852</v>
      </c>
      <c r="B52" s="18">
        <f>IF(VLOOKUP(A52,'DB Country PMI'!$A:$AZ,MATCH($A$1,'DB Country PMI'!$A$1:$AZ$1,),)=0,#N/A,VLOOKUP(A52,'DB Country PMI'!$A:$AZ,MATCH($A$1,'DB Country PMI'!$A$1:$AZ$1,),))</f>
        <v/>
      </c>
      <c r="C52" s="24">
        <f>Table1346811121415161718192022253033343536[[#This Row],[PMI]]-B51</f>
        <v/>
      </c>
    </row>
    <row r="53">
      <c r="A53" s="10" t="n">
        <v>41883</v>
      </c>
      <c r="B53" s="18">
        <f>IF(VLOOKUP(A53,'DB Country PMI'!$A:$AZ,MATCH($A$1,'DB Country PMI'!$A$1:$AZ$1,),)=0,#N/A,VLOOKUP(A53,'DB Country PMI'!$A:$AZ,MATCH($A$1,'DB Country PMI'!$A$1:$AZ$1,),))</f>
        <v/>
      </c>
      <c r="C53" s="24">
        <f>Table1346811121415161718192022253033343536[[#This Row],[PMI]]-B52</f>
        <v/>
      </c>
    </row>
    <row r="54">
      <c r="A54" s="10" t="n">
        <v>41913</v>
      </c>
      <c r="B54" s="18">
        <f>IF(VLOOKUP(A54,'DB Country PMI'!$A:$AZ,MATCH($A$1,'DB Country PMI'!$A$1:$AZ$1,),)=0,#N/A,VLOOKUP(A54,'DB Country PMI'!$A:$AZ,MATCH($A$1,'DB Country PMI'!$A$1:$AZ$1,),))</f>
        <v/>
      </c>
      <c r="C54" s="24">
        <f>Table1346811121415161718192022253033343536[[#This Row],[PMI]]-B53</f>
        <v/>
      </c>
    </row>
    <row r="55">
      <c r="A55" s="10" t="n">
        <v>41944</v>
      </c>
      <c r="B55" s="18">
        <f>IF(VLOOKUP(A55,'DB Country PMI'!$A:$AZ,MATCH($A$1,'DB Country PMI'!$A$1:$AZ$1,),)=0,#N/A,VLOOKUP(A55,'DB Country PMI'!$A:$AZ,MATCH($A$1,'DB Country PMI'!$A$1:$AZ$1,),))</f>
        <v/>
      </c>
      <c r="C55" s="24">
        <f>Table1346811121415161718192022253033343536[[#This Row],[PMI]]-B54</f>
        <v/>
      </c>
    </row>
    <row r="56">
      <c r="A56" s="10" t="n">
        <v>41974</v>
      </c>
      <c r="B56" s="18">
        <f>IF(VLOOKUP(A56,'DB Country PMI'!$A:$AZ,MATCH($A$1,'DB Country PMI'!$A$1:$AZ$1,),)=0,#N/A,VLOOKUP(A56,'DB Country PMI'!$A:$AZ,MATCH($A$1,'DB Country PMI'!$A$1:$AZ$1,),))</f>
        <v/>
      </c>
      <c r="C56" s="24">
        <f>Table1346811121415161718192022253033343536[[#This Row],[PMI]]-B55</f>
        <v/>
      </c>
    </row>
    <row r="57">
      <c r="A57" s="10" t="n">
        <v>42005</v>
      </c>
      <c r="B57" s="18">
        <f>IF(VLOOKUP(A57,'DB Country PMI'!$A:$AZ,MATCH($A$1,'DB Country PMI'!$A$1:$AZ$1,),)=0,#N/A,VLOOKUP(A57,'DB Country PMI'!$A:$AZ,MATCH($A$1,'DB Country PMI'!$A$1:$AZ$1,),))</f>
        <v/>
      </c>
      <c r="C57" s="24">
        <f>Table1346811121415161718192022253033343536[[#This Row],[PMI]]-B56</f>
        <v/>
      </c>
    </row>
    <row r="58">
      <c r="A58" s="10" t="n">
        <v>42036</v>
      </c>
      <c r="B58" s="18">
        <f>IF(VLOOKUP(A58,'DB Country PMI'!$A:$AZ,MATCH($A$1,'DB Country PMI'!$A$1:$AZ$1,),)=0,#N/A,VLOOKUP(A58,'DB Country PMI'!$A:$AZ,MATCH($A$1,'DB Country PMI'!$A$1:$AZ$1,),))</f>
        <v/>
      </c>
      <c r="C58" s="24">
        <f>Table1346811121415161718192022253033343536[[#This Row],[PMI]]-B57</f>
        <v/>
      </c>
    </row>
    <row r="59">
      <c r="A59" s="10" t="n">
        <v>42064</v>
      </c>
      <c r="B59" s="18">
        <f>IF(VLOOKUP(A59,'DB Country PMI'!$A:$AZ,MATCH($A$1,'DB Country PMI'!$A$1:$AZ$1,),)=0,#N/A,VLOOKUP(A59,'DB Country PMI'!$A:$AZ,MATCH($A$1,'DB Country PMI'!$A$1:$AZ$1,),))</f>
        <v/>
      </c>
      <c r="C59" s="24">
        <f>Table1346811121415161718192022253033343536[[#This Row],[PMI]]-B58</f>
        <v/>
      </c>
    </row>
    <row r="60">
      <c r="A60" s="10" t="n">
        <v>42095</v>
      </c>
      <c r="B60" s="18">
        <f>IF(VLOOKUP(A60,'DB Country PMI'!$A:$AZ,MATCH($A$1,'DB Country PMI'!$A$1:$AZ$1,),)=0,#N/A,VLOOKUP(A60,'DB Country PMI'!$A:$AZ,MATCH($A$1,'DB Country PMI'!$A$1:$AZ$1,),))</f>
        <v/>
      </c>
      <c r="C60" s="24">
        <f>Table1346811121415161718192022253033343536[[#This Row],[PMI]]-B59</f>
        <v/>
      </c>
    </row>
    <row r="61">
      <c r="A61" s="10" t="n">
        <v>42125</v>
      </c>
      <c r="B61" s="18">
        <f>IF(VLOOKUP(A61,'DB Country PMI'!$A:$AZ,MATCH($A$1,'DB Country PMI'!$A$1:$AZ$1,),)=0,#N/A,VLOOKUP(A61,'DB Country PMI'!$A:$AZ,MATCH($A$1,'DB Country PMI'!$A$1:$AZ$1,),))</f>
        <v/>
      </c>
      <c r="C61" s="24">
        <f>Table1346811121415161718192022253033343536[[#This Row],[PMI]]-B60</f>
        <v/>
      </c>
    </row>
    <row r="62">
      <c r="A62" s="10" t="n">
        <v>42156</v>
      </c>
      <c r="B62" s="18">
        <f>IF(VLOOKUP(A62,'DB Country PMI'!$A:$AZ,MATCH($A$1,'DB Country PMI'!$A$1:$AZ$1,),)=0,#N/A,VLOOKUP(A62,'DB Country PMI'!$A:$AZ,MATCH($A$1,'DB Country PMI'!$A$1:$AZ$1,),))</f>
        <v/>
      </c>
      <c r="C62" s="24">
        <f>Table1346811121415161718192022253033343536[[#This Row],[PMI]]-B61</f>
        <v/>
      </c>
    </row>
    <row r="63">
      <c r="A63" s="10" t="n">
        <v>42186</v>
      </c>
      <c r="B63" s="18">
        <f>IF(VLOOKUP(A63,'DB Country PMI'!$A:$AZ,MATCH($A$1,'DB Country PMI'!$A$1:$AZ$1,),)=0,#N/A,VLOOKUP(A63,'DB Country PMI'!$A:$AZ,MATCH($A$1,'DB Country PMI'!$A$1:$AZ$1,),))</f>
        <v/>
      </c>
      <c r="C63" s="24">
        <f>Table1346811121415161718192022253033343536[[#This Row],[PMI]]-B62</f>
        <v/>
      </c>
    </row>
    <row r="64">
      <c r="A64" s="10" t="n">
        <v>42217</v>
      </c>
      <c r="B64" s="18">
        <f>IF(VLOOKUP(A64,'DB Country PMI'!$A:$AZ,MATCH($A$1,'DB Country PMI'!$A$1:$AZ$1,),)=0,#N/A,VLOOKUP(A64,'DB Country PMI'!$A:$AZ,MATCH($A$1,'DB Country PMI'!$A$1:$AZ$1,),))</f>
        <v/>
      </c>
      <c r="C64" s="24">
        <f>Table1346811121415161718192022253033343536[[#This Row],[PMI]]-B63</f>
        <v/>
      </c>
    </row>
    <row r="65">
      <c r="A65" s="10" t="n">
        <v>42248</v>
      </c>
      <c r="B65" s="18">
        <f>IF(VLOOKUP(A65,'DB Country PMI'!$A:$AZ,MATCH($A$1,'DB Country PMI'!$A$1:$AZ$1,),)=0,#N/A,VLOOKUP(A65,'DB Country PMI'!$A:$AZ,MATCH($A$1,'DB Country PMI'!$A$1:$AZ$1,),))</f>
        <v/>
      </c>
      <c r="C65" s="24">
        <f>Table1346811121415161718192022253033343536[[#This Row],[PMI]]-B64</f>
        <v/>
      </c>
    </row>
    <row r="66">
      <c r="A66" s="10" t="n">
        <v>42278</v>
      </c>
      <c r="B66" s="18">
        <f>IF(VLOOKUP(A66,'DB Country PMI'!$A:$AZ,MATCH($A$1,'DB Country PMI'!$A$1:$AZ$1,),)=0,#N/A,VLOOKUP(A66,'DB Country PMI'!$A:$AZ,MATCH($A$1,'DB Country PMI'!$A$1:$AZ$1,),))</f>
        <v/>
      </c>
      <c r="C66" s="24">
        <f>Table1346811121415161718192022253033343536[[#This Row],[PMI]]-B65</f>
        <v/>
      </c>
    </row>
    <row r="67">
      <c r="A67" s="10" t="n">
        <v>42309</v>
      </c>
      <c r="B67" s="18">
        <f>IF(VLOOKUP(A67,'DB Country PMI'!$A:$AZ,MATCH($A$1,'DB Country PMI'!$A$1:$AZ$1,),)=0,#N/A,VLOOKUP(A67,'DB Country PMI'!$A:$AZ,MATCH($A$1,'DB Country PMI'!$A$1:$AZ$1,),))</f>
        <v/>
      </c>
      <c r="C67" s="24">
        <f>Table1346811121415161718192022253033343536[[#This Row],[PMI]]-B66</f>
        <v/>
      </c>
    </row>
    <row r="68">
      <c r="A68" s="10" t="n">
        <v>42339</v>
      </c>
      <c r="B68" s="18">
        <f>IF(VLOOKUP(A68,'DB Country PMI'!$A:$AZ,MATCH($A$1,'DB Country PMI'!$A$1:$AZ$1,),)=0,#N/A,VLOOKUP(A68,'DB Country PMI'!$A:$AZ,MATCH($A$1,'DB Country PMI'!$A$1:$AZ$1,),))</f>
        <v/>
      </c>
      <c r="C68" s="24">
        <f>Table1346811121415161718192022253033343536[[#This Row],[PMI]]-B67</f>
        <v/>
      </c>
    </row>
    <row r="69">
      <c r="A69" s="10" t="n">
        <v>42370</v>
      </c>
      <c r="B69" s="18">
        <f>IF(VLOOKUP(A69,'DB Country PMI'!$A:$AZ,MATCH($A$1,'DB Country PMI'!$A$1:$AZ$1,),)=0,#N/A,VLOOKUP(A69,'DB Country PMI'!$A:$AZ,MATCH($A$1,'DB Country PMI'!$A$1:$AZ$1,),))</f>
        <v/>
      </c>
      <c r="C69" s="24">
        <f>Table1346811121415161718192022253033343536[[#This Row],[PMI]]-B68</f>
        <v/>
      </c>
    </row>
    <row r="70">
      <c r="A70" s="10" t="n">
        <v>42401</v>
      </c>
      <c r="B70" s="18">
        <f>IF(VLOOKUP(A70,'DB Country PMI'!$A:$AZ,MATCH($A$1,'DB Country PMI'!$A$1:$AZ$1,),)=0,#N/A,VLOOKUP(A70,'DB Country PMI'!$A:$AZ,MATCH($A$1,'DB Country PMI'!$A$1:$AZ$1,),))</f>
        <v/>
      </c>
      <c r="C70" s="24">
        <f>Table1346811121415161718192022253033343536[[#This Row],[PMI]]-B69</f>
        <v/>
      </c>
    </row>
    <row r="71">
      <c r="A71" s="10" t="n">
        <v>42430</v>
      </c>
      <c r="B71" s="18">
        <f>IF(VLOOKUP(A71,'DB Country PMI'!$A:$AZ,MATCH($A$1,'DB Country PMI'!$A$1:$AZ$1,),)=0,#N/A,VLOOKUP(A71,'DB Country PMI'!$A:$AZ,MATCH($A$1,'DB Country PMI'!$A$1:$AZ$1,),))</f>
        <v/>
      </c>
      <c r="C71" s="24">
        <f>Table1346811121415161718192022253033343536[[#This Row],[PMI]]-B70</f>
        <v/>
      </c>
    </row>
    <row r="72">
      <c r="A72" s="10" t="n">
        <v>42461</v>
      </c>
      <c r="B72" s="18">
        <f>IF(VLOOKUP(A72,'DB Country PMI'!$A:$AZ,MATCH($A$1,'DB Country PMI'!$A$1:$AZ$1,),)=0,#N/A,VLOOKUP(A72,'DB Country PMI'!$A:$AZ,MATCH($A$1,'DB Country PMI'!$A$1:$AZ$1,),))</f>
        <v/>
      </c>
      <c r="C72" s="24">
        <f>Table1346811121415161718192022253033343536[[#This Row],[PMI]]-B71</f>
        <v/>
      </c>
    </row>
    <row r="73">
      <c r="A73" s="10" t="n">
        <v>42491</v>
      </c>
      <c r="B73" s="18">
        <f>IF(VLOOKUP(A73,'DB Country PMI'!$A:$AZ,MATCH($A$1,'DB Country PMI'!$A$1:$AZ$1,),)=0,#N/A,VLOOKUP(A73,'DB Country PMI'!$A:$AZ,MATCH($A$1,'DB Country PMI'!$A$1:$AZ$1,),))</f>
        <v/>
      </c>
      <c r="C73" s="24">
        <f>Table1346811121415161718192022253033343536[[#This Row],[PMI]]-B72</f>
        <v/>
      </c>
    </row>
    <row r="74">
      <c r="A74" s="10" t="n">
        <v>42522</v>
      </c>
      <c r="B74" s="18">
        <f>IF(VLOOKUP(A74,'DB Country PMI'!$A:$AZ,MATCH($A$1,'DB Country PMI'!$A$1:$AZ$1,),)=0,#N/A,VLOOKUP(A74,'DB Country PMI'!$A:$AZ,MATCH($A$1,'DB Country PMI'!$A$1:$AZ$1,),))</f>
        <v/>
      </c>
      <c r="C74" s="24">
        <f>Table1346811121415161718192022253033343536[[#This Row],[PMI]]-B73</f>
        <v/>
      </c>
    </row>
    <row r="75">
      <c r="A75" s="10" t="n">
        <v>42552</v>
      </c>
      <c r="B75" s="18">
        <f>IF(VLOOKUP(A75,'DB Country PMI'!$A:$AZ,MATCH($A$1,'DB Country PMI'!$A$1:$AZ$1,),)=0,#N/A,VLOOKUP(A75,'DB Country PMI'!$A:$AZ,MATCH($A$1,'DB Country PMI'!$A$1:$AZ$1,),))</f>
        <v/>
      </c>
      <c r="C75" s="24">
        <f>Table1346811121415161718192022253033343536[[#This Row],[PMI]]-B74</f>
        <v/>
      </c>
    </row>
    <row r="76">
      <c r="A76" s="10" t="n">
        <v>42583</v>
      </c>
      <c r="B76" s="18">
        <f>IF(VLOOKUP(A76,'DB Country PMI'!$A:$AZ,MATCH($A$1,'DB Country PMI'!$A$1:$AZ$1,),)=0,#N/A,VLOOKUP(A76,'DB Country PMI'!$A:$AZ,MATCH($A$1,'DB Country PMI'!$A$1:$AZ$1,),))</f>
        <v/>
      </c>
      <c r="C76" s="24">
        <f>Table1346811121415161718192022253033343536[[#This Row],[PMI]]-B75</f>
        <v/>
      </c>
    </row>
    <row r="77">
      <c r="A77" s="10" t="n">
        <v>42614</v>
      </c>
      <c r="B77" s="18">
        <f>IF(VLOOKUP(A77,'DB Country PMI'!$A:$AZ,MATCH($A$1,'DB Country PMI'!$A$1:$AZ$1,),)=0,#N/A,VLOOKUP(A77,'DB Country PMI'!$A:$AZ,MATCH($A$1,'DB Country PMI'!$A$1:$AZ$1,),))</f>
        <v/>
      </c>
      <c r="C77" s="24">
        <f>Table1346811121415161718192022253033343536[[#This Row],[PMI]]-B76</f>
        <v/>
      </c>
    </row>
    <row r="78">
      <c r="A78" s="10" t="n">
        <v>42644</v>
      </c>
      <c r="B78" s="18">
        <f>IF(VLOOKUP(A78,'DB Country PMI'!$A:$AZ,MATCH($A$1,'DB Country PMI'!$A$1:$AZ$1,),)=0,#N/A,VLOOKUP(A78,'DB Country PMI'!$A:$AZ,MATCH($A$1,'DB Country PMI'!$A$1:$AZ$1,),))</f>
        <v/>
      </c>
      <c r="C78" s="24">
        <f>Table1346811121415161718192022253033343536[[#This Row],[PMI]]-B77</f>
        <v/>
      </c>
    </row>
    <row r="79">
      <c r="A79" s="10" t="n">
        <v>42675</v>
      </c>
      <c r="B79" s="18">
        <f>IF(VLOOKUP(A79,'DB Country PMI'!$A:$AZ,MATCH($A$1,'DB Country PMI'!$A$1:$AZ$1,),)=0,#N/A,VLOOKUP(A79,'DB Country PMI'!$A:$AZ,MATCH($A$1,'DB Country PMI'!$A$1:$AZ$1,),))</f>
        <v/>
      </c>
      <c r="C79" s="24">
        <f>Table1346811121415161718192022253033343536[[#This Row],[PMI]]-B78</f>
        <v/>
      </c>
    </row>
    <row r="80">
      <c r="A80" s="10" t="n">
        <v>42705</v>
      </c>
      <c r="B80" s="18">
        <f>IF(VLOOKUP(A80,'DB Country PMI'!$A:$AZ,MATCH($A$1,'DB Country PMI'!$A$1:$AZ$1,),)=0,#N/A,VLOOKUP(A80,'DB Country PMI'!$A:$AZ,MATCH($A$1,'DB Country PMI'!$A$1:$AZ$1,),))</f>
        <v/>
      </c>
      <c r="C80" s="24">
        <f>Table1346811121415161718192022253033343536[[#This Row],[PMI]]-B79</f>
        <v/>
      </c>
    </row>
    <row r="81">
      <c r="A81" s="10" t="n">
        <v>42736</v>
      </c>
      <c r="B81" s="18">
        <f>IF(VLOOKUP(A81,'DB Country PMI'!$A:$AZ,MATCH($A$1,'DB Country PMI'!$A$1:$AZ$1,),)=0,#N/A,VLOOKUP(A81,'DB Country PMI'!$A:$AZ,MATCH($A$1,'DB Country PMI'!$A$1:$AZ$1,),))</f>
        <v/>
      </c>
      <c r="C81" s="24">
        <f>Table1346811121415161718192022253033343536[[#This Row],[PMI]]-B80</f>
        <v/>
      </c>
    </row>
    <row r="82">
      <c r="A82" s="10" t="n">
        <v>42767</v>
      </c>
      <c r="B82" s="18">
        <f>IF(VLOOKUP(A82,'DB Country PMI'!$A:$AZ,MATCH($A$1,'DB Country PMI'!$A$1:$AZ$1,),)=0,#N/A,VLOOKUP(A82,'DB Country PMI'!$A:$AZ,MATCH($A$1,'DB Country PMI'!$A$1:$AZ$1,),))</f>
        <v/>
      </c>
      <c r="C82" s="24">
        <f>Table1346811121415161718192022253033343536[[#This Row],[PMI]]-B81</f>
        <v/>
      </c>
    </row>
    <row r="83">
      <c r="A83" s="10" t="n">
        <v>42795</v>
      </c>
      <c r="B83" s="18">
        <f>IF(VLOOKUP(A83,'DB Country PMI'!$A:$AZ,MATCH($A$1,'DB Country PMI'!$A$1:$AZ$1,),)=0,#N/A,VLOOKUP(A83,'DB Country PMI'!$A:$AZ,MATCH($A$1,'DB Country PMI'!$A$1:$AZ$1,),))</f>
        <v/>
      </c>
      <c r="C83" s="24">
        <f>Table1346811121415161718192022253033343536[[#This Row],[PMI]]-B82</f>
        <v/>
      </c>
    </row>
    <row r="84">
      <c r="A84" s="10" t="n">
        <v>42826</v>
      </c>
      <c r="B84" s="18">
        <f>IF(VLOOKUP(A84,'DB Country PMI'!$A:$AZ,MATCH($A$1,'DB Country PMI'!$A$1:$AZ$1,),)=0,#N/A,VLOOKUP(A84,'DB Country PMI'!$A:$AZ,MATCH($A$1,'DB Country PMI'!$A$1:$AZ$1,),))</f>
        <v/>
      </c>
      <c r="C84" s="24">
        <f>Table1346811121415161718192022253033343536[[#This Row],[PMI]]-B83</f>
        <v/>
      </c>
    </row>
    <row r="85">
      <c r="A85" s="10" t="n">
        <v>42856</v>
      </c>
      <c r="B85" s="18">
        <f>IF(VLOOKUP(A85,'DB Country PMI'!$A:$AZ,MATCH($A$1,'DB Country PMI'!$A$1:$AZ$1,),)=0,#N/A,VLOOKUP(A85,'DB Country PMI'!$A:$AZ,MATCH($A$1,'DB Country PMI'!$A$1:$AZ$1,),))</f>
        <v/>
      </c>
      <c r="C85" s="24">
        <f>Table1346811121415161718192022253033343536[[#This Row],[PMI]]-B84</f>
        <v/>
      </c>
    </row>
    <row r="86">
      <c r="A86" s="10" t="n">
        <v>42887</v>
      </c>
      <c r="B86" s="18">
        <f>IF(VLOOKUP(A86,'DB Country PMI'!$A:$AZ,MATCH($A$1,'DB Country PMI'!$A$1:$AZ$1,),)=0,#N/A,VLOOKUP(A86,'DB Country PMI'!$A:$AZ,MATCH($A$1,'DB Country PMI'!$A$1:$AZ$1,),))</f>
        <v/>
      </c>
      <c r="C86" s="24">
        <f>Table1346811121415161718192022253033343536[[#This Row],[PMI]]-B85</f>
        <v/>
      </c>
    </row>
    <row r="87">
      <c r="A87" s="10" t="n">
        <v>42917</v>
      </c>
      <c r="B87" s="18">
        <f>IF(VLOOKUP(A87,'DB Country PMI'!$A:$AZ,MATCH($A$1,'DB Country PMI'!$A$1:$AZ$1,),)=0,#N/A,VLOOKUP(A87,'DB Country PMI'!$A:$AZ,MATCH($A$1,'DB Country PMI'!$A$1:$AZ$1,),))</f>
        <v/>
      </c>
      <c r="C87" s="24">
        <f>Table1346811121415161718192022253033343536[[#This Row],[PMI]]-B86</f>
        <v/>
      </c>
    </row>
    <row r="88">
      <c r="A88" s="10" t="n">
        <v>42948</v>
      </c>
      <c r="B88" s="18">
        <f>IF(VLOOKUP(A88,'DB Country PMI'!$A:$AZ,MATCH($A$1,'DB Country PMI'!$A$1:$AZ$1,),)=0,#N/A,VLOOKUP(A88,'DB Country PMI'!$A:$AZ,MATCH($A$1,'DB Country PMI'!$A$1:$AZ$1,),))</f>
        <v/>
      </c>
      <c r="C88" s="24">
        <f>Table1346811121415161718192022253033343536[[#This Row],[PMI]]-B87</f>
        <v/>
      </c>
    </row>
    <row r="89">
      <c r="A89" s="10" t="n">
        <v>42979</v>
      </c>
      <c r="B89" s="18">
        <f>IF(VLOOKUP(A89,'DB Country PMI'!$A:$AZ,MATCH($A$1,'DB Country PMI'!$A$1:$AZ$1,),)=0,#N/A,VLOOKUP(A89,'DB Country PMI'!$A:$AZ,MATCH($A$1,'DB Country PMI'!$A$1:$AZ$1,),))</f>
        <v/>
      </c>
      <c r="C89" s="24">
        <f>Table1346811121415161718192022253033343536[[#This Row],[PMI]]-B88</f>
        <v/>
      </c>
    </row>
    <row r="90">
      <c r="A90" s="10" t="n">
        <v>43009</v>
      </c>
      <c r="B90" s="18">
        <f>IF(VLOOKUP(A90,'DB Country PMI'!$A:$AZ,MATCH($A$1,'DB Country PMI'!$A$1:$AZ$1,),)=0,#N/A,VLOOKUP(A90,'DB Country PMI'!$A:$AZ,MATCH($A$1,'DB Country PMI'!$A$1:$AZ$1,),))</f>
        <v/>
      </c>
      <c r="C90" s="24">
        <f>Table1346811121415161718192022253033343536[[#This Row],[PMI]]-B89</f>
        <v/>
      </c>
    </row>
    <row r="91">
      <c r="A91" s="10" t="n">
        <v>43040</v>
      </c>
      <c r="B91" s="18">
        <f>IF(VLOOKUP(A91,'DB Country PMI'!$A:$AZ,MATCH($A$1,'DB Country PMI'!$A$1:$AZ$1,),)=0,#N/A,VLOOKUP(A91,'DB Country PMI'!$A:$AZ,MATCH($A$1,'DB Country PMI'!$A$1:$AZ$1,),))</f>
        <v/>
      </c>
      <c r="C91" s="24">
        <f>Table1346811121415161718192022253033343536[[#This Row],[PMI]]-B90</f>
        <v/>
      </c>
    </row>
    <row r="92">
      <c r="A92" s="10" t="n">
        <v>43070</v>
      </c>
      <c r="B92" s="18">
        <f>IF(VLOOKUP(A92,'DB Country PMI'!$A:$AZ,MATCH($A$1,'DB Country PMI'!$A$1:$AZ$1,),)=0,#N/A,VLOOKUP(A92,'DB Country PMI'!$A:$AZ,MATCH($A$1,'DB Country PMI'!$A$1:$AZ$1,),))</f>
        <v/>
      </c>
      <c r="C92" s="24">
        <f>Table1346811121415161718192022253033343536[[#This Row],[PMI]]-B91</f>
        <v/>
      </c>
    </row>
    <row r="93">
      <c r="A93" s="10" t="n">
        <v>43101</v>
      </c>
      <c r="B93" s="18">
        <f>IF(VLOOKUP(A93,'DB Country PMI'!$A:$AZ,MATCH($A$1,'DB Country PMI'!$A$1:$AZ$1,),)=0,#N/A,VLOOKUP(A93,'DB Country PMI'!$A:$AZ,MATCH($A$1,'DB Country PMI'!$A$1:$AZ$1,),))</f>
        <v/>
      </c>
      <c r="C93" s="24">
        <f>Table1346811121415161718192022253033343536[[#This Row],[PMI]]-B92</f>
        <v/>
      </c>
    </row>
    <row r="94">
      <c r="A94" s="10" t="n">
        <v>43132</v>
      </c>
      <c r="B94" s="18">
        <f>IF(VLOOKUP(A94,'DB Country PMI'!$A:$AZ,MATCH($A$1,'DB Country PMI'!$A$1:$AZ$1,),)=0,#N/A,VLOOKUP(A94,'DB Country PMI'!$A:$AZ,MATCH($A$1,'DB Country PMI'!$A$1:$AZ$1,),))</f>
        <v/>
      </c>
      <c r="C94" s="24">
        <f>Table1346811121415161718192022253033343536[[#This Row],[PMI]]-B93</f>
        <v/>
      </c>
    </row>
    <row r="95">
      <c r="A95" s="10" t="n">
        <v>43160</v>
      </c>
      <c r="B95" s="18">
        <f>IF(VLOOKUP(A95,'DB Country PMI'!$A:$AZ,MATCH($A$1,'DB Country PMI'!$A$1:$AZ$1,),)=0,#N/A,VLOOKUP(A95,'DB Country PMI'!$A:$AZ,MATCH($A$1,'DB Country PMI'!$A$1:$AZ$1,),))</f>
        <v/>
      </c>
      <c r="C95" s="24">
        <f>Table1346811121415161718192022253033343536[[#This Row],[PMI]]-B94</f>
        <v/>
      </c>
    </row>
    <row r="96">
      <c r="A96" s="10" t="n">
        <v>43191</v>
      </c>
      <c r="B96" s="18">
        <f>IF(VLOOKUP(A96,'DB Country PMI'!$A:$AZ,MATCH($A$1,'DB Country PMI'!$A$1:$AZ$1,),)=0,#N/A,VLOOKUP(A96,'DB Country PMI'!$A:$AZ,MATCH($A$1,'DB Country PMI'!$A$1:$AZ$1,),))</f>
        <v/>
      </c>
      <c r="C96" s="24">
        <f>Table1346811121415161718192022253033343536[[#This Row],[PMI]]-B95</f>
        <v/>
      </c>
    </row>
    <row r="97">
      <c r="A97" s="10" t="n">
        <v>43221</v>
      </c>
      <c r="B97" s="18">
        <f>IF(VLOOKUP(A97,'DB Country PMI'!$A:$AZ,MATCH($A$1,'DB Country PMI'!$A$1:$AZ$1,),)=0,#N/A,VLOOKUP(A97,'DB Country PMI'!$A:$AZ,MATCH($A$1,'DB Country PMI'!$A$1:$AZ$1,),))</f>
        <v/>
      </c>
      <c r="C97" s="24">
        <f>Table1346811121415161718192022253033343536[[#This Row],[PMI]]-B96</f>
        <v/>
      </c>
    </row>
    <row r="98">
      <c r="A98" s="10" t="n">
        <v>43252</v>
      </c>
      <c r="B98" s="18">
        <f>IF(VLOOKUP(A98,'DB Country PMI'!$A:$AZ,MATCH($A$1,'DB Country PMI'!$A$1:$AZ$1,),)=0,#N/A,VLOOKUP(A98,'DB Country PMI'!$A:$AZ,MATCH($A$1,'DB Country PMI'!$A$1:$AZ$1,),))</f>
        <v/>
      </c>
      <c r="C98" s="24">
        <f>Table1346811121415161718192022253033343536[[#This Row],[PMI]]-B97</f>
        <v/>
      </c>
    </row>
    <row r="99">
      <c r="A99" s="10" t="n">
        <v>43282</v>
      </c>
      <c r="B99" s="18">
        <f>IF(VLOOKUP(A99,'DB Country PMI'!$A:$AZ,MATCH($A$1,'DB Country PMI'!$A$1:$AZ$1,),)=0,#N/A,VLOOKUP(A99,'DB Country PMI'!$A:$AZ,MATCH($A$1,'DB Country PMI'!$A$1:$AZ$1,),))</f>
        <v/>
      </c>
      <c r="C99" s="24">
        <f>Table1346811121415161718192022253033343536[[#This Row],[PMI]]-B98</f>
        <v/>
      </c>
    </row>
    <row r="100">
      <c r="A100" s="10" t="n">
        <v>43313</v>
      </c>
      <c r="B100" s="18">
        <f>IF(VLOOKUP(A100,'DB Country PMI'!$A:$AZ,MATCH($A$1,'DB Country PMI'!$A$1:$AZ$1,),)=0,#N/A,VLOOKUP(A100,'DB Country PMI'!$A:$AZ,MATCH($A$1,'DB Country PMI'!$A$1:$AZ$1,),))</f>
        <v/>
      </c>
      <c r="C100" s="24">
        <f>Table1346811121415161718192022253033343536[[#This Row],[PMI]]-B99</f>
        <v/>
      </c>
    </row>
    <row r="101">
      <c r="A101" s="10" t="n">
        <v>43344</v>
      </c>
      <c r="B101" s="18">
        <f>IF(VLOOKUP(A101,'DB Country PMI'!$A:$AZ,MATCH($A$1,'DB Country PMI'!$A$1:$AZ$1,),)=0,#N/A,VLOOKUP(A101,'DB Country PMI'!$A:$AZ,MATCH($A$1,'DB Country PMI'!$A$1:$AZ$1,),))</f>
        <v/>
      </c>
      <c r="C101" s="24">
        <f>Table1346811121415161718192022253033343536[[#This Row],[PMI]]-B100</f>
        <v/>
      </c>
    </row>
    <row r="102">
      <c r="A102" s="10" t="n">
        <v>43374</v>
      </c>
      <c r="B102" s="18">
        <f>IF(VLOOKUP(A102,'DB Country PMI'!$A:$AZ,MATCH($A$1,'DB Country PMI'!$A$1:$AZ$1,),)=0,#N/A,VLOOKUP(A102,'DB Country PMI'!$A:$AZ,MATCH($A$1,'DB Country PMI'!$A$1:$AZ$1,),))</f>
        <v/>
      </c>
      <c r="C102" s="24">
        <f>Table1346811121415161718192022253033343536[[#This Row],[PMI]]-B101</f>
        <v/>
      </c>
    </row>
    <row r="103">
      <c r="A103" s="10" t="n">
        <v>43405</v>
      </c>
      <c r="B103" s="18">
        <f>IF(VLOOKUP(A103,'DB Country PMI'!$A:$AZ,MATCH($A$1,'DB Country PMI'!$A$1:$AZ$1,),)=0,#N/A,VLOOKUP(A103,'DB Country PMI'!$A:$AZ,MATCH($A$1,'DB Country PMI'!$A$1:$AZ$1,),))</f>
        <v/>
      </c>
      <c r="C103" s="24">
        <f>Table1346811121415161718192022253033343536[[#This Row],[PMI]]-B102</f>
        <v/>
      </c>
    </row>
    <row r="104">
      <c r="A104" s="10" t="n">
        <v>43435</v>
      </c>
      <c r="B104" s="18">
        <f>IF(VLOOKUP(A104,'DB Country PMI'!$A:$AZ,MATCH($A$1,'DB Country PMI'!$A$1:$AZ$1,),)=0,#N/A,VLOOKUP(A104,'DB Country PMI'!$A:$AZ,MATCH($A$1,'DB Country PMI'!$A$1:$AZ$1,),))</f>
        <v/>
      </c>
      <c r="C104" s="24">
        <f>Table1346811121415161718192022253033343536[[#This Row],[PMI]]-B103</f>
        <v/>
      </c>
    </row>
    <row r="105">
      <c r="A105" s="10" t="n">
        <v>43466</v>
      </c>
      <c r="B105" s="18">
        <f>IF(VLOOKUP(A105,'DB Country PMI'!$A:$AZ,MATCH($A$1,'DB Country PMI'!$A$1:$AZ$1,),)=0,#N/A,VLOOKUP(A105,'DB Country PMI'!$A:$AZ,MATCH($A$1,'DB Country PMI'!$A$1:$AZ$1,),))</f>
        <v/>
      </c>
      <c r="C105" s="24">
        <f>Table1346811121415161718192022253033343536[[#This Row],[PMI]]-B104</f>
        <v/>
      </c>
    </row>
    <row r="106">
      <c r="A106" s="10" t="n">
        <v>43497</v>
      </c>
      <c r="B106" s="18">
        <f>IF(VLOOKUP(A106,'DB Country PMI'!$A:$AZ,MATCH($A$1,'DB Country PMI'!$A$1:$AZ$1,),)=0,#N/A,VLOOKUP(A106,'DB Country PMI'!$A:$AZ,MATCH($A$1,'DB Country PMI'!$A$1:$AZ$1,),))</f>
        <v/>
      </c>
      <c r="C106" s="24">
        <f>Table1346811121415161718192022253033343536[[#This Row],[PMI]]-B105</f>
        <v/>
      </c>
    </row>
    <row r="107">
      <c r="A107" s="10" t="n">
        <v>43525</v>
      </c>
      <c r="B107" s="18">
        <f>IF(VLOOKUP(A107,'DB Country PMI'!$A:$AZ,MATCH($A$1,'DB Country PMI'!$A$1:$AZ$1,),)=0,#N/A,VLOOKUP(A107,'DB Country PMI'!$A:$AZ,MATCH($A$1,'DB Country PMI'!$A$1:$AZ$1,),))</f>
        <v/>
      </c>
      <c r="C107" s="24">
        <f>Table1346811121415161718192022253033343536[[#This Row],[PMI]]-B106</f>
        <v/>
      </c>
    </row>
    <row r="108">
      <c r="A108" s="10" t="n">
        <v>43556</v>
      </c>
      <c r="B108" s="18">
        <f>IF(VLOOKUP(A108,'DB Country PMI'!$A:$AZ,MATCH($A$1,'DB Country PMI'!$A$1:$AZ$1,),)=0,#N/A,VLOOKUP(A108,'DB Country PMI'!$A:$AZ,MATCH($A$1,'DB Country PMI'!$A$1:$AZ$1,),))</f>
        <v/>
      </c>
      <c r="C108" s="24">
        <f>Table1346811121415161718192022253033343536[[#This Row],[PMI]]-B107</f>
        <v/>
      </c>
    </row>
    <row r="109">
      <c r="A109" s="10" t="n">
        <v>43586</v>
      </c>
      <c r="B109" s="18">
        <f>IF(VLOOKUP(A109,'DB Country PMI'!$A:$AZ,MATCH($A$1,'DB Country PMI'!$A$1:$AZ$1,),)=0,#N/A,VLOOKUP(A109,'DB Country PMI'!$A:$AZ,MATCH($A$1,'DB Country PMI'!$A$1:$AZ$1,),))</f>
        <v/>
      </c>
      <c r="C109" s="24">
        <f>Table1346811121415161718192022253033343536[[#This Row],[PMI]]-B108</f>
        <v/>
      </c>
    </row>
    <row r="110">
      <c r="A110" s="10" t="n">
        <v>43617</v>
      </c>
      <c r="B110" s="18">
        <f>IF(VLOOKUP(A110,'DB Country PMI'!$A:$AZ,MATCH($A$1,'DB Country PMI'!$A$1:$AZ$1,),)=0,#N/A,VLOOKUP(A110,'DB Country PMI'!$A:$AZ,MATCH($A$1,'DB Country PMI'!$A$1:$AZ$1,),))</f>
        <v/>
      </c>
      <c r="C110" s="24">
        <f>Table1346811121415161718192022253033343536[[#This Row],[PMI]]-B109</f>
        <v/>
      </c>
    </row>
    <row r="111">
      <c r="A111" s="10" t="n">
        <v>43647</v>
      </c>
      <c r="B111" s="18">
        <f>IF(VLOOKUP(A111,'DB Country PMI'!$A:$AZ,MATCH($A$1,'DB Country PMI'!$A$1:$AZ$1,),)=0,#N/A,VLOOKUP(A111,'DB Country PMI'!$A:$AZ,MATCH($A$1,'DB Country PMI'!$A$1:$AZ$1,),))</f>
        <v/>
      </c>
      <c r="C111" s="24">
        <f>Table1346811121415161718192022253033343536[[#This Row],[PMI]]-B110</f>
        <v/>
      </c>
    </row>
    <row r="112">
      <c r="A112" s="10" t="n">
        <v>43678</v>
      </c>
      <c r="B112" s="18">
        <f>IF(VLOOKUP(A112,'DB Country PMI'!$A:$AZ,MATCH($A$1,'DB Country PMI'!$A$1:$AZ$1,),)=0,#N/A,VLOOKUP(A112,'DB Country PMI'!$A:$AZ,MATCH($A$1,'DB Country PMI'!$A$1:$AZ$1,),))</f>
        <v/>
      </c>
      <c r="C112" s="24">
        <f>Table1346811121415161718192022253033343536[[#This Row],[PMI]]-B111</f>
        <v/>
      </c>
    </row>
    <row r="113">
      <c r="A113" s="10" t="n">
        <v>43709</v>
      </c>
      <c r="B113" s="18">
        <f>IF(VLOOKUP(A113,'DB Country PMI'!$A:$AZ,MATCH($A$1,'DB Country PMI'!$A$1:$AZ$1,),)=0,#N/A,VLOOKUP(A113,'DB Country PMI'!$A:$AZ,MATCH($A$1,'DB Country PMI'!$A$1:$AZ$1,),))</f>
        <v/>
      </c>
      <c r="C113" s="24">
        <f>Table1346811121415161718192022253033343536[[#This Row],[PMI]]-B112</f>
        <v/>
      </c>
    </row>
    <row r="114">
      <c r="A114" s="10" t="n">
        <v>43739</v>
      </c>
      <c r="B114" s="18">
        <f>IF(VLOOKUP(A114,'DB Country PMI'!$A:$AZ,MATCH($A$1,'DB Country PMI'!$A$1:$AZ$1,),)=0,#N/A,VLOOKUP(A114,'DB Country PMI'!$A:$AZ,MATCH($A$1,'DB Country PMI'!$A$1:$AZ$1,),))</f>
        <v/>
      </c>
      <c r="C114" s="24">
        <f>Table1346811121415161718192022253033343536[[#This Row],[PMI]]-B113</f>
        <v/>
      </c>
    </row>
    <row r="115">
      <c r="A115" s="10" t="n">
        <v>43770</v>
      </c>
      <c r="B115" s="18">
        <f>IF(VLOOKUP(A115,'DB Country PMI'!$A:$AZ,MATCH($A$1,'DB Country PMI'!$A$1:$AZ$1,),)=0,#N/A,VLOOKUP(A115,'DB Country PMI'!$A:$AZ,MATCH($A$1,'DB Country PMI'!$A$1:$AZ$1,),))</f>
        <v/>
      </c>
      <c r="C115" s="24">
        <f>Table1346811121415161718192022253033343536[[#This Row],[PMI]]-B114</f>
        <v/>
      </c>
    </row>
    <row r="116">
      <c r="A116" s="10" t="n">
        <v>43800</v>
      </c>
      <c r="B116" s="18">
        <f>IF(VLOOKUP(A116,'DB Country PMI'!$A:$AZ,MATCH($A$1,'DB Country PMI'!$A$1:$AZ$1,),)=0,#N/A,VLOOKUP(A116,'DB Country PMI'!$A:$AZ,MATCH($A$1,'DB Country PMI'!$A$1:$AZ$1,),))</f>
        <v/>
      </c>
      <c r="C116" s="24">
        <f>Table1346811121415161718192022253033343536[[#This Row],[PMI]]-B115</f>
        <v/>
      </c>
    </row>
    <row r="117">
      <c r="A117" s="10" t="n">
        <v>43831</v>
      </c>
      <c r="B117" s="18">
        <f>IF(VLOOKUP(A117,'DB Country PMI'!$A:$AZ,MATCH($A$1,'DB Country PMI'!$A$1:$AZ$1,),)=0,#N/A,VLOOKUP(A117,'DB Country PMI'!$A:$AZ,MATCH($A$1,'DB Country PMI'!$A$1:$AZ$1,),))</f>
        <v/>
      </c>
      <c r="C117" s="24">
        <f>Table1346811121415161718192022253033343536[[#This Row],[PMI]]-B116</f>
        <v/>
      </c>
    </row>
    <row r="118">
      <c r="A118" s="10" t="n">
        <v>43862</v>
      </c>
      <c r="B118" s="18">
        <f>IF(VLOOKUP(A118,'DB Country PMI'!$A:$AZ,MATCH($A$1,'DB Country PMI'!$A$1:$AZ$1,),)=0,#N/A,VLOOKUP(A118,'DB Country PMI'!$A:$AZ,MATCH($A$1,'DB Country PMI'!$A$1:$AZ$1,),))</f>
        <v/>
      </c>
      <c r="C118" s="24">
        <f>Table1346811121415161718192022253033343536[[#This Row],[PMI]]-B117</f>
        <v/>
      </c>
    </row>
    <row r="119">
      <c r="A119" s="10" t="n">
        <v>43891</v>
      </c>
      <c r="B119" s="18">
        <f>IF(VLOOKUP(A119,'DB Country PMI'!$A:$AZ,MATCH($A$1,'DB Country PMI'!$A$1:$AZ$1,),)=0,#N/A,VLOOKUP(A119,'DB Country PMI'!$A:$AZ,MATCH($A$1,'DB Country PMI'!$A$1:$AZ$1,),))</f>
        <v/>
      </c>
      <c r="C119" s="24">
        <f>Table1346811121415161718192022253033343536[[#This Row],[PMI]]-B118</f>
        <v/>
      </c>
    </row>
    <row r="120">
      <c r="A120" s="10" t="n">
        <v>43922</v>
      </c>
      <c r="B120" s="18">
        <f>IF(VLOOKUP(A120,'DB Country PMI'!$A:$AZ,MATCH($A$1,'DB Country PMI'!$A$1:$AZ$1,),)=0,#N/A,VLOOKUP(A120,'DB Country PMI'!$A:$AZ,MATCH($A$1,'DB Country PMI'!$A$1:$AZ$1,),))</f>
        <v/>
      </c>
      <c r="C120" s="24">
        <f>Table1346811121415161718192022253033343536[[#This Row],[PMI]]-B119</f>
        <v/>
      </c>
    </row>
    <row r="121">
      <c r="A121" s="10" t="n">
        <v>43952</v>
      </c>
      <c r="B121" s="18">
        <f>IF(VLOOKUP(A121,'DB Country PMI'!$A:$AZ,MATCH($A$1,'DB Country PMI'!$A$1:$AZ$1,),)=0,#N/A,VLOOKUP(A121,'DB Country PMI'!$A:$AZ,MATCH($A$1,'DB Country PMI'!$A$1:$AZ$1,),))</f>
        <v/>
      </c>
      <c r="C121" s="24">
        <f>Table1346811121415161718192022253033343536[[#This Row],[PMI]]-B120</f>
        <v/>
      </c>
    </row>
    <row r="122">
      <c r="A122" s="10" t="n">
        <v>43983</v>
      </c>
      <c r="B122" s="18">
        <f>IF(VLOOKUP(A122,'DB Country PMI'!$A:$AZ,MATCH($A$1,'DB Country PMI'!$A$1:$AZ$1,),)=0,#N/A,VLOOKUP(A122,'DB Country PMI'!$A:$AZ,MATCH($A$1,'DB Country PMI'!$A$1:$AZ$1,),))</f>
        <v/>
      </c>
      <c r="C122" s="24">
        <f>Table1346811121415161718192022253033343536[[#This Row],[PMI]]-B121</f>
        <v/>
      </c>
    </row>
    <row r="123">
      <c r="A123" s="10" t="n">
        <v>44013</v>
      </c>
      <c r="B123" s="18">
        <f>IF(VLOOKUP(A123,'DB Country PMI'!$A:$AZ,MATCH($A$1,'DB Country PMI'!$A$1:$AZ$1,),)=0,#N/A,VLOOKUP(A123,'DB Country PMI'!$A:$AZ,MATCH($A$1,'DB Country PMI'!$A$1:$AZ$1,),))</f>
        <v/>
      </c>
      <c r="C123" s="24">
        <f>Table1346811121415161718192022253033343536[[#This Row],[PMI]]-B122</f>
        <v/>
      </c>
    </row>
    <row r="124">
      <c r="A124" s="10" t="n">
        <v>44044</v>
      </c>
      <c r="B124" s="18">
        <f>IF(VLOOKUP(A124,'DB Country PMI'!$A:$AZ,MATCH($A$1,'DB Country PMI'!$A$1:$AZ$1,),)=0,#N/A,VLOOKUP(A124,'DB Country PMI'!$A:$AZ,MATCH($A$1,'DB Country PMI'!$A$1:$AZ$1,),))</f>
        <v/>
      </c>
      <c r="C124" s="24">
        <f>Table1346811121415161718192022253033343536[[#This Row],[PMI]]-B123</f>
        <v/>
      </c>
    </row>
    <row r="125">
      <c r="A125" s="10" t="n">
        <v>44075</v>
      </c>
      <c r="B125" s="18">
        <f>IF(VLOOKUP(A125,'DB Country PMI'!$A:$AZ,MATCH($A$1,'DB Country PMI'!$A$1:$AZ$1,),)=0,#N/A,VLOOKUP(A125,'DB Country PMI'!$A:$AZ,MATCH($A$1,'DB Country PMI'!$A$1:$AZ$1,),))</f>
        <v/>
      </c>
      <c r="C125" s="24">
        <f>Table1346811121415161718192022253033343536[[#This Row],[PMI]]-B124</f>
        <v/>
      </c>
    </row>
    <row r="126">
      <c r="A126" s="10" t="n">
        <v>44105</v>
      </c>
      <c r="B126" s="18">
        <f>IF(VLOOKUP(A126,'DB Country PMI'!$A:$AZ,MATCH($A$1,'DB Country PMI'!$A$1:$AZ$1,),)=0,#N/A,VLOOKUP(A126,'DB Country PMI'!$A:$AZ,MATCH($A$1,'DB Country PMI'!$A$1:$AZ$1,),))</f>
        <v/>
      </c>
      <c r="C126" s="24">
        <f>Table1346811121415161718192022253033343536[[#This Row],[PMI]]-B125</f>
        <v/>
      </c>
    </row>
    <row r="127">
      <c r="A127" s="10" t="n">
        <v>44136</v>
      </c>
      <c r="B127" s="18">
        <f>IF(VLOOKUP(A127,'DB Country PMI'!$A:$AZ,MATCH($A$1,'DB Country PMI'!$A$1:$AZ$1,),)=0,#N/A,VLOOKUP(A127,'DB Country PMI'!$A:$AZ,MATCH($A$1,'DB Country PMI'!$A$1:$AZ$1,),))</f>
        <v/>
      </c>
      <c r="C127" s="24">
        <f>Table1346811121415161718192022253033343536[[#This Row],[PMI]]-B126</f>
        <v/>
      </c>
    </row>
    <row r="128">
      <c r="A128" s="10" t="n">
        <v>44166</v>
      </c>
      <c r="B128" s="18">
        <f>IF(VLOOKUP(A128,'DB Country PMI'!$A:$AZ,MATCH($A$1,'DB Country PMI'!$A$1:$AZ$1,),)=0,#N/A,VLOOKUP(A128,'DB Country PMI'!$A:$AZ,MATCH($A$1,'DB Country PMI'!$A$1:$AZ$1,),))</f>
        <v/>
      </c>
      <c r="C128" s="24">
        <f>Table1346811121415161718192022253033343536[[#This Row],[PMI]]-B127</f>
        <v/>
      </c>
    </row>
    <row r="129">
      <c r="A129" s="10" t="n">
        <v>44197</v>
      </c>
      <c r="B129" s="18">
        <f>IF(VLOOKUP(A129,'DB Country PMI'!$A:$AZ,MATCH($A$1,'DB Country PMI'!$A$1:$AZ$1,),)=0,#N/A,VLOOKUP(A129,'DB Country PMI'!$A:$AZ,MATCH($A$1,'DB Country PMI'!$A$1:$AZ$1,),))</f>
        <v/>
      </c>
      <c r="C129" s="24">
        <f>Table1346811121415161718192022253033343536[[#This Row],[PMI]]-B128</f>
        <v/>
      </c>
    </row>
    <row r="130">
      <c r="A130" s="10" t="n">
        <v>44228</v>
      </c>
      <c r="B130" s="18">
        <f>IF(VLOOKUP(A130,'DB Country PMI'!$A:$AZ,MATCH($A$1,'DB Country PMI'!$A$1:$AZ$1,),)=0,#N/A,VLOOKUP(A130,'DB Country PMI'!$A:$AZ,MATCH($A$1,'DB Country PMI'!$A$1:$AZ$1,),))</f>
        <v/>
      </c>
      <c r="C130" s="24">
        <f>Table1346811121415161718192022253033343536[[#This Row],[PMI]]-B129</f>
        <v/>
      </c>
    </row>
    <row r="131">
      <c r="A131" s="10" t="n">
        <v>44256</v>
      </c>
      <c r="B131" s="18">
        <f>IF(VLOOKUP(A131,'DB Country PMI'!$A:$AZ,MATCH($A$1,'DB Country PMI'!$A$1:$AZ$1,),)=0,#N/A,VLOOKUP(A131,'DB Country PMI'!$A:$AZ,MATCH($A$1,'DB Country PMI'!$A$1:$AZ$1,),))</f>
        <v/>
      </c>
      <c r="C131" s="24">
        <f>Table1346811121415161718192022253033343536[[#This Row],[PMI]]-B130</f>
        <v/>
      </c>
    </row>
    <row r="132">
      <c r="A132" s="10" t="n">
        <v>44287</v>
      </c>
      <c r="B132" s="18">
        <f>IF(VLOOKUP(A132,'DB Country PMI'!$A:$AZ,MATCH($A$1,'DB Country PMI'!$A$1:$AZ$1,),)=0,#N/A,VLOOKUP(A132,'DB Country PMI'!$A:$AZ,MATCH($A$1,'DB Country PMI'!$A$1:$AZ$1,),))</f>
        <v/>
      </c>
      <c r="C132" s="24">
        <f>Table1346811121415161718192022253033343536[[#This Row],[PMI]]-B131</f>
        <v/>
      </c>
    </row>
    <row r="133">
      <c r="A133" s="10" t="n">
        <v>44317</v>
      </c>
      <c r="B133" s="18">
        <f>IF(VLOOKUP(A133,'DB Country PMI'!$A:$AZ,MATCH($A$1,'DB Country PMI'!$A$1:$AZ$1,),)=0,#N/A,VLOOKUP(A133,'DB Country PMI'!$A:$AZ,MATCH($A$1,'DB Country PMI'!$A$1:$AZ$1,),))</f>
        <v/>
      </c>
      <c r="C133" s="24">
        <f>Table1346811121415161718192022253033343536[[#This Row],[PMI]]-B132</f>
        <v/>
      </c>
    </row>
    <row r="134">
      <c r="A134" s="10" t="n">
        <v>44348</v>
      </c>
      <c r="B134" s="18">
        <f>IF(VLOOKUP(A134,'DB Country PMI'!$A:$AZ,MATCH($A$1,'DB Country PMI'!$A$1:$AZ$1,),)=0,#N/A,VLOOKUP(A134,'DB Country PMI'!$A:$AZ,MATCH($A$1,'DB Country PMI'!$A$1:$AZ$1,),))</f>
        <v/>
      </c>
      <c r="C134" s="24">
        <f>Table1346811121415161718192022253033343536[[#This Row],[PMI]]-B133</f>
        <v/>
      </c>
    </row>
    <row r="135">
      <c r="A135" s="10" t="n">
        <v>44378</v>
      </c>
      <c r="B135" s="18">
        <f>IF(VLOOKUP(A135,'DB Country PMI'!$A:$AZ,MATCH($A$1,'DB Country PMI'!$A$1:$AZ$1,),)=0,#N/A,VLOOKUP(A135,'DB Country PMI'!$A:$AZ,MATCH($A$1,'DB Country PMI'!$A$1:$AZ$1,),))</f>
        <v/>
      </c>
      <c r="C135" s="24">
        <f>Table1346811121415161718192022253033343536[[#This Row],[PMI]]-B134</f>
        <v/>
      </c>
    </row>
    <row r="136">
      <c r="A136" s="10" t="n">
        <v>44409</v>
      </c>
      <c r="B136" s="18">
        <f>IF(VLOOKUP(A136,'DB Country PMI'!$A:$AZ,MATCH($A$1,'DB Country PMI'!$A$1:$AZ$1,),)=0,#N/A,VLOOKUP(A136,'DB Country PMI'!$A:$AZ,MATCH($A$1,'DB Country PMI'!$A$1:$AZ$1,),))</f>
        <v/>
      </c>
      <c r="C136" s="24">
        <f>Table1346811121415161718192022253033343536[[#This Row],[PMI]]-B135</f>
        <v/>
      </c>
    </row>
    <row r="137">
      <c r="A137" s="10" t="n">
        <v>44440</v>
      </c>
      <c r="B137" s="18">
        <f>IF(VLOOKUP(A137,'DB Country PMI'!$A:$AZ,MATCH($A$1,'DB Country PMI'!$A$1:$AZ$1,),)=0,#N/A,VLOOKUP(A137,'DB Country PMI'!$A:$AZ,MATCH($A$1,'DB Country PMI'!$A$1:$AZ$1,),))</f>
        <v/>
      </c>
      <c r="C137" s="24">
        <f>Table1346811121415161718192022253033343536[[#This Row],[PMI]]-B136</f>
        <v/>
      </c>
    </row>
    <row r="138">
      <c r="A138" s="10" t="n">
        <v>44470</v>
      </c>
      <c r="B138" s="18">
        <f>IF(VLOOKUP(A138,'DB Country PMI'!$A:$AZ,MATCH($A$1,'DB Country PMI'!$A$1:$AZ$1,),)=0,#N/A,VLOOKUP(A138,'DB Country PMI'!$A:$AZ,MATCH($A$1,'DB Country PMI'!$A$1:$AZ$1,),))</f>
        <v/>
      </c>
      <c r="C138" s="24">
        <f>Table1346811121415161718192022253033343536[[#This Row],[PMI]]-B137</f>
        <v/>
      </c>
    </row>
    <row r="139">
      <c r="A139" s="10" t="n">
        <v>44501</v>
      </c>
      <c r="B139" s="18">
        <f>IF(VLOOKUP(A139,'DB Country PMI'!$A:$AZ,MATCH($A$1,'DB Country PMI'!$A$1:$AZ$1,),)=0,#N/A,VLOOKUP(A139,'DB Country PMI'!$A:$AZ,MATCH($A$1,'DB Country PMI'!$A$1:$AZ$1,),))</f>
        <v/>
      </c>
      <c r="C139" s="24">
        <f>Table1346811121415161718192022253033343536[[#This Row],[PMI]]-B138</f>
        <v/>
      </c>
    </row>
    <row r="140">
      <c r="A140" s="10" t="n">
        <v>44531</v>
      </c>
      <c r="B140" s="18">
        <f>IF(VLOOKUP(A140,'DB Country PMI'!$A:$AZ,MATCH($A$1,'DB Country PMI'!$A$1:$AZ$1,),)=0,#N/A,VLOOKUP(A140,'DB Country PMI'!$A:$AZ,MATCH($A$1,'DB Country PMI'!$A$1:$AZ$1,),))</f>
        <v/>
      </c>
      <c r="C140" s="24">
        <f>Table1346811121415161718192022253033343536[[#This Row],[PMI]]-B139</f>
        <v/>
      </c>
    </row>
    <row r="141">
      <c r="A141" s="10" t="n">
        <v>44562</v>
      </c>
      <c r="B141" s="18">
        <f>IF(VLOOKUP(A141,'DB Country PMI'!$A:$AZ,MATCH($A$1,'DB Country PMI'!$A$1:$AZ$1,),)=0,#N/A,VLOOKUP(A141,'DB Country PMI'!$A:$AZ,MATCH($A$1,'DB Country PMI'!$A$1:$AZ$1,),))</f>
        <v/>
      </c>
      <c r="C141" s="24">
        <f>Table1346811121415161718192022253033343536[[#This Row],[PMI]]-B140</f>
        <v/>
      </c>
    </row>
    <row r="142">
      <c r="A142" s="10" t="n">
        <v>44593</v>
      </c>
      <c r="B142" s="18">
        <f>IF(VLOOKUP(A142,'DB Country PMI'!$A:$AZ,MATCH($A$1,'DB Country PMI'!$A$1:$AZ$1,),)=0,#N/A,VLOOKUP(A142,'DB Country PMI'!$A:$AZ,MATCH($A$1,'DB Country PMI'!$A$1:$AZ$1,),))</f>
        <v/>
      </c>
      <c r="C142" s="24">
        <f>Table1346811121415161718192022253033343536[[#This Row],[PMI]]-B141</f>
        <v/>
      </c>
    </row>
    <row r="143">
      <c r="A143" s="10" t="n">
        <v>44621</v>
      </c>
      <c r="B143" s="18">
        <f>IF(VLOOKUP(A143,'DB Country PMI'!$A:$AZ,MATCH($A$1,'DB Country PMI'!$A$1:$AZ$1,),)=0,#N/A,VLOOKUP(A143,'DB Country PMI'!$A:$AZ,MATCH($A$1,'DB Country PMI'!$A$1:$AZ$1,),))</f>
        <v/>
      </c>
      <c r="C143" s="24">
        <f>Table1346811121415161718192022253033343536[[#This Row],[PMI]]-B142</f>
        <v/>
      </c>
    </row>
    <row r="144">
      <c r="A144" s="10" t="n">
        <v>44652</v>
      </c>
      <c r="B144" s="18">
        <f>IF(VLOOKUP(A144,'DB Country PMI'!$A:$AZ,MATCH($A$1,'DB Country PMI'!$A$1:$AZ$1,),)=0,#N/A,VLOOKUP(A144,'DB Country PMI'!$A:$AZ,MATCH($A$1,'DB Country PMI'!$A$1:$AZ$1,),))</f>
        <v/>
      </c>
      <c r="C144" s="24">
        <f>Table1346811121415161718192022253033343536[[#This Row],[PMI]]-B143</f>
        <v/>
      </c>
    </row>
    <row r="145">
      <c r="A145" s="10" t="n">
        <v>44682</v>
      </c>
      <c r="B145" s="18">
        <f>IF(VLOOKUP(A145,'DB Country PMI'!$A:$AZ,MATCH($A$1,'DB Country PMI'!$A$1:$AZ$1,),)=0,#N/A,VLOOKUP(A145,'DB Country PMI'!$A:$AZ,MATCH($A$1,'DB Country PMI'!$A$1:$AZ$1,),))</f>
        <v/>
      </c>
      <c r="C145" s="24">
        <f>Table1346811121415161718192022253033343536[[#This Row],[PMI]]-B144</f>
        <v/>
      </c>
    </row>
    <row r="146">
      <c r="A146" s="10" t="n">
        <v>44713</v>
      </c>
      <c r="B146" s="18">
        <f>IF(VLOOKUP(A146,'DB Country PMI'!$A:$AZ,MATCH($A$1,'DB Country PMI'!$A$1:$AZ$1,),)=0,#N/A,VLOOKUP(A146,'DB Country PMI'!$A:$AZ,MATCH($A$1,'DB Country PMI'!$A$1:$AZ$1,),))</f>
        <v/>
      </c>
      <c r="C146" s="24">
        <f>Table1346811121415161718192022253033343536[[#This Row],[PMI]]-B145</f>
        <v/>
      </c>
    </row>
    <row r="147">
      <c r="A147" s="10" t="n">
        <v>44743</v>
      </c>
      <c r="B147" s="18">
        <f>IF(VLOOKUP(A147,'DB Country PMI'!$A:$AZ,MATCH($A$1,'DB Country PMI'!$A$1:$AZ$1,),)=0,#N/A,VLOOKUP(A147,'DB Country PMI'!$A:$AZ,MATCH($A$1,'DB Country PMI'!$A$1:$AZ$1,),))</f>
        <v/>
      </c>
      <c r="C147" s="24">
        <f>Table1346811121415161718192022253033343536[[#This Row],[PMI]]-B146</f>
        <v/>
      </c>
    </row>
    <row r="148">
      <c r="A148" s="10" t="n">
        <v>44774</v>
      </c>
      <c r="B148" s="18">
        <f>IF(VLOOKUP(A148,'DB Country PMI'!$A:$AZ,MATCH($A$1,'DB Country PMI'!$A$1:$AZ$1,),)=0,#N/A,VLOOKUP(A148,'DB Country PMI'!$A:$AZ,MATCH($A$1,'DB Country PMI'!$A$1:$AZ$1,),))</f>
        <v/>
      </c>
      <c r="C148" s="24">
        <f>Table1346811121415161718192022253033343536[[#This Row],[PMI]]-B147</f>
        <v/>
      </c>
    </row>
    <row r="149">
      <c r="A149" s="10" t="n">
        <v>44805</v>
      </c>
      <c r="B149" s="18">
        <f>IF(VLOOKUP(A149,'DB Country PMI'!$A:$AZ,MATCH($A$1,'DB Country PMI'!$A$1:$AZ$1,),)=0,#N/A,VLOOKUP(A149,'DB Country PMI'!$A:$AZ,MATCH($A$1,'DB Country PMI'!$A$1:$AZ$1,),))</f>
        <v/>
      </c>
      <c r="C149" s="24">
        <f>Table1346811121415161718192022253033343536[[#This Row],[PMI]]-B148</f>
        <v/>
      </c>
    </row>
    <row r="150">
      <c r="A150" s="10" t="n">
        <v>44835</v>
      </c>
      <c r="B150" s="18">
        <f>IF(VLOOKUP(A150,'DB Country PMI'!$A:$AZ,MATCH($A$1,'DB Country PMI'!$A$1:$AZ$1,),)=0,#N/A,VLOOKUP(A150,'DB Country PMI'!$A:$AZ,MATCH($A$1,'DB Country PMI'!$A$1:$AZ$1,),))</f>
        <v/>
      </c>
      <c r="C150" s="24">
        <f>Table1346811121415161718192022253033343536[[#This Row],[PMI]]-B149</f>
        <v/>
      </c>
    </row>
    <row r="151">
      <c r="A151" s="10" t="n">
        <v>44866</v>
      </c>
      <c r="B151" s="18">
        <f>IF(VLOOKUP(A151,'DB Country PMI'!$A:$AZ,MATCH($A$1,'DB Country PMI'!$A$1:$AZ$1,),)=0,#N/A,VLOOKUP(A151,'DB Country PMI'!$A:$AZ,MATCH($A$1,'DB Country PMI'!$A$1:$AZ$1,),))</f>
        <v/>
      </c>
      <c r="C151" s="24">
        <f>Table1346811121415161718192022253033343536[[#This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1.xml><?xml version="1.0" encoding="utf-8"?>
<worksheet xmlns="http://schemas.openxmlformats.org/spreadsheetml/2006/main">
  <sheetPr>
    <outlinePr summaryBelow="1" summaryRight="1"/>
    <pageSetUpPr/>
  </sheetPr>
  <dimension ref="A1:K352"/>
  <sheetViews>
    <sheetView zoomScaleNormal="100" workbookViewId="0">
      <pane ySplit="5" topLeftCell="A344" activePane="bottomLeft" state="frozen"/>
      <selection pane="bottomLeft" activeCell="A329" sqref="A329:C352"/>
    </sheetView>
  </sheetViews>
  <sheetFormatPr baseColWidth="8" defaultColWidth="9.1796875" defaultRowHeight="14.5"/>
  <cols>
    <col width="13.453125" customWidth="1" style="69" min="1" max="1"/>
    <col width="11.36328125" customWidth="1" style="69" min="2" max="2"/>
    <col width="9.1796875" customWidth="1" style="69" min="3" max="51"/>
    <col width="9.1796875" customWidth="1" style="69" min="52" max="16384"/>
  </cols>
  <sheetData>
    <row r="1">
      <c r="A1" s="69" t="inlineStr">
        <is>
          <t>Denmark</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34335</v>
      </c>
      <c r="B6" s="18">
        <f>IF(VLOOKUP(A6,'DB Country PMI'!$A:$AZ,MATCH($A$1,'DB Country PMI'!$A$1:$AZ$1,),)=0,#N/A,VLOOKUP(A6,'DB Country PMI'!$A:$AZ,MATCH($A$1,'DB Country PMI'!$A$1:$AZ$1,),))</f>
        <v/>
      </c>
      <c r="C6" s="18" t="n"/>
    </row>
    <row r="7">
      <c r="A7" s="10" t="n">
        <v>34366</v>
      </c>
      <c r="B7" s="18">
        <f>IF(VLOOKUP(A7,'DB Country PMI'!$A:$AZ,MATCH($A$1,'DB Country PMI'!$A$1:$AZ$1,),)=0,#N/A,VLOOKUP(A7,'DB Country PMI'!$A:$AZ,MATCH($A$1,'DB Country PMI'!$A$1:$AZ$1,),))</f>
        <v/>
      </c>
      <c r="C7" s="24">
        <f>Table13[[#This Row],[PMI]]-B6</f>
        <v/>
      </c>
    </row>
    <row r="8">
      <c r="A8" s="10" t="n">
        <v>34394</v>
      </c>
      <c r="B8" s="18">
        <f>IF(VLOOKUP(A8,'DB Country PMI'!$A:$AZ,MATCH($A$1,'DB Country PMI'!$A$1:$AZ$1,),)=0,#N/A,VLOOKUP(A8,'DB Country PMI'!$A:$AZ,MATCH($A$1,'DB Country PMI'!$A$1:$AZ$1,),))</f>
        <v/>
      </c>
      <c r="C8" s="24">
        <f>Table13[[#This Row],[PMI]]-B7</f>
        <v/>
      </c>
    </row>
    <row r="9">
      <c r="A9" s="10" t="n">
        <v>34425</v>
      </c>
      <c r="B9" s="18">
        <f>IF(VLOOKUP(A9,'DB Country PMI'!$A:$AZ,MATCH($A$1,'DB Country PMI'!$A$1:$AZ$1,),)=0,#N/A,VLOOKUP(A9,'DB Country PMI'!$A:$AZ,MATCH($A$1,'DB Country PMI'!$A$1:$AZ$1,),))</f>
        <v/>
      </c>
      <c r="C9" s="24">
        <f>Table13[[#This Row],[PMI]]-B8</f>
        <v/>
      </c>
    </row>
    <row r="10">
      <c r="A10" s="10" t="n">
        <v>34455</v>
      </c>
      <c r="B10" s="18">
        <f>IF(VLOOKUP(A10,'DB Country PMI'!$A:$AZ,MATCH($A$1,'DB Country PMI'!$A$1:$AZ$1,),)=0,#N/A,VLOOKUP(A10,'DB Country PMI'!$A:$AZ,MATCH($A$1,'DB Country PMI'!$A$1:$AZ$1,),))</f>
        <v/>
      </c>
      <c r="C10" s="24">
        <f>Table13[[#This Row],[PMI]]-B9</f>
        <v/>
      </c>
    </row>
    <row r="11">
      <c r="A11" s="10" t="n">
        <v>34486</v>
      </c>
      <c r="B11" s="18">
        <f>IF(VLOOKUP(A11,'DB Country PMI'!$A:$AZ,MATCH($A$1,'DB Country PMI'!$A$1:$AZ$1,),)=0,#N/A,VLOOKUP(A11,'DB Country PMI'!$A:$AZ,MATCH($A$1,'DB Country PMI'!$A$1:$AZ$1,),))</f>
        <v/>
      </c>
      <c r="C11" s="24">
        <f>Table13[[#This Row],[PMI]]-B10</f>
        <v/>
      </c>
    </row>
    <row r="12">
      <c r="A12" s="10" t="n">
        <v>34516</v>
      </c>
      <c r="B12" s="18">
        <f>IF(VLOOKUP(A12,'DB Country PMI'!$A:$AZ,MATCH($A$1,'DB Country PMI'!$A$1:$AZ$1,),)=0,#N/A,VLOOKUP(A12,'DB Country PMI'!$A:$AZ,MATCH($A$1,'DB Country PMI'!$A$1:$AZ$1,),))</f>
        <v/>
      </c>
      <c r="C12" s="24">
        <f>Table13[[#This Row],[PMI]]-B11</f>
        <v/>
      </c>
    </row>
    <row r="13">
      <c r="A13" s="10" t="n">
        <v>34547</v>
      </c>
      <c r="B13" s="18">
        <f>IF(VLOOKUP(A13,'DB Country PMI'!$A:$AZ,MATCH($A$1,'DB Country PMI'!$A$1:$AZ$1,),)=0,#N/A,VLOOKUP(A13,'DB Country PMI'!$A:$AZ,MATCH($A$1,'DB Country PMI'!$A$1:$AZ$1,),))</f>
        <v/>
      </c>
      <c r="C13" s="24">
        <f>Table13[[#This Row],[PMI]]-B12</f>
        <v/>
      </c>
    </row>
    <row r="14">
      <c r="A14" s="10" t="n">
        <v>34578</v>
      </c>
      <c r="B14" s="18">
        <f>IF(VLOOKUP(A14,'DB Country PMI'!$A:$AZ,MATCH($A$1,'DB Country PMI'!$A$1:$AZ$1,),)=0,#N/A,VLOOKUP(A14,'DB Country PMI'!$A:$AZ,MATCH($A$1,'DB Country PMI'!$A$1:$AZ$1,),))</f>
        <v/>
      </c>
      <c r="C14" s="24">
        <f>Table13[[#This Row],[PMI]]-B13</f>
        <v/>
      </c>
    </row>
    <row r="15">
      <c r="A15" s="10" t="n">
        <v>34608</v>
      </c>
      <c r="B15" s="18">
        <f>IF(VLOOKUP(A15,'DB Country PMI'!$A:$AZ,MATCH($A$1,'DB Country PMI'!$A$1:$AZ$1,),)=0,#N/A,VLOOKUP(A15,'DB Country PMI'!$A:$AZ,MATCH($A$1,'DB Country PMI'!$A$1:$AZ$1,),))</f>
        <v/>
      </c>
      <c r="C15" s="24">
        <f>Table13[[#This Row],[PMI]]-B14</f>
        <v/>
      </c>
    </row>
    <row r="16">
      <c r="A16" s="10" t="n">
        <v>34639</v>
      </c>
      <c r="B16" s="18">
        <f>IF(VLOOKUP(A16,'DB Country PMI'!$A:$AZ,MATCH($A$1,'DB Country PMI'!$A$1:$AZ$1,),)=0,#N/A,VLOOKUP(A16,'DB Country PMI'!$A:$AZ,MATCH($A$1,'DB Country PMI'!$A$1:$AZ$1,),))</f>
        <v/>
      </c>
      <c r="C16" s="24">
        <f>Table13[[#This Row],[PMI]]-B15</f>
        <v/>
      </c>
    </row>
    <row r="17">
      <c r="A17" s="10" t="n">
        <v>34669</v>
      </c>
      <c r="B17" s="18">
        <f>IF(VLOOKUP(A17,'DB Country PMI'!$A:$AZ,MATCH($A$1,'DB Country PMI'!$A$1:$AZ$1,),)=0,#N/A,VLOOKUP(A17,'DB Country PMI'!$A:$AZ,MATCH($A$1,'DB Country PMI'!$A$1:$AZ$1,),))</f>
        <v/>
      </c>
      <c r="C17" s="24">
        <f>Table13[[#This Row],[PMI]]-B16</f>
        <v/>
      </c>
    </row>
    <row r="18">
      <c r="A18" s="10" t="n">
        <v>34700</v>
      </c>
      <c r="B18" s="18">
        <f>IF(VLOOKUP(A18,'DB Country PMI'!$A:$AZ,MATCH($A$1,'DB Country PMI'!$A$1:$AZ$1,),)=0,#N/A,VLOOKUP(A18,'DB Country PMI'!$A:$AZ,MATCH($A$1,'DB Country PMI'!$A$1:$AZ$1,),))</f>
        <v/>
      </c>
      <c r="C18" s="24">
        <f>Table13[[#This Row],[PMI]]-B17</f>
        <v/>
      </c>
    </row>
    <row r="19">
      <c r="A19" s="10" t="n">
        <v>34731</v>
      </c>
      <c r="B19" s="18">
        <f>IF(VLOOKUP(A19,'DB Country PMI'!$A:$AZ,MATCH($A$1,'DB Country PMI'!$A$1:$AZ$1,),)=0,#N/A,VLOOKUP(A19,'DB Country PMI'!$A:$AZ,MATCH($A$1,'DB Country PMI'!$A$1:$AZ$1,),))</f>
        <v/>
      </c>
      <c r="C19" s="24">
        <f>Table13[[#This Row],[PMI]]-B18</f>
        <v/>
      </c>
    </row>
    <row r="20">
      <c r="A20" s="10" t="n">
        <v>34759</v>
      </c>
      <c r="B20" s="18">
        <f>IF(VLOOKUP(A20,'DB Country PMI'!$A:$AZ,MATCH($A$1,'DB Country PMI'!$A$1:$AZ$1,),)=0,#N/A,VLOOKUP(A20,'DB Country PMI'!$A:$AZ,MATCH($A$1,'DB Country PMI'!$A$1:$AZ$1,),))</f>
        <v/>
      </c>
      <c r="C20" s="24">
        <f>Table13[[#This Row],[PMI]]-B19</f>
        <v/>
      </c>
    </row>
    <row r="21">
      <c r="A21" s="10" t="n">
        <v>34790</v>
      </c>
      <c r="B21" s="18">
        <f>IF(VLOOKUP(A21,'DB Country PMI'!$A:$AZ,MATCH($A$1,'DB Country PMI'!$A$1:$AZ$1,),)=0,#N/A,VLOOKUP(A21,'DB Country PMI'!$A:$AZ,MATCH($A$1,'DB Country PMI'!$A$1:$AZ$1,),))</f>
        <v/>
      </c>
      <c r="C21" s="24">
        <f>Table13[[#This Row],[PMI]]-B20</f>
        <v/>
      </c>
    </row>
    <row r="22">
      <c r="A22" s="10" t="n">
        <v>34820</v>
      </c>
      <c r="B22" s="18">
        <f>IF(VLOOKUP(A22,'DB Country PMI'!$A:$AZ,MATCH($A$1,'DB Country PMI'!$A$1:$AZ$1,),)=0,#N/A,VLOOKUP(A22,'DB Country PMI'!$A:$AZ,MATCH($A$1,'DB Country PMI'!$A$1:$AZ$1,),))</f>
        <v/>
      </c>
      <c r="C22" s="24">
        <f>Table13[[#This Row],[PMI]]-B21</f>
        <v/>
      </c>
    </row>
    <row r="23">
      <c r="A23" s="10" t="n">
        <v>34851</v>
      </c>
      <c r="B23" s="18">
        <f>IF(VLOOKUP(A23,'DB Country PMI'!$A:$AZ,MATCH($A$1,'DB Country PMI'!$A$1:$AZ$1,),)=0,#N/A,VLOOKUP(A23,'DB Country PMI'!$A:$AZ,MATCH($A$1,'DB Country PMI'!$A$1:$AZ$1,),))</f>
        <v/>
      </c>
      <c r="C23" s="24">
        <f>Table13[[#This Row],[PMI]]-B22</f>
        <v/>
      </c>
    </row>
    <row r="24">
      <c r="A24" s="10" t="n">
        <v>34881</v>
      </c>
      <c r="B24" s="18">
        <f>IF(VLOOKUP(A24,'DB Country PMI'!$A:$AZ,MATCH($A$1,'DB Country PMI'!$A$1:$AZ$1,),)=0,#N/A,VLOOKUP(A24,'DB Country PMI'!$A:$AZ,MATCH($A$1,'DB Country PMI'!$A$1:$AZ$1,),))</f>
        <v/>
      </c>
      <c r="C24" s="24">
        <f>Table13[[#This Row],[PMI]]-B23</f>
        <v/>
      </c>
    </row>
    <row r="25">
      <c r="A25" s="10" t="n">
        <v>34912</v>
      </c>
      <c r="B25" s="18">
        <f>IF(VLOOKUP(A25,'DB Country PMI'!$A:$AZ,MATCH($A$1,'DB Country PMI'!$A$1:$AZ$1,),)=0,#N/A,VLOOKUP(A25,'DB Country PMI'!$A:$AZ,MATCH($A$1,'DB Country PMI'!$A$1:$AZ$1,),))</f>
        <v/>
      </c>
      <c r="C25" s="24">
        <f>Table13[[#This Row],[PMI]]-B24</f>
        <v/>
      </c>
    </row>
    <row r="26">
      <c r="A26" s="10" t="n">
        <v>34943</v>
      </c>
      <c r="B26" s="18">
        <f>IF(VLOOKUP(A26,'DB Country PMI'!$A:$AZ,MATCH($A$1,'DB Country PMI'!$A$1:$AZ$1,),)=0,#N/A,VLOOKUP(A26,'DB Country PMI'!$A:$AZ,MATCH($A$1,'DB Country PMI'!$A$1:$AZ$1,),))</f>
        <v/>
      </c>
      <c r="C26" s="24">
        <f>Table13[[#This Row],[PMI]]-B25</f>
        <v/>
      </c>
    </row>
    <row r="27">
      <c r="A27" s="10" t="n">
        <v>34973</v>
      </c>
      <c r="B27" s="18">
        <f>IF(VLOOKUP(A27,'DB Country PMI'!$A:$AZ,MATCH($A$1,'DB Country PMI'!$A$1:$AZ$1,),)=0,#N/A,VLOOKUP(A27,'DB Country PMI'!$A:$AZ,MATCH($A$1,'DB Country PMI'!$A$1:$AZ$1,),))</f>
        <v/>
      </c>
      <c r="C27" s="24">
        <f>Table13[[#This Row],[PMI]]-B26</f>
        <v/>
      </c>
    </row>
    <row r="28">
      <c r="A28" s="10" t="n">
        <v>35004</v>
      </c>
      <c r="B28" s="18">
        <f>IF(VLOOKUP(A28,'DB Country PMI'!$A:$AZ,MATCH($A$1,'DB Country PMI'!$A$1:$AZ$1,),)=0,#N/A,VLOOKUP(A28,'DB Country PMI'!$A:$AZ,MATCH($A$1,'DB Country PMI'!$A$1:$AZ$1,),))</f>
        <v/>
      </c>
      <c r="C28" s="24">
        <f>Table13[[#This Row],[PMI]]-B27</f>
        <v/>
      </c>
    </row>
    <row r="29">
      <c r="A29" s="10" t="n">
        <v>35034</v>
      </c>
      <c r="B29" s="18">
        <f>IF(VLOOKUP(A29,'DB Country PMI'!$A:$AZ,MATCH($A$1,'DB Country PMI'!$A$1:$AZ$1,),)=0,#N/A,VLOOKUP(A29,'DB Country PMI'!$A:$AZ,MATCH($A$1,'DB Country PMI'!$A$1:$AZ$1,),))</f>
        <v/>
      </c>
      <c r="C29" s="24">
        <f>Table13[[#This Row],[PMI]]-B28</f>
        <v/>
      </c>
    </row>
    <row r="30">
      <c r="A30" s="10" t="n">
        <v>35065</v>
      </c>
      <c r="B30" s="18">
        <f>IF(VLOOKUP(A30,'DB Country PMI'!$A:$AZ,MATCH($A$1,'DB Country PMI'!$A$1:$AZ$1,),)=0,#N/A,VLOOKUP(A30,'DB Country PMI'!$A:$AZ,MATCH($A$1,'DB Country PMI'!$A$1:$AZ$1,),))</f>
        <v/>
      </c>
      <c r="C30" s="24">
        <f>Table13[[#This Row],[PMI]]-B29</f>
        <v/>
      </c>
    </row>
    <row r="31">
      <c r="A31" s="10" t="n">
        <v>35096</v>
      </c>
      <c r="B31" s="18">
        <f>IF(VLOOKUP(A31,'DB Country PMI'!$A:$AZ,MATCH($A$1,'DB Country PMI'!$A$1:$AZ$1,),)=0,#N/A,VLOOKUP(A31,'DB Country PMI'!$A:$AZ,MATCH($A$1,'DB Country PMI'!$A$1:$AZ$1,),))</f>
        <v/>
      </c>
      <c r="C31" s="24">
        <f>Table13[[#This Row],[PMI]]-B30</f>
        <v/>
      </c>
    </row>
    <row r="32">
      <c r="A32" s="10" t="n">
        <v>35125</v>
      </c>
      <c r="B32" s="18">
        <f>IF(VLOOKUP(A32,'DB Country PMI'!$A:$AZ,MATCH($A$1,'DB Country PMI'!$A$1:$AZ$1,),)=0,#N/A,VLOOKUP(A32,'DB Country PMI'!$A:$AZ,MATCH($A$1,'DB Country PMI'!$A$1:$AZ$1,),))</f>
        <v/>
      </c>
      <c r="C32" s="24">
        <f>Table13[[#This Row],[PMI]]-B31</f>
        <v/>
      </c>
    </row>
    <row r="33">
      <c r="A33" s="10" t="n">
        <v>35156</v>
      </c>
      <c r="B33" s="18">
        <f>IF(VLOOKUP(A33,'DB Country PMI'!$A:$AZ,MATCH($A$1,'DB Country PMI'!$A$1:$AZ$1,),)=0,#N/A,VLOOKUP(A33,'DB Country PMI'!$A:$AZ,MATCH($A$1,'DB Country PMI'!$A$1:$AZ$1,),))</f>
        <v/>
      </c>
      <c r="C33" s="24">
        <f>Table13[[#This Row],[PMI]]-B32</f>
        <v/>
      </c>
    </row>
    <row r="34">
      <c r="A34" s="10" t="n">
        <v>35186</v>
      </c>
      <c r="B34" s="18">
        <f>IF(VLOOKUP(A34,'DB Country PMI'!$A:$AZ,MATCH($A$1,'DB Country PMI'!$A$1:$AZ$1,),)=0,#N/A,VLOOKUP(A34,'DB Country PMI'!$A:$AZ,MATCH($A$1,'DB Country PMI'!$A$1:$AZ$1,),))</f>
        <v/>
      </c>
      <c r="C34" s="24">
        <f>Table13[[#This Row],[PMI]]-B33</f>
        <v/>
      </c>
    </row>
    <row r="35">
      <c r="A35" s="10" t="n">
        <v>35217</v>
      </c>
      <c r="B35" s="18">
        <f>IF(VLOOKUP(A35,'DB Country PMI'!$A:$AZ,MATCH($A$1,'DB Country PMI'!$A$1:$AZ$1,),)=0,#N/A,VLOOKUP(A35,'DB Country PMI'!$A:$AZ,MATCH($A$1,'DB Country PMI'!$A$1:$AZ$1,),))</f>
        <v/>
      </c>
      <c r="C35" s="24">
        <f>Table13[[#This Row],[PMI]]-B34</f>
        <v/>
      </c>
    </row>
    <row r="36">
      <c r="A36" s="10" t="n">
        <v>35247</v>
      </c>
      <c r="B36" s="18">
        <f>IF(VLOOKUP(A36,'DB Country PMI'!$A:$AZ,MATCH($A$1,'DB Country PMI'!$A$1:$AZ$1,),)=0,#N/A,VLOOKUP(A36,'DB Country PMI'!$A:$AZ,MATCH($A$1,'DB Country PMI'!$A$1:$AZ$1,),))</f>
        <v/>
      </c>
      <c r="C36" s="24">
        <f>Table13[[#This Row],[PMI]]-B35</f>
        <v/>
      </c>
    </row>
    <row r="37">
      <c r="A37" s="10" t="n">
        <v>35278</v>
      </c>
      <c r="B37" s="18">
        <f>IF(VLOOKUP(A37,'DB Country PMI'!$A:$AZ,MATCH($A$1,'DB Country PMI'!$A$1:$AZ$1,),)=0,#N/A,VLOOKUP(A37,'DB Country PMI'!$A:$AZ,MATCH($A$1,'DB Country PMI'!$A$1:$AZ$1,),))</f>
        <v/>
      </c>
      <c r="C37" s="24">
        <f>Table13[[#This Row],[PMI]]-B36</f>
        <v/>
      </c>
    </row>
    <row r="38">
      <c r="A38" s="10" t="n">
        <v>35309</v>
      </c>
      <c r="B38" s="18">
        <f>IF(VLOOKUP(A38,'DB Country PMI'!$A:$AZ,MATCH($A$1,'DB Country PMI'!$A$1:$AZ$1,),)=0,#N/A,VLOOKUP(A38,'DB Country PMI'!$A:$AZ,MATCH($A$1,'DB Country PMI'!$A$1:$AZ$1,),))</f>
        <v/>
      </c>
      <c r="C38" s="24">
        <f>Table13[[#This Row],[PMI]]-B37</f>
        <v/>
      </c>
    </row>
    <row r="39">
      <c r="A39" s="10" t="n">
        <v>35339</v>
      </c>
      <c r="B39" s="18">
        <f>IF(VLOOKUP(A39,'DB Country PMI'!$A:$AZ,MATCH($A$1,'DB Country PMI'!$A$1:$AZ$1,),)=0,#N/A,VLOOKUP(A39,'DB Country PMI'!$A:$AZ,MATCH($A$1,'DB Country PMI'!$A$1:$AZ$1,),))</f>
        <v/>
      </c>
      <c r="C39" s="24">
        <f>Table13[[#This Row],[PMI]]-B38</f>
        <v/>
      </c>
    </row>
    <row r="40">
      <c r="A40" s="10" t="n">
        <v>35370</v>
      </c>
      <c r="B40" s="18">
        <f>IF(VLOOKUP(A40,'DB Country PMI'!$A:$AZ,MATCH($A$1,'DB Country PMI'!$A$1:$AZ$1,),)=0,#N/A,VLOOKUP(A40,'DB Country PMI'!$A:$AZ,MATCH($A$1,'DB Country PMI'!$A$1:$AZ$1,),))</f>
        <v/>
      </c>
      <c r="C40" s="24">
        <f>Table13[[#This Row],[PMI]]-B39</f>
        <v/>
      </c>
    </row>
    <row r="41">
      <c r="A41" s="10" t="n">
        <v>35400</v>
      </c>
      <c r="B41" s="18">
        <f>IF(VLOOKUP(A41,'DB Country PMI'!$A:$AZ,MATCH($A$1,'DB Country PMI'!$A$1:$AZ$1,),)=0,#N/A,VLOOKUP(A41,'DB Country PMI'!$A:$AZ,MATCH($A$1,'DB Country PMI'!$A$1:$AZ$1,),))</f>
        <v/>
      </c>
      <c r="C41" s="24">
        <f>Table13[[#This Row],[PMI]]-B40</f>
        <v/>
      </c>
    </row>
    <row r="42">
      <c r="A42" s="10" t="n">
        <v>35431</v>
      </c>
      <c r="B42" s="18">
        <f>IF(VLOOKUP(A42,'DB Country PMI'!$A:$AZ,MATCH($A$1,'DB Country PMI'!$A$1:$AZ$1,),)=0,#N/A,VLOOKUP(A42,'DB Country PMI'!$A:$AZ,MATCH($A$1,'DB Country PMI'!$A$1:$AZ$1,),))</f>
        <v/>
      </c>
      <c r="C42" s="24">
        <f>Table13[[#This Row],[PMI]]-B41</f>
        <v/>
      </c>
    </row>
    <row r="43">
      <c r="A43" s="10" t="n">
        <v>35462</v>
      </c>
      <c r="B43" s="18">
        <f>IF(VLOOKUP(A43,'DB Country PMI'!$A:$AZ,MATCH($A$1,'DB Country PMI'!$A$1:$AZ$1,),)=0,#N/A,VLOOKUP(A43,'DB Country PMI'!$A:$AZ,MATCH($A$1,'DB Country PMI'!$A$1:$AZ$1,),))</f>
        <v/>
      </c>
      <c r="C43" s="24">
        <f>Table13[[#This Row],[PMI]]-B42</f>
        <v/>
      </c>
    </row>
    <row r="44">
      <c r="A44" s="10" t="n">
        <v>35490</v>
      </c>
      <c r="B44" s="18">
        <f>IF(VLOOKUP(A44,'DB Country PMI'!$A:$AZ,MATCH($A$1,'DB Country PMI'!$A$1:$AZ$1,),)=0,#N/A,VLOOKUP(A44,'DB Country PMI'!$A:$AZ,MATCH($A$1,'DB Country PMI'!$A$1:$AZ$1,),))</f>
        <v/>
      </c>
      <c r="C44" s="24">
        <f>Table13[[#This Row],[PMI]]-B43</f>
        <v/>
      </c>
    </row>
    <row r="45">
      <c r="A45" s="10" t="n">
        <v>35521</v>
      </c>
      <c r="B45" s="18">
        <f>IF(VLOOKUP(A45,'DB Country PMI'!$A:$AZ,MATCH($A$1,'DB Country PMI'!$A$1:$AZ$1,),)=0,#N/A,VLOOKUP(A45,'DB Country PMI'!$A:$AZ,MATCH($A$1,'DB Country PMI'!$A$1:$AZ$1,),))</f>
        <v/>
      </c>
      <c r="C45" s="24">
        <f>Table13[[#This Row],[PMI]]-B44</f>
        <v/>
      </c>
    </row>
    <row r="46">
      <c r="A46" s="10" t="n">
        <v>35551</v>
      </c>
      <c r="B46" s="18">
        <f>IF(VLOOKUP(A46,'DB Country PMI'!$A:$AZ,MATCH($A$1,'DB Country PMI'!$A$1:$AZ$1,),)=0,#N/A,VLOOKUP(A46,'DB Country PMI'!$A:$AZ,MATCH($A$1,'DB Country PMI'!$A$1:$AZ$1,),))</f>
        <v/>
      </c>
      <c r="C46" s="24">
        <f>Table13[[#This Row],[PMI]]-B45</f>
        <v/>
      </c>
    </row>
    <row r="47">
      <c r="A47" s="10" t="n">
        <v>35582</v>
      </c>
      <c r="B47" s="18">
        <f>IF(VLOOKUP(A47,'DB Country PMI'!$A:$AZ,MATCH($A$1,'DB Country PMI'!$A$1:$AZ$1,),)=0,#N/A,VLOOKUP(A47,'DB Country PMI'!$A:$AZ,MATCH($A$1,'DB Country PMI'!$A$1:$AZ$1,),))</f>
        <v/>
      </c>
      <c r="C47" s="24">
        <f>Table13[[#This Row],[PMI]]-B46</f>
        <v/>
      </c>
    </row>
    <row r="48">
      <c r="A48" s="10" t="n">
        <v>35612</v>
      </c>
      <c r="B48" s="18">
        <f>IF(VLOOKUP(A48,'DB Country PMI'!$A:$AZ,MATCH($A$1,'DB Country PMI'!$A$1:$AZ$1,),)=0,#N/A,VLOOKUP(A48,'DB Country PMI'!$A:$AZ,MATCH($A$1,'DB Country PMI'!$A$1:$AZ$1,),))</f>
        <v/>
      </c>
      <c r="C48" s="24">
        <f>Table13[[#This Row],[PMI]]-B47</f>
        <v/>
      </c>
    </row>
    <row r="49">
      <c r="A49" s="10" t="n">
        <v>35643</v>
      </c>
      <c r="B49" s="18">
        <f>IF(VLOOKUP(A49,'DB Country PMI'!$A:$AZ,MATCH($A$1,'DB Country PMI'!$A$1:$AZ$1,),)=0,#N/A,VLOOKUP(A49,'DB Country PMI'!$A:$AZ,MATCH($A$1,'DB Country PMI'!$A$1:$AZ$1,),))</f>
        <v/>
      </c>
      <c r="C49" s="24">
        <f>Table13[[#This Row],[PMI]]-B48</f>
        <v/>
      </c>
    </row>
    <row r="50">
      <c r="A50" s="10" t="n">
        <v>35674</v>
      </c>
      <c r="B50" s="18">
        <f>IF(VLOOKUP(A50,'DB Country PMI'!$A:$AZ,MATCH($A$1,'DB Country PMI'!$A$1:$AZ$1,),)=0,#N/A,VLOOKUP(A50,'DB Country PMI'!$A:$AZ,MATCH($A$1,'DB Country PMI'!$A$1:$AZ$1,),))</f>
        <v/>
      </c>
      <c r="C50" s="24">
        <f>Table13[[#This Row],[PMI]]-B49</f>
        <v/>
      </c>
    </row>
    <row r="51">
      <c r="A51" s="10" t="n">
        <v>35704</v>
      </c>
      <c r="B51" s="18">
        <f>IF(VLOOKUP(A51,'DB Country PMI'!$A:$AZ,MATCH($A$1,'DB Country PMI'!$A$1:$AZ$1,),)=0,#N/A,VLOOKUP(A51,'DB Country PMI'!$A:$AZ,MATCH($A$1,'DB Country PMI'!$A$1:$AZ$1,),))</f>
        <v/>
      </c>
      <c r="C51" s="24">
        <f>Table13[[#This Row],[PMI]]-B50</f>
        <v/>
      </c>
    </row>
    <row r="52">
      <c r="A52" s="10" t="n">
        <v>35735</v>
      </c>
      <c r="B52" s="18">
        <f>IF(VLOOKUP(A52,'DB Country PMI'!$A:$AZ,MATCH($A$1,'DB Country PMI'!$A$1:$AZ$1,),)=0,#N/A,VLOOKUP(A52,'DB Country PMI'!$A:$AZ,MATCH($A$1,'DB Country PMI'!$A$1:$AZ$1,),))</f>
        <v/>
      </c>
      <c r="C52" s="24">
        <f>Table13[[#This Row],[PMI]]-B51</f>
        <v/>
      </c>
    </row>
    <row r="53">
      <c r="A53" s="10" t="n">
        <v>35765</v>
      </c>
      <c r="B53" s="18">
        <f>IF(VLOOKUP(A53,'DB Country PMI'!$A:$AZ,MATCH($A$1,'DB Country PMI'!$A$1:$AZ$1,),)=0,#N/A,VLOOKUP(A53,'DB Country PMI'!$A:$AZ,MATCH($A$1,'DB Country PMI'!$A$1:$AZ$1,),))</f>
        <v/>
      </c>
      <c r="C53" s="24">
        <f>Table13[[#This Row],[PMI]]-B52</f>
        <v/>
      </c>
    </row>
    <row r="54">
      <c r="A54" s="10" t="n">
        <v>35796</v>
      </c>
      <c r="B54" s="18">
        <f>IF(VLOOKUP(A54,'DB Country PMI'!$A:$AZ,MATCH($A$1,'DB Country PMI'!$A$1:$AZ$1,),)=0,#N/A,VLOOKUP(A54,'DB Country PMI'!$A:$AZ,MATCH($A$1,'DB Country PMI'!$A$1:$AZ$1,),))</f>
        <v/>
      </c>
      <c r="C54" s="24">
        <f>Table13[[#This Row],[PMI]]-B53</f>
        <v/>
      </c>
    </row>
    <row r="55">
      <c r="A55" s="10" t="n">
        <v>35827</v>
      </c>
      <c r="B55" s="18">
        <f>IF(VLOOKUP(A55,'DB Country PMI'!$A:$AZ,MATCH($A$1,'DB Country PMI'!$A$1:$AZ$1,),)=0,#N/A,VLOOKUP(A55,'DB Country PMI'!$A:$AZ,MATCH($A$1,'DB Country PMI'!$A$1:$AZ$1,),))</f>
        <v/>
      </c>
      <c r="C55" s="24">
        <f>Table13[[#This Row],[PMI]]-B54</f>
        <v/>
      </c>
    </row>
    <row r="56">
      <c r="A56" s="10" t="n">
        <v>35855</v>
      </c>
      <c r="B56" s="18">
        <f>IF(VLOOKUP(A56,'DB Country PMI'!$A:$AZ,MATCH($A$1,'DB Country PMI'!$A$1:$AZ$1,),)=0,#N/A,VLOOKUP(A56,'DB Country PMI'!$A:$AZ,MATCH($A$1,'DB Country PMI'!$A$1:$AZ$1,),))</f>
        <v/>
      </c>
      <c r="C56" s="24">
        <f>Table13[[#This Row],[PMI]]-B55</f>
        <v/>
      </c>
    </row>
    <row r="57">
      <c r="A57" s="10" t="n">
        <v>35886</v>
      </c>
      <c r="B57" s="18">
        <f>IF(VLOOKUP(A57,'DB Country PMI'!$A:$AZ,MATCH($A$1,'DB Country PMI'!$A$1:$AZ$1,),)=0,#N/A,VLOOKUP(A57,'DB Country PMI'!$A:$AZ,MATCH($A$1,'DB Country PMI'!$A$1:$AZ$1,),))</f>
        <v/>
      </c>
      <c r="C57" s="24">
        <f>Table13[[#This Row],[PMI]]-B56</f>
        <v/>
      </c>
    </row>
    <row r="58">
      <c r="A58" s="10" t="n">
        <v>35916</v>
      </c>
      <c r="B58" s="18">
        <f>IF(VLOOKUP(A58,'DB Country PMI'!$A:$AZ,MATCH($A$1,'DB Country PMI'!$A$1:$AZ$1,),)=0,#N/A,VLOOKUP(A58,'DB Country PMI'!$A:$AZ,MATCH($A$1,'DB Country PMI'!$A$1:$AZ$1,),))</f>
        <v/>
      </c>
      <c r="C58" s="24">
        <f>Table13[[#This Row],[PMI]]-B57</f>
        <v/>
      </c>
    </row>
    <row r="59">
      <c r="A59" s="10" t="n">
        <v>35947</v>
      </c>
      <c r="B59" s="18">
        <f>IF(VLOOKUP(A59,'DB Country PMI'!$A:$AZ,MATCH($A$1,'DB Country PMI'!$A$1:$AZ$1,),)=0,#N/A,VLOOKUP(A59,'DB Country PMI'!$A:$AZ,MATCH($A$1,'DB Country PMI'!$A$1:$AZ$1,),))</f>
        <v/>
      </c>
      <c r="C59" s="24">
        <f>Table13[[#This Row],[PMI]]-B58</f>
        <v/>
      </c>
    </row>
    <row r="60">
      <c r="A60" s="10" t="n">
        <v>35977</v>
      </c>
      <c r="B60" s="18">
        <f>IF(VLOOKUP(A60,'DB Country PMI'!$A:$AZ,MATCH($A$1,'DB Country PMI'!$A$1:$AZ$1,),)=0,#N/A,VLOOKUP(A60,'DB Country PMI'!$A:$AZ,MATCH($A$1,'DB Country PMI'!$A$1:$AZ$1,),))</f>
        <v/>
      </c>
      <c r="C60" s="24">
        <f>Table13[[#This Row],[PMI]]-B59</f>
        <v/>
      </c>
    </row>
    <row r="61">
      <c r="A61" s="10" t="n">
        <v>36008</v>
      </c>
      <c r="B61" s="18">
        <f>IF(VLOOKUP(A61,'DB Country PMI'!$A:$AZ,MATCH($A$1,'DB Country PMI'!$A$1:$AZ$1,),)=0,#N/A,VLOOKUP(A61,'DB Country PMI'!$A:$AZ,MATCH($A$1,'DB Country PMI'!$A$1:$AZ$1,),))</f>
        <v/>
      </c>
      <c r="C61" s="24">
        <f>Table13[[#This Row],[PMI]]-B60</f>
        <v/>
      </c>
    </row>
    <row r="62">
      <c r="A62" s="10" t="n">
        <v>36039</v>
      </c>
      <c r="B62" s="18">
        <f>IF(VLOOKUP(A62,'DB Country PMI'!$A:$AZ,MATCH($A$1,'DB Country PMI'!$A$1:$AZ$1,),)=0,#N/A,VLOOKUP(A62,'DB Country PMI'!$A:$AZ,MATCH($A$1,'DB Country PMI'!$A$1:$AZ$1,),))</f>
        <v/>
      </c>
      <c r="C62" s="24">
        <f>Table13[[#This Row],[PMI]]-B61</f>
        <v/>
      </c>
    </row>
    <row r="63">
      <c r="A63" s="10" t="n">
        <v>36069</v>
      </c>
      <c r="B63" s="18">
        <f>IF(VLOOKUP(A63,'DB Country PMI'!$A:$AZ,MATCH($A$1,'DB Country PMI'!$A$1:$AZ$1,),)=0,#N/A,VLOOKUP(A63,'DB Country PMI'!$A:$AZ,MATCH($A$1,'DB Country PMI'!$A$1:$AZ$1,),))</f>
        <v/>
      </c>
      <c r="C63" s="24">
        <f>Table13[[#This Row],[PMI]]-B62</f>
        <v/>
      </c>
    </row>
    <row r="64">
      <c r="A64" s="10" t="n">
        <v>36100</v>
      </c>
      <c r="B64" s="18">
        <f>IF(VLOOKUP(A64,'DB Country PMI'!$A:$AZ,MATCH($A$1,'DB Country PMI'!$A$1:$AZ$1,),)=0,#N/A,VLOOKUP(A64,'DB Country PMI'!$A:$AZ,MATCH($A$1,'DB Country PMI'!$A$1:$AZ$1,),))</f>
        <v/>
      </c>
      <c r="C64" s="24">
        <f>Table13[[#This Row],[PMI]]-B63</f>
        <v/>
      </c>
    </row>
    <row r="65">
      <c r="A65" s="10" t="n">
        <v>36130</v>
      </c>
      <c r="B65" s="18">
        <f>IF(VLOOKUP(A65,'DB Country PMI'!$A:$AZ,MATCH($A$1,'DB Country PMI'!$A$1:$AZ$1,),)=0,#N/A,VLOOKUP(A65,'DB Country PMI'!$A:$AZ,MATCH($A$1,'DB Country PMI'!$A$1:$AZ$1,),))</f>
        <v/>
      </c>
      <c r="C65" s="24">
        <f>Table13[[#This Row],[PMI]]-B64</f>
        <v/>
      </c>
    </row>
    <row r="66">
      <c r="A66" s="10" t="n">
        <v>36161</v>
      </c>
      <c r="B66" s="18">
        <f>IF(VLOOKUP(A66,'DB Country PMI'!$A:$AZ,MATCH($A$1,'DB Country PMI'!$A$1:$AZ$1,),)=0,#N/A,VLOOKUP(A66,'DB Country PMI'!$A:$AZ,MATCH($A$1,'DB Country PMI'!$A$1:$AZ$1,),))</f>
        <v/>
      </c>
      <c r="C66" s="24">
        <f>Table13[[#This Row],[PMI]]-B65</f>
        <v/>
      </c>
    </row>
    <row r="67">
      <c r="A67" s="10" t="n">
        <v>36192</v>
      </c>
      <c r="B67" s="18">
        <f>IF(VLOOKUP(A67,'DB Country PMI'!$A:$AZ,MATCH($A$1,'DB Country PMI'!$A$1:$AZ$1,),)=0,#N/A,VLOOKUP(A67,'DB Country PMI'!$A:$AZ,MATCH($A$1,'DB Country PMI'!$A$1:$AZ$1,),))</f>
        <v/>
      </c>
      <c r="C67" s="24">
        <f>Table13[[#This Row],[PMI]]-B66</f>
        <v/>
      </c>
    </row>
    <row r="68">
      <c r="A68" s="10" t="n">
        <v>36220</v>
      </c>
      <c r="B68" s="18">
        <f>IF(VLOOKUP(A68,'DB Country PMI'!$A:$AZ,MATCH($A$1,'DB Country PMI'!$A$1:$AZ$1,),)=0,#N/A,VLOOKUP(A68,'DB Country PMI'!$A:$AZ,MATCH($A$1,'DB Country PMI'!$A$1:$AZ$1,),))</f>
        <v/>
      </c>
      <c r="C68" s="24">
        <f>Table13[[#This Row],[PMI]]-B67</f>
        <v/>
      </c>
    </row>
    <row r="69">
      <c r="A69" s="10" t="n">
        <v>36251</v>
      </c>
      <c r="B69" s="18">
        <f>IF(VLOOKUP(A69,'DB Country PMI'!$A:$AZ,MATCH($A$1,'DB Country PMI'!$A$1:$AZ$1,),)=0,#N/A,VLOOKUP(A69,'DB Country PMI'!$A:$AZ,MATCH($A$1,'DB Country PMI'!$A$1:$AZ$1,),))</f>
        <v/>
      </c>
      <c r="C69" s="24">
        <f>Table13[[#This Row],[PMI]]-B68</f>
        <v/>
      </c>
    </row>
    <row r="70">
      <c r="A70" s="10" t="n">
        <v>36281</v>
      </c>
      <c r="B70" s="18">
        <f>IF(VLOOKUP(A70,'DB Country PMI'!$A:$AZ,MATCH($A$1,'DB Country PMI'!$A$1:$AZ$1,),)=0,#N/A,VLOOKUP(A70,'DB Country PMI'!$A:$AZ,MATCH($A$1,'DB Country PMI'!$A$1:$AZ$1,),))</f>
        <v/>
      </c>
      <c r="C70" s="24">
        <f>Table13[[#This Row],[PMI]]-B69</f>
        <v/>
      </c>
    </row>
    <row r="71">
      <c r="A71" s="10" t="n">
        <v>36312</v>
      </c>
      <c r="B71" s="18">
        <f>IF(VLOOKUP(A71,'DB Country PMI'!$A:$AZ,MATCH($A$1,'DB Country PMI'!$A$1:$AZ$1,),)=0,#N/A,VLOOKUP(A71,'DB Country PMI'!$A:$AZ,MATCH($A$1,'DB Country PMI'!$A$1:$AZ$1,),))</f>
        <v/>
      </c>
      <c r="C71" s="24">
        <f>Table13[[#This Row],[PMI]]-B70</f>
        <v/>
      </c>
    </row>
    <row r="72">
      <c r="A72" s="10" t="n">
        <v>36342</v>
      </c>
      <c r="B72" s="18">
        <f>IF(VLOOKUP(A72,'DB Country PMI'!$A:$AZ,MATCH($A$1,'DB Country PMI'!$A$1:$AZ$1,),)=0,#N/A,VLOOKUP(A72,'DB Country PMI'!$A:$AZ,MATCH($A$1,'DB Country PMI'!$A$1:$AZ$1,),))</f>
        <v/>
      </c>
      <c r="C72" s="24">
        <f>Table13[[#This Row],[PMI]]-B71</f>
        <v/>
      </c>
    </row>
    <row r="73">
      <c r="A73" s="10" t="n">
        <v>36373</v>
      </c>
      <c r="B73" s="18">
        <f>IF(VLOOKUP(A73,'DB Country PMI'!$A:$AZ,MATCH($A$1,'DB Country PMI'!$A$1:$AZ$1,),)=0,#N/A,VLOOKUP(A73,'DB Country PMI'!$A:$AZ,MATCH($A$1,'DB Country PMI'!$A$1:$AZ$1,),))</f>
        <v/>
      </c>
      <c r="C73" s="24">
        <f>Table13[[#This Row],[PMI]]-B72</f>
        <v/>
      </c>
    </row>
    <row r="74">
      <c r="A74" s="10" t="n">
        <v>36404</v>
      </c>
      <c r="B74" s="18">
        <f>IF(VLOOKUP(A74,'DB Country PMI'!$A:$AZ,MATCH($A$1,'DB Country PMI'!$A$1:$AZ$1,),)=0,#N/A,VLOOKUP(A74,'DB Country PMI'!$A:$AZ,MATCH($A$1,'DB Country PMI'!$A$1:$AZ$1,),))</f>
        <v/>
      </c>
      <c r="C74" s="24">
        <f>Table13[[#This Row],[PMI]]-B73</f>
        <v/>
      </c>
    </row>
    <row r="75">
      <c r="A75" s="10" t="n">
        <v>36434</v>
      </c>
      <c r="B75" s="18">
        <f>IF(VLOOKUP(A75,'DB Country PMI'!$A:$AZ,MATCH($A$1,'DB Country PMI'!$A$1:$AZ$1,),)=0,#N/A,VLOOKUP(A75,'DB Country PMI'!$A:$AZ,MATCH($A$1,'DB Country PMI'!$A$1:$AZ$1,),))</f>
        <v/>
      </c>
      <c r="C75" s="24">
        <f>Table13[[#This Row],[PMI]]-B74</f>
        <v/>
      </c>
    </row>
    <row r="76">
      <c r="A76" s="10" t="n">
        <v>36465</v>
      </c>
      <c r="B76" s="18">
        <f>IF(VLOOKUP(A76,'DB Country PMI'!$A:$AZ,MATCH($A$1,'DB Country PMI'!$A$1:$AZ$1,),)=0,#N/A,VLOOKUP(A76,'DB Country PMI'!$A:$AZ,MATCH($A$1,'DB Country PMI'!$A$1:$AZ$1,),))</f>
        <v/>
      </c>
      <c r="C76" s="24">
        <f>Table13[[#This Row],[PMI]]-B75</f>
        <v/>
      </c>
    </row>
    <row r="77">
      <c r="A77" s="10" t="n">
        <v>36495</v>
      </c>
      <c r="B77" s="18">
        <f>IF(VLOOKUP(A77,'DB Country PMI'!$A:$AZ,MATCH($A$1,'DB Country PMI'!$A$1:$AZ$1,),)=0,#N/A,VLOOKUP(A77,'DB Country PMI'!$A:$AZ,MATCH($A$1,'DB Country PMI'!$A$1:$AZ$1,),))</f>
        <v/>
      </c>
      <c r="C77" s="24">
        <f>Table13[[#This Row],[PMI]]-B76</f>
        <v/>
      </c>
    </row>
    <row r="78">
      <c r="A78" s="10" t="n">
        <v>36526</v>
      </c>
      <c r="B78" s="18">
        <f>IF(VLOOKUP(A78,'DB Country PMI'!$A:$AZ,MATCH($A$1,'DB Country PMI'!$A$1:$AZ$1,),)=0,#N/A,VLOOKUP(A78,'DB Country PMI'!$A:$AZ,MATCH($A$1,'DB Country PMI'!$A$1:$AZ$1,),))</f>
        <v/>
      </c>
      <c r="C78" s="24">
        <f>Table13[[#This Row],[PMI]]-B77</f>
        <v/>
      </c>
    </row>
    <row r="79">
      <c r="A79" s="10" t="n">
        <v>36557</v>
      </c>
      <c r="B79" s="18">
        <f>IF(VLOOKUP(A79,'DB Country PMI'!$A:$AZ,MATCH($A$1,'DB Country PMI'!$A$1:$AZ$1,),)=0,#N/A,VLOOKUP(A79,'DB Country PMI'!$A:$AZ,MATCH($A$1,'DB Country PMI'!$A$1:$AZ$1,),))</f>
        <v/>
      </c>
      <c r="C79" s="24">
        <f>Table13[[#This Row],[PMI]]-B78</f>
        <v/>
      </c>
    </row>
    <row r="80">
      <c r="A80" s="10" t="n">
        <v>36586</v>
      </c>
      <c r="B80" s="18">
        <f>IF(VLOOKUP(A80,'DB Country PMI'!$A:$AZ,MATCH($A$1,'DB Country PMI'!$A$1:$AZ$1,),)=0,#N/A,VLOOKUP(A80,'DB Country PMI'!$A:$AZ,MATCH($A$1,'DB Country PMI'!$A$1:$AZ$1,),))</f>
        <v/>
      </c>
      <c r="C80" s="24">
        <f>Table13[[#This Row],[PMI]]-B79</f>
        <v/>
      </c>
    </row>
    <row r="81">
      <c r="A81" s="10" t="n">
        <v>36617</v>
      </c>
      <c r="B81" s="18">
        <f>IF(VLOOKUP(A81,'DB Country PMI'!$A:$AZ,MATCH($A$1,'DB Country PMI'!$A$1:$AZ$1,),)=0,#N/A,VLOOKUP(A81,'DB Country PMI'!$A:$AZ,MATCH($A$1,'DB Country PMI'!$A$1:$AZ$1,),))</f>
        <v/>
      </c>
      <c r="C81" s="24">
        <f>Table13[[#This Row],[PMI]]-B80</f>
        <v/>
      </c>
    </row>
    <row r="82">
      <c r="A82" s="10" t="n">
        <v>36647</v>
      </c>
      <c r="B82" s="18">
        <f>IF(VLOOKUP(A82,'DB Country PMI'!$A:$AZ,MATCH($A$1,'DB Country PMI'!$A$1:$AZ$1,),)=0,#N/A,VLOOKUP(A82,'DB Country PMI'!$A:$AZ,MATCH($A$1,'DB Country PMI'!$A$1:$AZ$1,),))</f>
        <v/>
      </c>
      <c r="C82" s="24">
        <f>Table13[[#This Row],[PMI]]-B81</f>
        <v/>
      </c>
    </row>
    <row r="83">
      <c r="A83" s="10" t="n">
        <v>36678</v>
      </c>
      <c r="B83" s="18">
        <f>IF(VLOOKUP(A83,'DB Country PMI'!$A:$AZ,MATCH($A$1,'DB Country PMI'!$A$1:$AZ$1,),)=0,#N/A,VLOOKUP(A83,'DB Country PMI'!$A:$AZ,MATCH($A$1,'DB Country PMI'!$A$1:$AZ$1,),))</f>
        <v/>
      </c>
      <c r="C83" s="24">
        <f>Table13[[#This Row],[PMI]]-B82</f>
        <v/>
      </c>
    </row>
    <row r="84">
      <c r="A84" s="10" t="n">
        <v>36708</v>
      </c>
      <c r="B84" s="18">
        <f>IF(VLOOKUP(A84,'DB Country PMI'!$A:$AZ,MATCH($A$1,'DB Country PMI'!$A$1:$AZ$1,),)=0,#N/A,VLOOKUP(A84,'DB Country PMI'!$A:$AZ,MATCH($A$1,'DB Country PMI'!$A$1:$AZ$1,),))</f>
        <v/>
      </c>
      <c r="C84" s="24">
        <f>Table13[[#This Row],[PMI]]-B83</f>
        <v/>
      </c>
    </row>
    <row r="85">
      <c r="A85" s="10" t="n">
        <v>36739</v>
      </c>
      <c r="B85" s="18">
        <f>IF(VLOOKUP(A85,'DB Country PMI'!$A:$AZ,MATCH($A$1,'DB Country PMI'!$A$1:$AZ$1,),)=0,#N/A,VLOOKUP(A85,'DB Country PMI'!$A:$AZ,MATCH($A$1,'DB Country PMI'!$A$1:$AZ$1,),))</f>
        <v/>
      </c>
      <c r="C85" s="24">
        <f>Table13[[#This Row],[PMI]]-B84</f>
        <v/>
      </c>
    </row>
    <row r="86">
      <c r="A86" s="10" t="n">
        <v>36770</v>
      </c>
      <c r="B86" s="18">
        <f>IF(VLOOKUP(A86,'DB Country PMI'!$A:$AZ,MATCH($A$1,'DB Country PMI'!$A$1:$AZ$1,),)=0,#N/A,VLOOKUP(A86,'DB Country PMI'!$A:$AZ,MATCH($A$1,'DB Country PMI'!$A$1:$AZ$1,),))</f>
        <v/>
      </c>
      <c r="C86" s="24">
        <f>Table13[[#This Row],[PMI]]-B85</f>
        <v/>
      </c>
    </row>
    <row r="87">
      <c r="A87" s="10" t="n">
        <v>36800</v>
      </c>
      <c r="B87" s="18">
        <f>IF(VLOOKUP(A87,'DB Country PMI'!$A:$AZ,MATCH($A$1,'DB Country PMI'!$A$1:$AZ$1,),)=0,#N/A,VLOOKUP(A87,'DB Country PMI'!$A:$AZ,MATCH($A$1,'DB Country PMI'!$A$1:$AZ$1,),))</f>
        <v/>
      </c>
      <c r="C87" s="24">
        <f>Table13[[#This Row],[PMI]]-B86</f>
        <v/>
      </c>
    </row>
    <row r="88">
      <c r="A88" s="10" t="n">
        <v>36831</v>
      </c>
      <c r="B88" s="18">
        <f>IF(VLOOKUP(A88,'DB Country PMI'!$A:$AZ,MATCH($A$1,'DB Country PMI'!$A$1:$AZ$1,),)=0,#N/A,VLOOKUP(A88,'DB Country PMI'!$A:$AZ,MATCH($A$1,'DB Country PMI'!$A$1:$AZ$1,),))</f>
        <v/>
      </c>
      <c r="C88" s="24">
        <f>Table13[[#This Row],[PMI]]-B87</f>
        <v/>
      </c>
    </row>
    <row r="89">
      <c r="A89" s="10" t="n">
        <v>36861</v>
      </c>
      <c r="B89" s="18">
        <f>IF(VLOOKUP(A89,'DB Country PMI'!$A:$AZ,MATCH($A$1,'DB Country PMI'!$A$1:$AZ$1,),)=0,#N/A,VLOOKUP(A89,'DB Country PMI'!$A:$AZ,MATCH($A$1,'DB Country PMI'!$A$1:$AZ$1,),))</f>
        <v/>
      </c>
      <c r="C89" s="24">
        <f>Table13[[#This Row],[PMI]]-B88</f>
        <v/>
      </c>
    </row>
    <row r="90">
      <c r="A90" s="10" t="n">
        <v>36892</v>
      </c>
      <c r="B90" s="18">
        <f>IF(VLOOKUP(A90,'DB Country PMI'!$A:$AZ,MATCH($A$1,'DB Country PMI'!$A$1:$AZ$1,),)=0,#N/A,VLOOKUP(A90,'DB Country PMI'!$A:$AZ,MATCH($A$1,'DB Country PMI'!$A$1:$AZ$1,),))</f>
        <v/>
      </c>
      <c r="C90" s="24">
        <f>Table13[[#This Row],[PMI]]-B89</f>
        <v/>
      </c>
    </row>
    <row r="91">
      <c r="A91" s="10" t="n">
        <v>36923</v>
      </c>
      <c r="B91" s="18">
        <f>IF(VLOOKUP(A91,'DB Country PMI'!$A:$AZ,MATCH($A$1,'DB Country PMI'!$A$1:$AZ$1,),)=0,#N/A,VLOOKUP(A91,'DB Country PMI'!$A:$AZ,MATCH($A$1,'DB Country PMI'!$A$1:$AZ$1,),))</f>
        <v/>
      </c>
      <c r="C91" s="24">
        <f>Table13[[#This Row],[PMI]]-B90</f>
        <v/>
      </c>
    </row>
    <row r="92">
      <c r="A92" s="10" t="n">
        <v>36951</v>
      </c>
      <c r="B92" s="18">
        <f>IF(VLOOKUP(A92,'DB Country PMI'!$A:$AZ,MATCH($A$1,'DB Country PMI'!$A$1:$AZ$1,),)=0,#N/A,VLOOKUP(A92,'DB Country PMI'!$A:$AZ,MATCH($A$1,'DB Country PMI'!$A$1:$AZ$1,),))</f>
        <v/>
      </c>
      <c r="C92" s="24">
        <f>Table13[[#This Row],[PMI]]-B91</f>
        <v/>
      </c>
    </row>
    <row r="93">
      <c r="A93" s="10" t="n">
        <v>36982</v>
      </c>
      <c r="B93" s="18">
        <f>IF(VLOOKUP(A93,'DB Country PMI'!$A:$AZ,MATCH($A$1,'DB Country PMI'!$A$1:$AZ$1,),)=0,#N/A,VLOOKUP(A93,'DB Country PMI'!$A:$AZ,MATCH($A$1,'DB Country PMI'!$A$1:$AZ$1,),))</f>
        <v/>
      </c>
      <c r="C93" s="24">
        <f>Table13[[#This Row],[PMI]]-B92</f>
        <v/>
      </c>
    </row>
    <row r="94">
      <c r="A94" s="10" t="n">
        <v>37012</v>
      </c>
      <c r="B94" s="18">
        <f>IF(VLOOKUP(A94,'DB Country PMI'!$A:$AZ,MATCH($A$1,'DB Country PMI'!$A$1:$AZ$1,),)=0,#N/A,VLOOKUP(A94,'DB Country PMI'!$A:$AZ,MATCH($A$1,'DB Country PMI'!$A$1:$AZ$1,),))</f>
        <v/>
      </c>
      <c r="C94" s="24">
        <f>Table13[[#This Row],[PMI]]-B93</f>
        <v/>
      </c>
    </row>
    <row r="95">
      <c r="A95" s="10" t="n">
        <v>37043</v>
      </c>
      <c r="B95" s="18">
        <f>IF(VLOOKUP(A95,'DB Country PMI'!$A:$AZ,MATCH($A$1,'DB Country PMI'!$A$1:$AZ$1,),)=0,#N/A,VLOOKUP(A95,'DB Country PMI'!$A:$AZ,MATCH($A$1,'DB Country PMI'!$A$1:$AZ$1,),))</f>
        <v/>
      </c>
      <c r="C95" s="24">
        <f>Table13[[#This Row],[PMI]]-B94</f>
        <v/>
      </c>
    </row>
    <row r="96">
      <c r="A96" s="10" t="n">
        <v>37073</v>
      </c>
      <c r="B96" s="18">
        <f>IF(VLOOKUP(A96,'DB Country PMI'!$A:$AZ,MATCH($A$1,'DB Country PMI'!$A$1:$AZ$1,),)=0,#N/A,VLOOKUP(A96,'DB Country PMI'!$A:$AZ,MATCH($A$1,'DB Country PMI'!$A$1:$AZ$1,),))</f>
        <v/>
      </c>
      <c r="C96" s="24">
        <f>Table13[[#This Row],[PMI]]-B95</f>
        <v/>
      </c>
    </row>
    <row r="97">
      <c r="A97" s="10" t="n">
        <v>37104</v>
      </c>
      <c r="B97" s="18">
        <f>IF(VLOOKUP(A97,'DB Country PMI'!$A:$AZ,MATCH($A$1,'DB Country PMI'!$A$1:$AZ$1,),)=0,#N/A,VLOOKUP(A97,'DB Country PMI'!$A:$AZ,MATCH($A$1,'DB Country PMI'!$A$1:$AZ$1,),))</f>
        <v/>
      </c>
      <c r="C97" s="24">
        <f>Table13[[#This Row],[PMI]]-B96</f>
        <v/>
      </c>
    </row>
    <row r="98">
      <c r="A98" s="10" t="n">
        <v>37135</v>
      </c>
      <c r="B98" s="18">
        <f>IF(VLOOKUP(A98,'DB Country PMI'!$A:$AZ,MATCH($A$1,'DB Country PMI'!$A$1:$AZ$1,),)=0,#N/A,VLOOKUP(A98,'DB Country PMI'!$A:$AZ,MATCH($A$1,'DB Country PMI'!$A$1:$AZ$1,),))</f>
        <v/>
      </c>
      <c r="C98" s="24">
        <f>Table13[[#This Row],[PMI]]-B97</f>
        <v/>
      </c>
    </row>
    <row r="99">
      <c r="A99" s="10" t="n">
        <v>37165</v>
      </c>
      <c r="B99" s="18">
        <f>IF(VLOOKUP(A99,'DB Country PMI'!$A:$AZ,MATCH($A$1,'DB Country PMI'!$A$1:$AZ$1,),)=0,#N/A,VLOOKUP(A99,'DB Country PMI'!$A:$AZ,MATCH($A$1,'DB Country PMI'!$A$1:$AZ$1,),))</f>
        <v/>
      </c>
      <c r="C99" s="24">
        <f>Table13[[#This Row],[PMI]]-B98</f>
        <v/>
      </c>
    </row>
    <row r="100">
      <c r="A100" s="10" t="n">
        <v>37196</v>
      </c>
      <c r="B100" s="18">
        <f>IF(VLOOKUP(A100,'DB Country PMI'!$A:$AZ,MATCH($A$1,'DB Country PMI'!$A$1:$AZ$1,),)=0,#N/A,VLOOKUP(A100,'DB Country PMI'!$A:$AZ,MATCH($A$1,'DB Country PMI'!$A$1:$AZ$1,),))</f>
        <v/>
      </c>
      <c r="C100" s="24">
        <f>Table13[[#This Row],[PMI]]-B99</f>
        <v/>
      </c>
    </row>
    <row r="101">
      <c r="A101" s="10" t="n">
        <v>37226</v>
      </c>
      <c r="B101" s="18">
        <f>IF(VLOOKUP(A101,'DB Country PMI'!$A:$AZ,MATCH($A$1,'DB Country PMI'!$A$1:$AZ$1,),)=0,#N/A,VLOOKUP(A101,'DB Country PMI'!$A:$AZ,MATCH($A$1,'DB Country PMI'!$A$1:$AZ$1,),))</f>
        <v/>
      </c>
      <c r="C101" s="24">
        <f>Table13[[#This Row],[PMI]]-B100</f>
        <v/>
      </c>
    </row>
    <row r="102">
      <c r="A102" s="10" t="n">
        <v>37257</v>
      </c>
      <c r="B102" s="18">
        <f>IF(VLOOKUP(A102,'DB Country PMI'!$A:$AZ,MATCH($A$1,'DB Country PMI'!$A$1:$AZ$1,),)=0,#N/A,VLOOKUP(A102,'DB Country PMI'!$A:$AZ,MATCH($A$1,'DB Country PMI'!$A$1:$AZ$1,),))</f>
        <v/>
      </c>
      <c r="C102" s="24">
        <f>Table13[[#This Row],[PMI]]-B101</f>
        <v/>
      </c>
    </row>
    <row r="103">
      <c r="A103" s="10" t="n">
        <v>37288</v>
      </c>
      <c r="B103" s="18">
        <f>IF(VLOOKUP(A103,'DB Country PMI'!$A:$AZ,MATCH($A$1,'DB Country PMI'!$A$1:$AZ$1,),)=0,#N/A,VLOOKUP(A103,'DB Country PMI'!$A:$AZ,MATCH($A$1,'DB Country PMI'!$A$1:$AZ$1,),))</f>
        <v/>
      </c>
      <c r="C103" s="24">
        <f>Table13[[#This Row],[PMI]]-B102</f>
        <v/>
      </c>
    </row>
    <row r="104">
      <c r="A104" s="10" t="n">
        <v>37316</v>
      </c>
      <c r="B104" s="18">
        <f>IF(VLOOKUP(A104,'DB Country PMI'!$A:$AZ,MATCH($A$1,'DB Country PMI'!$A$1:$AZ$1,),)=0,#N/A,VLOOKUP(A104,'DB Country PMI'!$A:$AZ,MATCH($A$1,'DB Country PMI'!$A$1:$AZ$1,),))</f>
        <v/>
      </c>
      <c r="C104" s="24">
        <f>Table13[[#This Row],[PMI]]-B103</f>
        <v/>
      </c>
    </row>
    <row r="105">
      <c r="A105" s="10" t="n">
        <v>37347</v>
      </c>
      <c r="B105" s="18">
        <f>IF(VLOOKUP(A105,'DB Country PMI'!$A:$AZ,MATCH($A$1,'DB Country PMI'!$A$1:$AZ$1,),)=0,#N/A,VLOOKUP(A105,'DB Country PMI'!$A:$AZ,MATCH($A$1,'DB Country PMI'!$A$1:$AZ$1,),))</f>
        <v/>
      </c>
      <c r="C105" s="24">
        <f>Table13[[#This Row],[PMI]]-B104</f>
        <v/>
      </c>
    </row>
    <row r="106">
      <c r="A106" s="10" t="n">
        <v>37377</v>
      </c>
      <c r="B106" s="18">
        <f>IF(VLOOKUP(A106,'DB Country PMI'!$A:$AZ,MATCH($A$1,'DB Country PMI'!$A$1:$AZ$1,),)=0,#N/A,VLOOKUP(A106,'DB Country PMI'!$A:$AZ,MATCH($A$1,'DB Country PMI'!$A$1:$AZ$1,),))</f>
        <v/>
      </c>
      <c r="C106" s="24">
        <f>Table13[[#This Row],[PMI]]-B105</f>
        <v/>
      </c>
    </row>
    <row r="107">
      <c r="A107" s="10" t="n">
        <v>37408</v>
      </c>
      <c r="B107" s="18">
        <f>IF(VLOOKUP(A107,'DB Country PMI'!$A:$AZ,MATCH($A$1,'DB Country PMI'!$A$1:$AZ$1,),)=0,#N/A,VLOOKUP(A107,'DB Country PMI'!$A:$AZ,MATCH($A$1,'DB Country PMI'!$A$1:$AZ$1,),))</f>
        <v/>
      </c>
      <c r="C107" s="24">
        <f>Table13[[#This Row],[PMI]]-B106</f>
        <v/>
      </c>
    </row>
    <row r="108">
      <c r="A108" s="10" t="n">
        <v>37438</v>
      </c>
      <c r="B108" s="18">
        <f>IF(VLOOKUP(A108,'DB Country PMI'!$A:$AZ,MATCH($A$1,'DB Country PMI'!$A$1:$AZ$1,),)=0,#N/A,VLOOKUP(A108,'DB Country PMI'!$A:$AZ,MATCH($A$1,'DB Country PMI'!$A$1:$AZ$1,),))</f>
        <v/>
      </c>
      <c r="C108" s="24">
        <f>Table13[[#This Row],[PMI]]-B107</f>
        <v/>
      </c>
    </row>
    <row r="109">
      <c r="A109" s="10" t="n">
        <v>37469</v>
      </c>
      <c r="B109" s="18">
        <f>IF(VLOOKUP(A109,'DB Country PMI'!$A:$AZ,MATCH($A$1,'DB Country PMI'!$A$1:$AZ$1,),)=0,#N/A,VLOOKUP(A109,'DB Country PMI'!$A:$AZ,MATCH($A$1,'DB Country PMI'!$A$1:$AZ$1,),))</f>
        <v/>
      </c>
      <c r="C109" s="24">
        <f>Table13[[#This Row],[PMI]]-B108</f>
        <v/>
      </c>
    </row>
    <row r="110">
      <c r="A110" s="10" t="n">
        <v>37500</v>
      </c>
      <c r="B110" s="18">
        <f>IF(VLOOKUP(A110,'DB Country PMI'!$A:$AZ,MATCH($A$1,'DB Country PMI'!$A$1:$AZ$1,),)=0,#N/A,VLOOKUP(A110,'DB Country PMI'!$A:$AZ,MATCH($A$1,'DB Country PMI'!$A$1:$AZ$1,),))</f>
        <v/>
      </c>
      <c r="C110" s="24">
        <f>Table13[[#This Row],[PMI]]-B109</f>
        <v/>
      </c>
    </row>
    <row r="111">
      <c r="A111" s="10" t="n">
        <v>37530</v>
      </c>
      <c r="B111" s="18">
        <f>IF(VLOOKUP(A111,'DB Country PMI'!$A:$AZ,MATCH($A$1,'DB Country PMI'!$A$1:$AZ$1,),)=0,#N/A,VLOOKUP(A111,'DB Country PMI'!$A:$AZ,MATCH($A$1,'DB Country PMI'!$A$1:$AZ$1,),))</f>
        <v/>
      </c>
      <c r="C111" s="24">
        <f>Table13[[#This Row],[PMI]]-B110</f>
        <v/>
      </c>
    </row>
    <row r="112">
      <c r="A112" s="14" t="n">
        <v>37561</v>
      </c>
      <c r="B112" s="18">
        <f>IF(VLOOKUP(A112,'DB Country PMI'!$A:$AZ,MATCH($A$1,'DB Country PMI'!$A$1:$AZ$1,),)=0,#N/A,VLOOKUP(A112,'DB Country PMI'!$A:$AZ,MATCH($A$1,'DB Country PMI'!$A$1:$AZ$1,),))</f>
        <v/>
      </c>
      <c r="C112" s="15">
        <f>Table13[[#This Row],[PMI]]-B111</f>
        <v/>
      </c>
    </row>
    <row r="113">
      <c r="A113" s="10" t="n">
        <v>37591</v>
      </c>
      <c r="B113" s="18">
        <f>IF(VLOOKUP(A113,'DB Country PMI'!$A:$AZ,MATCH($A$1,'DB Country PMI'!$A$1:$AZ$1,),)=0,#N/A,VLOOKUP(A113,'DB Country PMI'!$A:$AZ,MATCH($A$1,'DB Country PMI'!$A$1:$AZ$1,),))</f>
        <v/>
      </c>
      <c r="C113" s="24">
        <f>Table13[[#This Row],[PMI]]-B112</f>
        <v/>
      </c>
    </row>
    <row r="114">
      <c r="A114" s="10" t="n">
        <v>37622</v>
      </c>
      <c r="B114" s="18">
        <f>IF(VLOOKUP(A114,'DB Country PMI'!$A:$AZ,MATCH($A$1,'DB Country PMI'!$A$1:$AZ$1,),)=0,#N/A,VLOOKUP(A114,'DB Country PMI'!$A:$AZ,MATCH($A$1,'DB Country PMI'!$A$1:$AZ$1,),))</f>
        <v/>
      </c>
      <c r="C114" s="24">
        <f>Table13[[#This Row],[PMI]]-B113</f>
        <v/>
      </c>
    </row>
    <row r="115">
      <c r="A115" s="10" t="n">
        <v>37653</v>
      </c>
      <c r="B115" s="18">
        <f>IF(VLOOKUP(A115,'DB Country PMI'!$A:$AZ,MATCH($A$1,'DB Country PMI'!$A$1:$AZ$1,),)=0,#N/A,VLOOKUP(A115,'DB Country PMI'!$A:$AZ,MATCH($A$1,'DB Country PMI'!$A$1:$AZ$1,),))</f>
        <v/>
      </c>
      <c r="C115" s="24">
        <f>Table13[[#This Row],[PMI]]-B114</f>
        <v/>
      </c>
    </row>
    <row r="116">
      <c r="A116" s="10" t="n">
        <v>37681</v>
      </c>
      <c r="B116" s="18">
        <f>IF(VLOOKUP(A116,'DB Country PMI'!$A:$AZ,MATCH($A$1,'DB Country PMI'!$A$1:$AZ$1,),)=0,#N/A,VLOOKUP(A116,'DB Country PMI'!$A:$AZ,MATCH($A$1,'DB Country PMI'!$A$1:$AZ$1,),))</f>
        <v/>
      </c>
      <c r="C116" s="24">
        <f>Table13[[#This Row],[PMI]]-B115</f>
        <v/>
      </c>
    </row>
    <row r="117">
      <c r="A117" s="10" t="n">
        <v>37712</v>
      </c>
      <c r="B117" s="18">
        <f>IF(VLOOKUP(A117,'DB Country PMI'!$A:$AZ,MATCH($A$1,'DB Country PMI'!$A$1:$AZ$1,),)=0,#N/A,VLOOKUP(A117,'DB Country PMI'!$A:$AZ,MATCH($A$1,'DB Country PMI'!$A$1:$AZ$1,),))</f>
        <v/>
      </c>
      <c r="C117" s="24">
        <f>Table13[[#This Row],[PMI]]-B116</f>
        <v/>
      </c>
    </row>
    <row r="118">
      <c r="A118" s="10" t="n">
        <v>37742</v>
      </c>
      <c r="B118" s="18">
        <f>IF(VLOOKUP(A118,'DB Country PMI'!$A:$AZ,MATCH($A$1,'DB Country PMI'!$A$1:$AZ$1,),)=0,#N/A,VLOOKUP(A118,'DB Country PMI'!$A:$AZ,MATCH($A$1,'DB Country PMI'!$A$1:$AZ$1,),))</f>
        <v/>
      </c>
      <c r="C118" s="24">
        <f>Table13[[#This Row],[PMI]]-B117</f>
        <v/>
      </c>
    </row>
    <row r="119">
      <c r="A119" s="10" t="n">
        <v>37773</v>
      </c>
      <c r="B119" s="18">
        <f>IF(VLOOKUP(A119,'DB Country PMI'!$A:$AZ,MATCH($A$1,'DB Country PMI'!$A$1:$AZ$1,),)=0,#N/A,VLOOKUP(A119,'DB Country PMI'!$A:$AZ,MATCH($A$1,'DB Country PMI'!$A$1:$AZ$1,),))</f>
        <v/>
      </c>
      <c r="C119" s="24">
        <f>Table13[[#This Row],[PMI]]-B118</f>
        <v/>
      </c>
    </row>
    <row r="120">
      <c r="A120" s="10" t="n">
        <v>37803</v>
      </c>
      <c r="B120" s="18">
        <f>IF(VLOOKUP(A120,'DB Country PMI'!$A:$AZ,MATCH($A$1,'DB Country PMI'!$A$1:$AZ$1,),)=0,#N/A,VLOOKUP(A120,'DB Country PMI'!$A:$AZ,MATCH($A$1,'DB Country PMI'!$A$1:$AZ$1,),))</f>
        <v/>
      </c>
      <c r="C120" s="24">
        <f>Table13[[#This Row],[PMI]]-B119</f>
        <v/>
      </c>
    </row>
    <row r="121">
      <c r="A121" s="10" t="n">
        <v>37834</v>
      </c>
      <c r="B121" s="18">
        <f>IF(VLOOKUP(A121,'DB Country PMI'!$A:$AZ,MATCH($A$1,'DB Country PMI'!$A$1:$AZ$1,),)=0,#N/A,VLOOKUP(A121,'DB Country PMI'!$A:$AZ,MATCH($A$1,'DB Country PMI'!$A$1:$AZ$1,),))</f>
        <v/>
      </c>
      <c r="C121" s="24">
        <f>Table13[[#This Row],[PMI]]-B120</f>
        <v/>
      </c>
    </row>
    <row r="122">
      <c r="A122" s="10" t="n">
        <v>37865</v>
      </c>
      <c r="B122" s="18">
        <f>IF(VLOOKUP(A122,'DB Country PMI'!$A:$AZ,MATCH($A$1,'DB Country PMI'!$A$1:$AZ$1,),)=0,#N/A,VLOOKUP(A122,'DB Country PMI'!$A:$AZ,MATCH($A$1,'DB Country PMI'!$A$1:$AZ$1,),))</f>
        <v/>
      </c>
      <c r="C122" s="24">
        <f>Table13[[#This Row],[PMI]]-B121</f>
        <v/>
      </c>
    </row>
    <row r="123">
      <c r="A123" s="10" t="n">
        <v>37895</v>
      </c>
      <c r="B123" s="18">
        <f>IF(VLOOKUP(A123,'DB Country PMI'!$A:$AZ,MATCH($A$1,'DB Country PMI'!$A$1:$AZ$1,),)=0,#N/A,VLOOKUP(A123,'DB Country PMI'!$A:$AZ,MATCH($A$1,'DB Country PMI'!$A$1:$AZ$1,),))</f>
        <v/>
      </c>
      <c r="C123" s="24">
        <f>Table13[[#This Row],[PMI]]-B122</f>
        <v/>
      </c>
    </row>
    <row r="124">
      <c r="A124" s="10" t="n">
        <v>37926</v>
      </c>
      <c r="B124" s="18">
        <f>IF(VLOOKUP(A124,'DB Country PMI'!$A:$AZ,MATCH($A$1,'DB Country PMI'!$A$1:$AZ$1,),)=0,#N/A,VLOOKUP(A124,'DB Country PMI'!$A:$AZ,MATCH($A$1,'DB Country PMI'!$A$1:$AZ$1,),))</f>
        <v/>
      </c>
      <c r="C124" s="24">
        <f>Table13[[#This Row],[PMI]]-B123</f>
        <v/>
      </c>
    </row>
    <row r="125">
      <c r="A125" s="10" t="n">
        <v>37956</v>
      </c>
      <c r="B125" s="18">
        <f>IF(VLOOKUP(A125,'DB Country PMI'!$A:$AZ,MATCH($A$1,'DB Country PMI'!$A$1:$AZ$1,),)=0,#N/A,VLOOKUP(A125,'DB Country PMI'!$A:$AZ,MATCH($A$1,'DB Country PMI'!$A$1:$AZ$1,),))</f>
        <v/>
      </c>
      <c r="C125" s="24">
        <f>Table13[[#This Row],[PMI]]-B124</f>
        <v/>
      </c>
    </row>
    <row r="126">
      <c r="A126" s="10" t="n">
        <v>37987</v>
      </c>
      <c r="B126" s="18">
        <f>IF(VLOOKUP(A126,'DB Country PMI'!$A:$AZ,MATCH($A$1,'DB Country PMI'!$A$1:$AZ$1,),)=0,#N/A,VLOOKUP(A126,'DB Country PMI'!$A:$AZ,MATCH($A$1,'DB Country PMI'!$A$1:$AZ$1,),))</f>
        <v/>
      </c>
      <c r="C126" s="24">
        <f>Table13[[#This Row],[PMI]]-B125</f>
        <v/>
      </c>
    </row>
    <row r="127">
      <c r="A127" s="10" t="n">
        <v>38018</v>
      </c>
      <c r="B127" s="18">
        <f>IF(VLOOKUP(A127,'DB Country PMI'!$A:$AZ,MATCH($A$1,'DB Country PMI'!$A$1:$AZ$1,),)=0,#N/A,VLOOKUP(A127,'DB Country PMI'!$A:$AZ,MATCH($A$1,'DB Country PMI'!$A$1:$AZ$1,),))</f>
        <v/>
      </c>
      <c r="C127" s="24">
        <f>Table13[[#This Row],[PMI]]-B126</f>
        <v/>
      </c>
    </row>
    <row r="128">
      <c r="A128" s="10" t="n">
        <v>38047</v>
      </c>
      <c r="B128" s="18">
        <f>IF(VLOOKUP(A128,'DB Country PMI'!$A:$AZ,MATCH($A$1,'DB Country PMI'!$A$1:$AZ$1,),)=0,#N/A,VLOOKUP(A128,'DB Country PMI'!$A:$AZ,MATCH($A$1,'DB Country PMI'!$A$1:$AZ$1,),))</f>
        <v/>
      </c>
      <c r="C128" s="24">
        <f>Table13[[#This Row],[PMI]]-B127</f>
        <v/>
      </c>
    </row>
    <row r="129">
      <c r="A129" s="10" t="n">
        <v>38078</v>
      </c>
      <c r="B129" s="18">
        <f>IF(VLOOKUP(A129,'DB Country PMI'!$A:$AZ,MATCH($A$1,'DB Country PMI'!$A$1:$AZ$1,),)=0,#N/A,VLOOKUP(A129,'DB Country PMI'!$A:$AZ,MATCH($A$1,'DB Country PMI'!$A$1:$AZ$1,),))</f>
        <v/>
      </c>
      <c r="C129" s="24">
        <f>Table13[[#This Row],[PMI]]-B128</f>
        <v/>
      </c>
    </row>
    <row r="130">
      <c r="A130" s="10" t="n">
        <v>38108</v>
      </c>
      <c r="B130" s="18">
        <f>IF(VLOOKUP(A130,'DB Country PMI'!$A:$AZ,MATCH($A$1,'DB Country PMI'!$A$1:$AZ$1,),)=0,#N/A,VLOOKUP(A130,'DB Country PMI'!$A:$AZ,MATCH($A$1,'DB Country PMI'!$A$1:$AZ$1,),))</f>
        <v/>
      </c>
      <c r="C130" s="24">
        <f>Table13[[#This Row],[PMI]]-B129</f>
        <v/>
      </c>
    </row>
    <row r="131">
      <c r="A131" s="10" t="n">
        <v>38139</v>
      </c>
      <c r="B131" s="18">
        <f>IF(VLOOKUP(A131,'DB Country PMI'!$A:$AZ,MATCH($A$1,'DB Country PMI'!$A$1:$AZ$1,),)=0,#N/A,VLOOKUP(A131,'DB Country PMI'!$A:$AZ,MATCH($A$1,'DB Country PMI'!$A$1:$AZ$1,),))</f>
        <v/>
      </c>
      <c r="C131" s="24">
        <f>Table13[[#This Row],[PMI]]-B130</f>
        <v/>
      </c>
    </row>
    <row r="132">
      <c r="A132" s="10" t="n">
        <v>38169</v>
      </c>
      <c r="B132" s="18">
        <f>IF(VLOOKUP(A132,'DB Country PMI'!$A:$AZ,MATCH($A$1,'DB Country PMI'!$A$1:$AZ$1,),)=0,#N/A,VLOOKUP(A132,'DB Country PMI'!$A:$AZ,MATCH($A$1,'DB Country PMI'!$A$1:$AZ$1,),))</f>
        <v/>
      </c>
      <c r="C132" s="24">
        <f>Table13[[#This Row],[PMI]]-B131</f>
        <v/>
      </c>
    </row>
    <row r="133">
      <c r="A133" s="10" t="n">
        <v>38200</v>
      </c>
      <c r="B133" s="18">
        <f>IF(VLOOKUP(A133,'DB Country PMI'!$A:$AZ,MATCH($A$1,'DB Country PMI'!$A$1:$AZ$1,),)=0,#N/A,VLOOKUP(A133,'DB Country PMI'!$A:$AZ,MATCH($A$1,'DB Country PMI'!$A$1:$AZ$1,),))</f>
        <v/>
      </c>
      <c r="C133" s="24">
        <f>Table13[[#This Row],[PMI]]-B132</f>
        <v/>
      </c>
    </row>
    <row r="134">
      <c r="A134" s="10" t="n">
        <v>38231</v>
      </c>
      <c r="B134" s="18">
        <f>IF(VLOOKUP(A134,'DB Country PMI'!$A:$AZ,MATCH($A$1,'DB Country PMI'!$A$1:$AZ$1,),)=0,#N/A,VLOOKUP(A134,'DB Country PMI'!$A:$AZ,MATCH($A$1,'DB Country PMI'!$A$1:$AZ$1,),))</f>
        <v/>
      </c>
      <c r="C134" s="24">
        <f>Table13[[#This Row],[PMI]]-B133</f>
        <v/>
      </c>
    </row>
    <row r="135">
      <c r="A135" s="10" t="n">
        <v>38261</v>
      </c>
      <c r="B135" s="18">
        <f>IF(VLOOKUP(A135,'DB Country PMI'!$A:$AZ,MATCH($A$1,'DB Country PMI'!$A$1:$AZ$1,),)=0,#N/A,VLOOKUP(A135,'DB Country PMI'!$A:$AZ,MATCH($A$1,'DB Country PMI'!$A$1:$AZ$1,),))</f>
        <v/>
      </c>
      <c r="C135" s="24">
        <f>Table13[[#This Row],[PMI]]-B134</f>
        <v/>
      </c>
    </row>
    <row r="136">
      <c r="A136" s="10" t="n">
        <v>38292</v>
      </c>
      <c r="B136" s="18">
        <f>IF(VLOOKUP(A136,'DB Country PMI'!$A:$AZ,MATCH($A$1,'DB Country PMI'!$A$1:$AZ$1,),)=0,#N/A,VLOOKUP(A136,'DB Country PMI'!$A:$AZ,MATCH($A$1,'DB Country PMI'!$A$1:$AZ$1,),))</f>
        <v/>
      </c>
      <c r="C136" s="24">
        <f>Table13[[#This Row],[PMI]]-B135</f>
        <v/>
      </c>
    </row>
    <row r="137">
      <c r="A137" s="10" t="n">
        <v>38322</v>
      </c>
      <c r="B137" s="18">
        <f>IF(VLOOKUP(A137,'DB Country PMI'!$A:$AZ,MATCH($A$1,'DB Country PMI'!$A$1:$AZ$1,),)=0,#N/A,VLOOKUP(A137,'DB Country PMI'!$A:$AZ,MATCH($A$1,'DB Country PMI'!$A$1:$AZ$1,),))</f>
        <v/>
      </c>
      <c r="C137" s="24">
        <f>Table13[[#This Row],[PMI]]-B136</f>
        <v/>
      </c>
    </row>
    <row r="138">
      <c r="A138" s="10" t="n">
        <v>38353</v>
      </c>
      <c r="B138" s="18">
        <f>IF(VLOOKUP(A138,'DB Country PMI'!$A:$AZ,MATCH($A$1,'DB Country PMI'!$A$1:$AZ$1,),)=0,#N/A,VLOOKUP(A138,'DB Country PMI'!$A:$AZ,MATCH($A$1,'DB Country PMI'!$A$1:$AZ$1,),))</f>
        <v/>
      </c>
      <c r="C138" s="24">
        <f>Table13[[#This Row],[PMI]]-B137</f>
        <v/>
      </c>
    </row>
    <row r="139">
      <c r="A139" s="10" t="n">
        <v>38384</v>
      </c>
      <c r="B139" s="18">
        <f>IF(VLOOKUP(A139,'DB Country PMI'!$A:$AZ,MATCH($A$1,'DB Country PMI'!$A$1:$AZ$1,),)=0,#N/A,VLOOKUP(A139,'DB Country PMI'!$A:$AZ,MATCH($A$1,'DB Country PMI'!$A$1:$AZ$1,),))</f>
        <v/>
      </c>
      <c r="C139" s="24">
        <f>Table13[[#This Row],[PMI]]-B138</f>
        <v/>
      </c>
    </row>
    <row r="140">
      <c r="A140" s="10" t="n">
        <v>38412</v>
      </c>
      <c r="B140" s="18">
        <f>IF(VLOOKUP(A140,'DB Country PMI'!$A:$AZ,MATCH($A$1,'DB Country PMI'!$A$1:$AZ$1,),)=0,#N/A,VLOOKUP(A140,'DB Country PMI'!$A:$AZ,MATCH($A$1,'DB Country PMI'!$A$1:$AZ$1,),))</f>
        <v/>
      </c>
      <c r="C140" s="24">
        <f>Table13[[#This Row],[PMI]]-B139</f>
        <v/>
      </c>
    </row>
    <row r="141">
      <c r="A141" s="10" t="n">
        <v>38443</v>
      </c>
      <c r="B141" s="18">
        <f>IF(VLOOKUP(A141,'DB Country PMI'!$A:$AZ,MATCH($A$1,'DB Country PMI'!$A$1:$AZ$1,),)=0,#N/A,VLOOKUP(A141,'DB Country PMI'!$A:$AZ,MATCH($A$1,'DB Country PMI'!$A$1:$AZ$1,),))</f>
        <v/>
      </c>
      <c r="C141" s="24">
        <f>Table13[[#This Row],[PMI]]-B140</f>
        <v/>
      </c>
    </row>
    <row r="142">
      <c r="A142" s="10" t="n">
        <v>38473</v>
      </c>
      <c r="B142" s="18">
        <f>IF(VLOOKUP(A142,'DB Country PMI'!$A:$AZ,MATCH($A$1,'DB Country PMI'!$A$1:$AZ$1,),)=0,#N/A,VLOOKUP(A142,'DB Country PMI'!$A:$AZ,MATCH($A$1,'DB Country PMI'!$A$1:$AZ$1,),))</f>
        <v/>
      </c>
      <c r="C142" s="24">
        <f>Table13[[#This Row],[PMI]]-B141</f>
        <v/>
      </c>
    </row>
    <row r="143">
      <c r="A143" s="10" t="n">
        <v>38504</v>
      </c>
      <c r="B143" s="18">
        <f>IF(VLOOKUP(A143,'DB Country PMI'!$A:$AZ,MATCH($A$1,'DB Country PMI'!$A$1:$AZ$1,),)=0,#N/A,VLOOKUP(A143,'DB Country PMI'!$A:$AZ,MATCH($A$1,'DB Country PMI'!$A$1:$AZ$1,),))</f>
        <v/>
      </c>
      <c r="C143" s="24">
        <f>Table13[[#This Row],[PMI]]-B142</f>
        <v/>
      </c>
    </row>
    <row r="144">
      <c r="A144" s="10" t="n">
        <v>38534</v>
      </c>
      <c r="B144" s="18">
        <f>IF(VLOOKUP(A144,'DB Country PMI'!$A:$AZ,MATCH($A$1,'DB Country PMI'!$A$1:$AZ$1,),)=0,#N/A,VLOOKUP(A144,'DB Country PMI'!$A:$AZ,MATCH($A$1,'DB Country PMI'!$A$1:$AZ$1,),))</f>
        <v/>
      </c>
      <c r="C144" s="24">
        <f>Table13[[#This Row],[PMI]]-B143</f>
        <v/>
      </c>
    </row>
    <row r="145">
      <c r="A145" s="10" t="n">
        <v>38565</v>
      </c>
      <c r="B145" s="18">
        <f>IF(VLOOKUP(A145,'DB Country PMI'!$A:$AZ,MATCH($A$1,'DB Country PMI'!$A$1:$AZ$1,),)=0,#N/A,VLOOKUP(A145,'DB Country PMI'!$A:$AZ,MATCH($A$1,'DB Country PMI'!$A$1:$AZ$1,),))</f>
        <v/>
      </c>
      <c r="C145" s="24">
        <f>Table13[[#This Row],[PMI]]-B144</f>
        <v/>
      </c>
    </row>
    <row r="146">
      <c r="A146" s="10" t="n">
        <v>38596</v>
      </c>
      <c r="B146" s="18">
        <f>IF(VLOOKUP(A146,'DB Country PMI'!$A:$AZ,MATCH($A$1,'DB Country PMI'!$A$1:$AZ$1,),)=0,#N/A,VLOOKUP(A146,'DB Country PMI'!$A:$AZ,MATCH($A$1,'DB Country PMI'!$A$1:$AZ$1,),))</f>
        <v/>
      </c>
      <c r="C146" s="24">
        <f>Table13[[#This Row],[PMI]]-B145</f>
        <v/>
      </c>
    </row>
    <row r="147">
      <c r="A147" s="10" t="n">
        <v>38626</v>
      </c>
      <c r="B147" s="18">
        <f>IF(VLOOKUP(A147,'DB Country PMI'!$A:$AZ,MATCH($A$1,'DB Country PMI'!$A$1:$AZ$1,),)=0,#N/A,VLOOKUP(A147,'DB Country PMI'!$A:$AZ,MATCH($A$1,'DB Country PMI'!$A$1:$AZ$1,),))</f>
        <v/>
      </c>
      <c r="C147" s="24">
        <f>Table13[[#This Row],[PMI]]-B146</f>
        <v/>
      </c>
    </row>
    <row r="148">
      <c r="A148" s="10" t="n">
        <v>38657</v>
      </c>
      <c r="B148" s="18">
        <f>IF(VLOOKUP(A148,'DB Country PMI'!$A:$AZ,MATCH($A$1,'DB Country PMI'!$A$1:$AZ$1,),)=0,#N/A,VLOOKUP(A148,'DB Country PMI'!$A:$AZ,MATCH($A$1,'DB Country PMI'!$A$1:$AZ$1,),))</f>
        <v/>
      </c>
      <c r="C148" s="24">
        <f>Table13[[#This Row],[PMI]]-B147</f>
        <v/>
      </c>
    </row>
    <row r="149">
      <c r="A149" s="10" t="n">
        <v>38687</v>
      </c>
      <c r="B149" s="18">
        <f>IF(VLOOKUP(A149,'DB Country PMI'!$A:$AZ,MATCH($A$1,'DB Country PMI'!$A$1:$AZ$1,),)=0,#N/A,VLOOKUP(A149,'DB Country PMI'!$A:$AZ,MATCH($A$1,'DB Country PMI'!$A$1:$AZ$1,),))</f>
        <v/>
      </c>
      <c r="C149" s="24">
        <f>Table13[[#This Row],[PMI]]-B148</f>
        <v/>
      </c>
    </row>
    <row r="150">
      <c r="A150" s="10" t="n">
        <v>38718</v>
      </c>
      <c r="B150" s="18">
        <f>IF(VLOOKUP(A150,'DB Country PMI'!$A:$AZ,MATCH($A$1,'DB Country PMI'!$A$1:$AZ$1,),)=0,#N/A,VLOOKUP(A150,'DB Country PMI'!$A:$AZ,MATCH($A$1,'DB Country PMI'!$A$1:$AZ$1,),))</f>
        <v/>
      </c>
      <c r="C150" s="24">
        <f>Table13[[#This Row],[PMI]]-B149</f>
        <v/>
      </c>
    </row>
    <row r="151">
      <c r="A151" s="10" t="n">
        <v>38749</v>
      </c>
      <c r="B151" s="18">
        <f>IF(VLOOKUP(A151,'DB Country PMI'!$A:$AZ,MATCH($A$1,'DB Country PMI'!$A$1:$AZ$1,),)=0,#N/A,VLOOKUP(A151,'DB Country PMI'!$A:$AZ,MATCH($A$1,'DB Country PMI'!$A$1:$AZ$1,),))</f>
        <v/>
      </c>
      <c r="C151" s="24">
        <f>Table13[[#This Row],[PMI]]-B150</f>
        <v/>
      </c>
    </row>
    <row r="152">
      <c r="A152" s="10" t="n">
        <v>38777</v>
      </c>
      <c r="B152" s="18">
        <f>IF(VLOOKUP(A152,'DB Country PMI'!$A:$AZ,MATCH($A$1,'DB Country PMI'!$A$1:$AZ$1,),)=0,#N/A,VLOOKUP(A152,'DB Country PMI'!$A:$AZ,MATCH($A$1,'DB Country PMI'!$A$1:$AZ$1,),))</f>
        <v/>
      </c>
      <c r="C152" s="24">
        <f>Table13[[#This Row],[PMI]]-B151</f>
        <v/>
      </c>
    </row>
    <row r="153">
      <c r="A153" s="10" t="n">
        <v>38808</v>
      </c>
      <c r="B153" s="18">
        <f>IF(VLOOKUP(A153,'DB Country PMI'!$A:$AZ,MATCH($A$1,'DB Country PMI'!$A$1:$AZ$1,),)=0,#N/A,VLOOKUP(A153,'DB Country PMI'!$A:$AZ,MATCH($A$1,'DB Country PMI'!$A$1:$AZ$1,),))</f>
        <v/>
      </c>
      <c r="C153" s="24">
        <f>Table13[[#This Row],[PMI]]-B152</f>
        <v/>
      </c>
    </row>
    <row r="154">
      <c r="A154" s="10" t="n">
        <v>38838</v>
      </c>
      <c r="B154" s="18">
        <f>IF(VLOOKUP(A154,'DB Country PMI'!$A:$AZ,MATCH($A$1,'DB Country PMI'!$A$1:$AZ$1,),)=0,#N/A,VLOOKUP(A154,'DB Country PMI'!$A:$AZ,MATCH($A$1,'DB Country PMI'!$A$1:$AZ$1,),))</f>
        <v/>
      </c>
      <c r="C154" s="24">
        <f>Table13[[#This Row],[PMI]]-B153</f>
        <v/>
      </c>
    </row>
    <row r="155">
      <c r="A155" s="10" t="n">
        <v>38869</v>
      </c>
      <c r="B155" s="18">
        <f>IF(VLOOKUP(A155,'DB Country PMI'!$A:$AZ,MATCH($A$1,'DB Country PMI'!$A$1:$AZ$1,),)=0,#N/A,VLOOKUP(A155,'DB Country PMI'!$A:$AZ,MATCH($A$1,'DB Country PMI'!$A$1:$AZ$1,),))</f>
        <v/>
      </c>
      <c r="C155" s="24">
        <f>Table13[[#This Row],[PMI]]-B154</f>
        <v/>
      </c>
    </row>
    <row r="156">
      <c r="A156" s="10" t="n">
        <v>38899</v>
      </c>
      <c r="B156" s="18">
        <f>IF(VLOOKUP(A156,'DB Country PMI'!$A:$AZ,MATCH($A$1,'DB Country PMI'!$A$1:$AZ$1,),)=0,#N/A,VLOOKUP(A156,'DB Country PMI'!$A:$AZ,MATCH($A$1,'DB Country PMI'!$A$1:$AZ$1,),))</f>
        <v/>
      </c>
      <c r="C156" s="24">
        <f>Table13[[#This Row],[PMI]]-B155</f>
        <v/>
      </c>
    </row>
    <row r="157">
      <c r="A157" s="10" t="n">
        <v>38930</v>
      </c>
      <c r="B157" s="18">
        <f>IF(VLOOKUP(A157,'DB Country PMI'!$A:$AZ,MATCH($A$1,'DB Country PMI'!$A$1:$AZ$1,),)=0,#N/A,VLOOKUP(A157,'DB Country PMI'!$A:$AZ,MATCH($A$1,'DB Country PMI'!$A$1:$AZ$1,),))</f>
        <v/>
      </c>
      <c r="C157" s="24">
        <f>Table13[[#This Row],[PMI]]-B156</f>
        <v/>
      </c>
    </row>
    <row r="158">
      <c r="A158" s="10" t="n">
        <v>38961</v>
      </c>
      <c r="B158" s="18">
        <f>IF(VLOOKUP(A158,'DB Country PMI'!$A:$AZ,MATCH($A$1,'DB Country PMI'!$A$1:$AZ$1,),)=0,#N/A,VLOOKUP(A158,'DB Country PMI'!$A:$AZ,MATCH($A$1,'DB Country PMI'!$A$1:$AZ$1,),))</f>
        <v/>
      </c>
      <c r="C158" s="24">
        <f>Table13[[#This Row],[PMI]]-B157</f>
        <v/>
      </c>
    </row>
    <row r="159">
      <c r="A159" s="10" t="n">
        <v>38991</v>
      </c>
      <c r="B159" s="18">
        <f>IF(VLOOKUP(A159,'DB Country PMI'!$A:$AZ,MATCH($A$1,'DB Country PMI'!$A$1:$AZ$1,),)=0,#N/A,VLOOKUP(A159,'DB Country PMI'!$A:$AZ,MATCH($A$1,'DB Country PMI'!$A$1:$AZ$1,),))</f>
        <v/>
      </c>
      <c r="C159" s="24">
        <f>Table13[[#This Row],[PMI]]-B158</f>
        <v/>
      </c>
    </row>
    <row r="160">
      <c r="A160" s="10" t="n">
        <v>39022</v>
      </c>
      <c r="B160" s="18">
        <f>IF(VLOOKUP(A160,'DB Country PMI'!$A:$AZ,MATCH($A$1,'DB Country PMI'!$A$1:$AZ$1,),)=0,#N/A,VLOOKUP(A160,'DB Country PMI'!$A:$AZ,MATCH($A$1,'DB Country PMI'!$A$1:$AZ$1,),))</f>
        <v/>
      </c>
      <c r="C160" s="24">
        <f>Table13[[#This Row],[PMI]]-B159</f>
        <v/>
      </c>
    </row>
    <row r="161">
      <c r="A161" s="10" t="n">
        <v>39052</v>
      </c>
      <c r="B161" s="18">
        <f>IF(VLOOKUP(A161,'DB Country PMI'!$A:$AZ,MATCH($A$1,'DB Country PMI'!$A$1:$AZ$1,),)=0,#N/A,VLOOKUP(A161,'DB Country PMI'!$A:$AZ,MATCH($A$1,'DB Country PMI'!$A$1:$AZ$1,),))</f>
        <v/>
      </c>
      <c r="C161" s="24">
        <f>Table13[[#This Row],[PMI]]-B160</f>
        <v/>
      </c>
    </row>
    <row r="162">
      <c r="A162" s="10" t="n">
        <v>39083</v>
      </c>
      <c r="B162" s="18">
        <f>IF(VLOOKUP(A162,'DB Country PMI'!$A:$AZ,MATCH($A$1,'DB Country PMI'!$A$1:$AZ$1,),)=0,#N/A,VLOOKUP(A162,'DB Country PMI'!$A:$AZ,MATCH($A$1,'DB Country PMI'!$A$1:$AZ$1,),))</f>
        <v/>
      </c>
      <c r="C162" s="24">
        <f>Table13[[#This Row],[PMI]]-B161</f>
        <v/>
      </c>
    </row>
    <row r="163">
      <c r="A163" s="10" t="n">
        <v>39114</v>
      </c>
      <c r="B163" s="18">
        <f>IF(VLOOKUP(A163,'DB Country PMI'!$A:$AZ,MATCH($A$1,'DB Country PMI'!$A$1:$AZ$1,),)=0,#N/A,VLOOKUP(A163,'DB Country PMI'!$A:$AZ,MATCH($A$1,'DB Country PMI'!$A$1:$AZ$1,),))</f>
        <v/>
      </c>
      <c r="C163" s="24">
        <f>Table13[[#This Row],[PMI]]-B162</f>
        <v/>
      </c>
    </row>
    <row r="164">
      <c r="A164" s="10" t="n">
        <v>39142</v>
      </c>
      <c r="B164" s="18">
        <f>IF(VLOOKUP(A164,'DB Country PMI'!$A:$AZ,MATCH($A$1,'DB Country PMI'!$A$1:$AZ$1,),)=0,#N/A,VLOOKUP(A164,'DB Country PMI'!$A:$AZ,MATCH($A$1,'DB Country PMI'!$A$1:$AZ$1,),))</f>
        <v/>
      </c>
      <c r="C164" s="24">
        <f>Table13[[#This Row],[PMI]]-B163</f>
        <v/>
      </c>
    </row>
    <row r="165">
      <c r="A165" s="10" t="n">
        <v>39173</v>
      </c>
      <c r="B165" s="18">
        <f>IF(VLOOKUP(A165,'DB Country PMI'!$A:$AZ,MATCH($A$1,'DB Country PMI'!$A$1:$AZ$1,),)=0,#N/A,VLOOKUP(A165,'DB Country PMI'!$A:$AZ,MATCH($A$1,'DB Country PMI'!$A$1:$AZ$1,),))</f>
        <v/>
      </c>
      <c r="C165" s="24">
        <f>Table13[[#This Row],[PMI]]-B164</f>
        <v/>
      </c>
    </row>
    <row r="166">
      <c r="A166" s="10" t="n">
        <v>39203</v>
      </c>
      <c r="B166" s="18">
        <f>IF(VLOOKUP(A166,'DB Country PMI'!$A:$AZ,MATCH($A$1,'DB Country PMI'!$A$1:$AZ$1,),)=0,#N/A,VLOOKUP(A166,'DB Country PMI'!$A:$AZ,MATCH($A$1,'DB Country PMI'!$A$1:$AZ$1,),))</f>
        <v/>
      </c>
      <c r="C166" s="24">
        <f>Table13[[#This Row],[PMI]]-B165</f>
        <v/>
      </c>
    </row>
    <row r="167">
      <c r="A167" s="10" t="n">
        <v>39234</v>
      </c>
      <c r="B167" s="18">
        <f>IF(VLOOKUP(A167,'DB Country PMI'!$A:$AZ,MATCH($A$1,'DB Country PMI'!$A$1:$AZ$1,),)=0,#N/A,VLOOKUP(A167,'DB Country PMI'!$A:$AZ,MATCH($A$1,'DB Country PMI'!$A$1:$AZ$1,),))</f>
        <v/>
      </c>
      <c r="C167" s="24">
        <f>Table13[[#This Row],[PMI]]-B166</f>
        <v/>
      </c>
    </row>
    <row r="168">
      <c r="A168" s="10" t="n">
        <v>39264</v>
      </c>
      <c r="B168" s="18">
        <f>IF(VLOOKUP(A168,'DB Country PMI'!$A:$AZ,MATCH($A$1,'DB Country PMI'!$A$1:$AZ$1,),)=0,#N/A,VLOOKUP(A168,'DB Country PMI'!$A:$AZ,MATCH($A$1,'DB Country PMI'!$A$1:$AZ$1,),))</f>
        <v/>
      </c>
      <c r="C168" s="24">
        <f>Table13[[#This Row],[PMI]]-B167</f>
        <v/>
      </c>
    </row>
    <row r="169">
      <c r="A169" s="10" t="n">
        <v>39295</v>
      </c>
      <c r="B169" s="18">
        <f>IF(VLOOKUP(A169,'DB Country PMI'!$A:$AZ,MATCH($A$1,'DB Country PMI'!$A$1:$AZ$1,),)=0,#N/A,VLOOKUP(A169,'DB Country PMI'!$A:$AZ,MATCH($A$1,'DB Country PMI'!$A$1:$AZ$1,),))</f>
        <v/>
      </c>
      <c r="C169" s="24">
        <f>Table13[[#This Row],[PMI]]-B168</f>
        <v/>
      </c>
    </row>
    <row r="170">
      <c r="A170" s="10" t="n">
        <v>39326</v>
      </c>
      <c r="B170" s="18">
        <f>IF(VLOOKUP(A170,'DB Country PMI'!$A:$AZ,MATCH($A$1,'DB Country PMI'!$A$1:$AZ$1,),)=0,#N/A,VLOOKUP(A170,'DB Country PMI'!$A:$AZ,MATCH($A$1,'DB Country PMI'!$A$1:$AZ$1,),))</f>
        <v/>
      </c>
      <c r="C170" s="24">
        <f>Table13[[#This Row],[PMI]]-B169</f>
        <v/>
      </c>
    </row>
    <row r="171">
      <c r="A171" s="10" t="n">
        <v>39356</v>
      </c>
      <c r="B171" s="18">
        <f>IF(VLOOKUP(A171,'DB Country PMI'!$A:$AZ,MATCH($A$1,'DB Country PMI'!$A$1:$AZ$1,),)=0,#N/A,VLOOKUP(A171,'DB Country PMI'!$A:$AZ,MATCH($A$1,'DB Country PMI'!$A$1:$AZ$1,),))</f>
        <v/>
      </c>
      <c r="C171" s="24">
        <f>Table13[[#This Row],[PMI]]-B170</f>
        <v/>
      </c>
    </row>
    <row r="172">
      <c r="A172" s="10" t="n">
        <v>39387</v>
      </c>
      <c r="B172" s="18">
        <f>IF(VLOOKUP(A172,'DB Country PMI'!$A:$AZ,MATCH($A$1,'DB Country PMI'!$A$1:$AZ$1,),)=0,#N/A,VLOOKUP(A172,'DB Country PMI'!$A:$AZ,MATCH($A$1,'DB Country PMI'!$A$1:$AZ$1,),))</f>
        <v/>
      </c>
      <c r="C172" s="24">
        <f>Table13[[#This Row],[PMI]]-B171</f>
        <v/>
      </c>
    </row>
    <row r="173">
      <c r="A173" s="10" t="n">
        <v>39417</v>
      </c>
      <c r="B173" s="18">
        <f>IF(VLOOKUP(A173,'DB Country PMI'!$A:$AZ,MATCH($A$1,'DB Country PMI'!$A$1:$AZ$1,),)=0,#N/A,VLOOKUP(A173,'DB Country PMI'!$A:$AZ,MATCH($A$1,'DB Country PMI'!$A$1:$AZ$1,),))</f>
        <v/>
      </c>
      <c r="C173" s="24">
        <f>Table13[[#This Row],[PMI]]-B172</f>
        <v/>
      </c>
    </row>
    <row r="174">
      <c r="A174" s="10" t="n">
        <v>39448</v>
      </c>
      <c r="B174" s="18">
        <f>IF(VLOOKUP(A174,'DB Country PMI'!$A:$AZ,MATCH($A$1,'DB Country PMI'!$A$1:$AZ$1,),)=0,#N/A,VLOOKUP(A174,'DB Country PMI'!$A:$AZ,MATCH($A$1,'DB Country PMI'!$A$1:$AZ$1,),))</f>
        <v/>
      </c>
      <c r="C174" s="24">
        <f>Table13[[#This Row],[PMI]]-B173</f>
        <v/>
      </c>
    </row>
    <row r="175">
      <c r="A175" s="10" t="n">
        <v>39479</v>
      </c>
      <c r="B175" s="18">
        <f>IF(VLOOKUP(A175,'DB Country PMI'!$A:$AZ,MATCH($A$1,'DB Country PMI'!$A$1:$AZ$1,),)=0,#N/A,VLOOKUP(A175,'DB Country PMI'!$A:$AZ,MATCH($A$1,'DB Country PMI'!$A$1:$AZ$1,),))</f>
        <v/>
      </c>
      <c r="C175" s="24">
        <f>Table13[[#This Row],[PMI]]-B174</f>
        <v/>
      </c>
    </row>
    <row r="176">
      <c r="A176" s="10" t="n">
        <v>39508</v>
      </c>
      <c r="B176" s="18">
        <f>IF(VLOOKUP(A176,'DB Country PMI'!$A:$AZ,MATCH($A$1,'DB Country PMI'!$A$1:$AZ$1,),)=0,#N/A,VLOOKUP(A176,'DB Country PMI'!$A:$AZ,MATCH($A$1,'DB Country PMI'!$A$1:$AZ$1,),))</f>
        <v/>
      </c>
      <c r="C176" s="24">
        <f>Table13[[#This Row],[PMI]]-B175</f>
        <v/>
      </c>
    </row>
    <row r="177">
      <c r="A177" s="10" t="n">
        <v>39539</v>
      </c>
      <c r="B177" s="18">
        <f>IF(VLOOKUP(A177,'DB Country PMI'!$A:$AZ,MATCH($A$1,'DB Country PMI'!$A$1:$AZ$1,),)=0,#N/A,VLOOKUP(A177,'DB Country PMI'!$A:$AZ,MATCH($A$1,'DB Country PMI'!$A$1:$AZ$1,),))</f>
        <v/>
      </c>
      <c r="C177" s="24">
        <f>Table13[[#This Row],[PMI]]-B176</f>
        <v/>
      </c>
    </row>
    <row r="178">
      <c r="A178" s="10" t="n">
        <v>39569</v>
      </c>
      <c r="B178" s="18">
        <f>IF(VLOOKUP(A178,'DB Country PMI'!$A:$AZ,MATCH($A$1,'DB Country PMI'!$A$1:$AZ$1,),)=0,#N/A,VLOOKUP(A178,'DB Country PMI'!$A:$AZ,MATCH($A$1,'DB Country PMI'!$A$1:$AZ$1,),))</f>
        <v/>
      </c>
      <c r="C178" s="24">
        <f>Table13[[#This Row],[PMI]]-B177</f>
        <v/>
      </c>
    </row>
    <row r="179">
      <c r="A179" s="10" t="n">
        <v>39600</v>
      </c>
      <c r="B179" s="18">
        <f>IF(VLOOKUP(A179,'DB Country PMI'!$A:$AZ,MATCH($A$1,'DB Country PMI'!$A$1:$AZ$1,),)=0,#N/A,VLOOKUP(A179,'DB Country PMI'!$A:$AZ,MATCH($A$1,'DB Country PMI'!$A$1:$AZ$1,),))</f>
        <v/>
      </c>
      <c r="C179" s="24">
        <f>Table13[[#This Row],[PMI]]-B178</f>
        <v/>
      </c>
    </row>
    <row r="180">
      <c r="A180" s="10" t="n">
        <v>39630</v>
      </c>
      <c r="B180" s="18">
        <f>IF(VLOOKUP(A180,'DB Country PMI'!$A:$AZ,MATCH($A$1,'DB Country PMI'!$A$1:$AZ$1,),)=0,#N/A,VLOOKUP(A180,'DB Country PMI'!$A:$AZ,MATCH($A$1,'DB Country PMI'!$A$1:$AZ$1,),))</f>
        <v/>
      </c>
      <c r="C180" s="24">
        <f>Table13[[#This Row],[PMI]]-B179</f>
        <v/>
      </c>
    </row>
    <row r="181">
      <c r="A181" s="10" t="n">
        <v>39661</v>
      </c>
      <c r="B181" s="18">
        <f>IF(VLOOKUP(A181,'DB Country PMI'!$A:$AZ,MATCH($A$1,'DB Country PMI'!$A$1:$AZ$1,),)=0,#N/A,VLOOKUP(A181,'DB Country PMI'!$A:$AZ,MATCH($A$1,'DB Country PMI'!$A$1:$AZ$1,),))</f>
        <v/>
      </c>
      <c r="C181" s="24">
        <f>Table13[[#This Row],[PMI]]-B180</f>
        <v/>
      </c>
    </row>
    <row r="182">
      <c r="A182" s="10" t="n">
        <v>39692</v>
      </c>
      <c r="B182" s="18">
        <f>IF(VLOOKUP(A182,'DB Country PMI'!$A:$AZ,MATCH($A$1,'DB Country PMI'!$A$1:$AZ$1,),)=0,#N/A,VLOOKUP(A182,'DB Country PMI'!$A:$AZ,MATCH($A$1,'DB Country PMI'!$A$1:$AZ$1,),))</f>
        <v/>
      </c>
      <c r="C182" s="24">
        <f>Table13[[#This Row],[PMI]]-B181</f>
        <v/>
      </c>
    </row>
    <row r="183">
      <c r="A183" s="10" t="n">
        <v>39722</v>
      </c>
      <c r="B183" s="18">
        <f>IF(VLOOKUP(A183,'DB Country PMI'!$A:$AZ,MATCH($A$1,'DB Country PMI'!$A$1:$AZ$1,),)=0,#N/A,VLOOKUP(A183,'DB Country PMI'!$A:$AZ,MATCH($A$1,'DB Country PMI'!$A$1:$AZ$1,),))</f>
        <v/>
      </c>
      <c r="C183" s="24">
        <f>Table13[[#This Row],[PMI]]-B182</f>
        <v/>
      </c>
    </row>
    <row r="184">
      <c r="A184" s="10" t="n">
        <v>39753</v>
      </c>
      <c r="B184" s="18">
        <f>IF(VLOOKUP(A184,'DB Country PMI'!$A:$AZ,MATCH($A$1,'DB Country PMI'!$A$1:$AZ$1,),)=0,#N/A,VLOOKUP(A184,'DB Country PMI'!$A:$AZ,MATCH($A$1,'DB Country PMI'!$A$1:$AZ$1,),))</f>
        <v/>
      </c>
      <c r="C184" s="24">
        <f>Table13[[#This Row],[PMI]]-B183</f>
        <v/>
      </c>
    </row>
    <row r="185">
      <c r="A185" s="10" t="n">
        <v>39783</v>
      </c>
      <c r="B185" s="18">
        <f>IF(VLOOKUP(A185,'DB Country PMI'!$A:$AZ,MATCH($A$1,'DB Country PMI'!$A$1:$AZ$1,),)=0,#N/A,VLOOKUP(A185,'DB Country PMI'!$A:$AZ,MATCH($A$1,'DB Country PMI'!$A$1:$AZ$1,),))</f>
        <v/>
      </c>
      <c r="C185" s="24">
        <f>Table13[[#This Row],[PMI]]-B184</f>
        <v/>
      </c>
    </row>
    <row r="186">
      <c r="A186" s="10" t="n">
        <v>39814</v>
      </c>
      <c r="B186" s="18">
        <f>IF(VLOOKUP(A186,'DB Country PMI'!$A:$AZ,MATCH($A$1,'DB Country PMI'!$A$1:$AZ$1,),)=0,#N/A,VLOOKUP(A186,'DB Country PMI'!$A:$AZ,MATCH($A$1,'DB Country PMI'!$A$1:$AZ$1,),))</f>
        <v/>
      </c>
      <c r="C186" s="24">
        <f>Table13[[#This Row],[PMI]]-B185</f>
        <v/>
      </c>
    </row>
    <row r="187">
      <c r="A187" s="10" t="n">
        <v>39845</v>
      </c>
      <c r="B187" s="18">
        <f>IF(VLOOKUP(A187,'DB Country PMI'!$A:$AZ,MATCH($A$1,'DB Country PMI'!$A$1:$AZ$1,),)=0,#N/A,VLOOKUP(A187,'DB Country PMI'!$A:$AZ,MATCH($A$1,'DB Country PMI'!$A$1:$AZ$1,),))</f>
        <v/>
      </c>
      <c r="C187" s="24">
        <f>Table13[[#This Row],[PMI]]-B186</f>
        <v/>
      </c>
    </row>
    <row r="188">
      <c r="A188" s="10" t="n">
        <v>39873</v>
      </c>
      <c r="B188" s="18">
        <f>IF(VLOOKUP(A188,'DB Country PMI'!$A:$AZ,MATCH($A$1,'DB Country PMI'!$A$1:$AZ$1,),)=0,#N/A,VLOOKUP(A188,'DB Country PMI'!$A:$AZ,MATCH($A$1,'DB Country PMI'!$A$1:$AZ$1,),))</f>
        <v/>
      </c>
      <c r="C188" s="24">
        <f>Table13[[#This Row],[PMI]]-B187</f>
        <v/>
      </c>
    </row>
    <row r="189">
      <c r="A189" s="10" t="n">
        <v>39904</v>
      </c>
      <c r="B189" s="18">
        <f>IF(VLOOKUP(A189,'DB Country PMI'!$A:$AZ,MATCH($A$1,'DB Country PMI'!$A$1:$AZ$1,),)=0,#N/A,VLOOKUP(A189,'DB Country PMI'!$A:$AZ,MATCH($A$1,'DB Country PMI'!$A$1:$AZ$1,),))</f>
        <v/>
      </c>
      <c r="C189" s="24">
        <f>Table13[[#This Row],[PMI]]-B188</f>
        <v/>
      </c>
    </row>
    <row r="190">
      <c r="A190" s="10" t="n">
        <v>39934</v>
      </c>
      <c r="B190" s="18">
        <f>IF(VLOOKUP(A190,'DB Country PMI'!$A:$AZ,MATCH($A$1,'DB Country PMI'!$A$1:$AZ$1,),)=0,#N/A,VLOOKUP(A190,'DB Country PMI'!$A:$AZ,MATCH($A$1,'DB Country PMI'!$A$1:$AZ$1,),))</f>
        <v/>
      </c>
      <c r="C190" s="24">
        <f>Table13[[#This Row],[PMI]]-B189</f>
        <v/>
      </c>
    </row>
    <row r="191">
      <c r="A191" s="10" t="n">
        <v>39965</v>
      </c>
      <c r="B191" s="18">
        <f>IF(VLOOKUP(A191,'DB Country PMI'!$A:$AZ,MATCH($A$1,'DB Country PMI'!$A$1:$AZ$1,),)=0,#N/A,VLOOKUP(A191,'DB Country PMI'!$A:$AZ,MATCH($A$1,'DB Country PMI'!$A$1:$AZ$1,),))</f>
        <v/>
      </c>
      <c r="C191" s="24">
        <f>Table13[[#This Row],[PMI]]-B190</f>
        <v/>
      </c>
    </row>
    <row r="192">
      <c r="A192" s="10" t="n">
        <v>39995</v>
      </c>
      <c r="B192" s="18">
        <f>IF(VLOOKUP(A192,'DB Country PMI'!$A:$AZ,MATCH($A$1,'DB Country PMI'!$A$1:$AZ$1,),)=0,#N/A,VLOOKUP(A192,'DB Country PMI'!$A:$AZ,MATCH($A$1,'DB Country PMI'!$A$1:$AZ$1,),))</f>
        <v/>
      </c>
      <c r="C192" s="24">
        <f>Table13[[#This Row],[PMI]]-B191</f>
        <v/>
      </c>
    </row>
    <row r="193">
      <c r="A193" s="10" t="n">
        <v>40026</v>
      </c>
      <c r="B193" s="18">
        <f>IF(VLOOKUP(A193,'DB Country PMI'!$A:$AZ,MATCH($A$1,'DB Country PMI'!$A$1:$AZ$1,),)=0,#N/A,VLOOKUP(A193,'DB Country PMI'!$A:$AZ,MATCH($A$1,'DB Country PMI'!$A$1:$AZ$1,),))</f>
        <v/>
      </c>
      <c r="C193" s="24">
        <f>Table13[[#This Row],[PMI]]-B192</f>
        <v/>
      </c>
    </row>
    <row r="194">
      <c r="A194" s="10" t="n">
        <v>40057</v>
      </c>
      <c r="B194" s="18">
        <f>IF(VLOOKUP(A194,'DB Country PMI'!$A:$AZ,MATCH($A$1,'DB Country PMI'!$A$1:$AZ$1,),)=0,#N/A,VLOOKUP(A194,'DB Country PMI'!$A:$AZ,MATCH($A$1,'DB Country PMI'!$A$1:$AZ$1,),))</f>
        <v/>
      </c>
      <c r="C194" s="24">
        <f>Table13[[#This Row],[PMI]]-B193</f>
        <v/>
      </c>
    </row>
    <row r="195">
      <c r="A195" s="10" t="n">
        <v>40087</v>
      </c>
      <c r="B195" s="18">
        <f>IF(VLOOKUP(A195,'DB Country PMI'!$A:$AZ,MATCH($A$1,'DB Country PMI'!$A$1:$AZ$1,),)=0,#N/A,VLOOKUP(A195,'DB Country PMI'!$A:$AZ,MATCH($A$1,'DB Country PMI'!$A$1:$AZ$1,),))</f>
        <v/>
      </c>
      <c r="C195" s="24">
        <f>Table13[[#This Row],[PMI]]-B194</f>
        <v/>
      </c>
    </row>
    <row r="196">
      <c r="A196" s="10" t="n">
        <v>40118</v>
      </c>
      <c r="B196" s="18">
        <f>IF(VLOOKUP(A196,'DB Country PMI'!$A:$AZ,MATCH($A$1,'DB Country PMI'!$A$1:$AZ$1,),)=0,#N/A,VLOOKUP(A196,'DB Country PMI'!$A:$AZ,MATCH($A$1,'DB Country PMI'!$A$1:$AZ$1,),))</f>
        <v/>
      </c>
      <c r="C196" s="24">
        <f>Table13[[#This Row],[PMI]]-B195</f>
        <v/>
      </c>
    </row>
    <row r="197">
      <c r="A197" s="10" t="n">
        <v>40148</v>
      </c>
      <c r="B197" s="18">
        <f>IF(VLOOKUP(A197,'DB Country PMI'!$A:$AZ,MATCH($A$1,'DB Country PMI'!$A$1:$AZ$1,),)=0,#N/A,VLOOKUP(A197,'DB Country PMI'!$A:$AZ,MATCH($A$1,'DB Country PMI'!$A$1:$AZ$1,),))</f>
        <v/>
      </c>
      <c r="C197" s="24">
        <f>Table13[[#This Row],[PMI]]-B196</f>
        <v/>
      </c>
    </row>
    <row r="198">
      <c r="A198" s="10" t="n">
        <v>40179</v>
      </c>
      <c r="B198" s="18">
        <f>IF(VLOOKUP(A198,'DB Country PMI'!$A:$AZ,MATCH($A$1,'DB Country PMI'!$A$1:$AZ$1,),)=0,#N/A,VLOOKUP(A198,'DB Country PMI'!$A:$AZ,MATCH($A$1,'DB Country PMI'!$A$1:$AZ$1,),))</f>
        <v/>
      </c>
      <c r="C198" s="24">
        <f>Table13[[#This Row],[PMI]]-B197</f>
        <v/>
      </c>
    </row>
    <row r="199">
      <c r="A199" s="10" t="n">
        <v>40210</v>
      </c>
      <c r="B199" s="18">
        <f>IF(VLOOKUP(A199,'DB Country PMI'!$A:$AZ,MATCH($A$1,'DB Country PMI'!$A$1:$AZ$1,),)=0,#N/A,VLOOKUP(A199,'DB Country PMI'!$A:$AZ,MATCH($A$1,'DB Country PMI'!$A$1:$AZ$1,),))</f>
        <v/>
      </c>
      <c r="C199" s="24">
        <f>Table13[[#This Row],[PMI]]-B198</f>
        <v/>
      </c>
    </row>
    <row r="200">
      <c r="A200" s="10" t="n">
        <v>40238</v>
      </c>
      <c r="B200" s="18">
        <f>IF(VLOOKUP(A200,'DB Country PMI'!$A:$AZ,MATCH($A$1,'DB Country PMI'!$A$1:$AZ$1,),)=0,#N/A,VLOOKUP(A200,'DB Country PMI'!$A:$AZ,MATCH($A$1,'DB Country PMI'!$A$1:$AZ$1,),))</f>
        <v/>
      </c>
      <c r="C200" s="24">
        <f>Table13[[#This Row],[PMI]]-B199</f>
        <v/>
      </c>
    </row>
    <row r="201">
      <c r="A201" s="10" t="n">
        <v>40269</v>
      </c>
      <c r="B201" s="18">
        <f>IF(VLOOKUP(A201,'DB Country PMI'!$A:$AZ,MATCH($A$1,'DB Country PMI'!$A$1:$AZ$1,),)=0,#N/A,VLOOKUP(A201,'DB Country PMI'!$A:$AZ,MATCH($A$1,'DB Country PMI'!$A$1:$AZ$1,),))</f>
        <v/>
      </c>
      <c r="C201" s="24">
        <f>Table13[[#This Row],[PMI]]-B200</f>
        <v/>
      </c>
    </row>
    <row r="202">
      <c r="A202" s="10" t="n">
        <v>40299</v>
      </c>
      <c r="B202" s="18">
        <f>IF(VLOOKUP(A202,'DB Country PMI'!$A:$AZ,MATCH($A$1,'DB Country PMI'!$A$1:$AZ$1,),)=0,#N/A,VLOOKUP(A202,'DB Country PMI'!$A:$AZ,MATCH($A$1,'DB Country PMI'!$A$1:$AZ$1,),))</f>
        <v/>
      </c>
      <c r="C202" s="24">
        <f>Table13[[#This Row],[PMI]]-B201</f>
        <v/>
      </c>
    </row>
    <row r="203">
      <c r="A203" s="10" t="n">
        <v>40330</v>
      </c>
      <c r="B203" s="18">
        <f>IF(VLOOKUP(A203,'DB Country PMI'!$A:$AZ,MATCH($A$1,'DB Country PMI'!$A$1:$AZ$1,),)=0,#N/A,VLOOKUP(A203,'DB Country PMI'!$A:$AZ,MATCH($A$1,'DB Country PMI'!$A$1:$AZ$1,),))</f>
        <v/>
      </c>
      <c r="C203" s="24">
        <f>Table13[[#This Row],[PMI]]-B202</f>
        <v/>
      </c>
    </row>
    <row r="204">
      <c r="A204" s="10" t="n">
        <v>40360</v>
      </c>
      <c r="B204" s="18">
        <f>IF(VLOOKUP(A204,'DB Country PMI'!$A:$AZ,MATCH($A$1,'DB Country PMI'!$A$1:$AZ$1,),)=0,#N/A,VLOOKUP(A204,'DB Country PMI'!$A:$AZ,MATCH($A$1,'DB Country PMI'!$A$1:$AZ$1,),))</f>
        <v/>
      </c>
      <c r="C204" s="24">
        <f>Table13[[#This Row],[PMI]]-B203</f>
        <v/>
      </c>
    </row>
    <row r="205">
      <c r="A205" s="10" t="n">
        <v>40391</v>
      </c>
      <c r="B205" s="18">
        <f>IF(VLOOKUP(A205,'DB Country PMI'!$A:$AZ,MATCH($A$1,'DB Country PMI'!$A$1:$AZ$1,),)=0,#N/A,VLOOKUP(A205,'DB Country PMI'!$A:$AZ,MATCH($A$1,'DB Country PMI'!$A$1:$AZ$1,),))</f>
        <v/>
      </c>
      <c r="C205" s="24">
        <f>Table13[[#This Row],[PMI]]-B204</f>
        <v/>
      </c>
    </row>
    <row r="206">
      <c r="A206" s="10" t="n">
        <v>40422</v>
      </c>
      <c r="B206" s="18">
        <f>IF(VLOOKUP(A206,'DB Country PMI'!$A:$AZ,MATCH($A$1,'DB Country PMI'!$A$1:$AZ$1,),)=0,#N/A,VLOOKUP(A206,'DB Country PMI'!$A:$AZ,MATCH($A$1,'DB Country PMI'!$A$1:$AZ$1,),))</f>
        <v/>
      </c>
      <c r="C206" s="24">
        <f>Table13[[#This Row],[PMI]]-B205</f>
        <v/>
      </c>
    </row>
    <row r="207">
      <c r="A207" s="10" t="n">
        <v>40452</v>
      </c>
      <c r="B207" s="18">
        <f>IF(VLOOKUP(A207,'DB Country PMI'!$A:$AZ,MATCH($A$1,'DB Country PMI'!$A$1:$AZ$1,),)=0,#N/A,VLOOKUP(A207,'DB Country PMI'!$A:$AZ,MATCH($A$1,'DB Country PMI'!$A$1:$AZ$1,),))</f>
        <v/>
      </c>
      <c r="C207" s="24">
        <f>Table13[[#This Row],[PMI]]-B206</f>
        <v/>
      </c>
    </row>
    <row r="208">
      <c r="A208" s="10" t="n">
        <v>40483</v>
      </c>
      <c r="B208" s="18">
        <f>IF(VLOOKUP(A208,'DB Country PMI'!$A:$AZ,MATCH($A$1,'DB Country PMI'!$A$1:$AZ$1,),)=0,#N/A,VLOOKUP(A208,'DB Country PMI'!$A:$AZ,MATCH($A$1,'DB Country PMI'!$A$1:$AZ$1,),))</f>
        <v/>
      </c>
      <c r="C208" s="24">
        <f>Table13[[#This Row],[PMI]]-B207</f>
        <v/>
      </c>
    </row>
    <row r="209">
      <c r="A209" s="10" t="n">
        <v>40513</v>
      </c>
      <c r="B209" s="18">
        <f>IF(VLOOKUP(A209,'DB Country PMI'!$A:$AZ,MATCH($A$1,'DB Country PMI'!$A$1:$AZ$1,),)=0,#N/A,VLOOKUP(A209,'DB Country PMI'!$A:$AZ,MATCH($A$1,'DB Country PMI'!$A$1:$AZ$1,),))</f>
        <v/>
      </c>
      <c r="C209" s="24">
        <f>Table13[[#This Row],[PMI]]-B208</f>
        <v/>
      </c>
    </row>
    <row r="210">
      <c r="A210" s="10" t="n">
        <v>40544</v>
      </c>
      <c r="B210" s="18">
        <f>IF(VLOOKUP(A210,'DB Country PMI'!$A:$AZ,MATCH($A$1,'DB Country PMI'!$A$1:$AZ$1,),)=0,#N/A,VLOOKUP(A210,'DB Country PMI'!$A:$AZ,MATCH($A$1,'DB Country PMI'!$A$1:$AZ$1,),))</f>
        <v/>
      </c>
      <c r="C210" s="24">
        <f>Table13[[#This Row],[PMI]]-B209</f>
        <v/>
      </c>
    </row>
    <row r="211">
      <c r="A211" s="10" t="n">
        <v>40575</v>
      </c>
      <c r="B211" s="18">
        <f>IF(VLOOKUP(A211,'DB Country PMI'!$A:$AZ,MATCH($A$1,'DB Country PMI'!$A$1:$AZ$1,),)=0,#N/A,VLOOKUP(A211,'DB Country PMI'!$A:$AZ,MATCH($A$1,'DB Country PMI'!$A$1:$AZ$1,),))</f>
        <v/>
      </c>
      <c r="C211" s="24">
        <f>Table13[[#This Row],[PMI]]-B210</f>
        <v/>
      </c>
    </row>
    <row r="212">
      <c r="A212" s="10" t="n">
        <v>40603</v>
      </c>
      <c r="B212" s="18">
        <f>IF(VLOOKUP(A212,'DB Country PMI'!$A:$AZ,MATCH($A$1,'DB Country PMI'!$A$1:$AZ$1,),)=0,#N/A,VLOOKUP(A212,'DB Country PMI'!$A:$AZ,MATCH($A$1,'DB Country PMI'!$A$1:$AZ$1,),))</f>
        <v/>
      </c>
      <c r="C212" s="24">
        <f>Table13[[#This Row],[PMI]]-B211</f>
        <v/>
      </c>
    </row>
    <row r="213">
      <c r="A213" s="10" t="n">
        <v>40634</v>
      </c>
      <c r="B213" s="18">
        <f>IF(VLOOKUP(A213,'DB Country PMI'!$A:$AZ,MATCH($A$1,'DB Country PMI'!$A$1:$AZ$1,),)=0,#N/A,VLOOKUP(A213,'DB Country PMI'!$A:$AZ,MATCH($A$1,'DB Country PMI'!$A$1:$AZ$1,),))</f>
        <v/>
      </c>
      <c r="C213" s="24">
        <f>Table13[[#This Row],[PMI]]-B212</f>
        <v/>
      </c>
    </row>
    <row r="214">
      <c r="A214" s="10" t="n">
        <v>40664</v>
      </c>
      <c r="B214" s="18">
        <f>IF(VLOOKUP(A214,'DB Country PMI'!$A:$AZ,MATCH($A$1,'DB Country PMI'!$A$1:$AZ$1,),)=0,#N/A,VLOOKUP(A214,'DB Country PMI'!$A:$AZ,MATCH($A$1,'DB Country PMI'!$A$1:$AZ$1,),))</f>
        <v/>
      </c>
      <c r="C214" s="24">
        <f>Table13[[#This Row],[PMI]]-B213</f>
        <v/>
      </c>
    </row>
    <row r="215">
      <c r="A215" s="10" t="n">
        <v>40695</v>
      </c>
      <c r="B215" s="18">
        <f>IF(VLOOKUP(A215,'DB Country PMI'!$A:$AZ,MATCH($A$1,'DB Country PMI'!$A$1:$AZ$1,),)=0,#N/A,VLOOKUP(A215,'DB Country PMI'!$A:$AZ,MATCH($A$1,'DB Country PMI'!$A$1:$AZ$1,),))</f>
        <v/>
      </c>
      <c r="C215" s="24">
        <f>Table13[[#This Row],[PMI]]-B214</f>
        <v/>
      </c>
    </row>
    <row r="216">
      <c r="A216" s="10" t="n">
        <v>40725</v>
      </c>
      <c r="B216" s="18">
        <f>IF(VLOOKUP(A216,'DB Country PMI'!$A:$AZ,MATCH($A$1,'DB Country PMI'!$A$1:$AZ$1,),)=0,#N/A,VLOOKUP(A216,'DB Country PMI'!$A:$AZ,MATCH($A$1,'DB Country PMI'!$A$1:$AZ$1,),))</f>
        <v/>
      </c>
      <c r="C216" s="24">
        <f>Table13[[#This Row],[PMI]]-B215</f>
        <v/>
      </c>
    </row>
    <row r="217">
      <c r="A217" s="10" t="n">
        <v>40756</v>
      </c>
      <c r="B217" s="18">
        <f>IF(VLOOKUP(A217,'DB Country PMI'!$A:$AZ,MATCH($A$1,'DB Country PMI'!$A$1:$AZ$1,),)=0,#N/A,VLOOKUP(A217,'DB Country PMI'!$A:$AZ,MATCH($A$1,'DB Country PMI'!$A$1:$AZ$1,),))</f>
        <v/>
      </c>
      <c r="C217" s="24">
        <f>Table13[[#This Row],[PMI]]-B216</f>
        <v/>
      </c>
    </row>
    <row r="218">
      <c r="A218" s="10" t="n">
        <v>40787</v>
      </c>
      <c r="B218" s="18">
        <f>IF(VLOOKUP(A218,'DB Country PMI'!$A:$AZ,MATCH($A$1,'DB Country PMI'!$A$1:$AZ$1,),)=0,#N/A,VLOOKUP(A218,'DB Country PMI'!$A:$AZ,MATCH($A$1,'DB Country PMI'!$A$1:$AZ$1,),))</f>
        <v/>
      </c>
      <c r="C218" s="24">
        <f>Table13[[#This Row],[PMI]]-B217</f>
        <v/>
      </c>
    </row>
    <row r="219">
      <c r="A219" s="10" t="n">
        <v>40817</v>
      </c>
      <c r="B219" s="18">
        <f>IF(VLOOKUP(A219,'DB Country PMI'!$A:$AZ,MATCH($A$1,'DB Country PMI'!$A$1:$AZ$1,),)=0,#N/A,VLOOKUP(A219,'DB Country PMI'!$A:$AZ,MATCH($A$1,'DB Country PMI'!$A$1:$AZ$1,),))</f>
        <v/>
      </c>
      <c r="C219" s="24">
        <f>Table13[[#This Row],[PMI]]-B218</f>
        <v/>
      </c>
    </row>
    <row r="220">
      <c r="A220" s="10" t="n">
        <v>40848</v>
      </c>
      <c r="B220" s="18">
        <f>IF(VLOOKUP(A220,'DB Country PMI'!$A:$AZ,MATCH($A$1,'DB Country PMI'!$A$1:$AZ$1,),)=0,#N/A,VLOOKUP(A220,'DB Country PMI'!$A:$AZ,MATCH($A$1,'DB Country PMI'!$A$1:$AZ$1,),))</f>
        <v/>
      </c>
      <c r="C220" s="24">
        <f>Table13[[#This Row],[PMI]]-B219</f>
        <v/>
      </c>
    </row>
    <row r="221">
      <c r="A221" s="10" t="n">
        <v>40878</v>
      </c>
      <c r="B221" s="18">
        <f>IF(VLOOKUP(A221,'DB Country PMI'!$A:$AZ,MATCH($A$1,'DB Country PMI'!$A$1:$AZ$1,),)=0,#N/A,VLOOKUP(A221,'DB Country PMI'!$A:$AZ,MATCH($A$1,'DB Country PMI'!$A$1:$AZ$1,),))</f>
        <v/>
      </c>
      <c r="C221" s="24">
        <f>Table13[[#This Row],[PMI]]-B220</f>
        <v/>
      </c>
    </row>
    <row r="222">
      <c r="A222" s="10" t="n">
        <v>40909</v>
      </c>
      <c r="B222" s="18">
        <f>IF(VLOOKUP(A222,'DB Country PMI'!$A:$AZ,MATCH($A$1,'DB Country PMI'!$A$1:$AZ$1,),)=0,#N/A,VLOOKUP(A222,'DB Country PMI'!$A:$AZ,MATCH($A$1,'DB Country PMI'!$A$1:$AZ$1,),))</f>
        <v/>
      </c>
      <c r="C222" s="24">
        <f>Table13[[#This Row],[PMI]]-B221</f>
        <v/>
      </c>
    </row>
    <row r="223">
      <c r="A223" s="10" t="n">
        <v>40940</v>
      </c>
      <c r="B223" s="18">
        <f>IF(VLOOKUP(A223,'DB Country PMI'!$A:$AZ,MATCH($A$1,'DB Country PMI'!$A$1:$AZ$1,),)=0,#N/A,VLOOKUP(A223,'DB Country PMI'!$A:$AZ,MATCH($A$1,'DB Country PMI'!$A$1:$AZ$1,),))</f>
        <v/>
      </c>
      <c r="C223" s="24">
        <f>Table13[[#This Row],[PMI]]-B222</f>
        <v/>
      </c>
    </row>
    <row r="224">
      <c r="A224" s="10" t="n">
        <v>40969</v>
      </c>
      <c r="B224" s="18">
        <f>IF(VLOOKUP(A224,'DB Country PMI'!$A:$AZ,MATCH($A$1,'DB Country PMI'!$A$1:$AZ$1,),)=0,#N/A,VLOOKUP(A224,'DB Country PMI'!$A:$AZ,MATCH($A$1,'DB Country PMI'!$A$1:$AZ$1,),))</f>
        <v/>
      </c>
      <c r="C224" s="24">
        <f>Table13[[#This Row],[PMI]]-B223</f>
        <v/>
      </c>
    </row>
    <row r="225">
      <c r="A225" s="10" t="n">
        <v>41000</v>
      </c>
      <c r="B225" s="18">
        <f>IF(VLOOKUP(A225,'DB Country PMI'!$A:$AZ,MATCH($A$1,'DB Country PMI'!$A$1:$AZ$1,),)=0,#N/A,VLOOKUP(A225,'DB Country PMI'!$A:$AZ,MATCH($A$1,'DB Country PMI'!$A$1:$AZ$1,),))</f>
        <v/>
      </c>
      <c r="C225" s="24">
        <f>Table13[[#This Row],[PMI]]-B224</f>
        <v/>
      </c>
    </row>
    <row r="226">
      <c r="A226" s="10" t="n">
        <v>41030</v>
      </c>
      <c r="B226" s="18">
        <f>IF(VLOOKUP(A226,'DB Country PMI'!$A:$AZ,MATCH($A$1,'DB Country PMI'!$A$1:$AZ$1,),)=0,#N/A,VLOOKUP(A226,'DB Country PMI'!$A:$AZ,MATCH($A$1,'DB Country PMI'!$A$1:$AZ$1,),))</f>
        <v/>
      </c>
      <c r="C226" s="24">
        <f>Table13[[#This Row],[PMI]]-B225</f>
        <v/>
      </c>
    </row>
    <row r="227">
      <c r="A227" s="10" t="n">
        <v>41061</v>
      </c>
      <c r="B227" s="18">
        <f>IF(VLOOKUP(A227,'DB Country PMI'!$A:$AZ,MATCH($A$1,'DB Country PMI'!$A$1:$AZ$1,),)=0,#N/A,VLOOKUP(A227,'DB Country PMI'!$A:$AZ,MATCH($A$1,'DB Country PMI'!$A$1:$AZ$1,),))</f>
        <v/>
      </c>
      <c r="C227" s="24">
        <f>Table13[[#This Row],[PMI]]-B226</f>
        <v/>
      </c>
    </row>
    <row r="228">
      <c r="A228" s="10" t="n">
        <v>41091</v>
      </c>
      <c r="B228" s="18">
        <f>IF(VLOOKUP(A228,'DB Country PMI'!$A:$AZ,MATCH($A$1,'DB Country PMI'!$A$1:$AZ$1,),)=0,#N/A,VLOOKUP(A228,'DB Country PMI'!$A:$AZ,MATCH($A$1,'DB Country PMI'!$A$1:$AZ$1,),))</f>
        <v/>
      </c>
      <c r="C228" s="24">
        <f>Table13[[#This Row],[PMI]]-B227</f>
        <v/>
      </c>
    </row>
    <row r="229">
      <c r="A229" s="10" t="n">
        <v>41122</v>
      </c>
      <c r="B229" s="18">
        <f>IF(VLOOKUP(A229,'DB Country PMI'!$A:$AZ,MATCH($A$1,'DB Country PMI'!$A$1:$AZ$1,),)=0,#N/A,VLOOKUP(A229,'DB Country PMI'!$A:$AZ,MATCH($A$1,'DB Country PMI'!$A$1:$AZ$1,),))</f>
        <v/>
      </c>
      <c r="C229" s="24">
        <f>Table13[[#This Row],[PMI]]-B228</f>
        <v/>
      </c>
    </row>
    <row r="230">
      <c r="A230" s="10" t="n">
        <v>41153</v>
      </c>
      <c r="B230" s="18">
        <f>IF(VLOOKUP(A230,'DB Country PMI'!$A:$AZ,MATCH($A$1,'DB Country PMI'!$A$1:$AZ$1,),)=0,#N/A,VLOOKUP(A230,'DB Country PMI'!$A:$AZ,MATCH($A$1,'DB Country PMI'!$A$1:$AZ$1,),))</f>
        <v/>
      </c>
      <c r="C230" s="24">
        <f>Table13[[#This Row],[PMI]]-B229</f>
        <v/>
      </c>
    </row>
    <row r="231">
      <c r="A231" s="10" t="n">
        <v>41183</v>
      </c>
      <c r="B231" s="18">
        <f>IF(VLOOKUP(A231,'DB Country PMI'!$A:$AZ,MATCH($A$1,'DB Country PMI'!$A$1:$AZ$1,),)=0,#N/A,VLOOKUP(A231,'DB Country PMI'!$A:$AZ,MATCH($A$1,'DB Country PMI'!$A$1:$AZ$1,),))</f>
        <v/>
      </c>
      <c r="C231" s="24">
        <f>Table13[[#This Row],[PMI]]-B230</f>
        <v/>
      </c>
    </row>
    <row r="232">
      <c r="A232" s="10" t="n">
        <v>41214</v>
      </c>
      <c r="B232" s="18">
        <f>IF(VLOOKUP(A232,'DB Country PMI'!$A:$AZ,MATCH($A$1,'DB Country PMI'!$A$1:$AZ$1,),)=0,#N/A,VLOOKUP(A232,'DB Country PMI'!$A:$AZ,MATCH($A$1,'DB Country PMI'!$A$1:$AZ$1,),))</f>
        <v/>
      </c>
      <c r="C232" s="24">
        <f>Table13[[#This Row],[PMI]]-B231</f>
        <v/>
      </c>
    </row>
    <row r="233">
      <c r="A233" s="10" t="n">
        <v>41244</v>
      </c>
      <c r="B233" s="18">
        <f>IF(VLOOKUP(A233,'DB Country PMI'!$A:$AZ,MATCH($A$1,'DB Country PMI'!$A$1:$AZ$1,),)=0,#N/A,VLOOKUP(A233,'DB Country PMI'!$A:$AZ,MATCH($A$1,'DB Country PMI'!$A$1:$AZ$1,),))</f>
        <v/>
      </c>
      <c r="C233" s="24">
        <f>Table13[[#This Row],[PMI]]-B232</f>
        <v/>
      </c>
    </row>
    <row r="234">
      <c r="A234" s="10" t="n">
        <v>41275</v>
      </c>
      <c r="B234" s="18">
        <f>IF(VLOOKUP(A234,'DB Country PMI'!$A:$AZ,MATCH($A$1,'DB Country PMI'!$A$1:$AZ$1,),)=0,#N/A,VLOOKUP(A234,'DB Country PMI'!$A:$AZ,MATCH($A$1,'DB Country PMI'!$A$1:$AZ$1,),))</f>
        <v/>
      </c>
      <c r="C234" s="24">
        <f>Table13[[#This Row],[PMI]]-B233</f>
        <v/>
      </c>
    </row>
    <row r="235">
      <c r="A235" s="10" t="n">
        <v>41306</v>
      </c>
      <c r="B235" s="18">
        <f>IF(VLOOKUP(A235,'DB Country PMI'!$A:$AZ,MATCH($A$1,'DB Country PMI'!$A$1:$AZ$1,),)=0,#N/A,VLOOKUP(A235,'DB Country PMI'!$A:$AZ,MATCH($A$1,'DB Country PMI'!$A$1:$AZ$1,),))</f>
        <v/>
      </c>
      <c r="C235" s="24">
        <f>Table13[[#This Row],[PMI]]-B234</f>
        <v/>
      </c>
    </row>
    <row r="236">
      <c r="A236" s="10" t="n">
        <v>41334</v>
      </c>
      <c r="B236" s="18">
        <f>IF(VLOOKUP(A236,'DB Country PMI'!$A:$AZ,MATCH($A$1,'DB Country PMI'!$A$1:$AZ$1,),)=0,#N/A,VLOOKUP(A236,'DB Country PMI'!$A:$AZ,MATCH($A$1,'DB Country PMI'!$A$1:$AZ$1,),))</f>
        <v/>
      </c>
      <c r="C236" s="24">
        <f>Table13[[#This Row],[PMI]]-B235</f>
        <v/>
      </c>
    </row>
    <row r="237">
      <c r="A237" s="10" t="n">
        <v>41365</v>
      </c>
      <c r="B237" s="18">
        <f>IF(VLOOKUP(A237,'DB Country PMI'!$A:$AZ,MATCH($A$1,'DB Country PMI'!$A$1:$AZ$1,),)=0,#N/A,VLOOKUP(A237,'DB Country PMI'!$A:$AZ,MATCH($A$1,'DB Country PMI'!$A$1:$AZ$1,),))</f>
        <v/>
      </c>
      <c r="C237" s="24">
        <f>Table13[[#This Row],[PMI]]-B236</f>
        <v/>
      </c>
    </row>
    <row r="238">
      <c r="A238" s="10" t="n">
        <v>41395</v>
      </c>
      <c r="B238" s="18">
        <f>IF(VLOOKUP(A238,'DB Country PMI'!$A:$AZ,MATCH($A$1,'DB Country PMI'!$A$1:$AZ$1,),)=0,#N/A,VLOOKUP(A238,'DB Country PMI'!$A:$AZ,MATCH($A$1,'DB Country PMI'!$A$1:$AZ$1,),))</f>
        <v/>
      </c>
      <c r="C238" s="24">
        <f>Table13[[#This Row],[PMI]]-B237</f>
        <v/>
      </c>
    </row>
    <row r="239">
      <c r="A239" s="10" t="n">
        <v>41426</v>
      </c>
      <c r="B239" s="18">
        <f>IF(VLOOKUP(A239,'DB Country PMI'!$A:$AZ,MATCH($A$1,'DB Country PMI'!$A$1:$AZ$1,),)=0,#N/A,VLOOKUP(A239,'DB Country PMI'!$A:$AZ,MATCH($A$1,'DB Country PMI'!$A$1:$AZ$1,),))</f>
        <v/>
      </c>
      <c r="C239" s="24">
        <f>Table13[[#This Row],[PMI]]-B238</f>
        <v/>
      </c>
    </row>
    <row r="240">
      <c r="A240" s="10" t="n">
        <v>41456</v>
      </c>
      <c r="B240" s="18">
        <f>IF(VLOOKUP(A240,'DB Country PMI'!$A:$AZ,MATCH($A$1,'DB Country PMI'!$A$1:$AZ$1,),)=0,#N/A,VLOOKUP(A240,'DB Country PMI'!$A:$AZ,MATCH($A$1,'DB Country PMI'!$A$1:$AZ$1,),))</f>
        <v/>
      </c>
      <c r="C240" s="24">
        <f>Table13[[#This Row],[PMI]]-B239</f>
        <v/>
      </c>
    </row>
    <row r="241">
      <c r="A241" s="10" t="n">
        <v>41487</v>
      </c>
      <c r="B241" s="18">
        <f>IF(VLOOKUP(A241,'DB Country PMI'!$A:$AZ,MATCH($A$1,'DB Country PMI'!$A$1:$AZ$1,),)=0,#N/A,VLOOKUP(A241,'DB Country PMI'!$A:$AZ,MATCH($A$1,'DB Country PMI'!$A$1:$AZ$1,),))</f>
        <v/>
      </c>
      <c r="C241" s="24">
        <f>Table13[[#This Row],[PMI]]-B240</f>
        <v/>
      </c>
    </row>
    <row r="242">
      <c r="A242" s="10" t="n">
        <v>41518</v>
      </c>
      <c r="B242" s="18">
        <f>IF(VLOOKUP(A242,'DB Country PMI'!$A:$AZ,MATCH($A$1,'DB Country PMI'!$A$1:$AZ$1,),)=0,#N/A,VLOOKUP(A242,'DB Country PMI'!$A:$AZ,MATCH($A$1,'DB Country PMI'!$A$1:$AZ$1,),))</f>
        <v/>
      </c>
      <c r="C242" s="24">
        <f>Table13[[#This Row],[PMI]]-B241</f>
        <v/>
      </c>
    </row>
    <row r="243">
      <c r="A243" s="10" t="n">
        <v>41548</v>
      </c>
      <c r="B243" s="18">
        <f>IF(VLOOKUP(A243,'DB Country PMI'!$A:$AZ,MATCH($A$1,'DB Country PMI'!$A$1:$AZ$1,),)=0,#N/A,VLOOKUP(A243,'DB Country PMI'!$A:$AZ,MATCH($A$1,'DB Country PMI'!$A$1:$AZ$1,),))</f>
        <v/>
      </c>
      <c r="C243" s="24">
        <f>Table13[[#This Row],[PMI]]-B242</f>
        <v/>
      </c>
    </row>
    <row r="244">
      <c r="A244" s="10" t="n">
        <v>41579</v>
      </c>
      <c r="B244" s="18">
        <f>IF(VLOOKUP(A244,'DB Country PMI'!$A:$AZ,MATCH($A$1,'DB Country PMI'!$A$1:$AZ$1,),)=0,#N/A,VLOOKUP(A244,'DB Country PMI'!$A:$AZ,MATCH($A$1,'DB Country PMI'!$A$1:$AZ$1,),))</f>
        <v/>
      </c>
      <c r="C244" s="24">
        <f>Table13[[#This Row],[PMI]]-B243</f>
        <v/>
      </c>
    </row>
    <row r="245">
      <c r="A245" s="10" t="n">
        <v>41609</v>
      </c>
      <c r="B245" s="18">
        <f>IF(VLOOKUP(A245,'DB Country PMI'!$A:$AZ,MATCH($A$1,'DB Country PMI'!$A$1:$AZ$1,),)=0,#N/A,VLOOKUP(A245,'DB Country PMI'!$A:$AZ,MATCH($A$1,'DB Country PMI'!$A$1:$AZ$1,),))</f>
        <v/>
      </c>
      <c r="C245" s="24">
        <f>Table13[[#This Row],[PMI]]-B244</f>
        <v/>
      </c>
    </row>
    <row r="246">
      <c r="A246" s="10" t="n">
        <v>41640</v>
      </c>
      <c r="B246" s="18">
        <f>IF(VLOOKUP(A246,'DB Country PMI'!$A:$AZ,MATCH($A$1,'DB Country PMI'!$A$1:$AZ$1,),)=0,#N/A,VLOOKUP(A246,'DB Country PMI'!$A:$AZ,MATCH($A$1,'DB Country PMI'!$A$1:$AZ$1,),))</f>
        <v/>
      </c>
      <c r="C246" s="24">
        <f>Table13[[#This Row],[PMI]]-B245</f>
        <v/>
      </c>
    </row>
    <row r="247">
      <c r="A247" s="10" t="n">
        <v>41671</v>
      </c>
      <c r="B247" s="18">
        <f>IF(VLOOKUP(A247,'DB Country PMI'!$A:$AZ,MATCH($A$1,'DB Country PMI'!$A$1:$AZ$1,),)=0,#N/A,VLOOKUP(A247,'DB Country PMI'!$A:$AZ,MATCH($A$1,'DB Country PMI'!$A$1:$AZ$1,),))</f>
        <v/>
      </c>
      <c r="C247" s="24">
        <f>Table13[[#This Row],[PMI]]-B246</f>
        <v/>
      </c>
    </row>
    <row r="248">
      <c r="A248" s="10" t="n">
        <v>41699</v>
      </c>
      <c r="B248" s="18">
        <f>IF(VLOOKUP(A248,'DB Country PMI'!$A:$AZ,MATCH($A$1,'DB Country PMI'!$A$1:$AZ$1,),)=0,#N/A,VLOOKUP(A248,'DB Country PMI'!$A:$AZ,MATCH($A$1,'DB Country PMI'!$A$1:$AZ$1,),))</f>
        <v/>
      </c>
      <c r="C248" s="24">
        <f>Table13[[#This Row],[PMI]]-B247</f>
        <v/>
      </c>
    </row>
    <row r="249">
      <c r="A249" s="10" t="n">
        <v>41730</v>
      </c>
      <c r="B249" s="18">
        <f>IF(VLOOKUP(A249,'DB Country PMI'!$A:$AZ,MATCH($A$1,'DB Country PMI'!$A$1:$AZ$1,),)=0,#N/A,VLOOKUP(A249,'DB Country PMI'!$A:$AZ,MATCH($A$1,'DB Country PMI'!$A$1:$AZ$1,),))</f>
        <v/>
      </c>
      <c r="C249" s="24">
        <f>Table13[[#This Row],[PMI]]-B248</f>
        <v/>
      </c>
    </row>
    <row r="250">
      <c r="A250" s="10" t="n">
        <v>41760</v>
      </c>
      <c r="B250" s="18">
        <f>IF(VLOOKUP(A250,'DB Country PMI'!$A:$AZ,MATCH($A$1,'DB Country PMI'!$A$1:$AZ$1,),)=0,#N/A,VLOOKUP(A250,'DB Country PMI'!$A:$AZ,MATCH($A$1,'DB Country PMI'!$A$1:$AZ$1,),))</f>
        <v/>
      </c>
      <c r="C250" s="24">
        <f>Table13[[#This Row],[PMI]]-B249</f>
        <v/>
      </c>
    </row>
    <row r="251">
      <c r="A251" s="10" t="n">
        <v>41791</v>
      </c>
      <c r="B251" s="18">
        <f>IF(VLOOKUP(A251,'DB Country PMI'!$A:$AZ,MATCH($A$1,'DB Country PMI'!$A$1:$AZ$1,),)=0,#N/A,VLOOKUP(A251,'DB Country PMI'!$A:$AZ,MATCH($A$1,'DB Country PMI'!$A$1:$AZ$1,),))</f>
        <v/>
      </c>
      <c r="C251" s="24">
        <f>Table13[[#This Row],[PMI]]-B250</f>
        <v/>
      </c>
    </row>
    <row r="252">
      <c r="A252" s="10" t="n">
        <v>41821</v>
      </c>
      <c r="B252" s="18">
        <f>IF(VLOOKUP(A252,'DB Country PMI'!$A:$AZ,MATCH($A$1,'DB Country PMI'!$A$1:$AZ$1,),)=0,#N/A,VLOOKUP(A252,'DB Country PMI'!$A:$AZ,MATCH($A$1,'DB Country PMI'!$A$1:$AZ$1,),))</f>
        <v/>
      </c>
      <c r="C252" s="24">
        <f>Table13[[#This Row],[PMI]]-B251</f>
        <v/>
      </c>
    </row>
    <row r="253">
      <c r="A253" s="10" t="n">
        <v>41852</v>
      </c>
      <c r="B253" s="18">
        <f>IF(VLOOKUP(A253,'DB Country PMI'!$A:$AZ,MATCH($A$1,'DB Country PMI'!$A$1:$AZ$1,),)=0,#N/A,VLOOKUP(A253,'DB Country PMI'!$A:$AZ,MATCH($A$1,'DB Country PMI'!$A$1:$AZ$1,),))</f>
        <v/>
      </c>
      <c r="C253" s="24">
        <f>Table13[[#This Row],[PMI]]-B252</f>
        <v/>
      </c>
    </row>
    <row r="254">
      <c r="A254" s="10" t="n">
        <v>41883</v>
      </c>
      <c r="B254" s="18">
        <f>IF(VLOOKUP(A254,'DB Country PMI'!$A:$AZ,MATCH($A$1,'DB Country PMI'!$A$1:$AZ$1,),)=0,#N/A,VLOOKUP(A254,'DB Country PMI'!$A:$AZ,MATCH($A$1,'DB Country PMI'!$A$1:$AZ$1,),))</f>
        <v/>
      </c>
      <c r="C254" s="24">
        <f>Table13[[#This Row],[PMI]]-B253</f>
        <v/>
      </c>
    </row>
    <row r="255">
      <c r="A255" s="10" t="n">
        <v>41913</v>
      </c>
      <c r="B255" s="18">
        <f>IF(VLOOKUP(A255,'DB Country PMI'!$A:$AZ,MATCH($A$1,'DB Country PMI'!$A$1:$AZ$1,),)=0,#N/A,VLOOKUP(A255,'DB Country PMI'!$A:$AZ,MATCH($A$1,'DB Country PMI'!$A$1:$AZ$1,),))</f>
        <v/>
      </c>
      <c r="C255" s="24">
        <f>Table13[[#This Row],[PMI]]-B254</f>
        <v/>
      </c>
    </row>
    <row r="256">
      <c r="A256" s="10" t="n">
        <v>41944</v>
      </c>
      <c r="B256" s="18">
        <f>IF(VLOOKUP(A256,'DB Country PMI'!$A:$AZ,MATCH($A$1,'DB Country PMI'!$A$1:$AZ$1,),)=0,#N/A,VLOOKUP(A256,'DB Country PMI'!$A:$AZ,MATCH($A$1,'DB Country PMI'!$A$1:$AZ$1,),))</f>
        <v/>
      </c>
      <c r="C256" s="24">
        <f>Table13[[#This Row],[PMI]]-B255</f>
        <v/>
      </c>
    </row>
    <row r="257">
      <c r="A257" s="10" t="n">
        <v>41974</v>
      </c>
      <c r="B257" s="18">
        <f>IF(VLOOKUP(A257,'DB Country PMI'!$A:$AZ,MATCH($A$1,'DB Country PMI'!$A$1:$AZ$1,),)=0,#N/A,VLOOKUP(A257,'DB Country PMI'!$A:$AZ,MATCH($A$1,'DB Country PMI'!$A$1:$AZ$1,),))</f>
        <v/>
      </c>
      <c r="C257" s="24">
        <f>Table13[[#This Row],[PMI]]-B256</f>
        <v/>
      </c>
    </row>
    <row r="258">
      <c r="A258" s="10" t="n">
        <v>42005</v>
      </c>
      <c r="B258" s="18">
        <f>IF(VLOOKUP(A258,'DB Country PMI'!$A:$AZ,MATCH($A$1,'DB Country PMI'!$A$1:$AZ$1,),)=0,#N/A,VLOOKUP(A258,'DB Country PMI'!$A:$AZ,MATCH($A$1,'DB Country PMI'!$A$1:$AZ$1,),))</f>
        <v/>
      </c>
      <c r="C258" s="24">
        <f>Table13[[#This Row],[PMI]]-B257</f>
        <v/>
      </c>
    </row>
    <row r="259">
      <c r="A259" s="10" t="n">
        <v>42036</v>
      </c>
      <c r="B259" s="18">
        <f>IF(VLOOKUP(A259,'DB Country PMI'!$A:$AZ,MATCH($A$1,'DB Country PMI'!$A$1:$AZ$1,),)=0,#N/A,VLOOKUP(A259,'DB Country PMI'!$A:$AZ,MATCH($A$1,'DB Country PMI'!$A$1:$AZ$1,),))</f>
        <v/>
      </c>
      <c r="C259" s="24">
        <f>Table13[[#This Row],[PMI]]-B258</f>
        <v/>
      </c>
    </row>
    <row r="260">
      <c r="A260" s="10" t="n">
        <v>42064</v>
      </c>
      <c r="B260" s="18">
        <f>IF(VLOOKUP(A260,'DB Country PMI'!$A:$AZ,MATCH($A$1,'DB Country PMI'!$A$1:$AZ$1,),)=0,#N/A,VLOOKUP(A260,'DB Country PMI'!$A:$AZ,MATCH($A$1,'DB Country PMI'!$A$1:$AZ$1,),))</f>
        <v/>
      </c>
      <c r="C260" s="24">
        <f>Table13[[#This Row],[PMI]]-B259</f>
        <v/>
      </c>
    </row>
    <row r="261">
      <c r="A261" s="10" t="n">
        <v>42095</v>
      </c>
      <c r="B261" s="18">
        <f>IF(VLOOKUP(A261,'DB Country PMI'!$A:$AZ,MATCH($A$1,'DB Country PMI'!$A$1:$AZ$1,),)=0,#N/A,VLOOKUP(A261,'DB Country PMI'!$A:$AZ,MATCH($A$1,'DB Country PMI'!$A$1:$AZ$1,),))</f>
        <v/>
      </c>
      <c r="C261" s="24">
        <f>Table13[[#This Row],[PMI]]-B260</f>
        <v/>
      </c>
    </row>
    <row r="262">
      <c r="A262" s="10" t="n">
        <v>42125</v>
      </c>
      <c r="B262" s="18">
        <f>IF(VLOOKUP(A262,'DB Country PMI'!$A:$AZ,MATCH($A$1,'DB Country PMI'!$A$1:$AZ$1,),)=0,#N/A,VLOOKUP(A262,'DB Country PMI'!$A:$AZ,MATCH($A$1,'DB Country PMI'!$A$1:$AZ$1,),))</f>
        <v/>
      </c>
      <c r="C262" s="24">
        <f>Table13[[#This Row],[PMI]]-B261</f>
        <v/>
      </c>
    </row>
    <row r="263">
      <c r="A263" s="10" t="n">
        <v>42156</v>
      </c>
      <c r="B263" s="18">
        <f>IF(VLOOKUP(A263,'DB Country PMI'!$A:$AZ,MATCH($A$1,'DB Country PMI'!$A$1:$AZ$1,),)=0,#N/A,VLOOKUP(A263,'DB Country PMI'!$A:$AZ,MATCH($A$1,'DB Country PMI'!$A$1:$AZ$1,),))</f>
        <v/>
      </c>
      <c r="C263" s="24">
        <f>Table13[[#This Row],[PMI]]-B262</f>
        <v/>
      </c>
    </row>
    <row r="264">
      <c r="A264" s="10" t="n">
        <v>42186</v>
      </c>
      <c r="B264" s="18">
        <f>IF(VLOOKUP(A264,'DB Country PMI'!$A:$AZ,MATCH($A$1,'DB Country PMI'!$A$1:$AZ$1,),)=0,#N/A,VLOOKUP(A264,'DB Country PMI'!$A:$AZ,MATCH($A$1,'DB Country PMI'!$A$1:$AZ$1,),))</f>
        <v/>
      </c>
      <c r="C264" s="24">
        <f>Table13[[#This Row],[PMI]]-B263</f>
        <v/>
      </c>
    </row>
    <row r="265">
      <c r="A265" s="10" t="n">
        <v>42217</v>
      </c>
      <c r="B265" s="18">
        <f>IF(VLOOKUP(A265,'DB Country PMI'!$A:$AZ,MATCH($A$1,'DB Country PMI'!$A$1:$AZ$1,),)=0,#N/A,VLOOKUP(A265,'DB Country PMI'!$A:$AZ,MATCH($A$1,'DB Country PMI'!$A$1:$AZ$1,),))</f>
        <v/>
      </c>
      <c r="C265" s="24">
        <f>Table13[[#This Row],[PMI]]-B264</f>
        <v/>
      </c>
    </row>
    <row r="266">
      <c r="A266" s="10" t="n">
        <v>42248</v>
      </c>
      <c r="B266" s="18">
        <f>IF(VLOOKUP(A266,'DB Country PMI'!$A:$AZ,MATCH($A$1,'DB Country PMI'!$A$1:$AZ$1,),)=0,#N/A,VLOOKUP(A266,'DB Country PMI'!$A:$AZ,MATCH($A$1,'DB Country PMI'!$A$1:$AZ$1,),))</f>
        <v/>
      </c>
      <c r="C266" s="24">
        <f>Table13[[#This Row],[PMI]]-B265</f>
        <v/>
      </c>
    </row>
    <row r="267">
      <c r="A267" s="10" t="n">
        <v>42278</v>
      </c>
      <c r="B267" s="18">
        <f>IF(VLOOKUP(A267,'DB Country PMI'!$A:$AZ,MATCH($A$1,'DB Country PMI'!$A$1:$AZ$1,),)=0,#N/A,VLOOKUP(A267,'DB Country PMI'!$A:$AZ,MATCH($A$1,'DB Country PMI'!$A$1:$AZ$1,),))</f>
        <v/>
      </c>
      <c r="C267" s="24">
        <f>Table13[[#This Row],[PMI]]-B266</f>
        <v/>
      </c>
    </row>
    <row r="268">
      <c r="A268" s="10" t="n">
        <v>42309</v>
      </c>
      <c r="B268" s="18">
        <f>IF(VLOOKUP(A268,'DB Country PMI'!$A:$AZ,MATCH($A$1,'DB Country PMI'!$A$1:$AZ$1,),)=0,#N/A,VLOOKUP(A268,'DB Country PMI'!$A:$AZ,MATCH($A$1,'DB Country PMI'!$A$1:$AZ$1,),))</f>
        <v/>
      </c>
      <c r="C268" s="24">
        <f>Table13[[#This Row],[PMI]]-B267</f>
        <v/>
      </c>
    </row>
    <row r="269">
      <c r="A269" s="10" t="n">
        <v>42339</v>
      </c>
      <c r="B269" s="18">
        <f>IF(VLOOKUP(A269,'DB Country PMI'!$A:$AZ,MATCH($A$1,'DB Country PMI'!$A$1:$AZ$1,),)=0,#N/A,VLOOKUP(A269,'DB Country PMI'!$A:$AZ,MATCH($A$1,'DB Country PMI'!$A$1:$AZ$1,),))</f>
        <v/>
      </c>
      <c r="C269" s="24">
        <f>Table13[[#This Row],[PMI]]-B268</f>
        <v/>
      </c>
    </row>
    <row r="270">
      <c r="A270" s="10" t="n">
        <v>42370</v>
      </c>
      <c r="B270" s="18">
        <f>IF(VLOOKUP(A270,'DB Country PMI'!$A:$AZ,MATCH($A$1,'DB Country PMI'!$A$1:$AZ$1,),)=0,#N/A,VLOOKUP(A270,'DB Country PMI'!$A:$AZ,MATCH($A$1,'DB Country PMI'!$A$1:$AZ$1,),))</f>
        <v/>
      </c>
      <c r="C270" s="24">
        <f>Table13[[#This Row],[PMI]]-B269</f>
        <v/>
      </c>
    </row>
    <row r="271">
      <c r="A271" s="10" t="n">
        <v>42401</v>
      </c>
      <c r="B271" s="18">
        <f>IF(VLOOKUP(A271,'DB Country PMI'!$A:$AZ,MATCH($A$1,'DB Country PMI'!$A$1:$AZ$1,),)=0,#N/A,VLOOKUP(A271,'DB Country PMI'!$A:$AZ,MATCH($A$1,'DB Country PMI'!$A$1:$AZ$1,),))</f>
        <v/>
      </c>
      <c r="C271" s="24">
        <f>Table13[[#This Row],[PMI]]-B270</f>
        <v/>
      </c>
    </row>
    <row r="272">
      <c r="A272" s="10" t="n">
        <v>42430</v>
      </c>
      <c r="B272" s="18">
        <f>IF(VLOOKUP(A272,'DB Country PMI'!$A:$AZ,MATCH($A$1,'DB Country PMI'!$A$1:$AZ$1,),)=0,#N/A,VLOOKUP(A272,'DB Country PMI'!$A:$AZ,MATCH($A$1,'DB Country PMI'!$A$1:$AZ$1,),))</f>
        <v/>
      </c>
      <c r="C272" s="24">
        <f>Table13[[#This Row],[PMI]]-B271</f>
        <v/>
      </c>
    </row>
    <row r="273">
      <c r="A273" s="10" t="n">
        <v>42461</v>
      </c>
      <c r="B273" s="18">
        <f>IF(VLOOKUP(A273,'DB Country PMI'!$A:$AZ,MATCH($A$1,'DB Country PMI'!$A$1:$AZ$1,),)=0,#N/A,VLOOKUP(A273,'DB Country PMI'!$A:$AZ,MATCH($A$1,'DB Country PMI'!$A$1:$AZ$1,),))</f>
        <v/>
      </c>
      <c r="C273" s="24">
        <f>Table13[[#This Row],[PMI]]-B272</f>
        <v/>
      </c>
    </row>
    <row r="274">
      <c r="A274" s="10" t="n">
        <v>42491</v>
      </c>
      <c r="B274" s="18">
        <f>IF(VLOOKUP(A274,'DB Country PMI'!$A:$AZ,MATCH($A$1,'DB Country PMI'!$A$1:$AZ$1,),)=0,#N/A,VLOOKUP(A274,'DB Country PMI'!$A:$AZ,MATCH($A$1,'DB Country PMI'!$A$1:$AZ$1,),))</f>
        <v/>
      </c>
      <c r="C274" s="24">
        <f>Table13[[#This Row],[PMI]]-B273</f>
        <v/>
      </c>
    </row>
    <row r="275">
      <c r="A275" s="10" t="n">
        <v>42522</v>
      </c>
      <c r="B275" s="18">
        <f>IF(VLOOKUP(A275,'DB Country PMI'!$A:$AZ,MATCH($A$1,'DB Country PMI'!$A$1:$AZ$1,),)=0,#N/A,VLOOKUP(A275,'DB Country PMI'!$A:$AZ,MATCH($A$1,'DB Country PMI'!$A$1:$AZ$1,),))</f>
        <v/>
      </c>
      <c r="C275" s="24">
        <f>Table13[[#This Row],[PMI]]-B274</f>
        <v/>
      </c>
    </row>
    <row r="276">
      <c r="A276" s="10" t="n">
        <v>42552</v>
      </c>
      <c r="B276" s="18">
        <f>IF(VLOOKUP(A276,'DB Country PMI'!$A:$AZ,MATCH($A$1,'DB Country PMI'!$A$1:$AZ$1,),)=0,#N/A,VLOOKUP(A276,'DB Country PMI'!$A:$AZ,MATCH($A$1,'DB Country PMI'!$A$1:$AZ$1,),))</f>
        <v/>
      </c>
      <c r="C276" s="24">
        <f>Table13[[#This Row],[PMI]]-B275</f>
        <v/>
      </c>
    </row>
    <row r="277">
      <c r="A277" s="10" t="n">
        <v>42583</v>
      </c>
      <c r="B277" s="18">
        <f>IF(VLOOKUP(A277,'DB Country PMI'!$A:$AZ,MATCH($A$1,'DB Country PMI'!$A$1:$AZ$1,),)=0,#N/A,VLOOKUP(A277,'DB Country PMI'!$A:$AZ,MATCH($A$1,'DB Country PMI'!$A$1:$AZ$1,),))</f>
        <v/>
      </c>
      <c r="C277" s="24">
        <f>Table13[[#This Row],[PMI]]-B276</f>
        <v/>
      </c>
    </row>
    <row r="278">
      <c r="A278" s="10" t="n">
        <v>42614</v>
      </c>
      <c r="B278" s="18">
        <f>IF(VLOOKUP(A278,'DB Country PMI'!$A:$AZ,MATCH($A$1,'DB Country PMI'!$A$1:$AZ$1,),)=0,#N/A,VLOOKUP(A278,'DB Country PMI'!$A:$AZ,MATCH($A$1,'DB Country PMI'!$A$1:$AZ$1,),))</f>
        <v/>
      </c>
      <c r="C278" s="24">
        <f>Table13[[#This Row],[PMI]]-B277</f>
        <v/>
      </c>
    </row>
    <row r="279">
      <c r="A279" s="10" t="n">
        <v>42644</v>
      </c>
      <c r="B279" s="18">
        <f>IF(VLOOKUP(A279,'DB Country PMI'!$A:$AZ,MATCH($A$1,'DB Country PMI'!$A$1:$AZ$1,),)=0,#N/A,VLOOKUP(A279,'DB Country PMI'!$A:$AZ,MATCH($A$1,'DB Country PMI'!$A$1:$AZ$1,),))</f>
        <v/>
      </c>
      <c r="C279" s="24">
        <f>Table13[[#This Row],[PMI]]-B278</f>
        <v/>
      </c>
    </row>
    <row r="280">
      <c r="A280" s="10" t="n">
        <v>42675</v>
      </c>
      <c r="B280" s="18">
        <f>IF(VLOOKUP(A280,'DB Country PMI'!$A:$AZ,MATCH($A$1,'DB Country PMI'!$A$1:$AZ$1,),)=0,#N/A,VLOOKUP(A280,'DB Country PMI'!$A:$AZ,MATCH($A$1,'DB Country PMI'!$A$1:$AZ$1,),))</f>
        <v/>
      </c>
      <c r="C280" s="24">
        <f>Table13[[#This Row],[PMI]]-B279</f>
        <v/>
      </c>
    </row>
    <row r="281">
      <c r="A281" s="10" t="n">
        <v>42705</v>
      </c>
      <c r="B281" s="18">
        <f>IF(VLOOKUP(A281,'DB Country PMI'!$A:$AZ,MATCH($A$1,'DB Country PMI'!$A$1:$AZ$1,),)=0,#N/A,VLOOKUP(A281,'DB Country PMI'!$A:$AZ,MATCH($A$1,'DB Country PMI'!$A$1:$AZ$1,),))</f>
        <v/>
      </c>
      <c r="C281" s="24">
        <f>Table13[[#This Row],[PMI]]-B280</f>
        <v/>
      </c>
    </row>
    <row r="282">
      <c r="A282" s="10" t="n">
        <v>42736</v>
      </c>
      <c r="B282" s="18">
        <f>IF(VLOOKUP(A282,'DB Country PMI'!$A:$AZ,MATCH($A$1,'DB Country PMI'!$A$1:$AZ$1,),)=0,#N/A,VLOOKUP(A282,'DB Country PMI'!$A:$AZ,MATCH($A$1,'DB Country PMI'!$A$1:$AZ$1,),))</f>
        <v/>
      </c>
      <c r="C282" s="24">
        <f>Table13[[#This Row],[PMI]]-B281</f>
        <v/>
      </c>
    </row>
    <row r="283">
      <c r="A283" s="10" t="n">
        <v>42767</v>
      </c>
      <c r="B283" s="18">
        <f>IF(VLOOKUP(A283,'DB Country PMI'!$A:$AZ,MATCH($A$1,'DB Country PMI'!$A$1:$AZ$1,),)=0,#N/A,VLOOKUP(A283,'DB Country PMI'!$A:$AZ,MATCH($A$1,'DB Country PMI'!$A$1:$AZ$1,),))</f>
        <v/>
      </c>
      <c r="C283" s="24">
        <f>Table13[[#This Row],[PMI]]-B282</f>
        <v/>
      </c>
    </row>
    <row r="284">
      <c r="A284" s="10" t="n">
        <v>42795</v>
      </c>
      <c r="B284" s="18">
        <f>IF(VLOOKUP(A284,'DB Country PMI'!$A:$AZ,MATCH($A$1,'DB Country PMI'!$A$1:$AZ$1,),)=0,#N/A,VLOOKUP(A284,'DB Country PMI'!$A:$AZ,MATCH($A$1,'DB Country PMI'!$A$1:$AZ$1,),))</f>
        <v/>
      </c>
      <c r="C284" s="24">
        <f>Table13[[#This Row],[PMI]]-B283</f>
        <v/>
      </c>
    </row>
    <row r="285">
      <c r="A285" s="10" t="n">
        <v>42826</v>
      </c>
      <c r="B285" s="18">
        <f>IF(VLOOKUP(A285,'DB Country PMI'!$A:$AZ,MATCH($A$1,'DB Country PMI'!$A$1:$AZ$1,),)=0,#N/A,VLOOKUP(A285,'DB Country PMI'!$A:$AZ,MATCH($A$1,'DB Country PMI'!$A$1:$AZ$1,),))</f>
        <v/>
      </c>
      <c r="C285" s="24">
        <f>Table13[[#This Row],[PMI]]-B284</f>
        <v/>
      </c>
    </row>
    <row r="286">
      <c r="A286" s="10" t="n">
        <v>42856</v>
      </c>
      <c r="B286" s="18">
        <f>IF(VLOOKUP(A286,'DB Country PMI'!$A:$AZ,MATCH($A$1,'DB Country PMI'!$A$1:$AZ$1,),)=0,#N/A,VLOOKUP(A286,'DB Country PMI'!$A:$AZ,MATCH($A$1,'DB Country PMI'!$A$1:$AZ$1,),))</f>
        <v/>
      </c>
      <c r="C286" s="24">
        <f>Table13[[#This Row],[PMI]]-B285</f>
        <v/>
      </c>
    </row>
    <row r="287">
      <c r="A287" s="10" t="n">
        <v>42887</v>
      </c>
      <c r="B287" s="18">
        <f>IF(VLOOKUP(A287,'DB Country PMI'!$A:$AZ,MATCH($A$1,'DB Country PMI'!$A$1:$AZ$1,),)=0,#N/A,VLOOKUP(A287,'DB Country PMI'!$A:$AZ,MATCH($A$1,'DB Country PMI'!$A$1:$AZ$1,),))</f>
        <v/>
      </c>
      <c r="C287" s="24">
        <f>Table13[[#This Row],[PMI]]-B286</f>
        <v/>
      </c>
    </row>
    <row r="288">
      <c r="A288" s="10" t="n">
        <v>42917</v>
      </c>
      <c r="B288" s="18">
        <f>IF(VLOOKUP(A288,'DB Country PMI'!$A:$AZ,MATCH($A$1,'DB Country PMI'!$A$1:$AZ$1,),)=0,#N/A,VLOOKUP(A288,'DB Country PMI'!$A:$AZ,MATCH($A$1,'DB Country PMI'!$A$1:$AZ$1,),))</f>
        <v/>
      </c>
      <c r="C288" s="24">
        <f>Table13[[#This Row],[PMI]]-B287</f>
        <v/>
      </c>
    </row>
    <row r="289">
      <c r="A289" s="10" t="n">
        <v>42948</v>
      </c>
      <c r="B289" s="18">
        <f>IF(VLOOKUP(A289,'DB Country PMI'!$A:$AZ,MATCH($A$1,'DB Country PMI'!$A$1:$AZ$1,),)=0,#N/A,VLOOKUP(A289,'DB Country PMI'!$A:$AZ,MATCH($A$1,'DB Country PMI'!$A$1:$AZ$1,),))</f>
        <v/>
      </c>
      <c r="C289" s="24">
        <f>Table13[[#This Row],[PMI]]-B288</f>
        <v/>
      </c>
    </row>
    <row r="290">
      <c r="A290" s="10" t="n">
        <v>42979</v>
      </c>
      <c r="B290" s="18">
        <f>IF(VLOOKUP(A290,'DB Country PMI'!$A:$AZ,MATCH($A$1,'DB Country PMI'!$A$1:$AZ$1,),)=0,#N/A,VLOOKUP(A290,'DB Country PMI'!$A:$AZ,MATCH($A$1,'DB Country PMI'!$A$1:$AZ$1,),))</f>
        <v/>
      </c>
      <c r="C290" s="24">
        <f>Table13[[#This Row],[PMI]]-B289</f>
        <v/>
      </c>
    </row>
    <row r="291">
      <c r="A291" s="10" t="n">
        <v>43009</v>
      </c>
      <c r="B291" s="18">
        <f>IF(VLOOKUP(A291,'DB Country PMI'!$A:$AZ,MATCH($A$1,'DB Country PMI'!$A$1:$AZ$1,),)=0,#N/A,VLOOKUP(A291,'DB Country PMI'!$A:$AZ,MATCH($A$1,'DB Country PMI'!$A$1:$AZ$1,),))</f>
        <v/>
      </c>
      <c r="C291" s="24">
        <f>Table13[[#This Row],[PMI]]-B290</f>
        <v/>
      </c>
    </row>
    <row r="292">
      <c r="A292" s="10" t="n">
        <v>43040</v>
      </c>
      <c r="B292" s="18">
        <f>IF(VLOOKUP(A292,'DB Country PMI'!$A:$AZ,MATCH($A$1,'DB Country PMI'!$A$1:$AZ$1,),)=0,#N/A,VLOOKUP(A292,'DB Country PMI'!$A:$AZ,MATCH($A$1,'DB Country PMI'!$A$1:$AZ$1,),))</f>
        <v/>
      </c>
      <c r="C292" s="24">
        <f>Table13[[#This Row],[PMI]]-B291</f>
        <v/>
      </c>
    </row>
    <row r="293">
      <c r="A293" s="10" t="n">
        <v>43070</v>
      </c>
      <c r="B293" s="18">
        <f>IF(VLOOKUP(A293,'DB Country PMI'!$A:$AZ,MATCH($A$1,'DB Country PMI'!$A$1:$AZ$1,),)=0,#N/A,VLOOKUP(A293,'DB Country PMI'!$A:$AZ,MATCH($A$1,'DB Country PMI'!$A$1:$AZ$1,),))</f>
        <v/>
      </c>
      <c r="C293" s="24">
        <f>Table13[[#This Row],[PMI]]-B292</f>
        <v/>
      </c>
    </row>
    <row r="294">
      <c r="A294" s="10" t="n">
        <v>43101</v>
      </c>
      <c r="B294" s="18">
        <f>IF(VLOOKUP(A294,'DB Country PMI'!$A:$AZ,MATCH($A$1,'DB Country PMI'!$A$1:$AZ$1,),)=0,#N/A,VLOOKUP(A294,'DB Country PMI'!$A:$AZ,MATCH($A$1,'DB Country PMI'!$A$1:$AZ$1,),))</f>
        <v/>
      </c>
      <c r="C294" s="24">
        <f>Table13[[#This Row],[PMI]]-B293</f>
        <v/>
      </c>
    </row>
    <row r="295">
      <c r="A295" s="10" t="n">
        <v>43132</v>
      </c>
      <c r="B295" s="18">
        <f>IF(VLOOKUP(A295,'DB Country PMI'!$A:$AZ,MATCH($A$1,'DB Country PMI'!$A$1:$AZ$1,),)=0,#N/A,VLOOKUP(A295,'DB Country PMI'!$A:$AZ,MATCH($A$1,'DB Country PMI'!$A$1:$AZ$1,),))</f>
        <v/>
      </c>
      <c r="C295" s="24">
        <f>Table13[[#This Row],[PMI]]-B294</f>
        <v/>
      </c>
    </row>
    <row r="296">
      <c r="A296" s="10" t="n">
        <v>43160</v>
      </c>
      <c r="B296" s="18">
        <f>IF(VLOOKUP(A296,'DB Country PMI'!$A:$AZ,MATCH($A$1,'DB Country PMI'!$A$1:$AZ$1,),)=0,#N/A,VLOOKUP(A296,'DB Country PMI'!$A:$AZ,MATCH($A$1,'DB Country PMI'!$A$1:$AZ$1,),))</f>
        <v/>
      </c>
      <c r="C296" s="24">
        <f>Table13[[#This Row],[PMI]]-B295</f>
        <v/>
      </c>
    </row>
    <row r="297">
      <c r="A297" s="10" t="n">
        <v>43191</v>
      </c>
      <c r="B297" s="18">
        <f>IF(VLOOKUP(A297,'DB Country PMI'!$A:$AZ,MATCH($A$1,'DB Country PMI'!$A$1:$AZ$1,),)=0,#N/A,VLOOKUP(A297,'DB Country PMI'!$A:$AZ,MATCH($A$1,'DB Country PMI'!$A$1:$AZ$1,),))</f>
        <v/>
      </c>
      <c r="C297" s="24">
        <f>Table13[[#This Row],[PMI]]-B296</f>
        <v/>
      </c>
    </row>
    <row r="298">
      <c r="A298" s="10" t="n">
        <v>43221</v>
      </c>
      <c r="B298" s="18">
        <f>IF(VLOOKUP(A298,'DB Country PMI'!$A:$AZ,MATCH($A$1,'DB Country PMI'!$A$1:$AZ$1,),)=0,#N/A,VLOOKUP(A298,'DB Country PMI'!$A:$AZ,MATCH($A$1,'DB Country PMI'!$A$1:$AZ$1,),))</f>
        <v/>
      </c>
      <c r="C298" s="24">
        <f>Table13[[#This Row],[PMI]]-B297</f>
        <v/>
      </c>
    </row>
    <row r="299">
      <c r="A299" s="10" t="n">
        <v>43252</v>
      </c>
      <c r="B299" s="18">
        <f>IF(VLOOKUP(A299,'DB Country PMI'!$A:$AZ,MATCH($A$1,'DB Country PMI'!$A$1:$AZ$1,),)=0,#N/A,VLOOKUP(A299,'DB Country PMI'!$A:$AZ,MATCH($A$1,'DB Country PMI'!$A$1:$AZ$1,),))</f>
        <v/>
      </c>
      <c r="C299" s="24">
        <f>Table13[[#This Row],[PMI]]-B298</f>
        <v/>
      </c>
    </row>
    <row r="300">
      <c r="A300" s="10" t="n">
        <v>43282</v>
      </c>
      <c r="B300" s="18">
        <f>IF(VLOOKUP(A300,'DB Country PMI'!$A:$AZ,MATCH($A$1,'DB Country PMI'!$A$1:$AZ$1,),)=0,#N/A,VLOOKUP(A300,'DB Country PMI'!$A:$AZ,MATCH($A$1,'DB Country PMI'!$A$1:$AZ$1,),))</f>
        <v/>
      </c>
      <c r="C300" s="24">
        <f>Table13[[#This Row],[PMI]]-B299</f>
        <v/>
      </c>
    </row>
    <row r="301">
      <c r="A301" s="10" t="n">
        <v>43313</v>
      </c>
      <c r="B301" s="18">
        <f>IF(VLOOKUP(A301,'DB Country PMI'!$A:$AZ,MATCH($A$1,'DB Country PMI'!$A$1:$AZ$1,),)=0,#N/A,VLOOKUP(A301,'DB Country PMI'!$A:$AZ,MATCH($A$1,'DB Country PMI'!$A$1:$AZ$1,),))</f>
        <v/>
      </c>
      <c r="C301" s="24">
        <f>Table13[[#This Row],[PMI]]-B300</f>
        <v/>
      </c>
    </row>
    <row r="302">
      <c r="A302" s="10" t="n">
        <v>43344</v>
      </c>
      <c r="B302" s="18">
        <f>IF(VLOOKUP(A302,'DB Country PMI'!$A:$AZ,MATCH($A$1,'DB Country PMI'!$A$1:$AZ$1,),)=0,#N/A,VLOOKUP(A302,'DB Country PMI'!$A:$AZ,MATCH($A$1,'DB Country PMI'!$A$1:$AZ$1,),))</f>
        <v/>
      </c>
      <c r="C302" s="24">
        <f>Table13[[#This Row],[PMI]]-B301</f>
        <v/>
      </c>
    </row>
    <row r="303">
      <c r="A303" s="10" t="n">
        <v>43374</v>
      </c>
      <c r="B303" s="18">
        <f>IF(VLOOKUP(A303,'DB Country PMI'!$A:$AZ,MATCH($A$1,'DB Country PMI'!$A$1:$AZ$1,),)=0,#N/A,VLOOKUP(A303,'DB Country PMI'!$A:$AZ,MATCH($A$1,'DB Country PMI'!$A$1:$AZ$1,),))</f>
        <v/>
      </c>
      <c r="C303" s="24">
        <f>Table13[[#This Row],[PMI]]-B302</f>
        <v/>
      </c>
    </row>
    <row r="304">
      <c r="A304" s="10" t="n">
        <v>43405</v>
      </c>
      <c r="B304" s="18">
        <f>IF(VLOOKUP(A304,'DB Country PMI'!$A:$AZ,MATCH($A$1,'DB Country PMI'!$A$1:$AZ$1,),)=0,#N/A,VLOOKUP(A304,'DB Country PMI'!$A:$AZ,MATCH($A$1,'DB Country PMI'!$A$1:$AZ$1,),))</f>
        <v/>
      </c>
      <c r="C304" s="24">
        <f>Table13[[#This Row],[PMI]]-B303</f>
        <v/>
      </c>
    </row>
    <row r="305">
      <c r="A305" s="10" t="n">
        <v>43435</v>
      </c>
      <c r="B305" s="18">
        <f>IF(VLOOKUP(A305,'DB Country PMI'!$A:$AZ,MATCH($A$1,'DB Country PMI'!$A$1:$AZ$1,),)=0,#N/A,VLOOKUP(A305,'DB Country PMI'!$A:$AZ,MATCH($A$1,'DB Country PMI'!$A$1:$AZ$1,),))</f>
        <v/>
      </c>
      <c r="C305" s="24">
        <f>Table13[[#This Row],[PMI]]-B304</f>
        <v/>
      </c>
    </row>
    <row r="306">
      <c r="A306" s="10" t="n">
        <v>43466</v>
      </c>
      <c r="B306" s="18">
        <f>IF(VLOOKUP(A306,'DB Country PMI'!$A:$AZ,MATCH($A$1,'DB Country PMI'!$A$1:$AZ$1,),)=0,#N/A,VLOOKUP(A306,'DB Country PMI'!$A:$AZ,MATCH($A$1,'DB Country PMI'!$A$1:$AZ$1,),))</f>
        <v/>
      </c>
      <c r="C306" s="24">
        <f>Table13[[#This Row],[PMI]]-B305</f>
        <v/>
      </c>
    </row>
    <row r="307">
      <c r="A307" s="10" t="n">
        <v>43497</v>
      </c>
      <c r="B307" s="18">
        <f>IF(VLOOKUP(A307,'DB Country PMI'!$A:$AZ,MATCH($A$1,'DB Country PMI'!$A$1:$AZ$1,),)=0,#N/A,VLOOKUP(A307,'DB Country PMI'!$A:$AZ,MATCH($A$1,'DB Country PMI'!$A$1:$AZ$1,),))</f>
        <v/>
      </c>
      <c r="C307" s="24">
        <f>Table13[[#This Row],[PMI]]-B306</f>
        <v/>
      </c>
    </row>
    <row r="308">
      <c r="A308" s="10" t="n">
        <v>43525</v>
      </c>
      <c r="B308" s="18">
        <f>IF(VLOOKUP(A308,'DB Country PMI'!$A:$AZ,MATCH($A$1,'DB Country PMI'!$A$1:$AZ$1,),)=0,#N/A,VLOOKUP(A308,'DB Country PMI'!$A:$AZ,MATCH($A$1,'DB Country PMI'!$A$1:$AZ$1,),))</f>
        <v/>
      </c>
      <c r="C308" s="24">
        <f>Table13[[#This Row],[PMI]]-B307</f>
        <v/>
      </c>
    </row>
    <row r="309">
      <c r="A309" s="10" t="n">
        <v>43556</v>
      </c>
      <c r="B309" s="18">
        <f>IF(VLOOKUP(A309,'DB Country PMI'!$A:$AZ,MATCH($A$1,'DB Country PMI'!$A$1:$AZ$1,),)=0,#N/A,VLOOKUP(A309,'DB Country PMI'!$A:$AZ,MATCH($A$1,'DB Country PMI'!$A$1:$AZ$1,),))</f>
        <v/>
      </c>
      <c r="C309" s="24">
        <f>Table13[[#This Row],[PMI]]-B308</f>
        <v/>
      </c>
    </row>
    <row r="310">
      <c r="A310" s="10" t="n">
        <v>43586</v>
      </c>
      <c r="B310" s="18">
        <f>IF(VLOOKUP(A310,'DB Country PMI'!$A:$AZ,MATCH($A$1,'DB Country PMI'!$A$1:$AZ$1,),)=0,#N/A,VLOOKUP(A310,'DB Country PMI'!$A:$AZ,MATCH($A$1,'DB Country PMI'!$A$1:$AZ$1,),))</f>
        <v/>
      </c>
      <c r="C310" s="24">
        <f>Table13[[#This Row],[PMI]]-B309</f>
        <v/>
      </c>
    </row>
    <row r="311">
      <c r="A311" s="10" t="n">
        <v>43617</v>
      </c>
      <c r="B311" s="18">
        <f>IF(VLOOKUP(A311,'DB Country PMI'!$A:$AZ,MATCH($A$1,'DB Country PMI'!$A$1:$AZ$1,),)=0,#N/A,VLOOKUP(A311,'DB Country PMI'!$A:$AZ,MATCH($A$1,'DB Country PMI'!$A$1:$AZ$1,),))</f>
        <v/>
      </c>
      <c r="C311" s="24">
        <f>Table13[[#This Row],[PMI]]-B310</f>
        <v/>
      </c>
    </row>
    <row r="312">
      <c r="A312" s="10" t="n">
        <v>43647</v>
      </c>
      <c r="B312" s="18">
        <f>IF(VLOOKUP(A312,'DB Country PMI'!$A:$AZ,MATCH($A$1,'DB Country PMI'!$A$1:$AZ$1,),)=0,#N/A,VLOOKUP(A312,'DB Country PMI'!$A:$AZ,MATCH($A$1,'DB Country PMI'!$A$1:$AZ$1,),))</f>
        <v/>
      </c>
      <c r="C312" s="24">
        <f>Table13[[#This Row],[PMI]]-B311</f>
        <v/>
      </c>
    </row>
    <row r="313">
      <c r="A313" s="10" t="n">
        <v>43678</v>
      </c>
      <c r="B313" s="18">
        <f>IF(VLOOKUP(A313,'DB Country PMI'!$A:$AZ,MATCH($A$1,'DB Country PMI'!$A$1:$AZ$1,),)=0,#N/A,VLOOKUP(A313,'DB Country PMI'!$A:$AZ,MATCH($A$1,'DB Country PMI'!$A$1:$AZ$1,),))</f>
        <v/>
      </c>
      <c r="C313" s="24">
        <f>Table13[[#This Row],[PMI]]-B312</f>
        <v/>
      </c>
    </row>
    <row r="314">
      <c r="A314" s="10" t="n">
        <v>43709</v>
      </c>
      <c r="B314" s="18">
        <f>IF(VLOOKUP(A314,'DB Country PMI'!$A:$AZ,MATCH($A$1,'DB Country PMI'!$A$1:$AZ$1,),)=0,#N/A,VLOOKUP(A314,'DB Country PMI'!$A:$AZ,MATCH($A$1,'DB Country PMI'!$A$1:$AZ$1,),))</f>
        <v/>
      </c>
      <c r="C314" s="24">
        <f>Table13[[#This Row],[PMI]]-B313</f>
        <v/>
      </c>
    </row>
    <row r="315">
      <c r="A315" s="10" t="n">
        <v>43739</v>
      </c>
      <c r="B315" s="18">
        <f>IF(VLOOKUP(A315,'DB Country PMI'!$A:$AZ,MATCH($A$1,'DB Country PMI'!$A$1:$AZ$1,),)=0,#N/A,VLOOKUP(A315,'DB Country PMI'!$A:$AZ,MATCH($A$1,'DB Country PMI'!$A$1:$AZ$1,),))</f>
        <v/>
      </c>
      <c r="C315" s="24">
        <f>Table13[[#This Row],[PMI]]-B314</f>
        <v/>
      </c>
    </row>
    <row r="316">
      <c r="A316" s="10" t="n">
        <v>43770</v>
      </c>
      <c r="B316" s="18">
        <f>IF(VLOOKUP(A316,'DB Country PMI'!$A:$AZ,MATCH($A$1,'DB Country PMI'!$A$1:$AZ$1,),)=0,#N/A,VLOOKUP(A316,'DB Country PMI'!$A:$AZ,MATCH($A$1,'DB Country PMI'!$A$1:$AZ$1,),))</f>
        <v/>
      </c>
      <c r="C316" s="24">
        <f>Table13[[#This Row],[PMI]]-B315</f>
        <v/>
      </c>
    </row>
    <row r="317">
      <c r="A317" s="10" t="n">
        <v>43800</v>
      </c>
      <c r="B317" s="18">
        <f>IF(VLOOKUP(A317,'DB Country PMI'!$A:$AZ,MATCH($A$1,'DB Country PMI'!$A$1:$AZ$1,),)=0,#N/A,VLOOKUP(A317,'DB Country PMI'!$A:$AZ,MATCH($A$1,'DB Country PMI'!$A$1:$AZ$1,),))</f>
        <v/>
      </c>
      <c r="C317" s="24">
        <f>Table13[[#This Row],[PMI]]-B316</f>
        <v/>
      </c>
    </row>
    <row r="318">
      <c r="A318" s="10" t="n">
        <v>43831</v>
      </c>
      <c r="B318" s="18">
        <f>IF(VLOOKUP(A318,'DB Country PMI'!$A:$AZ,MATCH($A$1,'DB Country PMI'!$A$1:$AZ$1,),)=0,#N/A,VLOOKUP(A318,'DB Country PMI'!$A:$AZ,MATCH($A$1,'DB Country PMI'!$A$1:$AZ$1,),))</f>
        <v/>
      </c>
      <c r="C318" s="24">
        <f>Table13[[#This Row],[PMI]]-B317</f>
        <v/>
      </c>
    </row>
    <row r="319">
      <c r="A319" s="10" t="n">
        <v>43862</v>
      </c>
      <c r="B319" s="18">
        <f>IF(VLOOKUP(A319,'DB Country PMI'!$A:$AZ,MATCH($A$1,'DB Country PMI'!$A$1:$AZ$1,),)=0,#N/A,VLOOKUP(A319,'DB Country PMI'!$A:$AZ,MATCH($A$1,'DB Country PMI'!$A$1:$AZ$1,),))</f>
        <v/>
      </c>
      <c r="C319" s="24">
        <f>Table13[[#This Row],[PMI]]-B318</f>
        <v/>
      </c>
    </row>
    <row r="320">
      <c r="A320" s="10" t="n">
        <v>43891</v>
      </c>
      <c r="B320" s="18">
        <f>IF(VLOOKUP(A320,'DB Country PMI'!$A:$AZ,MATCH($A$1,'DB Country PMI'!$A$1:$AZ$1,),)=0,#N/A,VLOOKUP(A320,'DB Country PMI'!$A:$AZ,MATCH($A$1,'DB Country PMI'!$A$1:$AZ$1,),))</f>
        <v/>
      </c>
      <c r="C320" s="24">
        <f>Table13[[#This Row],[PMI]]-B319</f>
        <v/>
      </c>
    </row>
    <row r="321">
      <c r="A321" s="10" t="n">
        <v>43922</v>
      </c>
      <c r="B321" s="18">
        <f>IF(VLOOKUP(A321,'DB Country PMI'!$A:$AZ,MATCH($A$1,'DB Country PMI'!$A$1:$AZ$1,),)=0,#N/A,VLOOKUP(A321,'DB Country PMI'!$A:$AZ,MATCH($A$1,'DB Country PMI'!$A$1:$AZ$1,),))</f>
        <v/>
      </c>
      <c r="C321" s="24">
        <f>Table13[[#This Row],[PMI]]-B320</f>
        <v/>
      </c>
    </row>
    <row r="322">
      <c r="A322" s="10" t="n">
        <v>43952</v>
      </c>
      <c r="B322" s="18">
        <f>IF(VLOOKUP(A322,'DB Country PMI'!$A:$AZ,MATCH($A$1,'DB Country PMI'!$A$1:$AZ$1,),)=0,#N/A,VLOOKUP(A322,'DB Country PMI'!$A:$AZ,MATCH($A$1,'DB Country PMI'!$A$1:$AZ$1,),))</f>
        <v/>
      </c>
      <c r="C322" s="24">
        <f>Table13[[#This Row],[PMI]]-B321</f>
        <v/>
      </c>
    </row>
    <row r="323">
      <c r="A323" s="10" t="n">
        <v>43983</v>
      </c>
      <c r="B323" s="18">
        <f>IF(VLOOKUP(A323,'DB Country PMI'!$A:$AZ,MATCH($A$1,'DB Country PMI'!$A$1:$AZ$1,),)=0,#N/A,VLOOKUP(A323,'DB Country PMI'!$A:$AZ,MATCH($A$1,'DB Country PMI'!$A$1:$AZ$1,),))</f>
        <v/>
      </c>
      <c r="C323" s="24">
        <f>Table13[[#This Row],[PMI]]-B322</f>
        <v/>
      </c>
    </row>
    <row r="324">
      <c r="A324" s="10" t="n">
        <v>44013</v>
      </c>
      <c r="B324" s="18">
        <f>IF(VLOOKUP(A324,'DB Country PMI'!$A:$AZ,MATCH($A$1,'DB Country PMI'!$A$1:$AZ$1,),)=0,#N/A,VLOOKUP(A324,'DB Country PMI'!$A:$AZ,MATCH($A$1,'DB Country PMI'!$A$1:$AZ$1,),))</f>
        <v/>
      </c>
      <c r="C324" s="24">
        <f>Table13[[#This Row],[PMI]]-B323</f>
        <v/>
      </c>
    </row>
    <row r="325">
      <c r="A325" s="10" t="n">
        <v>44044</v>
      </c>
      <c r="B325" s="18">
        <f>IF(VLOOKUP(A325,'DB Country PMI'!$A:$AZ,MATCH($A$1,'DB Country PMI'!$A$1:$AZ$1,),)=0,#N/A,VLOOKUP(A325,'DB Country PMI'!$A:$AZ,MATCH($A$1,'DB Country PMI'!$A$1:$AZ$1,),))</f>
        <v/>
      </c>
      <c r="C325" s="24">
        <f>Table13[[#This Row],[PMI]]-B324</f>
        <v/>
      </c>
    </row>
    <row r="326">
      <c r="A326" s="10" t="n">
        <v>44075</v>
      </c>
      <c r="B326" s="18">
        <f>IF(VLOOKUP(A326,'DB Country PMI'!$A:$AZ,MATCH($A$1,'DB Country PMI'!$A$1:$AZ$1,),)=0,#N/A,VLOOKUP(A326,'DB Country PMI'!$A:$AZ,MATCH($A$1,'DB Country PMI'!$A$1:$AZ$1,),))</f>
        <v/>
      </c>
      <c r="C326" s="24">
        <f>Table13[[#This Row],[PMI]]-B325</f>
        <v/>
      </c>
    </row>
    <row r="327">
      <c r="A327" s="10" t="n">
        <v>44105</v>
      </c>
      <c r="B327" s="18">
        <f>IF(VLOOKUP(A327,'DB Country PMI'!$A:$AZ,MATCH($A$1,'DB Country PMI'!$A$1:$AZ$1,),)=0,#N/A,VLOOKUP(A327,'DB Country PMI'!$A:$AZ,MATCH($A$1,'DB Country PMI'!$A$1:$AZ$1,),))</f>
        <v/>
      </c>
      <c r="C327" s="24">
        <f>Table13[[#This Row],[PMI]]-B326</f>
        <v/>
      </c>
    </row>
    <row r="328">
      <c r="A328" s="10" t="n">
        <v>44136</v>
      </c>
      <c r="B328" s="18">
        <f>IF(VLOOKUP(A328,'DB Country PMI'!$A:$AZ,MATCH($A$1,'DB Country PMI'!$A$1:$AZ$1,),)=0,#N/A,VLOOKUP(A328,'DB Country PMI'!$A:$AZ,MATCH($A$1,'DB Country PMI'!$A$1:$AZ$1,),))</f>
        <v/>
      </c>
      <c r="C328" s="24">
        <f>Table13[[#This Row],[PMI]]-B327</f>
        <v/>
      </c>
    </row>
    <row r="329">
      <c r="A329" s="10" t="n">
        <v>44166</v>
      </c>
      <c r="B329" s="18">
        <f>IF(VLOOKUP(A329,'DB Country PMI'!$A:$AZ,MATCH($A$1,'DB Country PMI'!$A$1:$AZ$1,),)=0,#N/A,VLOOKUP(A329,'DB Country PMI'!$A:$AZ,MATCH($A$1,'DB Country PMI'!$A$1:$AZ$1,),))</f>
        <v/>
      </c>
      <c r="C329" s="24">
        <f>Table13[[#This Row],[PMI]]-B328</f>
        <v/>
      </c>
    </row>
    <row r="330">
      <c r="A330" s="10" t="n">
        <v>44197</v>
      </c>
      <c r="B330" s="18">
        <f>IF(VLOOKUP(A330,'DB Country PMI'!$A:$AZ,MATCH($A$1,'DB Country PMI'!$A$1:$AZ$1,),)=0,#N/A,VLOOKUP(A330,'DB Country PMI'!$A:$AZ,MATCH($A$1,'DB Country PMI'!$A$1:$AZ$1,),))</f>
        <v/>
      </c>
      <c r="C330" s="24">
        <f>Table13[[#This Row],[PMI]]-B329</f>
        <v/>
      </c>
    </row>
    <row r="331">
      <c r="A331" s="10" t="n">
        <v>44228</v>
      </c>
      <c r="B331" s="18">
        <f>IF(VLOOKUP(A331,'DB Country PMI'!$A:$AZ,MATCH($A$1,'DB Country PMI'!$A$1:$AZ$1,),)=0,#N/A,VLOOKUP(A331,'DB Country PMI'!$A:$AZ,MATCH($A$1,'DB Country PMI'!$A$1:$AZ$1,),))</f>
        <v/>
      </c>
      <c r="C331" s="24">
        <f>Table13[[#This Row],[PMI]]-B330</f>
        <v/>
      </c>
    </row>
    <row r="332">
      <c r="A332" s="10" t="n">
        <v>44256</v>
      </c>
      <c r="B332" s="18">
        <f>IF(VLOOKUP(A332,'DB Country PMI'!$A:$AZ,MATCH($A$1,'DB Country PMI'!$A$1:$AZ$1,),)=0,#N/A,VLOOKUP(A332,'DB Country PMI'!$A:$AZ,MATCH($A$1,'DB Country PMI'!$A$1:$AZ$1,),))</f>
        <v/>
      </c>
      <c r="C332" s="24">
        <f>Table13[[#This Row],[PMI]]-B331</f>
        <v/>
      </c>
    </row>
    <row r="333">
      <c r="A333" s="10" t="n">
        <v>44287</v>
      </c>
      <c r="B333" s="18">
        <f>IF(VLOOKUP(A333,'DB Country PMI'!$A:$AZ,MATCH($A$1,'DB Country PMI'!$A$1:$AZ$1,),)=0,#N/A,VLOOKUP(A333,'DB Country PMI'!$A:$AZ,MATCH($A$1,'DB Country PMI'!$A$1:$AZ$1,),))</f>
        <v/>
      </c>
      <c r="C333" s="24">
        <f>Table13[[#This Row],[PMI]]-B332</f>
        <v/>
      </c>
    </row>
    <row r="334">
      <c r="A334" s="10" t="n">
        <v>44317</v>
      </c>
      <c r="B334" s="18">
        <f>IF(VLOOKUP(A334,'DB Country PMI'!$A:$AZ,MATCH($A$1,'DB Country PMI'!$A$1:$AZ$1,),)=0,#N/A,VLOOKUP(A334,'DB Country PMI'!$A:$AZ,MATCH($A$1,'DB Country PMI'!$A$1:$AZ$1,),))</f>
        <v/>
      </c>
      <c r="C334" s="24">
        <f>Table13[[#This Row],[PMI]]-B333</f>
        <v/>
      </c>
    </row>
    <row r="335">
      <c r="A335" s="10" t="n">
        <v>44348</v>
      </c>
      <c r="B335" s="18">
        <f>IF(VLOOKUP(A335,'DB Country PMI'!$A:$AZ,MATCH($A$1,'DB Country PMI'!$A$1:$AZ$1,),)=0,#N/A,VLOOKUP(A335,'DB Country PMI'!$A:$AZ,MATCH($A$1,'DB Country PMI'!$A$1:$AZ$1,),))</f>
        <v/>
      </c>
      <c r="C335" s="24">
        <f>Table13[[#This Row],[PMI]]-B334</f>
        <v/>
      </c>
    </row>
    <row r="336">
      <c r="A336" s="10" t="n">
        <v>44378</v>
      </c>
      <c r="B336" s="18">
        <f>IF(VLOOKUP(A336,'DB Country PMI'!$A:$AZ,MATCH($A$1,'DB Country PMI'!$A$1:$AZ$1,),)=0,#N/A,VLOOKUP(A336,'DB Country PMI'!$A:$AZ,MATCH($A$1,'DB Country PMI'!$A$1:$AZ$1,),))</f>
        <v/>
      </c>
      <c r="C336" s="24">
        <f>Table13[[#This Row],[PMI]]-B335</f>
        <v/>
      </c>
    </row>
    <row r="337">
      <c r="A337" s="10" t="n">
        <v>44409</v>
      </c>
      <c r="B337" s="18">
        <f>IF(VLOOKUP(A337,'DB Country PMI'!$A:$AZ,MATCH($A$1,'DB Country PMI'!$A$1:$AZ$1,),)=0,#N/A,VLOOKUP(A337,'DB Country PMI'!$A:$AZ,MATCH($A$1,'DB Country PMI'!$A$1:$AZ$1,),))</f>
        <v/>
      </c>
      <c r="C337" s="24">
        <f>Table13[[#This Row],[PMI]]-B336</f>
        <v/>
      </c>
    </row>
    <row r="338">
      <c r="A338" s="10" t="n">
        <v>44440</v>
      </c>
      <c r="B338" s="18">
        <f>IF(VLOOKUP(A338,'DB Country PMI'!$A:$AZ,MATCH($A$1,'DB Country PMI'!$A$1:$AZ$1,),)=0,#N/A,VLOOKUP(A338,'DB Country PMI'!$A:$AZ,MATCH($A$1,'DB Country PMI'!$A$1:$AZ$1,),))</f>
        <v/>
      </c>
      <c r="C338" s="24">
        <f>Table13[[#This Row],[PMI]]-B337</f>
        <v/>
      </c>
    </row>
    <row r="339">
      <c r="A339" s="10" t="n">
        <v>44470</v>
      </c>
      <c r="B339" s="18">
        <f>IF(VLOOKUP(A339,'DB Country PMI'!$A:$AZ,MATCH($A$1,'DB Country PMI'!$A$1:$AZ$1,),)=0,#N/A,VLOOKUP(A339,'DB Country PMI'!$A:$AZ,MATCH($A$1,'DB Country PMI'!$A$1:$AZ$1,),))</f>
        <v/>
      </c>
      <c r="C339" s="24">
        <f>Table13[[#This Row],[PMI]]-B338</f>
        <v/>
      </c>
    </row>
    <row r="340">
      <c r="A340" s="10" t="n">
        <v>44501</v>
      </c>
      <c r="B340" s="18">
        <f>IF(VLOOKUP(A340,'DB Country PMI'!$A:$AZ,MATCH($A$1,'DB Country PMI'!$A$1:$AZ$1,),)=0,#N/A,VLOOKUP(A340,'DB Country PMI'!$A:$AZ,MATCH($A$1,'DB Country PMI'!$A$1:$AZ$1,),))</f>
        <v/>
      </c>
      <c r="C340" s="24">
        <f>Table13[[#This Row],[PMI]]-B339</f>
        <v/>
      </c>
    </row>
    <row r="341">
      <c r="A341" s="10" t="n">
        <v>44531</v>
      </c>
      <c r="B341" s="18">
        <f>IF(VLOOKUP(A341,'DB Country PMI'!$A:$AZ,MATCH($A$1,'DB Country PMI'!$A$1:$AZ$1,),)=0,#N/A,VLOOKUP(A341,'DB Country PMI'!$A:$AZ,MATCH($A$1,'DB Country PMI'!$A$1:$AZ$1,),))</f>
        <v/>
      </c>
      <c r="C341" s="24">
        <f>Table13[[#This Row],[PMI]]-B340</f>
        <v/>
      </c>
    </row>
    <row r="342">
      <c r="A342" s="10" t="n">
        <v>44562</v>
      </c>
      <c r="B342" s="18">
        <f>IF(VLOOKUP(A342,'DB Country PMI'!$A:$AZ,MATCH($A$1,'DB Country PMI'!$A$1:$AZ$1,),)=0,#N/A,VLOOKUP(A342,'DB Country PMI'!$A:$AZ,MATCH($A$1,'DB Country PMI'!$A$1:$AZ$1,),))</f>
        <v/>
      </c>
      <c r="C342" s="24">
        <f>Table13[[#This Row],[PMI]]-B341</f>
        <v/>
      </c>
    </row>
    <row r="343">
      <c r="A343" s="10" t="n">
        <v>44593</v>
      </c>
      <c r="B343" s="18">
        <f>IF(VLOOKUP(A343,'DB Country PMI'!$A:$AZ,MATCH($A$1,'DB Country PMI'!$A$1:$AZ$1,),)=0,#N/A,VLOOKUP(A343,'DB Country PMI'!$A:$AZ,MATCH($A$1,'DB Country PMI'!$A$1:$AZ$1,),))</f>
        <v/>
      </c>
      <c r="C343" s="24">
        <f>Table13[[#This Row],[PMI]]-B342</f>
        <v/>
      </c>
    </row>
    <row r="344">
      <c r="A344" s="10" t="n">
        <v>44621</v>
      </c>
      <c r="B344" s="18">
        <f>IF(VLOOKUP(A344,'DB Country PMI'!$A:$AZ,MATCH($A$1,'DB Country PMI'!$A$1:$AZ$1,),)=0,#N/A,VLOOKUP(A344,'DB Country PMI'!$A:$AZ,MATCH($A$1,'DB Country PMI'!$A$1:$AZ$1,),))</f>
        <v/>
      </c>
      <c r="C344" s="24">
        <f>Table13[[#This Row],[PMI]]-B343</f>
        <v/>
      </c>
    </row>
    <row r="345">
      <c r="A345" s="10" t="n">
        <v>44652</v>
      </c>
      <c r="B345" s="18">
        <f>IF(VLOOKUP(A345,'DB Country PMI'!$A:$AZ,MATCH($A$1,'DB Country PMI'!$A$1:$AZ$1,),)=0,#N/A,VLOOKUP(A345,'DB Country PMI'!$A:$AZ,MATCH($A$1,'DB Country PMI'!$A$1:$AZ$1,),))</f>
        <v/>
      </c>
      <c r="C345" s="24">
        <f>Table13[[#This Row],[PMI]]-B344</f>
        <v/>
      </c>
    </row>
    <row r="346">
      <c r="A346" s="10" t="n">
        <v>44682</v>
      </c>
      <c r="B346" s="18">
        <f>IF(VLOOKUP(A346,'DB Country PMI'!$A:$AZ,MATCH($A$1,'DB Country PMI'!$A$1:$AZ$1,),)=0,#N/A,VLOOKUP(A346,'DB Country PMI'!$A:$AZ,MATCH($A$1,'DB Country PMI'!$A$1:$AZ$1,),))</f>
        <v/>
      </c>
      <c r="C346" s="24">
        <f>Table13[[#This Row],[PMI]]-B345</f>
        <v/>
      </c>
    </row>
    <row r="347">
      <c r="A347" s="10" t="n">
        <v>44713</v>
      </c>
      <c r="B347" s="18">
        <f>IF(VLOOKUP(A347,'DB Country PMI'!$A:$AZ,MATCH($A$1,'DB Country PMI'!$A$1:$AZ$1,),)=0,#N/A,VLOOKUP(A347,'DB Country PMI'!$A:$AZ,MATCH($A$1,'DB Country PMI'!$A$1:$AZ$1,),))</f>
        <v/>
      </c>
      <c r="C347" s="24">
        <f>Table13[[#This Row],[PMI]]-B346</f>
        <v/>
      </c>
    </row>
    <row r="348">
      <c r="A348" s="10" t="n">
        <v>44743</v>
      </c>
      <c r="B348" s="18">
        <f>IF(VLOOKUP(A348,'DB Country PMI'!$A:$AZ,MATCH($A$1,'DB Country PMI'!$A$1:$AZ$1,),)=0,#N/A,VLOOKUP(A348,'DB Country PMI'!$A:$AZ,MATCH($A$1,'DB Country PMI'!$A$1:$AZ$1,),))</f>
        <v/>
      </c>
      <c r="C348" s="24">
        <f>Table13[[#This Row],[PMI]]-B347</f>
        <v/>
      </c>
    </row>
    <row r="349">
      <c r="A349" s="10" t="n">
        <v>44774</v>
      </c>
      <c r="B349" s="18">
        <f>IF(VLOOKUP(A349,'DB Country PMI'!$A:$AZ,MATCH($A$1,'DB Country PMI'!$A$1:$AZ$1,),)=0,#N/A,VLOOKUP(A349,'DB Country PMI'!$A:$AZ,MATCH($A$1,'DB Country PMI'!$A$1:$AZ$1,),))</f>
        <v/>
      </c>
      <c r="C349" s="24">
        <f>Table13[[#This Row],[PMI]]-B348</f>
        <v/>
      </c>
    </row>
    <row r="350">
      <c r="A350" s="10" t="n">
        <v>44805</v>
      </c>
      <c r="B350" s="18">
        <f>IF(VLOOKUP(A350,'DB Country PMI'!$A:$AZ,MATCH($A$1,'DB Country PMI'!$A$1:$AZ$1,),)=0,#N/A,VLOOKUP(A350,'DB Country PMI'!$A:$AZ,MATCH($A$1,'DB Country PMI'!$A$1:$AZ$1,),))</f>
        <v/>
      </c>
      <c r="C350" s="24">
        <f>Table13[[#This Row],[PMI]]-B349</f>
        <v/>
      </c>
    </row>
    <row r="351">
      <c r="A351" s="10" t="n">
        <v>44835</v>
      </c>
      <c r="B351" s="18">
        <f>IF(VLOOKUP(A351,'DB Country PMI'!$A:$AZ,MATCH($A$1,'DB Country PMI'!$A$1:$AZ$1,),)=0,#N/A,VLOOKUP(A351,'DB Country PMI'!$A:$AZ,MATCH($A$1,'DB Country PMI'!$A$1:$AZ$1,),))</f>
        <v/>
      </c>
      <c r="C351" s="24">
        <f>Table13[[#This Row],[PMI]]-B350</f>
        <v/>
      </c>
    </row>
    <row r="352">
      <c r="A352" s="10" t="n">
        <v>44866</v>
      </c>
      <c r="B352" s="18">
        <f>IF(VLOOKUP(A352,'DB Country PMI'!$A:$AZ,MATCH($A$1,'DB Country PMI'!$A$1:$AZ$1,),)=0,#N/A,VLOOKUP(A352,'DB Country PMI'!$A:$AZ,MATCH($A$1,'DB Country PMI'!$A$1:$AZ$1,),))</f>
        <v/>
      </c>
      <c r="C352" s="24">
        <f>Table13[[#This Row],[PMI]]-B351</f>
        <v/>
      </c>
    </row>
  </sheetData>
  <conditionalFormatting sqref="C198:C352">
    <cfRule type="colorScale" priority="2">
      <colorScale>
        <cfvo type="min"/>
        <cfvo type="percentile" val="50"/>
        <cfvo type="max"/>
        <color rgb="FFF8696B"/>
        <color rgb="FFFCFCFF"/>
        <color rgb="FF5A8AC6"/>
      </colorScale>
    </cfRule>
  </conditionalFormatting>
  <conditionalFormatting sqref="B198:B35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2.xml><?xml version="1.0" encoding="utf-8"?>
<worksheet xmlns="http://schemas.openxmlformats.org/spreadsheetml/2006/main">
  <sheetPr>
    <outlinePr summaryBelow="1" summaryRight="1"/>
    <pageSetUpPr/>
  </sheetPr>
  <dimension ref="A1:K130"/>
  <sheetViews>
    <sheetView zoomScaleNormal="100" workbookViewId="0">
      <pane ySplit="5" topLeftCell="A117" activePane="bottomLeft" state="frozen"/>
      <selection activeCell="P121" sqref="P121"/>
      <selection pane="bottomLeft" activeCell="A116" sqref="A116:C130"/>
    </sheetView>
  </sheetViews>
  <sheetFormatPr baseColWidth="8" defaultColWidth="9.1796875" defaultRowHeight="14.5"/>
  <cols>
    <col width="13.453125" customWidth="1" style="69" min="1" max="1"/>
    <col width="11.36328125" customWidth="1" style="69" min="2" max="2"/>
    <col width="9.1796875" customWidth="1" style="69" min="3" max="51"/>
    <col width="9.1796875" customWidth="1" style="69" min="52" max="16384"/>
  </cols>
  <sheetData>
    <row r="1">
      <c r="A1" s="69" t="inlineStr">
        <is>
          <t>Vietnam</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41091</v>
      </c>
      <c r="B6" s="18">
        <f>IF(VLOOKUP(A6,'DB Country PMI'!$A:$AZ,MATCH($A$1,'DB Country PMI'!$A$1:$AZ$1,),)=0,#N/A,VLOOKUP(A6,'DB Country PMI'!$A:$AZ,MATCH($A$1,'DB Country PMI'!$A$1:$AZ$1,),))</f>
        <v/>
      </c>
      <c r="C6" s="18" t="n"/>
    </row>
    <row r="7">
      <c r="A7" s="10" t="n">
        <v>41122</v>
      </c>
      <c r="B7" s="18">
        <f>IF(VLOOKUP(A7,'DB Country PMI'!$A:$AZ,MATCH($A$1,'DB Country PMI'!$A$1:$AZ$1,),)=0,#N/A,VLOOKUP(A7,'DB Country PMI'!$A:$AZ,MATCH($A$1,'DB Country PMI'!$A$1:$AZ$1,),))</f>
        <v/>
      </c>
      <c r="C7" s="24">
        <f>Table134[[#This Row],[PMI]]-B6</f>
        <v/>
      </c>
    </row>
    <row r="8">
      <c r="A8" s="10" t="n">
        <v>41153</v>
      </c>
      <c r="B8" s="18">
        <f>IF(VLOOKUP(A8,'DB Country PMI'!$A:$AZ,MATCH($A$1,'DB Country PMI'!$A$1:$AZ$1,),)=0,#N/A,VLOOKUP(A8,'DB Country PMI'!$A:$AZ,MATCH($A$1,'DB Country PMI'!$A$1:$AZ$1,),))</f>
        <v/>
      </c>
      <c r="C8" s="24">
        <f>Table134[[#This Row],[PMI]]-B7</f>
        <v/>
      </c>
    </row>
    <row r="9">
      <c r="A9" s="10" t="n">
        <v>41183</v>
      </c>
      <c r="B9" s="18">
        <f>IF(VLOOKUP(A9,'DB Country PMI'!$A:$AZ,MATCH($A$1,'DB Country PMI'!$A$1:$AZ$1,),)=0,#N/A,VLOOKUP(A9,'DB Country PMI'!$A:$AZ,MATCH($A$1,'DB Country PMI'!$A$1:$AZ$1,),))</f>
        <v/>
      </c>
      <c r="C9" s="24">
        <f>Table134[[#This Row],[PMI]]-B8</f>
        <v/>
      </c>
    </row>
    <row r="10">
      <c r="A10" s="10" t="n">
        <v>41214</v>
      </c>
      <c r="B10" s="18">
        <f>IF(VLOOKUP(A10,'DB Country PMI'!$A:$AZ,MATCH($A$1,'DB Country PMI'!$A$1:$AZ$1,),)=0,#N/A,VLOOKUP(A10,'DB Country PMI'!$A:$AZ,MATCH($A$1,'DB Country PMI'!$A$1:$AZ$1,),))</f>
        <v/>
      </c>
      <c r="C10" s="24">
        <f>Table134[[#This Row],[PMI]]-B9</f>
        <v/>
      </c>
    </row>
    <row r="11">
      <c r="A11" s="10" t="n">
        <v>41244</v>
      </c>
      <c r="B11" s="18">
        <f>IF(VLOOKUP(A11,'DB Country PMI'!$A:$AZ,MATCH($A$1,'DB Country PMI'!$A$1:$AZ$1,),)=0,#N/A,VLOOKUP(A11,'DB Country PMI'!$A:$AZ,MATCH($A$1,'DB Country PMI'!$A$1:$AZ$1,),))</f>
        <v/>
      </c>
      <c r="C11" s="24">
        <f>Table134[[#This Row],[PMI]]-B10</f>
        <v/>
      </c>
    </row>
    <row r="12">
      <c r="A12" s="10" t="n">
        <v>41275</v>
      </c>
      <c r="B12" s="18">
        <f>IF(VLOOKUP(A12,'DB Country PMI'!$A:$AZ,MATCH($A$1,'DB Country PMI'!$A$1:$AZ$1,),)=0,#N/A,VLOOKUP(A12,'DB Country PMI'!$A:$AZ,MATCH($A$1,'DB Country PMI'!$A$1:$AZ$1,),))</f>
        <v/>
      </c>
      <c r="C12" s="24">
        <f>Table134[[#This Row],[PMI]]-B11</f>
        <v/>
      </c>
    </row>
    <row r="13">
      <c r="A13" s="10" t="n">
        <v>41306</v>
      </c>
      <c r="B13" s="18">
        <f>IF(VLOOKUP(A13,'DB Country PMI'!$A:$AZ,MATCH($A$1,'DB Country PMI'!$A$1:$AZ$1,),)=0,#N/A,VLOOKUP(A13,'DB Country PMI'!$A:$AZ,MATCH($A$1,'DB Country PMI'!$A$1:$AZ$1,),))</f>
        <v/>
      </c>
      <c r="C13" s="24">
        <f>Table134[[#This Row],[PMI]]-B12</f>
        <v/>
      </c>
    </row>
    <row r="14">
      <c r="A14" s="10" t="n">
        <v>41334</v>
      </c>
      <c r="B14" s="18">
        <f>IF(VLOOKUP(A14,'DB Country PMI'!$A:$AZ,MATCH($A$1,'DB Country PMI'!$A$1:$AZ$1,),)=0,#N/A,VLOOKUP(A14,'DB Country PMI'!$A:$AZ,MATCH($A$1,'DB Country PMI'!$A$1:$AZ$1,),))</f>
        <v/>
      </c>
      <c r="C14" s="24">
        <f>Table134[[#This Row],[PMI]]-B13</f>
        <v/>
      </c>
    </row>
    <row r="15">
      <c r="A15" s="10" t="n">
        <v>41365</v>
      </c>
      <c r="B15" s="18">
        <f>IF(VLOOKUP(A15,'DB Country PMI'!$A:$AZ,MATCH($A$1,'DB Country PMI'!$A$1:$AZ$1,),)=0,#N/A,VLOOKUP(A15,'DB Country PMI'!$A:$AZ,MATCH($A$1,'DB Country PMI'!$A$1:$AZ$1,),))</f>
        <v/>
      </c>
      <c r="C15" s="24">
        <f>Table134[[#This Row],[PMI]]-B14</f>
        <v/>
      </c>
    </row>
    <row r="16">
      <c r="A16" s="10" t="n">
        <v>41395</v>
      </c>
      <c r="B16" s="18">
        <f>IF(VLOOKUP(A16,'DB Country PMI'!$A:$AZ,MATCH($A$1,'DB Country PMI'!$A$1:$AZ$1,),)=0,#N/A,VLOOKUP(A16,'DB Country PMI'!$A:$AZ,MATCH($A$1,'DB Country PMI'!$A$1:$AZ$1,),))</f>
        <v/>
      </c>
      <c r="C16" s="24">
        <f>Table134[[#This Row],[PMI]]-B15</f>
        <v/>
      </c>
    </row>
    <row r="17">
      <c r="A17" s="10" t="n">
        <v>41426</v>
      </c>
      <c r="B17" s="18">
        <f>IF(VLOOKUP(A17,'DB Country PMI'!$A:$AZ,MATCH($A$1,'DB Country PMI'!$A$1:$AZ$1,),)=0,#N/A,VLOOKUP(A17,'DB Country PMI'!$A:$AZ,MATCH($A$1,'DB Country PMI'!$A$1:$AZ$1,),))</f>
        <v/>
      </c>
      <c r="C17" s="24">
        <f>Table134[[#This Row],[PMI]]-B16</f>
        <v/>
      </c>
    </row>
    <row r="18">
      <c r="A18" s="10" t="n">
        <v>41456</v>
      </c>
      <c r="B18" s="18">
        <f>IF(VLOOKUP(A18,'DB Country PMI'!$A:$AZ,MATCH($A$1,'DB Country PMI'!$A$1:$AZ$1,),)=0,#N/A,VLOOKUP(A18,'DB Country PMI'!$A:$AZ,MATCH($A$1,'DB Country PMI'!$A$1:$AZ$1,),))</f>
        <v/>
      </c>
      <c r="C18" s="24">
        <f>Table134[[#This Row],[PMI]]-B17</f>
        <v/>
      </c>
    </row>
    <row r="19">
      <c r="A19" s="10" t="n">
        <v>41487</v>
      </c>
      <c r="B19" s="18">
        <f>IF(VLOOKUP(A19,'DB Country PMI'!$A:$AZ,MATCH($A$1,'DB Country PMI'!$A$1:$AZ$1,),)=0,#N/A,VLOOKUP(A19,'DB Country PMI'!$A:$AZ,MATCH($A$1,'DB Country PMI'!$A$1:$AZ$1,),))</f>
        <v/>
      </c>
      <c r="C19" s="24">
        <f>Table134[[#This Row],[PMI]]-B18</f>
        <v/>
      </c>
    </row>
    <row r="20">
      <c r="A20" s="10" t="n">
        <v>41518</v>
      </c>
      <c r="B20" s="18">
        <f>IF(VLOOKUP(A20,'DB Country PMI'!$A:$AZ,MATCH($A$1,'DB Country PMI'!$A$1:$AZ$1,),)=0,#N/A,VLOOKUP(A20,'DB Country PMI'!$A:$AZ,MATCH($A$1,'DB Country PMI'!$A$1:$AZ$1,),))</f>
        <v/>
      </c>
      <c r="C20" s="24">
        <f>Table134[[#This Row],[PMI]]-B19</f>
        <v/>
      </c>
    </row>
    <row r="21">
      <c r="A21" s="10" t="n">
        <v>41548</v>
      </c>
      <c r="B21" s="18">
        <f>IF(VLOOKUP(A21,'DB Country PMI'!$A:$AZ,MATCH($A$1,'DB Country PMI'!$A$1:$AZ$1,),)=0,#N/A,VLOOKUP(A21,'DB Country PMI'!$A:$AZ,MATCH($A$1,'DB Country PMI'!$A$1:$AZ$1,),))</f>
        <v/>
      </c>
      <c r="C21" s="24">
        <f>Table134[[#This Row],[PMI]]-B20</f>
        <v/>
      </c>
    </row>
    <row r="22">
      <c r="A22" s="10" t="n">
        <v>41579</v>
      </c>
      <c r="B22" s="18">
        <f>IF(VLOOKUP(A22,'DB Country PMI'!$A:$AZ,MATCH($A$1,'DB Country PMI'!$A$1:$AZ$1,),)=0,#N/A,VLOOKUP(A22,'DB Country PMI'!$A:$AZ,MATCH($A$1,'DB Country PMI'!$A$1:$AZ$1,),))</f>
        <v/>
      </c>
      <c r="C22" s="24">
        <f>Table134[[#This Row],[PMI]]-B21</f>
        <v/>
      </c>
    </row>
    <row r="23">
      <c r="A23" s="10" t="n">
        <v>41609</v>
      </c>
      <c r="B23" s="18">
        <f>IF(VLOOKUP(A23,'DB Country PMI'!$A:$AZ,MATCH($A$1,'DB Country PMI'!$A$1:$AZ$1,),)=0,#N/A,VLOOKUP(A23,'DB Country PMI'!$A:$AZ,MATCH($A$1,'DB Country PMI'!$A$1:$AZ$1,),))</f>
        <v/>
      </c>
      <c r="C23" s="24">
        <f>Table134[[#This Row],[PMI]]-B22</f>
        <v/>
      </c>
    </row>
    <row r="24">
      <c r="A24" s="10" t="n">
        <v>41640</v>
      </c>
      <c r="B24" s="18">
        <f>IF(VLOOKUP(A24,'DB Country PMI'!$A:$AZ,MATCH($A$1,'DB Country PMI'!$A$1:$AZ$1,),)=0,#N/A,VLOOKUP(A24,'DB Country PMI'!$A:$AZ,MATCH($A$1,'DB Country PMI'!$A$1:$AZ$1,),))</f>
        <v/>
      </c>
      <c r="C24" s="24">
        <f>Table134[[#This Row],[PMI]]-B23</f>
        <v/>
      </c>
    </row>
    <row r="25">
      <c r="A25" s="10" t="n">
        <v>41671</v>
      </c>
      <c r="B25" s="18">
        <f>IF(VLOOKUP(A25,'DB Country PMI'!$A:$AZ,MATCH($A$1,'DB Country PMI'!$A$1:$AZ$1,),)=0,#N/A,VLOOKUP(A25,'DB Country PMI'!$A:$AZ,MATCH($A$1,'DB Country PMI'!$A$1:$AZ$1,),))</f>
        <v/>
      </c>
      <c r="C25" s="24">
        <f>Table134[[#This Row],[PMI]]-B24</f>
        <v/>
      </c>
    </row>
    <row r="26">
      <c r="A26" s="10" t="n">
        <v>41699</v>
      </c>
      <c r="B26" s="18">
        <f>IF(VLOOKUP(A26,'DB Country PMI'!$A:$AZ,MATCH($A$1,'DB Country PMI'!$A$1:$AZ$1,),)=0,#N/A,VLOOKUP(A26,'DB Country PMI'!$A:$AZ,MATCH($A$1,'DB Country PMI'!$A$1:$AZ$1,),))</f>
        <v/>
      </c>
      <c r="C26" s="24">
        <f>Table134[[#This Row],[PMI]]-B25</f>
        <v/>
      </c>
    </row>
    <row r="27">
      <c r="A27" s="10" t="n">
        <v>41730</v>
      </c>
      <c r="B27" s="18">
        <f>IF(VLOOKUP(A27,'DB Country PMI'!$A:$AZ,MATCH($A$1,'DB Country PMI'!$A$1:$AZ$1,),)=0,#N/A,VLOOKUP(A27,'DB Country PMI'!$A:$AZ,MATCH($A$1,'DB Country PMI'!$A$1:$AZ$1,),))</f>
        <v/>
      </c>
      <c r="C27" s="24">
        <f>Table134[[#This Row],[PMI]]-B26</f>
        <v/>
      </c>
    </row>
    <row r="28">
      <c r="A28" s="10" t="n">
        <v>41760</v>
      </c>
      <c r="B28" s="18">
        <f>IF(VLOOKUP(A28,'DB Country PMI'!$A:$AZ,MATCH($A$1,'DB Country PMI'!$A$1:$AZ$1,),)=0,#N/A,VLOOKUP(A28,'DB Country PMI'!$A:$AZ,MATCH($A$1,'DB Country PMI'!$A$1:$AZ$1,),))</f>
        <v/>
      </c>
      <c r="C28" s="24">
        <f>Table134[[#This Row],[PMI]]-B27</f>
        <v/>
      </c>
    </row>
    <row r="29">
      <c r="A29" s="10" t="n">
        <v>41791</v>
      </c>
      <c r="B29" s="18">
        <f>IF(VLOOKUP(A29,'DB Country PMI'!$A:$AZ,MATCH($A$1,'DB Country PMI'!$A$1:$AZ$1,),)=0,#N/A,VLOOKUP(A29,'DB Country PMI'!$A:$AZ,MATCH($A$1,'DB Country PMI'!$A$1:$AZ$1,),))</f>
        <v/>
      </c>
      <c r="C29" s="24">
        <f>Table134[[#This Row],[PMI]]-B28</f>
        <v/>
      </c>
    </row>
    <row r="30">
      <c r="A30" s="10" t="n">
        <v>41821</v>
      </c>
      <c r="B30" s="18">
        <f>IF(VLOOKUP(A30,'DB Country PMI'!$A:$AZ,MATCH($A$1,'DB Country PMI'!$A$1:$AZ$1,),)=0,#N/A,VLOOKUP(A30,'DB Country PMI'!$A:$AZ,MATCH($A$1,'DB Country PMI'!$A$1:$AZ$1,),))</f>
        <v/>
      </c>
      <c r="C30" s="24">
        <f>Table134[[#This Row],[PMI]]-B29</f>
        <v/>
      </c>
    </row>
    <row r="31">
      <c r="A31" s="10" t="n">
        <v>41852</v>
      </c>
      <c r="B31" s="18">
        <f>IF(VLOOKUP(A31,'DB Country PMI'!$A:$AZ,MATCH($A$1,'DB Country PMI'!$A$1:$AZ$1,),)=0,#N/A,VLOOKUP(A31,'DB Country PMI'!$A:$AZ,MATCH($A$1,'DB Country PMI'!$A$1:$AZ$1,),))</f>
        <v/>
      </c>
      <c r="C31" s="24">
        <f>Table134[[#This Row],[PMI]]-B30</f>
        <v/>
      </c>
    </row>
    <row r="32">
      <c r="A32" s="10" t="n">
        <v>41883</v>
      </c>
      <c r="B32" s="18">
        <f>IF(VLOOKUP(A32,'DB Country PMI'!$A:$AZ,MATCH($A$1,'DB Country PMI'!$A$1:$AZ$1,),)=0,#N/A,VLOOKUP(A32,'DB Country PMI'!$A:$AZ,MATCH($A$1,'DB Country PMI'!$A$1:$AZ$1,),))</f>
        <v/>
      </c>
      <c r="C32" s="24">
        <f>Table134[[#This Row],[PMI]]-B31</f>
        <v/>
      </c>
    </row>
    <row r="33">
      <c r="A33" s="10" t="n">
        <v>41913</v>
      </c>
      <c r="B33" s="18">
        <f>IF(VLOOKUP(A33,'DB Country PMI'!$A:$AZ,MATCH($A$1,'DB Country PMI'!$A$1:$AZ$1,),)=0,#N/A,VLOOKUP(A33,'DB Country PMI'!$A:$AZ,MATCH($A$1,'DB Country PMI'!$A$1:$AZ$1,),))</f>
        <v/>
      </c>
      <c r="C33" s="24">
        <f>Table134[[#This Row],[PMI]]-B32</f>
        <v/>
      </c>
    </row>
    <row r="34">
      <c r="A34" s="10" t="n">
        <v>41944</v>
      </c>
      <c r="B34" s="18">
        <f>IF(VLOOKUP(A34,'DB Country PMI'!$A:$AZ,MATCH($A$1,'DB Country PMI'!$A$1:$AZ$1,),)=0,#N/A,VLOOKUP(A34,'DB Country PMI'!$A:$AZ,MATCH($A$1,'DB Country PMI'!$A$1:$AZ$1,),))</f>
        <v/>
      </c>
      <c r="C34" s="24">
        <f>Table134[[#This Row],[PMI]]-B33</f>
        <v/>
      </c>
    </row>
    <row r="35">
      <c r="A35" s="10" t="n">
        <v>41974</v>
      </c>
      <c r="B35" s="18">
        <f>IF(VLOOKUP(A35,'DB Country PMI'!$A:$AZ,MATCH($A$1,'DB Country PMI'!$A$1:$AZ$1,),)=0,#N/A,VLOOKUP(A35,'DB Country PMI'!$A:$AZ,MATCH($A$1,'DB Country PMI'!$A$1:$AZ$1,),))</f>
        <v/>
      </c>
      <c r="C35" s="24">
        <f>Table134[[#This Row],[PMI]]-B34</f>
        <v/>
      </c>
    </row>
    <row r="36">
      <c r="A36" s="10" t="n">
        <v>42005</v>
      </c>
      <c r="B36" s="18">
        <f>IF(VLOOKUP(A36,'DB Country PMI'!$A:$AZ,MATCH($A$1,'DB Country PMI'!$A$1:$AZ$1,),)=0,#N/A,VLOOKUP(A36,'DB Country PMI'!$A:$AZ,MATCH($A$1,'DB Country PMI'!$A$1:$AZ$1,),))</f>
        <v/>
      </c>
      <c r="C36" s="24">
        <f>Table134[[#This Row],[PMI]]-B35</f>
        <v/>
      </c>
    </row>
    <row r="37">
      <c r="A37" s="10" t="n">
        <v>42036</v>
      </c>
      <c r="B37" s="18">
        <f>IF(VLOOKUP(A37,'DB Country PMI'!$A:$AZ,MATCH($A$1,'DB Country PMI'!$A$1:$AZ$1,),)=0,#N/A,VLOOKUP(A37,'DB Country PMI'!$A:$AZ,MATCH($A$1,'DB Country PMI'!$A$1:$AZ$1,),))</f>
        <v/>
      </c>
      <c r="C37" s="24">
        <f>Table134[[#This Row],[PMI]]-B36</f>
        <v/>
      </c>
    </row>
    <row r="38">
      <c r="A38" s="10" t="n">
        <v>42064</v>
      </c>
      <c r="B38" s="18">
        <f>IF(VLOOKUP(A38,'DB Country PMI'!$A:$AZ,MATCH($A$1,'DB Country PMI'!$A$1:$AZ$1,),)=0,#N/A,VLOOKUP(A38,'DB Country PMI'!$A:$AZ,MATCH($A$1,'DB Country PMI'!$A$1:$AZ$1,),))</f>
        <v/>
      </c>
      <c r="C38" s="24">
        <f>Table134[[#This Row],[PMI]]-B37</f>
        <v/>
      </c>
    </row>
    <row r="39">
      <c r="A39" s="10" t="n">
        <v>42095</v>
      </c>
      <c r="B39" s="18">
        <f>IF(VLOOKUP(A39,'DB Country PMI'!$A:$AZ,MATCH($A$1,'DB Country PMI'!$A$1:$AZ$1,),)=0,#N/A,VLOOKUP(A39,'DB Country PMI'!$A:$AZ,MATCH($A$1,'DB Country PMI'!$A$1:$AZ$1,),))</f>
        <v/>
      </c>
      <c r="C39" s="24">
        <f>Table134[[#This Row],[PMI]]-B38</f>
        <v/>
      </c>
    </row>
    <row r="40">
      <c r="A40" s="10" t="n">
        <v>42125</v>
      </c>
      <c r="B40" s="18">
        <f>IF(VLOOKUP(A40,'DB Country PMI'!$A:$AZ,MATCH($A$1,'DB Country PMI'!$A$1:$AZ$1,),)=0,#N/A,VLOOKUP(A40,'DB Country PMI'!$A:$AZ,MATCH($A$1,'DB Country PMI'!$A$1:$AZ$1,),))</f>
        <v/>
      </c>
      <c r="C40" s="24">
        <f>Table134[[#This Row],[PMI]]-B39</f>
        <v/>
      </c>
    </row>
    <row r="41">
      <c r="A41" s="10" t="n">
        <v>42156</v>
      </c>
      <c r="B41" s="18">
        <f>IF(VLOOKUP(A41,'DB Country PMI'!$A:$AZ,MATCH($A$1,'DB Country PMI'!$A$1:$AZ$1,),)=0,#N/A,VLOOKUP(A41,'DB Country PMI'!$A:$AZ,MATCH($A$1,'DB Country PMI'!$A$1:$AZ$1,),))</f>
        <v/>
      </c>
      <c r="C41" s="24">
        <f>Table134[[#This Row],[PMI]]-B40</f>
        <v/>
      </c>
    </row>
    <row r="42">
      <c r="A42" s="10" t="n">
        <v>42186</v>
      </c>
      <c r="B42" s="18">
        <f>IF(VLOOKUP(A42,'DB Country PMI'!$A:$AZ,MATCH($A$1,'DB Country PMI'!$A$1:$AZ$1,),)=0,#N/A,VLOOKUP(A42,'DB Country PMI'!$A:$AZ,MATCH($A$1,'DB Country PMI'!$A$1:$AZ$1,),))</f>
        <v/>
      </c>
      <c r="C42" s="24">
        <f>Table134[[#This Row],[PMI]]-B41</f>
        <v/>
      </c>
    </row>
    <row r="43">
      <c r="A43" s="10" t="n">
        <v>42217</v>
      </c>
      <c r="B43" s="18">
        <f>IF(VLOOKUP(A43,'DB Country PMI'!$A:$AZ,MATCH($A$1,'DB Country PMI'!$A$1:$AZ$1,),)=0,#N/A,VLOOKUP(A43,'DB Country PMI'!$A:$AZ,MATCH($A$1,'DB Country PMI'!$A$1:$AZ$1,),))</f>
        <v/>
      </c>
      <c r="C43" s="24">
        <f>Table134[[#This Row],[PMI]]-B42</f>
        <v/>
      </c>
    </row>
    <row r="44">
      <c r="A44" s="10" t="n">
        <v>42248</v>
      </c>
      <c r="B44" s="18">
        <f>IF(VLOOKUP(A44,'DB Country PMI'!$A:$AZ,MATCH($A$1,'DB Country PMI'!$A$1:$AZ$1,),)=0,#N/A,VLOOKUP(A44,'DB Country PMI'!$A:$AZ,MATCH($A$1,'DB Country PMI'!$A$1:$AZ$1,),))</f>
        <v/>
      </c>
      <c r="C44" s="24">
        <f>Table134[[#This Row],[PMI]]-B43</f>
        <v/>
      </c>
    </row>
    <row r="45">
      <c r="A45" s="10" t="n">
        <v>42278</v>
      </c>
      <c r="B45" s="18">
        <f>IF(VLOOKUP(A45,'DB Country PMI'!$A:$AZ,MATCH($A$1,'DB Country PMI'!$A$1:$AZ$1,),)=0,#N/A,VLOOKUP(A45,'DB Country PMI'!$A:$AZ,MATCH($A$1,'DB Country PMI'!$A$1:$AZ$1,),))</f>
        <v/>
      </c>
      <c r="C45" s="24">
        <f>Table134[[#This Row],[PMI]]-B44</f>
        <v/>
      </c>
    </row>
    <row r="46">
      <c r="A46" s="10" t="n">
        <v>42309</v>
      </c>
      <c r="B46" s="18">
        <f>IF(VLOOKUP(A46,'DB Country PMI'!$A:$AZ,MATCH($A$1,'DB Country PMI'!$A$1:$AZ$1,),)=0,#N/A,VLOOKUP(A46,'DB Country PMI'!$A:$AZ,MATCH($A$1,'DB Country PMI'!$A$1:$AZ$1,),))</f>
        <v/>
      </c>
      <c r="C46" s="24">
        <f>Table134[[#This Row],[PMI]]-B45</f>
        <v/>
      </c>
    </row>
    <row r="47">
      <c r="A47" s="10" t="n">
        <v>42339</v>
      </c>
      <c r="B47" s="18">
        <f>IF(VLOOKUP(A47,'DB Country PMI'!$A:$AZ,MATCH($A$1,'DB Country PMI'!$A$1:$AZ$1,),)=0,#N/A,VLOOKUP(A47,'DB Country PMI'!$A:$AZ,MATCH($A$1,'DB Country PMI'!$A$1:$AZ$1,),))</f>
        <v/>
      </c>
      <c r="C47" s="24">
        <f>Table134[[#This Row],[PMI]]-B46</f>
        <v/>
      </c>
    </row>
    <row r="48">
      <c r="A48" s="10" t="n">
        <v>42370</v>
      </c>
      <c r="B48" s="18">
        <f>IF(VLOOKUP(A48,'DB Country PMI'!$A:$AZ,MATCH($A$1,'DB Country PMI'!$A$1:$AZ$1,),)=0,#N/A,VLOOKUP(A48,'DB Country PMI'!$A:$AZ,MATCH($A$1,'DB Country PMI'!$A$1:$AZ$1,),))</f>
        <v/>
      </c>
      <c r="C48" s="24">
        <f>Table134[[#This Row],[PMI]]-B47</f>
        <v/>
      </c>
    </row>
    <row r="49">
      <c r="A49" s="10" t="n">
        <v>42401</v>
      </c>
      <c r="B49" s="18">
        <f>IF(VLOOKUP(A49,'DB Country PMI'!$A:$AZ,MATCH($A$1,'DB Country PMI'!$A$1:$AZ$1,),)=0,#N/A,VLOOKUP(A49,'DB Country PMI'!$A:$AZ,MATCH($A$1,'DB Country PMI'!$A$1:$AZ$1,),))</f>
        <v/>
      </c>
      <c r="C49" s="24">
        <f>Table134[[#This Row],[PMI]]-B48</f>
        <v/>
      </c>
    </row>
    <row r="50">
      <c r="A50" s="10" t="n">
        <v>42430</v>
      </c>
      <c r="B50" s="18">
        <f>IF(VLOOKUP(A50,'DB Country PMI'!$A:$AZ,MATCH($A$1,'DB Country PMI'!$A$1:$AZ$1,),)=0,#N/A,VLOOKUP(A50,'DB Country PMI'!$A:$AZ,MATCH($A$1,'DB Country PMI'!$A$1:$AZ$1,),))</f>
        <v/>
      </c>
      <c r="C50" s="24">
        <f>Table134[[#This Row],[PMI]]-B49</f>
        <v/>
      </c>
    </row>
    <row r="51">
      <c r="A51" s="10" t="n">
        <v>42461</v>
      </c>
      <c r="B51" s="18">
        <f>IF(VLOOKUP(A51,'DB Country PMI'!$A:$AZ,MATCH($A$1,'DB Country PMI'!$A$1:$AZ$1,),)=0,#N/A,VLOOKUP(A51,'DB Country PMI'!$A:$AZ,MATCH($A$1,'DB Country PMI'!$A$1:$AZ$1,),))</f>
        <v/>
      </c>
      <c r="C51" s="24">
        <f>Table134[[#This Row],[PMI]]-B50</f>
        <v/>
      </c>
    </row>
    <row r="52">
      <c r="A52" s="10" t="n">
        <v>42491</v>
      </c>
      <c r="B52" s="18">
        <f>IF(VLOOKUP(A52,'DB Country PMI'!$A:$AZ,MATCH($A$1,'DB Country PMI'!$A$1:$AZ$1,),)=0,#N/A,VLOOKUP(A52,'DB Country PMI'!$A:$AZ,MATCH($A$1,'DB Country PMI'!$A$1:$AZ$1,),))</f>
        <v/>
      </c>
      <c r="C52" s="24">
        <f>Table134[[#This Row],[PMI]]-B51</f>
        <v/>
      </c>
    </row>
    <row r="53">
      <c r="A53" s="10" t="n">
        <v>42522</v>
      </c>
      <c r="B53" s="18">
        <f>IF(VLOOKUP(A53,'DB Country PMI'!$A:$AZ,MATCH($A$1,'DB Country PMI'!$A$1:$AZ$1,),)=0,#N/A,VLOOKUP(A53,'DB Country PMI'!$A:$AZ,MATCH($A$1,'DB Country PMI'!$A$1:$AZ$1,),))</f>
        <v/>
      </c>
      <c r="C53" s="24">
        <f>Table134[[#This Row],[PMI]]-B52</f>
        <v/>
      </c>
    </row>
    <row r="54">
      <c r="A54" s="10" t="n">
        <v>42552</v>
      </c>
      <c r="B54" s="18">
        <f>IF(VLOOKUP(A54,'DB Country PMI'!$A:$AZ,MATCH($A$1,'DB Country PMI'!$A$1:$AZ$1,),)=0,#N/A,VLOOKUP(A54,'DB Country PMI'!$A:$AZ,MATCH($A$1,'DB Country PMI'!$A$1:$AZ$1,),))</f>
        <v/>
      </c>
      <c r="C54" s="24">
        <f>Table134[[#This Row],[PMI]]-B53</f>
        <v/>
      </c>
    </row>
    <row r="55">
      <c r="A55" s="10" t="n">
        <v>42583</v>
      </c>
      <c r="B55" s="18">
        <f>IF(VLOOKUP(A55,'DB Country PMI'!$A:$AZ,MATCH($A$1,'DB Country PMI'!$A$1:$AZ$1,),)=0,#N/A,VLOOKUP(A55,'DB Country PMI'!$A:$AZ,MATCH($A$1,'DB Country PMI'!$A$1:$AZ$1,),))</f>
        <v/>
      </c>
      <c r="C55" s="24">
        <f>Table134[[#This Row],[PMI]]-B54</f>
        <v/>
      </c>
    </row>
    <row r="56">
      <c r="A56" s="10" t="n">
        <v>42614</v>
      </c>
      <c r="B56" s="18">
        <f>IF(VLOOKUP(A56,'DB Country PMI'!$A:$AZ,MATCH($A$1,'DB Country PMI'!$A$1:$AZ$1,),)=0,#N/A,VLOOKUP(A56,'DB Country PMI'!$A:$AZ,MATCH($A$1,'DB Country PMI'!$A$1:$AZ$1,),))</f>
        <v/>
      </c>
      <c r="C56" s="24">
        <f>Table134[[#This Row],[PMI]]-B55</f>
        <v/>
      </c>
    </row>
    <row r="57">
      <c r="A57" s="10" t="n">
        <v>42644</v>
      </c>
      <c r="B57" s="18">
        <f>IF(VLOOKUP(A57,'DB Country PMI'!$A:$AZ,MATCH($A$1,'DB Country PMI'!$A$1:$AZ$1,),)=0,#N/A,VLOOKUP(A57,'DB Country PMI'!$A:$AZ,MATCH($A$1,'DB Country PMI'!$A$1:$AZ$1,),))</f>
        <v/>
      </c>
      <c r="C57" s="24">
        <f>Table134[[#This Row],[PMI]]-B56</f>
        <v/>
      </c>
    </row>
    <row r="58">
      <c r="A58" s="10" t="n">
        <v>42675</v>
      </c>
      <c r="B58" s="18">
        <f>IF(VLOOKUP(A58,'DB Country PMI'!$A:$AZ,MATCH($A$1,'DB Country PMI'!$A$1:$AZ$1,),)=0,#N/A,VLOOKUP(A58,'DB Country PMI'!$A:$AZ,MATCH($A$1,'DB Country PMI'!$A$1:$AZ$1,),))</f>
        <v/>
      </c>
      <c r="C58" s="24">
        <f>Table134[[#This Row],[PMI]]-B57</f>
        <v/>
      </c>
    </row>
    <row r="59">
      <c r="A59" s="10" t="n">
        <v>42705</v>
      </c>
      <c r="B59" s="18">
        <f>IF(VLOOKUP(A59,'DB Country PMI'!$A:$AZ,MATCH($A$1,'DB Country PMI'!$A$1:$AZ$1,),)=0,#N/A,VLOOKUP(A59,'DB Country PMI'!$A:$AZ,MATCH($A$1,'DB Country PMI'!$A$1:$AZ$1,),))</f>
        <v/>
      </c>
      <c r="C59" s="24">
        <f>Table134[[#This Row],[PMI]]-B58</f>
        <v/>
      </c>
    </row>
    <row r="60">
      <c r="A60" s="10" t="n">
        <v>42736</v>
      </c>
      <c r="B60" s="18">
        <f>IF(VLOOKUP(A60,'DB Country PMI'!$A:$AZ,MATCH($A$1,'DB Country PMI'!$A$1:$AZ$1,),)=0,#N/A,VLOOKUP(A60,'DB Country PMI'!$A:$AZ,MATCH($A$1,'DB Country PMI'!$A$1:$AZ$1,),))</f>
        <v/>
      </c>
      <c r="C60" s="24">
        <f>Table134[[#This Row],[PMI]]-B59</f>
        <v/>
      </c>
    </row>
    <row r="61">
      <c r="A61" s="10" t="n">
        <v>42767</v>
      </c>
      <c r="B61" s="18">
        <f>IF(VLOOKUP(A61,'DB Country PMI'!$A:$AZ,MATCH($A$1,'DB Country PMI'!$A$1:$AZ$1,),)=0,#N/A,VLOOKUP(A61,'DB Country PMI'!$A:$AZ,MATCH($A$1,'DB Country PMI'!$A$1:$AZ$1,),))</f>
        <v/>
      </c>
      <c r="C61" s="24">
        <f>Table134[[#This Row],[PMI]]-B60</f>
        <v/>
      </c>
    </row>
    <row r="62">
      <c r="A62" s="10" t="n">
        <v>42795</v>
      </c>
      <c r="B62" s="18">
        <f>IF(VLOOKUP(A62,'DB Country PMI'!$A:$AZ,MATCH($A$1,'DB Country PMI'!$A$1:$AZ$1,),)=0,#N/A,VLOOKUP(A62,'DB Country PMI'!$A:$AZ,MATCH($A$1,'DB Country PMI'!$A$1:$AZ$1,),))</f>
        <v/>
      </c>
      <c r="C62" s="24">
        <f>Table134[[#This Row],[PMI]]-B61</f>
        <v/>
      </c>
    </row>
    <row r="63">
      <c r="A63" s="10" t="n">
        <v>42826</v>
      </c>
      <c r="B63" s="18">
        <f>IF(VLOOKUP(A63,'DB Country PMI'!$A:$AZ,MATCH($A$1,'DB Country PMI'!$A$1:$AZ$1,),)=0,#N/A,VLOOKUP(A63,'DB Country PMI'!$A:$AZ,MATCH($A$1,'DB Country PMI'!$A$1:$AZ$1,),))</f>
        <v/>
      </c>
      <c r="C63" s="24">
        <f>Table134[[#This Row],[PMI]]-B62</f>
        <v/>
      </c>
    </row>
    <row r="64">
      <c r="A64" s="10" t="n">
        <v>42856</v>
      </c>
      <c r="B64" s="18">
        <f>IF(VLOOKUP(A64,'DB Country PMI'!$A:$AZ,MATCH($A$1,'DB Country PMI'!$A$1:$AZ$1,),)=0,#N/A,VLOOKUP(A64,'DB Country PMI'!$A:$AZ,MATCH($A$1,'DB Country PMI'!$A$1:$AZ$1,),))</f>
        <v/>
      </c>
      <c r="C64" s="24">
        <f>Table134[[#This Row],[PMI]]-B63</f>
        <v/>
      </c>
    </row>
    <row r="65">
      <c r="A65" s="10" t="n">
        <v>42887</v>
      </c>
      <c r="B65" s="18">
        <f>IF(VLOOKUP(A65,'DB Country PMI'!$A:$AZ,MATCH($A$1,'DB Country PMI'!$A$1:$AZ$1,),)=0,#N/A,VLOOKUP(A65,'DB Country PMI'!$A:$AZ,MATCH($A$1,'DB Country PMI'!$A$1:$AZ$1,),))</f>
        <v/>
      </c>
      <c r="C65" s="24">
        <f>Table134[[#This Row],[PMI]]-B64</f>
        <v/>
      </c>
    </row>
    <row r="66">
      <c r="A66" s="10" t="n">
        <v>42917</v>
      </c>
      <c r="B66" s="18">
        <f>IF(VLOOKUP(A66,'DB Country PMI'!$A:$AZ,MATCH($A$1,'DB Country PMI'!$A$1:$AZ$1,),)=0,#N/A,VLOOKUP(A66,'DB Country PMI'!$A:$AZ,MATCH($A$1,'DB Country PMI'!$A$1:$AZ$1,),))</f>
        <v/>
      </c>
      <c r="C66" s="24">
        <f>Table134[[#This Row],[PMI]]-B65</f>
        <v/>
      </c>
    </row>
    <row r="67">
      <c r="A67" s="10" t="n">
        <v>42948</v>
      </c>
      <c r="B67" s="18">
        <f>IF(VLOOKUP(A67,'DB Country PMI'!$A:$AZ,MATCH($A$1,'DB Country PMI'!$A$1:$AZ$1,),)=0,#N/A,VLOOKUP(A67,'DB Country PMI'!$A:$AZ,MATCH($A$1,'DB Country PMI'!$A$1:$AZ$1,),))</f>
        <v/>
      </c>
      <c r="C67" s="24">
        <f>Table134[[#This Row],[PMI]]-B66</f>
        <v/>
      </c>
    </row>
    <row r="68">
      <c r="A68" s="10" t="n">
        <v>42979</v>
      </c>
      <c r="B68" s="18">
        <f>IF(VLOOKUP(A68,'DB Country PMI'!$A:$AZ,MATCH($A$1,'DB Country PMI'!$A$1:$AZ$1,),)=0,#N/A,VLOOKUP(A68,'DB Country PMI'!$A:$AZ,MATCH($A$1,'DB Country PMI'!$A$1:$AZ$1,),))</f>
        <v/>
      </c>
      <c r="C68" s="24">
        <f>Table134[[#This Row],[PMI]]-B67</f>
        <v/>
      </c>
    </row>
    <row r="69">
      <c r="A69" s="10" t="n">
        <v>43009</v>
      </c>
      <c r="B69" s="18">
        <f>IF(VLOOKUP(A69,'DB Country PMI'!$A:$AZ,MATCH($A$1,'DB Country PMI'!$A$1:$AZ$1,),)=0,#N/A,VLOOKUP(A69,'DB Country PMI'!$A:$AZ,MATCH($A$1,'DB Country PMI'!$A$1:$AZ$1,),))</f>
        <v/>
      </c>
      <c r="C69" s="24">
        <f>Table134[[#This Row],[PMI]]-B68</f>
        <v/>
      </c>
    </row>
    <row r="70">
      <c r="A70" s="10" t="n">
        <v>43040</v>
      </c>
      <c r="B70" s="18">
        <f>IF(VLOOKUP(A70,'DB Country PMI'!$A:$AZ,MATCH($A$1,'DB Country PMI'!$A$1:$AZ$1,),)=0,#N/A,VLOOKUP(A70,'DB Country PMI'!$A:$AZ,MATCH($A$1,'DB Country PMI'!$A$1:$AZ$1,),))</f>
        <v/>
      </c>
      <c r="C70" s="24">
        <f>Table134[[#This Row],[PMI]]-B69</f>
        <v/>
      </c>
    </row>
    <row r="71">
      <c r="A71" s="10" t="n">
        <v>43070</v>
      </c>
      <c r="B71" s="18">
        <f>IF(VLOOKUP(A71,'DB Country PMI'!$A:$AZ,MATCH($A$1,'DB Country PMI'!$A$1:$AZ$1,),)=0,#N/A,VLOOKUP(A71,'DB Country PMI'!$A:$AZ,MATCH($A$1,'DB Country PMI'!$A$1:$AZ$1,),))</f>
        <v/>
      </c>
      <c r="C71" s="24">
        <f>Table134[[#This Row],[PMI]]-B70</f>
        <v/>
      </c>
    </row>
    <row r="72">
      <c r="A72" s="10" t="n">
        <v>43101</v>
      </c>
      <c r="B72" s="18">
        <f>IF(VLOOKUP(A72,'DB Country PMI'!$A:$AZ,MATCH($A$1,'DB Country PMI'!$A$1:$AZ$1,),)=0,#N/A,VLOOKUP(A72,'DB Country PMI'!$A:$AZ,MATCH($A$1,'DB Country PMI'!$A$1:$AZ$1,),))</f>
        <v/>
      </c>
      <c r="C72" s="24">
        <f>Table134[[#This Row],[PMI]]-B71</f>
        <v/>
      </c>
    </row>
    <row r="73">
      <c r="A73" s="10" t="n">
        <v>43132</v>
      </c>
      <c r="B73" s="18">
        <f>IF(VLOOKUP(A73,'DB Country PMI'!$A:$AZ,MATCH($A$1,'DB Country PMI'!$A$1:$AZ$1,),)=0,#N/A,VLOOKUP(A73,'DB Country PMI'!$A:$AZ,MATCH($A$1,'DB Country PMI'!$A$1:$AZ$1,),))</f>
        <v/>
      </c>
      <c r="C73" s="24">
        <f>Table134[[#This Row],[PMI]]-B72</f>
        <v/>
      </c>
    </row>
    <row r="74">
      <c r="A74" s="10" t="n">
        <v>43160</v>
      </c>
      <c r="B74" s="18">
        <f>IF(VLOOKUP(A74,'DB Country PMI'!$A:$AZ,MATCH($A$1,'DB Country PMI'!$A$1:$AZ$1,),)=0,#N/A,VLOOKUP(A74,'DB Country PMI'!$A:$AZ,MATCH($A$1,'DB Country PMI'!$A$1:$AZ$1,),))</f>
        <v/>
      </c>
      <c r="C74" s="24">
        <f>Table134[[#This Row],[PMI]]-B73</f>
        <v/>
      </c>
    </row>
    <row r="75">
      <c r="A75" s="10" t="n">
        <v>43191</v>
      </c>
      <c r="B75" s="18">
        <f>IF(VLOOKUP(A75,'DB Country PMI'!$A:$AZ,MATCH($A$1,'DB Country PMI'!$A$1:$AZ$1,),)=0,#N/A,VLOOKUP(A75,'DB Country PMI'!$A:$AZ,MATCH($A$1,'DB Country PMI'!$A$1:$AZ$1,),))</f>
        <v/>
      </c>
      <c r="C75" s="24">
        <f>Table134[[#This Row],[PMI]]-B74</f>
        <v/>
      </c>
    </row>
    <row r="76">
      <c r="A76" s="10" t="n">
        <v>43221</v>
      </c>
      <c r="B76" s="18">
        <f>IF(VLOOKUP(A76,'DB Country PMI'!$A:$AZ,MATCH($A$1,'DB Country PMI'!$A$1:$AZ$1,),)=0,#N/A,VLOOKUP(A76,'DB Country PMI'!$A:$AZ,MATCH($A$1,'DB Country PMI'!$A$1:$AZ$1,),))</f>
        <v/>
      </c>
      <c r="C76" s="24">
        <f>Table134[[#This Row],[PMI]]-B75</f>
        <v/>
      </c>
    </row>
    <row r="77">
      <c r="A77" s="10" t="n">
        <v>43252</v>
      </c>
      <c r="B77" s="18">
        <f>IF(VLOOKUP(A77,'DB Country PMI'!$A:$AZ,MATCH($A$1,'DB Country PMI'!$A$1:$AZ$1,),)=0,#N/A,VLOOKUP(A77,'DB Country PMI'!$A:$AZ,MATCH($A$1,'DB Country PMI'!$A$1:$AZ$1,),))</f>
        <v/>
      </c>
      <c r="C77" s="24">
        <f>Table134[[#This Row],[PMI]]-B76</f>
        <v/>
      </c>
    </row>
    <row r="78">
      <c r="A78" s="10" t="n">
        <v>43282</v>
      </c>
      <c r="B78" s="18">
        <f>IF(VLOOKUP(A78,'DB Country PMI'!$A:$AZ,MATCH($A$1,'DB Country PMI'!$A$1:$AZ$1,),)=0,#N/A,VLOOKUP(A78,'DB Country PMI'!$A:$AZ,MATCH($A$1,'DB Country PMI'!$A$1:$AZ$1,),))</f>
        <v/>
      </c>
      <c r="C78" s="24">
        <f>Table134[[#This Row],[PMI]]-B77</f>
        <v/>
      </c>
    </row>
    <row r="79">
      <c r="A79" s="10" t="n">
        <v>43313</v>
      </c>
      <c r="B79" s="18">
        <f>IF(VLOOKUP(A79,'DB Country PMI'!$A:$AZ,MATCH($A$1,'DB Country PMI'!$A$1:$AZ$1,),)=0,#N/A,VLOOKUP(A79,'DB Country PMI'!$A:$AZ,MATCH($A$1,'DB Country PMI'!$A$1:$AZ$1,),))</f>
        <v/>
      </c>
      <c r="C79" s="24">
        <f>Table134[[#This Row],[PMI]]-B78</f>
        <v/>
      </c>
    </row>
    <row r="80">
      <c r="A80" s="10" t="n">
        <v>43344</v>
      </c>
      <c r="B80" s="18">
        <f>IF(VLOOKUP(A80,'DB Country PMI'!$A:$AZ,MATCH($A$1,'DB Country PMI'!$A$1:$AZ$1,),)=0,#N/A,VLOOKUP(A80,'DB Country PMI'!$A:$AZ,MATCH($A$1,'DB Country PMI'!$A$1:$AZ$1,),))</f>
        <v/>
      </c>
      <c r="C80" s="24">
        <f>Table134[[#This Row],[PMI]]-B79</f>
        <v/>
      </c>
    </row>
    <row r="81">
      <c r="A81" s="10" t="n">
        <v>43374</v>
      </c>
      <c r="B81" s="18">
        <f>IF(VLOOKUP(A81,'DB Country PMI'!$A:$AZ,MATCH($A$1,'DB Country PMI'!$A$1:$AZ$1,),)=0,#N/A,VLOOKUP(A81,'DB Country PMI'!$A:$AZ,MATCH($A$1,'DB Country PMI'!$A$1:$AZ$1,),))</f>
        <v/>
      </c>
      <c r="C81" s="24">
        <f>Table134[[#This Row],[PMI]]-B80</f>
        <v/>
      </c>
    </row>
    <row r="82">
      <c r="A82" s="10" t="n">
        <v>43405</v>
      </c>
      <c r="B82" s="18">
        <f>IF(VLOOKUP(A82,'DB Country PMI'!$A:$AZ,MATCH($A$1,'DB Country PMI'!$A$1:$AZ$1,),)=0,#N/A,VLOOKUP(A82,'DB Country PMI'!$A:$AZ,MATCH($A$1,'DB Country PMI'!$A$1:$AZ$1,),))</f>
        <v/>
      </c>
      <c r="C82" s="24">
        <f>Table134[[#This Row],[PMI]]-B81</f>
        <v/>
      </c>
    </row>
    <row r="83">
      <c r="A83" s="10" t="n">
        <v>43435</v>
      </c>
      <c r="B83" s="18">
        <f>IF(VLOOKUP(A83,'DB Country PMI'!$A:$AZ,MATCH($A$1,'DB Country PMI'!$A$1:$AZ$1,),)=0,#N/A,VLOOKUP(A83,'DB Country PMI'!$A:$AZ,MATCH($A$1,'DB Country PMI'!$A$1:$AZ$1,),))</f>
        <v/>
      </c>
      <c r="C83" s="24">
        <f>Table134[[#This Row],[PMI]]-B82</f>
        <v/>
      </c>
    </row>
    <row r="84">
      <c r="A84" s="10" t="n">
        <v>43466</v>
      </c>
      <c r="B84" s="18">
        <f>IF(VLOOKUP(A84,'DB Country PMI'!$A:$AZ,MATCH($A$1,'DB Country PMI'!$A$1:$AZ$1,),)=0,#N/A,VLOOKUP(A84,'DB Country PMI'!$A:$AZ,MATCH($A$1,'DB Country PMI'!$A$1:$AZ$1,),))</f>
        <v/>
      </c>
      <c r="C84" s="24">
        <f>Table134[[#This Row],[PMI]]-B83</f>
        <v/>
      </c>
    </row>
    <row r="85">
      <c r="A85" s="10" t="n">
        <v>43497</v>
      </c>
      <c r="B85" s="18">
        <f>IF(VLOOKUP(A85,'DB Country PMI'!$A:$AZ,MATCH($A$1,'DB Country PMI'!$A$1:$AZ$1,),)=0,#N/A,VLOOKUP(A85,'DB Country PMI'!$A:$AZ,MATCH($A$1,'DB Country PMI'!$A$1:$AZ$1,),))</f>
        <v/>
      </c>
      <c r="C85" s="24">
        <f>Table134[[#This Row],[PMI]]-B84</f>
        <v/>
      </c>
    </row>
    <row r="86">
      <c r="A86" s="10" t="n">
        <v>43525</v>
      </c>
      <c r="B86" s="18">
        <f>IF(VLOOKUP(A86,'DB Country PMI'!$A:$AZ,MATCH($A$1,'DB Country PMI'!$A$1:$AZ$1,),)=0,#N/A,VLOOKUP(A86,'DB Country PMI'!$A:$AZ,MATCH($A$1,'DB Country PMI'!$A$1:$AZ$1,),))</f>
        <v/>
      </c>
      <c r="C86" s="24">
        <f>Table134[[#This Row],[PMI]]-B85</f>
        <v/>
      </c>
    </row>
    <row r="87">
      <c r="A87" s="10" t="n">
        <v>43556</v>
      </c>
      <c r="B87" s="18">
        <f>IF(VLOOKUP(A87,'DB Country PMI'!$A:$AZ,MATCH($A$1,'DB Country PMI'!$A$1:$AZ$1,),)=0,#N/A,VLOOKUP(A87,'DB Country PMI'!$A:$AZ,MATCH($A$1,'DB Country PMI'!$A$1:$AZ$1,),))</f>
        <v/>
      </c>
      <c r="C87" s="24">
        <f>Table134[[#This Row],[PMI]]-B86</f>
        <v/>
      </c>
    </row>
    <row r="88">
      <c r="A88" s="10" t="n">
        <v>43586</v>
      </c>
      <c r="B88" s="18">
        <f>IF(VLOOKUP(A88,'DB Country PMI'!$A:$AZ,MATCH($A$1,'DB Country PMI'!$A$1:$AZ$1,),)=0,#N/A,VLOOKUP(A88,'DB Country PMI'!$A:$AZ,MATCH($A$1,'DB Country PMI'!$A$1:$AZ$1,),))</f>
        <v/>
      </c>
      <c r="C88" s="24">
        <f>Table134[[#This Row],[PMI]]-B87</f>
        <v/>
      </c>
    </row>
    <row r="89">
      <c r="A89" s="10" t="n">
        <v>43617</v>
      </c>
      <c r="B89" s="18">
        <f>IF(VLOOKUP(A89,'DB Country PMI'!$A:$AZ,MATCH($A$1,'DB Country PMI'!$A$1:$AZ$1,),)=0,#N/A,VLOOKUP(A89,'DB Country PMI'!$A:$AZ,MATCH($A$1,'DB Country PMI'!$A$1:$AZ$1,),))</f>
        <v/>
      </c>
      <c r="C89" s="24">
        <f>Table134[[#This Row],[PMI]]-B88</f>
        <v/>
      </c>
    </row>
    <row r="90">
      <c r="A90" s="10" t="n">
        <v>43647</v>
      </c>
      <c r="B90" s="18">
        <f>IF(VLOOKUP(A90,'DB Country PMI'!$A:$AZ,MATCH($A$1,'DB Country PMI'!$A$1:$AZ$1,),)=0,#N/A,VLOOKUP(A90,'DB Country PMI'!$A:$AZ,MATCH($A$1,'DB Country PMI'!$A$1:$AZ$1,),))</f>
        <v/>
      </c>
      <c r="C90" s="24">
        <f>Table134[[#This Row],[PMI]]-B89</f>
        <v/>
      </c>
    </row>
    <row r="91">
      <c r="A91" s="10" t="n">
        <v>43678</v>
      </c>
      <c r="B91" s="18">
        <f>IF(VLOOKUP(A91,'DB Country PMI'!$A:$AZ,MATCH($A$1,'DB Country PMI'!$A$1:$AZ$1,),)=0,#N/A,VLOOKUP(A91,'DB Country PMI'!$A:$AZ,MATCH($A$1,'DB Country PMI'!$A$1:$AZ$1,),))</f>
        <v/>
      </c>
      <c r="C91" s="24">
        <f>Table134[[#This Row],[PMI]]-B90</f>
        <v/>
      </c>
    </row>
    <row r="92">
      <c r="A92" s="10" t="n">
        <v>43709</v>
      </c>
      <c r="B92" s="18">
        <f>IF(VLOOKUP(A92,'DB Country PMI'!$A:$AZ,MATCH($A$1,'DB Country PMI'!$A$1:$AZ$1,),)=0,#N/A,VLOOKUP(A92,'DB Country PMI'!$A:$AZ,MATCH($A$1,'DB Country PMI'!$A$1:$AZ$1,),))</f>
        <v/>
      </c>
      <c r="C92" s="24">
        <f>Table134[[#This Row],[PMI]]-B91</f>
        <v/>
      </c>
    </row>
    <row r="93">
      <c r="A93" s="10" t="n">
        <v>43739</v>
      </c>
      <c r="B93" s="18">
        <f>IF(VLOOKUP(A93,'DB Country PMI'!$A:$AZ,MATCH($A$1,'DB Country PMI'!$A$1:$AZ$1,),)=0,#N/A,VLOOKUP(A93,'DB Country PMI'!$A:$AZ,MATCH($A$1,'DB Country PMI'!$A$1:$AZ$1,),))</f>
        <v/>
      </c>
      <c r="C93" s="24">
        <f>Table134[[#This Row],[PMI]]-B92</f>
        <v/>
      </c>
    </row>
    <row r="94">
      <c r="A94" s="10" t="n">
        <v>43770</v>
      </c>
      <c r="B94" s="18">
        <f>IF(VLOOKUP(A94,'DB Country PMI'!$A:$AZ,MATCH($A$1,'DB Country PMI'!$A$1:$AZ$1,),)=0,#N/A,VLOOKUP(A94,'DB Country PMI'!$A:$AZ,MATCH($A$1,'DB Country PMI'!$A$1:$AZ$1,),))</f>
        <v/>
      </c>
      <c r="C94" s="24">
        <f>Table134[[#This Row],[PMI]]-B93</f>
        <v/>
      </c>
    </row>
    <row r="95">
      <c r="A95" s="10" t="n">
        <v>43800</v>
      </c>
      <c r="B95" s="18">
        <f>IF(VLOOKUP(A95,'DB Country PMI'!$A:$AZ,MATCH($A$1,'DB Country PMI'!$A$1:$AZ$1,),)=0,#N/A,VLOOKUP(A95,'DB Country PMI'!$A:$AZ,MATCH($A$1,'DB Country PMI'!$A$1:$AZ$1,),))</f>
        <v/>
      </c>
      <c r="C95" s="24">
        <f>Table134[[#This Row],[PMI]]-B94</f>
        <v/>
      </c>
    </row>
    <row r="96">
      <c r="A96" s="10" t="n">
        <v>43831</v>
      </c>
      <c r="B96" s="18">
        <f>IF(VLOOKUP(A96,'DB Country PMI'!$A:$AZ,MATCH($A$1,'DB Country PMI'!$A$1:$AZ$1,),)=0,#N/A,VLOOKUP(A96,'DB Country PMI'!$A:$AZ,MATCH($A$1,'DB Country PMI'!$A$1:$AZ$1,),))</f>
        <v/>
      </c>
      <c r="C96" s="24">
        <f>Table134[[#This Row],[PMI]]-B95</f>
        <v/>
      </c>
    </row>
    <row r="97">
      <c r="A97" s="10" t="n">
        <v>43862</v>
      </c>
      <c r="B97" s="18">
        <f>IF(VLOOKUP(A97,'DB Country PMI'!$A:$AZ,MATCH($A$1,'DB Country PMI'!$A$1:$AZ$1,),)=0,#N/A,VLOOKUP(A97,'DB Country PMI'!$A:$AZ,MATCH($A$1,'DB Country PMI'!$A$1:$AZ$1,),))</f>
        <v/>
      </c>
      <c r="C97" s="24">
        <f>Table134[[#This Row],[PMI]]-B96</f>
        <v/>
      </c>
    </row>
    <row r="98">
      <c r="A98" s="10" t="n">
        <v>43891</v>
      </c>
      <c r="B98" s="18">
        <f>IF(VLOOKUP(A98,'DB Country PMI'!$A:$AZ,MATCH($A$1,'DB Country PMI'!$A$1:$AZ$1,),)=0,#N/A,VLOOKUP(A98,'DB Country PMI'!$A:$AZ,MATCH($A$1,'DB Country PMI'!$A$1:$AZ$1,),))</f>
        <v/>
      </c>
      <c r="C98" s="24">
        <f>Table134[[#This Row],[PMI]]-B97</f>
        <v/>
      </c>
    </row>
    <row r="99">
      <c r="A99" s="10" t="n">
        <v>43922</v>
      </c>
      <c r="B99" s="18">
        <f>IF(VLOOKUP(A99,'DB Country PMI'!$A:$AZ,MATCH($A$1,'DB Country PMI'!$A$1:$AZ$1,),)=0,#N/A,VLOOKUP(A99,'DB Country PMI'!$A:$AZ,MATCH($A$1,'DB Country PMI'!$A$1:$AZ$1,),))</f>
        <v/>
      </c>
      <c r="C99" s="24">
        <f>Table134[[#This Row],[PMI]]-B98</f>
        <v/>
      </c>
    </row>
    <row r="100">
      <c r="A100" s="10" t="n">
        <v>43952</v>
      </c>
      <c r="B100" s="18">
        <f>IF(VLOOKUP(A100,'DB Country PMI'!$A:$AZ,MATCH($A$1,'DB Country PMI'!$A$1:$AZ$1,),)=0,#N/A,VLOOKUP(A100,'DB Country PMI'!$A:$AZ,MATCH($A$1,'DB Country PMI'!$A$1:$AZ$1,),))</f>
        <v/>
      </c>
      <c r="C100" s="24">
        <f>Table134[[#This Row],[PMI]]-B99</f>
        <v/>
      </c>
    </row>
    <row r="101">
      <c r="A101" s="10" t="n">
        <v>43983</v>
      </c>
      <c r="B101" s="18">
        <f>IF(VLOOKUP(A101,'DB Country PMI'!$A:$AZ,MATCH($A$1,'DB Country PMI'!$A$1:$AZ$1,),)=0,#N/A,VLOOKUP(A101,'DB Country PMI'!$A:$AZ,MATCH($A$1,'DB Country PMI'!$A$1:$AZ$1,),))</f>
        <v/>
      </c>
      <c r="C101" s="24">
        <f>Table134[[#This Row],[PMI]]-B100</f>
        <v/>
      </c>
    </row>
    <row r="102">
      <c r="A102" s="10" t="n">
        <v>44013</v>
      </c>
      <c r="B102" s="18">
        <f>IF(VLOOKUP(A102,'DB Country PMI'!$A:$AZ,MATCH($A$1,'DB Country PMI'!$A$1:$AZ$1,),)=0,#N/A,VLOOKUP(A102,'DB Country PMI'!$A:$AZ,MATCH($A$1,'DB Country PMI'!$A$1:$AZ$1,),))</f>
        <v/>
      </c>
      <c r="C102" s="24">
        <f>Table134[[#This Row],[PMI]]-B101</f>
        <v/>
      </c>
    </row>
    <row r="103">
      <c r="A103" s="10" t="n">
        <v>44044</v>
      </c>
      <c r="B103" s="18">
        <f>IF(VLOOKUP(A103,'DB Country PMI'!$A:$AZ,MATCH($A$1,'DB Country PMI'!$A$1:$AZ$1,),)=0,#N/A,VLOOKUP(A103,'DB Country PMI'!$A:$AZ,MATCH($A$1,'DB Country PMI'!$A$1:$AZ$1,),))</f>
        <v/>
      </c>
      <c r="C103" s="24">
        <f>Table134[[#This Row],[PMI]]-B102</f>
        <v/>
      </c>
    </row>
    <row r="104">
      <c r="A104" s="10" t="n">
        <v>44075</v>
      </c>
      <c r="B104" s="18">
        <f>IF(VLOOKUP(A104,'DB Country PMI'!$A:$AZ,MATCH($A$1,'DB Country PMI'!$A$1:$AZ$1,),)=0,#N/A,VLOOKUP(A104,'DB Country PMI'!$A:$AZ,MATCH($A$1,'DB Country PMI'!$A$1:$AZ$1,),))</f>
        <v/>
      </c>
      <c r="C104" s="24">
        <f>Table134[[#This Row],[PMI]]-B103</f>
        <v/>
      </c>
    </row>
    <row r="105">
      <c r="A105" s="10" t="n">
        <v>44105</v>
      </c>
      <c r="B105" s="18">
        <f>IF(VLOOKUP(A105,'DB Country PMI'!$A:$AZ,MATCH($A$1,'DB Country PMI'!$A$1:$AZ$1,),)=0,#N/A,VLOOKUP(A105,'DB Country PMI'!$A:$AZ,MATCH($A$1,'DB Country PMI'!$A$1:$AZ$1,),))</f>
        <v/>
      </c>
      <c r="C105" s="24">
        <f>Table134[[#This Row],[PMI]]-B104</f>
        <v/>
      </c>
    </row>
    <row r="106">
      <c r="A106" s="10" t="n">
        <v>44136</v>
      </c>
      <c r="B106" s="18">
        <f>IF(VLOOKUP(A106,'DB Country PMI'!$A:$AZ,MATCH($A$1,'DB Country PMI'!$A$1:$AZ$1,),)=0,#N/A,VLOOKUP(A106,'DB Country PMI'!$A:$AZ,MATCH($A$1,'DB Country PMI'!$A$1:$AZ$1,),))</f>
        <v/>
      </c>
      <c r="C106" s="24">
        <f>Table134[[#This Row],[PMI]]-B105</f>
        <v/>
      </c>
    </row>
    <row r="107">
      <c r="A107" s="10" t="n">
        <v>44166</v>
      </c>
      <c r="B107" s="18">
        <f>IF(VLOOKUP(A107,'DB Country PMI'!$A:$AZ,MATCH($A$1,'DB Country PMI'!$A$1:$AZ$1,),)=0,#N/A,VLOOKUP(A107,'DB Country PMI'!$A:$AZ,MATCH($A$1,'DB Country PMI'!$A$1:$AZ$1,),))</f>
        <v/>
      </c>
      <c r="C107" s="24">
        <f>Table134[[#This Row],[PMI]]-B106</f>
        <v/>
      </c>
    </row>
    <row r="108">
      <c r="A108" s="10" t="n">
        <v>44197</v>
      </c>
      <c r="B108" s="18">
        <f>IF(VLOOKUP(A108,'DB Country PMI'!$A:$AZ,MATCH($A$1,'DB Country PMI'!$A$1:$AZ$1,),)=0,#N/A,VLOOKUP(A108,'DB Country PMI'!$A:$AZ,MATCH($A$1,'DB Country PMI'!$A$1:$AZ$1,),))</f>
        <v/>
      </c>
      <c r="C108" s="24">
        <f>Table134[[#This Row],[PMI]]-B107</f>
        <v/>
      </c>
    </row>
    <row r="109">
      <c r="A109" s="10" t="n">
        <v>44228</v>
      </c>
      <c r="B109" s="18">
        <f>IF(VLOOKUP(A109,'DB Country PMI'!$A:$AZ,MATCH($A$1,'DB Country PMI'!$A$1:$AZ$1,),)=0,#N/A,VLOOKUP(A109,'DB Country PMI'!$A:$AZ,MATCH($A$1,'DB Country PMI'!$A$1:$AZ$1,),))</f>
        <v/>
      </c>
      <c r="C109" s="24">
        <f>Table134[[#This Row],[PMI]]-B108</f>
        <v/>
      </c>
    </row>
    <row r="110">
      <c r="A110" s="10" t="n">
        <v>44256</v>
      </c>
      <c r="B110" s="18">
        <f>IF(VLOOKUP(A110,'DB Country PMI'!$A:$AZ,MATCH($A$1,'DB Country PMI'!$A$1:$AZ$1,),)=0,#N/A,VLOOKUP(A110,'DB Country PMI'!$A:$AZ,MATCH($A$1,'DB Country PMI'!$A$1:$AZ$1,),))</f>
        <v/>
      </c>
      <c r="C110" s="24">
        <f>Table134[[#This Row],[PMI]]-B109</f>
        <v/>
      </c>
    </row>
    <row r="111">
      <c r="A111" s="10" t="n">
        <v>44287</v>
      </c>
      <c r="B111" s="18">
        <f>IF(VLOOKUP(A111,'DB Country PMI'!$A:$AZ,MATCH($A$1,'DB Country PMI'!$A$1:$AZ$1,),)=0,#N/A,VLOOKUP(A111,'DB Country PMI'!$A:$AZ,MATCH($A$1,'DB Country PMI'!$A$1:$AZ$1,),))</f>
        <v/>
      </c>
      <c r="C111" s="24">
        <f>Table134[[#This Row],[PMI]]-B110</f>
        <v/>
      </c>
    </row>
    <row r="112">
      <c r="A112" s="10" t="n">
        <v>44317</v>
      </c>
      <c r="B112" s="18">
        <f>IF(VLOOKUP(A112,'DB Country PMI'!$A:$AZ,MATCH($A$1,'DB Country PMI'!$A$1:$AZ$1,),)=0,#N/A,VLOOKUP(A112,'DB Country PMI'!$A:$AZ,MATCH($A$1,'DB Country PMI'!$A$1:$AZ$1,),))</f>
        <v/>
      </c>
      <c r="C112" s="24">
        <f>Table134[[#This Row],[PMI]]-B111</f>
        <v/>
      </c>
    </row>
    <row r="113">
      <c r="A113" s="10" t="n">
        <v>44348</v>
      </c>
      <c r="B113" s="18">
        <f>IF(VLOOKUP(A113,'DB Country PMI'!$A:$AZ,MATCH($A$1,'DB Country PMI'!$A$1:$AZ$1,),)=0,#N/A,VLOOKUP(A113,'DB Country PMI'!$A:$AZ,MATCH($A$1,'DB Country PMI'!$A$1:$AZ$1,),))</f>
        <v/>
      </c>
      <c r="C113" s="24">
        <f>Table134[[#This Row],[PMI]]-B112</f>
        <v/>
      </c>
    </row>
    <row r="114">
      <c r="A114" s="10" t="n">
        <v>44378</v>
      </c>
      <c r="B114" s="18">
        <f>IF(VLOOKUP(A114,'DB Country PMI'!$A:$AZ,MATCH($A$1,'DB Country PMI'!$A$1:$AZ$1,),)=0,#N/A,VLOOKUP(A114,'DB Country PMI'!$A:$AZ,MATCH($A$1,'DB Country PMI'!$A$1:$AZ$1,),))</f>
        <v/>
      </c>
      <c r="C114" s="24">
        <f>Table134[[#This Row],[PMI]]-B113</f>
        <v/>
      </c>
    </row>
    <row r="115">
      <c r="A115" s="10" t="n">
        <v>44409</v>
      </c>
      <c r="B115" s="18">
        <f>IF(VLOOKUP(A115,'DB Country PMI'!$A:$AZ,MATCH($A$1,'DB Country PMI'!$A$1:$AZ$1,),)=0,#N/A,VLOOKUP(A115,'DB Country PMI'!$A:$AZ,MATCH($A$1,'DB Country PMI'!$A$1:$AZ$1,),))</f>
        <v/>
      </c>
      <c r="C115" s="24">
        <f>Table134[[#This Row],[PMI]]-B114</f>
        <v/>
      </c>
    </row>
    <row r="116">
      <c r="A116" s="10" t="n">
        <v>44440</v>
      </c>
      <c r="B116" s="18">
        <f>IF(VLOOKUP(A116,'DB Country PMI'!$A:$AZ,MATCH($A$1,'DB Country PMI'!$A$1:$AZ$1,),)=0,#N/A,VLOOKUP(A116,'DB Country PMI'!$A:$AZ,MATCH($A$1,'DB Country PMI'!$A$1:$AZ$1,),))</f>
        <v/>
      </c>
      <c r="C116" s="24">
        <f>Table134[[#This Row],[PMI]]-B115</f>
        <v/>
      </c>
    </row>
    <row r="117">
      <c r="A117" s="10" t="n">
        <v>44470</v>
      </c>
      <c r="B117" s="18">
        <f>IF(VLOOKUP(A117,'DB Country PMI'!$A:$AZ,MATCH($A$1,'DB Country PMI'!$A$1:$AZ$1,),)=0,#N/A,VLOOKUP(A117,'DB Country PMI'!$A:$AZ,MATCH($A$1,'DB Country PMI'!$A$1:$AZ$1,),))</f>
        <v/>
      </c>
      <c r="C117" s="24">
        <f>Table134[[#This Row],[PMI]]-B116</f>
        <v/>
      </c>
    </row>
    <row r="118">
      <c r="A118" s="10" t="n">
        <v>44501</v>
      </c>
      <c r="B118" s="18">
        <f>IF(VLOOKUP(A118,'DB Country PMI'!$A:$AZ,MATCH($A$1,'DB Country PMI'!$A$1:$AZ$1,),)=0,#N/A,VLOOKUP(A118,'DB Country PMI'!$A:$AZ,MATCH($A$1,'DB Country PMI'!$A$1:$AZ$1,),))</f>
        <v/>
      </c>
      <c r="C118" s="24">
        <f>Table134[[#This Row],[PMI]]-B117</f>
        <v/>
      </c>
    </row>
    <row r="119">
      <c r="A119" s="10" t="n">
        <v>44531</v>
      </c>
      <c r="B119" s="18">
        <f>IF(VLOOKUP(A119,'DB Country PMI'!$A:$AZ,MATCH($A$1,'DB Country PMI'!$A$1:$AZ$1,),)=0,#N/A,VLOOKUP(A119,'DB Country PMI'!$A:$AZ,MATCH($A$1,'DB Country PMI'!$A$1:$AZ$1,),))</f>
        <v/>
      </c>
      <c r="C119" s="24">
        <f>Table134[[#This Row],[PMI]]-B118</f>
        <v/>
      </c>
    </row>
    <row r="120">
      <c r="A120" s="10" t="n">
        <v>44562</v>
      </c>
      <c r="B120" s="18">
        <f>IF(VLOOKUP(A120,'DB Country PMI'!$A:$AZ,MATCH($A$1,'DB Country PMI'!$A$1:$AZ$1,),)=0,#N/A,VLOOKUP(A120,'DB Country PMI'!$A:$AZ,MATCH($A$1,'DB Country PMI'!$A$1:$AZ$1,),))</f>
        <v/>
      </c>
      <c r="C120" s="24">
        <f>Table134[[#This Row],[PMI]]-B119</f>
        <v/>
      </c>
    </row>
    <row r="121">
      <c r="A121" s="10" t="n">
        <v>44593</v>
      </c>
      <c r="B121" s="18">
        <f>IF(VLOOKUP(A121,'DB Country PMI'!$A:$AZ,MATCH($A$1,'DB Country PMI'!$A$1:$AZ$1,),)=0,#N/A,VLOOKUP(A121,'DB Country PMI'!$A:$AZ,MATCH($A$1,'DB Country PMI'!$A$1:$AZ$1,),))</f>
        <v/>
      </c>
      <c r="C121" s="24">
        <f>Table134[[#This Row],[PMI]]-B120</f>
        <v/>
      </c>
    </row>
    <row r="122">
      <c r="A122" s="10" t="n">
        <v>44621</v>
      </c>
      <c r="B122" s="18">
        <f>IF(VLOOKUP(A122,'DB Country PMI'!$A:$AZ,MATCH($A$1,'DB Country PMI'!$A$1:$AZ$1,),)=0,#N/A,VLOOKUP(A122,'DB Country PMI'!$A:$AZ,MATCH($A$1,'DB Country PMI'!$A$1:$AZ$1,),))</f>
        <v/>
      </c>
      <c r="C122" s="24">
        <f>Table134[[#This Row],[PMI]]-B121</f>
        <v/>
      </c>
    </row>
    <row r="123">
      <c r="A123" s="10" t="n">
        <v>44652</v>
      </c>
      <c r="B123" s="18">
        <f>IF(VLOOKUP(A123,'DB Country PMI'!$A:$AZ,MATCH($A$1,'DB Country PMI'!$A$1:$AZ$1,),)=0,#N/A,VLOOKUP(A123,'DB Country PMI'!$A:$AZ,MATCH($A$1,'DB Country PMI'!$A$1:$AZ$1,),))</f>
        <v/>
      </c>
      <c r="C123" s="24">
        <f>Table134[[#This Row],[PMI]]-B122</f>
        <v/>
      </c>
    </row>
    <row r="124">
      <c r="A124" s="10" t="n">
        <v>44682</v>
      </c>
      <c r="B124" s="18">
        <f>IF(VLOOKUP(A124,'DB Country PMI'!$A:$AZ,MATCH($A$1,'DB Country PMI'!$A$1:$AZ$1,),)=0,#N/A,VLOOKUP(A124,'DB Country PMI'!$A:$AZ,MATCH($A$1,'DB Country PMI'!$A$1:$AZ$1,),))</f>
        <v/>
      </c>
      <c r="C124" s="24">
        <f>Table134[[#This Row],[PMI]]-B123</f>
        <v/>
      </c>
    </row>
    <row r="125">
      <c r="A125" s="10" t="n">
        <v>44713</v>
      </c>
      <c r="B125" s="18">
        <f>IF(VLOOKUP(A125,'DB Country PMI'!$A:$AZ,MATCH($A$1,'DB Country PMI'!$A$1:$AZ$1,),)=0,#N/A,VLOOKUP(A125,'DB Country PMI'!$A:$AZ,MATCH($A$1,'DB Country PMI'!$A$1:$AZ$1,),))</f>
        <v/>
      </c>
      <c r="C125" s="24">
        <f>Table134[[#This Row],[PMI]]-B124</f>
        <v/>
      </c>
    </row>
    <row r="126">
      <c r="A126" s="10" t="n">
        <v>44743</v>
      </c>
      <c r="B126" s="18">
        <f>IF(VLOOKUP(A126,'DB Country PMI'!$A:$AZ,MATCH($A$1,'DB Country PMI'!$A$1:$AZ$1,),)=0,#N/A,VLOOKUP(A126,'DB Country PMI'!$A:$AZ,MATCH($A$1,'DB Country PMI'!$A$1:$AZ$1,),))</f>
        <v/>
      </c>
      <c r="C126" s="24">
        <f>Table134[[#This Row],[PMI]]-B125</f>
        <v/>
      </c>
    </row>
    <row r="127">
      <c r="A127" s="10" t="n">
        <v>44774</v>
      </c>
      <c r="B127" s="18">
        <f>IF(VLOOKUP(A127,'DB Country PMI'!$A:$AZ,MATCH($A$1,'DB Country PMI'!$A$1:$AZ$1,),)=0,#N/A,VLOOKUP(A127,'DB Country PMI'!$A:$AZ,MATCH($A$1,'DB Country PMI'!$A$1:$AZ$1,),))</f>
        <v/>
      </c>
      <c r="C127" s="24">
        <f>Table134[[#This Row],[PMI]]-B126</f>
        <v/>
      </c>
    </row>
    <row r="128">
      <c r="A128" s="10" t="n">
        <v>44805</v>
      </c>
      <c r="B128" s="18">
        <f>IF(VLOOKUP(A128,'DB Country PMI'!$A:$AZ,MATCH($A$1,'DB Country PMI'!$A$1:$AZ$1,),)=0,#N/A,VLOOKUP(A128,'DB Country PMI'!$A:$AZ,MATCH($A$1,'DB Country PMI'!$A$1:$AZ$1,),))</f>
        <v/>
      </c>
      <c r="C128" s="24">
        <f>Table134[[#This Row],[PMI]]-B127</f>
        <v/>
      </c>
    </row>
    <row r="129">
      <c r="A129" s="10" t="n">
        <v>44835</v>
      </c>
      <c r="B129" s="18">
        <f>IF(VLOOKUP(A129,'DB Country PMI'!$A:$AZ,MATCH($A$1,'DB Country PMI'!$A$1:$AZ$1,),)=0,#N/A,VLOOKUP(A129,'DB Country PMI'!$A:$AZ,MATCH($A$1,'DB Country PMI'!$A$1:$AZ$1,),))</f>
        <v/>
      </c>
      <c r="C129" s="24">
        <f>Table134[[#This Row],[PMI]]-B128</f>
        <v/>
      </c>
    </row>
    <row r="130">
      <c r="A130" s="10" t="n">
        <v>44866</v>
      </c>
      <c r="B130" s="18">
        <f>IF(VLOOKUP(A130,'DB Country PMI'!$A:$AZ,MATCH($A$1,'DB Country PMI'!$A$1:$AZ$1,),)=0,#N/A,VLOOKUP(A130,'DB Country PMI'!$A:$AZ,MATCH($A$1,'DB Country PMI'!$A$1:$AZ$1,),))</f>
        <v/>
      </c>
      <c r="C130" s="24">
        <f>Table134[[#This Row],[PMI]]-B129</f>
        <v/>
      </c>
    </row>
  </sheetData>
  <conditionalFormatting sqref="B6:B130">
    <cfRule type="colorScale" priority="2">
      <colorScale>
        <cfvo type="min"/>
        <cfvo type="percentile" val="50"/>
        <cfvo type="max"/>
        <color rgb="FFF8696B"/>
        <color rgb="FFFFEB84"/>
        <color rgb="FF63BE7B"/>
      </colorScale>
    </cfRule>
  </conditionalFormatting>
  <conditionalFormatting sqref="C7:C130">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3.xml><?xml version="1.0" encoding="utf-8"?>
<worksheet xmlns="http://schemas.openxmlformats.org/spreadsheetml/2006/main">
  <sheetPr>
    <outlinePr summaryBelow="1" summaryRight="1"/>
    <pageSetUpPr/>
  </sheetPr>
  <dimension ref="A1:K82"/>
  <sheetViews>
    <sheetView zoomScaleNormal="100" workbookViewId="0">
      <pane ySplit="5" topLeftCell="A67" activePane="bottomLeft" state="frozen"/>
      <selection pane="bottomLeft" activeCell="A66" sqref="A66:C82"/>
    </sheetView>
  </sheetViews>
  <sheetFormatPr baseColWidth="8" defaultColWidth="9.1796875" defaultRowHeight="14.5"/>
  <cols>
    <col width="13.453125" customWidth="1" style="69" min="1" max="1"/>
    <col width="11.36328125" customWidth="1" style="69" min="2" max="2"/>
    <col width="9.1796875" customWidth="1" style="69" min="3" max="51"/>
    <col width="9.1796875" customWidth="1" style="69" min="52" max="16384"/>
  </cols>
  <sheetData>
    <row r="1">
      <c r="A1" s="69" t="inlineStr">
        <is>
          <t>Thailand</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42552</v>
      </c>
      <c r="B6" s="18">
        <f>IF(VLOOKUP(A6,'DB Country PMI'!$A:$AZ,MATCH($A$1,'DB Country PMI'!$A$1:$AZ$1,),)=0,#N/A,VLOOKUP(A6,'DB Country PMI'!$A:$AZ,MATCH($A$1,'DB Country PMI'!$A$1:$AZ$1,),))</f>
        <v/>
      </c>
      <c r="C6" s="18" t="n"/>
    </row>
    <row r="7">
      <c r="A7" s="10" t="n">
        <v>42583</v>
      </c>
      <c r="B7" s="18">
        <f>IF(VLOOKUP(A7,'DB Country PMI'!$A:$AZ,MATCH($A$1,'DB Country PMI'!$A$1:$AZ$1,),)=0,#N/A,VLOOKUP(A7,'DB Country PMI'!$A:$AZ,MATCH($A$1,'DB Country PMI'!$A$1:$AZ$1,),))</f>
        <v/>
      </c>
      <c r="C7" s="24">
        <f>Table1345[[#This Row],[PMI]]-B6</f>
        <v/>
      </c>
    </row>
    <row r="8">
      <c r="A8" s="10" t="n">
        <v>42614</v>
      </c>
      <c r="B8" s="18">
        <f>IF(VLOOKUP(A8,'DB Country PMI'!$A:$AZ,MATCH($A$1,'DB Country PMI'!$A$1:$AZ$1,),)=0,#N/A,VLOOKUP(A8,'DB Country PMI'!$A:$AZ,MATCH($A$1,'DB Country PMI'!$A$1:$AZ$1,),))</f>
        <v/>
      </c>
      <c r="C8" s="24">
        <f>Table1345[[#This Row],[PMI]]-B7</f>
        <v/>
      </c>
    </row>
    <row r="9">
      <c r="A9" s="10" t="n">
        <v>42644</v>
      </c>
      <c r="B9" s="18">
        <f>IF(VLOOKUP(A9,'DB Country PMI'!$A:$AZ,MATCH($A$1,'DB Country PMI'!$A$1:$AZ$1,),)=0,#N/A,VLOOKUP(A9,'DB Country PMI'!$A:$AZ,MATCH($A$1,'DB Country PMI'!$A$1:$AZ$1,),))</f>
        <v/>
      </c>
      <c r="C9" s="24">
        <f>Table1345[[#This Row],[PMI]]-B8</f>
        <v/>
      </c>
    </row>
    <row r="10">
      <c r="A10" s="10" t="n">
        <v>42675</v>
      </c>
      <c r="B10" s="18">
        <f>IF(VLOOKUP(A10,'DB Country PMI'!$A:$AZ,MATCH($A$1,'DB Country PMI'!$A$1:$AZ$1,),)=0,#N/A,VLOOKUP(A10,'DB Country PMI'!$A:$AZ,MATCH($A$1,'DB Country PMI'!$A$1:$AZ$1,),))</f>
        <v/>
      </c>
      <c r="C10" s="24">
        <f>Table1345[[#This Row],[PMI]]-B9</f>
        <v/>
      </c>
    </row>
    <row r="11">
      <c r="A11" s="10" t="n">
        <v>42705</v>
      </c>
      <c r="B11" s="18">
        <f>IF(VLOOKUP(A11,'DB Country PMI'!$A:$AZ,MATCH($A$1,'DB Country PMI'!$A$1:$AZ$1,),)=0,#N/A,VLOOKUP(A11,'DB Country PMI'!$A:$AZ,MATCH($A$1,'DB Country PMI'!$A$1:$AZ$1,),))</f>
        <v/>
      </c>
      <c r="C11" s="24">
        <f>Table1345[[#This Row],[PMI]]-B10</f>
        <v/>
      </c>
    </row>
    <row r="12">
      <c r="A12" s="10" t="n">
        <v>42736</v>
      </c>
      <c r="B12" s="18">
        <f>IF(VLOOKUP(A12,'DB Country PMI'!$A:$AZ,MATCH($A$1,'DB Country PMI'!$A$1:$AZ$1,),)=0,#N/A,VLOOKUP(A12,'DB Country PMI'!$A:$AZ,MATCH($A$1,'DB Country PMI'!$A$1:$AZ$1,),))</f>
        <v/>
      </c>
      <c r="C12" s="24">
        <f>Table1345[[#This Row],[PMI]]-B11</f>
        <v/>
      </c>
    </row>
    <row r="13">
      <c r="A13" s="10" t="n">
        <v>42767</v>
      </c>
      <c r="B13" s="18">
        <f>IF(VLOOKUP(A13,'DB Country PMI'!$A:$AZ,MATCH($A$1,'DB Country PMI'!$A$1:$AZ$1,),)=0,#N/A,VLOOKUP(A13,'DB Country PMI'!$A:$AZ,MATCH($A$1,'DB Country PMI'!$A$1:$AZ$1,),))</f>
        <v/>
      </c>
      <c r="C13" s="24">
        <f>Table1345[[#This Row],[PMI]]-B12</f>
        <v/>
      </c>
    </row>
    <row r="14">
      <c r="A14" s="10" t="n">
        <v>42795</v>
      </c>
      <c r="B14" s="18">
        <f>IF(VLOOKUP(A14,'DB Country PMI'!$A:$AZ,MATCH($A$1,'DB Country PMI'!$A$1:$AZ$1,),)=0,#N/A,VLOOKUP(A14,'DB Country PMI'!$A:$AZ,MATCH($A$1,'DB Country PMI'!$A$1:$AZ$1,),))</f>
        <v/>
      </c>
      <c r="C14" s="24">
        <f>Table1345[[#This Row],[PMI]]-B13</f>
        <v/>
      </c>
    </row>
    <row r="15">
      <c r="A15" s="10" t="n">
        <v>42826</v>
      </c>
      <c r="B15" s="18">
        <f>IF(VLOOKUP(A15,'DB Country PMI'!$A:$AZ,MATCH($A$1,'DB Country PMI'!$A$1:$AZ$1,),)=0,#N/A,VLOOKUP(A15,'DB Country PMI'!$A:$AZ,MATCH($A$1,'DB Country PMI'!$A$1:$AZ$1,),))</f>
        <v/>
      </c>
      <c r="C15" s="24">
        <f>Table1345[[#This Row],[PMI]]-B14</f>
        <v/>
      </c>
    </row>
    <row r="16">
      <c r="A16" s="10" t="n">
        <v>42856</v>
      </c>
      <c r="B16" s="18">
        <f>IF(VLOOKUP(A16,'DB Country PMI'!$A:$AZ,MATCH($A$1,'DB Country PMI'!$A$1:$AZ$1,),)=0,#N/A,VLOOKUP(A16,'DB Country PMI'!$A:$AZ,MATCH($A$1,'DB Country PMI'!$A$1:$AZ$1,),))</f>
        <v/>
      </c>
      <c r="C16" s="24">
        <f>Table1345[[#This Row],[PMI]]-B15</f>
        <v/>
      </c>
    </row>
    <row r="17">
      <c r="A17" s="10" t="n">
        <v>42887</v>
      </c>
      <c r="B17" s="18">
        <f>IF(VLOOKUP(A17,'DB Country PMI'!$A:$AZ,MATCH($A$1,'DB Country PMI'!$A$1:$AZ$1,),)=0,#N/A,VLOOKUP(A17,'DB Country PMI'!$A:$AZ,MATCH($A$1,'DB Country PMI'!$A$1:$AZ$1,),))</f>
        <v/>
      </c>
      <c r="C17" s="24">
        <f>Table1345[[#This Row],[PMI]]-B16</f>
        <v/>
      </c>
    </row>
    <row r="18">
      <c r="A18" s="10" t="n">
        <v>42917</v>
      </c>
      <c r="B18" s="18">
        <f>IF(VLOOKUP(A18,'DB Country PMI'!$A:$AZ,MATCH($A$1,'DB Country PMI'!$A$1:$AZ$1,),)=0,#N/A,VLOOKUP(A18,'DB Country PMI'!$A:$AZ,MATCH($A$1,'DB Country PMI'!$A$1:$AZ$1,),))</f>
        <v/>
      </c>
      <c r="C18" s="24">
        <f>Table1345[[#This Row],[PMI]]-B17</f>
        <v/>
      </c>
    </row>
    <row r="19">
      <c r="A19" s="10" t="n">
        <v>42948</v>
      </c>
      <c r="B19" s="18">
        <f>IF(VLOOKUP(A19,'DB Country PMI'!$A:$AZ,MATCH($A$1,'DB Country PMI'!$A$1:$AZ$1,),)=0,#N/A,VLOOKUP(A19,'DB Country PMI'!$A:$AZ,MATCH($A$1,'DB Country PMI'!$A$1:$AZ$1,),))</f>
        <v/>
      </c>
      <c r="C19" s="24">
        <f>Table1345[[#This Row],[PMI]]-B18</f>
        <v/>
      </c>
    </row>
    <row r="20">
      <c r="A20" s="10" t="n">
        <v>42979</v>
      </c>
      <c r="B20" s="18">
        <f>IF(VLOOKUP(A20,'DB Country PMI'!$A:$AZ,MATCH($A$1,'DB Country PMI'!$A$1:$AZ$1,),)=0,#N/A,VLOOKUP(A20,'DB Country PMI'!$A:$AZ,MATCH($A$1,'DB Country PMI'!$A$1:$AZ$1,),))</f>
        <v/>
      </c>
      <c r="C20" s="24">
        <f>Table1345[[#This Row],[PMI]]-B19</f>
        <v/>
      </c>
    </row>
    <row r="21">
      <c r="A21" s="10" t="n">
        <v>43009</v>
      </c>
      <c r="B21" s="18">
        <f>IF(VLOOKUP(A21,'DB Country PMI'!$A:$AZ,MATCH($A$1,'DB Country PMI'!$A$1:$AZ$1,),)=0,#N/A,VLOOKUP(A21,'DB Country PMI'!$A:$AZ,MATCH($A$1,'DB Country PMI'!$A$1:$AZ$1,),))</f>
        <v/>
      </c>
      <c r="C21" s="24">
        <f>Table1345[[#This Row],[PMI]]-B20</f>
        <v/>
      </c>
    </row>
    <row r="22">
      <c r="A22" s="10" t="n">
        <v>43040</v>
      </c>
      <c r="B22" s="18">
        <f>IF(VLOOKUP(A22,'DB Country PMI'!$A:$AZ,MATCH($A$1,'DB Country PMI'!$A$1:$AZ$1,),)=0,#N/A,VLOOKUP(A22,'DB Country PMI'!$A:$AZ,MATCH($A$1,'DB Country PMI'!$A$1:$AZ$1,),))</f>
        <v/>
      </c>
      <c r="C22" s="24">
        <f>Table1345[[#This Row],[PMI]]-B21</f>
        <v/>
      </c>
    </row>
    <row r="23">
      <c r="A23" s="10" t="n">
        <v>43070</v>
      </c>
      <c r="B23" s="18">
        <f>IF(VLOOKUP(A23,'DB Country PMI'!$A:$AZ,MATCH($A$1,'DB Country PMI'!$A$1:$AZ$1,),)=0,#N/A,VLOOKUP(A23,'DB Country PMI'!$A:$AZ,MATCH($A$1,'DB Country PMI'!$A$1:$AZ$1,),))</f>
        <v/>
      </c>
      <c r="C23" s="24">
        <f>Table1345[[#This Row],[PMI]]-B22</f>
        <v/>
      </c>
    </row>
    <row r="24">
      <c r="A24" s="10" t="n">
        <v>43101</v>
      </c>
      <c r="B24" s="18">
        <f>IF(VLOOKUP(A24,'DB Country PMI'!$A:$AZ,MATCH($A$1,'DB Country PMI'!$A$1:$AZ$1,),)=0,#N/A,VLOOKUP(A24,'DB Country PMI'!$A:$AZ,MATCH($A$1,'DB Country PMI'!$A$1:$AZ$1,),))</f>
        <v/>
      </c>
      <c r="C24" s="24">
        <f>Table1345[[#This Row],[PMI]]-B23</f>
        <v/>
      </c>
    </row>
    <row r="25">
      <c r="A25" s="10" t="n">
        <v>43132</v>
      </c>
      <c r="B25" s="18">
        <f>IF(VLOOKUP(A25,'DB Country PMI'!$A:$AZ,MATCH($A$1,'DB Country PMI'!$A$1:$AZ$1,),)=0,#N/A,VLOOKUP(A25,'DB Country PMI'!$A:$AZ,MATCH($A$1,'DB Country PMI'!$A$1:$AZ$1,),))</f>
        <v/>
      </c>
      <c r="C25" s="24">
        <f>Table1345[[#This Row],[PMI]]-B24</f>
        <v/>
      </c>
    </row>
    <row r="26">
      <c r="A26" s="10" t="n">
        <v>43160</v>
      </c>
      <c r="B26" s="18">
        <f>IF(VLOOKUP(A26,'DB Country PMI'!$A:$AZ,MATCH($A$1,'DB Country PMI'!$A$1:$AZ$1,),)=0,#N/A,VLOOKUP(A26,'DB Country PMI'!$A:$AZ,MATCH($A$1,'DB Country PMI'!$A$1:$AZ$1,),))</f>
        <v/>
      </c>
      <c r="C26" s="24">
        <f>Table1345[[#This Row],[PMI]]-B25</f>
        <v/>
      </c>
    </row>
    <row r="27">
      <c r="A27" s="10" t="n">
        <v>43191</v>
      </c>
      <c r="B27" s="18">
        <f>IF(VLOOKUP(A27,'DB Country PMI'!$A:$AZ,MATCH($A$1,'DB Country PMI'!$A$1:$AZ$1,),)=0,#N/A,VLOOKUP(A27,'DB Country PMI'!$A:$AZ,MATCH($A$1,'DB Country PMI'!$A$1:$AZ$1,),))</f>
        <v/>
      </c>
      <c r="C27" s="24">
        <f>Table1345[[#This Row],[PMI]]-B26</f>
        <v/>
      </c>
    </row>
    <row r="28">
      <c r="A28" s="10" t="n">
        <v>43221</v>
      </c>
      <c r="B28" s="18">
        <f>IF(VLOOKUP(A28,'DB Country PMI'!$A:$AZ,MATCH($A$1,'DB Country PMI'!$A$1:$AZ$1,),)=0,#N/A,VLOOKUP(A28,'DB Country PMI'!$A:$AZ,MATCH($A$1,'DB Country PMI'!$A$1:$AZ$1,),))</f>
        <v/>
      </c>
      <c r="C28" s="24">
        <f>Table1345[[#This Row],[PMI]]-B27</f>
        <v/>
      </c>
    </row>
    <row r="29">
      <c r="A29" s="10" t="n">
        <v>43252</v>
      </c>
      <c r="B29" s="18">
        <f>IF(VLOOKUP(A29,'DB Country PMI'!$A:$AZ,MATCH($A$1,'DB Country PMI'!$A$1:$AZ$1,),)=0,#N/A,VLOOKUP(A29,'DB Country PMI'!$A:$AZ,MATCH($A$1,'DB Country PMI'!$A$1:$AZ$1,),))</f>
        <v/>
      </c>
      <c r="C29" s="24">
        <f>Table1345[[#This Row],[PMI]]-B28</f>
        <v/>
      </c>
    </row>
    <row r="30">
      <c r="A30" s="10" t="n">
        <v>43282</v>
      </c>
      <c r="B30" s="18">
        <f>IF(VLOOKUP(A30,'DB Country PMI'!$A:$AZ,MATCH($A$1,'DB Country PMI'!$A$1:$AZ$1,),)=0,#N/A,VLOOKUP(A30,'DB Country PMI'!$A:$AZ,MATCH($A$1,'DB Country PMI'!$A$1:$AZ$1,),))</f>
        <v/>
      </c>
      <c r="C30" s="24">
        <f>Table1345[[#This Row],[PMI]]-B29</f>
        <v/>
      </c>
    </row>
    <row r="31">
      <c r="A31" s="10" t="n">
        <v>43313</v>
      </c>
      <c r="B31" s="18">
        <f>IF(VLOOKUP(A31,'DB Country PMI'!$A:$AZ,MATCH($A$1,'DB Country PMI'!$A$1:$AZ$1,),)=0,#N/A,VLOOKUP(A31,'DB Country PMI'!$A:$AZ,MATCH($A$1,'DB Country PMI'!$A$1:$AZ$1,),))</f>
        <v/>
      </c>
      <c r="C31" s="24">
        <f>Table1345[[#This Row],[PMI]]-B30</f>
        <v/>
      </c>
    </row>
    <row r="32">
      <c r="A32" s="10" t="n">
        <v>43344</v>
      </c>
      <c r="B32" s="18">
        <f>IF(VLOOKUP(A32,'DB Country PMI'!$A:$AZ,MATCH($A$1,'DB Country PMI'!$A$1:$AZ$1,),)=0,#N/A,VLOOKUP(A32,'DB Country PMI'!$A:$AZ,MATCH($A$1,'DB Country PMI'!$A$1:$AZ$1,),))</f>
        <v/>
      </c>
      <c r="C32" s="24">
        <f>Table1345[[#This Row],[PMI]]-B31</f>
        <v/>
      </c>
    </row>
    <row r="33">
      <c r="A33" s="10" t="n">
        <v>43374</v>
      </c>
      <c r="B33" s="18">
        <f>IF(VLOOKUP(A33,'DB Country PMI'!$A:$AZ,MATCH($A$1,'DB Country PMI'!$A$1:$AZ$1,),)=0,#N/A,VLOOKUP(A33,'DB Country PMI'!$A:$AZ,MATCH($A$1,'DB Country PMI'!$A$1:$AZ$1,),))</f>
        <v/>
      </c>
      <c r="C33" s="24">
        <f>Table1345[[#This Row],[PMI]]-B32</f>
        <v/>
      </c>
    </row>
    <row r="34">
      <c r="A34" s="10" t="n">
        <v>43405</v>
      </c>
      <c r="B34" s="18">
        <f>IF(VLOOKUP(A34,'DB Country PMI'!$A:$AZ,MATCH($A$1,'DB Country PMI'!$A$1:$AZ$1,),)=0,#N/A,VLOOKUP(A34,'DB Country PMI'!$A:$AZ,MATCH($A$1,'DB Country PMI'!$A$1:$AZ$1,),))</f>
        <v/>
      </c>
      <c r="C34" s="24">
        <f>Table1345[[#This Row],[PMI]]-B33</f>
        <v/>
      </c>
    </row>
    <row r="35">
      <c r="A35" s="10" t="n">
        <v>43435</v>
      </c>
      <c r="B35" s="18">
        <f>IF(VLOOKUP(A35,'DB Country PMI'!$A:$AZ,MATCH($A$1,'DB Country PMI'!$A$1:$AZ$1,),)=0,#N/A,VLOOKUP(A35,'DB Country PMI'!$A:$AZ,MATCH($A$1,'DB Country PMI'!$A$1:$AZ$1,),))</f>
        <v/>
      </c>
      <c r="C35" s="24">
        <f>Table1345[[#This Row],[PMI]]-B34</f>
        <v/>
      </c>
    </row>
    <row r="36">
      <c r="A36" s="10" t="n">
        <v>43466</v>
      </c>
      <c r="B36" s="18">
        <f>IF(VLOOKUP(A36,'DB Country PMI'!$A:$AZ,MATCH($A$1,'DB Country PMI'!$A$1:$AZ$1,),)=0,#N/A,VLOOKUP(A36,'DB Country PMI'!$A:$AZ,MATCH($A$1,'DB Country PMI'!$A$1:$AZ$1,),))</f>
        <v/>
      </c>
      <c r="C36" s="24">
        <f>Table1345[[#This Row],[PMI]]-B35</f>
        <v/>
      </c>
    </row>
    <row r="37">
      <c r="A37" s="10" t="n">
        <v>43497</v>
      </c>
      <c r="B37" s="18">
        <f>IF(VLOOKUP(A37,'DB Country PMI'!$A:$AZ,MATCH($A$1,'DB Country PMI'!$A$1:$AZ$1,),)=0,#N/A,VLOOKUP(A37,'DB Country PMI'!$A:$AZ,MATCH($A$1,'DB Country PMI'!$A$1:$AZ$1,),))</f>
        <v/>
      </c>
      <c r="C37" s="24">
        <f>Table1345[[#This Row],[PMI]]-B36</f>
        <v/>
      </c>
    </row>
    <row r="38">
      <c r="A38" s="10" t="n">
        <v>43525</v>
      </c>
      <c r="B38" s="18">
        <f>IF(VLOOKUP(A38,'DB Country PMI'!$A:$AZ,MATCH($A$1,'DB Country PMI'!$A$1:$AZ$1,),)=0,#N/A,VLOOKUP(A38,'DB Country PMI'!$A:$AZ,MATCH($A$1,'DB Country PMI'!$A$1:$AZ$1,),))</f>
        <v/>
      </c>
      <c r="C38" s="24">
        <f>Table1345[[#This Row],[PMI]]-B37</f>
        <v/>
      </c>
    </row>
    <row r="39">
      <c r="A39" s="10" t="n">
        <v>43556</v>
      </c>
      <c r="B39" s="18">
        <f>IF(VLOOKUP(A39,'DB Country PMI'!$A:$AZ,MATCH($A$1,'DB Country PMI'!$A$1:$AZ$1,),)=0,#N/A,VLOOKUP(A39,'DB Country PMI'!$A:$AZ,MATCH($A$1,'DB Country PMI'!$A$1:$AZ$1,),))</f>
        <v/>
      </c>
      <c r="C39" s="24">
        <f>Table1345[[#This Row],[PMI]]-B38</f>
        <v/>
      </c>
    </row>
    <row r="40">
      <c r="A40" s="10" t="n">
        <v>43586</v>
      </c>
      <c r="B40" s="18">
        <f>IF(VLOOKUP(A40,'DB Country PMI'!$A:$AZ,MATCH($A$1,'DB Country PMI'!$A$1:$AZ$1,),)=0,#N/A,VLOOKUP(A40,'DB Country PMI'!$A:$AZ,MATCH($A$1,'DB Country PMI'!$A$1:$AZ$1,),))</f>
        <v/>
      </c>
      <c r="C40" s="24">
        <f>Table1345[[#This Row],[PMI]]-B39</f>
        <v/>
      </c>
    </row>
    <row r="41">
      <c r="A41" s="10" t="n">
        <v>43617</v>
      </c>
      <c r="B41" s="18">
        <f>IF(VLOOKUP(A41,'DB Country PMI'!$A:$AZ,MATCH($A$1,'DB Country PMI'!$A$1:$AZ$1,),)=0,#N/A,VLOOKUP(A41,'DB Country PMI'!$A:$AZ,MATCH($A$1,'DB Country PMI'!$A$1:$AZ$1,),))</f>
        <v/>
      </c>
      <c r="C41" s="24">
        <f>Table1345[[#This Row],[PMI]]-B40</f>
        <v/>
      </c>
    </row>
    <row r="42">
      <c r="A42" s="10" t="n">
        <v>43647</v>
      </c>
      <c r="B42" s="18">
        <f>IF(VLOOKUP(A42,'DB Country PMI'!$A:$AZ,MATCH($A$1,'DB Country PMI'!$A$1:$AZ$1,),)=0,#N/A,VLOOKUP(A42,'DB Country PMI'!$A:$AZ,MATCH($A$1,'DB Country PMI'!$A$1:$AZ$1,),))</f>
        <v/>
      </c>
      <c r="C42" s="24">
        <f>Table1345[[#This Row],[PMI]]-B41</f>
        <v/>
      </c>
    </row>
    <row r="43">
      <c r="A43" s="10" t="n">
        <v>43678</v>
      </c>
      <c r="B43" s="18">
        <f>IF(VLOOKUP(A43,'DB Country PMI'!$A:$AZ,MATCH($A$1,'DB Country PMI'!$A$1:$AZ$1,),)=0,#N/A,VLOOKUP(A43,'DB Country PMI'!$A:$AZ,MATCH($A$1,'DB Country PMI'!$A$1:$AZ$1,),))</f>
        <v/>
      </c>
      <c r="C43" s="24">
        <f>Table1345[[#This Row],[PMI]]-B42</f>
        <v/>
      </c>
    </row>
    <row r="44">
      <c r="A44" s="10" t="n">
        <v>43709</v>
      </c>
      <c r="B44" s="18">
        <f>IF(VLOOKUP(A44,'DB Country PMI'!$A:$AZ,MATCH($A$1,'DB Country PMI'!$A$1:$AZ$1,),)=0,#N/A,VLOOKUP(A44,'DB Country PMI'!$A:$AZ,MATCH($A$1,'DB Country PMI'!$A$1:$AZ$1,),))</f>
        <v/>
      </c>
      <c r="C44" s="24">
        <f>Table1345[[#This Row],[PMI]]-B43</f>
        <v/>
      </c>
    </row>
    <row r="45">
      <c r="A45" s="10" t="n">
        <v>43739</v>
      </c>
      <c r="B45" s="18">
        <f>IF(VLOOKUP(A45,'DB Country PMI'!$A:$AZ,MATCH($A$1,'DB Country PMI'!$A$1:$AZ$1,),)=0,#N/A,VLOOKUP(A45,'DB Country PMI'!$A:$AZ,MATCH($A$1,'DB Country PMI'!$A$1:$AZ$1,),))</f>
        <v/>
      </c>
      <c r="C45" s="24">
        <f>Table1345[[#This Row],[PMI]]-B44</f>
        <v/>
      </c>
    </row>
    <row r="46">
      <c r="A46" s="10" t="n">
        <v>43770</v>
      </c>
      <c r="B46" s="18">
        <f>IF(VLOOKUP(A46,'DB Country PMI'!$A:$AZ,MATCH($A$1,'DB Country PMI'!$A$1:$AZ$1,),)=0,#N/A,VLOOKUP(A46,'DB Country PMI'!$A:$AZ,MATCH($A$1,'DB Country PMI'!$A$1:$AZ$1,),))</f>
        <v/>
      </c>
      <c r="C46" s="24">
        <f>Table1345[[#This Row],[PMI]]-B45</f>
        <v/>
      </c>
    </row>
    <row r="47">
      <c r="A47" s="10" t="n">
        <v>43800</v>
      </c>
      <c r="B47" s="18">
        <f>IF(VLOOKUP(A47,'DB Country PMI'!$A:$AZ,MATCH($A$1,'DB Country PMI'!$A$1:$AZ$1,),)=0,#N/A,VLOOKUP(A47,'DB Country PMI'!$A:$AZ,MATCH($A$1,'DB Country PMI'!$A$1:$AZ$1,),))</f>
        <v/>
      </c>
      <c r="C47" s="24">
        <f>Table1345[[#This Row],[PMI]]-B46</f>
        <v/>
      </c>
    </row>
    <row r="48">
      <c r="A48" s="10" t="n">
        <v>43831</v>
      </c>
      <c r="B48" s="18">
        <f>IF(VLOOKUP(A48,'DB Country PMI'!$A:$AZ,MATCH($A$1,'DB Country PMI'!$A$1:$AZ$1,),)=0,#N/A,VLOOKUP(A48,'DB Country PMI'!$A:$AZ,MATCH($A$1,'DB Country PMI'!$A$1:$AZ$1,),))</f>
        <v/>
      </c>
      <c r="C48" s="24">
        <f>Table1345[[#This Row],[PMI]]-B47</f>
        <v/>
      </c>
    </row>
    <row r="49">
      <c r="A49" s="10" t="n">
        <v>43862</v>
      </c>
      <c r="B49" s="18">
        <f>IF(VLOOKUP(A49,'DB Country PMI'!$A:$AZ,MATCH($A$1,'DB Country PMI'!$A$1:$AZ$1,),)=0,#N/A,VLOOKUP(A49,'DB Country PMI'!$A:$AZ,MATCH($A$1,'DB Country PMI'!$A$1:$AZ$1,),))</f>
        <v/>
      </c>
      <c r="C49" s="24">
        <f>Table1345[[#This Row],[PMI]]-B48</f>
        <v/>
      </c>
    </row>
    <row r="50">
      <c r="A50" s="10" t="n">
        <v>43891</v>
      </c>
      <c r="B50" s="18">
        <f>IF(VLOOKUP(A50,'DB Country PMI'!$A:$AZ,MATCH($A$1,'DB Country PMI'!$A$1:$AZ$1,),)=0,#N/A,VLOOKUP(A50,'DB Country PMI'!$A:$AZ,MATCH($A$1,'DB Country PMI'!$A$1:$AZ$1,),))</f>
        <v/>
      </c>
      <c r="C50" s="24">
        <f>Table1345[[#This Row],[PMI]]-B49</f>
        <v/>
      </c>
    </row>
    <row r="51">
      <c r="A51" s="10" t="n">
        <v>43922</v>
      </c>
      <c r="B51" s="18">
        <f>IF(VLOOKUP(A51,'DB Country PMI'!$A:$AZ,MATCH($A$1,'DB Country PMI'!$A$1:$AZ$1,),)=0,#N/A,VLOOKUP(A51,'DB Country PMI'!$A:$AZ,MATCH($A$1,'DB Country PMI'!$A$1:$AZ$1,),))</f>
        <v/>
      </c>
      <c r="C51" s="24">
        <f>Table1345[[#This Row],[PMI]]-B50</f>
        <v/>
      </c>
    </row>
    <row r="52">
      <c r="A52" s="10" t="n">
        <v>43952</v>
      </c>
      <c r="B52" s="18">
        <f>IF(VLOOKUP(A52,'DB Country PMI'!$A:$AZ,MATCH($A$1,'DB Country PMI'!$A$1:$AZ$1,),)=0,#N/A,VLOOKUP(A52,'DB Country PMI'!$A:$AZ,MATCH($A$1,'DB Country PMI'!$A$1:$AZ$1,),))</f>
        <v/>
      </c>
      <c r="C52" s="24">
        <f>Table1345[[#This Row],[PMI]]-B51</f>
        <v/>
      </c>
    </row>
    <row r="53">
      <c r="A53" s="10" t="n">
        <v>43983</v>
      </c>
      <c r="B53" s="18">
        <f>IF(VLOOKUP(A53,'DB Country PMI'!$A:$AZ,MATCH($A$1,'DB Country PMI'!$A$1:$AZ$1,),)=0,#N/A,VLOOKUP(A53,'DB Country PMI'!$A:$AZ,MATCH($A$1,'DB Country PMI'!$A$1:$AZ$1,),))</f>
        <v/>
      </c>
      <c r="C53" s="24">
        <f>Table1345[[#This Row],[PMI]]-B52</f>
        <v/>
      </c>
    </row>
    <row r="54">
      <c r="A54" s="10" t="n">
        <v>44013</v>
      </c>
      <c r="B54" s="18">
        <f>IF(VLOOKUP(A54,'DB Country PMI'!$A:$AZ,MATCH($A$1,'DB Country PMI'!$A$1:$AZ$1,),)=0,#N/A,VLOOKUP(A54,'DB Country PMI'!$A:$AZ,MATCH($A$1,'DB Country PMI'!$A$1:$AZ$1,),))</f>
        <v/>
      </c>
      <c r="C54" s="24">
        <f>Table1345[[#This Row],[PMI]]-B53</f>
        <v/>
      </c>
    </row>
    <row r="55">
      <c r="A55" s="10" t="n">
        <v>44044</v>
      </c>
      <c r="B55" s="18">
        <f>IF(VLOOKUP(A55,'DB Country PMI'!$A:$AZ,MATCH($A$1,'DB Country PMI'!$A$1:$AZ$1,),)=0,#N/A,VLOOKUP(A55,'DB Country PMI'!$A:$AZ,MATCH($A$1,'DB Country PMI'!$A$1:$AZ$1,),))</f>
        <v/>
      </c>
      <c r="C55" s="24">
        <f>Table1345[[#This Row],[PMI]]-B54</f>
        <v/>
      </c>
    </row>
    <row r="56">
      <c r="A56" s="10" t="n">
        <v>44075</v>
      </c>
      <c r="B56" s="18">
        <f>IF(VLOOKUP(A56,'DB Country PMI'!$A:$AZ,MATCH($A$1,'DB Country PMI'!$A$1:$AZ$1,),)=0,#N/A,VLOOKUP(A56,'DB Country PMI'!$A:$AZ,MATCH($A$1,'DB Country PMI'!$A$1:$AZ$1,),))</f>
        <v/>
      </c>
      <c r="C56" s="24">
        <f>Table1345[[#This Row],[PMI]]-B55</f>
        <v/>
      </c>
    </row>
    <row r="57">
      <c r="A57" s="10" t="n">
        <v>44105</v>
      </c>
      <c r="B57" s="18">
        <f>IF(VLOOKUP(A57,'DB Country PMI'!$A:$AZ,MATCH($A$1,'DB Country PMI'!$A$1:$AZ$1,),)=0,#N/A,VLOOKUP(A57,'DB Country PMI'!$A:$AZ,MATCH($A$1,'DB Country PMI'!$A$1:$AZ$1,),))</f>
        <v/>
      </c>
      <c r="C57" s="24">
        <f>Table1345[[#This Row],[PMI]]-B56</f>
        <v/>
      </c>
    </row>
    <row r="58">
      <c r="A58" s="10" t="n">
        <v>44136</v>
      </c>
      <c r="B58" s="18">
        <f>IF(VLOOKUP(A58,'DB Country PMI'!$A:$AZ,MATCH($A$1,'DB Country PMI'!$A$1:$AZ$1,),)=0,#N/A,VLOOKUP(A58,'DB Country PMI'!$A:$AZ,MATCH($A$1,'DB Country PMI'!$A$1:$AZ$1,),))</f>
        <v/>
      </c>
      <c r="C58" s="24">
        <f>Table1345[[#This Row],[PMI]]-B57</f>
        <v/>
      </c>
    </row>
    <row r="59">
      <c r="A59" s="10" t="n">
        <v>44166</v>
      </c>
      <c r="B59" s="18">
        <f>IF(VLOOKUP(A59,'DB Country PMI'!$A:$AZ,MATCH($A$1,'DB Country PMI'!$A$1:$AZ$1,),)=0,#N/A,VLOOKUP(A59,'DB Country PMI'!$A:$AZ,MATCH($A$1,'DB Country PMI'!$A$1:$AZ$1,),))</f>
        <v/>
      </c>
      <c r="C59" s="24">
        <f>Table1345[[#This Row],[PMI]]-B58</f>
        <v/>
      </c>
    </row>
    <row r="60">
      <c r="A60" s="10" t="n">
        <v>44197</v>
      </c>
      <c r="B60" s="18">
        <f>IF(VLOOKUP(A60,'DB Country PMI'!$A:$AZ,MATCH($A$1,'DB Country PMI'!$A$1:$AZ$1,),)=0,#N/A,VLOOKUP(A60,'DB Country PMI'!$A:$AZ,MATCH($A$1,'DB Country PMI'!$A$1:$AZ$1,),))</f>
        <v/>
      </c>
      <c r="C60" s="24">
        <f>Table1345[[#This Row],[PMI]]-B59</f>
        <v/>
      </c>
    </row>
    <row r="61">
      <c r="A61" s="10" t="n">
        <v>44228</v>
      </c>
      <c r="B61" s="18">
        <f>IF(VLOOKUP(A61,'DB Country PMI'!$A:$AZ,MATCH($A$1,'DB Country PMI'!$A$1:$AZ$1,),)=0,#N/A,VLOOKUP(A61,'DB Country PMI'!$A:$AZ,MATCH($A$1,'DB Country PMI'!$A$1:$AZ$1,),))</f>
        <v/>
      </c>
      <c r="C61" s="24">
        <f>Table1345[[#This Row],[PMI]]-B60</f>
        <v/>
      </c>
    </row>
    <row r="62">
      <c r="A62" s="10" t="n">
        <v>44256</v>
      </c>
      <c r="B62" s="18">
        <f>IF(VLOOKUP(A62,'DB Country PMI'!$A:$AZ,MATCH($A$1,'DB Country PMI'!$A$1:$AZ$1,),)=0,#N/A,VLOOKUP(A62,'DB Country PMI'!$A:$AZ,MATCH($A$1,'DB Country PMI'!$A$1:$AZ$1,),))</f>
        <v/>
      </c>
      <c r="C62" s="24">
        <f>Table1345[[#This Row],[PMI]]-B61</f>
        <v/>
      </c>
    </row>
    <row r="63">
      <c r="A63" s="10" t="n">
        <v>44287</v>
      </c>
      <c r="B63" s="18">
        <f>IF(VLOOKUP(A63,'DB Country PMI'!$A:$AZ,MATCH($A$1,'DB Country PMI'!$A$1:$AZ$1,),)=0,#N/A,VLOOKUP(A63,'DB Country PMI'!$A:$AZ,MATCH($A$1,'DB Country PMI'!$A$1:$AZ$1,),))</f>
        <v/>
      </c>
      <c r="C63" s="24">
        <f>Table1345[[#This Row],[PMI]]-B62</f>
        <v/>
      </c>
    </row>
    <row r="64">
      <c r="A64" s="10" t="n">
        <v>44317</v>
      </c>
      <c r="B64" s="18">
        <f>IF(VLOOKUP(A64,'DB Country PMI'!$A:$AZ,MATCH($A$1,'DB Country PMI'!$A$1:$AZ$1,),)=0,#N/A,VLOOKUP(A64,'DB Country PMI'!$A:$AZ,MATCH($A$1,'DB Country PMI'!$A$1:$AZ$1,),))</f>
        <v/>
      </c>
      <c r="C64" s="24">
        <f>Table1345[[#This Row],[PMI]]-B63</f>
        <v/>
      </c>
    </row>
    <row r="65">
      <c r="A65" s="10" t="n">
        <v>44348</v>
      </c>
      <c r="B65" s="18">
        <f>IF(VLOOKUP(A65,'DB Country PMI'!$A:$AZ,MATCH($A$1,'DB Country PMI'!$A$1:$AZ$1,),)=0,#N/A,VLOOKUP(A65,'DB Country PMI'!$A:$AZ,MATCH($A$1,'DB Country PMI'!$A$1:$AZ$1,),))</f>
        <v/>
      </c>
      <c r="C65" s="24">
        <f>Table1345[[#This Row],[PMI]]-B64</f>
        <v/>
      </c>
    </row>
    <row r="66">
      <c r="A66" s="10" t="n">
        <v>44378</v>
      </c>
      <c r="B66" s="18">
        <f>IF(VLOOKUP(A66,'DB Country PMI'!$A:$AZ,MATCH($A$1,'DB Country PMI'!$A$1:$AZ$1,),)=0,#N/A,VLOOKUP(A66,'DB Country PMI'!$A:$AZ,MATCH($A$1,'DB Country PMI'!$A$1:$AZ$1,),))</f>
        <v/>
      </c>
      <c r="C66" s="24">
        <f>Table1345[[#This Row],[PMI]]-B65</f>
        <v/>
      </c>
    </row>
    <row r="67">
      <c r="A67" s="10" t="n">
        <v>44409</v>
      </c>
      <c r="B67" s="18">
        <f>IF(VLOOKUP(A67,'DB Country PMI'!$A:$AZ,MATCH($A$1,'DB Country PMI'!$A$1:$AZ$1,),)=0,#N/A,VLOOKUP(A67,'DB Country PMI'!$A:$AZ,MATCH($A$1,'DB Country PMI'!$A$1:$AZ$1,),))</f>
        <v/>
      </c>
      <c r="C67" s="24">
        <f>Table1345[[#This Row],[PMI]]-B66</f>
        <v/>
      </c>
    </row>
    <row r="68">
      <c r="A68" s="10" t="n">
        <v>44440</v>
      </c>
      <c r="B68" s="18">
        <f>IF(VLOOKUP(A68,'DB Country PMI'!$A:$AZ,MATCH($A$1,'DB Country PMI'!$A$1:$AZ$1,),)=0,#N/A,VLOOKUP(A68,'DB Country PMI'!$A:$AZ,MATCH($A$1,'DB Country PMI'!$A$1:$AZ$1,),))</f>
        <v/>
      </c>
      <c r="C68" s="24">
        <f>Table1345[[#This Row],[PMI]]-B67</f>
        <v/>
      </c>
    </row>
    <row r="69">
      <c r="A69" s="10" t="n">
        <v>44470</v>
      </c>
      <c r="B69" s="18">
        <f>IF(VLOOKUP(A69,'DB Country PMI'!$A:$AZ,MATCH($A$1,'DB Country PMI'!$A$1:$AZ$1,),)=0,#N/A,VLOOKUP(A69,'DB Country PMI'!$A:$AZ,MATCH($A$1,'DB Country PMI'!$A$1:$AZ$1,),))</f>
        <v/>
      </c>
      <c r="C69" s="24">
        <f>Table1345[[#This Row],[PMI]]-B68</f>
        <v/>
      </c>
    </row>
    <row r="70">
      <c r="A70" s="10" t="n">
        <v>44501</v>
      </c>
      <c r="B70" s="18">
        <f>IF(VLOOKUP(A70,'DB Country PMI'!$A:$AZ,MATCH($A$1,'DB Country PMI'!$A$1:$AZ$1,),)=0,#N/A,VLOOKUP(A70,'DB Country PMI'!$A:$AZ,MATCH($A$1,'DB Country PMI'!$A$1:$AZ$1,),))</f>
        <v/>
      </c>
      <c r="C70" s="24">
        <f>Table1345[[#This Row],[PMI]]-B69</f>
        <v/>
      </c>
    </row>
    <row r="71">
      <c r="A71" s="10" t="n">
        <v>44531</v>
      </c>
      <c r="B71" s="18">
        <f>IF(VLOOKUP(A71,'DB Country PMI'!$A:$AZ,MATCH($A$1,'DB Country PMI'!$A$1:$AZ$1,),)=0,#N/A,VLOOKUP(A71,'DB Country PMI'!$A:$AZ,MATCH($A$1,'DB Country PMI'!$A$1:$AZ$1,),))</f>
        <v/>
      </c>
      <c r="C71" s="24">
        <f>Table1345[[#This Row],[PMI]]-B70</f>
        <v/>
      </c>
    </row>
    <row r="72">
      <c r="A72" s="10" t="n">
        <v>44562</v>
      </c>
      <c r="B72" s="18">
        <f>IF(VLOOKUP(A72,'DB Country PMI'!$A:$AZ,MATCH($A$1,'DB Country PMI'!$A$1:$AZ$1,),)=0,#N/A,VLOOKUP(A72,'DB Country PMI'!$A:$AZ,MATCH($A$1,'DB Country PMI'!$A$1:$AZ$1,),))</f>
        <v/>
      </c>
      <c r="C72" s="24">
        <f>Table1345[[#This Row],[PMI]]-B71</f>
        <v/>
      </c>
    </row>
    <row r="73">
      <c r="A73" s="10" t="n">
        <v>44593</v>
      </c>
      <c r="B73" s="18">
        <f>IF(VLOOKUP(A73,'DB Country PMI'!$A:$AZ,MATCH($A$1,'DB Country PMI'!$A$1:$AZ$1,),)=0,#N/A,VLOOKUP(A73,'DB Country PMI'!$A:$AZ,MATCH($A$1,'DB Country PMI'!$A$1:$AZ$1,),))</f>
        <v/>
      </c>
      <c r="C73" s="24">
        <f>Table1345[[#This Row],[PMI]]-B72</f>
        <v/>
      </c>
    </row>
    <row r="74">
      <c r="A74" s="10" t="n">
        <v>44621</v>
      </c>
      <c r="B74" s="18">
        <f>IF(VLOOKUP(A74,'DB Country PMI'!$A:$AZ,MATCH($A$1,'DB Country PMI'!$A$1:$AZ$1,),)=0,#N/A,VLOOKUP(A74,'DB Country PMI'!$A:$AZ,MATCH($A$1,'DB Country PMI'!$A$1:$AZ$1,),))</f>
        <v/>
      </c>
      <c r="C74" s="24">
        <f>Table1345[[#This Row],[PMI]]-B73</f>
        <v/>
      </c>
    </row>
    <row r="75">
      <c r="A75" s="10" t="n">
        <v>44652</v>
      </c>
      <c r="B75" s="18">
        <f>IF(VLOOKUP(A75,'DB Country PMI'!$A:$AZ,MATCH($A$1,'DB Country PMI'!$A$1:$AZ$1,),)=0,#N/A,VLOOKUP(A75,'DB Country PMI'!$A:$AZ,MATCH($A$1,'DB Country PMI'!$A$1:$AZ$1,),))</f>
        <v/>
      </c>
      <c r="C75" s="24">
        <f>Table1345[[#This Row],[PMI]]-B74</f>
        <v/>
      </c>
    </row>
    <row r="76">
      <c r="A76" s="10" t="n">
        <v>44682</v>
      </c>
      <c r="B76" s="18">
        <f>IF(VLOOKUP(A76,'DB Country PMI'!$A:$AZ,MATCH($A$1,'DB Country PMI'!$A$1:$AZ$1,),)=0,#N/A,VLOOKUP(A76,'DB Country PMI'!$A:$AZ,MATCH($A$1,'DB Country PMI'!$A$1:$AZ$1,),))</f>
        <v/>
      </c>
      <c r="C76" s="24">
        <f>Table1345[[#This Row],[PMI]]-B75</f>
        <v/>
      </c>
    </row>
    <row r="77">
      <c r="A77" s="10" t="n">
        <v>44713</v>
      </c>
      <c r="B77" s="18">
        <f>IF(VLOOKUP(A77,'DB Country PMI'!$A:$AZ,MATCH($A$1,'DB Country PMI'!$A$1:$AZ$1,),)=0,#N/A,VLOOKUP(A77,'DB Country PMI'!$A:$AZ,MATCH($A$1,'DB Country PMI'!$A$1:$AZ$1,),))</f>
        <v/>
      </c>
      <c r="C77" s="24">
        <f>Table1345[[#This Row],[PMI]]-B76</f>
        <v/>
      </c>
    </row>
    <row r="78">
      <c r="A78" s="10" t="n">
        <v>44743</v>
      </c>
      <c r="B78" s="18">
        <f>IF(VLOOKUP(A78,'DB Country PMI'!$A:$AZ,MATCH($A$1,'DB Country PMI'!$A$1:$AZ$1,),)=0,#N/A,VLOOKUP(A78,'DB Country PMI'!$A:$AZ,MATCH($A$1,'DB Country PMI'!$A$1:$AZ$1,),))</f>
        <v/>
      </c>
      <c r="C78" s="24">
        <f>Table1345[[#This Row],[PMI]]-B77</f>
        <v/>
      </c>
    </row>
    <row r="79">
      <c r="A79" s="10" t="n">
        <v>44774</v>
      </c>
      <c r="B79" s="18">
        <f>IF(VLOOKUP(A79,'DB Country PMI'!$A:$AZ,MATCH($A$1,'DB Country PMI'!$A$1:$AZ$1,),)=0,#N/A,VLOOKUP(A79,'DB Country PMI'!$A:$AZ,MATCH($A$1,'DB Country PMI'!$A$1:$AZ$1,),))</f>
        <v/>
      </c>
      <c r="C79" s="24">
        <f>Table1345[[#This Row],[PMI]]-B78</f>
        <v/>
      </c>
    </row>
    <row r="80">
      <c r="A80" s="10" t="n">
        <v>44805</v>
      </c>
      <c r="B80" s="18">
        <f>IF(VLOOKUP(A80,'DB Country PMI'!$A:$AZ,MATCH($A$1,'DB Country PMI'!$A$1:$AZ$1,),)=0,#N/A,VLOOKUP(A80,'DB Country PMI'!$A:$AZ,MATCH($A$1,'DB Country PMI'!$A$1:$AZ$1,),))</f>
        <v/>
      </c>
      <c r="C80" s="24">
        <f>Table1345[[#This Row],[PMI]]-B79</f>
        <v/>
      </c>
    </row>
    <row r="81">
      <c r="A81" s="10" t="n">
        <v>44835</v>
      </c>
      <c r="B81" s="18">
        <f>IF(VLOOKUP(A81,'DB Country PMI'!$A:$AZ,MATCH($A$1,'DB Country PMI'!$A$1:$AZ$1,),)=0,#N/A,VLOOKUP(A81,'DB Country PMI'!$A:$AZ,MATCH($A$1,'DB Country PMI'!$A$1:$AZ$1,),))</f>
        <v/>
      </c>
      <c r="C81" s="24">
        <f>Table1345[[#This Row],[PMI]]-B80</f>
        <v/>
      </c>
    </row>
    <row r="82">
      <c r="A82" s="10" t="n">
        <v>44866</v>
      </c>
      <c r="B82" s="18">
        <f>IF(VLOOKUP(A82,'DB Country PMI'!$A:$AZ,MATCH($A$1,'DB Country PMI'!$A$1:$AZ$1,),)=0,#N/A,VLOOKUP(A82,'DB Country PMI'!$A:$AZ,MATCH($A$1,'DB Country PMI'!$A$1:$AZ$1,),))</f>
        <v/>
      </c>
      <c r="C82" s="24">
        <f>Table1345[[#This Row],[PMI]]-B81</f>
        <v/>
      </c>
    </row>
  </sheetData>
  <conditionalFormatting sqref="B6:B82">
    <cfRule type="colorScale" priority="51">
      <colorScale>
        <cfvo type="min"/>
        <cfvo type="percentile" val="50"/>
        <cfvo type="max"/>
        <color rgb="FFF8696B"/>
        <color rgb="FFFFEB84"/>
        <color rgb="FF63BE7B"/>
      </colorScale>
    </cfRule>
  </conditionalFormatting>
  <conditionalFormatting sqref="C7:C82">
    <cfRule type="colorScale" priority="52">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4.xml><?xml version="1.0" encoding="utf-8"?>
<worksheet xmlns="http://schemas.openxmlformats.org/spreadsheetml/2006/main">
  <sheetPr>
    <outlinePr summaryBelow="1" summaryRight="1"/>
    <pageSetUpPr/>
  </sheetPr>
  <dimension ref="A1:K280"/>
  <sheetViews>
    <sheetView zoomScale="90" zoomScaleNormal="90" workbookViewId="0">
      <pane ySplit="5" topLeftCell="A269" activePane="bottomLeft" state="frozen"/>
      <selection pane="bottomLeft" activeCell="O282" sqref="O282"/>
    </sheetView>
  </sheetViews>
  <sheetFormatPr baseColWidth="8" defaultColWidth="9.1796875" defaultRowHeight="14.5"/>
  <cols>
    <col width="13.453125" customWidth="1" style="69" min="1" max="1"/>
    <col width="11.36328125" customWidth="1" style="69" min="2" max="2"/>
    <col width="9.1796875" customWidth="1" style="69" min="3" max="51"/>
    <col width="9.1796875" customWidth="1" style="69" min="52" max="16384"/>
  </cols>
  <sheetData>
    <row r="1">
      <c r="A1" s="69" t="inlineStr">
        <is>
          <t>South Africa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36526</v>
      </c>
      <c r="B6" s="18">
        <f>IF(VLOOKUP(A6,'DB Country PMI'!$A:$AZ,MATCH($A$1,'DB Country PMI'!$A$1:$AZ$1,),)=0,#N/A,VLOOKUP(A6,'DB Country PMI'!$A:$AZ,MATCH($A$1,'DB Country PMI'!$A$1:$AZ$1,),))</f>
        <v/>
      </c>
      <c r="C6" s="18" t="n"/>
    </row>
    <row r="7">
      <c r="A7" s="10" t="n">
        <v>36557</v>
      </c>
      <c r="B7" s="18">
        <f>IF(VLOOKUP(A7,'DB Country PMI'!$A:$AZ,MATCH($A$1,'DB Country PMI'!$A$1:$AZ$1,),)=0,#N/A,VLOOKUP(A7,'DB Country PMI'!$A:$AZ,MATCH($A$1,'DB Country PMI'!$A$1:$AZ$1,),))</f>
        <v/>
      </c>
      <c r="C7" s="24">
        <f>Table1346[[#This Row],[PMI]]-B6</f>
        <v/>
      </c>
    </row>
    <row r="8">
      <c r="A8" s="10" t="n">
        <v>36586</v>
      </c>
      <c r="B8" s="18">
        <f>IF(VLOOKUP(A8,'DB Country PMI'!$A:$AZ,MATCH($A$1,'DB Country PMI'!$A$1:$AZ$1,),)=0,#N/A,VLOOKUP(A8,'DB Country PMI'!$A:$AZ,MATCH($A$1,'DB Country PMI'!$A$1:$AZ$1,),))</f>
        <v/>
      </c>
      <c r="C8" s="24">
        <f>Table1346[[#This Row],[PMI]]-B7</f>
        <v/>
      </c>
    </row>
    <row r="9">
      <c r="A9" s="10" t="n">
        <v>36617</v>
      </c>
      <c r="B9" s="18">
        <f>IF(VLOOKUP(A9,'DB Country PMI'!$A:$AZ,MATCH($A$1,'DB Country PMI'!$A$1:$AZ$1,),)=0,#N/A,VLOOKUP(A9,'DB Country PMI'!$A:$AZ,MATCH($A$1,'DB Country PMI'!$A$1:$AZ$1,),))</f>
        <v/>
      </c>
      <c r="C9" s="24">
        <f>Table1346[[#This Row],[PMI]]-B8</f>
        <v/>
      </c>
    </row>
    <row r="10">
      <c r="A10" s="10" t="n">
        <v>36647</v>
      </c>
      <c r="B10" s="18">
        <f>IF(VLOOKUP(A10,'DB Country PMI'!$A:$AZ,MATCH($A$1,'DB Country PMI'!$A$1:$AZ$1,),)=0,#N/A,VLOOKUP(A10,'DB Country PMI'!$A:$AZ,MATCH($A$1,'DB Country PMI'!$A$1:$AZ$1,),))</f>
        <v/>
      </c>
      <c r="C10" s="24">
        <f>Table1346[[#This Row],[PMI]]-B9</f>
        <v/>
      </c>
    </row>
    <row r="11">
      <c r="A11" s="10" t="n">
        <v>36678</v>
      </c>
      <c r="B11" s="18">
        <f>IF(VLOOKUP(A11,'DB Country PMI'!$A:$AZ,MATCH($A$1,'DB Country PMI'!$A$1:$AZ$1,),)=0,#N/A,VLOOKUP(A11,'DB Country PMI'!$A:$AZ,MATCH($A$1,'DB Country PMI'!$A$1:$AZ$1,),))</f>
        <v/>
      </c>
      <c r="C11" s="24">
        <f>Table1346[[#This Row],[PMI]]-B10</f>
        <v/>
      </c>
    </row>
    <row r="12">
      <c r="A12" s="10" t="n">
        <v>36708</v>
      </c>
      <c r="B12" s="18">
        <f>IF(VLOOKUP(A12,'DB Country PMI'!$A:$AZ,MATCH($A$1,'DB Country PMI'!$A$1:$AZ$1,),)=0,#N/A,VLOOKUP(A12,'DB Country PMI'!$A:$AZ,MATCH($A$1,'DB Country PMI'!$A$1:$AZ$1,),))</f>
        <v/>
      </c>
      <c r="C12" s="24">
        <f>Table1346[[#This Row],[PMI]]-B11</f>
        <v/>
      </c>
    </row>
    <row r="13">
      <c r="A13" s="10" t="n">
        <v>36739</v>
      </c>
      <c r="B13" s="18">
        <f>IF(VLOOKUP(A13,'DB Country PMI'!$A:$AZ,MATCH($A$1,'DB Country PMI'!$A$1:$AZ$1,),)=0,#N/A,VLOOKUP(A13,'DB Country PMI'!$A:$AZ,MATCH($A$1,'DB Country PMI'!$A$1:$AZ$1,),))</f>
        <v/>
      </c>
      <c r="C13" s="24">
        <f>Table1346[[#This Row],[PMI]]-B12</f>
        <v/>
      </c>
    </row>
    <row r="14">
      <c r="A14" s="10" t="n">
        <v>36770</v>
      </c>
      <c r="B14" s="18">
        <f>IF(VLOOKUP(A14,'DB Country PMI'!$A:$AZ,MATCH($A$1,'DB Country PMI'!$A$1:$AZ$1,),)=0,#N/A,VLOOKUP(A14,'DB Country PMI'!$A:$AZ,MATCH($A$1,'DB Country PMI'!$A$1:$AZ$1,),))</f>
        <v/>
      </c>
      <c r="C14" s="24">
        <f>Table1346[[#This Row],[PMI]]-B13</f>
        <v/>
      </c>
    </row>
    <row r="15">
      <c r="A15" s="10" t="n">
        <v>36800</v>
      </c>
      <c r="B15" s="18">
        <f>IF(VLOOKUP(A15,'DB Country PMI'!$A:$AZ,MATCH($A$1,'DB Country PMI'!$A$1:$AZ$1,),)=0,#N/A,VLOOKUP(A15,'DB Country PMI'!$A:$AZ,MATCH($A$1,'DB Country PMI'!$A$1:$AZ$1,),))</f>
        <v/>
      </c>
      <c r="C15" s="24">
        <f>Table1346[[#This Row],[PMI]]-B14</f>
        <v/>
      </c>
    </row>
    <row r="16">
      <c r="A16" s="10" t="n">
        <v>36831</v>
      </c>
      <c r="B16" s="18">
        <f>IF(VLOOKUP(A16,'DB Country PMI'!$A:$AZ,MATCH($A$1,'DB Country PMI'!$A$1:$AZ$1,),)=0,#N/A,VLOOKUP(A16,'DB Country PMI'!$A:$AZ,MATCH($A$1,'DB Country PMI'!$A$1:$AZ$1,),))</f>
        <v/>
      </c>
      <c r="C16" s="24">
        <f>Table1346[[#This Row],[PMI]]-B15</f>
        <v/>
      </c>
    </row>
    <row r="17">
      <c r="A17" s="10" t="n">
        <v>36861</v>
      </c>
      <c r="B17" s="18">
        <f>IF(VLOOKUP(A17,'DB Country PMI'!$A:$AZ,MATCH($A$1,'DB Country PMI'!$A$1:$AZ$1,),)=0,#N/A,VLOOKUP(A17,'DB Country PMI'!$A:$AZ,MATCH($A$1,'DB Country PMI'!$A$1:$AZ$1,),))</f>
        <v/>
      </c>
      <c r="C17" s="24">
        <f>Table1346[[#This Row],[PMI]]-B16</f>
        <v/>
      </c>
    </row>
    <row r="18">
      <c r="A18" s="10" t="n">
        <v>36892</v>
      </c>
      <c r="B18" s="18">
        <f>IF(VLOOKUP(A18,'DB Country PMI'!$A:$AZ,MATCH($A$1,'DB Country PMI'!$A$1:$AZ$1,),)=0,#N/A,VLOOKUP(A18,'DB Country PMI'!$A:$AZ,MATCH($A$1,'DB Country PMI'!$A$1:$AZ$1,),))</f>
        <v/>
      </c>
      <c r="C18" s="24">
        <f>Table1346[[#This Row],[PMI]]-B17</f>
        <v/>
      </c>
    </row>
    <row r="19">
      <c r="A19" s="10" t="n">
        <v>36923</v>
      </c>
      <c r="B19" s="18">
        <f>IF(VLOOKUP(A19,'DB Country PMI'!$A:$AZ,MATCH($A$1,'DB Country PMI'!$A$1:$AZ$1,),)=0,#N/A,VLOOKUP(A19,'DB Country PMI'!$A:$AZ,MATCH($A$1,'DB Country PMI'!$A$1:$AZ$1,),))</f>
        <v/>
      </c>
      <c r="C19" s="24">
        <f>Table1346[[#This Row],[PMI]]-B18</f>
        <v/>
      </c>
    </row>
    <row r="20">
      <c r="A20" s="10" t="n">
        <v>36951</v>
      </c>
      <c r="B20" s="18">
        <f>IF(VLOOKUP(A20,'DB Country PMI'!$A:$AZ,MATCH($A$1,'DB Country PMI'!$A$1:$AZ$1,),)=0,#N/A,VLOOKUP(A20,'DB Country PMI'!$A:$AZ,MATCH($A$1,'DB Country PMI'!$A$1:$AZ$1,),))</f>
        <v/>
      </c>
      <c r="C20" s="24">
        <f>Table1346[[#This Row],[PMI]]-B19</f>
        <v/>
      </c>
    </row>
    <row r="21">
      <c r="A21" s="10" t="n">
        <v>36982</v>
      </c>
      <c r="B21" s="18">
        <f>IF(VLOOKUP(A21,'DB Country PMI'!$A:$AZ,MATCH($A$1,'DB Country PMI'!$A$1:$AZ$1,),)=0,#N/A,VLOOKUP(A21,'DB Country PMI'!$A:$AZ,MATCH($A$1,'DB Country PMI'!$A$1:$AZ$1,),))</f>
        <v/>
      </c>
      <c r="C21" s="24">
        <f>Table1346[[#This Row],[PMI]]-B20</f>
        <v/>
      </c>
    </row>
    <row r="22">
      <c r="A22" s="10" t="n">
        <v>37012</v>
      </c>
      <c r="B22" s="18">
        <f>IF(VLOOKUP(A22,'DB Country PMI'!$A:$AZ,MATCH($A$1,'DB Country PMI'!$A$1:$AZ$1,),)=0,#N/A,VLOOKUP(A22,'DB Country PMI'!$A:$AZ,MATCH($A$1,'DB Country PMI'!$A$1:$AZ$1,),))</f>
        <v/>
      </c>
      <c r="C22" s="24">
        <f>Table1346[[#This Row],[PMI]]-B21</f>
        <v/>
      </c>
    </row>
    <row r="23">
      <c r="A23" s="10" t="n">
        <v>37043</v>
      </c>
      <c r="B23" s="18">
        <f>IF(VLOOKUP(A23,'DB Country PMI'!$A:$AZ,MATCH($A$1,'DB Country PMI'!$A$1:$AZ$1,),)=0,#N/A,VLOOKUP(A23,'DB Country PMI'!$A:$AZ,MATCH($A$1,'DB Country PMI'!$A$1:$AZ$1,),))</f>
        <v/>
      </c>
      <c r="C23" s="24">
        <f>Table1346[[#This Row],[PMI]]-B22</f>
        <v/>
      </c>
    </row>
    <row r="24">
      <c r="A24" s="10" t="n">
        <v>37073</v>
      </c>
      <c r="B24" s="18">
        <f>IF(VLOOKUP(A24,'DB Country PMI'!$A:$AZ,MATCH($A$1,'DB Country PMI'!$A$1:$AZ$1,),)=0,#N/A,VLOOKUP(A24,'DB Country PMI'!$A:$AZ,MATCH($A$1,'DB Country PMI'!$A$1:$AZ$1,),))</f>
        <v/>
      </c>
      <c r="C24" s="24">
        <f>Table1346[[#This Row],[PMI]]-B23</f>
        <v/>
      </c>
    </row>
    <row r="25">
      <c r="A25" s="10" t="n">
        <v>37104</v>
      </c>
      <c r="B25" s="18">
        <f>IF(VLOOKUP(A25,'DB Country PMI'!$A:$AZ,MATCH($A$1,'DB Country PMI'!$A$1:$AZ$1,),)=0,#N/A,VLOOKUP(A25,'DB Country PMI'!$A:$AZ,MATCH($A$1,'DB Country PMI'!$A$1:$AZ$1,),))</f>
        <v/>
      </c>
      <c r="C25" s="24">
        <f>Table1346[[#This Row],[PMI]]-B24</f>
        <v/>
      </c>
    </row>
    <row r="26">
      <c r="A26" s="10" t="n">
        <v>37135</v>
      </c>
      <c r="B26" s="18">
        <f>IF(VLOOKUP(A26,'DB Country PMI'!$A:$AZ,MATCH($A$1,'DB Country PMI'!$A$1:$AZ$1,),)=0,#N/A,VLOOKUP(A26,'DB Country PMI'!$A:$AZ,MATCH($A$1,'DB Country PMI'!$A$1:$AZ$1,),))</f>
        <v/>
      </c>
      <c r="C26" s="24">
        <f>Table1346[[#This Row],[PMI]]-B25</f>
        <v/>
      </c>
    </row>
    <row r="27">
      <c r="A27" s="10" t="n">
        <v>37165</v>
      </c>
      <c r="B27" s="18">
        <f>IF(VLOOKUP(A27,'DB Country PMI'!$A:$AZ,MATCH($A$1,'DB Country PMI'!$A$1:$AZ$1,),)=0,#N/A,VLOOKUP(A27,'DB Country PMI'!$A:$AZ,MATCH($A$1,'DB Country PMI'!$A$1:$AZ$1,),))</f>
        <v/>
      </c>
      <c r="C27" s="24">
        <f>Table1346[[#This Row],[PMI]]-B26</f>
        <v/>
      </c>
    </row>
    <row r="28">
      <c r="A28" s="10" t="n">
        <v>37196</v>
      </c>
      <c r="B28" s="18">
        <f>IF(VLOOKUP(A28,'DB Country PMI'!$A:$AZ,MATCH($A$1,'DB Country PMI'!$A$1:$AZ$1,),)=0,#N/A,VLOOKUP(A28,'DB Country PMI'!$A:$AZ,MATCH($A$1,'DB Country PMI'!$A$1:$AZ$1,),))</f>
        <v/>
      </c>
      <c r="C28" s="24">
        <f>Table1346[[#This Row],[PMI]]-B27</f>
        <v/>
      </c>
    </row>
    <row r="29">
      <c r="A29" s="10" t="n">
        <v>37226</v>
      </c>
      <c r="B29" s="18">
        <f>IF(VLOOKUP(A29,'DB Country PMI'!$A:$AZ,MATCH($A$1,'DB Country PMI'!$A$1:$AZ$1,),)=0,#N/A,VLOOKUP(A29,'DB Country PMI'!$A:$AZ,MATCH($A$1,'DB Country PMI'!$A$1:$AZ$1,),))</f>
        <v/>
      </c>
      <c r="C29" s="24">
        <f>Table1346[[#This Row],[PMI]]-B28</f>
        <v/>
      </c>
    </row>
    <row r="30">
      <c r="A30" s="10" t="n">
        <v>37257</v>
      </c>
      <c r="B30" s="18">
        <f>IF(VLOOKUP(A30,'DB Country PMI'!$A:$AZ,MATCH($A$1,'DB Country PMI'!$A$1:$AZ$1,),)=0,#N/A,VLOOKUP(A30,'DB Country PMI'!$A:$AZ,MATCH($A$1,'DB Country PMI'!$A$1:$AZ$1,),))</f>
        <v/>
      </c>
      <c r="C30" s="24">
        <f>Table1346[[#This Row],[PMI]]-B29</f>
        <v/>
      </c>
    </row>
    <row r="31">
      <c r="A31" s="10" t="n">
        <v>37288</v>
      </c>
      <c r="B31" s="18">
        <f>IF(VLOOKUP(A31,'DB Country PMI'!$A:$AZ,MATCH($A$1,'DB Country PMI'!$A$1:$AZ$1,),)=0,#N/A,VLOOKUP(A31,'DB Country PMI'!$A:$AZ,MATCH($A$1,'DB Country PMI'!$A$1:$AZ$1,),))</f>
        <v/>
      </c>
      <c r="C31" s="24">
        <f>Table1346[[#This Row],[PMI]]-B30</f>
        <v/>
      </c>
    </row>
    <row r="32">
      <c r="A32" s="10" t="n">
        <v>37316</v>
      </c>
      <c r="B32" s="18">
        <f>IF(VLOOKUP(A32,'DB Country PMI'!$A:$AZ,MATCH($A$1,'DB Country PMI'!$A$1:$AZ$1,),)=0,#N/A,VLOOKUP(A32,'DB Country PMI'!$A:$AZ,MATCH($A$1,'DB Country PMI'!$A$1:$AZ$1,),))</f>
        <v/>
      </c>
      <c r="C32" s="24">
        <f>Table1346[[#This Row],[PMI]]-B31</f>
        <v/>
      </c>
    </row>
    <row r="33">
      <c r="A33" s="10" t="n">
        <v>37347</v>
      </c>
      <c r="B33" s="18">
        <f>IF(VLOOKUP(A33,'DB Country PMI'!$A:$AZ,MATCH($A$1,'DB Country PMI'!$A$1:$AZ$1,),)=0,#N/A,VLOOKUP(A33,'DB Country PMI'!$A:$AZ,MATCH($A$1,'DB Country PMI'!$A$1:$AZ$1,),))</f>
        <v/>
      </c>
      <c r="C33" s="24">
        <f>Table1346[[#This Row],[PMI]]-B32</f>
        <v/>
      </c>
    </row>
    <row r="34">
      <c r="A34" s="10" t="n">
        <v>37377</v>
      </c>
      <c r="B34" s="18">
        <f>IF(VLOOKUP(A34,'DB Country PMI'!$A:$AZ,MATCH($A$1,'DB Country PMI'!$A$1:$AZ$1,),)=0,#N/A,VLOOKUP(A34,'DB Country PMI'!$A:$AZ,MATCH($A$1,'DB Country PMI'!$A$1:$AZ$1,),))</f>
        <v/>
      </c>
      <c r="C34" s="24">
        <f>Table1346[[#This Row],[PMI]]-B33</f>
        <v/>
      </c>
    </row>
    <row r="35">
      <c r="A35" s="10" t="n">
        <v>37408</v>
      </c>
      <c r="B35" s="18">
        <f>IF(VLOOKUP(A35,'DB Country PMI'!$A:$AZ,MATCH($A$1,'DB Country PMI'!$A$1:$AZ$1,),)=0,#N/A,VLOOKUP(A35,'DB Country PMI'!$A:$AZ,MATCH($A$1,'DB Country PMI'!$A$1:$AZ$1,),))</f>
        <v/>
      </c>
      <c r="C35" s="24">
        <f>Table1346[[#This Row],[PMI]]-B34</f>
        <v/>
      </c>
    </row>
    <row r="36">
      <c r="A36" s="10" t="n">
        <v>37438</v>
      </c>
      <c r="B36" s="18">
        <f>IF(VLOOKUP(A36,'DB Country PMI'!$A:$AZ,MATCH($A$1,'DB Country PMI'!$A$1:$AZ$1,),)=0,#N/A,VLOOKUP(A36,'DB Country PMI'!$A:$AZ,MATCH($A$1,'DB Country PMI'!$A$1:$AZ$1,),))</f>
        <v/>
      </c>
      <c r="C36" s="24">
        <f>Table1346[[#This Row],[PMI]]-B35</f>
        <v/>
      </c>
    </row>
    <row r="37">
      <c r="A37" s="10" t="n">
        <v>37469</v>
      </c>
      <c r="B37" s="18">
        <f>IF(VLOOKUP(A37,'DB Country PMI'!$A:$AZ,MATCH($A$1,'DB Country PMI'!$A$1:$AZ$1,),)=0,#N/A,VLOOKUP(A37,'DB Country PMI'!$A:$AZ,MATCH($A$1,'DB Country PMI'!$A$1:$AZ$1,),))</f>
        <v/>
      </c>
      <c r="C37" s="24">
        <f>Table1346[[#This Row],[PMI]]-B36</f>
        <v/>
      </c>
    </row>
    <row r="38">
      <c r="A38" s="10" t="n">
        <v>37500</v>
      </c>
      <c r="B38" s="18">
        <f>IF(VLOOKUP(A38,'DB Country PMI'!$A:$AZ,MATCH($A$1,'DB Country PMI'!$A$1:$AZ$1,),)=0,#N/A,VLOOKUP(A38,'DB Country PMI'!$A:$AZ,MATCH($A$1,'DB Country PMI'!$A$1:$AZ$1,),))</f>
        <v/>
      </c>
      <c r="C38" s="24">
        <f>Table1346[[#This Row],[PMI]]-B37</f>
        <v/>
      </c>
    </row>
    <row r="39">
      <c r="A39" s="10" t="n">
        <v>37530</v>
      </c>
      <c r="B39" s="18">
        <f>IF(VLOOKUP(A39,'DB Country PMI'!$A:$AZ,MATCH($A$1,'DB Country PMI'!$A$1:$AZ$1,),)=0,#N/A,VLOOKUP(A39,'DB Country PMI'!$A:$AZ,MATCH($A$1,'DB Country PMI'!$A$1:$AZ$1,),))</f>
        <v/>
      </c>
      <c r="C39" s="24">
        <f>Table1346[[#This Row],[PMI]]-B38</f>
        <v/>
      </c>
    </row>
    <row r="40">
      <c r="A40" s="10" t="n">
        <v>37561</v>
      </c>
      <c r="B40" s="18">
        <f>IF(VLOOKUP(A40,'DB Country PMI'!$A:$AZ,MATCH($A$1,'DB Country PMI'!$A$1:$AZ$1,),)=0,#N/A,VLOOKUP(A40,'DB Country PMI'!$A:$AZ,MATCH($A$1,'DB Country PMI'!$A$1:$AZ$1,),))</f>
        <v/>
      </c>
      <c r="C40" s="24">
        <f>Table1346[[#This Row],[PMI]]-B39</f>
        <v/>
      </c>
    </row>
    <row r="41">
      <c r="A41" s="10" t="n">
        <v>37591</v>
      </c>
      <c r="B41" s="18">
        <f>IF(VLOOKUP(A41,'DB Country PMI'!$A:$AZ,MATCH($A$1,'DB Country PMI'!$A$1:$AZ$1,),)=0,#N/A,VLOOKUP(A41,'DB Country PMI'!$A:$AZ,MATCH($A$1,'DB Country PMI'!$A$1:$AZ$1,),))</f>
        <v/>
      </c>
      <c r="C41" s="24">
        <f>Table1346[[#This Row],[PMI]]-B40</f>
        <v/>
      </c>
    </row>
    <row r="42">
      <c r="A42" s="10" t="n">
        <v>37622</v>
      </c>
      <c r="B42" s="18">
        <f>IF(VLOOKUP(A42,'DB Country PMI'!$A:$AZ,MATCH($A$1,'DB Country PMI'!$A$1:$AZ$1,),)=0,#N/A,VLOOKUP(A42,'DB Country PMI'!$A:$AZ,MATCH($A$1,'DB Country PMI'!$A$1:$AZ$1,),))</f>
        <v/>
      </c>
      <c r="C42" s="24">
        <f>Table1346[[#This Row],[PMI]]-B41</f>
        <v/>
      </c>
    </row>
    <row r="43">
      <c r="A43" s="10" t="n">
        <v>37653</v>
      </c>
      <c r="B43" s="18">
        <f>IF(VLOOKUP(A43,'DB Country PMI'!$A:$AZ,MATCH($A$1,'DB Country PMI'!$A$1:$AZ$1,),)=0,#N/A,VLOOKUP(A43,'DB Country PMI'!$A:$AZ,MATCH($A$1,'DB Country PMI'!$A$1:$AZ$1,),))</f>
        <v/>
      </c>
      <c r="C43" s="24">
        <f>Table1346[[#This Row],[PMI]]-B42</f>
        <v/>
      </c>
    </row>
    <row r="44">
      <c r="A44" s="10" t="n">
        <v>37681</v>
      </c>
      <c r="B44" s="18">
        <f>IF(VLOOKUP(A44,'DB Country PMI'!$A:$AZ,MATCH($A$1,'DB Country PMI'!$A$1:$AZ$1,),)=0,#N/A,VLOOKUP(A44,'DB Country PMI'!$A:$AZ,MATCH($A$1,'DB Country PMI'!$A$1:$AZ$1,),))</f>
        <v/>
      </c>
      <c r="C44" s="24">
        <f>Table1346[[#This Row],[PMI]]-B43</f>
        <v/>
      </c>
    </row>
    <row r="45">
      <c r="A45" s="10" t="n">
        <v>37712</v>
      </c>
      <c r="B45" s="18">
        <f>IF(VLOOKUP(A45,'DB Country PMI'!$A:$AZ,MATCH($A$1,'DB Country PMI'!$A$1:$AZ$1,),)=0,#N/A,VLOOKUP(A45,'DB Country PMI'!$A:$AZ,MATCH($A$1,'DB Country PMI'!$A$1:$AZ$1,),))</f>
        <v/>
      </c>
      <c r="C45" s="24">
        <f>Table1346[[#This Row],[PMI]]-B44</f>
        <v/>
      </c>
    </row>
    <row r="46">
      <c r="A46" s="10" t="n">
        <v>37742</v>
      </c>
      <c r="B46" s="18">
        <f>IF(VLOOKUP(A46,'DB Country PMI'!$A:$AZ,MATCH($A$1,'DB Country PMI'!$A$1:$AZ$1,),)=0,#N/A,VLOOKUP(A46,'DB Country PMI'!$A:$AZ,MATCH($A$1,'DB Country PMI'!$A$1:$AZ$1,),))</f>
        <v/>
      </c>
      <c r="C46" s="24">
        <f>Table1346[[#This Row],[PMI]]-B45</f>
        <v/>
      </c>
    </row>
    <row r="47">
      <c r="A47" s="10" t="n">
        <v>37773</v>
      </c>
      <c r="B47" s="18">
        <f>IF(VLOOKUP(A47,'DB Country PMI'!$A:$AZ,MATCH($A$1,'DB Country PMI'!$A$1:$AZ$1,),)=0,#N/A,VLOOKUP(A47,'DB Country PMI'!$A:$AZ,MATCH($A$1,'DB Country PMI'!$A$1:$AZ$1,),))</f>
        <v/>
      </c>
      <c r="C47" s="24">
        <f>Table1346[[#This Row],[PMI]]-B46</f>
        <v/>
      </c>
    </row>
    <row r="48">
      <c r="A48" s="10" t="n">
        <v>37803</v>
      </c>
      <c r="B48" s="18">
        <f>IF(VLOOKUP(A48,'DB Country PMI'!$A:$AZ,MATCH($A$1,'DB Country PMI'!$A$1:$AZ$1,),)=0,#N/A,VLOOKUP(A48,'DB Country PMI'!$A:$AZ,MATCH($A$1,'DB Country PMI'!$A$1:$AZ$1,),))</f>
        <v/>
      </c>
      <c r="C48" s="24">
        <f>Table1346[[#This Row],[PMI]]-B47</f>
        <v/>
      </c>
    </row>
    <row r="49">
      <c r="A49" s="10" t="n">
        <v>37834</v>
      </c>
      <c r="B49" s="18">
        <f>IF(VLOOKUP(A49,'DB Country PMI'!$A:$AZ,MATCH($A$1,'DB Country PMI'!$A$1:$AZ$1,),)=0,#N/A,VLOOKUP(A49,'DB Country PMI'!$A:$AZ,MATCH($A$1,'DB Country PMI'!$A$1:$AZ$1,),))</f>
        <v/>
      </c>
      <c r="C49" s="24">
        <f>Table1346[[#This Row],[PMI]]-B48</f>
        <v/>
      </c>
    </row>
    <row r="50">
      <c r="A50" s="10" t="n">
        <v>37865</v>
      </c>
      <c r="B50" s="18">
        <f>IF(VLOOKUP(A50,'DB Country PMI'!$A:$AZ,MATCH($A$1,'DB Country PMI'!$A$1:$AZ$1,),)=0,#N/A,VLOOKUP(A50,'DB Country PMI'!$A:$AZ,MATCH($A$1,'DB Country PMI'!$A$1:$AZ$1,),))</f>
        <v/>
      </c>
      <c r="C50" s="24">
        <f>Table1346[[#This Row],[PMI]]-B49</f>
        <v/>
      </c>
    </row>
    <row r="51">
      <c r="A51" s="10" t="n">
        <v>37895</v>
      </c>
      <c r="B51" s="18">
        <f>IF(VLOOKUP(A51,'DB Country PMI'!$A:$AZ,MATCH($A$1,'DB Country PMI'!$A$1:$AZ$1,),)=0,#N/A,VLOOKUP(A51,'DB Country PMI'!$A:$AZ,MATCH($A$1,'DB Country PMI'!$A$1:$AZ$1,),))</f>
        <v/>
      </c>
      <c r="C51" s="24">
        <f>Table1346[[#This Row],[PMI]]-B50</f>
        <v/>
      </c>
    </row>
    <row r="52">
      <c r="A52" s="10" t="n">
        <v>37926</v>
      </c>
      <c r="B52" s="18">
        <f>IF(VLOOKUP(A52,'DB Country PMI'!$A:$AZ,MATCH($A$1,'DB Country PMI'!$A$1:$AZ$1,),)=0,#N/A,VLOOKUP(A52,'DB Country PMI'!$A:$AZ,MATCH($A$1,'DB Country PMI'!$A$1:$AZ$1,),))</f>
        <v/>
      </c>
      <c r="C52" s="24">
        <f>Table1346[[#This Row],[PMI]]-B51</f>
        <v/>
      </c>
    </row>
    <row r="53">
      <c r="A53" s="10" t="n">
        <v>37956</v>
      </c>
      <c r="B53" s="18">
        <f>IF(VLOOKUP(A53,'DB Country PMI'!$A:$AZ,MATCH($A$1,'DB Country PMI'!$A$1:$AZ$1,),)=0,#N/A,VLOOKUP(A53,'DB Country PMI'!$A:$AZ,MATCH($A$1,'DB Country PMI'!$A$1:$AZ$1,),))</f>
        <v/>
      </c>
      <c r="C53" s="24">
        <f>Table1346[[#This Row],[PMI]]-B52</f>
        <v/>
      </c>
    </row>
    <row r="54">
      <c r="A54" s="10" t="n">
        <v>37987</v>
      </c>
      <c r="B54" s="18">
        <f>IF(VLOOKUP(A54,'DB Country PMI'!$A:$AZ,MATCH($A$1,'DB Country PMI'!$A$1:$AZ$1,),)=0,#N/A,VLOOKUP(A54,'DB Country PMI'!$A:$AZ,MATCH($A$1,'DB Country PMI'!$A$1:$AZ$1,),))</f>
        <v/>
      </c>
      <c r="C54" s="24">
        <f>Table1346[[#This Row],[PMI]]-B53</f>
        <v/>
      </c>
    </row>
    <row r="55">
      <c r="A55" s="10" t="n">
        <v>38018</v>
      </c>
      <c r="B55" s="18">
        <f>IF(VLOOKUP(A55,'DB Country PMI'!$A:$AZ,MATCH($A$1,'DB Country PMI'!$A$1:$AZ$1,),)=0,#N/A,VLOOKUP(A55,'DB Country PMI'!$A:$AZ,MATCH($A$1,'DB Country PMI'!$A$1:$AZ$1,),))</f>
        <v/>
      </c>
      <c r="C55" s="24">
        <f>Table1346[[#This Row],[PMI]]-B54</f>
        <v/>
      </c>
    </row>
    <row r="56">
      <c r="A56" s="10" t="n">
        <v>38047</v>
      </c>
      <c r="B56" s="18">
        <f>IF(VLOOKUP(A56,'DB Country PMI'!$A:$AZ,MATCH($A$1,'DB Country PMI'!$A$1:$AZ$1,),)=0,#N/A,VLOOKUP(A56,'DB Country PMI'!$A:$AZ,MATCH($A$1,'DB Country PMI'!$A$1:$AZ$1,),))</f>
        <v/>
      </c>
      <c r="C56" s="24">
        <f>Table1346[[#This Row],[PMI]]-B55</f>
        <v/>
      </c>
    </row>
    <row r="57">
      <c r="A57" s="10" t="n">
        <v>38078</v>
      </c>
      <c r="B57" s="18">
        <f>IF(VLOOKUP(A57,'DB Country PMI'!$A:$AZ,MATCH($A$1,'DB Country PMI'!$A$1:$AZ$1,),)=0,#N/A,VLOOKUP(A57,'DB Country PMI'!$A:$AZ,MATCH($A$1,'DB Country PMI'!$A$1:$AZ$1,),))</f>
        <v/>
      </c>
      <c r="C57" s="24">
        <f>Table1346[[#This Row],[PMI]]-B56</f>
        <v/>
      </c>
    </row>
    <row r="58">
      <c r="A58" s="10" t="n">
        <v>38108</v>
      </c>
      <c r="B58" s="18">
        <f>IF(VLOOKUP(A58,'DB Country PMI'!$A:$AZ,MATCH($A$1,'DB Country PMI'!$A$1:$AZ$1,),)=0,#N/A,VLOOKUP(A58,'DB Country PMI'!$A:$AZ,MATCH($A$1,'DB Country PMI'!$A$1:$AZ$1,),))</f>
        <v/>
      </c>
      <c r="C58" s="24">
        <f>Table1346[[#This Row],[PMI]]-B57</f>
        <v/>
      </c>
    </row>
    <row r="59">
      <c r="A59" s="10" t="n">
        <v>38139</v>
      </c>
      <c r="B59" s="18">
        <f>IF(VLOOKUP(A59,'DB Country PMI'!$A:$AZ,MATCH($A$1,'DB Country PMI'!$A$1:$AZ$1,),)=0,#N/A,VLOOKUP(A59,'DB Country PMI'!$A:$AZ,MATCH($A$1,'DB Country PMI'!$A$1:$AZ$1,),))</f>
        <v/>
      </c>
      <c r="C59" s="24">
        <f>Table1346[[#This Row],[PMI]]-B58</f>
        <v/>
      </c>
    </row>
    <row r="60">
      <c r="A60" s="10" t="n">
        <v>38169</v>
      </c>
      <c r="B60" s="18">
        <f>IF(VLOOKUP(A60,'DB Country PMI'!$A:$AZ,MATCH($A$1,'DB Country PMI'!$A$1:$AZ$1,),)=0,#N/A,VLOOKUP(A60,'DB Country PMI'!$A:$AZ,MATCH($A$1,'DB Country PMI'!$A$1:$AZ$1,),))</f>
        <v/>
      </c>
      <c r="C60" s="24">
        <f>Table1346[[#This Row],[PMI]]-B59</f>
        <v/>
      </c>
    </row>
    <row r="61">
      <c r="A61" s="10" t="n">
        <v>38200</v>
      </c>
      <c r="B61" s="18">
        <f>IF(VLOOKUP(A61,'DB Country PMI'!$A:$AZ,MATCH($A$1,'DB Country PMI'!$A$1:$AZ$1,),)=0,#N/A,VLOOKUP(A61,'DB Country PMI'!$A:$AZ,MATCH($A$1,'DB Country PMI'!$A$1:$AZ$1,),))</f>
        <v/>
      </c>
      <c r="C61" s="24">
        <f>Table1346[[#This Row],[PMI]]-B60</f>
        <v/>
      </c>
    </row>
    <row r="62">
      <c r="A62" s="10" t="n">
        <v>38231</v>
      </c>
      <c r="B62" s="18">
        <f>IF(VLOOKUP(A62,'DB Country PMI'!$A:$AZ,MATCH($A$1,'DB Country PMI'!$A$1:$AZ$1,),)=0,#N/A,VLOOKUP(A62,'DB Country PMI'!$A:$AZ,MATCH($A$1,'DB Country PMI'!$A$1:$AZ$1,),))</f>
        <v/>
      </c>
      <c r="C62" s="24">
        <f>Table1346[[#This Row],[PMI]]-B61</f>
        <v/>
      </c>
    </row>
    <row r="63">
      <c r="A63" s="10" t="n">
        <v>38261</v>
      </c>
      <c r="B63" s="18">
        <f>IF(VLOOKUP(A63,'DB Country PMI'!$A:$AZ,MATCH($A$1,'DB Country PMI'!$A$1:$AZ$1,),)=0,#N/A,VLOOKUP(A63,'DB Country PMI'!$A:$AZ,MATCH($A$1,'DB Country PMI'!$A$1:$AZ$1,),))</f>
        <v/>
      </c>
      <c r="C63" s="24">
        <f>Table1346[[#This Row],[PMI]]-B62</f>
        <v/>
      </c>
    </row>
    <row r="64">
      <c r="A64" s="10" t="n">
        <v>38292</v>
      </c>
      <c r="B64" s="18">
        <f>IF(VLOOKUP(A64,'DB Country PMI'!$A:$AZ,MATCH($A$1,'DB Country PMI'!$A$1:$AZ$1,),)=0,#N/A,VLOOKUP(A64,'DB Country PMI'!$A:$AZ,MATCH($A$1,'DB Country PMI'!$A$1:$AZ$1,),))</f>
        <v/>
      </c>
      <c r="C64" s="24">
        <f>Table1346[[#This Row],[PMI]]-B63</f>
        <v/>
      </c>
    </row>
    <row r="65">
      <c r="A65" s="10" t="n">
        <v>38322</v>
      </c>
      <c r="B65" s="18">
        <f>IF(VLOOKUP(A65,'DB Country PMI'!$A:$AZ,MATCH($A$1,'DB Country PMI'!$A$1:$AZ$1,),)=0,#N/A,VLOOKUP(A65,'DB Country PMI'!$A:$AZ,MATCH($A$1,'DB Country PMI'!$A$1:$AZ$1,),))</f>
        <v/>
      </c>
      <c r="C65" s="24">
        <f>Table1346[[#This Row],[PMI]]-B64</f>
        <v/>
      </c>
    </row>
    <row r="66">
      <c r="A66" s="10" t="n">
        <v>38353</v>
      </c>
      <c r="B66" s="18">
        <f>IF(VLOOKUP(A66,'DB Country PMI'!$A:$AZ,MATCH($A$1,'DB Country PMI'!$A$1:$AZ$1,),)=0,#N/A,VLOOKUP(A66,'DB Country PMI'!$A:$AZ,MATCH($A$1,'DB Country PMI'!$A$1:$AZ$1,),))</f>
        <v/>
      </c>
      <c r="C66" s="24">
        <f>Table1346[[#This Row],[PMI]]-B65</f>
        <v/>
      </c>
    </row>
    <row r="67">
      <c r="A67" s="10" t="n">
        <v>38384</v>
      </c>
      <c r="B67" s="18">
        <f>IF(VLOOKUP(A67,'DB Country PMI'!$A:$AZ,MATCH($A$1,'DB Country PMI'!$A$1:$AZ$1,),)=0,#N/A,VLOOKUP(A67,'DB Country PMI'!$A:$AZ,MATCH($A$1,'DB Country PMI'!$A$1:$AZ$1,),))</f>
        <v/>
      </c>
      <c r="C67" s="24">
        <f>Table1346[[#This Row],[PMI]]-B66</f>
        <v/>
      </c>
    </row>
    <row r="68">
      <c r="A68" s="10" t="n">
        <v>38412</v>
      </c>
      <c r="B68" s="18">
        <f>IF(VLOOKUP(A68,'DB Country PMI'!$A:$AZ,MATCH($A$1,'DB Country PMI'!$A$1:$AZ$1,),)=0,#N/A,VLOOKUP(A68,'DB Country PMI'!$A:$AZ,MATCH($A$1,'DB Country PMI'!$A$1:$AZ$1,),))</f>
        <v/>
      </c>
      <c r="C68" s="24">
        <f>Table1346[[#This Row],[PMI]]-B67</f>
        <v/>
      </c>
    </row>
    <row r="69">
      <c r="A69" s="10" t="n">
        <v>38443</v>
      </c>
      <c r="B69" s="18">
        <f>IF(VLOOKUP(A69,'DB Country PMI'!$A:$AZ,MATCH($A$1,'DB Country PMI'!$A$1:$AZ$1,),)=0,#N/A,VLOOKUP(A69,'DB Country PMI'!$A:$AZ,MATCH($A$1,'DB Country PMI'!$A$1:$AZ$1,),))</f>
        <v/>
      </c>
      <c r="C69" s="24">
        <f>Table1346[[#This Row],[PMI]]-B68</f>
        <v/>
      </c>
    </row>
    <row r="70">
      <c r="A70" s="10" t="n">
        <v>38473</v>
      </c>
      <c r="B70" s="18">
        <f>IF(VLOOKUP(A70,'DB Country PMI'!$A:$AZ,MATCH($A$1,'DB Country PMI'!$A$1:$AZ$1,),)=0,#N/A,VLOOKUP(A70,'DB Country PMI'!$A:$AZ,MATCH($A$1,'DB Country PMI'!$A$1:$AZ$1,),))</f>
        <v/>
      </c>
      <c r="C70" s="24">
        <f>Table1346[[#This Row],[PMI]]-B69</f>
        <v/>
      </c>
    </row>
    <row r="71">
      <c r="A71" s="10" t="n">
        <v>38504</v>
      </c>
      <c r="B71" s="18">
        <f>IF(VLOOKUP(A71,'DB Country PMI'!$A:$AZ,MATCH($A$1,'DB Country PMI'!$A$1:$AZ$1,),)=0,#N/A,VLOOKUP(A71,'DB Country PMI'!$A:$AZ,MATCH($A$1,'DB Country PMI'!$A$1:$AZ$1,),))</f>
        <v/>
      </c>
      <c r="C71" s="24">
        <f>Table1346[[#This Row],[PMI]]-B70</f>
        <v/>
      </c>
    </row>
    <row r="72">
      <c r="A72" s="10" t="n">
        <v>38534</v>
      </c>
      <c r="B72" s="18">
        <f>IF(VLOOKUP(A72,'DB Country PMI'!$A:$AZ,MATCH($A$1,'DB Country PMI'!$A$1:$AZ$1,),)=0,#N/A,VLOOKUP(A72,'DB Country PMI'!$A:$AZ,MATCH($A$1,'DB Country PMI'!$A$1:$AZ$1,),))</f>
        <v/>
      </c>
      <c r="C72" s="24">
        <f>Table1346[[#This Row],[PMI]]-B71</f>
        <v/>
      </c>
    </row>
    <row r="73">
      <c r="A73" s="10" t="n">
        <v>38565</v>
      </c>
      <c r="B73" s="18">
        <f>IF(VLOOKUP(A73,'DB Country PMI'!$A:$AZ,MATCH($A$1,'DB Country PMI'!$A$1:$AZ$1,),)=0,#N/A,VLOOKUP(A73,'DB Country PMI'!$A:$AZ,MATCH($A$1,'DB Country PMI'!$A$1:$AZ$1,),))</f>
        <v/>
      </c>
      <c r="C73" s="24">
        <f>Table1346[[#This Row],[PMI]]-B72</f>
        <v/>
      </c>
    </row>
    <row r="74">
      <c r="A74" s="10" t="n">
        <v>38596</v>
      </c>
      <c r="B74" s="18">
        <f>IF(VLOOKUP(A74,'DB Country PMI'!$A:$AZ,MATCH($A$1,'DB Country PMI'!$A$1:$AZ$1,),)=0,#N/A,VLOOKUP(A74,'DB Country PMI'!$A:$AZ,MATCH($A$1,'DB Country PMI'!$A$1:$AZ$1,),))</f>
        <v/>
      </c>
      <c r="C74" s="24">
        <f>Table1346[[#This Row],[PMI]]-B73</f>
        <v/>
      </c>
    </row>
    <row r="75">
      <c r="A75" s="10" t="n">
        <v>38626</v>
      </c>
      <c r="B75" s="18">
        <f>IF(VLOOKUP(A75,'DB Country PMI'!$A:$AZ,MATCH($A$1,'DB Country PMI'!$A$1:$AZ$1,),)=0,#N/A,VLOOKUP(A75,'DB Country PMI'!$A:$AZ,MATCH($A$1,'DB Country PMI'!$A$1:$AZ$1,),))</f>
        <v/>
      </c>
      <c r="C75" s="24">
        <f>Table1346[[#This Row],[PMI]]-B74</f>
        <v/>
      </c>
    </row>
    <row r="76">
      <c r="A76" s="10" t="n">
        <v>38657</v>
      </c>
      <c r="B76" s="18">
        <f>IF(VLOOKUP(A76,'DB Country PMI'!$A:$AZ,MATCH($A$1,'DB Country PMI'!$A$1:$AZ$1,),)=0,#N/A,VLOOKUP(A76,'DB Country PMI'!$A:$AZ,MATCH($A$1,'DB Country PMI'!$A$1:$AZ$1,),))</f>
        <v/>
      </c>
      <c r="C76" s="24">
        <f>Table1346[[#This Row],[PMI]]-B75</f>
        <v/>
      </c>
    </row>
    <row r="77">
      <c r="A77" s="10" t="n">
        <v>38687</v>
      </c>
      <c r="B77" s="18">
        <f>IF(VLOOKUP(A77,'DB Country PMI'!$A:$AZ,MATCH($A$1,'DB Country PMI'!$A$1:$AZ$1,),)=0,#N/A,VLOOKUP(A77,'DB Country PMI'!$A:$AZ,MATCH($A$1,'DB Country PMI'!$A$1:$AZ$1,),))</f>
        <v/>
      </c>
      <c r="C77" s="24">
        <f>Table1346[[#This Row],[PMI]]-B76</f>
        <v/>
      </c>
    </row>
    <row r="78">
      <c r="A78" s="10" t="n">
        <v>38718</v>
      </c>
      <c r="B78" s="18">
        <f>IF(VLOOKUP(A78,'DB Country PMI'!$A:$AZ,MATCH($A$1,'DB Country PMI'!$A$1:$AZ$1,),)=0,#N/A,VLOOKUP(A78,'DB Country PMI'!$A:$AZ,MATCH($A$1,'DB Country PMI'!$A$1:$AZ$1,),))</f>
        <v/>
      </c>
      <c r="C78" s="24">
        <f>Table1346[[#This Row],[PMI]]-B77</f>
        <v/>
      </c>
    </row>
    <row r="79">
      <c r="A79" s="10" t="n">
        <v>38749</v>
      </c>
      <c r="B79" s="18">
        <f>IF(VLOOKUP(A79,'DB Country PMI'!$A:$AZ,MATCH($A$1,'DB Country PMI'!$A$1:$AZ$1,),)=0,#N/A,VLOOKUP(A79,'DB Country PMI'!$A:$AZ,MATCH($A$1,'DB Country PMI'!$A$1:$AZ$1,),))</f>
        <v/>
      </c>
      <c r="C79" s="24">
        <f>Table1346[[#This Row],[PMI]]-B78</f>
        <v/>
      </c>
    </row>
    <row r="80">
      <c r="A80" s="10" t="n">
        <v>38777</v>
      </c>
      <c r="B80" s="18">
        <f>IF(VLOOKUP(A80,'DB Country PMI'!$A:$AZ,MATCH($A$1,'DB Country PMI'!$A$1:$AZ$1,),)=0,#N/A,VLOOKUP(A80,'DB Country PMI'!$A:$AZ,MATCH($A$1,'DB Country PMI'!$A$1:$AZ$1,),))</f>
        <v/>
      </c>
      <c r="C80" s="24">
        <f>Table1346[[#This Row],[PMI]]-B79</f>
        <v/>
      </c>
    </row>
    <row r="81">
      <c r="A81" s="10" t="n">
        <v>38808</v>
      </c>
      <c r="B81" s="18">
        <f>IF(VLOOKUP(A81,'DB Country PMI'!$A:$AZ,MATCH($A$1,'DB Country PMI'!$A$1:$AZ$1,),)=0,#N/A,VLOOKUP(A81,'DB Country PMI'!$A:$AZ,MATCH($A$1,'DB Country PMI'!$A$1:$AZ$1,),))</f>
        <v/>
      </c>
      <c r="C81" s="24">
        <f>Table1346[[#This Row],[PMI]]-B80</f>
        <v/>
      </c>
    </row>
    <row r="82">
      <c r="A82" s="10" t="n">
        <v>38838</v>
      </c>
      <c r="B82" s="18">
        <f>IF(VLOOKUP(A82,'DB Country PMI'!$A:$AZ,MATCH($A$1,'DB Country PMI'!$A$1:$AZ$1,),)=0,#N/A,VLOOKUP(A82,'DB Country PMI'!$A:$AZ,MATCH($A$1,'DB Country PMI'!$A$1:$AZ$1,),))</f>
        <v/>
      </c>
      <c r="C82" s="24">
        <f>Table1346[[#This Row],[PMI]]-B81</f>
        <v/>
      </c>
    </row>
    <row r="83">
      <c r="A83" s="10" t="n">
        <v>38869</v>
      </c>
      <c r="B83" s="18">
        <f>IF(VLOOKUP(A83,'DB Country PMI'!$A:$AZ,MATCH($A$1,'DB Country PMI'!$A$1:$AZ$1,),)=0,#N/A,VLOOKUP(A83,'DB Country PMI'!$A:$AZ,MATCH($A$1,'DB Country PMI'!$A$1:$AZ$1,),))</f>
        <v/>
      </c>
      <c r="C83" s="24">
        <f>Table1346[[#This Row],[PMI]]-B82</f>
        <v/>
      </c>
    </row>
    <row r="84">
      <c r="A84" s="10" t="n">
        <v>38899</v>
      </c>
      <c r="B84" s="18">
        <f>IF(VLOOKUP(A84,'DB Country PMI'!$A:$AZ,MATCH($A$1,'DB Country PMI'!$A$1:$AZ$1,),)=0,#N/A,VLOOKUP(A84,'DB Country PMI'!$A:$AZ,MATCH($A$1,'DB Country PMI'!$A$1:$AZ$1,),))</f>
        <v/>
      </c>
      <c r="C84" s="24">
        <f>Table1346[[#This Row],[PMI]]-B83</f>
        <v/>
      </c>
    </row>
    <row r="85">
      <c r="A85" s="10" t="n">
        <v>38930</v>
      </c>
      <c r="B85" s="18">
        <f>IF(VLOOKUP(A85,'DB Country PMI'!$A:$AZ,MATCH($A$1,'DB Country PMI'!$A$1:$AZ$1,),)=0,#N/A,VLOOKUP(A85,'DB Country PMI'!$A:$AZ,MATCH($A$1,'DB Country PMI'!$A$1:$AZ$1,),))</f>
        <v/>
      </c>
      <c r="C85" s="24">
        <f>Table1346[[#This Row],[PMI]]-B84</f>
        <v/>
      </c>
    </row>
    <row r="86">
      <c r="A86" s="10" t="n">
        <v>38961</v>
      </c>
      <c r="B86" s="18">
        <f>IF(VLOOKUP(A86,'DB Country PMI'!$A:$AZ,MATCH($A$1,'DB Country PMI'!$A$1:$AZ$1,),)=0,#N/A,VLOOKUP(A86,'DB Country PMI'!$A:$AZ,MATCH($A$1,'DB Country PMI'!$A$1:$AZ$1,),))</f>
        <v/>
      </c>
      <c r="C86" s="24">
        <f>Table1346[[#This Row],[PMI]]-B85</f>
        <v/>
      </c>
    </row>
    <row r="87">
      <c r="A87" s="10" t="n">
        <v>38991</v>
      </c>
      <c r="B87" s="18">
        <f>IF(VLOOKUP(A87,'DB Country PMI'!$A:$AZ,MATCH($A$1,'DB Country PMI'!$A$1:$AZ$1,),)=0,#N/A,VLOOKUP(A87,'DB Country PMI'!$A:$AZ,MATCH($A$1,'DB Country PMI'!$A$1:$AZ$1,),))</f>
        <v/>
      </c>
      <c r="C87" s="24">
        <f>Table1346[[#This Row],[PMI]]-B86</f>
        <v/>
      </c>
    </row>
    <row r="88">
      <c r="A88" s="10" t="n">
        <v>39022</v>
      </c>
      <c r="B88" s="18">
        <f>IF(VLOOKUP(A88,'DB Country PMI'!$A:$AZ,MATCH($A$1,'DB Country PMI'!$A$1:$AZ$1,),)=0,#N/A,VLOOKUP(A88,'DB Country PMI'!$A:$AZ,MATCH($A$1,'DB Country PMI'!$A$1:$AZ$1,),))</f>
        <v/>
      </c>
      <c r="C88" s="24">
        <f>Table1346[[#This Row],[PMI]]-B87</f>
        <v/>
      </c>
    </row>
    <row r="89">
      <c r="A89" s="10" t="n">
        <v>39052</v>
      </c>
      <c r="B89" s="18">
        <f>IF(VLOOKUP(A89,'DB Country PMI'!$A:$AZ,MATCH($A$1,'DB Country PMI'!$A$1:$AZ$1,),)=0,#N/A,VLOOKUP(A89,'DB Country PMI'!$A:$AZ,MATCH($A$1,'DB Country PMI'!$A$1:$AZ$1,),))</f>
        <v/>
      </c>
      <c r="C89" s="24">
        <f>Table1346[[#This Row],[PMI]]-B88</f>
        <v/>
      </c>
    </row>
    <row r="90">
      <c r="A90" s="10" t="n">
        <v>39083</v>
      </c>
      <c r="B90" s="18">
        <f>IF(VLOOKUP(A90,'DB Country PMI'!$A:$AZ,MATCH($A$1,'DB Country PMI'!$A$1:$AZ$1,),)=0,#N/A,VLOOKUP(A90,'DB Country PMI'!$A:$AZ,MATCH($A$1,'DB Country PMI'!$A$1:$AZ$1,),))</f>
        <v/>
      </c>
      <c r="C90" s="24">
        <f>Table1346[[#This Row],[PMI]]-B89</f>
        <v/>
      </c>
    </row>
    <row r="91">
      <c r="A91" s="10" t="n">
        <v>39114</v>
      </c>
      <c r="B91" s="18">
        <f>IF(VLOOKUP(A91,'DB Country PMI'!$A:$AZ,MATCH($A$1,'DB Country PMI'!$A$1:$AZ$1,),)=0,#N/A,VLOOKUP(A91,'DB Country PMI'!$A:$AZ,MATCH($A$1,'DB Country PMI'!$A$1:$AZ$1,),))</f>
        <v/>
      </c>
      <c r="C91" s="24">
        <f>Table1346[[#This Row],[PMI]]-B90</f>
        <v/>
      </c>
    </row>
    <row r="92">
      <c r="A92" s="10" t="n">
        <v>39142</v>
      </c>
      <c r="B92" s="18">
        <f>IF(VLOOKUP(A92,'DB Country PMI'!$A:$AZ,MATCH($A$1,'DB Country PMI'!$A$1:$AZ$1,),)=0,#N/A,VLOOKUP(A92,'DB Country PMI'!$A:$AZ,MATCH($A$1,'DB Country PMI'!$A$1:$AZ$1,),))</f>
        <v/>
      </c>
      <c r="C92" s="24">
        <f>Table1346[[#This Row],[PMI]]-B91</f>
        <v/>
      </c>
    </row>
    <row r="93">
      <c r="A93" s="10" t="n">
        <v>39173</v>
      </c>
      <c r="B93" s="18">
        <f>IF(VLOOKUP(A93,'DB Country PMI'!$A:$AZ,MATCH($A$1,'DB Country PMI'!$A$1:$AZ$1,),)=0,#N/A,VLOOKUP(A93,'DB Country PMI'!$A:$AZ,MATCH($A$1,'DB Country PMI'!$A$1:$AZ$1,),))</f>
        <v/>
      </c>
      <c r="C93" s="24">
        <f>Table1346[[#This Row],[PMI]]-B92</f>
        <v/>
      </c>
    </row>
    <row r="94">
      <c r="A94" s="10" t="n">
        <v>39203</v>
      </c>
      <c r="B94" s="18">
        <f>IF(VLOOKUP(A94,'DB Country PMI'!$A:$AZ,MATCH($A$1,'DB Country PMI'!$A$1:$AZ$1,),)=0,#N/A,VLOOKUP(A94,'DB Country PMI'!$A:$AZ,MATCH($A$1,'DB Country PMI'!$A$1:$AZ$1,),))</f>
        <v/>
      </c>
      <c r="C94" s="24">
        <f>Table1346[[#This Row],[PMI]]-B93</f>
        <v/>
      </c>
    </row>
    <row r="95">
      <c r="A95" s="10" t="n">
        <v>39234</v>
      </c>
      <c r="B95" s="18">
        <f>IF(VLOOKUP(A95,'DB Country PMI'!$A:$AZ,MATCH($A$1,'DB Country PMI'!$A$1:$AZ$1,),)=0,#N/A,VLOOKUP(A95,'DB Country PMI'!$A:$AZ,MATCH($A$1,'DB Country PMI'!$A$1:$AZ$1,),))</f>
        <v/>
      </c>
      <c r="C95" s="24">
        <f>Table1346[[#This Row],[PMI]]-B94</f>
        <v/>
      </c>
    </row>
    <row r="96">
      <c r="A96" s="10" t="n">
        <v>39264</v>
      </c>
      <c r="B96" s="18">
        <f>IF(VLOOKUP(A96,'DB Country PMI'!$A:$AZ,MATCH($A$1,'DB Country PMI'!$A$1:$AZ$1,),)=0,#N/A,VLOOKUP(A96,'DB Country PMI'!$A:$AZ,MATCH($A$1,'DB Country PMI'!$A$1:$AZ$1,),))</f>
        <v/>
      </c>
      <c r="C96" s="24">
        <f>Table1346[[#This Row],[PMI]]-B95</f>
        <v/>
      </c>
    </row>
    <row r="97">
      <c r="A97" s="10" t="n">
        <v>39295</v>
      </c>
      <c r="B97" s="18">
        <f>IF(VLOOKUP(A97,'DB Country PMI'!$A:$AZ,MATCH($A$1,'DB Country PMI'!$A$1:$AZ$1,),)=0,#N/A,VLOOKUP(A97,'DB Country PMI'!$A:$AZ,MATCH($A$1,'DB Country PMI'!$A$1:$AZ$1,),))</f>
        <v/>
      </c>
      <c r="C97" s="24">
        <f>Table1346[[#This Row],[PMI]]-B96</f>
        <v/>
      </c>
    </row>
    <row r="98">
      <c r="A98" s="10" t="n">
        <v>39326</v>
      </c>
      <c r="B98" s="18">
        <f>IF(VLOOKUP(A98,'DB Country PMI'!$A:$AZ,MATCH($A$1,'DB Country PMI'!$A$1:$AZ$1,),)=0,#N/A,VLOOKUP(A98,'DB Country PMI'!$A:$AZ,MATCH($A$1,'DB Country PMI'!$A$1:$AZ$1,),))</f>
        <v/>
      </c>
      <c r="C98" s="24">
        <f>Table1346[[#This Row],[PMI]]-B97</f>
        <v/>
      </c>
    </row>
    <row r="99">
      <c r="A99" s="10" t="n">
        <v>39356</v>
      </c>
      <c r="B99" s="18">
        <f>IF(VLOOKUP(A99,'DB Country PMI'!$A:$AZ,MATCH($A$1,'DB Country PMI'!$A$1:$AZ$1,),)=0,#N/A,VLOOKUP(A99,'DB Country PMI'!$A:$AZ,MATCH($A$1,'DB Country PMI'!$A$1:$AZ$1,),))</f>
        <v/>
      </c>
      <c r="C99" s="24">
        <f>Table1346[[#This Row],[PMI]]-B98</f>
        <v/>
      </c>
    </row>
    <row r="100">
      <c r="A100" s="10" t="n">
        <v>39387</v>
      </c>
      <c r="B100" s="18">
        <f>IF(VLOOKUP(A100,'DB Country PMI'!$A:$AZ,MATCH($A$1,'DB Country PMI'!$A$1:$AZ$1,),)=0,#N/A,VLOOKUP(A100,'DB Country PMI'!$A:$AZ,MATCH($A$1,'DB Country PMI'!$A$1:$AZ$1,),))</f>
        <v/>
      </c>
      <c r="C100" s="24">
        <f>Table1346[[#This Row],[PMI]]-B99</f>
        <v/>
      </c>
    </row>
    <row r="101">
      <c r="A101" s="10" t="n">
        <v>39417</v>
      </c>
      <c r="B101" s="18">
        <f>IF(VLOOKUP(A101,'DB Country PMI'!$A:$AZ,MATCH($A$1,'DB Country PMI'!$A$1:$AZ$1,),)=0,#N/A,VLOOKUP(A101,'DB Country PMI'!$A:$AZ,MATCH($A$1,'DB Country PMI'!$A$1:$AZ$1,),))</f>
        <v/>
      </c>
      <c r="C101" s="24">
        <f>Table1346[[#This Row],[PMI]]-B100</f>
        <v/>
      </c>
    </row>
    <row r="102">
      <c r="A102" s="10" t="n">
        <v>39448</v>
      </c>
      <c r="B102" s="18">
        <f>IF(VLOOKUP(A102,'DB Country PMI'!$A:$AZ,MATCH($A$1,'DB Country PMI'!$A$1:$AZ$1,),)=0,#N/A,VLOOKUP(A102,'DB Country PMI'!$A:$AZ,MATCH($A$1,'DB Country PMI'!$A$1:$AZ$1,),))</f>
        <v/>
      </c>
      <c r="C102" s="24">
        <f>Table1346[[#This Row],[PMI]]-B101</f>
        <v/>
      </c>
    </row>
    <row r="103">
      <c r="A103" s="10" t="n">
        <v>39479</v>
      </c>
      <c r="B103" s="18">
        <f>IF(VLOOKUP(A103,'DB Country PMI'!$A:$AZ,MATCH($A$1,'DB Country PMI'!$A$1:$AZ$1,),)=0,#N/A,VLOOKUP(A103,'DB Country PMI'!$A:$AZ,MATCH($A$1,'DB Country PMI'!$A$1:$AZ$1,),))</f>
        <v/>
      </c>
      <c r="C103" s="24">
        <f>Table1346[[#This Row],[PMI]]-B102</f>
        <v/>
      </c>
    </row>
    <row r="104">
      <c r="A104" s="10" t="n">
        <v>39508</v>
      </c>
      <c r="B104" s="18">
        <f>IF(VLOOKUP(A104,'DB Country PMI'!$A:$AZ,MATCH($A$1,'DB Country PMI'!$A$1:$AZ$1,),)=0,#N/A,VLOOKUP(A104,'DB Country PMI'!$A:$AZ,MATCH($A$1,'DB Country PMI'!$A$1:$AZ$1,),))</f>
        <v/>
      </c>
      <c r="C104" s="24">
        <f>Table1346[[#This Row],[PMI]]-B103</f>
        <v/>
      </c>
    </row>
    <row r="105">
      <c r="A105" s="10" t="n">
        <v>39539</v>
      </c>
      <c r="B105" s="18">
        <f>IF(VLOOKUP(A105,'DB Country PMI'!$A:$AZ,MATCH($A$1,'DB Country PMI'!$A$1:$AZ$1,),)=0,#N/A,VLOOKUP(A105,'DB Country PMI'!$A:$AZ,MATCH($A$1,'DB Country PMI'!$A$1:$AZ$1,),))</f>
        <v/>
      </c>
      <c r="C105" s="24">
        <f>Table1346[[#This Row],[PMI]]-B104</f>
        <v/>
      </c>
    </row>
    <row r="106">
      <c r="A106" s="10" t="n">
        <v>39569</v>
      </c>
      <c r="B106" s="18">
        <f>IF(VLOOKUP(A106,'DB Country PMI'!$A:$AZ,MATCH($A$1,'DB Country PMI'!$A$1:$AZ$1,),)=0,#N/A,VLOOKUP(A106,'DB Country PMI'!$A:$AZ,MATCH($A$1,'DB Country PMI'!$A$1:$AZ$1,),))</f>
        <v/>
      </c>
      <c r="C106" s="24">
        <f>Table1346[[#This Row],[PMI]]-B105</f>
        <v/>
      </c>
    </row>
    <row r="107">
      <c r="A107" s="10" t="n">
        <v>39600</v>
      </c>
      <c r="B107" s="18">
        <f>IF(VLOOKUP(A107,'DB Country PMI'!$A:$AZ,MATCH($A$1,'DB Country PMI'!$A$1:$AZ$1,),)=0,#N/A,VLOOKUP(A107,'DB Country PMI'!$A:$AZ,MATCH($A$1,'DB Country PMI'!$A$1:$AZ$1,),))</f>
        <v/>
      </c>
      <c r="C107" s="24">
        <f>Table1346[[#This Row],[PMI]]-B106</f>
        <v/>
      </c>
    </row>
    <row r="108">
      <c r="A108" s="10" t="n">
        <v>39630</v>
      </c>
      <c r="B108" s="18">
        <f>IF(VLOOKUP(A108,'DB Country PMI'!$A:$AZ,MATCH($A$1,'DB Country PMI'!$A$1:$AZ$1,),)=0,#N/A,VLOOKUP(A108,'DB Country PMI'!$A:$AZ,MATCH($A$1,'DB Country PMI'!$A$1:$AZ$1,),))</f>
        <v/>
      </c>
      <c r="C108" s="24">
        <f>Table1346[[#This Row],[PMI]]-B107</f>
        <v/>
      </c>
    </row>
    <row r="109">
      <c r="A109" s="10" t="n">
        <v>39661</v>
      </c>
      <c r="B109" s="18">
        <f>IF(VLOOKUP(A109,'DB Country PMI'!$A:$AZ,MATCH($A$1,'DB Country PMI'!$A$1:$AZ$1,),)=0,#N/A,VLOOKUP(A109,'DB Country PMI'!$A:$AZ,MATCH($A$1,'DB Country PMI'!$A$1:$AZ$1,),))</f>
        <v/>
      </c>
      <c r="C109" s="24">
        <f>Table1346[[#This Row],[PMI]]-B108</f>
        <v/>
      </c>
    </row>
    <row r="110">
      <c r="A110" s="10" t="n">
        <v>39692</v>
      </c>
      <c r="B110" s="18">
        <f>IF(VLOOKUP(A110,'DB Country PMI'!$A:$AZ,MATCH($A$1,'DB Country PMI'!$A$1:$AZ$1,),)=0,#N/A,VLOOKUP(A110,'DB Country PMI'!$A:$AZ,MATCH($A$1,'DB Country PMI'!$A$1:$AZ$1,),))</f>
        <v/>
      </c>
      <c r="C110" s="24">
        <f>Table1346[[#This Row],[PMI]]-B109</f>
        <v/>
      </c>
    </row>
    <row r="111">
      <c r="A111" s="10" t="n">
        <v>39722</v>
      </c>
      <c r="B111" s="18">
        <f>IF(VLOOKUP(A111,'DB Country PMI'!$A:$AZ,MATCH($A$1,'DB Country PMI'!$A$1:$AZ$1,),)=0,#N/A,VLOOKUP(A111,'DB Country PMI'!$A:$AZ,MATCH($A$1,'DB Country PMI'!$A$1:$AZ$1,),))</f>
        <v/>
      </c>
      <c r="C111" s="24">
        <f>Table1346[[#This Row],[PMI]]-B110</f>
        <v/>
      </c>
    </row>
    <row r="112">
      <c r="A112" s="10" t="n">
        <v>39753</v>
      </c>
      <c r="B112" s="18">
        <f>IF(VLOOKUP(A112,'DB Country PMI'!$A:$AZ,MATCH($A$1,'DB Country PMI'!$A$1:$AZ$1,),)=0,#N/A,VLOOKUP(A112,'DB Country PMI'!$A:$AZ,MATCH($A$1,'DB Country PMI'!$A$1:$AZ$1,),))</f>
        <v/>
      </c>
      <c r="C112" s="24">
        <f>Table1346[[#This Row],[PMI]]-B111</f>
        <v/>
      </c>
    </row>
    <row r="113">
      <c r="A113" s="10" t="n">
        <v>39783</v>
      </c>
      <c r="B113" s="18">
        <f>IF(VLOOKUP(A113,'DB Country PMI'!$A:$AZ,MATCH($A$1,'DB Country PMI'!$A$1:$AZ$1,),)=0,#N/A,VLOOKUP(A113,'DB Country PMI'!$A:$AZ,MATCH($A$1,'DB Country PMI'!$A$1:$AZ$1,),))</f>
        <v/>
      </c>
      <c r="C113" s="24">
        <f>Table1346[[#This Row],[PMI]]-B112</f>
        <v/>
      </c>
    </row>
    <row r="114">
      <c r="A114" s="10" t="n">
        <v>39814</v>
      </c>
      <c r="B114" s="18">
        <f>IF(VLOOKUP(A114,'DB Country PMI'!$A:$AZ,MATCH($A$1,'DB Country PMI'!$A$1:$AZ$1,),)=0,#N/A,VLOOKUP(A114,'DB Country PMI'!$A:$AZ,MATCH($A$1,'DB Country PMI'!$A$1:$AZ$1,),))</f>
        <v/>
      </c>
      <c r="C114" s="24">
        <f>Table1346[[#This Row],[PMI]]-B113</f>
        <v/>
      </c>
    </row>
    <row r="115">
      <c r="A115" s="10" t="n">
        <v>39845</v>
      </c>
      <c r="B115" s="18">
        <f>IF(VLOOKUP(A115,'DB Country PMI'!$A:$AZ,MATCH($A$1,'DB Country PMI'!$A$1:$AZ$1,),)=0,#N/A,VLOOKUP(A115,'DB Country PMI'!$A:$AZ,MATCH($A$1,'DB Country PMI'!$A$1:$AZ$1,),))</f>
        <v/>
      </c>
      <c r="C115" s="24">
        <f>Table1346[[#This Row],[PMI]]-B114</f>
        <v/>
      </c>
    </row>
    <row r="116">
      <c r="A116" s="10" t="n">
        <v>39873</v>
      </c>
      <c r="B116" s="18">
        <f>IF(VLOOKUP(A116,'DB Country PMI'!$A:$AZ,MATCH($A$1,'DB Country PMI'!$A$1:$AZ$1,),)=0,#N/A,VLOOKUP(A116,'DB Country PMI'!$A:$AZ,MATCH($A$1,'DB Country PMI'!$A$1:$AZ$1,),))</f>
        <v/>
      </c>
      <c r="C116" s="24">
        <f>Table1346[[#This Row],[PMI]]-B115</f>
        <v/>
      </c>
    </row>
    <row r="117">
      <c r="A117" s="10" t="n">
        <v>39904</v>
      </c>
      <c r="B117" s="18">
        <f>IF(VLOOKUP(A117,'DB Country PMI'!$A:$AZ,MATCH($A$1,'DB Country PMI'!$A$1:$AZ$1,),)=0,#N/A,VLOOKUP(A117,'DB Country PMI'!$A:$AZ,MATCH($A$1,'DB Country PMI'!$A$1:$AZ$1,),))</f>
        <v/>
      </c>
      <c r="C117" s="24">
        <f>Table1346[[#This Row],[PMI]]-B116</f>
        <v/>
      </c>
    </row>
    <row r="118">
      <c r="A118" s="10" t="n">
        <v>39934</v>
      </c>
      <c r="B118" s="18">
        <f>IF(VLOOKUP(A118,'DB Country PMI'!$A:$AZ,MATCH($A$1,'DB Country PMI'!$A$1:$AZ$1,),)=0,#N/A,VLOOKUP(A118,'DB Country PMI'!$A:$AZ,MATCH($A$1,'DB Country PMI'!$A$1:$AZ$1,),))</f>
        <v/>
      </c>
      <c r="C118" s="24">
        <f>Table1346[[#This Row],[PMI]]-B117</f>
        <v/>
      </c>
    </row>
    <row r="119">
      <c r="A119" s="10" t="n">
        <v>39965</v>
      </c>
      <c r="B119" s="18">
        <f>IF(VLOOKUP(A119,'DB Country PMI'!$A:$AZ,MATCH($A$1,'DB Country PMI'!$A$1:$AZ$1,),)=0,#N/A,VLOOKUP(A119,'DB Country PMI'!$A:$AZ,MATCH($A$1,'DB Country PMI'!$A$1:$AZ$1,),))</f>
        <v/>
      </c>
      <c r="C119" s="24">
        <f>Table1346[[#This Row],[PMI]]-B118</f>
        <v/>
      </c>
    </row>
    <row r="120">
      <c r="A120" s="10" t="n">
        <v>39995</v>
      </c>
      <c r="B120" s="18">
        <f>IF(VLOOKUP(A120,'DB Country PMI'!$A:$AZ,MATCH($A$1,'DB Country PMI'!$A$1:$AZ$1,),)=0,#N/A,VLOOKUP(A120,'DB Country PMI'!$A:$AZ,MATCH($A$1,'DB Country PMI'!$A$1:$AZ$1,),))</f>
        <v/>
      </c>
      <c r="C120" s="24">
        <f>Table1346[[#This Row],[PMI]]-B119</f>
        <v/>
      </c>
    </row>
    <row r="121">
      <c r="A121" s="10" t="n">
        <v>40026</v>
      </c>
      <c r="B121" s="18">
        <f>IF(VLOOKUP(A121,'DB Country PMI'!$A:$AZ,MATCH($A$1,'DB Country PMI'!$A$1:$AZ$1,),)=0,#N/A,VLOOKUP(A121,'DB Country PMI'!$A:$AZ,MATCH($A$1,'DB Country PMI'!$A$1:$AZ$1,),))</f>
        <v/>
      </c>
      <c r="C121" s="24">
        <f>Table1346[[#This Row],[PMI]]-B120</f>
        <v/>
      </c>
    </row>
    <row r="122">
      <c r="A122" s="10" t="n">
        <v>40057</v>
      </c>
      <c r="B122" s="18">
        <f>IF(VLOOKUP(A122,'DB Country PMI'!$A:$AZ,MATCH($A$1,'DB Country PMI'!$A$1:$AZ$1,),)=0,#N/A,VLOOKUP(A122,'DB Country PMI'!$A:$AZ,MATCH($A$1,'DB Country PMI'!$A$1:$AZ$1,),))</f>
        <v/>
      </c>
      <c r="C122" s="24">
        <f>Table1346[[#This Row],[PMI]]-B121</f>
        <v/>
      </c>
    </row>
    <row r="123">
      <c r="A123" s="10" t="n">
        <v>40087</v>
      </c>
      <c r="B123" s="18">
        <f>IF(VLOOKUP(A123,'DB Country PMI'!$A:$AZ,MATCH($A$1,'DB Country PMI'!$A$1:$AZ$1,),)=0,#N/A,VLOOKUP(A123,'DB Country PMI'!$A:$AZ,MATCH($A$1,'DB Country PMI'!$A$1:$AZ$1,),))</f>
        <v/>
      </c>
      <c r="C123" s="24">
        <f>Table1346[[#This Row],[PMI]]-B122</f>
        <v/>
      </c>
    </row>
    <row r="124">
      <c r="A124" s="10" t="n">
        <v>40118</v>
      </c>
      <c r="B124" s="18">
        <f>IF(VLOOKUP(A124,'DB Country PMI'!$A:$AZ,MATCH($A$1,'DB Country PMI'!$A$1:$AZ$1,),)=0,#N/A,VLOOKUP(A124,'DB Country PMI'!$A:$AZ,MATCH($A$1,'DB Country PMI'!$A$1:$AZ$1,),))</f>
        <v/>
      </c>
      <c r="C124" s="24">
        <f>Table1346[[#This Row],[PMI]]-B123</f>
        <v/>
      </c>
    </row>
    <row r="125">
      <c r="A125" s="10" t="n">
        <v>40148</v>
      </c>
      <c r="B125" s="18">
        <f>IF(VLOOKUP(A125,'DB Country PMI'!$A:$AZ,MATCH($A$1,'DB Country PMI'!$A$1:$AZ$1,),)=0,#N/A,VLOOKUP(A125,'DB Country PMI'!$A:$AZ,MATCH($A$1,'DB Country PMI'!$A$1:$AZ$1,),))</f>
        <v/>
      </c>
      <c r="C125" s="24">
        <f>Table1346[[#This Row],[PMI]]-B124</f>
        <v/>
      </c>
    </row>
    <row r="126">
      <c r="A126" s="10" t="n">
        <v>40179</v>
      </c>
      <c r="B126" s="18">
        <f>IF(VLOOKUP(A126,'DB Country PMI'!$A:$AZ,MATCH($A$1,'DB Country PMI'!$A$1:$AZ$1,),)=0,#N/A,VLOOKUP(A126,'DB Country PMI'!$A:$AZ,MATCH($A$1,'DB Country PMI'!$A$1:$AZ$1,),))</f>
        <v/>
      </c>
      <c r="C126" s="24">
        <f>Table1346[[#This Row],[PMI]]-B125</f>
        <v/>
      </c>
    </row>
    <row r="127">
      <c r="A127" s="10" t="n">
        <v>40210</v>
      </c>
      <c r="B127" s="18">
        <f>IF(VLOOKUP(A127,'DB Country PMI'!$A:$AZ,MATCH($A$1,'DB Country PMI'!$A$1:$AZ$1,),)=0,#N/A,VLOOKUP(A127,'DB Country PMI'!$A:$AZ,MATCH($A$1,'DB Country PMI'!$A$1:$AZ$1,),))</f>
        <v/>
      </c>
      <c r="C127" s="24">
        <f>Table1346[[#This Row],[PMI]]-B126</f>
        <v/>
      </c>
    </row>
    <row r="128">
      <c r="A128" s="10" t="n">
        <v>40238</v>
      </c>
      <c r="B128" s="18">
        <f>IF(VLOOKUP(A128,'DB Country PMI'!$A:$AZ,MATCH($A$1,'DB Country PMI'!$A$1:$AZ$1,),)=0,#N/A,VLOOKUP(A128,'DB Country PMI'!$A:$AZ,MATCH($A$1,'DB Country PMI'!$A$1:$AZ$1,),))</f>
        <v/>
      </c>
      <c r="C128" s="24">
        <f>Table1346[[#This Row],[PMI]]-B127</f>
        <v/>
      </c>
    </row>
    <row r="129">
      <c r="A129" s="10" t="n">
        <v>40269</v>
      </c>
      <c r="B129" s="18">
        <f>IF(VLOOKUP(A129,'DB Country PMI'!$A:$AZ,MATCH($A$1,'DB Country PMI'!$A$1:$AZ$1,),)=0,#N/A,VLOOKUP(A129,'DB Country PMI'!$A:$AZ,MATCH($A$1,'DB Country PMI'!$A$1:$AZ$1,),))</f>
        <v/>
      </c>
      <c r="C129" s="24">
        <f>Table1346[[#This Row],[PMI]]-B128</f>
        <v/>
      </c>
    </row>
    <row r="130">
      <c r="A130" s="10" t="n">
        <v>40299</v>
      </c>
      <c r="B130" s="18">
        <f>IF(VLOOKUP(A130,'DB Country PMI'!$A:$AZ,MATCH($A$1,'DB Country PMI'!$A$1:$AZ$1,),)=0,#N/A,VLOOKUP(A130,'DB Country PMI'!$A:$AZ,MATCH($A$1,'DB Country PMI'!$A$1:$AZ$1,),))</f>
        <v/>
      </c>
      <c r="C130" s="24">
        <f>Table1346[[#This Row],[PMI]]-B129</f>
        <v/>
      </c>
    </row>
    <row r="131">
      <c r="A131" s="10" t="n">
        <v>40330</v>
      </c>
      <c r="B131" s="18">
        <f>IF(VLOOKUP(A131,'DB Country PMI'!$A:$AZ,MATCH($A$1,'DB Country PMI'!$A$1:$AZ$1,),)=0,#N/A,VLOOKUP(A131,'DB Country PMI'!$A:$AZ,MATCH($A$1,'DB Country PMI'!$A$1:$AZ$1,),))</f>
        <v/>
      </c>
      <c r="C131" s="24">
        <f>Table1346[[#This Row],[PMI]]-B130</f>
        <v/>
      </c>
    </row>
    <row r="132">
      <c r="A132" s="10" t="n">
        <v>40360</v>
      </c>
      <c r="B132" s="18">
        <f>IF(VLOOKUP(A132,'DB Country PMI'!$A:$AZ,MATCH($A$1,'DB Country PMI'!$A$1:$AZ$1,),)=0,#N/A,VLOOKUP(A132,'DB Country PMI'!$A:$AZ,MATCH($A$1,'DB Country PMI'!$A$1:$AZ$1,),))</f>
        <v/>
      </c>
      <c r="C132" s="24">
        <f>Table1346[[#This Row],[PMI]]-B131</f>
        <v/>
      </c>
    </row>
    <row r="133">
      <c r="A133" s="10" t="n">
        <v>40391</v>
      </c>
      <c r="B133" s="18">
        <f>IF(VLOOKUP(A133,'DB Country PMI'!$A:$AZ,MATCH($A$1,'DB Country PMI'!$A$1:$AZ$1,),)=0,#N/A,VLOOKUP(A133,'DB Country PMI'!$A:$AZ,MATCH($A$1,'DB Country PMI'!$A$1:$AZ$1,),))</f>
        <v/>
      </c>
      <c r="C133" s="24">
        <f>Table1346[[#This Row],[PMI]]-B132</f>
        <v/>
      </c>
    </row>
    <row r="134">
      <c r="A134" s="10" t="n">
        <v>40422</v>
      </c>
      <c r="B134" s="18">
        <f>IF(VLOOKUP(A134,'DB Country PMI'!$A:$AZ,MATCH($A$1,'DB Country PMI'!$A$1:$AZ$1,),)=0,#N/A,VLOOKUP(A134,'DB Country PMI'!$A:$AZ,MATCH($A$1,'DB Country PMI'!$A$1:$AZ$1,),))</f>
        <v/>
      </c>
      <c r="C134" s="24">
        <f>Table1346[[#This Row],[PMI]]-B133</f>
        <v/>
      </c>
    </row>
    <row r="135">
      <c r="A135" s="10" t="n">
        <v>40452</v>
      </c>
      <c r="B135" s="18">
        <f>IF(VLOOKUP(A135,'DB Country PMI'!$A:$AZ,MATCH($A$1,'DB Country PMI'!$A$1:$AZ$1,),)=0,#N/A,VLOOKUP(A135,'DB Country PMI'!$A:$AZ,MATCH($A$1,'DB Country PMI'!$A$1:$AZ$1,),))</f>
        <v/>
      </c>
      <c r="C135" s="24">
        <f>Table1346[[#This Row],[PMI]]-B134</f>
        <v/>
      </c>
    </row>
    <row r="136">
      <c r="A136" s="10" t="n">
        <v>40483</v>
      </c>
      <c r="B136" s="18">
        <f>IF(VLOOKUP(A136,'DB Country PMI'!$A:$AZ,MATCH($A$1,'DB Country PMI'!$A$1:$AZ$1,),)=0,#N/A,VLOOKUP(A136,'DB Country PMI'!$A:$AZ,MATCH($A$1,'DB Country PMI'!$A$1:$AZ$1,),))</f>
        <v/>
      </c>
      <c r="C136" s="24">
        <f>Table1346[[#This Row],[PMI]]-B135</f>
        <v/>
      </c>
    </row>
    <row r="137">
      <c r="A137" s="10" t="n">
        <v>40513</v>
      </c>
      <c r="B137" s="18">
        <f>IF(VLOOKUP(A137,'DB Country PMI'!$A:$AZ,MATCH($A$1,'DB Country PMI'!$A$1:$AZ$1,),)=0,#N/A,VLOOKUP(A137,'DB Country PMI'!$A:$AZ,MATCH($A$1,'DB Country PMI'!$A$1:$AZ$1,),))</f>
        <v/>
      </c>
      <c r="C137" s="24">
        <f>Table1346[[#This Row],[PMI]]-B136</f>
        <v/>
      </c>
    </row>
    <row r="138">
      <c r="A138" s="10" t="n">
        <v>40544</v>
      </c>
      <c r="B138" s="18">
        <f>IF(VLOOKUP(A138,'DB Country PMI'!$A:$AZ,MATCH($A$1,'DB Country PMI'!$A$1:$AZ$1,),)=0,#N/A,VLOOKUP(A138,'DB Country PMI'!$A:$AZ,MATCH($A$1,'DB Country PMI'!$A$1:$AZ$1,),))</f>
        <v/>
      </c>
      <c r="C138" s="24">
        <f>Table1346[[#This Row],[PMI]]-B137</f>
        <v/>
      </c>
    </row>
    <row r="139">
      <c r="A139" s="10" t="n">
        <v>40575</v>
      </c>
      <c r="B139" s="18">
        <f>IF(VLOOKUP(A139,'DB Country PMI'!$A:$AZ,MATCH($A$1,'DB Country PMI'!$A$1:$AZ$1,),)=0,#N/A,VLOOKUP(A139,'DB Country PMI'!$A:$AZ,MATCH($A$1,'DB Country PMI'!$A$1:$AZ$1,),))</f>
        <v/>
      </c>
      <c r="C139" s="24">
        <f>Table1346[[#This Row],[PMI]]-B138</f>
        <v/>
      </c>
    </row>
    <row r="140">
      <c r="A140" s="10" t="n">
        <v>40603</v>
      </c>
      <c r="B140" s="18">
        <f>IF(VLOOKUP(A140,'DB Country PMI'!$A:$AZ,MATCH($A$1,'DB Country PMI'!$A$1:$AZ$1,),)=0,#N/A,VLOOKUP(A140,'DB Country PMI'!$A:$AZ,MATCH($A$1,'DB Country PMI'!$A$1:$AZ$1,),))</f>
        <v/>
      </c>
      <c r="C140" s="24">
        <f>Table1346[[#This Row],[PMI]]-B139</f>
        <v/>
      </c>
    </row>
    <row r="141">
      <c r="A141" s="10" t="n">
        <v>40634</v>
      </c>
      <c r="B141" s="18">
        <f>IF(VLOOKUP(A141,'DB Country PMI'!$A:$AZ,MATCH($A$1,'DB Country PMI'!$A$1:$AZ$1,),)=0,#N/A,VLOOKUP(A141,'DB Country PMI'!$A:$AZ,MATCH($A$1,'DB Country PMI'!$A$1:$AZ$1,),))</f>
        <v/>
      </c>
      <c r="C141" s="24">
        <f>Table1346[[#This Row],[PMI]]-B140</f>
        <v/>
      </c>
    </row>
    <row r="142">
      <c r="A142" s="10" t="n">
        <v>40664</v>
      </c>
      <c r="B142" s="18">
        <f>IF(VLOOKUP(A142,'DB Country PMI'!$A:$AZ,MATCH($A$1,'DB Country PMI'!$A$1:$AZ$1,),)=0,#N/A,VLOOKUP(A142,'DB Country PMI'!$A:$AZ,MATCH($A$1,'DB Country PMI'!$A$1:$AZ$1,),))</f>
        <v/>
      </c>
      <c r="C142" s="24">
        <f>Table1346[[#This Row],[PMI]]-B141</f>
        <v/>
      </c>
    </row>
    <row r="143">
      <c r="A143" s="10" t="n">
        <v>40695</v>
      </c>
      <c r="B143" s="18">
        <f>IF(VLOOKUP(A143,'DB Country PMI'!$A:$AZ,MATCH($A$1,'DB Country PMI'!$A$1:$AZ$1,),)=0,#N/A,VLOOKUP(A143,'DB Country PMI'!$A:$AZ,MATCH($A$1,'DB Country PMI'!$A$1:$AZ$1,),))</f>
        <v/>
      </c>
      <c r="C143" s="24">
        <f>Table1346[[#This Row],[PMI]]-B142</f>
        <v/>
      </c>
    </row>
    <row r="144">
      <c r="A144" s="10" t="n">
        <v>40725</v>
      </c>
      <c r="B144" s="18">
        <f>IF(VLOOKUP(A144,'DB Country PMI'!$A:$AZ,MATCH($A$1,'DB Country PMI'!$A$1:$AZ$1,),)=0,#N/A,VLOOKUP(A144,'DB Country PMI'!$A:$AZ,MATCH($A$1,'DB Country PMI'!$A$1:$AZ$1,),))</f>
        <v/>
      </c>
      <c r="C144" s="24">
        <f>Table1346[[#This Row],[PMI]]-B143</f>
        <v/>
      </c>
    </row>
    <row r="145">
      <c r="A145" s="10" t="n">
        <v>40756</v>
      </c>
      <c r="B145" s="18">
        <f>IF(VLOOKUP(A145,'DB Country PMI'!$A:$AZ,MATCH($A$1,'DB Country PMI'!$A$1:$AZ$1,),)=0,#N/A,VLOOKUP(A145,'DB Country PMI'!$A:$AZ,MATCH($A$1,'DB Country PMI'!$A$1:$AZ$1,),))</f>
        <v/>
      </c>
      <c r="C145" s="24">
        <f>Table1346[[#This Row],[PMI]]-B144</f>
        <v/>
      </c>
    </row>
    <row r="146">
      <c r="A146" s="10" t="n">
        <v>40787</v>
      </c>
      <c r="B146" s="18">
        <f>IF(VLOOKUP(A146,'DB Country PMI'!$A:$AZ,MATCH($A$1,'DB Country PMI'!$A$1:$AZ$1,),)=0,#N/A,VLOOKUP(A146,'DB Country PMI'!$A:$AZ,MATCH($A$1,'DB Country PMI'!$A$1:$AZ$1,),))</f>
        <v/>
      </c>
      <c r="C146" s="24">
        <f>Table1346[[#This Row],[PMI]]-B145</f>
        <v/>
      </c>
    </row>
    <row r="147">
      <c r="A147" s="10" t="n">
        <v>40817</v>
      </c>
      <c r="B147" s="18">
        <f>IF(VLOOKUP(A147,'DB Country PMI'!$A:$AZ,MATCH($A$1,'DB Country PMI'!$A$1:$AZ$1,),)=0,#N/A,VLOOKUP(A147,'DB Country PMI'!$A:$AZ,MATCH($A$1,'DB Country PMI'!$A$1:$AZ$1,),))</f>
        <v/>
      </c>
      <c r="C147" s="24">
        <f>Table1346[[#This Row],[PMI]]-B146</f>
        <v/>
      </c>
    </row>
    <row r="148">
      <c r="A148" s="10" t="n">
        <v>40848</v>
      </c>
      <c r="B148" s="18">
        <f>IF(VLOOKUP(A148,'DB Country PMI'!$A:$AZ,MATCH($A$1,'DB Country PMI'!$A$1:$AZ$1,),)=0,#N/A,VLOOKUP(A148,'DB Country PMI'!$A:$AZ,MATCH($A$1,'DB Country PMI'!$A$1:$AZ$1,),))</f>
        <v/>
      </c>
      <c r="C148" s="24">
        <f>Table1346[[#This Row],[PMI]]-B147</f>
        <v/>
      </c>
    </row>
    <row r="149">
      <c r="A149" s="10" t="n">
        <v>40878</v>
      </c>
      <c r="B149" s="18">
        <f>IF(VLOOKUP(A149,'DB Country PMI'!$A:$AZ,MATCH($A$1,'DB Country PMI'!$A$1:$AZ$1,),)=0,#N/A,VLOOKUP(A149,'DB Country PMI'!$A:$AZ,MATCH($A$1,'DB Country PMI'!$A$1:$AZ$1,),))</f>
        <v/>
      </c>
      <c r="C149" s="24">
        <f>Table1346[[#This Row],[PMI]]-B148</f>
        <v/>
      </c>
    </row>
    <row r="150">
      <c r="A150" s="10" t="n">
        <v>40909</v>
      </c>
      <c r="B150" s="18">
        <f>IF(VLOOKUP(A150,'DB Country PMI'!$A:$AZ,MATCH($A$1,'DB Country PMI'!$A$1:$AZ$1,),)=0,#N/A,VLOOKUP(A150,'DB Country PMI'!$A:$AZ,MATCH($A$1,'DB Country PMI'!$A$1:$AZ$1,),))</f>
        <v/>
      </c>
      <c r="C150" s="24">
        <f>Table1346[[#This Row],[PMI]]-B149</f>
        <v/>
      </c>
    </row>
    <row r="151">
      <c r="A151" s="10" t="n">
        <v>40940</v>
      </c>
      <c r="B151" s="18">
        <f>IF(VLOOKUP(A151,'DB Country PMI'!$A:$AZ,MATCH($A$1,'DB Country PMI'!$A$1:$AZ$1,),)=0,#N/A,VLOOKUP(A151,'DB Country PMI'!$A:$AZ,MATCH($A$1,'DB Country PMI'!$A$1:$AZ$1,),))</f>
        <v/>
      </c>
      <c r="C151" s="24">
        <f>Table1346[[#This Row],[PMI]]-B150</f>
        <v/>
      </c>
    </row>
    <row r="152">
      <c r="A152" s="10" t="n">
        <v>40969</v>
      </c>
      <c r="B152" s="18">
        <f>IF(VLOOKUP(A152,'DB Country PMI'!$A:$AZ,MATCH($A$1,'DB Country PMI'!$A$1:$AZ$1,),)=0,#N/A,VLOOKUP(A152,'DB Country PMI'!$A:$AZ,MATCH($A$1,'DB Country PMI'!$A$1:$AZ$1,),))</f>
        <v/>
      </c>
      <c r="C152" s="24">
        <f>Table1346[[#This Row],[PMI]]-B151</f>
        <v/>
      </c>
    </row>
    <row r="153">
      <c r="A153" s="10" t="n">
        <v>41000</v>
      </c>
      <c r="B153" s="18">
        <f>IF(VLOOKUP(A153,'DB Country PMI'!$A:$AZ,MATCH($A$1,'DB Country PMI'!$A$1:$AZ$1,),)=0,#N/A,VLOOKUP(A153,'DB Country PMI'!$A:$AZ,MATCH($A$1,'DB Country PMI'!$A$1:$AZ$1,),))</f>
        <v/>
      </c>
      <c r="C153" s="24">
        <f>Table1346[[#This Row],[PMI]]-B152</f>
        <v/>
      </c>
    </row>
    <row r="154">
      <c r="A154" s="10" t="n">
        <v>41030</v>
      </c>
      <c r="B154" s="18">
        <f>IF(VLOOKUP(A154,'DB Country PMI'!$A:$AZ,MATCH($A$1,'DB Country PMI'!$A$1:$AZ$1,),)=0,#N/A,VLOOKUP(A154,'DB Country PMI'!$A:$AZ,MATCH($A$1,'DB Country PMI'!$A$1:$AZ$1,),))</f>
        <v/>
      </c>
      <c r="C154" s="24">
        <f>Table1346[[#This Row],[PMI]]-B153</f>
        <v/>
      </c>
    </row>
    <row r="155">
      <c r="A155" s="10" t="n">
        <v>41061</v>
      </c>
      <c r="B155" s="18">
        <f>IF(VLOOKUP(A155,'DB Country PMI'!$A:$AZ,MATCH($A$1,'DB Country PMI'!$A$1:$AZ$1,),)=0,#N/A,VLOOKUP(A155,'DB Country PMI'!$A:$AZ,MATCH($A$1,'DB Country PMI'!$A$1:$AZ$1,),))</f>
        <v/>
      </c>
      <c r="C155" s="24">
        <f>Table1346[[#This Row],[PMI]]-B154</f>
        <v/>
      </c>
    </row>
    <row r="156">
      <c r="A156" s="10" t="n">
        <v>41091</v>
      </c>
      <c r="B156" s="18">
        <f>IF(VLOOKUP(A156,'DB Country PMI'!$A:$AZ,MATCH($A$1,'DB Country PMI'!$A$1:$AZ$1,),)=0,#N/A,VLOOKUP(A156,'DB Country PMI'!$A:$AZ,MATCH($A$1,'DB Country PMI'!$A$1:$AZ$1,),))</f>
        <v/>
      </c>
      <c r="C156" s="24">
        <f>Table1346[[#This Row],[PMI]]-B155</f>
        <v/>
      </c>
    </row>
    <row r="157">
      <c r="A157" s="10" t="n">
        <v>41122</v>
      </c>
      <c r="B157" s="18">
        <f>IF(VLOOKUP(A157,'DB Country PMI'!$A:$AZ,MATCH($A$1,'DB Country PMI'!$A$1:$AZ$1,),)=0,#N/A,VLOOKUP(A157,'DB Country PMI'!$A:$AZ,MATCH($A$1,'DB Country PMI'!$A$1:$AZ$1,),))</f>
        <v/>
      </c>
      <c r="C157" s="24">
        <f>Table1346[[#This Row],[PMI]]-B156</f>
        <v/>
      </c>
    </row>
    <row r="158">
      <c r="A158" s="10" t="n">
        <v>41153</v>
      </c>
      <c r="B158" s="18">
        <f>IF(VLOOKUP(A158,'DB Country PMI'!$A:$AZ,MATCH($A$1,'DB Country PMI'!$A$1:$AZ$1,),)=0,#N/A,VLOOKUP(A158,'DB Country PMI'!$A:$AZ,MATCH($A$1,'DB Country PMI'!$A$1:$AZ$1,),))</f>
        <v/>
      </c>
      <c r="C158" s="24">
        <f>Table1346[[#This Row],[PMI]]-B157</f>
        <v/>
      </c>
    </row>
    <row r="159">
      <c r="A159" s="10" t="n">
        <v>41183</v>
      </c>
      <c r="B159" s="18">
        <f>IF(VLOOKUP(A159,'DB Country PMI'!$A:$AZ,MATCH($A$1,'DB Country PMI'!$A$1:$AZ$1,),)=0,#N/A,VLOOKUP(A159,'DB Country PMI'!$A:$AZ,MATCH($A$1,'DB Country PMI'!$A$1:$AZ$1,),))</f>
        <v/>
      </c>
      <c r="C159" s="24">
        <f>Table1346[[#This Row],[PMI]]-B158</f>
        <v/>
      </c>
    </row>
    <row r="160">
      <c r="A160" s="10" t="n">
        <v>41214</v>
      </c>
      <c r="B160" s="18">
        <f>IF(VLOOKUP(A160,'DB Country PMI'!$A:$AZ,MATCH($A$1,'DB Country PMI'!$A$1:$AZ$1,),)=0,#N/A,VLOOKUP(A160,'DB Country PMI'!$A:$AZ,MATCH($A$1,'DB Country PMI'!$A$1:$AZ$1,),))</f>
        <v/>
      </c>
      <c r="C160" s="24">
        <f>Table1346[[#This Row],[PMI]]-B159</f>
        <v/>
      </c>
    </row>
    <row r="161">
      <c r="A161" s="10" t="n">
        <v>41244</v>
      </c>
      <c r="B161" s="18">
        <f>IF(VLOOKUP(A161,'DB Country PMI'!$A:$AZ,MATCH($A$1,'DB Country PMI'!$A$1:$AZ$1,),)=0,#N/A,VLOOKUP(A161,'DB Country PMI'!$A:$AZ,MATCH($A$1,'DB Country PMI'!$A$1:$AZ$1,),))</f>
        <v/>
      </c>
      <c r="C161" s="24">
        <f>Table1346[[#This Row],[PMI]]-B160</f>
        <v/>
      </c>
    </row>
    <row r="162">
      <c r="A162" s="10" t="n">
        <v>41275</v>
      </c>
      <c r="B162" s="18">
        <f>IF(VLOOKUP(A162,'DB Country PMI'!$A:$AZ,MATCH($A$1,'DB Country PMI'!$A$1:$AZ$1,),)=0,#N/A,VLOOKUP(A162,'DB Country PMI'!$A:$AZ,MATCH($A$1,'DB Country PMI'!$A$1:$AZ$1,),))</f>
        <v/>
      </c>
      <c r="C162" s="24">
        <f>Table1346[[#This Row],[PMI]]-B161</f>
        <v/>
      </c>
    </row>
    <row r="163">
      <c r="A163" s="10" t="n">
        <v>41306</v>
      </c>
      <c r="B163" s="18">
        <f>IF(VLOOKUP(A163,'DB Country PMI'!$A:$AZ,MATCH($A$1,'DB Country PMI'!$A$1:$AZ$1,),)=0,#N/A,VLOOKUP(A163,'DB Country PMI'!$A:$AZ,MATCH($A$1,'DB Country PMI'!$A$1:$AZ$1,),))</f>
        <v/>
      </c>
      <c r="C163" s="24">
        <f>Table1346[[#This Row],[PMI]]-B162</f>
        <v/>
      </c>
    </row>
    <row r="164">
      <c r="A164" s="10" t="n">
        <v>41334</v>
      </c>
      <c r="B164" s="18">
        <f>IF(VLOOKUP(A164,'DB Country PMI'!$A:$AZ,MATCH($A$1,'DB Country PMI'!$A$1:$AZ$1,),)=0,#N/A,VLOOKUP(A164,'DB Country PMI'!$A:$AZ,MATCH($A$1,'DB Country PMI'!$A$1:$AZ$1,),))</f>
        <v/>
      </c>
      <c r="C164" s="24">
        <f>Table1346[[#This Row],[PMI]]-B163</f>
        <v/>
      </c>
    </row>
    <row r="165">
      <c r="A165" s="10" t="n">
        <v>41365</v>
      </c>
      <c r="B165" s="18">
        <f>IF(VLOOKUP(A165,'DB Country PMI'!$A:$AZ,MATCH($A$1,'DB Country PMI'!$A$1:$AZ$1,),)=0,#N/A,VLOOKUP(A165,'DB Country PMI'!$A:$AZ,MATCH($A$1,'DB Country PMI'!$A$1:$AZ$1,),))</f>
        <v/>
      </c>
      <c r="C165" s="24">
        <f>Table1346[[#This Row],[PMI]]-B164</f>
        <v/>
      </c>
    </row>
    <row r="166">
      <c r="A166" s="10" t="n">
        <v>41395</v>
      </c>
      <c r="B166" s="18">
        <f>IF(VLOOKUP(A166,'DB Country PMI'!$A:$AZ,MATCH($A$1,'DB Country PMI'!$A$1:$AZ$1,),)=0,#N/A,VLOOKUP(A166,'DB Country PMI'!$A:$AZ,MATCH($A$1,'DB Country PMI'!$A$1:$AZ$1,),))</f>
        <v/>
      </c>
      <c r="C166" s="24">
        <f>Table1346[[#This Row],[PMI]]-B165</f>
        <v/>
      </c>
    </row>
    <row r="167">
      <c r="A167" s="10" t="n">
        <v>41426</v>
      </c>
      <c r="B167" s="18">
        <f>IF(VLOOKUP(A167,'DB Country PMI'!$A:$AZ,MATCH($A$1,'DB Country PMI'!$A$1:$AZ$1,),)=0,#N/A,VLOOKUP(A167,'DB Country PMI'!$A:$AZ,MATCH($A$1,'DB Country PMI'!$A$1:$AZ$1,),))</f>
        <v/>
      </c>
      <c r="C167" s="24">
        <f>Table1346[[#This Row],[PMI]]-B166</f>
        <v/>
      </c>
    </row>
    <row r="168">
      <c r="A168" s="10" t="n">
        <v>41456</v>
      </c>
      <c r="B168" s="18">
        <f>IF(VLOOKUP(A168,'DB Country PMI'!$A:$AZ,MATCH($A$1,'DB Country PMI'!$A$1:$AZ$1,),)=0,#N/A,VLOOKUP(A168,'DB Country PMI'!$A:$AZ,MATCH($A$1,'DB Country PMI'!$A$1:$AZ$1,),))</f>
        <v/>
      </c>
      <c r="C168" s="24">
        <f>Table1346[[#This Row],[PMI]]-B167</f>
        <v/>
      </c>
    </row>
    <row r="169">
      <c r="A169" s="10" t="n">
        <v>41487</v>
      </c>
      <c r="B169" s="18">
        <f>IF(VLOOKUP(A169,'DB Country PMI'!$A:$AZ,MATCH($A$1,'DB Country PMI'!$A$1:$AZ$1,),)=0,#N/A,VLOOKUP(A169,'DB Country PMI'!$A:$AZ,MATCH($A$1,'DB Country PMI'!$A$1:$AZ$1,),))</f>
        <v/>
      </c>
      <c r="C169" s="24">
        <f>Table1346[[#This Row],[PMI]]-B168</f>
        <v/>
      </c>
    </row>
    <row r="170">
      <c r="A170" s="10" t="n">
        <v>41518</v>
      </c>
      <c r="B170" s="18">
        <f>IF(VLOOKUP(A170,'DB Country PMI'!$A:$AZ,MATCH($A$1,'DB Country PMI'!$A$1:$AZ$1,),)=0,#N/A,VLOOKUP(A170,'DB Country PMI'!$A:$AZ,MATCH($A$1,'DB Country PMI'!$A$1:$AZ$1,),))</f>
        <v/>
      </c>
      <c r="C170" s="24">
        <f>Table1346[[#This Row],[PMI]]-B169</f>
        <v/>
      </c>
    </row>
    <row r="171">
      <c r="A171" s="10" t="n">
        <v>41548</v>
      </c>
      <c r="B171" s="18">
        <f>IF(VLOOKUP(A171,'DB Country PMI'!$A:$AZ,MATCH($A$1,'DB Country PMI'!$A$1:$AZ$1,),)=0,#N/A,VLOOKUP(A171,'DB Country PMI'!$A:$AZ,MATCH($A$1,'DB Country PMI'!$A$1:$AZ$1,),))</f>
        <v/>
      </c>
      <c r="C171" s="24">
        <f>Table1346[[#This Row],[PMI]]-B170</f>
        <v/>
      </c>
    </row>
    <row r="172">
      <c r="A172" s="10" t="n">
        <v>41579</v>
      </c>
      <c r="B172" s="18">
        <f>IF(VLOOKUP(A172,'DB Country PMI'!$A:$AZ,MATCH($A$1,'DB Country PMI'!$A$1:$AZ$1,),)=0,#N/A,VLOOKUP(A172,'DB Country PMI'!$A:$AZ,MATCH($A$1,'DB Country PMI'!$A$1:$AZ$1,),))</f>
        <v/>
      </c>
      <c r="C172" s="24">
        <f>Table1346[[#This Row],[PMI]]-B171</f>
        <v/>
      </c>
    </row>
    <row r="173">
      <c r="A173" s="10" t="n">
        <v>41609</v>
      </c>
      <c r="B173" s="18">
        <f>IF(VLOOKUP(A173,'DB Country PMI'!$A:$AZ,MATCH($A$1,'DB Country PMI'!$A$1:$AZ$1,),)=0,#N/A,VLOOKUP(A173,'DB Country PMI'!$A:$AZ,MATCH($A$1,'DB Country PMI'!$A$1:$AZ$1,),))</f>
        <v/>
      </c>
      <c r="C173" s="24">
        <f>Table1346[[#This Row],[PMI]]-B172</f>
        <v/>
      </c>
    </row>
    <row r="174">
      <c r="A174" s="10" t="n">
        <v>41640</v>
      </c>
      <c r="B174" s="18">
        <f>IF(VLOOKUP(A174,'DB Country PMI'!$A:$AZ,MATCH($A$1,'DB Country PMI'!$A$1:$AZ$1,),)=0,#N/A,VLOOKUP(A174,'DB Country PMI'!$A:$AZ,MATCH($A$1,'DB Country PMI'!$A$1:$AZ$1,),))</f>
        <v/>
      </c>
      <c r="C174" s="24">
        <f>Table1346[[#This Row],[PMI]]-B173</f>
        <v/>
      </c>
    </row>
    <row r="175">
      <c r="A175" s="10" t="n">
        <v>41671</v>
      </c>
      <c r="B175" s="18">
        <f>IF(VLOOKUP(A175,'DB Country PMI'!$A:$AZ,MATCH($A$1,'DB Country PMI'!$A$1:$AZ$1,),)=0,#N/A,VLOOKUP(A175,'DB Country PMI'!$A:$AZ,MATCH($A$1,'DB Country PMI'!$A$1:$AZ$1,),))</f>
        <v/>
      </c>
      <c r="C175" s="24">
        <f>Table1346[[#This Row],[PMI]]-B174</f>
        <v/>
      </c>
    </row>
    <row r="176">
      <c r="A176" s="10" t="n">
        <v>41699</v>
      </c>
      <c r="B176" s="18">
        <f>IF(VLOOKUP(A176,'DB Country PMI'!$A:$AZ,MATCH($A$1,'DB Country PMI'!$A$1:$AZ$1,),)=0,#N/A,VLOOKUP(A176,'DB Country PMI'!$A:$AZ,MATCH($A$1,'DB Country PMI'!$A$1:$AZ$1,),))</f>
        <v/>
      </c>
      <c r="C176" s="24">
        <f>Table1346[[#This Row],[PMI]]-B175</f>
        <v/>
      </c>
    </row>
    <row r="177">
      <c r="A177" s="10" t="n">
        <v>41730</v>
      </c>
      <c r="B177" s="18">
        <f>IF(VLOOKUP(A177,'DB Country PMI'!$A:$AZ,MATCH($A$1,'DB Country PMI'!$A$1:$AZ$1,),)=0,#N/A,VLOOKUP(A177,'DB Country PMI'!$A:$AZ,MATCH($A$1,'DB Country PMI'!$A$1:$AZ$1,),))</f>
        <v/>
      </c>
      <c r="C177" s="24">
        <f>Table1346[[#This Row],[PMI]]-B176</f>
        <v/>
      </c>
    </row>
    <row r="178">
      <c r="A178" s="10" t="n">
        <v>41760</v>
      </c>
      <c r="B178" s="18">
        <f>IF(VLOOKUP(A178,'DB Country PMI'!$A:$AZ,MATCH($A$1,'DB Country PMI'!$A$1:$AZ$1,),)=0,#N/A,VLOOKUP(A178,'DB Country PMI'!$A:$AZ,MATCH($A$1,'DB Country PMI'!$A$1:$AZ$1,),))</f>
        <v/>
      </c>
      <c r="C178" s="24">
        <f>Table1346[[#This Row],[PMI]]-B177</f>
        <v/>
      </c>
    </row>
    <row r="179">
      <c r="A179" s="10" t="n">
        <v>41791</v>
      </c>
      <c r="B179" s="18">
        <f>IF(VLOOKUP(A179,'DB Country PMI'!$A:$AZ,MATCH($A$1,'DB Country PMI'!$A$1:$AZ$1,),)=0,#N/A,VLOOKUP(A179,'DB Country PMI'!$A:$AZ,MATCH($A$1,'DB Country PMI'!$A$1:$AZ$1,),))</f>
        <v/>
      </c>
      <c r="C179" s="24">
        <f>Table1346[[#This Row],[PMI]]-B178</f>
        <v/>
      </c>
    </row>
    <row r="180">
      <c r="A180" s="10" t="n">
        <v>41821</v>
      </c>
      <c r="B180" s="18">
        <f>IF(VLOOKUP(A180,'DB Country PMI'!$A:$AZ,MATCH($A$1,'DB Country PMI'!$A$1:$AZ$1,),)=0,#N/A,VLOOKUP(A180,'DB Country PMI'!$A:$AZ,MATCH($A$1,'DB Country PMI'!$A$1:$AZ$1,),))</f>
        <v/>
      </c>
      <c r="C180" s="24">
        <f>Table1346[[#This Row],[PMI]]-B179</f>
        <v/>
      </c>
    </row>
    <row r="181">
      <c r="A181" s="10" t="n">
        <v>41852</v>
      </c>
      <c r="B181" s="18">
        <f>IF(VLOOKUP(A181,'DB Country PMI'!$A:$AZ,MATCH($A$1,'DB Country PMI'!$A$1:$AZ$1,),)=0,#N/A,VLOOKUP(A181,'DB Country PMI'!$A:$AZ,MATCH($A$1,'DB Country PMI'!$A$1:$AZ$1,),))</f>
        <v/>
      </c>
      <c r="C181" s="24">
        <f>Table1346[[#This Row],[PMI]]-B180</f>
        <v/>
      </c>
    </row>
    <row r="182">
      <c r="A182" s="10" t="n">
        <v>41883</v>
      </c>
      <c r="B182" s="18">
        <f>IF(VLOOKUP(A182,'DB Country PMI'!$A:$AZ,MATCH($A$1,'DB Country PMI'!$A$1:$AZ$1,),)=0,#N/A,VLOOKUP(A182,'DB Country PMI'!$A:$AZ,MATCH($A$1,'DB Country PMI'!$A$1:$AZ$1,),))</f>
        <v/>
      </c>
      <c r="C182" s="24">
        <f>Table1346[[#This Row],[PMI]]-B181</f>
        <v/>
      </c>
    </row>
    <row r="183">
      <c r="A183" s="10" t="n">
        <v>41913</v>
      </c>
      <c r="B183" s="18">
        <f>IF(VLOOKUP(A183,'DB Country PMI'!$A:$AZ,MATCH($A$1,'DB Country PMI'!$A$1:$AZ$1,),)=0,#N/A,VLOOKUP(A183,'DB Country PMI'!$A:$AZ,MATCH($A$1,'DB Country PMI'!$A$1:$AZ$1,),))</f>
        <v/>
      </c>
      <c r="C183" s="24">
        <f>Table1346[[#This Row],[PMI]]-B182</f>
        <v/>
      </c>
    </row>
    <row r="184">
      <c r="A184" s="10" t="n">
        <v>41944</v>
      </c>
      <c r="B184" s="18">
        <f>IF(VLOOKUP(A184,'DB Country PMI'!$A:$AZ,MATCH($A$1,'DB Country PMI'!$A$1:$AZ$1,),)=0,#N/A,VLOOKUP(A184,'DB Country PMI'!$A:$AZ,MATCH($A$1,'DB Country PMI'!$A$1:$AZ$1,),))</f>
        <v/>
      </c>
      <c r="C184" s="24">
        <f>Table1346[[#This Row],[PMI]]-B183</f>
        <v/>
      </c>
    </row>
    <row r="185">
      <c r="A185" s="10" t="n">
        <v>41974</v>
      </c>
      <c r="B185" s="18">
        <f>IF(VLOOKUP(A185,'DB Country PMI'!$A:$AZ,MATCH($A$1,'DB Country PMI'!$A$1:$AZ$1,),)=0,#N/A,VLOOKUP(A185,'DB Country PMI'!$A:$AZ,MATCH($A$1,'DB Country PMI'!$A$1:$AZ$1,),))</f>
        <v/>
      </c>
      <c r="C185" s="24">
        <f>Table1346[[#This Row],[PMI]]-B184</f>
        <v/>
      </c>
    </row>
    <row r="186">
      <c r="A186" s="10" t="n">
        <v>42005</v>
      </c>
      <c r="B186" s="18">
        <f>IF(VLOOKUP(A186,'DB Country PMI'!$A:$AZ,MATCH($A$1,'DB Country PMI'!$A$1:$AZ$1,),)=0,#N/A,VLOOKUP(A186,'DB Country PMI'!$A:$AZ,MATCH($A$1,'DB Country PMI'!$A$1:$AZ$1,),))</f>
        <v/>
      </c>
      <c r="C186" s="24">
        <f>Table1346[[#This Row],[PMI]]-B185</f>
        <v/>
      </c>
    </row>
    <row r="187">
      <c r="A187" s="10" t="n">
        <v>42036</v>
      </c>
      <c r="B187" s="18">
        <f>IF(VLOOKUP(A187,'DB Country PMI'!$A:$AZ,MATCH($A$1,'DB Country PMI'!$A$1:$AZ$1,),)=0,#N/A,VLOOKUP(A187,'DB Country PMI'!$A:$AZ,MATCH($A$1,'DB Country PMI'!$A$1:$AZ$1,),))</f>
        <v/>
      </c>
      <c r="C187" s="24">
        <f>Table1346[[#This Row],[PMI]]-B186</f>
        <v/>
      </c>
    </row>
    <row r="188">
      <c r="A188" s="10" t="n">
        <v>42064</v>
      </c>
      <c r="B188" s="18">
        <f>IF(VLOOKUP(A188,'DB Country PMI'!$A:$AZ,MATCH($A$1,'DB Country PMI'!$A$1:$AZ$1,),)=0,#N/A,VLOOKUP(A188,'DB Country PMI'!$A:$AZ,MATCH($A$1,'DB Country PMI'!$A$1:$AZ$1,),))</f>
        <v/>
      </c>
      <c r="C188" s="24">
        <f>Table1346[[#This Row],[PMI]]-B187</f>
        <v/>
      </c>
    </row>
    <row r="189">
      <c r="A189" s="10" t="n">
        <v>42095</v>
      </c>
      <c r="B189" s="18">
        <f>IF(VLOOKUP(A189,'DB Country PMI'!$A:$AZ,MATCH($A$1,'DB Country PMI'!$A$1:$AZ$1,),)=0,#N/A,VLOOKUP(A189,'DB Country PMI'!$A:$AZ,MATCH($A$1,'DB Country PMI'!$A$1:$AZ$1,),))</f>
        <v/>
      </c>
      <c r="C189" s="24">
        <f>Table1346[[#This Row],[PMI]]-B188</f>
        <v/>
      </c>
    </row>
    <row r="190">
      <c r="A190" s="10" t="n">
        <v>42125</v>
      </c>
      <c r="B190" s="18">
        <f>IF(VLOOKUP(A190,'DB Country PMI'!$A:$AZ,MATCH($A$1,'DB Country PMI'!$A$1:$AZ$1,),)=0,#N/A,VLOOKUP(A190,'DB Country PMI'!$A:$AZ,MATCH($A$1,'DB Country PMI'!$A$1:$AZ$1,),))</f>
        <v/>
      </c>
      <c r="C190" s="24">
        <f>Table1346[[#This Row],[PMI]]-B189</f>
        <v/>
      </c>
    </row>
    <row r="191">
      <c r="A191" s="10" t="n">
        <v>42156</v>
      </c>
      <c r="B191" s="18">
        <f>IF(VLOOKUP(A191,'DB Country PMI'!$A:$AZ,MATCH($A$1,'DB Country PMI'!$A$1:$AZ$1,),)=0,#N/A,VLOOKUP(A191,'DB Country PMI'!$A:$AZ,MATCH($A$1,'DB Country PMI'!$A$1:$AZ$1,),))</f>
        <v/>
      </c>
      <c r="C191" s="24">
        <f>Table1346[[#This Row],[PMI]]-B190</f>
        <v/>
      </c>
    </row>
    <row r="192">
      <c r="A192" s="10" t="n">
        <v>42186</v>
      </c>
      <c r="B192" s="18">
        <f>IF(VLOOKUP(A192,'DB Country PMI'!$A:$AZ,MATCH($A$1,'DB Country PMI'!$A$1:$AZ$1,),)=0,#N/A,VLOOKUP(A192,'DB Country PMI'!$A:$AZ,MATCH($A$1,'DB Country PMI'!$A$1:$AZ$1,),))</f>
        <v/>
      </c>
      <c r="C192" s="24">
        <f>Table1346[[#This Row],[PMI]]-B191</f>
        <v/>
      </c>
    </row>
    <row r="193">
      <c r="A193" s="10" t="n">
        <v>42217</v>
      </c>
      <c r="B193" s="18">
        <f>IF(VLOOKUP(A193,'DB Country PMI'!$A:$AZ,MATCH($A$1,'DB Country PMI'!$A$1:$AZ$1,),)=0,#N/A,VLOOKUP(A193,'DB Country PMI'!$A:$AZ,MATCH($A$1,'DB Country PMI'!$A$1:$AZ$1,),))</f>
        <v/>
      </c>
      <c r="C193" s="24">
        <f>Table1346[[#This Row],[PMI]]-B192</f>
        <v/>
      </c>
    </row>
    <row r="194">
      <c r="A194" s="10" t="n">
        <v>42248</v>
      </c>
      <c r="B194" s="18">
        <f>IF(VLOOKUP(A194,'DB Country PMI'!$A:$AZ,MATCH($A$1,'DB Country PMI'!$A$1:$AZ$1,),)=0,#N/A,VLOOKUP(A194,'DB Country PMI'!$A:$AZ,MATCH($A$1,'DB Country PMI'!$A$1:$AZ$1,),))</f>
        <v/>
      </c>
      <c r="C194" s="24">
        <f>Table1346[[#This Row],[PMI]]-B193</f>
        <v/>
      </c>
    </row>
    <row r="195">
      <c r="A195" s="10" t="n">
        <v>42278</v>
      </c>
      <c r="B195" s="18">
        <f>IF(VLOOKUP(A195,'DB Country PMI'!$A:$AZ,MATCH($A$1,'DB Country PMI'!$A$1:$AZ$1,),)=0,#N/A,VLOOKUP(A195,'DB Country PMI'!$A:$AZ,MATCH($A$1,'DB Country PMI'!$A$1:$AZ$1,),))</f>
        <v/>
      </c>
      <c r="C195" s="24">
        <f>Table1346[[#This Row],[PMI]]-B194</f>
        <v/>
      </c>
    </row>
    <row r="196">
      <c r="A196" s="10" t="n">
        <v>42309</v>
      </c>
      <c r="B196" s="18">
        <f>IF(VLOOKUP(A196,'DB Country PMI'!$A:$AZ,MATCH($A$1,'DB Country PMI'!$A$1:$AZ$1,),)=0,#N/A,VLOOKUP(A196,'DB Country PMI'!$A:$AZ,MATCH($A$1,'DB Country PMI'!$A$1:$AZ$1,),))</f>
        <v/>
      </c>
      <c r="C196" s="24">
        <f>Table1346[[#This Row],[PMI]]-B195</f>
        <v/>
      </c>
    </row>
    <row r="197">
      <c r="A197" s="10" t="n">
        <v>42339</v>
      </c>
      <c r="B197" s="18">
        <f>IF(VLOOKUP(A197,'DB Country PMI'!$A:$AZ,MATCH($A$1,'DB Country PMI'!$A$1:$AZ$1,),)=0,#N/A,VLOOKUP(A197,'DB Country PMI'!$A:$AZ,MATCH($A$1,'DB Country PMI'!$A$1:$AZ$1,),))</f>
        <v/>
      </c>
      <c r="C197" s="24">
        <f>Table1346[[#This Row],[PMI]]-B196</f>
        <v/>
      </c>
    </row>
    <row r="198">
      <c r="A198" s="10" t="n">
        <v>42370</v>
      </c>
      <c r="B198" s="18">
        <f>IF(VLOOKUP(A198,'DB Country PMI'!$A:$AZ,MATCH($A$1,'DB Country PMI'!$A$1:$AZ$1,),)=0,#N/A,VLOOKUP(A198,'DB Country PMI'!$A:$AZ,MATCH($A$1,'DB Country PMI'!$A$1:$AZ$1,),))</f>
        <v/>
      </c>
      <c r="C198" s="24">
        <f>Table1346[[#This Row],[PMI]]-B197</f>
        <v/>
      </c>
    </row>
    <row r="199">
      <c r="A199" s="10" t="n">
        <v>42401</v>
      </c>
      <c r="B199" s="18">
        <f>IF(VLOOKUP(A199,'DB Country PMI'!$A:$AZ,MATCH($A$1,'DB Country PMI'!$A$1:$AZ$1,),)=0,#N/A,VLOOKUP(A199,'DB Country PMI'!$A:$AZ,MATCH($A$1,'DB Country PMI'!$A$1:$AZ$1,),))</f>
        <v/>
      </c>
      <c r="C199" s="24">
        <f>Table1346[[#This Row],[PMI]]-B198</f>
        <v/>
      </c>
    </row>
    <row r="200">
      <c r="A200" s="10" t="n">
        <v>42430</v>
      </c>
      <c r="B200" s="18">
        <f>IF(VLOOKUP(A200,'DB Country PMI'!$A:$AZ,MATCH($A$1,'DB Country PMI'!$A$1:$AZ$1,),)=0,#N/A,VLOOKUP(A200,'DB Country PMI'!$A:$AZ,MATCH($A$1,'DB Country PMI'!$A$1:$AZ$1,),))</f>
        <v/>
      </c>
      <c r="C200" s="24">
        <f>Table1346[[#This Row],[PMI]]-B199</f>
        <v/>
      </c>
    </row>
    <row r="201">
      <c r="A201" s="10" t="n">
        <v>42461</v>
      </c>
      <c r="B201" s="18">
        <f>IF(VLOOKUP(A201,'DB Country PMI'!$A:$AZ,MATCH($A$1,'DB Country PMI'!$A$1:$AZ$1,),)=0,#N/A,VLOOKUP(A201,'DB Country PMI'!$A:$AZ,MATCH($A$1,'DB Country PMI'!$A$1:$AZ$1,),))</f>
        <v/>
      </c>
      <c r="C201" s="24">
        <f>Table1346[[#This Row],[PMI]]-B200</f>
        <v/>
      </c>
    </row>
    <row r="202">
      <c r="A202" s="10" t="n">
        <v>42491</v>
      </c>
      <c r="B202" s="18">
        <f>IF(VLOOKUP(A202,'DB Country PMI'!$A:$AZ,MATCH($A$1,'DB Country PMI'!$A$1:$AZ$1,),)=0,#N/A,VLOOKUP(A202,'DB Country PMI'!$A:$AZ,MATCH($A$1,'DB Country PMI'!$A$1:$AZ$1,),))</f>
        <v/>
      </c>
      <c r="C202" s="24">
        <f>Table1346[[#This Row],[PMI]]-B201</f>
        <v/>
      </c>
    </row>
    <row r="203">
      <c r="A203" s="10" t="n">
        <v>42522</v>
      </c>
      <c r="B203" s="18">
        <f>IF(VLOOKUP(A203,'DB Country PMI'!$A:$AZ,MATCH($A$1,'DB Country PMI'!$A$1:$AZ$1,),)=0,#N/A,VLOOKUP(A203,'DB Country PMI'!$A:$AZ,MATCH($A$1,'DB Country PMI'!$A$1:$AZ$1,),))</f>
        <v/>
      </c>
      <c r="C203" s="24">
        <f>Table1346[[#This Row],[PMI]]-B202</f>
        <v/>
      </c>
    </row>
    <row r="204">
      <c r="A204" s="10" t="n">
        <v>42552</v>
      </c>
      <c r="B204" s="18">
        <f>IF(VLOOKUP(A204,'DB Country PMI'!$A:$AZ,MATCH($A$1,'DB Country PMI'!$A$1:$AZ$1,),)=0,#N/A,VLOOKUP(A204,'DB Country PMI'!$A:$AZ,MATCH($A$1,'DB Country PMI'!$A$1:$AZ$1,),))</f>
        <v/>
      </c>
      <c r="C204" s="24">
        <f>Table1346[[#This Row],[PMI]]-B203</f>
        <v/>
      </c>
    </row>
    <row r="205">
      <c r="A205" s="10" t="n">
        <v>42583</v>
      </c>
      <c r="B205" s="18">
        <f>IF(VLOOKUP(A205,'DB Country PMI'!$A:$AZ,MATCH($A$1,'DB Country PMI'!$A$1:$AZ$1,),)=0,#N/A,VLOOKUP(A205,'DB Country PMI'!$A:$AZ,MATCH($A$1,'DB Country PMI'!$A$1:$AZ$1,),))</f>
        <v/>
      </c>
      <c r="C205" s="24">
        <f>Table1346[[#This Row],[PMI]]-B204</f>
        <v/>
      </c>
    </row>
    <row r="206">
      <c r="A206" s="10" t="n">
        <v>42614</v>
      </c>
      <c r="B206" s="18">
        <f>IF(VLOOKUP(A206,'DB Country PMI'!$A:$AZ,MATCH($A$1,'DB Country PMI'!$A$1:$AZ$1,),)=0,#N/A,VLOOKUP(A206,'DB Country PMI'!$A:$AZ,MATCH($A$1,'DB Country PMI'!$A$1:$AZ$1,),))</f>
        <v/>
      </c>
      <c r="C206" s="24">
        <f>Table1346[[#This Row],[PMI]]-B205</f>
        <v/>
      </c>
    </row>
    <row r="207">
      <c r="A207" s="10" t="n">
        <v>42644</v>
      </c>
      <c r="B207" s="18">
        <f>IF(VLOOKUP(A207,'DB Country PMI'!$A:$AZ,MATCH($A$1,'DB Country PMI'!$A$1:$AZ$1,),)=0,#N/A,VLOOKUP(A207,'DB Country PMI'!$A:$AZ,MATCH($A$1,'DB Country PMI'!$A$1:$AZ$1,),))</f>
        <v/>
      </c>
      <c r="C207" s="24">
        <f>Table1346[[#This Row],[PMI]]-B206</f>
        <v/>
      </c>
    </row>
    <row r="208">
      <c r="A208" s="10" t="n">
        <v>42675</v>
      </c>
      <c r="B208" s="18">
        <f>IF(VLOOKUP(A208,'DB Country PMI'!$A:$AZ,MATCH($A$1,'DB Country PMI'!$A$1:$AZ$1,),)=0,#N/A,VLOOKUP(A208,'DB Country PMI'!$A:$AZ,MATCH($A$1,'DB Country PMI'!$A$1:$AZ$1,),))</f>
        <v/>
      </c>
      <c r="C208" s="24">
        <f>Table1346[[#This Row],[PMI]]-B207</f>
        <v/>
      </c>
    </row>
    <row r="209">
      <c r="A209" s="10" t="n">
        <v>42705</v>
      </c>
      <c r="B209" s="18">
        <f>IF(VLOOKUP(A209,'DB Country PMI'!$A:$AZ,MATCH($A$1,'DB Country PMI'!$A$1:$AZ$1,),)=0,#N/A,VLOOKUP(A209,'DB Country PMI'!$A:$AZ,MATCH($A$1,'DB Country PMI'!$A$1:$AZ$1,),))</f>
        <v/>
      </c>
      <c r="C209" s="24">
        <f>Table1346[[#This Row],[PMI]]-B208</f>
        <v/>
      </c>
    </row>
    <row r="210">
      <c r="A210" s="10" t="n">
        <v>42736</v>
      </c>
      <c r="B210" s="18">
        <f>IF(VLOOKUP(A210,'DB Country PMI'!$A:$AZ,MATCH($A$1,'DB Country PMI'!$A$1:$AZ$1,),)=0,#N/A,VLOOKUP(A210,'DB Country PMI'!$A:$AZ,MATCH($A$1,'DB Country PMI'!$A$1:$AZ$1,),))</f>
        <v/>
      </c>
      <c r="C210" s="24">
        <f>Table1346[[#This Row],[PMI]]-B209</f>
        <v/>
      </c>
    </row>
    <row r="211">
      <c r="A211" s="10" t="n">
        <v>42767</v>
      </c>
      <c r="B211" s="18">
        <f>IF(VLOOKUP(A211,'DB Country PMI'!$A:$AZ,MATCH($A$1,'DB Country PMI'!$A$1:$AZ$1,),)=0,#N/A,VLOOKUP(A211,'DB Country PMI'!$A:$AZ,MATCH($A$1,'DB Country PMI'!$A$1:$AZ$1,),))</f>
        <v/>
      </c>
      <c r="C211" s="24">
        <f>Table1346[[#This Row],[PMI]]-B210</f>
        <v/>
      </c>
    </row>
    <row r="212">
      <c r="A212" s="10" t="n">
        <v>42795</v>
      </c>
      <c r="B212" s="18">
        <f>IF(VLOOKUP(A212,'DB Country PMI'!$A:$AZ,MATCH($A$1,'DB Country PMI'!$A$1:$AZ$1,),)=0,#N/A,VLOOKUP(A212,'DB Country PMI'!$A:$AZ,MATCH($A$1,'DB Country PMI'!$A$1:$AZ$1,),))</f>
        <v/>
      </c>
      <c r="C212" s="24">
        <f>Table1346[[#This Row],[PMI]]-B211</f>
        <v/>
      </c>
    </row>
    <row r="213">
      <c r="A213" s="10" t="n">
        <v>42826</v>
      </c>
      <c r="B213" s="18">
        <f>IF(VLOOKUP(A213,'DB Country PMI'!$A:$AZ,MATCH($A$1,'DB Country PMI'!$A$1:$AZ$1,),)=0,#N/A,VLOOKUP(A213,'DB Country PMI'!$A:$AZ,MATCH($A$1,'DB Country PMI'!$A$1:$AZ$1,),))</f>
        <v/>
      </c>
      <c r="C213" s="24">
        <f>Table1346[[#This Row],[PMI]]-B212</f>
        <v/>
      </c>
    </row>
    <row r="214">
      <c r="A214" s="10" t="n">
        <v>42856</v>
      </c>
      <c r="B214" s="18">
        <f>IF(VLOOKUP(A214,'DB Country PMI'!$A:$AZ,MATCH($A$1,'DB Country PMI'!$A$1:$AZ$1,),)=0,#N/A,VLOOKUP(A214,'DB Country PMI'!$A:$AZ,MATCH($A$1,'DB Country PMI'!$A$1:$AZ$1,),))</f>
        <v/>
      </c>
      <c r="C214" s="24">
        <f>Table1346[[#This Row],[PMI]]-B213</f>
        <v/>
      </c>
    </row>
    <row r="215">
      <c r="A215" s="10" t="n">
        <v>42887</v>
      </c>
      <c r="B215" s="18">
        <f>IF(VLOOKUP(A215,'DB Country PMI'!$A:$AZ,MATCH($A$1,'DB Country PMI'!$A$1:$AZ$1,),)=0,#N/A,VLOOKUP(A215,'DB Country PMI'!$A:$AZ,MATCH($A$1,'DB Country PMI'!$A$1:$AZ$1,),))</f>
        <v/>
      </c>
      <c r="C215" s="24">
        <f>Table1346[[#This Row],[PMI]]-B214</f>
        <v/>
      </c>
    </row>
    <row r="216">
      <c r="A216" s="10" t="n">
        <v>42917</v>
      </c>
      <c r="B216" s="18">
        <f>IF(VLOOKUP(A216,'DB Country PMI'!$A:$AZ,MATCH($A$1,'DB Country PMI'!$A$1:$AZ$1,),)=0,#N/A,VLOOKUP(A216,'DB Country PMI'!$A:$AZ,MATCH($A$1,'DB Country PMI'!$A$1:$AZ$1,),))</f>
        <v/>
      </c>
      <c r="C216" s="24">
        <f>Table1346[[#This Row],[PMI]]-B215</f>
        <v/>
      </c>
    </row>
    <row r="217">
      <c r="A217" s="10" t="n">
        <v>42948</v>
      </c>
      <c r="B217" s="18">
        <f>IF(VLOOKUP(A217,'DB Country PMI'!$A:$AZ,MATCH($A$1,'DB Country PMI'!$A$1:$AZ$1,),)=0,#N/A,VLOOKUP(A217,'DB Country PMI'!$A:$AZ,MATCH($A$1,'DB Country PMI'!$A$1:$AZ$1,),))</f>
        <v/>
      </c>
      <c r="C217" s="24">
        <f>Table1346[[#This Row],[PMI]]-B216</f>
        <v/>
      </c>
    </row>
    <row r="218">
      <c r="A218" s="10" t="n">
        <v>42979</v>
      </c>
      <c r="B218" s="18">
        <f>IF(VLOOKUP(A218,'DB Country PMI'!$A:$AZ,MATCH($A$1,'DB Country PMI'!$A$1:$AZ$1,),)=0,#N/A,VLOOKUP(A218,'DB Country PMI'!$A:$AZ,MATCH($A$1,'DB Country PMI'!$A$1:$AZ$1,),))</f>
        <v/>
      </c>
      <c r="C218" s="24">
        <f>Table1346[[#This Row],[PMI]]-B217</f>
        <v/>
      </c>
    </row>
    <row r="219">
      <c r="A219" s="10" t="n">
        <v>43009</v>
      </c>
      <c r="B219" s="18">
        <f>IF(VLOOKUP(A219,'DB Country PMI'!$A:$AZ,MATCH($A$1,'DB Country PMI'!$A$1:$AZ$1,),)=0,#N/A,VLOOKUP(A219,'DB Country PMI'!$A:$AZ,MATCH($A$1,'DB Country PMI'!$A$1:$AZ$1,),))</f>
        <v/>
      </c>
      <c r="C219" s="24">
        <f>Table1346[[#This Row],[PMI]]-B218</f>
        <v/>
      </c>
    </row>
    <row r="220">
      <c r="A220" s="10" t="n">
        <v>43040</v>
      </c>
      <c r="B220" s="18">
        <f>IF(VLOOKUP(A220,'DB Country PMI'!$A:$AZ,MATCH($A$1,'DB Country PMI'!$A$1:$AZ$1,),)=0,#N/A,VLOOKUP(A220,'DB Country PMI'!$A:$AZ,MATCH($A$1,'DB Country PMI'!$A$1:$AZ$1,),))</f>
        <v/>
      </c>
      <c r="C220" s="24">
        <f>Table1346[[#This Row],[PMI]]-B219</f>
        <v/>
      </c>
    </row>
    <row r="221">
      <c r="A221" s="10" t="n">
        <v>43070</v>
      </c>
      <c r="B221" s="18">
        <f>IF(VLOOKUP(A221,'DB Country PMI'!$A:$AZ,MATCH($A$1,'DB Country PMI'!$A$1:$AZ$1,),)=0,#N/A,VLOOKUP(A221,'DB Country PMI'!$A:$AZ,MATCH($A$1,'DB Country PMI'!$A$1:$AZ$1,),))</f>
        <v/>
      </c>
      <c r="C221" s="24">
        <f>Table1346[[#This Row],[PMI]]-B220</f>
        <v/>
      </c>
    </row>
    <row r="222">
      <c r="A222" s="10" t="n">
        <v>43101</v>
      </c>
      <c r="B222" s="18">
        <f>IF(VLOOKUP(A222,'DB Country PMI'!$A:$AZ,MATCH($A$1,'DB Country PMI'!$A$1:$AZ$1,),)=0,#N/A,VLOOKUP(A222,'DB Country PMI'!$A:$AZ,MATCH($A$1,'DB Country PMI'!$A$1:$AZ$1,),))</f>
        <v/>
      </c>
      <c r="C222" s="24">
        <f>Table1346[[#This Row],[PMI]]-B221</f>
        <v/>
      </c>
    </row>
    <row r="223">
      <c r="A223" s="10" t="n">
        <v>43132</v>
      </c>
      <c r="B223" s="18">
        <f>IF(VLOOKUP(A223,'DB Country PMI'!$A:$AZ,MATCH($A$1,'DB Country PMI'!$A$1:$AZ$1,),)=0,#N/A,VLOOKUP(A223,'DB Country PMI'!$A:$AZ,MATCH($A$1,'DB Country PMI'!$A$1:$AZ$1,),))</f>
        <v/>
      </c>
      <c r="C223" s="24">
        <f>Table1346[[#This Row],[PMI]]-B222</f>
        <v/>
      </c>
    </row>
    <row r="224">
      <c r="A224" s="10" t="n">
        <v>43160</v>
      </c>
      <c r="B224" s="18">
        <f>IF(VLOOKUP(A224,'DB Country PMI'!$A:$AZ,MATCH($A$1,'DB Country PMI'!$A$1:$AZ$1,),)=0,#N/A,VLOOKUP(A224,'DB Country PMI'!$A:$AZ,MATCH($A$1,'DB Country PMI'!$A$1:$AZ$1,),))</f>
        <v/>
      </c>
      <c r="C224" s="24">
        <f>Table1346[[#This Row],[PMI]]-B223</f>
        <v/>
      </c>
    </row>
    <row r="225">
      <c r="A225" s="10" t="n">
        <v>43191</v>
      </c>
      <c r="B225" s="18">
        <f>IF(VLOOKUP(A225,'DB Country PMI'!$A:$AZ,MATCH($A$1,'DB Country PMI'!$A$1:$AZ$1,),)=0,#N/A,VLOOKUP(A225,'DB Country PMI'!$A:$AZ,MATCH($A$1,'DB Country PMI'!$A$1:$AZ$1,),))</f>
        <v/>
      </c>
      <c r="C225" s="24">
        <f>Table1346[[#This Row],[PMI]]-B224</f>
        <v/>
      </c>
    </row>
    <row r="226">
      <c r="A226" s="10" t="n">
        <v>43221</v>
      </c>
      <c r="B226" s="18">
        <f>IF(VLOOKUP(A226,'DB Country PMI'!$A:$AZ,MATCH($A$1,'DB Country PMI'!$A$1:$AZ$1,),)=0,#N/A,VLOOKUP(A226,'DB Country PMI'!$A:$AZ,MATCH($A$1,'DB Country PMI'!$A$1:$AZ$1,),))</f>
        <v/>
      </c>
      <c r="C226" s="24">
        <f>Table1346[[#This Row],[PMI]]-B225</f>
        <v/>
      </c>
    </row>
    <row r="227">
      <c r="A227" s="10" t="n">
        <v>43252</v>
      </c>
      <c r="B227" s="18">
        <f>IF(VLOOKUP(A227,'DB Country PMI'!$A:$AZ,MATCH($A$1,'DB Country PMI'!$A$1:$AZ$1,),)=0,#N/A,VLOOKUP(A227,'DB Country PMI'!$A:$AZ,MATCH($A$1,'DB Country PMI'!$A$1:$AZ$1,),))</f>
        <v/>
      </c>
      <c r="C227" s="24">
        <f>Table1346[[#This Row],[PMI]]-B226</f>
        <v/>
      </c>
    </row>
    <row r="228">
      <c r="A228" s="10" t="n">
        <v>43282</v>
      </c>
      <c r="B228" s="18">
        <f>IF(VLOOKUP(A228,'DB Country PMI'!$A:$AZ,MATCH($A$1,'DB Country PMI'!$A$1:$AZ$1,),)=0,#N/A,VLOOKUP(A228,'DB Country PMI'!$A:$AZ,MATCH($A$1,'DB Country PMI'!$A$1:$AZ$1,),))</f>
        <v/>
      </c>
      <c r="C228" s="24">
        <f>Table1346[[#This Row],[PMI]]-B227</f>
        <v/>
      </c>
    </row>
    <row r="229">
      <c r="A229" s="10" t="n">
        <v>43313</v>
      </c>
      <c r="B229" s="18">
        <f>IF(VLOOKUP(A229,'DB Country PMI'!$A:$AZ,MATCH($A$1,'DB Country PMI'!$A$1:$AZ$1,),)=0,#N/A,VLOOKUP(A229,'DB Country PMI'!$A:$AZ,MATCH($A$1,'DB Country PMI'!$A$1:$AZ$1,),))</f>
        <v/>
      </c>
      <c r="C229" s="24">
        <f>Table1346[[#This Row],[PMI]]-B228</f>
        <v/>
      </c>
    </row>
    <row r="230">
      <c r="A230" s="10" t="n">
        <v>43344</v>
      </c>
      <c r="B230" s="18">
        <f>IF(VLOOKUP(A230,'DB Country PMI'!$A:$AZ,MATCH($A$1,'DB Country PMI'!$A$1:$AZ$1,),)=0,#N/A,VLOOKUP(A230,'DB Country PMI'!$A:$AZ,MATCH($A$1,'DB Country PMI'!$A$1:$AZ$1,),))</f>
        <v/>
      </c>
      <c r="C230" s="24">
        <f>Table1346[[#This Row],[PMI]]-B229</f>
        <v/>
      </c>
    </row>
    <row r="231">
      <c r="A231" s="10" t="n">
        <v>43374</v>
      </c>
      <c r="B231" s="18">
        <f>IF(VLOOKUP(A231,'DB Country PMI'!$A:$AZ,MATCH($A$1,'DB Country PMI'!$A$1:$AZ$1,),)=0,#N/A,VLOOKUP(A231,'DB Country PMI'!$A:$AZ,MATCH($A$1,'DB Country PMI'!$A$1:$AZ$1,),))</f>
        <v/>
      </c>
      <c r="C231" s="24">
        <f>Table1346[[#This Row],[PMI]]-B230</f>
        <v/>
      </c>
    </row>
    <row r="232">
      <c r="A232" s="10" t="n">
        <v>43405</v>
      </c>
      <c r="B232" s="18">
        <f>IF(VLOOKUP(A232,'DB Country PMI'!$A:$AZ,MATCH($A$1,'DB Country PMI'!$A$1:$AZ$1,),)=0,#N/A,VLOOKUP(A232,'DB Country PMI'!$A:$AZ,MATCH($A$1,'DB Country PMI'!$A$1:$AZ$1,),))</f>
        <v/>
      </c>
      <c r="C232" s="24">
        <f>Table1346[[#This Row],[PMI]]-B231</f>
        <v/>
      </c>
    </row>
    <row r="233">
      <c r="A233" s="10" t="n">
        <v>43435</v>
      </c>
      <c r="B233" s="18">
        <f>IF(VLOOKUP(A233,'DB Country PMI'!$A:$AZ,MATCH($A$1,'DB Country PMI'!$A$1:$AZ$1,),)=0,#N/A,VLOOKUP(A233,'DB Country PMI'!$A:$AZ,MATCH($A$1,'DB Country PMI'!$A$1:$AZ$1,),))</f>
        <v/>
      </c>
      <c r="C233" s="24">
        <f>Table1346[[#This Row],[PMI]]-B232</f>
        <v/>
      </c>
    </row>
    <row r="234">
      <c r="A234" s="10" t="n">
        <v>43466</v>
      </c>
      <c r="B234" s="18">
        <f>IF(VLOOKUP(A234,'DB Country PMI'!$A:$AZ,MATCH($A$1,'DB Country PMI'!$A$1:$AZ$1,),)=0,#N/A,VLOOKUP(A234,'DB Country PMI'!$A:$AZ,MATCH($A$1,'DB Country PMI'!$A$1:$AZ$1,),))</f>
        <v/>
      </c>
      <c r="C234" s="24">
        <f>Table1346[[#This Row],[PMI]]-B233</f>
        <v/>
      </c>
    </row>
    <row r="235">
      <c r="A235" s="10" t="n">
        <v>43497</v>
      </c>
      <c r="B235" s="18">
        <f>IF(VLOOKUP(A235,'DB Country PMI'!$A:$AZ,MATCH($A$1,'DB Country PMI'!$A$1:$AZ$1,),)=0,#N/A,VLOOKUP(A235,'DB Country PMI'!$A:$AZ,MATCH($A$1,'DB Country PMI'!$A$1:$AZ$1,),))</f>
        <v/>
      </c>
      <c r="C235" s="24">
        <f>Table1346[[#This Row],[PMI]]-B234</f>
        <v/>
      </c>
    </row>
    <row r="236">
      <c r="A236" s="10" t="n">
        <v>43525</v>
      </c>
      <c r="B236" s="18">
        <f>IF(VLOOKUP(A236,'DB Country PMI'!$A:$AZ,MATCH($A$1,'DB Country PMI'!$A$1:$AZ$1,),)=0,#N/A,VLOOKUP(A236,'DB Country PMI'!$A:$AZ,MATCH($A$1,'DB Country PMI'!$A$1:$AZ$1,),))</f>
        <v/>
      </c>
      <c r="C236" s="24">
        <f>Table1346[[#This Row],[PMI]]-B235</f>
        <v/>
      </c>
    </row>
    <row r="237">
      <c r="A237" s="10" t="n">
        <v>43556</v>
      </c>
      <c r="B237" s="18">
        <f>IF(VLOOKUP(A237,'DB Country PMI'!$A:$AZ,MATCH($A$1,'DB Country PMI'!$A$1:$AZ$1,),)=0,#N/A,VLOOKUP(A237,'DB Country PMI'!$A:$AZ,MATCH($A$1,'DB Country PMI'!$A$1:$AZ$1,),))</f>
        <v/>
      </c>
      <c r="C237" s="24">
        <f>Table1346[[#This Row],[PMI]]-B236</f>
        <v/>
      </c>
    </row>
    <row r="238">
      <c r="A238" s="10" t="n">
        <v>43586</v>
      </c>
      <c r="B238" s="18">
        <f>IF(VLOOKUP(A238,'DB Country PMI'!$A:$AZ,MATCH($A$1,'DB Country PMI'!$A$1:$AZ$1,),)=0,#N/A,VLOOKUP(A238,'DB Country PMI'!$A:$AZ,MATCH($A$1,'DB Country PMI'!$A$1:$AZ$1,),))</f>
        <v/>
      </c>
      <c r="C238" s="24">
        <f>Table1346[[#This Row],[PMI]]-B237</f>
        <v/>
      </c>
    </row>
    <row r="239">
      <c r="A239" s="10" t="n">
        <v>43617</v>
      </c>
      <c r="B239" s="18">
        <f>IF(VLOOKUP(A239,'DB Country PMI'!$A:$AZ,MATCH($A$1,'DB Country PMI'!$A$1:$AZ$1,),)=0,#N/A,VLOOKUP(A239,'DB Country PMI'!$A:$AZ,MATCH($A$1,'DB Country PMI'!$A$1:$AZ$1,),))</f>
        <v/>
      </c>
      <c r="C239" s="24">
        <f>Table1346[[#This Row],[PMI]]-B238</f>
        <v/>
      </c>
    </row>
    <row r="240">
      <c r="A240" s="10" t="n">
        <v>43647</v>
      </c>
      <c r="B240" s="18">
        <f>IF(VLOOKUP(A240,'DB Country PMI'!$A:$AZ,MATCH($A$1,'DB Country PMI'!$A$1:$AZ$1,),)=0,#N/A,VLOOKUP(A240,'DB Country PMI'!$A:$AZ,MATCH($A$1,'DB Country PMI'!$A$1:$AZ$1,),))</f>
        <v/>
      </c>
      <c r="C240" s="24">
        <f>Table1346[[#This Row],[PMI]]-B239</f>
        <v/>
      </c>
    </row>
    <row r="241">
      <c r="A241" s="10" t="n">
        <v>43678</v>
      </c>
      <c r="B241" s="18">
        <f>IF(VLOOKUP(A241,'DB Country PMI'!$A:$AZ,MATCH($A$1,'DB Country PMI'!$A$1:$AZ$1,),)=0,#N/A,VLOOKUP(A241,'DB Country PMI'!$A:$AZ,MATCH($A$1,'DB Country PMI'!$A$1:$AZ$1,),))</f>
        <v/>
      </c>
      <c r="C241" s="24">
        <f>Table1346[[#This Row],[PMI]]-B240</f>
        <v/>
      </c>
    </row>
    <row r="242">
      <c r="A242" s="10" t="n">
        <v>43709</v>
      </c>
      <c r="B242" s="18">
        <f>IF(VLOOKUP(A242,'DB Country PMI'!$A:$AZ,MATCH($A$1,'DB Country PMI'!$A$1:$AZ$1,),)=0,#N/A,VLOOKUP(A242,'DB Country PMI'!$A:$AZ,MATCH($A$1,'DB Country PMI'!$A$1:$AZ$1,),))</f>
        <v/>
      </c>
      <c r="C242" s="24">
        <f>Table1346[[#This Row],[PMI]]-B241</f>
        <v/>
      </c>
    </row>
    <row r="243">
      <c r="A243" s="10" t="n">
        <v>43739</v>
      </c>
      <c r="B243" s="18">
        <f>IF(VLOOKUP(A243,'DB Country PMI'!$A:$AZ,MATCH($A$1,'DB Country PMI'!$A$1:$AZ$1,),)=0,#N/A,VLOOKUP(A243,'DB Country PMI'!$A:$AZ,MATCH($A$1,'DB Country PMI'!$A$1:$AZ$1,),))</f>
        <v/>
      </c>
      <c r="C243" s="24">
        <f>Table1346[[#This Row],[PMI]]-B242</f>
        <v/>
      </c>
    </row>
    <row r="244">
      <c r="A244" s="10" t="n">
        <v>43770</v>
      </c>
      <c r="B244" s="18">
        <f>IF(VLOOKUP(A244,'DB Country PMI'!$A:$AZ,MATCH($A$1,'DB Country PMI'!$A$1:$AZ$1,),)=0,#N/A,VLOOKUP(A244,'DB Country PMI'!$A:$AZ,MATCH($A$1,'DB Country PMI'!$A$1:$AZ$1,),))</f>
        <v/>
      </c>
      <c r="C244" s="24">
        <f>Table1346[[#This Row],[PMI]]-B243</f>
        <v/>
      </c>
    </row>
    <row r="245">
      <c r="A245" s="10" t="n">
        <v>43800</v>
      </c>
      <c r="B245" s="18">
        <f>IF(VLOOKUP(A245,'DB Country PMI'!$A:$AZ,MATCH($A$1,'DB Country PMI'!$A$1:$AZ$1,),)=0,#N/A,VLOOKUP(A245,'DB Country PMI'!$A:$AZ,MATCH($A$1,'DB Country PMI'!$A$1:$AZ$1,),))</f>
        <v/>
      </c>
      <c r="C245" s="24">
        <f>Table1346[[#This Row],[PMI]]-B244</f>
        <v/>
      </c>
    </row>
    <row r="246">
      <c r="A246" s="10" t="n">
        <v>43831</v>
      </c>
      <c r="B246" s="18">
        <f>IF(VLOOKUP(A246,'DB Country PMI'!$A:$AZ,MATCH($A$1,'DB Country PMI'!$A$1:$AZ$1,),)=0,#N/A,VLOOKUP(A246,'DB Country PMI'!$A:$AZ,MATCH($A$1,'DB Country PMI'!$A$1:$AZ$1,),))</f>
        <v/>
      </c>
      <c r="C246" s="24">
        <f>Table1346[[#This Row],[PMI]]-B245</f>
        <v/>
      </c>
    </row>
    <row r="247">
      <c r="A247" s="10" t="n">
        <v>43862</v>
      </c>
      <c r="B247" s="18">
        <f>IF(VLOOKUP(A247,'DB Country PMI'!$A:$AZ,MATCH($A$1,'DB Country PMI'!$A$1:$AZ$1,),)=0,#N/A,VLOOKUP(A247,'DB Country PMI'!$A:$AZ,MATCH($A$1,'DB Country PMI'!$A$1:$AZ$1,),))</f>
        <v/>
      </c>
      <c r="C247" s="24">
        <f>Table1346[[#This Row],[PMI]]-B246</f>
        <v/>
      </c>
    </row>
    <row r="248">
      <c r="A248" s="10" t="n">
        <v>43891</v>
      </c>
      <c r="B248" s="18">
        <f>IF(VLOOKUP(A248,'DB Country PMI'!$A:$AZ,MATCH($A$1,'DB Country PMI'!$A$1:$AZ$1,),)=0,#N/A,VLOOKUP(A248,'DB Country PMI'!$A:$AZ,MATCH($A$1,'DB Country PMI'!$A$1:$AZ$1,),))</f>
        <v/>
      </c>
      <c r="C248" s="24">
        <f>Table1346[[#This Row],[PMI]]-B247</f>
        <v/>
      </c>
    </row>
    <row r="249">
      <c r="A249" s="10" t="n">
        <v>43922</v>
      </c>
      <c r="B249" s="18">
        <f>IF(VLOOKUP(A249,'DB Country PMI'!$A:$AZ,MATCH($A$1,'DB Country PMI'!$A$1:$AZ$1,),)=0,#N/A,VLOOKUP(A249,'DB Country PMI'!$A:$AZ,MATCH($A$1,'DB Country PMI'!$A$1:$AZ$1,),))</f>
        <v/>
      </c>
      <c r="C249" s="24">
        <f>Table1346[[#This Row],[PMI]]-B248</f>
        <v/>
      </c>
    </row>
    <row r="250">
      <c r="A250" s="10" t="n">
        <v>43952</v>
      </c>
      <c r="B250" s="18">
        <f>IF(VLOOKUP(A250,'DB Country PMI'!$A:$AZ,MATCH($A$1,'DB Country PMI'!$A$1:$AZ$1,),)=0,#N/A,VLOOKUP(A250,'DB Country PMI'!$A:$AZ,MATCH($A$1,'DB Country PMI'!$A$1:$AZ$1,),))</f>
        <v/>
      </c>
      <c r="C250" s="24">
        <f>Table1346[[#This Row],[PMI]]-B249</f>
        <v/>
      </c>
    </row>
    <row r="251">
      <c r="A251" s="10" t="n">
        <v>43983</v>
      </c>
      <c r="B251" s="18">
        <f>IF(VLOOKUP(A251,'DB Country PMI'!$A:$AZ,MATCH($A$1,'DB Country PMI'!$A$1:$AZ$1,),)=0,#N/A,VLOOKUP(A251,'DB Country PMI'!$A:$AZ,MATCH($A$1,'DB Country PMI'!$A$1:$AZ$1,),))</f>
        <v/>
      </c>
      <c r="C251" s="24">
        <f>Table1346[[#This Row],[PMI]]-B250</f>
        <v/>
      </c>
    </row>
    <row r="252">
      <c r="A252" s="10" t="n">
        <v>44013</v>
      </c>
      <c r="B252" s="18">
        <f>IF(VLOOKUP(A252,'DB Country PMI'!$A:$AZ,MATCH($A$1,'DB Country PMI'!$A$1:$AZ$1,),)=0,#N/A,VLOOKUP(A252,'DB Country PMI'!$A:$AZ,MATCH($A$1,'DB Country PMI'!$A$1:$AZ$1,),))</f>
        <v/>
      </c>
      <c r="C252" s="24">
        <f>Table1346[[#This Row],[PMI]]-B251</f>
        <v/>
      </c>
    </row>
    <row r="253">
      <c r="A253" s="10" t="n">
        <v>44044</v>
      </c>
      <c r="B253" s="18">
        <f>IF(VLOOKUP(A253,'DB Country PMI'!$A:$AZ,MATCH($A$1,'DB Country PMI'!$A$1:$AZ$1,),)=0,#N/A,VLOOKUP(A253,'DB Country PMI'!$A:$AZ,MATCH($A$1,'DB Country PMI'!$A$1:$AZ$1,),))</f>
        <v/>
      </c>
      <c r="C253" s="24">
        <f>Table1346[[#This Row],[PMI]]-B252</f>
        <v/>
      </c>
    </row>
    <row r="254">
      <c r="A254" s="10" t="n">
        <v>44075</v>
      </c>
      <c r="B254" s="18">
        <f>IF(VLOOKUP(A254,'DB Country PMI'!$A:$AZ,MATCH($A$1,'DB Country PMI'!$A$1:$AZ$1,),)=0,#N/A,VLOOKUP(A254,'DB Country PMI'!$A:$AZ,MATCH($A$1,'DB Country PMI'!$A$1:$AZ$1,),))</f>
        <v/>
      </c>
      <c r="C254" s="24">
        <f>Table1346[[#This Row],[PMI]]-B253</f>
        <v/>
      </c>
    </row>
    <row r="255">
      <c r="A255" s="10" t="n">
        <v>44105</v>
      </c>
      <c r="B255" s="18">
        <f>IF(VLOOKUP(A255,'DB Country PMI'!$A:$AZ,MATCH($A$1,'DB Country PMI'!$A$1:$AZ$1,),)=0,#N/A,VLOOKUP(A255,'DB Country PMI'!$A:$AZ,MATCH($A$1,'DB Country PMI'!$A$1:$AZ$1,),))</f>
        <v/>
      </c>
      <c r="C255" s="24">
        <f>Table1346[[#This Row],[PMI]]-B254</f>
        <v/>
      </c>
    </row>
    <row r="256">
      <c r="A256" s="10" t="n">
        <v>44136</v>
      </c>
      <c r="B256" s="18">
        <f>IF(VLOOKUP(A256,'DB Country PMI'!$A:$AZ,MATCH($A$1,'DB Country PMI'!$A$1:$AZ$1,),)=0,#N/A,VLOOKUP(A256,'DB Country PMI'!$A:$AZ,MATCH($A$1,'DB Country PMI'!$A$1:$AZ$1,),))</f>
        <v/>
      </c>
      <c r="C256" s="24">
        <f>Table1346[[#This Row],[PMI]]-B255</f>
        <v/>
      </c>
    </row>
    <row r="257">
      <c r="A257" s="10" t="n">
        <v>44166</v>
      </c>
      <c r="B257" s="18">
        <f>IF(VLOOKUP(A257,'DB Country PMI'!$A:$AZ,MATCH($A$1,'DB Country PMI'!$A$1:$AZ$1,),)=0,#N/A,VLOOKUP(A257,'DB Country PMI'!$A:$AZ,MATCH($A$1,'DB Country PMI'!$A$1:$AZ$1,),))</f>
        <v/>
      </c>
      <c r="C257" s="24">
        <f>Table1346[[#This Row],[PMI]]-B256</f>
        <v/>
      </c>
    </row>
    <row r="258">
      <c r="A258" s="10" t="n">
        <v>44197</v>
      </c>
      <c r="B258" s="18">
        <f>IF(VLOOKUP(A258,'DB Country PMI'!$A:$AZ,MATCH($A$1,'DB Country PMI'!$A$1:$AZ$1,),)=0,#N/A,VLOOKUP(A258,'DB Country PMI'!$A:$AZ,MATCH($A$1,'DB Country PMI'!$A$1:$AZ$1,),))</f>
        <v/>
      </c>
      <c r="C258" s="24">
        <f>Table1346[[#This Row],[PMI]]-B257</f>
        <v/>
      </c>
    </row>
    <row r="259">
      <c r="A259" s="10" t="n">
        <v>44228</v>
      </c>
      <c r="B259" s="18">
        <f>IF(VLOOKUP(A259,'DB Country PMI'!$A:$AZ,MATCH($A$1,'DB Country PMI'!$A$1:$AZ$1,),)=0,#N/A,VLOOKUP(A259,'DB Country PMI'!$A:$AZ,MATCH($A$1,'DB Country PMI'!$A$1:$AZ$1,),))</f>
        <v/>
      </c>
      <c r="C259" s="24">
        <f>Table1346[[#This Row],[PMI]]-B258</f>
        <v/>
      </c>
    </row>
    <row r="260">
      <c r="A260" s="10" t="n">
        <v>44256</v>
      </c>
      <c r="B260" s="18">
        <f>IF(VLOOKUP(A260,'DB Country PMI'!$A:$AZ,MATCH($A$1,'DB Country PMI'!$A$1:$AZ$1,),)=0,#N/A,VLOOKUP(A260,'DB Country PMI'!$A:$AZ,MATCH($A$1,'DB Country PMI'!$A$1:$AZ$1,),))</f>
        <v/>
      </c>
      <c r="C260" s="24">
        <f>Table1346[[#This Row],[PMI]]-B259</f>
        <v/>
      </c>
    </row>
    <row r="261">
      <c r="A261" s="10" t="n">
        <v>44287</v>
      </c>
      <c r="B261" s="18">
        <f>IF(VLOOKUP(A261,'DB Country PMI'!$A:$AZ,MATCH($A$1,'DB Country PMI'!$A$1:$AZ$1,),)=0,#N/A,VLOOKUP(A261,'DB Country PMI'!$A:$AZ,MATCH($A$1,'DB Country PMI'!$A$1:$AZ$1,),))</f>
        <v/>
      </c>
      <c r="C261" s="24">
        <f>Table1346[[#This Row],[PMI]]-B260</f>
        <v/>
      </c>
    </row>
    <row r="262">
      <c r="A262" s="10" t="n">
        <v>44317</v>
      </c>
      <c r="B262" s="18">
        <f>IF(VLOOKUP(A262,'DB Country PMI'!$A:$AZ,MATCH($A$1,'DB Country PMI'!$A$1:$AZ$1,),)=0,#N/A,VLOOKUP(A262,'DB Country PMI'!$A:$AZ,MATCH($A$1,'DB Country PMI'!$A$1:$AZ$1,),))</f>
        <v/>
      </c>
      <c r="C262" s="24">
        <f>Table1346[[#This Row],[PMI]]-B261</f>
        <v/>
      </c>
    </row>
    <row r="263">
      <c r="A263" s="10" t="n">
        <v>44348</v>
      </c>
      <c r="B263" s="18">
        <f>IF(VLOOKUP(A263,'DB Country PMI'!$A:$AZ,MATCH($A$1,'DB Country PMI'!$A$1:$AZ$1,),)=0,#N/A,VLOOKUP(A263,'DB Country PMI'!$A:$AZ,MATCH($A$1,'DB Country PMI'!$A$1:$AZ$1,),))</f>
        <v/>
      </c>
      <c r="C263" s="24">
        <f>Table1346[[#This Row],[PMI]]-B262</f>
        <v/>
      </c>
    </row>
    <row r="264">
      <c r="A264" s="10" t="n">
        <v>44378</v>
      </c>
      <c r="B264" s="18">
        <f>IF(VLOOKUP(A264,'DB Country PMI'!$A:$AZ,MATCH($A$1,'DB Country PMI'!$A$1:$AZ$1,),)=0,#N/A,VLOOKUP(A264,'DB Country PMI'!$A:$AZ,MATCH($A$1,'DB Country PMI'!$A$1:$AZ$1,),))</f>
        <v/>
      </c>
      <c r="C264" s="24">
        <f>Table1346[[#This Row],[PMI]]-B263</f>
        <v/>
      </c>
    </row>
    <row r="265">
      <c r="A265" s="10" t="n">
        <v>44409</v>
      </c>
      <c r="B265" s="18">
        <f>IF(VLOOKUP(A265,'DB Country PMI'!$A:$AZ,MATCH($A$1,'DB Country PMI'!$A$1:$AZ$1,),)=0,#N/A,VLOOKUP(A265,'DB Country PMI'!$A:$AZ,MATCH($A$1,'DB Country PMI'!$A$1:$AZ$1,),))</f>
        <v/>
      </c>
      <c r="C265" s="24">
        <f>Table1346[[#This Row],[PMI]]-B264</f>
        <v/>
      </c>
    </row>
    <row r="266">
      <c r="A266" s="10" t="n">
        <v>44440</v>
      </c>
      <c r="B266" s="18">
        <f>IF(VLOOKUP(A266,'DB Country PMI'!$A:$AZ,MATCH($A$1,'DB Country PMI'!$A$1:$AZ$1,),)=0,#N/A,VLOOKUP(A266,'DB Country PMI'!$A:$AZ,MATCH($A$1,'DB Country PMI'!$A$1:$AZ$1,),))</f>
        <v/>
      </c>
      <c r="C266" s="24">
        <f>Table1346[[#This Row],[PMI]]-B265</f>
        <v/>
      </c>
    </row>
    <row r="267">
      <c r="A267" s="10" t="n">
        <v>44470</v>
      </c>
      <c r="B267" s="18">
        <f>IF(VLOOKUP(A267,'DB Country PMI'!$A:$AZ,MATCH($A$1,'DB Country PMI'!$A$1:$AZ$1,),)=0,#N/A,VLOOKUP(A267,'DB Country PMI'!$A:$AZ,MATCH($A$1,'DB Country PMI'!$A$1:$AZ$1,),))</f>
        <v/>
      </c>
      <c r="C267" s="24">
        <f>Table1346[[#This Row],[PMI]]-B266</f>
        <v/>
      </c>
    </row>
    <row r="268">
      <c r="A268" s="10" t="n">
        <v>44501</v>
      </c>
      <c r="B268" s="18">
        <f>IF(VLOOKUP(A268,'DB Country PMI'!$A:$AZ,MATCH($A$1,'DB Country PMI'!$A$1:$AZ$1,),)=0,#N/A,VLOOKUP(A268,'DB Country PMI'!$A:$AZ,MATCH($A$1,'DB Country PMI'!$A$1:$AZ$1,),))</f>
        <v/>
      </c>
      <c r="C268" s="24">
        <f>Table1346[[#This Row],[PMI]]-B267</f>
        <v/>
      </c>
    </row>
    <row r="269">
      <c r="A269" s="10" t="n">
        <v>44531</v>
      </c>
      <c r="B269" s="18">
        <f>IF(VLOOKUP(A269,'DB Country PMI'!$A:$AZ,MATCH($A$1,'DB Country PMI'!$A$1:$AZ$1,),)=0,#N/A,VLOOKUP(A269,'DB Country PMI'!$A:$AZ,MATCH($A$1,'DB Country PMI'!$A$1:$AZ$1,),))</f>
        <v/>
      </c>
      <c r="C269" s="24">
        <f>Table1346[[#This Row],[PMI]]-B268</f>
        <v/>
      </c>
    </row>
    <row r="270">
      <c r="A270" s="10" t="n">
        <v>44562</v>
      </c>
      <c r="B270" s="18">
        <f>IF(VLOOKUP(A270,'DB Country PMI'!$A:$AZ,MATCH($A$1,'DB Country PMI'!$A$1:$AZ$1,),)=0,#N/A,VLOOKUP(A270,'DB Country PMI'!$A:$AZ,MATCH($A$1,'DB Country PMI'!$A$1:$AZ$1,),))</f>
        <v/>
      </c>
      <c r="C270" s="24">
        <f>Table1346[[#This Row],[PMI]]-B269</f>
        <v/>
      </c>
    </row>
    <row r="271">
      <c r="A271" s="10" t="n">
        <v>44593</v>
      </c>
      <c r="B271" s="18">
        <f>IF(VLOOKUP(A271,'DB Country PMI'!$A:$AZ,MATCH($A$1,'DB Country PMI'!$A$1:$AZ$1,),)=0,#N/A,VLOOKUP(A271,'DB Country PMI'!$A:$AZ,MATCH($A$1,'DB Country PMI'!$A$1:$AZ$1,),))</f>
        <v/>
      </c>
      <c r="C271" s="24">
        <f>Table1346[[#This Row],[PMI]]-B270</f>
        <v/>
      </c>
    </row>
    <row r="272">
      <c r="A272" s="10" t="n">
        <v>44621</v>
      </c>
      <c r="B272" s="18">
        <f>IF(VLOOKUP(A272,'DB Country PMI'!$A:$AZ,MATCH($A$1,'DB Country PMI'!$A$1:$AZ$1,),)=0,#N/A,VLOOKUP(A272,'DB Country PMI'!$A:$AZ,MATCH($A$1,'DB Country PMI'!$A$1:$AZ$1,),))</f>
        <v/>
      </c>
      <c r="C272" s="24">
        <f>Table1346[[#This Row],[PMI]]-B271</f>
        <v/>
      </c>
    </row>
    <row r="273">
      <c r="A273" s="10" t="n">
        <v>44652</v>
      </c>
      <c r="B273" s="18">
        <f>IF(VLOOKUP(A273,'DB Country PMI'!$A:$AZ,MATCH($A$1,'DB Country PMI'!$A$1:$AZ$1,),)=0,#N/A,VLOOKUP(A273,'DB Country PMI'!$A:$AZ,MATCH($A$1,'DB Country PMI'!$A$1:$AZ$1,),))</f>
        <v/>
      </c>
      <c r="C273" s="24">
        <f>Table1346[[#This Row],[PMI]]-B272</f>
        <v/>
      </c>
    </row>
    <row r="274">
      <c r="A274" s="10" t="n">
        <v>44682</v>
      </c>
      <c r="B274" s="18">
        <f>IF(VLOOKUP(A274,'DB Country PMI'!$A:$AZ,MATCH($A$1,'DB Country PMI'!$A$1:$AZ$1,),)=0,#N/A,VLOOKUP(A274,'DB Country PMI'!$A:$AZ,MATCH($A$1,'DB Country PMI'!$A$1:$AZ$1,),))</f>
        <v/>
      </c>
      <c r="C274" s="24">
        <f>Table1346[[#This Row],[PMI]]-B273</f>
        <v/>
      </c>
    </row>
    <row r="275">
      <c r="A275" s="10" t="n">
        <v>44713</v>
      </c>
      <c r="B275" s="18">
        <f>IF(VLOOKUP(A275,'DB Country PMI'!$A:$AZ,MATCH($A$1,'DB Country PMI'!$A$1:$AZ$1,),)=0,#N/A,VLOOKUP(A275,'DB Country PMI'!$A:$AZ,MATCH($A$1,'DB Country PMI'!$A$1:$AZ$1,),))</f>
        <v/>
      </c>
      <c r="C275" s="24">
        <f>Table1346[[#This Row],[PMI]]-B274</f>
        <v/>
      </c>
    </row>
    <row r="276">
      <c r="A276" s="10" t="n">
        <v>44743</v>
      </c>
      <c r="B276" s="18">
        <f>IF(VLOOKUP(A276,'DB Country PMI'!$A:$AZ,MATCH($A$1,'DB Country PMI'!$A$1:$AZ$1,),)=0,#N/A,VLOOKUP(A276,'DB Country PMI'!$A:$AZ,MATCH($A$1,'DB Country PMI'!$A$1:$AZ$1,),))</f>
        <v/>
      </c>
      <c r="C276" s="24">
        <f>Table1346[[#This Row],[PMI]]-B275</f>
        <v/>
      </c>
    </row>
    <row r="277">
      <c r="A277" s="10" t="n">
        <v>44774</v>
      </c>
      <c r="B277" s="18">
        <f>IF(VLOOKUP(A277,'DB Country PMI'!$A:$AZ,MATCH($A$1,'DB Country PMI'!$A$1:$AZ$1,),)=0,#N/A,VLOOKUP(A277,'DB Country PMI'!$A:$AZ,MATCH($A$1,'DB Country PMI'!$A$1:$AZ$1,),))</f>
        <v/>
      </c>
      <c r="C277" s="24">
        <f>Table1346[[#This Row],[PMI]]-B276</f>
        <v/>
      </c>
    </row>
    <row r="278">
      <c r="A278" s="10" t="n">
        <v>44805</v>
      </c>
      <c r="B278" s="18">
        <f>IF(VLOOKUP(A278,'DB Country PMI'!$A:$AZ,MATCH($A$1,'DB Country PMI'!$A$1:$AZ$1,),)=0,#N/A,VLOOKUP(A278,'DB Country PMI'!$A:$AZ,MATCH($A$1,'DB Country PMI'!$A$1:$AZ$1,),))</f>
        <v/>
      </c>
      <c r="C278" s="24">
        <f>Table1346[[#This Row],[PMI]]-B277</f>
        <v/>
      </c>
    </row>
    <row r="279">
      <c r="A279" s="10" t="n">
        <v>44835</v>
      </c>
      <c r="B279" s="18">
        <f>IF(VLOOKUP(A279,'DB Country PMI'!$A:$AZ,MATCH($A$1,'DB Country PMI'!$A$1:$AZ$1,),)=0,#N/A,VLOOKUP(A279,'DB Country PMI'!$A:$AZ,MATCH($A$1,'DB Country PMI'!$A$1:$AZ$1,),))</f>
        <v/>
      </c>
      <c r="C279" s="24">
        <f>Table1346[[#This Row],[PMI]]-B278</f>
        <v/>
      </c>
    </row>
    <row r="280">
      <c r="A280" s="10" t="n">
        <v>44866</v>
      </c>
      <c r="B280" s="18">
        <f>IF(VLOOKUP(A280,'DB Country PMI'!$A:$AZ,MATCH($A$1,'DB Country PMI'!$A$1:$AZ$1,),)=0,#N/A,VLOOKUP(A280,'DB Country PMI'!$A:$AZ,MATCH($A$1,'DB Country PMI'!$A$1:$AZ$1,),))</f>
        <v/>
      </c>
      <c r="C280" s="24">
        <f>Table1346[[#This Row],[PMI]]-B279</f>
        <v/>
      </c>
    </row>
  </sheetData>
  <conditionalFormatting sqref="C126:C280">
    <cfRule type="colorScale" priority="59">
      <colorScale>
        <cfvo type="min"/>
        <cfvo type="percentile" val="50"/>
        <cfvo type="max"/>
        <color rgb="FFF8696B"/>
        <color rgb="FFFCFCFF"/>
        <color rgb="FF5A8AC6"/>
      </colorScale>
    </cfRule>
  </conditionalFormatting>
  <conditionalFormatting sqref="B126:B28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5.xml><?xml version="1.0" encoding="utf-8"?>
<worksheet xmlns="http://schemas.openxmlformats.org/spreadsheetml/2006/main">
  <sheetPr>
    <outlinePr summaryBelow="1" summaryRight="1"/>
    <pageSetUpPr/>
  </sheetPr>
  <dimension ref="A1:K130"/>
  <sheetViews>
    <sheetView zoomScale="70" zoomScaleNormal="70" workbookViewId="0">
      <pane ySplit="5" topLeftCell="A109" activePane="bottomLeft" state="frozen"/>
      <selection pane="bottomLeft" activeCell="T129" sqref="T129"/>
    </sheetView>
  </sheetViews>
  <sheetFormatPr baseColWidth="8" defaultColWidth="9.1796875" defaultRowHeight="14.5"/>
  <cols>
    <col width="13.453125" customWidth="1" style="69" min="1" max="1"/>
    <col width="11.36328125" customWidth="1" style="69" min="2" max="2"/>
    <col width="9.1796875" customWidth="1" style="69" min="3" max="51"/>
    <col width="9.1796875" customWidth="1" style="69" min="52" max="16384"/>
  </cols>
  <sheetData>
    <row r="1">
      <c r="A1" s="69" t="inlineStr">
        <is>
          <t>Hong Kong</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41061</v>
      </c>
      <c r="B6" s="18">
        <f>IF(VLOOKUP(A6,'DB Country PMI'!$A:$AZ,MATCH($A$1,'DB Country PMI'!$A$1:$AZ$1,),)=0,#N/A,VLOOKUP(A6,'DB Country PMI'!$A:$AZ,MATCH($A$1,'DB Country PMI'!$A$1:$AZ$1,),))</f>
        <v/>
      </c>
      <c r="C6" s="18" t="n"/>
    </row>
    <row r="7">
      <c r="A7" s="10" t="n">
        <v>41091</v>
      </c>
      <c r="B7" s="18">
        <f>IF(VLOOKUP(A7,'DB Country PMI'!$A:$AZ,MATCH($A$1,'DB Country PMI'!$A$1:$AZ$1,),)=0,#N/A,VLOOKUP(A7,'DB Country PMI'!$A:$AZ,MATCH($A$1,'DB Country PMI'!$A$1:$AZ$1,),))</f>
        <v/>
      </c>
      <c r="C7" s="24">
        <f>Table13467[[#This Row],[PMI]]-B6</f>
        <v/>
      </c>
    </row>
    <row r="8">
      <c r="A8" s="10" t="n">
        <v>41122</v>
      </c>
      <c r="B8" s="18">
        <f>IF(VLOOKUP(A8,'DB Country PMI'!$A:$AZ,MATCH($A$1,'DB Country PMI'!$A$1:$AZ$1,),)=0,#N/A,VLOOKUP(A8,'DB Country PMI'!$A:$AZ,MATCH($A$1,'DB Country PMI'!$A$1:$AZ$1,),))</f>
        <v/>
      </c>
      <c r="C8" s="24">
        <f>Table13467[[#This Row],[PMI]]-B7</f>
        <v/>
      </c>
    </row>
    <row r="9">
      <c r="A9" s="10" t="n">
        <v>41153</v>
      </c>
      <c r="B9" s="18">
        <f>IF(VLOOKUP(A9,'DB Country PMI'!$A:$AZ,MATCH($A$1,'DB Country PMI'!$A$1:$AZ$1,),)=0,#N/A,VLOOKUP(A9,'DB Country PMI'!$A:$AZ,MATCH($A$1,'DB Country PMI'!$A$1:$AZ$1,),))</f>
        <v/>
      </c>
      <c r="C9" s="24">
        <f>Table13467[[#This Row],[PMI]]-B8</f>
        <v/>
      </c>
    </row>
    <row r="10">
      <c r="A10" s="10" t="n">
        <v>41183</v>
      </c>
      <c r="B10" s="18">
        <f>IF(VLOOKUP(A10,'DB Country PMI'!$A:$AZ,MATCH($A$1,'DB Country PMI'!$A$1:$AZ$1,),)=0,#N/A,VLOOKUP(A10,'DB Country PMI'!$A:$AZ,MATCH($A$1,'DB Country PMI'!$A$1:$AZ$1,),))</f>
        <v/>
      </c>
      <c r="C10" s="24">
        <f>Table13467[[#This Row],[PMI]]-B9</f>
        <v/>
      </c>
    </row>
    <row r="11">
      <c r="A11" s="10" t="n">
        <v>41214</v>
      </c>
      <c r="B11" s="18">
        <f>IF(VLOOKUP(A11,'DB Country PMI'!$A:$AZ,MATCH($A$1,'DB Country PMI'!$A$1:$AZ$1,),)=0,#N/A,VLOOKUP(A11,'DB Country PMI'!$A:$AZ,MATCH($A$1,'DB Country PMI'!$A$1:$AZ$1,),))</f>
        <v/>
      </c>
      <c r="C11" s="24">
        <f>Table13467[[#This Row],[PMI]]-B10</f>
        <v/>
      </c>
    </row>
    <row r="12">
      <c r="A12" s="10" t="n">
        <v>41244</v>
      </c>
      <c r="B12" s="18">
        <f>IF(VLOOKUP(A12,'DB Country PMI'!$A:$AZ,MATCH($A$1,'DB Country PMI'!$A$1:$AZ$1,),)=0,#N/A,VLOOKUP(A12,'DB Country PMI'!$A:$AZ,MATCH($A$1,'DB Country PMI'!$A$1:$AZ$1,),))</f>
        <v/>
      </c>
      <c r="C12" s="24">
        <f>Table13467[[#This Row],[PMI]]-B11</f>
        <v/>
      </c>
    </row>
    <row r="13">
      <c r="A13" s="10" t="n">
        <v>41275</v>
      </c>
      <c r="B13" s="18">
        <f>IF(VLOOKUP(A13,'DB Country PMI'!$A:$AZ,MATCH($A$1,'DB Country PMI'!$A$1:$AZ$1,),)=0,#N/A,VLOOKUP(A13,'DB Country PMI'!$A:$AZ,MATCH($A$1,'DB Country PMI'!$A$1:$AZ$1,),))</f>
        <v/>
      </c>
      <c r="C13" s="24">
        <f>Table13467[[#This Row],[PMI]]-B12</f>
        <v/>
      </c>
    </row>
    <row r="14">
      <c r="A14" s="10" t="n">
        <v>41306</v>
      </c>
      <c r="B14" s="18">
        <f>IF(VLOOKUP(A14,'DB Country PMI'!$A:$AZ,MATCH($A$1,'DB Country PMI'!$A$1:$AZ$1,),)=0,#N/A,VLOOKUP(A14,'DB Country PMI'!$A:$AZ,MATCH($A$1,'DB Country PMI'!$A$1:$AZ$1,),))</f>
        <v/>
      </c>
      <c r="C14" s="24">
        <f>Table13467[[#This Row],[PMI]]-B13</f>
        <v/>
      </c>
    </row>
    <row r="15">
      <c r="A15" s="10" t="n">
        <v>41334</v>
      </c>
      <c r="B15" s="18">
        <f>IF(VLOOKUP(A15,'DB Country PMI'!$A:$AZ,MATCH($A$1,'DB Country PMI'!$A$1:$AZ$1,),)=0,#N/A,VLOOKUP(A15,'DB Country PMI'!$A:$AZ,MATCH($A$1,'DB Country PMI'!$A$1:$AZ$1,),))</f>
        <v/>
      </c>
      <c r="C15" s="24">
        <f>Table13467[[#This Row],[PMI]]-B14</f>
        <v/>
      </c>
    </row>
    <row r="16">
      <c r="A16" s="10" t="n">
        <v>41365</v>
      </c>
      <c r="B16" s="18">
        <f>IF(VLOOKUP(A16,'DB Country PMI'!$A:$AZ,MATCH($A$1,'DB Country PMI'!$A$1:$AZ$1,),)=0,#N/A,VLOOKUP(A16,'DB Country PMI'!$A:$AZ,MATCH($A$1,'DB Country PMI'!$A$1:$AZ$1,),))</f>
        <v/>
      </c>
      <c r="C16" s="24">
        <f>Table13467[[#This Row],[PMI]]-B15</f>
        <v/>
      </c>
    </row>
    <row r="17">
      <c r="A17" s="10" t="n">
        <v>41395</v>
      </c>
      <c r="B17" s="18">
        <f>IF(VLOOKUP(A17,'DB Country PMI'!$A:$AZ,MATCH($A$1,'DB Country PMI'!$A$1:$AZ$1,),)=0,#N/A,VLOOKUP(A17,'DB Country PMI'!$A:$AZ,MATCH($A$1,'DB Country PMI'!$A$1:$AZ$1,),))</f>
        <v/>
      </c>
      <c r="C17" s="24">
        <f>Table13467[[#This Row],[PMI]]-B16</f>
        <v/>
      </c>
    </row>
    <row r="18">
      <c r="A18" s="10" t="n">
        <v>41426</v>
      </c>
      <c r="B18" s="18">
        <f>IF(VLOOKUP(A18,'DB Country PMI'!$A:$AZ,MATCH($A$1,'DB Country PMI'!$A$1:$AZ$1,),)=0,#N/A,VLOOKUP(A18,'DB Country PMI'!$A:$AZ,MATCH($A$1,'DB Country PMI'!$A$1:$AZ$1,),))</f>
        <v/>
      </c>
      <c r="C18" s="24">
        <f>Table13467[[#This Row],[PMI]]-B17</f>
        <v/>
      </c>
    </row>
    <row r="19">
      <c r="A19" s="10" t="n">
        <v>41456</v>
      </c>
      <c r="B19" s="18">
        <f>IF(VLOOKUP(A19,'DB Country PMI'!$A:$AZ,MATCH($A$1,'DB Country PMI'!$A$1:$AZ$1,),)=0,#N/A,VLOOKUP(A19,'DB Country PMI'!$A:$AZ,MATCH($A$1,'DB Country PMI'!$A$1:$AZ$1,),))</f>
        <v/>
      </c>
      <c r="C19" s="24">
        <f>Table13467[[#This Row],[PMI]]-B18</f>
        <v/>
      </c>
    </row>
    <row r="20">
      <c r="A20" s="10" t="n">
        <v>41487</v>
      </c>
      <c r="B20" s="18">
        <f>IF(VLOOKUP(A20,'DB Country PMI'!$A:$AZ,MATCH($A$1,'DB Country PMI'!$A$1:$AZ$1,),)=0,#N/A,VLOOKUP(A20,'DB Country PMI'!$A:$AZ,MATCH($A$1,'DB Country PMI'!$A$1:$AZ$1,),))</f>
        <v/>
      </c>
      <c r="C20" s="24">
        <f>Table13467[[#This Row],[PMI]]-B19</f>
        <v/>
      </c>
    </row>
    <row r="21">
      <c r="A21" s="10" t="n">
        <v>41518</v>
      </c>
      <c r="B21" s="18">
        <f>IF(VLOOKUP(A21,'DB Country PMI'!$A:$AZ,MATCH($A$1,'DB Country PMI'!$A$1:$AZ$1,),)=0,#N/A,VLOOKUP(A21,'DB Country PMI'!$A:$AZ,MATCH($A$1,'DB Country PMI'!$A$1:$AZ$1,),))</f>
        <v/>
      </c>
      <c r="C21" s="24">
        <f>Table13467[[#This Row],[PMI]]-B20</f>
        <v/>
      </c>
    </row>
    <row r="22">
      <c r="A22" s="10" t="n">
        <v>41548</v>
      </c>
      <c r="B22" s="18">
        <f>IF(VLOOKUP(A22,'DB Country PMI'!$A:$AZ,MATCH($A$1,'DB Country PMI'!$A$1:$AZ$1,),)=0,#N/A,VLOOKUP(A22,'DB Country PMI'!$A:$AZ,MATCH($A$1,'DB Country PMI'!$A$1:$AZ$1,),))</f>
        <v/>
      </c>
      <c r="C22" s="24">
        <f>Table13467[[#This Row],[PMI]]-B21</f>
        <v/>
      </c>
    </row>
    <row r="23">
      <c r="A23" s="10" t="n">
        <v>41579</v>
      </c>
      <c r="B23" s="18">
        <f>IF(VLOOKUP(A23,'DB Country PMI'!$A:$AZ,MATCH($A$1,'DB Country PMI'!$A$1:$AZ$1,),)=0,#N/A,VLOOKUP(A23,'DB Country PMI'!$A:$AZ,MATCH($A$1,'DB Country PMI'!$A$1:$AZ$1,),))</f>
        <v/>
      </c>
      <c r="C23" s="24">
        <f>Table13467[[#This Row],[PMI]]-B22</f>
        <v/>
      </c>
    </row>
    <row r="24">
      <c r="A24" s="10" t="n">
        <v>41609</v>
      </c>
      <c r="B24" s="18">
        <f>IF(VLOOKUP(A24,'DB Country PMI'!$A:$AZ,MATCH($A$1,'DB Country PMI'!$A$1:$AZ$1,),)=0,#N/A,VLOOKUP(A24,'DB Country PMI'!$A:$AZ,MATCH($A$1,'DB Country PMI'!$A$1:$AZ$1,),))</f>
        <v/>
      </c>
      <c r="C24" s="24">
        <f>Table13467[[#This Row],[PMI]]-B23</f>
        <v/>
      </c>
    </row>
    <row r="25">
      <c r="A25" s="10" t="n">
        <v>41640</v>
      </c>
      <c r="B25" s="18">
        <f>IF(VLOOKUP(A25,'DB Country PMI'!$A:$AZ,MATCH($A$1,'DB Country PMI'!$A$1:$AZ$1,),)=0,#N/A,VLOOKUP(A25,'DB Country PMI'!$A:$AZ,MATCH($A$1,'DB Country PMI'!$A$1:$AZ$1,),))</f>
        <v/>
      </c>
      <c r="C25" s="24">
        <f>Table13467[[#This Row],[PMI]]-B24</f>
        <v/>
      </c>
    </row>
    <row r="26">
      <c r="A26" s="10" t="n">
        <v>41671</v>
      </c>
      <c r="B26" s="18">
        <f>IF(VLOOKUP(A26,'DB Country PMI'!$A:$AZ,MATCH($A$1,'DB Country PMI'!$A$1:$AZ$1,),)=0,#N/A,VLOOKUP(A26,'DB Country PMI'!$A:$AZ,MATCH($A$1,'DB Country PMI'!$A$1:$AZ$1,),))</f>
        <v/>
      </c>
      <c r="C26" s="24">
        <f>Table13467[[#This Row],[PMI]]-B25</f>
        <v/>
      </c>
    </row>
    <row r="27">
      <c r="A27" s="10" t="n">
        <v>41699</v>
      </c>
      <c r="B27" s="18">
        <f>IF(VLOOKUP(A27,'DB Country PMI'!$A:$AZ,MATCH($A$1,'DB Country PMI'!$A$1:$AZ$1,),)=0,#N/A,VLOOKUP(A27,'DB Country PMI'!$A:$AZ,MATCH($A$1,'DB Country PMI'!$A$1:$AZ$1,),))</f>
        <v/>
      </c>
      <c r="C27" s="24">
        <f>Table13467[[#This Row],[PMI]]-B26</f>
        <v/>
      </c>
    </row>
    <row r="28">
      <c r="A28" s="10" t="n">
        <v>41730</v>
      </c>
      <c r="B28" s="18">
        <f>IF(VLOOKUP(A28,'DB Country PMI'!$A:$AZ,MATCH($A$1,'DB Country PMI'!$A$1:$AZ$1,),)=0,#N/A,VLOOKUP(A28,'DB Country PMI'!$A:$AZ,MATCH($A$1,'DB Country PMI'!$A$1:$AZ$1,),))</f>
        <v/>
      </c>
      <c r="C28" s="24">
        <f>Table13467[[#This Row],[PMI]]-B27</f>
        <v/>
      </c>
    </row>
    <row r="29">
      <c r="A29" s="10" t="n">
        <v>41760</v>
      </c>
      <c r="B29" s="18">
        <f>IF(VLOOKUP(A29,'DB Country PMI'!$A:$AZ,MATCH($A$1,'DB Country PMI'!$A$1:$AZ$1,),)=0,#N/A,VLOOKUP(A29,'DB Country PMI'!$A:$AZ,MATCH($A$1,'DB Country PMI'!$A$1:$AZ$1,),))</f>
        <v/>
      </c>
      <c r="C29" s="24">
        <f>Table13467[[#This Row],[PMI]]-B28</f>
        <v/>
      </c>
    </row>
    <row r="30">
      <c r="A30" s="10" t="n">
        <v>41791</v>
      </c>
      <c r="B30" s="18">
        <f>IF(VLOOKUP(A30,'DB Country PMI'!$A:$AZ,MATCH($A$1,'DB Country PMI'!$A$1:$AZ$1,),)=0,#N/A,VLOOKUP(A30,'DB Country PMI'!$A:$AZ,MATCH($A$1,'DB Country PMI'!$A$1:$AZ$1,),))</f>
        <v/>
      </c>
      <c r="C30" s="24">
        <f>Table13467[[#This Row],[PMI]]-B29</f>
        <v/>
      </c>
    </row>
    <row r="31">
      <c r="A31" s="10" t="n">
        <v>41821</v>
      </c>
      <c r="B31" s="18">
        <f>IF(VLOOKUP(A31,'DB Country PMI'!$A:$AZ,MATCH($A$1,'DB Country PMI'!$A$1:$AZ$1,),)=0,#N/A,VLOOKUP(A31,'DB Country PMI'!$A:$AZ,MATCH($A$1,'DB Country PMI'!$A$1:$AZ$1,),))</f>
        <v/>
      </c>
      <c r="C31" s="24">
        <f>Table13467[[#This Row],[PMI]]-B30</f>
        <v/>
      </c>
    </row>
    <row r="32">
      <c r="A32" s="10" t="n">
        <v>41852</v>
      </c>
      <c r="B32" s="18">
        <f>IF(VLOOKUP(A32,'DB Country PMI'!$A:$AZ,MATCH($A$1,'DB Country PMI'!$A$1:$AZ$1,),)=0,#N/A,VLOOKUP(A32,'DB Country PMI'!$A:$AZ,MATCH($A$1,'DB Country PMI'!$A$1:$AZ$1,),))</f>
        <v/>
      </c>
      <c r="C32" s="24">
        <f>Table13467[[#This Row],[PMI]]-B31</f>
        <v/>
      </c>
    </row>
    <row r="33">
      <c r="A33" s="10" t="n">
        <v>41883</v>
      </c>
      <c r="B33" s="18">
        <f>IF(VLOOKUP(A33,'DB Country PMI'!$A:$AZ,MATCH($A$1,'DB Country PMI'!$A$1:$AZ$1,),)=0,#N/A,VLOOKUP(A33,'DB Country PMI'!$A:$AZ,MATCH($A$1,'DB Country PMI'!$A$1:$AZ$1,),))</f>
        <v/>
      </c>
      <c r="C33" s="24">
        <f>Table13467[[#This Row],[PMI]]-B32</f>
        <v/>
      </c>
    </row>
    <row r="34">
      <c r="A34" s="10" t="n">
        <v>41913</v>
      </c>
      <c r="B34" s="18">
        <f>IF(VLOOKUP(A34,'DB Country PMI'!$A:$AZ,MATCH($A$1,'DB Country PMI'!$A$1:$AZ$1,),)=0,#N/A,VLOOKUP(A34,'DB Country PMI'!$A:$AZ,MATCH($A$1,'DB Country PMI'!$A$1:$AZ$1,),))</f>
        <v/>
      </c>
      <c r="C34" s="24">
        <f>Table13467[[#This Row],[PMI]]-B33</f>
        <v/>
      </c>
    </row>
    <row r="35">
      <c r="A35" s="10" t="n">
        <v>41944</v>
      </c>
      <c r="B35" s="18">
        <f>IF(VLOOKUP(A35,'DB Country PMI'!$A:$AZ,MATCH($A$1,'DB Country PMI'!$A$1:$AZ$1,),)=0,#N/A,VLOOKUP(A35,'DB Country PMI'!$A:$AZ,MATCH($A$1,'DB Country PMI'!$A$1:$AZ$1,),))</f>
        <v/>
      </c>
      <c r="C35" s="24">
        <f>Table13467[[#This Row],[PMI]]-B34</f>
        <v/>
      </c>
    </row>
    <row r="36">
      <c r="A36" s="10" t="n">
        <v>41974</v>
      </c>
      <c r="B36" s="18">
        <f>IF(VLOOKUP(A36,'DB Country PMI'!$A:$AZ,MATCH($A$1,'DB Country PMI'!$A$1:$AZ$1,),)=0,#N/A,VLOOKUP(A36,'DB Country PMI'!$A:$AZ,MATCH($A$1,'DB Country PMI'!$A$1:$AZ$1,),))</f>
        <v/>
      </c>
      <c r="C36" s="24">
        <f>Table13467[[#This Row],[PMI]]-B35</f>
        <v/>
      </c>
    </row>
    <row r="37">
      <c r="A37" s="10" t="n">
        <v>42005</v>
      </c>
      <c r="B37" s="18">
        <f>IF(VLOOKUP(A37,'DB Country PMI'!$A:$AZ,MATCH($A$1,'DB Country PMI'!$A$1:$AZ$1,),)=0,#N/A,VLOOKUP(A37,'DB Country PMI'!$A:$AZ,MATCH($A$1,'DB Country PMI'!$A$1:$AZ$1,),))</f>
        <v/>
      </c>
      <c r="C37" s="24">
        <f>Table13467[[#This Row],[PMI]]-B36</f>
        <v/>
      </c>
    </row>
    <row r="38">
      <c r="A38" s="10" t="n">
        <v>42036</v>
      </c>
      <c r="B38" s="18">
        <f>IF(VLOOKUP(A38,'DB Country PMI'!$A:$AZ,MATCH($A$1,'DB Country PMI'!$A$1:$AZ$1,),)=0,#N/A,VLOOKUP(A38,'DB Country PMI'!$A:$AZ,MATCH($A$1,'DB Country PMI'!$A$1:$AZ$1,),))</f>
        <v/>
      </c>
      <c r="C38" s="24">
        <f>Table13467[[#This Row],[PMI]]-B37</f>
        <v/>
      </c>
    </row>
    <row r="39">
      <c r="A39" s="10" t="n">
        <v>42064</v>
      </c>
      <c r="B39" s="18">
        <f>IF(VLOOKUP(A39,'DB Country PMI'!$A:$AZ,MATCH($A$1,'DB Country PMI'!$A$1:$AZ$1,),)=0,#N/A,VLOOKUP(A39,'DB Country PMI'!$A:$AZ,MATCH($A$1,'DB Country PMI'!$A$1:$AZ$1,),))</f>
        <v/>
      </c>
      <c r="C39" s="24">
        <f>Table13467[[#This Row],[PMI]]-B38</f>
        <v/>
      </c>
    </row>
    <row r="40">
      <c r="A40" s="10" t="n">
        <v>42095</v>
      </c>
      <c r="B40" s="18">
        <f>IF(VLOOKUP(A40,'DB Country PMI'!$A:$AZ,MATCH($A$1,'DB Country PMI'!$A$1:$AZ$1,),)=0,#N/A,VLOOKUP(A40,'DB Country PMI'!$A:$AZ,MATCH($A$1,'DB Country PMI'!$A$1:$AZ$1,),))</f>
        <v/>
      </c>
      <c r="C40" s="24">
        <f>Table13467[[#This Row],[PMI]]-B39</f>
        <v/>
      </c>
    </row>
    <row r="41">
      <c r="A41" s="10" t="n">
        <v>42125</v>
      </c>
      <c r="B41" s="18">
        <f>IF(VLOOKUP(A41,'DB Country PMI'!$A:$AZ,MATCH($A$1,'DB Country PMI'!$A$1:$AZ$1,),)=0,#N/A,VLOOKUP(A41,'DB Country PMI'!$A:$AZ,MATCH($A$1,'DB Country PMI'!$A$1:$AZ$1,),))</f>
        <v/>
      </c>
      <c r="C41" s="24">
        <f>Table13467[[#This Row],[PMI]]-B40</f>
        <v/>
      </c>
    </row>
    <row r="42">
      <c r="A42" s="10" t="n">
        <v>42156</v>
      </c>
      <c r="B42" s="18">
        <f>IF(VLOOKUP(A42,'DB Country PMI'!$A:$AZ,MATCH($A$1,'DB Country PMI'!$A$1:$AZ$1,),)=0,#N/A,VLOOKUP(A42,'DB Country PMI'!$A:$AZ,MATCH($A$1,'DB Country PMI'!$A$1:$AZ$1,),))</f>
        <v/>
      </c>
      <c r="C42" s="24">
        <f>Table13467[[#This Row],[PMI]]-B41</f>
        <v/>
      </c>
    </row>
    <row r="43">
      <c r="A43" s="10" t="n">
        <v>42186</v>
      </c>
      <c r="B43" s="18">
        <f>IF(VLOOKUP(A43,'DB Country PMI'!$A:$AZ,MATCH($A$1,'DB Country PMI'!$A$1:$AZ$1,),)=0,#N/A,VLOOKUP(A43,'DB Country PMI'!$A:$AZ,MATCH($A$1,'DB Country PMI'!$A$1:$AZ$1,),))</f>
        <v/>
      </c>
      <c r="C43" s="24">
        <f>Table13467[[#This Row],[PMI]]-B42</f>
        <v/>
      </c>
    </row>
    <row r="44">
      <c r="A44" s="10" t="n">
        <v>42217</v>
      </c>
      <c r="B44" s="18">
        <f>IF(VLOOKUP(A44,'DB Country PMI'!$A:$AZ,MATCH($A$1,'DB Country PMI'!$A$1:$AZ$1,),)=0,#N/A,VLOOKUP(A44,'DB Country PMI'!$A:$AZ,MATCH($A$1,'DB Country PMI'!$A$1:$AZ$1,),))</f>
        <v/>
      </c>
      <c r="C44" s="24">
        <f>Table13467[[#This Row],[PMI]]-B43</f>
        <v/>
      </c>
    </row>
    <row r="45">
      <c r="A45" s="10" t="n">
        <v>42248</v>
      </c>
      <c r="B45" s="18">
        <f>IF(VLOOKUP(A45,'DB Country PMI'!$A:$AZ,MATCH($A$1,'DB Country PMI'!$A$1:$AZ$1,),)=0,#N/A,VLOOKUP(A45,'DB Country PMI'!$A:$AZ,MATCH($A$1,'DB Country PMI'!$A$1:$AZ$1,),))</f>
        <v/>
      </c>
      <c r="C45" s="24">
        <f>Table13467[[#This Row],[PMI]]-B44</f>
        <v/>
      </c>
    </row>
    <row r="46">
      <c r="A46" s="10" t="n">
        <v>42278</v>
      </c>
      <c r="B46" s="18">
        <f>IF(VLOOKUP(A46,'DB Country PMI'!$A:$AZ,MATCH($A$1,'DB Country PMI'!$A$1:$AZ$1,),)=0,#N/A,VLOOKUP(A46,'DB Country PMI'!$A:$AZ,MATCH($A$1,'DB Country PMI'!$A$1:$AZ$1,),))</f>
        <v/>
      </c>
      <c r="C46" s="24">
        <f>Table13467[[#This Row],[PMI]]-B45</f>
        <v/>
      </c>
    </row>
    <row r="47">
      <c r="A47" s="10" t="n">
        <v>42309</v>
      </c>
      <c r="B47" s="18">
        <f>IF(VLOOKUP(A47,'DB Country PMI'!$A:$AZ,MATCH($A$1,'DB Country PMI'!$A$1:$AZ$1,),)=0,#N/A,VLOOKUP(A47,'DB Country PMI'!$A:$AZ,MATCH($A$1,'DB Country PMI'!$A$1:$AZ$1,),))</f>
        <v/>
      </c>
      <c r="C47" s="24">
        <f>Table13467[[#This Row],[PMI]]-B46</f>
        <v/>
      </c>
    </row>
    <row r="48">
      <c r="A48" s="10" t="n">
        <v>42339</v>
      </c>
      <c r="B48" s="18">
        <f>IF(VLOOKUP(A48,'DB Country PMI'!$A:$AZ,MATCH($A$1,'DB Country PMI'!$A$1:$AZ$1,),)=0,#N/A,VLOOKUP(A48,'DB Country PMI'!$A:$AZ,MATCH($A$1,'DB Country PMI'!$A$1:$AZ$1,),))</f>
        <v/>
      </c>
      <c r="C48" s="24">
        <f>Table13467[[#This Row],[PMI]]-B47</f>
        <v/>
      </c>
    </row>
    <row r="49">
      <c r="A49" s="10" t="n">
        <v>42370</v>
      </c>
      <c r="B49" s="18">
        <f>IF(VLOOKUP(A49,'DB Country PMI'!$A:$AZ,MATCH($A$1,'DB Country PMI'!$A$1:$AZ$1,),)=0,#N/A,VLOOKUP(A49,'DB Country PMI'!$A:$AZ,MATCH($A$1,'DB Country PMI'!$A$1:$AZ$1,),))</f>
        <v/>
      </c>
      <c r="C49" s="24">
        <f>Table13467[[#This Row],[PMI]]-B48</f>
        <v/>
      </c>
    </row>
    <row r="50">
      <c r="A50" s="10" t="n">
        <v>42401</v>
      </c>
      <c r="B50" s="18">
        <f>IF(VLOOKUP(A50,'DB Country PMI'!$A:$AZ,MATCH($A$1,'DB Country PMI'!$A$1:$AZ$1,),)=0,#N/A,VLOOKUP(A50,'DB Country PMI'!$A:$AZ,MATCH($A$1,'DB Country PMI'!$A$1:$AZ$1,),))</f>
        <v/>
      </c>
      <c r="C50" s="24">
        <f>Table13467[[#This Row],[PMI]]-B49</f>
        <v/>
      </c>
    </row>
    <row r="51">
      <c r="A51" s="10" t="n">
        <v>42430</v>
      </c>
      <c r="B51" s="18">
        <f>IF(VLOOKUP(A51,'DB Country PMI'!$A:$AZ,MATCH($A$1,'DB Country PMI'!$A$1:$AZ$1,),)=0,#N/A,VLOOKUP(A51,'DB Country PMI'!$A:$AZ,MATCH($A$1,'DB Country PMI'!$A$1:$AZ$1,),))</f>
        <v/>
      </c>
      <c r="C51" s="24">
        <f>Table13467[[#This Row],[PMI]]-B50</f>
        <v/>
      </c>
    </row>
    <row r="52">
      <c r="A52" s="10" t="n">
        <v>42461</v>
      </c>
      <c r="B52" s="18">
        <f>IF(VLOOKUP(A52,'DB Country PMI'!$A:$AZ,MATCH($A$1,'DB Country PMI'!$A$1:$AZ$1,),)=0,#N/A,VLOOKUP(A52,'DB Country PMI'!$A:$AZ,MATCH($A$1,'DB Country PMI'!$A$1:$AZ$1,),))</f>
        <v/>
      </c>
      <c r="C52" s="24">
        <f>Table13467[[#This Row],[PMI]]-B51</f>
        <v/>
      </c>
    </row>
    <row r="53">
      <c r="A53" s="10" t="n">
        <v>42491</v>
      </c>
      <c r="B53" s="18">
        <f>IF(VLOOKUP(A53,'DB Country PMI'!$A:$AZ,MATCH($A$1,'DB Country PMI'!$A$1:$AZ$1,),)=0,#N/A,VLOOKUP(A53,'DB Country PMI'!$A:$AZ,MATCH($A$1,'DB Country PMI'!$A$1:$AZ$1,),))</f>
        <v/>
      </c>
      <c r="C53" s="24">
        <f>Table13467[[#This Row],[PMI]]-B52</f>
        <v/>
      </c>
    </row>
    <row r="54">
      <c r="A54" s="10" t="n">
        <v>42522</v>
      </c>
      <c r="B54" s="18">
        <f>IF(VLOOKUP(A54,'DB Country PMI'!$A:$AZ,MATCH($A$1,'DB Country PMI'!$A$1:$AZ$1,),)=0,#N/A,VLOOKUP(A54,'DB Country PMI'!$A:$AZ,MATCH($A$1,'DB Country PMI'!$A$1:$AZ$1,),))</f>
        <v/>
      </c>
      <c r="C54" s="24">
        <f>Table13467[[#This Row],[PMI]]-B53</f>
        <v/>
      </c>
    </row>
    <row r="55">
      <c r="A55" s="10" t="n">
        <v>42552</v>
      </c>
      <c r="B55" s="18">
        <f>IF(VLOOKUP(A55,'DB Country PMI'!$A:$AZ,MATCH($A$1,'DB Country PMI'!$A$1:$AZ$1,),)=0,#N/A,VLOOKUP(A55,'DB Country PMI'!$A:$AZ,MATCH($A$1,'DB Country PMI'!$A$1:$AZ$1,),))</f>
        <v/>
      </c>
      <c r="C55" s="24">
        <f>Table13467[[#This Row],[PMI]]-B54</f>
        <v/>
      </c>
    </row>
    <row r="56">
      <c r="A56" s="10" t="n">
        <v>42583</v>
      </c>
      <c r="B56" s="18">
        <f>IF(VLOOKUP(A56,'DB Country PMI'!$A:$AZ,MATCH($A$1,'DB Country PMI'!$A$1:$AZ$1,),)=0,#N/A,VLOOKUP(A56,'DB Country PMI'!$A:$AZ,MATCH($A$1,'DB Country PMI'!$A$1:$AZ$1,),))</f>
        <v/>
      </c>
      <c r="C56" s="24">
        <f>Table13467[[#This Row],[PMI]]-B55</f>
        <v/>
      </c>
    </row>
    <row r="57">
      <c r="A57" s="10" t="n">
        <v>42614</v>
      </c>
      <c r="B57" s="18">
        <f>IF(VLOOKUP(A57,'DB Country PMI'!$A:$AZ,MATCH($A$1,'DB Country PMI'!$A$1:$AZ$1,),)=0,#N/A,VLOOKUP(A57,'DB Country PMI'!$A:$AZ,MATCH($A$1,'DB Country PMI'!$A$1:$AZ$1,),))</f>
        <v/>
      </c>
      <c r="C57" s="24">
        <f>Table13467[[#This Row],[PMI]]-B56</f>
        <v/>
      </c>
    </row>
    <row r="58">
      <c r="A58" s="10" t="n">
        <v>42644</v>
      </c>
      <c r="B58" s="18">
        <f>IF(VLOOKUP(A58,'DB Country PMI'!$A:$AZ,MATCH($A$1,'DB Country PMI'!$A$1:$AZ$1,),)=0,#N/A,VLOOKUP(A58,'DB Country PMI'!$A:$AZ,MATCH($A$1,'DB Country PMI'!$A$1:$AZ$1,),))</f>
        <v/>
      </c>
      <c r="C58" s="24">
        <f>Table13467[[#This Row],[PMI]]-B57</f>
        <v/>
      </c>
    </row>
    <row r="59">
      <c r="A59" s="10" t="n">
        <v>42675</v>
      </c>
      <c r="B59" s="18">
        <f>IF(VLOOKUP(A59,'DB Country PMI'!$A:$AZ,MATCH($A$1,'DB Country PMI'!$A$1:$AZ$1,),)=0,#N/A,VLOOKUP(A59,'DB Country PMI'!$A:$AZ,MATCH($A$1,'DB Country PMI'!$A$1:$AZ$1,),))</f>
        <v/>
      </c>
      <c r="C59" s="24">
        <f>Table13467[[#This Row],[PMI]]-B58</f>
        <v/>
      </c>
    </row>
    <row r="60">
      <c r="A60" s="10" t="n">
        <v>42705</v>
      </c>
      <c r="B60" s="18">
        <f>IF(VLOOKUP(A60,'DB Country PMI'!$A:$AZ,MATCH($A$1,'DB Country PMI'!$A$1:$AZ$1,),)=0,#N/A,VLOOKUP(A60,'DB Country PMI'!$A:$AZ,MATCH($A$1,'DB Country PMI'!$A$1:$AZ$1,),))</f>
        <v/>
      </c>
      <c r="C60" s="24">
        <f>Table13467[[#This Row],[PMI]]-B59</f>
        <v/>
      </c>
    </row>
    <row r="61">
      <c r="A61" s="10" t="n">
        <v>42736</v>
      </c>
      <c r="B61" s="18">
        <f>IF(VLOOKUP(A61,'DB Country PMI'!$A:$AZ,MATCH($A$1,'DB Country PMI'!$A$1:$AZ$1,),)=0,#N/A,VLOOKUP(A61,'DB Country PMI'!$A:$AZ,MATCH($A$1,'DB Country PMI'!$A$1:$AZ$1,),))</f>
        <v/>
      </c>
      <c r="C61" s="24">
        <f>Table13467[[#This Row],[PMI]]-B60</f>
        <v/>
      </c>
    </row>
    <row r="62">
      <c r="A62" s="10" t="n">
        <v>42767</v>
      </c>
      <c r="B62" s="18">
        <f>IF(VLOOKUP(A62,'DB Country PMI'!$A:$AZ,MATCH($A$1,'DB Country PMI'!$A$1:$AZ$1,),)=0,#N/A,VLOOKUP(A62,'DB Country PMI'!$A:$AZ,MATCH($A$1,'DB Country PMI'!$A$1:$AZ$1,),))</f>
        <v/>
      </c>
      <c r="C62" s="24">
        <f>Table13467[[#This Row],[PMI]]-B61</f>
        <v/>
      </c>
    </row>
    <row r="63">
      <c r="A63" s="10" t="n">
        <v>42795</v>
      </c>
      <c r="B63" s="18">
        <f>IF(VLOOKUP(A63,'DB Country PMI'!$A:$AZ,MATCH($A$1,'DB Country PMI'!$A$1:$AZ$1,),)=0,#N/A,VLOOKUP(A63,'DB Country PMI'!$A:$AZ,MATCH($A$1,'DB Country PMI'!$A$1:$AZ$1,),))</f>
        <v/>
      </c>
      <c r="C63" s="24">
        <f>Table13467[[#This Row],[PMI]]-B62</f>
        <v/>
      </c>
    </row>
    <row r="64">
      <c r="A64" s="10" t="n">
        <v>42826</v>
      </c>
      <c r="B64" s="18">
        <f>IF(VLOOKUP(A64,'DB Country PMI'!$A:$AZ,MATCH($A$1,'DB Country PMI'!$A$1:$AZ$1,),)=0,#N/A,VLOOKUP(A64,'DB Country PMI'!$A:$AZ,MATCH($A$1,'DB Country PMI'!$A$1:$AZ$1,),))</f>
        <v/>
      </c>
      <c r="C64" s="24">
        <f>Table13467[[#This Row],[PMI]]-B63</f>
        <v/>
      </c>
    </row>
    <row r="65">
      <c r="A65" s="10" t="n">
        <v>42856</v>
      </c>
      <c r="B65" s="18">
        <f>IF(VLOOKUP(A65,'DB Country PMI'!$A:$AZ,MATCH($A$1,'DB Country PMI'!$A$1:$AZ$1,),)=0,#N/A,VLOOKUP(A65,'DB Country PMI'!$A:$AZ,MATCH($A$1,'DB Country PMI'!$A$1:$AZ$1,),))</f>
        <v/>
      </c>
      <c r="C65" s="24">
        <f>Table13467[[#This Row],[PMI]]-B64</f>
        <v/>
      </c>
    </row>
    <row r="66">
      <c r="A66" s="10" t="n">
        <v>42887</v>
      </c>
      <c r="B66" s="18">
        <f>IF(VLOOKUP(A66,'DB Country PMI'!$A:$AZ,MATCH($A$1,'DB Country PMI'!$A$1:$AZ$1,),)=0,#N/A,VLOOKUP(A66,'DB Country PMI'!$A:$AZ,MATCH($A$1,'DB Country PMI'!$A$1:$AZ$1,),))</f>
        <v/>
      </c>
      <c r="C66" s="24">
        <f>Table13467[[#This Row],[PMI]]-B65</f>
        <v/>
      </c>
    </row>
    <row r="67">
      <c r="A67" s="10" t="n">
        <v>42917</v>
      </c>
      <c r="B67" s="18">
        <f>IF(VLOOKUP(A67,'DB Country PMI'!$A:$AZ,MATCH($A$1,'DB Country PMI'!$A$1:$AZ$1,),)=0,#N/A,VLOOKUP(A67,'DB Country PMI'!$A:$AZ,MATCH($A$1,'DB Country PMI'!$A$1:$AZ$1,),))</f>
        <v/>
      </c>
      <c r="C67" s="24">
        <f>Table13467[[#This Row],[PMI]]-B66</f>
        <v/>
      </c>
    </row>
    <row r="68">
      <c r="A68" s="10" t="n">
        <v>42948</v>
      </c>
      <c r="B68" s="18">
        <f>IF(VLOOKUP(A68,'DB Country PMI'!$A:$AZ,MATCH($A$1,'DB Country PMI'!$A$1:$AZ$1,),)=0,#N/A,VLOOKUP(A68,'DB Country PMI'!$A:$AZ,MATCH($A$1,'DB Country PMI'!$A$1:$AZ$1,),))</f>
        <v/>
      </c>
      <c r="C68" s="24">
        <f>Table13467[[#This Row],[PMI]]-B67</f>
        <v/>
      </c>
    </row>
    <row r="69">
      <c r="A69" s="10" t="n">
        <v>42979</v>
      </c>
      <c r="B69" s="18">
        <f>IF(VLOOKUP(A69,'DB Country PMI'!$A:$AZ,MATCH($A$1,'DB Country PMI'!$A$1:$AZ$1,),)=0,#N/A,VLOOKUP(A69,'DB Country PMI'!$A:$AZ,MATCH($A$1,'DB Country PMI'!$A$1:$AZ$1,),))</f>
        <v/>
      </c>
      <c r="C69" s="24">
        <f>Table13467[[#This Row],[PMI]]-B68</f>
        <v/>
      </c>
    </row>
    <row r="70">
      <c r="A70" s="10" t="n">
        <v>43009</v>
      </c>
      <c r="B70" s="18">
        <f>IF(VLOOKUP(A70,'DB Country PMI'!$A:$AZ,MATCH($A$1,'DB Country PMI'!$A$1:$AZ$1,),)=0,#N/A,VLOOKUP(A70,'DB Country PMI'!$A:$AZ,MATCH($A$1,'DB Country PMI'!$A$1:$AZ$1,),))</f>
        <v/>
      </c>
      <c r="C70" s="24">
        <f>Table13467[[#This Row],[PMI]]-B69</f>
        <v/>
      </c>
    </row>
    <row r="71">
      <c r="A71" s="10" t="n">
        <v>43040</v>
      </c>
      <c r="B71" s="18">
        <f>IF(VLOOKUP(A71,'DB Country PMI'!$A:$AZ,MATCH($A$1,'DB Country PMI'!$A$1:$AZ$1,),)=0,#N/A,VLOOKUP(A71,'DB Country PMI'!$A:$AZ,MATCH($A$1,'DB Country PMI'!$A$1:$AZ$1,),))</f>
        <v/>
      </c>
      <c r="C71" s="24">
        <f>Table13467[[#This Row],[PMI]]-B70</f>
        <v/>
      </c>
    </row>
    <row r="72">
      <c r="A72" s="10" t="n">
        <v>43070</v>
      </c>
      <c r="B72" s="18">
        <f>IF(VLOOKUP(A72,'DB Country PMI'!$A:$AZ,MATCH($A$1,'DB Country PMI'!$A$1:$AZ$1,),)=0,#N/A,VLOOKUP(A72,'DB Country PMI'!$A:$AZ,MATCH($A$1,'DB Country PMI'!$A$1:$AZ$1,),))</f>
        <v/>
      </c>
      <c r="C72" s="24">
        <f>Table13467[[#This Row],[PMI]]-B71</f>
        <v/>
      </c>
    </row>
    <row r="73">
      <c r="A73" s="10" t="n">
        <v>43101</v>
      </c>
      <c r="B73" s="18">
        <f>IF(VLOOKUP(A73,'DB Country PMI'!$A:$AZ,MATCH($A$1,'DB Country PMI'!$A$1:$AZ$1,),)=0,#N/A,VLOOKUP(A73,'DB Country PMI'!$A:$AZ,MATCH($A$1,'DB Country PMI'!$A$1:$AZ$1,),))</f>
        <v/>
      </c>
      <c r="C73" s="24">
        <f>Table13467[[#This Row],[PMI]]-B72</f>
        <v/>
      </c>
    </row>
    <row r="74">
      <c r="A74" s="10" t="n">
        <v>43132</v>
      </c>
      <c r="B74" s="18">
        <f>IF(VLOOKUP(A74,'DB Country PMI'!$A:$AZ,MATCH($A$1,'DB Country PMI'!$A$1:$AZ$1,),)=0,#N/A,VLOOKUP(A74,'DB Country PMI'!$A:$AZ,MATCH($A$1,'DB Country PMI'!$A$1:$AZ$1,),))</f>
        <v/>
      </c>
      <c r="C74" s="24">
        <f>Table13467[[#This Row],[PMI]]-B73</f>
        <v/>
      </c>
    </row>
    <row r="75">
      <c r="A75" s="10" t="n">
        <v>43160</v>
      </c>
      <c r="B75" s="18">
        <f>IF(VLOOKUP(A75,'DB Country PMI'!$A:$AZ,MATCH($A$1,'DB Country PMI'!$A$1:$AZ$1,),)=0,#N/A,VLOOKUP(A75,'DB Country PMI'!$A:$AZ,MATCH($A$1,'DB Country PMI'!$A$1:$AZ$1,),))</f>
        <v/>
      </c>
      <c r="C75" s="24">
        <f>Table13467[[#This Row],[PMI]]-B74</f>
        <v/>
      </c>
    </row>
    <row r="76">
      <c r="A76" s="10" t="n">
        <v>43191</v>
      </c>
      <c r="B76" s="18">
        <f>IF(VLOOKUP(A76,'DB Country PMI'!$A:$AZ,MATCH($A$1,'DB Country PMI'!$A$1:$AZ$1,),)=0,#N/A,VLOOKUP(A76,'DB Country PMI'!$A:$AZ,MATCH($A$1,'DB Country PMI'!$A$1:$AZ$1,),))</f>
        <v/>
      </c>
      <c r="C76" s="24">
        <f>Table13467[[#This Row],[PMI]]-B75</f>
        <v/>
      </c>
    </row>
    <row r="77">
      <c r="A77" s="10" t="n">
        <v>43221</v>
      </c>
      <c r="B77" s="18">
        <f>IF(VLOOKUP(A77,'DB Country PMI'!$A:$AZ,MATCH($A$1,'DB Country PMI'!$A$1:$AZ$1,),)=0,#N/A,VLOOKUP(A77,'DB Country PMI'!$A:$AZ,MATCH($A$1,'DB Country PMI'!$A$1:$AZ$1,),))</f>
        <v/>
      </c>
      <c r="C77" s="24">
        <f>Table13467[[#This Row],[PMI]]-B76</f>
        <v/>
      </c>
    </row>
    <row r="78">
      <c r="A78" s="10" t="n">
        <v>43252</v>
      </c>
      <c r="B78" s="18">
        <f>IF(VLOOKUP(A78,'DB Country PMI'!$A:$AZ,MATCH($A$1,'DB Country PMI'!$A$1:$AZ$1,),)=0,#N/A,VLOOKUP(A78,'DB Country PMI'!$A:$AZ,MATCH($A$1,'DB Country PMI'!$A$1:$AZ$1,),))</f>
        <v/>
      </c>
      <c r="C78" s="24">
        <f>Table13467[[#This Row],[PMI]]-B77</f>
        <v/>
      </c>
    </row>
    <row r="79">
      <c r="A79" s="10" t="n">
        <v>43282</v>
      </c>
      <c r="B79" s="18">
        <f>IF(VLOOKUP(A79,'DB Country PMI'!$A:$AZ,MATCH($A$1,'DB Country PMI'!$A$1:$AZ$1,),)=0,#N/A,VLOOKUP(A79,'DB Country PMI'!$A:$AZ,MATCH($A$1,'DB Country PMI'!$A$1:$AZ$1,),))</f>
        <v/>
      </c>
      <c r="C79" s="24">
        <f>Table13467[[#This Row],[PMI]]-B78</f>
        <v/>
      </c>
    </row>
    <row r="80">
      <c r="A80" s="10" t="n">
        <v>43313</v>
      </c>
      <c r="B80" s="18">
        <f>IF(VLOOKUP(A80,'DB Country PMI'!$A:$AZ,MATCH($A$1,'DB Country PMI'!$A$1:$AZ$1,),)=0,#N/A,VLOOKUP(A80,'DB Country PMI'!$A:$AZ,MATCH($A$1,'DB Country PMI'!$A$1:$AZ$1,),))</f>
        <v/>
      </c>
      <c r="C80" s="24">
        <f>Table13467[[#This Row],[PMI]]-B79</f>
        <v/>
      </c>
    </row>
    <row r="81">
      <c r="A81" s="10" t="n">
        <v>43344</v>
      </c>
      <c r="B81" s="18">
        <f>IF(VLOOKUP(A81,'DB Country PMI'!$A:$AZ,MATCH($A$1,'DB Country PMI'!$A$1:$AZ$1,),)=0,#N/A,VLOOKUP(A81,'DB Country PMI'!$A:$AZ,MATCH($A$1,'DB Country PMI'!$A$1:$AZ$1,),))</f>
        <v/>
      </c>
      <c r="C81" s="24">
        <f>Table13467[[#This Row],[PMI]]-B80</f>
        <v/>
      </c>
    </row>
    <row r="82">
      <c r="A82" s="10" t="n">
        <v>43374</v>
      </c>
      <c r="B82" s="18">
        <f>IF(VLOOKUP(A82,'DB Country PMI'!$A:$AZ,MATCH($A$1,'DB Country PMI'!$A$1:$AZ$1,),)=0,#N/A,VLOOKUP(A82,'DB Country PMI'!$A:$AZ,MATCH($A$1,'DB Country PMI'!$A$1:$AZ$1,),))</f>
        <v/>
      </c>
      <c r="C82" s="24">
        <f>Table13467[[#This Row],[PMI]]-B81</f>
        <v/>
      </c>
    </row>
    <row r="83">
      <c r="A83" s="10" t="n">
        <v>43405</v>
      </c>
      <c r="B83" s="18">
        <f>IF(VLOOKUP(A83,'DB Country PMI'!$A:$AZ,MATCH($A$1,'DB Country PMI'!$A$1:$AZ$1,),)=0,#N/A,VLOOKUP(A83,'DB Country PMI'!$A:$AZ,MATCH($A$1,'DB Country PMI'!$A$1:$AZ$1,),))</f>
        <v/>
      </c>
      <c r="C83" s="24">
        <f>Table13467[[#This Row],[PMI]]-B82</f>
        <v/>
      </c>
    </row>
    <row r="84">
      <c r="A84" s="10" t="n">
        <v>43435</v>
      </c>
      <c r="B84" s="18">
        <f>IF(VLOOKUP(A84,'DB Country PMI'!$A:$AZ,MATCH($A$1,'DB Country PMI'!$A$1:$AZ$1,),)=0,#N/A,VLOOKUP(A84,'DB Country PMI'!$A:$AZ,MATCH($A$1,'DB Country PMI'!$A$1:$AZ$1,),))</f>
        <v/>
      </c>
      <c r="C84" s="24">
        <f>Table13467[[#This Row],[PMI]]-B83</f>
        <v/>
      </c>
    </row>
    <row r="85">
      <c r="A85" s="10" t="n">
        <v>43466</v>
      </c>
      <c r="B85" s="18">
        <f>IF(VLOOKUP(A85,'DB Country PMI'!$A:$AZ,MATCH($A$1,'DB Country PMI'!$A$1:$AZ$1,),)=0,#N/A,VLOOKUP(A85,'DB Country PMI'!$A:$AZ,MATCH($A$1,'DB Country PMI'!$A$1:$AZ$1,),))</f>
        <v/>
      </c>
      <c r="C85" s="24">
        <f>Table13467[[#This Row],[PMI]]-B84</f>
        <v/>
      </c>
    </row>
    <row r="86">
      <c r="A86" s="10" t="n">
        <v>43497</v>
      </c>
      <c r="B86" s="18">
        <f>IF(VLOOKUP(A86,'DB Country PMI'!$A:$AZ,MATCH($A$1,'DB Country PMI'!$A$1:$AZ$1,),)=0,#N/A,VLOOKUP(A86,'DB Country PMI'!$A:$AZ,MATCH($A$1,'DB Country PMI'!$A$1:$AZ$1,),))</f>
        <v/>
      </c>
      <c r="C86" s="24">
        <f>Table13467[[#This Row],[PMI]]-B85</f>
        <v/>
      </c>
    </row>
    <row r="87">
      <c r="A87" s="10" t="n">
        <v>43525</v>
      </c>
      <c r="B87" s="18">
        <f>IF(VLOOKUP(A87,'DB Country PMI'!$A:$AZ,MATCH($A$1,'DB Country PMI'!$A$1:$AZ$1,),)=0,#N/A,VLOOKUP(A87,'DB Country PMI'!$A:$AZ,MATCH($A$1,'DB Country PMI'!$A$1:$AZ$1,),))</f>
        <v/>
      </c>
      <c r="C87" s="24">
        <f>Table13467[[#This Row],[PMI]]-B86</f>
        <v/>
      </c>
    </row>
    <row r="88">
      <c r="A88" s="10" t="n">
        <v>43556</v>
      </c>
      <c r="B88" s="18">
        <f>IF(VLOOKUP(A88,'DB Country PMI'!$A:$AZ,MATCH($A$1,'DB Country PMI'!$A$1:$AZ$1,),)=0,#N/A,VLOOKUP(A88,'DB Country PMI'!$A:$AZ,MATCH($A$1,'DB Country PMI'!$A$1:$AZ$1,),))</f>
        <v/>
      </c>
      <c r="C88" s="24">
        <f>Table13467[[#This Row],[PMI]]-B87</f>
        <v/>
      </c>
    </row>
    <row r="89">
      <c r="A89" s="10" t="n">
        <v>43586</v>
      </c>
      <c r="B89" s="18">
        <f>IF(VLOOKUP(A89,'DB Country PMI'!$A:$AZ,MATCH($A$1,'DB Country PMI'!$A$1:$AZ$1,),)=0,#N/A,VLOOKUP(A89,'DB Country PMI'!$A:$AZ,MATCH($A$1,'DB Country PMI'!$A$1:$AZ$1,),))</f>
        <v/>
      </c>
      <c r="C89" s="24">
        <f>Table13467[[#This Row],[PMI]]-B88</f>
        <v/>
      </c>
    </row>
    <row r="90">
      <c r="A90" s="10" t="n">
        <v>43617</v>
      </c>
      <c r="B90" s="18">
        <f>IF(VLOOKUP(A90,'DB Country PMI'!$A:$AZ,MATCH($A$1,'DB Country PMI'!$A$1:$AZ$1,),)=0,#N/A,VLOOKUP(A90,'DB Country PMI'!$A:$AZ,MATCH($A$1,'DB Country PMI'!$A$1:$AZ$1,),))</f>
        <v/>
      </c>
      <c r="C90" s="24">
        <f>Table13467[[#This Row],[PMI]]-B89</f>
        <v/>
      </c>
    </row>
    <row r="91">
      <c r="A91" s="10" t="n">
        <v>43647</v>
      </c>
      <c r="B91" s="18">
        <f>IF(VLOOKUP(A91,'DB Country PMI'!$A:$AZ,MATCH($A$1,'DB Country PMI'!$A$1:$AZ$1,),)=0,#N/A,VLOOKUP(A91,'DB Country PMI'!$A:$AZ,MATCH($A$1,'DB Country PMI'!$A$1:$AZ$1,),))</f>
        <v/>
      </c>
      <c r="C91" s="24">
        <f>Table13467[[#This Row],[PMI]]-B90</f>
        <v/>
      </c>
    </row>
    <row r="92">
      <c r="A92" s="10" t="n">
        <v>43678</v>
      </c>
      <c r="B92" s="18">
        <f>IF(VLOOKUP(A92,'DB Country PMI'!$A:$AZ,MATCH($A$1,'DB Country PMI'!$A$1:$AZ$1,),)=0,#N/A,VLOOKUP(A92,'DB Country PMI'!$A:$AZ,MATCH($A$1,'DB Country PMI'!$A$1:$AZ$1,),))</f>
        <v/>
      </c>
      <c r="C92" s="24">
        <f>Table13467[[#This Row],[PMI]]-B91</f>
        <v/>
      </c>
    </row>
    <row r="93">
      <c r="A93" s="10" t="n">
        <v>43709</v>
      </c>
      <c r="B93" s="18">
        <f>IF(VLOOKUP(A93,'DB Country PMI'!$A:$AZ,MATCH($A$1,'DB Country PMI'!$A$1:$AZ$1,),)=0,#N/A,VLOOKUP(A93,'DB Country PMI'!$A:$AZ,MATCH($A$1,'DB Country PMI'!$A$1:$AZ$1,),))</f>
        <v/>
      </c>
      <c r="C93" s="24">
        <f>Table13467[[#This Row],[PMI]]-B92</f>
        <v/>
      </c>
    </row>
    <row r="94">
      <c r="A94" s="10" t="n">
        <v>43739</v>
      </c>
      <c r="B94" s="18">
        <f>IF(VLOOKUP(A94,'DB Country PMI'!$A:$AZ,MATCH($A$1,'DB Country PMI'!$A$1:$AZ$1,),)=0,#N/A,VLOOKUP(A94,'DB Country PMI'!$A:$AZ,MATCH($A$1,'DB Country PMI'!$A$1:$AZ$1,),))</f>
        <v/>
      </c>
      <c r="C94" s="24">
        <f>Table13467[[#This Row],[PMI]]-B93</f>
        <v/>
      </c>
    </row>
    <row r="95">
      <c r="A95" s="10" t="n">
        <v>43770</v>
      </c>
      <c r="B95" s="18">
        <f>IF(VLOOKUP(A95,'DB Country PMI'!$A:$AZ,MATCH($A$1,'DB Country PMI'!$A$1:$AZ$1,),)=0,#N/A,VLOOKUP(A95,'DB Country PMI'!$A:$AZ,MATCH($A$1,'DB Country PMI'!$A$1:$AZ$1,),))</f>
        <v/>
      </c>
      <c r="C95" s="24">
        <f>Table13467[[#This Row],[PMI]]-B94</f>
        <v/>
      </c>
    </row>
    <row r="96">
      <c r="A96" s="10" t="n">
        <v>43800</v>
      </c>
      <c r="B96" s="18">
        <f>IF(VLOOKUP(A96,'DB Country PMI'!$A:$AZ,MATCH($A$1,'DB Country PMI'!$A$1:$AZ$1,),)=0,#N/A,VLOOKUP(A96,'DB Country PMI'!$A:$AZ,MATCH($A$1,'DB Country PMI'!$A$1:$AZ$1,),))</f>
        <v/>
      </c>
      <c r="C96" s="24">
        <f>Table13467[[#This Row],[PMI]]-B95</f>
        <v/>
      </c>
    </row>
    <row r="97">
      <c r="A97" s="10" t="n">
        <v>43831</v>
      </c>
      <c r="B97" s="18">
        <f>IF(VLOOKUP(A97,'DB Country PMI'!$A:$AZ,MATCH($A$1,'DB Country PMI'!$A$1:$AZ$1,),)=0,#N/A,VLOOKUP(A97,'DB Country PMI'!$A:$AZ,MATCH($A$1,'DB Country PMI'!$A$1:$AZ$1,),))</f>
        <v/>
      </c>
      <c r="C97" s="24">
        <f>Table13467[[#This Row],[PMI]]-B96</f>
        <v/>
      </c>
    </row>
    <row r="98">
      <c r="A98" s="10" t="n">
        <v>43862</v>
      </c>
      <c r="B98" s="18">
        <f>IF(VLOOKUP(A98,'DB Country PMI'!$A:$AZ,MATCH($A$1,'DB Country PMI'!$A$1:$AZ$1,),)=0,#N/A,VLOOKUP(A98,'DB Country PMI'!$A:$AZ,MATCH($A$1,'DB Country PMI'!$A$1:$AZ$1,),))</f>
        <v/>
      </c>
      <c r="C98" s="24">
        <f>Table13467[[#This Row],[PMI]]-B97</f>
        <v/>
      </c>
    </row>
    <row r="99">
      <c r="A99" s="10" t="n">
        <v>43891</v>
      </c>
      <c r="B99" s="18">
        <f>IF(VLOOKUP(A99,'DB Country PMI'!$A:$AZ,MATCH($A$1,'DB Country PMI'!$A$1:$AZ$1,),)=0,#N/A,VLOOKUP(A99,'DB Country PMI'!$A:$AZ,MATCH($A$1,'DB Country PMI'!$A$1:$AZ$1,),))</f>
        <v/>
      </c>
      <c r="C99" s="24">
        <f>Table13467[[#This Row],[PMI]]-B98</f>
        <v/>
      </c>
    </row>
    <row r="100">
      <c r="A100" s="10" t="n">
        <v>43922</v>
      </c>
      <c r="B100" s="18">
        <f>IF(VLOOKUP(A100,'DB Country PMI'!$A:$AZ,MATCH($A$1,'DB Country PMI'!$A$1:$AZ$1,),)=0,#N/A,VLOOKUP(A100,'DB Country PMI'!$A:$AZ,MATCH($A$1,'DB Country PMI'!$A$1:$AZ$1,),))</f>
        <v/>
      </c>
      <c r="C100" s="24">
        <f>Table13467[[#This Row],[PMI]]-B99</f>
        <v/>
      </c>
    </row>
    <row r="101">
      <c r="A101" s="10" t="n">
        <v>43952</v>
      </c>
      <c r="B101" s="18">
        <f>IF(VLOOKUP(A101,'DB Country PMI'!$A:$AZ,MATCH($A$1,'DB Country PMI'!$A$1:$AZ$1,),)=0,#N/A,VLOOKUP(A101,'DB Country PMI'!$A:$AZ,MATCH($A$1,'DB Country PMI'!$A$1:$AZ$1,),))</f>
        <v/>
      </c>
      <c r="C101" s="24">
        <f>Table13467[[#This Row],[PMI]]-B100</f>
        <v/>
      </c>
    </row>
    <row r="102">
      <c r="A102" s="10" t="n">
        <v>43983</v>
      </c>
      <c r="B102" s="18">
        <f>IF(VLOOKUP(A102,'DB Country PMI'!$A:$AZ,MATCH($A$1,'DB Country PMI'!$A$1:$AZ$1,),)=0,#N/A,VLOOKUP(A102,'DB Country PMI'!$A:$AZ,MATCH($A$1,'DB Country PMI'!$A$1:$AZ$1,),))</f>
        <v/>
      </c>
      <c r="C102" s="24">
        <f>Table13467[[#This Row],[PMI]]-B101</f>
        <v/>
      </c>
    </row>
    <row r="103">
      <c r="A103" s="10" t="n">
        <v>44013</v>
      </c>
      <c r="B103" s="18">
        <f>IF(VLOOKUP(A103,'DB Country PMI'!$A:$AZ,MATCH($A$1,'DB Country PMI'!$A$1:$AZ$1,),)=0,#N/A,VLOOKUP(A103,'DB Country PMI'!$A:$AZ,MATCH($A$1,'DB Country PMI'!$A$1:$AZ$1,),))</f>
        <v/>
      </c>
      <c r="C103" s="24">
        <f>Table13467[[#This Row],[PMI]]-B102</f>
        <v/>
      </c>
    </row>
    <row r="104">
      <c r="A104" s="10" t="n">
        <v>44044</v>
      </c>
      <c r="B104" s="18">
        <f>IF(VLOOKUP(A104,'DB Country PMI'!$A:$AZ,MATCH($A$1,'DB Country PMI'!$A$1:$AZ$1,),)=0,#N/A,VLOOKUP(A104,'DB Country PMI'!$A:$AZ,MATCH($A$1,'DB Country PMI'!$A$1:$AZ$1,),))</f>
        <v/>
      </c>
      <c r="C104" s="24">
        <f>Table13467[[#This Row],[PMI]]-B103</f>
        <v/>
      </c>
    </row>
    <row r="105">
      <c r="A105" s="10" t="n">
        <v>44075</v>
      </c>
      <c r="B105" s="18">
        <f>IF(VLOOKUP(A105,'DB Country PMI'!$A:$AZ,MATCH($A$1,'DB Country PMI'!$A$1:$AZ$1,),)=0,#N/A,VLOOKUP(A105,'DB Country PMI'!$A:$AZ,MATCH($A$1,'DB Country PMI'!$A$1:$AZ$1,),))</f>
        <v/>
      </c>
      <c r="C105" s="24">
        <f>Table13467[[#This Row],[PMI]]-B104</f>
        <v/>
      </c>
    </row>
    <row r="106">
      <c r="A106" s="10" t="n">
        <v>44105</v>
      </c>
      <c r="B106" s="18">
        <f>IF(VLOOKUP(A106,'DB Country PMI'!$A:$AZ,MATCH($A$1,'DB Country PMI'!$A$1:$AZ$1,),)=0,#N/A,VLOOKUP(A106,'DB Country PMI'!$A:$AZ,MATCH($A$1,'DB Country PMI'!$A$1:$AZ$1,),))</f>
        <v/>
      </c>
      <c r="C106" s="24">
        <f>Table13467[[#This Row],[PMI]]-B105</f>
        <v/>
      </c>
    </row>
    <row r="107">
      <c r="A107" s="10" t="n">
        <v>44136</v>
      </c>
      <c r="B107" s="18">
        <f>IF(VLOOKUP(A107,'DB Country PMI'!$A:$AZ,MATCH($A$1,'DB Country PMI'!$A$1:$AZ$1,),)=0,#N/A,VLOOKUP(A107,'DB Country PMI'!$A:$AZ,MATCH($A$1,'DB Country PMI'!$A$1:$AZ$1,),))</f>
        <v/>
      </c>
      <c r="C107" s="24">
        <f>Table13467[[#This Row],[PMI]]-B106</f>
        <v/>
      </c>
    </row>
    <row r="108">
      <c r="A108" s="10" t="n">
        <v>44166</v>
      </c>
      <c r="B108" s="18">
        <f>IF(VLOOKUP(A108,'DB Country PMI'!$A:$AZ,MATCH($A$1,'DB Country PMI'!$A$1:$AZ$1,),)=0,#N/A,VLOOKUP(A108,'DB Country PMI'!$A:$AZ,MATCH($A$1,'DB Country PMI'!$A$1:$AZ$1,),))</f>
        <v/>
      </c>
      <c r="C108" s="24">
        <f>Table13467[[#This Row],[PMI]]-B107</f>
        <v/>
      </c>
    </row>
    <row r="109">
      <c r="A109" s="10" t="n">
        <v>44197</v>
      </c>
      <c r="B109" s="18">
        <f>IF(VLOOKUP(A109,'DB Country PMI'!$A:$AZ,MATCH($A$1,'DB Country PMI'!$A$1:$AZ$1,),)=0,#N/A,VLOOKUP(A109,'DB Country PMI'!$A:$AZ,MATCH($A$1,'DB Country PMI'!$A$1:$AZ$1,),))</f>
        <v/>
      </c>
      <c r="C109" s="24">
        <f>Table13467[[#This Row],[PMI]]-B108</f>
        <v/>
      </c>
    </row>
    <row r="110">
      <c r="A110" s="10" t="n">
        <v>44228</v>
      </c>
      <c r="B110" s="18">
        <f>IF(VLOOKUP(A110,'DB Country PMI'!$A:$AZ,MATCH($A$1,'DB Country PMI'!$A$1:$AZ$1,),)=0,#N/A,VLOOKUP(A110,'DB Country PMI'!$A:$AZ,MATCH($A$1,'DB Country PMI'!$A$1:$AZ$1,),))</f>
        <v/>
      </c>
      <c r="C110" s="24">
        <f>Table13467[[#This Row],[PMI]]-B109</f>
        <v/>
      </c>
    </row>
    <row r="111">
      <c r="A111" s="10" t="n">
        <v>44256</v>
      </c>
      <c r="B111" s="18">
        <f>IF(VLOOKUP(A111,'DB Country PMI'!$A:$AZ,MATCH($A$1,'DB Country PMI'!$A$1:$AZ$1,),)=0,#N/A,VLOOKUP(A111,'DB Country PMI'!$A:$AZ,MATCH($A$1,'DB Country PMI'!$A$1:$AZ$1,),))</f>
        <v/>
      </c>
      <c r="C111" s="24">
        <f>Table13467[[#This Row],[PMI]]-B110</f>
        <v/>
      </c>
    </row>
    <row r="112">
      <c r="A112" s="10" t="n">
        <v>44287</v>
      </c>
      <c r="B112" s="18">
        <f>IF(VLOOKUP(A112,'DB Country PMI'!$A:$AZ,MATCH($A$1,'DB Country PMI'!$A$1:$AZ$1,),)=0,#N/A,VLOOKUP(A112,'DB Country PMI'!$A:$AZ,MATCH($A$1,'DB Country PMI'!$A$1:$AZ$1,),))</f>
        <v/>
      </c>
      <c r="C112" s="24">
        <f>Table13467[[#This Row],[PMI]]-B111</f>
        <v/>
      </c>
    </row>
    <row r="113">
      <c r="A113" s="10" t="n">
        <v>44317</v>
      </c>
      <c r="B113" s="18">
        <f>IF(VLOOKUP(A113,'DB Country PMI'!$A:$AZ,MATCH($A$1,'DB Country PMI'!$A$1:$AZ$1,),)=0,#N/A,VLOOKUP(A113,'DB Country PMI'!$A:$AZ,MATCH($A$1,'DB Country PMI'!$A$1:$AZ$1,),))</f>
        <v/>
      </c>
      <c r="C113" s="24">
        <f>Table13467[[#This Row],[PMI]]-B112</f>
        <v/>
      </c>
    </row>
    <row r="114">
      <c r="A114" s="10" t="n">
        <v>44348</v>
      </c>
      <c r="B114" s="18">
        <f>IF(VLOOKUP(A114,'DB Country PMI'!$A:$AZ,MATCH($A$1,'DB Country PMI'!$A$1:$AZ$1,),)=0,#N/A,VLOOKUP(A114,'DB Country PMI'!$A:$AZ,MATCH($A$1,'DB Country PMI'!$A$1:$AZ$1,),))</f>
        <v/>
      </c>
      <c r="C114" s="24">
        <f>Table13467[[#This Row],[PMI]]-B113</f>
        <v/>
      </c>
    </row>
    <row r="115">
      <c r="A115" s="10" t="n">
        <v>44378</v>
      </c>
      <c r="B115" s="18">
        <f>IF(VLOOKUP(A115,'DB Country PMI'!$A:$AZ,MATCH($A$1,'DB Country PMI'!$A$1:$AZ$1,),)=0,#N/A,VLOOKUP(A115,'DB Country PMI'!$A:$AZ,MATCH($A$1,'DB Country PMI'!$A$1:$AZ$1,),))</f>
        <v/>
      </c>
      <c r="C115" s="24">
        <f>Table13467[[#This Row],[PMI]]-B114</f>
        <v/>
      </c>
    </row>
    <row r="116">
      <c r="A116" s="10" t="n">
        <v>44409</v>
      </c>
      <c r="B116" s="18">
        <f>IF(VLOOKUP(A116,'DB Country PMI'!$A:$AZ,MATCH($A$1,'DB Country PMI'!$A$1:$AZ$1,),)=0,#N/A,VLOOKUP(A116,'DB Country PMI'!$A:$AZ,MATCH($A$1,'DB Country PMI'!$A$1:$AZ$1,),))</f>
        <v/>
      </c>
      <c r="C116" s="24">
        <f>Table13467[[#This Row],[PMI]]-B115</f>
        <v/>
      </c>
    </row>
    <row r="117">
      <c r="A117" s="10" t="n">
        <v>44440</v>
      </c>
      <c r="B117" s="18">
        <f>IF(VLOOKUP(A117,'DB Country PMI'!$A:$AZ,MATCH($A$1,'DB Country PMI'!$A$1:$AZ$1,),)=0,#N/A,VLOOKUP(A117,'DB Country PMI'!$A:$AZ,MATCH($A$1,'DB Country PMI'!$A$1:$AZ$1,),))</f>
        <v/>
      </c>
      <c r="C117" s="24">
        <f>Table13467[[#This Row],[PMI]]-B116</f>
        <v/>
      </c>
    </row>
    <row r="118">
      <c r="A118" s="10" t="n">
        <v>44470</v>
      </c>
      <c r="B118" s="18">
        <f>IF(VLOOKUP(A118,'DB Country PMI'!$A:$AZ,MATCH($A$1,'DB Country PMI'!$A$1:$AZ$1,),)=0,#N/A,VLOOKUP(A118,'DB Country PMI'!$A:$AZ,MATCH($A$1,'DB Country PMI'!$A$1:$AZ$1,),))</f>
        <v/>
      </c>
      <c r="C118" s="24">
        <f>Table13467[[#This Row],[PMI]]-B117</f>
        <v/>
      </c>
    </row>
    <row r="119">
      <c r="A119" s="10" t="n">
        <v>44501</v>
      </c>
      <c r="B119" s="18">
        <f>IF(VLOOKUP(A119,'DB Country PMI'!$A:$AZ,MATCH($A$1,'DB Country PMI'!$A$1:$AZ$1,),)=0,#N/A,VLOOKUP(A119,'DB Country PMI'!$A:$AZ,MATCH($A$1,'DB Country PMI'!$A$1:$AZ$1,),))</f>
        <v/>
      </c>
      <c r="C119" s="24">
        <f>Table13467[[#This Row],[PMI]]-B118</f>
        <v/>
      </c>
    </row>
    <row r="120">
      <c r="A120" s="10" t="n">
        <v>44531</v>
      </c>
      <c r="B120" s="18">
        <f>IF(VLOOKUP(A120,'DB Country PMI'!$A:$AZ,MATCH($A$1,'DB Country PMI'!$A$1:$AZ$1,),)=0,#N/A,VLOOKUP(A120,'DB Country PMI'!$A:$AZ,MATCH($A$1,'DB Country PMI'!$A$1:$AZ$1,),))</f>
        <v/>
      </c>
      <c r="C120" s="24">
        <f>Table13467[[#This Row],[PMI]]-B119</f>
        <v/>
      </c>
    </row>
    <row r="121">
      <c r="A121" s="10" t="n">
        <v>44562</v>
      </c>
      <c r="B121" s="18">
        <f>IF(VLOOKUP(A121,'DB Country PMI'!$A:$AZ,MATCH($A$1,'DB Country PMI'!$A$1:$AZ$1,),)=0,#N/A,VLOOKUP(A121,'DB Country PMI'!$A:$AZ,MATCH($A$1,'DB Country PMI'!$A$1:$AZ$1,),))</f>
        <v/>
      </c>
      <c r="C121" s="24">
        <f>Table13467[[#This Row],[PMI]]-B120</f>
        <v/>
      </c>
    </row>
    <row r="122">
      <c r="A122" s="10" t="n">
        <v>44593</v>
      </c>
      <c r="B122" s="18">
        <f>IF(VLOOKUP(A122,'DB Country PMI'!$A:$AZ,MATCH($A$1,'DB Country PMI'!$A$1:$AZ$1,),)=0,#N/A,VLOOKUP(A122,'DB Country PMI'!$A:$AZ,MATCH($A$1,'DB Country PMI'!$A$1:$AZ$1,),))</f>
        <v/>
      </c>
      <c r="C122" s="24">
        <f>Table13467[[#This Row],[PMI]]-B121</f>
        <v/>
      </c>
    </row>
    <row r="123">
      <c r="A123" s="10" t="n">
        <v>44621</v>
      </c>
      <c r="B123" s="18">
        <f>IF(VLOOKUP(A123,'DB Country PMI'!$A:$AZ,MATCH($A$1,'DB Country PMI'!$A$1:$AZ$1,),)=0,#N/A,VLOOKUP(A123,'DB Country PMI'!$A:$AZ,MATCH($A$1,'DB Country PMI'!$A$1:$AZ$1,),))</f>
        <v/>
      </c>
      <c r="C123" s="24">
        <f>Table13467[[#This Row],[PMI]]-B122</f>
        <v/>
      </c>
    </row>
    <row r="124">
      <c r="A124" s="10" t="n">
        <v>44652</v>
      </c>
      <c r="B124" s="18">
        <f>IF(VLOOKUP(A124,'DB Country PMI'!$A:$AZ,MATCH($A$1,'DB Country PMI'!$A$1:$AZ$1,),)=0,#N/A,VLOOKUP(A124,'DB Country PMI'!$A:$AZ,MATCH($A$1,'DB Country PMI'!$A$1:$AZ$1,),))</f>
        <v/>
      </c>
      <c r="C124" s="24">
        <f>Table13467[[#This Row],[PMI]]-B123</f>
        <v/>
      </c>
    </row>
    <row r="125">
      <c r="A125" s="10" t="n">
        <v>44682</v>
      </c>
      <c r="B125" s="18">
        <f>IF(VLOOKUP(A125,'DB Country PMI'!$A:$AZ,MATCH($A$1,'DB Country PMI'!$A$1:$AZ$1,),)=0,#N/A,VLOOKUP(A125,'DB Country PMI'!$A:$AZ,MATCH($A$1,'DB Country PMI'!$A$1:$AZ$1,),))</f>
        <v/>
      </c>
      <c r="C125" s="24">
        <f>Table13467[[#This Row],[PMI]]-B124</f>
        <v/>
      </c>
    </row>
    <row r="126">
      <c r="A126" s="10" t="n">
        <v>44713</v>
      </c>
      <c r="B126" s="18">
        <f>IF(VLOOKUP(A126,'DB Country PMI'!$A:$AZ,MATCH($A$1,'DB Country PMI'!$A$1:$AZ$1,),)=0,#N/A,VLOOKUP(A126,'DB Country PMI'!$A:$AZ,MATCH($A$1,'DB Country PMI'!$A$1:$AZ$1,),))</f>
        <v/>
      </c>
      <c r="C126" s="24">
        <f>Table13467[[#This Row],[PMI]]-B125</f>
        <v/>
      </c>
    </row>
    <row r="127">
      <c r="A127" s="10" t="n">
        <v>44743</v>
      </c>
      <c r="B127" s="18">
        <f>IF(VLOOKUP(A127,'DB Country PMI'!$A:$AZ,MATCH($A$1,'DB Country PMI'!$A$1:$AZ$1,),)=0,#N/A,VLOOKUP(A127,'DB Country PMI'!$A:$AZ,MATCH($A$1,'DB Country PMI'!$A$1:$AZ$1,),))</f>
        <v/>
      </c>
      <c r="C127" s="24">
        <f>Table13467[[#This Row],[PMI]]-B126</f>
        <v/>
      </c>
    </row>
    <row r="128">
      <c r="A128" s="10" t="n">
        <v>44774</v>
      </c>
      <c r="B128" s="18">
        <f>IF(VLOOKUP(A128,'DB Country PMI'!$A:$AZ,MATCH($A$1,'DB Country PMI'!$A$1:$AZ$1,),)=0,#N/A,VLOOKUP(A128,'DB Country PMI'!$A:$AZ,MATCH($A$1,'DB Country PMI'!$A$1:$AZ$1,),))</f>
        <v/>
      </c>
      <c r="C128" s="24">
        <f>Table13467[[#This Row],[PMI]]-B127</f>
        <v/>
      </c>
    </row>
    <row r="129">
      <c r="A129" s="10" t="n">
        <v>44805</v>
      </c>
      <c r="B129" s="18">
        <f>IF(VLOOKUP(A129,'DB Country PMI'!$A:$AZ,MATCH($A$1,'DB Country PMI'!$A$1:$AZ$1,),)=0,#N/A,VLOOKUP(A129,'DB Country PMI'!$A:$AZ,MATCH($A$1,'DB Country PMI'!$A$1:$AZ$1,),))</f>
        <v/>
      </c>
      <c r="C129" s="24">
        <f>Table13467[[#This Row],[PMI]]-B128</f>
        <v/>
      </c>
    </row>
    <row r="130">
      <c r="A130" s="10" t="n">
        <v>44835</v>
      </c>
      <c r="B130" s="18">
        <f>IF(VLOOKUP(A130,'DB Country PMI'!$A:$AZ,MATCH($A$1,'DB Country PMI'!$A$1:$AZ$1,),)=0,#N/A,VLOOKUP(A130,'DB Country PMI'!$A:$AZ,MATCH($A$1,'DB Country PMI'!$A$1:$AZ$1,),))</f>
        <v/>
      </c>
      <c r="C130" s="24">
        <f>Table13467[[#This Row],[PMI]]-B129</f>
        <v/>
      </c>
    </row>
  </sheetData>
  <conditionalFormatting sqref="B6:B13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6.xml><?xml version="1.0" encoding="utf-8"?>
<worksheet xmlns="http://schemas.openxmlformats.org/spreadsheetml/2006/main">
  <sheetPr>
    <outlinePr summaryBelow="1" summaryRight="1"/>
    <pageSetUpPr/>
  </sheetPr>
  <dimension ref="A1:K96"/>
  <sheetViews>
    <sheetView zoomScale="80" zoomScaleNormal="80" workbookViewId="0">
      <pane ySplit="5" topLeftCell="A75" activePane="bottomLeft" state="frozen"/>
      <selection pane="bottomLeft" activeCell="Q93" sqref="Q93"/>
    </sheetView>
  </sheetViews>
  <sheetFormatPr baseColWidth="8" defaultColWidth="9.1796875" defaultRowHeight="14.5"/>
  <cols>
    <col width="13.453125" customWidth="1" style="69" min="1" max="1"/>
    <col width="11.36328125" customWidth="1" style="69" min="2" max="2"/>
    <col width="9.1796875" customWidth="1" style="69" min="3" max="51"/>
    <col width="9.1796875" customWidth="1" style="69" min="52" max="16384"/>
  </cols>
  <sheetData>
    <row r="1">
      <c r="A1" s="69" t="inlineStr">
        <is>
          <t>Saudi Arabia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42095</v>
      </c>
      <c r="B6" s="18">
        <f>IF(VLOOKUP(A6,'DB Country PMI'!$A:$AZ,MATCH($A$1,'DB Country PMI'!$A$1:$AZ$1,),)=0,#N/A,VLOOKUP(A6,'DB Country PMI'!$A:$AZ,MATCH($A$1,'DB Country PMI'!$A$1:$AZ$1,),))</f>
        <v/>
      </c>
      <c r="C6" s="18" t="n"/>
    </row>
    <row r="7">
      <c r="A7" s="10" t="n">
        <v>42125</v>
      </c>
      <c r="B7" s="18">
        <f>IF(VLOOKUP(A7,'DB Country PMI'!$A:$AZ,MATCH($A$1,'DB Country PMI'!$A$1:$AZ$1,),)=0,#N/A,VLOOKUP(A7,'DB Country PMI'!$A:$AZ,MATCH($A$1,'DB Country PMI'!$A$1:$AZ$1,),))</f>
        <v/>
      </c>
      <c r="C7" s="24">
        <f>Table134689[[#This Row],[PMI]]-B6</f>
        <v/>
      </c>
    </row>
    <row r="8">
      <c r="A8" s="10" t="n">
        <v>42156</v>
      </c>
      <c r="B8" s="18">
        <f>IF(VLOOKUP(A8,'DB Country PMI'!$A:$AZ,MATCH($A$1,'DB Country PMI'!$A$1:$AZ$1,),)=0,#N/A,VLOOKUP(A8,'DB Country PMI'!$A:$AZ,MATCH($A$1,'DB Country PMI'!$A$1:$AZ$1,),))</f>
        <v/>
      </c>
      <c r="C8" s="24">
        <f>Table134689[[#This Row],[PMI]]-B7</f>
        <v/>
      </c>
    </row>
    <row r="9">
      <c r="A9" s="10" t="n">
        <v>42186</v>
      </c>
      <c r="B9" s="18">
        <f>IF(VLOOKUP(A9,'DB Country PMI'!$A:$AZ,MATCH($A$1,'DB Country PMI'!$A$1:$AZ$1,),)=0,#N/A,VLOOKUP(A9,'DB Country PMI'!$A:$AZ,MATCH($A$1,'DB Country PMI'!$A$1:$AZ$1,),))</f>
        <v/>
      </c>
      <c r="C9" s="24">
        <f>Table134689[[#This Row],[PMI]]-B8</f>
        <v/>
      </c>
    </row>
    <row r="10">
      <c r="A10" s="10" t="n">
        <v>42217</v>
      </c>
      <c r="B10" s="18">
        <f>IF(VLOOKUP(A10,'DB Country PMI'!$A:$AZ,MATCH($A$1,'DB Country PMI'!$A$1:$AZ$1,),)=0,#N/A,VLOOKUP(A10,'DB Country PMI'!$A:$AZ,MATCH($A$1,'DB Country PMI'!$A$1:$AZ$1,),))</f>
        <v/>
      </c>
      <c r="C10" s="24">
        <f>Table134689[[#This Row],[PMI]]-B9</f>
        <v/>
      </c>
    </row>
    <row r="11">
      <c r="A11" s="10" t="n">
        <v>42248</v>
      </c>
      <c r="B11" s="18">
        <f>IF(VLOOKUP(A11,'DB Country PMI'!$A:$AZ,MATCH($A$1,'DB Country PMI'!$A$1:$AZ$1,),)=0,#N/A,VLOOKUP(A11,'DB Country PMI'!$A:$AZ,MATCH($A$1,'DB Country PMI'!$A$1:$AZ$1,),))</f>
        <v/>
      </c>
      <c r="C11" s="24">
        <f>Table134689[[#This Row],[PMI]]-B10</f>
        <v/>
      </c>
    </row>
    <row r="12">
      <c r="A12" s="10" t="n">
        <v>42278</v>
      </c>
      <c r="B12" s="18">
        <f>IF(VLOOKUP(A12,'DB Country PMI'!$A:$AZ,MATCH($A$1,'DB Country PMI'!$A$1:$AZ$1,),)=0,#N/A,VLOOKUP(A12,'DB Country PMI'!$A:$AZ,MATCH($A$1,'DB Country PMI'!$A$1:$AZ$1,),))</f>
        <v/>
      </c>
      <c r="C12" s="24">
        <f>Table134689[[#This Row],[PMI]]-B11</f>
        <v/>
      </c>
    </row>
    <row r="13">
      <c r="A13" s="10" t="n">
        <v>42309</v>
      </c>
      <c r="B13" s="18">
        <f>IF(VLOOKUP(A13,'DB Country PMI'!$A:$AZ,MATCH($A$1,'DB Country PMI'!$A$1:$AZ$1,),)=0,#N/A,VLOOKUP(A13,'DB Country PMI'!$A:$AZ,MATCH($A$1,'DB Country PMI'!$A$1:$AZ$1,),))</f>
        <v/>
      </c>
      <c r="C13" s="24">
        <f>Table134689[[#This Row],[PMI]]-B12</f>
        <v/>
      </c>
    </row>
    <row r="14">
      <c r="A14" s="10" t="n">
        <v>42339</v>
      </c>
      <c r="B14" s="18">
        <f>IF(VLOOKUP(A14,'DB Country PMI'!$A:$AZ,MATCH($A$1,'DB Country PMI'!$A$1:$AZ$1,),)=0,#N/A,VLOOKUP(A14,'DB Country PMI'!$A:$AZ,MATCH($A$1,'DB Country PMI'!$A$1:$AZ$1,),))</f>
        <v/>
      </c>
      <c r="C14" s="24">
        <f>Table134689[[#This Row],[PMI]]-B13</f>
        <v/>
      </c>
    </row>
    <row r="15">
      <c r="A15" s="10" t="n">
        <v>42370</v>
      </c>
      <c r="B15" s="18">
        <f>IF(VLOOKUP(A15,'DB Country PMI'!$A:$AZ,MATCH($A$1,'DB Country PMI'!$A$1:$AZ$1,),)=0,#N/A,VLOOKUP(A15,'DB Country PMI'!$A:$AZ,MATCH($A$1,'DB Country PMI'!$A$1:$AZ$1,),))</f>
        <v/>
      </c>
      <c r="C15" s="24">
        <f>Table134689[[#This Row],[PMI]]-B14</f>
        <v/>
      </c>
    </row>
    <row r="16">
      <c r="A16" s="10" t="n">
        <v>42401</v>
      </c>
      <c r="B16" s="18">
        <f>IF(VLOOKUP(A16,'DB Country PMI'!$A:$AZ,MATCH($A$1,'DB Country PMI'!$A$1:$AZ$1,),)=0,#N/A,VLOOKUP(A16,'DB Country PMI'!$A:$AZ,MATCH($A$1,'DB Country PMI'!$A$1:$AZ$1,),))</f>
        <v/>
      </c>
      <c r="C16" s="24">
        <f>Table134689[[#This Row],[PMI]]-B15</f>
        <v/>
      </c>
    </row>
    <row r="17">
      <c r="A17" s="10" t="n">
        <v>42430</v>
      </c>
      <c r="B17" s="18">
        <f>IF(VLOOKUP(A17,'DB Country PMI'!$A:$AZ,MATCH($A$1,'DB Country PMI'!$A$1:$AZ$1,),)=0,#N/A,VLOOKUP(A17,'DB Country PMI'!$A:$AZ,MATCH($A$1,'DB Country PMI'!$A$1:$AZ$1,),))</f>
        <v/>
      </c>
      <c r="C17" s="24">
        <f>Table134689[[#This Row],[PMI]]-B16</f>
        <v/>
      </c>
    </row>
    <row r="18">
      <c r="A18" s="10" t="n">
        <v>42461</v>
      </c>
      <c r="B18" s="18">
        <f>IF(VLOOKUP(A18,'DB Country PMI'!$A:$AZ,MATCH($A$1,'DB Country PMI'!$A$1:$AZ$1,),)=0,#N/A,VLOOKUP(A18,'DB Country PMI'!$A:$AZ,MATCH($A$1,'DB Country PMI'!$A$1:$AZ$1,),))</f>
        <v/>
      </c>
      <c r="C18" s="24">
        <f>Table134689[[#This Row],[PMI]]-B17</f>
        <v/>
      </c>
    </row>
    <row r="19">
      <c r="A19" s="10" t="n">
        <v>42491</v>
      </c>
      <c r="B19" s="18">
        <f>IF(VLOOKUP(A19,'DB Country PMI'!$A:$AZ,MATCH($A$1,'DB Country PMI'!$A$1:$AZ$1,),)=0,#N/A,VLOOKUP(A19,'DB Country PMI'!$A:$AZ,MATCH($A$1,'DB Country PMI'!$A$1:$AZ$1,),))</f>
        <v/>
      </c>
      <c r="C19" s="24">
        <f>Table134689[[#This Row],[PMI]]-B18</f>
        <v/>
      </c>
    </row>
    <row r="20">
      <c r="A20" s="10" t="n">
        <v>42522</v>
      </c>
      <c r="B20" s="18">
        <f>IF(VLOOKUP(A20,'DB Country PMI'!$A:$AZ,MATCH($A$1,'DB Country PMI'!$A$1:$AZ$1,),)=0,#N/A,VLOOKUP(A20,'DB Country PMI'!$A:$AZ,MATCH($A$1,'DB Country PMI'!$A$1:$AZ$1,),))</f>
        <v/>
      </c>
      <c r="C20" s="24">
        <f>Table134689[[#This Row],[PMI]]-B19</f>
        <v/>
      </c>
    </row>
    <row r="21">
      <c r="A21" s="10" t="n">
        <v>42552</v>
      </c>
      <c r="B21" s="18">
        <f>IF(VLOOKUP(A21,'DB Country PMI'!$A:$AZ,MATCH($A$1,'DB Country PMI'!$A$1:$AZ$1,),)=0,#N/A,VLOOKUP(A21,'DB Country PMI'!$A:$AZ,MATCH($A$1,'DB Country PMI'!$A$1:$AZ$1,),))</f>
        <v/>
      </c>
      <c r="C21" s="24">
        <f>Table134689[[#This Row],[PMI]]-B20</f>
        <v/>
      </c>
    </row>
    <row r="22">
      <c r="A22" s="10" t="n">
        <v>42583</v>
      </c>
      <c r="B22" s="18">
        <f>IF(VLOOKUP(A22,'DB Country PMI'!$A:$AZ,MATCH($A$1,'DB Country PMI'!$A$1:$AZ$1,),)=0,#N/A,VLOOKUP(A22,'DB Country PMI'!$A:$AZ,MATCH($A$1,'DB Country PMI'!$A$1:$AZ$1,),))</f>
        <v/>
      </c>
      <c r="C22" s="24">
        <f>Table134689[[#This Row],[PMI]]-B21</f>
        <v/>
      </c>
    </row>
    <row r="23">
      <c r="A23" s="10" t="n">
        <v>42614</v>
      </c>
      <c r="B23" s="18">
        <f>IF(VLOOKUP(A23,'DB Country PMI'!$A:$AZ,MATCH($A$1,'DB Country PMI'!$A$1:$AZ$1,),)=0,#N/A,VLOOKUP(A23,'DB Country PMI'!$A:$AZ,MATCH($A$1,'DB Country PMI'!$A$1:$AZ$1,),))</f>
        <v/>
      </c>
      <c r="C23" s="24">
        <f>Table134689[[#This Row],[PMI]]-B22</f>
        <v/>
      </c>
    </row>
    <row r="24">
      <c r="A24" s="10" t="n">
        <v>42644</v>
      </c>
      <c r="B24" s="18">
        <f>IF(VLOOKUP(A24,'DB Country PMI'!$A:$AZ,MATCH($A$1,'DB Country PMI'!$A$1:$AZ$1,),)=0,#N/A,VLOOKUP(A24,'DB Country PMI'!$A:$AZ,MATCH($A$1,'DB Country PMI'!$A$1:$AZ$1,),))</f>
        <v/>
      </c>
      <c r="C24" s="24">
        <f>Table134689[[#This Row],[PMI]]-B23</f>
        <v/>
      </c>
    </row>
    <row r="25">
      <c r="A25" s="10" t="n">
        <v>42675</v>
      </c>
      <c r="B25" s="18">
        <f>IF(VLOOKUP(A25,'DB Country PMI'!$A:$AZ,MATCH($A$1,'DB Country PMI'!$A$1:$AZ$1,),)=0,#N/A,VLOOKUP(A25,'DB Country PMI'!$A:$AZ,MATCH($A$1,'DB Country PMI'!$A$1:$AZ$1,),))</f>
        <v/>
      </c>
      <c r="C25" s="24">
        <f>Table134689[[#This Row],[PMI]]-B24</f>
        <v/>
      </c>
    </row>
    <row r="26">
      <c r="A26" s="10" t="n">
        <v>42705</v>
      </c>
      <c r="B26" s="18">
        <f>IF(VLOOKUP(A26,'DB Country PMI'!$A:$AZ,MATCH($A$1,'DB Country PMI'!$A$1:$AZ$1,),)=0,#N/A,VLOOKUP(A26,'DB Country PMI'!$A:$AZ,MATCH($A$1,'DB Country PMI'!$A$1:$AZ$1,),))</f>
        <v/>
      </c>
      <c r="C26" s="24">
        <f>Table134689[[#This Row],[PMI]]-B25</f>
        <v/>
      </c>
    </row>
    <row r="27">
      <c r="A27" s="10" t="n">
        <v>42736</v>
      </c>
      <c r="B27" s="18">
        <f>IF(VLOOKUP(A27,'DB Country PMI'!$A:$AZ,MATCH($A$1,'DB Country PMI'!$A$1:$AZ$1,),)=0,#N/A,VLOOKUP(A27,'DB Country PMI'!$A:$AZ,MATCH($A$1,'DB Country PMI'!$A$1:$AZ$1,),))</f>
        <v/>
      </c>
      <c r="C27" s="24">
        <f>Table134689[[#This Row],[PMI]]-B26</f>
        <v/>
      </c>
    </row>
    <row r="28">
      <c r="A28" s="10" t="n">
        <v>42767</v>
      </c>
      <c r="B28" s="18">
        <f>IF(VLOOKUP(A28,'DB Country PMI'!$A:$AZ,MATCH($A$1,'DB Country PMI'!$A$1:$AZ$1,),)=0,#N/A,VLOOKUP(A28,'DB Country PMI'!$A:$AZ,MATCH($A$1,'DB Country PMI'!$A$1:$AZ$1,),))</f>
        <v/>
      </c>
      <c r="C28" s="24">
        <f>Table134689[[#This Row],[PMI]]-B27</f>
        <v/>
      </c>
    </row>
    <row r="29">
      <c r="A29" s="10" t="n">
        <v>42795</v>
      </c>
      <c r="B29" s="18">
        <f>IF(VLOOKUP(A29,'DB Country PMI'!$A:$AZ,MATCH($A$1,'DB Country PMI'!$A$1:$AZ$1,),)=0,#N/A,VLOOKUP(A29,'DB Country PMI'!$A:$AZ,MATCH($A$1,'DB Country PMI'!$A$1:$AZ$1,),))</f>
        <v/>
      </c>
      <c r="C29" s="24">
        <f>Table134689[[#This Row],[PMI]]-B28</f>
        <v/>
      </c>
    </row>
    <row r="30">
      <c r="A30" s="10" t="n">
        <v>42826</v>
      </c>
      <c r="B30" s="18">
        <f>IF(VLOOKUP(A30,'DB Country PMI'!$A:$AZ,MATCH($A$1,'DB Country PMI'!$A$1:$AZ$1,),)=0,#N/A,VLOOKUP(A30,'DB Country PMI'!$A:$AZ,MATCH($A$1,'DB Country PMI'!$A$1:$AZ$1,),))</f>
        <v/>
      </c>
      <c r="C30" s="24">
        <f>Table134689[[#This Row],[PMI]]-B29</f>
        <v/>
      </c>
    </row>
    <row r="31">
      <c r="A31" s="10" t="n">
        <v>42856</v>
      </c>
      <c r="B31" s="18">
        <f>IF(VLOOKUP(A31,'DB Country PMI'!$A:$AZ,MATCH($A$1,'DB Country PMI'!$A$1:$AZ$1,),)=0,#N/A,VLOOKUP(A31,'DB Country PMI'!$A:$AZ,MATCH($A$1,'DB Country PMI'!$A$1:$AZ$1,),))</f>
        <v/>
      </c>
      <c r="C31" s="24">
        <f>Table134689[[#This Row],[PMI]]-B30</f>
        <v/>
      </c>
    </row>
    <row r="32">
      <c r="A32" s="10" t="n">
        <v>42887</v>
      </c>
      <c r="B32" s="18">
        <f>IF(VLOOKUP(A32,'DB Country PMI'!$A:$AZ,MATCH($A$1,'DB Country PMI'!$A$1:$AZ$1,),)=0,#N/A,VLOOKUP(A32,'DB Country PMI'!$A:$AZ,MATCH($A$1,'DB Country PMI'!$A$1:$AZ$1,),))</f>
        <v/>
      </c>
      <c r="C32" s="24">
        <f>Table134689[[#This Row],[PMI]]-B31</f>
        <v/>
      </c>
    </row>
    <row r="33">
      <c r="A33" s="10" t="n">
        <v>42917</v>
      </c>
      <c r="B33" s="18">
        <f>IF(VLOOKUP(A33,'DB Country PMI'!$A:$AZ,MATCH($A$1,'DB Country PMI'!$A$1:$AZ$1,),)=0,#N/A,VLOOKUP(A33,'DB Country PMI'!$A:$AZ,MATCH($A$1,'DB Country PMI'!$A$1:$AZ$1,),))</f>
        <v/>
      </c>
      <c r="C33" s="24">
        <f>Table134689[[#This Row],[PMI]]-B32</f>
        <v/>
      </c>
    </row>
    <row r="34">
      <c r="A34" s="10" t="n">
        <v>42948</v>
      </c>
      <c r="B34" s="18">
        <f>IF(VLOOKUP(A34,'DB Country PMI'!$A:$AZ,MATCH($A$1,'DB Country PMI'!$A$1:$AZ$1,),)=0,#N/A,VLOOKUP(A34,'DB Country PMI'!$A:$AZ,MATCH($A$1,'DB Country PMI'!$A$1:$AZ$1,),))</f>
        <v/>
      </c>
      <c r="C34" s="24">
        <f>Table134689[[#This Row],[PMI]]-B33</f>
        <v/>
      </c>
    </row>
    <row r="35">
      <c r="A35" s="10" t="n">
        <v>42979</v>
      </c>
      <c r="B35" s="18">
        <f>IF(VLOOKUP(A35,'DB Country PMI'!$A:$AZ,MATCH($A$1,'DB Country PMI'!$A$1:$AZ$1,),)=0,#N/A,VLOOKUP(A35,'DB Country PMI'!$A:$AZ,MATCH($A$1,'DB Country PMI'!$A$1:$AZ$1,),))</f>
        <v/>
      </c>
      <c r="C35" s="24">
        <f>Table134689[[#This Row],[PMI]]-B34</f>
        <v/>
      </c>
    </row>
    <row r="36">
      <c r="A36" s="10" t="n">
        <v>43009</v>
      </c>
      <c r="B36" s="18">
        <f>IF(VLOOKUP(A36,'DB Country PMI'!$A:$AZ,MATCH($A$1,'DB Country PMI'!$A$1:$AZ$1,),)=0,#N/A,VLOOKUP(A36,'DB Country PMI'!$A:$AZ,MATCH($A$1,'DB Country PMI'!$A$1:$AZ$1,),))</f>
        <v/>
      </c>
      <c r="C36" s="24">
        <f>Table134689[[#This Row],[PMI]]-B35</f>
        <v/>
      </c>
    </row>
    <row r="37">
      <c r="A37" s="10" t="n">
        <v>43040</v>
      </c>
      <c r="B37" s="18">
        <f>IF(VLOOKUP(A37,'DB Country PMI'!$A:$AZ,MATCH($A$1,'DB Country PMI'!$A$1:$AZ$1,),)=0,#N/A,VLOOKUP(A37,'DB Country PMI'!$A:$AZ,MATCH($A$1,'DB Country PMI'!$A$1:$AZ$1,),))</f>
        <v/>
      </c>
      <c r="C37" s="24">
        <f>Table134689[[#This Row],[PMI]]-B36</f>
        <v/>
      </c>
    </row>
    <row r="38">
      <c r="A38" s="10" t="n">
        <v>43070</v>
      </c>
      <c r="B38" s="18">
        <f>IF(VLOOKUP(A38,'DB Country PMI'!$A:$AZ,MATCH($A$1,'DB Country PMI'!$A$1:$AZ$1,),)=0,#N/A,VLOOKUP(A38,'DB Country PMI'!$A:$AZ,MATCH($A$1,'DB Country PMI'!$A$1:$AZ$1,),))</f>
        <v/>
      </c>
      <c r="C38" s="24">
        <f>Table134689[[#This Row],[PMI]]-B37</f>
        <v/>
      </c>
    </row>
    <row r="39">
      <c r="A39" s="10" t="n">
        <v>43101</v>
      </c>
      <c r="B39" s="18">
        <f>IF(VLOOKUP(A39,'DB Country PMI'!$A:$AZ,MATCH($A$1,'DB Country PMI'!$A$1:$AZ$1,),)=0,#N/A,VLOOKUP(A39,'DB Country PMI'!$A:$AZ,MATCH($A$1,'DB Country PMI'!$A$1:$AZ$1,),))</f>
        <v/>
      </c>
      <c r="C39" s="24">
        <f>Table134689[[#This Row],[PMI]]-B38</f>
        <v/>
      </c>
    </row>
    <row r="40">
      <c r="A40" s="10" t="n">
        <v>43132</v>
      </c>
      <c r="B40" s="18">
        <f>IF(VLOOKUP(A40,'DB Country PMI'!$A:$AZ,MATCH($A$1,'DB Country PMI'!$A$1:$AZ$1,),)=0,#N/A,VLOOKUP(A40,'DB Country PMI'!$A:$AZ,MATCH($A$1,'DB Country PMI'!$A$1:$AZ$1,),))</f>
        <v/>
      </c>
      <c r="C40" s="24">
        <f>Table134689[[#This Row],[PMI]]-B39</f>
        <v/>
      </c>
    </row>
    <row r="41">
      <c r="A41" s="10" t="n">
        <v>43160</v>
      </c>
      <c r="B41" s="18">
        <f>IF(VLOOKUP(A41,'DB Country PMI'!$A:$AZ,MATCH($A$1,'DB Country PMI'!$A$1:$AZ$1,),)=0,#N/A,VLOOKUP(A41,'DB Country PMI'!$A:$AZ,MATCH($A$1,'DB Country PMI'!$A$1:$AZ$1,),))</f>
        <v/>
      </c>
      <c r="C41" s="24">
        <f>Table134689[[#This Row],[PMI]]-B40</f>
        <v/>
      </c>
    </row>
    <row r="42">
      <c r="A42" s="10" t="n">
        <v>43191</v>
      </c>
      <c r="B42" s="18">
        <f>IF(VLOOKUP(A42,'DB Country PMI'!$A:$AZ,MATCH($A$1,'DB Country PMI'!$A$1:$AZ$1,),)=0,#N/A,VLOOKUP(A42,'DB Country PMI'!$A:$AZ,MATCH($A$1,'DB Country PMI'!$A$1:$AZ$1,),))</f>
        <v/>
      </c>
      <c r="C42" s="24">
        <f>Table134689[[#This Row],[PMI]]-B41</f>
        <v/>
      </c>
    </row>
    <row r="43">
      <c r="A43" s="10" t="n">
        <v>43221</v>
      </c>
      <c r="B43" s="18">
        <f>IF(VLOOKUP(A43,'DB Country PMI'!$A:$AZ,MATCH($A$1,'DB Country PMI'!$A$1:$AZ$1,),)=0,#N/A,VLOOKUP(A43,'DB Country PMI'!$A:$AZ,MATCH($A$1,'DB Country PMI'!$A$1:$AZ$1,),))</f>
        <v/>
      </c>
      <c r="C43" s="24">
        <f>Table134689[[#This Row],[PMI]]-B42</f>
        <v/>
      </c>
    </row>
    <row r="44">
      <c r="A44" s="10" t="n">
        <v>43252</v>
      </c>
      <c r="B44" s="18">
        <f>IF(VLOOKUP(A44,'DB Country PMI'!$A:$AZ,MATCH($A$1,'DB Country PMI'!$A$1:$AZ$1,),)=0,#N/A,VLOOKUP(A44,'DB Country PMI'!$A:$AZ,MATCH($A$1,'DB Country PMI'!$A$1:$AZ$1,),))</f>
        <v/>
      </c>
      <c r="C44" s="24">
        <f>Table134689[[#This Row],[PMI]]-B43</f>
        <v/>
      </c>
    </row>
    <row r="45">
      <c r="A45" s="10" t="n">
        <v>43282</v>
      </c>
      <c r="B45" s="18">
        <f>IF(VLOOKUP(A45,'DB Country PMI'!$A:$AZ,MATCH($A$1,'DB Country PMI'!$A$1:$AZ$1,),)=0,#N/A,VLOOKUP(A45,'DB Country PMI'!$A:$AZ,MATCH($A$1,'DB Country PMI'!$A$1:$AZ$1,),))</f>
        <v/>
      </c>
      <c r="C45" s="24">
        <f>Table134689[[#This Row],[PMI]]-B44</f>
        <v/>
      </c>
    </row>
    <row r="46">
      <c r="A46" s="10" t="n">
        <v>43313</v>
      </c>
      <c r="B46" s="18">
        <f>IF(VLOOKUP(A46,'DB Country PMI'!$A:$AZ,MATCH($A$1,'DB Country PMI'!$A$1:$AZ$1,),)=0,#N/A,VLOOKUP(A46,'DB Country PMI'!$A:$AZ,MATCH($A$1,'DB Country PMI'!$A$1:$AZ$1,),))</f>
        <v/>
      </c>
      <c r="C46" s="24">
        <f>Table134689[[#This Row],[PMI]]-B45</f>
        <v/>
      </c>
    </row>
    <row r="47">
      <c r="A47" s="10" t="n">
        <v>43344</v>
      </c>
      <c r="B47" s="18">
        <f>IF(VLOOKUP(A47,'DB Country PMI'!$A:$AZ,MATCH($A$1,'DB Country PMI'!$A$1:$AZ$1,),)=0,#N/A,VLOOKUP(A47,'DB Country PMI'!$A:$AZ,MATCH($A$1,'DB Country PMI'!$A$1:$AZ$1,),))</f>
        <v/>
      </c>
      <c r="C47" s="24">
        <f>Table134689[[#This Row],[PMI]]-B46</f>
        <v/>
      </c>
    </row>
    <row r="48">
      <c r="A48" s="10" t="n">
        <v>43374</v>
      </c>
      <c r="B48" s="18">
        <f>IF(VLOOKUP(A48,'DB Country PMI'!$A:$AZ,MATCH($A$1,'DB Country PMI'!$A$1:$AZ$1,),)=0,#N/A,VLOOKUP(A48,'DB Country PMI'!$A:$AZ,MATCH($A$1,'DB Country PMI'!$A$1:$AZ$1,),))</f>
        <v/>
      </c>
      <c r="C48" s="24">
        <f>Table134689[[#This Row],[PMI]]-B47</f>
        <v/>
      </c>
    </row>
    <row r="49">
      <c r="A49" s="10" t="n">
        <v>43405</v>
      </c>
      <c r="B49" s="18">
        <f>IF(VLOOKUP(A49,'DB Country PMI'!$A:$AZ,MATCH($A$1,'DB Country PMI'!$A$1:$AZ$1,),)=0,#N/A,VLOOKUP(A49,'DB Country PMI'!$A:$AZ,MATCH($A$1,'DB Country PMI'!$A$1:$AZ$1,),))</f>
        <v/>
      </c>
      <c r="C49" s="24">
        <f>Table134689[[#This Row],[PMI]]-B48</f>
        <v/>
      </c>
    </row>
    <row r="50">
      <c r="A50" s="10" t="n">
        <v>43435</v>
      </c>
      <c r="B50" s="18">
        <f>IF(VLOOKUP(A50,'DB Country PMI'!$A:$AZ,MATCH($A$1,'DB Country PMI'!$A$1:$AZ$1,),)=0,#N/A,VLOOKUP(A50,'DB Country PMI'!$A:$AZ,MATCH($A$1,'DB Country PMI'!$A$1:$AZ$1,),))</f>
        <v/>
      </c>
      <c r="C50" s="24">
        <f>Table134689[[#This Row],[PMI]]-B49</f>
        <v/>
      </c>
    </row>
    <row r="51">
      <c r="A51" s="10" t="n">
        <v>43466</v>
      </c>
      <c r="B51" s="18">
        <f>IF(VLOOKUP(A51,'DB Country PMI'!$A:$AZ,MATCH($A$1,'DB Country PMI'!$A$1:$AZ$1,),)=0,#N/A,VLOOKUP(A51,'DB Country PMI'!$A:$AZ,MATCH($A$1,'DB Country PMI'!$A$1:$AZ$1,),))</f>
        <v/>
      </c>
      <c r="C51" s="24">
        <f>Table134689[[#This Row],[PMI]]-B50</f>
        <v/>
      </c>
    </row>
    <row r="52">
      <c r="A52" s="10" t="n">
        <v>43497</v>
      </c>
      <c r="B52" s="18">
        <f>IF(VLOOKUP(A52,'DB Country PMI'!$A:$AZ,MATCH($A$1,'DB Country PMI'!$A$1:$AZ$1,),)=0,#N/A,VLOOKUP(A52,'DB Country PMI'!$A:$AZ,MATCH($A$1,'DB Country PMI'!$A$1:$AZ$1,),))</f>
        <v/>
      </c>
      <c r="C52" s="24">
        <f>Table134689[[#This Row],[PMI]]-B51</f>
        <v/>
      </c>
    </row>
    <row r="53">
      <c r="A53" s="10" t="n">
        <v>43525</v>
      </c>
      <c r="B53" s="18">
        <f>IF(VLOOKUP(A53,'DB Country PMI'!$A:$AZ,MATCH($A$1,'DB Country PMI'!$A$1:$AZ$1,),)=0,#N/A,VLOOKUP(A53,'DB Country PMI'!$A:$AZ,MATCH($A$1,'DB Country PMI'!$A$1:$AZ$1,),))</f>
        <v/>
      </c>
      <c r="C53" s="24">
        <f>Table134689[[#This Row],[PMI]]-B52</f>
        <v/>
      </c>
    </row>
    <row r="54">
      <c r="A54" s="10" t="n">
        <v>43556</v>
      </c>
      <c r="B54" s="18">
        <f>IF(VLOOKUP(A54,'DB Country PMI'!$A:$AZ,MATCH($A$1,'DB Country PMI'!$A$1:$AZ$1,),)=0,#N/A,VLOOKUP(A54,'DB Country PMI'!$A:$AZ,MATCH($A$1,'DB Country PMI'!$A$1:$AZ$1,),))</f>
        <v/>
      </c>
      <c r="C54" s="24">
        <f>Table134689[[#This Row],[PMI]]-B53</f>
        <v/>
      </c>
    </row>
    <row r="55">
      <c r="A55" s="10" t="n">
        <v>43586</v>
      </c>
      <c r="B55" s="18">
        <f>IF(VLOOKUP(A55,'DB Country PMI'!$A:$AZ,MATCH($A$1,'DB Country PMI'!$A$1:$AZ$1,),)=0,#N/A,VLOOKUP(A55,'DB Country PMI'!$A:$AZ,MATCH($A$1,'DB Country PMI'!$A$1:$AZ$1,),))</f>
        <v/>
      </c>
      <c r="C55" s="24">
        <f>Table134689[[#This Row],[PMI]]-B54</f>
        <v/>
      </c>
    </row>
    <row r="56">
      <c r="A56" s="10" t="n">
        <v>43617</v>
      </c>
      <c r="B56" s="18">
        <f>IF(VLOOKUP(A56,'DB Country PMI'!$A:$AZ,MATCH($A$1,'DB Country PMI'!$A$1:$AZ$1,),)=0,#N/A,VLOOKUP(A56,'DB Country PMI'!$A:$AZ,MATCH($A$1,'DB Country PMI'!$A$1:$AZ$1,),))</f>
        <v/>
      </c>
      <c r="C56" s="24">
        <f>Table134689[[#This Row],[PMI]]-B55</f>
        <v/>
      </c>
    </row>
    <row r="57">
      <c r="A57" s="10" t="n">
        <v>43647</v>
      </c>
      <c r="B57" s="18">
        <f>IF(VLOOKUP(A57,'DB Country PMI'!$A:$AZ,MATCH($A$1,'DB Country PMI'!$A$1:$AZ$1,),)=0,#N/A,VLOOKUP(A57,'DB Country PMI'!$A:$AZ,MATCH($A$1,'DB Country PMI'!$A$1:$AZ$1,),))</f>
        <v/>
      </c>
      <c r="C57" s="24">
        <f>Table134689[[#This Row],[PMI]]-B56</f>
        <v/>
      </c>
    </row>
    <row r="58">
      <c r="A58" s="10" t="n">
        <v>43678</v>
      </c>
      <c r="B58" s="18">
        <f>IF(VLOOKUP(A58,'DB Country PMI'!$A:$AZ,MATCH($A$1,'DB Country PMI'!$A$1:$AZ$1,),)=0,#N/A,VLOOKUP(A58,'DB Country PMI'!$A:$AZ,MATCH($A$1,'DB Country PMI'!$A$1:$AZ$1,),))</f>
        <v/>
      </c>
      <c r="C58" s="24">
        <f>Table134689[[#This Row],[PMI]]-B57</f>
        <v/>
      </c>
    </row>
    <row r="59">
      <c r="A59" s="10" t="n">
        <v>43709</v>
      </c>
      <c r="B59" s="18">
        <f>IF(VLOOKUP(A59,'DB Country PMI'!$A:$AZ,MATCH($A$1,'DB Country PMI'!$A$1:$AZ$1,),)=0,#N/A,VLOOKUP(A59,'DB Country PMI'!$A:$AZ,MATCH($A$1,'DB Country PMI'!$A$1:$AZ$1,),))</f>
        <v/>
      </c>
      <c r="C59" s="24">
        <f>Table134689[[#This Row],[PMI]]-B58</f>
        <v/>
      </c>
    </row>
    <row r="60">
      <c r="A60" s="10" t="n">
        <v>43739</v>
      </c>
      <c r="B60" s="18">
        <f>IF(VLOOKUP(A60,'DB Country PMI'!$A:$AZ,MATCH($A$1,'DB Country PMI'!$A$1:$AZ$1,),)=0,#N/A,VLOOKUP(A60,'DB Country PMI'!$A:$AZ,MATCH($A$1,'DB Country PMI'!$A$1:$AZ$1,),))</f>
        <v/>
      </c>
      <c r="C60" s="24">
        <f>Table134689[[#This Row],[PMI]]-B59</f>
        <v/>
      </c>
    </row>
    <row r="61">
      <c r="A61" s="10" t="n">
        <v>43770</v>
      </c>
      <c r="B61" s="18">
        <f>IF(VLOOKUP(A61,'DB Country PMI'!$A:$AZ,MATCH($A$1,'DB Country PMI'!$A$1:$AZ$1,),)=0,#N/A,VLOOKUP(A61,'DB Country PMI'!$A:$AZ,MATCH($A$1,'DB Country PMI'!$A$1:$AZ$1,),))</f>
        <v/>
      </c>
      <c r="C61" s="24">
        <f>Table134689[[#This Row],[PMI]]-B60</f>
        <v/>
      </c>
    </row>
    <row r="62">
      <c r="A62" s="10" t="n">
        <v>43800</v>
      </c>
      <c r="B62" s="18">
        <f>IF(VLOOKUP(A62,'DB Country PMI'!$A:$AZ,MATCH($A$1,'DB Country PMI'!$A$1:$AZ$1,),)=0,#N/A,VLOOKUP(A62,'DB Country PMI'!$A:$AZ,MATCH($A$1,'DB Country PMI'!$A$1:$AZ$1,),))</f>
        <v/>
      </c>
      <c r="C62" s="24">
        <f>Table134689[[#This Row],[PMI]]-B61</f>
        <v/>
      </c>
    </row>
    <row r="63">
      <c r="A63" s="10" t="n">
        <v>43831</v>
      </c>
      <c r="B63" s="18">
        <f>IF(VLOOKUP(A63,'DB Country PMI'!$A:$AZ,MATCH($A$1,'DB Country PMI'!$A$1:$AZ$1,),)=0,#N/A,VLOOKUP(A63,'DB Country PMI'!$A:$AZ,MATCH($A$1,'DB Country PMI'!$A$1:$AZ$1,),))</f>
        <v/>
      </c>
      <c r="C63" s="24">
        <f>Table134689[[#This Row],[PMI]]-B62</f>
        <v/>
      </c>
    </row>
    <row r="64">
      <c r="A64" s="10" t="n">
        <v>43862</v>
      </c>
      <c r="B64" s="18">
        <f>IF(VLOOKUP(A64,'DB Country PMI'!$A:$AZ,MATCH($A$1,'DB Country PMI'!$A$1:$AZ$1,),)=0,#N/A,VLOOKUP(A64,'DB Country PMI'!$A:$AZ,MATCH($A$1,'DB Country PMI'!$A$1:$AZ$1,),))</f>
        <v/>
      </c>
      <c r="C64" s="24">
        <f>Table134689[[#This Row],[PMI]]-B63</f>
        <v/>
      </c>
    </row>
    <row r="65">
      <c r="A65" s="10" t="n">
        <v>43891</v>
      </c>
      <c r="B65" s="18">
        <f>IF(VLOOKUP(A65,'DB Country PMI'!$A:$AZ,MATCH($A$1,'DB Country PMI'!$A$1:$AZ$1,),)=0,#N/A,VLOOKUP(A65,'DB Country PMI'!$A:$AZ,MATCH($A$1,'DB Country PMI'!$A$1:$AZ$1,),))</f>
        <v/>
      </c>
      <c r="C65" s="24">
        <f>Table134689[[#This Row],[PMI]]-B64</f>
        <v/>
      </c>
    </row>
    <row r="66">
      <c r="A66" s="10" t="n">
        <v>43922</v>
      </c>
      <c r="B66" s="18">
        <f>IF(VLOOKUP(A66,'DB Country PMI'!$A:$AZ,MATCH($A$1,'DB Country PMI'!$A$1:$AZ$1,),)=0,#N/A,VLOOKUP(A66,'DB Country PMI'!$A:$AZ,MATCH($A$1,'DB Country PMI'!$A$1:$AZ$1,),))</f>
        <v/>
      </c>
      <c r="C66" s="24">
        <f>Table134689[[#This Row],[PMI]]-B65</f>
        <v/>
      </c>
    </row>
    <row r="67">
      <c r="A67" s="10" t="n">
        <v>43952</v>
      </c>
      <c r="B67" s="18">
        <f>IF(VLOOKUP(A67,'DB Country PMI'!$A:$AZ,MATCH($A$1,'DB Country PMI'!$A$1:$AZ$1,),)=0,#N/A,VLOOKUP(A67,'DB Country PMI'!$A:$AZ,MATCH($A$1,'DB Country PMI'!$A$1:$AZ$1,),))</f>
        <v/>
      </c>
      <c r="C67" s="24">
        <f>Table134689[[#This Row],[PMI]]-B66</f>
        <v/>
      </c>
    </row>
    <row r="68">
      <c r="A68" s="10" t="n">
        <v>43983</v>
      </c>
      <c r="B68" s="18">
        <f>IF(VLOOKUP(A68,'DB Country PMI'!$A:$AZ,MATCH($A$1,'DB Country PMI'!$A$1:$AZ$1,),)=0,#N/A,VLOOKUP(A68,'DB Country PMI'!$A:$AZ,MATCH($A$1,'DB Country PMI'!$A$1:$AZ$1,),))</f>
        <v/>
      </c>
      <c r="C68" s="24">
        <f>Table134689[[#This Row],[PMI]]-B67</f>
        <v/>
      </c>
    </row>
    <row r="69">
      <c r="A69" s="10" t="n">
        <v>44013</v>
      </c>
      <c r="B69" s="18">
        <f>IF(VLOOKUP(A69,'DB Country PMI'!$A:$AZ,MATCH($A$1,'DB Country PMI'!$A$1:$AZ$1,),)=0,#N/A,VLOOKUP(A69,'DB Country PMI'!$A:$AZ,MATCH($A$1,'DB Country PMI'!$A$1:$AZ$1,),))</f>
        <v/>
      </c>
      <c r="C69" s="24">
        <f>Table134689[[#This Row],[PMI]]-B68</f>
        <v/>
      </c>
    </row>
    <row r="70">
      <c r="A70" s="10" t="n">
        <v>44044</v>
      </c>
      <c r="B70" s="18">
        <f>IF(VLOOKUP(A70,'DB Country PMI'!$A:$AZ,MATCH($A$1,'DB Country PMI'!$A$1:$AZ$1,),)=0,#N/A,VLOOKUP(A70,'DB Country PMI'!$A:$AZ,MATCH($A$1,'DB Country PMI'!$A$1:$AZ$1,),))</f>
        <v/>
      </c>
      <c r="C70" s="24">
        <f>Table134689[[#This Row],[PMI]]-B69</f>
        <v/>
      </c>
    </row>
    <row r="71">
      <c r="A71" s="10" t="n">
        <v>44075</v>
      </c>
      <c r="B71" s="18">
        <f>IF(VLOOKUP(A71,'DB Country PMI'!$A:$AZ,MATCH($A$1,'DB Country PMI'!$A$1:$AZ$1,),)=0,#N/A,VLOOKUP(A71,'DB Country PMI'!$A:$AZ,MATCH($A$1,'DB Country PMI'!$A$1:$AZ$1,),))</f>
        <v/>
      </c>
      <c r="C71" s="24">
        <f>Table134689[[#This Row],[PMI]]-B70</f>
        <v/>
      </c>
    </row>
    <row r="72">
      <c r="A72" s="10" t="n">
        <v>44105</v>
      </c>
      <c r="B72" s="18">
        <f>IF(VLOOKUP(A72,'DB Country PMI'!$A:$AZ,MATCH($A$1,'DB Country PMI'!$A$1:$AZ$1,),)=0,#N/A,VLOOKUP(A72,'DB Country PMI'!$A:$AZ,MATCH($A$1,'DB Country PMI'!$A$1:$AZ$1,),))</f>
        <v/>
      </c>
      <c r="C72" s="24">
        <f>Table134689[[#This Row],[PMI]]-B71</f>
        <v/>
      </c>
    </row>
    <row r="73">
      <c r="A73" s="10" t="n">
        <v>44136</v>
      </c>
      <c r="B73" s="18">
        <f>IF(VLOOKUP(A73,'DB Country PMI'!$A:$AZ,MATCH($A$1,'DB Country PMI'!$A$1:$AZ$1,),)=0,#N/A,VLOOKUP(A73,'DB Country PMI'!$A:$AZ,MATCH($A$1,'DB Country PMI'!$A$1:$AZ$1,),))</f>
        <v/>
      </c>
      <c r="C73" s="24">
        <f>Table134689[[#This Row],[PMI]]-B72</f>
        <v/>
      </c>
    </row>
    <row r="74">
      <c r="A74" s="10" t="n">
        <v>44166</v>
      </c>
      <c r="B74" s="18">
        <f>IF(VLOOKUP(A74,'DB Country PMI'!$A:$AZ,MATCH($A$1,'DB Country PMI'!$A$1:$AZ$1,),)=0,#N/A,VLOOKUP(A74,'DB Country PMI'!$A:$AZ,MATCH($A$1,'DB Country PMI'!$A$1:$AZ$1,),))</f>
        <v/>
      </c>
      <c r="C74" s="24">
        <f>Table134689[[#This Row],[PMI]]-B73</f>
        <v/>
      </c>
    </row>
    <row r="75">
      <c r="A75" s="10" t="n">
        <v>44197</v>
      </c>
      <c r="B75" s="18">
        <f>IF(VLOOKUP(A75,'DB Country PMI'!$A:$AZ,MATCH($A$1,'DB Country PMI'!$A$1:$AZ$1,),)=0,#N/A,VLOOKUP(A75,'DB Country PMI'!$A:$AZ,MATCH($A$1,'DB Country PMI'!$A$1:$AZ$1,),))</f>
        <v/>
      </c>
      <c r="C75" s="24">
        <f>Table134689[[#This Row],[PMI]]-B74</f>
        <v/>
      </c>
    </row>
    <row r="76">
      <c r="A76" s="10" t="n">
        <v>44228</v>
      </c>
      <c r="B76" s="18">
        <f>IF(VLOOKUP(A76,'DB Country PMI'!$A:$AZ,MATCH($A$1,'DB Country PMI'!$A$1:$AZ$1,),)=0,#N/A,VLOOKUP(A76,'DB Country PMI'!$A:$AZ,MATCH($A$1,'DB Country PMI'!$A$1:$AZ$1,),))</f>
        <v/>
      </c>
      <c r="C76" s="24">
        <f>Table134689[[#This Row],[PMI]]-B75</f>
        <v/>
      </c>
    </row>
    <row r="77">
      <c r="A77" s="10" t="n">
        <v>44256</v>
      </c>
      <c r="B77" s="18">
        <f>IF(VLOOKUP(A77,'DB Country PMI'!$A:$AZ,MATCH($A$1,'DB Country PMI'!$A$1:$AZ$1,),)=0,#N/A,VLOOKUP(A77,'DB Country PMI'!$A:$AZ,MATCH($A$1,'DB Country PMI'!$A$1:$AZ$1,),))</f>
        <v/>
      </c>
      <c r="C77" s="24">
        <f>Table134689[[#This Row],[PMI]]-B76</f>
        <v/>
      </c>
    </row>
    <row r="78">
      <c r="A78" s="10" t="n">
        <v>44287</v>
      </c>
      <c r="B78" s="18">
        <f>IF(VLOOKUP(A78,'DB Country PMI'!$A:$AZ,MATCH($A$1,'DB Country PMI'!$A$1:$AZ$1,),)=0,#N/A,VLOOKUP(A78,'DB Country PMI'!$A:$AZ,MATCH($A$1,'DB Country PMI'!$A$1:$AZ$1,),))</f>
        <v/>
      </c>
      <c r="C78" s="24">
        <f>Table134689[[#This Row],[PMI]]-B77</f>
        <v/>
      </c>
    </row>
    <row r="79">
      <c r="A79" s="10" t="n">
        <v>44317</v>
      </c>
      <c r="B79" s="18">
        <f>IF(VLOOKUP(A79,'DB Country PMI'!$A:$AZ,MATCH($A$1,'DB Country PMI'!$A$1:$AZ$1,),)=0,#N/A,VLOOKUP(A79,'DB Country PMI'!$A:$AZ,MATCH($A$1,'DB Country PMI'!$A$1:$AZ$1,),))</f>
        <v/>
      </c>
      <c r="C79" s="24">
        <f>Table134689[[#This Row],[PMI]]-B78</f>
        <v/>
      </c>
    </row>
    <row r="80">
      <c r="A80" s="10" t="n">
        <v>44348</v>
      </c>
      <c r="B80" s="18">
        <f>IF(VLOOKUP(A80,'DB Country PMI'!$A:$AZ,MATCH($A$1,'DB Country PMI'!$A$1:$AZ$1,),)=0,#N/A,VLOOKUP(A80,'DB Country PMI'!$A:$AZ,MATCH($A$1,'DB Country PMI'!$A$1:$AZ$1,),))</f>
        <v/>
      </c>
      <c r="C80" s="24">
        <f>Table134689[[#This Row],[PMI]]-B79</f>
        <v/>
      </c>
    </row>
    <row r="81">
      <c r="A81" s="10" t="n">
        <v>44378</v>
      </c>
      <c r="B81" s="18">
        <f>IF(VLOOKUP(A81,'DB Country PMI'!$A:$AZ,MATCH($A$1,'DB Country PMI'!$A$1:$AZ$1,),)=0,#N/A,VLOOKUP(A81,'DB Country PMI'!$A:$AZ,MATCH($A$1,'DB Country PMI'!$A$1:$AZ$1,),))</f>
        <v/>
      </c>
      <c r="C81" s="24">
        <f>Table134689[[#This Row],[PMI]]-B80</f>
        <v/>
      </c>
    </row>
    <row r="82">
      <c r="A82" s="10" t="n">
        <v>44409</v>
      </c>
      <c r="B82" s="18">
        <f>IF(VLOOKUP(A82,'DB Country PMI'!$A:$AZ,MATCH($A$1,'DB Country PMI'!$A$1:$AZ$1,),)=0,#N/A,VLOOKUP(A82,'DB Country PMI'!$A:$AZ,MATCH($A$1,'DB Country PMI'!$A$1:$AZ$1,),))</f>
        <v/>
      </c>
      <c r="C82" s="24">
        <f>Table134689[[#This Row],[PMI]]-B81</f>
        <v/>
      </c>
    </row>
    <row r="83">
      <c r="A83" s="10" t="n">
        <v>44440</v>
      </c>
      <c r="B83" s="18">
        <f>IF(VLOOKUP(A83,'DB Country PMI'!$A:$AZ,MATCH($A$1,'DB Country PMI'!$A$1:$AZ$1,),)=0,#N/A,VLOOKUP(A83,'DB Country PMI'!$A:$AZ,MATCH($A$1,'DB Country PMI'!$A$1:$AZ$1,),))</f>
        <v/>
      </c>
      <c r="C83" s="24">
        <f>Table134689[[#This Row],[PMI]]-B82</f>
        <v/>
      </c>
    </row>
    <row r="84">
      <c r="A84" s="10" t="n">
        <v>44470</v>
      </c>
      <c r="B84" s="18">
        <f>IF(VLOOKUP(A84,'DB Country PMI'!$A:$AZ,MATCH($A$1,'DB Country PMI'!$A$1:$AZ$1,),)=0,#N/A,VLOOKUP(A84,'DB Country PMI'!$A:$AZ,MATCH($A$1,'DB Country PMI'!$A$1:$AZ$1,),))</f>
        <v/>
      </c>
      <c r="C84" s="24">
        <f>Table134689[[#This Row],[PMI]]-B83</f>
        <v/>
      </c>
    </row>
    <row r="85">
      <c r="A85" s="10" t="n">
        <v>44501</v>
      </c>
      <c r="B85" s="18">
        <f>IF(VLOOKUP(A85,'DB Country PMI'!$A:$AZ,MATCH($A$1,'DB Country PMI'!$A$1:$AZ$1,),)=0,#N/A,VLOOKUP(A85,'DB Country PMI'!$A:$AZ,MATCH($A$1,'DB Country PMI'!$A$1:$AZ$1,),))</f>
        <v/>
      </c>
      <c r="C85" s="24">
        <f>Table134689[[#This Row],[PMI]]-B84</f>
        <v/>
      </c>
    </row>
    <row r="86">
      <c r="A86" s="10" t="n">
        <v>44531</v>
      </c>
      <c r="B86" s="18">
        <f>IF(VLOOKUP(A86,'DB Country PMI'!$A:$AZ,MATCH($A$1,'DB Country PMI'!$A$1:$AZ$1,),)=0,#N/A,VLOOKUP(A86,'DB Country PMI'!$A:$AZ,MATCH($A$1,'DB Country PMI'!$A$1:$AZ$1,),))</f>
        <v/>
      </c>
      <c r="C86" s="24">
        <f>Table134689[[#This Row],[PMI]]-B85</f>
        <v/>
      </c>
    </row>
    <row r="87">
      <c r="A87" s="10" t="n">
        <v>44562</v>
      </c>
      <c r="B87" s="18">
        <f>IF(VLOOKUP(A87,'DB Country PMI'!$A:$AZ,MATCH($A$1,'DB Country PMI'!$A$1:$AZ$1,),)=0,#N/A,VLOOKUP(A87,'DB Country PMI'!$A:$AZ,MATCH($A$1,'DB Country PMI'!$A$1:$AZ$1,),))</f>
        <v/>
      </c>
      <c r="C87" s="24">
        <f>Table134689[[#This Row],[PMI]]-B86</f>
        <v/>
      </c>
    </row>
    <row r="88">
      <c r="A88" s="10" t="n">
        <v>44593</v>
      </c>
      <c r="B88" s="18">
        <f>IF(VLOOKUP(A88,'DB Country PMI'!$A:$AZ,MATCH($A$1,'DB Country PMI'!$A$1:$AZ$1,),)=0,#N/A,VLOOKUP(A88,'DB Country PMI'!$A:$AZ,MATCH($A$1,'DB Country PMI'!$A$1:$AZ$1,),))</f>
        <v/>
      </c>
      <c r="C88" s="24">
        <f>Table134689[[#This Row],[PMI]]-B87</f>
        <v/>
      </c>
    </row>
    <row r="89">
      <c r="A89" s="10" t="n">
        <v>44621</v>
      </c>
      <c r="B89" s="18">
        <f>IF(VLOOKUP(A89,'DB Country PMI'!$A:$AZ,MATCH($A$1,'DB Country PMI'!$A$1:$AZ$1,),)=0,#N/A,VLOOKUP(A89,'DB Country PMI'!$A:$AZ,MATCH($A$1,'DB Country PMI'!$A$1:$AZ$1,),))</f>
        <v/>
      </c>
      <c r="C89" s="24">
        <f>Table134689[[#This Row],[PMI]]-B88</f>
        <v/>
      </c>
    </row>
    <row r="90">
      <c r="A90" s="10" t="n">
        <v>44652</v>
      </c>
      <c r="B90" s="18">
        <f>IF(VLOOKUP(A90,'DB Country PMI'!$A:$AZ,MATCH($A$1,'DB Country PMI'!$A$1:$AZ$1,),)=0,#N/A,VLOOKUP(A90,'DB Country PMI'!$A:$AZ,MATCH($A$1,'DB Country PMI'!$A$1:$AZ$1,),))</f>
        <v/>
      </c>
      <c r="C90" s="24">
        <f>Table134689[[#This Row],[PMI]]-B89</f>
        <v/>
      </c>
    </row>
    <row r="91">
      <c r="A91" s="10" t="n">
        <v>44682</v>
      </c>
      <c r="B91" s="18">
        <f>IF(VLOOKUP(A91,'DB Country PMI'!$A:$AZ,MATCH($A$1,'DB Country PMI'!$A$1:$AZ$1,),)=0,#N/A,VLOOKUP(A91,'DB Country PMI'!$A:$AZ,MATCH($A$1,'DB Country PMI'!$A$1:$AZ$1,),))</f>
        <v/>
      </c>
      <c r="C91" s="24">
        <f>Table134689[[#This Row],[PMI]]-B90</f>
        <v/>
      </c>
    </row>
    <row r="92">
      <c r="A92" s="10" t="n">
        <v>44713</v>
      </c>
      <c r="B92" s="18">
        <f>IF(VLOOKUP(A92,'DB Country PMI'!$A:$AZ,MATCH($A$1,'DB Country PMI'!$A$1:$AZ$1,),)=0,#N/A,VLOOKUP(A92,'DB Country PMI'!$A:$AZ,MATCH($A$1,'DB Country PMI'!$A$1:$AZ$1,),))</f>
        <v/>
      </c>
      <c r="C92" s="24">
        <f>Table134689[[#This Row],[PMI]]-B91</f>
        <v/>
      </c>
    </row>
    <row r="93">
      <c r="A93" s="10" t="n">
        <v>44743</v>
      </c>
      <c r="B93" s="18">
        <f>IF(VLOOKUP(A93,'DB Country PMI'!$A:$AZ,MATCH($A$1,'DB Country PMI'!$A$1:$AZ$1,),)=0,#N/A,VLOOKUP(A93,'DB Country PMI'!$A:$AZ,MATCH($A$1,'DB Country PMI'!$A$1:$AZ$1,),))</f>
        <v/>
      </c>
      <c r="C93" s="24">
        <f>Table134689[[#This Row],[PMI]]-B92</f>
        <v/>
      </c>
    </row>
    <row r="94">
      <c r="A94" s="10" t="n">
        <v>44774</v>
      </c>
      <c r="B94" s="18">
        <f>IF(VLOOKUP(A94,'DB Country PMI'!$A:$AZ,MATCH($A$1,'DB Country PMI'!$A$1:$AZ$1,),)=0,#N/A,VLOOKUP(A94,'DB Country PMI'!$A:$AZ,MATCH($A$1,'DB Country PMI'!$A$1:$AZ$1,),))</f>
        <v/>
      </c>
      <c r="C94" s="24">
        <f>Table134689[[#This Row],[PMI]]-B93</f>
        <v/>
      </c>
    </row>
    <row r="95">
      <c r="A95" s="10" t="n">
        <v>44805</v>
      </c>
      <c r="B95" s="18">
        <f>IF(VLOOKUP(A95,'DB Country PMI'!$A:$AZ,MATCH($A$1,'DB Country PMI'!$A$1:$AZ$1,),)=0,#N/A,VLOOKUP(A95,'DB Country PMI'!$A:$AZ,MATCH($A$1,'DB Country PMI'!$A$1:$AZ$1,),))</f>
        <v/>
      </c>
      <c r="C95" s="24">
        <f>Table134689[[#This Row],[PMI]]-B94</f>
        <v/>
      </c>
    </row>
    <row r="96">
      <c r="A96" s="10" t="n">
        <v>44835</v>
      </c>
      <c r="B96" s="18">
        <f>IF(VLOOKUP(A96,'DB Country PMI'!$A:$AZ,MATCH($A$1,'DB Country PMI'!$A$1:$AZ$1,),)=0,#N/A,VLOOKUP(A96,'DB Country PMI'!$A:$AZ,MATCH($A$1,'DB Country PMI'!$A$1:$AZ$1,),))</f>
        <v/>
      </c>
      <c r="C96" s="24">
        <f>Table134689[[#This Row],[PMI]]-B95</f>
        <v/>
      </c>
    </row>
  </sheetData>
  <conditionalFormatting sqref="B6:B96">
    <cfRule type="colorScale" priority="54">
      <colorScale>
        <cfvo type="min"/>
        <cfvo type="percentile" val="50"/>
        <cfvo type="max"/>
        <color rgb="FFF8696B"/>
        <color rgb="FFFFEB84"/>
        <color rgb="FF63BE7B"/>
      </colorScale>
    </cfRule>
  </conditionalFormatting>
  <conditionalFormatting sqref="C7:C96">
    <cfRule type="colorScale" priority="55">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7.xml><?xml version="1.0" encoding="utf-8"?>
<worksheet xmlns="http://schemas.openxmlformats.org/spreadsheetml/2006/main">
  <sheetPr>
    <outlinePr summaryBelow="1" summaryRight="1"/>
    <pageSetUpPr/>
  </sheetPr>
  <dimension ref="A1:K248"/>
  <sheetViews>
    <sheetView zoomScale="90" zoomScaleNormal="90" workbookViewId="0">
      <pane ySplit="5" topLeftCell="A231" activePane="bottomLeft" state="frozen"/>
      <selection activeCell="B327" sqref="B327"/>
      <selection pane="bottomLeft" activeCell="Q242" sqref="Q242"/>
    </sheetView>
  </sheetViews>
  <sheetFormatPr baseColWidth="8" defaultColWidth="9.1796875" defaultRowHeight="14.5"/>
  <cols>
    <col width="13.453125" customWidth="1" style="69" min="1" max="1"/>
    <col width="11.36328125" customWidth="1" style="69" min="2" max="2"/>
    <col width="9.1796875" customWidth="1" style="69" min="3" max="51"/>
    <col width="9.1796875" customWidth="1" style="69" min="52" max="16384"/>
  </cols>
  <sheetData>
    <row r="1">
      <c r="A1" s="69" t="inlineStr">
        <is>
          <t>New Zealand</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37469</v>
      </c>
      <c r="B6" s="19">
        <f>IF(VLOOKUP(A6,'DB Country PMI'!$A:$AZ,MATCH($A$1,'DB Country PMI'!$A$1:$AZ$1,),)=0,#N/A,VLOOKUP(A6,'DB Country PMI'!$A:$AZ,MATCH($A$1,'DB Country PMI'!$A$1:$AZ$1,),))</f>
        <v/>
      </c>
      <c r="C6" s="18" t="n"/>
    </row>
    <row r="7">
      <c r="A7" s="10" t="n">
        <v>37500</v>
      </c>
      <c r="B7" s="19">
        <f>IF(VLOOKUP(A7,'DB Country PMI'!$A:$AZ,MATCH($A$1,'DB Country PMI'!$A$1:$AZ$1,),)=0,#N/A,VLOOKUP(A7,'DB Country PMI'!$A:$AZ,MATCH($A$1,'DB Country PMI'!$A$1:$AZ$1,),))</f>
        <v/>
      </c>
      <c r="C7" s="26">
        <f>Table1346811121415161718192022253032[[#This Row],[PMI]]-B6</f>
        <v/>
      </c>
    </row>
    <row r="8">
      <c r="A8" s="10" t="n">
        <v>37530</v>
      </c>
      <c r="B8" s="19">
        <f>IF(VLOOKUP(A8,'DB Country PMI'!$A:$AZ,MATCH($A$1,'DB Country PMI'!$A$1:$AZ$1,),)=0,#N/A,VLOOKUP(A8,'DB Country PMI'!$A:$AZ,MATCH($A$1,'DB Country PMI'!$A$1:$AZ$1,),))</f>
        <v/>
      </c>
      <c r="C8" s="26">
        <f>Table1346811121415161718192022253032[[#This Row],[PMI]]-B7</f>
        <v/>
      </c>
    </row>
    <row r="9">
      <c r="A9" s="10" t="n">
        <v>37561</v>
      </c>
      <c r="B9" s="19">
        <f>IF(VLOOKUP(A9,'DB Country PMI'!$A:$AZ,MATCH($A$1,'DB Country PMI'!$A$1:$AZ$1,),)=0,#N/A,VLOOKUP(A9,'DB Country PMI'!$A:$AZ,MATCH($A$1,'DB Country PMI'!$A$1:$AZ$1,),))</f>
        <v/>
      </c>
      <c r="C9" s="26">
        <f>Table1346811121415161718192022253032[[#This Row],[PMI]]-B8</f>
        <v/>
      </c>
    </row>
    <row r="10">
      <c r="A10" s="10" t="n">
        <v>37591</v>
      </c>
      <c r="B10" s="19">
        <f>IF(VLOOKUP(A10,'DB Country PMI'!$A:$AZ,MATCH($A$1,'DB Country PMI'!$A$1:$AZ$1,),)=0,#N/A,VLOOKUP(A10,'DB Country PMI'!$A:$AZ,MATCH($A$1,'DB Country PMI'!$A$1:$AZ$1,),))</f>
        <v/>
      </c>
      <c r="C10" s="26">
        <f>Table1346811121415161718192022253032[[#This Row],[PMI]]-B9</f>
        <v/>
      </c>
    </row>
    <row r="11">
      <c r="A11" s="10" t="n">
        <v>37622</v>
      </c>
      <c r="B11" s="19">
        <f>IF(VLOOKUP(A11,'DB Country PMI'!$A:$AZ,MATCH($A$1,'DB Country PMI'!$A$1:$AZ$1,),)=0,#N/A,VLOOKUP(A11,'DB Country PMI'!$A:$AZ,MATCH($A$1,'DB Country PMI'!$A$1:$AZ$1,),))</f>
        <v/>
      </c>
      <c r="C11" s="26">
        <f>Table1346811121415161718192022253032[[#This Row],[PMI]]-B10</f>
        <v/>
      </c>
    </row>
    <row r="12">
      <c r="A12" s="10" t="n">
        <v>37653</v>
      </c>
      <c r="B12" s="19">
        <f>IF(VLOOKUP(A12,'DB Country PMI'!$A:$AZ,MATCH($A$1,'DB Country PMI'!$A$1:$AZ$1,),)=0,#N/A,VLOOKUP(A12,'DB Country PMI'!$A:$AZ,MATCH($A$1,'DB Country PMI'!$A$1:$AZ$1,),))</f>
        <v/>
      </c>
      <c r="C12" s="26">
        <f>Table1346811121415161718192022253032[[#This Row],[PMI]]-B11</f>
        <v/>
      </c>
    </row>
    <row r="13">
      <c r="A13" s="10" t="n">
        <v>37681</v>
      </c>
      <c r="B13" s="19">
        <f>IF(VLOOKUP(A13,'DB Country PMI'!$A:$AZ,MATCH($A$1,'DB Country PMI'!$A$1:$AZ$1,),)=0,#N/A,VLOOKUP(A13,'DB Country PMI'!$A:$AZ,MATCH($A$1,'DB Country PMI'!$A$1:$AZ$1,),))</f>
        <v/>
      </c>
      <c r="C13" s="26">
        <f>Table1346811121415161718192022253032[[#This Row],[PMI]]-B12</f>
        <v/>
      </c>
    </row>
    <row r="14">
      <c r="A14" s="10" t="n">
        <v>37712</v>
      </c>
      <c r="B14" s="19">
        <f>IF(VLOOKUP(A14,'DB Country PMI'!$A:$AZ,MATCH($A$1,'DB Country PMI'!$A$1:$AZ$1,),)=0,#N/A,VLOOKUP(A14,'DB Country PMI'!$A:$AZ,MATCH($A$1,'DB Country PMI'!$A$1:$AZ$1,),))</f>
        <v/>
      </c>
      <c r="C14" s="26">
        <f>Table1346811121415161718192022253032[[#This Row],[PMI]]-B13</f>
        <v/>
      </c>
    </row>
    <row r="15">
      <c r="A15" s="10" t="n">
        <v>37742</v>
      </c>
      <c r="B15" s="19">
        <f>IF(VLOOKUP(A15,'DB Country PMI'!$A:$AZ,MATCH($A$1,'DB Country PMI'!$A$1:$AZ$1,),)=0,#N/A,VLOOKUP(A15,'DB Country PMI'!$A:$AZ,MATCH($A$1,'DB Country PMI'!$A$1:$AZ$1,),))</f>
        <v/>
      </c>
      <c r="C15" s="26">
        <f>Table1346811121415161718192022253032[[#This Row],[PMI]]-B14</f>
        <v/>
      </c>
    </row>
    <row r="16">
      <c r="A16" s="10" t="n">
        <v>37773</v>
      </c>
      <c r="B16" s="19">
        <f>IF(VLOOKUP(A16,'DB Country PMI'!$A:$AZ,MATCH($A$1,'DB Country PMI'!$A$1:$AZ$1,),)=0,#N/A,VLOOKUP(A16,'DB Country PMI'!$A:$AZ,MATCH($A$1,'DB Country PMI'!$A$1:$AZ$1,),))</f>
        <v/>
      </c>
      <c r="C16" s="26">
        <f>Table1346811121415161718192022253032[[#This Row],[PMI]]-B15</f>
        <v/>
      </c>
    </row>
    <row r="17">
      <c r="A17" s="10" t="n">
        <v>37803</v>
      </c>
      <c r="B17" s="19">
        <f>IF(VLOOKUP(A17,'DB Country PMI'!$A:$AZ,MATCH($A$1,'DB Country PMI'!$A$1:$AZ$1,),)=0,#N/A,VLOOKUP(A17,'DB Country PMI'!$A:$AZ,MATCH($A$1,'DB Country PMI'!$A$1:$AZ$1,),))</f>
        <v/>
      </c>
      <c r="C17" s="26">
        <f>Table1346811121415161718192022253032[[#This Row],[PMI]]-B16</f>
        <v/>
      </c>
    </row>
    <row r="18">
      <c r="A18" s="10" t="n">
        <v>37834</v>
      </c>
      <c r="B18" s="19">
        <f>IF(VLOOKUP(A18,'DB Country PMI'!$A:$AZ,MATCH($A$1,'DB Country PMI'!$A$1:$AZ$1,),)=0,#N/A,VLOOKUP(A18,'DB Country PMI'!$A:$AZ,MATCH($A$1,'DB Country PMI'!$A$1:$AZ$1,),))</f>
        <v/>
      </c>
      <c r="C18" s="26">
        <f>Table1346811121415161718192022253032[[#This Row],[PMI]]-B17</f>
        <v/>
      </c>
    </row>
    <row r="19">
      <c r="A19" s="10" t="n">
        <v>37865</v>
      </c>
      <c r="B19" s="19">
        <f>IF(VLOOKUP(A19,'DB Country PMI'!$A:$AZ,MATCH($A$1,'DB Country PMI'!$A$1:$AZ$1,),)=0,#N/A,VLOOKUP(A19,'DB Country PMI'!$A:$AZ,MATCH($A$1,'DB Country PMI'!$A$1:$AZ$1,),))</f>
        <v/>
      </c>
      <c r="C19" s="26">
        <f>Table1346811121415161718192022253032[[#This Row],[PMI]]-B18</f>
        <v/>
      </c>
    </row>
    <row r="20">
      <c r="A20" s="10" t="n">
        <v>37895</v>
      </c>
      <c r="B20" s="19">
        <f>IF(VLOOKUP(A20,'DB Country PMI'!$A:$AZ,MATCH($A$1,'DB Country PMI'!$A$1:$AZ$1,),)=0,#N/A,VLOOKUP(A20,'DB Country PMI'!$A:$AZ,MATCH($A$1,'DB Country PMI'!$A$1:$AZ$1,),))</f>
        <v/>
      </c>
      <c r="C20" s="26">
        <f>Table1346811121415161718192022253032[[#This Row],[PMI]]-B19</f>
        <v/>
      </c>
    </row>
    <row r="21">
      <c r="A21" s="10" t="n">
        <v>37926</v>
      </c>
      <c r="B21" s="19">
        <f>IF(VLOOKUP(A21,'DB Country PMI'!$A:$AZ,MATCH($A$1,'DB Country PMI'!$A$1:$AZ$1,),)=0,#N/A,VLOOKUP(A21,'DB Country PMI'!$A:$AZ,MATCH($A$1,'DB Country PMI'!$A$1:$AZ$1,),))</f>
        <v/>
      </c>
      <c r="C21" s="26">
        <f>Table1346811121415161718192022253032[[#This Row],[PMI]]-B20</f>
        <v/>
      </c>
    </row>
    <row r="22">
      <c r="A22" s="10" t="n">
        <v>37956</v>
      </c>
      <c r="B22" s="19">
        <f>IF(VLOOKUP(A22,'DB Country PMI'!$A:$AZ,MATCH($A$1,'DB Country PMI'!$A$1:$AZ$1,),)=0,#N/A,VLOOKUP(A22,'DB Country PMI'!$A:$AZ,MATCH($A$1,'DB Country PMI'!$A$1:$AZ$1,),))</f>
        <v/>
      </c>
      <c r="C22" s="26">
        <f>Table1346811121415161718192022253032[[#This Row],[PMI]]-B21</f>
        <v/>
      </c>
    </row>
    <row r="23">
      <c r="A23" s="10" t="n">
        <v>37987</v>
      </c>
      <c r="B23" s="19">
        <f>IF(VLOOKUP(A23,'DB Country PMI'!$A:$AZ,MATCH($A$1,'DB Country PMI'!$A$1:$AZ$1,),)=0,#N/A,VLOOKUP(A23,'DB Country PMI'!$A:$AZ,MATCH($A$1,'DB Country PMI'!$A$1:$AZ$1,),))</f>
        <v/>
      </c>
      <c r="C23" s="26">
        <f>Table1346811121415161718192022253032[[#This Row],[PMI]]-B22</f>
        <v/>
      </c>
    </row>
    <row r="24">
      <c r="A24" s="10" t="n">
        <v>38018</v>
      </c>
      <c r="B24" s="19">
        <f>IF(VLOOKUP(A24,'DB Country PMI'!$A:$AZ,MATCH($A$1,'DB Country PMI'!$A$1:$AZ$1,),)=0,#N/A,VLOOKUP(A24,'DB Country PMI'!$A:$AZ,MATCH($A$1,'DB Country PMI'!$A$1:$AZ$1,),))</f>
        <v/>
      </c>
      <c r="C24" s="26">
        <f>Table1346811121415161718192022253032[[#This Row],[PMI]]-B23</f>
        <v/>
      </c>
    </row>
    <row r="25">
      <c r="A25" s="10" t="n">
        <v>38047</v>
      </c>
      <c r="B25" s="19">
        <f>IF(VLOOKUP(A25,'DB Country PMI'!$A:$AZ,MATCH($A$1,'DB Country PMI'!$A$1:$AZ$1,),)=0,#N/A,VLOOKUP(A25,'DB Country PMI'!$A:$AZ,MATCH($A$1,'DB Country PMI'!$A$1:$AZ$1,),))</f>
        <v/>
      </c>
      <c r="C25" s="26">
        <f>Table1346811121415161718192022253032[[#This Row],[PMI]]-B24</f>
        <v/>
      </c>
    </row>
    <row r="26">
      <c r="A26" s="10" t="n">
        <v>38078</v>
      </c>
      <c r="B26" s="19">
        <f>IF(VLOOKUP(A26,'DB Country PMI'!$A:$AZ,MATCH($A$1,'DB Country PMI'!$A$1:$AZ$1,),)=0,#N/A,VLOOKUP(A26,'DB Country PMI'!$A:$AZ,MATCH($A$1,'DB Country PMI'!$A$1:$AZ$1,),))</f>
        <v/>
      </c>
      <c r="C26" s="26">
        <f>Table1346811121415161718192022253032[[#This Row],[PMI]]-B25</f>
        <v/>
      </c>
    </row>
    <row r="27">
      <c r="A27" s="10" t="n">
        <v>38108</v>
      </c>
      <c r="B27" s="19">
        <f>IF(VLOOKUP(A27,'DB Country PMI'!$A:$AZ,MATCH($A$1,'DB Country PMI'!$A$1:$AZ$1,),)=0,#N/A,VLOOKUP(A27,'DB Country PMI'!$A:$AZ,MATCH($A$1,'DB Country PMI'!$A$1:$AZ$1,),))</f>
        <v/>
      </c>
      <c r="C27" s="26">
        <f>Table1346811121415161718192022253032[[#This Row],[PMI]]-B26</f>
        <v/>
      </c>
    </row>
    <row r="28">
      <c r="A28" s="10" t="n">
        <v>38139</v>
      </c>
      <c r="B28" s="19">
        <f>IF(VLOOKUP(A28,'DB Country PMI'!$A:$AZ,MATCH($A$1,'DB Country PMI'!$A$1:$AZ$1,),)=0,#N/A,VLOOKUP(A28,'DB Country PMI'!$A:$AZ,MATCH($A$1,'DB Country PMI'!$A$1:$AZ$1,),))</f>
        <v/>
      </c>
      <c r="C28" s="26">
        <f>Table1346811121415161718192022253032[[#This Row],[PMI]]-B27</f>
        <v/>
      </c>
    </row>
    <row r="29">
      <c r="A29" s="10" t="n">
        <v>38169</v>
      </c>
      <c r="B29" s="19">
        <f>IF(VLOOKUP(A29,'DB Country PMI'!$A:$AZ,MATCH($A$1,'DB Country PMI'!$A$1:$AZ$1,),)=0,#N/A,VLOOKUP(A29,'DB Country PMI'!$A:$AZ,MATCH($A$1,'DB Country PMI'!$A$1:$AZ$1,),))</f>
        <v/>
      </c>
      <c r="C29" s="26">
        <f>Table1346811121415161718192022253032[[#This Row],[PMI]]-B28</f>
        <v/>
      </c>
    </row>
    <row r="30">
      <c r="A30" s="10" t="n">
        <v>38200</v>
      </c>
      <c r="B30" s="19">
        <f>IF(VLOOKUP(A30,'DB Country PMI'!$A:$AZ,MATCH($A$1,'DB Country PMI'!$A$1:$AZ$1,),)=0,#N/A,VLOOKUP(A30,'DB Country PMI'!$A:$AZ,MATCH($A$1,'DB Country PMI'!$A$1:$AZ$1,),))</f>
        <v/>
      </c>
      <c r="C30" s="26">
        <f>Table1346811121415161718192022253032[[#This Row],[PMI]]-B29</f>
        <v/>
      </c>
    </row>
    <row r="31">
      <c r="A31" s="10" t="n">
        <v>38231</v>
      </c>
      <c r="B31" s="19">
        <f>IF(VLOOKUP(A31,'DB Country PMI'!$A:$AZ,MATCH($A$1,'DB Country PMI'!$A$1:$AZ$1,),)=0,#N/A,VLOOKUP(A31,'DB Country PMI'!$A:$AZ,MATCH($A$1,'DB Country PMI'!$A$1:$AZ$1,),))</f>
        <v/>
      </c>
      <c r="C31" s="26">
        <f>Table1346811121415161718192022253032[[#This Row],[PMI]]-B30</f>
        <v/>
      </c>
    </row>
    <row r="32">
      <c r="A32" s="10" t="n">
        <v>38261</v>
      </c>
      <c r="B32" s="19">
        <f>IF(VLOOKUP(A32,'DB Country PMI'!$A:$AZ,MATCH($A$1,'DB Country PMI'!$A$1:$AZ$1,),)=0,#N/A,VLOOKUP(A32,'DB Country PMI'!$A:$AZ,MATCH($A$1,'DB Country PMI'!$A$1:$AZ$1,),))</f>
        <v/>
      </c>
      <c r="C32" s="26">
        <f>Table1346811121415161718192022253032[[#This Row],[PMI]]-B31</f>
        <v/>
      </c>
    </row>
    <row r="33">
      <c r="A33" s="10" t="n">
        <v>38292</v>
      </c>
      <c r="B33" s="19">
        <f>IF(VLOOKUP(A33,'DB Country PMI'!$A:$AZ,MATCH($A$1,'DB Country PMI'!$A$1:$AZ$1,),)=0,#N/A,VLOOKUP(A33,'DB Country PMI'!$A:$AZ,MATCH($A$1,'DB Country PMI'!$A$1:$AZ$1,),))</f>
        <v/>
      </c>
      <c r="C33" s="26">
        <f>Table1346811121415161718192022253032[[#This Row],[PMI]]-B32</f>
        <v/>
      </c>
    </row>
    <row r="34">
      <c r="A34" s="10" t="n">
        <v>38322</v>
      </c>
      <c r="B34" s="19">
        <f>IF(VLOOKUP(A34,'DB Country PMI'!$A:$AZ,MATCH($A$1,'DB Country PMI'!$A$1:$AZ$1,),)=0,#N/A,VLOOKUP(A34,'DB Country PMI'!$A:$AZ,MATCH($A$1,'DB Country PMI'!$A$1:$AZ$1,),))</f>
        <v/>
      </c>
      <c r="C34" s="26">
        <f>Table1346811121415161718192022253032[[#This Row],[PMI]]-B33</f>
        <v/>
      </c>
    </row>
    <row r="35">
      <c r="A35" s="10" t="n">
        <v>38353</v>
      </c>
      <c r="B35" s="19">
        <f>IF(VLOOKUP(A35,'DB Country PMI'!$A:$AZ,MATCH($A$1,'DB Country PMI'!$A$1:$AZ$1,),)=0,#N/A,VLOOKUP(A35,'DB Country PMI'!$A:$AZ,MATCH($A$1,'DB Country PMI'!$A$1:$AZ$1,),))</f>
        <v/>
      </c>
      <c r="C35" s="26">
        <f>Table1346811121415161718192022253032[[#This Row],[PMI]]-B34</f>
        <v/>
      </c>
    </row>
    <row r="36">
      <c r="A36" s="10" t="n">
        <v>38384</v>
      </c>
      <c r="B36" s="19">
        <f>IF(VLOOKUP(A36,'DB Country PMI'!$A:$AZ,MATCH($A$1,'DB Country PMI'!$A$1:$AZ$1,),)=0,#N/A,VLOOKUP(A36,'DB Country PMI'!$A:$AZ,MATCH($A$1,'DB Country PMI'!$A$1:$AZ$1,),))</f>
        <v/>
      </c>
      <c r="C36" s="26">
        <f>Table1346811121415161718192022253032[[#This Row],[PMI]]-B35</f>
        <v/>
      </c>
    </row>
    <row r="37">
      <c r="A37" s="10" t="n">
        <v>38412</v>
      </c>
      <c r="B37" s="19">
        <f>IF(VLOOKUP(A37,'DB Country PMI'!$A:$AZ,MATCH($A$1,'DB Country PMI'!$A$1:$AZ$1,),)=0,#N/A,VLOOKUP(A37,'DB Country PMI'!$A:$AZ,MATCH($A$1,'DB Country PMI'!$A$1:$AZ$1,),))</f>
        <v/>
      </c>
      <c r="C37" s="26">
        <f>Table1346811121415161718192022253032[[#This Row],[PMI]]-B36</f>
        <v/>
      </c>
    </row>
    <row r="38">
      <c r="A38" s="10" t="n">
        <v>38443</v>
      </c>
      <c r="B38" s="19">
        <f>IF(VLOOKUP(A38,'DB Country PMI'!$A:$AZ,MATCH($A$1,'DB Country PMI'!$A$1:$AZ$1,),)=0,#N/A,VLOOKUP(A38,'DB Country PMI'!$A:$AZ,MATCH($A$1,'DB Country PMI'!$A$1:$AZ$1,),))</f>
        <v/>
      </c>
      <c r="C38" s="26">
        <f>Table1346811121415161718192022253032[[#This Row],[PMI]]-B37</f>
        <v/>
      </c>
    </row>
    <row r="39">
      <c r="A39" s="10" t="n">
        <v>38473</v>
      </c>
      <c r="B39" s="19">
        <f>IF(VLOOKUP(A39,'DB Country PMI'!$A:$AZ,MATCH($A$1,'DB Country PMI'!$A$1:$AZ$1,),)=0,#N/A,VLOOKUP(A39,'DB Country PMI'!$A:$AZ,MATCH($A$1,'DB Country PMI'!$A$1:$AZ$1,),))</f>
        <v/>
      </c>
      <c r="C39" s="26">
        <f>Table1346811121415161718192022253032[[#This Row],[PMI]]-B38</f>
        <v/>
      </c>
    </row>
    <row r="40">
      <c r="A40" s="10" t="n">
        <v>38504</v>
      </c>
      <c r="B40" s="19">
        <f>IF(VLOOKUP(A40,'DB Country PMI'!$A:$AZ,MATCH($A$1,'DB Country PMI'!$A$1:$AZ$1,),)=0,#N/A,VLOOKUP(A40,'DB Country PMI'!$A:$AZ,MATCH($A$1,'DB Country PMI'!$A$1:$AZ$1,),))</f>
        <v/>
      </c>
      <c r="C40" s="26">
        <f>Table1346811121415161718192022253032[[#This Row],[PMI]]-B39</f>
        <v/>
      </c>
    </row>
    <row r="41">
      <c r="A41" s="10" t="n">
        <v>38534</v>
      </c>
      <c r="B41" s="19">
        <f>IF(VLOOKUP(A41,'DB Country PMI'!$A:$AZ,MATCH($A$1,'DB Country PMI'!$A$1:$AZ$1,),)=0,#N/A,VLOOKUP(A41,'DB Country PMI'!$A:$AZ,MATCH($A$1,'DB Country PMI'!$A$1:$AZ$1,),))</f>
        <v/>
      </c>
      <c r="C41" s="26">
        <f>Table1346811121415161718192022253032[[#This Row],[PMI]]-B40</f>
        <v/>
      </c>
    </row>
    <row r="42">
      <c r="A42" s="10" t="n">
        <v>38565</v>
      </c>
      <c r="B42" s="19">
        <f>IF(VLOOKUP(A42,'DB Country PMI'!$A:$AZ,MATCH($A$1,'DB Country PMI'!$A$1:$AZ$1,),)=0,#N/A,VLOOKUP(A42,'DB Country PMI'!$A:$AZ,MATCH($A$1,'DB Country PMI'!$A$1:$AZ$1,),))</f>
        <v/>
      </c>
      <c r="C42" s="26">
        <f>Table1346811121415161718192022253032[[#This Row],[PMI]]-B41</f>
        <v/>
      </c>
    </row>
    <row r="43">
      <c r="A43" s="10" t="n">
        <v>38596</v>
      </c>
      <c r="B43" s="19">
        <f>IF(VLOOKUP(A43,'DB Country PMI'!$A:$AZ,MATCH($A$1,'DB Country PMI'!$A$1:$AZ$1,),)=0,#N/A,VLOOKUP(A43,'DB Country PMI'!$A:$AZ,MATCH($A$1,'DB Country PMI'!$A$1:$AZ$1,),))</f>
        <v/>
      </c>
      <c r="C43" s="26">
        <f>Table1346811121415161718192022253032[[#This Row],[PMI]]-B42</f>
        <v/>
      </c>
    </row>
    <row r="44">
      <c r="A44" s="10" t="n">
        <v>38626</v>
      </c>
      <c r="B44" s="19">
        <f>IF(VLOOKUP(A44,'DB Country PMI'!$A:$AZ,MATCH($A$1,'DB Country PMI'!$A$1:$AZ$1,),)=0,#N/A,VLOOKUP(A44,'DB Country PMI'!$A:$AZ,MATCH($A$1,'DB Country PMI'!$A$1:$AZ$1,),))</f>
        <v/>
      </c>
      <c r="C44" s="26">
        <f>Table1346811121415161718192022253032[[#This Row],[PMI]]-B43</f>
        <v/>
      </c>
    </row>
    <row r="45">
      <c r="A45" s="10" t="n">
        <v>38657</v>
      </c>
      <c r="B45" s="19">
        <f>IF(VLOOKUP(A45,'DB Country PMI'!$A:$AZ,MATCH($A$1,'DB Country PMI'!$A$1:$AZ$1,),)=0,#N/A,VLOOKUP(A45,'DB Country PMI'!$A:$AZ,MATCH($A$1,'DB Country PMI'!$A$1:$AZ$1,),))</f>
        <v/>
      </c>
      <c r="C45" s="26">
        <f>Table1346811121415161718192022253032[[#This Row],[PMI]]-B44</f>
        <v/>
      </c>
    </row>
    <row r="46">
      <c r="A46" s="10" t="n">
        <v>38687</v>
      </c>
      <c r="B46" s="19">
        <f>IF(VLOOKUP(A46,'DB Country PMI'!$A:$AZ,MATCH($A$1,'DB Country PMI'!$A$1:$AZ$1,),)=0,#N/A,VLOOKUP(A46,'DB Country PMI'!$A:$AZ,MATCH($A$1,'DB Country PMI'!$A$1:$AZ$1,),))</f>
        <v/>
      </c>
      <c r="C46" s="26">
        <f>Table1346811121415161718192022253032[[#This Row],[PMI]]-B45</f>
        <v/>
      </c>
    </row>
    <row r="47">
      <c r="A47" s="10" t="n">
        <v>38718</v>
      </c>
      <c r="B47" s="19">
        <f>IF(VLOOKUP(A47,'DB Country PMI'!$A:$AZ,MATCH($A$1,'DB Country PMI'!$A$1:$AZ$1,),)=0,#N/A,VLOOKUP(A47,'DB Country PMI'!$A:$AZ,MATCH($A$1,'DB Country PMI'!$A$1:$AZ$1,),))</f>
        <v/>
      </c>
      <c r="C47" s="26">
        <f>Table1346811121415161718192022253032[[#This Row],[PMI]]-B46</f>
        <v/>
      </c>
    </row>
    <row r="48">
      <c r="A48" s="10" t="n">
        <v>38749</v>
      </c>
      <c r="B48" s="19">
        <f>IF(VLOOKUP(A48,'DB Country PMI'!$A:$AZ,MATCH($A$1,'DB Country PMI'!$A$1:$AZ$1,),)=0,#N/A,VLOOKUP(A48,'DB Country PMI'!$A:$AZ,MATCH($A$1,'DB Country PMI'!$A$1:$AZ$1,),))</f>
        <v/>
      </c>
      <c r="C48" s="26">
        <f>Table1346811121415161718192022253032[[#This Row],[PMI]]-B47</f>
        <v/>
      </c>
    </row>
    <row r="49">
      <c r="A49" s="10" t="n">
        <v>38777</v>
      </c>
      <c r="B49" s="19">
        <f>IF(VLOOKUP(A49,'DB Country PMI'!$A:$AZ,MATCH($A$1,'DB Country PMI'!$A$1:$AZ$1,),)=0,#N/A,VLOOKUP(A49,'DB Country PMI'!$A:$AZ,MATCH($A$1,'DB Country PMI'!$A$1:$AZ$1,),))</f>
        <v/>
      </c>
      <c r="C49" s="26">
        <f>Table1346811121415161718192022253032[[#This Row],[PMI]]-B48</f>
        <v/>
      </c>
    </row>
    <row r="50">
      <c r="A50" s="10" t="n">
        <v>38808</v>
      </c>
      <c r="B50" s="19">
        <f>IF(VLOOKUP(A50,'DB Country PMI'!$A:$AZ,MATCH($A$1,'DB Country PMI'!$A$1:$AZ$1,),)=0,#N/A,VLOOKUP(A50,'DB Country PMI'!$A:$AZ,MATCH($A$1,'DB Country PMI'!$A$1:$AZ$1,),))</f>
        <v/>
      </c>
      <c r="C50" s="26">
        <f>Table1346811121415161718192022253032[[#This Row],[PMI]]-B49</f>
        <v/>
      </c>
    </row>
    <row r="51">
      <c r="A51" s="10" t="n">
        <v>38838</v>
      </c>
      <c r="B51" s="19">
        <f>IF(VLOOKUP(A51,'DB Country PMI'!$A:$AZ,MATCH($A$1,'DB Country PMI'!$A$1:$AZ$1,),)=0,#N/A,VLOOKUP(A51,'DB Country PMI'!$A:$AZ,MATCH($A$1,'DB Country PMI'!$A$1:$AZ$1,),))</f>
        <v/>
      </c>
      <c r="C51" s="26">
        <f>Table1346811121415161718192022253032[[#This Row],[PMI]]-B50</f>
        <v/>
      </c>
    </row>
    <row r="52">
      <c r="A52" s="10" t="n">
        <v>38869</v>
      </c>
      <c r="B52" s="19">
        <f>IF(VLOOKUP(A52,'DB Country PMI'!$A:$AZ,MATCH($A$1,'DB Country PMI'!$A$1:$AZ$1,),)=0,#N/A,VLOOKUP(A52,'DB Country PMI'!$A:$AZ,MATCH($A$1,'DB Country PMI'!$A$1:$AZ$1,),))</f>
        <v/>
      </c>
      <c r="C52" s="26">
        <f>Table1346811121415161718192022253032[[#This Row],[PMI]]-B51</f>
        <v/>
      </c>
    </row>
    <row r="53">
      <c r="A53" s="10" t="n">
        <v>38899</v>
      </c>
      <c r="B53" s="19">
        <f>IF(VLOOKUP(A53,'DB Country PMI'!$A:$AZ,MATCH($A$1,'DB Country PMI'!$A$1:$AZ$1,),)=0,#N/A,VLOOKUP(A53,'DB Country PMI'!$A:$AZ,MATCH($A$1,'DB Country PMI'!$A$1:$AZ$1,),))</f>
        <v/>
      </c>
      <c r="C53" s="26">
        <f>Table1346811121415161718192022253032[[#This Row],[PMI]]-B52</f>
        <v/>
      </c>
    </row>
    <row r="54">
      <c r="A54" s="10" t="n">
        <v>38930</v>
      </c>
      <c r="B54" s="19">
        <f>IF(VLOOKUP(A54,'DB Country PMI'!$A:$AZ,MATCH($A$1,'DB Country PMI'!$A$1:$AZ$1,),)=0,#N/A,VLOOKUP(A54,'DB Country PMI'!$A:$AZ,MATCH($A$1,'DB Country PMI'!$A$1:$AZ$1,),))</f>
        <v/>
      </c>
      <c r="C54" s="26">
        <f>Table1346811121415161718192022253032[[#This Row],[PMI]]-B53</f>
        <v/>
      </c>
    </row>
    <row r="55">
      <c r="A55" s="10" t="n">
        <v>38961</v>
      </c>
      <c r="B55" s="19">
        <f>IF(VLOOKUP(A55,'DB Country PMI'!$A:$AZ,MATCH($A$1,'DB Country PMI'!$A$1:$AZ$1,),)=0,#N/A,VLOOKUP(A55,'DB Country PMI'!$A:$AZ,MATCH($A$1,'DB Country PMI'!$A$1:$AZ$1,),))</f>
        <v/>
      </c>
      <c r="C55" s="26">
        <f>Table1346811121415161718192022253032[[#This Row],[PMI]]-B54</f>
        <v/>
      </c>
    </row>
    <row r="56">
      <c r="A56" s="10" t="n">
        <v>38991</v>
      </c>
      <c r="B56" s="19">
        <f>IF(VLOOKUP(A56,'DB Country PMI'!$A:$AZ,MATCH($A$1,'DB Country PMI'!$A$1:$AZ$1,),)=0,#N/A,VLOOKUP(A56,'DB Country PMI'!$A:$AZ,MATCH($A$1,'DB Country PMI'!$A$1:$AZ$1,),))</f>
        <v/>
      </c>
      <c r="C56" s="26">
        <f>Table1346811121415161718192022253032[[#This Row],[PMI]]-B55</f>
        <v/>
      </c>
    </row>
    <row r="57">
      <c r="A57" s="10" t="n">
        <v>39022</v>
      </c>
      <c r="B57" s="19">
        <f>IF(VLOOKUP(A57,'DB Country PMI'!$A:$AZ,MATCH($A$1,'DB Country PMI'!$A$1:$AZ$1,),)=0,#N/A,VLOOKUP(A57,'DB Country PMI'!$A:$AZ,MATCH($A$1,'DB Country PMI'!$A$1:$AZ$1,),))</f>
        <v/>
      </c>
      <c r="C57" s="26">
        <f>Table1346811121415161718192022253032[[#This Row],[PMI]]-B56</f>
        <v/>
      </c>
    </row>
    <row r="58">
      <c r="A58" s="10" t="n">
        <v>39052</v>
      </c>
      <c r="B58" s="19">
        <f>IF(VLOOKUP(A58,'DB Country PMI'!$A:$AZ,MATCH($A$1,'DB Country PMI'!$A$1:$AZ$1,),)=0,#N/A,VLOOKUP(A58,'DB Country PMI'!$A:$AZ,MATCH($A$1,'DB Country PMI'!$A$1:$AZ$1,),))</f>
        <v/>
      </c>
      <c r="C58" s="26">
        <f>Table1346811121415161718192022253032[[#This Row],[PMI]]-B57</f>
        <v/>
      </c>
    </row>
    <row r="59">
      <c r="A59" s="10" t="n">
        <v>39083</v>
      </c>
      <c r="B59" s="19">
        <f>IF(VLOOKUP(A59,'DB Country PMI'!$A:$AZ,MATCH($A$1,'DB Country PMI'!$A$1:$AZ$1,),)=0,#N/A,VLOOKUP(A59,'DB Country PMI'!$A:$AZ,MATCH($A$1,'DB Country PMI'!$A$1:$AZ$1,),))</f>
        <v/>
      </c>
      <c r="C59" s="26">
        <f>Table1346811121415161718192022253032[[#This Row],[PMI]]-B58</f>
        <v/>
      </c>
    </row>
    <row r="60">
      <c r="A60" s="10" t="n">
        <v>39114</v>
      </c>
      <c r="B60" s="19">
        <f>IF(VLOOKUP(A60,'DB Country PMI'!$A:$AZ,MATCH($A$1,'DB Country PMI'!$A$1:$AZ$1,),)=0,#N/A,VLOOKUP(A60,'DB Country PMI'!$A:$AZ,MATCH($A$1,'DB Country PMI'!$A$1:$AZ$1,),))</f>
        <v/>
      </c>
      <c r="C60" s="26">
        <f>Table1346811121415161718192022253032[[#This Row],[PMI]]-B59</f>
        <v/>
      </c>
    </row>
    <row r="61">
      <c r="A61" s="10" t="n">
        <v>39142</v>
      </c>
      <c r="B61" s="19">
        <f>IF(VLOOKUP(A61,'DB Country PMI'!$A:$AZ,MATCH($A$1,'DB Country PMI'!$A$1:$AZ$1,),)=0,#N/A,VLOOKUP(A61,'DB Country PMI'!$A:$AZ,MATCH($A$1,'DB Country PMI'!$A$1:$AZ$1,),))</f>
        <v/>
      </c>
      <c r="C61" s="26">
        <f>Table1346811121415161718192022253032[[#This Row],[PMI]]-B60</f>
        <v/>
      </c>
    </row>
    <row r="62">
      <c r="A62" s="10" t="n">
        <v>39173</v>
      </c>
      <c r="B62" s="19">
        <f>IF(VLOOKUP(A62,'DB Country PMI'!$A:$AZ,MATCH($A$1,'DB Country PMI'!$A$1:$AZ$1,),)=0,#N/A,VLOOKUP(A62,'DB Country PMI'!$A:$AZ,MATCH($A$1,'DB Country PMI'!$A$1:$AZ$1,),))</f>
        <v/>
      </c>
      <c r="C62" s="26">
        <f>Table1346811121415161718192022253032[[#This Row],[PMI]]-B61</f>
        <v/>
      </c>
    </row>
    <row r="63">
      <c r="A63" s="10" t="n">
        <v>39203</v>
      </c>
      <c r="B63" s="19">
        <f>IF(VLOOKUP(A63,'DB Country PMI'!$A:$AZ,MATCH($A$1,'DB Country PMI'!$A$1:$AZ$1,),)=0,#N/A,VLOOKUP(A63,'DB Country PMI'!$A:$AZ,MATCH($A$1,'DB Country PMI'!$A$1:$AZ$1,),))</f>
        <v/>
      </c>
      <c r="C63" s="26">
        <f>Table1346811121415161718192022253032[[#This Row],[PMI]]-B62</f>
        <v/>
      </c>
    </row>
    <row r="64">
      <c r="A64" s="10" t="n">
        <v>39234</v>
      </c>
      <c r="B64" s="19">
        <f>IF(VLOOKUP(A64,'DB Country PMI'!$A:$AZ,MATCH($A$1,'DB Country PMI'!$A$1:$AZ$1,),)=0,#N/A,VLOOKUP(A64,'DB Country PMI'!$A:$AZ,MATCH($A$1,'DB Country PMI'!$A$1:$AZ$1,),))</f>
        <v/>
      </c>
      <c r="C64" s="26">
        <f>Table1346811121415161718192022253032[[#This Row],[PMI]]-B63</f>
        <v/>
      </c>
    </row>
    <row r="65">
      <c r="A65" s="10" t="n">
        <v>39264</v>
      </c>
      <c r="B65" s="19">
        <f>IF(VLOOKUP(A65,'DB Country PMI'!$A:$AZ,MATCH($A$1,'DB Country PMI'!$A$1:$AZ$1,),)=0,#N/A,VLOOKUP(A65,'DB Country PMI'!$A:$AZ,MATCH($A$1,'DB Country PMI'!$A$1:$AZ$1,),))</f>
        <v/>
      </c>
      <c r="C65" s="26">
        <f>Table1346811121415161718192022253032[[#This Row],[PMI]]-B64</f>
        <v/>
      </c>
    </row>
    <row r="66">
      <c r="A66" s="10" t="n">
        <v>39295</v>
      </c>
      <c r="B66" s="19">
        <f>IF(VLOOKUP(A66,'DB Country PMI'!$A:$AZ,MATCH($A$1,'DB Country PMI'!$A$1:$AZ$1,),)=0,#N/A,VLOOKUP(A66,'DB Country PMI'!$A:$AZ,MATCH($A$1,'DB Country PMI'!$A$1:$AZ$1,),))</f>
        <v/>
      </c>
      <c r="C66" s="26">
        <f>Table1346811121415161718192022253032[[#This Row],[PMI]]-B65</f>
        <v/>
      </c>
    </row>
    <row r="67">
      <c r="A67" s="10" t="n">
        <v>39326</v>
      </c>
      <c r="B67" s="19">
        <f>IF(VLOOKUP(A67,'DB Country PMI'!$A:$AZ,MATCH($A$1,'DB Country PMI'!$A$1:$AZ$1,),)=0,#N/A,VLOOKUP(A67,'DB Country PMI'!$A:$AZ,MATCH($A$1,'DB Country PMI'!$A$1:$AZ$1,),))</f>
        <v/>
      </c>
      <c r="C67" s="26">
        <f>Table1346811121415161718192022253032[[#This Row],[PMI]]-B66</f>
        <v/>
      </c>
    </row>
    <row r="68">
      <c r="A68" s="10" t="n">
        <v>39356</v>
      </c>
      <c r="B68" s="19">
        <f>IF(VLOOKUP(A68,'DB Country PMI'!$A:$AZ,MATCH($A$1,'DB Country PMI'!$A$1:$AZ$1,),)=0,#N/A,VLOOKUP(A68,'DB Country PMI'!$A:$AZ,MATCH($A$1,'DB Country PMI'!$A$1:$AZ$1,),))</f>
        <v/>
      </c>
      <c r="C68" s="26">
        <f>Table1346811121415161718192022253032[[#This Row],[PMI]]-B67</f>
        <v/>
      </c>
    </row>
    <row r="69">
      <c r="A69" s="10" t="n">
        <v>39387</v>
      </c>
      <c r="B69" s="19">
        <f>IF(VLOOKUP(A69,'DB Country PMI'!$A:$AZ,MATCH($A$1,'DB Country PMI'!$A$1:$AZ$1,),)=0,#N/A,VLOOKUP(A69,'DB Country PMI'!$A:$AZ,MATCH($A$1,'DB Country PMI'!$A$1:$AZ$1,),))</f>
        <v/>
      </c>
      <c r="C69" s="26">
        <f>Table1346811121415161718192022253032[[#This Row],[PMI]]-B68</f>
        <v/>
      </c>
    </row>
    <row r="70">
      <c r="A70" s="10" t="n">
        <v>39417</v>
      </c>
      <c r="B70" s="19">
        <f>IF(VLOOKUP(A70,'DB Country PMI'!$A:$AZ,MATCH($A$1,'DB Country PMI'!$A$1:$AZ$1,),)=0,#N/A,VLOOKUP(A70,'DB Country PMI'!$A:$AZ,MATCH($A$1,'DB Country PMI'!$A$1:$AZ$1,),))</f>
        <v/>
      </c>
      <c r="C70" s="26">
        <f>Table1346811121415161718192022253032[[#This Row],[PMI]]-B69</f>
        <v/>
      </c>
    </row>
    <row r="71">
      <c r="A71" s="10" t="n">
        <v>39448</v>
      </c>
      <c r="B71" s="19">
        <f>IF(VLOOKUP(A71,'DB Country PMI'!$A:$AZ,MATCH($A$1,'DB Country PMI'!$A$1:$AZ$1,),)=0,#N/A,VLOOKUP(A71,'DB Country PMI'!$A:$AZ,MATCH($A$1,'DB Country PMI'!$A$1:$AZ$1,),))</f>
        <v/>
      </c>
      <c r="C71" s="26">
        <f>Table1346811121415161718192022253032[[#This Row],[PMI]]-B70</f>
        <v/>
      </c>
    </row>
    <row r="72">
      <c r="A72" s="10" t="n">
        <v>39479</v>
      </c>
      <c r="B72" s="19">
        <f>IF(VLOOKUP(A72,'DB Country PMI'!$A:$AZ,MATCH($A$1,'DB Country PMI'!$A$1:$AZ$1,),)=0,#N/A,VLOOKUP(A72,'DB Country PMI'!$A:$AZ,MATCH($A$1,'DB Country PMI'!$A$1:$AZ$1,),))</f>
        <v/>
      </c>
      <c r="C72" s="26">
        <f>Table1346811121415161718192022253032[[#This Row],[PMI]]-B71</f>
        <v/>
      </c>
    </row>
    <row r="73">
      <c r="A73" s="10" t="n">
        <v>39508</v>
      </c>
      <c r="B73" s="19">
        <f>IF(VLOOKUP(A73,'DB Country PMI'!$A:$AZ,MATCH($A$1,'DB Country PMI'!$A$1:$AZ$1,),)=0,#N/A,VLOOKUP(A73,'DB Country PMI'!$A:$AZ,MATCH($A$1,'DB Country PMI'!$A$1:$AZ$1,),))</f>
        <v/>
      </c>
      <c r="C73" s="26">
        <f>Table1346811121415161718192022253032[[#This Row],[PMI]]-B72</f>
        <v/>
      </c>
    </row>
    <row r="74">
      <c r="A74" s="10" t="n">
        <v>39539</v>
      </c>
      <c r="B74" s="19">
        <f>IF(VLOOKUP(A74,'DB Country PMI'!$A:$AZ,MATCH($A$1,'DB Country PMI'!$A$1:$AZ$1,),)=0,#N/A,VLOOKUP(A74,'DB Country PMI'!$A:$AZ,MATCH($A$1,'DB Country PMI'!$A$1:$AZ$1,),))</f>
        <v/>
      </c>
      <c r="C74" s="26">
        <f>Table1346811121415161718192022253032[[#This Row],[PMI]]-B73</f>
        <v/>
      </c>
    </row>
    <row r="75">
      <c r="A75" s="10" t="n">
        <v>39569</v>
      </c>
      <c r="B75" s="19">
        <f>IF(VLOOKUP(A75,'DB Country PMI'!$A:$AZ,MATCH($A$1,'DB Country PMI'!$A$1:$AZ$1,),)=0,#N/A,VLOOKUP(A75,'DB Country PMI'!$A:$AZ,MATCH($A$1,'DB Country PMI'!$A$1:$AZ$1,),))</f>
        <v/>
      </c>
      <c r="C75" s="26">
        <f>Table1346811121415161718192022253032[[#This Row],[PMI]]-B74</f>
        <v/>
      </c>
    </row>
    <row r="76">
      <c r="A76" s="10" t="n">
        <v>39600</v>
      </c>
      <c r="B76" s="19">
        <f>IF(VLOOKUP(A76,'DB Country PMI'!$A:$AZ,MATCH($A$1,'DB Country PMI'!$A$1:$AZ$1,),)=0,#N/A,VLOOKUP(A76,'DB Country PMI'!$A:$AZ,MATCH($A$1,'DB Country PMI'!$A$1:$AZ$1,),))</f>
        <v/>
      </c>
      <c r="C76" s="26">
        <f>Table1346811121415161718192022253032[[#This Row],[PMI]]-B75</f>
        <v/>
      </c>
    </row>
    <row r="77">
      <c r="A77" s="10" t="n">
        <v>39630</v>
      </c>
      <c r="B77" s="19">
        <f>IF(VLOOKUP(A77,'DB Country PMI'!$A:$AZ,MATCH($A$1,'DB Country PMI'!$A$1:$AZ$1,),)=0,#N/A,VLOOKUP(A77,'DB Country PMI'!$A:$AZ,MATCH($A$1,'DB Country PMI'!$A$1:$AZ$1,),))</f>
        <v/>
      </c>
      <c r="C77" s="26">
        <f>Table1346811121415161718192022253032[[#This Row],[PMI]]-B76</f>
        <v/>
      </c>
    </row>
    <row r="78">
      <c r="A78" s="10" t="n">
        <v>39661</v>
      </c>
      <c r="B78" s="19">
        <f>IF(VLOOKUP(A78,'DB Country PMI'!$A:$AZ,MATCH($A$1,'DB Country PMI'!$A$1:$AZ$1,),)=0,#N/A,VLOOKUP(A78,'DB Country PMI'!$A:$AZ,MATCH($A$1,'DB Country PMI'!$A$1:$AZ$1,),))</f>
        <v/>
      </c>
      <c r="C78" s="26">
        <f>Table1346811121415161718192022253032[[#This Row],[PMI]]-B77</f>
        <v/>
      </c>
    </row>
    <row r="79">
      <c r="A79" s="10" t="n">
        <v>39692</v>
      </c>
      <c r="B79" s="19">
        <f>IF(VLOOKUP(A79,'DB Country PMI'!$A:$AZ,MATCH($A$1,'DB Country PMI'!$A$1:$AZ$1,),)=0,#N/A,VLOOKUP(A79,'DB Country PMI'!$A:$AZ,MATCH($A$1,'DB Country PMI'!$A$1:$AZ$1,),))</f>
        <v/>
      </c>
      <c r="C79" s="26">
        <f>Table1346811121415161718192022253032[[#This Row],[PMI]]-B78</f>
        <v/>
      </c>
    </row>
    <row r="80">
      <c r="A80" s="10" t="n">
        <v>39722</v>
      </c>
      <c r="B80" s="19">
        <f>IF(VLOOKUP(A80,'DB Country PMI'!$A:$AZ,MATCH($A$1,'DB Country PMI'!$A$1:$AZ$1,),)=0,#N/A,VLOOKUP(A80,'DB Country PMI'!$A:$AZ,MATCH($A$1,'DB Country PMI'!$A$1:$AZ$1,),))</f>
        <v/>
      </c>
      <c r="C80" s="26">
        <f>Table1346811121415161718192022253032[[#This Row],[PMI]]-B79</f>
        <v/>
      </c>
    </row>
    <row r="81">
      <c r="A81" s="10" t="n">
        <v>39753</v>
      </c>
      <c r="B81" s="19">
        <f>IF(VLOOKUP(A81,'DB Country PMI'!$A:$AZ,MATCH($A$1,'DB Country PMI'!$A$1:$AZ$1,),)=0,#N/A,VLOOKUP(A81,'DB Country PMI'!$A:$AZ,MATCH($A$1,'DB Country PMI'!$A$1:$AZ$1,),))</f>
        <v/>
      </c>
      <c r="C81" s="26">
        <f>Table1346811121415161718192022253032[[#This Row],[PMI]]-B80</f>
        <v/>
      </c>
    </row>
    <row r="82">
      <c r="A82" s="10" t="n">
        <v>39783</v>
      </c>
      <c r="B82" s="19">
        <f>IF(VLOOKUP(A82,'DB Country PMI'!$A:$AZ,MATCH($A$1,'DB Country PMI'!$A$1:$AZ$1,),)=0,#N/A,VLOOKUP(A82,'DB Country PMI'!$A:$AZ,MATCH($A$1,'DB Country PMI'!$A$1:$AZ$1,),))</f>
        <v/>
      </c>
      <c r="C82" s="26">
        <f>Table1346811121415161718192022253032[[#This Row],[PMI]]-B81</f>
        <v/>
      </c>
    </row>
    <row r="83">
      <c r="A83" s="10" t="n">
        <v>39814</v>
      </c>
      <c r="B83" s="19">
        <f>IF(VLOOKUP(A83,'DB Country PMI'!$A:$AZ,MATCH($A$1,'DB Country PMI'!$A$1:$AZ$1,),)=0,#N/A,VLOOKUP(A83,'DB Country PMI'!$A:$AZ,MATCH($A$1,'DB Country PMI'!$A$1:$AZ$1,),))</f>
        <v/>
      </c>
      <c r="C83" s="26">
        <f>Table1346811121415161718192022253032[[#This Row],[PMI]]-B82</f>
        <v/>
      </c>
    </row>
    <row r="84">
      <c r="A84" s="10" t="n">
        <v>39845</v>
      </c>
      <c r="B84" s="19">
        <f>IF(VLOOKUP(A84,'DB Country PMI'!$A:$AZ,MATCH($A$1,'DB Country PMI'!$A$1:$AZ$1,),)=0,#N/A,VLOOKUP(A84,'DB Country PMI'!$A:$AZ,MATCH($A$1,'DB Country PMI'!$A$1:$AZ$1,),))</f>
        <v/>
      </c>
      <c r="C84" s="26">
        <f>Table1346811121415161718192022253032[[#This Row],[PMI]]-B83</f>
        <v/>
      </c>
    </row>
    <row r="85">
      <c r="A85" s="10" t="n">
        <v>39873</v>
      </c>
      <c r="B85" s="19">
        <f>IF(VLOOKUP(A85,'DB Country PMI'!$A:$AZ,MATCH($A$1,'DB Country PMI'!$A$1:$AZ$1,),)=0,#N/A,VLOOKUP(A85,'DB Country PMI'!$A:$AZ,MATCH($A$1,'DB Country PMI'!$A$1:$AZ$1,),))</f>
        <v/>
      </c>
      <c r="C85" s="26">
        <f>Table1346811121415161718192022253032[[#This Row],[PMI]]-B84</f>
        <v/>
      </c>
    </row>
    <row r="86">
      <c r="A86" s="10" t="n">
        <v>39904</v>
      </c>
      <c r="B86" s="19">
        <f>IF(VLOOKUP(A86,'DB Country PMI'!$A:$AZ,MATCH($A$1,'DB Country PMI'!$A$1:$AZ$1,),)=0,#N/A,VLOOKUP(A86,'DB Country PMI'!$A:$AZ,MATCH($A$1,'DB Country PMI'!$A$1:$AZ$1,),))</f>
        <v/>
      </c>
      <c r="C86" s="26">
        <f>Table1346811121415161718192022253032[[#This Row],[PMI]]-B85</f>
        <v/>
      </c>
    </row>
    <row r="87">
      <c r="A87" s="10" t="n">
        <v>39934</v>
      </c>
      <c r="B87" s="19">
        <f>IF(VLOOKUP(A87,'DB Country PMI'!$A:$AZ,MATCH($A$1,'DB Country PMI'!$A$1:$AZ$1,),)=0,#N/A,VLOOKUP(A87,'DB Country PMI'!$A:$AZ,MATCH($A$1,'DB Country PMI'!$A$1:$AZ$1,),))</f>
        <v/>
      </c>
      <c r="C87" s="26">
        <f>Table1346811121415161718192022253032[[#This Row],[PMI]]-B86</f>
        <v/>
      </c>
    </row>
    <row r="88">
      <c r="A88" s="10" t="n">
        <v>39965</v>
      </c>
      <c r="B88" s="19">
        <f>IF(VLOOKUP(A88,'DB Country PMI'!$A:$AZ,MATCH($A$1,'DB Country PMI'!$A$1:$AZ$1,),)=0,#N/A,VLOOKUP(A88,'DB Country PMI'!$A:$AZ,MATCH($A$1,'DB Country PMI'!$A$1:$AZ$1,),))</f>
        <v/>
      </c>
      <c r="C88" s="26">
        <f>Table1346811121415161718192022253032[[#This Row],[PMI]]-B87</f>
        <v/>
      </c>
    </row>
    <row r="89">
      <c r="A89" s="10" t="n">
        <v>39995</v>
      </c>
      <c r="B89" s="19">
        <f>IF(VLOOKUP(A89,'DB Country PMI'!$A:$AZ,MATCH($A$1,'DB Country PMI'!$A$1:$AZ$1,),)=0,#N/A,VLOOKUP(A89,'DB Country PMI'!$A:$AZ,MATCH($A$1,'DB Country PMI'!$A$1:$AZ$1,),))</f>
        <v/>
      </c>
      <c r="C89" s="26">
        <f>Table1346811121415161718192022253032[[#This Row],[PMI]]-B88</f>
        <v/>
      </c>
    </row>
    <row r="90">
      <c r="A90" s="10" t="n">
        <v>40026</v>
      </c>
      <c r="B90" s="19">
        <f>IF(VLOOKUP(A90,'DB Country PMI'!$A:$AZ,MATCH($A$1,'DB Country PMI'!$A$1:$AZ$1,),)=0,#N/A,VLOOKUP(A90,'DB Country PMI'!$A:$AZ,MATCH($A$1,'DB Country PMI'!$A$1:$AZ$1,),))</f>
        <v/>
      </c>
      <c r="C90" s="26">
        <f>Table1346811121415161718192022253032[[#This Row],[PMI]]-B89</f>
        <v/>
      </c>
    </row>
    <row r="91">
      <c r="A91" s="10" t="n">
        <v>40057</v>
      </c>
      <c r="B91" s="19">
        <f>IF(VLOOKUP(A91,'DB Country PMI'!$A:$AZ,MATCH($A$1,'DB Country PMI'!$A$1:$AZ$1,),)=0,#N/A,VLOOKUP(A91,'DB Country PMI'!$A:$AZ,MATCH($A$1,'DB Country PMI'!$A$1:$AZ$1,),))</f>
        <v/>
      </c>
      <c r="C91" s="26">
        <f>Table1346811121415161718192022253032[[#This Row],[PMI]]-B90</f>
        <v/>
      </c>
    </row>
    <row r="92">
      <c r="A92" s="10" t="n">
        <v>40087</v>
      </c>
      <c r="B92" s="19">
        <f>IF(VLOOKUP(A92,'DB Country PMI'!$A:$AZ,MATCH($A$1,'DB Country PMI'!$A$1:$AZ$1,),)=0,#N/A,VLOOKUP(A92,'DB Country PMI'!$A:$AZ,MATCH($A$1,'DB Country PMI'!$A$1:$AZ$1,),))</f>
        <v/>
      </c>
      <c r="C92" s="26">
        <f>Table1346811121415161718192022253032[[#This Row],[PMI]]-B91</f>
        <v/>
      </c>
    </row>
    <row r="93">
      <c r="A93" s="10" t="n">
        <v>40118</v>
      </c>
      <c r="B93" s="19">
        <f>IF(VLOOKUP(A93,'DB Country PMI'!$A:$AZ,MATCH($A$1,'DB Country PMI'!$A$1:$AZ$1,),)=0,#N/A,VLOOKUP(A93,'DB Country PMI'!$A:$AZ,MATCH($A$1,'DB Country PMI'!$A$1:$AZ$1,),))</f>
        <v/>
      </c>
      <c r="C93" s="26">
        <f>Table1346811121415161718192022253032[[#This Row],[PMI]]-B92</f>
        <v/>
      </c>
    </row>
    <row r="94">
      <c r="A94" s="10" t="n">
        <v>40148</v>
      </c>
      <c r="B94" s="19">
        <f>IF(VLOOKUP(A94,'DB Country PMI'!$A:$AZ,MATCH($A$1,'DB Country PMI'!$A$1:$AZ$1,),)=0,#N/A,VLOOKUP(A94,'DB Country PMI'!$A:$AZ,MATCH($A$1,'DB Country PMI'!$A$1:$AZ$1,),))</f>
        <v/>
      </c>
      <c r="C94" s="26">
        <f>Table1346811121415161718192022253032[[#This Row],[PMI]]-B93</f>
        <v/>
      </c>
    </row>
    <row r="95">
      <c r="A95" s="10" t="n">
        <v>40179</v>
      </c>
      <c r="B95" s="19">
        <f>IF(VLOOKUP(A95,'DB Country PMI'!$A:$AZ,MATCH($A$1,'DB Country PMI'!$A$1:$AZ$1,),)=0,#N/A,VLOOKUP(A95,'DB Country PMI'!$A:$AZ,MATCH($A$1,'DB Country PMI'!$A$1:$AZ$1,),))</f>
        <v/>
      </c>
      <c r="C95" s="26">
        <f>Table1346811121415161718192022253032[[#This Row],[PMI]]-B94</f>
        <v/>
      </c>
    </row>
    <row r="96">
      <c r="A96" s="10" t="n">
        <v>40210</v>
      </c>
      <c r="B96" s="19">
        <f>IF(VLOOKUP(A96,'DB Country PMI'!$A:$AZ,MATCH($A$1,'DB Country PMI'!$A$1:$AZ$1,),)=0,#N/A,VLOOKUP(A96,'DB Country PMI'!$A:$AZ,MATCH($A$1,'DB Country PMI'!$A$1:$AZ$1,),))</f>
        <v/>
      </c>
      <c r="C96" s="26">
        <f>Table1346811121415161718192022253032[[#This Row],[PMI]]-B95</f>
        <v/>
      </c>
    </row>
    <row r="97">
      <c r="A97" s="10" t="n">
        <v>40238</v>
      </c>
      <c r="B97" s="19">
        <f>IF(VLOOKUP(A97,'DB Country PMI'!$A:$AZ,MATCH($A$1,'DB Country PMI'!$A$1:$AZ$1,),)=0,#N/A,VLOOKUP(A97,'DB Country PMI'!$A:$AZ,MATCH($A$1,'DB Country PMI'!$A$1:$AZ$1,),))</f>
        <v/>
      </c>
      <c r="C97" s="26">
        <f>Table1346811121415161718192022253032[[#This Row],[PMI]]-B96</f>
        <v/>
      </c>
    </row>
    <row r="98">
      <c r="A98" s="10" t="n">
        <v>40269</v>
      </c>
      <c r="B98" s="19">
        <f>IF(VLOOKUP(A98,'DB Country PMI'!$A:$AZ,MATCH($A$1,'DB Country PMI'!$A$1:$AZ$1,),)=0,#N/A,VLOOKUP(A98,'DB Country PMI'!$A:$AZ,MATCH($A$1,'DB Country PMI'!$A$1:$AZ$1,),))</f>
        <v/>
      </c>
      <c r="C98" s="26">
        <f>Table1346811121415161718192022253032[[#This Row],[PMI]]-B97</f>
        <v/>
      </c>
    </row>
    <row r="99">
      <c r="A99" s="10" t="n">
        <v>40299</v>
      </c>
      <c r="B99" s="19">
        <f>IF(VLOOKUP(A99,'DB Country PMI'!$A:$AZ,MATCH($A$1,'DB Country PMI'!$A$1:$AZ$1,),)=0,#N/A,VLOOKUP(A99,'DB Country PMI'!$A:$AZ,MATCH($A$1,'DB Country PMI'!$A$1:$AZ$1,),))</f>
        <v/>
      </c>
      <c r="C99" s="26">
        <f>Table1346811121415161718192022253032[[#This Row],[PMI]]-B98</f>
        <v/>
      </c>
    </row>
    <row r="100">
      <c r="A100" s="10" t="n">
        <v>40330</v>
      </c>
      <c r="B100" s="19">
        <f>IF(VLOOKUP(A100,'DB Country PMI'!$A:$AZ,MATCH($A$1,'DB Country PMI'!$A$1:$AZ$1,),)=0,#N/A,VLOOKUP(A100,'DB Country PMI'!$A:$AZ,MATCH($A$1,'DB Country PMI'!$A$1:$AZ$1,),))</f>
        <v/>
      </c>
      <c r="C100" s="26">
        <f>Table1346811121415161718192022253032[[#This Row],[PMI]]-B99</f>
        <v/>
      </c>
    </row>
    <row r="101">
      <c r="A101" s="10" t="n">
        <v>40360</v>
      </c>
      <c r="B101" s="19">
        <f>IF(VLOOKUP(A101,'DB Country PMI'!$A:$AZ,MATCH($A$1,'DB Country PMI'!$A$1:$AZ$1,),)=0,#N/A,VLOOKUP(A101,'DB Country PMI'!$A:$AZ,MATCH($A$1,'DB Country PMI'!$A$1:$AZ$1,),))</f>
        <v/>
      </c>
      <c r="C101" s="26">
        <f>Table1346811121415161718192022253032[[#This Row],[PMI]]-B100</f>
        <v/>
      </c>
    </row>
    <row r="102">
      <c r="A102" s="10" t="n">
        <v>40391</v>
      </c>
      <c r="B102" s="19">
        <f>IF(VLOOKUP(A102,'DB Country PMI'!$A:$AZ,MATCH($A$1,'DB Country PMI'!$A$1:$AZ$1,),)=0,#N/A,VLOOKUP(A102,'DB Country PMI'!$A:$AZ,MATCH($A$1,'DB Country PMI'!$A$1:$AZ$1,),))</f>
        <v/>
      </c>
      <c r="C102" s="26">
        <f>Table1346811121415161718192022253032[[#This Row],[PMI]]-B101</f>
        <v/>
      </c>
    </row>
    <row r="103">
      <c r="A103" s="10" t="n">
        <v>40422</v>
      </c>
      <c r="B103" s="19">
        <f>IF(VLOOKUP(A103,'DB Country PMI'!$A:$AZ,MATCH($A$1,'DB Country PMI'!$A$1:$AZ$1,),)=0,#N/A,VLOOKUP(A103,'DB Country PMI'!$A:$AZ,MATCH($A$1,'DB Country PMI'!$A$1:$AZ$1,),))</f>
        <v/>
      </c>
      <c r="C103" s="26">
        <f>Table1346811121415161718192022253032[[#This Row],[PMI]]-B102</f>
        <v/>
      </c>
    </row>
    <row r="104">
      <c r="A104" s="10" t="n">
        <v>40452</v>
      </c>
      <c r="B104" s="19">
        <f>IF(VLOOKUP(A104,'DB Country PMI'!$A:$AZ,MATCH($A$1,'DB Country PMI'!$A$1:$AZ$1,),)=0,#N/A,VLOOKUP(A104,'DB Country PMI'!$A:$AZ,MATCH($A$1,'DB Country PMI'!$A$1:$AZ$1,),))</f>
        <v/>
      </c>
      <c r="C104" s="26">
        <f>Table1346811121415161718192022253032[[#This Row],[PMI]]-B103</f>
        <v/>
      </c>
    </row>
    <row r="105">
      <c r="A105" s="10" t="n">
        <v>40483</v>
      </c>
      <c r="B105" s="19">
        <f>IF(VLOOKUP(A105,'DB Country PMI'!$A:$AZ,MATCH($A$1,'DB Country PMI'!$A$1:$AZ$1,),)=0,#N/A,VLOOKUP(A105,'DB Country PMI'!$A:$AZ,MATCH($A$1,'DB Country PMI'!$A$1:$AZ$1,),))</f>
        <v/>
      </c>
      <c r="C105" s="26">
        <f>Table1346811121415161718192022253032[[#This Row],[PMI]]-B104</f>
        <v/>
      </c>
    </row>
    <row r="106">
      <c r="A106" s="10" t="n">
        <v>40513</v>
      </c>
      <c r="B106" s="19">
        <f>IF(VLOOKUP(A106,'DB Country PMI'!$A:$AZ,MATCH($A$1,'DB Country PMI'!$A$1:$AZ$1,),)=0,#N/A,VLOOKUP(A106,'DB Country PMI'!$A:$AZ,MATCH($A$1,'DB Country PMI'!$A$1:$AZ$1,),))</f>
        <v/>
      </c>
      <c r="C106" s="26">
        <f>Table1346811121415161718192022253032[[#This Row],[PMI]]-B105</f>
        <v/>
      </c>
    </row>
    <row r="107">
      <c r="A107" s="10" t="n">
        <v>40544</v>
      </c>
      <c r="B107" s="19">
        <f>IF(VLOOKUP(A107,'DB Country PMI'!$A:$AZ,MATCH($A$1,'DB Country PMI'!$A$1:$AZ$1,),)=0,#N/A,VLOOKUP(A107,'DB Country PMI'!$A:$AZ,MATCH($A$1,'DB Country PMI'!$A$1:$AZ$1,),))</f>
        <v/>
      </c>
      <c r="C107" s="26">
        <f>Table1346811121415161718192022253032[[#This Row],[PMI]]-B106</f>
        <v/>
      </c>
    </row>
    <row r="108">
      <c r="A108" s="10" t="n">
        <v>40575</v>
      </c>
      <c r="B108" s="19">
        <f>IF(VLOOKUP(A108,'DB Country PMI'!$A:$AZ,MATCH($A$1,'DB Country PMI'!$A$1:$AZ$1,),)=0,#N/A,VLOOKUP(A108,'DB Country PMI'!$A:$AZ,MATCH($A$1,'DB Country PMI'!$A$1:$AZ$1,),))</f>
        <v/>
      </c>
      <c r="C108" s="26">
        <f>Table1346811121415161718192022253032[[#This Row],[PMI]]-B107</f>
        <v/>
      </c>
    </row>
    <row r="109">
      <c r="A109" s="10" t="n">
        <v>40603</v>
      </c>
      <c r="B109" s="19">
        <f>IF(VLOOKUP(A109,'DB Country PMI'!$A:$AZ,MATCH($A$1,'DB Country PMI'!$A$1:$AZ$1,),)=0,#N/A,VLOOKUP(A109,'DB Country PMI'!$A:$AZ,MATCH($A$1,'DB Country PMI'!$A$1:$AZ$1,),))</f>
        <v/>
      </c>
      <c r="C109" s="26">
        <f>Table1346811121415161718192022253032[[#This Row],[PMI]]-B108</f>
        <v/>
      </c>
    </row>
    <row r="110">
      <c r="A110" s="10" t="n">
        <v>40634</v>
      </c>
      <c r="B110" s="19">
        <f>IF(VLOOKUP(A110,'DB Country PMI'!$A:$AZ,MATCH($A$1,'DB Country PMI'!$A$1:$AZ$1,),)=0,#N/A,VLOOKUP(A110,'DB Country PMI'!$A:$AZ,MATCH($A$1,'DB Country PMI'!$A$1:$AZ$1,),))</f>
        <v/>
      </c>
      <c r="C110" s="26">
        <f>Table1346811121415161718192022253032[[#This Row],[PMI]]-B109</f>
        <v/>
      </c>
    </row>
    <row r="111">
      <c r="A111" s="10" t="n">
        <v>40664</v>
      </c>
      <c r="B111" s="19">
        <f>IF(VLOOKUP(A111,'DB Country PMI'!$A:$AZ,MATCH($A$1,'DB Country PMI'!$A$1:$AZ$1,),)=0,#N/A,VLOOKUP(A111,'DB Country PMI'!$A:$AZ,MATCH($A$1,'DB Country PMI'!$A$1:$AZ$1,),))</f>
        <v/>
      </c>
      <c r="C111" s="26">
        <f>Table1346811121415161718192022253032[[#This Row],[PMI]]-B110</f>
        <v/>
      </c>
    </row>
    <row r="112">
      <c r="A112" s="10" t="n">
        <v>40695</v>
      </c>
      <c r="B112" s="19">
        <f>IF(VLOOKUP(A112,'DB Country PMI'!$A:$AZ,MATCH($A$1,'DB Country PMI'!$A$1:$AZ$1,),)=0,#N/A,VLOOKUP(A112,'DB Country PMI'!$A:$AZ,MATCH($A$1,'DB Country PMI'!$A$1:$AZ$1,),))</f>
        <v/>
      </c>
      <c r="C112" s="26">
        <f>Table1346811121415161718192022253032[[#This Row],[PMI]]-B111</f>
        <v/>
      </c>
    </row>
    <row r="113">
      <c r="A113" s="10" t="n">
        <v>40725</v>
      </c>
      <c r="B113" s="19">
        <f>IF(VLOOKUP(A113,'DB Country PMI'!$A:$AZ,MATCH($A$1,'DB Country PMI'!$A$1:$AZ$1,),)=0,#N/A,VLOOKUP(A113,'DB Country PMI'!$A:$AZ,MATCH($A$1,'DB Country PMI'!$A$1:$AZ$1,),))</f>
        <v/>
      </c>
      <c r="C113" s="26">
        <f>Table1346811121415161718192022253032[[#This Row],[PMI]]-B112</f>
        <v/>
      </c>
    </row>
    <row r="114">
      <c r="A114" s="10" t="n">
        <v>40756</v>
      </c>
      <c r="B114" s="19">
        <f>IF(VLOOKUP(A114,'DB Country PMI'!$A:$AZ,MATCH($A$1,'DB Country PMI'!$A$1:$AZ$1,),)=0,#N/A,VLOOKUP(A114,'DB Country PMI'!$A:$AZ,MATCH($A$1,'DB Country PMI'!$A$1:$AZ$1,),))</f>
        <v/>
      </c>
      <c r="C114" s="26">
        <f>Table1346811121415161718192022253032[[#This Row],[PMI]]-B113</f>
        <v/>
      </c>
    </row>
    <row r="115">
      <c r="A115" s="10" t="n">
        <v>40787</v>
      </c>
      <c r="B115" s="19">
        <f>IF(VLOOKUP(A115,'DB Country PMI'!$A:$AZ,MATCH($A$1,'DB Country PMI'!$A$1:$AZ$1,),)=0,#N/A,VLOOKUP(A115,'DB Country PMI'!$A:$AZ,MATCH($A$1,'DB Country PMI'!$A$1:$AZ$1,),))</f>
        <v/>
      </c>
      <c r="C115" s="26">
        <f>Table1346811121415161718192022253032[[#This Row],[PMI]]-B114</f>
        <v/>
      </c>
    </row>
    <row r="116">
      <c r="A116" s="10" t="n">
        <v>40817</v>
      </c>
      <c r="B116" s="19">
        <f>IF(VLOOKUP(A116,'DB Country PMI'!$A:$AZ,MATCH($A$1,'DB Country PMI'!$A$1:$AZ$1,),)=0,#N/A,VLOOKUP(A116,'DB Country PMI'!$A:$AZ,MATCH($A$1,'DB Country PMI'!$A$1:$AZ$1,),))</f>
        <v/>
      </c>
      <c r="C116" s="26">
        <f>Table1346811121415161718192022253032[[#This Row],[PMI]]-B115</f>
        <v/>
      </c>
    </row>
    <row r="117">
      <c r="A117" s="10" t="n">
        <v>40848</v>
      </c>
      <c r="B117" s="19">
        <f>IF(VLOOKUP(A117,'DB Country PMI'!$A:$AZ,MATCH($A$1,'DB Country PMI'!$A$1:$AZ$1,),)=0,#N/A,VLOOKUP(A117,'DB Country PMI'!$A:$AZ,MATCH($A$1,'DB Country PMI'!$A$1:$AZ$1,),))</f>
        <v/>
      </c>
      <c r="C117" s="26">
        <f>Table1346811121415161718192022253032[[#This Row],[PMI]]-B116</f>
        <v/>
      </c>
    </row>
    <row r="118">
      <c r="A118" s="10" t="n">
        <v>40878</v>
      </c>
      <c r="B118" s="19">
        <f>IF(VLOOKUP(A118,'DB Country PMI'!$A:$AZ,MATCH($A$1,'DB Country PMI'!$A$1:$AZ$1,),)=0,#N/A,VLOOKUP(A118,'DB Country PMI'!$A:$AZ,MATCH($A$1,'DB Country PMI'!$A$1:$AZ$1,),))</f>
        <v/>
      </c>
      <c r="C118" s="26">
        <f>Table1346811121415161718192022253032[[#This Row],[PMI]]-B117</f>
        <v/>
      </c>
    </row>
    <row r="119">
      <c r="A119" s="10" t="n">
        <v>40909</v>
      </c>
      <c r="B119" s="19">
        <f>IF(VLOOKUP(A119,'DB Country PMI'!$A:$AZ,MATCH($A$1,'DB Country PMI'!$A$1:$AZ$1,),)=0,#N/A,VLOOKUP(A119,'DB Country PMI'!$A:$AZ,MATCH($A$1,'DB Country PMI'!$A$1:$AZ$1,),))</f>
        <v/>
      </c>
      <c r="C119" s="26">
        <f>Table1346811121415161718192022253032[[#This Row],[PMI]]-B118</f>
        <v/>
      </c>
    </row>
    <row r="120">
      <c r="A120" s="10" t="n">
        <v>40940</v>
      </c>
      <c r="B120" s="19">
        <f>IF(VLOOKUP(A120,'DB Country PMI'!$A:$AZ,MATCH($A$1,'DB Country PMI'!$A$1:$AZ$1,),)=0,#N/A,VLOOKUP(A120,'DB Country PMI'!$A:$AZ,MATCH($A$1,'DB Country PMI'!$A$1:$AZ$1,),))</f>
        <v/>
      </c>
      <c r="C120" s="26">
        <f>Table1346811121415161718192022253032[[#This Row],[PMI]]-B119</f>
        <v/>
      </c>
    </row>
    <row r="121">
      <c r="A121" s="10" t="n">
        <v>40969</v>
      </c>
      <c r="B121" s="19">
        <f>IF(VLOOKUP(A121,'DB Country PMI'!$A:$AZ,MATCH($A$1,'DB Country PMI'!$A$1:$AZ$1,),)=0,#N/A,VLOOKUP(A121,'DB Country PMI'!$A:$AZ,MATCH($A$1,'DB Country PMI'!$A$1:$AZ$1,),))</f>
        <v/>
      </c>
      <c r="C121" s="26">
        <f>Table1346811121415161718192022253032[[#This Row],[PMI]]-B120</f>
        <v/>
      </c>
    </row>
    <row r="122">
      <c r="A122" s="10" t="n">
        <v>41000</v>
      </c>
      <c r="B122" s="19">
        <f>IF(VLOOKUP(A122,'DB Country PMI'!$A:$AZ,MATCH($A$1,'DB Country PMI'!$A$1:$AZ$1,),)=0,#N/A,VLOOKUP(A122,'DB Country PMI'!$A:$AZ,MATCH($A$1,'DB Country PMI'!$A$1:$AZ$1,),))</f>
        <v/>
      </c>
      <c r="C122" s="26">
        <f>Table1346811121415161718192022253032[[#This Row],[PMI]]-B121</f>
        <v/>
      </c>
    </row>
    <row r="123">
      <c r="A123" s="10" t="n">
        <v>41030</v>
      </c>
      <c r="B123" s="19">
        <f>IF(VLOOKUP(A123,'DB Country PMI'!$A:$AZ,MATCH($A$1,'DB Country PMI'!$A$1:$AZ$1,),)=0,#N/A,VLOOKUP(A123,'DB Country PMI'!$A:$AZ,MATCH($A$1,'DB Country PMI'!$A$1:$AZ$1,),))</f>
        <v/>
      </c>
      <c r="C123" s="26">
        <f>Table1346811121415161718192022253032[[#This Row],[PMI]]-B122</f>
        <v/>
      </c>
    </row>
    <row r="124">
      <c r="A124" s="10" t="n">
        <v>41061</v>
      </c>
      <c r="B124" s="19">
        <f>IF(VLOOKUP(A124,'DB Country PMI'!$A:$AZ,MATCH($A$1,'DB Country PMI'!$A$1:$AZ$1,),)=0,#N/A,VLOOKUP(A124,'DB Country PMI'!$A:$AZ,MATCH($A$1,'DB Country PMI'!$A$1:$AZ$1,),))</f>
        <v/>
      </c>
      <c r="C124" s="26">
        <f>Table1346811121415161718192022253032[[#This Row],[PMI]]-B123</f>
        <v/>
      </c>
    </row>
    <row r="125">
      <c r="A125" s="10" t="n">
        <v>41091</v>
      </c>
      <c r="B125" s="19">
        <f>IF(VLOOKUP(A125,'DB Country PMI'!$A:$AZ,MATCH($A$1,'DB Country PMI'!$A$1:$AZ$1,),)=0,#N/A,VLOOKUP(A125,'DB Country PMI'!$A:$AZ,MATCH($A$1,'DB Country PMI'!$A$1:$AZ$1,),))</f>
        <v/>
      </c>
      <c r="C125" s="26">
        <f>Table1346811121415161718192022253032[[#This Row],[PMI]]-B124</f>
        <v/>
      </c>
    </row>
    <row r="126">
      <c r="A126" s="10" t="n">
        <v>41122</v>
      </c>
      <c r="B126" s="19">
        <f>IF(VLOOKUP(A126,'DB Country PMI'!$A:$AZ,MATCH($A$1,'DB Country PMI'!$A$1:$AZ$1,),)=0,#N/A,VLOOKUP(A126,'DB Country PMI'!$A:$AZ,MATCH($A$1,'DB Country PMI'!$A$1:$AZ$1,),))</f>
        <v/>
      </c>
      <c r="C126" s="26">
        <f>Table1346811121415161718192022253032[[#This Row],[PMI]]-B125</f>
        <v/>
      </c>
    </row>
    <row r="127">
      <c r="A127" s="10" t="n">
        <v>41153</v>
      </c>
      <c r="B127" s="19">
        <f>IF(VLOOKUP(A127,'DB Country PMI'!$A:$AZ,MATCH($A$1,'DB Country PMI'!$A$1:$AZ$1,),)=0,#N/A,VLOOKUP(A127,'DB Country PMI'!$A:$AZ,MATCH($A$1,'DB Country PMI'!$A$1:$AZ$1,),))</f>
        <v/>
      </c>
      <c r="C127" s="26">
        <f>Table1346811121415161718192022253032[[#This Row],[PMI]]-B126</f>
        <v/>
      </c>
    </row>
    <row r="128">
      <c r="A128" s="10" t="n">
        <v>41183</v>
      </c>
      <c r="B128" s="19">
        <f>IF(VLOOKUP(A128,'DB Country PMI'!$A:$AZ,MATCH($A$1,'DB Country PMI'!$A$1:$AZ$1,),)=0,#N/A,VLOOKUP(A128,'DB Country PMI'!$A:$AZ,MATCH($A$1,'DB Country PMI'!$A$1:$AZ$1,),))</f>
        <v/>
      </c>
      <c r="C128" s="26">
        <f>Table1346811121415161718192022253032[[#This Row],[PMI]]-B127</f>
        <v/>
      </c>
    </row>
    <row r="129">
      <c r="A129" s="10" t="n">
        <v>41214</v>
      </c>
      <c r="B129" s="19">
        <f>IF(VLOOKUP(A129,'DB Country PMI'!$A:$AZ,MATCH($A$1,'DB Country PMI'!$A$1:$AZ$1,),)=0,#N/A,VLOOKUP(A129,'DB Country PMI'!$A:$AZ,MATCH($A$1,'DB Country PMI'!$A$1:$AZ$1,),))</f>
        <v/>
      </c>
      <c r="C129" s="26">
        <f>Table1346811121415161718192022253032[[#This Row],[PMI]]-B128</f>
        <v/>
      </c>
    </row>
    <row r="130">
      <c r="A130" s="10" t="n">
        <v>41244</v>
      </c>
      <c r="B130" s="19">
        <f>IF(VLOOKUP(A130,'DB Country PMI'!$A:$AZ,MATCH($A$1,'DB Country PMI'!$A$1:$AZ$1,),)=0,#N/A,VLOOKUP(A130,'DB Country PMI'!$A:$AZ,MATCH($A$1,'DB Country PMI'!$A$1:$AZ$1,),))</f>
        <v/>
      </c>
      <c r="C130" s="26">
        <f>Table1346811121415161718192022253032[[#This Row],[PMI]]-B129</f>
        <v/>
      </c>
    </row>
    <row r="131">
      <c r="A131" s="10" t="n">
        <v>41275</v>
      </c>
      <c r="B131" s="19">
        <f>IF(VLOOKUP(A131,'DB Country PMI'!$A:$AZ,MATCH($A$1,'DB Country PMI'!$A$1:$AZ$1,),)=0,#N/A,VLOOKUP(A131,'DB Country PMI'!$A:$AZ,MATCH($A$1,'DB Country PMI'!$A$1:$AZ$1,),))</f>
        <v/>
      </c>
      <c r="C131" s="26">
        <f>Table1346811121415161718192022253032[[#This Row],[PMI]]-B130</f>
        <v/>
      </c>
    </row>
    <row r="132">
      <c r="A132" s="10" t="n">
        <v>41306</v>
      </c>
      <c r="B132" s="19">
        <f>IF(VLOOKUP(A132,'DB Country PMI'!$A:$AZ,MATCH($A$1,'DB Country PMI'!$A$1:$AZ$1,),)=0,#N/A,VLOOKUP(A132,'DB Country PMI'!$A:$AZ,MATCH($A$1,'DB Country PMI'!$A$1:$AZ$1,),))</f>
        <v/>
      </c>
      <c r="C132" s="26">
        <f>Table1346811121415161718192022253032[[#This Row],[PMI]]-B131</f>
        <v/>
      </c>
    </row>
    <row r="133">
      <c r="A133" s="10" t="n">
        <v>41334</v>
      </c>
      <c r="B133" s="19">
        <f>IF(VLOOKUP(A133,'DB Country PMI'!$A:$AZ,MATCH($A$1,'DB Country PMI'!$A$1:$AZ$1,),)=0,#N/A,VLOOKUP(A133,'DB Country PMI'!$A:$AZ,MATCH($A$1,'DB Country PMI'!$A$1:$AZ$1,),))</f>
        <v/>
      </c>
      <c r="C133" s="26">
        <f>Table1346811121415161718192022253032[[#This Row],[PMI]]-B132</f>
        <v/>
      </c>
    </row>
    <row r="134">
      <c r="A134" s="10" t="n">
        <v>41365</v>
      </c>
      <c r="B134" s="19">
        <f>IF(VLOOKUP(A134,'DB Country PMI'!$A:$AZ,MATCH($A$1,'DB Country PMI'!$A$1:$AZ$1,),)=0,#N/A,VLOOKUP(A134,'DB Country PMI'!$A:$AZ,MATCH($A$1,'DB Country PMI'!$A$1:$AZ$1,),))</f>
        <v/>
      </c>
      <c r="C134" s="26">
        <f>Table1346811121415161718192022253032[[#This Row],[PMI]]-B133</f>
        <v/>
      </c>
    </row>
    <row r="135">
      <c r="A135" s="10" t="n">
        <v>41395</v>
      </c>
      <c r="B135" s="19">
        <f>IF(VLOOKUP(A135,'DB Country PMI'!$A:$AZ,MATCH($A$1,'DB Country PMI'!$A$1:$AZ$1,),)=0,#N/A,VLOOKUP(A135,'DB Country PMI'!$A:$AZ,MATCH($A$1,'DB Country PMI'!$A$1:$AZ$1,),))</f>
        <v/>
      </c>
      <c r="C135" s="26">
        <f>Table1346811121415161718192022253032[[#This Row],[PMI]]-B134</f>
        <v/>
      </c>
    </row>
    <row r="136">
      <c r="A136" s="10" t="n">
        <v>41426</v>
      </c>
      <c r="B136" s="19">
        <f>IF(VLOOKUP(A136,'DB Country PMI'!$A:$AZ,MATCH($A$1,'DB Country PMI'!$A$1:$AZ$1,),)=0,#N/A,VLOOKUP(A136,'DB Country PMI'!$A:$AZ,MATCH($A$1,'DB Country PMI'!$A$1:$AZ$1,),))</f>
        <v/>
      </c>
      <c r="C136" s="26">
        <f>Table1346811121415161718192022253032[[#This Row],[PMI]]-B135</f>
        <v/>
      </c>
    </row>
    <row r="137">
      <c r="A137" s="10" t="n">
        <v>41456</v>
      </c>
      <c r="B137" s="19">
        <f>IF(VLOOKUP(A137,'DB Country PMI'!$A:$AZ,MATCH($A$1,'DB Country PMI'!$A$1:$AZ$1,),)=0,#N/A,VLOOKUP(A137,'DB Country PMI'!$A:$AZ,MATCH($A$1,'DB Country PMI'!$A$1:$AZ$1,),))</f>
        <v/>
      </c>
      <c r="C137" s="26">
        <f>Table1346811121415161718192022253032[[#This Row],[PMI]]-B136</f>
        <v/>
      </c>
    </row>
    <row r="138">
      <c r="A138" s="10" t="n">
        <v>41487</v>
      </c>
      <c r="B138" s="19">
        <f>IF(VLOOKUP(A138,'DB Country PMI'!$A:$AZ,MATCH($A$1,'DB Country PMI'!$A$1:$AZ$1,),)=0,#N/A,VLOOKUP(A138,'DB Country PMI'!$A:$AZ,MATCH($A$1,'DB Country PMI'!$A$1:$AZ$1,),))</f>
        <v/>
      </c>
      <c r="C138" s="26">
        <f>Table1346811121415161718192022253032[[#This Row],[PMI]]-B137</f>
        <v/>
      </c>
    </row>
    <row r="139">
      <c r="A139" s="10" t="n">
        <v>41518</v>
      </c>
      <c r="B139" s="19">
        <f>IF(VLOOKUP(A139,'DB Country PMI'!$A:$AZ,MATCH($A$1,'DB Country PMI'!$A$1:$AZ$1,),)=0,#N/A,VLOOKUP(A139,'DB Country PMI'!$A:$AZ,MATCH($A$1,'DB Country PMI'!$A$1:$AZ$1,),))</f>
        <v/>
      </c>
      <c r="C139" s="26">
        <f>Table1346811121415161718192022253032[[#This Row],[PMI]]-B138</f>
        <v/>
      </c>
    </row>
    <row r="140">
      <c r="A140" s="10" t="n">
        <v>41548</v>
      </c>
      <c r="B140" s="19">
        <f>IF(VLOOKUP(A140,'DB Country PMI'!$A:$AZ,MATCH($A$1,'DB Country PMI'!$A$1:$AZ$1,),)=0,#N/A,VLOOKUP(A140,'DB Country PMI'!$A:$AZ,MATCH($A$1,'DB Country PMI'!$A$1:$AZ$1,),))</f>
        <v/>
      </c>
      <c r="C140" s="26">
        <f>Table1346811121415161718192022253032[[#This Row],[PMI]]-B139</f>
        <v/>
      </c>
    </row>
    <row r="141">
      <c r="A141" s="10" t="n">
        <v>41579</v>
      </c>
      <c r="B141" s="19">
        <f>IF(VLOOKUP(A141,'DB Country PMI'!$A:$AZ,MATCH($A$1,'DB Country PMI'!$A$1:$AZ$1,),)=0,#N/A,VLOOKUP(A141,'DB Country PMI'!$A:$AZ,MATCH($A$1,'DB Country PMI'!$A$1:$AZ$1,),))</f>
        <v/>
      </c>
      <c r="C141" s="26">
        <f>Table1346811121415161718192022253032[[#This Row],[PMI]]-B140</f>
        <v/>
      </c>
    </row>
    <row r="142">
      <c r="A142" s="10" t="n">
        <v>41609</v>
      </c>
      <c r="B142" s="19">
        <f>IF(VLOOKUP(A142,'DB Country PMI'!$A:$AZ,MATCH($A$1,'DB Country PMI'!$A$1:$AZ$1,),)=0,#N/A,VLOOKUP(A142,'DB Country PMI'!$A:$AZ,MATCH($A$1,'DB Country PMI'!$A$1:$AZ$1,),))</f>
        <v/>
      </c>
      <c r="C142" s="26">
        <f>Table1346811121415161718192022253032[[#This Row],[PMI]]-B141</f>
        <v/>
      </c>
    </row>
    <row r="143">
      <c r="A143" s="10" t="n">
        <v>41640</v>
      </c>
      <c r="B143" s="19">
        <f>IF(VLOOKUP(A143,'DB Country PMI'!$A:$AZ,MATCH($A$1,'DB Country PMI'!$A$1:$AZ$1,),)=0,#N/A,VLOOKUP(A143,'DB Country PMI'!$A:$AZ,MATCH($A$1,'DB Country PMI'!$A$1:$AZ$1,),))</f>
        <v/>
      </c>
      <c r="C143" s="26">
        <f>Table1346811121415161718192022253032[[#This Row],[PMI]]-B142</f>
        <v/>
      </c>
    </row>
    <row r="144">
      <c r="A144" s="10" t="n">
        <v>41671</v>
      </c>
      <c r="B144" s="19">
        <f>IF(VLOOKUP(A144,'DB Country PMI'!$A:$AZ,MATCH($A$1,'DB Country PMI'!$A$1:$AZ$1,),)=0,#N/A,VLOOKUP(A144,'DB Country PMI'!$A:$AZ,MATCH($A$1,'DB Country PMI'!$A$1:$AZ$1,),))</f>
        <v/>
      </c>
      <c r="C144" s="26">
        <f>Table1346811121415161718192022253032[[#This Row],[PMI]]-B143</f>
        <v/>
      </c>
    </row>
    <row r="145">
      <c r="A145" s="10" t="n">
        <v>41699</v>
      </c>
      <c r="B145" s="19">
        <f>IF(VLOOKUP(A145,'DB Country PMI'!$A:$AZ,MATCH($A$1,'DB Country PMI'!$A$1:$AZ$1,),)=0,#N/A,VLOOKUP(A145,'DB Country PMI'!$A:$AZ,MATCH($A$1,'DB Country PMI'!$A$1:$AZ$1,),))</f>
        <v/>
      </c>
      <c r="C145" s="26">
        <f>Table1346811121415161718192022253032[[#This Row],[PMI]]-B144</f>
        <v/>
      </c>
    </row>
    <row r="146">
      <c r="A146" s="10" t="n">
        <v>41730</v>
      </c>
      <c r="B146" s="19">
        <f>IF(VLOOKUP(A146,'DB Country PMI'!$A:$AZ,MATCH($A$1,'DB Country PMI'!$A$1:$AZ$1,),)=0,#N/A,VLOOKUP(A146,'DB Country PMI'!$A:$AZ,MATCH($A$1,'DB Country PMI'!$A$1:$AZ$1,),))</f>
        <v/>
      </c>
      <c r="C146" s="26">
        <f>Table1346811121415161718192022253032[[#This Row],[PMI]]-B145</f>
        <v/>
      </c>
    </row>
    <row r="147">
      <c r="A147" s="10" t="n">
        <v>41760</v>
      </c>
      <c r="B147" s="19">
        <f>IF(VLOOKUP(A147,'DB Country PMI'!$A:$AZ,MATCH($A$1,'DB Country PMI'!$A$1:$AZ$1,),)=0,#N/A,VLOOKUP(A147,'DB Country PMI'!$A:$AZ,MATCH($A$1,'DB Country PMI'!$A$1:$AZ$1,),))</f>
        <v/>
      </c>
      <c r="C147" s="26">
        <f>Table1346811121415161718192022253032[[#This Row],[PMI]]-B146</f>
        <v/>
      </c>
    </row>
    <row r="148">
      <c r="A148" s="10" t="n">
        <v>41791</v>
      </c>
      <c r="B148" s="19">
        <f>IF(VLOOKUP(A148,'DB Country PMI'!$A:$AZ,MATCH($A$1,'DB Country PMI'!$A$1:$AZ$1,),)=0,#N/A,VLOOKUP(A148,'DB Country PMI'!$A:$AZ,MATCH($A$1,'DB Country PMI'!$A$1:$AZ$1,),))</f>
        <v/>
      </c>
      <c r="C148" s="26">
        <f>Table1346811121415161718192022253032[[#This Row],[PMI]]-B147</f>
        <v/>
      </c>
    </row>
    <row r="149">
      <c r="A149" s="10" t="n">
        <v>41821</v>
      </c>
      <c r="B149" s="19">
        <f>IF(VLOOKUP(A149,'DB Country PMI'!$A:$AZ,MATCH($A$1,'DB Country PMI'!$A$1:$AZ$1,),)=0,#N/A,VLOOKUP(A149,'DB Country PMI'!$A:$AZ,MATCH($A$1,'DB Country PMI'!$A$1:$AZ$1,),))</f>
        <v/>
      </c>
      <c r="C149" s="26">
        <f>Table1346811121415161718192022253032[[#This Row],[PMI]]-B148</f>
        <v/>
      </c>
    </row>
    <row r="150">
      <c r="A150" s="10" t="n">
        <v>41852</v>
      </c>
      <c r="B150" s="19">
        <f>IF(VLOOKUP(A150,'DB Country PMI'!$A:$AZ,MATCH($A$1,'DB Country PMI'!$A$1:$AZ$1,),)=0,#N/A,VLOOKUP(A150,'DB Country PMI'!$A:$AZ,MATCH($A$1,'DB Country PMI'!$A$1:$AZ$1,),))</f>
        <v/>
      </c>
      <c r="C150" s="26">
        <f>Table1346811121415161718192022253032[[#This Row],[PMI]]-B149</f>
        <v/>
      </c>
    </row>
    <row r="151">
      <c r="A151" s="10" t="n">
        <v>41883</v>
      </c>
      <c r="B151" s="19">
        <f>IF(VLOOKUP(A151,'DB Country PMI'!$A:$AZ,MATCH($A$1,'DB Country PMI'!$A$1:$AZ$1,),)=0,#N/A,VLOOKUP(A151,'DB Country PMI'!$A:$AZ,MATCH($A$1,'DB Country PMI'!$A$1:$AZ$1,),))</f>
        <v/>
      </c>
      <c r="C151" s="26">
        <f>Table1346811121415161718192022253032[[#This Row],[PMI]]-B150</f>
        <v/>
      </c>
    </row>
    <row r="152">
      <c r="A152" s="10" t="n">
        <v>41913</v>
      </c>
      <c r="B152" s="19">
        <f>IF(VLOOKUP(A152,'DB Country PMI'!$A:$AZ,MATCH($A$1,'DB Country PMI'!$A$1:$AZ$1,),)=0,#N/A,VLOOKUP(A152,'DB Country PMI'!$A:$AZ,MATCH($A$1,'DB Country PMI'!$A$1:$AZ$1,),))</f>
        <v/>
      </c>
      <c r="C152" s="26">
        <f>Table1346811121415161718192022253032[[#This Row],[PMI]]-B151</f>
        <v/>
      </c>
    </row>
    <row r="153">
      <c r="A153" s="10" t="n">
        <v>41944</v>
      </c>
      <c r="B153" s="19">
        <f>IF(VLOOKUP(A153,'DB Country PMI'!$A:$AZ,MATCH($A$1,'DB Country PMI'!$A$1:$AZ$1,),)=0,#N/A,VLOOKUP(A153,'DB Country PMI'!$A:$AZ,MATCH($A$1,'DB Country PMI'!$A$1:$AZ$1,),))</f>
        <v/>
      </c>
      <c r="C153" s="26">
        <f>Table1346811121415161718192022253032[[#This Row],[PMI]]-B152</f>
        <v/>
      </c>
    </row>
    <row r="154">
      <c r="A154" s="10" t="n">
        <v>41974</v>
      </c>
      <c r="B154" s="19">
        <f>IF(VLOOKUP(A154,'DB Country PMI'!$A:$AZ,MATCH($A$1,'DB Country PMI'!$A$1:$AZ$1,),)=0,#N/A,VLOOKUP(A154,'DB Country PMI'!$A:$AZ,MATCH($A$1,'DB Country PMI'!$A$1:$AZ$1,),))</f>
        <v/>
      </c>
      <c r="C154" s="26">
        <f>Table1346811121415161718192022253032[[#This Row],[PMI]]-B153</f>
        <v/>
      </c>
    </row>
    <row r="155">
      <c r="A155" s="10" t="n">
        <v>42005</v>
      </c>
      <c r="B155" s="19">
        <f>IF(VLOOKUP(A155,'DB Country PMI'!$A:$AZ,MATCH($A$1,'DB Country PMI'!$A$1:$AZ$1,),)=0,#N/A,VLOOKUP(A155,'DB Country PMI'!$A:$AZ,MATCH($A$1,'DB Country PMI'!$A$1:$AZ$1,),))</f>
        <v/>
      </c>
      <c r="C155" s="26">
        <f>Table1346811121415161718192022253032[[#This Row],[PMI]]-B154</f>
        <v/>
      </c>
    </row>
    <row r="156">
      <c r="A156" s="10" t="n">
        <v>42036</v>
      </c>
      <c r="B156" s="19">
        <f>IF(VLOOKUP(A156,'DB Country PMI'!$A:$AZ,MATCH($A$1,'DB Country PMI'!$A$1:$AZ$1,),)=0,#N/A,VLOOKUP(A156,'DB Country PMI'!$A:$AZ,MATCH($A$1,'DB Country PMI'!$A$1:$AZ$1,),))</f>
        <v/>
      </c>
      <c r="C156" s="26">
        <f>Table1346811121415161718192022253032[[#This Row],[PMI]]-B155</f>
        <v/>
      </c>
    </row>
    <row r="157">
      <c r="A157" s="10" t="n">
        <v>42064</v>
      </c>
      <c r="B157" s="19">
        <f>IF(VLOOKUP(A157,'DB Country PMI'!$A:$AZ,MATCH($A$1,'DB Country PMI'!$A$1:$AZ$1,),)=0,#N/A,VLOOKUP(A157,'DB Country PMI'!$A:$AZ,MATCH($A$1,'DB Country PMI'!$A$1:$AZ$1,),))</f>
        <v/>
      </c>
      <c r="C157" s="26">
        <f>Table1346811121415161718192022253032[[#This Row],[PMI]]-B156</f>
        <v/>
      </c>
    </row>
    <row r="158">
      <c r="A158" s="10" t="n">
        <v>42095</v>
      </c>
      <c r="B158" s="19">
        <f>IF(VLOOKUP(A158,'DB Country PMI'!$A:$AZ,MATCH($A$1,'DB Country PMI'!$A$1:$AZ$1,),)=0,#N/A,VLOOKUP(A158,'DB Country PMI'!$A:$AZ,MATCH($A$1,'DB Country PMI'!$A$1:$AZ$1,),))</f>
        <v/>
      </c>
      <c r="C158" s="26">
        <f>Table1346811121415161718192022253032[[#This Row],[PMI]]-B157</f>
        <v/>
      </c>
    </row>
    <row r="159">
      <c r="A159" s="10" t="n">
        <v>42125</v>
      </c>
      <c r="B159" s="19">
        <f>IF(VLOOKUP(A159,'DB Country PMI'!$A:$AZ,MATCH($A$1,'DB Country PMI'!$A$1:$AZ$1,),)=0,#N/A,VLOOKUP(A159,'DB Country PMI'!$A:$AZ,MATCH($A$1,'DB Country PMI'!$A$1:$AZ$1,),))</f>
        <v/>
      </c>
      <c r="C159" s="26">
        <f>Table1346811121415161718192022253032[[#This Row],[PMI]]-B158</f>
        <v/>
      </c>
    </row>
    <row r="160">
      <c r="A160" s="10" t="n">
        <v>42156</v>
      </c>
      <c r="B160" s="19">
        <f>IF(VLOOKUP(A160,'DB Country PMI'!$A:$AZ,MATCH($A$1,'DB Country PMI'!$A$1:$AZ$1,),)=0,#N/A,VLOOKUP(A160,'DB Country PMI'!$A:$AZ,MATCH($A$1,'DB Country PMI'!$A$1:$AZ$1,),))</f>
        <v/>
      </c>
      <c r="C160" s="26">
        <f>Table1346811121415161718192022253032[[#This Row],[PMI]]-B159</f>
        <v/>
      </c>
    </row>
    <row r="161">
      <c r="A161" s="10" t="n">
        <v>42186</v>
      </c>
      <c r="B161" s="19">
        <f>IF(VLOOKUP(A161,'DB Country PMI'!$A:$AZ,MATCH($A$1,'DB Country PMI'!$A$1:$AZ$1,),)=0,#N/A,VLOOKUP(A161,'DB Country PMI'!$A:$AZ,MATCH($A$1,'DB Country PMI'!$A$1:$AZ$1,),))</f>
        <v/>
      </c>
      <c r="C161" s="26">
        <f>Table1346811121415161718192022253032[[#This Row],[PMI]]-B160</f>
        <v/>
      </c>
    </row>
    <row r="162">
      <c r="A162" s="10" t="n">
        <v>42217</v>
      </c>
      <c r="B162" s="19">
        <f>IF(VLOOKUP(A162,'DB Country PMI'!$A:$AZ,MATCH($A$1,'DB Country PMI'!$A$1:$AZ$1,),)=0,#N/A,VLOOKUP(A162,'DB Country PMI'!$A:$AZ,MATCH($A$1,'DB Country PMI'!$A$1:$AZ$1,),))</f>
        <v/>
      </c>
      <c r="C162" s="26">
        <f>Table1346811121415161718192022253032[[#This Row],[PMI]]-B161</f>
        <v/>
      </c>
    </row>
    <row r="163">
      <c r="A163" s="10" t="n">
        <v>42248</v>
      </c>
      <c r="B163" s="19">
        <f>IF(VLOOKUP(A163,'DB Country PMI'!$A:$AZ,MATCH($A$1,'DB Country PMI'!$A$1:$AZ$1,),)=0,#N/A,VLOOKUP(A163,'DB Country PMI'!$A:$AZ,MATCH($A$1,'DB Country PMI'!$A$1:$AZ$1,),))</f>
        <v/>
      </c>
      <c r="C163" s="26">
        <f>Table1346811121415161718192022253032[[#This Row],[PMI]]-B162</f>
        <v/>
      </c>
    </row>
    <row r="164">
      <c r="A164" s="10" t="n">
        <v>42278</v>
      </c>
      <c r="B164" s="19">
        <f>IF(VLOOKUP(A164,'DB Country PMI'!$A:$AZ,MATCH($A$1,'DB Country PMI'!$A$1:$AZ$1,),)=0,#N/A,VLOOKUP(A164,'DB Country PMI'!$A:$AZ,MATCH($A$1,'DB Country PMI'!$A$1:$AZ$1,),))</f>
        <v/>
      </c>
      <c r="C164" s="26">
        <f>Table1346811121415161718192022253032[[#This Row],[PMI]]-B163</f>
        <v/>
      </c>
    </row>
    <row r="165">
      <c r="A165" s="10" t="n">
        <v>42309</v>
      </c>
      <c r="B165" s="19">
        <f>IF(VLOOKUP(A165,'DB Country PMI'!$A:$AZ,MATCH($A$1,'DB Country PMI'!$A$1:$AZ$1,),)=0,#N/A,VLOOKUP(A165,'DB Country PMI'!$A:$AZ,MATCH($A$1,'DB Country PMI'!$A$1:$AZ$1,),))</f>
        <v/>
      </c>
      <c r="C165" s="26">
        <f>Table1346811121415161718192022253032[[#This Row],[PMI]]-B164</f>
        <v/>
      </c>
    </row>
    <row r="166">
      <c r="A166" s="10" t="n">
        <v>42339</v>
      </c>
      <c r="B166" s="19">
        <f>IF(VLOOKUP(A166,'DB Country PMI'!$A:$AZ,MATCH($A$1,'DB Country PMI'!$A$1:$AZ$1,),)=0,#N/A,VLOOKUP(A166,'DB Country PMI'!$A:$AZ,MATCH($A$1,'DB Country PMI'!$A$1:$AZ$1,),))</f>
        <v/>
      </c>
      <c r="C166" s="26">
        <f>Table1346811121415161718192022253032[[#This Row],[PMI]]-B165</f>
        <v/>
      </c>
    </row>
    <row r="167">
      <c r="A167" s="10" t="n">
        <v>42370</v>
      </c>
      <c r="B167" s="19">
        <f>IF(VLOOKUP(A167,'DB Country PMI'!$A:$AZ,MATCH($A$1,'DB Country PMI'!$A$1:$AZ$1,),)=0,#N/A,VLOOKUP(A167,'DB Country PMI'!$A:$AZ,MATCH($A$1,'DB Country PMI'!$A$1:$AZ$1,),))</f>
        <v/>
      </c>
      <c r="C167" s="26">
        <f>Table1346811121415161718192022253032[[#This Row],[PMI]]-B166</f>
        <v/>
      </c>
    </row>
    <row r="168">
      <c r="A168" s="10" t="n">
        <v>42401</v>
      </c>
      <c r="B168" s="19">
        <f>IF(VLOOKUP(A168,'DB Country PMI'!$A:$AZ,MATCH($A$1,'DB Country PMI'!$A$1:$AZ$1,),)=0,#N/A,VLOOKUP(A168,'DB Country PMI'!$A:$AZ,MATCH($A$1,'DB Country PMI'!$A$1:$AZ$1,),))</f>
        <v/>
      </c>
      <c r="C168" s="26">
        <f>Table1346811121415161718192022253032[[#This Row],[PMI]]-B167</f>
        <v/>
      </c>
    </row>
    <row r="169">
      <c r="A169" s="10" t="n">
        <v>42430</v>
      </c>
      <c r="B169" s="19">
        <f>IF(VLOOKUP(A169,'DB Country PMI'!$A:$AZ,MATCH($A$1,'DB Country PMI'!$A$1:$AZ$1,),)=0,#N/A,VLOOKUP(A169,'DB Country PMI'!$A:$AZ,MATCH($A$1,'DB Country PMI'!$A$1:$AZ$1,),))</f>
        <v/>
      </c>
      <c r="C169" s="26">
        <f>Table1346811121415161718192022253032[[#This Row],[PMI]]-B168</f>
        <v/>
      </c>
    </row>
    <row r="170">
      <c r="A170" s="10" t="n">
        <v>42461</v>
      </c>
      <c r="B170" s="19">
        <f>IF(VLOOKUP(A170,'DB Country PMI'!$A:$AZ,MATCH($A$1,'DB Country PMI'!$A$1:$AZ$1,),)=0,#N/A,VLOOKUP(A170,'DB Country PMI'!$A:$AZ,MATCH($A$1,'DB Country PMI'!$A$1:$AZ$1,),))</f>
        <v/>
      </c>
      <c r="C170" s="26">
        <f>Table1346811121415161718192022253032[[#This Row],[PMI]]-B169</f>
        <v/>
      </c>
    </row>
    <row r="171">
      <c r="A171" s="10" t="n">
        <v>42491</v>
      </c>
      <c r="B171" s="19">
        <f>IF(VLOOKUP(A171,'DB Country PMI'!$A:$AZ,MATCH($A$1,'DB Country PMI'!$A$1:$AZ$1,),)=0,#N/A,VLOOKUP(A171,'DB Country PMI'!$A:$AZ,MATCH($A$1,'DB Country PMI'!$A$1:$AZ$1,),))</f>
        <v/>
      </c>
      <c r="C171" s="26">
        <f>Table1346811121415161718192022253032[[#This Row],[PMI]]-B170</f>
        <v/>
      </c>
    </row>
    <row r="172">
      <c r="A172" s="10" t="n">
        <v>42522</v>
      </c>
      <c r="B172" s="19">
        <f>IF(VLOOKUP(A172,'DB Country PMI'!$A:$AZ,MATCH($A$1,'DB Country PMI'!$A$1:$AZ$1,),)=0,#N/A,VLOOKUP(A172,'DB Country PMI'!$A:$AZ,MATCH($A$1,'DB Country PMI'!$A$1:$AZ$1,),))</f>
        <v/>
      </c>
      <c r="C172" s="26">
        <f>Table1346811121415161718192022253032[[#This Row],[PMI]]-B171</f>
        <v/>
      </c>
    </row>
    <row r="173">
      <c r="A173" s="10" t="n">
        <v>42552</v>
      </c>
      <c r="B173" s="19">
        <f>IF(VLOOKUP(A173,'DB Country PMI'!$A:$AZ,MATCH($A$1,'DB Country PMI'!$A$1:$AZ$1,),)=0,#N/A,VLOOKUP(A173,'DB Country PMI'!$A:$AZ,MATCH($A$1,'DB Country PMI'!$A$1:$AZ$1,),))</f>
        <v/>
      </c>
      <c r="C173" s="26">
        <f>Table1346811121415161718192022253032[[#This Row],[PMI]]-B172</f>
        <v/>
      </c>
    </row>
    <row r="174">
      <c r="A174" s="10" t="n">
        <v>42583</v>
      </c>
      <c r="B174" s="19">
        <f>IF(VLOOKUP(A174,'DB Country PMI'!$A:$AZ,MATCH($A$1,'DB Country PMI'!$A$1:$AZ$1,),)=0,#N/A,VLOOKUP(A174,'DB Country PMI'!$A:$AZ,MATCH($A$1,'DB Country PMI'!$A$1:$AZ$1,),))</f>
        <v/>
      </c>
      <c r="C174" s="26">
        <f>Table1346811121415161718192022253032[[#This Row],[PMI]]-B173</f>
        <v/>
      </c>
    </row>
    <row r="175">
      <c r="A175" s="10" t="n">
        <v>42614</v>
      </c>
      <c r="B175" s="19">
        <f>IF(VLOOKUP(A175,'DB Country PMI'!$A:$AZ,MATCH($A$1,'DB Country PMI'!$A$1:$AZ$1,),)=0,#N/A,VLOOKUP(A175,'DB Country PMI'!$A:$AZ,MATCH($A$1,'DB Country PMI'!$A$1:$AZ$1,),))</f>
        <v/>
      </c>
      <c r="C175" s="26">
        <f>Table1346811121415161718192022253032[[#This Row],[PMI]]-B174</f>
        <v/>
      </c>
    </row>
    <row r="176">
      <c r="A176" s="10" t="n">
        <v>42644</v>
      </c>
      <c r="B176" s="19">
        <f>IF(VLOOKUP(A176,'DB Country PMI'!$A:$AZ,MATCH($A$1,'DB Country PMI'!$A$1:$AZ$1,),)=0,#N/A,VLOOKUP(A176,'DB Country PMI'!$A:$AZ,MATCH($A$1,'DB Country PMI'!$A$1:$AZ$1,),))</f>
        <v/>
      </c>
      <c r="C176" s="26">
        <f>Table1346811121415161718192022253032[[#This Row],[PMI]]-B175</f>
        <v/>
      </c>
    </row>
    <row r="177">
      <c r="A177" s="10" t="n">
        <v>42675</v>
      </c>
      <c r="B177" s="19">
        <f>IF(VLOOKUP(A177,'DB Country PMI'!$A:$AZ,MATCH($A$1,'DB Country PMI'!$A$1:$AZ$1,),)=0,#N/A,VLOOKUP(A177,'DB Country PMI'!$A:$AZ,MATCH($A$1,'DB Country PMI'!$A$1:$AZ$1,),))</f>
        <v/>
      </c>
      <c r="C177" s="26">
        <f>Table1346811121415161718192022253032[[#This Row],[PMI]]-B176</f>
        <v/>
      </c>
    </row>
    <row r="178">
      <c r="A178" s="10" t="n">
        <v>42705</v>
      </c>
      <c r="B178" s="19">
        <f>IF(VLOOKUP(A178,'DB Country PMI'!$A:$AZ,MATCH($A$1,'DB Country PMI'!$A$1:$AZ$1,),)=0,#N/A,VLOOKUP(A178,'DB Country PMI'!$A:$AZ,MATCH($A$1,'DB Country PMI'!$A$1:$AZ$1,),))</f>
        <v/>
      </c>
      <c r="C178" s="26">
        <f>Table1346811121415161718192022253032[[#This Row],[PMI]]-B177</f>
        <v/>
      </c>
    </row>
    <row r="179">
      <c r="A179" s="10" t="n">
        <v>42736</v>
      </c>
      <c r="B179" s="19">
        <f>IF(VLOOKUP(A179,'DB Country PMI'!$A:$AZ,MATCH($A$1,'DB Country PMI'!$A$1:$AZ$1,),)=0,#N/A,VLOOKUP(A179,'DB Country PMI'!$A:$AZ,MATCH($A$1,'DB Country PMI'!$A$1:$AZ$1,),))</f>
        <v/>
      </c>
      <c r="C179" s="26">
        <f>Table1346811121415161718192022253032[[#This Row],[PMI]]-B178</f>
        <v/>
      </c>
    </row>
    <row r="180">
      <c r="A180" s="10" t="n">
        <v>42767</v>
      </c>
      <c r="B180" s="19">
        <f>IF(VLOOKUP(A180,'DB Country PMI'!$A:$AZ,MATCH($A$1,'DB Country PMI'!$A$1:$AZ$1,),)=0,#N/A,VLOOKUP(A180,'DB Country PMI'!$A:$AZ,MATCH($A$1,'DB Country PMI'!$A$1:$AZ$1,),))</f>
        <v/>
      </c>
      <c r="C180" s="26">
        <f>Table1346811121415161718192022253032[[#This Row],[PMI]]-B179</f>
        <v/>
      </c>
    </row>
    <row r="181">
      <c r="A181" s="10" t="n">
        <v>42795</v>
      </c>
      <c r="B181" s="19">
        <f>IF(VLOOKUP(A181,'DB Country PMI'!$A:$AZ,MATCH($A$1,'DB Country PMI'!$A$1:$AZ$1,),)=0,#N/A,VLOOKUP(A181,'DB Country PMI'!$A:$AZ,MATCH($A$1,'DB Country PMI'!$A$1:$AZ$1,),))</f>
        <v/>
      </c>
      <c r="C181" s="26">
        <f>Table1346811121415161718192022253032[[#This Row],[PMI]]-B180</f>
        <v/>
      </c>
    </row>
    <row r="182">
      <c r="A182" s="10" t="n">
        <v>42826</v>
      </c>
      <c r="B182" s="19">
        <f>IF(VLOOKUP(A182,'DB Country PMI'!$A:$AZ,MATCH($A$1,'DB Country PMI'!$A$1:$AZ$1,),)=0,#N/A,VLOOKUP(A182,'DB Country PMI'!$A:$AZ,MATCH($A$1,'DB Country PMI'!$A$1:$AZ$1,),))</f>
        <v/>
      </c>
      <c r="C182" s="26">
        <f>Table1346811121415161718192022253032[[#This Row],[PMI]]-B181</f>
        <v/>
      </c>
    </row>
    <row r="183">
      <c r="A183" s="10" t="n">
        <v>42856</v>
      </c>
      <c r="B183" s="19">
        <f>IF(VLOOKUP(A183,'DB Country PMI'!$A:$AZ,MATCH($A$1,'DB Country PMI'!$A$1:$AZ$1,),)=0,#N/A,VLOOKUP(A183,'DB Country PMI'!$A:$AZ,MATCH($A$1,'DB Country PMI'!$A$1:$AZ$1,),))</f>
        <v/>
      </c>
      <c r="C183" s="26">
        <f>Table1346811121415161718192022253032[[#This Row],[PMI]]-B182</f>
        <v/>
      </c>
    </row>
    <row r="184">
      <c r="A184" s="10" t="n">
        <v>42887</v>
      </c>
      <c r="B184" s="19">
        <f>IF(VLOOKUP(A184,'DB Country PMI'!$A:$AZ,MATCH($A$1,'DB Country PMI'!$A$1:$AZ$1,),)=0,#N/A,VLOOKUP(A184,'DB Country PMI'!$A:$AZ,MATCH($A$1,'DB Country PMI'!$A$1:$AZ$1,),))</f>
        <v/>
      </c>
      <c r="C184" s="26">
        <f>Table1346811121415161718192022253032[[#This Row],[PMI]]-B183</f>
        <v/>
      </c>
    </row>
    <row r="185">
      <c r="A185" s="10" t="n">
        <v>42917</v>
      </c>
      <c r="B185" s="19">
        <f>IF(VLOOKUP(A185,'DB Country PMI'!$A:$AZ,MATCH($A$1,'DB Country PMI'!$A$1:$AZ$1,),)=0,#N/A,VLOOKUP(A185,'DB Country PMI'!$A:$AZ,MATCH($A$1,'DB Country PMI'!$A$1:$AZ$1,),))</f>
        <v/>
      </c>
      <c r="C185" s="26">
        <f>Table1346811121415161718192022253032[[#This Row],[PMI]]-B184</f>
        <v/>
      </c>
    </row>
    <row r="186">
      <c r="A186" s="10" t="n">
        <v>42948</v>
      </c>
      <c r="B186" s="19">
        <f>IF(VLOOKUP(A186,'DB Country PMI'!$A:$AZ,MATCH($A$1,'DB Country PMI'!$A$1:$AZ$1,),)=0,#N/A,VLOOKUP(A186,'DB Country PMI'!$A:$AZ,MATCH($A$1,'DB Country PMI'!$A$1:$AZ$1,),))</f>
        <v/>
      </c>
      <c r="C186" s="26">
        <f>Table1346811121415161718192022253032[[#This Row],[PMI]]-B185</f>
        <v/>
      </c>
    </row>
    <row r="187">
      <c r="A187" s="10" t="n">
        <v>42979</v>
      </c>
      <c r="B187" s="19">
        <f>IF(VLOOKUP(A187,'DB Country PMI'!$A:$AZ,MATCH($A$1,'DB Country PMI'!$A$1:$AZ$1,),)=0,#N/A,VLOOKUP(A187,'DB Country PMI'!$A:$AZ,MATCH($A$1,'DB Country PMI'!$A$1:$AZ$1,),))</f>
        <v/>
      </c>
      <c r="C187" s="26">
        <f>Table1346811121415161718192022253032[[#This Row],[PMI]]-B186</f>
        <v/>
      </c>
    </row>
    <row r="188">
      <c r="A188" s="10" t="n">
        <v>43009</v>
      </c>
      <c r="B188" s="19">
        <f>IF(VLOOKUP(A188,'DB Country PMI'!$A:$AZ,MATCH($A$1,'DB Country PMI'!$A$1:$AZ$1,),)=0,#N/A,VLOOKUP(A188,'DB Country PMI'!$A:$AZ,MATCH($A$1,'DB Country PMI'!$A$1:$AZ$1,),))</f>
        <v/>
      </c>
      <c r="C188" s="26">
        <f>Table1346811121415161718192022253032[[#This Row],[PMI]]-B187</f>
        <v/>
      </c>
    </row>
    <row r="189">
      <c r="A189" s="10" t="n">
        <v>43040</v>
      </c>
      <c r="B189" s="19">
        <f>IF(VLOOKUP(A189,'DB Country PMI'!$A:$AZ,MATCH($A$1,'DB Country PMI'!$A$1:$AZ$1,),)=0,#N/A,VLOOKUP(A189,'DB Country PMI'!$A:$AZ,MATCH($A$1,'DB Country PMI'!$A$1:$AZ$1,),))</f>
        <v/>
      </c>
      <c r="C189" s="26">
        <f>Table1346811121415161718192022253032[[#This Row],[PMI]]-B188</f>
        <v/>
      </c>
    </row>
    <row r="190">
      <c r="A190" s="10" t="n">
        <v>43070</v>
      </c>
      <c r="B190" s="19">
        <f>IF(VLOOKUP(A190,'DB Country PMI'!$A:$AZ,MATCH($A$1,'DB Country PMI'!$A$1:$AZ$1,),)=0,#N/A,VLOOKUP(A190,'DB Country PMI'!$A:$AZ,MATCH($A$1,'DB Country PMI'!$A$1:$AZ$1,),))</f>
        <v/>
      </c>
      <c r="C190" s="26">
        <f>Table1346811121415161718192022253032[[#This Row],[PMI]]-B189</f>
        <v/>
      </c>
    </row>
    <row r="191">
      <c r="A191" s="10" t="n">
        <v>43101</v>
      </c>
      <c r="B191" s="19">
        <f>IF(VLOOKUP(A191,'DB Country PMI'!$A:$AZ,MATCH($A$1,'DB Country PMI'!$A$1:$AZ$1,),)=0,#N/A,VLOOKUP(A191,'DB Country PMI'!$A:$AZ,MATCH($A$1,'DB Country PMI'!$A$1:$AZ$1,),))</f>
        <v/>
      </c>
      <c r="C191" s="26">
        <f>Table1346811121415161718192022253032[[#This Row],[PMI]]-B190</f>
        <v/>
      </c>
    </row>
    <row r="192">
      <c r="A192" s="10" t="n">
        <v>43132</v>
      </c>
      <c r="B192" s="19">
        <f>IF(VLOOKUP(A192,'DB Country PMI'!$A:$AZ,MATCH($A$1,'DB Country PMI'!$A$1:$AZ$1,),)=0,#N/A,VLOOKUP(A192,'DB Country PMI'!$A:$AZ,MATCH($A$1,'DB Country PMI'!$A$1:$AZ$1,),))</f>
        <v/>
      </c>
      <c r="C192" s="26">
        <f>Table1346811121415161718192022253032[[#This Row],[PMI]]-B191</f>
        <v/>
      </c>
    </row>
    <row r="193">
      <c r="A193" s="10" t="n">
        <v>43160</v>
      </c>
      <c r="B193" s="19">
        <f>IF(VLOOKUP(A193,'DB Country PMI'!$A:$AZ,MATCH($A$1,'DB Country PMI'!$A$1:$AZ$1,),)=0,#N/A,VLOOKUP(A193,'DB Country PMI'!$A:$AZ,MATCH($A$1,'DB Country PMI'!$A$1:$AZ$1,),))</f>
        <v/>
      </c>
      <c r="C193" s="26">
        <f>Table1346811121415161718192022253032[[#This Row],[PMI]]-B192</f>
        <v/>
      </c>
    </row>
    <row r="194">
      <c r="A194" s="10" t="n">
        <v>43191</v>
      </c>
      <c r="B194" s="19">
        <f>IF(VLOOKUP(A194,'DB Country PMI'!$A:$AZ,MATCH($A$1,'DB Country PMI'!$A$1:$AZ$1,),)=0,#N/A,VLOOKUP(A194,'DB Country PMI'!$A:$AZ,MATCH($A$1,'DB Country PMI'!$A$1:$AZ$1,),))</f>
        <v/>
      </c>
      <c r="C194" s="26">
        <f>Table1346811121415161718192022253032[[#This Row],[PMI]]-B193</f>
        <v/>
      </c>
    </row>
    <row r="195">
      <c r="A195" s="10" t="n">
        <v>43221</v>
      </c>
      <c r="B195" s="19">
        <f>IF(VLOOKUP(A195,'DB Country PMI'!$A:$AZ,MATCH($A$1,'DB Country PMI'!$A$1:$AZ$1,),)=0,#N/A,VLOOKUP(A195,'DB Country PMI'!$A:$AZ,MATCH($A$1,'DB Country PMI'!$A$1:$AZ$1,),))</f>
        <v/>
      </c>
      <c r="C195" s="26">
        <f>Table1346811121415161718192022253032[[#This Row],[PMI]]-B194</f>
        <v/>
      </c>
    </row>
    <row r="196">
      <c r="A196" s="10" t="n">
        <v>43252</v>
      </c>
      <c r="B196" s="19">
        <f>IF(VLOOKUP(A196,'DB Country PMI'!$A:$AZ,MATCH($A$1,'DB Country PMI'!$A$1:$AZ$1,),)=0,#N/A,VLOOKUP(A196,'DB Country PMI'!$A:$AZ,MATCH($A$1,'DB Country PMI'!$A$1:$AZ$1,),))</f>
        <v/>
      </c>
      <c r="C196" s="26">
        <f>Table1346811121415161718192022253032[[#This Row],[PMI]]-B195</f>
        <v/>
      </c>
    </row>
    <row r="197">
      <c r="A197" s="10" t="n">
        <v>43282</v>
      </c>
      <c r="B197" s="19">
        <f>IF(VLOOKUP(A197,'DB Country PMI'!$A:$AZ,MATCH($A$1,'DB Country PMI'!$A$1:$AZ$1,),)=0,#N/A,VLOOKUP(A197,'DB Country PMI'!$A:$AZ,MATCH($A$1,'DB Country PMI'!$A$1:$AZ$1,),))</f>
        <v/>
      </c>
      <c r="C197" s="26">
        <f>Table1346811121415161718192022253032[[#This Row],[PMI]]-B196</f>
        <v/>
      </c>
    </row>
    <row r="198">
      <c r="A198" s="10" t="n">
        <v>43313</v>
      </c>
      <c r="B198" s="19">
        <f>IF(VLOOKUP(A198,'DB Country PMI'!$A:$AZ,MATCH($A$1,'DB Country PMI'!$A$1:$AZ$1,),)=0,#N/A,VLOOKUP(A198,'DB Country PMI'!$A:$AZ,MATCH($A$1,'DB Country PMI'!$A$1:$AZ$1,),))</f>
        <v/>
      </c>
      <c r="C198" s="26">
        <f>Table1346811121415161718192022253032[[#This Row],[PMI]]-B197</f>
        <v/>
      </c>
    </row>
    <row r="199">
      <c r="A199" s="10" t="n">
        <v>43344</v>
      </c>
      <c r="B199" s="19">
        <f>IF(VLOOKUP(A199,'DB Country PMI'!$A:$AZ,MATCH($A$1,'DB Country PMI'!$A$1:$AZ$1,),)=0,#N/A,VLOOKUP(A199,'DB Country PMI'!$A:$AZ,MATCH($A$1,'DB Country PMI'!$A$1:$AZ$1,),))</f>
        <v/>
      </c>
      <c r="C199" s="26">
        <f>Table1346811121415161718192022253032[[#This Row],[PMI]]-B198</f>
        <v/>
      </c>
    </row>
    <row r="200">
      <c r="A200" s="10" t="n">
        <v>43374</v>
      </c>
      <c r="B200" s="19">
        <f>IF(VLOOKUP(A200,'DB Country PMI'!$A:$AZ,MATCH($A$1,'DB Country PMI'!$A$1:$AZ$1,),)=0,#N/A,VLOOKUP(A200,'DB Country PMI'!$A:$AZ,MATCH($A$1,'DB Country PMI'!$A$1:$AZ$1,),))</f>
        <v/>
      </c>
      <c r="C200" s="26">
        <f>Table1346811121415161718192022253032[[#This Row],[PMI]]-B199</f>
        <v/>
      </c>
    </row>
    <row r="201">
      <c r="A201" s="10" t="n">
        <v>43405</v>
      </c>
      <c r="B201" s="19">
        <f>IF(VLOOKUP(A201,'DB Country PMI'!$A:$AZ,MATCH($A$1,'DB Country PMI'!$A$1:$AZ$1,),)=0,#N/A,VLOOKUP(A201,'DB Country PMI'!$A:$AZ,MATCH($A$1,'DB Country PMI'!$A$1:$AZ$1,),))</f>
        <v/>
      </c>
      <c r="C201" s="26">
        <f>Table1346811121415161718192022253032[[#This Row],[PMI]]-B200</f>
        <v/>
      </c>
    </row>
    <row r="202">
      <c r="A202" s="10" t="n">
        <v>43435</v>
      </c>
      <c r="B202" s="19">
        <f>IF(VLOOKUP(A202,'DB Country PMI'!$A:$AZ,MATCH($A$1,'DB Country PMI'!$A$1:$AZ$1,),)=0,#N/A,VLOOKUP(A202,'DB Country PMI'!$A:$AZ,MATCH($A$1,'DB Country PMI'!$A$1:$AZ$1,),))</f>
        <v/>
      </c>
      <c r="C202" s="26">
        <f>Table1346811121415161718192022253032[[#This Row],[PMI]]-B201</f>
        <v/>
      </c>
    </row>
    <row r="203">
      <c r="A203" s="10" t="n">
        <v>43466</v>
      </c>
      <c r="B203" s="19">
        <f>IF(VLOOKUP(A203,'DB Country PMI'!$A:$AZ,MATCH($A$1,'DB Country PMI'!$A$1:$AZ$1,),)=0,#N/A,VLOOKUP(A203,'DB Country PMI'!$A:$AZ,MATCH($A$1,'DB Country PMI'!$A$1:$AZ$1,),))</f>
        <v/>
      </c>
      <c r="C203" s="26">
        <f>Table1346811121415161718192022253032[[#This Row],[PMI]]-B202</f>
        <v/>
      </c>
    </row>
    <row r="204">
      <c r="A204" s="10" t="n">
        <v>43497</v>
      </c>
      <c r="B204" s="19">
        <f>IF(VLOOKUP(A204,'DB Country PMI'!$A:$AZ,MATCH($A$1,'DB Country PMI'!$A$1:$AZ$1,),)=0,#N/A,VLOOKUP(A204,'DB Country PMI'!$A:$AZ,MATCH($A$1,'DB Country PMI'!$A$1:$AZ$1,),))</f>
        <v/>
      </c>
      <c r="C204" s="26">
        <f>Table1346811121415161718192022253032[[#This Row],[PMI]]-B203</f>
        <v/>
      </c>
    </row>
    <row r="205">
      <c r="A205" s="10" t="n">
        <v>43525</v>
      </c>
      <c r="B205" s="19">
        <f>IF(VLOOKUP(A205,'DB Country PMI'!$A:$AZ,MATCH($A$1,'DB Country PMI'!$A$1:$AZ$1,),)=0,#N/A,VLOOKUP(A205,'DB Country PMI'!$A:$AZ,MATCH($A$1,'DB Country PMI'!$A$1:$AZ$1,),))</f>
        <v/>
      </c>
      <c r="C205" s="26">
        <f>Table1346811121415161718192022253032[[#This Row],[PMI]]-B204</f>
        <v/>
      </c>
    </row>
    <row r="206">
      <c r="A206" s="10" t="n">
        <v>43556</v>
      </c>
      <c r="B206" s="19">
        <f>IF(VLOOKUP(A206,'DB Country PMI'!$A:$AZ,MATCH($A$1,'DB Country PMI'!$A$1:$AZ$1,),)=0,#N/A,VLOOKUP(A206,'DB Country PMI'!$A:$AZ,MATCH($A$1,'DB Country PMI'!$A$1:$AZ$1,),))</f>
        <v/>
      </c>
      <c r="C206" s="26">
        <f>Table1346811121415161718192022253032[[#This Row],[PMI]]-B205</f>
        <v/>
      </c>
    </row>
    <row r="207">
      <c r="A207" s="10" t="n">
        <v>43586</v>
      </c>
      <c r="B207" s="19">
        <f>IF(VLOOKUP(A207,'DB Country PMI'!$A:$AZ,MATCH($A$1,'DB Country PMI'!$A$1:$AZ$1,),)=0,#N/A,VLOOKUP(A207,'DB Country PMI'!$A:$AZ,MATCH($A$1,'DB Country PMI'!$A$1:$AZ$1,),))</f>
        <v/>
      </c>
      <c r="C207" s="26">
        <f>Table1346811121415161718192022253032[[#This Row],[PMI]]-B206</f>
        <v/>
      </c>
    </row>
    <row r="208">
      <c r="A208" s="10" t="n">
        <v>43617</v>
      </c>
      <c r="B208" s="19">
        <f>IF(VLOOKUP(A208,'DB Country PMI'!$A:$AZ,MATCH($A$1,'DB Country PMI'!$A$1:$AZ$1,),)=0,#N/A,VLOOKUP(A208,'DB Country PMI'!$A:$AZ,MATCH($A$1,'DB Country PMI'!$A$1:$AZ$1,),))</f>
        <v/>
      </c>
      <c r="C208" s="26">
        <f>Table1346811121415161718192022253032[[#This Row],[PMI]]-B207</f>
        <v/>
      </c>
    </row>
    <row r="209">
      <c r="A209" s="10" t="n">
        <v>43647</v>
      </c>
      <c r="B209" s="19">
        <f>IF(VLOOKUP(A209,'DB Country PMI'!$A:$AZ,MATCH($A$1,'DB Country PMI'!$A$1:$AZ$1,),)=0,#N/A,VLOOKUP(A209,'DB Country PMI'!$A:$AZ,MATCH($A$1,'DB Country PMI'!$A$1:$AZ$1,),))</f>
        <v/>
      </c>
      <c r="C209" s="26">
        <f>Table1346811121415161718192022253032[[#This Row],[PMI]]-B208</f>
        <v/>
      </c>
    </row>
    <row r="210">
      <c r="A210" s="10" t="n">
        <v>43678</v>
      </c>
      <c r="B210" s="19">
        <f>IF(VLOOKUP(A210,'DB Country PMI'!$A:$AZ,MATCH($A$1,'DB Country PMI'!$A$1:$AZ$1,),)=0,#N/A,VLOOKUP(A210,'DB Country PMI'!$A:$AZ,MATCH($A$1,'DB Country PMI'!$A$1:$AZ$1,),))</f>
        <v/>
      </c>
      <c r="C210" s="26">
        <f>Table1346811121415161718192022253032[[#This Row],[PMI]]-B209</f>
        <v/>
      </c>
    </row>
    <row r="211">
      <c r="A211" s="10" t="n">
        <v>43709</v>
      </c>
      <c r="B211" s="19">
        <f>IF(VLOOKUP(A211,'DB Country PMI'!$A:$AZ,MATCH($A$1,'DB Country PMI'!$A$1:$AZ$1,),)=0,#N/A,VLOOKUP(A211,'DB Country PMI'!$A:$AZ,MATCH($A$1,'DB Country PMI'!$A$1:$AZ$1,),))</f>
        <v/>
      </c>
      <c r="C211" s="26">
        <f>Table1346811121415161718192022253032[[#This Row],[PMI]]-B210</f>
        <v/>
      </c>
    </row>
    <row r="212">
      <c r="A212" s="10" t="n">
        <v>43739</v>
      </c>
      <c r="B212" s="19">
        <f>IF(VLOOKUP(A212,'DB Country PMI'!$A:$AZ,MATCH($A$1,'DB Country PMI'!$A$1:$AZ$1,),)=0,#N/A,VLOOKUP(A212,'DB Country PMI'!$A:$AZ,MATCH($A$1,'DB Country PMI'!$A$1:$AZ$1,),))</f>
        <v/>
      </c>
      <c r="C212" s="26">
        <f>Table1346811121415161718192022253032[[#This Row],[PMI]]-B211</f>
        <v/>
      </c>
    </row>
    <row r="213">
      <c r="A213" s="10" t="n">
        <v>43770</v>
      </c>
      <c r="B213" s="19">
        <f>IF(VLOOKUP(A213,'DB Country PMI'!$A:$AZ,MATCH($A$1,'DB Country PMI'!$A$1:$AZ$1,),)=0,#N/A,VLOOKUP(A213,'DB Country PMI'!$A:$AZ,MATCH($A$1,'DB Country PMI'!$A$1:$AZ$1,),))</f>
        <v/>
      </c>
      <c r="C213" s="26">
        <f>Table1346811121415161718192022253032[[#This Row],[PMI]]-B212</f>
        <v/>
      </c>
    </row>
    <row r="214">
      <c r="A214" s="10" t="n">
        <v>43800</v>
      </c>
      <c r="B214" s="19">
        <f>IF(VLOOKUP(A214,'DB Country PMI'!$A:$AZ,MATCH($A$1,'DB Country PMI'!$A$1:$AZ$1,),)=0,#N/A,VLOOKUP(A214,'DB Country PMI'!$A:$AZ,MATCH($A$1,'DB Country PMI'!$A$1:$AZ$1,),))</f>
        <v/>
      </c>
      <c r="C214" s="26">
        <f>Table1346811121415161718192022253032[[#This Row],[PMI]]-B213</f>
        <v/>
      </c>
    </row>
    <row r="215">
      <c r="A215" s="10" t="n">
        <v>43831</v>
      </c>
      <c r="B215" s="19">
        <f>IF(VLOOKUP(A215,'DB Country PMI'!$A:$AZ,MATCH($A$1,'DB Country PMI'!$A$1:$AZ$1,),)=0,#N/A,VLOOKUP(A215,'DB Country PMI'!$A:$AZ,MATCH($A$1,'DB Country PMI'!$A$1:$AZ$1,),))</f>
        <v/>
      </c>
      <c r="C215" s="26">
        <f>Table1346811121415161718192022253032[[#This Row],[PMI]]-B214</f>
        <v/>
      </c>
    </row>
    <row r="216">
      <c r="A216" s="10" t="n">
        <v>43862</v>
      </c>
      <c r="B216" s="19">
        <f>IF(VLOOKUP(A216,'DB Country PMI'!$A:$AZ,MATCH($A$1,'DB Country PMI'!$A$1:$AZ$1,),)=0,#N/A,VLOOKUP(A216,'DB Country PMI'!$A:$AZ,MATCH($A$1,'DB Country PMI'!$A$1:$AZ$1,),))</f>
        <v/>
      </c>
      <c r="C216" s="26">
        <f>Table1346811121415161718192022253032[[#This Row],[PMI]]-B215</f>
        <v/>
      </c>
    </row>
    <row r="217">
      <c r="A217" s="10" t="n">
        <v>43891</v>
      </c>
      <c r="B217" s="19">
        <f>IF(VLOOKUP(A217,'DB Country PMI'!$A:$AZ,MATCH($A$1,'DB Country PMI'!$A$1:$AZ$1,),)=0,#N/A,VLOOKUP(A217,'DB Country PMI'!$A:$AZ,MATCH($A$1,'DB Country PMI'!$A$1:$AZ$1,),))</f>
        <v/>
      </c>
      <c r="C217" s="26">
        <f>Table1346811121415161718192022253032[[#This Row],[PMI]]-B216</f>
        <v/>
      </c>
    </row>
    <row r="218">
      <c r="A218" s="10" t="n">
        <v>43922</v>
      </c>
      <c r="B218" s="19">
        <f>IF(VLOOKUP(A218,'DB Country PMI'!$A:$AZ,MATCH($A$1,'DB Country PMI'!$A$1:$AZ$1,),)=0,#N/A,VLOOKUP(A218,'DB Country PMI'!$A:$AZ,MATCH($A$1,'DB Country PMI'!$A$1:$AZ$1,),))</f>
        <v/>
      </c>
      <c r="C218" s="26">
        <f>Table1346811121415161718192022253032[[#This Row],[PMI]]-B217</f>
        <v/>
      </c>
    </row>
    <row r="219">
      <c r="A219" s="10" t="n">
        <v>43952</v>
      </c>
      <c r="B219" s="19">
        <f>IF(VLOOKUP(A219,'DB Country PMI'!$A:$AZ,MATCH($A$1,'DB Country PMI'!$A$1:$AZ$1,),)=0,#N/A,VLOOKUP(A219,'DB Country PMI'!$A:$AZ,MATCH($A$1,'DB Country PMI'!$A$1:$AZ$1,),))</f>
        <v/>
      </c>
      <c r="C219" s="26">
        <f>Table1346811121415161718192022253032[[#This Row],[PMI]]-B218</f>
        <v/>
      </c>
    </row>
    <row r="220">
      <c r="A220" s="10" t="n">
        <v>43983</v>
      </c>
      <c r="B220" s="19">
        <f>IF(VLOOKUP(A220,'DB Country PMI'!$A:$AZ,MATCH($A$1,'DB Country PMI'!$A$1:$AZ$1,),)=0,#N/A,VLOOKUP(A220,'DB Country PMI'!$A:$AZ,MATCH($A$1,'DB Country PMI'!$A$1:$AZ$1,),))</f>
        <v/>
      </c>
      <c r="C220" s="26">
        <f>Table1346811121415161718192022253032[[#This Row],[PMI]]-B219</f>
        <v/>
      </c>
    </row>
    <row r="221">
      <c r="A221" s="10" t="n">
        <v>44013</v>
      </c>
      <c r="B221" s="19">
        <f>IF(VLOOKUP(A221,'DB Country PMI'!$A:$AZ,MATCH($A$1,'DB Country PMI'!$A$1:$AZ$1,),)=0,#N/A,VLOOKUP(A221,'DB Country PMI'!$A:$AZ,MATCH($A$1,'DB Country PMI'!$A$1:$AZ$1,),))</f>
        <v/>
      </c>
      <c r="C221" s="26">
        <f>Table1346811121415161718192022253032[[#This Row],[PMI]]-B220</f>
        <v/>
      </c>
    </row>
    <row r="222">
      <c r="A222" s="10" t="n">
        <v>44044</v>
      </c>
      <c r="B222" s="19">
        <f>IF(VLOOKUP(A222,'DB Country PMI'!$A:$AZ,MATCH($A$1,'DB Country PMI'!$A$1:$AZ$1,),)=0,#N/A,VLOOKUP(A222,'DB Country PMI'!$A:$AZ,MATCH($A$1,'DB Country PMI'!$A$1:$AZ$1,),))</f>
        <v/>
      </c>
      <c r="C222" s="26">
        <f>Table1346811121415161718192022253032[[#This Row],[PMI]]-B221</f>
        <v/>
      </c>
    </row>
    <row r="223">
      <c r="A223" s="10" t="n">
        <v>44075</v>
      </c>
      <c r="B223" s="19">
        <f>IF(VLOOKUP(A223,'DB Country PMI'!$A:$AZ,MATCH($A$1,'DB Country PMI'!$A$1:$AZ$1,),)=0,#N/A,VLOOKUP(A223,'DB Country PMI'!$A:$AZ,MATCH($A$1,'DB Country PMI'!$A$1:$AZ$1,),))</f>
        <v/>
      </c>
      <c r="C223" s="26">
        <f>Table1346811121415161718192022253032[[#This Row],[PMI]]-B222</f>
        <v/>
      </c>
    </row>
    <row r="224">
      <c r="A224" s="10" t="n">
        <v>44105</v>
      </c>
      <c r="B224" s="19">
        <f>IF(VLOOKUP(A224,'DB Country PMI'!$A:$AZ,MATCH($A$1,'DB Country PMI'!$A$1:$AZ$1,),)=0,#N/A,VLOOKUP(A224,'DB Country PMI'!$A:$AZ,MATCH($A$1,'DB Country PMI'!$A$1:$AZ$1,),))</f>
        <v/>
      </c>
      <c r="C224" s="26">
        <f>Table1346811121415161718192022253032[[#This Row],[PMI]]-B223</f>
        <v/>
      </c>
    </row>
    <row r="225">
      <c r="A225" s="10" t="n">
        <v>44136</v>
      </c>
      <c r="B225" s="19">
        <f>IF(VLOOKUP(A225,'DB Country PMI'!$A:$AZ,MATCH($A$1,'DB Country PMI'!$A$1:$AZ$1,),)=0,#N/A,VLOOKUP(A225,'DB Country PMI'!$A:$AZ,MATCH($A$1,'DB Country PMI'!$A$1:$AZ$1,),))</f>
        <v/>
      </c>
      <c r="C225" s="26">
        <f>Table1346811121415161718192022253032[[#This Row],[PMI]]-B224</f>
        <v/>
      </c>
    </row>
    <row r="226">
      <c r="A226" s="10" t="n">
        <v>44166</v>
      </c>
      <c r="B226" s="19">
        <f>IF(VLOOKUP(A226,'DB Country PMI'!$A:$AZ,MATCH($A$1,'DB Country PMI'!$A$1:$AZ$1,),)=0,#N/A,VLOOKUP(A226,'DB Country PMI'!$A:$AZ,MATCH($A$1,'DB Country PMI'!$A$1:$AZ$1,),))</f>
        <v/>
      </c>
      <c r="C226" s="26">
        <f>Table1346811121415161718192022253032[[#This Row],[PMI]]-B225</f>
        <v/>
      </c>
    </row>
    <row r="227">
      <c r="A227" s="10" t="n">
        <v>44197</v>
      </c>
      <c r="B227" s="19">
        <f>IF(VLOOKUP(A227,'DB Country PMI'!$A:$AZ,MATCH($A$1,'DB Country PMI'!$A$1:$AZ$1,),)=0,#N/A,VLOOKUP(A227,'DB Country PMI'!$A:$AZ,MATCH($A$1,'DB Country PMI'!$A$1:$AZ$1,),))</f>
        <v/>
      </c>
      <c r="C227" s="26">
        <f>Table1346811121415161718192022253032[[#This Row],[PMI]]-B226</f>
        <v/>
      </c>
    </row>
    <row r="228">
      <c r="A228" s="10" t="n">
        <v>44228</v>
      </c>
      <c r="B228" s="19">
        <f>IF(VLOOKUP(A228,'DB Country PMI'!$A:$AZ,MATCH($A$1,'DB Country PMI'!$A$1:$AZ$1,),)=0,#N/A,VLOOKUP(A228,'DB Country PMI'!$A:$AZ,MATCH($A$1,'DB Country PMI'!$A$1:$AZ$1,),))</f>
        <v/>
      </c>
      <c r="C228" s="26">
        <f>Table1346811121415161718192022253032[[#This Row],[PMI]]-B227</f>
        <v/>
      </c>
    </row>
    <row r="229">
      <c r="A229" s="10" t="n">
        <v>44256</v>
      </c>
      <c r="B229" s="19">
        <f>IF(VLOOKUP(A229,'DB Country PMI'!$A:$AZ,MATCH($A$1,'DB Country PMI'!$A$1:$AZ$1,),)=0,#N/A,VLOOKUP(A229,'DB Country PMI'!$A:$AZ,MATCH($A$1,'DB Country PMI'!$A$1:$AZ$1,),))</f>
        <v/>
      </c>
      <c r="C229" s="26">
        <f>Table1346811121415161718192022253032[[#This Row],[PMI]]-B228</f>
        <v/>
      </c>
    </row>
    <row r="230">
      <c r="A230" s="10" t="n">
        <v>44287</v>
      </c>
      <c r="B230" s="19">
        <f>IF(VLOOKUP(A230,'DB Country PMI'!$A:$AZ,MATCH($A$1,'DB Country PMI'!$A$1:$AZ$1,),)=0,#N/A,VLOOKUP(A230,'DB Country PMI'!$A:$AZ,MATCH($A$1,'DB Country PMI'!$A$1:$AZ$1,),))</f>
        <v/>
      </c>
      <c r="C230" s="26">
        <f>Table1346811121415161718192022253032[[#This Row],[PMI]]-B229</f>
        <v/>
      </c>
    </row>
    <row r="231">
      <c r="A231" s="10" t="n">
        <v>44317</v>
      </c>
      <c r="B231" s="19">
        <f>IF(VLOOKUP(A231,'DB Country PMI'!$A:$AZ,MATCH($A$1,'DB Country PMI'!$A$1:$AZ$1,),)=0,#N/A,VLOOKUP(A231,'DB Country PMI'!$A:$AZ,MATCH($A$1,'DB Country PMI'!$A$1:$AZ$1,),))</f>
        <v/>
      </c>
      <c r="C231" s="26">
        <f>Table1346811121415161718192022253032[[#This Row],[PMI]]-B230</f>
        <v/>
      </c>
    </row>
    <row r="232">
      <c r="A232" s="10" t="n">
        <v>44348</v>
      </c>
      <c r="B232" s="19">
        <f>IF(VLOOKUP(A232,'DB Country PMI'!$A:$AZ,MATCH($A$1,'DB Country PMI'!$A$1:$AZ$1,),)=0,#N/A,VLOOKUP(A232,'DB Country PMI'!$A:$AZ,MATCH($A$1,'DB Country PMI'!$A$1:$AZ$1,),))</f>
        <v/>
      </c>
      <c r="C232" s="26">
        <f>Table1346811121415161718192022253032[[#This Row],[PMI]]-B231</f>
        <v/>
      </c>
    </row>
    <row r="233">
      <c r="A233" s="10" t="n">
        <v>44378</v>
      </c>
      <c r="B233" s="19">
        <f>IF(VLOOKUP(A233,'DB Country PMI'!$A:$AZ,MATCH($A$1,'DB Country PMI'!$A$1:$AZ$1,),)=0,#N/A,VLOOKUP(A233,'DB Country PMI'!$A:$AZ,MATCH($A$1,'DB Country PMI'!$A$1:$AZ$1,),))</f>
        <v/>
      </c>
      <c r="C233" s="26">
        <f>Table1346811121415161718192022253032[[#This Row],[PMI]]-B232</f>
        <v/>
      </c>
    </row>
    <row r="234">
      <c r="A234" s="10" t="n">
        <v>44409</v>
      </c>
      <c r="B234" s="19">
        <f>IF(VLOOKUP(A234,'DB Country PMI'!$A:$AZ,MATCH($A$1,'DB Country PMI'!$A$1:$AZ$1,),)=0,#N/A,VLOOKUP(A234,'DB Country PMI'!$A:$AZ,MATCH($A$1,'DB Country PMI'!$A$1:$AZ$1,),))</f>
        <v/>
      </c>
      <c r="C234" s="26">
        <f>Table1346811121415161718192022253032[[#This Row],[PMI]]-B233</f>
        <v/>
      </c>
    </row>
    <row r="235">
      <c r="A235" s="10" t="n">
        <v>44440</v>
      </c>
      <c r="B235" s="19">
        <f>IF(VLOOKUP(A235,'DB Country PMI'!$A:$AZ,MATCH($A$1,'DB Country PMI'!$A$1:$AZ$1,),)=0,#N/A,VLOOKUP(A235,'DB Country PMI'!$A:$AZ,MATCH($A$1,'DB Country PMI'!$A$1:$AZ$1,),))</f>
        <v/>
      </c>
      <c r="C235" s="26">
        <f>Table1346811121415161718192022253032[[#This Row],[PMI]]-B234</f>
        <v/>
      </c>
    </row>
    <row r="236">
      <c r="A236" s="10" t="n">
        <v>44470</v>
      </c>
      <c r="B236" s="19">
        <f>IF(VLOOKUP(A236,'DB Country PMI'!$A:$AZ,MATCH($A$1,'DB Country PMI'!$A$1:$AZ$1,),)=0,#N/A,VLOOKUP(A236,'DB Country PMI'!$A:$AZ,MATCH($A$1,'DB Country PMI'!$A$1:$AZ$1,),))</f>
        <v/>
      </c>
      <c r="C236" s="26">
        <f>Table1346811121415161718192022253032[[#This Row],[PMI]]-B235</f>
        <v/>
      </c>
    </row>
    <row r="237">
      <c r="A237" s="10" t="n">
        <v>44501</v>
      </c>
      <c r="B237" s="19">
        <f>IF(VLOOKUP(A237,'DB Country PMI'!$A:$AZ,MATCH($A$1,'DB Country PMI'!$A$1:$AZ$1,),)=0,#N/A,VLOOKUP(A237,'DB Country PMI'!$A:$AZ,MATCH($A$1,'DB Country PMI'!$A$1:$AZ$1,),))</f>
        <v/>
      </c>
      <c r="C237" s="26">
        <f>Table1346811121415161718192022253032[[#This Row],[PMI]]-B236</f>
        <v/>
      </c>
    </row>
    <row r="238">
      <c r="A238" s="10" t="n">
        <v>44531</v>
      </c>
      <c r="B238" s="19">
        <f>IF(VLOOKUP(A238,'DB Country PMI'!$A:$AZ,MATCH($A$1,'DB Country PMI'!$A$1:$AZ$1,),)=0,#N/A,VLOOKUP(A238,'DB Country PMI'!$A:$AZ,MATCH($A$1,'DB Country PMI'!$A$1:$AZ$1,),))</f>
        <v/>
      </c>
      <c r="C238" s="26">
        <f>Table1346811121415161718192022253032[[#This Row],[PMI]]-B237</f>
        <v/>
      </c>
    </row>
    <row r="239">
      <c r="A239" s="10" t="n">
        <v>44562</v>
      </c>
      <c r="B239" s="19">
        <f>IF(VLOOKUP(A239,'DB Country PMI'!$A:$AZ,MATCH($A$1,'DB Country PMI'!$A$1:$AZ$1,),)=0,#N/A,VLOOKUP(A239,'DB Country PMI'!$A:$AZ,MATCH($A$1,'DB Country PMI'!$A$1:$AZ$1,),))</f>
        <v/>
      </c>
      <c r="C239" s="26">
        <f>Table1346811121415161718192022253032[[#This Row],[PMI]]-B238</f>
        <v/>
      </c>
    </row>
    <row r="240">
      <c r="A240" s="10" t="n">
        <v>44593</v>
      </c>
      <c r="B240" s="19">
        <f>IF(VLOOKUP(A240,'DB Country PMI'!$A:$AZ,MATCH($A$1,'DB Country PMI'!$A$1:$AZ$1,),)=0,#N/A,VLOOKUP(A240,'DB Country PMI'!$A:$AZ,MATCH($A$1,'DB Country PMI'!$A$1:$AZ$1,),))</f>
        <v/>
      </c>
      <c r="C240" s="26">
        <f>Table1346811121415161718192022253032[[#This Row],[PMI]]-B239</f>
        <v/>
      </c>
    </row>
    <row r="241">
      <c r="A241" s="10" t="n">
        <v>44621</v>
      </c>
      <c r="B241" s="19">
        <f>IF(VLOOKUP(A241,'DB Country PMI'!$A:$AZ,MATCH($A$1,'DB Country PMI'!$A$1:$AZ$1,),)=0,#N/A,VLOOKUP(A241,'DB Country PMI'!$A:$AZ,MATCH($A$1,'DB Country PMI'!$A$1:$AZ$1,),))</f>
        <v/>
      </c>
      <c r="C241" s="26">
        <f>Table1346811121415161718192022253032[[#This Row],[PMI]]-B240</f>
        <v/>
      </c>
    </row>
    <row r="242">
      <c r="A242" s="10" t="n">
        <v>44652</v>
      </c>
      <c r="B242" s="19">
        <f>IF(VLOOKUP(A242,'DB Country PMI'!$A:$AZ,MATCH($A$1,'DB Country PMI'!$A$1:$AZ$1,),)=0,#N/A,VLOOKUP(A242,'DB Country PMI'!$A:$AZ,MATCH($A$1,'DB Country PMI'!$A$1:$AZ$1,),))</f>
        <v/>
      </c>
      <c r="C242" s="26">
        <f>Table1346811121415161718192022253032[[#This Row],[PMI]]-B241</f>
        <v/>
      </c>
    </row>
    <row r="243">
      <c r="A243" s="10" t="n">
        <v>44682</v>
      </c>
      <c r="B243" s="19">
        <f>IF(VLOOKUP(A243,'DB Country PMI'!$A:$AZ,MATCH($A$1,'DB Country PMI'!$A$1:$AZ$1,),)=0,#N/A,VLOOKUP(A243,'DB Country PMI'!$A:$AZ,MATCH($A$1,'DB Country PMI'!$A$1:$AZ$1,),))</f>
        <v/>
      </c>
      <c r="C243" s="26">
        <f>Table1346811121415161718192022253032[[#This Row],[PMI]]-B242</f>
        <v/>
      </c>
    </row>
    <row r="244">
      <c r="A244" s="10" t="n">
        <v>44713</v>
      </c>
      <c r="B244" s="19">
        <f>IF(VLOOKUP(A244,'DB Country PMI'!$A:$AZ,MATCH($A$1,'DB Country PMI'!$A$1:$AZ$1,),)=0,#N/A,VLOOKUP(A244,'DB Country PMI'!$A:$AZ,MATCH($A$1,'DB Country PMI'!$A$1:$AZ$1,),))</f>
        <v/>
      </c>
      <c r="C244" s="26">
        <f>Table1346811121415161718192022253032[[#This Row],[PMI]]-B243</f>
        <v/>
      </c>
    </row>
    <row r="245">
      <c r="A245" s="10" t="n">
        <v>44743</v>
      </c>
      <c r="B245" s="19">
        <f>IF(VLOOKUP(A245,'DB Country PMI'!$A:$AZ,MATCH($A$1,'DB Country PMI'!$A$1:$AZ$1,),)=0,#N/A,VLOOKUP(A245,'DB Country PMI'!$A:$AZ,MATCH($A$1,'DB Country PMI'!$A$1:$AZ$1,),))</f>
        <v/>
      </c>
      <c r="C245" s="26">
        <f>Table1346811121415161718192022253032[[#This Row],[PMI]]-B244</f>
        <v/>
      </c>
    </row>
    <row r="246">
      <c r="A246" s="10" t="n">
        <v>44774</v>
      </c>
      <c r="B246" s="19">
        <f>IF(VLOOKUP(A246,'DB Country PMI'!$A:$AZ,MATCH($A$1,'DB Country PMI'!$A$1:$AZ$1,),)=0,#N/A,VLOOKUP(A246,'DB Country PMI'!$A:$AZ,MATCH($A$1,'DB Country PMI'!$A$1:$AZ$1,),))</f>
        <v/>
      </c>
      <c r="C246" s="26">
        <f>Table1346811121415161718192022253032[[#This Row],[PMI]]-B245</f>
        <v/>
      </c>
    </row>
    <row r="247">
      <c r="A247" s="10" t="n">
        <v>44805</v>
      </c>
      <c r="B247" s="19">
        <f>IF(VLOOKUP(A247,'DB Country PMI'!$A:$AZ,MATCH($A$1,'DB Country PMI'!$A$1:$AZ$1,),)=0,#N/A,VLOOKUP(A247,'DB Country PMI'!$A:$AZ,MATCH($A$1,'DB Country PMI'!$A$1:$AZ$1,),))</f>
        <v/>
      </c>
      <c r="C247" s="26">
        <f>Table1346811121415161718192022253032[[#This Row],[PMI]]-B246</f>
        <v/>
      </c>
    </row>
    <row r="248">
      <c r="A248" s="10" t="n">
        <v>44835</v>
      </c>
      <c r="B248" s="19">
        <f>IF(VLOOKUP(A248,'DB Country PMI'!$A:$AZ,MATCH($A$1,'DB Country PMI'!$A$1:$AZ$1,),)=0,#N/A,VLOOKUP(A248,'DB Country PMI'!$A:$AZ,MATCH($A$1,'DB Country PMI'!$A$1:$AZ$1,),))</f>
        <v/>
      </c>
      <c r="C248" s="26">
        <f>Table1346811121415161718192022253032[[#This Row],[PMI]]-B247</f>
        <v/>
      </c>
    </row>
  </sheetData>
  <conditionalFormatting sqref="C95:C248">
    <cfRule type="colorScale" priority="2">
      <colorScale>
        <cfvo type="min"/>
        <cfvo type="percentile" val="50"/>
        <cfvo type="max"/>
        <color rgb="FFF8696B"/>
        <color rgb="FFFCFCFF"/>
        <color rgb="FF5A8AC6"/>
      </colorScale>
    </cfRule>
  </conditionalFormatting>
  <conditionalFormatting sqref="B95:B24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2022-12-27T12:44:03Z</dcterms:modified>
  <cp:lastModifiedBy>Mark Mukherjee</cp:lastModifiedBy>
</cp:coreProperties>
</file>