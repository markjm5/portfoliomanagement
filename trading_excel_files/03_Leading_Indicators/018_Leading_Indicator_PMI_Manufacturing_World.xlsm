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36440" yWindow="2020" windowWidth="28800" windowHeight="175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applyAlignment="1" pivotButton="0" quotePrefix="0" xfId="0">
      <alignment wrapText="1"/>
    </xf>
    <xf numFmtId="0" fontId="0" fillId="2" borderId="0" pivotButton="0" quotePrefix="0" xfId="0"/>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-0.00738580277864702</v>
                </pt>
                <pt idx="13">
                  <formatCode>0.00%</formatCode>
                  <v>0.003146653101764279</v>
                </pt>
                <pt idx="14">
                  <formatCode>0.00%</formatCode>
                  <v>-0.07949513115753093</v>
                </pt>
                <pt idx="15">
                  <formatCode>0.00%</formatCode>
                  <v>-0.03799526829438742</v>
                </pt>
                <pt idx="16">
                  <formatCode>0.00%</formatCode>
                  <v>-0.02083766110040032</v>
                </pt>
                <pt idx="17">
                  <formatCode>0.00%</formatCode>
                  <v>-0.001331840021490138</v>
                </pt>
                <pt idx="18">
                  <formatCode>0.00%</formatCode>
                  <v>-0.05813667794204805</v>
                </pt>
                <pt idx="19">
                  <formatCode>0.00%</formatCode>
                  <v>-0.1285202829187607</v>
                </pt>
                <pt idx="20">
                  <formatCode>0.00%</formatCode>
                  <v>-0.0696724964753322</v>
                </pt>
                <pt idx="21">
                  <formatCode>0.00%</formatCode>
                  <v>-0.03832860766500627</v>
                </pt>
                <pt idx="22">
                  <formatCode>0.00%</formatCode>
                  <v>0.06693577988129201</v>
                </pt>
                <pt idx="23">
                  <formatCode>0.00%</formatCode>
                  <v>0.2235353319156732</v>
                </pt>
                <pt idx="24">
                  <formatCode>0.00%</formatCode>
                  <v>0.09342482712405131</v>
                </pt>
                <pt idx="25">
                  <formatCode>0.00%</formatCode>
                  <v>0.1237466497756666</v>
                </pt>
                <pt idx="26">
                  <formatCode>0.00%</formatCode>
                  <v>0.1688324807779358</v>
                </pt>
                <pt idx="27">
                  <formatCode>0.00%</formatCode>
                  <v>0.1485132856860454</v>
                </pt>
                <pt idx="28">
                  <formatCode>0.00%</formatCode>
                  <v>0.09328724760816741</v>
                </pt>
                <pt idx="29">
                  <formatCode>0.00%</formatCode>
                  <v>0.1009845718337796</v>
                </pt>
                <pt idx="30">
                  <formatCode>0.00%</formatCode>
                  <v>0.1453276778360287</v>
                </pt>
                <pt idx="31">
                  <formatCode>0.00%</formatCode>
                  <v>0.2576468117948194</v>
                </pt>
                <pt idx="32">
                  <formatCode>0.00%</formatCode>
                  <v>0.1670501105248225</v>
                </pt>
                <pt idx="33">
                  <formatCode>0.00%</formatCode>
                  <v>0.2092641613086678</v>
                </pt>
                <pt idx="34">
                  <formatCode>0.00%</formatCode>
                  <v>0.1495448723337659</v>
                </pt>
                <pt idx="35">
                  <formatCode>0.00%</formatCode>
                  <v>0.1812600119950131</v>
                </pt>
                <pt idx="36">
                  <formatCode>0.00%</formatCode>
                  <v>0.2342676503457455</v>
                </pt>
                <pt idx="37">
                  <formatCode>0.00%</formatCode>
                  <v>0.2337702700414293</v>
                </pt>
                <pt idx="38">
                  <formatCode>0.00%</formatCode>
                  <v>0.2258241510058208</v>
                </pt>
                <pt idx="39">
                  <formatCode>0.00%</formatCode>
                  <v>0.1247129467097739</v>
                </pt>
                <pt idx="40">
                  <formatCode>0.00%</formatCode>
                  <v>0.1844385764268615</v>
                </pt>
                <pt idx="41">
                  <formatCode>0.00%</formatCode>
                  <v>0.1698402610408623</v>
                </pt>
                <pt idx="42">
                  <formatCode>0.00%</formatCode>
                  <v>0.1510633315247885</v>
                </pt>
                <pt idx="43">
                  <formatCode>0.00%</formatCode>
                  <v>0.1786677060744934</v>
                </pt>
                <pt idx="44">
                  <formatCode>0.00%</formatCode>
                  <v>0.2306843303068062</v>
                </pt>
                <pt idx="45">
                  <formatCode>0.00%</formatCode>
                  <v>0.1611841200365227</v>
                </pt>
                <pt idx="46">
                  <formatCode>0.00%</formatCode>
                  <v>0.2190749465099556</v>
                </pt>
                <pt idx="47">
                  <formatCode>0.00%</formatCode>
                  <v>0.1167910286521935</v>
                </pt>
                <pt idx="48">
                  <formatCode>0.00%</formatCode>
                  <v>0.08730138752725093</v>
                </pt>
                <pt idx="49">
                  <formatCode>0.00%</formatCode>
                  <v>0.08541081141744314</v>
                </pt>
                <pt idx="50">
                  <formatCode>0.00%</formatCode>
                  <v>0.03798019896110441</v>
                </pt>
                <pt idx="51">
                  <formatCode>0.00%</formatCode>
                  <v>0.07445611535078347</v>
                </pt>
                <pt idx="52">
                  <formatCode>0.00%</formatCode>
                  <v>0.07755742206283524</v>
                </pt>
                <pt idx="53">
                  <formatCode>0.00%</formatCode>
                  <v>0.05578573508827409</v>
                </pt>
                <pt idx="54">
                  <formatCode>0.00%</formatCode>
                  <v>0.07330336338721095</v>
                </pt>
                <pt idx="55">
                  <formatCode>0.00%</formatCode>
                  <v>0.0521989381346142</v>
                </pt>
                <pt idx="56">
                  <formatCode>0.00%</formatCode>
                  <v>0.008968305623239654</v>
                </pt>
                <pt idx="57">
                  <formatCode>0.00%</formatCode>
                  <v>0.02993208050310214</v>
                </pt>
                <pt idx="58">
                  <formatCode>0.00%</formatCode>
                  <v>-0.06427943868293359</v>
                </pt>
                <pt idx="59">
                  <formatCode>0.00%</formatCode>
                  <v>-0.06545394157278867</v>
                </pt>
                <pt idx="60">
                  <formatCode>0.00%</formatCode>
                  <v>-0.005882262007057228</v>
                </pt>
                <pt idx="61">
                  <formatCode>0.00%</formatCode>
                  <v>-0.02460688177721892</v>
                </pt>
                <pt idx="62">
                  <formatCode>0.00%</formatCode>
                  <v>-0.02626892742122192</v>
                </pt>
                <pt idx="63">
                  <formatCode>0.00%</formatCode>
                  <v>-0.06159492872524523</v>
                </pt>
                <pt idx="64">
                  <formatCode>0.00%</formatCode>
                  <v>-0.1216924585409733</v>
                </pt>
                <pt idx="65">
                  <formatCode>0.00%</formatCode>
                  <v>-0.04275777093550626</v>
                </pt>
                <pt idx="66">
                  <formatCode>0.00%</formatCode>
                  <v>-0.0569755908404276</v>
                </pt>
                <pt idx="67">
                  <formatCode>0.00%</formatCode>
                  <v>-0.05382166522335211</v>
                </pt>
                <pt idx="68">
                  <formatCode>0.00%</formatCode>
                  <v>-0.03064907224952658</v>
                </pt>
                <pt idx="69">
                  <formatCode>0.00%</formatCode>
                  <v>-0.0008989843747359008</v>
                </pt>
                <pt idx="70">
                  <formatCode>0.00%</formatCode>
                  <v>0.07575005695377388</v>
                </pt>
                <pt idx="71">
                  <formatCode>0.00%</formatCode>
                  <v>0.1245063373298357</v>
                </pt>
                <pt idx="72">
                  <formatCode>0.00%</formatCode>
                  <v>0.02455888432494742</v>
                </pt>
                <pt idx="73">
                  <formatCode>0.00%</formatCode>
                  <v>0.04071900519444038</v>
                </pt>
                <pt idx="74">
                  <formatCode>0.00%</formatCode>
                  <v>0.08792050727518562</v>
                </pt>
                <pt idx="75">
                  <formatCode>0.00%</formatCode>
                  <v>0.177939528754033</v>
                </pt>
                <pt idx="76">
                  <formatCode>0.00%</formatCode>
                  <v>0.2228057736688424</v>
                </pt>
                <pt idx="77">
                  <formatCode>0.00%</formatCode>
                  <v>0.1539322495026468</v>
                </pt>
                <pt idx="78">
                  <formatCode>0.00%</formatCode>
                  <v>0.1570583340018259</v>
                </pt>
                <pt idx="79">
                  <formatCode>0.00%</formatCode>
                  <v>0.1786763243473845</v>
                </pt>
                <pt idx="80">
                  <formatCode>0.00%</formatCode>
                  <v>0.1909979222536021</v>
                </pt>
                <pt idx="81">
                  <formatCode>0.00%</formatCode>
                  <v>0.1766678962541955</v>
                </pt>
                <pt idx="82">
                  <formatCode>0.00%</formatCode>
                  <v>0.177353837050703</v>
                </pt>
                <pt idx="83">
                  <formatCode>0.00%</formatCode>
                  <v>0.1883266737322201</v>
                </pt>
                <pt idx="84">
                  <formatCode>0.00%</formatCode>
                  <v>0.2375439324648874</v>
                </pt>
                <pt idx="85">
                  <formatCode>0.00%</formatCode>
                  <v>0.2496078146305661</v>
                </pt>
                <pt idx="86">
                  <formatCode>0.00%</formatCode>
                  <v>0.2433177467222238</v>
                </pt>
                <pt idx="87">
                  <formatCode>0.00%</formatCode>
                  <v>0.2770950888017125</v>
                </pt>
                <pt idx="88">
                  <formatCode>0.00%</formatCode>
                  <v>0.1900415719089384</v>
                </pt>
                <pt idx="89">
                  <formatCode>0.00%</formatCode>
                  <v>0.1566558874787767</v>
                </pt>
                <pt idx="90">
                  <formatCode>0.00%</formatCode>
                  <v>0.1429058894976601</v>
                </pt>
                <pt idx="91">
                  <formatCode>0.00%</formatCode>
                  <v>0.1234855807598999</v>
                </pt>
                <pt idx="92">
                  <formatCode>0.00%</formatCode>
                  <v>0.1082329259898964</v>
                </pt>
                <pt idx="93">
                  <formatCode>0.00%</formatCode>
                  <v>0.1117676424245585</v>
                </pt>
                <pt idx="94">
                  <formatCode>0.00%</formatCode>
                  <v>0.1150286329318345</v>
                </pt>
                <pt idx="95">
                  <formatCode>0.00%</formatCode>
                  <v>0.1011246460845167</v>
                </pt>
                <pt idx="96">
                  <formatCode>0.00%</formatCode>
                  <v>-0.002184409562703984</v>
                </pt>
                <pt idx="97">
                  <formatCode>0.00%</formatCode>
                  <v>-0.006431395747868927</v>
                </pt>
                <pt idx="98">
                  <formatCode>0.00%</formatCode>
                  <v>-0.09179171760239642</v>
                </pt>
                <pt idx="99">
                  <formatCode>0.00%</formatCode>
                  <v>-0.07112110120681008</v>
                </pt>
                <pt idx="100">
                  <formatCode>0.00%</formatCode>
                  <v>-0.003618342752534918</v>
                </pt>
                <pt idx="101">
                  <formatCode>0.00%</formatCode>
                  <v>0.02747834237499682</v>
                </pt>
                <pt idx="102">
                  <formatCode>0.00%</formatCode>
                  <v>0.05837267543377798</v>
                </pt>
                <pt idx="103">
                  <formatCode>0.00%</formatCode>
                  <v>-0.0105520090296991</v>
                </pt>
                <pt idx="104">
                  <formatCode>0.00%</formatCode>
                  <v>0.05825474124667232</v>
                </pt>
                <pt idx="105">
                  <formatCode>0.00%</formatCode>
                  <v>0.02904756185713316</v>
                </pt>
                <pt idx="106">
                  <formatCode>0.00%</formatCode>
                  <v>-0.0006464934070291892</v>
                </pt>
                <pt idx="107">
                  <formatCode>0.00%</formatCode>
                  <v>0.01560652032871372</v>
                </pt>
                <pt idx="108">
                  <formatCode>0.00%</formatCode>
                  <v>0.1272137213566069</v>
                </pt>
                <pt idx="109">
                  <formatCode>0.00%</formatCode>
                  <v>0.1355395315911944</v>
                </pt>
                <pt idx="110">
                  <formatCode>0.00%</formatCode>
                  <v>0.2631454869638274</v>
                </pt>
                <pt idx="111">
                  <formatCode>0.00%</formatCode>
                  <v>0.1548127057135772</v>
                </pt>
                <pt idx="112">
                  <formatCode>0.00%</formatCode>
                  <v>0.04260439464218697</v>
                </pt>
                <pt idx="113">
                  <formatCode>0.00%</formatCode>
                  <v>-0.1112220559777532</v>
                </pt>
                <pt idx="114">
                  <formatCode>0.00%</formatCode>
                  <v>-0.05617518127456768</v>
                </pt>
                <pt idx="115">
                  <formatCode>0.00%</formatCode>
                  <v>0.05600269978955057</v>
                </pt>
                <pt idx="116">
                  <formatCode>0.00%</formatCode>
                  <v>0.02499652303170375</v>
                </pt>
                <pt idx="117">
                  <formatCode>0.00%</formatCode>
                  <v>0.07476710477312823</v>
                </pt>
                <pt idx="118">
                  <formatCode>0.00%</formatCode>
                  <v>0.1652783787359733</v>
                </pt>
                <pt idx="119">
                  <formatCode>0.00%</formatCode>
                  <v>0.1060516489419546</v>
                </pt>
                <pt idx="120">
                  <formatCode>0.00%</formatCode>
                  <v>0.05258703932007009</v>
                </pt>
                <pt idx="121">
                  <formatCode>0.00%</formatCode>
                  <v>0.149527913931352</v>
                </pt>
                <pt idx="122">
                  <formatCode>0.00%</formatCode>
                  <v>0.1683842041138515</v>
                </pt>
                <pt idx="123">
                  <formatCode>0.00%</formatCode>
                  <v>0.1767035535514409</v>
                </pt>
                <pt idx="124">
                  <formatCode>0.00%</formatCode>
                  <v>0.3010795114573344</v>
                </pt>
                <pt idx="125">
                  <formatCode>0.00%</formatCode>
                  <v>0.54545285028607</v>
                </pt>
                <pt idx="126">
                  <formatCode>0.00%</formatCode>
                  <v>0.4668910090819391</v>
                </pt>
                <pt idx="127">
                  <formatCode>0.00%</formatCode>
                  <v>0.4163459322360984</v>
                </pt>
                <pt idx="128">
                  <formatCode>0.00%</formatCode>
                  <v>0.3949715424546993</v>
                </pt>
                <pt idx="129">
                  <formatCode>0.00%</formatCode>
                  <v>0.3344035159035786</v>
                </pt>
                <pt idx="130">
                  <formatCode>0.00%</formatCode>
                  <v>0.285931482070724</v>
                </pt>
                <pt idx="131">
                  <formatCode>0.00%</formatCode>
                  <v>0.269022176007864</v>
                </pt>
                <pt idx="132">
                  <formatCode>0.00%</formatCode>
                  <v>0.3679445192046771</v>
                </pt>
                <pt idx="133">
                  <formatCode>0.00%</formatCode>
                  <v>0.1957482045375359</v>
                </pt>
                <pt idx="134">
                  <formatCode>0.00%</formatCode>
                  <v>0.1835123864891383</v>
                </pt>
                <pt idx="135">
                  <formatCode>0.00%</formatCode>
                  <v>0.1361660820357234</v>
                </pt>
                <pt idx="136">
                  <formatCode>0.00%</formatCode>
                  <v>0.07675115567096005</v>
                </pt>
                <pt idx="137">
                  <formatCode>0.00%</formatCode>
                  <v>0.06719745529809792</v>
                </pt>
                <pt idx="138">
                  <formatCode>0.00%</formatCode>
                  <v>-0.05886144238450161</v>
                </pt>
                <pt idx="139">
                  <formatCode>0.00%</formatCode>
                  <v>-0.06836780670237319</v>
                </pt>
                <pt idx="140">
                  <formatCode>0.00%</formatCode>
                  <v>-0.1563105218681037</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US!$A$6:$A$150</f>
              <numCache>
                <formatCode>m/d/yy</formatCode>
                <ptCount val="14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US!$B$6:$B$150</f>
              <numCache>
                <formatCode>General</formatCode>
                <ptCount val="145"/>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pt idx="141">
                  <v>52.2</v>
                </pt>
                <pt idx="142">
                  <v>51.5</v>
                </pt>
                <pt idx="143">
                  <v>52</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China!$B$6:$B$219</f>
              <numCache>
                <formatCode>General</formatCode>
                <ptCount val="21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China!$D$6:$D$219</f>
              <numCache>
                <formatCode>General</formatCode>
                <ptCount val="214"/>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pt idx="210">
                  <v>49</v>
                </pt>
                <pt idx="211">
                  <v>49.4</v>
                </pt>
                <pt idx="212">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China!$F$6:$F$219</f>
              <numCache>
                <formatCode>0.0%</formatCode>
                <ptCount val="214"/>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pt idx="210">
                  <v>0.004</v>
                </pt>
                <pt idx="211">
                  <v>0</v>
                </pt>
                <pt idx="212">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China!$B$6:$B$219</f>
              <numCache>
                <formatCode>General</formatCode>
                <ptCount val="21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China!$A$6:$A$219</f>
              <numCache>
                <formatCode>m/d/yy</formatCode>
                <ptCount val="214"/>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pt idx="210">
                  <v>44743</v>
                </pt>
                <pt idx="211">
                  <v>44774</v>
                </pt>
                <pt idx="212">
                  <v>44805</v>
                </pt>
              </numCache>
            </numRef>
          </cat>
          <val>
            <numRef>
              <f>China!$B$6:$B$219</f>
              <numCache>
                <formatCode>General</formatCode>
                <ptCount val="214"/>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pt idx="210">
                  <v>50.4</v>
                </pt>
                <pt idx="211">
                  <v>49.5</v>
                </pt>
                <pt idx="212">
                  <v>48.1</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numCache>
            </numRef>
          </cat>
          <val>
            <numRef>
              <f>'Euro Area'!$E$18:$E$223</f>
              <numCache>
                <formatCode>General</formatCode>
                <ptCount val="206"/>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pt idx="199">
                  <v>-13</v>
                </pt>
                <pt idx="200">
                  <v>-11.8</v>
                </pt>
                <pt idx="201">
                  <v>-10.2</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Area'!$A$18:$A$223</f>
              <numCache>
                <formatCode>m/d/yy</formatCode>
                <ptCount val="206"/>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numCache>
            </numRef>
          </cat>
          <val>
            <numRef>
              <f>'Euro Area'!$F$18:$F$223</f>
              <numCache>
                <formatCode>0.0%</formatCode>
                <ptCount val="206"/>
                <pt idx="0">
                  <v>0.08907511526508044</v>
                </pt>
                <pt idx="1">
                  <v>0.1870934879330738</v>
                </pt>
                <pt idx="2">
                  <v>0.145820187691606</v>
                </pt>
                <pt idx="3">
                  <v>0.225808450398655</v>
                </pt>
                <pt idx="4">
                  <v>0.3265336721837732</v>
                </pt>
                <pt idx="5">
                  <v>0.2736720809523396</v>
                </pt>
                <pt idx="6">
                  <v>0.2588053545862439</v>
                </pt>
                <pt idx="7">
                  <v>0.2183274383089135</v>
                </pt>
                <pt idx="8">
                  <v>0.2452092983109898</v>
                </pt>
                <pt idx="9">
                  <v>0.2452578430701598</v>
                </pt>
                <pt idx="10">
                  <v>0.3381462043500799</v>
                </pt>
                <pt idx="11">
                  <v>0.3747122525638403</v>
                </pt>
                <pt idx="12">
                  <v>0.3535136551150382</v>
                </pt>
                <pt idx="13">
                  <v>0.2878779441896671</v>
                </pt>
                <pt idx="14">
                  <v>0.2670367392695427</v>
                </pt>
                <pt idx="15">
                  <v>0.2641434310333398</v>
                </pt>
                <pt idx="16">
                  <v>0.2858015841973831</v>
                </pt>
                <pt idx="17">
                  <v>0.3836764247618858</v>
                </pt>
                <pt idx="18">
                  <v>0.3641412265606626</v>
                </pt>
                <pt idx="19">
                  <v>0.3056832872193045</v>
                </pt>
                <pt idx="20">
                  <v>0.2565504551103486</v>
                </pt>
                <pt idx="21">
                  <v>0.3067050172341738</v>
                </pt>
                <pt idx="22">
                  <v>0.3262474683988522</v>
                </pt>
                <pt idx="23">
                  <v>0.232513173442843</v>
                </pt>
                <pt idx="24">
                  <v>0.1753272691117095</v>
                </pt>
                <pt idx="25">
                  <v>0.04665912761922576</v>
                </pt>
                <pt idx="26">
                  <v>0.04754200010382999</v>
                </pt>
                <pt idx="27">
                  <v>0.03112441342529186</v>
                </pt>
                <pt idx="28">
                  <v>0.009039416180261087</v>
                </pt>
                <pt idx="29">
                  <v>-0.01622220116528822</v>
                </pt>
                <pt idx="30">
                  <v>-0.1482942026712211</v>
                </pt>
                <pt idx="31">
                  <v>-0.1105886439262371</v>
                </pt>
                <pt idx="32">
                  <v>-0.1453456404720401</v>
                </pt>
                <pt idx="33">
                  <v>-0.3013400477251451</v>
                </pt>
                <pt idx="34">
                  <v>-0.4978918400962289</v>
                </pt>
                <pt idx="35">
                  <v>-0.522005265685024</v>
                </pt>
                <pt idx="36">
                  <v>-0.4544516949980728</v>
                </pt>
                <pt idx="37">
                  <v>-0.4996890767412726</v>
                </pt>
                <pt idx="38">
                  <v>-0.5564336260350425</v>
                </pt>
                <pt idx="39">
                  <v>-0.5244644625790219</v>
                </pt>
                <pt idx="40">
                  <v>-0.4756982245244803</v>
                </pt>
                <pt idx="41">
                  <v>-0.4133983345226062</v>
                </pt>
                <pt idx="42">
                  <v>-0.3467946118301534</v>
                </pt>
                <pt idx="43">
                  <v>-0.2662782563413946</v>
                </pt>
                <pt idx="44">
                  <v>-0.1884612104817675</v>
                </pt>
                <pt idx="45">
                  <v>-0.0002382123625903458</v>
                </pt>
                <pt idx="46">
                  <v>0.2647760872309362</v>
                </pt>
                <pt idx="47">
                  <v>0.4331731591921306</v>
                </pt>
                <pt idx="48">
                  <v>0.2788752607283012</v>
                </pt>
                <pt idx="49">
                  <v>0.406790428102093</v>
                </pt>
                <pt idx="50">
                  <v>0.552136826600748</v>
                </pt>
                <pt idx="51">
                  <v>0.5163702507678843</v>
                </pt>
                <pt idx="52">
                  <v>0.2570519983957764</v>
                </pt>
                <pt idx="53">
                  <v>-0.02974505695094358</v>
                </pt>
                <pt idx="54">
                  <v>-0.02605517427293188</v>
                </pt>
                <pt idx="55">
                  <v>0.006594643886386041</v>
                </pt>
                <pt idx="56">
                  <v>-0.1187257958671068</v>
                </pt>
                <pt idx="57">
                  <v>-0.06252935303330959</v>
                </pt>
                <pt idx="58">
                  <v>0.0420208529351372</v>
                </pt>
                <pt idx="59">
                  <v>-0.1165569306176306</v>
                </pt>
                <pt idx="60">
                  <v>-0.03144387421809681</v>
                </pt>
                <pt idx="61">
                  <v>0.1192425594873796</v>
                </pt>
                <pt idx="62">
                  <v>0.1875288085499533</v>
                </pt>
                <pt idx="63">
                  <v>0.1096163482793967</v>
                </pt>
                <pt idx="64">
                  <v>0.2605714483150262</v>
                </pt>
                <pt idx="65">
                  <v>0.3740132804186787</v>
                </pt>
                <pt idx="66">
                  <v>0.3996896953960677</v>
                </pt>
                <pt idx="67">
                  <v>0.1270201852631321</v>
                </pt>
                <pt idx="68">
                  <v>0.06369056090305428</v>
                </pt>
                <pt idx="69">
                  <v>-0.1866668310041429</v>
                </pt>
                <pt idx="70">
                  <v>-0.13633185845243</v>
                </pt>
                <pt idx="71">
                  <v>-0.06974031895394123</v>
                </pt>
                <pt idx="72">
                  <v>-0.1844718889004641</v>
                </pt>
                <pt idx="73">
                  <v>-0.1761631968604017</v>
                </pt>
                <pt idx="74">
                  <v>-0.1556904155872675</v>
                </pt>
                <pt idx="75">
                  <v>-0.1574559280488196</v>
                </pt>
                <pt idx="76">
                  <v>-0.2634711189988793</v>
                </pt>
                <pt idx="77">
                  <v>-0.3263976047991143</v>
                </pt>
                <pt idx="78">
                  <v>-0.2686454361287192</v>
                </pt>
                <pt idx="79">
                  <v>-0.211533896558062</v>
                </pt>
                <pt idx="80">
                  <v>-0.04249666857080669</v>
                </pt>
                <pt idx="81">
                  <v>0.1454915313200817</v>
                </pt>
                <pt idx="82">
                  <v>0.04311722599759767</v>
                </pt>
                <pt idx="83">
                  <v>0.1262376643674827</v>
                </pt>
                <pt idx="84">
                  <v>0.2489639627807264</v>
                </pt>
                <pt idx="85">
                  <v>0.2010153675176002</v>
                </pt>
                <pt idx="86">
                  <v>0.08604025485664829</v>
                </pt>
                <pt idx="87">
                  <v>0.069271491699799</v>
                </pt>
                <pt idx="88">
                  <v>0.1980528168271753</v>
                </pt>
                <pt idx="89">
                  <v>0.3933297240887678</v>
                </pt>
                <pt idx="90">
                  <v>0.2225810508014469</v>
                </pt>
                <pt idx="91">
                  <v>0.336287893763736</v>
                </pt>
                <pt idx="92">
                  <v>0.2305790629806814</v>
                </pt>
                <pt idx="93">
                  <v>0.2911331183445635</v>
                </pt>
                <pt idx="94">
                  <v>0.3272750885330598</v>
                </pt>
                <pt idx="95">
                  <v>0.3022606230393897</v>
                </pt>
                <pt idx="96">
                  <v>0.2717253170312082</v>
                </pt>
                <pt idx="97">
                  <v>0.1624987317219161</v>
                </pt>
                <pt idx="98">
                  <v>0.3036881804833669</v>
                </pt>
                <pt idx="99">
                  <v>0.3306396270331637</v>
                </pt>
                <pt idx="100">
                  <v>0.2814092913362042</v>
                </pt>
                <pt idx="101">
                  <v>0.2755024099968822</v>
                </pt>
                <pt idx="102">
                  <v>0.3391860648125218</v>
                </pt>
                <pt idx="103">
                  <v>0.1522175292113636</v>
                </pt>
                <pt idx="104">
                  <v>0.1755450963742315</v>
                </pt>
                <pt idx="105">
                  <v>0.04338875874195957</v>
                </pt>
                <pt idx="106">
                  <v>-0.03865579453016533</v>
                </pt>
                <pt idx="107">
                  <v>-0.01573508326243571</v>
                </pt>
                <pt idx="108">
                  <v>-0.1022673240840732</v>
                </pt>
                <pt idx="109">
                  <v>-0.0410769259837375</v>
                </pt>
                <pt idx="110">
                  <v>-0.04790174207316986</v>
                </pt>
                <pt idx="111">
                  <v>-0.06298764959815914</v>
                </pt>
                <pt idx="112">
                  <v>-0.05945594989269069</v>
                </pt>
                <pt idx="113">
                  <v>-0.0731684939676132</v>
                </pt>
                <pt idx="114">
                  <v>-0.08932366183102863</v>
                </pt>
                <pt idx="115">
                  <v>-0.003644835572330168</v>
                </pt>
                <pt idx="116">
                  <v>-0.07403238439366118</v>
                </pt>
                <pt idx="117">
                  <v>-0.08580683434688778</v>
                </pt>
                <pt idx="118">
                  <v>0.009867294154995562</v>
                </pt>
                <pt idx="119">
                  <v>-0.03547475734141197</v>
                </pt>
                <pt idx="120">
                  <v>-0.01145338661941029</v>
                </pt>
                <pt idx="121">
                  <v>-0.07695531171888485</v>
                </pt>
                <pt idx="122">
                  <v>-0.1676194276349073</v>
                </pt>
                <pt idx="123">
                  <v>-0.09095813255986222</v>
                </pt>
                <pt idx="124">
                  <v>-0.08802573417141951</v>
                </pt>
                <pt idx="125">
                  <v>-0.1155160273860468</v>
                </pt>
                <pt idx="126">
                  <v>-0.1233654357676605</v>
                </pt>
                <pt idx="127">
                  <v>-0.1018753934334877</v>
                </pt>
                <pt idx="128">
                  <v>-0.02446530468360548</v>
                </pt>
                <pt idx="129">
                  <v>0.03163552107106541</v>
                </pt>
                <pt idx="130">
                  <v>-0.0483889018697546</v>
                </pt>
                <pt idx="131">
                  <v>-0.0790498449200637</v>
                </pt>
                <pt idx="132">
                  <v>0.01425074521777738</v>
                </pt>
                <pt idx="133">
                  <v>0.09808067842365398</v>
                </pt>
                <pt idx="134">
                  <v>0.1486946782094581</v>
                </pt>
                <pt idx="135">
                  <v>0.1278761818779262</v>
                </pt>
                <pt idx="136">
                  <v>0.1477022633248453</v>
                </pt>
                <pt idx="137">
                  <v>0.2498011324370195</v>
                </pt>
                <pt idx="138">
                  <v>0.2892439043189759</v>
                </pt>
                <pt idx="139">
                  <v>0.2579398931655013</v>
                </pt>
                <pt idx="140">
                  <v>0.2499433708266061</v>
                </pt>
                <pt idx="141">
                  <v>0.2839577841292028</v>
                </pt>
                <pt idx="142">
                  <v>0.3123913974816076</v>
                </pt>
                <pt idx="143">
                  <v>0.3634104880399424</v>
                </pt>
                <pt idx="144">
                  <v>0.2816486649225798</v>
                </pt>
                <pt idx="145">
                  <v>0.3398696347559549</v>
                </pt>
                <pt idx="146">
                  <v>0.2571374212057339</v>
                </pt>
                <pt idx="147">
                  <v>0.1760483521323038</v>
                </pt>
                <pt idx="148">
                  <v>0.1523722281459527</v>
                </pt>
                <pt idx="149">
                  <v>0.0586981073365667</v>
                </pt>
                <pt idx="150">
                  <v>0.03725501293794348</v>
                </pt>
                <pt idx="151">
                  <v>0.05212575621469605</v>
                </pt>
                <pt idx="152">
                  <v>0.01388937576317544</v>
                </pt>
                <pt idx="153">
                  <v>-0.0259714223887638</v>
                </pt>
                <pt idx="154">
                  <v>-0.1227525163214392</v>
                </pt>
                <pt idx="155">
                  <v>-0.1236048898256005</v>
                </pt>
                <pt idx="156">
                  <v>-0.1684415612244558</v>
                </pt>
                <pt idx="157">
                  <v>-0.1712707332294139</v>
                </pt>
                <pt idx="158">
                  <v>-0.0908641951707537</v>
                </pt>
                <pt idx="159">
                  <v>-0.08288165732843754</v>
                </pt>
                <pt idx="160">
                  <v>-0.05831425425351269</v>
                </pt>
                <pt idx="161">
                  <v>-0.08617937721576245</v>
                </pt>
                <pt idx="162">
                  <v>-0.00644106140622636</v>
                </pt>
                <pt idx="163">
                  <v>-0.06660454585264354</v>
                </pt>
                <pt idx="164">
                  <v>-0.05056080516307713</v>
                </pt>
                <pt idx="165">
                  <v>-0.02102958348545874</v>
                </pt>
                <pt idx="166">
                  <v>0.1165920957050758</v>
                </pt>
                <pt idx="167">
                  <v>0.1307470179386677</v>
                </pt>
                <pt idx="168">
                  <v>0.2343283761754696</v>
                </pt>
                <pt idx="169">
                  <v>0.1173755224039739</v>
                </pt>
                <pt idx="170">
                  <v>0.00341029561225205</v>
                </pt>
                <pt idx="171">
                  <v>-0.18510006127974</v>
                </pt>
                <pt idx="172">
                  <v>-0.1760826310227931</v>
                </pt>
                <pt idx="173">
                  <v>-0.05439323840922122</v>
                </pt>
                <pt idx="174">
                  <v>-0.04929029398754708</v>
                </pt>
                <pt idx="175">
                  <v>-0.008547068763616994</v>
                </pt>
                <pt idx="176">
                  <v>0.05258354343853459</v>
                </pt>
                <pt idx="177">
                  <v>-0.0122324369028416</v>
                </pt>
                <pt idx="178">
                  <v>-0.1007498457706704</v>
                </pt>
                <pt idx="179">
                  <v>0.06643096193217445</v>
                </pt>
                <pt idx="180">
                  <v>0.06523321618461621</v>
                </pt>
                <pt idx="181">
                  <v>0.09498379112742367</v>
                </pt>
                <pt idx="182">
                  <v>0.2224426733889113</v>
                </pt>
                <pt idx="183">
                  <v>0.557458206126668</v>
                </pt>
                <pt idx="184">
                  <v>0.5353093510565332</v>
                </pt>
                <pt idx="185">
                  <v>0.4924838806682378</v>
                </pt>
                <pt idx="186">
                  <v>0.3844976253447908</v>
                </pt>
                <pt idx="187">
                  <v>0.3552064197612745</v>
                </pt>
                <pt idx="188">
                  <v>0.3215086315233238</v>
                </pt>
                <pt idx="189">
                  <v>0.2995506371971604</v>
                </pt>
                <pt idx="190">
                  <v>0.4362303712977947</v>
                </pt>
                <pt idx="191">
                  <v>0.1352220326848131</v>
                </pt>
                <pt idx="192">
                  <v>0.1386204005500054</v>
                </pt>
                <pt idx="193">
                  <v>0.1209149901420547</v>
                </pt>
                <pt idx="194">
                  <v>0.004033913084083695</v>
                </pt>
                <pt idx="195">
                  <v>-0.04510851453534181</v>
                </pt>
                <pt idx="196">
                  <v>-0.1541923939105271</v>
                </pt>
                <pt idx="197">
                  <v>-0.1545615134127661</v>
                </pt>
                <pt idx="198">
                  <v>-0.2452848394619875</v>
                </pt>
                <pt idx="199">
                  <v>-0.2052528991215958</v>
                </pt>
                <pt idx="200">
                  <v>-0.2783787209974848</v>
                </pt>
                <pt idx="201">
                  <v>-0.3100166764087005</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Area'!$A$6:$A$219</f>
              <numCache>
                <formatCode>m/d/yy</formatCode>
                <ptCount val="214"/>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numCache>
            </numRef>
          </cat>
          <val>
            <numRef>
              <f>'Euro Area'!$G$6:$G$219</f>
              <numCache>
                <formatCode>0.0%</formatCode>
                <ptCount val="214"/>
                <pt idx="0">
                  <v>0</v>
                </pt>
                <pt idx="1">
                  <v>0.002082278861843252</v>
                </pt>
                <pt idx="2">
                  <v>0</v>
                </pt>
                <pt idx="3">
                  <v>0</v>
                </pt>
                <pt idx="4">
                  <v>0.006148864084703382</v>
                </pt>
                <pt idx="5">
                  <v>0</v>
                </pt>
                <pt idx="6">
                  <v>0</v>
                </pt>
                <pt idx="7">
                  <v>0.007313779574084129</v>
                </pt>
                <pt idx="8">
                  <v>0</v>
                </pt>
                <pt idx="9">
                  <v>0</v>
                </pt>
                <pt idx="10">
                  <v>0.006408667750141121</v>
                </pt>
                <pt idx="11">
                  <v>0</v>
                </pt>
                <pt idx="12">
                  <v>0</v>
                </pt>
                <pt idx="13">
                  <v>0.008723340772572627</v>
                </pt>
                <pt idx="14">
                  <v>0</v>
                </pt>
                <pt idx="15">
                  <v>0</v>
                </pt>
                <pt idx="16">
                  <v>0.01104017275807605</v>
                </pt>
                <pt idx="17">
                  <v>0</v>
                </pt>
                <pt idx="18">
                  <v>0</v>
                </pt>
                <pt idx="19">
                  <v>0.00595736697978199</v>
                </pt>
                <pt idx="20">
                  <v>0</v>
                </pt>
                <pt idx="21">
                  <v>0</v>
                </pt>
                <pt idx="22">
                  <v>0.01173017236672761</v>
                </pt>
                <pt idx="23">
                  <v>0</v>
                </pt>
                <pt idx="24">
                  <v>0</v>
                </pt>
                <pt idx="25">
                  <v>0.005984245519416075</v>
                </pt>
                <pt idx="26">
                  <v>0</v>
                </pt>
                <pt idx="27">
                  <v>0</v>
                </pt>
                <pt idx="28">
                  <v>0.007228257988042426</v>
                </pt>
                <pt idx="29">
                  <v>0</v>
                </pt>
                <pt idx="30">
                  <v>0</v>
                </pt>
                <pt idx="31">
                  <v>0.004534983885060545</v>
                </pt>
                <pt idx="32">
                  <v>0</v>
                </pt>
                <pt idx="33">
                  <v>0</v>
                </pt>
                <pt idx="34">
                  <v>0.00507679641985727</v>
                </pt>
                <pt idx="35">
                  <v>0</v>
                </pt>
                <pt idx="36">
                  <v>0</v>
                </pt>
                <pt idx="37">
                  <v>0.005168227045875396</v>
                </pt>
                <pt idx="38">
                  <v>0</v>
                </pt>
                <pt idx="39">
                  <v>0</v>
                </pt>
                <pt idx="40">
                  <v>-0.003365572218652944</v>
                </pt>
                <pt idx="41">
                  <v>0</v>
                </pt>
                <pt idx="42">
                  <v>0</v>
                </pt>
                <pt idx="43">
                  <v>-0.005285933292574051</v>
                </pt>
                <pt idx="44">
                  <v>0</v>
                </pt>
                <pt idx="45">
                  <v>0</v>
                </pt>
                <pt idx="46">
                  <v>-0.01822855923108735</v>
                </pt>
                <pt idx="47">
                  <v>0</v>
                </pt>
                <pt idx="48">
                  <v>0</v>
                </pt>
                <pt idx="49">
                  <v>-0.03095027904285038</v>
                </pt>
                <pt idx="50">
                  <v>0</v>
                </pt>
                <pt idx="51">
                  <v>0</v>
                </pt>
                <pt idx="52">
                  <v>-0.0002100450012278066</v>
                </pt>
                <pt idx="53">
                  <v>0</v>
                </pt>
                <pt idx="54">
                  <v>0</v>
                </pt>
                <pt idx="55">
                  <v>0.004038270025042028</v>
                </pt>
                <pt idx="56">
                  <v>0</v>
                </pt>
                <pt idx="57">
                  <v>0</v>
                </pt>
                <pt idx="58">
                  <v>0.004212596506098315</v>
                </pt>
                <pt idx="59">
                  <v>0</v>
                </pt>
                <pt idx="60">
                  <v>0</v>
                </pt>
                <pt idx="61">
                  <v>0.004406063892511662</v>
                </pt>
                <pt idx="62">
                  <v>0</v>
                </pt>
                <pt idx="63">
                  <v>0</v>
                </pt>
                <pt idx="64">
                  <v>0.009701974445100164</v>
                </pt>
                <pt idx="65">
                  <v>0</v>
                </pt>
                <pt idx="66">
                  <v>0</v>
                </pt>
                <pt idx="67">
                  <v>0.004209322361389465</v>
                </pt>
                <pt idx="68">
                  <v>0</v>
                </pt>
                <pt idx="69">
                  <v>0</v>
                </pt>
                <pt idx="70">
                  <v>0.005873149306480536</v>
                </pt>
                <pt idx="71">
                  <v>0</v>
                </pt>
                <pt idx="72">
                  <v>0</v>
                </pt>
                <pt idx="73">
                  <v>0.009097928931317362</v>
                </pt>
                <pt idx="74">
                  <v>0</v>
                </pt>
                <pt idx="75">
                  <v>0</v>
                </pt>
                <pt idx="76">
                  <v>-0.0002072222953032917</v>
                </pt>
                <pt idx="77">
                  <v>0</v>
                </pt>
                <pt idx="78">
                  <v>0</v>
                </pt>
                <pt idx="79">
                  <v>0.001513630599514928</v>
                </pt>
                <pt idx="80">
                  <v>0</v>
                </pt>
                <pt idx="81">
                  <v>0</v>
                </pt>
                <pt idx="82">
                  <v>-0.004244823634824666</v>
                </pt>
                <pt idx="83">
                  <v>0</v>
                </pt>
                <pt idx="84">
                  <v>0</v>
                </pt>
                <pt idx="85">
                  <v>-0.002144764684240563</v>
                </pt>
                <pt idx="86">
                  <v>0</v>
                </pt>
                <pt idx="87">
                  <v>0</v>
                </pt>
                <pt idx="88">
                  <v>-0.002641294161975166</v>
                </pt>
                <pt idx="89">
                  <v>0</v>
                </pt>
                <pt idx="90">
                  <v>0</v>
                </pt>
                <pt idx="91">
                  <v>-0.0009762566742093881</v>
                </pt>
                <pt idx="92">
                  <v>0</v>
                </pt>
                <pt idx="93">
                  <v>0</v>
                </pt>
                <pt idx="94">
                  <v>-0.004438676814195851</v>
                </pt>
                <pt idx="95">
                  <v>0</v>
                </pt>
                <pt idx="96">
                  <v>0</v>
                </pt>
                <pt idx="97">
                  <v>-0.003360249754733544</v>
                </pt>
                <pt idx="98">
                  <v>0</v>
                </pt>
                <pt idx="99">
                  <v>0</v>
                </pt>
                <pt idx="100">
                  <v>0.005182801296864457</v>
                </pt>
                <pt idx="101">
                  <v>0</v>
                </pt>
                <pt idx="102">
                  <v>0</v>
                </pt>
                <pt idx="103">
                  <v>0.003031713147676317</v>
                </pt>
                <pt idx="104">
                  <v>0</v>
                </pt>
                <pt idx="105">
                  <v>0</v>
                </pt>
                <pt idx="106">
                  <v>0.002868848690398543</v>
                </pt>
                <pt idx="107">
                  <v>0</v>
                </pt>
                <pt idx="108">
                  <v>0</v>
                </pt>
                <pt idx="109">
                  <v>0.004155023401593535</v>
                </pt>
                <pt idx="110">
                  <v>0</v>
                </pt>
                <pt idx="111">
                  <v>0</v>
                </pt>
                <pt idx="112">
                  <v>0.001931307144522652</v>
                </pt>
                <pt idx="113">
                  <v>0</v>
                </pt>
                <pt idx="114">
                  <v>0</v>
                </pt>
                <pt idx="115">
                  <v>0.004955066743171191</v>
                </pt>
                <pt idx="116">
                  <v>0</v>
                </pt>
                <pt idx="117">
                  <v>0</v>
                </pt>
                <pt idx="118">
                  <v>0.003523148436910051</v>
                </pt>
                <pt idx="119">
                  <v>0</v>
                </pt>
                <pt idx="120">
                  <v>0</v>
                </pt>
                <pt idx="121">
                  <v>0.006377532974330843</v>
                </pt>
                <pt idx="122">
                  <v>0</v>
                </pt>
                <pt idx="123">
                  <v>0</v>
                </pt>
                <pt idx="124">
                  <v>0.004639984618575194</v>
                </pt>
                <pt idx="125">
                  <v>0</v>
                </pt>
                <pt idx="126">
                  <v>0</v>
                </pt>
                <pt idx="127">
                  <v>0.004187666913872255</v>
                </pt>
                <pt idx="128">
                  <v>0</v>
                </pt>
                <pt idx="129">
                  <v>0</v>
                </pt>
                <pt idx="130">
                  <v>0.004606946550607898</v>
                </pt>
                <pt idx="131">
                  <v>0</v>
                </pt>
                <pt idx="132">
                  <v>0</v>
                </pt>
                <pt idx="133">
                  <v>0.00553159241330976</v>
                </pt>
                <pt idx="134">
                  <v>0</v>
                </pt>
                <pt idx="135">
                  <v>0</v>
                </pt>
                <pt idx="136">
                  <v>0.002374289464443885</v>
                </pt>
                <pt idx="137">
                  <v>0</v>
                </pt>
                <pt idx="138">
                  <v>0</v>
                </pt>
                <pt idx="139">
                  <v>0.004760798626634644</v>
                </pt>
                <pt idx="140">
                  <v>0</v>
                </pt>
                <pt idx="141">
                  <v>0</v>
                </pt>
                <pt idx="142">
                  <v>0.007539571507722552</v>
                </pt>
                <pt idx="143">
                  <v>0</v>
                </pt>
                <pt idx="144">
                  <v>0</v>
                </pt>
                <pt idx="145">
                  <v>0.006837094580758003</v>
                </pt>
                <pt idx="146">
                  <v>0</v>
                </pt>
                <pt idx="147">
                  <v>0</v>
                </pt>
                <pt idx="148">
                  <v>0.007870379457880779</v>
                </pt>
                <pt idx="149">
                  <v>0</v>
                </pt>
                <pt idx="150">
                  <v>0</v>
                </pt>
                <pt idx="151">
                  <v>0.00781712875540096</v>
                </pt>
                <pt idx="152">
                  <v>0</v>
                </pt>
                <pt idx="153">
                  <v>0</v>
                </pt>
                <pt idx="154">
                  <v>0.008077292562746061</v>
                </pt>
                <pt idx="155">
                  <v>0</v>
                </pt>
                <pt idx="156">
                  <v>0</v>
                </pt>
                <pt idx="157">
                  <v>-2.915492117157202e-05</v>
                </pt>
                <pt idx="158">
                  <v>0</v>
                </pt>
                <pt idx="159">
                  <v>0</v>
                </pt>
                <pt idx="160">
                  <v>0.005332571497478247</v>
                </pt>
                <pt idx="161">
                  <v>0</v>
                </pt>
                <pt idx="162">
                  <v>0</v>
                </pt>
                <pt idx="163">
                  <v>0.0001176346109760537</v>
                </pt>
                <pt idx="164">
                  <v>0</v>
                </pt>
                <pt idx="165">
                  <v>0</v>
                </pt>
                <pt idx="166">
                  <v>0.006500983230833064</v>
                </pt>
                <pt idx="167">
                  <v>0</v>
                </pt>
                <pt idx="168">
                  <v>0</v>
                </pt>
                <pt idx="169">
                  <v>0.006210583635331082</v>
                </pt>
                <pt idx="170">
                  <v>0</v>
                </pt>
                <pt idx="171">
                  <v>0</v>
                </pt>
                <pt idx="172">
                  <v>0.003153589545968811</v>
                </pt>
                <pt idx="173">
                  <v>0</v>
                </pt>
                <pt idx="174">
                  <v>0</v>
                </pt>
                <pt idx="175">
                  <v>0.00211726223333918</v>
                </pt>
                <pt idx="176">
                  <v>0</v>
                </pt>
                <pt idx="177">
                  <v>0</v>
                </pt>
                <pt idx="178">
                  <v>0.000170930866190071</v>
                </pt>
                <pt idx="179">
                  <v>0</v>
                </pt>
                <pt idx="180">
                  <v>0</v>
                </pt>
                <pt idx="181">
                  <v>-0.03377643554690372</v>
                </pt>
                <pt idx="182">
                  <v>0</v>
                </pt>
                <pt idx="183">
                  <v>0</v>
                </pt>
                <pt idx="184">
                  <v>-0.1145199541702275</v>
                </pt>
                <pt idx="185">
                  <v>0</v>
                </pt>
                <pt idx="186">
                  <v>0</v>
                </pt>
                <pt idx="187">
                  <v>0.1238444406823361</v>
                </pt>
                <pt idx="188">
                  <v>0</v>
                </pt>
                <pt idx="189">
                  <v>0</v>
                </pt>
                <pt idx="190">
                  <v>-0.002725169390545602</v>
                </pt>
                <pt idx="191">
                  <v>0</v>
                </pt>
                <pt idx="192">
                  <v>0</v>
                </pt>
                <pt idx="193">
                  <v>-0.0006752443742931147</v>
                </pt>
                <pt idx="194">
                  <v>0</v>
                </pt>
                <pt idx="195">
                  <v>0</v>
                </pt>
                <pt idx="196">
                  <v>0.01986600274436855</v>
                </pt>
                <pt idx="197">
                  <v>0</v>
                </pt>
                <pt idx="198">
                  <v>0</v>
                </pt>
                <pt idx="199">
                  <v>0.02254989160899799</v>
                </pt>
                <pt idx="200">
                  <v>0</v>
                </pt>
                <pt idx="201">
                  <v>0</v>
                </pt>
                <pt idx="202">
                  <v>0.005164016211534016</v>
                </pt>
                <pt idx="203">
                  <v>0</v>
                </pt>
                <pt idx="204">
                  <v>0</v>
                </pt>
                <pt idx="205">
                  <v>0.006017482298628871</v>
                </pt>
                <pt idx="206">
                  <v>0</v>
                </pt>
                <pt idx="207">
                  <v>0</v>
                </pt>
                <pt idx="208">
                  <v>0.008214255744718657</v>
                </pt>
                <pt idx="209">
                  <v>0</v>
                </pt>
                <pt idx="210">
                  <v>0</v>
                </pt>
                <pt idx="211">
                  <v>0</v>
                </pt>
                <pt idx="212">
                  <v>0</v>
                </pt>
                <pt idx="213">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Area'!$A$6:$A$219</f>
              <numCache>
                <formatCode>m/d/yy</formatCode>
                <ptCount val="214"/>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numCache>
            </numRef>
          </cat>
          <val>
            <numRef>
              <f>'Euro Area'!$B$6:$B$219</f>
              <numCache>
                <formatCode>General</formatCode>
                <ptCount val="214"/>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Area'!$A$6:$A$219</f>
              <numCache>
                <formatCode>m/d/yy</formatCode>
                <ptCount val="214"/>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numCache>
            </numRef>
          </cat>
          <val>
            <numRef>
              <f>'Euro Area'!$B$6:$B$219</f>
              <numCache>
                <formatCode>General</formatCode>
                <ptCount val="214"/>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pt idx="211">
                  <v>49.8</v>
                </pt>
                <pt idx="212">
                  <v>49.6</v>
                </pt>
                <pt idx="213">
                  <v>48.4</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Japan!$A$6:$A$182</f>
              <numCache>
                <formatCode>m/d/yy</formatCode>
                <ptCount val="177"/>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pt idx="173">
                  <v>44743</v>
                </pt>
                <pt idx="174">
                  <v>44774</v>
                </pt>
                <pt idx="175">
                  <v>44805</v>
                </pt>
              </numCache>
            </numRef>
          </cat>
          <val>
            <numRef>
              <f>Japan!$B$6:$B$182</f>
              <numCache>
                <formatCode>General</formatCode>
                <ptCount val="177"/>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pt idx="173">
                  <v>52.1</v>
                </pt>
                <pt idx="174">
                  <v>51.5</v>
                </pt>
                <pt idx="175">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Germany!$A$6:$A$182</f>
              <numCache>
                <formatCode>m/d/yy</formatCode>
                <ptCount val="177"/>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pt idx="174">
                  <v>44743</v>
                </pt>
                <pt idx="175">
                  <v>44774</v>
                </pt>
                <pt idx="176">
                  <v>44805</v>
                </pt>
              </numCache>
            </numRef>
          </cat>
          <val>
            <numRef>
              <f>Germany!$B$6:$B$182</f>
              <numCache>
                <formatCode>General</formatCode>
                <ptCount val="177"/>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pt idx="174">
                  <v>49.3</v>
                </pt>
                <pt idx="175">
                  <v>49.1</v>
                </pt>
                <pt idx="176">
                  <v>47.8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France!$A$6:$A$175</f>
              <numCache>
                <formatCode>m/d/yy</formatCode>
                <ptCount val="170"/>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pt idx="167">
                  <v>44743</v>
                </pt>
                <pt idx="168">
                  <v>44774</v>
                </pt>
                <pt idx="169">
                  <v>44805</v>
                </pt>
              </numCache>
            </numRef>
          </cat>
          <val>
            <numRef>
              <f>France!$B$6:$B$175</f>
              <numCache>
                <formatCode>General</formatCode>
                <ptCount val="170"/>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pt idx="167">
                  <v>49.5</v>
                </pt>
                <pt idx="168">
                  <v>50.6</v>
                </pt>
                <pt idx="169">
                  <v>47.7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numCache>
            </numRef>
          </cat>
          <val>
            <numRef>
              <f>UK!$B$18:$B$224</f>
              <numCache>
                <formatCode>General</formatCode>
                <ptCount val="207"/>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pt idx="199">
                  <v>52.1</v>
                </pt>
                <pt idx="200">
                  <v>47.3</v>
                </pt>
                <pt idx="201">
                  <v>48.4</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UK!$A$18:$A$224</f>
              <numCache>
                <formatCode>m/d/yy</formatCode>
                <ptCount val="207"/>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pt idx="199">
                  <v>44743</v>
                </pt>
                <pt idx="200">
                  <v>44774</v>
                </pt>
                <pt idx="201">
                  <v>44805</v>
                </pt>
              </numCache>
            </numRef>
          </cat>
          <val>
            <numRef>
              <f>UK!$D$18:$D$224</f>
              <numCache>
                <formatCode>0.00</formatCode>
                <ptCount val="207"/>
                <pt idx="0">
                  <v>19.13857078552246</v>
                </pt>
                <pt idx="1">
                  <v>20.93079376220703</v>
                </pt>
                <pt idx="2">
                  <v>20.81398391723633</v>
                </pt>
                <pt idx="3">
                  <v>21.40866470336914</v>
                </pt>
                <pt idx="4">
                  <v>22.77856636047363</v>
                </pt>
                <pt idx="5">
                  <v>22.17326545715332</v>
                </pt>
                <pt idx="6">
                  <v>22.35379028320312</v>
                </pt>
                <pt idx="7">
                  <v>22.9378547668457</v>
                </pt>
                <pt idx="8">
                  <v>23.43696784973145</v>
                </pt>
                <pt idx="9">
                  <v>23.24580764770508</v>
                </pt>
                <pt idx="10">
                  <v>24.31837463378906</v>
                </pt>
                <pt idx="11">
                  <v>25.00863265991211</v>
                </pt>
                <pt idx="12">
                  <v>24.85996437072754</v>
                </pt>
                <pt idx="13">
                  <v>25.89701461791992</v>
                </pt>
                <pt idx="14">
                  <v>25.5124626159668</v>
                </pt>
                <pt idx="15">
                  <v>26.44638633728027</v>
                </pt>
                <pt idx="16">
                  <v>27.30339431762695</v>
                </pt>
                <pt idx="17">
                  <v>27.88571166992188</v>
                </pt>
                <pt idx="18">
                  <v>28.0724983215332</v>
                </pt>
                <pt idx="19">
                  <v>27.12759208679199</v>
                </pt>
                <pt idx="20">
                  <v>27.18253135681152</v>
                </pt>
                <pt idx="21">
                  <v>28.2702751159668</v>
                </pt>
                <pt idx="22">
                  <v>29.90737915039062</v>
                </pt>
                <pt idx="23">
                  <v>28.1494140625</v>
                </pt>
                <pt idx="24">
                  <v>26.45736694335938</v>
                </pt>
                <pt idx="25">
                  <v>25.1964054107666</v>
                </pt>
                <pt idx="26">
                  <v>24.90077781677246</v>
                </pt>
                <pt idx="27">
                  <v>24.51419258117676</v>
                </pt>
                <pt idx="28">
                  <v>25.96957778930664</v>
                </pt>
                <pt idx="29">
                  <v>25.91273880004883</v>
                </pt>
                <pt idx="30">
                  <v>23.55909156799316</v>
                </pt>
                <pt idx="31">
                  <v>23.10832214355469</v>
                </pt>
                <pt idx="32">
                  <v>22.32912826538086</v>
                </pt>
                <pt idx="33">
                  <v>19.3635425567627</v>
                </pt>
                <pt idx="34">
                  <v>15.53735065460205</v>
                </pt>
                <pt idx="35">
                  <v>14.53719234466553</v>
                </pt>
                <pt idx="36">
                  <v>14.24645042419434</v>
                </pt>
                <pt idx="37">
                  <v>13.28121376037598</v>
                </pt>
                <pt idx="38">
                  <v>11.98898601531982</v>
                </pt>
                <pt idx="39">
                  <v>12.53937816619873</v>
                </pt>
                <pt idx="40">
                  <v>14.03500843048096</v>
                </pt>
                <pt idx="41">
                  <v>16.42802047729492</v>
                </pt>
                <pt idx="42">
                  <v>15.8058385848999</v>
                </pt>
                <pt idx="43">
                  <v>17.45728302001953</v>
                </pt>
                <pt idx="44">
                  <v>18.21258735656738</v>
                </pt>
                <pt idx="45">
                  <v>18.89479827880859</v>
                </pt>
                <pt idx="46">
                  <v>18.87043190002441</v>
                </pt>
                <pt idx="47">
                  <v>19.82065582275391</v>
                </pt>
                <pt idx="48">
                  <v>19.73537635803223</v>
                </pt>
                <pt idx="49">
                  <v>19.01722717285156</v>
                </pt>
                <pt idx="50">
                  <v>18.85700416564941</v>
                </pt>
                <pt idx="51">
                  <v>20.05251312255859</v>
                </pt>
                <pt idx="52">
                  <v>19.62114143371582</v>
                </pt>
                <pt idx="53">
                  <v>17.46429634094238</v>
                </pt>
                <pt idx="54">
                  <v>16.56458282470703</v>
                </pt>
                <pt idx="55">
                  <v>19.30181503295898</v>
                </pt>
                <pt idx="56">
                  <v>18.76251983642578</v>
                </pt>
                <pt idx="57">
                  <v>20.51836967468262</v>
                </pt>
                <pt idx="58">
                  <v>21.38374710083008</v>
                </pt>
                <pt idx="59">
                  <v>20.26753425598145</v>
                </pt>
                <pt idx="60">
                  <v>21.78508949279785</v>
                </pt>
                <pt idx="61">
                  <v>22.24545288085938</v>
                </pt>
                <pt idx="62">
                  <v>23.25891304016113</v>
                </pt>
                <pt idx="63">
                  <v>22.68883895874023</v>
                </pt>
                <pt idx="64">
                  <v>24.20903015136719</v>
                </pt>
                <pt idx="65">
                  <v>23.63895606994629</v>
                </pt>
                <pt idx="66">
                  <v>22.56216239929199</v>
                </pt>
                <pt idx="67">
                  <v>22.86177062988281</v>
                </pt>
                <pt idx="68">
                  <v>21.1091194152832</v>
                </pt>
                <pt idx="69">
                  <v>19.0342960357666</v>
                </pt>
                <pt idx="70">
                  <v>21.4957389831543</v>
                </pt>
                <pt idx="71">
                  <v>21.14778137207031</v>
                </pt>
                <pt idx="72">
                  <v>20.82560157775879</v>
                </pt>
                <pt idx="73">
                  <v>21.81756973266602</v>
                </pt>
                <pt idx="74">
                  <v>22.92937278747559</v>
                </pt>
                <pt idx="75">
                  <v>22.6285285949707</v>
                </pt>
                <pt idx="76">
                  <v>22.95553588867188</v>
                </pt>
                <pt idx="77">
                  <v>20.33951950073242</v>
                </pt>
                <pt idx="78">
                  <v>21.30744552612305</v>
                </pt>
                <pt idx="79">
                  <v>21.99986839294434</v>
                </pt>
                <pt idx="80">
                  <v>22.72293281555176</v>
                </pt>
                <pt idx="81">
                  <v>23.29870223999023</v>
                </pt>
                <pt idx="82">
                  <v>23.40582275390625</v>
                </pt>
                <pt idx="83">
                  <v>23.67362976074219</v>
                </pt>
                <pt idx="84">
                  <v>24.02177238464355</v>
                </pt>
                <pt idx="85">
                  <v>25.08321380615234</v>
                </pt>
                <pt idx="86">
                  <v>24.40419006347656</v>
                </pt>
                <pt idx="87">
                  <v>24.81160736083984</v>
                </pt>
                <pt idx="88">
                  <v>25.51779365539551</v>
                </pt>
                <pt idx="89">
                  <v>25.49063491821289</v>
                </pt>
                <pt idx="90">
                  <v>23.98319053649902</v>
                </pt>
                <pt idx="91">
                  <v>25.89598274230957</v>
                </pt>
                <pt idx="92">
                  <v>25.70303726196289</v>
                </pt>
                <pt idx="93">
                  <v>27.03987503051758</v>
                </pt>
                <pt idx="94">
                  <v>28.04594230651855</v>
                </pt>
                <pt idx="95">
                  <v>28.26645469665527</v>
                </pt>
                <pt idx="96">
                  <v>28.77636909484863</v>
                </pt>
                <pt idx="97">
                  <v>27.76943969726562</v>
                </pt>
                <pt idx="98">
                  <v>29.65234375</v>
                </pt>
                <pt idx="99">
                  <v>28.71786689758301</v>
                </pt>
                <pt idx="100">
                  <v>30.01497840881348</v>
                </pt>
                <pt idx="101">
                  <v>30.3078784942627</v>
                </pt>
                <pt idx="102">
                  <v>29.12233543395996</v>
                </pt>
                <pt idx="103">
                  <v>29.8208065032959</v>
                </pt>
                <pt idx="104">
                  <v>30.0549259185791</v>
                </pt>
                <pt idx="105">
                  <v>28.35757064819336</v>
                </pt>
                <pt idx="106">
                  <v>27.81616973876953</v>
                </pt>
                <pt idx="107">
                  <v>27.84543800354004</v>
                </pt>
                <pt idx="108">
                  <v>26.3821964263916</v>
                </pt>
                <pt idx="109">
                  <v>26.92446517944336</v>
                </pt>
                <pt idx="110">
                  <v>28.50650215148926</v>
                </pt>
                <pt idx="111">
                  <v>26.87969017028809</v>
                </pt>
                <pt idx="112">
                  <v>28.67067337036133</v>
                </pt>
                <pt idx="113">
                  <v>28.84976387023926</v>
                </pt>
                <pt idx="114">
                  <v>27.23788452148438</v>
                </pt>
                <pt idx="115">
                  <v>28.17518424987793</v>
                </pt>
                <pt idx="116">
                  <v>25.92603302001953</v>
                </pt>
                <pt idx="117">
                  <v>24.9078369140625</v>
                </pt>
                <pt idx="118">
                  <v>26.54910659790039</v>
                </pt>
                <pt idx="119">
                  <v>26.10840034484863</v>
                </pt>
                <pt idx="120">
                  <v>24.52791404724121</v>
                </pt>
                <pt idx="121">
                  <v>23.81165313720703</v>
                </pt>
                <pt idx="122">
                  <v>23.06754493713379</v>
                </pt>
                <pt idx="123">
                  <v>24.3077335357666</v>
                </pt>
                <pt idx="124">
                  <v>25.28437995910645</v>
                </pt>
                <pt idx="125">
                  <v>24.98983764648438</v>
                </pt>
                <pt idx="126">
                  <v>23.82715797424316</v>
                </pt>
                <pt idx="127">
                  <v>24.78558349609375</v>
                </pt>
                <pt idx="128">
                  <v>25.05568313598633</v>
                </pt>
                <pt idx="129">
                  <v>25.16690444946289</v>
                </pt>
                <pt idx="130">
                  <v>23.83229064941406</v>
                </pt>
                <pt idx="131">
                  <v>23.87995529174805</v>
                </pt>
                <pt idx="132">
                  <v>24.38043403625488</v>
                </pt>
                <pt idx="133">
                  <v>25.33012008666992</v>
                </pt>
                <pt idx="134">
                  <v>25.70060920715332</v>
                </pt>
                <pt idx="135">
                  <v>26.21606826782227</v>
                </pt>
                <pt idx="136">
                  <v>26.6590461730957</v>
                </pt>
                <pt idx="137">
                  <v>27.87521362304688</v>
                </pt>
                <pt idx="138">
                  <v>26.84429168701172</v>
                </pt>
                <pt idx="139">
                  <v>28.0866870880127</v>
                </pt>
                <pt idx="140">
                  <v>27.85620307922363</v>
                </pt>
                <pt idx="141">
                  <v>28.68760871887207</v>
                </pt>
                <pt idx="142">
                  <v>28.86047554016113</v>
                </pt>
                <pt idx="143">
                  <v>28.82754707336426</v>
                </pt>
                <pt idx="144">
                  <v>29.486083984375</v>
                </pt>
                <pt idx="145">
                  <v>31.1660327911377</v>
                </pt>
                <pt idx="146">
                  <v>29.07766723632812</v>
                </pt>
                <pt idx="147">
                  <v>29.14476585388184</v>
                </pt>
                <pt idx="148">
                  <v>30.40281677246094</v>
                </pt>
                <pt idx="149">
                  <v>30.21829986572266</v>
                </pt>
                <pt idx="150">
                  <v>29.16992568969727</v>
                </pt>
                <pt idx="151">
                  <v>30.14255523681641</v>
                </pt>
                <pt idx="152">
                  <v>28.82043647766113</v>
                </pt>
                <pt idx="153">
                  <v>29.2926197052002</v>
                </pt>
                <pt idx="154">
                  <v>27.30944442749023</v>
                </pt>
                <pt idx="155">
                  <v>26.98321151733398</v>
                </pt>
                <pt idx="156">
                  <v>25.1974925994873</v>
                </pt>
                <pt idx="157">
                  <v>27.62422370910645</v>
                </pt>
                <pt idx="158">
                  <v>28.5716381072998</v>
                </pt>
                <pt idx="159">
                  <v>28.95762252807617</v>
                </pt>
                <pt idx="160">
                  <v>29.61554908752441</v>
                </pt>
                <pt idx="161">
                  <v>27.7996711730957</v>
                </pt>
                <pt idx="162">
                  <v>28.35233116149902</v>
                </pt>
                <pt idx="163">
                  <v>28.37573051452637</v>
                </pt>
                <pt idx="164">
                  <v>27.29611968994141</v>
                </pt>
                <pt idx="165">
                  <v>28.27676582336426</v>
                </pt>
                <pt idx="166">
                  <v>29.26640701293945</v>
                </pt>
                <pt idx="167">
                  <v>29.62627983093262</v>
                </pt>
                <pt idx="168">
                  <v>30.67889404296875</v>
                </pt>
                <pt idx="169">
                  <v>29.89042472839355</v>
                </pt>
                <pt idx="170">
                  <v>26.831787109375</v>
                </pt>
                <pt idx="171">
                  <v>21.86836433410645</v>
                </pt>
                <pt idx="172">
                  <v>23.12295341491699</v>
                </pt>
                <pt idx="173">
                  <v>23.56252098083496</v>
                </pt>
                <pt idx="174">
                  <v>23.58999443054199</v>
                </pt>
                <pt idx="175">
                  <v>24.10858726501465</v>
                </pt>
                <pt idx="176">
                  <v>24.76871299743652</v>
                </pt>
                <pt idx="177">
                  <v>23.69949150085449</v>
                </pt>
                <pt idx="178">
                  <v>22.63027381896973</v>
                </pt>
                <pt idx="179">
                  <v>26.2749195098877</v>
                </pt>
                <pt idx="180">
                  <v>27.23257064819336</v>
                </pt>
                <pt idx="181">
                  <v>27.47809791564941</v>
                </pt>
                <pt idx="182">
                  <v>28.55954360961914</v>
                </pt>
                <pt idx="183">
                  <v>29.44350624084473</v>
                </pt>
                <pt idx="184">
                  <v>30.59077644348145</v>
                </pt>
                <pt idx="185">
                  <v>31.77566719055176</v>
                </pt>
                <pt idx="186">
                  <v>30.75064468383789</v>
                </pt>
                <pt idx="187">
                  <v>31.35806846618652</v>
                </pt>
                <pt idx="188">
                  <v>31.56845855712891</v>
                </pt>
                <pt idx="189">
                  <v>30.84165000915527</v>
                </pt>
                <pt idx="190">
                  <v>32.20920181274414</v>
                </pt>
                <pt idx="191">
                  <v>30.64082145690918</v>
                </pt>
                <pt idx="192">
                  <v>31.69278335571289</v>
                </pt>
                <pt idx="193">
                  <v>33.29218292236328</v>
                </pt>
                <pt idx="194">
                  <v>32.89924240112305</v>
                </pt>
                <pt idx="195">
                  <v>33.04659271240234</v>
                </pt>
                <pt idx="196">
                  <v>31.7302303314209</v>
                </pt>
                <pt idx="197">
                  <v>32.58488464355469</v>
                </pt>
                <pt idx="198">
                  <v>29.43150901794434</v>
                </pt>
                <pt idx="199">
                  <v>30.90999984741211</v>
                </pt>
                <pt idx="200">
                  <v>28.90999984741211</v>
                </pt>
                <pt idx="201">
                  <v>26.20999908447266</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UK!$A$6:$A$219</f>
              <numCache>
                <formatCode>m/d/yy</formatCode>
                <ptCount val="214"/>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pt idx="211">
                  <v>44743</v>
                </pt>
                <pt idx="212">
                  <v>44774</v>
                </pt>
                <pt idx="213">
                  <v>44805</v>
                </pt>
              </numCache>
            </numRef>
          </cat>
          <val>
            <numRef>
              <f>UK!$B$6:$B$219</f>
              <numCache>
                <formatCode>General</formatCode>
                <ptCount val="214"/>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pt idx="211">
                  <v>52.1</v>
                </pt>
                <pt idx="212">
                  <v>47.3</v>
                </pt>
                <pt idx="213">
                  <v>48.4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Italy!$A$6:$A$195</f>
              <numCache>
                <formatCode>m/d/yy</formatCode>
                <ptCount val="190"/>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numCache>
            </numRef>
          </cat>
          <val>
            <numRef>
              <f>Italy!$B$6:$B$195</f>
              <numCache>
                <formatCode>General</formatCode>
                <ptCount val="190"/>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pt idx="187">
                  <v>48.5</v>
                </pt>
                <pt idx="188">
                  <v>48</v>
                </pt>
                <pt idx="189">
                  <v>48.3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Spain!$A$6:$A$195</f>
              <numCache>
                <formatCode>m/d/yy</formatCode>
                <ptCount val="190"/>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pt idx="187">
                  <v>44743</v>
                </pt>
                <pt idx="188">
                  <v>44774</v>
                </pt>
                <pt idx="189">
                  <v>44805</v>
                </pt>
              </numCache>
            </numRef>
          </cat>
          <val>
            <numRef>
              <f>Spain!$B$6:$B$195</f>
              <numCache>
                <formatCode>General</formatCode>
                <ptCount val="190"/>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pt idx="187">
                  <v>48.7</v>
                </pt>
                <pt idx="188">
                  <v>49.9</v>
                </pt>
                <pt idx="189">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Brazil!$B$6:$B$149</f>
              <numCache>
                <formatCode>General</formatCode>
                <ptCount val="144"/>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pt idx="141">
                  <v>54</v>
                </pt>
                <pt idx="142">
                  <v>51.9</v>
                </pt>
                <pt idx="143">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Mexico!$A$6:$A$144</f>
              <numCache>
                <formatCode>m/d/yy</formatCode>
                <ptCount val="139"/>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numCache>
            </numRef>
          </cat>
          <val>
            <numRef>
              <f>Mexico!$B$6:$B$144</f>
              <numCache>
                <formatCode>General</formatCode>
                <ptCount val="139"/>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pt idx="135">
                  <v>48.5</v>
                </pt>
                <pt idx="136">
                  <v>48.5</v>
                </pt>
                <pt idx="137">
                  <v>50.3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Russia!$B$6:$B$149</f>
              <numCache>
                <formatCode>General</formatCode>
                <ptCount val="144"/>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pt idx="141">
                  <v>50.3</v>
                </pt>
                <pt idx="142">
                  <v>51.7</v>
                </pt>
                <pt idx="143">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India!$B$6:$B$149</f>
              <numCache>
                <formatCode>General</formatCode>
                <ptCount val="144"/>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pt idx="141">
                  <v>56.4</v>
                </pt>
                <pt idx="142">
                  <v>56.2</v>
                </pt>
                <pt idx="143">
                  <v>55.1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Canada!$A$6:$A$143</f>
              <numCache>
                <formatCode>m/d/yy</formatCode>
                <ptCount val="138"/>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numCache>
            </numRef>
          </cat>
          <val>
            <numRef>
              <f>Canada!$B$6:$B$143</f>
              <numCache>
                <formatCode>General</formatCode>
                <ptCount val="138"/>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pt idx="135">
                  <v>52.5</v>
                </pt>
                <pt idx="136">
                  <v>48.7</v>
                </pt>
                <pt idx="137">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Australia!$A$6:$A$178</f>
              <numCache>
                <formatCode>m/d/yy</formatCode>
                <ptCount val="173"/>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pt idx="170">
                  <v>44743</v>
                </pt>
                <pt idx="171">
                  <v>44774</v>
                </pt>
                <pt idx="172">
                  <v>44805</v>
                </pt>
              </numCache>
            </numRef>
          </cat>
          <val>
            <numRef>
              <f>Australia!$B$6:$B$178</f>
              <numCache>
                <formatCode>General</formatCode>
                <ptCount val="173"/>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pt idx="170">
                  <v>52.5</v>
                </pt>
                <pt idx="171">
                  <v>49.3</v>
                </pt>
                <pt idx="172">
                  <v>50.2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Indonesia!$A$6:$A$143</f>
              <numCache>
                <formatCode>m/d/yy</formatCode>
                <ptCount val="138"/>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pt idx="135">
                  <v>44743</v>
                </pt>
                <pt idx="136">
                  <v>44774</v>
                </pt>
                <pt idx="137">
                  <v>44805</v>
                </pt>
              </numCache>
            </numRef>
          </cat>
          <val>
            <numRef>
              <f>Indonesia!$B$6:$B$143</f>
              <numCache>
                <formatCode>General</formatCode>
                <ptCount val="138"/>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pt idx="135">
                  <v>51.3</v>
                </pt>
                <pt idx="136">
                  <v>51.7</v>
                </pt>
                <pt idx="137">
                  <v>53.7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SouthKorea!$A$6:$A$147</f>
              <numCache>
                <formatCode>m/d/yy</formatCode>
                <ptCount val="142"/>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pt idx="139">
                  <v>44743</v>
                </pt>
                <pt idx="140">
                  <v>44774</v>
                </pt>
                <pt idx="141">
                  <v>44805</v>
                </pt>
              </numCache>
            </numRef>
          </cat>
          <val>
            <numRef>
              <f>SouthKorea!$B$6:$B$147</f>
              <numCache>
                <formatCode>General</formatCode>
                <ptCount val="142"/>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pt idx="139">
                  <v>49.8</v>
                </pt>
                <pt idx="140">
                  <v>47.6</v>
                </pt>
                <pt idx="141">
                  <v>47.3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Taiwan!$B$6:$B$149</f>
              <numCache>
                <formatCode>General</formatCode>
                <ptCount val="144"/>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pt idx="141">
                  <v>44.6</v>
                </pt>
                <pt idx="142">
                  <v>42.7</v>
                </pt>
                <pt idx="143">
                  <v>42.2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Greece!$A$6:$A$149</f>
              <numCache>
                <formatCode>m/d/yy</formatCode>
                <ptCount val="144"/>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Greece!$B$6:$B$149</f>
              <numCache>
                <formatCode>General</formatCode>
                <ptCount val="144"/>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pt idx="141">
                  <v>49.1</v>
                </pt>
                <pt idx="142">
                  <v>48.8</v>
                </pt>
                <pt idx="143">
                  <v>49.7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Ireland!$B$6:$B$149</f>
              <numCache>
                <formatCode>General</formatCode>
                <ptCount val="144"/>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pt idx="141">
                  <v>51.8</v>
                </pt>
                <pt idx="142">
                  <v>51.1</v>
                </pt>
                <pt idx="143">
                  <v>51.5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Turkey!$B$6:$B$149</f>
              <numCache>
                <formatCode>General</formatCode>
                <ptCount val="144"/>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pt idx="141">
                  <v>46.9</v>
                </pt>
                <pt idx="142">
                  <v>47.4</v>
                </pt>
                <pt idx="143">
                  <v>46.9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CzechRepublic!$B$6:$B$149</f>
              <numCache>
                <formatCode>General</formatCode>
                <ptCount val="144"/>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pt idx="141">
                  <v>46.8</v>
                </pt>
                <pt idx="142">
                  <v>46.8</v>
                </pt>
                <pt idx="143">
                  <v>44.7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Poland!$A$6:$A$149</f>
              <numCache>
                <formatCode>m/d/yy</formatCode>
                <ptCount val="144"/>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pt idx="141">
                  <v>44743</v>
                </pt>
                <pt idx="142">
                  <v>44774</v>
                </pt>
                <pt idx="143">
                  <v>44805</v>
                </pt>
              </numCache>
            </numRef>
          </cat>
          <val>
            <numRef>
              <f>Poland!$B$6:$B$149</f>
              <numCache>
                <formatCode>General</formatCode>
                <ptCount val="144"/>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pt idx="141">
                  <v>42.1</v>
                </pt>
                <pt idx="142">
                  <v>40.9</v>
                </pt>
                <pt idx="143">
                  <v>43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Denmark!$A$6:$A$350</f>
              <numCache>
                <formatCode>m/d/yy</formatCode>
                <ptCount val="345"/>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pt idx="342">
                  <v>44743</v>
                </pt>
                <pt idx="343">
                  <v>44774</v>
                </pt>
                <pt idx="344">
                  <v>44805</v>
                </pt>
              </numCache>
            </numRef>
          </cat>
          <val>
            <numRef>
              <f>Denmark!$B$6:$B$350</f>
              <numCache>
                <formatCode>General</formatCode>
                <ptCount val="345"/>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pt idx="342">
                  <v>38</v>
                </pt>
                <pt idx="343">
                  <v>48</v>
                </pt>
                <pt idx="344">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Vietnam!$A$6:$A$128</f>
              <numCache>
                <formatCode>m/d/yy</formatCode>
                <ptCount val="123"/>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pt idx="120">
                  <v>44743</v>
                </pt>
                <pt idx="121">
                  <v>44774</v>
                </pt>
                <pt idx="122">
                  <v>44805</v>
                </pt>
              </numCache>
            </numRef>
          </cat>
          <val>
            <numRef>
              <f>Vietnam!$B$6:$B$128</f>
              <numCache>
                <formatCode>General</formatCode>
                <ptCount val="123"/>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pt idx="120">
                  <v>51.2</v>
                </pt>
                <pt idx="121">
                  <v>52.7</v>
                </pt>
                <pt idx="122">
                  <v>52.5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Thailand!$A$6:$A$80</f>
              <numCache>
                <formatCode>m/d/yy</formatCode>
                <ptCount val="75"/>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pt idx="72">
                  <v>44743</v>
                </pt>
                <pt idx="73">
                  <v>44774</v>
                </pt>
                <pt idx="74">
                  <v>44805</v>
                </pt>
              </numCache>
            </numRef>
          </cat>
          <val>
            <numRef>
              <f>Thailand!$B$6:$B$80</f>
              <numCache>
                <formatCode>General</formatCode>
                <ptCount val="75"/>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pt idx="72">
                  <v>52.4</v>
                </pt>
                <pt idx="73">
                  <v>53.7</v>
                </pt>
                <pt idx="74">
                  <v>55.7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Africa'!$A$6:$A$278</f>
              <numCache>
                <formatCode>m/d/yy</formatCode>
                <ptCount val="27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numCache>
            </numRef>
          </cat>
          <val>
            <numRef>
              <f>'South Africa'!$B$6:$B$278</f>
              <numCache>
                <formatCode>General</formatCode>
                <ptCount val="27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pt idx="270">
                  <v>47.6</v>
                </pt>
                <pt idx="271">
                  <v>52.1</v>
                </pt>
                <pt idx="272">
                  <v>48.2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Kong'!$A$6:$A$129</f>
              <numCache>
                <formatCode>m/d/yy</formatCode>
                <ptCount val="124"/>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pt idx="121">
                  <v>44743</v>
                </pt>
                <pt idx="122">
                  <v>44774</v>
                </pt>
                <pt idx="123">
                  <v>44805</v>
                </pt>
              </numCache>
            </numRef>
          </cat>
          <val>
            <numRef>
              <f>'Hong Kong'!$B$6:$B$129</f>
              <numCache>
                <formatCode>General</formatCode>
                <ptCount val="124"/>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pt idx="121">
                  <v>52.3</v>
                </pt>
                <pt idx="122">
                  <v>51.2</v>
                </pt>
                <pt idx="123">
                  <v>48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Arabia'!$A$6:$A$95</f>
              <numCache>
                <formatCode>m/d/yy</formatCode>
                <ptCount val="90"/>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pt idx="87">
                  <v>44743</v>
                </pt>
                <pt idx="88">
                  <v>44774</v>
                </pt>
                <pt idx="89">
                  <v>44805</v>
                </pt>
              </numCache>
            </numRef>
          </cat>
          <val>
            <numRef>
              <f>'Saudi Arabia'!$B$6:$B$95</f>
              <numCache>
                <formatCode>General</formatCode>
                <ptCount val="90"/>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pt idx="87">
                  <v>56.3</v>
                </pt>
                <pt idx="88">
                  <v>57.7</v>
                </pt>
                <pt idx="89">
                  <v>56.6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NewZealand!$A$6:$A$247</f>
              <numCache>
                <formatCode>m/d/yy</formatCode>
                <ptCount val="24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pt idx="239">
                  <v>44743</v>
                </pt>
                <pt idx="240">
                  <v>44774</v>
                </pt>
                <pt idx="241">
                  <v>44805</v>
                </pt>
              </numCache>
            </numRef>
          </cat>
          <val>
            <numRef>
              <f>NewZealand!$B$6:$B$247</f>
              <numCache>
                <formatCode>0.00</formatCode>
                <ptCount val="24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pt idx="239">
                  <v>52.7</v>
                </pt>
                <pt idx="240">
                  <v>54.9</v>
                </pt>
                <pt idx="241">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61" dataDxfId="259" headerRowBorderDxfId="260" tableBorderDxfId="258" totalsRowBorderDxfId="257">
  <autoFilter ref="A5:F146"/>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9" headerRowCount="1" totalsRowShown="0" headerRowDxfId="250" dataDxfId="248" headerRowBorderDxfId="249" tableBorderDxfId="247" totalsRowBorderDxfId="246">
  <autoFilter ref="A5:D149"/>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8" headerRowCount="1" totalsRowShown="0" headerRowDxfId="241" dataDxfId="239" headerRowBorderDxfId="240" tableBorderDxfId="238" totalsRowBorderDxfId="237">
  <autoFilter ref="A5:F218"/>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9" headerRowCount="1" totalsRowShown="0" headerRowDxfId="230" dataDxfId="228" headerRowBorderDxfId="229" tableBorderDxfId="227" totalsRowBorderDxfId="226">
  <autoFilter ref="A5:G219"/>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81" headerRowCount="1" totalsRowShown="0" headerRowDxfId="218" dataDxfId="216" headerRowBorderDxfId="217" tableBorderDxfId="215" totalsRowBorderDxfId="214">
  <autoFilter ref="A5:C181"/>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82" headerRowCount="1" totalsRowShown="0" headerRowDxfId="210" dataDxfId="208" headerRowBorderDxfId="209" tableBorderDxfId="207" totalsRowBorderDxfId="206">
  <autoFilter ref="A5:C182"/>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5" headerRowCount="1" totalsRowShown="0" headerRowDxfId="202" dataDxfId="200" headerRowBorderDxfId="201" tableBorderDxfId="199" totalsRowBorderDxfId="198">
  <autoFilter ref="A5:C175"/>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9" headerRowCount="1" totalsRowShown="0" headerRowDxfId="194" dataDxfId="192" headerRowBorderDxfId="193" tableBorderDxfId="191" totalsRowBorderDxfId="190">
  <autoFilter ref="A5:F219"/>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5" headerRowCount="1" totalsRowShown="0" headerRowDxfId="183" dataDxfId="181" headerRowBorderDxfId="182" tableBorderDxfId="180" totalsRowBorderDxfId="179">
  <autoFilter ref="A5:C195"/>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5" headerRowCount="1" totalsRowShown="0" headerRowDxfId="175" dataDxfId="173" headerRowBorderDxfId="174" tableBorderDxfId="172" totalsRowBorderDxfId="171">
  <autoFilter ref="A5:C195"/>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9" headerRowCount="1" totalsRowShown="0" headerRowDxfId="167" dataDxfId="165" headerRowBorderDxfId="166" tableBorderDxfId="164" totalsRowBorderDxfId="163">
  <autoFilter ref="A5:C149"/>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3" headerRowCount="1" totalsRowShown="0" headerRowDxfId="159" dataDxfId="157" headerRowBorderDxfId="158" tableBorderDxfId="156" totalsRowBorderDxfId="155">
  <autoFilter ref="A5:C143"/>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9" headerRowCount="1" totalsRowShown="0" headerRowDxfId="151" dataDxfId="149" headerRowBorderDxfId="150" tableBorderDxfId="148" totalsRowBorderDxfId="147">
  <autoFilter ref="A5:C149"/>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9" headerRowCount="1" totalsRowShown="0" headerRowDxfId="143" dataDxfId="141" headerRowBorderDxfId="142" tableBorderDxfId="140" totalsRowBorderDxfId="139">
  <autoFilter ref="A5:C149"/>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3" headerRowCount="1" totalsRowShown="0" headerRowDxfId="135" dataDxfId="133" headerRowBorderDxfId="134" tableBorderDxfId="132" totalsRowBorderDxfId="131">
  <autoFilter ref="A5:C143"/>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8" headerRowCount="1" totalsRowShown="0" headerRowDxfId="127" dataDxfId="125" headerRowBorderDxfId="126" tableBorderDxfId="124" totalsRowBorderDxfId="123">
  <autoFilter ref="A5:C178"/>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3" headerRowCount="1" totalsRowShown="0" headerRowDxfId="119" dataDxfId="117" headerRowBorderDxfId="118" tableBorderDxfId="116" totalsRowBorderDxfId="115">
  <autoFilter ref="A5:C143"/>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7" headerRowCount="1" totalsRowShown="0" headerRowDxfId="111" dataDxfId="109" headerRowBorderDxfId="110" tableBorderDxfId="108" totalsRowBorderDxfId="107">
  <autoFilter ref="A5:C147"/>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9" headerRowCount="1" totalsRowShown="0" headerRowDxfId="103" dataDxfId="101" headerRowBorderDxfId="102" tableBorderDxfId="100" totalsRowBorderDxfId="99">
  <autoFilter ref="A5:C149"/>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9" headerRowCount="1" totalsRowShown="0" headerRowDxfId="95" dataDxfId="93" headerRowBorderDxfId="94" tableBorderDxfId="92" totalsRowBorderDxfId="91">
  <autoFilter ref="A5:C149"/>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9" headerRowCount="1" totalsRowShown="0" headerRowDxfId="87" dataDxfId="85" headerRowBorderDxfId="86" tableBorderDxfId="84" totalsRowBorderDxfId="83">
  <autoFilter ref="A5:C149"/>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9" headerRowCount="1" totalsRowShown="0" headerRowDxfId="79" dataDxfId="77" headerRowBorderDxfId="78" tableBorderDxfId="76" totalsRowBorderDxfId="75">
  <autoFilter ref="A5:C149"/>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9" headerRowCount="1" totalsRowShown="0" headerRowDxfId="71" dataDxfId="69" headerRowBorderDxfId="70" tableBorderDxfId="68" totalsRowBorderDxfId="67">
  <autoFilter ref="A5:C149"/>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9" headerRowCount="1" totalsRowShown="0" headerRowDxfId="63" dataDxfId="61" headerRowBorderDxfId="62" tableBorderDxfId="60" totalsRowBorderDxfId="59">
  <autoFilter ref="A5:C149"/>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50" headerRowCount="1" totalsRowShown="0" headerRowDxfId="55" dataDxfId="53" headerRowBorderDxfId="54" tableBorderDxfId="52" totalsRowBorderDxfId="51">
  <autoFilter ref="A5:C350"/>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8" headerRowCount="1" totalsRowShown="0" headerRowDxfId="47" dataDxfId="45" headerRowBorderDxfId="46" tableBorderDxfId="44" totalsRowBorderDxfId="43">
  <autoFilter ref="A5:C128"/>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80" headerRowCount="1" totalsRowShown="0" headerRowDxfId="39" dataDxfId="37" headerRowBorderDxfId="38" tableBorderDxfId="36" totalsRowBorderDxfId="35">
  <autoFilter ref="A5:C80"/>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8" headerRowCount="1" totalsRowShown="0" headerRowDxfId="31" dataDxfId="29" headerRowBorderDxfId="30" tableBorderDxfId="28" totalsRowBorderDxfId="27">
  <autoFilter ref="A5:C27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9" headerRowCount="1" totalsRowShown="0" headerRowDxfId="23" dataDxfId="21" headerRowBorderDxfId="22" tableBorderDxfId="20" totalsRowBorderDxfId="19">
  <autoFilter ref="A5:C129"/>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5" headerRowCount="1" totalsRowShown="0" headerRowDxfId="15" dataDxfId="13" headerRowBorderDxfId="14" tableBorderDxfId="12" totalsRowBorderDxfId="11">
  <autoFilter ref="A5:C95"/>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7" headerRowCount="1" totalsRowShown="0" headerRowDxfId="7" dataDxfId="5" headerRowBorderDxfId="6" tableBorderDxfId="4" totalsRowBorderDxfId="3">
  <autoFilter ref="A5:C24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I319" sqref="I319"/>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64"/>
    <col width="9.1640625" customWidth="1" style="70" min="65"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7" t="n"/>
      <c r="D3" s="77" t="n"/>
      <c r="E3" s="77" t="n"/>
      <c r="F3" s="77" t="n"/>
      <c r="G3" s="77" t="n"/>
      <c r="H3" s="77" t="n"/>
      <c r="I3" s="77" t="n"/>
      <c r="J3" s="78" t="n"/>
    </row>
    <row r="5">
      <c r="B5" s="67" t="inlineStr">
        <is>
          <t>Definition</t>
        </is>
      </c>
      <c r="C5" s="72" t="n"/>
      <c r="D5" s="72" t="n"/>
      <c r="E5" s="72" t="n"/>
      <c r="F5" s="72" t="n"/>
      <c r="G5" s="72" t="n"/>
      <c r="H5" s="72" t="n"/>
      <c r="I5" s="72" t="n"/>
      <c r="J5" s="68"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3" t="n"/>
      <c r="D8" s="73" t="n"/>
      <c r="E8" s="73" t="n"/>
      <c r="F8" s="73" t="n"/>
      <c r="G8" s="73" t="n"/>
      <c r="H8" s="73" t="n"/>
      <c r="I8" s="73" t="n"/>
      <c r="J8" s="73" t="n"/>
    </row>
    <row r="9" ht="16" customHeight="1" s="61" thickBot="1">
      <c r="B9" s="2" t="n"/>
      <c r="C9" s="3" t="n"/>
      <c r="D9" s="3" t="n"/>
      <c r="E9" s="3" t="n"/>
    </row>
    <row r="10" ht="16" customHeight="1" s="61" thickBot="1">
      <c r="B10" s="67" t="inlineStr">
        <is>
          <t>Process / TO DO LIST</t>
        </is>
      </c>
      <c r="C10" s="72" t="n"/>
      <c r="D10" s="72" t="n"/>
      <c r="E10" s="72" t="n"/>
      <c r="F10" s="72" t="n"/>
      <c r="G10" s="72" t="n"/>
      <c r="H10" s="72" t="n"/>
      <c r="I10" s="72" t="n"/>
      <c r="J10" s="68" t="n"/>
      <c r="N10" s="80" t="inlineStr">
        <is>
          <t>Summary</t>
        </is>
      </c>
      <c r="O10" s="77" t="n"/>
      <c r="P10" s="77" t="n"/>
      <c r="Q10" s="77" t="n"/>
      <c r="R10" s="77" t="n"/>
      <c r="S10" s="78" t="n"/>
    </row>
    <row r="11">
      <c r="N11" s="4" t="inlineStr">
        <is>
          <t>* input new month</t>
        </is>
      </c>
    </row>
    <row r="12" ht="16" customHeight="1" s="61" thickBot="1">
      <c r="B12" s="67" t="inlineStr">
        <is>
          <t>TO DO LIST</t>
        </is>
      </c>
      <c r="C12" s="72" t="n"/>
      <c r="D12" s="72" t="n"/>
      <c r="E12" s="72" t="n"/>
      <c r="F12" s="68" t="n"/>
      <c r="G12" s="67" t="inlineStr">
        <is>
          <t>Comments</t>
        </is>
      </c>
      <c r="H12" s="72" t="n"/>
      <c r="I12" s="72" t="n"/>
      <c r="J12" s="68" t="n"/>
    </row>
    <row r="13">
      <c r="P13" s="5" t="n">
        <v>44774</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73"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73"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69" t="n"/>
    </row>
    <row r="45">
      <c r="B45" s="73" t="n"/>
    </row>
    <row r="46">
      <c r="B46" s="71"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BA349"/>
  <sheetViews>
    <sheetView tabSelected="1" zoomScale="160" zoomScaleNormal="160" workbookViewId="0">
      <pane ySplit="1" topLeftCell="A333" activePane="bottomLeft" state="frozen"/>
      <selection pane="bottomLeft" activeCell="X324" sqref="X324"/>
    </sheetView>
  </sheetViews>
  <sheetFormatPr baseColWidth="10" defaultRowHeight="15"/>
  <cols>
    <col width="10.83203125" customWidth="1" style="61" min="1" max="36"/>
    <col width="10.83203125" customWidth="1" style="61" min="37"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c r="BA1" t="inlineStr">
        <is>
          <t>World</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2"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2"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2"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2"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T345" t="n">
        <v>53.4</v>
      </c>
      <c r="U345" t="n">
        <v>50.9</v>
      </c>
      <c r="V345" t="n">
        <v>52.7</v>
      </c>
      <c r="W345" t="n">
        <v>53</v>
      </c>
      <c r="X345" t="n">
        <v>46.8</v>
      </c>
      <c r="Y345" t="n">
        <v>49.1</v>
      </c>
      <c r="Z345" t="n">
        <v>50.4</v>
      </c>
      <c r="AA345" t="n">
        <v>52.2</v>
      </c>
      <c r="AB345" t="n">
        <v>48.2</v>
      </c>
      <c r="AC345" t="n">
        <v>55.9</v>
      </c>
      <c r="AD345" t="n">
        <v>49.74</v>
      </c>
      <c r="AF345" t="n">
        <v>56.4</v>
      </c>
      <c r="AG345" t="n">
        <v>53.8</v>
      </c>
      <c r="AH345" t="n">
        <v>44.4</v>
      </c>
      <c r="AI345" t="n">
        <v>51.6</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2" t="n">
        <v>44743</v>
      </c>
      <c r="B346" t="n">
        <v>52.5</v>
      </c>
      <c r="C346" t="n">
        <v>51.7</v>
      </c>
      <c r="D346" t="n">
        <v>54</v>
      </c>
      <c r="E346" t="n">
        <v>52.5</v>
      </c>
      <c r="F346" t="n">
        <v>50.4</v>
      </c>
      <c r="G346" t="n">
        <v>49.5</v>
      </c>
      <c r="H346" t="n">
        <v>46.8</v>
      </c>
      <c r="I346" t="n">
        <v>38</v>
      </c>
      <c r="J346" t="n">
        <v>46.4</v>
      </c>
      <c r="K346" t="n">
        <v>49.8</v>
      </c>
      <c r="L346" t="n">
        <v>49.5</v>
      </c>
      <c r="M346" t="n">
        <v>49.3</v>
      </c>
      <c r="N346" t="n">
        <v>49.1</v>
      </c>
      <c r="O346" t="n">
        <v>52.3</v>
      </c>
      <c r="P346" t="n">
        <v>57.8</v>
      </c>
      <c r="Q346" t="n">
        <v>56.4</v>
      </c>
      <c r="R346" t="n">
        <v>51.3</v>
      </c>
      <c r="S346" t="n">
        <v>51.8</v>
      </c>
      <c r="T346" t="n">
        <v>57.6</v>
      </c>
      <c r="U346" t="n">
        <v>48.5</v>
      </c>
      <c r="V346" t="n">
        <v>52.1</v>
      </c>
      <c r="W346" t="n">
        <v>52.8</v>
      </c>
      <c r="X346" t="n">
        <v>46.3</v>
      </c>
      <c r="Y346" t="n">
        <v>49.9</v>
      </c>
      <c r="Z346" t="n">
        <v>50.6</v>
      </c>
      <c r="AA346" t="n">
        <v>48.5</v>
      </c>
      <c r="AB346" t="n">
        <v>46.5</v>
      </c>
      <c r="AC346" t="n">
        <v>54.5</v>
      </c>
      <c r="AD346" t="n">
        <v>52.7</v>
      </c>
      <c r="AF346" t="n">
        <v>54.6</v>
      </c>
      <c r="AG346" t="n">
        <v>50.8</v>
      </c>
      <c r="AH346" t="n">
        <v>42.1</v>
      </c>
      <c r="AJ346" t="n">
        <v>61.5</v>
      </c>
      <c r="AK346" t="n">
        <v>50.3</v>
      </c>
      <c r="AL346" t="n">
        <v>56.3</v>
      </c>
      <c r="AM346" t="n">
        <v>50.1</v>
      </c>
      <c r="AN346" t="n">
        <v>47.6</v>
      </c>
      <c r="AO346" t="n">
        <v>49.8</v>
      </c>
      <c r="AP346" t="n">
        <v>48.7</v>
      </c>
      <c r="AQ346" t="n">
        <v>41.4</v>
      </c>
      <c r="AR346" t="n">
        <v>53.1</v>
      </c>
      <c r="AS346" t="n">
        <v>58</v>
      </c>
      <c r="AT346" t="n">
        <v>44.6</v>
      </c>
      <c r="AU346" t="n">
        <v>52.4</v>
      </c>
      <c r="AV346" t="n">
        <v>46.9</v>
      </c>
      <c r="AW346" t="n">
        <v>55.4</v>
      </c>
      <c r="AX346" t="n">
        <v>52.1</v>
      </c>
      <c r="AY346" t="n">
        <v>52.2</v>
      </c>
      <c r="AZ346" t="n">
        <v>51.2</v>
      </c>
    </row>
    <row r="347">
      <c r="A347" s="82" t="n">
        <v>44774</v>
      </c>
      <c r="B347" t="n">
        <v>49.3</v>
      </c>
      <c r="C347" t="n">
        <v>48.8</v>
      </c>
      <c r="D347" t="n">
        <v>51.9</v>
      </c>
      <c r="E347" t="n">
        <v>48.7</v>
      </c>
      <c r="F347" t="n">
        <v>49.5</v>
      </c>
      <c r="G347" t="n">
        <v>52.4</v>
      </c>
      <c r="H347" t="n">
        <v>46.8</v>
      </c>
      <c r="I347" t="n">
        <v>48</v>
      </c>
      <c r="J347" t="n">
        <v>47.6</v>
      </c>
      <c r="K347" t="n">
        <v>49.6</v>
      </c>
      <c r="L347" t="n">
        <v>50.6</v>
      </c>
      <c r="M347" t="n">
        <v>49.1</v>
      </c>
      <c r="N347" t="n">
        <v>48.8</v>
      </c>
      <c r="O347" t="n">
        <v>51.2</v>
      </c>
      <c r="P347" t="n">
        <v>57.8</v>
      </c>
      <c r="Q347" t="n">
        <v>56.2</v>
      </c>
      <c r="R347" t="n">
        <v>51.7</v>
      </c>
      <c r="S347" t="n">
        <v>51.1</v>
      </c>
      <c r="T347" t="n">
        <v>49.5</v>
      </c>
      <c r="U347" t="n">
        <v>48</v>
      </c>
      <c r="V347" t="n">
        <v>51.5</v>
      </c>
      <c r="W347" t="n">
        <v>52</v>
      </c>
      <c r="X347" t="n">
        <v>44.2</v>
      </c>
      <c r="Y347" t="n">
        <v>50.1</v>
      </c>
      <c r="Z347" t="n">
        <v>50.3</v>
      </c>
      <c r="AA347" t="n">
        <v>48.5</v>
      </c>
      <c r="AB347" t="n">
        <v>46.5</v>
      </c>
      <c r="AC347" t="n">
        <v>52.6</v>
      </c>
      <c r="AD347" t="n">
        <v>54.9</v>
      </c>
      <c r="AE347" t="n">
        <v>52.3</v>
      </c>
      <c r="AF347" t="n">
        <v>52.3</v>
      </c>
      <c r="AG347" t="n">
        <v>51.2</v>
      </c>
      <c r="AH347" t="n">
        <v>40.9</v>
      </c>
      <c r="AI347" t="n">
        <v>57.5</v>
      </c>
      <c r="AJ347" t="n">
        <v>53.7</v>
      </c>
      <c r="AK347" t="n">
        <v>51.7</v>
      </c>
      <c r="AL347" t="n">
        <v>57.7</v>
      </c>
      <c r="AM347" t="n">
        <v>50</v>
      </c>
      <c r="AN347" t="n">
        <v>52.1</v>
      </c>
      <c r="AO347" t="n">
        <v>47.6</v>
      </c>
      <c r="AP347" t="n">
        <v>49.9</v>
      </c>
      <c r="AQ347" t="n">
        <v>49.6</v>
      </c>
      <c r="AR347" t="n">
        <v>50.6</v>
      </c>
      <c r="AS347" t="n">
        <v>56.4</v>
      </c>
      <c r="AT347" t="n">
        <v>42.7</v>
      </c>
      <c r="AU347" t="n">
        <v>53.7</v>
      </c>
      <c r="AV347" t="n">
        <v>47.4</v>
      </c>
      <c r="AW347" t="n">
        <v>56.7</v>
      </c>
      <c r="AX347" t="n">
        <v>47.3</v>
      </c>
      <c r="AY347" t="n">
        <v>51.5</v>
      </c>
      <c r="AZ347" t="n">
        <v>52.7</v>
      </c>
    </row>
    <row r="348">
      <c r="A348" s="82" t="n">
        <v>44805</v>
      </c>
      <c r="B348" t="n">
        <v>50.2</v>
      </c>
      <c r="C348" t="n">
        <v>48.8</v>
      </c>
      <c r="D348" t="n">
        <v>51.1</v>
      </c>
      <c r="E348" t="n">
        <v>49.8</v>
      </c>
      <c r="F348" t="n">
        <v>48.1</v>
      </c>
      <c r="G348" t="n">
        <v>52.8</v>
      </c>
      <c r="H348" t="n">
        <v>44.7</v>
      </c>
      <c r="I348" t="n">
        <v>49.8</v>
      </c>
      <c r="J348" t="n">
        <v>47.6</v>
      </c>
      <c r="K348" t="n">
        <v>48.4</v>
      </c>
      <c r="L348" t="n">
        <v>47.7</v>
      </c>
      <c r="M348" t="n">
        <v>47.8</v>
      </c>
      <c r="N348" t="n">
        <v>49.7</v>
      </c>
      <c r="O348" t="n">
        <v>48</v>
      </c>
      <c r="P348" t="n">
        <v>49.62</v>
      </c>
      <c r="Q348" t="n">
        <v>55.1</v>
      </c>
      <c r="R348" t="n">
        <v>53.7</v>
      </c>
      <c r="S348" t="n">
        <v>51.5</v>
      </c>
      <c r="U348" t="n">
        <v>48.3</v>
      </c>
      <c r="V348" t="n">
        <v>50.8</v>
      </c>
      <c r="W348" t="n">
        <v>48.9</v>
      </c>
      <c r="X348" t="n">
        <v>51.7</v>
      </c>
      <c r="Y348" t="n">
        <v>48.8</v>
      </c>
      <c r="Z348" t="n">
        <v>49.1</v>
      </c>
      <c r="AA348" t="n">
        <v>50.3</v>
      </c>
      <c r="AB348" t="n">
        <v>43.1</v>
      </c>
      <c r="AC348" t="n">
        <v>49</v>
      </c>
      <c r="AD348" t="n">
        <v>52</v>
      </c>
      <c r="AF348" t="n">
        <v>50</v>
      </c>
      <c r="AG348" t="n">
        <v>52.9</v>
      </c>
      <c r="AH348" t="n">
        <v>43</v>
      </c>
      <c r="AI348" t="n">
        <v>48.8</v>
      </c>
      <c r="AJ348" t="n">
        <v>50.7</v>
      </c>
      <c r="AK348" t="n">
        <v>52</v>
      </c>
      <c r="AL348" t="n">
        <v>56.6</v>
      </c>
      <c r="AM348" t="n">
        <v>49.9</v>
      </c>
      <c r="AN348" t="n">
        <v>48.2</v>
      </c>
      <c r="AO348" t="n">
        <v>47.3</v>
      </c>
      <c r="AP348" t="n">
        <v>49</v>
      </c>
      <c r="AQ348" t="n">
        <v>42.6</v>
      </c>
      <c r="AR348" t="n">
        <v>49.2</v>
      </c>
      <c r="AS348" t="n">
        <v>57.1</v>
      </c>
      <c r="AT348" t="n">
        <v>42.2</v>
      </c>
      <c r="AU348" t="n">
        <v>55.7</v>
      </c>
      <c r="AV348" t="n">
        <v>46.9</v>
      </c>
      <c r="AW348" t="n">
        <v>56.1</v>
      </c>
      <c r="AX348" t="n">
        <v>48.4</v>
      </c>
      <c r="AY348" t="n">
        <v>52</v>
      </c>
      <c r="AZ348" t="n">
        <v>52.5</v>
      </c>
      <c r="BA348" t="n">
        <v>49.8</v>
      </c>
    </row>
    <row r="349">
      <c r="A349" s="82" t="n">
        <v>44835</v>
      </c>
      <c r="B349" t="n">
        <v>49.6</v>
      </c>
      <c r="C349" t="n">
        <v>46.6</v>
      </c>
      <c r="D349" t="n">
        <v>50.8</v>
      </c>
      <c r="E349" t="n">
        <v>48.8</v>
      </c>
      <c r="F349" t="n">
        <v>49.2</v>
      </c>
      <c r="G349" t="n">
        <v>50</v>
      </c>
      <c r="H349" t="n">
        <v>41.7</v>
      </c>
      <c r="I349" t="n">
        <v>52.09</v>
      </c>
      <c r="J349" t="n">
        <v>47.7</v>
      </c>
      <c r="K349" t="n">
        <v>46.4</v>
      </c>
      <c r="L349" t="n">
        <v>47.2</v>
      </c>
      <c r="M349" t="n">
        <v>45.1</v>
      </c>
      <c r="N349" t="n">
        <v>48.1</v>
      </c>
      <c r="O349" t="n">
        <v>49.3</v>
      </c>
      <c r="P349" t="n">
        <v>56.4</v>
      </c>
      <c r="Q349" t="n">
        <v>55.3</v>
      </c>
      <c r="R349" t="n">
        <v>51.8</v>
      </c>
      <c r="S349" t="n">
        <v>51.4</v>
      </c>
      <c r="U349" t="n">
        <v>46.5</v>
      </c>
      <c r="V349" t="n">
        <v>50.7</v>
      </c>
      <c r="W349" t="n">
        <v>51.5</v>
      </c>
      <c r="X349" t="n">
        <v>50.2</v>
      </c>
      <c r="Y349" t="n">
        <v>49.1</v>
      </c>
      <c r="Z349" t="n">
        <v>48.7</v>
      </c>
      <c r="AA349" t="n">
        <v>50.3</v>
      </c>
      <c r="AB349" t="n">
        <v>45.7</v>
      </c>
      <c r="AC349" t="n">
        <v>47.9</v>
      </c>
      <c r="AF349" t="n">
        <v>53.1</v>
      </c>
      <c r="AG349" t="n">
        <v>52.6</v>
      </c>
      <c r="AH349" t="n">
        <v>42</v>
      </c>
      <c r="AJ349" t="n">
        <v>48.4</v>
      </c>
      <c r="AK349" t="n">
        <v>50.7</v>
      </c>
      <c r="AL349" t="n">
        <v>57.2</v>
      </c>
      <c r="AM349" t="n">
        <v>49.7</v>
      </c>
      <c r="AN349" t="n">
        <v>50</v>
      </c>
      <c r="AO349" t="n">
        <v>48.2</v>
      </c>
      <c r="AP349" t="n">
        <v>44.7</v>
      </c>
      <c r="AR349" t="n">
        <v>46.8</v>
      </c>
      <c r="AS349" t="n">
        <v>54.9</v>
      </c>
      <c r="AT349" t="n">
        <v>41.5</v>
      </c>
      <c r="AU349" t="n">
        <v>51.6</v>
      </c>
      <c r="AV349" t="n">
        <v>46.4</v>
      </c>
      <c r="AW349" t="n">
        <v>56.6</v>
      </c>
      <c r="AX349" t="n">
        <v>46.2</v>
      </c>
      <c r="AY349" t="n">
        <v>50.4</v>
      </c>
      <c r="AZ349" t="n">
        <v>50.6</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6"/>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7"/>
    <col width="10.83203125" customWidth="1" style="61" min="38"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0.005874816080276557</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0.002463574576248046</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0.003247919540260936</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0.00203296294986906</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0.006925277151515137</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0.005160888921504473</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0.004729662797502008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0.002553658405981019</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0.01218200806659303</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0.008148369761413764</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0.01122318825019084</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0.006441605489170233</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0.004389896360771227</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0.006045882046091108</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0.001233231237507771</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0.01109277978189135</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0.004522791388881249</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0.01134780429579905</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0.01151960658710851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0.01242762218133305</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0.009159027828844396</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0.005592864141948714</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0.006832701634155521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0.009971351436066492</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0.0008718925693868615</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0.0008306656547205548</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0.001043256413228517</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0.001398739504042067</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0.005170452935724491</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0.0036227083024101</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0.002410144334660884</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-0.003188304341664494</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0.0008869316581264261</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0.005178110546255334</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0.007377541834951558</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0.005060361712431266</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0.006132743722756177</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0.002259889621474136</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0.00396390144131004</v>
      </c>
    </row>
    <row r="120">
      <c r="A120" s="82" t="n">
        <v>38292</v>
      </c>
      <c r="B120" t="n">
        <v/>
      </c>
      <c r="C120" t="n">
        <v/>
      </c>
      <c r="D120" t="n">
        <v/>
      </c>
      <c r="E120" t="n">
        <v/>
      </c>
      <c r="F120" t="n">
        <v/>
      </c>
    </row>
    <row r="121">
      <c r="A121" s="82" t="n">
        <v>38322</v>
      </c>
      <c r="B121" t="n">
        <v/>
      </c>
      <c r="C121" t="n">
        <v/>
      </c>
      <c r="D121" t="n">
        <v>21.67431640625</v>
      </c>
      <c r="E121" t="n">
        <v>35.16611480712891</v>
      </c>
      <c r="F121" t="n">
        <v/>
      </c>
    </row>
    <row r="122">
      <c r="A122" s="82" t="n">
        <v>38353</v>
      </c>
      <c r="B122" t="n">
        <v/>
      </c>
      <c r="C122" t="n">
        <v/>
      </c>
      <c r="D122" t="n">
        <v>21.58342170715332</v>
      </c>
      <c r="E122" t="n">
        <v>34.31077575683594</v>
      </c>
      <c r="F122" t="n">
        <v>0.002082278861843252</v>
      </c>
    </row>
    <row r="123">
      <c r="A123" s="82" t="n">
        <v>38384</v>
      </c>
      <c r="B123" t="n">
        <v/>
      </c>
      <c r="C123" t="n">
        <v/>
      </c>
      <c r="D123" t="n">
        <v>22.52276039123535</v>
      </c>
      <c r="E123" t="n">
        <v>36.11865234375</v>
      </c>
      <c r="F123" t="n">
        <v/>
      </c>
    </row>
    <row r="124">
      <c r="A124" s="82" t="n">
        <v>38412</v>
      </c>
      <c r="B124" t="n">
        <v/>
      </c>
      <c r="C124" t="n">
        <v/>
      </c>
      <c r="D124" t="n">
        <v>21.97861671447754</v>
      </c>
      <c r="E124" t="n">
        <v>35.24386978149414</v>
      </c>
      <c r="F124" t="n">
        <v/>
      </c>
    </row>
    <row r="125">
      <c r="A125" s="82" t="n">
        <v>38443</v>
      </c>
      <c r="B125" t="n">
        <v/>
      </c>
      <c r="C125" t="n">
        <v/>
      </c>
      <c r="D125" t="n">
        <v>21.21862983703613</v>
      </c>
      <c r="E125" t="n">
        <v>34.81620407104492</v>
      </c>
      <c r="F125" t="n">
        <v>0.006148864084703382</v>
      </c>
    </row>
    <row r="126">
      <c r="A126" s="82" t="n">
        <v>38473</v>
      </c>
      <c r="B126" t="n">
        <v/>
      </c>
      <c r="C126" t="n">
        <v/>
      </c>
      <c r="D126" t="n">
        <v>21.31287002563477</v>
      </c>
      <c r="E126" t="n">
        <v>34.54405212402344</v>
      </c>
      <c r="F126" t="n">
        <v/>
      </c>
    </row>
    <row r="127">
      <c r="A127" s="82" t="n">
        <v>38504</v>
      </c>
      <c r="B127" t="n">
        <v/>
      </c>
      <c r="C127" t="n">
        <v/>
      </c>
      <c r="D127" t="n">
        <v>21.62598419189453</v>
      </c>
      <c r="E127" t="n">
        <v>34.93283843994141</v>
      </c>
      <c r="F127" t="n">
        <v/>
      </c>
    </row>
    <row r="128">
      <c r="A128" s="82" t="n">
        <v>38534</v>
      </c>
      <c r="B128" t="n">
        <v/>
      </c>
      <c r="C128" t="n">
        <v/>
      </c>
      <c r="D128" t="n">
        <v>22.61091804504395</v>
      </c>
      <c r="E128" t="n">
        <v>35.18555450439453</v>
      </c>
      <c r="F128" t="n">
        <v>0.007313779574084129</v>
      </c>
    </row>
    <row r="129">
      <c r="A129" s="82" t="n">
        <v>38565</v>
      </c>
      <c r="B129" t="n">
        <v/>
      </c>
      <c r="C129" t="n">
        <v/>
      </c>
      <c r="D129" t="n">
        <v>22.98178482055664</v>
      </c>
      <c r="E129" t="n">
        <v>36.58520126342773</v>
      </c>
      <c r="F129" t="n">
        <v/>
      </c>
    </row>
    <row r="130">
      <c r="A130" s="82" t="n">
        <v>38596</v>
      </c>
      <c r="B130" t="n">
        <v/>
      </c>
      <c r="C130" t="n">
        <v/>
      </c>
      <c r="D130" t="n">
        <v>23.38305282592773</v>
      </c>
      <c r="E130" t="n">
        <v>36.85735321044922</v>
      </c>
      <c r="F130" t="n">
        <v/>
      </c>
    </row>
    <row r="131">
      <c r="A131" s="82" t="n">
        <v>38626</v>
      </c>
      <c r="B131" t="n">
        <v/>
      </c>
      <c r="C131" t="n">
        <v/>
      </c>
      <c r="D131" t="n">
        <v>22.50147819519043</v>
      </c>
      <c r="E131" t="n">
        <v>35.963134765625</v>
      </c>
      <c r="F131" t="n">
        <v>0.006408667750141121</v>
      </c>
    </row>
    <row r="132">
      <c r="A132" s="82" t="n">
        <v>38657</v>
      </c>
      <c r="B132" t="n">
        <v/>
      </c>
      <c r="C132" t="n">
        <v/>
      </c>
      <c r="D132" t="n">
        <v>22.91490745544434</v>
      </c>
      <c r="E132" t="n">
        <v>36.02145385742188</v>
      </c>
      <c r="F132" t="n">
        <v/>
      </c>
    </row>
    <row r="133">
      <c r="A133" s="82" t="n">
        <v>38687</v>
      </c>
      <c r="B133" t="n">
        <v/>
      </c>
      <c r="C133" t="n">
        <v/>
      </c>
      <c r="D133" t="n">
        <v>23.6049633026123</v>
      </c>
      <c r="E133" t="n">
        <v>36.11865234375</v>
      </c>
      <c r="F133" t="n">
        <v/>
      </c>
    </row>
    <row r="134">
      <c r="A134" s="82" t="n">
        <v>38718</v>
      </c>
      <c r="B134" t="n">
        <v/>
      </c>
      <c r="C134" t="n">
        <v/>
      </c>
      <c r="D134" t="n">
        <v>25.62154579162598</v>
      </c>
      <c r="E134" t="n">
        <v>38.3153190612793</v>
      </c>
      <c r="F134" t="n">
        <v>0.008723340772572627</v>
      </c>
    </row>
    <row r="135">
      <c r="A135" s="82" t="n">
        <v>38749</v>
      </c>
      <c r="B135" t="n">
        <v/>
      </c>
      <c r="C135" t="n">
        <v/>
      </c>
      <c r="D135" t="n">
        <v>25.80703926086426</v>
      </c>
      <c r="E135" t="n">
        <v>38.10148620605469</v>
      </c>
      <c r="F135" t="n">
        <v/>
      </c>
    </row>
    <row r="136">
      <c r="A136" s="82" t="n">
        <v>38777</v>
      </c>
      <c r="B136" t="n">
        <v/>
      </c>
      <c r="C136" t="n">
        <v/>
      </c>
      <c r="D136" t="n">
        <v>26.94157600402832</v>
      </c>
      <c r="E136" t="n">
        <v>39.19009780883789</v>
      </c>
      <c r="F136" t="n">
        <v/>
      </c>
    </row>
    <row r="137">
      <c r="A137" s="82" t="n">
        <v>38808</v>
      </c>
      <c r="B137" t="n">
        <v/>
      </c>
      <c r="C137" t="n">
        <v/>
      </c>
      <c r="D137" t="n">
        <v>28.14722061157227</v>
      </c>
      <c r="E137" t="n">
        <v>41.69779968261719</v>
      </c>
      <c r="F137" t="n">
        <v>0.01104017275807605</v>
      </c>
    </row>
    <row r="138">
      <c r="A138" s="82" t="n">
        <v>38838</v>
      </c>
      <c r="B138" t="n">
        <v/>
      </c>
      <c r="C138" t="n">
        <v/>
      </c>
      <c r="D138" t="n">
        <v>27.1456184387207</v>
      </c>
      <c r="E138" t="n">
        <v>40.58974456787109</v>
      </c>
      <c r="F138" t="n">
        <v/>
      </c>
    </row>
    <row r="139">
      <c r="A139" s="82" t="n">
        <v>38869</v>
      </c>
      <c r="B139" t="n">
        <v/>
      </c>
      <c r="C139" t="n">
        <v/>
      </c>
      <c r="D139" t="n">
        <v>27.2228946685791</v>
      </c>
      <c r="E139" t="n">
        <v>40.92021560668945</v>
      </c>
      <c r="F139" t="n">
        <v/>
      </c>
    </row>
    <row r="140">
      <c r="A140" s="82" t="n">
        <v>38899</v>
      </c>
      <c r="B140" t="n">
        <v/>
      </c>
      <c r="C140" t="n">
        <v/>
      </c>
      <c r="D140" t="n">
        <v>27.5474853515625</v>
      </c>
      <c r="E140" t="n">
        <v>41.9893913269043</v>
      </c>
      <c r="F140" t="n">
        <v>0.00595736697978199</v>
      </c>
    </row>
    <row r="141">
      <c r="A141" s="82" t="n">
        <v>38930</v>
      </c>
      <c r="B141" t="n">
        <v/>
      </c>
      <c r="C141" t="n">
        <v/>
      </c>
      <c r="D141" t="n">
        <v>28.61711692810059</v>
      </c>
      <c r="E141" t="n">
        <v>42.90304946899414</v>
      </c>
      <c r="F141" t="n">
        <v/>
      </c>
    </row>
    <row r="142">
      <c r="A142" s="82" t="n">
        <v>38961</v>
      </c>
      <c r="B142" t="n">
        <v/>
      </c>
      <c r="C142" t="n">
        <v/>
      </c>
      <c r="D142" t="n">
        <v>29.1179256439209</v>
      </c>
      <c r="E142" t="n">
        <v>42.55313491821289</v>
      </c>
      <c r="F142" t="n">
        <v/>
      </c>
    </row>
    <row r="143">
      <c r="A143" s="82" t="n">
        <v>38991</v>
      </c>
      <c r="B143" t="n">
        <v/>
      </c>
      <c r="C143" t="n">
        <v/>
      </c>
      <c r="D143" t="n">
        <v>30.11027145385742</v>
      </c>
      <c r="E143" t="n">
        <v>44.51652908325195</v>
      </c>
      <c r="F143" t="n">
        <v>0.01173017236672761</v>
      </c>
    </row>
    <row r="144">
      <c r="A144" s="82" t="n">
        <v>39022</v>
      </c>
      <c r="B144" t="n">
        <v/>
      </c>
      <c r="C144" t="n">
        <v/>
      </c>
      <c r="D144" t="n">
        <v>31.50139236450195</v>
      </c>
      <c r="E144" t="n">
        <v>45.78009796142578</v>
      </c>
      <c r="F144" t="n">
        <v/>
      </c>
    </row>
    <row r="145">
      <c r="A145" s="82" t="n">
        <v>39052</v>
      </c>
      <c r="B145" t="n">
        <v/>
      </c>
      <c r="C145" t="n">
        <v/>
      </c>
      <c r="D145" t="n">
        <v>31.94964981079102</v>
      </c>
      <c r="E145" t="n">
        <v>45.5079460144043</v>
      </c>
      <c r="F145" t="n">
        <v/>
      </c>
    </row>
    <row r="146">
      <c r="A146" s="82" t="n">
        <v>39083</v>
      </c>
      <c r="B146" t="n">
        <v/>
      </c>
      <c r="C146" t="n">
        <v/>
      </c>
      <c r="D146" t="n">
        <v>32.99742889404297</v>
      </c>
      <c r="E146" t="n">
        <v>45.81897735595703</v>
      </c>
      <c r="F146" t="n">
        <v>0.005984245519416075</v>
      </c>
    </row>
    <row r="147">
      <c r="A147" s="82" t="n">
        <v>39114</v>
      </c>
      <c r="B147" t="n">
        <v/>
      </c>
      <c r="C147" t="n">
        <v/>
      </c>
      <c r="D147" t="n">
        <v>32.69845962524414</v>
      </c>
      <c r="E147" t="n">
        <v>45.13859558105469</v>
      </c>
      <c r="F147" t="n">
        <v/>
      </c>
    </row>
    <row r="148">
      <c r="A148" s="82" t="n">
        <v>39142</v>
      </c>
      <c r="B148" t="n">
        <v/>
      </c>
      <c r="C148" t="n">
        <v/>
      </c>
      <c r="D148" t="n">
        <v>34.05801010131836</v>
      </c>
      <c r="E148" t="n">
        <v>46.79095458984375</v>
      </c>
      <c r="F148" t="n">
        <v/>
      </c>
    </row>
    <row r="149">
      <c r="A149" s="82" t="n">
        <v>39173</v>
      </c>
      <c r="B149" t="n">
        <v/>
      </c>
      <c r="C149" t="n">
        <v/>
      </c>
      <c r="D149" t="n">
        <v>36.19175338745117</v>
      </c>
      <c r="E149" t="n">
        <v>48.3072395324707</v>
      </c>
      <c r="F149" t="n">
        <v>0.007228257988042426</v>
      </c>
    </row>
    <row r="150">
      <c r="A150" s="82" t="n">
        <v>39203</v>
      </c>
      <c r="B150" t="n">
        <v/>
      </c>
      <c r="C150" t="n">
        <v/>
      </c>
      <c r="D150" t="n">
        <v>37.56073379516602</v>
      </c>
      <c r="E150" t="n">
        <v>49.33753204345703</v>
      </c>
      <c r="F150" t="n">
        <v/>
      </c>
    </row>
    <row r="151">
      <c r="A151" s="82" t="n">
        <v>39234</v>
      </c>
      <c r="B151" t="n">
        <v/>
      </c>
      <c r="C151" t="n">
        <v/>
      </c>
      <c r="D151" t="n">
        <v>37.13587951660156</v>
      </c>
      <c r="E151" t="n">
        <v>49.66800308227539</v>
      </c>
      <c r="F151" t="n">
        <v/>
      </c>
    </row>
    <row r="152">
      <c r="A152" s="82" t="n">
        <v>39264</v>
      </c>
      <c r="B152" t="n">
        <v/>
      </c>
      <c r="C152" t="n">
        <v/>
      </c>
      <c r="D152" t="n">
        <v>35.96829605102539</v>
      </c>
      <c r="E152" t="n">
        <v>47.99620819091797</v>
      </c>
      <c r="F152" t="n">
        <v>0.004534983885060545</v>
      </c>
    </row>
    <row r="153">
      <c r="A153" s="82" t="n">
        <v>39295</v>
      </c>
      <c r="B153" t="n">
        <v/>
      </c>
      <c r="C153" t="n">
        <v/>
      </c>
      <c r="D153" t="n">
        <v>35.9588623046875</v>
      </c>
      <c r="E153" t="n">
        <v>48.09340286254883</v>
      </c>
      <c r="F153" t="n">
        <v/>
      </c>
    </row>
    <row r="154">
      <c r="A154" s="82" t="n">
        <v>39326</v>
      </c>
      <c r="B154" t="n">
        <v/>
      </c>
      <c r="C154" t="n">
        <v/>
      </c>
      <c r="D154" t="n">
        <v>38.04853439331055</v>
      </c>
      <c r="E154" t="n">
        <v>50.01791763305664</v>
      </c>
      <c r="F154" t="n">
        <v/>
      </c>
    </row>
    <row r="155">
      <c r="A155" s="82" t="n">
        <v>39356</v>
      </c>
      <c r="B155" t="n">
        <v/>
      </c>
      <c r="C155" t="n">
        <v/>
      </c>
      <c r="D155" t="n">
        <v>39.93366622924805</v>
      </c>
      <c r="E155" t="n">
        <v>52.91440582275391</v>
      </c>
      <c r="F155" t="n">
        <v>0.00507679641985727</v>
      </c>
    </row>
    <row r="156">
      <c r="A156" s="82" t="n">
        <v>39387</v>
      </c>
      <c r="B156" t="n">
        <v/>
      </c>
      <c r="C156" t="n">
        <v/>
      </c>
      <c r="D156" t="n">
        <v>38.82587432861328</v>
      </c>
      <c r="E156" t="n">
        <v>49.80408477783203</v>
      </c>
      <c r="F156" t="n">
        <v/>
      </c>
    </row>
    <row r="157">
      <c r="A157" s="82" t="n">
        <v>39417</v>
      </c>
      <c r="B157" t="n">
        <v/>
      </c>
      <c r="C157" t="n">
        <v/>
      </c>
      <c r="D157" t="n">
        <v>37.55130004882812</v>
      </c>
      <c r="E157" t="n">
        <v>46.81039428710938</v>
      </c>
      <c r="F157" t="n">
        <v/>
      </c>
    </row>
    <row r="158">
      <c r="A158" s="82" t="n">
        <v>39448</v>
      </c>
      <c r="B158" t="n">
        <v/>
      </c>
      <c r="C158" t="n">
        <v/>
      </c>
      <c r="D158" t="n">
        <v>34.53704452514648</v>
      </c>
      <c r="E158" t="n">
        <v>43.0780029296875</v>
      </c>
      <c r="F158" t="n">
        <v>0.005168227045875396</v>
      </c>
    </row>
    <row r="159">
      <c r="A159" s="82" t="n">
        <v>39479</v>
      </c>
      <c r="B159" t="n">
        <v/>
      </c>
      <c r="C159" t="n">
        <v/>
      </c>
      <c r="D159" t="n">
        <v>34.25300979614258</v>
      </c>
      <c r="E159" t="n">
        <v>42.57257461547852</v>
      </c>
      <c r="F159" t="n">
        <v/>
      </c>
    </row>
    <row r="160">
      <c r="A160" s="82" t="n">
        <v>39508</v>
      </c>
      <c r="B160" t="n">
        <v/>
      </c>
      <c r="C160" t="n">
        <v/>
      </c>
      <c r="D160" t="n">
        <v>35.11804962158203</v>
      </c>
      <c r="E160" t="n">
        <v>41.9116325378418</v>
      </c>
      <c r="F160" t="n">
        <v/>
      </c>
    </row>
    <row r="161">
      <c r="A161" s="82" t="n">
        <v>39539</v>
      </c>
      <c r="B161" t="n">
        <v/>
      </c>
      <c r="C161" t="n">
        <v/>
      </c>
      <c r="D161" t="n">
        <v>36.51889419555664</v>
      </c>
      <c r="E161" t="n">
        <v>44.39989471435547</v>
      </c>
      <c r="F161" t="n">
        <v>-0.003365572218652944</v>
      </c>
    </row>
    <row r="162">
      <c r="A162" s="82" t="n">
        <v>39569</v>
      </c>
      <c r="B162" t="n">
        <v/>
      </c>
      <c r="C162" t="n">
        <v/>
      </c>
      <c r="D162" t="n">
        <v>36.951416015625</v>
      </c>
      <c r="E162" t="n">
        <v>44.30269622802734</v>
      </c>
      <c r="F162" t="n">
        <v/>
      </c>
    </row>
    <row r="163">
      <c r="A163" s="82" t="n">
        <v>39600</v>
      </c>
      <c r="B163" t="n">
        <v/>
      </c>
      <c r="C163" t="n">
        <v/>
      </c>
      <c r="D163" t="n">
        <v>31.62883377075195</v>
      </c>
      <c r="E163" t="n">
        <v>40.27870941162109</v>
      </c>
      <c r="F163" t="n">
        <v/>
      </c>
    </row>
    <row r="164">
      <c r="A164" s="82" t="n">
        <v>39630</v>
      </c>
      <c r="B164" t="n">
        <v/>
      </c>
      <c r="C164" t="n">
        <v/>
      </c>
      <c r="D164" t="n">
        <v>31.99061393737793</v>
      </c>
      <c r="E164" t="n">
        <v>38.6263542175293</v>
      </c>
      <c r="F164" t="n">
        <v>-0.005285933292574051</v>
      </c>
    </row>
    <row r="165">
      <c r="A165" s="82" t="n">
        <v>39661</v>
      </c>
      <c r="B165" t="n">
        <v/>
      </c>
      <c r="C165" t="n">
        <v/>
      </c>
      <c r="D165" t="n">
        <v>30.7324047088623</v>
      </c>
      <c r="E165" t="n">
        <v>37.32390594482422</v>
      </c>
      <c r="F165" t="n">
        <v/>
      </c>
    </row>
    <row r="166">
      <c r="A166" s="82" t="n">
        <v>39692</v>
      </c>
      <c r="B166" t="n">
        <v/>
      </c>
      <c r="C166" t="n">
        <v/>
      </c>
      <c r="D166" t="n">
        <v>26.5829963684082</v>
      </c>
      <c r="E166" t="n">
        <v>32.3668212890625</v>
      </c>
      <c r="F166" t="n">
        <v/>
      </c>
    </row>
    <row r="167">
      <c r="A167" s="82" t="n">
        <v>39722</v>
      </c>
      <c r="B167" t="n">
        <v/>
      </c>
      <c r="C167" t="n">
        <v/>
      </c>
      <c r="D167" t="n">
        <v>20.05101585388184</v>
      </c>
      <c r="E167" t="n">
        <v>25.97121429443359</v>
      </c>
      <c r="F167" t="n">
        <v>-0.01822855923108735</v>
      </c>
    </row>
    <row r="168">
      <c r="A168" s="82" t="n">
        <v>39753</v>
      </c>
      <c r="B168" t="n">
        <v/>
      </c>
      <c r="C168" t="n">
        <v/>
      </c>
      <c r="D168" t="n">
        <v>18.55856895446777</v>
      </c>
      <c r="E168" t="n">
        <v>24.29941558837891</v>
      </c>
      <c r="F168" t="n">
        <v/>
      </c>
    </row>
    <row r="169">
      <c r="A169" s="82" t="n">
        <v>39783</v>
      </c>
      <c r="B169" t="n">
        <v/>
      </c>
      <c r="C169" t="n">
        <v/>
      </c>
      <c r="D169" t="n">
        <v>20.48603820800781</v>
      </c>
      <c r="E169" t="n">
        <v>23.81342697143555</v>
      </c>
      <c r="F169" t="n">
        <v/>
      </c>
    </row>
    <row r="170">
      <c r="A170" s="82" t="n">
        <v>39814</v>
      </c>
      <c r="B170" t="n">
        <v/>
      </c>
      <c r="C170" t="n">
        <v/>
      </c>
      <c r="D170" t="n">
        <v>17.27926063537598</v>
      </c>
      <c r="E170" t="n">
        <v>22.20000076293945</v>
      </c>
      <c r="F170" t="n">
        <v>-0.03095027904285038</v>
      </c>
    </row>
    <row r="171">
      <c r="A171" s="82" t="n">
        <v>39845</v>
      </c>
      <c r="B171" t="n">
        <v/>
      </c>
      <c r="C171" t="n">
        <v/>
      </c>
      <c r="D171" t="n">
        <v>15.19348430633545</v>
      </c>
      <c r="E171" t="n">
        <v>20.04000091552734</v>
      </c>
      <c r="F171" t="n">
        <v/>
      </c>
    </row>
    <row r="172">
      <c r="A172" s="82" t="n">
        <v>39873</v>
      </c>
      <c r="B172" t="n">
        <v/>
      </c>
      <c r="C172" t="n">
        <v/>
      </c>
      <c r="D172" t="n">
        <v>16.69988250732422</v>
      </c>
      <c r="E172" t="n">
        <v>20.95999908447266</v>
      </c>
      <c r="F172" t="n">
        <v/>
      </c>
    </row>
    <row r="173">
      <c r="A173" s="82" t="n">
        <v>39904</v>
      </c>
      <c r="B173" t="n">
        <v/>
      </c>
      <c r="C173" t="n">
        <v/>
      </c>
      <c r="D173" t="n">
        <v>19.14692497253418</v>
      </c>
      <c r="E173" t="n">
        <v>23.45999908447266</v>
      </c>
      <c r="F173" t="n">
        <v>-0.0002100450012278066</v>
      </c>
    </row>
    <row r="174">
      <c r="A174" s="82" t="n">
        <v>39934</v>
      </c>
      <c r="B174" t="n">
        <v/>
      </c>
      <c r="C174" t="n">
        <v/>
      </c>
      <c r="D174" t="n">
        <v>21.67576599121094</v>
      </c>
      <c r="E174" t="n">
        <v>27.45999908447266</v>
      </c>
      <c r="F174" t="n">
        <v/>
      </c>
    </row>
    <row r="175">
      <c r="A175" s="82" t="n">
        <v>39965</v>
      </c>
      <c r="B175" t="n">
        <v/>
      </c>
      <c r="C175" t="n">
        <v/>
      </c>
      <c r="D175" t="n">
        <v>20.66013717651367</v>
      </c>
      <c r="E175" t="n">
        <v>26.42000007629395</v>
      </c>
      <c r="F175" t="n">
        <v/>
      </c>
    </row>
    <row r="176">
      <c r="A176" s="82" t="n">
        <v>39995</v>
      </c>
      <c r="B176" t="n">
        <v/>
      </c>
      <c r="C176" t="n">
        <v/>
      </c>
      <c r="D176" t="n">
        <v>23.47220611572266</v>
      </c>
      <c r="E176" t="n">
        <v>28.65999984741211</v>
      </c>
      <c r="F176" t="n">
        <v>0.004038270025042028</v>
      </c>
    </row>
    <row r="177">
      <c r="A177" s="82" t="n">
        <v>40026</v>
      </c>
      <c r="B177" t="n">
        <v/>
      </c>
      <c r="C177" t="n">
        <v/>
      </c>
      <c r="D177" t="n">
        <v>24.94052696228027</v>
      </c>
      <c r="E177" t="n">
        <v>29.89999961853027</v>
      </c>
      <c r="F177" t="n">
        <v/>
      </c>
    </row>
    <row r="178">
      <c r="A178" s="82" t="n">
        <v>40057</v>
      </c>
      <c r="B178" t="n">
        <v/>
      </c>
      <c r="C178" t="n">
        <v/>
      </c>
      <c r="D178" t="n">
        <v>26.5766658782959</v>
      </c>
      <c r="E178" t="n">
        <v>31.02000045776367</v>
      </c>
      <c r="F178" t="n">
        <v/>
      </c>
    </row>
    <row r="179">
      <c r="A179" s="82" t="n">
        <v>40087</v>
      </c>
      <c r="B179" t="n">
        <v/>
      </c>
      <c r="C179" t="n">
        <v/>
      </c>
      <c r="D179" t="n">
        <v>25.36004829406738</v>
      </c>
      <c r="E179" t="n">
        <v>30.97999954223633</v>
      </c>
      <c r="F179" t="n">
        <v>0.004212596506098315</v>
      </c>
    </row>
    <row r="180">
      <c r="A180" s="82" t="n">
        <v>40118</v>
      </c>
      <c r="B180" t="n">
        <v/>
      </c>
      <c r="C180" t="n">
        <v/>
      </c>
      <c r="D180" t="n">
        <v>26.5976390838623</v>
      </c>
      <c r="E180" t="n">
        <v>32.54000091552734</v>
      </c>
      <c r="F180" t="n">
        <v/>
      </c>
    </row>
    <row r="181">
      <c r="A181" s="82" t="n">
        <v>40148</v>
      </c>
      <c r="B181" t="n">
        <v/>
      </c>
      <c r="C181" t="n">
        <v/>
      </c>
      <c r="D181" t="n">
        <v>26.19909858703613</v>
      </c>
      <c r="E181" t="n">
        <v>32.40000152587891</v>
      </c>
      <c r="F181" t="n">
        <v/>
      </c>
    </row>
    <row r="182">
      <c r="A182" s="82" t="n">
        <v>40179</v>
      </c>
      <c r="B182" t="n">
        <v/>
      </c>
      <c r="C182" t="n">
        <v/>
      </c>
      <c r="D182" t="n">
        <v>24.30830001831055</v>
      </c>
      <c r="E182" t="n">
        <v>30.86000061035156</v>
      </c>
      <c r="F182" t="n">
        <v>0.004406063892511662</v>
      </c>
    </row>
    <row r="183">
      <c r="A183" s="82" t="n">
        <v>40210</v>
      </c>
      <c r="B183" t="n">
        <v/>
      </c>
      <c r="C183" t="n">
        <v/>
      </c>
      <c r="D183" t="n">
        <v>23.58236312866211</v>
      </c>
      <c r="E183" t="n">
        <v>30.60000038146973</v>
      </c>
      <c r="F183" t="n">
        <v/>
      </c>
    </row>
    <row r="184">
      <c r="A184" s="82" t="n">
        <v>40238</v>
      </c>
      <c r="B184" t="n">
        <v/>
      </c>
      <c r="C184" t="n">
        <v/>
      </c>
      <c r="D184" t="n">
        <v>25.32320594787598</v>
      </c>
      <c r="E184" t="n">
        <v>32.54000091552734</v>
      </c>
      <c r="F184" t="n">
        <v/>
      </c>
    </row>
    <row r="185">
      <c r="A185" s="82" t="n">
        <v>40269</v>
      </c>
      <c r="B185" t="n">
        <v/>
      </c>
      <c r="C185" t="n">
        <v/>
      </c>
      <c r="D185" t="n">
        <v>24.06867218017578</v>
      </c>
      <c r="E185" t="n">
        <v>31.84000015258789</v>
      </c>
      <c r="F185" t="n">
        <v>0.009701974445100164</v>
      </c>
    </row>
    <row r="186">
      <c r="A186" s="82" t="n">
        <v>40299</v>
      </c>
      <c r="B186" t="n">
        <v/>
      </c>
      <c r="C186" t="n">
        <v/>
      </c>
      <c r="D186" t="n">
        <v>21.0310173034668</v>
      </c>
      <c r="E186" t="n">
        <v>28.34000015258789</v>
      </c>
      <c r="F186" t="n">
        <v/>
      </c>
    </row>
    <row r="187">
      <c r="A187" s="82" t="n">
        <v>40330</v>
      </c>
      <c r="B187" t="n">
        <v/>
      </c>
      <c r="C187" t="n">
        <v/>
      </c>
      <c r="D187" t="n">
        <v>20.1218376159668</v>
      </c>
      <c r="E187" t="n">
        <v>26.8799991607666</v>
      </c>
      <c r="F187" t="n">
        <v/>
      </c>
    </row>
    <row r="188">
      <c r="A188" s="82" t="n">
        <v>40360</v>
      </c>
      <c r="B188" t="n">
        <v/>
      </c>
      <c r="C188" t="n">
        <v/>
      </c>
      <c r="D188" t="n">
        <v>23.62701034545898</v>
      </c>
      <c r="E188" t="n">
        <v>30.78000068664551</v>
      </c>
      <c r="F188" t="n">
        <v>0.004209322361389465</v>
      </c>
    </row>
    <row r="189">
      <c r="A189" s="82" t="n">
        <v>40391</v>
      </c>
      <c r="B189" t="n">
        <v/>
      </c>
      <c r="C189" t="n">
        <v/>
      </c>
      <c r="D189" t="n">
        <v>21.97944831848145</v>
      </c>
      <c r="E189" t="n">
        <v>29.92000007629395</v>
      </c>
      <c r="F189" t="n">
        <v/>
      </c>
    </row>
    <row r="190">
      <c r="A190" s="82" t="n">
        <v>40422</v>
      </c>
      <c r="B190" t="n">
        <v/>
      </c>
      <c r="C190" t="n">
        <v/>
      </c>
      <c r="D190" t="n">
        <v>24.91483497619629</v>
      </c>
      <c r="E190" t="n">
        <v>32.72000122070312</v>
      </c>
      <c r="F190" t="n">
        <v/>
      </c>
    </row>
    <row r="191">
      <c r="A191" s="82" t="n">
        <v>40452</v>
      </c>
      <c r="B191" t="n">
        <v>53.7</v>
      </c>
      <c r="C191" t="n">
        <v>34.73036575317383</v>
      </c>
      <c r="D191" t="n">
        <v>26.42570495605469</v>
      </c>
      <c r="E191" t="n">
        <v>34.09999847412109</v>
      </c>
      <c r="F191" t="n">
        <v>0.005873149306480536</v>
      </c>
    </row>
    <row r="192">
      <c r="A192" s="82" t="n">
        <v>40483</v>
      </c>
      <c r="B192" t="n">
        <v>54</v>
      </c>
      <c r="C192" t="n">
        <v>33.97114944458008</v>
      </c>
      <c r="D192" t="n">
        <v>23.49750709533691</v>
      </c>
      <c r="E192" t="n">
        <v>32.31999969482422</v>
      </c>
      <c r="F192" t="n">
        <v/>
      </c>
    </row>
    <row r="193">
      <c r="A193" s="82" t="n">
        <v>40513</v>
      </c>
      <c r="B193" t="n">
        <v>54.9</v>
      </c>
      <c r="C193" t="n">
        <v>36.26428985595703</v>
      </c>
      <c r="D193" t="n">
        <v>25.37529754638672</v>
      </c>
      <c r="E193" t="n">
        <v>34.7400016784668</v>
      </c>
      <c r="F193" t="n">
        <v/>
      </c>
    </row>
    <row r="194">
      <c r="A194" s="82" t="n">
        <v>40544</v>
      </c>
      <c r="B194" t="n">
        <v>57.2</v>
      </c>
      <c r="C194" t="n">
        <v>37.00937652587891</v>
      </c>
      <c r="D194" t="n">
        <v>27.20688247680664</v>
      </c>
      <c r="E194" t="n">
        <v>35.11999893188477</v>
      </c>
      <c r="F194" t="n">
        <v>0.009097928931317362</v>
      </c>
    </row>
    <row r="195">
      <c r="A195" s="82" t="n">
        <v>40575</v>
      </c>
      <c r="B195" t="n">
        <v>58.2</v>
      </c>
      <c r="C195" t="n">
        <v>38.15931701660156</v>
      </c>
      <c r="D195" t="n">
        <v>28.00475311279297</v>
      </c>
      <c r="E195" t="n">
        <v>36.72000122070312</v>
      </c>
      <c r="F195" t="n">
        <v/>
      </c>
    </row>
    <row r="196">
      <c r="A196" s="82" t="n">
        <v>40603</v>
      </c>
      <c r="B196" t="n">
        <v>56</v>
      </c>
      <c r="C196" t="n">
        <v>37.83076477050781</v>
      </c>
      <c r="D196" t="n">
        <v>28.09903717041016</v>
      </c>
      <c r="E196" t="n">
        <v>35.81999969482422</v>
      </c>
      <c r="F196" t="n">
        <v/>
      </c>
    </row>
    <row r="197">
      <c r="A197" s="82" t="n">
        <v>40634</v>
      </c>
      <c r="B197" t="n">
        <v>55.5</v>
      </c>
      <c r="C197" t="n">
        <v>39.65346527099609</v>
      </c>
      <c r="D197" t="n">
        <v>30.34028434753418</v>
      </c>
      <c r="E197" t="n">
        <v>38.22000122070312</v>
      </c>
      <c r="F197" t="n">
        <v>-0.0002072222953032917</v>
      </c>
    </row>
    <row r="198">
      <c r="A198" s="82" t="n">
        <v>40664</v>
      </c>
      <c r="B198" t="n">
        <v>53.1</v>
      </c>
      <c r="C198" t="n">
        <v>38.8790168762207</v>
      </c>
      <c r="D198" t="n">
        <v>28.89689636230469</v>
      </c>
      <c r="E198" t="n">
        <v>37.31999969482422</v>
      </c>
      <c r="F198" t="n">
        <v/>
      </c>
    </row>
    <row r="199">
      <c r="A199" s="82" t="n">
        <v>40695</v>
      </c>
      <c r="B199" t="n">
        <v>52.8</v>
      </c>
      <c r="C199" t="n">
        <v>37.74471282958984</v>
      </c>
      <c r="D199" t="n">
        <v>28.16431427001953</v>
      </c>
      <c r="E199" t="n">
        <v>35.61999893188477</v>
      </c>
      <c r="F199" t="n">
        <v/>
      </c>
    </row>
    <row r="200">
      <c r="A200" s="82" t="n">
        <v>40725</v>
      </c>
      <c r="B200" t="n">
        <v>50.9</v>
      </c>
      <c r="C200" t="n">
        <v>37.3235969543457</v>
      </c>
      <c r="D200" t="n">
        <v>26.62810325622559</v>
      </c>
      <c r="E200" t="n">
        <v>35.47999954223633</v>
      </c>
      <c r="F200" t="n">
        <v>0.001513630599514928</v>
      </c>
    </row>
    <row r="201">
      <c r="A201" s="82" t="n">
        <v>40756</v>
      </c>
      <c r="B201" t="n">
        <v>50.4</v>
      </c>
      <c r="C201" t="n">
        <v>34.57676315307617</v>
      </c>
      <c r="D201" t="n">
        <v>23.37933158874512</v>
      </c>
      <c r="E201" t="n">
        <v>32.7599983215332</v>
      </c>
      <c r="F201" t="n">
        <v/>
      </c>
    </row>
    <row r="202">
      <c r="A202" s="82" t="n">
        <v>40787</v>
      </c>
      <c r="B202" t="n">
        <v>50.1</v>
      </c>
      <c r="C202" t="n">
        <v>30.96709823608398</v>
      </c>
      <c r="D202" t="n">
        <v>20.26406478881836</v>
      </c>
      <c r="E202" t="n">
        <v>29.54000091552734</v>
      </c>
      <c r="F202" t="n">
        <v/>
      </c>
    </row>
    <row r="203">
      <c r="A203" s="82" t="n">
        <v>40817</v>
      </c>
      <c r="B203" t="n">
        <v>49.5</v>
      </c>
      <c r="C203" t="n">
        <v>34.47385787963867</v>
      </c>
      <c r="D203" t="n">
        <v>22.82303428649902</v>
      </c>
      <c r="E203" t="n">
        <v>33.36000061035156</v>
      </c>
      <c r="F203" t="n">
        <v>-0.004244823634824666</v>
      </c>
    </row>
    <row r="204">
      <c r="A204" s="82" t="n">
        <v>40848</v>
      </c>
      <c r="B204" t="n">
        <v>49.6</v>
      </c>
      <c r="C204" t="n">
        <v>34.07806396484375</v>
      </c>
      <c r="D204" t="n">
        <v>21.8587818145752</v>
      </c>
      <c r="E204" t="n">
        <v>32.81999969482422</v>
      </c>
      <c r="F204" t="n">
        <v/>
      </c>
    </row>
    <row r="205">
      <c r="A205" s="82" t="n">
        <v>40878</v>
      </c>
      <c r="B205" t="n">
        <v>50.4</v>
      </c>
      <c r="C205" t="n">
        <v>33.3814582824707</v>
      </c>
      <c r="D205" t="n">
        <v>20.69426918029785</v>
      </c>
      <c r="E205" t="n">
        <v>32.31999969482422</v>
      </c>
      <c r="F205" t="n">
        <v/>
      </c>
    </row>
    <row r="206">
      <c r="A206" s="82" t="n">
        <v>40909</v>
      </c>
      <c r="B206" t="n">
        <v>51</v>
      </c>
      <c r="C206" t="n">
        <v>35.60320281982422</v>
      </c>
      <c r="D206" t="n">
        <v>22.41403198242188</v>
      </c>
      <c r="E206" t="n">
        <v>33.36000061035156</v>
      </c>
      <c r="F206" t="n">
        <v>-0.002144764684240563</v>
      </c>
    </row>
    <row r="207">
      <c r="A207" s="82" t="n">
        <v>40940</v>
      </c>
      <c r="B207" t="n">
        <v>51.2</v>
      </c>
      <c r="C207" t="n">
        <v>37.3641471862793</v>
      </c>
      <c r="D207" t="n">
        <v>23.64466857910156</v>
      </c>
      <c r="E207" t="n">
        <v>35.06000137329102</v>
      </c>
      <c r="F207" t="n">
        <v/>
      </c>
    </row>
    <row r="208">
      <c r="A208" s="82" t="n">
        <v>40969</v>
      </c>
      <c r="B208" t="n">
        <v>51.6</v>
      </c>
      <c r="C208" t="n">
        <v>37.7803840637207</v>
      </c>
      <c r="D208" t="n">
        <v>23.6746826171875</v>
      </c>
      <c r="E208" t="n">
        <v>34.59999847412109</v>
      </c>
      <c r="F208" t="n">
        <v/>
      </c>
    </row>
    <row r="209">
      <c r="A209" s="82" t="n">
        <v>41000</v>
      </c>
      <c r="B209" t="n">
        <v>51.3</v>
      </c>
      <c r="C209" t="n">
        <v>37.34814834594727</v>
      </c>
      <c r="D209" t="n">
        <v>22.34649848937988</v>
      </c>
      <c r="E209" t="n">
        <v>35.09999847412109</v>
      </c>
      <c r="F209" t="n">
        <v>-0.002641294161975166</v>
      </c>
    </row>
    <row r="210">
      <c r="A210" s="82" t="n">
        <v>41030</v>
      </c>
      <c r="B210" t="n">
        <v>50.3</v>
      </c>
      <c r="C210" t="n">
        <v>33.88227844238281</v>
      </c>
      <c r="D210" t="n">
        <v>19.46501731872559</v>
      </c>
      <c r="E210" t="n">
        <v>31.10000038146973</v>
      </c>
      <c r="F210" t="n">
        <v/>
      </c>
    </row>
    <row r="211">
      <c r="A211" s="82" t="n">
        <v>41061</v>
      </c>
      <c r="B211" t="n">
        <v>49.7</v>
      </c>
      <c r="C211" t="n">
        <v>35.11493682861328</v>
      </c>
      <c r="D211" t="n">
        <v>20.59810066223145</v>
      </c>
      <c r="E211" t="n">
        <v>32.58000183105469</v>
      </c>
      <c r="F211" t="n">
        <v/>
      </c>
    </row>
    <row r="212">
      <c r="A212" s="82" t="n">
        <v>41091</v>
      </c>
      <c r="B212" t="n">
        <v>48.8</v>
      </c>
      <c r="C212" t="n">
        <v>35.89302825927734</v>
      </c>
      <c r="D212" t="n">
        <v>20.99536323547363</v>
      </c>
      <c r="E212" t="n">
        <v>32.86000061035156</v>
      </c>
      <c r="F212" t="n">
        <v>-0.0009762566742093881</v>
      </c>
    </row>
    <row r="213">
      <c r="A213" s="82" t="n">
        <v>41122</v>
      </c>
      <c r="B213" t="n">
        <v>48.7</v>
      </c>
      <c r="C213" t="n">
        <v>36.89118957519531</v>
      </c>
      <c r="D213" t="n">
        <v>22.38578033447266</v>
      </c>
      <c r="E213" t="n">
        <v>33.93999862670898</v>
      </c>
      <c r="F213" t="n">
        <v/>
      </c>
    </row>
    <row r="214">
      <c r="A214" s="82" t="n">
        <v>41153</v>
      </c>
      <c r="B214" t="n">
        <v>48.7</v>
      </c>
      <c r="C214" t="n">
        <v>37.88933563232422</v>
      </c>
      <c r="D214" t="n">
        <v>23.21231079101562</v>
      </c>
      <c r="E214" t="n">
        <v>34.79999923706055</v>
      </c>
      <c r="F214" t="n">
        <v/>
      </c>
    </row>
    <row r="215">
      <c r="A215" s="82" t="n">
        <v>41183</v>
      </c>
      <c r="B215" t="n">
        <v>48.9</v>
      </c>
      <c r="C215" t="n">
        <v>37.69457626342773</v>
      </c>
      <c r="D215" t="n">
        <v>23.80709838867188</v>
      </c>
      <c r="E215" t="n">
        <v>34.95999908447266</v>
      </c>
      <c r="F215" t="n">
        <v>-0.004438676814195851</v>
      </c>
    </row>
    <row r="216">
      <c r="A216" s="82" t="n">
        <v>41214</v>
      </c>
      <c r="B216" t="n">
        <v>49.6</v>
      </c>
      <c r="C216" t="n">
        <v>38.29509353637695</v>
      </c>
      <c r="D216" t="n">
        <v>24.61818313598633</v>
      </c>
      <c r="E216" t="n">
        <v>35.36000061035156</v>
      </c>
      <c r="F216" t="n">
        <v/>
      </c>
    </row>
    <row r="217">
      <c r="A217" s="82" t="n">
        <v>41244</v>
      </c>
      <c r="B217" t="n">
        <v>50</v>
      </c>
      <c r="C217" t="n">
        <v>39.01734161376953</v>
      </c>
      <c r="D217" t="n">
        <v>25.84638786315918</v>
      </c>
      <c r="E217" t="n">
        <v>35.88000106811523</v>
      </c>
      <c r="F217" t="n">
        <v/>
      </c>
    </row>
    <row r="218">
      <c r="A218" s="82" t="n">
        <v>41275</v>
      </c>
      <c r="B218" t="n">
        <v>51.5</v>
      </c>
      <c r="C218" t="n">
        <v>40.89074325561523</v>
      </c>
      <c r="D218" t="n">
        <v>26.91959571838379</v>
      </c>
      <c r="E218" t="n">
        <v>36.93999862670898</v>
      </c>
      <c r="F218" t="n">
        <v>-0.003360249754733544</v>
      </c>
    </row>
    <row r="219">
      <c r="A219" s="82" t="n">
        <v>41306</v>
      </c>
      <c r="B219" t="n">
        <v>50.9</v>
      </c>
      <c r="C219" t="n">
        <v>40.84975433349609</v>
      </c>
      <c r="D219" t="n">
        <v>25.67906379699707</v>
      </c>
      <c r="E219" t="n">
        <v>35.93999862670898</v>
      </c>
      <c r="F219" t="n">
        <v/>
      </c>
    </row>
    <row r="220">
      <c r="A220" s="82" t="n">
        <v>41334</v>
      </c>
      <c r="B220" t="n">
        <v>51.2</v>
      </c>
      <c r="C220" t="n">
        <v>41.59561538696289</v>
      </c>
      <c r="D220" t="n">
        <v>25.31465911865234</v>
      </c>
      <c r="E220" t="n">
        <v>36.54000091552734</v>
      </c>
      <c r="F220" t="n">
        <v/>
      </c>
    </row>
    <row r="221">
      <c r="A221" s="82" t="n">
        <v>41365</v>
      </c>
      <c r="B221" t="n">
        <v>50.4</v>
      </c>
      <c r="C221" t="n">
        <v>42.77585983276367</v>
      </c>
      <c r="D221" t="n">
        <v>26.77228355407715</v>
      </c>
      <c r="E221" t="n">
        <v>37.58000183105469</v>
      </c>
      <c r="F221" t="n">
        <v>0.005182801296864457</v>
      </c>
    </row>
    <row r="222">
      <c r="A222" s="82" t="n">
        <v>41395</v>
      </c>
      <c r="B222" t="n">
        <v>50.6</v>
      </c>
      <c r="C222" t="n">
        <v>42.61193084716797</v>
      </c>
      <c r="D222" t="n">
        <v>27.12119102478027</v>
      </c>
      <c r="E222" t="n">
        <v>37.54000091552734</v>
      </c>
      <c r="F222" t="n">
        <v/>
      </c>
    </row>
    <row r="223">
      <c r="A223" s="82" t="n">
        <v>41426</v>
      </c>
      <c r="B223" t="n">
        <v>50.6</v>
      </c>
      <c r="C223" t="n">
        <v>40.98089599609375</v>
      </c>
      <c r="D223" t="n">
        <v>25.18285179138184</v>
      </c>
      <c r="E223" t="n">
        <v>35.31999969482422</v>
      </c>
      <c r="F223" t="n">
        <v/>
      </c>
    </row>
    <row r="224">
      <c r="A224" s="82" t="n">
        <v>41456</v>
      </c>
      <c r="B224" t="n">
        <v>50.8</v>
      </c>
      <c r="C224" t="n">
        <v>43.40414047241211</v>
      </c>
      <c r="D224" t="n">
        <v>28.05584907531738</v>
      </c>
      <c r="E224" t="n">
        <v>37.58000183105469</v>
      </c>
      <c r="F224" t="n">
        <v>0.003031713147676317</v>
      </c>
    </row>
    <row r="225">
      <c r="A225" s="82" t="n">
        <v>41487</v>
      </c>
      <c r="B225" t="n">
        <v>51.6</v>
      </c>
      <c r="C225" t="n">
        <v>42.40808868408203</v>
      </c>
      <c r="D225" t="n">
        <v>27.54747581481934</v>
      </c>
      <c r="E225" t="n">
        <v>37.29999923706055</v>
      </c>
      <c r="F225" t="n">
        <v/>
      </c>
    </row>
    <row r="226">
      <c r="A226" s="82" t="n">
        <v>41518</v>
      </c>
      <c r="B226" t="n">
        <v>51.8</v>
      </c>
      <c r="C226" t="n">
        <v>44.75714874267578</v>
      </c>
      <c r="D226" t="n">
        <v>29.97018814086914</v>
      </c>
      <c r="E226" t="n">
        <v>39.2400016784668</v>
      </c>
      <c r="F226" t="n">
        <v/>
      </c>
    </row>
    <row r="227">
      <c r="A227" s="82" t="n">
        <v>41548</v>
      </c>
      <c r="B227" t="n">
        <v>52.1</v>
      </c>
      <c r="C227" t="n">
        <v>46.52519989013672</v>
      </c>
      <c r="D227" t="n">
        <v>31.59856796264648</v>
      </c>
      <c r="E227" t="n">
        <v>40.70000076293945</v>
      </c>
      <c r="F227" t="n">
        <v>0.002868848690398543</v>
      </c>
    </row>
    <row r="228">
      <c r="A228" s="82" t="n">
        <v>41579</v>
      </c>
      <c r="B228" t="n">
        <v>53.1</v>
      </c>
      <c r="C228" t="n">
        <v>47.24735260009766</v>
      </c>
      <c r="D228" t="n">
        <v>32.05928421020508</v>
      </c>
      <c r="E228" t="n">
        <v>41.02000045776367</v>
      </c>
      <c r="F228" t="n">
        <v/>
      </c>
    </row>
    <row r="229">
      <c r="A229" s="82" t="n">
        <v>41609</v>
      </c>
      <c r="B229" t="n">
        <v>53.3</v>
      </c>
      <c r="C229" t="n">
        <v>47.82839584350586</v>
      </c>
      <c r="D229" t="n">
        <v>32.8695068359375</v>
      </c>
      <c r="E229" t="n">
        <v>41.7599983215332</v>
      </c>
      <c r="F229" t="n">
        <v/>
      </c>
    </row>
    <row r="230">
      <c r="A230" s="82" t="n">
        <v>41640</v>
      </c>
      <c r="B230" t="n">
        <v>52.9</v>
      </c>
      <c r="C230" t="n">
        <v>45.9903564453125</v>
      </c>
      <c r="D230" t="n">
        <v>31.29400444030762</v>
      </c>
      <c r="E230" t="n">
        <v>39.81999969482422</v>
      </c>
      <c r="F230" t="n">
        <v>0.004155023401593535</v>
      </c>
    </row>
    <row r="231">
      <c r="A231" s="82" t="n">
        <v>41671</v>
      </c>
      <c r="B231" t="n">
        <v>53.3</v>
      </c>
      <c r="C231" t="n">
        <v>48.38402938842773</v>
      </c>
      <c r="D231" t="n">
        <v>33.47749328613281</v>
      </c>
      <c r="E231" t="n">
        <v>42.52000045776367</v>
      </c>
      <c r="F231" t="n">
        <v/>
      </c>
    </row>
    <row r="232">
      <c r="A232" s="82" t="n">
        <v>41699</v>
      </c>
      <c r="B232" t="n">
        <v>52.4</v>
      </c>
      <c r="C232" t="n">
        <v>48.66022109985352</v>
      </c>
      <c r="D232" t="n">
        <v>33.6846809387207</v>
      </c>
      <c r="E232" t="n">
        <v>41.18000030517578</v>
      </c>
      <c r="F232" t="n">
        <v/>
      </c>
    </row>
    <row r="233">
      <c r="A233" s="82" t="n">
        <v>41730</v>
      </c>
      <c r="B233" t="n">
        <v>51.9</v>
      </c>
      <c r="C233" t="n">
        <v>49.23772048950195</v>
      </c>
      <c r="D233" t="n">
        <v>34.30625534057617</v>
      </c>
      <c r="E233" t="n">
        <v>43.04000091552734</v>
      </c>
      <c r="F233" t="n">
        <v>0.001931307144522652</v>
      </c>
    </row>
    <row r="234">
      <c r="A234" s="82" t="n">
        <v>41760</v>
      </c>
      <c r="B234" t="n">
        <v>52.2</v>
      </c>
      <c r="C234" t="n">
        <v>50.22531127929688</v>
      </c>
      <c r="D234" t="n">
        <v>34.59313583374023</v>
      </c>
      <c r="E234" t="n">
        <v>43.45999908447266</v>
      </c>
      <c r="F234" t="n">
        <v/>
      </c>
    </row>
    <row r="235">
      <c r="A235" s="82" t="n">
        <v>41791</v>
      </c>
      <c r="B235" t="n">
        <v>52.6</v>
      </c>
      <c r="C235" t="n">
        <v>50.43455123901367</v>
      </c>
      <c r="D235" t="n">
        <v>33.72451782226562</v>
      </c>
      <c r="E235" t="n">
        <v>41.7599983215332</v>
      </c>
      <c r="F235" t="n">
        <v/>
      </c>
    </row>
    <row r="236">
      <c r="A236" s="82" t="n">
        <v>41821</v>
      </c>
      <c r="B236" t="n">
        <v>52.5</v>
      </c>
      <c r="C236" t="n">
        <v>50.40021133422852</v>
      </c>
      <c r="D236" t="n">
        <v>32.32644271850586</v>
      </c>
      <c r="E236" t="n">
        <v>40.7599983215332</v>
      </c>
      <c r="F236" t="n">
        <v>0.004955066743171191</v>
      </c>
    </row>
    <row r="237">
      <c r="A237" s="82" t="n">
        <v>41852</v>
      </c>
      <c r="B237" t="n">
        <v>52.6</v>
      </c>
      <c r="C237" t="n">
        <v>51.69861221313477</v>
      </c>
      <c r="D237" t="n">
        <v>32.38329315185547</v>
      </c>
      <c r="E237" t="n">
        <v>41.08000183105469</v>
      </c>
      <c r="F237" t="n">
        <v/>
      </c>
    </row>
    <row r="238">
      <c r="A238" s="82" t="n">
        <v>41883</v>
      </c>
      <c r="B238" t="n">
        <v>52.2</v>
      </c>
      <c r="C238" t="n">
        <v>49.98438262939453</v>
      </c>
      <c r="D238" t="n">
        <v>31.27055168151855</v>
      </c>
      <c r="E238" t="n">
        <v>38.7599983215332</v>
      </c>
      <c r="F238" t="n">
        <v/>
      </c>
    </row>
    <row r="239">
      <c r="A239" s="82" t="n">
        <v>41913</v>
      </c>
      <c r="B239" t="n">
        <v>52.2</v>
      </c>
      <c r="C239" t="n">
        <v>50.5869026184082</v>
      </c>
      <c r="D239" t="n">
        <v>30.37711143493652</v>
      </c>
      <c r="E239" t="n">
        <v>38.02000045776367</v>
      </c>
      <c r="F239" t="n">
        <v>0.003523148436910051</v>
      </c>
    </row>
    <row r="240">
      <c r="A240" s="82" t="n">
        <v>41944</v>
      </c>
      <c r="B240" t="n">
        <v>51.8</v>
      </c>
      <c r="C240" t="n">
        <v>51.28278732299805</v>
      </c>
      <c r="D240" t="n">
        <v>31.55483245849609</v>
      </c>
      <c r="E240" t="n">
        <v>38.06000137329102</v>
      </c>
      <c r="F240" t="n">
        <v/>
      </c>
    </row>
    <row r="241">
      <c r="A241" s="82" t="n">
        <v>41974</v>
      </c>
      <c r="B241" t="n">
        <v>51.6</v>
      </c>
      <c r="C241" t="n">
        <v>49.64492416381836</v>
      </c>
      <c r="D241" t="n">
        <v>29.50803375244141</v>
      </c>
      <c r="E241" t="n">
        <v>36.06000137329102</v>
      </c>
      <c r="F241" t="n">
        <v/>
      </c>
    </row>
    <row r="242">
      <c r="A242" s="82" t="n">
        <v>42005</v>
      </c>
      <c r="B242" t="n">
        <v>51.7</v>
      </c>
      <c r="C242" t="n">
        <v>49.41461944580078</v>
      </c>
      <c r="D242" t="n">
        <v>30.008544921875</v>
      </c>
      <c r="E242" t="n">
        <v>36.08000183105469</v>
      </c>
      <c r="F242" t="n">
        <v>0.006377532974330843</v>
      </c>
    </row>
    <row r="243">
      <c r="A243" s="82" t="n">
        <v>42036</v>
      </c>
      <c r="B243" t="n">
        <v>52</v>
      </c>
      <c r="C243" t="n">
        <v>52.13656997680664</v>
      </c>
      <c r="D243" t="n">
        <v>31.87385368347168</v>
      </c>
      <c r="E243" t="n">
        <v>38.20000076293945</v>
      </c>
      <c r="F243" t="n">
        <v/>
      </c>
    </row>
    <row r="244">
      <c r="A244" s="82" t="n">
        <v>42064</v>
      </c>
      <c r="B244" t="n">
        <v>51.8</v>
      </c>
      <c r="C244" t="n">
        <v>51.37476348876953</v>
      </c>
      <c r="D244" t="n">
        <v>31.56297492980957</v>
      </c>
      <c r="E244" t="n">
        <v>36.02000045776367</v>
      </c>
      <c r="F244" t="n">
        <v/>
      </c>
    </row>
    <row r="245">
      <c r="A245" s="82" t="n">
        <v>42095</v>
      </c>
      <c r="B245" t="n">
        <v>51</v>
      </c>
      <c r="C245" t="n">
        <v>52.84702682495117</v>
      </c>
      <c r="D245" t="n">
        <v>32.26654052734375</v>
      </c>
      <c r="E245" t="n">
        <v>38.41999816894531</v>
      </c>
      <c r="F245" t="n">
        <v>0.004639984618575194</v>
      </c>
    </row>
    <row r="246">
      <c r="A246" s="82" t="n">
        <v>42125</v>
      </c>
      <c r="B246" t="n">
        <v>51.2</v>
      </c>
      <c r="C246" t="n">
        <v>52.84702682495117</v>
      </c>
      <c r="D246" t="n">
        <v>32.06201934814453</v>
      </c>
      <c r="E246" t="n">
        <v>38.65999984741211</v>
      </c>
      <c r="F246" t="n">
        <v/>
      </c>
    </row>
    <row r="247">
      <c r="A247" s="82" t="n">
        <v>42156</v>
      </c>
      <c r="B247" t="n">
        <v>51</v>
      </c>
      <c r="C247" t="n">
        <v>50.88686752319336</v>
      </c>
      <c r="D247" t="n">
        <v>30.71212387084961</v>
      </c>
      <c r="E247" t="n">
        <v>36.5</v>
      </c>
      <c r="F247" t="n">
        <v/>
      </c>
    </row>
    <row r="248">
      <c r="A248" s="82" t="n">
        <v>42186</v>
      </c>
      <c r="B248" t="n">
        <v>51</v>
      </c>
      <c r="C248" t="n">
        <v>51.90879821777344</v>
      </c>
      <c r="D248" t="n">
        <v>32.20861053466797</v>
      </c>
      <c r="E248" t="n">
        <v>37.08000183105469</v>
      </c>
      <c r="F248" t="n">
        <v>0.004187666913872255</v>
      </c>
    </row>
    <row r="249">
      <c r="A249" s="82" t="n">
        <v>42217</v>
      </c>
      <c r="B249" t="n">
        <v>50.7</v>
      </c>
      <c r="C249" t="n">
        <v>48.37545776367188</v>
      </c>
      <c r="D249" t="n">
        <v>29.98589706420898</v>
      </c>
      <c r="E249" t="n">
        <v>34.11999893188477</v>
      </c>
      <c r="F249" t="n">
        <v/>
      </c>
    </row>
    <row r="250">
      <c r="A250" s="82" t="n">
        <v>42248</v>
      </c>
      <c r="B250" t="n">
        <v>50.6</v>
      </c>
      <c r="C250" t="n">
        <v>46.71270751953125</v>
      </c>
      <c r="D250" t="n">
        <v>28.58733177185059</v>
      </c>
      <c r="E250" t="n">
        <v>32.77999877929688</v>
      </c>
      <c r="F250" t="n">
        <v/>
      </c>
    </row>
    <row r="251">
      <c r="A251" s="82" t="n">
        <v>42278</v>
      </c>
      <c r="B251" t="n">
        <v>51.4</v>
      </c>
      <c r="C251" t="n">
        <v>50.28934478759766</v>
      </c>
      <c r="D251" t="n">
        <v>30.67684745788574</v>
      </c>
      <c r="E251" t="n">
        <v>34.93999862670898</v>
      </c>
      <c r="F251" t="n">
        <v>0.004606946550607898</v>
      </c>
    </row>
    <row r="252">
      <c r="A252" s="82" t="n">
        <v>42309</v>
      </c>
      <c r="B252" t="n">
        <v>51.2</v>
      </c>
      <c r="C252" t="n">
        <v>50.02087783813477</v>
      </c>
      <c r="D252" t="n">
        <v>30.43543815612793</v>
      </c>
      <c r="E252" t="n">
        <v>34.36000061035156</v>
      </c>
      <c r="F252" t="n">
        <v/>
      </c>
    </row>
    <row r="253">
      <c r="A253" s="82" t="n">
        <v>42339</v>
      </c>
      <c r="B253" t="n">
        <v>50.9</v>
      </c>
      <c r="C253" t="n">
        <v>48.34081649780273</v>
      </c>
      <c r="D253" t="n">
        <v>29.17006874084473</v>
      </c>
      <c r="E253" t="n">
        <v>32.27999877929688</v>
      </c>
      <c r="F253" t="n">
        <v/>
      </c>
    </row>
    <row r="254">
      <c r="A254" s="82" t="n">
        <v>42370</v>
      </c>
      <c r="B254" t="n">
        <v>50.9</v>
      </c>
      <c r="C254" t="n">
        <v>46.37092971801758</v>
      </c>
      <c r="D254" t="n">
        <v>27.69922065734863</v>
      </c>
      <c r="E254" t="n">
        <v>30.71999931335449</v>
      </c>
      <c r="F254" t="n">
        <v>0.00553159241330976</v>
      </c>
    </row>
    <row r="255">
      <c r="A255" s="82" t="n">
        <v>42401</v>
      </c>
      <c r="B255" t="n">
        <v>50</v>
      </c>
      <c r="C255" t="n">
        <v>45.79194641113281</v>
      </c>
      <c r="D255" t="n">
        <v>26.53118324279785</v>
      </c>
      <c r="E255" t="n">
        <v>29.76000022888184</v>
      </c>
      <c r="F255" t="n">
        <v/>
      </c>
    </row>
    <row r="256">
      <c r="A256" s="82" t="n">
        <v>42430</v>
      </c>
      <c r="B256" t="n">
        <v>50.5</v>
      </c>
      <c r="C256" t="n">
        <v>49.17809677124023</v>
      </c>
      <c r="D256" t="n">
        <v>28.69205665588379</v>
      </c>
      <c r="E256" t="n">
        <v>31.36000061035156</v>
      </c>
      <c r="F256" t="n">
        <v/>
      </c>
    </row>
    <row r="257">
      <c r="A257" s="82" t="n">
        <v>42461</v>
      </c>
      <c r="B257" t="n">
        <v>50.1</v>
      </c>
      <c r="C257" t="n">
        <v>49.83603286743164</v>
      </c>
      <c r="D257" t="n">
        <v>29.42625427246094</v>
      </c>
      <c r="E257" t="n">
        <v>32.61999893188477</v>
      </c>
      <c r="F257" t="n">
        <v>0.002374289464443885</v>
      </c>
    </row>
    <row r="258">
      <c r="A258" s="82" t="n">
        <v>42491</v>
      </c>
      <c r="B258" t="n">
        <v>50</v>
      </c>
      <c r="C258" t="n">
        <v>50.00270080566406</v>
      </c>
      <c r="D258" t="n">
        <v>28.35832977294922</v>
      </c>
      <c r="E258" t="n">
        <v>32.2400016784668</v>
      </c>
      <c r="F258" t="n">
        <v/>
      </c>
    </row>
    <row r="259">
      <c r="A259" s="82" t="n">
        <v>42522</v>
      </c>
      <c r="B259" t="n">
        <v>50.9</v>
      </c>
      <c r="C259" t="n">
        <v>49.32722473144531</v>
      </c>
      <c r="D259" t="n">
        <v>26.92331314086914</v>
      </c>
      <c r="E259" t="n">
        <v>30.73999977111816</v>
      </c>
      <c r="F259" t="n">
        <v/>
      </c>
    </row>
    <row r="260">
      <c r="A260" s="82" t="n">
        <v>42552</v>
      </c>
      <c r="B260" t="n">
        <v>51</v>
      </c>
      <c r="C260" t="n">
        <v>51.86214065551758</v>
      </c>
      <c r="D260" t="n">
        <v>28.92735481262207</v>
      </c>
      <c r="E260" t="n">
        <v>31.20000076293945</v>
      </c>
      <c r="F260" t="n">
        <v>0.004760798626634644</v>
      </c>
    </row>
    <row r="261">
      <c r="A261" s="82" t="n">
        <v>42583</v>
      </c>
      <c r="B261" t="n">
        <v>50.9</v>
      </c>
      <c r="C261" t="n">
        <v>52.03990173339844</v>
      </c>
      <c r="D261" t="n">
        <v>29.25227928161621</v>
      </c>
      <c r="E261" t="n">
        <v>31.54000091552734</v>
      </c>
      <c r="F261" t="n">
        <v/>
      </c>
    </row>
    <row r="262">
      <c r="A262" s="82" t="n">
        <v>42614</v>
      </c>
      <c r="B262" t="n">
        <v>51</v>
      </c>
      <c r="C262" t="n">
        <v>52.52874755859375</v>
      </c>
      <c r="D262" t="n">
        <v>29.49170112609863</v>
      </c>
      <c r="E262" t="n">
        <v>31.68000030517578</v>
      </c>
      <c r="F262" t="n">
        <v/>
      </c>
    </row>
    <row r="263">
      <c r="A263" s="82" t="n">
        <v>42644</v>
      </c>
      <c r="B263" t="n">
        <v>52</v>
      </c>
      <c r="C263" t="n">
        <v>51.52438735961914</v>
      </c>
      <c r="D263" t="n">
        <v>29.19242286682129</v>
      </c>
      <c r="E263" t="n">
        <v>30</v>
      </c>
      <c r="F263" t="n">
        <v>0.007539571507722552</v>
      </c>
    </row>
    <row r="264">
      <c r="A264" s="82" t="n">
        <v>42675</v>
      </c>
      <c r="B264" t="n">
        <v>52.1</v>
      </c>
      <c r="C264" t="n">
        <v>52.05767822265625</v>
      </c>
      <c r="D264" t="n">
        <v>28.02951431274414</v>
      </c>
      <c r="E264" t="n">
        <v>30.05999946594238</v>
      </c>
      <c r="F264" t="n">
        <v/>
      </c>
    </row>
    <row r="265">
      <c r="A265" s="82" t="n">
        <v>42705</v>
      </c>
      <c r="B265" t="n">
        <v>52.7</v>
      </c>
      <c r="C265" t="n">
        <v>52.59096908569336</v>
      </c>
      <c r="D265" t="n">
        <v>29.58576202392578</v>
      </c>
      <c r="E265" t="n">
        <v>30.69000053405762</v>
      </c>
      <c r="F265" t="n">
        <v/>
      </c>
    </row>
    <row r="266">
      <c r="A266" s="82" t="n">
        <v>42736</v>
      </c>
      <c r="B266" t="n">
        <v>52.7</v>
      </c>
      <c r="C266" t="n">
        <v>54.62214279174805</v>
      </c>
      <c r="D266" t="n">
        <v>30.41598510742188</v>
      </c>
      <c r="E266" t="n">
        <v>31.45000076293945</v>
      </c>
      <c r="F266" t="n">
        <v>0.006837094580758003</v>
      </c>
    </row>
    <row r="267">
      <c r="A267" s="82" t="n">
        <v>42767</v>
      </c>
      <c r="B267" t="n">
        <v>53</v>
      </c>
      <c r="C267" t="n">
        <v>55.99465179443359</v>
      </c>
      <c r="D267" t="n">
        <v>30.47623062133789</v>
      </c>
      <c r="E267" t="n">
        <v>31.90999984741211</v>
      </c>
      <c r="F267" t="n">
        <v/>
      </c>
    </row>
    <row r="268">
      <c r="A268" s="82" t="n">
        <v>42795</v>
      </c>
      <c r="B268" t="n">
        <v>53</v>
      </c>
      <c r="C268" t="n">
        <v>56.74818420410156</v>
      </c>
      <c r="D268" t="n">
        <v>32.3610954284668</v>
      </c>
      <c r="E268" t="n">
        <v>32.54999923706055</v>
      </c>
      <c r="F268" t="n">
        <v/>
      </c>
    </row>
    <row r="269">
      <c r="A269" s="82" t="n">
        <v>42826</v>
      </c>
      <c r="B269" t="n">
        <v>52.7</v>
      </c>
      <c r="C269" t="n">
        <v>57.66318893432617</v>
      </c>
      <c r="D269" t="n">
        <v>33.77258682250977</v>
      </c>
      <c r="E269" t="n">
        <v>33.09999847412109</v>
      </c>
      <c r="F269" t="n">
        <v>0.007870379457880779</v>
      </c>
    </row>
    <row r="270">
      <c r="A270" s="82" t="n">
        <v>42856</v>
      </c>
      <c r="B270" t="n">
        <v>52.6</v>
      </c>
      <c r="C270" t="n">
        <v>58.93701553344727</v>
      </c>
      <c r="D270" t="n">
        <v>35.44228363037109</v>
      </c>
      <c r="E270" t="n">
        <v>34.61000061035156</v>
      </c>
      <c r="F270" t="n">
        <v/>
      </c>
    </row>
    <row r="271">
      <c r="A271" s="82" t="n">
        <v>42887</v>
      </c>
      <c r="B271" t="n">
        <v>52.6</v>
      </c>
      <c r="C271" t="n">
        <v>58.74863052368164</v>
      </c>
      <c r="D271" t="n">
        <v>34.71070861816406</v>
      </c>
      <c r="E271" t="n">
        <v>33.33000183105469</v>
      </c>
      <c r="F271" t="n">
        <v/>
      </c>
    </row>
    <row r="272">
      <c r="A272" s="82" t="n">
        <v>42917</v>
      </c>
      <c r="B272" t="n">
        <v>52.8</v>
      </c>
      <c r="C272" t="n">
        <v>61.02448272705078</v>
      </c>
      <c r="D272" t="n">
        <v>36.38886642456055</v>
      </c>
      <c r="E272" t="n">
        <v>34.11999893188477</v>
      </c>
      <c r="F272" t="n">
        <v>0.00781712875540096</v>
      </c>
    </row>
    <row r="273">
      <c r="A273" s="82" t="n">
        <v>42948</v>
      </c>
      <c r="B273" t="n">
        <v>53.2</v>
      </c>
      <c r="C273" t="n">
        <v>61.26938629150391</v>
      </c>
      <c r="D273" t="n">
        <v>36.56369400024414</v>
      </c>
      <c r="E273" t="n">
        <v>33.84000015258789</v>
      </c>
      <c r="F273" t="n">
        <v/>
      </c>
    </row>
    <row r="274">
      <c r="A274" s="82" t="n">
        <v>42979</v>
      </c>
      <c r="B274" t="n">
        <v>53.3</v>
      </c>
      <c r="C274" t="n">
        <v>62.42130661010742</v>
      </c>
      <c r="D274" t="n">
        <v>37.8661003112793</v>
      </c>
      <c r="E274" t="n">
        <v>34.84999847412109</v>
      </c>
      <c r="F274" t="n">
        <v/>
      </c>
    </row>
    <row r="275">
      <c r="A275" s="82" t="n">
        <v>43009</v>
      </c>
      <c r="B275" t="n">
        <v>53.5</v>
      </c>
      <c r="C275" t="n">
        <v>63.76370239257812</v>
      </c>
      <c r="D275" t="n">
        <v>38.31189727783203</v>
      </c>
      <c r="E275" t="n">
        <v>35.06000137329102</v>
      </c>
      <c r="F275" t="n">
        <v>0.008077292562746061</v>
      </c>
    </row>
    <row r="276">
      <c r="A276" s="82" t="n">
        <v>43040</v>
      </c>
      <c r="B276" t="n">
        <v>54.1</v>
      </c>
      <c r="C276" t="n">
        <v>65.05166625976562</v>
      </c>
      <c r="D276" t="n">
        <v>38.21574020385742</v>
      </c>
      <c r="E276" t="n">
        <v>35.02000045776367</v>
      </c>
      <c r="F276" t="n">
        <v/>
      </c>
    </row>
    <row r="277">
      <c r="A277" s="82" t="n">
        <v>43070</v>
      </c>
      <c r="B277" t="n">
        <v>54.5</v>
      </c>
      <c r="C277" t="n">
        <v>65.38727569580078</v>
      </c>
      <c r="D277" t="n">
        <v>37.91855239868164</v>
      </c>
      <c r="E277" t="n">
        <v>35.81999969482422</v>
      </c>
      <c r="F277" t="n">
        <v/>
      </c>
    </row>
    <row r="278">
      <c r="A278" s="82" t="n">
        <v>43101</v>
      </c>
      <c r="B278" t="n">
        <v>54.4</v>
      </c>
      <c r="C278" t="n">
        <v>69.75767517089844</v>
      </c>
      <c r="D278" t="n">
        <v>40.75345230102539</v>
      </c>
      <c r="E278" t="n">
        <v>37.15999984741211</v>
      </c>
      <c r="F278" t="n">
        <v>-2.915492117157202e-05</v>
      </c>
    </row>
    <row r="279">
      <c r="A279" s="82" t="n">
        <v>43132</v>
      </c>
      <c r="B279" t="n">
        <v>54.1</v>
      </c>
      <c r="C279" t="n">
        <v>66.63597869873047</v>
      </c>
      <c r="D279" t="n">
        <v>38.31280899047852</v>
      </c>
      <c r="E279" t="n">
        <v>34.66999816894531</v>
      </c>
      <c r="F279" t="n">
        <v/>
      </c>
    </row>
    <row r="280">
      <c r="A280" s="82" t="n">
        <v>43160</v>
      </c>
      <c r="B280" t="n">
        <v>53.3</v>
      </c>
      <c r="C280" t="n">
        <v>65.63812255859375</v>
      </c>
      <c r="D280" t="n">
        <v>38.05820846557617</v>
      </c>
      <c r="E280" t="n">
        <v>34.75</v>
      </c>
      <c r="F280" t="n">
        <v/>
      </c>
    </row>
    <row r="281">
      <c r="A281" s="82" t="n">
        <v>43191</v>
      </c>
      <c r="B281" t="n">
        <v>53.5</v>
      </c>
      <c r="C281" t="n">
        <v>65.90361022949219</v>
      </c>
      <c r="D281" t="n">
        <v>38.9185791015625</v>
      </c>
      <c r="E281" t="n">
        <v>36.25</v>
      </c>
      <c r="F281" t="n">
        <v>0.005332571497478247</v>
      </c>
    </row>
    <row r="282">
      <c r="A282" s="82" t="n">
        <v>43221</v>
      </c>
      <c r="B282" t="n">
        <v>53.1</v>
      </c>
      <c r="C282" t="n">
        <v>66.21487426757812</v>
      </c>
      <c r="D282" t="n">
        <v>37.52268218994141</v>
      </c>
      <c r="E282" t="n">
        <v>36.02999877929688</v>
      </c>
      <c r="F282" t="n">
        <v/>
      </c>
    </row>
    <row r="283">
      <c r="A283" s="82" t="n">
        <v>43252</v>
      </c>
      <c r="B283" t="n">
        <v>53</v>
      </c>
      <c r="C283" t="n">
        <v>65.10717010498047</v>
      </c>
      <c r="D283" t="n">
        <v>36.00385665893555</v>
      </c>
      <c r="E283" t="n">
        <v>34.77999877929688</v>
      </c>
      <c r="F283" t="n">
        <v/>
      </c>
    </row>
    <row r="284">
      <c r="A284" s="82" t="n">
        <v>43282</v>
      </c>
      <c r="B284" t="n">
        <v>52.8</v>
      </c>
      <c r="C284" t="n">
        <v>67.84506988525391</v>
      </c>
      <c r="D284" t="n">
        <v>38.28566741943359</v>
      </c>
      <c r="E284" t="n">
        <v>35.11000061035156</v>
      </c>
      <c r="F284" t="n">
        <v>0.0001176346109760537</v>
      </c>
    </row>
    <row r="285">
      <c r="A285" s="82" t="n">
        <v>43313</v>
      </c>
      <c r="B285" t="n">
        <v>52.6</v>
      </c>
      <c r="C285" t="n">
        <v>68.31712341308594</v>
      </c>
      <c r="D285" t="n">
        <v>37.07153701782227</v>
      </c>
      <c r="E285" t="n">
        <v>33.56999969482422</v>
      </c>
      <c r="F285" t="n">
        <v/>
      </c>
    </row>
    <row r="286">
      <c r="A286" s="82" t="n">
        <v>43344</v>
      </c>
      <c r="B286" t="n">
        <v>52.2</v>
      </c>
      <c r="C286" t="n">
        <v>68.73363494873047</v>
      </c>
      <c r="D286" t="n">
        <v>36.88266754150391</v>
      </c>
      <c r="E286" t="n">
        <v>34.11999893188477</v>
      </c>
      <c r="F286" t="n">
        <v/>
      </c>
    </row>
    <row r="287">
      <c r="A287" s="82" t="n">
        <v>43374</v>
      </c>
      <c r="B287" t="n">
        <v>52</v>
      </c>
      <c r="C287" t="n">
        <v>63.62442779541016</v>
      </c>
      <c r="D287" t="n">
        <v>33.60900497436523</v>
      </c>
      <c r="E287" t="n">
        <v>31.80999946594238</v>
      </c>
      <c r="F287" t="n">
        <v>0.006500983230833064</v>
      </c>
    </row>
    <row r="288">
      <c r="A288" s="82" t="n">
        <v>43405</v>
      </c>
      <c r="B288" t="n">
        <v>52</v>
      </c>
      <c r="C288" t="n">
        <v>64.63331604003906</v>
      </c>
      <c r="D288" t="n">
        <v>33.49208831787109</v>
      </c>
      <c r="E288" t="n">
        <v>31.43000030517578</v>
      </c>
      <c r="F288" t="n">
        <v/>
      </c>
    </row>
    <row r="289">
      <c r="A289" s="82" t="n">
        <v>43435</v>
      </c>
      <c r="B289" t="n">
        <v>51.5</v>
      </c>
      <c r="C289" t="n">
        <v>59.38527297973633</v>
      </c>
      <c r="D289" t="n">
        <v>31.53149223327637</v>
      </c>
      <c r="E289" t="n">
        <v>29.35000038146973</v>
      </c>
      <c r="F289" t="n">
        <v/>
      </c>
    </row>
    <row r="290">
      <c r="A290" s="82" t="n">
        <v>43466</v>
      </c>
      <c r="B290" t="n">
        <v>50.7</v>
      </c>
      <c r="C290" t="n">
        <v>64.79644012451172</v>
      </c>
      <c r="D290" t="n">
        <v>33.77357482910156</v>
      </c>
      <c r="E290" t="n">
        <v>31.48999977111816</v>
      </c>
      <c r="F290" t="n">
        <v>0.006210583635331082</v>
      </c>
    </row>
    <row r="291">
      <c r="A291" s="82" t="n">
        <v>43497</v>
      </c>
      <c r="B291" t="n">
        <v>50.6</v>
      </c>
      <c r="C291" t="n">
        <v>66.39485168457031</v>
      </c>
      <c r="D291" t="n">
        <v>34.83154678344727</v>
      </c>
      <c r="E291" t="n">
        <v>32.56999969482422</v>
      </c>
      <c r="F291" t="n">
        <v/>
      </c>
    </row>
    <row r="292">
      <c r="A292" s="82" t="n">
        <v>43525</v>
      </c>
      <c r="B292" t="n">
        <v>50.5</v>
      </c>
      <c r="C292" t="n">
        <v>67.44176483154297</v>
      </c>
      <c r="D292" t="n">
        <v>34.90388107299805</v>
      </c>
      <c r="E292" t="n">
        <v>33.0099983215332</v>
      </c>
      <c r="F292" t="n">
        <v/>
      </c>
    </row>
    <row r="293">
      <c r="A293" s="82" t="n">
        <v>43556</v>
      </c>
      <c r="B293" t="n">
        <v>50.4</v>
      </c>
      <c r="C293" t="n">
        <v>69.75057220458984</v>
      </c>
      <c r="D293" t="n">
        <v>36.64908218383789</v>
      </c>
      <c r="E293" t="n">
        <v>33.7599983215332</v>
      </c>
      <c r="F293" t="n">
        <v>0.003153589545968811</v>
      </c>
    </row>
    <row r="294">
      <c r="A294" s="82" t="n">
        <v>43586</v>
      </c>
      <c r="B294" t="n">
        <v>49.8</v>
      </c>
      <c r="C294" t="n">
        <v>65.51618957519531</v>
      </c>
      <c r="D294" t="n">
        <v>34.28899765014648</v>
      </c>
      <c r="E294" t="n">
        <v>31.69000053405762</v>
      </c>
      <c r="F294" t="n">
        <v/>
      </c>
    </row>
    <row r="295">
      <c r="A295" s="82" t="n">
        <v>43617</v>
      </c>
      <c r="B295" t="n">
        <v>49.4</v>
      </c>
      <c r="C295" t="n">
        <v>68.89995574951172</v>
      </c>
      <c r="D295" t="n">
        <v>35.7719612121582</v>
      </c>
      <c r="E295" t="n">
        <v>32.31999969482422</v>
      </c>
      <c r="F295" t="n">
        <v/>
      </c>
    </row>
    <row r="296">
      <c r="A296" s="82" t="n">
        <v>43647</v>
      </c>
      <c r="B296" t="n">
        <v>49.3</v>
      </c>
      <c r="C296" t="n">
        <v>69.81578826904297</v>
      </c>
      <c r="D296" t="n">
        <v>35.73566436767578</v>
      </c>
      <c r="E296" t="n">
        <v>31.54000091552734</v>
      </c>
      <c r="F296" t="n">
        <v>0.00211726223333918</v>
      </c>
    </row>
    <row r="297">
      <c r="A297" s="82" t="n">
        <v>43678</v>
      </c>
      <c r="B297" t="n">
        <v>49.5</v>
      </c>
      <c r="C297" t="n">
        <v>68.27296447753906</v>
      </c>
      <c r="D297" t="n">
        <v>35.19716644287109</v>
      </c>
      <c r="E297" t="n">
        <v>30.34000015258789</v>
      </c>
      <c r="F297" t="n">
        <v/>
      </c>
    </row>
    <row r="298">
      <c r="A298" s="82" t="n">
        <v>43709</v>
      </c>
      <c r="B298" t="n">
        <v>49.7</v>
      </c>
      <c r="C298" t="n">
        <v>69.80633544921875</v>
      </c>
      <c r="D298" t="n">
        <v>36.10704040527344</v>
      </c>
      <c r="E298" t="n">
        <v>31.43000030517578</v>
      </c>
      <c r="F298" t="n">
        <v/>
      </c>
    </row>
    <row r="299">
      <c r="A299" s="82" t="n">
        <v>43739</v>
      </c>
      <c r="B299" t="n">
        <v>49.8</v>
      </c>
      <c r="C299" t="n">
        <v>71.71832275390625</v>
      </c>
      <c r="D299" t="n">
        <v>37.52754974365234</v>
      </c>
      <c r="E299" t="n">
        <v>32.52999877929688</v>
      </c>
      <c r="F299" t="n">
        <v>0.000170930866190071</v>
      </c>
    </row>
    <row r="300">
      <c r="A300" s="82" t="n">
        <v>43770</v>
      </c>
      <c r="B300" t="n">
        <v>50.3</v>
      </c>
      <c r="C300" t="n">
        <v>73.3936767578125</v>
      </c>
      <c r="D300" t="n">
        <v>37.87107086181641</v>
      </c>
      <c r="E300" t="n">
        <v>32.93000030517578</v>
      </c>
      <c r="F300" t="n">
        <v/>
      </c>
    </row>
    <row r="301">
      <c r="A301" s="82" t="n">
        <v>43800</v>
      </c>
      <c r="B301" t="n">
        <v>50.1</v>
      </c>
      <c r="C301" t="n">
        <v>75.01222991943359</v>
      </c>
      <c r="D301" t="n">
        <v>38.92021560668945</v>
      </c>
      <c r="E301" t="n">
        <v>34.09999847412109</v>
      </c>
      <c r="F301" t="n">
        <v/>
      </c>
    </row>
    <row r="302">
      <c r="A302" s="82" t="n">
        <v>43831</v>
      </c>
      <c r="B302" t="n">
        <v>50.4</v>
      </c>
      <c r="C302" t="n">
        <v>74.82774353027344</v>
      </c>
      <c r="D302" t="n">
        <v>37.73777389526367</v>
      </c>
      <c r="E302" t="n">
        <v>32.63999938964844</v>
      </c>
      <c r="F302" t="n">
        <v>-0.03377643554690372</v>
      </c>
    </row>
    <row r="303">
      <c r="A303" s="82" t="n">
        <v>43862</v>
      </c>
      <c r="B303" t="n">
        <v>47.1</v>
      </c>
      <c r="C303" t="n">
        <v>69.22357177734375</v>
      </c>
      <c r="D303" t="n">
        <v>34.9503288269043</v>
      </c>
      <c r="E303" t="n">
        <v>29.29999923706055</v>
      </c>
      <c r="F303" t="n">
        <v/>
      </c>
    </row>
    <row r="304">
      <c r="A304" s="82" t="n">
        <v>43891</v>
      </c>
      <c r="B304" t="n">
        <v>47.3</v>
      </c>
      <c r="C304" t="n">
        <v>59.94075012207031</v>
      </c>
      <c r="D304" t="n">
        <v>28.44316864013672</v>
      </c>
      <c r="E304" t="n">
        <v>23.8799991607666</v>
      </c>
      <c r="F304" t="n">
        <v/>
      </c>
    </row>
    <row r="305">
      <c r="A305" s="82" t="n">
        <v>43922</v>
      </c>
      <c r="B305" t="n">
        <v>39.6</v>
      </c>
      <c r="C305" t="n">
        <v>65.83231353759766</v>
      </c>
      <c r="D305" t="n">
        <v>30.19581031799316</v>
      </c>
      <c r="E305" t="n">
        <v>25.25</v>
      </c>
      <c r="F305" t="n">
        <v>-0.1145199541702275</v>
      </c>
    </row>
    <row r="306">
      <c r="A306" s="82" t="n">
        <v>43952</v>
      </c>
      <c r="B306" t="n">
        <v>42.4</v>
      </c>
      <c r="C306" t="n">
        <v>69.18524932861328</v>
      </c>
      <c r="D306" t="n">
        <v>32.42390441894531</v>
      </c>
      <c r="E306" t="n">
        <v>25.72999954223633</v>
      </c>
      <c r="F306" t="n">
        <v/>
      </c>
    </row>
    <row r="307">
      <c r="A307" s="82" t="n">
        <v>43983</v>
      </c>
      <c r="B307" t="n">
        <v>47.8</v>
      </c>
      <c r="C307" t="n">
        <v>70.62221527099609</v>
      </c>
      <c r="D307" t="n">
        <v>34.00874328613281</v>
      </c>
      <c r="E307" t="n">
        <v>25.76000022888184</v>
      </c>
      <c r="F307" t="n">
        <v/>
      </c>
    </row>
    <row r="308">
      <c r="A308" s="82" t="n">
        <v>44013</v>
      </c>
      <c r="B308" t="n">
        <v>50.6</v>
      </c>
      <c r="C308" t="n">
        <v>75.03570556640625</v>
      </c>
      <c r="D308" t="n">
        <v>35.43023300170898</v>
      </c>
      <c r="E308" t="n">
        <v>25.93000030517578</v>
      </c>
      <c r="F308" t="n">
        <v>0.1238444406823361</v>
      </c>
    </row>
    <row r="309">
      <c r="A309" s="82" t="n">
        <v>44044</v>
      </c>
      <c r="B309" t="n">
        <v>51.8</v>
      </c>
      <c r="C309" t="n">
        <v>79.55698394775391</v>
      </c>
      <c r="D309" t="n">
        <v>37.04795837402344</v>
      </c>
      <c r="E309" t="n">
        <v>26.63999938964844</v>
      </c>
      <c r="F309" t="n">
        <v/>
      </c>
    </row>
    <row r="310">
      <c r="A310" s="82" t="n">
        <v>44075</v>
      </c>
      <c r="B310" t="n">
        <v>52.4</v>
      </c>
      <c r="C310" t="n">
        <v>77.20940399169922</v>
      </c>
      <c r="D310" t="n">
        <v>35.66536331176758</v>
      </c>
      <c r="E310" t="n">
        <v>25.48999977111816</v>
      </c>
      <c r="F310" t="n">
        <v/>
      </c>
    </row>
    <row r="311">
      <c r="A311" s="82" t="n">
        <v>44105</v>
      </c>
      <c r="B311" t="n">
        <v>53</v>
      </c>
      <c r="C311" t="n">
        <v>75.48977661132812</v>
      </c>
      <c r="D311" t="n">
        <v>33.74665832519531</v>
      </c>
      <c r="E311" t="n">
        <v>24.34000015258789</v>
      </c>
      <c r="F311" t="n">
        <v>-0.002725169390545602</v>
      </c>
    </row>
    <row r="312">
      <c r="A312" s="82" t="n">
        <v>44136</v>
      </c>
      <c r="B312" t="n">
        <v>53.8</v>
      </c>
      <c r="C312" t="n">
        <v>84.36808776855469</v>
      </c>
      <c r="D312" t="n">
        <v>40.38688659667969</v>
      </c>
      <c r="E312" t="n">
        <v>28.26000022888184</v>
      </c>
      <c r="F312" t="n">
        <v/>
      </c>
    </row>
    <row r="313">
      <c r="A313" s="82" t="n">
        <v>44166</v>
      </c>
      <c r="B313" t="n">
        <v>53.8</v>
      </c>
      <c r="C313" t="n">
        <v>87.64310455322266</v>
      </c>
      <c r="D313" t="n">
        <v>41.4591064453125</v>
      </c>
      <c r="E313" t="n">
        <v>29.29000091552734</v>
      </c>
      <c r="F313" t="n">
        <v/>
      </c>
    </row>
    <row r="314">
      <c r="A314" s="82" t="n">
        <v>44197</v>
      </c>
      <c r="B314" t="n">
        <v>53.6</v>
      </c>
      <c r="C314" t="n">
        <v>88.05006408691406</v>
      </c>
      <c r="D314" t="n">
        <v>41.32224655151367</v>
      </c>
      <c r="E314" t="n">
        <v>29.21999931335449</v>
      </c>
      <c r="F314" t="n">
        <v>-0.0006752443742931147</v>
      </c>
    </row>
    <row r="315">
      <c r="A315" s="82" t="n">
        <v>44228</v>
      </c>
      <c r="B315" t="n">
        <v>53.9</v>
      </c>
      <c r="C315" t="n">
        <v>90.06535339355469</v>
      </c>
      <c r="D315" t="n">
        <v>42.72477340698242</v>
      </c>
      <c r="E315" t="n">
        <v>30.3700008392334</v>
      </c>
      <c r="F315" t="n">
        <v/>
      </c>
    </row>
    <row r="316">
      <c r="A316" s="82" t="n">
        <v>44256</v>
      </c>
      <c r="B316" t="n">
        <v>55</v>
      </c>
      <c r="C316" t="n">
        <v>92.63560485839844</v>
      </c>
      <c r="D316" t="n">
        <v>44.29904937744141</v>
      </c>
      <c r="E316" t="n">
        <v>31.30999946594238</v>
      </c>
      <c r="F316" t="n">
        <v/>
      </c>
    </row>
    <row r="317">
      <c r="A317" s="82" t="n">
        <v>44287</v>
      </c>
      <c r="B317" t="n">
        <v>55.9</v>
      </c>
      <c r="C317" t="n">
        <v>96.56884002685547</v>
      </c>
      <c r="D317" t="n">
        <v>46.35991287231445</v>
      </c>
      <c r="E317" t="n">
        <v>32.52999877929688</v>
      </c>
      <c r="F317" t="n">
        <v>0.01986600274436855</v>
      </c>
    </row>
    <row r="318">
      <c r="A318" s="82" t="n">
        <v>44317</v>
      </c>
      <c r="B318" t="n">
        <v>56</v>
      </c>
      <c r="C318" t="n">
        <v>97.99025726318359</v>
      </c>
      <c r="D318" t="n">
        <v>48.39215469360352</v>
      </c>
      <c r="E318" t="n">
        <v>33.79000091552734</v>
      </c>
      <c r="F318" t="n">
        <v/>
      </c>
    </row>
    <row r="319">
      <c r="A319" s="82" t="n">
        <v>44348</v>
      </c>
      <c r="B319" t="n">
        <v>55.5</v>
      </c>
      <c r="C319" t="n">
        <v>98.5159912109375</v>
      </c>
      <c r="D319" t="n">
        <v>47.08502960205078</v>
      </c>
      <c r="E319" t="n">
        <v>32.70000076293945</v>
      </c>
      <c r="F319" t="n">
        <v/>
      </c>
    </row>
    <row r="320">
      <c r="A320" s="82" t="n">
        <v>44378</v>
      </c>
      <c r="B320" t="n">
        <v>55.4</v>
      </c>
      <c r="C320" t="n">
        <v>100.1279373168945</v>
      </c>
      <c r="D320" t="n">
        <v>48.01527404785156</v>
      </c>
      <c r="E320" t="n">
        <v>32.79000091552734</v>
      </c>
      <c r="F320" t="n">
        <v>0.02254989160899799</v>
      </c>
    </row>
    <row r="321">
      <c r="A321" s="82" t="n">
        <v>44409</v>
      </c>
      <c r="B321" t="n">
        <v>54.1</v>
      </c>
      <c r="C321" t="n">
        <v>102.3048400878906</v>
      </c>
      <c r="D321" t="n">
        <v>48.95920562744141</v>
      </c>
      <c r="E321" t="n">
        <v>33.0099983215332</v>
      </c>
      <c r="F321" t="n">
        <v/>
      </c>
    </row>
    <row r="322">
      <c r="A322" s="82" t="n">
        <v>44440</v>
      </c>
      <c r="B322" t="n">
        <v>54.1</v>
      </c>
      <c r="C322" t="n">
        <v>97.98044586181641</v>
      </c>
      <c r="D322" t="n">
        <v>46.34894180297852</v>
      </c>
      <c r="E322" t="n">
        <v>32.25</v>
      </c>
      <c r="F322" t="n">
        <v/>
      </c>
    </row>
    <row r="323">
      <c r="A323" s="82" t="n">
        <v>44470</v>
      </c>
      <c r="B323" t="n">
        <v>54.2</v>
      </c>
      <c r="C323" t="n">
        <v>103.2658157348633</v>
      </c>
      <c r="D323" t="n">
        <v>48.46797561645508</v>
      </c>
      <c r="E323" t="n">
        <v>33.68000030517578</v>
      </c>
      <c r="F323" t="n">
        <v>0.005164016211534016</v>
      </c>
    </row>
    <row r="324">
      <c r="A324" s="82" t="n">
        <v>44501</v>
      </c>
      <c r="B324" t="n">
        <v>54.2</v>
      </c>
      <c r="C324" t="n">
        <v>100.8829803466797</v>
      </c>
      <c r="D324" t="n">
        <v>45.84808349609375</v>
      </c>
      <c r="E324" t="n">
        <v>32.04000091552734</v>
      </c>
      <c r="F324" t="n">
        <v/>
      </c>
    </row>
    <row r="325">
      <c r="A325" s="82" t="n">
        <v>44531</v>
      </c>
      <c r="B325" t="n">
        <v>54.3</v>
      </c>
      <c r="C325" t="n">
        <v>103.726692199707</v>
      </c>
      <c r="D325" t="n">
        <v>47.20618438720703</v>
      </c>
      <c r="E325" t="n">
        <v>33.13999938964844</v>
      </c>
      <c r="F325" t="n">
        <v/>
      </c>
    </row>
    <row r="326">
      <c r="A326" s="82" t="n">
        <v>44562</v>
      </c>
      <c r="B326" t="n">
        <v>53.2</v>
      </c>
      <c r="C326" t="n">
        <v>100.0395050048828</v>
      </c>
      <c r="D326" t="n">
        <v>46.3187255859375</v>
      </c>
      <c r="E326" t="n">
        <v>33.88999938964844</v>
      </c>
      <c r="F326" t="n">
        <v>0.006017482298628871</v>
      </c>
    </row>
    <row r="327">
      <c r="A327" s="82" t="n">
        <v>44593</v>
      </c>
      <c r="B327" t="n">
        <v>53.6</v>
      </c>
      <c r="C327" t="n">
        <v>96.97798156738281</v>
      </c>
      <c r="D327" t="n">
        <v>42.89712142944336</v>
      </c>
      <c r="E327" t="n">
        <v>33.4900016784668</v>
      </c>
      <c r="F327" t="n">
        <v/>
      </c>
    </row>
    <row r="328">
      <c r="A328" s="82" t="n">
        <v>44621</v>
      </c>
      <c r="B328" t="n">
        <v>52.9</v>
      </c>
      <c r="C328" t="n">
        <v>98.8604736328125</v>
      </c>
      <c r="D328" t="n">
        <v>42.30078506469727</v>
      </c>
      <c r="E328" t="n">
        <v>33.63999938964844</v>
      </c>
      <c r="F328" t="n">
        <v/>
      </c>
    </row>
    <row r="329">
      <c r="A329" s="82" t="n">
        <v>44652</v>
      </c>
      <c r="B329" t="n">
        <v>52.2</v>
      </c>
      <c r="C329" t="n">
        <v>90.88465881347656</v>
      </c>
      <c r="D329" t="n">
        <v>39.21156692504883</v>
      </c>
      <c r="E329" t="n">
        <v>32.29999923706055</v>
      </c>
      <c r="F329" t="n">
        <v>0.008214255744718657</v>
      </c>
    </row>
    <row r="330">
      <c r="A330" s="82" t="n">
        <v>44682</v>
      </c>
      <c r="B330" t="n">
        <v>52.3</v>
      </c>
      <c r="C330" t="n">
        <v>91.29087829589844</v>
      </c>
      <c r="D330" t="n">
        <v>40.91259002685547</v>
      </c>
      <c r="E330" t="n">
        <v>33.16999816894531</v>
      </c>
      <c r="F330" t="n">
        <v/>
      </c>
    </row>
    <row r="331">
      <c r="A331" s="82" t="n">
        <v>44713</v>
      </c>
      <c r="B331" t="n">
        <v>52.2</v>
      </c>
      <c r="C331" t="n">
        <v>83.11690521240234</v>
      </c>
      <c r="D331" t="n">
        <v>35.53578567504883</v>
      </c>
      <c r="E331" t="n">
        <v>29.95999908447266</v>
      </c>
      <c r="F331" t="n">
        <v/>
      </c>
    </row>
    <row r="332">
      <c r="A332" s="82" t="n">
        <v>44743</v>
      </c>
      <c r="B332" t="n">
        <v/>
      </c>
      <c r="C332" t="n">
        <v>89.81999969482422</v>
      </c>
      <c r="D332" t="n">
        <v>38.15999984741211</v>
      </c>
      <c r="E332" t="n">
        <v>30.90999984741211</v>
      </c>
      <c r="F332" t="n">
        <v/>
      </c>
    </row>
    <row r="333">
      <c r="A333" s="82" t="n">
        <v>44774</v>
      </c>
      <c r="B333" t="n">
        <v/>
      </c>
      <c r="C333" t="n">
        <v>85.90000152587891</v>
      </c>
      <c r="D333" t="n">
        <v>35.33000183105469</v>
      </c>
      <c r="E333" t="n">
        <v>28.90999984741211</v>
      </c>
      <c r="F333" t="n">
        <v/>
      </c>
    </row>
    <row r="334">
      <c r="A334" s="82" t="n">
        <v>44805</v>
      </c>
      <c r="B334" t="n">
        <v/>
      </c>
      <c r="C334" t="n">
        <v>77.83000183105469</v>
      </c>
      <c r="D334" t="n">
        <v>31.97999954223633</v>
      </c>
      <c r="E334" t="n">
        <v>26.20999908447266</v>
      </c>
      <c r="F334" t="n">
        <v/>
      </c>
    </row>
    <row r="335">
      <c r="A335" s="82" t="n">
        <v>44834</v>
      </c>
      <c r="B335" t="n">
        <v/>
      </c>
      <c r="C335" t="n">
        <v>77.83000183105469</v>
      </c>
      <c r="D335" t="n">
        <v>31.97999954223633</v>
      </c>
      <c r="E335" t="n">
        <v>26.20999908447266</v>
      </c>
      <c r="F335" t="n">
        <v/>
      </c>
    </row>
    <row r="336">
      <c r="A336" s="82" t="n">
        <v>44835</v>
      </c>
      <c r="B336" t="n">
        <v/>
      </c>
      <c r="C336" t="n">
        <v>82.76999664306641</v>
      </c>
      <c r="D336" t="n">
        <v>35.20999908447266</v>
      </c>
      <c r="E336" t="n">
        <v>28.04000091552734</v>
      </c>
      <c r="F336"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6"/>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32"/>
    <col width="10.83203125" customWidth="1" style="61" min="33"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44621</v>
      </c>
      <c r="B208" t="n">
        <v>49.5</v>
      </c>
    </row>
    <row r="209">
      <c r="A209" s="82" t="n">
        <v>44652</v>
      </c>
      <c r="B209" t="n">
        <v>47.4</v>
      </c>
      <c r="C209" t="n">
        <v>0.048</v>
      </c>
    </row>
    <row r="210">
      <c r="A210" s="82" t="n">
        <v>44682</v>
      </c>
      <c r="B210" t="n">
        <v>49.6</v>
      </c>
    </row>
    <row r="211">
      <c r="A211" s="82" t="n">
        <v>44713</v>
      </c>
      <c r="B211" t="n">
        <v>50.2</v>
      </c>
    </row>
    <row r="212">
      <c r="A212" s="82" t="n">
        <v>44743</v>
      </c>
      <c r="B212" t="n">
        <v>49</v>
      </c>
      <c r="C212" t="n">
        <v>0.004</v>
      </c>
    </row>
    <row r="213">
      <c r="A213" s="82" t="n">
        <v>44774</v>
      </c>
      <c r="B213" t="n">
        <v>49.4</v>
      </c>
    </row>
    <row r="214">
      <c r="A214" s="82" t="n">
        <v>44805</v>
      </c>
      <c r="B214" t="n">
        <v>50.1</v>
      </c>
    </row>
    <row r="215">
      <c r="A215" s="82" t="n">
        <v>44835</v>
      </c>
      <c r="B215" t="n">
        <v>49.2</v>
      </c>
      <c r="C215" t="n">
        <v>0.039</v>
      </c>
    </row>
    <row r="216">
      <c r="A216"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6"/>
  <sheetViews>
    <sheetView zoomScale="200" zoomScaleNormal="200" workbookViewId="0">
      <pane ySplit="1" topLeftCell="A128" activePane="bottomLeft" state="frozen"/>
      <selection pane="bottomLeft" activeCell="G20" sqref="G20"/>
    </sheetView>
  </sheetViews>
  <sheetFormatPr baseColWidth="10" defaultRowHeight="15"/>
  <cols>
    <col width="10.83203125" customWidth="1" style="61" min="1" max="32"/>
    <col width="10.83203125" customWidth="1" style="61" min="33"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row r="139">
      <c r="A139" s="82" t="n">
        <v>44621</v>
      </c>
      <c r="B139" t="n">
        <v>57.1</v>
      </c>
    </row>
    <row r="140">
      <c r="A140" s="82" t="n">
        <v>44652</v>
      </c>
      <c r="B140" t="n">
        <v>55.4</v>
      </c>
    </row>
    <row r="141">
      <c r="A141" s="82" t="n">
        <v>44682</v>
      </c>
      <c r="B141" t="n">
        <v>56.1</v>
      </c>
    </row>
    <row r="142">
      <c r="A142" s="82" t="n">
        <v>44713</v>
      </c>
      <c r="B142" t="n">
        <v>53</v>
      </c>
    </row>
    <row r="143">
      <c r="A143" s="82" t="n">
        <v>44743</v>
      </c>
      <c r="B143" t="n">
        <v>52.8</v>
      </c>
    </row>
    <row r="144">
      <c r="A144" s="82" t="n">
        <v>44774</v>
      </c>
      <c r="B144" t="n">
        <v>52.8</v>
      </c>
    </row>
    <row r="145">
      <c r="A145" s="82" t="n">
        <v>44805</v>
      </c>
      <c r="B145" t="n">
        <v>50.9</v>
      </c>
    </row>
    <row r="146">
      <c r="A146" s="82" t="n">
        <v>44835</v>
      </c>
      <c r="B146" t="n">
        <v>50.2</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102"/>
  <sheetViews>
    <sheetView zoomScale="110" zoomScaleNormal="110" workbookViewId="0">
      <pane xSplit="2" ySplit="11" topLeftCell="C87" activePane="bottomRight" state="frozen"/>
      <selection activeCell="I319" sqref="I319"/>
      <selection pane="topRight" activeCell="I319" sqref="I319"/>
      <selection pane="bottomLeft" activeCell="I319" sqref="I319"/>
      <selection pane="bottomRight" activeCell="I319" sqref="I319"/>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9"/>
    <col width="9.1640625" customWidth="1" style="61" min="120" max="16384"/>
  </cols>
  <sheetData>
    <row r="1" ht="16" customFormat="1" customHeight="1" s="70" thickBot="1">
      <c r="AD1" s="31" t="inlineStr">
        <is>
          <t>*to update</t>
        </is>
      </c>
      <c r="AE1" s="70" t="inlineStr">
        <is>
          <t>Last month</t>
        </is>
      </c>
      <c r="AG1" s="63" t="n">
        <v>44805</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0">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0">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0">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0">
      <c r="B100" s="29" t="n">
        <v>44743</v>
      </c>
      <c r="C100" s="30">
        <f>VLOOKUP(B100,Global!$A:$B,2,)</f>
        <v/>
      </c>
      <c r="D100" s="30">
        <f>VLOOKUP(B100,US!$A:$D,4,)</f>
        <v/>
      </c>
      <c r="E100" s="30">
        <f>VLOOKUP(B100,US!$A:$B,2,)</f>
        <v/>
      </c>
      <c r="F100" s="30">
        <f>VLOOKUP(B100,China!$A:$B,2,)</f>
        <v/>
      </c>
      <c r="G100" s="30">
        <f>VLOOKUP(B100,'Euro Area'!A:B,2,)</f>
        <v/>
      </c>
      <c r="H100" s="30">
        <f>VLOOKUP(B100,Japan!$A:$B,2,)</f>
        <v/>
      </c>
      <c r="I100" s="30">
        <f>VLOOKUP(B100,Germany!$A:$B,2,)</f>
        <v/>
      </c>
      <c r="J100" s="30">
        <f>VLOOKUP(B100,France!$A:$B,2,)</f>
        <v/>
      </c>
      <c r="K100" s="30">
        <f>VLOOKUP(B100,UK!$A:$B,2,)</f>
        <v/>
      </c>
      <c r="L100" s="30">
        <f>VLOOKUP(B100,Italy!$A:$B,2,)</f>
        <v/>
      </c>
      <c r="M100" s="30">
        <f>VLOOKUP(B100,Spain!$A:$B,2,)</f>
        <v/>
      </c>
      <c r="N100" s="30">
        <f>VLOOKUP(B100,Brazil!$A:$B,2,)</f>
        <v/>
      </c>
      <c r="O100" s="30">
        <f>VLOOKUP(B100,Mexico!$A:$B,2,)</f>
        <v/>
      </c>
      <c r="P100" s="30">
        <f>VLOOKUP(B100,Russia!$A:$B,2,)</f>
        <v/>
      </c>
      <c r="Q100" s="30">
        <f>VLOOKUP(B100,India!$A:$B,2,)</f>
        <v/>
      </c>
      <c r="R100" s="30">
        <f>VLOOKUP(B100,Canada!$A:$B,2,)</f>
        <v/>
      </c>
      <c r="S100" s="30">
        <f>VLOOKUP(B100,Australia!$A:$B,2,)</f>
        <v/>
      </c>
      <c r="T100" s="30">
        <f>VLOOKUP(B100,Indonesia!$A:$B,2,)</f>
        <v/>
      </c>
      <c r="U100" s="30">
        <f>VLOOKUP(B100,SouthKorea!$A:$B,2,)</f>
        <v/>
      </c>
      <c r="V100" s="30">
        <f>VLOOKUP(B100,Taiwan!$A:$B,2,)</f>
        <v/>
      </c>
      <c r="W100" s="30">
        <f>VLOOKUP(B100,Greece!$A:$B,2,)</f>
        <v/>
      </c>
      <c r="X100" s="30">
        <f>VLOOKUP(B100,Ireland!$A:$B,2,)</f>
        <v/>
      </c>
      <c r="Y100" s="30">
        <f>VLOOKUP(B100,Turkey!$A:$B,2,)</f>
        <v/>
      </c>
      <c r="Z100" s="30">
        <f>VLOOKUP(B100,CzechRepublic!$A:$B,2,)</f>
        <v/>
      </c>
      <c r="AA100" s="30">
        <f>VLOOKUP(B100,Poland!$A:$B,2,)</f>
        <v/>
      </c>
      <c r="AB100" s="30">
        <f>VLOOKUP(B100,Denmark!$A:$B,2,)</f>
        <v/>
      </c>
    </row>
    <row r="101" customFormat="1" s="70">
      <c r="B101" s="29" t="n">
        <v>44774</v>
      </c>
      <c r="C101" s="30">
        <f>VLOOKUP(B101,Global!$A:$B,2,)</f>
        <v/>
      </c>
      <c r="D101" s="30">
        <f>VLOOKUP(B101,US!$A:$D,4,)</f>
        <v/>
      </c>
      <c r="E101" s="30">
        <f>VLOOKUP(B101,US!$A:$B,2,)</f>
        <v/>
      </c>
      <c r="F101" s="30">
        <f>VLOOKUP(B101,China!$A:$B,2,)</f>
        <v/>
      </c>
      <c r="G101" s="30">
        <f>VLOOKUP(B101,'Euro Area'!A:B,2,)</f>
        <v/>
      </c>
      <c r="H101" s="30">
        <f>VLOOKUP(B101,Japan!$A:$B,2,)</f>
        <v/>
      </c>
      <c r="I101" s="30">
        <f>VLOOKUP(B101,Germany!$A:$B,2,)</f>
        <v/>
      </c>
      <c r="J101" s="30">
        <f>VLOOKUP(B101,France!$A:$B,2,)</f>
        <v/>
      </c>
      <c r="K101" s="30">
        <f>VLOOKUP(B101,UK!$A:$B,2,)</f>
        <v/>
      </c>
      <c r="L101" s="30">
        <f>VLOOKUP(B101,Italy!$A:$B,2,)</f>
        <v/>
      </c>
      <c r="M101" s="30">
        <f>VLOOKUP(B101,Spain!$A:$B,2,)</f>
        <v/>
      </c>
      <c r="N101" s="30">
        <f>VLOOKUP(B101,Brazil!$A:$B,2,)</f>
        <v/>
      </c>
      <c r="O101" s="30">
        <f>VLOOKUP(B101,Mexico!$A:$B,2,)</f>
        <v/>
      </c>
      <c r="P101" s="30">
        <f>VLOOKUP(B101,Russia!$A:$B,2,)</f>
        <v/>
      </c>
      <c r="Q101" s="30">
        <f>VLOOKUP(B101,India!$A:$B,2,)</f>
        <v/>
      </c>
      <c r="R101" s="30">
        <f>VLOOKUP(B101,Canada!$A:$B,2,)</f>
        <v/>
      </c>
      <c r="S101" s="30">
        <f>VLOOKUP(B101,Australia!$A:$B,2,)</f>
        <v/>
      </c>
      <c r="T101" s="30">
        <f>VLOOKUP(B101,Indonesia!$A:$B,2,)</f>
        <v/>
      </c>
      <c r="U101" s="30">
        <f>VLOOKUP(B101,SouthKorea!$A:$B,2,)</f>
        <v/>
      </c>
      <c r="V101" s="30">
        <f>VLOOKUP(B101,Taiwan!$A:$B,2,)</f>
        <v/>
      </c>
      <c r="W101" s="30">
        <f>VLOOKUP(B101,Greece!$A:$B,2,)</f>
        <v/>
      </c>
      <c r="X101" s="30">
        <f>VLOOKUP(B101,Ireland!$A:$B,2,)</f>
        <v/>
      </c>
      <c r="Y101" s="30">
        <f>VLOOKUP(B101,Turkey!$A:$B,2,)</f>
        <v/>
      </c>
      <c r="Z101" s="30">
        <f>VLOOKUP(B101,CzechRepublic!$A:$B,2,)</f>
        <v/>
      </c>
      <c r="AA101" s="30">
        <f>VLOOKUP(B101,Poland!$A:$B,2,)</f>
        <v/>
      </c>
      <c r="AB101" s="30">
        <f>VLOOKUP(B101,Denmark!$A:$B,2,)</f>
        <v/>
      </c>
    </row>
    <row r="102" customFormat="1" s="70">
      <c r="B102" s="29" t="n">
        <v>44805</v>
      </c>
      <c r="C102" s="30">
        <f>VLOOKUP(B102,Global!$A:$B,2,)</f>
        <v/>
      </c>
      <c r="D102" s="30">
        <f>VLOOKUP(B102,US!$A:$D,4,)</f>
        <v/>
      </c>
      <c r="E102" s="30">
        <f>VLOOKUP(B102,US!$A:$B,2,)</f>
        <v/>
      </c>
      <c r="F102" s="30">
        <f>VLOOKUP(B102,China!$A:$B,2,)</f>
        <v/>
      </c>
      <c r="G102" s="30">
        <f>VLOOKUP(B102,'Euro Area'!A:B,2,)</f>
        <v/>
      </c>
      <c r="H102" s="30">
        <f>VLOOKUP(B102,Japan!$A:$B,2,)</f>
        <v/>
      </c>
      <c r="I102" s="30">
        <f>VLOOKUP(B102,Germany!$A:$B,2,)</f>
        <v/>
      </c>
      <c r="J102" s="30">
        <f>VLOOKUP(B102,France!$A:$B,2,)</f>
        <v/>
      </c>
      <c r="K102" s="30">
        <f>VLOOKUP(B102,UK!$A:$B,2,)</f>
        <v/>
      </c>
      <c r="L102" s="30">
        <f>VLOOKUP(B102,Italy!$A:$B,2,)</f>
        <v/>
      </c>
      <c r="M102" s="30">
        <f>VLOOKUP(B102,Spain!$A:$B,2,)</f>
        <v/>
      </c>
      <c r="N102" s="30">
        <f>VLOOKUP(B102,Brazil!$A:$B,2,)</f>
        <v/>
      </c>
      <c r="O102" s="30">
        <f>VLOOKUP(B102,Mexico!$A:$B,2,)</f>
        <v/>
      </c>
      <c r="P102" s="30">
        <f>VLOOKUP(B102,Russia!$A:$B,2,)</f>
        <v/>
      </c>
      <c r="Q102" s="30">
        <f>VLOOKUP(B102,India!$A:$B,2,)</f>
        <v/>
      </c>
      <c r="R102" s="30">
        <f>VLOOKUP(B102,Canada!$A:$B,2,)</f>
        <v/>
      </c>
      <c r="S102" s="30">
        <f>VLOOKUP(B102,Australia!$A:$B,2,)</f>
        <v/>
      </c>
      <c r="T102" s="30">
        <f>VLOOKUP(B102,Indonesia!$A:$B,2,)</f>
        <v/>
      </c>
      <c r="U102" s="30">
        <f>VLOOKUP(B102,SouthKorea!$A:$B,2,)</f>
        <v/>
      </c>
      <c r="V102" s="30">
        <f>VLOOKUP(B102,Taiwan!$A:$B,2,)</f>
        <v/>
      </c>
      <c r="W102" s="30">
        <f>VLOOKUP(B102,Greece!$A:$B,2,)</f>
        <v/>
      </c>
      <c r="X102" s="30">
        <f>VLOOKUP(B102,Ireland!$A:$B,2,)</f>
        <v/>
      </c>
      <c r="Y102" s="30">
        <f>VLOOKUP(B102,Turkey!$A:$B,2,)</f>
        <v/>
      </c>
      <c r="Z102" s="30">
        <f>VLOOKUP(B102,CzechRepublic!$A:$B,2,)</f>
        <v/>
      </c>
      <c r="AA102" s="30">
        <f>VLOOKUP(B102,Poland!$A:$B,2,)</f>
        <v/>
      </c>
      <c r="AB102" s="30">
        <f>VLOOKUP(B102,Denmark!$A:$B,2,)</f>
        <v/>
      </c>
    </row>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102">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36" activePane="bottomLeft" state="frozen"/>
      <selection activeCell="X324" sqref="X324"/>
      <selection pane="bottomLeft" activeCell="G149" sqref="G149"/>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9"/>
    <col width="9.1640625" customWidth="1" style="70" min="50"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9"/>
  <sheetViews>
    <sheetView zoomScale="160" zoomScaleNormal="160" workbookViewId="0">
      <pane ySplit="5" topLeftCell="A133" activePane="bottomLeft" state="frozen"/>
      <selection activeCell="O117" sqref="O117"/>
      <selection pane="bottomLeft" activeCell="D149" sqref="D149"/>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9"/>
    <col width="9.1640625" customWidth="1" style="70" min="50"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row r="147">
      <c r="A147" s="10" t="n">
        <v>44743</v>
      </c>
      <c r="B147" s="18">
        <f>IF(VLOOKUP(A147,'DB Country PMI'!$A:$AZ,MATCH($A$1,'DB Country PMI'!$A$1:$AZ$1,),)=0,#N/A,VLOOKUP(A147,'DB Country PMI'!$A:$AZ,MATCH($A$1,'DB Country PMI'!$A$1:$AZ$1,),))</f>
        <v/>
      </c>
      <c r="C147" s="24">
        <f>Table1346811[[#This Row],[PMI]]-B146</f>
        <v/>
      </c>
      <c r="D147" s="24">
        <f>IF(VLOOKUP(Table1346811[[#This Row],[Date]],'DB US ISM Manufacturing'!$A:$B,2)=0,#N/A,VLOOKUP(Table1346811[[#This Row],[Date]],'DB US ISM Manufacturing'!$A:$B,2))</f>
        <v/>
      </c>
    </row>
    <row r="148">
      <c r="A148" s="10" t="n">
        <v>44774</v>
      </c>
      <c r="B148" s="18">
        <f>IF(VLOOKUP(A148,'DB Country PMI'!$A:$AZ,MATCH($A$1,'DB Country PMI'!$A$1:$AZ$1,),)=0,#N/A,VLOOKUP(A148,'DB Country PMI'!$A:$AZ,MATCH($A$1,'DB Country PMI'!$A$1:$AZ$1,),))</f>
        <v/>
      </c>
      <c r="C148" s="24">
        <f>Table1346811[[#This Row],[PMI]]-B147</f>
        <v/>
      </c>
      <c r="D148" s="24">
        <f>IF(VLOOKUP(Table1346811[[#This Row],[Date]],'DB US ISM Manufacturing'!$A:$B,2)=0,#N/A,VLOOKUP(Table1346811[[#This Row],[Date]],'DB US ISM Manufacturing'!$A:$B,2))</f>
        <v/>
      </c>
    </row>
    <row r="149">
      <c r="A149" s="10" t="n">
        <v>44805</v>
      </c>
      <c r="B149" s="18">
        <f>IF(VLOOKUP(A149,'DB Country PMI'!$A:$AZ,MATCH($A$1,'DB Country PMI'!$A$1:$AZ$1,),)=0,#N/A,VLOOKUP(A149,'DB Country PMI'!$A:$AZ,MATCH($A$1,'DB Country PMI'!$A$1:$AZ$1,),))</f>
        <v/>
      </c>
      <c r="C149" s="24">
        <f>Table1346811[[#This Row],[PMI]]-B148</f>
        <v/>
      </c>
      <c r="D149" s="24">
        <f>IF(VLOOKUP(Table1346811[[#This Row],[Date]],'DB US ISM Manufacturing'!$A:$B,2)=0,#N/A,VLOOKUP(Table1346811[[#This Row],[Date]],'DB US ISM Manufacturing'!$A:$B,2))</f>
        <v/>
      </c>
    </row>
  </sheetData>
  <conditionalFormatting sqref="B6:B149">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8"/>
  <sheetViews>
    <sheetView zoomScale="140" zoomScaleNormal="140" workbookViewId="0">
      <pane ySplit="5" topLeftCell="A200" activePane="bottomLeft" state="frozen"/>
      <selection activeCell="K199" sqref="K199"/>
      <selection pane="bottomLeft" activeCell="A204" sqref="A204:F218"/>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9"/>
    <col width="9.1640625" customWidth="1" style="70" min="50"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row r="216">
      <c r="A216" s="10" t="n">
        <v>44743</v>
      </c>
      <c r="B216" s="18">
        <f>IF(VLOOKUP(A216,'DB Country PMI'!$A:$AZ,MATCH($A$2,'DB Country PMI'!$A$1:$AZ$1,),)=0,#N/A,VLOOKUP(A216,'DB Country PMI'!$A:$AZ,MATCH($A$2,'DB Country PMI'!$A$1:$AZ$1,),))</f>
        <v/>
      </c>
      <c r="C216" s="24">
        <f>Table1346811121415161718192021[[#This Row],[Caixin PMI]]-B215</f>
        <v/>
      </c>
      <c r="D216" s="24">
        <f>IF(VLOOKUP(Table1346811121415161718192021[[#This Row],[Date]],'DB China Official PMI'!$A:$C,2)=0,#N/A,VLOOKUP(Table1346811121415161718192021[[#This Row],[Date]],'DB China Official PMI'!$A:$C,2))</f>
        <v/>
      </c>
      <c r="E216" s="24">
        <f>Table1346811121415161718192021[[#This Row],[Official PMI]]-D215</f>
        <v/>
      </c>
      <c r="F216" s="52">
        <f>IF(VLOOKUP(Table1346811121415161718192021[[#This Row],[Date]],'DB China Official PMI'!$A:$C,3)=0,"",VLOOKUP(Table1346811121415161718192021[[#This Row],[Date]],'DB China Official PMI'!$A:$C,3))</f>
        <v/>
      </c>
    </row>
    <row r="217">
      <c r="A217" s="10" t="n">
        <v>44774</v>
      </c>
      <c r="B217" s="18">
        <f>IF(VLOOKUP(A217,'DB Country PMI'!$A:$AZ,MATCH($A$2,'DB Country PMI'!$A$1:$AZ$1,),)=0,#N/A,VLOOKUP(A217,'DB Country PMI'!$A:$AZ,MATCH($A$2,'DB Country PMI'!$A$1:$AZ$1,),))</f>
        <v/>
      </c>
      <c r="C217" s="24">
        <f>Table1346811121415161718192021[[#This Row],[Caixin PMI]]-B216</f>
        <v/>
      </c>
      <c r="D217" s="24">
        <f>IF(VLOOKUP(Table1346811121415161718192021[[#This Row],[Date]],'DB China Official PMI'!$A:$C,2)=0,#N/A,VLOOKUP(Table1346811121415161718192021[[#This Row],[Date]],'DB China Official PMI'!$A:$C,2))</f>
        <v/>
      </c>
      <c r="E217" s="24">
        <f>Table1346811121415161718192021[[#This Row],[Official PMI]]-D216</f>
        <v/>
      </c>
      <c r="F217" s="52">
        <f>IF(VLOOKUP(Table1346811121415161718192021[[#This Row],[Date]],'DB China Official PMI'!$A:$C,3)=0,"",VLOOKUP(Table1346811121415161718192021[[#This Row],[Date]],'DB China Official PMI'!$A:$C,3))</f>
        <v/>
      </c>
    </row>
    <row r="218">
      <c r="A218" s="10" t="n">
        <v>44805</v>
      </c>
      <c r="B218" s="18">
        <f>IF(VLOOKUP(A218,'DB Country PMI'!$A:$AZ,MATCH($A$2,'DB Country PMI'!$A$1:$AZ$1,),)=0,#N/A,VLOOKUP(A218,'DB Country PMI'!$A:$AZ,MATCH($A$2,'DB Country PMI'!$A$1:$AZ$1,),))</f>
        <v/>
      </c>
      <c r="C218" s="24">
        <f>Table1346811121415161718192021[[#This Row],[Caixin PMI]]-B217</f>
        <v/>
      </c>
      <c r="D218" s="24">
        <f>IF(VLOOKUP(Table1346811121415161718192021[[#This Row],[Date]],'DB China Official PMI'!$A:$C,2)=0,#N/A,VLOOKUP(Table1346811121415161718192021[[#This Row],[Date]],'DB China Official PMI'!$A:$C,2))</f>
        <v/>
      </c>
      <c r="E218" s="24">
        <f>Table1346811121415161718192021[[#This Row],[Official PMI]]-D217</f>
        <v/>
      </c>
      <c r="F218" s="52">
        <f>IF(VLOOKUP(Table1346811121415161718192021[[#This Row],[Date]],'DB China Official PMI'!$A:$C,3)=0,"",VLOOKUP(Table1346811121415161718192021[[#This Row],[Date]],'DB China Official PMI'!$A:$C,3))</f>
        <v/>
      </c>
    </row>
  </sheetData>
  <conditionalFormatting sqref="C66:C218">
    <cfRule type="colorScale" priority="4">
      <colorScale>
        <cfvo type="min"/>
        <cfvo type="percentile" val="50"/>
        <cfvo type="max"/>
        <color rgb="FFF8696B"/>
        <color rgb="FFFCFCFF"/>
        <color rgb="FF5A8AC6"/>
      </colorScale>
    </cfRule>
  </conditionalFormatting>
  <conditionalFormatting sqref="E66:E218">
    <cfRule type="colorScale" priority="3">
      <colorScale>
        <cfvo type="min"/>
        <cfvo type="percentile" val="50"/>
        <cfvo type="max"/>
        <color rgb="FFF8696B"/>
        <color rgb="FFFCFCFF"/>
        <color rgb="FF5A8AC6"/>
      </colorScale>
    </cfRule>
  </conditionalFormatting>
  <conditionalFormatting sqref="B66:B218">
    <cfRule type="colorScale" priority="2">
      <colorScale>
        <cfvo type="min"/>
        <cfvo type="percentile" val="50"/>
        <cfvo type="max"/>
        <color rgb="FFF8696B"/>
        <color rgb="FFFFEB84"/>
        <color rgb="FF63BE7B"/>
      </colorScale>
    </cfRule>
  </conditionalFormatting>
  <conditionalFormatting sqref="D66:D218">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9"/>
  <sheetViews>
    <sheetView zoomScale="140" zoomScaleNormal="140" workbookViewId="0">
      <pane ySplit="5" topLeftCell="A207" activePane="bottomLeft" state="frozen"/>
      <selection activeCell="P121" sqref="P121"/>
      <selection pane="bottomLeft" activeCell="A205" sqref="A205:G21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row r="217">
      <c r="A217" s="10" t="n">
        <v>44743</v>
      </c>
      <c r="B217" s="18">
        <f>IF(VLOOKUP(A217,'DB Country PMI'!$A:$AZ,MATCH($A$1,'DB Country PMI'!$A$1:$AZ$1,),)=0,#N/A,VLOOKUP(A217,'DB Country PMI'!$A:$AZ,MATCH($A$1,'DB Country PMI'!$A$1:$AZ$1,),))</f>
        <v/>
      </c>
      <c r="C217" s="24">
        <f>Table13468111214[[#This Row],[Euro Area PMI]]-B216</f>
        <v/>
      </c>
      <c r="D217" s="11">
        <f>IF(VLOOKUP(Table13468111214[[#This Row],[Date]],'DB Global PMI'!$A:$F,4)=0,#N/A,VLOOKUP(Table13468111214[[#This Row],[Date]],'DB Global PMI'!$A:$F,4))</f>
        <v/>
      </c>
      <c r="E217" s="24">
        <f>Table13468111214[[#This Row],[Euro Area PMI]]-B205</f>
        <v/>
      </c>
      <c r="F217" s="52">
        <f>(Table13468111214[[#This Row],[EZU]]-D205)/D205</f>
        <v/>
      </c>
      <c r="G217" s="52">
        <f>IF(VLOOKUP(Table13468111214[[#This Row],[Date]],'DB Global PMI'!$A:$F,6)=0,"",VLOOKUP(Table13468111214[[#This Row],[Date]],'DB Global PMI'!$A:$F,6))</f>
        <v/>
      </c>
    </row>
    <row r="218">
      <c r="A218" s="10" t="n">
        <v>44774</v>
      </c>
      <c r="B218" s="18">
        <f>IF(VLOOKUP(A218,'DB Country PMI'!$A:$AZ,MATCH($A$1,'DB Country PMI'!$A$1:$AZ$1,),)=0,#N/A,VLOOKUP(A218,'DB Country PMI'!$A:$AZ,MATCH($A$1,'DB Country PMI'!$A$1:$AZ$1,),))</f>
        <v/>
      </c>
      <c r="C218" s="24">
        <f>Table13468111214[[#This Row],[Euro Area PMI]]-B217</f>
        <v/>
      </c>
      <c r="D218" s="11">
        <f>IF(VLOOKUP(Table13468111214[[#This Row],[Date]],'DB Global PMI'!$A:$F,4)=0,#N/A,VLOOKUP(Table13468111214[[#This Row],[Date]],'DB Global PMI'!$A:$F,4))</f>
        <v/>
      </c>
      <c r="E218" s="24">
        <f>Table13468111214[[#This Row],[Euro Area PMI]]-B206</f>
        <v/>
      </c>
      <c r="F218" s="52">
        <f>(Table13468111214[[#This Row],[EZU]]-D206)/D206</f>
        <v/>
      </c>
      <c r="G218" s="52">
        <f>IF(VLOOKUP(Table13468111214[[#This Row],[Date]],'DB Global PMI'!$A:$F,6)=0,"",VLOOKUP(Table13468111214[[#This Row],[Date]],'DB Global PMI'!$A:$F,6))</f>
        <v/>
      </c>
    </row>
    <row r="219">
      <c r="A219" s="10" t="n">
        <v>44805</v>
      </c>
      <c r="B219" s="18">
        <f>IF(VLOOKUP(A219,'DB Country PMI'!$A:$AZ,MATCH($A$1,'DB Country PMI'!$A$1:$AZ$1,),)=0,#N/A,VLOOKUP(A219,'DB Country PMI'!$A:$AZ,MATCH($A$1,'DB Country PMI'!$A$1:$AZ$1,),))</f>
        <v/>
      </c>
      <c r="C219" s="24">
        <f>Table13468111214[[#This Row],[Euro Area PMI]]-B218</f>
        <v/>
      </c>
      <c r="D219" s="11">
        <f>IF(VLOOKUP(Table13468111214[[#This Row],[Date]],'DB Global PMI'!$A:$F,4)=0,#N/A,VLOOKUP(Table13468111214[[#This Row],[Date]],'DB Global PMI'!$A:$F,4))</f>
        <v/>
      </c>
      <c r="E219" s="24">
        <f>Table13468111214[[#This Row],[Euro Area PMI]]-B207</f>
        <v/>
      </c>
      <c r="F219" s="52">
        <f>(Table13468111214[[#This Row],[EZU]]-D207)/D207</f>
        <v/>
      </c>
      <c r="G219"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9">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81"/>
  <sheetViews>
    <sheetView zoomScale="150" zoomScaleNormal="150" workbookViewId="0">
      <pane ySplit="5" topLeftCell="A166" activePane="bottomLeft" state="frozen"/>
      <selection activeCell="B327" sqref="B327"/>
      <selection pane="bottomLeft" activeCell="A167" sqref="A167:C181"/>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row r="179">
      <c r="A179" s="10" t="n">
        <v>44743</v>
      </c>
      <c r="B179" s="18">
        <f>IF(VLOOKUP(A179,'DB Country PMI'!$A:$AZ,MATCH($A$1,'DB Country PMI'!$A$1:$AZ$1,),)=0,#N/A,VLOOKUP(A179,'DB Country PMI'!$A:$AZ,MATCH($A$1,'DB Country PMI'!$A$1:$AZ$1,),))</f>
        <v/>
      </c>
      <c r="C179" s="24">
        <f>Table1346811121415161718192022[[#This Row],[PMI]]-B178</f>
        <v/>
      </c>
    </row>
    <row r="180">
      <c r="A180" s="10" t="n">
        <v>44774</v>
      </c>
      <c r="B180" s="18">
        <f>IF(VLOOKUP(A180,'DB Country PMI'!$A:$AZ,MATCH($A$1,'DB Country PMI'!$A$1:$AZ$1,),)=0,#N/A,VLOOKUP(A180,'DB Country PMI'!$A:$AZ,MATCH($A$1,'DB Country PMI'!$A$1:$AZ$1,),))</f>
        <v/>
      </c>
      <c r="C180" s="24">
        <f>Table1346811121415161718192022[[#This Row],[PMI]]-B179</f>
        <v/>
      </c>
    </row>
    <row r="181">
      <c r="A181" s="10" t="n">
        <v>44805</v>
      </c>
      <c r="B181" s="18">
        <f>IF(VLOOKUP(A181,'DB Country PMI'!$A:$AZ,MATCH($A$1,'DB Country PMI'!$A$1:$AZ$1,),)=0,#N/A,VLOOKUP(A181,'DB Country PMI'!$A:$AZ,MATCH($A$1,'DB Country PMI'!$A$1:$AZ$1,),))</f>
        <v/>
      </c>
      <c r="C181" s="24">
        <f>Table1346811121415161718192022[[#This Row],[PMI]]-B180</f>
        <v/>
      </c>
    </row>
  </sheetData>
  <conditionalFormatting sqref="C7:C106">
    <cfRule type="colorScale" priority="1">
      <colorScale>
        <cfvo type="min"/>
        <cfvo type="percentile" val="50"/>
        <cfvo type="max"/>
        <color rgb="FFF8696B"/>
        <color rgb="FFFCFCFF"/>
        <color rgb="FF5A8AC6"/>
      </colorScale>
    </cfRule>
  </conditionalFormatting>
  <conditionalFormatting sqref="B6:B181">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82"/>
  <sheetViews>
    <sheetView zoomScale="150" zoomScaleNormal="150" workbookViewId="0">
      <pane ySplit="5" topLeftCell="A169" activePane="bottomLeft" state="frozen"/>
      <selection pane="bottomLeft" activeCell="A169" sqref="A169:C182"/>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row r="180">
      <c r="A180" s="10" t="n">
        <v>44743</v>
      </c>
      <c r="B180" s="18">
        <f>IF(VLOOKUP(A180,'DB Country PMI'!$A:$AZ,MATCH($A$1,'DB Country PMI'!$A$1:$AZ$1,),)=0,#N/A,VLOOKUP(A180,'DB Country PMI'!$A:$AZ,MATCH($A$1,'DB Country PMI'!$A$1:$AZ$1,),))</f>
        <v/>
      </c>
      <c r="C180" s="24">
        <f>Table1346811121415[[#This Row],[PMI]]-B179</f>
        <v/>
      </c>
    </row>
    <row r="181">
      <c r="A181" s="10" t="n">
        <v>44774</v>
      </c>
      <c r="B181" s="18">
        <f>IF(VLOOKUP(A181,'DB Country PMI'!$A:$AZ,MATCH($A$1,'DB Country PMI'!$A$1:$AZ$1,),)=0,#N/A,VLOOKUP(A181,'DB Country PMI'!$A:$AZ,MATCH($A$1,'DB Country PMI'!$A$1:$AZ$1,),))</f>
        <v/>
      </c>
      <c r="C181" s="24">
        <f>Table1346811121415[[#This Row],[PMI]]-B180</f>
        <v/>
      </c>
    </row>
    <row r="182">
      <c r="A182" s="10" t="n">
        <v>44805</v>
      </c>
      <c r="B182" s="18">
        <f>IF(VLOOKUP(A182,'DB Country PMI'!$A:$AZ,MATCH($A$1,'DB Country PMI'!$A$1:$AZ$1,),)=0,#N/A,VLOOKUP(A182,'DB Country PMI'!$A:$AZ,MATCH($A$1,'DB Country PMI'!$A$1:$AZ$1,),))</f>
        <v/>
      </c>
      <c r="C182" s="24">
        <f>Table1346811121415[[#This Row],[PMI]]-B181</f>
        <v/>
      </c>
    </row>
  </sheetData>
  <conditionalFormatting sqref="C7:C106">
    <cfRule type="colorScale" priority="1">
      <colorScale>
        <cfvo type="min"/>
        <cfvo type="percentile" val="50"/>
        <cfvo type="max"/>
        <color rgb="FFF8696B"/>
        <color rgb="FFFCFCFF"/>
        <color rgb="FF5A8AC6"/>
      </colorScale>
    </cfRule>
  </conditionalFormatting>
  <conditionalFormatting sqref="B6:B182">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5"/>
  <sheetViews>
    <sheetView zoomScale="140" zoomScaleNormal="140" workbookViewId="0">
      <pane ySplit="5" topLeftCell="A163" activePane="bottomLeft" state="frozen"/>
      <selection pane="bottomLeft" activeCell="A161" sqref="A161:C175"/>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row r="173">
      <c r="A173" s="10" t="n">
        <v>44743</v>
      </c>
      <c r="B173" s="18">
        <f>IF(VLOOKUP(A173,'DB Country PMI'!$A:$AZ,MATCH($A$1,'DB Country PMI'!$A$1:$AZ$1,),)=0,#N/A,VLOOKUP(A173,'DB Country PMI'!$A:$AZ,MATCH($A$1,'DB Country PMI'!$A$1:$AZ$1,),))</f>
        <v/>
      </c>
      <c r="C173" s="24">
        <f>Table134681112141516[[#This Row],[PMI]]-B172</f>
        <v/>
      </c>
    </row>
    <row r="174">
      <c r="A174" s="10" t="n">
        <v>44774</v>
      </c>
      <c r="B174" s="18">
        <f>IF(VLOOKUP(A174,'DB Country PMI'!$A:$AZ,MATCH($A$1,'DB Country PMI'!$A$1:$AZ$1,),)=0,#N/A,VLOOKUP(A174,'DB Country PMI'!$A:$AZ,MATCH($A$1,'DB Country PMI'!$A$1:$AZ$1,),))</f>
        <v/>
      </c>
      <c r="C174" s="24">
        <f>Table134681112141516[[#This Row],[PMI]]-B173</f>
        <v/>
      </c>
    </row>
    <row r="175">
      <c r="A175" s="10" t="n">
        <v>44805</v>
      </c>
      <c r="B175" s="18">
        <f>IF(VLOOKUP(A175,'DB Country PMI'!$A:$AZ,MATCH($A$1,'DB Country PMI'!$A$1:$AZ$1,),)=0,#N/A,VLOOKUP(A175,'DB Country PMI'!$A:$AZ,MATCH($A$1,'DB Country PMI'!$A$1:$AZ$1,),))</f>
        <v/>
      </c>
      <c r="C175" s="24">
        <f>Table134681112141516[[#This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9"/>
  <sheetViews>
    <sheetView zoomScale="150" zoomScaleNormal="150" workbookViewId="0">
      <pane ySplit="5" topLeftCell="A207" activePane="bottomLeft" state="frozen"/>
      <selection activeCell="P121" sqref="P121"/>
      <selection pane="bottomLeft" activeCell="A203" sqref="A203:F21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row r="217">
      <c r="A217" s="10" t="n">
        <v>44743</v>
      </c>
      <c r="B217" s="18">
        <f>IF(VLOOKUP(A217,'DB Country PMI'!$A:$AZ,MATCH($A$1,'DB Country PMI'!$A$1:$AZ$1,),)=0,#N/A,VLOOKUP(A217,'DB Country PMI'!$A:$AZ,MATCH($A$1,'DB Country PMI'!$A$1:$AZ$1,),))</f>
        <v/>
      </c>
      <c r="C217" s="24">
        <f>Table134681112[[#This Row],[PMI]]-B216</f>
        <v/>
      </c>
      <c r="D217" s="11">
        <f>IF(VLOOKUP(Table134681112[[#This Row],[Date]],'DB Global PMI'!$A:$F,5)=0,#N/A,VLOOKUP(Table134681112[[#This Row],[Date]],'DB Global PMI'!$A:$F,5))</f>
        <v/>
      </c>
      <c r="E217" s="24">
        <f>Table134681112[[#This Row],[PMI]]-B205</f>
        <v/>
      </c>
      <c r="F217" s="52">
        <f>(Table134681112[[#This Row],[EWU]]-D205)/D205</f>
        <v/>
      </c>
    </row>
    <row r="218">
      <c r="A218" s="10" t="n">
        <v>44774</v>
      </c>
      <c r="B218" s="18">
        <f>IF(VLOOKUP(A218,'DB Country PMI'!$A:$AZ,MATCH($A$1,'DB Country PMI'!$A$1:$AZ$1,),)=0,#N/A,VLOOKUP(A218,'DB Country PMI'!$A:$AZ,MATCH($A$1,'DB Country PMI'!$A$1:$AZ$1,),))</f>
        <v/>
      </c>
      <c r="C218" s="24">
        <f>Table134681112[[#This Row],[PMI]]-B217</f>
        <v/>
      </c>
      <c r="D218" s="11">
        <f>IF(VLOOKUP(Table134681112[[#This Row],[Date]],'DB Global PMI'!$A:$F,5)=0,#N/A,VLOOKUP(Table134681112[[#This Row],[Date]],'DB Global PMI'!$A:$F,5))</f>
        <v/>
      </c>
      <c r="E218" s="24">
        <f>Table134681112[[#This Row],[PMI]]-B206</f>
        <v/>
      </c>
      <c r="F218" s="52">
        <f>(Table134681112[[#This Row],[EWU]]-D206)/D206</f>
        <v/>
      </c>
    </row>
    <row r="219">
      <c r="A219" s="10" t="n">
        <v>44805</v>
      </c>
      <c r="B219" s="18">
        <f>IF(VLOOKUP(A219,'DB Country PMI'!$A:$AZ,MATCH($A$1,'DB Country PMI'!$A$1:$AZ$1,),)=0,#N/A,VLOOKUP(A219,'DB Country PMI'!$A:$AZ,MATCH($A$1,'DB Country PMI'!$A$1:$AZ$1,),))</f>
        <v/>
      </c>
      <c r="C219" s="24">
        <f>Table134681112[[#This Row],[PMI]]-B218</f>
        <v/>
      </c>
      <c r="D219" s="11">
        <f>IF(VLOOKUP(Table134681112[[#This Row],[Date]],'DB Global PMI'!$A:$F,5)=0,#N/A,VLOOKUP(Table134681112[[#This Row],[Date]],'DB Global PMI'!$A:$F,5))</f>
        <v/>
      </c>
      <c r="E219" s="24">
        <f>Table134681112[[#This Row],[PMI]]-B207</f>
        <v/>
      </c>
      <c r="F219" s="52">
        <f>(Table134681112[[#This Row],[EWU]]-D207)/D207</f>
        <v/>
      </c>
    </row>
  </sheetData>
  <conditionalFormatting sqref="C7:C106">
    <cfRule type="colorScale" priority="1">
      <colorScale>
        <cfvo type="min"/>
        <cfvo type="percentile" val="50"/>
        <cfvo type="max"/>
        <color rgb="FFF8696B"/>
        <color rgb="FFFCFCFF"/>
        <color rgb="FF5A8AC6"/>
      </colorScale>
    </cfRule>
  </conditionalFormatting>
  <conditionalFormatting sqref="B6:B219">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5"/>
  <sheetViews>
    <sheetView zoomScale="160" zoomScaleNormal="160" workbookViewId="0">
      <pane ySplit="5" topLeftCell="A178" activePane="bottomLeft" state="frozen"/>
      <selection pane="bottomLeft" activeCell="A179" sqref="A179:C195"/>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row r="193">
      <c r="A193" s="10" t="n">
        <v>44743</v>
      </c>
      <c r="B193" s="18">
        <f>IF(VLOOKUP(A193,'DB Country PMI'!$A:$AZ,MATCH($A$1,'DB Country PMI'!$A$1:$AZ$1,),)=0,#N/A,VLOOKUP(A193,'DB Country PMI'!$A:$AZ,MATCH($A$1,'DB Country PMI'!$A$1:$AZ$1,),))</f>
        <v/>
      </c>
      <c r="C193" s="24">
        <f>Table13468111214151617[[#This Row],[PMI]]-B192</f>
        <v/>
      </c>
    </row>
    <row r="194">
      <c r="A194" s="10" t="n">
        <v>44774</v>
      </c>
      <c r="B194" s="18">
        <f>IF(VLOOKUP(A194,'DB Country PMI'!$A:$AZ,MATCH($A$1,'DB Country PMI'!$A$1:$AZ$1,),)=0,#N/A,VLOOKUP(A194,'DB Country PMI'!$A:$AZ,MATCH($A$1,'DB Country PMI'!$A$1:$AZ$1,),))</f>
        <v/>
      </c>
      <c r="C194" s="24">
        <f>Table13468111214151617[[#This Row],[PMI]]-B193</f>
        <v/>
      </c>
    </row>
    <row r="195">
      <c r="A195" s="10" t="n">
        <v>44805</v>
      </c>
      <c r="B195" s="18">
        <f>IF(VLOOKUP(A195,'DB Country PMI'!$A:$AZ,MATCH($A$1,'DB Country PMI'!$A$1:$AZ$1,),)=0,#N/A,VLOOKUP(A195,'DB Country PMI'!$A:$AZ,MATCH($A$1,'DB Country PMI'!$A$1:$AZ$1,),))</f>
        <v/>
      </c>
      <c r="C195" s="24">
        <f>Table13468111214151617[[#This Row],[PMI]]-B194</f>
        <v/>
      </c>
    </row>
  </sheetData>
  <conditionalFormatting sqref="C7:C106">
    <cfRule type="colorScale" priority="1">
      <colorScale>
        <cfvo type="min"/>
        <cfvo type="percentile" val="50"/>
        <cfvo type="max"/>
        <color rgb="FFF8696B"/>
        <color rgb="FFFCFCFF"/>
        <color rgb="FF5A8AC6"/>
      </colorScale>
    </cfRule>
  </conditionalFormatting>
  <conditionalFormatting sqref="B6:B19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5"/>
  <sheetViews>
    <sheetView zoomScale="150" zoomScaleNormal="150" workbookViewId="0">
      <pane ySplit="5" topLeftCell="A187" activePane="bottomLeft" state="frozen"/>
      <selection pane="bottomLeft" activeCell="A183" sqref="A183:C195"/>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row r="193">
      <c r="A193" s="10" t="n">
        <v>44743</v>
      </c>
      <c r="B193" s="18">
        <f>IF(VLOOKUP(A193,'DB Country PMI'!$A:$AZ,MATCH($A$1,'DB Country PMI'!$A$1:$AZ$1,),)=0,#N/A,VLOOKUP(A193,'DB Country PMI'!$A:$AZ,MATCH($A$1,'DB Country PMI'!$A$1:$AZ$1,),))</f>
        <v/>
      </c>
      <c r="C193" s="24">
        <f>Table1346811121415161718[[#This Row],[PMI]]-B192</f>
        <v/>
      </c>
    </row>
    <row r="194">
      <c r="A194" s="10" t="n">
        <v>44774</v>
      </c>
      <c r="B194" s="18">
        <f>IF(VLOOKUP(A194,'DB Country PMI'!$A:$AZ,MATCH($A$1,'DB Country PMI'!$A$1:$AZ$1,),)=0,#N/A,VLOOKUP(A194,'DB Country PMI'!$A:$AZ,MATCH($A$1,'DB Country PMI'!$A$1:$AZ$1,),))</f>
        <v/>
      </c>
      <c r="C194" s="24">
        <f>Table1346811121415161718[[#This Row],[PMI]]-B193</f>
        <v/>
      </c>
    </row>
    <row r="195">
      <c r="A195" s="10" t="n">
        <v>44805</v>
      </c>
      <c r="B195" s="18">
        <f>IF(VLOOKUP(A195,'DB Country PMI'!$A:$AZ,MATCH($A$1,'DB Country PMI'!$A$1:$AZ$1,),)=0,#N/A,VLOOKUP(A195,'DB Country PMI'!$A:$AZ,MATCH($A$1,'DB Country PMI'!$A$1:$AZ$1,),))</f>
        <v/>
      </c>
      <c r="C195" s="24">
        <f>Table1346811121415161718[[#This Row],[PMI]]-B194</f>
        <v/>
      </c>
    </row>
  </sheetData>
  <conditionalFormatting sqref="C7:C106">
    <cfRule type="colorScale" priority="1">
      <colorScale>
        <cfvo type="min"/>
        <cfvo type="percentile" val="50"/>
        <cfvo type="max"/>
        <color rgb="FFF8696B"/>
        <color rgb="FFFCFCFF"/>
        <color rgb="FF5A8AC6"/>
      </colorScale>
    </cfRule>
  </conditionalFormatting>
  <conditionalFormatting sqref="B6:B195">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9"/>
  <sheetViews>
    <sheetView zoomScale="150" zoomScaleNormal="150" workbookViewId="0">
      <pane ySplit="5" topLeftCell="A141" activePane="bottomLeft" state="frozen"/>
      <selection pane="bottomLeft" activeCell="A138" sqref="A138: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row r="147">
      <c r="A147" s="10" t="n">
        <v>44743</v>
      </c>
      <c r="B147" s="18">
        <f>IF(VLOOKUP(A147,'DB Country PMI'!$A:$AZ,MATCH($A$1,'DB Country PMI'!$A$1:$AZ$1,),)=0,#N/A,VLOOKUP(A147,'DB Country PMI'!$A:$AZ,MATCH($A$1,'DB Country PMI'!$A$1:$AZ$1,),))</f>
        <v/>
      </c>
      <c r="C147" s="24">
        <f>Table134681112141516171819202223[[#This Row],[PMI]]-B146</f>
        <v/>
      </c>
    </row>
    <row r="148">
      <c r="A148" s="10" t="n">
        <v>44774</v>
      </c>
      <c r="B148" s="18">
        <f>IF(VLOOKUP(A148,'DB Country PMI'!$A:$AZ,MATCH($A$1,'DB Country PMI'!$A$1:$AZ$1,),)=0,#N/A,VLOOKUP(A148,'DB Country PMI'!$A:$AZ,MATCH($A$1,'DB Country PMI'!$A$1:$AZ$1,),))</f>
        <v/>
      </c>
      <c r="C148" s="24">
        <f>Table134681112141516171819202223[[#This Row],[PMI]]-B147</f>
        <v/>
      </c>
    </row>
    <row r="149">
      <c r="A149" s="10" t="n">
        <v>44805</v>
      </c>
      <c r="B149" s="18">
        <f>IF(VLOOKUP(A149,'DB Country PMI'!$A:$AZ,MATCH($A$1,'DB Country PMI'!$A$1:$AZ$1,),)=0,#N/A,VLOOKUP(A149,'DB Country PMI'!$A:$AZ,MATCH($A$1,'DB Country PMI'!$A$1:$AZ$1,),))</f>
        <v/>
      </c>
      <c r="C149" s="24">
        <f>Table134681112141516171819202223[[#This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3"/>
  <sheetViews>
    <sheetView zoomScale="150" zoomScaleNormal="150" workbookViewId="0">
      <pane ySplit="5" topLeftCell="A130" activePane="bottomLeft" state="frozen"/>
      <selection pane="bottomLeft" activeCell="A130" sqref="A130:C143"/>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row r="141">
      <c r="A141" s="10" t="n">
        <v>44743</v>
      </c>
      <c r="B141" s="18">
        <f>IF(VLOOKUP(A141,'DB Country PMI'!$A:$AZ,MATCH($A$1,'DB Country PMI'!$A$1:$AZ$1,),)=0,#N/A,VLOOKUP(A141,'DB Country PMI'!$A:$AZ,MATCH($A$1,'DB Country PMI'!$A$1:$AZ$1,),))</f>
        <v/>
      </c>
      <c r="C141" s="24">
        <f>Table13468111214151617181920222526[[#This Row],[PMI]]-B140</f>
        <v/>
      </c>
    </row>
    <row r="142">
      <c r="A142" s="10" t="n">
        <v>44774</v>
      </c>
      <c r="B142" s="18">
        <f>IF(VLOOKUP(A142,'DB Country PMI'!$A:$AZ,MATCH($A$1,'DB Country PMI'!$A$1:$AZ$1,),)=0,#N/A,VLOOKUP(A142,'DB Country PMI'!$A:$AZ,MATCH($A$1,'DB Country PMI'!$A$1:$AZ$1,),))</f>
        <v/>
      </c>
      <c r="C142" s="24">
        <f>Table13468111214151617181920222526[[#This Row],[PMI]]-B141</f>
        <v/>
      </c>
    </row>
    <row r="143">
      <c r="A143" s="10" t="n">
        <v>44805</v>
      </c>
      <c r="B143" s="18">
        <f>IF(VLOOKUP(A143,'DB Country PMI'!$A:$AZ,MATCH($A$1,'DB Country PMI'!$A$1:$AZ$1,),)=0,#N/A,VLOOKUP(A143,'DB Country PMI'!$A:$AZ,MATCH($A$1,'DB Country PMI'!$A$1:$AZ$1,),))</f>
        <v/>
      </c>
      <c r="C143" s="24">
        <f>Table13468111214151617181920222526[[#This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9"/>
  <sheetViews>
    <sheetView zoomScale="150" zoomScaleNormal="150" workbookViewId="0">
      <pane ySplit="5" topLeftCell="A134" activePane="bottomLeft" state="frozen"/>
      <selection pane="bottomLeft" activeCell="A135" sqref="A135: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row r="147">
      <c r="A147" s="10" t="n">
        <v>44743</v>
      </c>
      <c r="B147" s="18">
        <f>IF(VLOOKUP(A147,'DB Country PMI'!$A:$AZ,MATCH($A$1,'DB Country PMI'!$A$1:$AZ$1,),)=0,#N/A,VLOOKUP(A147,'DB Country PMI'!$A:$AZ,MATCH($A$1,'DB Country PMI'!$A$1:$AZ$1,),))</f>
        <v/>
      </c>
      <c r="C147" s="24">
        <f>Table134681112141516171819202225[[#This Row],[PMI]]-B146</f>
        <v/>
      </c>
    </row>
    <row r="148">
      <c r="A148" s="10" t="n">
        <v>44774</v>
      </c>
      <c r="B148" s="18">
        <f>IF(VLOOKUP(A148,'DB Country PMI'!$A:$AZ,MATCH($A$1,'DB Country PMI'!$A$1:$AZ$1,),)=0,#N/A,VLOOKUP(A148,'DB Country PMI'!$A:$AZ,MATCH($A$1,'DB Country PMI'!$A$1:$AZ$1,),))</f>
        <v/>
      </c>
      <c r="C148" s="24">
        <f>Table134681112141516171819202225[[#This Row],[PMI]]-B147</f>
        <v/>
      </c>
    </row>
    <row r="149">
      <c r="A149" s="10" t="n">
        <v>44805</v>
      </c>
      <c r="B149" s="18">
        <f>IF(VLOOKUP(A149,'DB Country PMI'!$A:$AZ,MATCH($A$1,'DB Country PMI'!$A$1:$AZ$1,),)=0,#N/A,VLOOKUP(A149,'DB Country PMI'!$A:$AZ,MATCH($A$1,'DB Country PMI'!$A$1:$AZ$1,),))</f>
        <v/>
      </c>
      <c r="C149" s="24">
        <f>Table134681112141516171819202225[[#This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9"/>
  <sheetViews>
    <sheetView zoomScale="160" zoomScaleNormal="160" workbookViewId="0">
      <pane ySplit="5" topLeftCell="A137" activePane="bottomLeft" state="frozen"/>
      <selection pane="bottomLeft" activeCell="A135" sqref="A135: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row r="147">
      <c r="A147" s="10" t="n">
        <v>44743</v>
      </c>
      <c r="B147" s="18">
        <f>IF(VLOOKUP(A147,'DB Country PMI'!$A:$AZ,MATCH($A$1,'DB Country PMI'!$A$1:$AZ$1,),)=0,#N/A,VLOOKUP(A147,'DB Country PMI'!$A:$AZ,MATCH($A$1,'DB Country PMI'!$A$1:$AZ$1,),))</f>
        <v/>
      </c>
      <c r="C147" s="24">
        <f>Table13468111214151617181920222324[[#This Row],[PMI]]-B146</f>
        <v/>
      </c>
    </row>
    <row r="148">
      <c r="A148" s="10" t="n">
        <v>44774</v>
      </c>
      <c r="B148" s="18">
        <f>IF(VLOOKUP(A148,'DB Country PMI'!$A:$AZ,MATCH($A$1,'DB Country PMI'!$A$1:$AZ$1,),)=0,#N/A,VLOOKUP(A148,'DB Country PMI'!$A:$AZ,MATCH($A$1,'DB Country PMI'!$A$1:$AZ$1,),))</f>
        <v/>
      </c>
      <c r="C148" s="24">
        <f>Table13468111214151617181920222324[[#This Row],[PMI]]-B147</f>
        <v/>
      </c>
    </row>
    <row r="149">
      <c r="A149" s="10" t="n">
        <v>44805</v>
      </c>
      <c r="B149" s="18">
        <f>IF(VLOOKUP(A149,'DB Country PMI'!$A:$AZ,MATCH($A$1,'DB Country PMI'!$A$1:$AZ$1,),)=0,#N/A,VLOOKUP(A149,'DB Country PMI'!$A:$AZ,MATCH($A$1,'DB Country PMI'!$A$1:$AZ$1,),))</f>
        <v/>
      </c>
      <c r="C149" s="24">
        <f>Table13468111214151617181920222324[[#This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3"/>
  <sheetViews>
    <sheetView zoomScale="160" zoomScaleNormal="160" workbookViewId="0">
      <pane ySplit="5" topLeftCell="A129" activePane="bottomLeft" state="frozen"/>
      <selection pane="bottomLeft" activeCell="A126" sqref="A126:C143"/>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row r="141">
      <c r="A141" s="10" t="n">
        <v>44743</v>
      </c>
      <c r="B141" s="18">
        <f>IF(VLOOKUP(A141,'DB Country PMI'!$A:$AZ,MATCH($A$1,'DB Country PMI'!$A$1:$AZ$1,),)=0,#N/A,VLOOKUP(A141,'DB Country PMI'!$A:$AZ,MATCH($A$1,'DB Country PMI'!$A$1:$AZ$1,),))</f>
        <v/>
      </c>
      <c r="C141" s="24">
        <f>Table13468[[#This Row],[PMI]]-B140</f>
        <v/>
      </c>
    </row>
    <row r="142">
      <c r="A142" s="10" t="n">
        <v>44774</v>
      </c>
      <c r="B142" s="18">
        <f>IF(VLOOKUP(A142,'DB Country PMI'!$A:$AZ,MATCH($A$1,'DB Country PMI'!$A$1:$AZ$1,),)=0,#N/A,VLOOKUP(A142,'DB Country PMI'!$A:$AZ,MATCH($A$1,'DB Country PMI'!$A$1:$AZ$1,),))</f>
        <v/>
      </c>
      <c r="C142" s="24">
        <f>Table13468[[#This Row],[PMI]]-B141</f>
        <v/>
      </c>
    </row>
    <row r="143">
      <c r="A143" s="10" t="n">
        <v>44805</v>
      </c>
      <c r="B143" s="18">
        <f>IF(VLOOKUP(A143,'DB Country PMI'!$A:$AZ,MATCH($A$1,'DB Country PMI'!$A$1:$AZ$1,),)=0,#N/A,VLOOKUP(A143,'DB Country PMI'!$A:$AZ,MATCH($A$1,'DB Country PMI'!$A$1:$AZ$1,),))</f>
        <v/>
      </c>
      <c r="C143" s="24">
        <f>Table13468[[#This Row],[PMI]]-B142</f>
        <v/>
      </c>
    </row>
  </sheetData>
  <conditionalFormatting sqref="B6:B143">
    <cfRule type="colorScale" priority="2">
      <colorScale>
        <cfvo type="min"/>
        <cfvo type="percentile" val="50"/>
        <cfvo type="max"/>
        <color rgb="FFF8696B"/>
        <color rgb="FFFFEB84"/>
        <color rgb="FF63BE7B"/>
      </colorScale>
    </cfRule>
  </conditionalFormatting>
  <conditionalFormatting sqref="C7:C143">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8"/>
  <sheetViews>
    <sheetView zoomScale="160" zoomScaleNormal="160" workbookViewId="0">
      <pane ySplit="5" topLeftCell="A165" activePane="bottomLeft" state="frozen"/>
      <selection pane="bottomLeft" activeCell="A167" sqref="A167:C178"/>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row r="176">
      <c r="A176" s="10" t="n">
        <v>44743</v>
      </c>
      <c r="B176" s="18">
        <f>IF(VLOOKUP(A176,'DB Country PMI'!$A:$AZ,MATCH($A$1,'DB Country PMI'!$A$1:$AZ$1,),)=0,#N/A,VLOOKUP(A176,'DB Country PMI'!$A:$AZ,MATCH($A$1,'DB Country PMI'!$A$1:$AZ$1,),))</f>
        <v/>
      </c>
      <c r="C176" s="24">
        <f>Table1346811121415161718192022252627[[#This Row],[PMI]]-B175</f>
        <v/>
      </c>
    </row>
    <row r="177">
      <c r="A177" s="10" t="n">
        <v>44774</v>
      </c>
      <c r="B177" s="18">
        <f>IF(VLOOKUP(A177,'DB Country PMI'!$A:$AZ,MATCH($A$1,'DB Country PMI'!$A$1:$AZ$1,),)=0,#N/A,VLOOKUP(A177,'DB Country PMI'!$A:$AZ,MATCH($A$1,'DB Country PMI'!$A$1:$AZ$1,),))</f>
        <v/>
      </c>
      <c r="C177" s="24">
        <f>Table1346811121415161718192022252627[[#This Row],[PMI]]-B176</f>
        <v/>
      </c>
    </row>
    <row r="178">
      <c r="A178" s="10" t="n">
        <v>44805</v>
      </c>
      <c r="B178" s="18">
        <f>IF(VLOOKUP(A178,'DB Country PMI'!$A:$AZ,MATCH($A$1,'DB Country PMI'!$A$1:$AZ$1,),)=0,#N/A,VLOOKUP(A178,'DB Country PMI'!$A:$AZ,MATCH($A$1,'DB Country PMI'!$A$1:$AZ$1,),))</f>
        <v/>
      </c>
      <c r="C178" s="24">
        <f>Table1346811121415161718192022252627[[#This Row],[PMI]]-B177</f>
        <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3"/>
  <sheetViews>
    <sheetView zoomScale="170" zoomScaleNormal="170" workbookViewId="0">
      <pane ySplit="5" topLeftCell="A134" activePane="bottomLeft" state="frozen"/>
      <selection pane="bottomLeft" activeCell="A130" sqref="A130:C143"/>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row r="141">
      <c r="A141" s="10" t="n">
        <v>44743</v>
      </c>
      <c r="B141" s="18">
        <f>IF(VLOOKUP(A141,'DB Country PMI'!$A:$AZ,MATCH($A$1,'DB Country PMI'!$A$1:$AZ$1,),)=0,#N/A,VLOOKUP(A141,'DB Country PMI'!$A:$AZ,MATCH($A$1,'DB Country PMI'!$A$1:$AZ$1,),))</f>
        <v/>
      </c>
      <c r="C141" s="24">
        <f>Table13468111214151617181920222530[[#This Row],[PMI]]-B140</f>
        <v/>
      </c>
    </row>
    <row r="142">
      <c r="A142" s="10" t="n">
        <v>44774</v>
      </c>
      <c r="B142" s="18">
        <f>IF(VLOOKUP(A142,'DB Country PMI'!$A:$AZ,MATCH($A$1,'DB Country PMI'!$A$1:$AZ$1,),)=0,#N/A,VLOOKUP(A142,'DB Country PMI'!$A:$AZ,MATCH($A$1,'DB Country PMI'!$A$1:$AZ$1,),))</f>
        <v/>
      </c>
      <c r="C142" s="24">
        <f>Table13468111214151617181920222530[[#This Row],[PMI]]-B141</f>
        <v/>
      </c>
    </row>
    <row r="143">
      <c r="A143" s="10" t="n">
        <v>44805</v>
      </c>
      <c r="B143" s="18">
        <f>IF(VLOOKUP(A143,'DB Country PMI'!$A:$AZ,MATCH($A$1,'DB Country PMI'!$A$1:$AZ$1,),)=0,#N/A,VLOOKUP(A143,'DB Country PMI'!$A:$AZ,MATCH($A$1,'DB Country PMI'!$A$1:$AZ$1,),))</f>
        <v/>
      </c>
      <c r="C143" s="24">
        <f>Table13468111214151617181920222530[[#This Row],[PMI]]-B142</f>
        <v/>
      </c>
    </row>
  </sheetData>
  <conditionalFormatting sqref="C7:C143">
    <cfRule type="colorScale" priority="1">
      <colorScale>
        <cfvo type="min"/>
        <cfvo type="percentile" val="50"/>
        <cfvo type="max"/>
        <color rgb="FFF8696B"/>
        <color rgb="FFFCFCFF"/>
        <color rgb="FF5A8AC6"/>
      </colorScale>
    </cfRule>
  </conditionalFormatting>
  <conditionalFormatting sqref="B6:B143">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7"/>
  <sheetViews>
    <sheetView zoomScale="160" zoomScaleNormal="160" workbookViewId="0">
      <pane ySplit="5" topLeftCell="A141" activePane="bottomLeft" state="frozen"/>
      <selection pane="bottomLeft" activeCell="A136" sqref="A136:C147"/>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row r="145">
      <c r="A145" s="10" t="n">
        <v>44743</v>
      </c>
      <c r="B145" s="18">
        <f>IF(VLOOKUP(A145,'DB Country PMI'!$A:$AZ,MATCH($A$1,'DB Country PMI'!$A$1:$AZ$1,),)=0,#N/A,VLOOKUP(A145,'DB Country PMI'!$A:$AZ,MATCH($A$1,'DB Country PMI'!$A$1:$AZ$1,),))</f>
        <v/>
      </c>
      <c r="C145" s="24">
        <f>Table1346811121415161718192022252629[[#This Row],[PMI]]-B144</f>
        <v/>
      </c>
    </row>
    <row r="146">
      <c r="A146" s="10" t="n">
        <v>44774</v>
      </c>
      <c r="B146" s="18">
        <f>IF(VLOOKUP(A146,'DB Country PMI'!$A:$AZ,MATCH($A$1,'DB Country PMI'!$A$1:$AZ$1,),)=0,#N/A,VLOOKUP(A146,'DB Country PMI'!$A:$AZ,MATCH($A$1,'DB Country PMI'!$A$1:$AZ$1,),))</f>
        <v/>
      </c>
      <c r="C146" s="24">
        <f>Table1346811121415161718192022252629[[#This Row],[PMI]]-B145</f>
        <v/>
      </c>
    </row>
    <row r="147">
      <c r="A147" s="10" t="n">
        <v>44805</v>
      </c>
      <c r="B147" s="18">
        <f>IF(VLOOKUP(A147,'DB Country PMI'!$A:$AZ,MATCH($A$1,'DB Country PMI'!$A$1:$AZ$1,),)=0,#N/A,VLOOKUP(A147,'DB Country PMI'!$A:$AZ,MATCH($A$1,'DB Country PMI'!$A$1:$AZ$1,),))</f>
        <v/>
      </c>
      <c r="C147" s="24">
        <f>Table1346811121415161718192022252629[[#This Row],[PMI]]-B146</f>
        <v/>
      </c>
    </row>
  </sheetData>
  <conditionalFormatting sqref="C7:C106">
    <cfRule type="colorScale" priority="1">
      <colorScale>
        <cfvo type="min"/>
        <cfvo type="percentile" val="50"/>
        <cfvo type="max"/>
        <color rgb="FFF8696B"/>
        <color rgb="FFFCFCFF"/>
        <color rgb="FF5A8AC6"/>
      </colorScale>
    </cfRule>
  </conditionalFormatting>
  <conditionalFormatting sqref="B6:B147">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9"/>
  <sheetViews>
    <sheetView zoomScale="170" zoomScaleNormal="170" workbookViewId="0">
      <pane ySplit="5" topLeftCell="A134" activePane="bottomLeft" state="frozen"/>
      <selection pane="bottomLeft" activeCell="A137" sqref="A137: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row r="147">
      <c r="A147" s="10" t="n">
        <v>44743</v>
      </c>
      <c r="B147" s="18">
        <f>IF(VLOOKUP(A147,'DB Country PMI'!$A:$AZ,MATCH($A$1,'DB Country PMI'!$A$1:$AZ$1,),)=0,#N/A,VLOOKUP(A147,'DB Country PMI'!$A:$AZ,MATCH($A$1,'DB Country PMI'!$A$1:$AZ$1,),))</f>
        <v/>
      </c>
      <c r="C147" s="24">
        <f>Table1346811121415161718192022253033[[#This Row],[PMI]]-B146</f>
        <v/>
      </c>
    </row>
    <row r="148">
      <c r="A148" s="10" t="n">
        <v>44774</v>
      </c>
      <c r="B148" s="18">
        <f>IF(VLOOKUP(A148,'DB Country PMI'!$A:$AZ,MATCH($A$1,'DB Country PMI'!$A$1:$AZ$1,),)=0,#N/A,VLOOKUP(A148,'DB Country PMI'!$A:$AZ,MATCH($A$1,'DB Country PMI'!$A$1:$AZ$1,),))</f>
        <v/>
      </c>
      <c r="C148" s="24">
        <f>Table1346811121415161718192022253033[[#This Row],[PMI]]-B147</f>
        <v/>
      </c>
    </row>
    <row r="149">
      <c r="A149" s="10" t="n">
        <v>44805</v>
      </c>
      <c r="B149" s="18">
        <f>IF(VLOOKUP(A149,'DB Country PMI'!$A:$AZ,MATCH($A$1,'DB Country PMI'!$A$1:$AZ$1,),)=0,#N/A,VLOOKUP(A149,'DB Country PMI'!$A:$AZ,MATCH($A$1,'DB Country PMI'!$A$1:$AZ$1,),))</f>
        <v/>
      </c>
      <c r="C149" s="24">
        <f>Table1346811121415161718192022253033[[#This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9"/>
  <sheetViews>
    <sheetView zoomScale="160" zoomScaleNormal="160" workbookViewId="0">
      <pane ySplit="5" topLeftCell="A134" activePane="bottomLeft" state="frozen"/>
      <selection pane="bottomLeft" activeCell="A135" sqref="A135: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row r="147">
      <c r="A147" s="10" t="n">
        <v>44743</v>
      </c>
      <c r="B147" s="18">
        <f>IF(VLOOKUP(A147,'DB Country PMI'!$A:$AZ,MATCH($A$1,'DB Country PMI'!$A$1:$AZ$1,),)=0,#N/A,VLOOKUP(A147,'DB Country PMI'!$A:$AZ,MATCH($A$1,'DB Country PMI'!$A$1:$AZ$1,),))</f>
        <v/>
      </c>
      <c r="C147" s="24">
        <f>Table134681112141516171819[[#This Row],[PMI]]-B146</f>
        <v/>
      </c>
    </row>
    <row r="148">
      <c r="A148" s="10" t="n">
        <v>44774</v>
      </c>
      <c r="B148" s="18">
        <f>IF(VLOOKUP(A148,'DB Country PMI'!$A:$AZ,MATCH($A$1,'DB Country PMI'!$A$1:$AZ$1,),)=0,#N/A,VLOOKUP(A148,'DB Country PMI'!$A:$AZ,MATCH($A$1,'DB Country PMI'!$A$1:$AZ$1,),))</f>
        <v/>
      </c>
      <c r="C148" s="24">
        <f>Table134681112141516171819[[#This Row],[PMI]]-B147</f>
        <v/>
      </c>
    </row>
    <row r="149">
      <c r="A149" s="10" t="n">
        <v>44805</v>
      </c>
      <c r="B149" s="18">
        <f>IF(VLOOKUP(A149,'DB Country PMI'!$A:$AZ,MATCH($A$1,'DB Country PMI'!$A$1:$AZ$1,),)=0,#N/A,VLOOKUP(A149,'DB Country PMI'!$A:$AZ,MATCH($A$1,'DB Country PMI'!$A$1:$AZ$1,),))</f>
        <v/>
      </c>
      <c r="C149" s="24">
        <f>Table134681112141516171819[[#This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9"/>
  <sheetViews>
    <sheetView zoomScale="180" zoomScaleNormal="180" workbookViewId="0">
      <pane ySplit="5" topLeftCell="A136" activePane="bottomLeft" state="frozen"/>
      <selection pane="bottomLeft" activeCell="A137" sqref="A137: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row r="147">
      <c r="A147" s="10" t="n">
        <v>44743</v>
      </c>
      <c r="B147" s="18">
        <f>IF(VLOOKUP(A147,'DB Country PMI'!$A:$AZ,MATCH($A$1,'DB Country PMI'!$A$1:$AZ$1,),)=0,#N/A,VLOOKUP(A147,'DB Country PMI'!$A:$AZ,MATCH($A$1,'DB Country PMI'!$A$1:$AZ$1,),))</f>
        <v/>
      </c>
      <c r="C147" s="24">
        <f>Table13468111214151617181920[[#This Row],[PMI]]-B146</f>
        <v/>
      </c>
    </row>
    <row r="148">
      <c r="A148" s="10" t="n">
        <v>44774</v>
      </c>
      <c r="B148" s="18">
        <f>IF(VLOOKUP(A148,'DB Country PMI'!$A:$AZ,MATCH($A$1,'DB Country PMI'!$A$1:$AZ$1,),)=0,#N/A,VLOOKUP(A148,'DB Country PMI'!$A:$AZ,MATCH($A$1,'DB Country PMI'!$A$1:$AZ$1,),))</f>
        <v/>
      </c>
      <c r="C148" s="24">
        <f>Table13468111214151617181920[[#This Row],[PMI]]-B147</f>
        <v/>
      </c>
    </row>
    <row r="149">
      <c r="A149" s="10" t="n">
        <v>44805</v>
      </c>
      <c r="B149" s="18">
        <f>IF(VLOOKUP(A149,'DB Country PMI'!$A:$AZ,MATCH($A$1,'DB Country PMI'!$A$1:$AZ$1,),)=0,#N/A,VLOOKUP(A149,'DB Country PMI'!$A:$AZ,MATCH($A$1,'DB Country PMI'!$A$1:$AZ$1,),))</f>
        <v/>
      </c>
      <c r="C149" s="24">
        <f>Table13468111214151617181920[[#This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9"/>
  <sheetViews>
    <sheetView zoomScale="170" zoomScaleNormal="170" workbookViewId="0">
      <pane ySplit="5" topLeftCell="A140" activePane="bottomLeft" state="frozen"/>
      <selection pane="bottomLeft" activeCell="A134" sqref="A134: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row r="147">
      <c r="A147" s="10" t="n">
        <v>44743</v>
      </c>
      <c r="B147" s="18">
        <f>IF(VLOOKUP(A147,'DB Country PMI'!$A:$AZ,MATCH($A$1,'DB Country PMI'!$A$1:$AZ$1,),)=0,#N/A,VLOOKUP(A147,'DB Country PMI'!$A:$AZ,MATCH($A$1,'DB Country PMI'!$A$1:$AZ$1,),))</f>
        <v/>
      </c>
      <c r="C147" s="24">
        <f>Table134681112141516171819202225303334[[#This Row],[PMI]]-B146</f>
        <v/>
      </c>
    </row>
    <row r="148">
      <c r="A148" s="10" t="n">
        <v>44774</v>
      </c>
      <c r="B148" s="18">
        <f>IF(VLOOKUP(A148,'DB Country PMI'!$A:$AZ,MATCH($A$1,'DB Country PMI'!$A$1:$AZ$1,),)=0,#N/A,VLOOKUP(A148,'DB Country PMI'!$A:$AZ,MATCH($A$1,'DB Country PMI'!$A$1:$AZ$1,),))</f>
        <v/>
      </c>
      <c r="C148" s="24">
        <f>Table134681112141516171819202225303334[[#This Row],[PMI]]-B147</f>
        <v/>
      </c>
    </row>
    <row r="149">
      <c r="A149" s="10" t="n">
        <v>44805</v>
      </c>
      <c r="B149" s="18">
        <f>IF(VLOOKUP(A149,'DB Country PMI'!$A:$AZ,MATCH($A$1,'DB Country PMI'!$A$1:$AZ$1,),)=0,#N/A,VLOOKUP(A149,'DB Country PMI'!$A:$AZ,MATCH($A$1,'DB Country PMI'!$A$1:$AZ$1,),))</f>
        <v/>
      </c>
      <c r="C149" s="24">
        <f>Table134681112141516171819202225303334[[#This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9"/>
  <sheetViews>
    <sheetView zoomScale="160" zoomScaleNormal="160" workbookViewId="0">
      <pane ySplit="5" topLeftCell="A137" activePane="bottomLeft" state="frozen"/>
      <selection pane="bottomLeft" activeCell="A132" sqref="A132: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row r="147">
      <c r="A147" s="10" t="n">
        <v>44743</v>
      </c>
      <c r="B147" s="18">
        <f>IF(VLOOKUP(A147,'DB Country PMI'!$A:$AZ,MATCH($A$1,'DB Country PMI'!$A$1:$AZ$1,),)=0,#N/A,VLOOKUP(A147,'DB Country PMI'!$A:$AZ,MATCH($A$1,'DB Country PMI'!$A$1:$AZ$1,),))</f>
        <v/>
      </c>
      <c r="C147" s="24">
        <f>Table13468111214151617181920222530333435[[#This Row],[PMI]]-B146</f>
        <v/>
      </c>
    </row>
    <row r="148">
      <c r="A148" s="10" t="n">
        <v>44774</v>
      </c>
      <c r="B148" s="18">
        <f>IF(VLOOKUP(A148,'DB Country PMI'!$A:$AZ,MATCH($A$1,'DB Country PMI'!$A$1:$AZ$1,),)=0,#N/A,VLOOKUP(A148,'DB Country PMI'!$A:$AZ,MATCH($A$1,'DB Country PMI'!$A$1:$AZ$1,),))</f>
        <v/>
      </c>
      <c r="C148" s="24">
        <f>Table13468111214151617181920222530333435[[#This Row],[PMI]]-B147</f>
        <v/>
      </c>
    </row>
    <row r="149">
      <c r="A149" s="10" t="n">
        <v>44805</v>
      </c>
      <c r="B149" s="18">
        <f>IF(VLOOKUP(A149,'DB Country PMI'!$A:$AZ,MATCH($A$1,'DB Country PMI'!$A$1:$AZ$1,),)=0,#N/A,VLOOKUP(A149,'DB Country PMI'!$A:$AZ,MATCH($A$1,'DB Country PMI'!$A$1:$AZ$1,),))</f>
        <v/>
      </c>
      <c r="C149" s="24">
        <f>Table13468111214151617181920222530333435[[#This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9"/>
  <sheetViews>
    <sheetView zoomScale="160" zoomScaleNormal="160" workbookViewId="0">
      <pane ySplit="5" topLeftCell="A142" activePane="bottomLeft" state="frozen"/>
      <selection pane="bottomLeft" activeCell="A136" sqref="A136:C14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row r="147">
      <c r="A147" s="10" t="n">
        <v>44743</v>
      </c>
      <c r="B147" s="18">
        <f>IF(VLOOKUP(A147,'DB Country PMI'!$A:$AZ,MATCH($A$1,'DB Country PMI'!$A$1:$AZ$1,),)=0,#N/A,VLOOKUP(A147,'DB Country PMI'!$A:$AZ,MATCH($A$1,'DB Country PMI'!$A$1:$AZ$1,),))</f>
        <v/>
      </c>
      <c r="C147" s="24">
        <f>Table1346811121415161718192022253033343536[[#This Row],[PMI]]-B146</f>
        <v/>
      </c>
    </row>
    <row r="148">
      <c r="A148" s="10" t="n">
        <v>44774</v>
      </c>
      <c r="B148" s="18">
        <f>IF(VLOOKUP(A148,'DB Country PMI'!$A:$AZ,MATCH($A$1,'DB Country PMI'!$A$1:$AZ$1,),)=0,#N/A,VLOOKUP(A148,'DB Country PMI'!$A:$AZ,MATCH($A$1,'DB Country PMI'!$A$1:$AZ$1,),))</f>
        <v/>
      </c>
      <c r="C148" s="24">
        <f>Table1346811121415161718192022253033343536[[#This Row],[PMI]]-B147</f>
        <v/>
      </c>
    </row>
    <row r="149">
      <c r="A149" s="10" t="n">
        <v>44805</v>
      </c>
      <c r="B149" s="18">
        <f>IF(VLOOKUP(A149,'DB Country PMI'!$A:$AZ,MATCH($A$1,'DB Country PMI'!$A$1:$AZ$1,),)=0,#N/A,VLOOKUP(A149,'DB Country PMI'!$A:$AZ,MATCH($A$1,'DB Country PMI'!$A$1:$AZ$1,),))</f>
        <v/>
      </c>
      <c r="C149" s="24">
        <f>Table1346811121415161718192022253033343536[[#This Row],[PMI]]-B148</f>
        <v/>
      </c>
    </row>
  </sheetData>
  <conditionalFormatting sqref="C7:C106">
    <cfRule type="colorScale" priority="1">
      <colorScale>
        <cfvo type="min"/>
        <cfvo type="percentile" val="50"/>
        <cfvo type="max"/>
        <color rgb="FFF8696B"/>
        <color rgb="FFFCFCFF"/>
        <color rgb="FF5A8AC6"/>
      </colorScale>
    </cfRule>
  </conditionalFormatting>
  <conditionalFormatting sqref="B6:B149">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50"/>
  <sheetViews>
    <sheetView zoomScale="160" zoomScaleNormal="160" workbookViewId="0">
      <pane ySplit="5" topLeftCell="A336" activePane="bottomLeft" state="frozen"/>
      <selection pane="bottomLeft" activeCell="A329" sqref="A329:C350"/>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row r="348">
      <c r="A348" s="10" t="n">
        <v>44743</v>
      </c>
      <c r="B348" s="18">
        <f>IF(VLOOKUP(A348,'DB Country PMI'!$A:$AZ,MATCH($A$1,'DB Country PMI'!$A$1:$AZ$1,),)=0,#N/A,VLOOKUP(A348,'DB Country PMI'!$A:$AZ,MATCH($A$1,'DB Country PMI'!$A$1:$AZ$1,),))</f>
        <v/>
      </c>
      <c r="C348" s="24">
        <f>Table13[[#This Row],[PMI]]-B347</f>
        <v/>
      </c>
    </row>
    <row r="349">
      <c r="A349" s="10" t="n">
        <v>44774</v>
      </c>
      <c r="B349" s="18">
        <f>IF(VLOOKUP(A349,'DB Country PMI'!$A:$AZ,MATCH($A$1,'DB Country PMI'!$A$1:$AZ$1,),)=0,#N/A,VLOOKUP(A349,'DB Country PMI'!$A:$AZ,MATCH($A$1,'DB Country PMI'!$A$1:$AZ$1,),))</f>
        <v/>
      </c>
      <c r="C349" s="24">
        <f>Table13[[#This Row],[PMI]]-B348</f>
        <v/>
      </c>
    </row>
    <row r="350">
      <c r="A350" s="10" t="n">
        <v>44805</v>
      </c>
      <c r="B350" s="18">
        <f>IF(VLOOKUP(A350,'DB Country PMI'!$A:$AZ,MATCH($A$1,'DB Country PMI'!$A$1:$AZ$1,),)=0,#N/A,VLOOKUP(A350,'DB Country PMI'!$A:$AZ,MATCH($A$1,'DB Country PMI'!$A$1:$AZ$1,),))</f>
        <v/>
      </c>
      <c r="C350" s="24">
        <f>Table13[[#This Row],[PMI]]-B349</f>
        <v/>
      </c>
    </row>
  </sheetData>
  <conditionalFormatting sqref="C198:C350">
    <cfRule type="colorScale" priority="2">
      <colorScale>
        <cfvo type="min"/>
        <cfvo type="percentile" val="50"/>
        <cfvo type="max"/>
        <color rgb="FFF8696B"/>
        <color rgb="FFFCFCFF"/>
        <color rgb="FF5A8AC6"/>
      </colorScale>
    </cfRule>
  </conditionalFormatting>
  <conditionalFormatting sqref="B198:B35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8"/>
  <sheetViews>
    <sheetView zoomScale="160" zoomScaleNormal="160" workbookViewId="0">
      <pane ySplit="5" topLeftCell="A117" activePane="bottomLeft" state="frozen"/>
      <selection activeCell="P121" sqref="P121"/>
      <selection pane="bottomLeft" activeCell="A116" sqref="A116:C128"/>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row r="126">
      <c r="A126" s="10" t="n">
        <v>44743</v>
      </c>
      <c r="B126" s="18">
        <f>IF(VLOOKUP(A126,'DB Country PMI'!$A:$AZ,MATCH($A$1,'DB Country PMI'!$A$1:$AZ$1,),)=0,#N/A,VLOOKUP(A126,'DB Country PMI'!$A:$AZ,MATCH($A$1,'DB Country PMI'!$A$1:$AZ$1,),))</f>
        <v/>
      </c>
      <c r="C126" s="24">
        <f>Table134[[#This Row],[PMI]]-B125</f>
        <v/>
      </c>
    </row>
    <row r="127">
      <c r="A127" s="10" t="n">
        <v>44774</v>
      </c>
      <c r="B127" s="18">
        <f>IF(VLOOKUP(A127,'DB Country PMI'!$A:$AZ,MATCH($A$1,'DB Country PMI'!$A$1:$AZ$1,),)=0,#N/A,VLOOKUP(A127,'DB Country PMI'!$A:$AZ,MATCH($A$1,'DB Country PMI'!$A$1:$AZ$1,),))</f>
        <v/>
      </c>
      <c r="C127" s="24">
        <f>Table134[[#This Row],[PMI]]-B126</f>
        <v/>
      </c>
    </row>
    <row r="128">
      <c r="A128" s="10" t="n">
        <v>44805</v>
      </c>
      <c r="B128" s="18">
        <f>IF(VLOOKUP(A128,'DB Country PMI'!$A:$AZ,MATCH($A$1,'DB Country PMI'!$A$1:$AZ$1,),)=0,#N/A,VLOOKUP(A128,'DB Country PMI'!$A:$AZ,MATCH($A$1,'DB Country PMI'!$A$1:$AZ$1,),))</f>
        <v/>
      </c>
      <c r="C128" s="24">
        <f>Table134[[#This Row],[PMI]]-B127</f>
        <v/>
      </c>
    </row>
  </sheetData>
  <conditionalFormatting sqref="B6:B128">
    <cfRule type="colorScale" priority="2">
      <colorScale>
        <cfvo type="min"/>
        <cfvo type="percentile" val="50"/>
        <cfvo type="max"/>
        <color rgb="FFF8696B"/>
        <color rgb="FFFFEB84"/>
        <color rgb="FF63BE7B"/>
      </colorScale>
    </cfRule>
  </conditionalFormatting>
  <conditionalFormatting sqref="C7:C128">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80"/>
  <sheetViews>
    <sheetView zoomScale="170" zoomScaleNormal="170" workbookViewId="0">
      <pane ySplit="5" topLeftCell="A68" activePane="bottomLeft" state="frozen"/>
      <selection pane="bottomLeft" activeCell="A66" sqref="A66:C80"/>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row r="78">
      <c r="A78" s="10" t="n">
        <v>44743</v>
      </c>
      <c r="B78" s="18">
        <f>IF(VLOOKUP(A78,'DB Country PMI'!$A:$AZ,MATCH($A$1,'DB Country PMI'!$A$1:$AZ$1,),)=0,#N/A,VLOOKUP(A78,'DB Country PMI'!$A:$AZ,MATCH($A$1,'DB Country PMI'!$A$1:$AZ$1,),))</f>
        <v/>
      </c>
      <c r="C78" s="24">
        <f>Table1345[[#This Row],[PMI]]-B77</f>
        <v/>
      </c>
    </row>
    <row r="79">
      <c r="A79" s="10" t="n">
        <v>44774</v>
      </c>
      <c r="B79" s="18">
        <f>IF(VLOOKUP(A79,'DB Country PMI'!$A:$AZ,MATCH($A$1,'DB Country PMI'!$A$1:$AZ$1,),)=0,#N/A,VLOOKUP(A79,'DB Country PMI'!$A:$AZ,MATCH($A$1,'DB Country PMI'!$A$1:$AZ$1,),))</f>
        <v/>
      </c>
      <c r="C79" s="24">
        <f>Table1345[[#This Row],[PMI]]-B78</f>
        <v/>
      </c>
    </row>
    <row r="80">
      <c r="A80" s="10" t="n">
        <v>44805</v>
      </c>
      <c r="B80" s="18">
        <f>IF(VLOOKUP(A80,'DB Country PMI'!$A:$AZ,MATCH($A$1,'DB Country PMI'!$A$1:$AZ$1,),)=0,#N/A,VLOOKUP(A80,'DB Country PMI'!$A:$AZ,MATCH($A$1,'DB Country PMI'!$A$1:$AZ$1,),))</f>
        <v/>
      </c>
      <c r="C80" s="24">
        <f>Table1345[[#This Row],[PMI]]-B79</f>
        <v/>
      </c>
    </row>
  </sheetData>
  <conditionalFormatting sqref="B6:B80">
    <cfRule type="colorScale" priority="51">
      <colorScale>
        <cfvo type="min"/>
        <cfvo type="percentile" val="50"/>
        <cfvo type="max"/>
        <color rgb="FFF8696B"/>
        <color rgb="FFFFEB84"/>
        <color rgb="FF63BE7B"/>
      </colorScale>
    </cfRule>
  </conditionalFormatting>
  <conditionalFormatting sqref="C7:C80">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8"/>
  <sheetViews>
    <sheetView zoomScale="160" zoomScaleNormal="160" workbookViewId="0">
      <pane ySplit="5" topLeftCell="A261" activePane="bottomLeft" state="frozen"/>
      <selection pane="bottomLeft" activeCell="A263" sqref="A263:C278"/>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row r="276">
      <c r="A276" s="10" t="n">
        <v>44743</v>
      </c>
      <c r="B276" s="18">
        <f>IF(VLOOKUP(A276,'DB Country PMI'!$A:$AZ,MATCH($A$1,'DB Country PMI'!$A$1:$AZ$1,),)=0,#N/A,VLOOKUP(A276,'DB Country PMI'!$A:$AZ,MATCH($A$1,'DB Country PMI'!$A$1:$AZ$1,),))</f>
        <v/>
      </c>
      <c r="C276" s="24">
        <f>Table1346[[#This Row],[PMI]]-B275</f>
        <v/>
      </c>
    </row>
    <row r="277">
      <c r="A277" s="10" t="n">
        <v>44774</v>
      </c>
      <c r="B277" s="18">
        <f>IF(VLOOKUP(A277,'DB Country PMI'!$A:$AZ,MATCH($A$1,'DB Country PMI'!$A$1:$AZ$1,),)=0,#N/A,VLOOKUP(A277,'DB Country PMI'!$A:$AZ,MATCH($A$1,'DB Country PMI'!$A$1:$AZ$1,),))</f>
        <v/>
      </c>
      <c r="C277" s="24">
        <f>Table1346[[#This Row],[PMI]]-B276</f>
        <v/>
      </c>
    </row>
    <row r="278">
      <c r="A278" s="10" t="n">
        <v>44805</v>
      </c>
      <c r="B278" s="18">
        <f>IF(VLOOKUP(A278,'DB Country PMI'!$A:$AZ,MATCH($A$1,'DB Country PMI'!$A$1:$AZ$1,),)=0,#N/A,VLOOKUP(A278,'DB Country PMI'!$A:$AZ,MATCH($A$1,'DB Country PMI'!$A$1:$AZ$1,),))</f>
        <v/>
      </c>
      <c r="C278" s="24">
        <f>Table1346[[#This Row],[PMI]]-B277</f>
        <v/>
      </c>
    </row>
  </sheetData>
  <conditionalFormatting sqref="C126:C278">
    <cfRule type="colorScale" priority="59">
      <colorScale>
        <cfvo type="min"/>
        <cfvo type="percentile" val="50"/>
        <cfvo type="max"/>
        <color rgb="FFF8696B"/>
        <color rgb="FFFCFCFF"/>
        <color rgb="FF5A8AC6"/>
      </colorScale>
    </cfRule>
  </conditionalFormatting>
  <conditionalFormatting sqref="B126:B2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9"/>
  <sheetViews>
    <sheetView zoomScale="160" zoomScaleNormal="160" workbookViewId="0">
      <pane ySplit="5" topLeftCell="A114" activePane="bottomLeft" state="frozen"/>
      <selection pane="bottomLeft" activeCell="A109" sqref="A109:C129"/>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row r="127">
      <c r="A127" s="10" t="n">
        <v>44743</v>
      </c>
      <c r="B127" s="18">
        <f>IF(VLOOKUP(A127,'DB Country PMI'!$A:$AZ,MATCH($A$1,'DB Country PMI'!$A$1:$AZ$1,),)=0,#N/A,VLOOKUP(A127,'DB Country PMI'!$A:$AZ,MATCH($A$1,'DB Country PMI'!$A$1:$AZ$1,),))</f>
        <v/>
      </c>
      <c r="C127" s="24">
        <f>Table13467[[#This Row],[PMI]]-B126</f>
        <v/>
      </c>
    </row>
    <row r="128">
      <c r="A128" s="10" t="n">
        <v>44774</v>
      </c>
      <c r="B128" s="18">
        <f>IF(VLOOKUP(A128,'DB Country PMI'!$A:$AZ,MATCH($A$1,'DB Country PMI'!$A$1:$AZ$1,),)=0,#N/A,VLOOKUP(A128,'DB Country PMI'!$A:$AZ,MATCH($A$1,'DB Country PMI'!$A$1:$AZ$1,),))</f>
        <v/>
      </c>
      <c r="C128" s="24">
        <f>Table13467[[#This Row],[PMI]]-B127</f>
        <v/>
      </c>
    </row>
    <row r="129">
      <c r="A129" s="10" t="n">
        <v>44805</v>
      </c>
      <c r="B129" s="18">
        <f>IF(VLOOKUP(A129,'DB Country PMI'!$A:$AZ,MATCH($A$1,'DB Country PMI'!$A$1:$AZ$1,),)=0,#N/A,VLOOKUP(A129,'DB Country PMI'!$A:$AZ,MATCH($A$1,'DB Country PMI'!$A$1:$AZ$1,),))</f>
        <v/>
      </c>
      <c r="C129" s="24">
        <f>Table13467[[#This Row],[PMI]]-B128</f>
        <v/>
      </c>
    </row>
  </sheetData>
  <conditionalFormatting sqref="B6:B12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5"/>
  <sheetViews>
    <sheetView zoomScale="160" zoomScaleNormal="160" workbookViewId="0">
      <pane ySplit="5" topLeftCell="A82" activePane="bottomLeft" state="frozen"/>
      <selection pane="bottomLeft" activeCell="A82" sqref="A82:C95"/>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row r="93">
      <c r="A93" s="10" t="n">
        <v>44743</v>
      </c>
      <c r="B93" s="18">
        <f>IF(VLOOKUP(A93,'DB Country PMI'!$A:$AZ,MATCH($A$1,'DB Country PMI'!$A$1:$AZ$1,),)=0,#N/A,VLOOKUP(A93,'DB Country PMI'!$A:$AZ,MATCH($A$1,'DB Country PMI'!$A$1:$AZ$1,),))</f>
        <v/>
      </c>
      <c r="C93" s="24">
        <f>Table134689[[#This Row],[PMI]]-B92</f>
        <v/>
      </c>
    </row>
    <row r="94">
      <c r="A94" s="10" t="n">
        <v>44774</v>
      </c>
      <c r="B94" s="18">
        <f>IF(VLOOKUP(A94,'DB Country PMI'!$A:$AZ,MATCH($A$1,'DB Country PMI'!$A$1:$AZ$1,),)=0,#N/A,VLOOKUP(A94,'DB Country PMI'!$A:$AZ,MATCH($A$1,'DB Country PMI'!$A$1:$AZ$1,),))</f>
        <v/>
      </c>
      <c r="C94" s="24">
        <f>Table134689[[#This Row],[PMI]]-B93</f>
        <v/>
      </c>
    </row>
    <row r="95">
      <c r="A95" s="10" t="n">
        <v>44805</v>
      </c>
      <c r="B95" s="18">
        <f>IF(VLOOKUP(A95,'DB Country PMI'!$A:$AZ,MATCH($A$1,'DB Country PMI'!$A$1:$AZ$1,),)=0,#N/A,VLOOKUP(A95,'DB Country PMI'!$A:$AZ,MATCH($A$1,'DB Country PMI'!$A$1:$AZ$1,),))</f>
        <v/>
      </c>
      <c r="C95" s="24">
        <f>Table134689[[#This Row],[PMI]]-B94</f>
        <v/>
      </c>
    </row>
  </sheetData>
  <conditionalFormatting sqref="B6:B95">
    <cfRule type="colorScale" priority="54">
      <colorScale>
        <cfvo type="min"/>
        <cfvo type="percentile" val="50"/>
        <cfvo type="max"/>
        <color rgb="FFF8696B"/>
        <color rgb="FFFFEB84"/>
        <color rgb="FF63BE7B"/>
      </colorScale>
    </cfRule>
  </conditionalFormatting>
  <conditionalFormatting sqref="C7:C95">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7"/>
  <sheetViews>
    <sheetView zoomScale="160" zoomScaleNormal="160" workbookViewId="0">
      <pane ySplit="5" topLeftCell="A230" activePane="bottomLeft" state="frozen"/>
      <selection activeCell="B327" sqref="B327"/>
      <selection pane="bottomLeft" activeCell="A231" sqref="A231:C247"/>
    </sheetView>
  </sheetViews>
  <sheetFormatPr baseColWidth="10" defaultColWidth="9.1640625" defaultRowHeight="15"/>
  <cols>
    <col width="13.5" customWidth="1" style="70" min="1" max="1"/>
    <col width="11.33203125" customWidth="1" style="70" min="2" max="2"/>
    <col width="9.1640625" customWidth="1" style="70" min="3" max="47"/>
    <col width="9.1640625" customWidth="1" style="70" min="48"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row r="245">
      <c r="A245" s="10" t="n">
        <v>44743</v>
      </c>
      <c r="B245" s="19">
        <f>IF(VLOOKUP(A245,'DB Country PMI'!$A:$AZ,MATCH($A$1,'DB Country PMI'!$A$1:$AZ$1,),)=0,#N/A,VLOOKUP(A245,'DB Country PMI'!$A:$AZ,MATCH($A$1,'DB Country PMI'!$A$1:$AZ$1,),))</f>
        <v/>
      </c>
      <c r="C245" s="26">
        <f>Table1346811121415161718192022253032[[#This Row],[PMI]]-B244</f>
        <v/>
      </c>
    </row>
    <row r="246">
      <c r="A246" s="10" t="n">
        <v>44774</v>
      </c>
      <c r="B246" s="19">
        <f>IF(VLOOKUP(A246,'DB Country PMI'!$A:$AZ,MATCH($A$1,'DB Country PMI'!$A$1:$AZ$1,),)=0,#N/A,VLOOKUP(A246,'DB Country PMI'!$A:$AZ,MATCH($A$1,'DB Country PMI'!$A$1:$AZ$1,),))</f>
        <v/>
      </c>
      <c r="C246" s="26">
        <f>Table1346811121415161718192022253032[[#This Row],[PMI]]-B245</f>
        <v/>
      </c>
    </row>
    <row r="247">
      <c r="A247" s="10" t="n">
        <v>44805</v>
      </c>
      <c r="B247" s="19">
        <f>IF(VLOOKUP(A247,'DB Country PMI'!$A:$AZ,MATCH($A$1,'DB Country PMI'!$A$1:$AZ$1,),)=0,#N/A,VLOOKUP(A247,'DB Country PMI'!$A:$AZ,MATCH($A$1,'DB Country PMI'!$A$1:$AZ$1,),))</f>
        <v/>
      </c>
      <c r="C247" s="26">
        <f>Table1346811121415161718192022253032[[#This Row],[PMI]]-B246</f>
        <v/>
      </c>
    </row>
  </sheetData>
  <conditionalFormatting sqref="C95:C247">
    <cfRule type="colorScale" priority="2">
      <colorScale>
        <cfvo type="min"/>
        <cfvo type="percentile" val="50"/>
        <cfvo type="max"/>
        <color rgb="FFF8696B"/>
        <color rgb="FFFCFCFF"/>
        <color rgb="FF5A8AC6"/>
      </colorScale>
    </cfRule>
  </conditionalFormatting>
  <conditionalFormatting sqref="B95:B24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2022-10-23T06:27:43Z</dcterms:modified>
  <cp:lastModifiedBy>Mark Mukherjee</cp:lastModifiedBy>
</cp:coreProperties>
</file>