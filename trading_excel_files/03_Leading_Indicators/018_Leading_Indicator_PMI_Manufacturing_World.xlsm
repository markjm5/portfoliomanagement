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442D03B-7A33-2342-A0DE-7C78EE7BA0C0}" xr6:coauthVersionLast="47" xr6:coauthVersionMax="47" xr10:uidLastSave="{00000000-0000-0000-0000-000000000000}"/>
  <bookViews>
    <workbookView xWindow="-59060" yWindow="-640" windowWidth="57740" windowHeight="28260" tabRatio="804" activeTab="17" xr2:uid="{00000000-000D-0000-FFFF-FFFF00000000}"/>
  </bookViews>
  <sheets>
    <sheet name="Note" sheetId="1" r:id="rId1"/>
    <sheet name="Database" sheetId="2" r:id="rId2"/>
    <sheet name="DB Country PMI" sheetId="3" r:id="rId3"/>
    <sheet name="Summary" sheetId="4" r:id="rId4"/>
    <sheet name="Global" sheetId="5" r:id="rId5"/>
    <sheet name="US" sheetId="6" r:id="rId6"/>
    <sheet name="China" sheetId="7" r:id="rId7"/>
    <sheet name="Euro Area" sheetId="8" r:id="rId8"/>
    <sheet name="Japan" sheetId="9" r:id="rId9"/>
    <sheet name="Germany" sheetId="10" r:id="rId10"/>
    <sheet name="France" sheetId="11" r:id="rId11"/>
    <sheet name="UK" sheetId="12" r:id="rId12"/>
    <sheet name="Italy" sheetId="13" r:id="rId13"/>
    <sheet name="Spain" sheetId="14" r:id="rId14"/>
    <sheet name="Brazil" sheetId="15" r:id="rId15"/>
    <sheet name="Mexico" sheetId="16" r:id="rId16"/>
    <sheet name="Russia" sheetId="17" r:id="rId17"/>
    <sheet name="India" sheetId="18" r:id="rId18"/>
    <sheet name="Canada" sheetId="19" r:id="rId19"/>
    <sheet name="Australia" sheetId="20" r:id="rId20"/>
    <sheet name="Indonesia" sheetId="21" r:id="rId21"/>
    <sheet name="SouthKorea" sheetId="22" r:id="rId22"/>
    <sheet name="Taiwan" sheetId="23" r:id="rId23"/>
    <sheet name="Greece" sheetId="24" r:id="rId24"/>
    <sheet name="Ireland" sheetId="25" r:id="rId25"/>
    <sheet name="Turkey" sheetId="26" r:id="rId26"/>
    <sheet name="CzechRepublic" sheetId="27" r:id="rId27"/>
    <sheet name="Poland" sheetId="28" r:id="rId28"/>
    <sheet name="Denmark" sheetId="29" r:id="rId29"/>
    <sheet name="Vietnam" sheetId="30" r:id="rId30"/>
    <sheet name="Thailand" sheetId="31" r:id="rId31"/>
    <sheet name="South Africa" sheetId="32" r:id="rId32"/>
    <sheet name="Hong Kong" sheetId="33" r:id="rId33"/>
    <sheet name="Saudi Arabia" sheetId="34" r:id="rId34"/>
    <sheet name="NewZealand" sheetId="35" r:id="rId3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5" l="1"/>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F210" i="12"/>
  <c r="E210" i="12"/>
  <c r="C210" i="12"/>
  <c r="F209" i="12"/>
  <c r="E209" i="12"/>
  <c r="C209" i="12"/>
  <c r="F208" i="12"/>
  <c r="E208" i="12"/>
  <c r="C208" i="12"/>
  <c r="F207" i="12"/>
  <c r="E207" i="12"/>
  <c r="C207" i="12"/>
  <c r="F206" i="12"/>
  <c r="E206" i="12"/>
  <c r="C206" i="12"/>
  <c r="F205" i="12"/>
  <c r="E205" i="12"/>
  <c r="C205" i="12"/>
  <c r="F204" i="12"/>
  <c r="E204" i="12"/>
  <c r="C204" i="12"/>
  <c r="F203" i="12"/>
  <c r="E203" i="12"/>
  <c r="C203" i="12"/>
  <c r="F202" i="12"/>
  <c r="E202" i="12"/>
  <c r="C202" i="12"/>
  <c r="F201" i="12"/>
  <c r="E201" i="12"/>
  <c r="C201" i="12"/>
  <c r="F200" i="12"/>
  <c r="E200" i="12"/>
  <c r="C200" i="12"/>
  <c r="F199" i="12"/>
  <c r="E199" i="12"/>
  <c r="C199" i="12"/>
  <c r="F198" i="12"/>
  <c r="E198" i="12"/>
  <c r="C198" i="12"/>
  <c r="F197" i="12"/>
  <c r="E197" i="12"/>
  <c r="C197" i="12"/>
  <c r="F196" i="12"/>
  <c r="E196" i="12"/>
  <c r="C196" i="12"/>
  <c r="F195" i="12"/>
  <c r="E195" i="12"/>
  <c r="C195" i="12"/>
  <c r="F194" i="12"/>
  <c r="E194" i="12"/>
  <c r="C194" i="12"/>
  <c r="F193" i="12"/>
  <c r="E193" i="12"/>
  <c r="C193" i="12"/>
  <c r="F192" i="12"/>
  <c r="E192" i="12"/>
  <c r="C192" i="12"/>
  <c r="F191" i="12"/>
  <c r="E191" i="12"/>
  <c r="C191" i="12"/>
  <c r="F190" i="12"/>
  <c r="E190" i="12"/>
  <c r="C190" i="12"/>
  <c r="F189" i="12"/>
  <c r="E189" i="12"/>
  <c r="C189" i="12"/>
  <c r="F188" i="12"/>
  <c r="E188" i="12"/>
  <c r="C188" i="12"/>
  <c r="F187" i="12"/>
  <c r="E187" i="12"/>
  <c r="C187" i="12"/>
  <c r="F186" i="12"/>
  <c r="E186" i="12"/>
  <c r="C186" i="12"/>
  <c r="F185" i="12"/>
  <c r="E185" i="12"/>
  <c r="C185" i="12"/>
  <c r="F184" i="12"/>
  <c r="E184" i="12"/>
  <c r="C184" i="12"/>
  <c r="F183" i="12"/>
  <c r="E183" i="12"/>
  <c r="C183" i="12"/>
  <c r="F182" i="12"/>
  <c r="E182" i="12"/>
  <c r="C182" i="12"/>
  <c r="F181" i="12"/>
  <c r="E181" i="12"/>
  <c r="C181" i="12"/>
  <c r="F180" i="12"/>
  <c r="E180" i="12"/>
  <c r="C180" i="12"/>
  <c r="F179" i="12"/>
  <c r="E179" i="12"/>
  <c r="C179" i="12"/>
  <c r="F178" i="12"/>
  <c r="E178" i="12"/>
  <c r="C178" i="12"/>
  <c r="F177" i="12"/>
  <c r="E177" i="12"/>
  <c r="C177" i="12"/>
  <c r="F176" i="12"/>
  <c r="E176" i="12"/>
  <c r="C176" i="12"/>
  <c r="F175" i="12"/>
  <c r="E175" i="12"/>
  <c r="C175" i="12"/>
  <c r="F174" i="12"/>
  <c r="E174" i="12"/>
  <c r="C174" i="12"/>
  <c r="F173" i="12"/>
  <c r="E173" i="12"/>
  <c r="C173" i="12"/>
  <c r="F172" i="12"/>
  <c r="E172" i="12"/>
  <c r="C172" i="12"/>
  <c r="F171" i="12"/>
  <c r="E171" i="12"/>
  <c r="C171" i="12"/>
  <c r="F170" i="12"/>
  <c r="E170" i="12"/>
  <c r="C170" i="12"/>
  <c r="F169" i="12"/>
  <c r="E169" i="12"/>
  <c r="C169" i="12"/>
  <c r="F168" i="12"/>
  <c r="E168" i="12"/>
  <c r="C168" i="12"/>
  <c r="F167" i="12"/>
  <c r="E167" i="12"/>
  <c r="C167" i="12"/>
  <c r="F166" i="12"/>
  <c r="E166" i="12"/>
  <c r="C166" i="12"/>
  <c r="F165" i="12"/>
  <c r="E165" i="12"/>
  <c r="C165" i="12"/>
  <c r="F164" i="12"/>
  <c r="E164" i="12"/>
  <c r="C164" i="12"/>
  <c r="F163" i="12"/>
  <c r="E163" i="12"/>
  <c r="C163" i="12"/>
  <c r="F162" i="12"/>
  <c r="E162" i="12"/>
  <c r="C162" i="12"/>
  <c r="F161" i="12"/>
  <c r="E161" i="12"/>
  <c r="C161" i="12"/>
  <c r="F160" i="12"/>
  <c r="E160" i="12"/>
  <c r="C160" i="12"/>
  <c r="F159" i="12"/>
  <c r="E159" i="12"/>
  <c r="C159" i="12"/>
  <c r="F158" i="12"/>
  <c r="E158" i="12"/>
  <c r="C158" i="12"/>
  <c r="F157" i="12"/>
  <c r="E157" i="12"/>
  <c r="C157" i="12"/>
  <c r="F156" i="12"/>
  <c r="E156" i="12"/>
  <c r="C156" i="12"/>
  <c r="F155" i="12"/>
  <c r="E155" i="12"/>
  <c r="C155" i="12"/>
  <c r="F154" i="12"/>
  <c r="E154" i="12"/>
  <c r="C154" i="12"/>
  <c r="F153" i="12"/>
  <c r="E153" i="12"/>
  <c r="C153" i="12"/>
  <c r="F152" i="12"/>
  <c r="E152" i="12"/>
  <c r="C152" i="12"/>
  <c r="F151" i="12"/>
  <c r="E151" i="12"/>
  <c r="C151" i="12"/>
  <c r="F150" i="12"/>
  <c r="E150" i="12"/>
  <c r="C150" i="12"/>
  <c r="F149" i="12"/>
  <c r="E149" i="12"/>
  <c r="C149" i="12"/>
  <c r="F148" i="12"/>
  <c r="E148" i="12"/>
  <c r="C148" i="12"/>
  <c r="F147" i="12"/>
  <c r="E147" i="12"/>
  <c r="C147" i="12"/>
  <c r="F146" i="12"/>
  <c r="E146" i="12"/>
  <c r="C146" i="12"/>
  <c r="F145" i="12"/>
  <c r="E145" i="12"/>
  <c r="C145" i="12"/>
  <c r="F144" i="12"/>
  <c r="E144" i="12"/>
  <c r="C144" i="12"/>
  <c r="F143" i="12"/>
  <c r="E143" i="12"/>
  <c r="C143" i="12"/>
  <c r="F142" i="12"/>
  <c r="E142" i="12"/>
  <c r="C142" i="12"/>
  <c r="F141" i="12"/>
  <c r="E141" i="12"/>
  <c r="C141" i="12"/>
  <c r="F140" i="12"/>
  <c r="E140" i="12"/>
  <c r="C140" i="12"/>
  <c r="F139" i="12"/>
  <c r="E139" i="12"/>
  <c r="C139" i="12"/>
  <c r="F138" i="12"/>
  <c r="E138" i="12"/>
  <c r="C138" i="12"/>
  <c r="F137" i="12"/>
  <c r="E137" i="12"/>
  <c r="C137" i="12"/>
  <c r="F136" i="12"/>
  <c r="E136" i="12"/>
  <c r="C136" i="12"/>
  <c r="F135" i="12"/>
  <c r="E135" i="12"/>
  <c r="C135" i="12"/>
  <c r="F134" i="12"/>
  <c r="E134" i="12"/>
  <c r="C134" i="12"/>
  <c r="F133" i="12"/>
  <c r="E133" i="12"/>
  <c r="C133" i="12"/>
  <c r="F132" i="12"/>
  <c r="E132" i="12"/>
  <c r="C132" i="12"/>
  <c r="F131" i="12"/>
  <c r="E131" i="12"/>
  <c r="C131" i="12"/>
  <c r="F130" i="12"/>
  <c r="E130" i="12"/>
  <c r="C130" i="12"/>
  <c r="F129" i="12"/>
  <c r="E129" i="12"/>
  <c r="C129" i="12"/>
  <c r="F128" i="12"/>
  <c r="E128" i="12"/>
  <c r="C128" i="12"/>
  <c r="F127" i="12"/>
  <c r="E127" i="12"/>
  <c r="C127" i="12"/>
  <c r="F126" i="12"/>
  <c r="E126" i="12"/>
  <c r="C126" i="12"/>
  <c r="F125" i="12"/>
  <c r="E125" i="12"/>
  <c r="C125" i="12"/>
  <c r="F124" i="12"/>
  <c r="E124" i="12"/>
  <c r="C124" i="12"/>
  <c r="F123" i="12"/>
  <c r="E123" i="12"/>
  <c r="C123" i="12"/>
  <c r="F122" i="12"/>
  <c r="E122" i="12"/>
  <c r="C122" i="12"/>
  <c r="F121" i="12"/>
  <c r="E121" i="12"/>
  <c r="C121" i="12"/>
  <c r="F120" i="12"/>
  <c r="E120" i="12"/>
  <c r="C120" i="12"/>
  <c r="F119" i="12"/>
  <c r="E119" i="12"/>
  <c r="C119" i="12"/>
  <c r="F118" i="12"/>
  <c r="E118" i="12"/>
  <c r="C118" i="12"/>
  <c r="F117" i="12"/>
  <c r="E117" i="12"/>
  <c r="C117" i="12"/>
  <c r="F116" i="12"/>
  <c r="E116" i="12"/>
  <c r="C116" i="12"/>
  <c r="F115" i="12"/>
  <c r="E115" i="12"/>
  <c r="C115" i="12"/>
  <c r="F114" i="12"/>
  <c r="E114" i="12"/>
  <c r="C114" i="12"/>
  <c r="F113" i="12"/>
  <c r="E113" i="12"/>
  <c r="C113" i="12"/>
  <c r="F112" i="12"/>
  <c r="E112" i="12"/>
  <c r="C112" i="12"/>
  <c r="F111" i="12"/>
  <c r="E111" i="12"/>
  <c r="C111" i="12"/>
  <c r="F110" i="12"/>
  <c r="E110" i="12"/>
  <c r="C110" i="12"/>
  <c r="F109" i="12"/>
  <c r="E109" i="12"/>
  <c r="C109" i="12"/>
  <c r="F108" i="12"/>
  <c r="E108" i="12"/>
  <c r="C108" i="12"/>
  <c r="F107" i="12"/>
  <c r="E107" i="12"/>
  <c r="C107" i="12"/>
  <c r="F106" i="12"/>
  <c r="E106" i="12"/>
  <c r="C106" i="12"/>
  <c r="F105" i="12"/>
  <c r="E105" i="12"/>
  <c r="C105" i="12"/>
  <c r="F104" i="12"/>
  <c r="E104" i="12"/>
  <c r="C104" i="12"/>
  <c r="F103" i="12"/>
  <c r="E103" i="12"/>
  <c r="C103" i="12"/>
  <c r="F102" i="12"/>
  <c r="E102" i="12"/>
  <c r="C102" i="12"/>
  <c r="F101" i="12"/>
  <c r="E101" i="12"/>
  <c r="C101" i="12"/>
  <c r="F100" i="12"/>
  <c r="E100" i="12"/>
  <c r="C100" i="12"/>
  <c r="F99" i="12"/>
  <c r="E99" i="12"/>
  <c r="C99" i="12"/>
  <c r="F98" i="12"/>
  <c r="E98" i="12"/>
  <c r="C98" i="12"/>
  <c r="F97" i="12"/>
  <c r="E97" i="12"/>
  <c r="C97" i="12"/>
  <c r="F96" i="12"/>
  <c r="E96" i="12"/>
  <c r="C96" i="12"/>
  <c r="F95" i="12"/>
  <c r="E95" i="12"/>
  <c r="C95" i="12"/>
  <c r="F94" i="12"/>
  <c r="E94" i="12"/>
  <c r="C94" i="12"/>
  <c r="F93" i="12"/>
  <c r="E93" i="12"/>
  <c r="C93" i="12"/>
  <c r="F92" i="12"/>
  <c r="E92" i="12"/>
  <c r="C92" i="12"/>
  <c r="F91" i="12"/>
  <c r="E91" i="12"/>
  <c r="C91" i="12"/>
  <c r="F90" i="12"/>
  <c r="E90" i="12"/>
  <c r="C90" i="12"/>
  <c r="F89" i="12"/>
  <c r="E89" i="12"/>
  <c r="C89" i="12"/>
  <c r="F88" i="12"/>
  <c r="E88" i="12"/>
  <c r="C88" i="12"/>
  <c r="F87" i="12"/>
  <c r="E87" i="12"/>
  <c r="C87" i="12"/>
  <c r="F86" i="12"/>
  <c r="E86" i="12"/>
  <c r="C86" i="12"/>
  <c r="F85" i="12"/>
  <c r="E85" i="12"/>
  <c r="C85" i="12"/>
  <c r="F84" i="12"/>
  <c r="E84" i="12"/>
  <c r="C84" i="12"/>
  <c r="F83" i="12"/>
  <c r="E83" i="12"/>
  <c r="C83" i="12"/>
  <c r="F82" i="12"/>
  <c r="E82" i="12"/>
  <c r="C82" i="12"/>
  <c r="F81" i="12"/>
  <c r="E81" i="12"/>
  <c r="C81" i="12"/>
  <c r="F80" i="12"/>
  <c r="E80" i="12"/>
  <c r="C80" i="12"/>
  <c r="F79" i="12"/>
  <c r="E79" i="12"/>
  <c r="C79" i="12"/>
  <c r="F78" i="12"/>
  <c r="E78" i="12"/>
  <c r="C78" i="12"/>
  <c r="F77" i="12"/>
  <c r="E77" i="12"/>
  <c r="C77" i="12"/>
  <c r="F76" i="12"/>
  <c r="E76" i="12"/>
  <c r="C76" i="12"/>
  <c r="F75" i="12"/>
  <c r="E75" i="12"/>
  <c r="C75" i="12"/>
  <c r="F74" i="12"/>
  <c r="E74" i="12"/>
  <c r="C74" i="12"/>
  <c r="F73" i="12"/>
  <c r="E73" i="12"/>
  <c r="C73" i="12"/>
  <c r="F72" i="12"/>
  <c r="E72" i="12"/>
  <c r="C72" i="12"/>
  <c r="F71" i="12"/>
  <c r="E71" i="12"/>
  <c r="C71" i="12"/>
  <c r="F70" i="12"/>
  <c r="E70" i="12"/>
  <c r="C70" i="12"/>
  <c r="F69" i="12"/>
  <c r="E69" i="12"/>
  <c r="C69" i="12"/>
  <c r="F68" i="12"/>
  <c r="E68" i="12"/>
  <c r="C68" i="12"/>
  <c r="F67" i="12"/>
  <c r="E67" i="12"/>
  <c r="C67" i="12"/>
  <c r="F66" i="12"/>
  <c r="E66" i="12"/>
  <c r="C66" i="12"/>
  <c r="F65" i="12"/>
  <c r="E65" i="12"/>
  <c r="C65" i="12"/>
  <c r="F64" i="12"/>
  <c r="E64" i="12"/>
  <c r="C64" i="12"/>
  <c r="F63" i="12"/>
  <c r="E63" i="12"/>
  <c r="C63" i="12"/>
  <c r="F62" i="12"/>
  <c r="E62" i="12"/>
  <c r="C62" i="12"/>
  <c r="F61" i="12"/>
  <c r="E61" i="12"/>
  <c r="C61" i="12"/>
  <c r="F60" i="12"/>
  <c r="E60" i="12"/>
  <c r="C60" i="12"/>
  <c r="F59" i="12"/>
  <c r="E59" i="12"/>
  <c r="C59" i="12"/>
  <c r="F58" i="12"/>
  <c r="E58" i="12"/>
  <c r="C58" i="12"/>
  <c r="F57" i="12"/>
  <c r="E57" i="12"/>
  <c r="C57" i="12"/>
  <c r="F56" i="12"/>
  <c r="E56" i="12"/>
  <c r="C56" i="12"/>
  <c r="F55" i="12"/>
  <c r="E55" i="12"/>
  <c r="C55" i="12"/>
  <c r="F54" i="12"/>
  <c r="E54" i="12"/>
  <c r="C54" i="12"/>
  <c r="F53" i="12"/>
  <c r="E53" i="12"/>
  <c r="C53" i="12"/>
  <c r="F52" i="12"/>
  <c r="E52" i="12"/>
  <c r="C52" i="12"/>
  <c r="F51" i="12"/>
  <c r="E51" i="12"/>
  <c r="C51" i="12"/>
  <c r="F50" i="12"/>
  <c r="E50" i="12"/>
  <c r="C50" i="12"/>
  <c r="F49" i="12"/>
  <c r="E49" i="12"/>
  <c r="C49" i="12"/>
  <c r="F48" i="12"/>
  <c r="E48" i="12"/>
  <c r="C48" i="12"/>
  <c r="F47" i="12"/>
  <c r="E47" i="12"/>
  <c r="C47" i="12"/>
  <c r="F46" i="12"/>
  <c r="E46" i="12"/>
  <c r="C46" i="12"/>
  <c r="F45" i="12"/>
  <c r="E45" i="12"/>
  <c r="C45" i="12"/>
  <c r="F44" i="12"/>
  <c r="E44" i="12"/>
  <c r="C44" i="12"/>
  <c r="F43" i="12"/>
  <c r="E43" i="12"/>
  <c r="C43" i="12"/>
  <c r="F42" i="12"/>
  <c r="E42" i="12"/>
  <c r="C42" i="12"/>
  <c r="F41" i="12"/>
  <c r="E41" i="12"/>
  <c r="C41" i="12"/>
  <c r="F40" i="12"/>
  <c r="E40" i="12"/>
  <c r="C40" i="12"/>
  <c r="F39" i="12"/>
  <c r="E39" i="12"/>
  <c r="C39" i="12"/>
  <c r="F38" i="12"/>
  <c r="E38" i="12"/>
  <c r="C38" i="12"/>
  <c r="F37" i="12"/>
  <c r="E37" i="12"/>
  <c r="C37" i="12"/>
  <c r="F36" i="12"/>
  <c r="E36" i="12"/>
  <c r="C36" i="12"/>
  <c r="F35" i="12"/>
  <c r="E35" i="12"/>
  <c r="C35" i="12"/>
  <c r="F34" i="12"/>
  <c r="E34" i="12"/>
  <c r="C34" i="12"/>
  <c r="F33" i="12"/>
  <c r="E33" i="12"/>
  <c r="C33" i="12"/>
  <c r="F32" i="12"/>
  <c r="E32" i="12"/>
  <c r="C32" i="12"/>
  <c r="F31" i="12"/>
  <c r="E31" i="12"/>
  <c r="C31" i="12"/>
  <c r="F30" i="12"/>
  <c r="E30" i="12"/>
  <c r="C30" i="12"/>
  <c r="F29" i="12"/>
  <c r="E29" i="12"/>
  <c r="C29" i="12"/>
  <c r="F28" i="12"/>
  <c r="E28" i="12"/>
  <c r="C28" i="12"/>
  <c r="F27" i="12"/>
  <c r="E27" i="12"/>
  <c r="C27" i="12"/>
  <c r="F26" i="12"/>
  <c r="E26" i="12"/>
  <c r="C26" i="12"/>
  <c r="F25" i="12"/>
  <c r="E25" i="12"/>
  <c r="C25" i="12"/>
  <c r="F24" i="12"/>
  <c r="E24" i="12"/>
  <c r="C24" i="12"/>
  <c r="F23" i="12"/>
  <c r="E23" i="12"/>
  <c r="C23" i="12"/>
  <c r="F22" i="12"/>
  <c r="E22" i="12"/>
  <c r="C22" i="12"/>
  <c r="F21" i="12"/>
  <c r="E21" i="12"/>
  <c r="C21" i="12"/>
  <c r="F20" i="12"/>
  <c r="E20" i="12"/>
  <c r="C20" i="12"/>
  <c r="F19" i="12"/>
  <c r="E19" i="12"/>
  <c r="C19" i="12"/>
  <c r="F18" i="12"/>
  <c r="E18" i="12"/>
  <c r="C18" i="12"/>
  <c r="C17" i="12"/>
  <c r="C16" i="12"/>
  <c r="C15" i="12"/>
  <c r="C14" i="12"/>
  <c r="C13" i="12"/>
  <c r="C12" i="12"/>
  <c r="C11" i="12"/>
  <c r="C10" i="12"/>
  <c r="C9" i="12"/>
  <c r="C8" i="12"/>
  <c r="C7" i="12"/>
  <c r="K2" i="12"/>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73" i="10"/>
  <c r="C172"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F210" i="8"/>
  <c r="E210" i="8"/>
  <c r="C210" i="8"/>
  <c r="F209" i="8"/>
  <c r="E209" i="8"/>
  <c r="C209" i="8"/>
  <c r="F208" i="8"/>
  <c r="E208" i="8"/>
  <c r="C208" i="8"/>
  <c r="F207" i="8"/>
  <c r="E207" i="8"/>
  <c r="C207" i="8"/>
  <c r="F206" i="8"/>
  <c r="E206" i="8"/>
  <c r="C206" i="8"/>
  <c r="F205" i="8"/>
  <c r="E205" i="8"/>
  <c r="C205" i="8"/>
  <c r="F204" i="8"/>
  <c r="E204" i="8"/>
  <c r="C204" i="8"/>
  <c r="F203" i="8"/>
  <c r="E203" i="8"/>
  <c r="C203" i="8"/>
  <c r="F202" i="8"/>
  <c r="E202" i="8"/>
  <c r="C202" i="8"/>
  <c r="F201" i="8"/>
  <c r="E201" i="8"/>
  <c r="C201" i="8"/>
  <c r="F200" i="8"/>
  <c r="E200" i="8"/>
  <c r="C200" i="8"/>
  <c r="F199" i="8"/>
  <c r="E199" i="8"/>
  <c r="C199" i="8"/>
  <c r="F198" i="8"/>
  <c r="E198" i="8"/>
  <c r="C198" i="8"/>
  <c r="F197" i="8"/>
  <c r="E197" i="8"/>
  <c r="C197" i="8"/>
  <c r="F196" i="8"/>
  <c r="E196" i="8"/>
  <c r="C196" i="8"/>
  <c r="F195" i="8"/>
  <c r="E195" i="8"/>
  <c r="C195" i="8"/>
  <c r="F194" i="8"/>
  <c r="E194" i="8"/>
  <c r="C194" i="8"/>
  <c r="F193" i="8"/>
  <c r="E193" i="8"/>
  <c r="C193" i="8"/>
  <c r="F192" i="8"/>
  <c r="E192" i="8"/>
  <c r="C192" i="8"/>
  <c r="F191" i="8"/>
  <c r="E191" i="8"/>
  <c r="C191" i="8"/>
  <c r="F190" i="8"/>
  <c r="E190" i="8"/>
  <c r="C190" i="8"/>
  <c r="F189" i="8"/>
  <c r="E189" i="8"/>
  <c r="C189" i="8"/>
  <c r="F188" i="8"/>
  <c r="E188" i="8"/>
  <c r="C188" i="8"/>
  <c r="F187" i="8"/>
  <c r="E187" i="8"/>
  <c r="C187" i="8"/>
  <c r="F186" i="8"/>
  <c r="E186" i="8"/>
  <c r="C186" i="8"/>
  <c r="F185" i="8"/>
  <c r="E185" i="8"/>
  <c r="C185" i="8"/>
  <c r="F184" i="8"/>
  <c r="E184" i="8"/>
  <c r="C184" i="8"/>
  <c r="F183" i="8"/>
  <c r="E183" i="8"/>
  <c r="C183" i="8"/>
  <c r="F182" i="8"/>
  <c r="E182" i="8"/>
  <c r="C182" i="8"/>
  <c r="F181" i="8"/>
  <c r="E181" i="8"/>
  <c r="C181" i="8"/>
  <c r="F180" i="8"/>
  <c r="E180" i="8"/>
  <c r="C180" i="8"/>
  <c r="F179" i="8"/>
  <c r="E179" i="8"/>
  <c r="C179" i="8"/>
  <c r="F178" i="8"/>
  <c r="E178" i="8"/>
  <c r="C178" i="8"/>
  <c r="F177" i="8"/>
  <c r="E177" i="8"/>
  <c r="C177" i="8"/>
  <c r="F176" i="8"/>
  <c r="E176" i="8"/>
  <c r="C176" i="8"/>
  <c r="F175" i="8"/>
  <c r="E175" i="8"/>
  <c r="C175" i="8"/>
  <c r="F174" i="8"/>
  <c r="E174" i="8"/>
  <c r="C174" i="8"/>
  <c r="F173" i="8"/>
  <c r="E173" i="8"/>
  <c r="C173" i="8"/>
  <c r="F172" i="8"/>
  <c r="E172" i="8"/>
  <c r="C172" i="8"/>
  <c r="F171" i="8"/>
  <c r="E171" i="8"/>
  <c r="C171" i="8"/>
  <c r="F170" i="8"/>
  <c r="E170" i="8"/>
  <c r="C170" i="8"/>
  <c r="F169" i="8"/>
  <c r="E169" i="8"/>
  <c r="C169" i="8"/>
  <c r="F168" i="8"/>
  <c r="E168" i="8"/>
  <c r="C168" i="8"/>
  <c r="F167" i="8"/>
  <c r="E167" i="8"/>
  <c r="C167" i="8"/>
  <c r="F166" i="8"/>
  <c r="E166" i="8"/>
  <c r="C166" i="8"/>
  <c r="F165" i="8"/>
  <c r="E165" i="8"/>
  <c r="C165" i="8"/>
  <c r="F164" i="8"/>
  <c r="E164" i="8"/>
  <c r="C164" i="8"/>
  <c r="F163" i="8"/>
  <c r="E163" i="8"/>
  <c r="C163" i="8"/>
  <c r="F162" i="8"/>
  <c r="E162" i="8"/>
  <c r="C162" i="8"/>
  <c r="F161" i="8"/>
  <c r="E161" i="8"/>
  <c r="C161" i="8"/>
  <c r="F160" i="8"/>
  <c r="E160" i="8"/>
  <c r="C160" i="8"/>
  <c r="F159" i="8"/>
  <c r="E159" i="8"/>
  <c r="C159" i="8"/>
  <c r="F158" i="8"/>
  <c r="E158" i="8"/>
  <c r="C158" i="8"/>
  <c r="F157" i="8"/>
  <c r="E157" i="8"/>
  <c r="C157" i="8"/>
  <c r="F156" i="8"/>
  <c r="E156" i="8"/>
  <c r="C156" i="8"/>
  <c r="F155" i="8"/>
  <c r="E155" i="8"/>
  <c r="C155" i="8"/>
  <c r="F154" i="8"/>
  <c r="E154" i="8"/>
  <c r="C154" i="8"/>
  <c r="F153" i="8"/>
  <c r="E153" i="8"/>
  <c r="C153" i="8"/>
  <c r="F152" i="8"/>
  <c r="E152" i="8"/>
  <c r="C152" i="8"/>
  <c r="F151" i="8"/>
  <c r="E151" i="8"/>
  <c r="C151" i="8"/>
  <c r="F150" i="8"/>
  <c r="E150" i="8"/>
  <c r="C150" i="8"/>
  <c r="F149" i="8"/>
  <c r="E149" i="8"/>
  <c r="C149" i="8"/>
  <c r="F148" i="8"/>
  <c r="E148" i="8"/>
  <c r="C148" i="8"/>
  <c r="F147" i="8"/>
  <c r="E147" i="8"/>
  <c r="C147" i="8"/>
  <c r="F146" i="8"/>
  <c r="E146" i="8"/>
  <c r="C146" i="8"/>
  <c r="F145" i="8"/>
  <c r="E145" i="8"/>
  <c r="C145" i="8"/>
  <c r="F144" i="8"/>
  <c r="E144" i="8"/>
  <c r="C144" i="8"/>
  <c r="F143" i="8"/>
  <c r="E143" i="8"/>
  <c r="C143" i="8"/>
  <c r="F142" i="8"/>
  <c r="E142" i="8"/>
  <c r="C142" i="8"/>
  <c r="F141" i="8"/>
  <c r="E141" i="8"/>
  <c r="C141" i="8"/>
  <c r="F140" i="8"/>
  <c r="E140" i="8"/>
  <c r="C140" i="8"/>
  <c r="F139" i="8"/>
  <c r="E139" i="8"/>
  <c r="C139" i="8"/>
  <c r="F138" i="8"/>
  <c r="E138" i="8"/>
  <c r="C138" i="8"/>
  <c r="F137" i="8"/>
  <c r="E137" i="8"/>
  <c r="C137" i="8"/>
  <c r="F136" i="8"/>
  <c r="E136" i="8"/>
  <c r="C136" i="8"/>
  <c r="F135" i="8"/>
  <c r="E135" i="8"/>
  <c r="C135" i="8"/>
  <c r="F134" i="8"/>
  <c r="E134" i="8"/>
  <c r="C134" i="8"/>
  <c r="F133" i="8"/>
  <c r="E133" i="8"/>
  <c r="C133" i="8"/>
  <c r="F132" i="8"/>
  <c r="E132" i="8"/>
  <c r="C132" i="8"/>
  <c r="F131" i="8"/>
  <c r="E131" i="8"/>
  <c r="C131" i="8"/>
  <c r="F130" i="8"/>
  <c r="E130" i="8"/>
  <c r="C130" i="8"/>
  <c r="F129" i="8"/>
  <c r="E129" i="8"/>
  <c r="C129" i="8"/>
  <c r="F128" i="8"/>
  <c r="E128" i="8"/>
  <c r="C128" i="8"/>
  <c r="F127" i="8"/>
  <c r="E127" i="8"/>
  <c r="C127" i="8"/>
  <c r="F126" i="8"/>
  <c r="E126" i="8"/>
  <c r="C126" i="8"/>
  <c r="F125" i="8"/>
  <c r="E125" i="8"/>
  <c r="C125" i="8"/>
  <c r="F124" i="8"/>
  <c r="E124" i="8"/>
  <c r="C124" i="8"/>
  <c r="F123" i="8"/>
  <c r="E123" i="8"/>
  <c r="C123" i="8"/>
  <c r="F122" i="8"/>
  <c r="E122" i="8"/>
  <c r="C122" i="8"/>
  <c r="F121" i="8"/>
  <c r="E121" i="8"/>
  <c r="C121" i="8"/>
  <c r="F120" i="8"/>
  <c r="E120" i="8"/>
  <c r="C120" i="8"/>
  <c r="F119" i="8"/>
  <c r="E119" i="8"/>
  <c r="C119" i="8"/>
  <c r="F118" i="8"/>
  <c r="E118" i="8"/>
  <c r="C118" i="8"/>
  <c r="F117" i="8"/>
  <c r="E117" i="8"/>
  <c r="C117" i="8"/>
  <c r="F116" i="8"/>
  <c r="E116" i="8"/>
  <c r="C116" i="8"/>
  <c r="F115" i="8"/>
  <c r="E115" i="8"/>
  <c r="C115" i="8"/>
  <c r="F114" i="8"/>
  <c r="E114" i="8"/>
  <c r="C114" i="8"/>
  <c r="F113" i="8"/>
  <c r="E113" i="8"/>
  <c r="C113" i="8"/>
  <c r="F112" i="8"/>
  <c r="E112" i="8"/>
  <c r="C112" i="8"/>
  <c r="F111" i="8"/>
  <c r="E111" i="8"/>
  <c r="C111" i="8"/>
  <c r="F110" i="8"/>
  <c r="E110" i="8"/>
  <c r="C110" i="8"/>
  <c r="F109" i="8"/>
  <c r="E109" i="8"/>
  <c r="C109" i="8"/>
  <c r="F108" i="8"/>
  <c r="E108" i="8"/>
  <c r="C108" i="8"/>
  <c r="F107" i="8"/>
  <c r="E107" i="8"/>
  <c r="C107" i="8"/>
  <c r="F106" i="8"/>
  <c r="E106" i="8"/>
  <c r="C106" i="8"/>
  <c r="F105" i="8"/>
  <c r="E105" i="8"/>
  <c r="C105" i="8"/>
  <c r="F104" i="8"/>
  <c r="E104" i="8"/>
  <c r="C104" i="8"/>
  <c r="F103" i="8"/>
  <c r="E103" i="8"/>
  <c r="C103" i="8"/>
  <c r="F102" i="8"/>
  <c r="E102" i="8"/>
  <c r="C102" i="8"/>
  <c r="F101" i="8"/>
  <c r="E101" i="8"/>
  <c r="C101" i="8"/>
  <c r="F100" i="8"/>
  <c r="E100" i="8"/>
  <c r="C100" i="8"/>
  <c r="F99" i="8"/>
  <c r="E99" i="8"/>
  <c r="C99" i="8"/>
  <c r="F98" i="8"/>
  <c r="E98" i="8"/>
  <c r="C98" i="8"/>
  <c r="F97" i="8"/>
  <c r="E97" i="8"/>
  <c r="C97" i="8"/>
  <c r="F96" i="8"/>
  <c r="E96" i="8"/>
  <c r="C96" i="8"/>
  <c r="F95" i="8"/>
  <c r="E95" i="8"/>
  <c r="C95" i="8"/>
  <c r="F94" i="8"/>
  <c r="E94" i="8"/>
  <c r="C94" i="8"/>
  <c r="F93" i="8"/>
  <c r="E93" i="8"/>
  <c r="C93" i="8"/>
  <c r="F92" i="8"/>
  <c r="E92" i="8"/>
  <c r="C92" i="8"/>
  <c r="F91" i="8"/>
  <c r="E91" i="8"/>
  <c r="C91" i="8"/>
  <c r="F90" i="8"/>
  <c r="E90" i="8"/>
  <c r="C90" i="8"/>
  <c r="F89" i="8"/>
  <c r="E89" i="8"/>
  <c r="C89" i="8"/>
  <c r="F88" i="8"/>
  <c r="E88" i="8"/>
  <c r="C88" i="8"/>
  <c r="F87" i="8"/>
  <c r="E87" i="8"/>
  <c r="C87" i="8"/>
  <c r="F86" i="8"/>
  <c r="E86" i="8"/>
  <c r="C86" i="8"/>
  <c r="F85" i="8"/>
  <c r="E85" i="8"/>
  <c r="C85" i="8"/>
  <c r="F84" i="8"/>
  <c r="E84" i="8"/>
  <c r="C84" i="8"/>
  <c r="F83" i="8"/>
  <c r="E83" i="8"/>
  <c r="C83" i="8"/>
  <c r="F82" i="8"/>
  <c r="E82" i="8"/>
  <c r="C82" i="8"/>
  <c r="F81" i="8"/>
  <c r="E81" i="8"/>
  <c r="C81" i="8"/>
  <c r="F80" i="8"/>
  <c r="E80" i="8"/>
  <c r="C80" i="8"/>
  <c r="F79" i="8"/>
  <c r="E79" i="8"/>
  <c r="C79" i="8"/>
  <c r="F78" i="8"/>
  <c r="E78" i="8"/>
  <c r="C78" i="8"/>
  <c r="F77" i="8"/>
  <c r="E77" i="8"/>
  <c r="C77" i="8"/>
  <c r="F76" i="8"/>
  <c r="E76" i="8"/>
  <c r="C76" i="8"/>
  <c r="F75" i="8"/>
  <c r="E75" i="8"/>
  <c r="C75" i="8"/>
  <c r="F74" i="8"/>
  <c r="E74" i="8"/>
  <c r="C74" i="8"/>
  <c r="F73" i="8"/>
  <c r="E73" i="8"/>
  <c r="C73" i="8"/>
  <c r="F72" i="8"/>
  <c r="E72" i="8"/>
  <c r="C72" i="8"/>
  <c r="F71" i="8"/>
  <c r="E71" i="8"/>
  <c r="C71" i="8"/>
  <c r="F70" i="8"/>
  <c r="E70" i="8"/>
  <c r="C70" i="8"/>
  <c r="F69" i="8"/>
  <c r="E69" i="8"/>
  <c r="C69" i="8"/>
  <c r="F68" i="8"/>
  <c r="E68" i="8"/>
  <c r="C68" i="8"/>
  <c r="F67" i="8"/>
  <c r="E67" i="8"/>
  <c r="C67" i="8"/>
  <c r="F66" i="8"/>
  <c r="E66" i="8"/>
  <c r="C66" i="8"/>
  <c r="F65" i="8"/>
  <c r="E65" i="8"/>
  <c r="C65" i="8"/>
  <c r="F64" i="8"/>
  <c r="E64" i="8"/>
  <c r="C64" i="8"/>
  <c r="F63" i="8"/>
  <c r="E63" i="8"/>
  <c r="C63" i="8"/>
  <c r="F62" i="8"/>
  <c r="E62" i="8"/>
  <c r="C62" i="8"/>
  <c r="F61" i="8"/>
  <c r="E61" i="8"/>
  <c r="C61" i="8"/>
  <c r="F60" i="8"/>
  <c r="E60" i="8"/>
  <c r="C60" i="8"/>
  <c r="F59" i="8"/>
  <c r="E59" i="8"/>
  <c r="C59" i="8"/>
  <c r="F58" i="8"/>
  <c r="E58" i="8"/>
  <c r="C58" i="8"/>
  <c r="F57" i="8"/>
  <c r="E57" i="8"/>
  <c r="C57" i="8"/>
  <c r="F56" i="8"/>
  <c r="E56" i="8"/>
  <c r="C56" i="8"/>
  <c r="F55" i="8"/>
  <c r="E55" i="8"/>
  <c r="C55" i="8"/>
  <c r="F54" i="8"/>
  <c r="E54" i="8"/>
  <c r="C54" i="8"/>
  <c r="F53" i="8"/>
  <c r="E53" i="8"/>
  <c r="C53" i="8"/>
  <c r="F52" i="8"/>
  <c r="E52" i="8"/>
  <c r="C52" i="8"/>
  <c r="F51" i="8"/>
  <c r="E51" i="8"/>
  <c r="C51" i="8"/>
  <c r="F50" i="8"/>
  <c r="E50" i="8"/>
  <c r="C50" i="8"/>
  <c r="F49" i="8"/>
  <c r="E49" i="8"/>
  <c r="C49" i="8"/>
  <c r="F48" i="8"/>
  <c r="E48" i="8"/>
  <c r="C48" i="8"/>
  <c r="F47" i="8"/>
  <c r="E47" i="8"/>
  <c r="C47" i="8"/>
  <c r="F46" i="8"/>
  <c r="E46" i="8"/>
  <c r="C46" i="8"/>
  <c r="F45" i="8"/>
  <c r="E45" i="8"/>
  <c r="C45" i="8"/>
  <c r="F44" i="8"/>
  <c r="E44" i="8"/>
  <c r="C44" i="8"/>
  <c r="F43" i="8"/>
  <c r="E43" i="8"/>
  <c r="C43" i="8"/>
  <c r="F42" i="8"/>
  <c r="E42" i="8"/>
  <c r="C42" i="8"/>
  <c r="F41" i="8"/>
  <c r="E41" i="8"/>
  <c r="C41" i="8"/>
  <c r="F40" i="8"/>
  <c r="E40" i="8"/>
  <c r="C40" i="8"/>
  <c r="F39" i="8"/>
  <c r="E39" i="8"/>
  <c r="C39" i="8"/>
  <c r="F38" i="8"/>
  <c r="E38" i="8"/>
  <c r="C38" i="8"/>
  <c r="F37" i="8"/>
  <c r="E37" i="8"/>
  <c r="C37" i="8"/>
  <c r="F36" i="8"/>
  <c r="E36" i="8"/>
  <c r="C36" i="8"/>
  <c r="F35" i="8"/>
  <c r="E35" i="8"/>
  <c r="C35" i="8"/>
  <c r="F34" i="8"/>
  <c r="E34" i="8"/>
  <c r="C34" i="8"/>
  <c r="F33" i="8"/>
  <c r="E33" i="8"/>
  <c r="C33" i="8"/>
  <c r="F32" i="8"/>
  <c r="E32" i="8"/>
  <c r="C32" i="8"/>
  <c r="F31" i="8"/>
  <c r="E31" i="8"/>
  <c r="C31" i="8"/>
  <c r="F30" i="8"/>
  <c r="E30" i="8"/>
  <c r="C30" i="8"/>
  <c r="F29" i="8"/>
  <c r="E29" i="8"/>
  <c r="C29" i="8"/>
  <c r="F28" i="8"/>
  <c r="E28" i="8"/>
  <c r="C28" i="8"/>
  <c r="F27" i="8"/>
  <c r="E27" i="8"/>
  <c r="C27" i="8"/>
  <c r="F26" i="8"/>
  <c r="E26" i="8"/>
  <c r="C26" i="8"/>
  <c r="F25" i="8"/>
  <c r="E25" i="8"/>
  <c r="C25" i="8"/>
  <c r="F24" i="8"/>
  <c r="E24" i="8"/>
  <c r="C24" i="8"/>
  <c r="F23" i="8"/>
  <c r="E23" i="8"/>
  <c r="C23" i="8"/>
  <c r="F22" i="8"/>
  <c r="E22" i="8"/>
  <c r="C22" i="8"/>
  <c r="F21" i="8"/>
  <c r="E21" i="8"/>
  <c r="C21" i="8"/>
  <c r="F20" i="8"/>
  <c r="E20" i="8"/>
  <c r="C20" i="8"/>
  <c r="F19" i="8"/>
  <c r="E19" i="8"/>
  <c r="C19" i="8"/>
  <c r="F18" i="8"/>
  <c r="E18" i="8"/>
  <c r="C18" i="8"/>
  <c r="C17" i="8"/>
  <c r="C16" i="8"/>
  <c r="C15" i="8"/>
  <c r="C14" i="8"/>
  <c r="C13" i="8"/>
  <c r="C12" i="8"/>
  <c r="C11" i="8"/>
  <c r="C10" i="8"/>
  <c r="C9" i="8"/>
  <c r="C8" i="8"/>
  <c r="C7" i="8"/>
  <c r="K2" i="8"/>
  <c r="E209" i="7"/>
  <c r="C209" i="7"/>
  <c r="E208" i="7"/>
  <c r="C208" i="7"/>
  <c r="E207" i="7"/>
  <c r="C207" i="7"/>
  <c r="E206" i="7"/>
  <c r="C206" i="7"/>
  <c r="E205" i="7"/>
  <c r="C205" i="7"/>
  <c r="E204" i="7"/>
  <c r="C204" i="7"/>
  <c r="E203" i="7"/>
  <c r="C203" i="7"/>
  <c r="E202" i="7"/>
  <c r="C202" i="7"/>
  <c r="E201" i="7"/>
  <c r="C201" i="7"/>
  <c r="E200" i="7"/>
  <c r="C200" i="7"/>
  <c r="E199" i="7"/>
  <c r="C199" i="7"/>
  <c r="E198" i="7"/>
  <c r="C198" i="7"/>
  <c r="E197" i="7"/>
  <c r="C197" i="7"/>
  <c r="E196" i="7"/>
  <c r="C196" i="7"/>
  <c r="E195" i="7"/>
  <c r="C195" i="7"/>
  <c r="E194" i="7"/>
  <c r="C194" i="7"/>
  <c r="E193" i="7"/>
  <c r="C193" i="7"/>
  <c r="E192" i="7"/>
  <c r="C192" i="7"/>
  <c r="E191" i="7"/>
  <c r="C191" i="7"/>
  <c r="E190" i="7"/>
  <c r="C190" i="7"/>
  <c r="E189" i="7"/>
  <c r="C189" i="7"/>
  <c r="E188" i="7"/>
  <c r="C188" i="7"/>
  <c r="E187" i="7"/>
  <c r="C187" i="7"/>
  <c r="E186" i="7"/>
  <c r="C186" i="7"/>
  <c r="E185" i="7"/>
  <c r="C185" i="7"/>
  <c r="E184" i="7"/>
  <c r="C184" i="7"/>
  <c r="E183" i="7"/>
  <c r="C183" i="7"/>
  <c r="E182" i="7"/>
  <c r="C182" i="7"/>
  <c r="E181" i="7"/>
  <c r="C181" i="7"/>
  <c r="E180" i="7"/>
  <c r="C180" i="7"/>
  <c r="E179" i="7"/>
  <c r="C179" i="7"/>
  <c r="E178" i="7"/>
  <c r="C178" i="7"/>
  <c r="E177" i="7"/>
  <c r="C177" i="7"/>
  <c r="E176" i="7"/>
  <c r="C176" i="7"/>
  <c r="E175" i="7"/>
  <c r="C175" i="7"/>
  <c r="E174" i="7"/>
  <c r="C174" i="7"/>
  <c r="E173" i="7"/>
  <c r="C173" i="7"/>
  <c r="E172" i="7"/>
  <c r="C172" i="7"/>
  <c r="E171" i="7"/>
  <c r="C171" i="7"/>
  <c r="E170" i="7"/>
  <c r="C170" i="7"/>
  <c r="E169" i="7"/>
  <c r="C169" i="7"/>
  <c r="E168" i="7"/>
  <c r="C168" i="7"/>
  <c r="E167" i="7"/>
  <c r="C167" i="7"/>
  <c r="E166" i="7"/>
  <c r="C166" i="7"/>
  <c r="E165" i="7"/>
  <c r="C165" i="7"/>
  <c r="E164" i="7"/>
  <c r="C164" i="7"/>
  <c r="E163" i="7"/>
  <c r="C163" i="7"/>
  <c r="E162" i="7"/>
  <c r="C162" i="7"/>
  <c r="E161" i="7"/>
  <c r="C161" i="7"/>
  <c r="E160" i="7"/>
  <c r="C160" i="7"/>
  <c r="E159" i="7"/>
  <c r="C159" i="7"/>
  <c r="E158" i="7"/>
  <c r="C158" i="7"/>
  <c r="E157" i="7"/>
  <c r="C157" i="7"/>
  <c r="E156" i="7"/>
  <c r="C156" i="7"/>
  <c r="E155" i="7"/>
  <c r="C155" i="7"/>
  <c r="E154" i="7"/>
  <c r="C154" i="7"/>
  <c r="E153" i="7"/>
  <c r="C153" i="7"/>
  <c r="E152" i="7"/>
  <c r="C152" i="7"/>
  <c r="E151" i="7"/>
  <c r="C151" i="7"/>
  <c r="E150" i="7"/>
  <c r="C150" i="7"/>
  <c r="E149" i="7"/>
  <c r="C149" i="7"/>
  <c r="E148" i="7"/>
  <c r="C148" i="7"/>
  <c r="E147" i="7"/>
  <c r="C147" i="7"/>
  <c r="E146" i="7"/>
  <c r="C146" i="7"/>
  <c r="E145" i="7"/>
  <c r="C145" i="7"/>
  <c r="E144" i="7"/>
  <c r="C144" i="7"/>
  <c r="E143" i="7"/>
  <c r="C143" i="7"/>
  <c r="E142" i="7"/>
  <c r="C142" i="7"/>
  <c r="E141" i="7"/>
  <c r="C141" i="7"/>
  <c r="E140" i="7"/>
  <c r="C140" i="7"/>
  <c r="E139" i="7"/>
  <c r="C139" i="7"/>
  <c r="E138" i="7"/>
  <c r="C138" i="7"/>
  <c r="E137" i="7"/>
  <c r="C137" i="7"/>
  <c r="E136" i="7"/>
  <c r="C136" i="7"/>
  <c r="E135" i="7"/>
  <c r="C135" i="7"/>
  <c r="E134" i="7"/>
  <c r="C134" i="7"/>
  <c r="E133" i="7"/>
  <c r="C133" i="7"/>
  <c r="E132" i="7"/>
  <c r="C132" i="7"/>
  <c r="E131" i="7"/>
  <c r="C131" i="7"/>
  <c r="E130" i="7"/>
  <c r="C130" i="7"/>
  <c r="E129" i="7"/>
  <c r="C129" i="7"/>
  <c r="E128" i="7"/>
  <c r="C128" i="7"/>
  <c r="E127" i="7"/>
  <c r="C127" i="7"/>
  <c r="E126" i="7"/>
  <c r="C126" i="7"/>
  <c r="E125" i="7"/>
  <c r="C125" i="7"/>
  <c r="E124" i="7"/>
  <c r="C124" i="7"/>
  <c r="E123" i="7"/>
  <c r="C123" i="7"/>
  <c r="E122" i="7"/>
  <c r="C122" i="7"/>
  <c r="E121" i="7"/>
  <c r="C121" i="7"/>
  <c r="E120" i="7"/>
  <c r="C120" i="7"/>
  <c r="E119" i="7"/>
  <c r="C119" i="7"/>
  <c r="E118" i="7"/>
  <c r="C118" i="7"/>
  <c r="E117" i="7"/>
  <c r="C117" i="7"/>
  <c r="E116" i="7"/>
  <c r="C116" i="7"/>
  <c r="E115" i="7"/>
  <c r="C115" i="7"/>
  <c r="E114" i="7"/>
  <c r="C114" i="7"/>
  <c r="E113" i="7"/>
  <c r="C113" i="7"/>
  <c r="E112" i="7"/>
  <c r="C112" i="7"/>
  <c r="E111" i="7"/>
  <c r="C111" i="7"/>
  <c r="E110" i="7"/>
  <c r="C110" i="7"/>
  <c r="E109" i="7"/>
  <c r="C109" i="7"/>
  <c r="E108" i="7"/>
  <c r="C108" i="7"/>
  <c r="E107" i="7"/>
  <c r="C107" i="7"/>
  <c r="E106" i="7"/>
  <c r="C106" i="7"/>
  <c r="E105" i="7"/>
  <c r="C105" i="7"/>
  <c r="E104" i="7"/>
  <c r="C104" i="7"/>
  <c r="E103" i="7"/>
  <c r="C103" i="7"/>
  <c r="E102" i="7"/>
  <c r="C102" i="7"/>
  <c r="E101" i="7"/>
  <c r="C101" i="7"/>
  <c r="E100" i="7"/>
  <c r="C100" i="7"/>
  <c r="E99" i="7"/>
  <c r="C99" i="7"/>
  <c r="E98" i="7"/>
  <c r="C98" i="7"/>
  <c r="E97" i="7"/>
  <c r="C97" i="7"/>
  <c r="E96" i="7"/>
  <c r="C96" i="7"/>
  <c r="E95" i="7"/>
  <c r="C95" i="7"/>
  <c r="E94" i="7"/>
  <c r="C94" i="7"/>
  <c r="E93" i="7"/>
  <c r="C93" i="7"/>
  <c r="E92" i="7"/>
  <c r="C92" i="7"/>
  <c r="E91" i="7"/>
  <c r="C91" i="7"/>
  <c r="E90" i="7"/>
  <c r="C90" i="7"/>
  <c r="E89" i="7"/>
  <c r="C89" i="7"/>
  <c r="E88" i="7"/>
  <c r="C88" i="7"/>
  <c r="E87" i="7"/>
  <c r="C87" i="7"/>
  <c r="E86" i="7"/>
  <c r="C86" i="7"/>
  <c r="E85" i="7"/>
  <c r="C85" i="7"/>
  <c r="E84" i="7"/>
  <c r="C84" i="7"/>
  <c r="E83" i="7"/>
  <c r="C83" i="7"/>
  <c r="E82" i="7"/>
  <c r="C82" i="7"/>
  <c r="E81" i="7"/>
  <c r="C81" i="7"/>
  <c r="E80" i="7"/>
  <c r="C80" i="7"/>
  <c r="E79" i="7"/>
  <c r="C79" i="7"/>
  <c r="E78" i="7"/>
  <c r="C78" i="7"/>
  <c r="E77" i="7"/>
  <c r="C77" i="7"/>
  <c r="E76" i="7"/>
  <c r="C76" i="7"/>
  <c r="E75" i="7"/>
  <c r="C75" i="7"/>
  <c r="E74" i="7"/>
  <c r="C74" i="7"/>
  <c r="E73" i="7"/>
  <c r="C73" i="7"/>
  <c r="E72" i="7"/>
  <c r="C72" i="7"/>
  <c r="E71" i="7"/>
  <c r="C71" i="7"/>
  <c r="E70" i="7"/>
  <c r="C70" i="7"/>
  <c r="E69" i="7"/>
  <c r="C69" i="7"/>
  <c r="E68" i="7"/>
  <c r="C68" i="7"/>
  <c r="E67" i="7"/>
  <c r="C67" i="7"/>
  <c r="E66" i="7"/>
  <c r="C66" i="7"/>
  <c r="E65" i="7"/>
  <c r="C65" i="7"/>
  <c r="E64" i="7"/>
  <c r="C64" i="7"/>
  <c r="E63" i="7"/>
  <c r="C63" i="7"/>
  <c r="E62" i="7"/>
  <c r="C62" i="7"/>
  <c r="E61" i="7"/>
  <c r="C61" i="7"/>
  <c r="E60" i="7"/>
  <c r="C60" i="7"/>
  <c r="E59" i="7"/>
  <c r="C59" i="7"/>
  <c r="E58" i="7"/>
  <c r="C58" i="7"/>
  <c r="E57" i="7"/>
  <c r="C57" i="7"/>
  <c r="E56" i="7"/>
  <c r="C56" i="7"/>
  <c r="E55" i="7"/>
  <c r="C55" i="7"/>
  <c r="E54" i="7"/>
  <c r="C54" i="7"/>
  <c r="E53" i="7"/>
  <c r="C53" i="7"/>
  <c r="E52" i="7"/>
  <c r="C52" i="7"/>
  <c r="E51" i="7"/>
  <c r="C51" i="7"/>
  <c r="E50" i="7"/>
  <c r="C50" i="7"/>
  <c r="E49" i="7"/>
  <c r="C49" i="7"/>
  <c r="E48" i="7"/>
  <c r="C48" i="7"/>
  <c r="E47" i="7"/>
  <c r="C47" i="7"/>
  <c r="E46" i="7"/>
  <c r="C46" i="7"/>
  <c r="E45" i="7"/>
  <c r="C45" i="7"/>
  <c r="E44" i="7"/>
  <c r="C44" i="7"/>
  <c r="E43" i="7"/>
  <c r="C43" i="7"/>
  <c r="E42" i="7"/>
  <c r="C42" i="7"/>
  <c r="E41" i="7"/>
  <c r="C41" i="7"/>
  <c r="E40" i="7"/>
  <c r="C40" i="7"/>
  <c r="E39" i="7"/>
  <c r="C39" i="7"/>
  <c r="E38" i="7"/>
  <c r="C38" i="7"/>
  <c r="E37" i="7"/>
  <c r="C37" i="7"/>
  <c r="E36" i="7"/>
  <c r="C36" i="7"/>
  <c r="E35" i="7"/>
  <c r="C35" i="7"/>
  <c r="E34" i="7"/>
  <c r="C34" i="7"/>
  <c r="E33" i="7"/>
  <c r="C33" i="7"/>
  <c r="E32" i="7"/>
  <c r="C32" i="7"/>
  <c r="E31" i="7"/>
  <c r="C31" i="7"/>
  <c r="E30" i="7"/>
  <c r="C30" i="7"/>
  <c r="E29" i="7"/>
  <c r="C29" i="7"/>
  <c r="E28" i="7"/>
  <c r="C28" i="7"/>
  <c r="E27" i="7"/>
  <c r="C27" i="7"/>
  <c r="E26" i="7"/>
  <c r="C26" i="7"/>
  <c r="E25" i="7"/>
  <c r="C25" i="7"/>
  <c r="E24" i="7"/>
  <c r="C24" i="7"/>
  <c r="E23" i="7"/>
  <c r="C23" i="7"/>
  <c r="E22" i="7"/>
  <c r="C22" i="7"/>
  <c r="E21" i="7"/>
  <c r="C21" i="7"/>
  <c r="E20" i="7"/>
  <c r="C20" i="7"/>
  <c r="E19" i="7"/>
  <c r="C19" i="7"/>
  <c r="E18" i="7"/>
  <c r="C18" i="7"/>
  <c r="E17" i="7"/>
  <c r="C17" i="7"/>
  <c r="E16" i="7"/>
  <c r="C16" i="7"/>
  <c r="E15" i="7"/>
  <c r="C15" i="7"/>
  <c r="E14" i="7"/>
  <c r="C14" i="7"/>
  <c r="E13" i="7"/>
  <c r="C13" i="7"/>
  <c r="E12" i="7"/>
  <c r="C12" i="7"/>
  <c r="E11" i="7"/>
  <c r="C11" i="7"/>
  <c r="E10" i="7"/>
  <c r="C10" i="7"/>
  <c r="E9" i="7"/>
  <c r="C9" i="7"/>
  <c r="E8" i="7"/>
  <c r="C8" i="7"/>
  <c r="E7" i="7"/>
  <c r="C7" i="7"/>
  <c r="K2" i="7"/>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F140" i="5"/>
  <c r="E140" i="5"/>
  <c r="C140" i="5"/>
  <c r="F139" i="5"/>
  <c r="E139" i="5"/>
  <c r="C139" i="5"/>
  <c r="F138" i="5"/>
  <c r="E138" i="5"/>
  <c r="C138" i="5"/>
  <c r="F137" i="5"/>
  <c r="E137" i="5"/>
  <c r="C137" i="5"/>
  <c r="F136" i="5"/>
  <c r="E136" i="5"/>
  <c r="C136" i="5"/>
  <c r="F135" i="5"/>
  <c r="E135" i="5"/>
  <c r="C135" i="5"/>
  <c r="F134" i="5"/>
  <c r="E134" i="5"/>
  <c r="C134" i="5"/>
  <c r="F133" i="5"/>
  <c r="E133" i="5"/>
  <c r="C133" i="5"/>
  <c r="F132" i="5"/>
  <c r="E132" i="5"/>
  <c r="C132" i="5"/>
  <c r="F131" i="5"/>
  <c r="E131" i="5"/>
  <c r="C131" i="5"/>
  <c r="F130" i="5"/>
  <c r="E130" i="5"/>
  <c r="C130" i="5"/>
  <c r="F129" i="5"/>
  <c r="E129" i="5"/>
  <c r="C129" i="5"/>
  <c r="F128" i="5"/>
  <c r="E128" i="5"/>
  <c r="C128" i="5"/>
  <c r="F127" i="5"/>
  <c r="E127" i="5"/>
  <c r="C127" i="5"/>
  <c r="F126" i="5"/>
  <c r="E126" i="5"/>
  <c r="C126" i="5"/>
  <c r="F125" i="5"/>
  <c r="E125" i="5"/>
  <c r="C125" i="5"/>
  <c r="F124" i="5"/>
  <c r="E124" i="5"/>
  <c r="C124" i="5"/>
  <c r="F123" i="5"/>
  <c r="E123" i="5"/>
  <c r="C123" i="5"/>
  <c r="F122" i="5"/>
  <c r="E122" i="5"/>
  <c r="C122" i="5"/>
  <c r="F121" i="5"/>
  <c r="E121" i="5"/>
  <c r="C121" i="5"/>
  <c r="F120" i="5"/>
  <c r="E120" i="5"/>
  <c r="C120" i="5"/>
  <c r="F119" i="5"/>
  <c r="E119" i="5"/>
  <c r="C119" i="5"/>
  <c r="F118" i="5"/>
  <c r="E118" i="5"/>
  <c r="C118" i="5"/>
  <c r="F117" i="5"/>
  <c r="E117" i="5"/>
  <c r="C117" i="5"/>
  <c r="F116" i="5"/>
  <c r="E116" i="5"/>
  <c r="C116" i="5"/>
  <c r="F115" i="5"/>
  <c r="E115" i="5"/>
  <c r="C115" i="5"/>
  <c r="F114" i="5"/>
  <c r="E114" i="5"/>
  <c r="C114" i="5"/>
  <c r="F113" i="5"/>
  <c r="E113" i="5"/>
  <c r="C113" i="5"/>
  <c r="F112" i="5"/>
  <c r="E112" i="5"/>
  <c r="C112" i="5"/>
  <c r="F111" i="5"/>
  <c r="E111" i="5"/>
  <c r="C111" i="5"/>
  <c r="F110" i="5"/>
  <c r="E110" i="5"/>
  <c r="C110" i="5"/>
  <c r="F109" i="5"/>
  <c r="E109" i="5"/>
  <c r="C109" i="5"/>
  <c r="F108" i="5"/>
  <c r="E108" i="5"/>
  <c r="C108" i="5"/>
  <c r="F107" i="5"/>
  <c r="E107" i="5"/>
  <c r="C107" i="5"/>
  <c r="F106" i="5"/>
  <c r="E106" i="5"/>
  <c r="C106" i="5"/>
  <c r="F105" i="5"/>
  <c r="E105" i="5"/>
  <c r="C105" i="5"/>
  <c r="F104" i="5"/>
  <c r="E104" i="5"/>
  <c r="C104" i="5"/>
  <c r="F103" i="5"/>
  <c r="E103" i="5"/>
  <c r="C103" i="5"/>
  <c r="F102" i="5"/>
  <c r="E102" i="5"/>
  <c r="C102" i="5"/>
  <c r="F101" i="5"/>
  <c r="E101" i="5"/>
  <c r="C101" i="5"/>
  <c r="F100" i="5"/>
  <c r="E100" i="5"/>
  <c r="C100" i="5"/>
  <c r="F99" i="5"/>
  <c r="E99" i="5"/>
  <c r="C99" i="5"/>
  <c r="F98" i="5"/>
  <c r="E98" i="5"/>
  <c r="C98" i="5"/>
  <c r="F97" i="5"/>
  <c r="E97" i="5"/>
  <c r="C97" i="5"/>
  <c r="F96" i="5"/>
  <c r="E96" i="5"/>
  <c r="C96" i="5"/>
  <c r="F95" i="5"/>
  <c r="E95" i="5"/>
  <c r="C95" i="5"/>
  <c r="F94" i="5"/>
  <c r="E94" i="5"/>
  <c r="C94" i="5"/>
  <c r="F93" i="5"/>
  <c r="E93" i="5"/>
  <c r="C93" i="5"/>
  <c r="F92" i="5"/>
  <c r="E92" i="5"/>
  <c r="C92" i="5"/>
  <c r="F91" i="5"/>
  <c r="E91" i="5"/>
  <c r="C91" i="5"/>
  <c r="F90" i="5"/>
  <c r="E90" i="5"/>
  <c r="C90" i="5"/>
  <c r="F89" i="5"/>
  <c r="E89" i="5"/>
  <c r="C89" i="5"/>
  <c r="F88" i="5"/>
  <c r="E88" i="5"/>
  <c r="C88" i="5"/>
  <c r="F87" i="5"/>
  <c r="E87" i="5"/>
  <c r="C87" i="5"/>
  <c r="F86" i="5"/>
  <c r="E86" i="5"/>
  <c r="C86" i="5"/>
  <c r="F85" i="5"/>
  <c r="E85" i="5"/>
  <c r="C85" i="5"/>
  <c r="F84" i="5"/>
  <c r="E84" i="5"/>
  <c r="C84" i="5"/>
  <c r="F83" i="5"/>
  <c r="E83" i="5"/>
  <c r="C83" i="5"/>
  <c r="F82" i="5"/>
  <c r="E82" i="5"/>
  <c r="C82" i="5"/>
  <c r="F81" i="5"/>
  <c r="E81" i="5"/>
  <c r="C81" i="5"/>
  <c r="F80" i="5"/>
  <c r="E80" i="5"/>
  <c r="C80" i="5"/>
  <c r="F79" i="5"/>
  <c r="E79" i="5"/>
  <c r="C79" i="5"/>
  <c r="F78" i="5"/>
  <c r="E78" i="5"/>
  <c r="C78" i="5"/>
  <c r="F77" i="5"/>
  <c r="E77" i="5"/>
  <c r="C77" i="5"/>
  <c r="F76" i="5"/>
  <c r="E76" i="5"/>
  <c r="C76" i="5"/>
  <c r="F75" i="5"/>
  <c r="E75" i="5"/>
  <c r="C75" i="5"/>
  <c r="F74" i="5"/>
  <c r="E74" i="5"/>
  <c r="C74" i="5"/>
  <c r="F73" i="5"/>
  <c r="E73" i="5"/>
  <c r="C73" i="5"/>
  <c r="F72" i="5"/>
  <c r="E72" i="5"/>
  <c r="C72" i="5"/>
  <c r="F71" i="5"/>
  <c r="E71" i="5"/>
  <c r="C71" i="5"/>
  <c r="F70" i="5"/>
  <c r="E70" i="5"/>
  <c r="C70" i="5"/>
  <c r="F69" i="5"/>
  <c r="E69" i="5"/>
  <c r="C69" i="5"/>
  <c r="F68" i="5"/>
  <c r="E68" i="5"/>
  <c r="C68" i="5"/>
  <c r="F67" i="5"/>
  <c r="E67" i="5"/>
  <c r="C67" i="5"/>
  <c r="F66" i="5"/>
  <c r="E66" i="5"/>
  <c r="C66" i="5"/>
  <c r="F65" i="5"/>
  <c r="E65" i="5"/>
  <c r="C65" i="5"/>
  <c r="F64" i="5"/>
  <c r="E64" i="5"/>
  <c r="C64" i="5"/>
  <c r="F63" i="5"/>
  <c r="E63" i="5"/>
  <c r="C63" i="5"/>
  <c r="F62" i="5"/>
  <c r="E62" i="5"/>
  <c r="C62" i="5"/>
  <c r="F61" i="5"/>
  <c r="E61" i="5"/>
  <c r="C61" i="5"/>
  <c r="F60" i="5"/>
  <c r="E60" i="5"/>
  <c r="C60" i="5"/>
  <c r="F59" i="5"/>
  <c r="E59" i="5"/>
  <c r="C59" i="5"/>
  <c r="F58" i="5"/>
  <c r="E58" i="5"/>
  <c r="C58" i="5"/>
  <c r="F57" i="5"/>
  <c r="E57" i="5"/>
  <c r="C57" i="5"/>
  <c r="F56" i="5"/>
  <c r="E56" i="5"/>
  <c r="C56" i="5"/>
  <c r="F55" i="5"/>
  <c r="E55" i="5"/>
  <c r="C55" i="5"/>
  <c r="F54" i="5"/>
  <c r="E54" i="5"/>
  <c r="C54" i="5"/>
  <c r="F53" i="5"/>
  <c r="E53" i="5"/>
  <c r="C53" i="5"/>
  <c r="F52" i="5"/>
  <c r="E52" i="5"/>
  <c r="C52" i="5"/>
  <c r="F51" i="5"/>
  <c r="E51" i="5"/>
  <c r="C51" i="5"/>
  <c r="F50" i="5"/>
  <c r="E50" i="5"/>
  <c r="C50" i="5"/>
  <c r="F49" i="5"/>
  <c r="E49" i="5"/>
  <c r="C49" i="5"/>
  <c r="F48" i="5"/>
  <c r="E48" i="5"/>
  <c r="C48" i="5"/>
  <c r="F47" i="5"/>
  <c r="E47" i="5"/>
  <c r="C47" i="5"/>
  <c r="F46" i="5"/>
  <c r="E46" i="5"/>
  <c r="C46" i="5"/>
  <c r="F45" i="5"/>
  <c r="E45" i="5"/>
  <c r="C45" i="5"/>
  <c r="F44" i="5"/>
  <c r="E44" i="5"/>
  <c r="C44" i="5"/>
  <c r="F43" i="5"/>
  <c r="E43" i="5"/>
  <c r="C43" i="5"/>
  <c r="F42" i="5"/>
  <c r="E42" i="5"/>
  <c r="C42" i="5"/>
  <c r="F41" i="5"/>
  <c r="E41" i="5"/>
  <c r="C41" i="5"/>
  <c r="F40" i="5"/>
  <c r="E40" i="5"/>
  <c r="C40" i="5"/>
  <c r="F39" i="5"/>
  <c r="E39" i="5"/>
  <c r="C39" i="5"/>
  <c r="F38" i="5"/>
  <c r="E38" i="5"/>
  <c r="C38" i="5"/>
  <c r="F37" i="5"/>
  <c r="E37" i="5"/>
  <c r="C37" i="5"/>
  <c r="F36" i="5"/>
  <c r="E36" i="5"/>
  <c r="C36" i="5"/>
  <c r="F35" i="5"/>
  <c r="E35" i="5"/>
  <c r="C35" i="5"/>
  <c r="F34" i="5"/>
  <c r="E34" i="5"/>
  <c r="C34" i="5"/>
  <c r="F33" i="5"/>
  <c r="E33" i="5"/>
  <c r="C33" i="5"/>
  <c r="F32" i="5"/>
  <c r="E32" i="5"/>
  <c r="C32" i="5"/>
  <c r="F31" i="5"/>
  <c r="E31" i="5"/>
  <c r="C31" i="5"/>
  <c r="F30" i="5"/>
  <c r="E30" i="5"/>
  <c r="C30" i="5"/>
  <c r="F29" i="5"/>
  <c r="E29" i="5"/>
  <c r="C29" i="5"/>
  <c r="F28" i="5"/>
  <c r="E28" i="5"/>
  <c r="C28" i="5"/>
  <c r="F27" i="5"/>
  <c r="E27" i="5"/>
  <c r="C27" i="5"/>
  <c r="F26" i="5"/>
  <c r="E26" i="5"/>
  <c r="C26" i="5"/>
  <c r="F25" i="5"/>
  <c r="E25" i="5"/>
  <c r="C25" i="5"/>
  <c r="F24" i="5"/>
  <c r="E24" i="5"/>
  <c r="C24" i="5"/>
  <c r="F23" i="5"/>
  <c r="E23" i="5"/>
  <c r="C23" i="5"/>
  <c r="F22" i="5"/>
  <c r="E22" i="5"/>
  <c r="C22" i="5"/>
  <c r="F21" i="5"/>
  <c r="E21" i="5"/>
  <c r="C21" i="5"/>
  <c r="F20" i="5"/>
  <c r="E20" i="5"/>
  <c r="C20" i="5"/>
  <c r="F19" i="5"/>
  <c r="E19" i="5"/>
  <c r="C19" i="5"/>
  <c r="F18" i="5"/>
  <c r="E18" i="5"/>
  <c r="C18" i="5"/>
  <c r="C17" i="5"/>
  <c r="C16" i="5"/>
  <c r="C15" i="5"/>
  <c r="C14" i="5"/>
  <c r="C13" i="5"/>
  <c r="C12" i="5"/>
  <c r="C11" i="5"/>
  <c r="C10" i="5"/>
  <c r="C9" i="5"/>
  <c r="C8" i="5"/>
  <c r="C7" i="5"/>
  <c r="K2" i="5"/>
  <c r="AB93" i="4"/>
  <c r="AB9" i="4" s="1"/>
  <c r="AA93" i="4"/>
  <c r="Z93" i="4"/>
  <c r="P37" i="1" s="1"/>
  <c r="R37" i="1" s="1"/>
  <c r="Y93" i="4"/>
  <c r="X93" i="4"/>
  <c r="W93" i="4"/>
  <c r="V93" i="4"/>
  <c r="U93" i="4"/>
  <c r="T93" i="4"/>
  <c r="T9" i="4" s="1"/>
  <c r="S93" i="4"/>
  <c r="R93" i="4"/>
  <c r="P29" i="1" s="1"/>
  <c r="Q93" i="4"/>
  <c r="P93" i="4"/>
  <c r="O93" i="4"/>
  <c r="N93" i="4"/>
  <c r="M93" i="4"/>
  <c r="L93" i="4"/>
  <c r="L9" i="4" s="1"/>
  <c r="K93" i="4"/>
  <c r="J93" i="4"/>
  <c r="P21" i="1" s="1"/>
  <c r="I93" i="4"/>
  <c r="H93" i="4"/>
  <c r="G93" i="4"/>
  <c r="F93" i="4"/>
  <c r="E93" i="4"/>
  <c r="D93" i="4"/>
  <c r="D9" i="4" s="1"/>
  <c r="C93" i="4"/>
  <c r="AB92" i="4"/>
  <c r="AA92" i="4"/>
  <c r="Z92" i="4"/>
  <c r="Y92" i="4"/>
  <c r="X92" i="4"/>
  <c r="W92" i="4"/>
  <c r="V92" i="4"/>
  <c r="U92" i="4"/>
  <c r="T92" i="4"/>
  <c r="S92" i="4"/>
  <c r="R92" i="4"/>
  <c r="Q92" i="4"/>
  <c r="P92" i="4"/>
  <c r="O92" i="4"/>
  <c r="N92" i="4"/>
  <c r="M92" i="4"/>
  <c r="L92" i="4"/>
  <c r="K92" i="4"/>
  <c r="J92" i="4"/>
  <c r="I92" i="4"/>
  <c r="H92" i="4"/>
  <c r="G92" i="4"/>
  <c r="F92" i="4"/>
  <c r="F8" i="4" s="1"/>
  <c r="F10" i="4" s="1"/>
  <c r="E92" i="4"/>
  <c r="D92" i="4"/>
  <c r="C92" i="4"/>
  <c r="AB91" i="4"/>
  <c r="AA91" i="4"/>
  <c r="Z91" i="4"/>
  <c r="Y91" i="4"/>
  <c r="X91" i="4"/>
  <c r="W91" i="4"/>
  <c r="V91" i="4"/>
  <c r="U91" i="4"/>
  <c r="T91" i="4"/>
  <c r="S91" i="4"/>
  <c r="R91" i="4"/>
  <c r="Q91" i="4"/>
  <c r="P91" i="4"/>
  <c r="O91" i="4"/>
  <c r="N91" i="4"/>
  <c r="M91" i="4"/>
  <c r="L91" i="4"/>
  <c r="K91" i="4"/>
  <c r="J91" i="4"/>
  <c r="I91" i="4"/>
  <c r="H91" i="4"/>
  <c r="G91" i="4"/>
  <c r="F91" i="4"/>
  <c r="E91" i="4"/>
  <c r="D91" i="4"/>
  <c r="C91" i="4"/>
  <c r="AB90" i="4"/>
  <c r="AA90" i="4"/>
  <c r="Z90" i="4"/>
  <c r="Y90" i="4"/>
  <c r="X90" i="4"/>
  <c r="W90" i="4"/>
  <c r="V90" i="4"/>
  <c r="U90" i="4"/>
  <c r="T90" i="4"/>
  <c r="S90" i="4"/>
  <c r="R90" i="4"/>
  <c r="Q90" i="4"/>
  <c r="P90" i="4"/>
  <c r="O90" i="4"/>
  <c r="N90" i="4"/>
  <c r="M90" i="4"/>
  <c r="L90" i="4"/>
  <c r="K90" i="4"/>
  <c r="J90" i="4"/>
  <c r="I90" i="4"/>
  <c r="H90" i="4"/>
  <c r="G90" i="4"/>
  <c r="F90" i="4"/>
  <c r="E90" i="4"/>
  <c r="D90" i="4"/>
  <c r="C90" i="4"/>
  <c r="AB89" i="4"/>
  <c r="AA89" i="4"/>
  <c r="Z89" i="4"/>
  <c r="Y89" i="4"/>
  <c r="X89" i="4"/>
  <c r="W89" i="4"/>
  <c r="V89" i="4"/>
  <c r="U89" i="4"/>
  <c r="T89" i="4"/>
  <c r="S89" i="4"/>
  <c r="R89" i="4"/>
  <c r="Q89" i="4"/>
  <c r="P89" i="4"/>
  <c r="O89" i="4"/>
  <c r="N89" i="4"/>
  <c r="M89" i="4"/>
  <c r="L89" i="4"/>
  <c r="K89" i="4"/>
  <c r="J89" i="4"/>
  <c r="I89" i="4"/>
  <c r="H89" i="4"/>
  <c r="G89" i="4"/>
  <c r="F89" i="4"/>
  <c r="E89" i="4"/>
  <c r="D89" i="4"/>
  <c r="C89" i="4"/>
  <c r="AB88" i="4"/>
  <c r="AA88" i="4"/>
  <c r="Z88" i="4"/>
  <c r="Y88" i="4"/>
  <c r="X88" i="4"/>
  <c r="W88" i="4"/>
  <c r="V88" i="4"/>
  <c r="U88" i="4"/>
  <c r="T88" i="4"/>
  <c r="S88" i="4"/>
  <c r="R88" i="4"/>
  <c r="Q88" i="4"/>
  <c r="P88" i="4"/>
  <c r="O88" i="4"/>
  <c r="N88" i="4"/>
  <c r="M88" i="4"/>
  <c r="L88" i="4"/>
  <c r="K88" i="4"/>
  <c r="J88" i="4"/>
  <c r="I88" i="4"/>
  <c r="H88" i="4"/>
  <c r="G88" i="4"/>
  <c r="F88" i="4"/>
  <c r="E88" i="4"/>
  <c r="D88" i="4"/>
  <c r="C88" i="4"/>
  <c r="AB87" i="4"/>
  <c r="AA87" i="4"/>
  <c r="Z87" i="4"/>
  <c r="Y87" i="4"/>
  <c r="X87" i="4"/>
  <c r="W87" i="4"/>
  <c r="V87" i="4"/>
  <c r="U87" i="4"/>
  <c r="T87" i="4"/>
  <c r="S87" i="4"/>
  <c r="R87" i="4"/>
  <c r="Q87" i="4"/>
  <c r="P87" i="4"/>
  <c r="O87" i="4"/>
  <c r="N87" i="4"/>
  <c r="M87" i="4"/>
  <c r="L87" i="4"/>
  <c r="K87" i="4"/>
  <c r="J87" i="4"/>
  <c r="I87" i="4"/>
  <c r="H87" i="4"/>
  <c r="G87" i="4"/>
  <c r="F87" i="4"/>
  <c r="E87" i="4"/>
  <c r="D87" i="4"/>
  <c r="C87" i="4"/>
  <c r="AB86" i="4"/>
  <c r="AA86" i="4"/>
  <c r="Z86" i="4"/>
  <c r="Y86" i="4"/>
  <c r="X86" i="4"/>
  <c r="W86" i="4"/>
  <c r="V86" i="4"/>
  <c r="U86" i="4"/>
  <c r="T86" i="4"/>
  <c r="S86" i="4"/>
  <c r="R86" i="4"/>
  <c r="Q86" i="4"/>
  <c r="P86" i="4"/>
  <c r="O86" i="4"/>
  <c r="N86" i="4"/>
  <c r="M86" i="4"/>
  <c r="L86" i="4"/>
  <c r="K86" i="4"/>
  <c r="J86" i="4"/>
  <c r="I86" i="4"/>
  <c r="H86" i="4"/>
  <c r="G86" i="4"/>
  <c r="F86" i="4"/>
  <c r="E86" i="4"/>
  <c r="D86" i="4"/>
  <c r="C86" i="4"/>
  <c r="AB85" i="4"/>
  <c r="AA85" i="4"/>
  <c r="Z85" i="4"/>
  <c r="Y85" i="4"/>
  <c r="X85" i="4"/>
  <c r="W85" i="4"/>
  <c r="V85" i="4"/>
  <c r="U85" i="4"/>
  <c r="T85" i="4"/>
  <c r="S85" i="4"/>
  <c r="R85" i="4"/>
  <c r="Q85" i="4"/>
  <c r="P85" i="4"/>
  <c r="O85" i="4"/>
  <c r="N85" i="4"/>
  <c r="M85" i="4"/>
  <c r="L85" i="4"/>
  <c r="K85" i="4"/>
  <c r="J85" i="4"/>
  <c r="I85" i="4"/>
  <c r="H85" i="4"/>
  <c r="G85" i="4"/>
  <c r="F85" i="4"/>
  <c r="E85" i="4"/>
  <c r="D85" i="4"/>
  <c r="C85" i="4"/>
  <c r="AB84" i="4"/>
  <c r="AA84" i="4"/>
  <c r="Z84" i="4"/>
  <c r="Y84" i="4"/>
  <c r="X84" i="4"/>
  <c r="W84" i="4"/>
  <c r="V84" i="4"/>
  <c r="U84" i="4"/>
  <c r="T84" i="4"/>
  <c r="S84" i="4"/>
  <c r="R84" i="4"/>
  <c r="Q84" i="4"/>
  <c r="P84" i="4"/>
  <c r="O84" i="4"/>
  <c r="N84" i="4"/>
  <c r="M84" i="4"/>
  <c r="L84" i="4"/>
  <c r="K84" i="4"/>
  <c r="J84" i="4"/>
  <c r="I84" i="4"/>
  <c r="H84" i="4"/>
  <c r="G84" i="4"/>
  <c r="F84" i="4"/>
  <c r="E84" i="4"/>
  <c r="D84" i="4"/>
  <c r="C84" i="4"/>
  <c r="AB83" i="4"/>
  <c r="AA83" i="4"/>
  <c r="Z83" i="4"/>
  <c r="Y83" i="4"/>
  <c r="X83" i="4"/>
  <c r="W83" i="4"/>
  <c r="V83" i="4"/>
  <c r="U83" i="4"/>
  <c r="T83" i="4"/>
  <c r="S83" i="4"/>
  <c r="R83" i="4"/>
  <c r="Q83" i="4"/>
  <c r="P83" i="4"/>
  <c r="O83" i="4"/>
  <c r="N83" i="4"/>
  <c r="M83" i="4"/>
  <c r="L83" i="4"/>
  <c r="K83" i="4"/>
  <c r="J83" i="4"/>
  <c r="I83" i="4"/>
  <c r="H83" i="4"/>
  <c r="G83" i="4"/>
  <c r="F83" i="4"/>
  <c r="E83" i="4"/>
  <c r="D83" i="4"/>
  <c r="C83" i="4"/>
  <c r="AB82" i="4"/>
  <c r="AA82" i="4"/>
  <c r="Z82" i="4"/>
  <c r="Y82" i="4"/>
  <c r="X82" i="4"/>
  <c r="W82" i="4"/>
  <c r="V82" i="4"/>
  <c r="U82" i="4"/>
  <c r="T82" i="4"/>
  <c r="S82" i="4"/>
  <c r="R82" i="4"/>
  <c r="Q82" i="4"/>
  <c r="P82" i="4"/>
  <c r="O82" i="4"/>
  <c r="N82" i="4"/>
  <c r="M82" i="4"/>
  <c r="L82" i="4"/>
  <c r="K82" i="4"/>
  <c r="J82" i="4"/>
  <c r="I82" i="4"/>
  <c r="H82" i="4"/>
  <c r="G82" i="4"/>
  <c r="F82" i="4"/>
  <c r="E82" i="4"/>
  <c r="D82" i="4"/>
  <c r="C82" i="4"/>
  <c r="AB81" i="4"/>
  <c r="AA81" i="4"/>
  <c r="Z81" i="4"/>
  <c r="Y81" i="4"/>
  <c r="X81" i="4"/>
  <c r="W81" i="4"/>
  <c r="V81" i="4"/>
  <c r="U81" i="4"/>
  <c r="T81" i="4"/>
  <c r="S81" i="4"/>
  <c r="R81" i="4"/>
  <c r="Q81" i="4"/>
  <c r="P81" i="4"/>
  <c r="O81" i="4"/>
  <c r="N81" i="4"/>
  <c r="M81" i="4"/>
  <c r="L81" i="4"/>
  <c r="K81" i="4"/>
  <c r="J81" i="4"/>
  <c r="I81" i="4"/>
  <c r="H81" i="4"/>
  <c r="G81" i="4"/>
  <c r="F81" i="4"/>
  <c r="E81" i="4"/>
  <c r="D81" i="4"/>
  <c r="C81" i="4"/>
  <c r="AB80" i="4"/>
  <c r="AA80" i="4"/>
  <c r="Z80" i="4"/>
  <c r="Y80" i="4"/>
  <c r="X80" i="4"/>
  <c r="W80" i="4"/>
  <c r="V80" i="4"/>
  <c r="U80" i="4"/>
  <c r="T80" i="4"/>
  <c r="S80" i="4"/>
  <c r="R80" i="4"/>
  <c r="Q80" i="4"/>
  <c r="P80" i="4"/>
  <c r="O80" i="4"/>
  <c r="N80" i="4"/>
  <c r="M80" i="4"/>
  <c r="L80" i="4"/>
  <c r="K80" i="4"/>
  <c r="J80" i="4"/>
  <c r="I80" i="4"/>
  <c r="H80" i="4"/>
  <c r="G80" i="4"/>
  <c r="F80" i="4"/>
  <c r="E80" i="4"/>
  <c r="D80" i="4"/>
  <c r="C80" i="4"/>
  <c r="AB79" i="4"/>
  <c r="AA79" i="4"/>
  <c r="Z79" i="4"/>
  <c r="Y79" i="4"/>
  <c r="X79" i="4"/>
  <c r="W79" i="4"/>
  <c r="V79" i="4"/>
  <c r="U79" i="4"/>
  <c r="T79" i="4"/>
  <c r="S79" i="4"/>
  <c r="R79" i="4"/>
  <c r="Q79" i="4"/>
  <c r="P79" i="4"/>
  <c r="O79" i="4"/>
  <c r="N79" i="4"/>
  <c r="M79" i="4"/>
  <c r="L79" i="4"/>
  <c r="K79" i="4"/>
  <c r="J79" i="4"/>
  <c r="I79" i="4"/>
  <c r="H79" i="4"/>
  <c r="G79" i="4"/>
  <c r="F79" i="4"/>
  <c r="E79" i="4"/>
  <c r="D79" i="4"/>
  <c r="C79" i="4"/>
  <c r="AB78" i="4"/>
  <c r="AA78" i="4"/>
  <c r="Z78" i="4"/>
  <c r="Y78" i="4"/>
  <c r="X78" i="4"/>
  <c r="W78" i="4"/>
  <c r="V78" i="4"/>
  <c r="U78" i="4"/>
  <c r="T78" i="4"/>
  <c r="S78" i="4"/>
  <c r="R78" i="4"/>
  <c r="Q78" i="4"/>
  <c r="P78" i="4"/>
  <c r="O78" i="4"/>
  <c r="N78" i="4"/>
  <c r="M78" i="4"/>
  <c r="L78" i="4"/>
  <c r="K78" i="4"/>
  <c r="J78" i="4"/>
  <c r="I78" i="4"/>
  <c r="H78" i="4"/>
  <c r="G78" i="4"/>
  <c r="F78" i="4"/>
  <c r="E78" i="4"/>
  <c r="D78" i="4"/>
  <c r="C78" i="4"/>
  <c r="AB77" i="4"/>
  <c r="AA77" i="4"/>
  <c r="Z77" i="4"/>
  <c r="Y77" i="4"/>
  <c r="X77" i="4"/>
  <c r="W77" i="4"/>
  <c r="V77" i="4"/>
  <c r="U77" i="4"/>
  <c r="T77" i="4"/>
  <c r="S77" i="4"/>
  <c r="R77" i="4"/>
  <c r="Q77" i="4"/>
  <c r="P77" i="4"/>
  <c r="O77" i="4"/>
  <c r="N77" i="4"/>
  <c r="M77" i="4"/>
  <c r="L77" i="4"/>
  <c r="K77" i="4"/>
  <c r="J77" i="4"/>
  <c r="I77" i="4"/>
  <c r="H77" i="4"/>
  <c r="G77" i="4"/>
  <c r="F77" i="4"/>
  <c r="E77" i="4"/>
  <c r="D77" i="4"/>
  <c r="C77" i="4"/>
  <c r="AB76" i="4"/>
  <c r="AA76" i="4"/>
  <c r="Z76" i="4"/>
  <c r="Y76" i="4"/>
  <c r="X76" i="4"/>
  <c r="W76" i="4"/>
  <c r="V76" i="4"/>
  <c r="U76" i="4"/>
  <c r="T76" i="4"/>
  <c r="S76" i="4"/>
  <c r="R76" i="4"/>
  <c r="Q76" i="4"/>
  <c r="P76" i="4"/>
  <c r="O76" i="4"/>
  <c r="N76" i="4"/>
  <c r="M76" i="4"/>
  <c r="L76" i="4"/>
  <c r="K76" i="4"/>
  <c r="J76" i="4"/>
  <c r="I76" i="4"/>
  <c r="H76" i="4"/>
  <c r="G76" i="4"/>
  <c r="F76" i="4"/>
  <c r="E76" i="4"/>
  <c r="D76" i="4"/>
  <c r="C76" i="4"/>
  <c r="AB75" i="4"/>
  <c r="AA75" i="4"/>
  <c r="Z75" i="4"/>
  <c r="Y75" i="4"/>
  <c r="X75" i="4"/>
  <c r="W75" i="4"/>
  <c r="V75" i="4"/>
  <c r="U75" i="4"/>
  <c r="T75" i="4"/>
  <c r="S75" i="4"/>
  <c r="R75" i="4"/>
  <c r="Q75" i="4"/>
  <c r="P75" i="4"/>
  <c r="O75" i="4"/>
  <c r="N75" i="4"/>
  <c r="M75" i="4"/>
  <c r="L75" i="4"/>
  <c r="K75" i="4"/>
  <c r="J75" i="4"/>
  <c r="I75" i="4"/>
  <c r="H75" i="4"/>
  <c r="G75" i="4"/>
  <c r="F75" i="4"/>
  <c r="E75" i="4"/>
  <c r="D75" i="4"/>
  <c r="C75" i="4"/>
  <c r="AB74" i="4"/>
  <c r="AA74" i="4"/>
  <c r="Z74" i="4"/>
  <c r="Y74" i="4"/>
  <c r="X74" i="4"/>
  <c r="W74" i="4"/>
  <c r="V74" i="4"/>
  <c r="U74" i="4"/>
  <c r="T74" i="4"/>
  <c r="S74" i="4"/>
  <c r="R74" i="4"/>
  <c r="Q74" i="4"/>
  <c r="P74" i="4"/>
  <c r="O74" i="4"/>
  <c r="N74" i="4"/>
  <c r="M74" i="4"/>
  <c r="L74" i="4"/>
  <c r="K74" i="4"/>
  <c r="J74" i="4"/>
  <c r="I74" i="4"/>
  <c r="H74" i="4"/>
  <c r="G74" i="4"/>
  <c r="F74" i="4"/>
  <c r="E74" i="4"/>
  <c r="D74" i="4"/>
  <c r="C74" i="4"/>
  <c r="AB73" i="4"/>
  <c r="AA73" i="4"/>
  <c r="Z73" i="4"/>
  <c r="Y73" i="4"/>
  <c r="X73" i="4"/>
  <c r="W73" i="4"/>
  <c r="V73" i="4"/>
  <c r="U73" i="4"/>
  <c r="T73" i="4"/>
  <c r="S73" i="4"/>
  <c r="R73" i="4"/>
  <c r="Q73" i="4"/>
  <c r="P73" i="4"/>
  <c r="O73" i="4"/>
  <c r="N73" i="4"/>
  <c r="M73" i="4"/>
  <c r="L73" i="4"/>
  <c r="K73" i="4"/>
  <c r="J73" i="4"/>
  <c r="I73" i="4"/>
  <c r="H73" i="4"/>
  <c r="G73" i="4"/>
  <c r="F73" i="4"/>
  <c r="E73" i="4"/>
  <c r="D73" i="4"/>
  <c r="C73" i="4"/>
  <c r="AB72" i="4"/>
  <c r="AA72" i="4"/>
  <c r="Z72" i="4"/>
  <c r="Y72" i="4"/>
  <c r="X72" i="4"/>
  <c r="W72" i="4"/>
  <c r="V72" i="4"/>
  <c r="U72" i="4"/>
  <c r="T72" i="4"/>
  <c r="S72" i="4"/>
  <c r="R72" i="4"/>
  <c r="Q72" i="4"/>
  <c r="P72" i="4"/>
  <c r="O72" i="4"/>
  <c r="N72" i="4"/>
  <c r="M72" i="4"/>
  <c r="L72" i="4"/>
  <c r="K72" i="4"/>
  <c r="J72" i="4"/>
  <c r="I72" i="4"/>
  <c r="H72" i="4"/>
  <c r="G72" i="4"/>
  <c r="F72" i="4"/>
  <c r="E72" i="4"/>
  <c r="D72" i="4"/>
  <c r="C72" i="4"/>
  <c r="AB71" i="4"/>
  <c r="AA71" i="4"/>
  <c r="Z71" i="4"/>
  <c r="Y71" i="4"/>
  <c r="X71" i="4"/>
  <c r="W71" i="4"/>
  <c r="V71" i="4"/>
  <c r="U71" i="4"/>
  <c r="T71" i="4"/>
  <c r="S71" i="4"/>
  <c r="R71" i="4"/>
  <c r="Q71" i="4"/>
  <c r="P71" i="4"/>
  <c r="O71" i="4"/>
  <c r="N71" i="4"/>
  <c r="M71" i="4"/>
  <c r="L71" i="4"/>
  <c r="K71" i="4"/>
  <c r="J71" i="4"/>
  <c r="I71" i="4"/>
  <c r="H71" i="4"/>
  <c r="G71" i="4"/>
  <c r="F71" i="4"/>
  <c r="E71" i="4"/>
  <c r="D71" i="4"/>
  <c r="C71" i="4"/>
  <c r="AB70" i="4"/>
  <c r="AA70" i="4"/>
  <c r="Z70" i="4"/>
  <c r="Y70" i="4"/>
  <c r="X70" i="4"/>
  <c r="W70" i="4"/>
  <c r="V70" i="4"/>
  <c r="U70" i="4"/>
  <c r="T70" i="4"/>
  <c r="S70" i="4"/>
  <c r="R70" i="4"/>
  <c r="Q70" i="4"/>
  <c r="P70" i="4"/>
  <c r="O70" i="4"/>
  <c r="N70" i="4"/>
  <c r="M70" i="4"/>
  <c r="L70" i="4"/>
  <c r="K70" i="4"/>
  <c r="J70" i="4"/>
  <c r="I70" i="4"/>
  <c r="H70" i="4"/>
  <c r="G70" i="4"/>
  <c r="F70" i="4"/>
  <c r="E70" i="4"/>
  <c r="D70" i="4"/>
  <c r="C70" i="4"/>
  <c r="AB69" i="4"/>
  <c r="AA69" i="4"/>
  <c r="Z69" i="4"/>
  <c r="Y69" i="4"/>
  <c r="X69" i="4"/>
  <c r="W69" i="4"/>
  <c r="V69" i="4"/>
  <c r="U69" i="4"/>
  <c r="T69" i="4"/>
  <c r="S69" i="4"/>
  <c r="R69" i="4"/>
  <c r="Q69" i="4"/>
  <c r="P69" i="4"/>
  <c r="O69" i="4"/>
  <c r="N69" i="4"/>
  <c r="M69" i="4"/>
  <c r="L69" i="4"/>
  <c r="K69" i="4"/>
  <c r="J69" i="4"/>
  <c r="I69" i="4"/>
  <c r="H69" i="4"/>
  <c r="G69" i="4"/>
  <c r="F69" i="4"/>
  <c r="E69" i="4"/>
  <c r="D69" i="4"/>
  <c r="C69" i="4"/>
  <c r="AB68" i="4"/>
  <c r="AA68" i="4"/>
  <c r="Z68" i="4"/>
  <c r="Y68" i="4"/>
  <c r="X68" i="4"/>
  <c r="W68" i="4"/>
  <c r="V68" i="4"/>
  <c r="U68" i="4"/>
  <c r="T68" i="4"/>
  <c r="S68" i="4"/>
  <c r="R68" i="4"/>
  <c r="Q68" i="4"/>
  <c r="P68" i="4"/>
  <c r="O68" i="4"/>
  <c r="N68" i="4"/>
  <c r="M68" i="4"/>
  <c r="L68" i="4"/>
  <c r="K68" i="4"/>
  <c r="J68" i="4"/>
  <c r="I68" i="4"/>
  <c r="H68" i="4"/>
  <c r="G68" i="4"/>
  <c r="F68" i="4"/>
  <c r="E68" i="4"/>
  <c r="D68" i="4"/>
  <c r="C68" i="4"/>
  <c r="AB67" i="4"/>
  <c r="AA67" i="4"/>
  <c r="Z67" i="4"/>
  <c r="Y67" i="4"/>
  <c r="X67" i="4"/>
  <c r="W67" i="4"/>
  <c r="V67" i="4"/>
  <c r="U67" i="4"/>
  <c r="T67" i="4"/>
  <c r="S67" i="4"/>
  <c r="R67" i="4"/>
  <c r="Q67" i="4"/>
  <c r="P67" i="4"/>
  <c r="O67" i="4"/>
  <c r="N67" i="4"/>
  <c r="M67" i="4"/>
  <c r="L67" i="4"/>
  <c r="K67" i="4"/>
  <c r="J67" i="4"/>
  <c r="I67" i="4"/>
  <c r="H67" i="4"/>
  <c r="G67" i="4"/>
  <c r="F67" i="4"/>
  <c r="E67" i="4"/>
  <c r="D67" i="4"/>
  <c r="C67" i="4"/>
  <c r="AB66" i="4"/>
  <c r="AA66" i="4"/>
  <c r="Z66" i="4"/>
  <c r="Y66" i="4"/>
  <c r="X66" i="4"/>
  <c r="W66" i="4"/>
  <c r="V66" i="4"/>
  <c r="U66" i="4"/>
  <c r="T66" i="4"/>
  <c r="S66" i="4"/>
  <c r="R66" i="4"/>
  <c r="Q66" i="4"/>
  <c r="P66" i="4"/>
  <c r="O66" i="4"/>
  <c r="N66" i="4"/>
  <c r="M66" i="4"/>
  <c r="L66" i="4"/>
  <c r="K66" i="4"/>
  <c r="J66" i="4"/>
  <c r="I66" i="4"/>
  <c r="H66" i="4"/>
  <c r="G66" i="4"/>
  <c r="F66" i="4"/>
  <c r="E66" i="4"/>
  <c r="D66" i="4"/>
  <c r="C66" i="4"/>
  <c r="AB65" i="4"/>
  <c r="AA65" i="4"/>
  <c r="Z65" i="4"/>
  <c r="Y65" i="4"/>
  <c r="X65" i="4"/>
  <c r="W65" i="4"/>
  <c r="V65" i="4"/>
  <c r="U65" i="4"/>
  <c r="T65" i="4"/>
  <c r="S65" i="4"/>
  <c r="R65" i="4"/>
  <c r="Q65" i="4"/>
  <c r="P65" i="4"/>
  <c r="O65" i="4"/>
  <c r="N65" i="4"/>
  <c r="M65" i="4"/>
  <c r="L65" i="4"/>
  <c r="K65" i="4"/>
  <c r="J65" i="4"/>
  <c r="I65" i="4"/>
  <c r="H65" i="4"/>
  <c r="G65" i="4"/>
  <c r="F65" i="4"/>
  <c r="E65" i="4"/>
  <c r="D65" i="4"/>
  <c r="C65" i="4"/>
  <c r="AB64" i="4"/>
  <c r="AA64" i="4"/>
  <c r="Z64" i="4"/>
  <c r="Y64" i="4"/>
  <c r="X64" i="4"/>
  <c r="W64" i="4"/>
  <c r="V64" i="4"/>
  <c r="U64" i="4"/>
  <c r="T64" i="4"/>
  <c r="S64" i="4"/>
  <c r="R64" i="4"/>
  <c r="Q64" i="4"/>
  <c r="P64" i="4"/>
  <c r="O64" i="4"/>
  <c r="N64" i="4"/>
  <c r="M64" i="4"/>
  <c r="L64" i="4"/>
  <c r="K64" i="4"/>
  <c r="J64" i="4"/>
  <c r="I64" i="4"/>
  <c r="H64" i="4"/>
  <c r="G64" i="4"/>
  <c r="F64" i="4"/>
  <c r="E64" i="4"/>
  <c r="D64" i="4"/>
  <c r="C64" i="4"/>
  <c r="AB63" i="4"/>
  <c r="AA63" i="4"/>
  <c r="Z63" i="4"/>
  <c r="Y63" i="4"/>
  <c r="X63" i="4"/>
  <c r="W63" i="4"/>
  <c r="V63" i="4"/>
  <c r="U63" i="4"/>
  <c r="T63" i="4"/>
  <c r="S63" i="4"/>
  <c r="R63" i="4"/>
  <c r="Q63" i="4"/>
  <c r="P63" i="4"/>
  <c r="O63" i="4"/>
  <c r="N63" i="4"/>
  <c r="M63" i="4"/>
  <c r="L63" i="4"/>
  <c r="K63" i="4"/>
  <c r="J63" i="4"/>
  <c r="I63" i="4"/>
  <c r="H63" i="4"/>
  <c r="G63" i="4"/>
  <c r="F63" i="4"/>
  <c r="E63" i="4"/>
  <c r="D63" i="4"/>
  <c r="C63" i="4"/>
  <c r="AB62" i="4"/>
  <c r="AA62" i="4"/>
  <c r="Z62" i="4"/>
  <c r="Y62" i="4"/>
  <c r="X62" i="4"/>
  <c r="W62" i="4"/>
  <c r="V62" i="4"/>
  <c r="U62" i="4"/>
  <c r="T62" i="4"/>
  <c r="S62" i="4"/>
  <c r="R62" i="4"/>
  <c r="Q62" i="4"/>
  <c r="P62" i="4"/>
  <c r="O62" i="4"/>
  <c r="N62" i="4"/>
  <c r="M62" i="4"/>
  <c r="L62" i="4"/>
  <c r="K62" i="4"/>
  <c r="J62" i="4"/>
  <c r="I62" i="4"/>
  <c r="H62" i="4"/>
  <c r="G62" i="4"/>
  <c r="F62" i="4"/>
  <c r="E62" i="4"/>
  <c r="D62" i="4"/>
  <c r="C62" i="4"/>
  <c r="AB61" i="4"/>
  <c r="AA61" i="4"/>
  <c r="Z61" i="4"/>
  <c r="Y61" i="4"/>
  <c r="X61" i="4"/>
  <c r="W61" i="4"/>
  <c r="V61" i="4"/>
  <c r="U61" i="4"/>
  <c r="T61" i="4"/>
  <c r="S61" i="4"/>
  <c r="R61" i="4"/>
  <c r="Q61" i="4"/>
  <c r="P61" i="4"/>
  <c r="O61" i="4"/>
  <c r="N61" i="4"/>
  <c r="M61" i="4"/>
  <c r="L61" i="4"/>
  <c r="K61" i="4"/>
  <c r="J61" i="4"/>
  <c r="I61" i="4"/>
  <c r="H61" i="4"/>
  <c r="G61" i="4"/>
  <c r="F61" i="4"/>
  <c r="E61" i="4"/>
  <c r="D61" i="4"/>
  <c r="C61" i="4"/>
  <c r="AB60" i="4"/>
  <c r="AA60" i="4"/>
  <c r="Z60" i="4"/>
  <c r="Y60" i="4"/>
  <c r="X60" i="4"/>
  <c r="W60" i="4"/>
  <c r="V60" i="4"/>
  <c r="U60" i="4"/>
  <c r="T60" i="4"/>
  <c r="S60" i="4"/>
  <c r="R60" i="4"/>
  <c r="Q60" i="4"/>
  <c r="P60" i="4"/>
  <c r="O60" i="4"/>
  <c r="N60" i="4"/>
  <c r="M60" i="4"/>
  <c r="L60" i="4"/>
  <c r="K60" i="4"/>
  <c r="J60" i="4"/>
  <c r="I60" i="4"/>
  <c r="H60" i="4"/>
  <c r="G60" i="4"/>
  <c r="F60" i="4"/>
  <c r="E60" i="4"/>
  <c r="D60" i="4"/>
  <c r="C60" i="4"/>
  <c r="AB59" i="4"/>
  <c r="AA59" i="4"/>
  <c r="Z59" i="4"/>
  <c r="Y59" i="4"/>
  <c r="X59" i="4"/>
  <c r="W59" i="4"/>
  <c r="V59" i="4"/>
  <c r="U59" i="4"/>
  <c r="T59" i="4"/>
  <c r="S59" i="4"/>
  <c r="R59" i="4"/>
  <c r="Q59" i="4"/>
  <c r="P59" i="4"/>
  <c r="O59" i="4"/>
  <c r="N59" i="4"/>
  <c r="M59" i="4"/>
  <c r="L59" i="4"/>
  <c r="K59" i="4"/>
  <c r="J59" i="4"/>
  <c r="I59" i="4"/>
  <c r="H59" i="4"/>
  <c r="G59" i="4"/>
  <c r="F59" i="4"/>
  <c r="E59" i="4"/>
  <c r="D59" i="4"/>
  <c r="C59" i="4"/>
  <c r="AB58" i="4"/>
  <c r="AA58" i="4"/>
  <c r="Z58" i="4"/>
  <c r="Y58" i="4"/>
  <c r="X58" i="4"/>
  <c r="W58" i="4"/>
  <c r="V58" i="4"/>
  <c r="U58" i="4"/>
  <c r="T58" i="4"/>
  <c r="S58" i="4"/>
  <c r="R58" i="4"/>
  <c r="Q58" i="4"/>
  <c r="P58" i="4"/>
  <c r="O58" i="4"/>
  <c r="N58" i="4"/>
  <c r="M58" i="4"/>
  <c r="L58" i="4"/>
  <c r="K58" i="4"/>
  <c r="J58" i="4"/>
  <c r="I58" i="4"/>
  <c r="H58" i="4"/>
  <c r="G58" i="4"/>
  <c r="F58" i="4"/>
  <c r="E58" i="4"/>
  <c r="D58" i="4"/>
  <c r="C58" i="4"/>
  <c r="AB57" i="4"/>
  <c r="AA57" i="4"/>
  <c r="Z57" i="4"/>
  <c r="Y57" i="4"/>
  <c r="X57" i="4"/>
  <c r="W57" i="4"/>
  <c r="V57" i="4"/>
  <c r="U57" i="4"/>
  <c r="T57" i="4"/>
  <c r="S57" i="4"/>
  <c r="R57" i="4"/>
  <c r="Q57" i="4"/>
  <c r="P57" i="4"/>
  <c r="O57" i="4"/>
  <c r="N57" i="4"/>
  <c r="M57" i="4"/>
  <c r="L57" i="4"/>
  <c r="K57" i="4"/>
  <c r="J57" i="4"/>
  <c r="I57" i="4"/>
  <c r="H57" i="4"/>
  <c r="G57" i="4"/>
  <c r="F57" i="4"/>
  <c r="E57" i="4"/>
  <c r="D57" i="4"/>
  <c r="C57" i="4"/>
  <c r="AB56" i="4"/>
  <c r="AA56" i="4"/>
  <c r="Z56" i="4"/>
  <c r="Y56" i="4"/>
  <c r="X56" i="4"/>
  <c r="W56" i="4"/>
  <c r="V56" i="4"/>
  <c r="U56" i="4"/>
  <c r="T56" i="4"/>
  <c r="S56" i="4"/>
  <c r="R56" i="4"/>
  <c r="Q56" i="4"/>
  <c r="P56" i="4"/>
  <c r="O56" i="4"/>
  <c r="N56" i="4"/>
  <c r="M56" i="4"/>
  <c r="L56" i="4"/>
  <c r="K56" i="4"/>
  <c r="J56" i="4"/>
  <c r="I56" i="4"/>
  <c r="H56" i="4"/>
  <c r="G56" i="4"/>
  <c r="F56" i="4"/>
  <c r="E56" i="4"/>
  <c r="D56" i="4"/>
  <c r="C56" i="4"/>
  <c r="AB55" i="4"/>
  <c r="AA55" i="4"/>
  <c r="Z55" i="4"/>
  <c r="Y55" i="4"/>
  <c r="X55" i="4"/>
  <c r="W55" i="4"/>
  <c r="V55" i="4"/>
  <c r="U55" i="4"/>
  <c r="T55" i="4"/>
  <c r="S55" i="4"/>
  <c r="R55" i="4"/>
  <c r="Q55" i="4"/>
  <c r="P55" i="4"/>
  <c r="O55" i="4"/>
  <c r="N55" i="4"/>
  <c r="M55" i="4"/>
  <c r="L55" i="4"/>
  <c r="K55" i="4"/>
  <c r="J55" i="4"/>
  <c r="I55" i="4"/>
  <c r="H55" i="4"/>
  <c r="G55" i="4"/>
  <c r="F55" i="4"/>
  <c r="E55" i="4"/>
  <c r="D55" i="4"/>
  <c r="C55" i="4"/>
  <c r="AB54" i="4"/>
  <c r="AA54" i="4"/>
  <c r="Z54" i="4"/>
  <c r="Y54" i="4"/>
  <c r="X54" i="4"/>
  <c r="W54" i="4"/>
  <c r="V54" i="4"/>
  <c r="U54" i="4"/>
  <c r="T54" i="4"/>
  <c r="S54" i="4"/>
  <c r="R54" i="4"/>
  <c r="Q54" i="4"/>
  <c r="P54" i="4"/>
  <c r="O54" i="4"/>
  <c r="N54" i="4"/>
  <c r="M54" i="4"/>
  <c r="L54" i="4"/>
  <c r="K54" i="4"/>
  <c r="J54" i="4"/>
  <c r="I54" i="4"/>
  <c r="H54" i="4"/>
  <c r="G54" i="4"/>
  <c r="F54" i="4"/>
  <c r="E54" i="4"/>
  <c r="D54" i="4"/>
  <c r="C54" i="4"/>
  <c r="AB53" i="4"/>
  <c r="AA53" i="4"/>
  <c r="Z53" i="4"/>
  <c r="Y53" i="4"/>
  <c r="X53" i="4"/>
  <c r="W53" i="4"/>
  <c r="V53" i="4"/>
  <c r="U53" i="4"/>
  <c r="T53" i="4"/>
  <c r="S53" i="4"/>
  <c r="R53" i="4"/>
  <c r="Q53" i="4"/>
  <c r="P53" i="4"/>
  <c r="O53" i="4"/>
  <c r="N53" i="4"/>
  <c r="M53" i="4"/>
  <c r="L53" i="4"/>
  <c r="K53" i="4"/>
  <c r="J53" i="4"/>
  <c r="I53" i="4"/>
  <c r="H53" i="4"/>
  <c r="G53" i="4"/>
  <c r="F53" i="4"/>
  <c r="E53" i="4"/>
  <c r="D53" i="4"/>
  <c r="C53" i="4"/>
  <c r="AB52" i="4"/>
  <c r="AA52" i="4"/>
  <c r="Z52" i="4"/>
  <c r="Y52" i="4"/>
  <c r="X52" i="4"/>
  <c r="W52" i="4"/>
  <c r="V52" i="4"/>
  <c r="U52" i="4"/>
  <c r="T52" i="4"/>
  <c r="S52" i="4"/>
  <c r="R52" i="4"/>
  <c r="Q52" i="4"/>
  <c r="P52" i="4"/>
  <c r="O52" i="4"/>
  <c r="N52" i="4"/>
  <c r="M52" i="4"/>
  <c r="L52" i="4"/>
  <c r="K52" i="4"/>
  <c r="J52" i="4"/>
  <c r="I52" i="4"/>
  <c r="H52" i="4"/>
  <c r="G52" i="4"/>
  <c r="F52" i="4"/>
  <c r="E52" i="4"/>
  <c r="D52" i="4"/>
  <c r="C52" i="4"/>
  <c r="AB51" i="4"/>
  <c r="AA51" i="4"/>
  <c r="Z51" i="4"/>
  <c r="Y51" i="4"/>
  <c r="X51" i="4"/>
  <c r="W51" i="4"/>
  <c r="V51" i="4"/>
  <c r="U51" i="4"/>
  <c r="T51" i="4"/>
  <c r="S51" i="4"/>
  <c r="R51" i="4"/>
  <c r="Q51" i="4"/>
  <c r="P51" i="4"/>
  <c r="O51" i="4"/>
  <c r="N51" i="4"/>
  <c r="M51" i="4"/>
  <c r="L51" i="4"/>
  <c r="K51" i="4"/>
  <c r="J51" i="4"/>
  <c r="I51" i="4"/>
  <c r="H51" i="4"/>
  <c r="G51" i="4"/>
  <c r="F51" i="4"/>
  <c r="E51" i="4"/>
  <c r="D51" i="4"/>
  <c r="C51" i="4"/>
  <c r="AB50" i="4"/>
  <c r="AA50" i="4"/>
  <c r="Z50" i="4"/>
  <c r="Y50" i="4"/>
  <c r="X50" i="4"/>
  <c r="W50" i="4"/>
  <c r="V50" i="4"/>
  <c r="U50" i="4"/>
  <c r="T50" i="4"/>
  <c r="S50" i="4"/>
  <c r="R50" i="4"/>
  <c r="Q50" i="4"/>
  <c r="P50" i="4"/>
  <c r="O50" i="4"/>
  <c r="N50" i="4"/>
  <c r="M50" i="4"/>
  <c r="L50" i="4"/>
  <c r="K50" i="4"/>
  <c r="J50" i="4"/>
  <c r="I50" i="4"/>
  <c r="H50" i="4"/>
  <c r="G50" i="4"/>
  <c r="F50" i="4"/>
  <c r="E50" i="4"/>
  <c r="D50" i="4"/>
  <c r="C50" i="4"/>
  <c r="AB49" i="4"/>
  <c r="AA49" i="4"/>
  <c r="Z49" i="4"/>
  <c r="Y49" i="4"/>
  <c r="X49" i="4"/>
  <c r="W49" i="4"/>
  <c r="V49" i="4"/>
  <c r="U49" i="4"/>
  <c r="T49" i="4"/>
  <c r="S49" i="4"/>
  <c r="R49" i="4"/>
  <c r="Q49" i="4"/>
  <c r="P49" i="4"/>
  <c r="O49" i="4"/>
  <c r="N49" i="4"/>
  <c r="M49" i="4"/>
  <c r="L49" i="4"/>
  <c r="K49" i="4"/>
  <c r="J49" i="4"/>
  <c r="I49" i="4"/>
  <c r="H49" i="4"/>
  <c r="G49" i="4"/>
  <c r="F49" i="4"/>
  <c r="E49" i="4"/>
  <c r="D49" i="4"/>
  <c r="C49" i="4"/>
  <c r="AB48" i="4"/>
  <c r="AA48" i="4"/>
  <c r="AA4" i="4" s="1"/>
  <c r="Z48" i="4"/>
  <c r="Z4" i="4" s="1"/>
  <c r="Y48" i="4"/>
  <c r="X48" i="4"/>
  <c r="W48" i="4"/>
  <c r="V48" i="4"/>
  <c r="U48" i="4"/>
  <c r="T48" i="4"/>
  <c r="S48" i="4"/>
  <c r="S5" i="4" s="1"/>
  <c r="S6" i="4" s="1"/>
  <c r="R48" i="4"/>
  <c r="R4" i="4" s="1"/>
  <c r="Q48" i="4"/>
  <c r="P48" i="4"/>
  <c r="O48" i="4"/>
  <c r="N48" i="4"/>
  <c r="M48" i="4"/>
  <c r="L48" i="4"/>
  <c r="K48" i="4"/>
  <c r="K4" i="4" s="1"/>
  <c r="J48" i="4"/>
  <c r="J4" i="4" s="1"/>
  <c r="I48" i="4"/>
  <c r="H48" i="4"/>
  <c r="G48" i="4"/>
  <c r="F48" i="4"/>
  <c r="E48" i="4"/>
  <c r="D48" i="4"/>
  <c r="C48" i="4"/>
  <c r="C5" i="4" s="1"/>
  <c r="C6" i="4" s="1"/>
  <c r="AB47" i="4"/>
  <c r="AB3" i="4" s="1"/>
  <c r="AA47" i="4"/>
  <c r="Z47" i="4"/>
  <c r="Y47" i="4"/>
  <c r="X47" i="4"/>
  <c r="W47" i="4"/>
  <c r="V47" i="4"/>
  <c r="U47" i="4"/>
  <c r="U5" i="4" s="1"/>
  <c r="U6" i="4" s="1"/>
  <c r="T47" i="4"/>
  <c r="T4" i="4" s="1"/>
  <c r="S47" i="4"/>
  <c r="R47" i="4"/>
  <c r="Q47" i="4"/>
  <c r="P47" i="4"/>
  <c r="O47" i="4"/>
  <c r="N47" i="4"/>
  <c r="M47" i="4"/>
  <c r="M5" i="4" s="1"/>
  <c r="M6" i="4" s="1"/>
  <c r="L47" i="4"/>
  <c r="L3" i="4" s="1"/>
  <c r="K47" i="4"/>
  <c r="J47" i="4"/>
  <c r="I47" i="4"/>
  <c r="H47" i="4"/>
  <c r="G47" i="4"/>
  <c r="F47" i="4"/>
  <c r="E47" i="4"/>
  <c r="E5" i="4" s="1"/>
  <c r="E6" i="4" s="1"/>
  <c r="D47" i="4"/>
  <c r="D4" i="4" s="1"/>
  <c r="C47" i="4"/>
  <c r="AB46" i="4"/>
  <c r="AA46" i="4"/>
  <c r="Z46" i="4"/>
  <c r="Y46" i="4"/>
  <c r="X46" i="4"/>
  <c r="W46" i="4"/>
  <c r="W4" i="4" s="1"/>
  <c r="V46" i="4"/>
  <c r="V3" i="4" s="1"/>
  <c r="U46" i="4"/>
  <c r="T46" i="4"/>
  <c r="S46" i="4"/>
  <c r="R46" i="4"/>
  <c r="Q46" i="4"/>
  <c r="P46" i="4"/>
  <c r="O46" i="4"/>
  <c r="O4" i="4" s="1"/>
  <c r="N46" i="4"/>
  <c r="N3" i="4" s="1"/>
  <c r="M46" i="4"/>
  <c r="L46" i="4"/>
  <c r="K46" i="4"/>
  <c r="J46" i="4"/>
  <c r="I46" i="4"/>
  <c r="H46" i="4"/>
  <c r="G46" i="4"/>
  <c r="G4" i="4" s="1"/>
  <c r="F46" i="4"/>
  <c r="F4" i="4" s="1"/>
  <c r="E46" i="4"/>
  <c r="D46" i="4"/>
  <c r="C46" i="4"/>
  <c r="AB45" i="4"/>
  <c r="AB5" i="4" s="1"/>
  <c r="AB6" i="4" s="1"/>
  <c r="AA45" i="4"/>
  <c r="Z45" i="4"/>
  <c r="Z3" i="4" s="1"/>
  <c r="Y45" i="4"/>
  <c r="Y5" i="4" s="1"/>
  <c r="Y6" i="4" s="1"/>
  <c r="X45" i="4"/>
  <c r="X3" i="4" s="1"/>
  <c r="W45" i="4"/>
  <c r="V45" i="4"/>
  <c r="U45" i="4"/>
  <c r="T45" i="4"/>
  <c r="T5" i="4" s="1"/>
  <c r="T6" i="4" s="1"/>
  <c r="S45" i="4"/>
  <c r="R45" i="4"/>
  <c r="R3" i="4" s="1"/>
  <c r="Q45" i="4"/>
  <c r="Q3" i="4" s="1"/>
  <c r="P45" i="4"/>
  <c r="P3" i="4" s="1"/>
  <c r="O45" i="4"/>
  <c r="N45" i="4"/>
  <c r="M45" i="4"/>
  <c r="L45" i="4"/>
  <c r="L5" i="4" s="1"/>
  <c r="L6" i="4" s="1"/>
  <c r="K45" i="4"/>
  <c r="J45" i="4"/>
  <c r="J3" i="4" s="1"/>
  <c r="I45" i="4"/>
  <c r="I3" i="4" s="1"/>
  <c r="H45" i="4"/>
  <c r="H5" i="4" s="1"/>
  <c r="H6" i="4" s="1"/>
  <c r="G45" i="4"/>
  <c r="F45" i="4"/>
  <c r="E45" i="4"/>
  <c r="D45" i="4"/>
  <c r="D5" i="4" s="1"/>
  <c r="D6" i="4" s="1"/>
  <c r="C45" i="4"/>
  <c r="AB44" i="4"/>
  <c r="AA44" i="4"/>
  <c r="Z44" i="4"/>
  <c r="Y44" i="4"/>
  <c r="X44" i="4"/>
  <c r="W44" i="4"/>
  <c r="V44" i="4"/>
  <c r="U44" i="4"/>
  <c r="T44" i="4"/>
  <c r="S44" i="4"/>
  <c r="R44" i="4"/>
  <c r="Q44" i="4"/>
  <c r="P44" i="4"/>
  <c r="O44" i="4"/>
  <c r="N44" i="4"/>
  <c r="M44" i="4"/>
  <c r="L44" i="4"/>
  <c r="K44" i="4"/>
  <c r="J44" i="4"/>
  <c r="I44" i="4"/>
  <c r="H44" i="4"/>
  <c r="G44" i="4"/>
  <c r="F44" i="4"/>
  <c r="E44" i="4"/>
  <c r="D44" i="4"/>
  <c r="C44" i="4"/>
  <c r="AB43" i="4"/>
  <c r="AA43" i="4"/>
  <c r="Z43" i="4"/>
  <c r="Y43" i="4"/>
  <c r="X43" i="4"/>
  <c r="W43" i="4"/>
  <c r="V43" i="4"/>
  <c r="U43" i="4"/>
  <c r="T43" i="4"/>
  <c r="S43" i="4"/>
  <c r="R43" i="4"/>
  <c r="Q43" i="4"/>
  <c r="P43" i="4"/>
  <c r="O43" i="4"/>
  <c r="N43" i="4"/>
  <c r="M43" i="4"/>
  <c r="L43" i="4"/>
  <c r="K43" i="4"/>
  <c r="J43" i="4"/>
  <c r="I43" i="4"/>
  <c r="H43" i="4"/>
  <c r="G43" i="4"/>
  <c r="F43" i="4"/>
  <c r="E43" i="4"/>
  <c r="D43" i="4"/>
  <c r="C43" i="4"/>
  <c r="AB42" i="4"/>
  <c r="AA42" i="4"/>
  <c r="Z42" i="4"/>
  <c r="Y42" i="4"/>
  <c r="X42" i="4"/>
  <c r="W42" i="4"/>
  <c r="V42" i="4"/>
  <c r="U42" i="4"/>
  <c r="T42" i="4"/>
  <c r="S42" i="4"/>
  <c r="R42" i="4"/>
  <c r="Q42" i="4"/>
  <c r="P42" i="4"/>
  <c r="O42" i="4"/>
  <c r="N42" i="4"/>
  <c r="M42" i="4"/>
  <c r="L42" i="4"/>
  <c r="K42" i="4"/>
  <c r="J42" i="4"/>
  <c r="I42" i="4"/>
  <c r="H42" i="4"/>
  <c r="G42" i="4"/>
  <c r="F42" i="4"/>
  <c r="E42" i="4"/>
  <c r="D42" i="4"/>
  <c r="C42" i="4"/>
  <c r="AB41" i="4"/>
  <c r="AA41" i="4"/>
  <c r="Z41" i="4"/>
  <c r="Y41" i="4"/>
  <c r="X41" i="4"/>
  <c r="W41" i="4"/>
  <c r="V41" i="4"/>
  <c r="U41" i="4"/>
  <c r="T41" i="4"/>
  <c r="S41" i="4"/>
  <c r="R41" i="4"/>
  <c r="Q41" i="4"/>
  <c r="P41" i="4"/>
  <c r="O41" i="4"/>
  <c r="N41" i="4"/>
  <c r="M41" i="4"/>
  <c r="L41" i="4"/>
  <c r="K41" i="4"/>
  <c r="J41" i="4"/>
  <c r="I41" i="4"/>
  <c r="H41" i="4"/>
  <c r="G41" i="4"/>
  <c r="F41" i="4"/>
  <c r="E41" i="4"/>
  <c r="D41" i="4"/>
  <c r="C41" i="4"/>
  <c r="AB40" i="4"/>
  <c r="AA40" i="4"/>
  <c r="Z40" i="4"/>
  <c r="Y40" i="4"/>
  <c r="X40" i="4"/>
  <c r="W40" i="4"/>
  <c r="V40" i="4"/>
  <c r="U40" i="4"/>
  <c r="T40" i="4"/>
  <c r="S40" i="4"/>
  <c r="R40" i="4"/>
  <c r="Q40" i="4"/>
  <c r="P40" i="4"/>
  <c r="O40" i="4"/>
  <c r="N40" i="4"/>
  <c r="M40" i="4"/>
  <c r="L40" i="4"/>
  <c r="K40" i="4"/>
  <c r="J40" i="4"/>
  <c r="I40" i="4"/>
  <c r="H40" i="4"/>
  <c r="G40" i="4"/>
  <c r="F40" i="4"/>
  <c r="E40" i="4"/>
  <c r="D40" i="4"/>
  <c r="C40" i="4"/>
  <c r="AB39" i="4"/>
  <c r="AA39" i="4"/>
  <c r="Z39" i="4"/>
  <c r="Y39" i="4"/>
  <c r="X39" i="4"/>
  <c r="W39" i="4"/>
  <c r="V39" i="4"/>
  <c r="U39" i="4"/>
  <c r="T39" i="4"/>
  <c r="S39" i="4"/>
  <c r="R39" i="4"/>
  <c r="Q39" i="4"/>
  <c r="P39" i="4"/>
  <c r="O39" i="4"/>
  <c r="N39" i="4"/>
  <c r="M39" i="4"/>
  <c r="L39" i="4"/>
  <c r="K39" i="4"/>
  <c r="J39" i="4"/>
  <c r="I39" i="4"/>
  <c r="H39" i="4"/>
  <c r="G39" i="4"/>
  <c r="F39" i="4"/>
  <c r="E39" i="4"/>
  <c r="D39" i="4"/>
  <c r="C39" i="4"/>
  <c r="AB38" i="4"/>
  <c r="AA38" i="4"/>
  <c r="Z38" i="4"/>
  <c r="Y38" i="4"/>
  <c r="X38" i="4"/>
  <c r="W38" i="4"/>
  <c r="V38" i="4"/>
  <c r="U38" i="4"/>
  <c r="T38" i="4"/>
  <c r="S38" i="4"/>
  <c r="R38" i="4"/>
  <c r="Q38" i="4"/>
  <c r="P38" i="4"/>
  <c r="O38" i="4"/>
  <c r="N38" i="4"/>
  <c r="M38" i="4"/>
  <c r="L38" i="4"/>
  <c r="K38" i="4"/>
  <c r="J38" i="4"/>
  <c r="I38" i="4"/>
  <c r="H38" i="4"/>
  <c r="G38" i="4"/>
  <c r="F38" i="4"/>
  <c r="E38" i="4"/>
  <c r="D38" i="4"/>
  <c r="C38" i="4"/>
  <c r="AB37" i="4"/>
  <c r="AA37" i="4"/>
  <c r="Z37" i="4"/>
  <c r="Y37" i="4"/>
  <c r="X37" i="4"/>
  <c r="W37" i="4"/>
  <c r="V37" i="4"/>
  <c r="U37" i="4"/>
  <c r="T37" i="4"/>
  <c r="S37" i="4"/>
  <c r="R37" i="4"/>
  <c r="Q37" i="4"/>
  <c r="P37" i="4"/>
  <c r="O37" i="4"/>
  <c r="N37" i="4"/>
  <c r="M37" i="4"/>
  <c r="L37" i="4"/>
  <c r="K37" i="4"/>
  <c r="J37" i="4"/>
  <c r="I37" i="4"/>
  <c r="H37" i="4"/>
  <c r="G37" i="4"/>
  <c r="F37" i="4"/>
  <c r="E37" i="4"/>
  <c r="D37" i="4"/>
  <c r="C37" i="4"/>
  <c r="AB36" i="4"/>
  <c r="AA36" i="4"/>
  <c r="Z36" i="4"/>
  <c r="Y36" i="4"/>
  <c r="X36" i="4"/>
  <c r="W36" i="4"/>
  <c r="V36" i="4"/>
  <c r="U36" i="4"/>
  <c r="T36" i="4"/>
  <c r="S36" i="4"/>
  <c r="R36" i="4"/>
  <c r="Q36" i="4"/>
  <c r="P36" i="4"/>
  <c r="O36" i="4"/>
  <c r="N36" i="4"/>
  <c r="M36" i="4"/>
  <c r="L36" i="4"/>
  <c r="K36" i="4"/>
  <c r="J36" i="4"/>
  <c r="I36" i="4"/>
  <c r="H36" i="4"/>
  <c r="G36" i="4"/>
  <c r="F36" i="4"/>
  <c r="E36" i="4"/>
  <c r="D36" i="4"/>
  <c r="C36" i="4"/>
  <c r="AB35" i="4"/>
  <c r="AA35" i="4"/>
  <c r="Z35" i="4"/>
  <c r="Y35" i="4"/>
  <c r="X35" i="4"/>
  <c r="W35" i="4"/>
  <c r="V35" i="4"/>
  <c r="U35" i="4"/>
  <c r="T35" i="4"/>
  <c r="S35" i="4"/>
  <c r="R35" i="4"/>
  <c r="Q35" i="4"/>
  <c r="P35" i="4"/>
  <c r="O35" i="4"/>
  <c r="N35" i="4"/>
  <c r="M35" i="4"/>
  <c r="L35" i="4"/>
  <c r="K35" i="4"/>
  <c r="J35" i="4"/>
  <c r="I35" i="4"/>
  <c r="H35" i="4"/>
  <c r="G35" i="4"/>
  <c r="F35" i="4"/>
  <c r="E35" i="4"/>
  <c r="D35" i="4"/>
  <c r="C35" i="4"/>
  <c r="AB34" i="4"/>
  <c r="AA34" i="4"/>
  <c r="Z34" i="4"/>
  <c r="Y34" i="4"/>
  <c r="X34" i="4"/>
  <c r="W34" i="4"/>
  <c r="V34" i="4"/>
  <c r="U34" i="4"/>
  <c r="T34" i="4"/>
  <c r="S34" i="4"/>
  <c r="R34" i="4"/>
  <c r="Q34" i="4"/>
  <c r="P34" i="4"/>
  <c r="O34" i="4"/>
  <c r="N34" i="4"/>
  <c r="M34" i="4"/>
  <c r="L34" i="4"/>
  <c r="K34" i="4"/>
  <c r="J34" i="4"/>
  <c r="I34" i="4"/>
  <c r="H34" i="4"/>
  <c r="G34" i="4"/>
  <c r="F34" i="4"/>
  <c r="E34" i="4"/>
  <c r="D34" i="4"/>
  <c r="C34" i="4"/>
  <c r="AB33" i="4"/>
  <c r="AA33" i="4"/>
  <c r="Z33" i="4"/>
  <c r="Y33" i="4"/>
  <c r="X33" i="4"/>
  <c r="W33" i="4"/>
  <c r="V33" i="4"/>
  <c r="U33" i="4"/>
  <c r="T33" i="4"/>
  <c r="S33" i="4"/>
  <c r="R33" i="4"/>
  <c r="Q33" i="4"/>
  <c r="P33" i="4"/>
  <c r="O33" i="4"/>
  <c r="N33" i="4"/>
  <c r="M33" i="4"/>
  <c r="L33" i="4"/>
  <c r="K33" i="4"/>
  <c r="J33" i="4"/>
  <c r="I33" i="4"/>
  <c r="H33" i="4"/>
  <c r="G33" i="4"/>
  <c r="F33" i="4"/>
  <c r="E33" i="4"/>
  <c r="D33" i="4"/>
  <c r="C33" i="4"/>
  <c r="AB32" i="4"/>
  <c r="AA32" i="4"/>
  <c r="Z32" i="4"/>
  <c r="Y32" i="4"/>
  <c r="X32" i="4"/>
  <c r="W32" i="4"/>
  <c r="V32" i="4"/>
  <c r="U32" i="4"/>
  <c r="T32" i="4"/>
  <c r="S32" i="4"/>
  <c r="R32" i="4"/>
  <c r="Q32" i="4"/>
  <c r="P32" i="4"/>
  <c r="O32" i="4"/>
  <c r="N32" i="4"/>
  <c r="M32" i="4"/>
  <c r="L32" i="4"/>
  <c r="K32" i="4"/>
  <c r="J32" i="4"/>
  <c r="I32" i="4"/>
  <c r="H32" i="4"/>
  <c r="G32" i="4"/>
  <c r="F32" i="4"/>
  <c r="E32" i="4"/>
  <c r="D32" i="4"/>
  <c r="C32" i="4"/>
  <c r="AB31" i="4"/>
  <c r="AA31" i="4"/>
  <c r="Z31" i="4"/>
  <c r="Y31" i="4"/>
  <c r="X31" i="4"/>
  <c r="W31" i="4"/>
  <c r="V31" i="4"/>
  <c r="U31" i="4"/>
  <c r="T31" i="4"/>
  <c r="S31" i="4"/>
  <c r="R31" i="4"/>
  <c r="Q31" i="4"/>
  <c r="P31" i="4"/>
  <c r="O31" i="4"/>
  <c r="N31" i="4"/>
  <c r="M31" i="4"/>
  <c r="L31" i="4"/>
  <c r="K31" i="4"/>
  <c r="J31" i="4"/>
  <c r="I31" i="4"/>
  <c r="H31" i="4"/>
  <c r="G31" i="4"/>
  <c r="F31" i="4"/>
  <c r="E31" i="4"/>
  <c r="D31" i="4"/>
  <c r="C31" i="4"/>
  <c r="AB30" i="4"/>
  <c r="AA30" i="4"/>
  <c r="Z30" i="4"/>
  <c r="Y30" i="4"/>
  <c r="X30" i="4"/>
  <c r="W30" i="4"/>
  <c r="V30" i="4"/>
  <c r="U30" i="4"/>
  <c r="T30" i="4"/>
  <c r="S30" i="4"/>
  <c r="R30" i="4"/>
  <c r="Q30" i="4"/>
  <c r="P30" i="4"/>
  <c r="O30" i="4"/>
  <c r="N30" i="4"/>
  <c r="M30" i="4"/>
  <c r="L30" i="4"/>
  <c r="K30" i="4"/>
  <c r="J30" i="4"/>
  <c r="I30" i="4"/>
  <c r="H30" i="4"/>
  <c r="G30" i="4"/>
  <c r="F30" i="4"/>
  <c r="E30" i="4"/>
  <c r="D30" i="4"/>
  <c r="C30" i="4"/>
  <c r="AB29" i="4"/>
  <c r="AA29" i="4"/>
  <c r="Z29" i="4"/>
  <c r="Y29" i="4"/>
  <c r="X29" i="4"/>
  <c r="W29" i="4"/>
  <c r="V29" i="4"/>
  <c r="U29" i="4"/>
  <c r="T29" i="4"/>
  <c r="S29" i="4"/>
  <c r="R29" i="4"/>
  <c r="Q29" i="4"/>
  <c r="P29" i="4"/>
  <c r="O29" i="4"/>
  <c r="N29" i="4"/>
  <c r="M29" i="4"/>
  <c r="L29" i="4"/>
  <c r="K29" i="4"/>
  <c r="J29" i="4"/>
  <c r="I29" i="4"/>
  <c r="H29" i="4"/>
  <c r="G29" i="4"/>
  <c r="F29" i="4"/>
  <c r="E29" i="4"/>
  <c r="D29" i="4"/>
  <c r="C29" i="4"/>
  <c r="AB28" i="4"/>
  <c r="AA28" i="4"/>
  <c r="Z28" i="4"/>
  <c r="Y28" i="4"/>
  <c r="X28" i="4"/>
  <c r="W28" i="4"/>
  <c r="V28" i="4"/>
  <c r="U28" i="4"/>
  <c r="T28" i="4"/>
  <c r="S28" i="4"/>
  <c r="R28" i="4"/>
  <c r="Q28" i="4"/>
  <c r="P28" i="4"/>
  <c r="O28" i="4"/>
  <c r="N28" i="4"/>
  <c r="M28" i="4"/>
  <c r="L28" i="4"/>
  <c r="K28" i="4"/>
  <c r="J28" i="4"/>
  <c r="I28" i="4"/>
  <c r="H28" i="4"/>
  <c r="G28" i="4"/>
  <c r="F28" i="4"/>
  <c r="E28" i="4"/>
  <c r="D28" i="4"/>
  <c r="C28" i="4"/>
  <c r="AB27" i="4"/>
  <c r="AA27" i="4"/>
  <c r="Z27" i="4"/>
  <c r="Y27" i="4"/>
  <c r="X27" i="4"/>
  <c r="W27" i="4"/>
  <c r="V27" i="4"/>
  <c r="U27" i="4"/>
  <c r="T27" i="4"/>
  <c r="S27" i="4"/>
  <c r="R27" i="4"/>
  <c r="Q27" i="4"/>
  <c r="P27" i="4"/>
  <c r="O27" i="4"/>
  <c r="N27" i="4"/>
  <c r="M27" i="4"/>
  <c r="L27" i="4"/>
  <c r="K27" i="4"/>
  <c r="J27" i="4"/>
  <c r="I27" i="4"/>
  <c r="H27" i="4"/>
  <c r="G27" i="4"/>
  <c r="F27" i="4"/>
  <c r="E27" i="4"/>
  <c r="D27" i="4"/>
  <c r="C27" i="4"/>
  <c r="AB26" i="4"/>
  <c r="AA26" i="4"/>
  <c r="Z26" i="4"/>
  <c r="Y26" i="4"/>
  <c r="X26" i="4"/>
  <c r="W26" i="4"/>
  <c r="V26" i="4"/>
  <c r="U26" i="4"/>
  <c r="T26" i="4"/>
  <c r="S26" i="4"/>
  <c r="R26" i="4"/>
  <c r="Q26" i="4"/>
  <c r="P26" i="4"/>
  <c r="O26" i="4"/>
  <c r="N26" i="4"/>
  <c r="M26" i="4"/>
  <c r="L26" i="4"/>
  <c r="K26" i="4"/>
  <c r="J26" i="4"/>
  <c r="I26" i="4"/>
  <c r="H26" i="4"/>
  <c r="G26" i="4"/>
  <c r="F26" i="4"/>
  <c r="E26" i="4"/>
  <c r="D26" i="4"/>
  <c r="C26" i="4"/>
  <c r="AB25" i="4"/>
  <c r="AA25" i="4"/>
  <c r="Z25" i="4"/>
  <c r="Y25" i="4"/>
  <c r="X25" i="4"/>
  <c r="W25" i="4"/>
  <c r="V25" i="4"/>
  <c r="U25" i="4"/>
  <c r="T25" i="4"/>
  <c r="S25" i="4"/>
  <c r="R25" i="4"/>
  <c r="Q25" i="4"/>
  <c r="P25" i="4"/>
  <c r="O25" i="4"/>
  <c r="N25" i="4"/>
  <c r="M25" i="4"/>
  <c r="L25" i="4"/>
  <c r="K25" i="4"/>
  <c r="J25" i="4"/>
  <c r="I25" i="4"/>
  <c r="H25" i="4"/>
  <c r="G25" i="4"/>
  <c r="F25" i="4"/>
  <c r="E25" i="4"/>
  <c r="D25" i="4"/>
  <c r="C25" i="4"/>
  <c r="AB24" i="4"/>
  <c r="AA24" i="4"/>
  <c r="Z24" i="4"/>
  <c r="Y24" i="4"/>
  <c r="X24" i="4"/>
  <c r="W24" i="4"/>
  <c r="V24" i="4"/>
  <c r="U24" i="4"/>
  <c r="T24" i="4"/>
  <c r="S24" i="4"/>
  <c r="R24" i="4"/>
  <c r="Q24" i="4"/>
  <c r="P24" i="4"/>
  <c r="O24" i="4"/>
  <c r="N24" i="4"/>
  <c r="M24" i="4"/>
  <c r="L24" i="4"/>
  <c r="K24" i="4"/>
  <c r="J24" i="4"/>
  <c r="I24" i="4"/>
  <c r="H24" i="4"/>
  <c r="G24" i="4"/>
  <c r="F24" i="4"/>
  <c r="E24" i="4"/>
  <c r="D24" i="4"/>
  <c r="C24" i="4"/>
  <c r="AB23" i="4"/>
  <c r="AA23" i="4"/>
  <c r="Z23" i="4"/>
  <c r="Y23" i="4"/>
  <c r="X23" i="4"/>
  <c r="W23" i="4"/>
  <c r="V23" i="4"/>
  <c r="U23" i="4"/>
  <c r="T23" i="4"/>
  <c r="S23" i="4"/>
  <c r="R23" i="4"/>
  <c r="Q23" i="4"/>
  <c r="P23" i="4"/>
  <c r="O23" i="4"/>
  <c r="N23" i="4"/>
  <c r="M23" i="4"/>
  <c r="L23" i="4"/>
  <c r="K23" i="4"/>
  <c r="J23" i="4"/>
  <c r="I23" i="4"/>
  <c r="H23" i="4"/>
  <c r="G23" i="4"/>
  <c r="F23" i="4"/>
  <c r="E23" i="4"/>
  <c r="D23" i="4"/>
  <c r="C23" i="4"/>
  <c r="AB22" i="4"/>
  <c r="AA22" i="4"/>
  <c r="Z22" i="4"/>
  <c r="Y22" i="4"/>
  <c r="X22" i="4"/>
  <c r="W22" i="4"/>
  <c r="V22" i="4"/>
  <c r="U22" i="4"/>
  <c r="T22" i="4"/>
  <c r="S22" i="4"/>
  <c r="R22" i="4"/>
  <c r="Q22" i="4"/>
  <c r="P22" i="4"/>
  <c r="O22" i="4"/>
  <c r="N22" i="4"/>
  <c r="M22" i="4"/>
  <c r="L22" i="4"/>
  <c r="K22" i="4"/>
  <c r="J22" i="4"/>
  <c r="I22" i="4"/>
  <c r="H22" i="4"/>
  <c r="G22" i="4"/>
  <c r="F22" i="4"/>
  <c r="E22" i="4"/>
  <c r="D22" i="4"/>
  <c r="C22" i="4"/>
  <c r="AB21" i="4"/>
  <c r="AA21" i="4"/>
  <c r="Z21" i="4"/>
  <c r="Y21" i="4"/>
  <c r="X21" i="4"/>
  <c r="W21" i="4"/>
  <c r="V21" i="4"/>
  <c r="U21" i="4"/>
  <c r="T21" i="4"/>
  <c r="S21" i="4"/>
  <c r="R21" i="4"/>
  <c r="Q21" i="4"/>
  <c r="P21" i="4"/>
  <c r="O21" i="4"/>
  <c r="N21" i="4"/>
  <c r="M21" i="4"/>
  <c r="L21" i="4"/>
  <c r="K21" i="4"/>
  <c r="J21" i="4"/>
  <c r="I21" i="4"/>
  <c r="H21" i="4"/>
  <c r="G21" i="4"/>
  <c r="F21" i="4"/>
  <c r="E21" i="4"/>
  <c r="D21" i="4"/>
  <c r="C21" i="4"/>
  <c r="AB20" i="4"/>
  <c r="AA20" i="4"/>
  <c r="Z20" i="4"/>
  <c r="Y20" i="4"/>
  <c r="X20" i="4"/>
  <c r="W20" i="4"/>
  <c r="V20" i="4"/>
  <c r="U20" i="4"/>
  <c r="T20" i="4"/>
  <c r="S20" i="4"/>
  <c r="R20" i="4"/>
  <c r="Q20" i="4"/>
  <c r="P20" i="4"/>
  <c r="O20" i="4"/>
  <c r="N20" i="4"/>
  <c r="M20" i="4"/>
  <c r="L20" i="4"/>
  <c r="K20" i="4"/>
  <c r="J20" i="4"/>
  <c r="I20" i="4"/>
  <c r="H20" i="4"/>
  <c r="G20" i="4"/>
  <c r="F20" i="4"/>
  <c r="E20" i="4"/>
  <c r="D20" i="4"/>
  <c r="C20" i="4"/>
  <c r="AB19" i="4"/>
  <c r="AA19" i="4"/>
  <c r="Z19" i="4"/>
  <c r="Y19" i="4"/>
  <c r="X19" i="4"/>
  <c r="W19" i="4"/>
  <c r="V19" i="4"/>
  <c r="U19" i="4"/>
  <c r="T19" i="4"/>
  <c r="S19" i="4"/>
  <c r="R19" i="4"/>
  <c r="Q19" i="4"/>
  <c r="P19" i="4"/>
  <c r="O19" i="4"/>
  <c r="N19" i="4"/>
  <c r="M19" i="4"/>
  <c r="L19" i="4"/>
  <c r="K19" i="4"/>
  <c r="J19" i="4"/>
  <c r="I19" i="4"/>
  <c r="H19" i="4"/>
  <c r="G19" i="4"/>
  <c r="F19" i="4"/>
  <c r="E19" i="4"/>
  <c r="D19" i="4"/>
  <c r="C19" i="4"/>
  <c r="AB18" i="4"/>
  <c r="AA18" i="4"/>
  <c r="Z18" i="4"/>
  <c r="Y18" i="4"/>
  <c r="X18" i="4"/>
  <c r="W18" i="4"/>
  <c r="V18" i="4"/>
  <c r="U18" i="4"/>
  <c r="T18" i="4"/>
  <c r="S18" i="4"/>
  <c r="R18" i="4"/>
  <c r="Q18" i="4"/>
  <c r="P18" i="4"/>
  <c r="O18" i="4"/>
  <c r="N18" i="4"/>
  <c r="M18" i="4"/>
  <c r="L18" i="4"/>
  <c r="K18" i="4"/>
  <c r="J18" i="4"/>
  <c r="I18" i="4"/>
  <c r="H18" i="4"/>
  <c r="G18" i="4"/>
  <c r="F18" i="4"/>
  <c r="E18" i="4"/>
  <c r="D18" i="4"/>
  <c r="C18" i="4"/>
  <c r="AB17" i="4"/>
  <c r="AA17" i="4"/>
  <c r="Z17" i="4"/>
  <c r="Y17" i="4"/>
  <c r="X17" i="4"/>
  <c r="W17" i="4"/>
  <c r="V17" i="4"/>
  <c r="U17" i="4"/>
  <c r="T17" i="4"/>
  <c r="S17" i="4"/>
  <c r="R17" i="4"/>
  <c r="Q17" i="4"/>
  <c r="P17" i="4"/>
  <c r="O17" i="4"/>
  <c r="N17" i="4"/>
  <c r="M17" i="4"/>
  <c r="L17" i="4"/>
  <c r="K17" i="4"/>
  <c r="J17" i="4"/>
  <c r="I17" i="4"/>
  <c r="H17" i="4"/>
  <c r="G17" i="4"/>
  <c r="F17" i="4"/>
  <c r="E17" i="4"/>
  <c r="D17" i="4"/>
  <c r="C17" i="4"/>
  <c r="AB16" i="4"/>
  <c r="AA16" i="4"/>
  <c r="Z16" i="4"/>
  <c r="Y16" i="4"/>
  <c r="X16" i="4"/>
  <c r="W16" i="4"/>
  <c r="V16" i="4"/>
  <c r="U16" i="4"/>
  <c r="T16" i="4"/>
  <c r="S16" i="4"/>
  <c r="R16" i="4"/>
  <c r="Q16" i="4"/>
  <c r="P16" i="4"/>
  <c r="O16" i="4"/>
  <c r="N16" i="4"/>
  <c r="M16" i="4"/>
  <c r="L16" i="4"/>
  <c r="K16" i="4"/>
  <c r="J16" i="4"/>
  <c r="I16" i="4"/>
  <c r="H16" i="4"/>
  <c r="G16" i="4"/>
  <c r="F16" i="4"/>
  <c r="E16" i="4"/>
  <c r="D16" i="4"/>
  <c r="C16" i="4"/>
  <c r="AB15" i="4"/>
  <c r="AA15" i="4"/>
  <c r="Z15" i="4"/>
  <c r="Y15" i="4"/>
  <c r="X15" i="4"/>
  <c r="W15" i="4"/>
  <c r="V15" i="4"/>
  <c r="U15" i="4"/>
  <c r="T15" i="4"/>
  <c r="S15" i="4"/>
  <c r="R15" i="4"/>
  <c r="Q15" i="4"/>
  <c r="P15" i="4"/>
  <c r="O15" i="4"/>
  <c r="N15" i="4"/>
  <c r="M15" i="4"/>
  <c r="L15" i="4"/>
  <c r="K15" i="4"/>
  <c r="J15" i="4"/>
  <c r="I15" i="4"/>
  <c r="H15" i="4"/>
  <c r="G15" i="4"/>
  <c r="F15" i="4"/>
  <c r="E15" i="4"/>
  <c r="D15" i="4"/>
  <c r="C15" i="4"/>
  <c r="AB14" i="4"/>
  <c r="AA14" i="4"/>
  <c r="Z14" i="4"/>
  <c r="Y14" i="4"/>
  <c r="X14" i="4"/>
  <c r="W14" i="4"/>
  <c r="V14" i="4"/>
  <c r="U14" i="4"/>
  <c r="T14" i="4"/>
  <c r="S14" i="4"/>
  <c r="R14" i="4"/>
  <c r="Q14" i="4"/>
  <c r="P14" i="4"/>
  <c r="O14" i="4"/>
  <c r="N14" i="4"/>
  <c r="M14" i="4"/>
  <c r="L14" i="4"/>
  <c r="K14" i="4"/>
  <c r="J14" i="4"/>
  <c r="I14" i="4"/>
  <c r="H14" i="4"/>
  <c r="G14" i="4"/>
  <c r="F14" i="4"/>
  <c r="E14" i="4"/>
  <c r="D14" i="4"/>
  <c r="C14" i="4"/>
  <c r="AB13" i="4"/>
  <c r="AA13" i="4"/>
  <c r="Z13" i="4"/>
  <c r="Y13" i="4"/>
  <c r="X13" i="4"/>
  <c r="W13" i="4"/>
  <c r="V13" i="4"/>
  <c r="U13" i="4"/>
  <c r="T13" i="4"/>
  <c r="S13" i="4"/>
  <c r="R13" i="4"/>
  <c r="Q13" i="4"/>
  <c r="P13" i="4"/>
  <c r="O13" i="4"/>
  <c r="N13" i="4"/>
  <c r="M13" i="4"/>
  <c r="L13" i="4"/>
  <c r="K13" i="4"/>
  <c r="J13" i="4"/>
  <c r="I13" i="4"/>
  <c r="H13" i="4"/>
  <c r="G13" i="4"/>
  <c r="F13" i="4"/>
  <c r="E13" i="4"/>
  <c r="D13" i="4"/>
  <c r="C13" i="4"/>
  <c r="AB12" i="4"/>
  <c r="AA12" i="4"/>
  <c r="Z12" i="4"/>
  <c r="Y12" i="4"/>
  <c r="X12" i="4"/>
  <c r="W12" i="4"/>
  <c r="V12" i="4"/>
  <c r="U12" i="4"/>
  <c r="T12" i="4"/>
  <c r="S12" i="4"/>
  <c r="R12" i="4"/>
  <c r="Q12" i="4"/>
  <c r="P12" i="4"/>
  <c r="O12" i="4"/>
  <c r="N12" i="4"/>
  <c r="M12" i="4"/>
  <c r="L12" i="4"/>
  <c r="K12" i="4"/>
  <c r="J12" i="4"/>
  <c r="I12" i="4"/>
  <c r="H12" i="4"/>
  <c r="G12" i="4"/>
  <c r="F12" i="4"/>
  <c r="E12" i="4"/>
  <c r="D12" i="4"/>
  <c r="C12" i="4"/>
  <c r="AB10" i="4"/>
  <c r="U10" i="4"/>
  <c r="T10" i="4"/>
  <c r="M10" i="4"/>
  <c r="L10" i="4"/>
  <c r="E10" i="4"/>
  <c r="D10" i="4"/>
  <c r="AA9" i="4"/>
  <c r="Z9" i="4"/>
  <c r="Y9" i="4"/>
  <c r="X9" i="4"/>
  <c r="W9" i="4"/>
  <c r="V9" i="4"/>
  <c r="U9" i="4"/>
  <c r="S9" i="4"/>
  <c r="R9" i="4"/>
  <c r="Q9" i="4"/>
  <c r="P9" i="4"/>
  <c r="O9" i="4"/>
  <c r="N9" i="4"/>
  <c r="M9" i="4"/>
  <c r="K9" i="4"/>
  <c r="J9" i="4"/>
  <c r="I9" i="4"/>
  <c r="H9" i="4"/>
  <c r="G9" i="4"/>
  <c r="F9" i="4"/>
  <c r="E9" i="4"/>
  <c r="C9" i="4"/>
  <c r="AB8" i="4"/>
  <c r="AA8" i="4"/>
  <c r="AA10" i="4" s="1"/>
  <c r="Z8" i="4"/>
  <c r="Z10" i="4" s="1"/>
  <c r="Y8" i="4"/>
  <c r="Y10" i="4" s="1"/>
  <c r="X8" i="4"/>
  <c r="X10" i="4" s="1"/>
  <c r="U8" i="4"/>
  <c r="T8" i="4"/>
  <c r="S8" i="4"/>
  <c r="S10" i="4" s="1"/>
  <c r="R8" i="4"/>
  <c r="R10" i="4" s="1"/>
  <c r="Q8" i="4"/>
  <c r="Q10" i="4" s="1"/>
  <c r="P8" i="4"/>
  <c r="P10" i="4" s="1"/>
  <c r="M8" i="4"/>
  <c r="L8" i="4"/>
  <c r="K8" i="4"/>
  <c r="K10" i="4" s="1"/>
  <c r="J8" i="4"/>
  <c r="J10" i="4" s="1"/>
  <c r="I8" i="4"/>
  <c r="I10" i="4" s="1"/>
  <c r="H8" i="4"/>
  <c r="H10" i="4" s="1"/>
  <c r="E8" i="4"/>
  <c r="D8" i="4"/>
  <c r="C8" i="4"/>
  <c r="C10" i="4" s="1"/>
  <c r="AA7" i="4"/>
  <c r="Z7" i="4"/>
  <c r="S7" i="4"/>
  <c r="R7" i="4"/>
  <c r="K7" i="4"/>
  <c r="J7" i="4"/>
  <c r="C7" i="4"/>
  <c r="W5" i="4"/>
  <c r="W6" i="4" s="1"/>
  <c r="V5" i="4"/>
  <c r="V6" i="4" s="1"/>
  <c r="O5" i="4"/>
  <c r="O6" i="4" s="1"/>
  <c r="N5" i="4"/>
  <c r="N6" i="4" s="1"/>
  <c r="G5" i="4"/>
  <c r="G6" i="4" s="1"/>
  <c r="F5" i="4"/>
  <c r="F6" i="4" s="1"/>
  <c r="Y4" i="4"/>
  <c r="X4" i="4"/>
  <c r="Q4" i="4"/>
  <c r="P4" i="4"/>
  <c r="I4" i="4"/>
  <c r="H4" i="4"/>
  <c r="AG3" i="4"/>
  <c r="Y7" i="4" s="1"/>
  <c r="AA3" i="4"/>
  <c r="S3" i="4"/>
  <c r="K3" i="4"/>
  <c r="C3" i="4"/>
  <c r="AG2" i="4"/>
  <c r="W8" i="4" s="1"/>
  <c r="W10" i="4" s="1"/>
  <c r="P39" i="1"/>
  <c r="Q38" i="1"/>
  <c r="P38" i="1"/>
  <c r="R38" i="1" s="1"/>
  <c r="P36" i="1"/>
  <c r="Q35" i="1"/>
  <c r="P35" i="1"/>
  <c r="R35" i="1" s="1"/>
  <c r="P34" i="1"/>
  <c r="P33" i="1"/>
  <c r="Q32" i="1"/>
  <c r="R32" i="1" s="1"/>
  <c r="P32" i="1"/>
  <c r="P31" i="1"/>
  <c r="Q30" i="1"/>
  <c r="P30" i="1"/>
  <c r="R30" i="1" s="1"/>
  <c r="P28" i="1"/>
  <c r="Q27" i="1"/>
  <c r="P27" i="1"/>
  <c r="R27" i="1" s="1"/>
  <c r="P26" i="1"/>
  <c r="P25" i="1"/>
  <c r="Q24" i="1"/>
  <c r="R24" i="1" s="1"/>
  <c r="P24" i="1"/>
  <c r="P23" i="1"/>
  <c r="Q22" i="1"/>
  <c r="P22" i="1"/>
  <c r="R22" i="1" s="1"/>
  <c r="P20" i="1"/>
  <c r="Q19" i="1"/>
  <c r="P19" i="1"/>
  <c r="R19" i="1" s="1"/>
  <c r="P18" i="1"/>
  <c r="Q17" i="1"/>
  <c r="P17" i="1"/>
  <c r="R17" i="1" s="1"/>
  <c r="Q16" i="1"/>
  <c r="R16" i="1" s="1"/>
  <c r="P16" i="1"/>
  <c r="P15" i="1"/>
  <c r="Q13" i="1"/>
  <c r="Q37" i="1" s="1"/>
  <c r="R23" i="1" l="1"/>
  <c r="R31" i="1"/>
  <c r="R25" i="1"/>
  <c r="T7" i="4"/>
  <c r="U3" i="4"/>
  <c r="AB7" i="4"/>
  <c r="Q5" i="4"/>
  <c r="Q6" i="4" s="1"/>
  <c r="D3" i="4"/>
  <c r="X5" i="4"/>
  <c r="X6" i="4" s="1"/>
  <c r="F3" i="4"/>
  <c r="C4" i="4"/>
  <c r="S4" i="4"/>
  <c r="I5" i="4"/>
  <c r="I6" i="4" s="1"/>
  <c r="E7" i="4"/>
  <c r="Q20" i="1"/>
  <c r="R20" i="1" s="1"/>
  <c r="Q36" i="1"/>
  <c r="R36" i="1" s="1"/>
  <c r="O3" i="4"/>
  <c r="AB4" i="4"/>
  <c r="H3" i="4"/>
  <c r="E4" i="4"/>
  <c r="M4" i="4"/>
  <c r="AA5" i="4"/>
  <c r="AA6" i="4" s="1"/>
  <c r="G7" i="4"/>
  <c r="O7" i="4"/>
  <c r="W7" i="4"/>
  <c r="T3" i="4"/>
  <c r="M3" i="4"/>
  <c r="P5" i="4"/>
  <c r="P6" i="4" s="1"/>
  <c r="D7" i="4"/>
  <c r="Q25" i="1"/>
  <c r="W3" i="4"/>
  <c r="L4" i="4"/>
  <c r="J5" i="4"/>
  <c r="J6" i="4" s="1"/>
  <c r="Z5" i="4"/>
  <c r="Z6" i="4" s="1"/>
  <c r="Q23" i="1"/>
  <c r="K5" i="4"/>
  <c r="K6" i="4" s="1"/>
  <c r="Q18" i="1"/>
  <c r="R18" i="1" s="1"/>
  <c r="Q26" i="1"/>
  <c r="R26" i="1" s="1"/>
  <c r="Y3" i="4"/>
  <c r="N4" i="4"/>
  <c r="V4" i="4"/>
  <c r="H7" i="4"/>
  <c r="P7" i="4"/>
  <c r="X7" i="4"/>
  <c r="N8" i="4"/>
  <c r="N10" i="4" s="1"/>
  <c r="V8" i="4"/>
  <c r="V10" i="4" s="1"/>
  <c r="E3" i="4"/>
  <c r="L7" i="4"/>
  <c r="Q33" i="1"/>
  <c r="R33" i="1" s="1"/>
  <c r="M7" i="4"/>
  <c r="U7" i="4"/>
  <c r="Q28" i="1"/>
  <c r="R28" i="1" s="1"/>
  <c r="G3" i="4"/>
  <c r="R5" i="4"/>
  <c r="R6" i="4" s="1"/>
  <c r="F7" i="4"/>
  <c r="N7" i="4"/>
  <c r="V7" i="4"/>
  <c r="Q15" i="1"/>
  <c r="R15" i="1" s="1"/>
  <c r="Q31" i="1"/>
  <c r="Q39" i="1"/>
  <c r="R39" i="1" s="1"/>
  <c r="U4" i="4"/>
  <c r="Q34" i="1"/>
  <c r="R34" i="1" s="1"/>
  <c r="Q21" i="1"/>
  <c r="R21" i="1" s="1"/>
  <c r="Q29" i="1"/>
  <c r="R29" i="1" s="1"/>
  <c r="I7" i="4"/>
  <c r="Q7" i="4"/>
  <c r="G8" i="4"/>
  <c r="G10" i="4" s="1"/>
  <c r="O8" i="4"/>
  <c r="O10" i="4" s="1"/>
</calcChain>
</file>

<file path=xl/sharedStrings.xml><?xml version="1.0" encoding="utf-8"?>
<sst xmlns="http://schemas.openxmlformats.org/spreadsheetml/2006/main" count="391" uniqueCount="150">
  <si>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</si>
  <si>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</si>
  <si>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</si>
  <si>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</si>
  <si>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</si>
  <si>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</si>
  <si>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</si>
  <si>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</si>
  <si>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</si>
  <si>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</si>
  <si>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</si>
  <si>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</si>
  <si>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</si>
  <si>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</si>
  <si>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</si>
  <si>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Manufacturing PMI</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</si>
  <si>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</si>
  <si>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</si>
  <si>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</si>
  <si>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</si>
  <si>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</si>
  <si>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</si>
  <si>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</si>
  <si>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</si>
  <si>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</si>
  <si>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</si>
  <si>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</si>
  <si>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</si>
  <si>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</si>
  <si>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</si>
  <si>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</si>
  <si>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</si>
  <si>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</si>
  <si>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</si>
  <si>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</si>
  <si>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</si>
  <si>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</si>
  <si>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</si>
  <si>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</si>
  <si>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</si>
  <si>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</si>
  <si>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</si>
  <si>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</si>
  <si>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</si>
  <si>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</si>
  <si>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</si>
  <si>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</si>
  <si>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</si>
  <si>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</si>
  <si>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</si>
  <si>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</si>
  <si>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</si>
  <si>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</si>
  <si>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</si>
  <si>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</si>
  <si>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</si>
  <si>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</si>
  <si>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</si>
  <si>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</si>
  <si>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</si>
  <si>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</si>
  <si>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</si>
  <si>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</si>
  <si>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</si>
  <si>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</si>
  <si>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</si>
  <si>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</si>
  <si>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</si>
  <si>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</si>
  <si>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</si>
  <si>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</si>
  <si>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</si>
  <si>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</si>
  <si>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</si>
  <si>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</si>
  <si>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</si>
  <si>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</si>
  <si>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</si>
  <si>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</si>
  <si>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</si>
  <si>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</si>
  <si>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</si>
  <si>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</si>
  <si>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</si>
  <si>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australia</t>
  </si>
  <si>
    <t>brazil</t>
  </si>
  <si>
    <t>canada</t>
  </si>
  <si>
    <t>czech-republic</t>
  </si>
  <si>
    <t>denmark</t>
  </si>
  <si>
    <t>euro-area</t>
  </si>
  <si>
    <t>france</t>
  </si>
  <si>
    <t>germany</t>
  </si>
  <si>
    <t>greece</t>
  </si>
  <si>
    <t>hong-kong</t>
  </si>
  <si>
    <t>india</t>
  </si>
  <si>
    <t>indonesia</t>
  </si>
  <si>
    <t>ireland</t>
  </si>
  <si>
    <t>italy</t>
  </si>
  <si>
    <t>japan</t>
  </si>
  <si>
    <t>mexico</t>
  </si>
  <si>
    <t>new-zealand</t>
  </si>
  <si>
    <t>poland</t>
  </si>
  <si>
    <t>russia</t>
  </si>
  <si>
    <t>saudi-arabia</t>
  </si>
  <si>
    <t>south-africa</t>
  </si>
  <si>
    <t>south-korea</t>
  </si>
  <si>
    <t>spain</t>
  </si>
  <si>
    <t>taiwan</t>
  </si>
  <si>
    <t>thailand</t>
  </si>
  <si>
    <t>turkey</t>
  </si>
  <si>
    <t>united-kingdom</t>
  </si>
  <si>
    <t>united-states</t>
  </si>
  <si>
    <t>vietnam</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</si>
  <si>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</si>
  <si>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</si>
  <si>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</si>
  <si>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</si>
  <si>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</si>
  <si>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</si>
  <si>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</si>
  <si>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</si>
  <si>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</si>
  <si>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</si>
  <si>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</si>
  <si>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</si>
  <si>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</si>
  <si>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</si>
  <si>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</si>
  <si>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</si>
  <si>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</si>
  <si>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ACWI</t>
  </si>
  <si>
    <t>PMI yoy</t>
  </si>
  <si>
    <t>ACWI yoy</t>
  </si>
  <si>
    <t>U.S.</t>
  </si>
  <si>
    <t xml:space="preserve"> Manufacturing PMI</t>
  </si>
  <si>
    <t>ISM Manufacturing</t>
  </si>
  <si>
    <t>Caixin China</t>
  </si>
  <si>
    <t>https://tradingeconomics.com/china/business-confidence</t>
  </si>
  <si>
    <t>Caixin PMI</t>
  </si>
  <si>
    <t>Official PMI</t>
  </si>
  <si>
    <t>mom2</t>
  </si>
  <si>
    <t>GDP yoy %</t>
  </si>
  <si>
    <t>Euro Area PMI</t>
  </si>
  <si>
    <t>EZU</t>
  </si>
  <si>
    <t>EZU yoy</t>
  </si>
  <si>
    <t>Euro Area GDP qoq %</t>
  </si>
  <si>
    <t>U.K.</t>
  </si>
  <si>
    <t>EWU</t>
  </si>
  <si>
    <t>EWU yoy</t>
  </si>
  <si>
    <t>Hong-Kong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</si>
</sst>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applyAlignment="1">
      <alignment wrapText="1"/>
    </xf>
    <xf numFmtId="0" fontId="0" fillId="2" borderId="0" xfId="0" applyFill="1"/>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F351-C448-A5B9-B4538F7AA5A3}"/>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F351-C448-A5B9-B4538F7AA5A3}"/>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8FF-784F-B582-58AFCEC631A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E712-D74E-8E97-7AE27301F6A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BCF5-FE4A-9ADF-486601C11482}"/>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BCF5-FE4A-9ADF-486601C11482}"/>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AA35-D646-8D8B-9E069CD25F37}"/>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AA35-D646-8D8B-9E069CD25F37}"/>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261F-AA47-8146-2F75C2E4815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9004-0846-A168-5920295CB58C}"/>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9004-0846-A168-5920295CB58C}"/>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851A-2742-8F77-14E7338102FA}"/>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851A-2742-8F77-14E7338102FA}"/>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851A-2742-8F77-14E7338102FA}"/>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098A-7F45-ACE6-7C83B4F1795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4ACF-2642-A444-990D2C3F125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5290-FE48-8FC1-1FE82552054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B10F-7C4A-A93F-EEC414F334E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96C6-AA4A-949F-E4F6F6BCBE2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96C6-AA4A-949F-E4F6F6BCBE2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3B81-6B4F-B040-B5F2AAC866E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ln>
            <a:effectLst/>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A35A-F447-B74F-1AC7F2B0CBF7}"/>
            </c:ext>
          </c:extLst>
        </c:ser>
        <c:dLbls>
          <c:showLegendKey val="0"/>
          <c:showVal val="0"/>
          <c:showCatName val="0"/>
          <c:showSerName val="0"/>
          <c:showPercent val="0"/>
          <c:showBubbleSize val="0"/>
        </c:dLbls>
        <c:axId val="1051183663"/>
        <c:axId val="1050752447"/>
      </c:areaChart>
      <c:dateAx>
        <c:axId val="105118366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752447"/>
        <c:crosses val="autoZero"/>
        <c:auto val="1"/>
        <c:lblOffset val="100"/>
        <c:baseTimeUnit val="months"/>
      </c:dateAx>
      <c:valAx>
        <c:axId val="1050752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18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ln>
            <a:effectLst/>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FC2F-0B44-BF0B-CA4917B887BA}"/>
            </c:ext>
          </c:extLst>
        </c:ser>
        <c:dLbls>
          <c:showLegendKey val="0"/>
          <c:showVal val="0"/>
          <c:showCatName val="0"/>
          <c:showSerName val="0"/>
          <c:showPercent val="0"/>
          <c:showBubbleSize val="0"/>
        </c:dLbls>
        <c:axId val="347681184"/>
        <c:axId val="347691888"/>
      </c:areaChart>
      <c:dateAx>
        <c:axId val="347681184"/>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691888"/>
        <c:crosses val="autoZero"/>
        <c:auto val="1"/>
        <c:lblOffset val="100"/>
        <c:baseTimeUnit val="months"/>
      </c:dateAx>
      <c:valAx>
        <c:axId val="347691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6811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ln>
            <a:effectLst/>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38A6-4F48-942D-B7B663BC8A9A}"/>
            </c:ext>
          </c:extLst>
        </c:ser>
        <c:dLbls>
          <c:showLegendKey val="0"/>
          <c:showVal val="0"/>
          <c:showCatName val="0"/>
          <c:showSerName val="0"/>
          <c:showPercent val="0"/>
          <c:showBubbleSize val="0"/>
        </c:dLbls>
        <c:axId val="347301312"/>
        <c:axId val="347351536"/>
      </c:areaChart>
      <c:dateAx>
        <c:axId val="3473013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351536"/>
        <c:crosses val="autoZero"/>
        <c:auto val="1"/>
        <c:lblOffset val="100"/>
        <c:baseTimeUnit val="months"/>
      </c:dateAx>
      <c:valAx>
        <c:axId val="347351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3013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ln>
            <a:effectLst/>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F00D-F240-95B6-47283370E45A}"/>
            </c:ext>
          </c:extLst>
        </c:ser>
        <c:dLbls>
          <c:showLegendKey val="0"/>
          <c:showVal val="0"/>
          <c:showCatName val="0"/>
          <c:showSerName val="0"/>
          <c:showPercent val="0"/>
          <c:showBubbleSize val="0"/>
        </c:dLbls>
        <c:axId val="8829056"/>
        <c:axId val="8830704"/>
      </c:areaChart>
      <c:dateAx>
        <c:axId val="882905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0704"/>
        <c:crosses val="autoZero"/>
        <c:auto val="1"/>
        <c:lblOffset val="100"/>
        <c:baseTimeUnit val="months"/>
      </c:dateAx>
      <c:valAx>
        <c:axId val="883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9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ln>
            <a:effectLst/>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584F-EE4C-BEA8-5E79623FEEE5}"/>
            </c:ext>
          </c:extLst>
        </c:ser>
        <c:dLbls>
          <c:showLegendKey val="0"/>
          <c:showVal val="0"/>
          <c:showCatName val="0"/>
          <c:showSerName val="0"/>
          <c:showPercent val="0"/>
          <c:showBubbleSize val="0"/>
        </c:dLbls>
        <c:axId val="347992496"/>
        <c:axId val="347554384"/>
      </c:areaChart>
      <c:dateAx>
        <c:axId val="34799249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554384"/>
        <c:crosses val="autoZero"/>
        <c:auto val="1"/>
        <c:lblOffset val="100"/>
        <c:baseTimeUnit val="months"/>
      </c:dateAx>
      <c:valAx>
        <c:axId val="34755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992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ln>
            <a:effectLst/>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3CD8-824B-A336-1E5F1EB1AF8B}"/>
            </c:ext>
          </c:extLst>
        </c:ser>
        <c:dLbls>
          <c:showLegendKey val="0"/>
          <c:showVal val="0"/>
          <c:showCatName val="0"/>
          <c:showSerName val="0"/>
          <c:showPercent val="0"/>
          <c:showBubbleSize val="0"/>
        </c:dLbls>
        <c:axId val="232179712"/>
        <c:axId val="232442432"/>
      </c:areaChart>
      <c:dateAx>
        <c:axId val="2321797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42432"/>
        <c:crosses val="autoZero"/>
        <c:auto val="1"/>
        <c:lblOffset val="100"/>
        <c:baseTimeUnit val="months"/>
      </c:dateAx>
      <c:valAx>
        <c:axId val="23244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179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prstDash val="solid"/>
            </a:ln>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0F3-D749-BEF8-661B8929549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prstDash val="solid"/>
            </a:ln>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720A-F844-BE31-35AE24E2EA0C}"/>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prstDash val="solid"/>
            </a:ln>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B41B-924C-82D2-D2C234FE55C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prstDash val="solid"/>
            </a:ln>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9AB5-4F4C-AC58-09BAAF94278F}"/>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prstDash val="solid"/>
            </a:ln>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54BE-EB49-9C8F-A5A8A07E026B}"/>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prstDash val="solid"/>
            </a:ln>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3433-EE41-BF40-74C8166B2E0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prstDash val="solid"/>
            </a:ln>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8224-B04F-AB47-E083B89996E7}"/>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prstDash val="solid"/>
            </a:ln>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AF12-C74B-90D3-F081CC67C6EA}"/>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prstDash val="solid"/>
            </a:ln>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C927-3849-88BA-43717669BFD2}"/>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prstDash val="solid"/>
            </a:ln>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0E3E-B94C-8813-678ED5FD3D74}"/>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prstDash val="solid"/>
            </a:ln>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DC70-144C-964F-0BA30ACEB69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prstDash val="solid"/>
            </a:ln>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BA40-7D4C-91CD-6F56DD2F39D4}"/>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prstDash val="solid"/>
            </a:ln>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3C6F-D541-A53A-A9723664E3E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prstDash val="solid"/>
            </a:ln>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9889-8647-A6C6-B55F1BDD4F90}"/>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prstDash val="solid"/>
            </a:ln>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624D-F74C-A120-9255A515770A}"/>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prstDash val="solid"/>
            </a:ln>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DD4D-2948-AAB9-9AD72DFE4683}"/>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669338417899563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prstDash val="solid"/>
            </a:ln>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B7C5-1446-AA3B-ABCCEE0FDE1A}"/>
            </c:ext>
          </c:extLst>
        </c:ser>
        <c:dLbls>
          <c:showLegendKey val="0"/>
          <c:showVal val="0"/>
          <c:showCatName val="0"/>
          <c:showSerName val="0"/>
          <c:showPercent val="0"/>
          <c:showBubbleSize val="0"/>
        </c:dLbls>
        <c:axId val="10"/>
        <c:axId val="100"/>
      </c:areaChart>
      <c:lineChart>
        <c:grouping val="standard"/>
        <c:varyColors val="0"/>
        <c:dLbls>
          <c:showLegendKey val="0"/>
          <c:showVal val="0"/>
          <c:showCatName val="0"/>
          <c:showSerName val="0"/>
          <c:showPercent val="0"/>
          <c:showBubbleSize val="0"/>
        </c:dLbls>
        <c:marker val="1"/>
        <c:smooth val="0"/>
        <c:axId val="781995520"/>
        <c:axId val="781722752"/>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between"/>
      </c:valAx>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prstDash val="solid"/>
            <a:round/>
          </a:ln>
        </c:spPr>
        <c:txPr>
          <a:bodyPr rot="-30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722752"/>
        <c:crossesAt val="50"/>
        <c:auto val="0"/>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plotArea>
    <c:legend>
      <c:legendPos val="r"/>
      <c:legendEntry>
        <c:idx val="0"/>
        <c:txPr>
          <a:bodyPr rot="0" spcFirstLastPara="1" vertOverflow="ellipsis" vert="horz" wrap="square" anchor="ctr" anchorCtr="1"/>
          <a:lstStyle/>
          <a:p>
            <a:pPr>
              <a:defRPr sz="1100" b="1" i="0"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38"/>
          <c:y val="1.7850763986451901E-2"/>
          <c:w val="0.37206481248228201"/>
          <c:h val="8.5032291088095333E-2"/>
        </c:manualLayout>
      </c:layout>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3" name="Chart 2">
          <a:extLst>
            <a:ext uri="{FF2B5EF4-FFF2-40B4-BE49-F238E27FC236}">
              <a16:creationId xmlns:a16="http://schemas.microsoft.com/office/drawing/2014/main" id="{F6A9B426-82D7-BB4F-B365-F83716FE6D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3" name="Chart 2">
          <a:extLst>
            <a:ext uri="{FF2B5EF4-FFF2-40B4-BE49-F238E27FC236}">
              <a16:creationId xmlns:a16="http://schemas.microsoft.com/office/drawing/2014/main" id="{DC5381FB-AE2E-CE44-9A5A-FF3D1C1BC8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3" name="Chart 2">
          <a:extLst>
            <a:ext uri="{FF2B5EF4-FFF2-40B4-BE49-F238E27FC236}">
              <a16:creationId xmlns:a16="http://schemas.microsoft.com/office/drawing/2014/main" id="{22F18E01-3E2F-854A-8FB6-14E677AAC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3" name="Chart 2">
          <a:extLst>
            <a:ext uri="{FF2B5EF4-FFF2-40B4-BE49-F238E27FC236}">
              <a16:creationId xmlns:a16="http://schemas.microsoft.com/office/drawing/2014/main" id="{00473A59-18C9-4641-A916-5E99223AE1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3" name="Chart 2">
          <a:extLst>
            <a:ext uri="{FF2B5EF4-FFF2-40B4-BE49-F238E27FC236}">
              <a16:creationId xmlns:a16="http://schemas.microsoft.com/office/drawing/2014/main" id="{DB824EA5-290D-334B-A882-5EA74F7AC5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3" name="Chart 2">
          <a:extLst>
            <a:ext uri="{FF2B5EF4-FFF2-40B4-BE49-F238E27FC236}">
              <a16:creationId xmlns:a16="http://schemas.microsoft.com/office/drawing/2014/main" id="{887EED15-40B3-DF47-A2C6-8F85C5D22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390525</xdr:colOff>
      <xdr:row>107</xdr:row>
      <xdr:rowOff>133350</xdr:rowOff>
    </xdr:from>
    <xdr:to>
      <xdr:col>14</xdr:col>
      <xdr:colOff>121921</xdr:colOff>
      <xdr:row>126</xdr:row>
      <xdr:rowOff>186690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95250</xdr:colOff>
      <xdr:row>143</xdr:row>
      <xdr:rowOff>38100</xdr:rowOff>
    </xdr:from>
    <xdr:to>
      <xdr:col>13</xdr:col>
      <xdr:colOff>436246</xdr:colOff>
      <xdr:row>162</xdr:row>
      <xdr:rowOff>91440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247650</xdr:colOff>
      <xdr:row>106</xdr:row>
      <xdr:rowOff>85725</xdr:rowOff>
    </xdr:from>
    <xdr:to>
      <xdr:col>14</xdr:col>
      <xdr:colOff>588646</xdr:colOff>
      <xdr:row>125</xdr:row>
      <xdr:rowOff>139065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276225</xdr:colOff>
      <xdr:row>107</xdr:row>
      <xdr:rowOff>85725</xdr:rowOff>
    </xdr:from>
    <xdr:to>
      <xdr:col>14</xdr:col>
      <xdr:colOff>7621</xdr:colOff>
      <xdr:row>126</xdr:row>
      <xdr:rowOff>139065</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xdr:col>
      <xdr:colOff>28575</xdr:colOff>
      <xdr:row>108</xdr:row>
      <xdr:rowOff>47625</xdr:rowOff>
    </xdr:from>
    <xdr:to>
      <xdr:col>13</xdr:col>
      <xdr:colOff>369571</xdr:colOff>
      <xdr:row>127</xdr:row>
      <xdr:rowOff>100965</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4</xdr:col>
      <xdr:colOff>38100</xdr:colOff>
      <xdr:row>115</xdr:row>
      <xdr:rowOff>28575</xdr:rowOff>
    </xdr:from>
    <xdr:to>
      <xdr:col>13</xdr:col>
      <xdr:colOff>379096</xdr:colOff>
      <xdr:row>134</xdr:row>
      <xdr:rowOff>81915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76200</xdr:colOff>
      <xdr:row>116</xdr:row>
      <xdr:rowOff>0</xdr:rowOff>
    </xdr:from>
    <xdr:to>
      <xdr:col>13</xdr:col>
      <xdr:colOff>417196</xdr:colOff>
      <xdr:row>135</xdr:row>
      <xdr:rowOff>53340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533400</xdr:colOff>
      <xdr:row>113</xdr:row>
      <xdr:rowOff>95250</xdr:rowOff>
    </xdr:from>
    <xdr:to>
      <xdr:col>13</xdr:col>
      <xdr:colOff>264796</xdr:colOff>
      <xdr:row>132</xdr:row>
      <xdr:rowOff>148590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4</xdr:col>
      <xdr:colOff>133350</xdr:colOff>
      <xdr:row>110</xdr:row>
      <xdr:rowOff>152400</xdr:rowOff>
    </xdr:from>
    <xdr:to>
      <xdr:col>13</xdr:col>
      <xdr:colOff>474346</xdr:colOff>
      <xdr:row>130</xdr:row>
      <xdr:rowOff>15240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600075</xdr:colOff>
      <xdr:row>110</xdr:row>
      <xdr:rowOff>38100</xdr:rowOff>
    </xdr:from>
    <xdr:to>
      <xdr:col>13</xdr:col>
      <xdr:colOff>331471</xdr:colOff>
      <xdr:row>129</xdr:row>
      <xdr:rowOff>91440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590550</xdr:colOff>
      <xdr:row>308</xdr:row>
      <xdr:rowOff>142875</xdr:rowOff>
    </xdr:from>
    <xdr:to>
      <xdr:col>13</xdr:col>
      <xdr:colOff>321946</xdr:colOff>
      <xdr:row>328</xdr:row>
      <xdr:rowOff>5715</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590550</xdr:colOff>
      <xdr:row>89</xdr:row>
      <xdr:rowOff>0</xdr:rowOff>
    </xdr:from>
    <xdr:to>
      <xdr:col>13</xdr:col>
      <xdr:colOff>321946</xdr:colOff>
      <xdr:row>108</xdr:row>
      <xdr:rowOff>53340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314325</xdr:colOff>
      <xdr:row>44</xdr:row>
      <xdr:rowOff>104775</xdr:rowOff>
    </xdr:from>
    <xdr:to>
      <xdr:col>14</xdr:col>
      <xdr:colOff>45721</xdr:colOff>
      <xdr:row>63</xdr:row>
      <xdr:rowOff>158115</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4</xdr:col>
      <xdr:colOff>123825</xdr:colOff>
      <xdr:row>244</xdr:row>
      <xdr:rowOff>19050</xdr:rowOff>
    </xdr:from>
    <xdr:to>
      <xdr:col>13</xdr:col>
      <xdr:colOff>464821</xdr:colOff>
      <xdr:row>263</xdr:row>
      <xdr:rowOff>72390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4</xdr:col>
      <xdr:colOff>76200</xdr:colOff>
      <xdr:row>72</xdr:row>
      <xdr:rowOff>76200</xdr:rowOff>
    </xdr:from>
    <xdr:to>
      <xdr:col>13</xdr:col>
      <xdr:colOff>417196</xdr:colOff>
      <xdr:row>91</xdr:row>
      <xdr:rowOff>129540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4</xdr:col>
      <xdr:colOff>485775</xdr:colOff>
      <xdr:row>56</xdr:row>
      <xdr:rowOff>171450</xdr:rowOff>
    </xdr:from>
    <xdr:to>
      <xdr:col>14</xdr:col>
      <xdr:colOff>217171</xdr:colOff>
      <xdr:row>76</xdr:row>
      <xdr:rowOff>34290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4</xdr:col>
      <xdr:colOff>257175</xdr:colOff>
      <xdr:row>212</xdr:row>
      <xdr:rowOff>171450</xdr:rowOff>
    </xdr:from>
    <xdr:to>
      <xdr:col>13</xdr:col>
      <xdr:colOff>598171</xdr:colOff>
      <xdr:row>232</xdr:row>
      <xdr:rowOff>34290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zoomScale="140" zoomScaleNormal="140" workbookViewId="0">
      <selection activeCell="Y36" sqref="Y36"/>
    </sheetView>
  </sheetViews>
  <sheetFormatPr baseColWidth="10" defaultColWidth="9.1640625" defaultRowHeight="15" x14ac:dyDescent="0.2"/>
  <cols>
    <col min="1" max="1" width="4" style="78" customWidth="1"/>
    <col min="2" max="5" width="12.83203125" style="78" customWidth="1"/>
    <col min="6" max="6" width="13.6640625" style="78" customWidth="1"/>
    <col min="7" max="10" width="12.83203125" style="78" customWidth="1"/>
    <col min="11" max="13" width="2" style="78" customWidth="1"/>
    <col min="14" max="14" width="9.1640625" style="78" customWidth="1"/>
    <col min="15" max="15" width="15.5" style="78" customWidth="1"/>
    <col min="16" max="18" width="12.6640625" style="78" customWidth="1"/>
    <col min="19" max="19" width="11.6640625" style="78" customWidth="1"/>
    <col min="20" max="24" width="9.1640625" style="78" customWidth="1"/>
    <col min="25" max="16384" width="9.1640625" style="78"/>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90"/>
      <c r="D3" s="90"/>
      <c r="E3" s="90"/>
      <c r="F3" s="90"/>
      <c r="G3" s="90"/>
      <c r="H3" s="90"/>
      <c r="I3" s="90"/>
      <c r="J3" s="91"/>
    </row>
    <row r="5" spans="2:19" x14ac:dyDescent="0.2">
      <c r="B5" s="80" t="s">
        <v>1</v>
      </c>
      <c r="C5" s="85"/>
      <c r="D5" s="85"/>
      <c r="E5" s="85"/>
      <c r="F5" s="85"/>
      <c r="G5" s="85"/>
      <c r="H5" s="85"/>
      <c r="I5" s="85"/>
      <c r="J5" s="81"/>
    </row>
    <row r="7" spans="2:19" ht="225.75" customHeight="1" x14ac:dyDescent="0.2">
      <c r="B7" s="92" t="s">
        <v>2</v>
      </c>
      <c r="C7" s="83"/>
      <c r="D7" s="83"/>
      <c r="E7" s="83"/>
      <c r="F7" s="83"/>
      <c r="G7" s="83"/>
      <c r="H7" s="83"/>
      <c r="I7" s="83"/>
      <c r="J7" s="83"/>
    </row>
    <row r="8" spans="2:19" ht="24" customHeight="1" x14ac:dyDescent="0.2">
      <c r="B8" s="1"/>
      <c r="C8" s="77"/>
      <c r="D8" s="77"/>
      <c r="E8" s="77"/>
      <c r="F8" s="77"/>
      <c r="G8" s="77"/>
      <c r="H8" s="77"/>
      <c r="I8" s="77"/>
      <c r="J8" s="77"/>
    </row>
    <row r="9" spans="2:19" ht="16" customHeight="1" thickBot="1" x14ac:dyDescent="0.25">
      <c r="B9" s="2"/>
      <c r="C9" s="3"/>
      <c r="D9" s="3"/>
      <c r="E9" s="3"/>
    </row>
    <row r="10" spans="2:19" ht="16" customHeight="1" thickBot="1" x14ac:dyDescent="0.25">
      <c r="B10" s="80" t="s">
        <v>3</v>
      </c>
      <c r="C10" s="85"/>
      <c r="D10" s="85"/>
      <c r="E10" s="85"/>
      <c r="F10" s="85"/>
      <c r="G10" s="85"/>
      <c r="H10" s="85"/>
      <c r="I10" s="85"/>
      <c r="J10" s="81"/>
      <c r="N10" s="93" t="s">
        <v>4</v>
      </c>
      <c r="O10" s="90"/>
      <c r="P10" s="90"/>
      <c r="Q10" s="90"/>
      <c r="R10" s="90"/>
      <c r="S10" s="91"/>
    </row>
    <row r="11" spans="2:19" x14ac:dyDescent="0.2">
      <c r="N11" s="4" t="s">
        <v>5</v>
      </c>
    </row>
    <row r="12" spans="2:19" ht="16" customHeight="1" thickBot="1" x14ac:dyDescent="0.25">
      <c r="B12" s="80" t="s">
        <v>6</v>
      </c>
      <c r="C12" s="85"/>
      <c r="D12" s="85"/>
      <c r="E12" s="85"/>
      <c r="F12" s="81"/>
      <c r="G12" s="80" t="s">
        <v>7</v>
      </c>
      <c r="H12" s="85"/>
      <c r="I12" s="85"/>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83" t="s">
        <v>10</v>
      </c>
      <c r="H14" s="83"/>
      <c r="I14" s="83"/>
      <c r="J14" s="83"/>
      <c r="O14" s="78" t="s">
        <v>11</v>
      </c>
      <c r="P14" s="8" t="s">
        <v>12</v>
      </c>
      <c r="Q14" s="8" t="s">
        <v>12</v>
      </c>
      <c r="R14" s="9" t="s">
        <v>13</v>
      </c>
      <c r="S14" s="67" t="s">
        <v>14</v>
      </c>
    </row>
    <row r="15" spans="2:19" ht="30.75" customHeight="1" x14ac:dyDescent="0.2">
      <c r="G15" s="86" t="s">
        <v>15</v>
      </c>
      <c r="H15" s="83"/>
      <c r="I15" s="83"/>
      <c r="J15" s="83"/>
      <c r="N15" s="80" t="s">
        <v>9</v>
      </c>
      <c r="O15" s="81"/>
      <c r="P15" s="25">
        <f>VLOOKUP($P$13,Summary!$B:$AB,MATCH(Note!N15,Summary!$B$2:$AB$2,),)</f>
        <v>54.2</v>
      </c>
      <c r="Q15" s="25">
        <f>VLOOKUP($Q$13,Summary!$B:$AB,MATCH(Note!N15,Summary!$B$2:$AB$2,),)</f>
        <v>54.2</v>
      </c>
      <c r="R15" s="63">
        <f t="shared" ref="R15:R39" si="0">P15-Q15</f>
        <v>0</v>
      </c>
      <c r="S15" s="65"/>
    </row>
    <row r="16" spans="2:19" x14ac:dyDescent="0.2">
      <c r="B16" s="86" t="s">
        <v>16</v>
      </c>
      <c r="C16" s="83"/>
      <c r="D16" s="83"/>
      <c r="E16" s="83"/>
      <c r="F16" s="83"/>
      <c r="G16" s="83" t="s">
        <v>17</v>
      </c>
      <c r="H16" s="83"/>
      <c r="I16" s="83"/>
      <c r="J16" s="83"/>
      <c r="N16" s="80" t="s">
        <v>18</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8" t="s">
        <v>19</v>
      </c>
      <c r="N17" s="80" t="s">
        <v>20</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21</v>
      </c>
      <c r="O18" s="81"/>
      <c r="P18" s="25">
        <f>VLOOKUP($P$13,Summary!$B:$AB,MATCH(Note!N18,Summary!$B$2:$AB$2,),)</f>
        <v>58</v>
      </c>
      <c r="Q18" s="25">
        <f>VLOOKUP($Q$13,Summary!$B:$AB,MATCH(Note!N18,Summary!$B$2:$AB$2,),)</f>
        <v>58.4</v>
      </c>
      <c r="R18" s="63">
        <f t="shared" si="0"/>
        <v>-0.39999999999999858</v>
      </c>
      <c r="S18" s="64">
        <v>0.156</v>
      </c>
    </row>
    <row r="19" spans="2:19" x14ac:dyDescent="0.2">
      <c r="N19" s="80" t="s">
        <v>22</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23</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24</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25</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26</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27</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28</v>
      </c>
      <c r="O25" s="81"/>
      <c r="P25" s="25">
        <f>VLOOKUP($P$13,Summary!$B:$AB,MATCH(Note!N25,Summary!$B$2:$AB$2,),)</f>
        <v>49.8</v>
      </c>
      <c r="Q25" s="25">
        <f>VLOOKUP($Q$13,Summary!$B:$AB,MATCH(Note!N25,Summary!$B$2:$AB$2,),)</f>
        <v>49.8</v>
      </c>
      <c r="R25" s="63">
        <f t="shared" si="0"/>
        <v>0</v>
      </c>
      <c r="S25" s="64">
        <v>2.5521033750822361E-2</v>
      </c>
    </row>
    <row r="26" spans="2:19" x14ac:dyDescent="0.2">
      <c r="N26" s="80" t="s">
        <v>29</v>
      </c>
      <c r="O26" s="81"/>
      <c r="P26" s="25">
        <f>VLOOKUP($P$13,Summary!$B:$AB,MATCH(Note!N26,Summary!$B$2:$AB$2,),)</f>
        <v>49.4</v>
      </c>
      <c r="Q26" s="25">
        <f>VLOOKUP($Q$13,Summary!$B:$AB,MATCH(Note!N26,Summary!$B$2:$AB$2,),)</f>
        <v>49.4</v>
      </c>
      <c r="R26" s="63">
        <f t="shared" si="0"/>
        <v>0</v>
      </c>
      <c r="S26" s="64">
        <v>1.4287310236963301E-2</v>
      </c>
    </row>
    <row r="27" spans="2:19" x14ac:dyDescent="0.2">
      <c r="N27" s="80" t="s">
        <v>30</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31</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32</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33</v>
      </c>
      <c r="O30" s="81"/>
      <c r="P30" s="25" t="e">
        <f>VLOOKUP($P$13,Summary!$B:$AB,MATCH(Note!N30,Summary!$B$2:$AB$2,),)</f>
        <v>#N/A</v>
      </c>
      <c r="Q30" s="25">
        <f>VLOOKUP($Q$13,Summary!$B:$AB,MATCH(Note!N30,Summary!$B$2:$AB$2,),)</f>
        <v>54.8</v>
      </c>
      <c r="R30" s="63" t="e">
        <f t="shared" si="0"/>
        <v>#N/A</v>
      </c>
      <c r="S30" s="64">
        <v>1.6422338352304462E-2</v>
      </c>
    </row>
    <row r="31" spans="2:19" x14ac:dyDescent="0.2">
      <c r="N31" s="80" t="s">
        <v>34</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35</v>
      </c>
      <c r="O32" s="81"/>
      <c r="P32" s="25">
        <f>VLOOKUP($P$13,Summary!$B:$AB,MATCH(Note!N32,Summary!$B$2:$AB$2,),)</f>
        <v>51.9</v>
      </c>
      <c r="Q32" s="25">
        <f>VLOOKUP($Q$13,Summary!$B:$AB,MATCH(Note!N32,Summary!$B$2:$AB$2,),)</f>
        <v>50.9</v>
      </c>
      <c r="R32" s="63">
        <f t="shared" si="0"/>
        <v>1</v>
      </c>
      <c r="S32" s="64">
        <v>1.9E-2</v>
      </c>
    </row>
    <row r="33" spans="2:19" x14ac:dyDescent="0.2">
      <c r="N33" s="80" t="s">
        <v>36</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37</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38</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39</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40</v>
      </c>
      <c r="O37" s="81"/>
      <c r="P37" s="25">
        <f>VLOOKUP($P$13,Summary!$B:$AB,MATCH(Note!N37,Summary!$B$2:$AB$2,),)</f>
        <v>59.1</v>
      </c>
      <c r="Q37" s="25">
        <f>VLOOKUP($Q$13,Summary!$B:$AB,MATCH(Note!N37,Summary!$B$2:$AB$2,),)</f>
        <v>57.1</v>
      </c>
      <c r="R37" s="63">
        <f t="shared" si="0"/>
        <v>2</v>
      </c>
      <c r="S37" s="64">
        <v>3.0000000000000001E-3</v>
      </c>
    </row>
    <row r="38" spans="2:19" x14ac:dyDescent="0.2">
      <c r="N38" s="80" t="s">
        <v>41</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42</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82"/>
      <c r="C44" s="83"/>
      <c r="D44" s="83"/>
      <c r="E44" s="83"/>
      <c r="F44" s="83"/>
      <c r="G44" s="83"/>
      <c r="H44" s="83"/>
      <c r="I44" s="83"/>
      <c r="J44" s="83"/>
      <c r="K44" s="83"/>
      <c r="L44" s="83"/>
      <c r="M44" s="83"/>
      <c r="N44" s="83"/>
      <c r="O44" s="83"/>
      <c r="P44" s="83"/>
      <c r="Q44" s="83"/>
      <c r="R44" s="83"/>
      <c r="S44" s="83"/>
    </row>
    <row r="45" spans="2:19" x14ac:dyDescent="0.2">
      <c r="B45" s="86"/>
      <c r="C45" s="83"/>
      <c r="D45" s="83"/>
      <c r="E45" s="83"/>
      <c r="F45" s="83"/>
      <c r="G45" s="83"/>
      <c r="H45" s="83"/>
      <c r="I45" s="83"/>
      <c r="J45" s="83"/>
      <c r="K45" s="83"/>
      <c r="L45" s="83"/>
      <c r="M45" s="83"/>
      <c r="N45" s="83"/>
      <c r="O45" s="83"/>
      <c r="P45" s="83"/>
      <c r="Q45" s="83"/>
      <c r="R45" s="83"/>
      <c r="S45" s="83"/>
    </row>
    <row r="46" spans="2:19" x14ac:dyDescent="0.2">
      <c r="B46" s="84"/>
      <c r="C46" s="83"/>
      <c r="D46" s="83"/>
      <c r="E46" s="83"/>
      <c r="F46" s="83"/>
      <c r="G46" s="83"/>
      <c r="H46" s="83"/>
      <c r="I46" s="83"/>
      <c r="J46" s="83"/>
      <c r="K46" s="83"/>
      <c r="L46" s="83"/>
      <c r="M46" s="83"/>
      <c r="N46" s="83"/>
      <c r="O46" s="83"/>
      <c r="P46" s="83"/>
      <c r="Q46" s="83"/>
      <c r="R46" s="83"/>
      <c r="S46" s="83"/>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58" sqref="F58"/>
    </sheetView>
  </sheetViews>
  <sheetFormatPr baseColWidth="10" defaultColWidth="9.1640625" defaultRowHeight="15" x14ac:dyDescent="0.2"/>
  <cols>
    <col min="1" max="2" width="9.1640625" style="78" customWidth="1"/>
    <col min="3" max="7" width="28.6640625" style="26" customWidth="1"/>
    <col min="8" max="12" width="9.1640625" style="78" customWidth="1"/>
    <col min="13" max="16384" width="9.1640625" style="78"/>
  </cols>
  <sheetData>
    <row r="2" spans="2:7" x14ac:dyDescent="0.2">
      <c r="B2" s="1" t="s">
        <v>16</v>
      </c>
    </row>
    <row r="8" spans="2:7" ht="16" customHeight="1" thickBot="1" x14ac:dyDescent="0.25"/>
    <row r="9" spans="2:7" x14ac:dyDescent="0.2">
      <c r="C9" s="60" t="s">
        <v>11</v>
      </c>
      <c r="D9" s="61" t="s">
        <v>43</v>
      </c>
      <c r="E9" s="61" t="s">
        <v>44</v>
      </c>
      <c r="F9" s="61" t="s">
        <v>45</v>
      </c>
      <c r="G9" s="62" t="s">
        <v>46</v>
      </c>
    </row>
    <row r="10" spans="2:7" x14ac:dyDescent="0.2">
      <c r="C10" s="75" t="s">
        <v>47</v>
      </c>
      <c r="D10" s="69">
        <v>64.8</v>
      </c>
      <c r="E10" s="73">
        <v>52.2</v>
      </c>
      <c r="F10" s="70">
        <v>44531</v>
      </c>
      <c r="G10" s="69" t="s">
        <v>48</v>
      </c>
    </row>
    <row r="11" spans="2:7" x14ac:dyDescent="0.2">
      <c r="C11" s="75" t="s">
        <v>42</v>
      </c>
      <c r="D11" s="69">
        <v>64.400000000000006</v>
      </c>
      <c r="E11" s="73">
        <v>68.2</v>
      </c>
      <c r="F11" s="70">
        <v>44531</v>
      </c>
      <c r="G11" s="69" t="s">
        <v>48</v>
      </c>
    </row>
    <row r="12" spans="2:7" x14ac:dyDescent="0.2">
      <c r="C12" s="75" t="s">
        <v>49</v>
      </c>
      <c r="D12" s="69">
        <v>62.7</v>
      </c>
      <c r="E12" s="73">
        <v>62.5</v>
      </c>
      <c r="F12" s="70">
        <v>44531</v>
      </c>
      <c r="G12" s="69" t="s">
        <v>48</v>
      </c>
    </row>
    <row r="13" spans="2:7" x14ac:dyDescent="0.2">
      <c r="C13" s="75" t="s">
        <v>50</v>
      </c>
      <c r="D13" s="69">
        <v>62.1</v>
      </c>
      <c r="E13" s="73">
        <v>63.1</v>
      </c>
      <c r="F13" s="70">
        <v>44531</v>
      </c>
      <c r="G13" s="71" t="s">
        <v>48</v>
      </c>
    </row>
    <row r="14" spans="2:7" x14ac:dyDescent="0.2">
      <c r="C14" s="75" t="s">
        <v>51</v>
      </c>
      <c r="D14" s="69">
        <v>62</v>
      </c>
      <c r="E14" s="73">
        <v>62.8</v>
      </c>
      <c r="F14" s="70">
        <v>44531</v>
      </c>
      <c r="G14" s="69" t="s">
        <v>48</v>
      </c>
    </row>
    <row r="15" spans="2:7" x14ac:dyDescent="0.2">
      <c r="C15" s="75" t="s">
        <v>52</v>
      </c>
      <c r="D15" s="69">
        <v>61.9</v>
      </c>
      <c r="E15" s="73">
        <v>60.4</v>
      </c>
      <c r="F15" s="70">
        <v>44501</v>
      </c>
      <c r="G15" s="69" t="s">
        <v>48</v>
      </c>
    </row>
    <row r="16" spans="2:7" x14ac:dyDescent="0.2">
      <c r="C16" s="75" t="s">
        <v>53</v>
      </c>
      <c r="D16" s="69">
        <v>61.4</v>
      </c>
      <c r="E16" s="73">
        <v>63.1</v>
      </c>
      <c r="F16" s="70">
        <v>44531</v>
      </c>
      <c r="G16" s="69" t="s">
        <v>48</v>
      </c>
    </row>
    <row r="17" spans="3:7" x14ac:dyDescent="0.2">
      <c r="C17" s="75" t="s">
        <v>54</v>
      </c>
      <c r="D17" s="69">
        <v>59.1</v>
      </c>
      <c r="E17" s="73">
        <v>57.1</v>
      </c>
      <c r="F17" s="70">
        <v>44531</v>
      </c>
      <c r="G17" s="69" t="s">
        <v>48</v>
      </c>
    </row>
    <row r="18" spans="3:7" x14ac:dyDescent="0.2">
      <c r="C18" s="75" t="s">
        <v>37</v>
      </c>
      <c r="D18" s="69">
        <v>59</v>
      </c>
      <c r="E18" s="73">
        <v>58.8</v>
      </c>
      <c r="F18" s="70">
        <v>44531</v>
      </c>
      <c r="G18" s="69" t="s">
        <v>48</v>
      </c>
    </row>
    <row r="19" spans="3:7" x14ac:dyDescent="0.2">
      <c r="C19" s="75" t="s">
        <v>55</v>
      </c>
      <c r="D19" s="69">
        <v>58.7</v>
      </c>
      <c r="E19" s="73">
        <v>58.1</v>
      </c>
      <c r="F19" s="70">
        <v>44531</v>
      </c>
      <c r="G19" s="69" t="s">
        <v>48</v>
      </c>
    </row>
    <row r="20" spans="3:7" x14ac:dyDescent="0.2">
      <c r="C20" s="75" t="s">
        <v>56</v>
      </c>
      <c r="D20" s="69">
        <v>58.7</v>
      </c>
      <c r="E20" s="73">
        <v>60.7</v>
      </c>
      <c r="F20" s="70">
        <v>44531</v>
      </c>
      <c r="G20" s="69" t="s">
        <v>48</v>
      </c>
    </row>
    <row r="21" spans="3:7" x14ac:dyDescent="0.2">
      <c r="C21" s="75" t="s">
        <v>38</v>
      </c>
      <c r="D21" s="69">
        <v>58.3</v>
      </c>
      <c r="E21" s="73">
        <v>59.9</v>
      </c>
      <c r="F21" s="70">
        <v>44531</v>
      </c>
      <c r="G21" s="69" t="s">
        <v>48</v>
      </c>
    </row>
    <row r="22" spans="3:7" x14ac:dyDescent="0.2">
      <c r="C22" s="75" t="s">
        <v>57</v>
      </c>
      <c r="D22" s="69">
        <v>58</v>
      </c>
      <c r="E22" s="73">
        <v>58.4</v>
      </c>
      <c r="F22" s="70">
        <v>44531</v>
      </c>
      <c r="G22" s="69" t="s">
        <v>48</v>
      </c>
    </row>
    <row r="23" spans="3:7" x14ac:dyDescent="0.2">
      <c r="C23" s="75" t="s">
        <v>58</v>
      </c>
      <c r="D23" s="69">
        <v>58</v>
      </c>
      <c r="E23" s="73">
        <v>63.9</v>
      </c>
      <c r="F23" s="70">
        <v>44531</v>
      </c>
      <c r="G23" s="69" t="s">
        <v>48</v>
      </c>
    </row>
    <row r="24" spans="3:7" x14ac:dyDescent="0.2">
      <c r="C24" s="75" t="s">
        <v>59</v>
      </c>
      <c r="D24" s="69">
        <v>57.9</v>
      </c>
      <c r="E24" s="73">
        <v>58.1</v>
      </c>
      <c r="F24" s="70">
        <v>44531</v>
      </c>
      <c r="G24" s="69" t="s">
        <v>48</v>
      </c>
    </row>
    <row r="25" spans="3:7" x14ac:dyDescent="0.2">
      <c r="C25" s="75" t="s">
        <v>60</v>
      </c>
      <c r="D25" s="69">
        <v>57.7</v>
      </c>
      <c r="E25" s="73">
        <v>58.3</v>
      </c>
      <c r="F25" s="70">
        <v>44531</v>
      </c>
      <c r="G25" s="71" t="s">
        <v>48</v>
      </c>
    </row>
    <row r="26" spans="3:7" x14ac:dyDescent="0.2">
      <c r="C26" s="75" t="s">
        <v>23</v>
      </c>
      <c r="D26" s="69">
        <v>57.4</v>
      </c>
      <c r="E26" s="73">
        <v>57.4</v>
      </c>
      <c r="F26" s="70">
        <v>44531</v>
      </c>
      <c r="G26" s="69" t="s">
        <v>48</v>
      </c>
    </row>
    <row r="27" spans="3:7" x14ac:dyDescent="0.2">
      <c r="C27" s="75" t="s">
        <v>61</v>
      </c>
      <c r="D27" s="69">
        <v>57.2</v>
      </c>
      <c r="E27" s="73">
        <v>53.6</v>
      </c>
      <c r="F27" s="70">
        <v>44501</v>
      </c>
      <c r="G27" s="69" t="s">
        <v>48</v>
      </c>
    </row>
    <row r="28" spans="3:7" x14ac:dyDescent="0.2">
      <c r="C28" s="75" t="s">
        <v>32</v>
      </c>
      <c r="D28" s="69">
        <v>56.5</v>
      </c>
      <c r="E28" s="73">
        <v>57.2</v>
      </c>
      <c r="F28" s="70">
        <v>44531</v>
      </c>
      <c r="G28" s="69" t="s">
        <v>48</v>
      </c>
    </row>
    <row r="29" spans="3:7" x14ac:dyDescent="0.2">
      <c r="C29" s="75" t="s">
        <v>27</v>
      </c>
      <c r="D29" s="69">
        <v>56.2</v>
      </c>
      <c r="E29" s="73">
        <v>57.1</v>
      </c>
      <c r="F29" s="70">
        <v>44531</v>
      </c>
      <c r="G29" s="69" t="s">
        <v>48</v>
      </c>
    </row>
    <row r="30" spans="3:7" x14ac:dyDescent="0.2">
      <c r="C30" s="75" t="s">
        <v>41</v>
      </c>
      <c r="D30" s="69">
        <v>56.1</v>
      </c>
      <c r="E30" s="73">
        <v>54.4</v>
      </c>
      <c r="F30" s="70">
        <v>44531</v>
      </c>
      <c r="G30" s="71" t="s">
        <v>48</v>
      </c>
    </row>
    <row r="31" spans="3:7" x14ac:dyDescent="0.2">
      <c r="C31" s="75" t="s">
        <v>62</v>
      </c>
      <c r="D31" s="69">
        <v>55.9</v>
      </c>
      <c r="E31" s="73">
        <v>55.7</v>
      </c>
      <c r="F31" s="70">
        <v>44501</v>
      </c>
      <c r="G31" s="69" t="s">
        <v>48</v>
      </c>
    </row>
    <row r="32" spans="3:7" x14ac:dyDescent="0.2">
      <c r="C32" s="75" t="s">
        <v>24</v>
      </c>
      <c r="D32" s="69">
        <v>55.6</v>
      </c>
      <c r="E32" s="73">
        <v>55.9</v>
      </c>
      <c r="F32" s="70">
        <v>44531</v>
      </c>
      <c r="G32" s="69" t="s">
        <v>48</v>
      </c>
    </row>
    <row r="33" spans="3:7" x14ac:dyDescent="0.2">
      <c r="C33" s="75" t="s">
        <v>31</v>
      </c>
      <c r="D33" s="69">
        <v>55.5</v>
      </c>
      <c r="E33" s="73">
        <v>57.6</v>
      </c>
      <c r="F33" s="70">
        <v>44531</v>
      </c>
      <c r="G33" s="69" t="s">
        <v>48</v>
      </c>
    </row>
    <row r="34" spans="3:7" x14ac:dyDescent="0.2">
      <c r="C34" s="75" t="s">
        <v>36</v>
      </c>
      <c r="D34" s="69">
        <v>55.5</v>
      </c>
      <c r="E34" s="73">
        <v>54.9</v>
      </c>
      <c r="F34" s="70">
        <v>44531</v>
      </c>
      <c r="G34" s="69" t="s">
        <v>48</v>
      </c>
    </row>
    <row r="35" spans="3:7" x14ac:dyDescent="0.2">
      <c r="C35" s="75" t="s">
        <v>33</v>
      </c>
      <c r="D35" s="69">
        <v>54.8</v>
      </c>
      <c r="E35" s="73">
        <v>50.4</v>
      </c>
      <c r="F35" s="70">
        <v>44501</v>
      </c>
      <c r="G35" s="69" t="s">
        <v>48</v>
      </c>
    </row>
    <row r="36" spans="3:7" x14ac:dyDescent="0.2">
      <c r="C36" s="75" t="s">
        <v>63</v>
      </c>
      <c r="D36" s="69">
        <v>54.3</v>
      </c>
      <c r="E36" s="73">
        <v>54.5</v>
      </c>
      <c r="F36" s="70">
        <v>44531</v>
      </c>
      <c r="G36" s="69" t="s">
        <v>48</v>
      </c>
    </row>
    <row r="37" spans="3:7" x14ac:dyDescent="0.2">
      <c r="C37" s="75" t="s">
        <v>64</v>
      </c>
      <c r="D37" s="69">
        <v>53.9</v>
      </c>
      <c r="E37" s="73">
        <v>56.9</v>
      </c>
      <c r="F37" s="70">
        <v>44531</v>
      </c>
      <c r="G37" s="69" t="s">
        <v>48</v>
      </c>
    </row>
    <row r="38" spans="3:7" x14ac:dyDescent="0.2">
      <c r="C38" s="75" t="s">
        <v>34</v>
      </c>
      <c r="D38" s="69">
        <v>53.5</v>
      </c>
      <c r="E38" s="73">
        <v>53.9</v>
      </c>
      <c r="F38" s="70">
        <v>44531</v>
      </c>
      <c r="G38" s="69" t="s">
        <v>48</v>
      </c>
    </row>
    <row r="39" spans="3:7" x14ac:dyDescent="0.2">
      <c r="C39" s="75" t="s">
        <v>65</v>
      </c>
      <c r="D39" s="69">
        <v>53.2</v>
      </c>
      <c r="E39" s="73">
        <v>53.8</v>
      </c>
      <c r="F39" s="70">
        <v>44440</v>
      </c>
      <c r="G39" s="69" t="s">
        <v>48</v>
      </c>
    </row>
    <row r="40" spans="3:7" x14ac:dyDescent="0.2">
      <c r="C40" s="75" t="s">
        <v>66</v>
      </c>
      <c r="D40" s="69">
        <v>53.1</v>
      </c>
      <c r="E40" s="73">
        <v>54.9</v>
      </c>
      <c r="F40" s="70">
        <v>44531</v>
      </c>
      <c r="G40" s="69" t="s">
        <v>48</v>
      </c>
    </row>
    <row r="41" spans="3:7" x14ac:dyDescent="0.2">
      <c r="C41" s="75" t="s">
        <v>67</v>
      </c>
      <c r="D41" s="69">
        <v>53</v>
      </c>
      <c r="E41" s="73">
        <v>51.4</v>
      </c>
      <c r="F41" s="70">
        <v>44501</v>
      </c>
      <c r="G41" s="69" t="s">
        <v>48</v>
      </c>
    </row>
    <row r="42" spans="3:7" x14ac:dyDescent="0.2">
      <c r="C42" s="75" t="s">
        <v>68</v>
      </c>
      <c r="D42" s="69">
        <v>52.8</v>
      </c>
      <c r="E42" s="73">
        <v>52.3</v>
      </c>
      <c r="F42" s="70">
        <v>44531</v>
      </c>
      <c r="G42" s="69" t="s">
        <v>48</v>
      </c>
    </row>
    <row r="43" spans="3:7" x14ac:dyDescent="0.2">
      <c r="C43" s="75" t="s">
        <v>69</v>
      </c>
      <c r="D43" s="69">
        <v>52.6</v>
      </c>
      <c r="E43" s="73">
        <v>50.8</v>
      </c>
      <c r="F43" s="70">
        <v>44501</v>
      </c>
      <c r="G43" s="69" t="s">
        <v>48</v>
      </c>
    </row>
    <row r="44" spans="3:7" x14ac:dyDescent="0.2">
      <c r="C44" s="75" t="s">
        <v>70</v>
      </c>
      <c r="D44" s="69">
        <v>52.5</v>
      </c>
      <c r="E44" s="73">
        <v>52.2</v>
      </c>
      <c r="F44" s="70">
        <v>44531</v>
      </c>
      <c r="G44" s="69" t="s">
        <v>48</v>
      </c>
    </row>
    <row r="45" spans="3:7" x14ac:dyDescent="0.2">
      <c r="C45" s="75" t="s">
        <v>39</v>
      </c>
      <c r="D45" s="69">
        <v>52.1</v>
      </c>
      <c r="E45" s="73">
        <v>52</v>
      </c>
      <c r="F45" s="70">
        <v>44531</v>
      </c>
      <c r="G45" s="69" t="s">
        <v>48</v>
      </c>
    </row>
    <row r="46" spans="3:7" x14ac:dyDescent="0.2">
      <c r="C46" s="75" t="s">
        <v>71</v>
      </c>
      <c r="D46" s="69">
        <v>51.9</v>
      </c>
      <c r="E46" s="73">
        <v>50.9</v>
      </c>
      <c r="F46" s="70">
        <v>44531</v>
      </c>
      <c r="G46" s="69" t="s">
        <v>48</v>
      </c>
    </row>
    <row r="47" spans="3:7" x14ac:dyDescent="0.2">
      <c r="C47" s="75" t="s">
        <v>72</v>
      </c>
      <c r="D47" s="69">
        <v>51.8</v>
      </c>
      <c r="E47" s="73">
        <v>51.7</v>
      </c>
      <c r="F47" s="70">
        <v>44531</v>
      </c>
      <c r="G47" s="69" t="s">
        <v>48</v>
      </c>
    </row>
    <row r="48" spans="3:7" x14ac:dyDescent="0.2">
      <c r="C48" s="75" t="s">
        <v>30</v>
      </c>
      <c r="D48" s="69">
        <v>51.6</v>
      </c>
      <c r="E48" s="73">
        <v>51.7</v>
      </c>
      <c r="F48" s="70">
        <v>44531</v>
      </c>
      <c r="G48" s="69" t="s">
        <v>48</v>
      </c>
    </row>
    <row r="49" spans="3:7" x14ac:dyDescent="0.2">
      <c r="C49" s="75" t="s">
        <v>73</v>
      </c>
      <c r="D49" s="69">
        <v>50.9</v>
      </c>
      <c r="E49" s="73">
        <v>49.9</v>
      </c>
      <c r="F49" s="70">
        <v>44531</v>
      </c>
      <c r="G49" s="69" t="s">
        <v>48</v>
      </c>
    </row>
    <row r="50" spans="3:7" x14ac:dyDescent="0.2">
      <c r="C50" s="75" t="s">
        <v>74</v>
      </c>
      <c r="D50" s="69">
        <v>50.7</v>
      </c>
      <c r="E50" s="73">
        <v>50.6</v>
      </c>
      <c r="F50" s="70">
        <v>44531</v>
      </c>
      <c r="G50" s="69" t="s">
        <v>48</v>
      </c>
    </row>
    <row r="51" spans="3:7" x14ac:dyDescent="0.2">
      <c r="C51" s="75" t="s">
        <v>75</v>
      </c>
      <c r="D51" s="69">
        <v>50.6</v>
      </c>
      <c r="E51" s="73">
        <v>54.3</v>
      </c>
      <c r="F51" s="70">
        <v>44501</v>
      </c>
      <c r="G51" s="69" t="s">
        <v>48</v>
      </c>
    </row>
    <row r="52" spans="3:7" x14ac:dyDescent="0.2">
      <c r="C52" s="75" t="s">
        <v>76</v>
      </c>
      <c r="D52" s="69">
        <v>50.25</v>
      </c>
      <c r="E52" s="73">
        <v>55.4</v>
      </c>
      <c r="F52" s="70">
        <v>44501</v>
      </c>
      <c r="G52" s="69" t="s">
        <v>48</v>
      </c>
    </row>
    <row r="53" spans="3:7" x14ac:dyDescent="0.2">
      <c r="C53" s="75" t="s">
        <v>77</v>
      </c>
      <c r="D53" s="69">
        <v>49.9</v>
      </c>
      <c r="E53" s="73">
        <v>51.6</v>
      </c>
      <c r="F53" s="70">
        <v>44501</v>
      </c>
      <c r="G53" s="69" t="s">
        <v>48</v>
      </c>
    </row>
    <row r="54" spans="3:7" x14ac:dyDescent="0.2">
      <c r="C54" s="75" t="s">
        <v>28</v>
      </c>
      <c r="D54" s="69">
        <v>49.8</v>
      </c>
      <c r="E54" s="73">
        <v>49.8</v>
      </c>
      <c r="F54" s="70">
        <v>44531</v>
      </c>
      <c r="G54" s="69" t="s">
        <v>48</v>
      </c>
    </row>
    <row r="55" spans="3:7" x14ac:dyDescent="0.2">
      <c r="C55" s="75" t="s">
        <v>78</v>
      </c>
      <c r="D55" s="69">
        <v>49.5</v>
      </c>
      <c r="E55" s="73">
        <v>50.6</v>
      </c>
      <c r="F55" s="70">
        <v>44531</v>
      </c>
      <c r="G55" s="69" t="s">
        <v>48</v>
      </c>
    </row>
    <row r="56" spans="3:7" x14ac:dyDescent="0.2">
      <c r="C56" s="75" t="s">
        <v>29</v>
      </c>
      <c r="D56" s="69">
        <v>49.4</v>
      </c>
      <c r="E56" s="73">
        <v>49.4</v>
      </c>
      <c r="F56" s="70">
        <v>44531</v>
      </c>
      <c r="G56" s="72" t="s">
        <v>48</v>
      </c>
    </row>
    <row r="57" spans="3:7" x14ac:dyDescent="0.2">
      <c r="C57" s="25" t="s">
        <v>79</v>
      </c>
      <c r="D57" s="25">
        <v>49</v>
      </c>
      <c r="E57" s="25">
        <v>48.7</v>
      </c>
      <c r="F57" s="74">
        <v>44531</v>
      </c>
      <c r="G57" s="25" t="s">
        <v>48</v>
      </c>
    </row>
    <row r="58" spans="3:7" x14ac:dyDescent="0.2">
      <c r="C58" s="25" t="s">
        <v>80</v>
      </c>
      <c r="D58" s="25">
        <v>49</v>
      </c>
      <c r="E58" s="25">
        <v>46.7</v>
      </c>
      <c r="F58" s="74">
        <v>44531</v>
      </c>
      <c r="G58" s="25" t="s">
        <v>48</v>
      </c>
    </row>
    <row r="59" spans="3:7" x14ac:dyDescent="0.2">
      <c r="C59" s="25" t="s">
        <v>81</v>
      </c>
      <c r="D59" s="25">
        <v>46.9</v>
      </c>
      <c r="E59" s="25">
        <v>46.6</v>
      </c>
      <c r="F59" s="74">
        <v>44409</v>
      </c>
      <c r="G59" s="25" t="s">
        <v>48</v>
      </c>
    </row>
    <row r="60" spans="3:7" x14ac:dyDescent="0.2">
      <c r="C60" s="25" t="s">
        <v>82</v>
      </c>
      <c r="D60" s="25">
        <v>46.1</v>
      </c>
      <c r="E60" s="25">
        <v>46.6</v>
      </c>
      <c r="F60" s="74">
        <v>44501</v>
      </c>
      <c r="G60" s="25" t="s">
        <v>48</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D340"/>
  <sheetViews>
    <sheetView zoomScale="160" zoomScaleNormal="160" workbookViewId="0">
      <pane ySplit="1" topLeftCell="A313" activePane="bottomLeft" state="frozen"/>
      <selection activeCell="P121" sqref="P121"/>
      <selection pane="bottomLeft" activeCell="P121" sqref="P121"/>
    </sheetView>
  </sheetViews>
  <sheetFormatPr baseColWidth="10" defaultRowHeight="15" x14ac:dyDescent="0.2"/>
  <cols>
    <col min="1" max="5" width="10.83203125" style="76" customWidth="1"/>
    <col min="6" max="16384" width="10.83203125" style="76"/>
  </cols>
  <sheetData>
    <row r="1" spans="1:30" x14ac:dyDescent="0.2">
      <c r="A1" t="s">
        <v>83</v>
      </c>
      <c r="B1" t="s">
        <v>84</v>
      </c>
      <c r="C1" t="s">
        <v>85</v>
      </c>
      <c r="D1" t="s">
        <v>86</v>
      </c>
      <c r="E1" t="s">
        <v>87</v>
      </c>
      <c r="F1" t="s">
        <v>88</v>
      </c>
      <c r="G1" t="s">
        <v>89</v>
      </c>
      <c r="H1" t="s">
        <v>90</v>
      </c>
      <c r="I1" t="s">
        <v>91</v>
      </c>
      <c r="J1" t="s">
        <v>92</v>
      </c>
      <c r="K1" t="s">
        <v>93</v>
      </c>
      <c r="L1" t="s">
        <v>94</v>
      </c>
      <c r="M1" t="s">
        <v>95</v>
      </c>
      <c r="N1" t="s">
        <v>96</v>
      </c>
      <c r="O1" t="s">
        <v>97</v>
      </c>
      <c r="P1" t="s">
        <v>98</v>
      </c>
      <c r="Q1" t="s">
        <v>99</v>
      </c>
      <c r="R1" t="s">
        <v>100</v>
      </c>
      <c r="S1" t="s">
        <v>101</v>
      </c>
      <c r="T1" t="s">
        <v>102</v>
      </c>
      <c r="U1" t="s">
        <v>103</v>
      </c>
      <c r="V1" t="s">
        <v>104</v>
      </c>
      <c r="W1" t="s">
        <v>105</v>
      </c>
      <c r="X1" t="s">
        <v>106</v>
      </c>
      <c r="Y1" t="s">
        <v>107</v>
      </c>
      <c r="Z1" t="s">
        <v>108</v>
      </c>
      <c r="AA1" t="s">
        <v>109</v>
      </c>
      <c r="AB1" t="s">
        <v>110</v>
      </c>
      <c r="AC1" t="s">
        <v>111</v>
      </c>
      <c r="AD1" t="s">
        <v>112</v>
      </c>
    </row>
    <row r="2" spans="1:30" x14ac:dyDescent="0.2">
      <c r="A2" s="79">
        <v>34335</v>
      </c>
      <c r="B2"/>
      <c r="C2"/>
      <c r="D2"/>
      <c r="E2"/>
      <c r="F2">
        <v>62.8</v>
      </c>
      <c r="G2"/>
      <c r="H2"/>
      <c r="I2"/>
      <c r="J2"/>
      <c r="K2"/>
      <c r="L2"/>
      <c r="M2"/>
      <c r="N2"/>
      <c r="O2"/>
      <c r="P2"/>
      <c r="Q2"/>
      <c r="R2"/>
      <c r="S2"/>
      <c r="T2"/>
      <c r="U2"/>
      <c r="V2"/>
      <c r="W2"/>
      <c r="X2"/>
      <c r="Y2"/>
      <c r="Z2"/>
      <c r="AA2"/>
      <c r="AB2"/>
      <c r="AC2"/>
      <c r="AD2"/>
    </row>
    <row r="3" spans="1:30" x14ac:dyDescent="0.2">
      <c r="A3" s="79">
        <v>34366</v>
      </c>
      <c r="B3"/>
      <c r="C3"/>
      <c r="D3"/>
      <c r="E3"/>
      <c r="F3">
        <v>67.53</v>
      </c>
      <c r="G3"/>
      <c r="H3"/>
      <c r="I3"/>
      <c r="J3"/>
      <c r="K3"/>
      <c r="L3"/>
      <c r="M3"/>
      <c r="N3"/>
      <c r="O3"/>
      <c r="P3"/>
      <c r="Q3"/>
      <c r="R3"/>
      <c r="S3"/>
      <c r="T3"/>
      <c r="U3"/>
      <c r="V3"/>
      <c r="W3"/>
      <c r="X3"/>
      <c r="Y3"/>
      <c r="Z3"/>
      <c r="AA3"/>
      <c r="AB3"/>
      <c r="AC3"/>
      <c r="AD3"/>
    </row>
    <row r="4" spans="1:30" x14ac:dyDescent="0.2">
      <c r="A4" s="79">
        <v>34394</v>
      </c>
      <c r="B4"/>
      <c r="C4"/>
      <c r="D4"/>
      <c r="E4"/>
      <c r="F4">
        <v>61.89</v>
      </c>
      <c r="G4"/>
      <c r="H4"/>
      <c r="I4"/>
      <c r="J4"/>
      <c r="K4"/>
      <c r="L4"/>
      <c r="M4"/>
      <c r="N4"/>
      <c r="O4"/>
      <c r="P4"/>
      <c r="Q4"/>
      <c r="R4"/>
      <c r="S4"/>
      <c r="T4"/>
      <c r="U4"/>
      <c r="V4"/>
      <c r="W4"/>
      <c r="X4"/>
      <c r="Y4"/>
      <c r="Z4"/>
      <c r="AA4"/>
      <c r="AB4"/>
      <c r="AC4"/>
      <c r="AD4"/>
    </row>
    <row r="5" spans="1:30" x14ac:dyDescent="0.2">
      <c r="A5" s="79">
        <v>34425</v>
      </c>
      <c r="B5"/>
      <c r="C5"/>
      <c r="D5"/>
      <c r="E5"/>
      <c r="F5">
        <v>60.57</v>
      </c>
      <c r="G5"/>
      <c r="H5"/>
      <c r="I5"/>
      <c r="J5"/>
      <c r="K5"/>
      <c r="L5"/>
      <c r="M5"/>
      <c r="N5"/>
      <c r="O5"/>
      <c r="P5"/>
      <c r="Q5"/>
      <c r="R5"/>
      <c r="S5"/>
      <c r="T5"/>
      <c r="U5"/>
      <c r="V5"/>
      <c r="W5"/>
      <c r="X5"/>
      <c r="Y5"/>
      <c r="Z5"/>
      <c r="AA5"/>
      <c r="AB5"/>
      <c r="AC5"/>
      <c r="AD5"/>
    </row>
    <row r="6" spans="1:30" x14ac:dyDescent="0.2">
      <c r="A6" s="79">
        <v>34455</v>
      </c>
      <c r="B6"/>
      <c r="C6"/>
      <c r="D6"/>
      <c r="E6"/>
      <c r="F6">
        <v>63.1</v>
      </c>
      <c r="G6"/>
      <c r="H6"/>
      <c r="I6"/>
      <c r="J6"/>
      <c r="K6"/>
      <c r="L6"/>
      <c r="M6"/>
      <c r="N6"/>
      <c r="O6"/>
      <c r="P6"/>
      <c r="Q6"/>
      <c r="R6"/>
      <c r="S6"/>
      <c r="T6"/>
      <c r="U6"/>
      <c r="V6"/>
      <c r="W6"/>
      <c r="X6"/>
      <c r="Y6"/>
      <c r="Z6"/>
      <c r="AA6"/>
      <c r="AB6"/>
      <c r="AC6"/>
      <c r="AD6"/>
    </row>
    <row r="7" spans="1:30" x14ac:dyDescent="0.2">
      <c r="A7" s="79">
        <v>34486</v>
      </c>
      <c r="B7"/>
      <c r="C7"/>
      <c r="D7"/>
      <c r="E7"/>
      <c r="F7">
        <v>62.94</v>
      </c>
      <c r="G7"/>
      <c r="H7"/>
      <c r="I7"/>
      <c r="J7"/>
      <c r="K7"/>
      <c r="L7"/>
      <c r="M7"/>
      <c r="N7"/>
      <c r="O7"/>
      <c r="P7"/>
      <c r="Q7"/>
      <c r="R7"/>
      <c r="S7"/>
      <c r="T7"/>
      <c r="U7"/>
      <c r="V7"/>
      <c r="W7"/>
      <c r="X7"/>
      <c r="Y7"/>
      <c r="Z7"/>
      <c r="AA7"/>
      <c r="AB7"/>
      <c r="AC7"/>
      <c r="AD7"/>
    </row>
    <row r="8" spans="1:30" x14ac:dyDescent="0.2">
      <c r="A8" s="79">
        <v>34516</v>
      </c>
      <c r="B8"/>
      <c r="C8"/>
      <c r="D8"/>
      <c r="E8"/>
      <c r="F8">
        <v>63.1</v>
      </c>
      <c r="G8"/>
      <c r="H8"/>
      <c r="I8"/>
      <c r="J8"/>
      <c r="K8"/>
      <c r="L8"/>
      <c r="M8"/>
      <c r="N8"/>
      <c r="O8"/>
      <c r="P8"/>
      <c r="Q8"/>
      <c r="R8"/>
      <c r="S8"/>
      <c r="T8"/>
      <c r="U8"/>
      <c r="V8"/>
      <c r="W8"/>
      <c r="X8"/>
      <c r="Y8"/>
      <c r="Z8"/>
      <c r="AA8"/>
      <c r="AB8"/>
      <c r="AC8"/>
      <c r="AD8"/>
    </row>
    <row r="9" spans="1:30" x14ac:dyDescent="0.2">
      <c r="A9" s="79">
        <v>34547</v>
      </c>
      <c r="B9"/>
      <c r="C9"/>
      <c r="D9"/>
      <c r="E9"/>
      <c r="F9">
        <v>59.49</v>
      </c>
      <c r="G9"/>
      <c r="H9"/>
      <c r="I9"/>
      <c r="J9"/>
      <c r="K9"/>
      <c r="L9"/>
      <c r="M9"/>
      <c r="N9"/>
      <c r="O9"/>
      <c r="P9"/>
      <c r="Q9"/>
      <c r="R9"/>
      <c r="S9"/>
      <c r="T9"/>
      <c r="U9"/>
      <c r="V9"/>
      <c r="W9"/>
      <c r="X9"/>
      <c r="Y9"/>
      <c r="Z9"/>
      <c r="AA9"/>
      <c r="AB9"/>
      <c r="AC9"/>
      <c r="AD9"/>
    </row>
    <row r="10" spans="1:30" x14ac:dyDescent="0.2">
      <c r="A10" s="79">
        <v>34578</v>
      </c>
      <c r="B10"/>
      <c r="C10"/>
      <c r="D10"/>
      <c r="E10"/>
      <c r="F10">
        <v>59.36</v>
      </c>
      <c r="G10"/>
      <c r="H10"/>
      <c r="I10"/>
      <c r="J10"/>
      <c r="K10"/>
      <c r="L10"/>
      <c r="M10"/>
      <c r="N10"/>
      <c r="O10"/>
      <c r="P10"/>
      <c r="Q10"/>
      <c r="R10"/>
      <c r="S10"/>
      <c r="T10"/>
      <c r="U10"/>
      <c r="V10"/>
      <c r="W10"/>
      <c r="X10"/>
      <c r="Y10"/>
      <c r="Z10"/>
      <c r="AA10"/>
      <c r="AB10"/>
      <c r="AC10"/>
      <c r="AD10"/>
    </row>
    <row r="11" spans="1:30" x14ac:dyDescent="0.2">
      <c r="A11" s="79">
        <v>34608</v>
      </c>
      <c r="B11"/>
      <c r="C11"/>
      <c r="D11"/>
      <c r="E11"/>
      <c r="F11">
        <v>61.33</v>
      </c>
      <c r="G11"/>
      <c r="H11"/>
      <c r="I11"/>
      <c r="J11"/>
      <c r="K11"/>
      <c r="L11"/>
      <c r="M11"/>
      <c r="N11"/>
      <c r="O11"/>
      <c r="P11"/>
      <c r="Q11"/>
      <c r="R11"/>
      <c r="S11"/>
      <c r="T11"/>
      <c r="U11"/>
      <c r="V11"/>
      <c r="W11"/>
      <c r="X11"/>
      <c r="Y11"/>
      <c r="Z11"/>
      <c r="AA11"/>
      <c r="AB11"/>
      <c r="AC11"/>
      <c r="AD11"/>
    </row>
    <row r="12" spans="1:30" x14ac:dyDescent="0.2">
      <c r="A12" s="79">
        <v>34639</v>
      </c>
      <c r="B12"/>
      <c r="C12"/>
      <c r="D12"/>
      <c r="E12"/>
      <c r="F12">
        <v>60.53</v>
      </c>
      <c r="G12"/>
      <c r="H12"/>
      <c r="I12"/>
      <c r="J12"/>
      <c r="K12"/>
      <c r="L12"/>
      <c r="M12"/>
      <c r="N12"/>
      <c r="O12"/>
      <c r="P12"/>
      <c r="Q12"/>
      <c r="R12"/>
      <c r="S12"/>
      <c r="T12"/>
      <c r="U12"/>
      <c r="V12"/>
      <c r="W12"/>
      <c r="X12"/>
      <c r="Y12"/>
      <c r="Z12"/>
      <c r="AA12"/>
      <c r="AB12"/>
      <c r="AC12"/>
      <c r="AD12"/>
    </row>
    <row r="13" spans="1:30" x14ac:dyDescent="0.2">
      <c r="A13" s="79">
        <v>34669</v>
      </c>
      <c r="B13"/>
      <c r="C13"/>
      <c r="D13"/>
      <c r="E13"/>
      <c r="F13">
        <v>62.29</v>
      </c>
      <c r="G13"/>
      <c r="H13"/>
      <c r="I13"/>
      <c r="J13"/>
      <c r="K13"/>
      <c r="L13"/>
      <c r="M13"/>
      <c r="N13"/>
      <c r="O13"/>
      <c r="P13"/>
      <c r="Q13"/>
      <c r="R13"/>
      <c r="S13"/>
      <c r="T13"/>
      <c r="U13"/>
      <c r="V13"/>
      <c r="W13"/>
      <c r="X13"/>
      <c r="Y13"/>
      <c r="Z13"/>
      <c r="AA13"/>
      <c r="AB13"/>
      <c r="AC13"/>
      <c r="AD13"/>
    </row>
    <row r="14" spans="1:30" x14ac:dyDescent="0.2">
      <c r="A14" s="79">
        <v>34700</v>
      </c>
      <c r="B14"/>
      <c r="C14"/>
      <c r="D14"/>
      <c r="E14"/>
      <c r="F14">
        <v>62.95</v>
      </c>
      <c r="G14"/>
      <c r="H14"/>
      <c r="I14"/>
      <c r="J14"/>
      <c r="K14"/>
      <c r="L14"/>
      <c r="M14"/>
      <c r="N14"/>
      <c r="O14"/>
      <c r="P14"/>
      <c r="Q14"/>
      <c r="R14"/>
      <c r="S14"/>
      <c r="T14"/>
      <c r="U14"/>
      <c r="V14"/>
      <c r="W14"/>
      <c r="X14"/>
      <c r="Y14"/>
      <c r="Z14"/>
      <c r="AA14"/>
      <c r="AB14"/>
      <c r="AC14"/>
      <c r="AD14"/>
    </row>
    <row r="15" spans="1:30" x14ac:dyDescent="0.2">
      <c r="A15" s="79">
        <v>34731</v>
      </c>
      <c r="B15"/>
      <c r="C15"/>
      <c r="D15"/>
      <c r="E15"/>
      <c r="F15">
        <v>63.78</v>
      </c>
      <c r="G15"/>
      <c r="H15"/>
      <c r="I15"/>
      <c r="J15"/>
      <c r="K15"/>
      <c r="L15"/>
      <c r="M15"/>
      <c r="N15"/>
      <c r="O15"/>
      <c r="P15"/>
      <c r="Q15"/>
      <c r="R15"/>
      <c r="S15"/>
      <c r="T15"/>
      <c r="U15"/>
      <c r="V15"/>
      <c r="W15"/>
      <c r="X15"/>
      <c r="Y15"/>
      <c r="Z15"/>
      <c r="AA15"/>
      <c r="AB15"/>
      <c r="AC15"/>
      <c r="AD15"/>
    </row>
    <row r="16" spans="1:30" x14ac:dyDescent="0.2">
      <c r="A16" s="79">
        <v>34759</v>
      </c>
      <c r="B16"/>
      <c r="C16"/>
      <c r="D16"/>
      <c r="E16"/>
      <c r="F16">
        <v>61.91</v>
      </c>
      <c r="G16"/>
      <c r="H16"/>
      <c r="I16"/>
      <c r="J16"/>
      <c r="K16"/>
      <c r="L16"/>
      <c r="M16"/>
      <c r="N16"/>
      <c r="O16"/>
      <c r="P16"/>
      <c r="Q16"/>
      <c r="R16"/>
      <c r="S16"/>
      <c r="T16"/>
      <c r="U16"/>
      <c r="V16"/>
      <c r="W16"/>
      <c r="X16"/>
      <c r="Y16"/>
      <c r="Z16"/>
      <c r="AA16"/>
      <c r="AB16"/>
      <c r="AC16"/>
      <c r="AD16"/>
    </row>
    <row r="17" spans="1:30" x14ac:dyDescent="0.2">
      <c r="A17" s="79">
        <v>34790</v>
      </c>
      <c r="B17"/>
      <c r="C17"/>
      <c r="D17"/>
      <c r="E17"/>
      <c r="F17">
        <v>59.68</v>
      </c>
      <c r="G17"/>
      <c r="H17"/>
      <c r="I17"/>
      <c r="J17"/>
      <c r="K17"/>
      <c r="L17"/>
      <c r="M17"/>
      <c r="N17"/>
      <c r="O17"/>
      <c r="P17"/>
      <c r="Q17"/>
      <c r="R17"/>
      <c r="S17"/>
      <c r="T17"/>
      <c r="U17"/>
      <c r="V17"/>
      <c r="W17"/>
      <c r="X17"/>
      <c r="Y17"/>
      <c r="Z17"/>
      <c r="AA17"/>
      <c r="AB17"/>
      <c r="AC17"/>
      <c r="AD17"/>
    </row>
    <row r="18" spans="1:30" x14ac:dyDescent="0.2">
      <c r="A18" s="79">
        <v>34820</v>
      </c>
      <c r="B18"/>
      <c r="C18"/>
      <c r="D18"/>
      <c r="E18"/>
      <c r="F18">
        <v>58.91</v>
      </c>
      <c r="G18"/>
      <c r="H18"/>
      <c r="I18"/>
      <c r="J18"/>
      <c r="K18"/>
      <c r="L18"/>
      <c r="M18"/>
      <c r="N18"/>
      <c r="O18"/>
      <c r="P18"/>
      <c r="Q18"/>
      <c r="R18"/>
      <c r="S18"/>
      <c r="T18"/>
      <c r="U18"/>
      <c r="V18"/>
      <c r="W18"/>
      <c r="X18"/>
      <c r="Y18"/>
      <c r="Z18"/>
      <c r="AA18"/>
      <c r="AB18"/>
      <c r="AC18"/>
      <c r="AD18"/>
    </row>
    <row r="19" spans="1:30" x14ac:dyDescent="0.2">
      <c r="A19" s="79">
        <v>34851</v>
      </c>
      <c r="B19"/>
      <c r="C19"/>
      <c r="D19"/>
      <c r="E19"/>
      <c r="F19">
        <v>58.16</v>
      </c>
      <c r="G19"/>
      <c r="H19"/>
      <c r="I19"/>
      <c r="J19"/>
      <c r="K19"/>
      <c r="L19"/>
      <c r="M19"/>
      <c r="N19"/>
      <c r="O19"/>
      <c r="P19"/>
      <c r="Q19"/>
      <c r="R19"/>
      <c r="S19"/>
      <c r="T19"/>
      <c r="U19"/>
      <c r="V19"/>
      <c r="W19"/>
      <c r="X19"/>
      <c r="Y19"/>
      <c r="Z19"/>
      <c r="AA19"/>
      <c r="AB19"/>
      <c r="AC19"/>
      <c r="AD19"/>
    </row>
    <row r="20" spans="1:30" x14ac:dyDescent="0.2">
      <c r="A20" s="79">
        <v>34881</v>
      </c>
      <c r="B20"/>
      <c r="C20"/>
      <c r="D20"/>
      <c r="E20"/>
      <c r="F20">
        <v>65.400000000000006</v>
      </c>
      <c r="G20"/>
      <c r="H20"/>
      <c r="I20"/>
      <c r="J20"/>
      <c r="K20"/>
      <c r="L20"/>
      <c r="M20"/>
      <c r="N20"/>
      <c r="O20"/>
      <c r="P20"/>
      <c r="Q20"/>
      <c r="R20"/>
      <c r="S20"/>
      <c r="T20"/>
      <c r="U20"/>
      <c r="V20"/>
      <c r="W20"/>
      <c r="X20"/>
      <c r="Y20"/>
      <c r="Z20"/>
      <c r="AA20"/>
      <c r="AB20"/>
      <c r="AC20"/>
      <c r="AD20"/>
    </row>
    <row r="21" spans="1:30" x14ac:dyDescent="0.2">
      <c r="A21" s="79">
        <v>34912</v>
      </c>
      <c r="B21"/>
      <c r="C21"/>
      <c r="D21"/>
      <c r="E21"/>
      <c r="F21">
        <v>56.52</v>
      </c>
      <c r="G21"/>
      <c r="H21"/>
      <c r="I21"/>
      <c r="J21"/>
      <c r="K21"/>
      <c r="L21"/>
      <c r="M21"/>
      <c r="N21"/>
      <c r="O21"/>
      <c r="P21"/>
      <c r="Q21"/>
      <c r="R21"/>
      <c r="S21"/>
      <c r="T21"/>
      <c r="U21"/>
      <c r="V21"/>
      <c r="W21"/>
      <c r="X21"/>
      <c r="Y21"/>
      <c r="Z21"/>
      <c r="AA21"/>
      <c r="AB21"/>
      <c r="AC21"/>
      <c r="AD21"/>
    </row>
    <row r="22" spans="1:30" x14ac:dyDescent="0.2">
      <c r="A22" s="79">
        <v>34943</v>
      </c>
      <c r="B22"/>
      <c r="C22"/>
      <c r="D22"/>
      <c r="E22"/>
      <c r="F22">
        <v>55.66</v>
      </c>
      <c r="G22"/>
      <c r="H22"/>
      <c r="I22"/>
      <c r="J22"/>
      <c r="K22"/>
      <c r="L22"/>
      <c r="M22"/>
      <c r="N22"/>
      <c r="O22"/>
      <c r="P22"/>
      <c r="Q22"/>
      <c r="R22"/>
      <c r="S22"/>
      <c r="T22"/>
      <c r="U22"/>
      <c r="V22"/>
      <c r="W22"/>
      <c r="X22"/>
      <c r="Y22"/>
      <c r="Z22"/>
      <c r="AA22"/>
      <c r="AB22"/>
      <c r="AC22"/>
      <c r="AD22"/>
    </row>
    <row r="23" spans="1:30" x14ac:dyDescent="0.2">
      <c r="A23" s="79">
        <v>34973</v>
      </c>
      <c r="B23"/>
      <c r="C23"/>
      <c r="D23"/>
      <c r="E23"/>
      <c r="F23">
        <v>53.13</v>
      </c>
      <c r="G23"/>
      <c r="H23"/>
      <c r="I23"/>
      <c r="J23"/>
      <c r="K23"/>
      <c r="L23"/>
      <c r="M23"/>
      <c r="N23"/>
      <c r="O23"/>
      <c r="P23"/>
      <c r="Q23"/>
      <c r="R23"/>
      <c r="S23"/>
      <c r="T23"/>
      <c r="U23"/>
      <c r="V23"/>
      <c r="W23"/>
      <c r="X23"/>
      <c r="Y23"/>
      <c r="Z23"/>
      <c r="AA23"/>
      <c r="AB23"/>
      <c r="AC23"/>
      <c r="AD23"/>
    </row>
    <row r="24" spans="1:30" x14ac:dyDescent="0.2">
      <c r="A24" s="79">
        <v>35004</v>
      </c>
      <c r="B24"/>
      <c r="C24"/>
      <c r="D24"/>
      <c r="E24"/>
      <c r="F24">
        <v>55.08</v>
      </c>
      <c r="G24"/>
      <c r="H24"/>
      <c r="I24"/>
      <c r="J24"/>
      <c r="K24"/>
      <c r="L24"/>
      <c r="M24"/>
      <c r="N24"/>
      <c r="O24"/>
      <c r="P24"/>
      <c r="Q24"/>
      <c r="R24"/>
      <c r="S24"/>
      <c r="T24"/>
      <c r="U24"/>
      <c r="V24"/>
      <c r="W24"/>
      <c r="X24"/>
      <c r="Y24"/>
      <c r="Z24"/>
      <c r="AA24"/>
      <c r="AB24"/>
      <c r="AC24"/>
      <c r="AD24"/>
    </row>
    <row r="25" spans="1:30" x14ac:dyDescent="0.2">
      <c r="A25" s="79">
        <v>35034</v>
      </c>
      <c r="B25"/>
      <c r="C25"/>
      <c r="D25"/>
      <c r="E25"/>
      <c r="F25">
        <v>54.03</v>
      </c>
      <c r="G25"/>
      <c r="H25"/>
      <c r="I25"/>
      <c r="J25"/>
      <c r="K25"/>
      <c r="L25"/>
      <c r="M25"/>
      <c r="N25"/>
      <c r="O25"/>
      <c r="P25"/>
      <c r="Q25"/>
      <c r="R25"/>
      <c r="S25"/>
      <c r="T25"/>
      <c r="U25"/>
      <c r="V25"/>
      <c r="W25"/>
      <c r="X25"/>
      <c r="Y25"/>
      <c r="Z25"/>
      <c r="AA25"/>
      <c r="AB25"/>
      <c r="AC25"/>
      <c r="AD25"/>
    </row>
    <row r="26" spans="1:30" x14ac:dyDescent="0.2">
      <c r="A26" s="79">
        <v>35065</v>
      </c>
      <c r="B26"/>
      <c r="C26"/>
      <c r="D26"/>
      <c r="E26"/>
      <c r="F26">
        <v>50.16</v>
      </c>
      <c r="G26"/>
      <c r="H26"/>
      <c r="I26"/>
      <c r="J26"/>
      <c r="K26"/>
      <c r="L26"/>
      <c r="M26"/>
      <c r="N26"/>
      <c r="O26"/>
      <c r="P26"/>
      <c r="Q26"/>
      <c r="R26"/>
      <c r="S26"/>
      <c r="T26"/>
      <c r="U26"/>
      <c r="V26"/>
      <c r="W26"/>
      <c r="X26"/>
      <c r="Y26"/>
      <c r="Z26"/>
      <c r="AA26"/>
      <c r="AB26"/>
      <c r="AC26"/>
      <c r="AD26"/>
    </row>
    <row r="27" spans="1:30" x14ac:dyDescent="0.2">
      <c r="A27" s="79">
        <v>35096</v>
      </c>
      <c r="B27"/>
      <c r="C27"/>
      <c r="D27"/>
      <c r="E27"/>
      <c r="F27">
        <v>46.38</v>
      </c>
      <c r="G27"/>
      <c r="H27"/>
      <c r="I27"/>
      <c r="J27"/>
      <c r="K27"/>
      <c r="L27"/>
      <c r="M27"/>
      <c r="N27"/>
      <c r="O27"/>
      <c r="P27"/>
      <c r="Q27"/>
      <c r="R27"/>
      <c r="S27"/>
      <c r="T27"/>
      <c r="U27"/>
      <c r="V27"/>
      <c r="W27"/>
      <c r="X27"/>
      <c r="Y27"/>
      <c r="Z27"/>
      <c r="AA27"/>
      <c r="AB27"/>
      <c r="AC27"/>
      <c r="AD27"/>
    </row>
    <row r="28" spans="1:30" x14ac:dyDescent="0.2">
      <c r="A28" s="79">
        <v>35125</v>
      </c>
      <c r="B28"/>
      <c r="C28"/>
      <c r="D28"/>
      <c r="E28"/>
      <c r="F28">
        <v>52.65</v>
      </c>
      <c r="G28"/>
      <c r="H28"/>
      <c r="I28"/>
      <c r="J28"/>
      <c r="K28"/>
      <c r="L28"/>
      <c r="M28"/>
      <c r="N28"/>
      <c r="O28"/>
      <c r="P28"/>
      <c r="Q28"/>
      <c r="R28"/>
      <c r="S28"/>
      <c r="T28"/>
      <c r="U28"/>
      <c r="V28"/>
      <c r="W28"/>
      <c r="X28"/>
      <c r="Y28"/>
      <c r="Z28"/>
      <c r="AA28"/>
      <c r="AB28"/>
      <c r="AC28"/>
      <c r="AD28"/>
    </row>
    <row r="29" spans="1:30" x14ac:dyDescent="0.2">
      <c r="A29" s="79">
        <v>35156</v>
      </c>
      <c r="B29"/>
      <c r="C29"/>
      <c r="D29"/>
      <c r="E29"/>
      <c r="F29">
        <v>54.64</v>
      </c>
      <c r="G29"/>
      <c r="H29"/>
      <c r="I29"/>
      <c r="J29"/>
      <c r="K29"/>
      <c r="L29"/>
      <c r="M29"/>
      <c r="N29"/>
      <c r="O29"/>
      <c r="P29"/>
      <c r="Q29"/>
      <c r="R29"/>
      <c r="S29"/>
      <c r="T29"/>
      <c r="U29"/>
      <c r="V29"/>
      <c r="W29"/>
      <c r="X29"/>
      <c r="Y29"/>
      <c r="Z29"/>
      <c r="AA29"/>
      <c r="AB29"/>
      <c r="AC29"/>
      <c r="AD29"/>
    </row>
    <row r="30" spans="1:30" x14ac:dyDescent="0.2">
      <c r="A30" s="79">
        <v>35186</v>
      </c>
      <c r="B30"/>
      <c r="C30"/>
      <c r="D30"/>
      <c r="E30"/>
      <c r="F30">
        <v>48.99</v>
      </c>
      <c r="G30"/>
      <c r="H30"/>
      <c r="I30"/>
      <c r="J30"/>
      <c r="K30"/>
      <c r="L30"/>
      <c r="M30"/>
      <c r="N30"/>
      <c r="O30"/>
      <c r="P30"/>
      <c r="Q30"/>
      <c r="R30"/>
      <c r="S30"/>
      <c r="T30"/>
      <c r="U30"/>
      <c r="V30"/>
      <c r="W30"/>
      <c r="X30"/>
      <c r="Y30"/>
      <c r="Z30"/>
      <c r="AA30"/>
      <c r="AB30"/>
      <c r="AC30"/>
      <c r="AD30"/>
    </row>
    <row r="31" spans="1:30" x14ac:dyDescent="0.2">
      <c r="A31" s="79">
        <v>35217</v>
      </c>
      <c r="B31"/>
      <c r="C31"/>
      <c r="D31"/>
      <c r="E31"/>
      <c r="F31">
        <v>50.64</v>
      </c>
      <c r="G31"/>
      <c r="H31"/>
      <c r="I31"/>
      <c r="J31"/>
      <c r="K31"/>
      <c r="L31"/>
      <c r="M31"/>
      <c r="N31"/>
      <c r="O31"/>
      <c r="P31"/>
      <c r="Q31"/>
      <c r="R31"/>
      <c r="S31"/>
      <c r="T31"/>
      <c r="U31"/>
      <c r="V31"/>
      <c r="W31"/>
      <c r="X31"/>
      <c r="Y31"/>
      <c r="Z31"/>
      <c r="AA31"/>
      <c r="AB31"/>
      <c r="AC31"/>
      <c r="AD31"/>
    </row>
    <row r="32" spans="1:30" x14ac:dyDescent="0.2">
      <c r="A32" s="79">
        <v>35247</v>
      </c>
      <c r="B32"/>
      <c r="C32"/>
      <c r="D32"/>
      <c r="E32"/>
      <c r="F32">
        <v>54.72</v>
      </c>
      <c r="G32"/>
      <c r="H32"/>
      <c r="I32"/>
      <c r="J32"/>
      <c r="K32"/>
      <c r="L32"/>
      <c r="M32"/>
      <c r="N32"/>
      <c r="O32"/>
      <c r="P32"/>
      <c r="Q32"/>
      <c r="R32"/>
      <c r="S32"/>
      <c r="T32"/>
      <c r="U32"/>
      <c r="V32"/>
      <c r="W32"/>
      <c r="X32"/>
      <c r="Y32"/>
      <c r="Z32"/>
      <c r="AA32"/>
      <c r="AB32"/>
      <c r="AC32"/>
      <c r="AD32"/>
    </row>
    <row r="33" spans="1:30" x14ac:dyDescent="0.2">
      <c r="A33" s="79">
        <v>35278</v>
      </c>
      <c r="B33"/>
      <c r="C33"/>
      <c r="D33"/>
      <c r="E33"/>
      <c r="F33">
        <v>56.46</v>
      </c>
      <c r="G33"/>
      <c r="H33"/>
      <c r="I33"/>
      <c r="J33"/>
      <c r="K33"/>
      <c r="L33"/>
      <c r="M33"/>
      <c r="N33"/>
      <c r="O33"/>
      <c r="P33"/>
      <c r="Q33"/>
      <c r="R33"/>
      <c r="S33"/>
      <c r="T33"/>
      <c r="U33"/>
      <c r="V33"/>
      <c r="W33"/>
      <c r="X33"/>
      <c r="Y33"/>
      <c r="Z33"/>
      <c r="AA33"/>
      <c r="AB33"/>
      <c r="AC33"/>
      <c r="AD33"/>
    </row>
    <row r="34" spans="1:30" x14ac:dyDescent="0.2">
      <c r="A34" s="79">
        <v>35309</v>
      </c>
      <c r="B34"/>
      <c r="C34"/>
      <c r="D34"/>
      <c r="E34"/>
      <c r="F34">
        <v>59.28</v>
      </c>
      <c r="G34"/>
      <c r="H34"/>
      <c r="I34"/>
      <c r="J34"/>
      <c r="K34"/>
      <c r="L34"/>
      <c r="M34"/>
      <c r="N34"/>
      <c r="O34"/>
      <c r="P34"/>
      <c r="Q34"/>
      <c r="R34"/>
      <c r="S34"/>
      <c r="T34"/>
      <c r="U34"/>
      <c r="V34"/>
      <c r="W34"/>
      <c r="X34"/>
      <c r="Y34"/>
      <c r="Z34"/>
      <c r="AA34"/>
      <c r="AB34"/>
      <c r="AC34"/>
      <c r="AD34"/>
    </row>
    <row r="35" spans="1:30" x14ac:dyDescent="0.2">
      <c r="A35" s="79">
        <v>35339</v>
      </c>
      <c r="B35"/>
      <c r="C35"/>
      <c r="D35"/>
      <c r="E35"/>
      <c r="F35">
        <v>57.49</v>
      </c>
      <c r="G35"/>
      <c r="H35"/>
      <c r="I35"/>
      <c r="J35"/>
      <c r="K35"/>
      <c r="L35"/>
      <c r="M35"/>
      <c r="N35"/>
      <c r="O35"/>
      <c r="P35"/>
      <c r="Q35"/>
      <c r="R35"/>
      <c r="S35"/>
      <c r="T35"/>
      <c r="U35"/>
      <c r="V35"/>
      <c r="W35"/>
      <c r="X35"/>
      <c r="Y35"/>
      <c r="Z35"/>
      <c r="AA35"/>
      <c r="AB35"/>
      <c r="AC35"/>
      <c r="AD35"/>
    </row>
    <row r="36" spans="1:30" x14ac:dyDescent="0.2">
      <c r="A36" s="79">
        <v>35370</v>
      </c>
      <c r="B36"/>
      <c r="C36"/>
      <c r="D36"/>
      <c r="E36"/>
      <c r="F36">
        <v>61.57</v>
      </c>
      <c r="G36"/>
      <c r="H36"/>
      <c r="I36"/>
      <c r="J36"/>
      <c r="K36"/>
      <c r="L36"/>
      <c r="M36"/>
      <c r="N36"/>
      <c r="O36"/>
      <c r="P36"/>
      <c r="Q36"/>
      <c r="R36"/>
      <c r="S36"/>
      <c r="T36"/>
      <c r="U36"/>
      <c r="V36"/>
      <c r="W36"/>
      <c r="X36"/>
      <c r="Y36"/>
      <c r="Z36"/>
      <c r="AA36"/>
      <c r="AB36"/>
      <c r="AC36"/>
      <c r="AD36"/>
    </row>
    <row r="37" spans="1:30" x14ac:dyDescent="0.2">
      <c r="A37" s="79">
        <v>35400</v>
      </c>
      <c r="B37"/>
      <c r="C37"/>
      <c r="D37"/>
      <c r="E37"/>
      <c r="F37">
        <v>60.71</v>
      </c>
      <c r="G37"/>
      <c r="H37"/>
      <c r="I37"/>
      <c r="J37"/>
      <c r="K37"/>
      <c r="L37"/>
      <c r="M37"/>
      <c r="N37"/>
      <c r="O37"/>
      <c r="P37"/>
      <c r="Q37"/>
      <c r="R37"/>
      <c r="S37"/>
      <c r="T37"/>
      <c r="U37"/>
      <c r="V37"/>
      <c r="W37"/>
      <c r="X37"/>
      <c r="Y37"/>
      <c r="Z37"/>
      <c r="AA37"/>
      <c r="AB37"/>
      <c r="AC37"/>
      <c r="AD37"/>
    </row>
    <row r="38" spans="1:30" x14ac:dyDescent="0.2">
      <c r="A38" s="79">
        <v>35431</v>
      </c>
      <c r="B38"/>
      <c r="C38"/>
      <c r="D38"/>
      <c r="E38"/>
      <c r="F38">
        <v>62.72</v>
      </c>
      <c r="G38"/>
      <c r="H38"/>
      <c r="I38"/>
      <c r="J38"/>
      <c r="K38"/>
      <c r="L38"/>
      <c r="M38"/>
      <c r="N38"/>
      <c r="O38"/>
      <c r="P38"/>
      <c r="Q38"/>
      <c r="R38"/>
      <c r="S38"/>
      <c r="T38"/>
      <c r="U38"/>
      <c r="V38"/>
      <c r="W38"/>
      <c r="X38"/>
      <c r="Y38"/>
      <c r="Z38"/>
      <c r="AA38"/>
      <c r="AB38"/>
      <c r="AC38"/>
      <c r="AD38"/>
    </row>
    <row r="39" spans="1:30" x14ac:dyDescent="0.2">
      <c r="A39" s="79">
        <v>35462</v>
      </c>
      <c r="B39"/>
      <c r="C39"/>
      <c r="D39"/>
      <c r="E39"/>
      <c r="F39">
        <v>57.65</v>
      </c>
      <c r="G39"/>
      <c r="H39"/>
      <c r="I39"/>
      <c r="J39"/>
      <c r="K39"/>
      <c r="L39"/>
      <c r="M39"/>
      <c r="N39"/>
      <c r="O39"/>
      <c r="P39"/>
      <c r="Q39"/>
      <c r="R39"/>
      <c r="S39"/>
      <c r="T39"/>
      <c r="U39"/>
      <c r="V39"/>
      <c r="W39"/>
      <c r="X39"/>
      <c r="Y39"/>
      <c r="Z39"/>
      <c r="AA39"/>
      <c r="AB39"/>
      <c r="AC39"/>
      <c r="AD39"/>
    </row>
    <row r="40" spans="1:30" x14ac:dyDescent="0.2">
      <c r="A40" s="79">
        <v>35490</v>
      </c>
      <c r="B40"/>
      <c r="C40"/>
      <c r="D40"/>
      <c r="E40"/>
      <c r="F40">
        <v>60.39</v>
      </c>
      <c r="G40"/>
      <c r="H40"/>
      <c r="I40"/>
      <c r="J40"/>
      <c r="K40"/>
      <c r="L40"/>
      <c r="M40"/>
      <c r="N40"/>
      <c r="O40"/>
      <c r="P40"/>
      <c r="Q40"/>
      <c r="R40"/>
      <c r="S40"/>
      <c r="T40"/>
      <c r="U40"/>
      <c r="V40"/>
      <c r="W40"/>
      <c r="X40"/>
      <c r="Y40"/>
      <c r="Z40"/>
      <c r="AA40"/>
      <c r="AB40"/>
      <c r="AC40"/>
      <c r="AD40"/>
    </row>
    <row r="41" spans="1:30" x14ac:dyDescent="0.2">
      <c r="A41" s="79">
        <v>35521</v>
      </c>
      <c r="B41"/>
      <c r="C41"/>
      <c r="D41"/>
      <c r="E41"/>
      <c r="F41">
        <v>60.87</v>
      </c>
      <c r="G41"/>
      <c r="H41"/>
      <c r="I41"/>
      <c r="J41"/>
      <c r="K41"/>
      <c r="L41"/>
      <c r="M41"/>
      <c r="N41"/>
      <c r="O41"/>
      <c r="P41"/>
      <c r="Q41"/>
      <c r="R41"/>
      <c r="S41"/>
      <c r="T41"/>
      <c r="U41"/>
      <c r="V41"/>
      <c r="W41"/>
      <c r="X41"/>
      <c r="Y41"/>
      <c r="Z41"/>
      <c r="AA41"/>
      <c r="AB41"/>
      <c r="AC41"/>
      <c r="AD41"/>
    </row>
    <row r="42" spans="1:30" x14ac:dyDescent="0.2">
      <c r="A42" s="79">
        <v>35551</v>
      </c>
      <c r="B42"/>
      <c r="C42"/>
      <c r="D42"/>
      <c r="E42"/>
      <c r="F42">
        <v>64.19</v>
      </c>
      <c r="G42"/>
      <c r="H42"/>
      <c r="I42"/>
      <c r="J42"/>
      <c r="K42"/>
      <c r="L42"/>
      <c r="M42"/>
      <c r="N42"/>
      <c r="O42"/>
      <c r="P42"/>
      <c r="Q42"/>
      <c r="R42"/>
      <c r="S42"/>
      <c r="T42"/>
      <c r="U42"/>
      <c r="V42"/>
      <c r="W42"/>
      <c r="X42"/>
      <c r="Y42"/>
      <c r="Z42"/>
      <c r="AA42"/>
      <c r="AB42"/>
      <c r="AC42"/>
      <c r="AD42"/>
    </row>
    <row r="43" spans="1:30" x14ac:dyDescent="0.2">
      <c r="A43" s="79">
        <v>35582</v>
      </c>
      <c r="B43"/>
      <c r="C43"/>
      <c r="D43"/>
      <c r="E43"/>
      <c r="F43">
        <v>63.39</v>
      </c>
      <c r="G43"/>
      <c r="H43"/>
      <c r="I43"/>
      <c r="J43"/>
      <c r="K43"/>
      <c r="L43"/>
      <c r="M43"/>
      <c r="N43"/>
      <c r="O43"/>
      <c r="P43"/>
      <c r="Q43"/>
      <c r="R43"/>
      <c r="S43"/>
      <c r="T43"/>
      <c r="U43"/>
      <c r="V43"/>
      <c r="W43"/>
      <c r="X43"/>
      <c r="Y43"/>
      <c r="Z43"/>
      <c r="AA43"/>
      <c r="AB43"/>
      <c r="AC43"/>
      <c r="AD43"/>
    </row>
    <row r="44" spans="1:30" x14ac:dyDescent="0.2">
      <c r="A44" s="79">
        <v>35612</v>
      </c>
      <c r="B44"/>
      <c r="C44"/>
      <c r="D44"/>
      <c r="E44"/>
      <c r="F44">
        <v>54.92</v>
      </c>
      <c r="G44"/>
      <c r="H44"/>
      <c r="I44"/>
      <c r="J44"/>
      <c r="K44"/>
      <c r="L44"/>
      <c r="M44"/>
      <c r="N44"/>
      <c r="O44"/>
      <c r="P44"/>
      <c r="Q44"/>
      <c r="R44"/>
      <c r="S44"/>
      <c r="T44"/>
      <c r="U44"/>
      <c r="V44"/>
      <c r="W44"/>
      <c r="X44"/>
      <c r="Y44"/>
      <c r="Z44"/>
      <c r="AA44"/>
      <c r="AB44"/>
      <c r="AC44"/>
      <c r="AD44"/>
    </row>
    <row r="45" spans="1:30" x14ac:dyDescent="0.2">
      <c r="A45" s="79">
        <v>35643</v>
      </c>
      <c r="B45"/>
      <c r="C45"/>
      <c r="D45"/>
      <c r="E45"/>
      <c r="F45">
        <v>61.25</v>
      </c>
      <c r="G45"/>
      <c r="H45"/>
      <c r="I45"/>
      <c r="J45"/>
      <c r="K45"/>
      <c r="L45"/>
      <c r="M45"/>
      <c r="N45"/>
      <c r="O45"/>
      <c r="P45"/>
      <c r="Q45"/>
      <c r="R45"/>
      <c r="S45"/>
      <c r="T45"/>
      <c r="U45"/>
      <c r="V45"/>
      <c r="W45"/>
      <c r="X45"/>
      <c r="Y45"/>
      <c r="Z45"/>
      <c r="AA45"/>
      <c r="AB45"/>
      <c r="AC45"/>
      <c r="AD45"/>
    </row>
    <row r="46" spans="1:30" x14ac:dyDescent="0.2">
      <c r="A46" s="79">
        <v>35674</v>
      </c>
      <c r="B46"/>
      <c r="C46"/>
      <c r="D46"/>
      <c r="E46"/>
      <c r="F46">
        <v>61.84</v>
      </c>
      <c r="G46"/>
      <c r="H46"/>
      <c r="I46"/>
      <c r="J46"/>
      <c r="K46"/>
      <c r="L46"/>
      <c r="M46"/>
      <c r="N46"/>
      <c r="O46"/>
      <c r="P46"/>
      <c r="Q46"/>
      <c r="R46"/>
      <c r="S46"/>
      <c r="T46"/>
      <c r="U46"/>
      <c r="V46"/>
      <c r="W46"/>
      <c r="X46"/>
      <c r="Y46"/>
      <c r="Z46"/>
      <c r="AA46"/>
      <c r="AB46"/>
      <c r="AC46"/>
      <c r="AD46"/>
    </row>
    <row r="47" spans="1:30" x14ac:dyDescent="0.2">
      <c r="A47" s="79">
        <v>35704</v>
      </c>
      <c r="B47"/>
      <c r="C47"/>
      <c r="D47"/>
      <c r="E47"/>
      <c r="F47">
        <v>58.84</v>
      </c>
      <c r="G47"/>
      <c r="H47"/>
      <c r="I47"/>
      <c r="J47"/>
      <c r="K47"/>
      <c r="L47"/>
      <c r="M47"/>
      <c r="N47"/>
      <c r="O47"/>
      <c r="P47"/>
      <c r="Q47"/>
      <c r="R47"/>
      <c r="S47"/>
      <c r="T47"/>
      <c r="U47"/>
      <c r="V47"/>
      <c r="W47"/>
      <c r="X47"/>
      <c r="Y47"/>
      <c r="Z47"/>
      <c r="AA47"/>
      <c r="AB47"/>
      <c r="AC47"/>
      <c r="AD47"/>
    </row>
    <row r="48" spans="1:30" x14ac:dyDescent="0.2">
      <c r="A48" s="79">
        <v>35735</v>
      </c>
      <c r="B48"/>
      <c r="C48"/>
      <c r="D48"/>
      <c r="E48"/>
      <c r="F48">
        <v>56.3</v>
      </c>
      <c r="G48"/>
      <c r="H48"/>
      <c r="I48"/>
      <c r="J48"/>
      <c r="K48"/>
      <c r="L48"/>
      <c r="M48"/>
      <c r="N48"/>
      <c r="O48"/>
      <c r="P48"/>
      <c r="Q48"/>
      <c r="R48"/>
      <c r="S48"/>
      <c r="T48"/>
      <c r="U48"/>
      <c r="V48"/>
      <c r="W48"/>
      <c r="X48"/>
      <c r="Y48"/>
      <c r="Z48"/>
      <c r="AA48"/>
      <c r="AB48"/>
      <c r="AC48"/>
      <c r="AD48"/>
    </row>
    <row r="49" spans="1:30" x14ac:dyDescent="0.2">
      <c r="A49" s="79">
        <v>35765</v>
      </c>
      <c r="B49"/>
      <c r="C49"/>
      <c r="D49"/>
      <c r="E49"/>
      <c r="F49">
        <v>56.74</v>
      </c>
      <c r="G49"/>
      <c r="H49"/>
      <c r="I49"/>
      <c r="J49"/>
      <c r="K49"/>
      <c r="L49"/>
      <c r="M49"/>
      <c r="N49"/>
      <c r="O49"/>
      <c r="P49"/>
      <c r="Q49"/>
      <c r="R49"/>
      <c r="S49"/>
      <c r="T49"/>
      <c r="U49"/>
      <c r="V49"/>
      <c r="W49"/>
      <c r="X49"/>
      <c r="Y49"/>
      <c r="Z49"/>
      <c r="AA49"/>
      <c r="AB49"/>
      <c r="AC49"/>
      <c r="AD49"/>
    </row>
    <row r="50" spans="1:30" x14ac:dyDescent="0.2">
      <c r="A50" s="79">
        <v>35796</v>
      </c>
      <c r="B50"/>
      <c r="C50"/>
      <c r="D50"/>
      <c r="E50"/>
      <c r="F50">
        <v>55.77</v>
      </c>
      <c r="G50"/>
      <c r="H50"/>
      <c r="I50"/>
      <c r="J50"/>
      <c r="K50"/>
      <c r="L50"/>
      <c r="M50"/>
      <c r="N50"/>
      <c r="O50"/>
      <c r="P50"/>
      <c r="Q50"/>
      <c r="R50"/>
      <c r="S50"/>
      <c r="T50"/>
      <c r="U50"/>
      <c r="V50"/>
      <c r="W50"/>
      <c r="X50"/>
      <c r="Y50"/>
      <c r="Z50"/>
      <c r="AA50"/>
      <c r="AB50"/>
      <c r="AC50"/>
      <c r="AD50"/>
    </row>
    <row r="51" spans="1:30" x14ac:dyDescent="0.2">
      <c r="A51" s="79">
        <v>35827</v>
      </c>
      <c r="B51"/>
      <c r="C51"/>
      <c r="D51"/>
      <c r="E51"/>
      <c r="F51">
        <v>55.65</v>
      </c>
      <c r="G51"/>
      <c r="H51"/>
      <c r="I51"/>
      <c r="J51"/>
      <c r="K51"/>
      <c r="L51"/>
      <c r="M51"/>
      <c r="N51"/>
      <c r="O51"/>
      <c r="P51"/>
      <c r="Q51"/>
      <c r="R51"/>
      <c r="S51"/>
      <c r="T51"/>
      <c r="U51"/>
      <c r="V51"/>
      <c r="W51"/>
      <c r="X51"/>
      <c r="Y51"/>
      <c r="Z51"/>
      <c r="AA51"/>
      <c r="AB51"/>
      <c r="AC51"/>
      <c r="AD51"/>
    </row>
    <row r="52" spans="1:30" x14ac:dyDescent="0.2">
      <c r="A52" s="79">
        <v>35855</v>
      </c>
      <c r="B52"/>
      <c r="C52"/>
      <c r="D52"/>
      <c r="E52"/>
      <c r="F52">
        <v>58.86</v>
      </c>
      <c r="G52"/>
      <c r="H52"/>
      <c r="I52"/>
      <c r="J52"/>
      <c r="K52"/>
      <c r="L52"/>
      <c r="M52"/>
      <c r="N52"/>
      <c r="O52"/>
      <c r="P52"/>
      <c r="Q52"/>
      <c r="R52"/>
      <c r="S52"/>
      <c r="T52"/>
      <c r="U52"/>
      <c r="V52"/>
      <c r="W52"/>
      <c r="X52"/>
      <c r="Y52"/>
      <c r="Z52"/>
      <c r="AA52"/>
      <c r="AB52"/>
      <c r="AC52"/>
      <c r="AD52"/>
    </row>
    <row r="53" spans="1:30" x14ac:dyDescent="0.2">
      <c r="A53" s="79">
        <v>35886</v>
      </c>
      <c r="B53"/>
      <c r="C53"/>
      <c r="D53"/>
      <c r="E53"/>
      <c r="F53">
        <v>58.81</v>
      </c>
      <c r="G53"/>
      <c r="H53"/>
      <c r="I53"/>
      <c r="J53"/>
      <c r="K53"/>
      <c r="L53"/>
      <c r="M53"/>
      <c r="N53"/>
      <c r="O53"/>
      <c r="P53"/>
      <c r="Q53"/>
      <c r="R53"/>
      <c r="S53"/>
      <c r="T53"/>
      <c r="U53"/>
      <c r="V53"/>
      <c r="W53"/>
      <c r="X53"/>
      <c r="Y53"/>
      <c r="Z53"/>
      <c r="AA53"/>
      <c r="AB53"/>
      <c r="AC53"/>
      <c r="AD53"/>
    </row>
    <row r="54" spans="1:30" x14ac:dyDescent="0.2">
      <c r="A54" s="79">
        <v>35916</v>
      </c>
      <c r="B54"/>
      <c r="C54"/>
      <c r="D54"/>
      <c r="E54"/>
      <c r="F54">
        <v>60.33</v>
      </c>
      <c r="G54"/>
      <c r="H54"/>
      <c r="I54"/>
      <c r="J54"/>
      <c r="K54"/>
      <c r="L54"/>
      <c r="M54"/>
      <c r="N54"/>
      <c r="O54"/>
      <c r="P54"/>
      <c r="Q54"/>
      <c r="R54"/>
      <c r="S54"/>
      <c r="T54"/>
      <c r="U54"/>
      <c r="V54"/>
      <c r="W54"/>
      <c r="X54"/>
      <c r="Y54"/>
      <c r="Z54"/>
      <c r="AA54"/>
      <c r="AB54"/>
      <c r="AC54"/>
      <c r="AD54"/>
    </row>
    <row r="55" spans="1:30" x14ac:dyDescent="0.2">
      <c r="A55" s="79">
        <v>35947</v>
      </c>
      <c r="B55"/>
      <c r="C55"/>
      <c r="D55"/>
      <c r="E55"/>
      <c r="F55">
        <v>57.46</v>
      </c>
      <c r="G55"/>
      <c r="H55"/>
      <c r="I55"/>
      <c r="J55"/>
      <c r="K55"/>
      <c r="L55"/>
      <c r="M55"/>
      <c r="N55"/>
      <c r="O55"/>
      <c r="P55"/>
      <c r="Q55"/>
      <c r="R55"/>
      <c r="S55"/>
      <c r="T55"/>
      <c r="U55"/>
      <c r="V55"/>
      <c r="W55"/>
      <c r="X55"/>
      <c r="Y55"/>
      <c r="Z55"/>
      <c r="AA55"/>
      <c r="AB55"/>
      <c r="AC55"/>
      <c r="AD55"/>
    </row>
    <row r="56" spans="1:30" x14ac:dyDescent="0.2">
      <c r="A56" s="79">
        <v>35977</v>
      </c>
      <c r="B56"/>
      <c r="C56"/>
      <c r="D56"/>
      <c r="E56"/>
      <c r="F56">
        <v>50.71</v>
      </c>
      <c r="G56"/>
      <c r="H56"/>
      <c r="I56"/>
      <c r="J56"/>
      <c r="K56"/>
      <c r="L56"/>
      <c r="M56"/>
      <c r="N56"/>
      <c r="O56"/>
      <c r="P56"/>
      <c r="Q56"/>
      <c r="R56"/>
      <c r="S56"/>
      <c r="T56"/>
      <c r="U56"/>
      <c r="V56"/>
      <c r="W56"/>
      <c r="X56"/>
      <c r="Y56"/>
      <c r="Z56"/>
      <c r="AA56"/>
      <c r="AB56"/>
      <c r="AC56"/>
      <c r="AD56"/>
    </row>
    <row r="57" spans="1:30" x14ac:dyDescent="0.2">
      <c r="A57" s="79">
        <v>36008</v>
      </c>
      <c r="B57"/>
      <c r="C57"/>
      <c r="D57"/>
      <c r="E57"/>
      <c r="F57">
        <v>62.84</v>
      </c>
      <c r="G57"/>
      <c r="H57"/>
      <c r="I57"/>
      <c r="J57"/>
      <c r="K57"/>
      <c r="L57"/>
      <c r="M57"/>
      <c r="N57"/>
      <c r="O57"/>
      <c r="P57"/>
      <c r="Q57"/>
      <c r="R57"/>
      <c r="S57"/>
      <c r="T57"/>
      <c r="U57"/>
      <c r="V57"/>
      <c r="W57"/>
      <c r="X57"/>
      <c r="Y57"/>
      <c r="Z57"/>
      <c r="AA57"/>
      <c r="AB57"/>
      <c r="AC57"/>
      <c r="AD57"/>
    </row>
    <row r="58" spans="1:30" x14ac:dyDescent="0.2">
      <c r="A58" s="79">
        <v>36039</v>
      </c>
      <c r="B58"/>
      <c r="C58"/>
      <c r="D58"/>
      <c r="E58"/>
      <c r="F58">
        <v>51.54</v>
      </c>
      <c r="G58"/>
      <c r="H58"/>
      <c r="I58"/>
      <c r="J58"/>
      <c r="K58"/>
      <c r="L58"/>
      <c r="M58"/>
      <c r="N58"/>
      <c r="O58"/>
      <c r="P58"/>
      <c r="Q58"/>
      <c r="R58"/>
      <c r="S58"/>
      <c r="T58"/>
      <c r="U58"/>
      <c r="V58"/>
      <c r="W58"/>
      <c r="X58"/>
      <c r="Y58"/>
      <c r="Z58"/>
      <c r="AA58"/>
      <c r="AB58"/>
      <c r="AC58"/>
      <c r="AD58"/>
    </row>
    <row r="59" spans="1:30" x14ac:dyDescent="0.2">
      <c r="A59" s="79">
        <v>36069</v>
      </c>
      <c r="B59"/>
      <c r="C59"/>
      <c r="D59"/>
      <c r="E59"/>
      <c r="F59">
        <v>54.96</v>
      </c>
      <c r="G59"/>
      <c r="H59"/>
      <c r="I59"/>
      <c r="J59"/>
      <c r="K59"/>
      <c r="L59"/>
      <c r="M59"/>
      <c r="N59"/>
      <c r="O59"/>
      <c r="P59"/>
      <c r="Q59"/>
      <c r="R59"/>
      <c r="S59"/>
      <c r="T59"/>
      <c r="U59"/>
      <c r="V59"/>
      <c r="W59"/>
      <c r="X59"/>
      <c r="Y59"/>
      <c r="Z59"/>
      <c r="AA59"/>
      <c r="AB59"/>
      <c r="AC59"/>
      <c r="AD59"/>
    </row>
    <row r="60" spans="1:30" x14ac:dyDescent="0.2">
      <c r="A60" s="79">
        <v>36100</v>
      </c>
      <c r="B60"/>
      <c r="C60"/>
      <c r="D60"/>
      <c r="E60"/>
      <c r="F60">
        <v>48.18</v>
      </c>
      <c r="G60"/>
      <c r="H60"/>
      <c r="I60"/>
      <c r="J60"/>
      <c r="K60"/>
      <c r="L60"/>
      <c r="M60"/>
      <c r="N60"/>
      <c r="O60"/>
      <c r="P60"/>
      <c r="Q60"/>
      <c r="R60"/>
      <c r="S60"/>
      <c r="T60"/>
      <c r="U60"/>
      <c r="V60"/>
      <c r="W60"/>
      <c r="X60"/>
      <c r="Y60"/>
      <c r="Z60"/>
      <c r="AA60"/>
      <c r="AB60"/>
      <c r="AC60"/>
      <c r="AD60"/>
    </row>
    <row r="61" spans="1:30" x14ac:dyDescent="0.2">
      <c r="A61" s="79">
        <v>36130</v>
      </c>
      <c r="B61"/>
      <c r="C61"/>
      <c r="D61"/>
      <c r="E61"/>
      <c r="F61">
        <v>49.94</v>
      </c>
      <c r="G61"/>
      <c r="H61"/>
      <c r="I61"/>
      <c r="J61"/>
      <c r="K61"/>
      <c r="L61"/>
      <c r="M61"/>
      <c r="N61"/>
      <c r="O61"/>
      <c r="P61"/>
      <c r="Q61"/>
      <c r="R61"/>
      <c r="S61"/>
      <c r="T61"/>
      <c r="U61"/>
      <c r="V61"/>
      <c r="W61"/>
      <c r="X61"/>
      <c r="Y61"/>
      <c r="Z61"/>
      <c r="AA61"/>
      <c r="AB61"/>
      <c r="AC61"/>
      <c r="AD61"/>
    </row>
    <row r="62" spans="1:30" x14ac:dyDescent="0.2">
      <c r="A62" s="79">
        <v>36161</v>
      </c>
      <c r="B62"/>
      <c r="C62"/>
      <c r="D62"/>
      <c r="E62"/>
      <c r="F62">
        <v>53.69</v>
      </c>
      <c r="G62"/>
      <c r="H62"/>
      <c r="I62"/>
      <c r="J62"/>
      <c r="K62"/>
      <c r="L62"/>
      <c r="M62"/>
      <c r="N62"/>
      <c r="O62"/>
      <c r="P62"/>
      <c r="Q62"/>
      <c r="R62"/>
      <c r="S62"/>
      <c r="T62"/>
      <c r="U62"/>
      <c r="V62"/>
      <c r="W62"/>
      <c r="X62"/>
      <c r="Y62"/>
      <c r="Z62"/>
      <c r="AA62"/>
      <c r="AB62"/>
      <c r="AC62"/>
      <c r="AD62"/>
    </row>
    <row r="63" spans="1:30" x14ac:dyDescent="0.2">
      <c r="A63" s="79">
        <v>36192</v>
      </c>
      <c r="B63"/>
      <c r="C63"/>
      <c r="D63"/>
      <c r="E63"/>
      <c r="F63">
        <v>55.51</v>
      </c>
      <c r="G63"/>
      <c r="H63"/>
      <c r="I63"/>
      <c r="J63"/>
      <c r="K63"/>
      <c r="L63"/>
      <c r="M63"/>
      <c r="N63"/>
      <c r="O63"/>
      <c r="P63"/>
      <c r="Q63"/>
      <c r="R63"/>
      <c r="S63"/>
      <c r="T63"/>
      <c r="U63"/>
      <c r="V63"/>
      <c r="W63"/>
      <c r="X63"/>
      <c r="Y63"/>
      <c r="Z63"/>
      <c r="AA63"/>
      <c r="AB63"/>
      <c r="AC63"/>
      <c r="AD63"/>
    </row>
    <row r="64" spans="1:30" x14ac:dyDescent="0.2">
      <c r="A64" s="79">
        <v>36220</v>
      </c>
      <c r="B64"/>
      <c r="C64"/>
      <c r="D64"/>
      <c r="E64"/>
      <c r="F64">
        <v>45.32</v>
      </c>
      <c r="G64"/>
      <c r="H64"/>
      <c r="I64"/>
      <c r="J64"/>
      <c r="K64"/>
      <c r="L64"/>
      <c r="M64"/>
      <c r="N64"/>
      <c r="O64"/>
      <c r="P64"/>
      <c r="Q64"/>
      <c r="R64"/>
      <c r="S64"/>
      <c r="T64"/>
      <c r="U64"/>
      <c r="V64"/>
      <c r="W64"/>
      <c r="X64"/>
      <c r="Y64"/>
      <c r="Z64"/>
      <c r="AA64"/>
      <c r="AB64"/>
      <c r="AC64"/>
      <c r="AD64"/>
    </row>
    <row r="65" spans="1:30" x14ac:dyDescent="0.2">
      <c r="A65" s="79">
        <v>36251</v>
      </c>
      <c r="B65"/>
      <c r="C65"/>
      <c r="D65"/>
      <c r="E65"/>
      <c r="F65">
        <v>50.98</v>
      </c>
      <c r="G65"/>
      <c r="H65"/>
      <c r="I65"/>
      <c r="J65"/>
      <c r="K65"/>
      <c r="L65"/>
      <c r="M65"/>
      <c r="N65"/>
      <c r="O65"/>
      <c r="P65"/>
      <c r="Q65"/>
      <c r="R65"/>
      <c r="S65"/>
      <c r="T65"/>
      <c r="U65"/>
      <c r="V65"/>
      <c r="W65"/>
      <c r="X65"/>
      <c r="Y65"/>
      <c r="Z65"/>
      <c r="AA65"/>
      <c r="AB65"/>
      <c r="AC65"/>
      <c r="AD65"/>
    </row>
    <row r="66" spans="1:30" x14ac:dyDescent="0.2">
      <c r="A66" s="79">
        <v>36281</v>
      </c>
      <c r="B66"/>
      <c r="C66"/>
      <c r="D66"/>
      <c r="E66"/>
      <c r="F66">
        <v>48.33</v>
      </c>
      <c r="G66"/>
      <c r="H66"/>
      <c r="I66"/>
      <c r="J66"/>
      <c r="K66"/>
      <c r="L66"/>
      <c r="M66"/>
      <c r="N66"/>
      <c r="O66"/>
      <c r="P66"/>
      <c r="Q66"/>
      <c r="R66"/>
      <c r="S66"/>
      <c r="T66"/>
      <c r="U66"/>
      <c r="V66"/>
      <c r="W66"/>
      <c r="X66"/>
      <c r="Y66"/>
      <c r="Z66"/>
      <c r="AA66"/>
      <c r="AB66"/>
      <c r="AC66"/>
      <c r="AD66"/>
    </row>
    <row r="67" spans="1:30" x14ac:dyDescent="0.2">
      <c r="A67" s="79">
        <v>36312</v>
      </c>
      <c r="B67"/>
      <c r="C67"/>
      <c r="D67"/>
      <c r="E67"/>
      <c r="F67">
        <v>51.51</v>
      </c>
      <c r="G67"/>
      <c r="H67"/>
      <c r="I67"/>
      <c r="J67"/>
      <c r="K67"/>
      <c r="L67"/>
      <c r="M67"/>
      <c r="N67"/>
      <c r="O67"/>
      <c r="P67"/>
      <c r="Q67"/>
      <c r="R67"/>
      <c r="S67"/>
      <c r="T67"/>
      <c r="U67"/>
      <c r="V67"/>
      <c r="W67"/>
      <c r="X67"/>
      <c r="Y67"/>
      <c r="Z67"/>
      <c r="AA67"/>
      <c r="AB67"/>
      <c r="AC67"/>
      <c r="AD67"/>
    </row>
    <row r="68" spans="1:30" x14ac:dyDescent="0.2">
      <c r="A68" s="79">
        <v>36342</v>
      </c>
      <c r="B68"/>
      <c r="C68"/>
      <c r="D68"/>
      <c r="E68"/>
      <c r="F68">
        <v>53.07</v>
      </c>
      <c r="G68"/>
      <c r="H68"/>
      <c r="I68"/>
      <c r="J68"/>
      <c r="K68"/>
      <c r="L68"/>
      <c r="M68"/>
      <c r="N68"/>
      <c r="O68"/>
      <c r="P68"/>
      <c r="Q68"/>
      <c r="R68"/>
      <c r="S68"/>
      <c r="T68"/>
      <c r="U68"/>
      <c r="V68"/>
      <c r="W68"/>
      <c r="X68"/>
      <c r="Y68"/>
      <c r="Z68"/>
      <c r="AA68"/>
      <c r="AB68"/>
      <c r="AC68"/>
      <c r="AD68"/>
    </row>
    <row r="69" spans="1:30" x14ac:dyDescent="0.2">
      <c r="A69" s="79">
        <v>36373</v>
      </c>
      <c r="B69"/>
      <c r="C69"/>
      <c r="D69"/>
      <c r="E69"/>
      <c r="F69">
        <v>49.58</v>
      </c>
      <c r="G69"/>
      <c r="H69"/>
      <c r="I69"/>
      <c r="J69"/>
      <c r="K69"/>
      <c r="L69"/>
      <c r="M69"/>
      <c r="N69"/>
      <c r="O69"/>
      <c r="P69"/>
      <c r="Q69"/>
      <c r="R69"/>
      <c r="S69"/>
      <c r="T69"/>
      <c r="U69"/>
      <c r="V69"/>
      <c r="W69"/>
      <c r="X69"/>
      <c r="Y69"/>
      <c r="Z69"/>
      <c r="AA69"/>
      <c r="AB69"/>
      <c r="AC69"/>
      <c r="AD69"/>
    </row>
    <row r="70" spans="1:30" x14ac:dyDescent="0.2">
      <c r="A70" s="79">
        <v>36404</v>
      </c>
      <c r="B70"/>
      <c r="C70"/>
      <c r="D70"/>
      <c r="E70"/>
      <c r="F70">
        <v>52.05</v>
      </c>
      <c r="G70"/>
      <c r="H70"/>
      <c r="I70"/>
      <c r="J70"/>
      <c r="K70"/>
      <c r="L70"/>
      <c r="M70"/>
      <c r="N70"/>
      <c r="O70"/>
      <c r="P70"/>
      <c r="Q70"/>
      <c r="R70"/>
      <c r="S70"/>
      <c r="T70"/>
      <c r="U70"/>
      <c r="V70"/>
      <c r="W70"/>
      <c r="X70"/>
      <c r="Y70"/>
      <c r="Z70"/>
      <c r="AA70"/>
      <c r="AB70"/>
      <c r="AC70"/>
      <c r="AD70"/>
    </row>
    <row r="71" spans="1:30" x14ac:dyDescent="0.2">
      <c r="A71" s="79">
        <v>36434</v>
      </c>
      <c r="B71"/>
      <c r="C71"/>
      <c r="D71"/>
      <c r="E71"/>
      <c r="F71">
        <v>69.790000000000006</v>
      </c>
      <c r="G71"/>
      <c r="H71"/>
      <c r="I71"/>
      <c r="J71"/>
      <c r="K71"/>
      <c r="L71"/>
      <c r="M71"/>
      <c r="N71"/>
      <c r="O71"/>
      <c r="P71"/>
      <c r="Q71"/>
      <c r="R71"/>
      <c r="S71"/>
      <c r="T71"/>
      <c r="U71"/>
      <c r="V71"/>
      <c r="W71"/>
      <c r="X71"/>
      <c r="Y71"/>
      <c r="Z71"/>
      <c r="AA71"/>
      <c r="AB71"/>
      <c r="AC71"/>
      <c r="AD71"/>
    </row>
    <row r="72" spans="1:30" x14ac:dyDescent="0.2">
      <c r="A72" s="79">
        <v>36465</v>
      </c>
      <c r="B72"/>
      <c r="C72"/>
      <c r="D72"/>
      <c r="E72"/>
      <c r="F72">
        <v>64.63</v>
      </c>
      <c r="G72"/>
      <c r="H72"/>
      <c r="I72"/>
      <c r="J72"/>
      <c r="K72"/>
      <c r="L72"/>
      <c r="M72"/>
      <c r="N72"/>
      <c r="O72"/>
      <c r="P72"/>
      <c r="Q72"/>
      <c r="R72"/>
      <c r="S72"/>
      <c r="T72"/>
      <c r="U72"/>
      <c r="V72"/>
      <c r="W72"/>
      <c r="X72"/>
      <c r="Y72"/>
      <c r="Z72"/>
      <c r="AA72"/>
      <c r="AB72"/>
      <c r="AC72"/>
      <c r="AD72"/>
    </row>
    <row r="73" spans="1:30" x14ac:dyDescent="0.2">
      <c r="A73" s="79">
        <v>36495</v>
      </c>
      <c r="B73"/>
      <c r="C73"/>
      <c r="D73"/>
      <c r="E73"/>
      <c r="F73">
        <v>46.56</v>
      </c>
      <c r="G73"/>
      <c r="H73"/>
      <c r="I73"/>
      <c r="J73"/>
      <c r="K73"/>
      <c r="L73"/>
      <c r="M73"/>
      <c r="N73"/>
      <c r="O73"/>
      <c r="P73"/>
      <c r="Q73"/>
      <c r="R73"/>
      <c r="S73"/>
      <c r="T73"/>
      <c r="U73"/>
      <c r="V73"/>
      <c r="W73"/>
      <c r="X73"/>
      <c r="Y73"/>
      <c r="Z73"/>
      <c r="AA73"/>
      <c r="AB73"/>
      <c r="AC73"/>
      <c r="AD73"/>
    </row>
    <row r="74" spans="1:30" x14ac:dyDescent="0.2">
      <c r="A74" s="79">
        <v>36526</v>
      </c>
      <c r="B74"/>
      <c r="C74"/>
      <c r="D74"/>
      <c r="E74"/>
      <c r="F74">
        <v>56.5</v>
      </c>
      <c r="G74"/>
      <c r="H74"/>
      <c r="I74"/>
      <c r="J74"/>
      <c r="K74"/>
      <c r="L74"/>
      <c r="M74"/>
      <c r="N74"/>
      <c r="O74"/>
      <c r="P74"/>
      <c r="Q74"/>
      <c r="R74"/>
      <c r="S74"/>
      <c r="T74"/>
      <c r="U74"/>
      <c r="V74">
        <v>56.66</v>
      </c>
      <c r="W74"/>
      <c r="X74"/>
      <c r="Y74"/>
      <c r="Z74"/>
      <c r="AA74"/>
      <c r="AB74"/>
      <c r="AC74"/>
      <c r="AD74"/>
    </row>
    <row r="75" spans="1:30" x14ac:dyDescent="0.2">
      <c r="A75" s="79">
        <v>36557</v>
      </c>
      <c r="B75"/>
      <c r="C75"/>
      <c r="D75"/>
      <c r="E75"/>
      <c r="F75">
        <v>60.09</v>
      </c>
      <c r="G75"/>
      <c r="H75"/>
      <c r="I75"/>
      <c r="J75"/>
      <c r="K75"/>
      <c r="L75"/>
      <c r="M75"/>
      <c r="N75"/>
      <c r="O75"/>
      <c r="P75"/>
      <c r="Q75"/>
      <c r="R75"/>
      <c r="S75"/>
      <c r="T75"/>
      <c r="U75"/>
      <c r="V75">
        <v>57.26</v>
      </c>
      <c r="W75"/>
      <c r="X75"/>
      <c r="Y75"/>
      <c r="Z75"/>
      <c r="AA75"/>
      <c r="AB75"/>
      <c r="AC75"/>
      <c r="AD75"/>
    </row>
    <row r="76" spans="1:30" x14ac:dyDescent="0.2">
      <c r="A76" s="79">
        <v>36586</v>
      </c>
      <c r="B76"/>
      <c r="C76"/>
      <c r="D76"/>
      <c r="E76"/>
      <c r="F76">
        <v>58.03</v>
      </c>
      <c r="G76"/>
      <c r="H76"/>
      <c r="I76"/>
      <c r="J76"/>
      <c r="K76"/>
      <c r="L76"/>
      <c r="M76"/>
      <c r="N76"/>
      <c r="O76"/>
      <c r="P76"/>
      <c r="Q76"/>
      <c r="R76"/>
      <c r="S76"/>
      <c r="T76"/>
      <c r="U76"/>
      <c r="V76">
        <v>49.83</v>
      </c>
      <c r="W76"/>
      <c r="X76"/>
      <c r="Y76"/>
      <c r="Z76"/>
      <c r="AA76"/>
      <c r="AB76"/>
      <c r="AC76"/>
      <c r="AD76"/>
    </row>
    <row r="77" spans="1:30" x14ac:dyDescent="0.2">
      <c r="A77" s="79">
        <v>36617</v>
      </c>
      <c r="B77"/>
      <c r="C77"/>
      <c r="D77"/>
      <c r="E77"/>
      <c r="F77">
        <v>54.9</v>
      </c>
      <c r="G77"/>
      <c r="H77"/>
      <c r="I77"/>
      <c r="J77"/>
      <c r="K77"/>
      <c r="L77"/>
      <c r="M77"/>
      <c r="N77"/>
      <c r="O77"/>
      <c r="P77"/>
      <c r="Q77"/>
      <c r="R77"/>
      <c r="S77"/>
      <c r="T77"/>
      <c r="U77"/>
      <c r="V77">
        <v>52.72</v>
      </c>
      <c r="W77"/>
      <c r="X77"/>
      <c r="Y77"/>
      <c r="Z77"/>
      <c r="AA77"/>
      <c r="AB77"/>
      <c r="AC77"/>
      <c r="AD77"/>
    </row>
    <row r="78" spans="1:30" x14ac:dyDescent="0.2">
      <c r="A78" s="79">
        <v>36647</v>
      </c>
      <c r="B78"/>
      <c r="C78"/>
      <c r="D78"/>
      <c r="E78"/>
      <c r="F78">
        <v>55.18</v>
      </c>
      <c r="G78"/>
      <c r="H78"/>
      <c r="I78"/>
      <c r="J78"/>
      <c r="K78"/>
      <c r="L78"/>
      <c r="M78"/>
      <c r="N78"/>
      <c r="O78"/>
      <c r="P78"/>
      <c r="Q78"/>
      <c r="R78"/>
      <c r="S78"/>
      <c r="T78"/>
      <c r="U78"/>
      <c r="V78">
        <v>50.05</v>
      </c>
      <c r="W78"/>
      <c r="X78"/>
      <c r="Y78"/>
      <c r="Z78"/>
      <c r="AA78"/>
      <c r="AB78"/>
      <c r="AC78"/>
      <c r="AD78"/>
    </row>
    <row r="79" spans="1:30" x14ac:dyDescent="0.2">
      <c r="A79" s="79">
        <v>36678</v>
      </c>
      <c r="B79"/>
      <c r="C79"/>
      <c r="D79"/>
      <c r="E79"/>
      <c r="F79">
        <v>53.67</v>
      </c>
      <c r="G79"/>
      <c r="H79"/>
      <c r="I79"/>
      <c r="J79"/>
      <c r="K79"/>
      <c r="L79"/>
      <c r="M79"/>
      <c r="N79"/>
      <c r="O79"/>
      <c r="P79"/>
      <c r="Q79"/>
      <c r="R79"/>
      <c r="S79"/>
      <c r="T79"/>
      <c r="U79"/>
      <c r="V79">
        <v>49.65</v>
      </c>
      <c r="W79"/>
      <c r="X79"/>
      <c r="Y79"/>
      <c r="Z79"/>
      <c r="AA79"/>
      <c r="AB79"/>
      <c r="AC79"/>
      <c r="AD79"/>
    </row>
    <row r="80" spans="1:30" x14ac:dyDescent="0.2">
      <c r="A80" s="79">
        <v>36708</v>
      </c>
      <c r="B80"/>
      <c r="C80"/>
      <c r="D80"/>
      <c r="E80"/>
      <c r="F80">
        <v>64.069999999999993</v>
      </c>
      <c r="G80"/>
      <c r="H80"/>
      <c r="I80"/>
      <c r="J80"/>
      <c r="K80"/>
      <c r="L80"/>
      <c r="M80"/>
      <c r="N80"/>
      <c r="O80"/>
      <c r="P80"/>
      <c r="Q80"/>
      <c r="R80"/>
      <c r="S80"/>
      <c r="T80"/>
      <c r="U80"/>
      <c r="V80">
        <v>49.18</v>
      </c>
      <c r="W80"/>
      <c r="X80"/>
      <c r="Y80"/>
      <c r="Z80"/>
      <c r="AA80"/>
      <c r="AB80"/>
      <c r="AC80"/>
      <c r="AD80"/>
    </row>
    <row r="81" spans="1:30" x14ac:dyDescent="0.2">
      <c r="A81" s="79">
        <v>36739</v>
      </c>
      <c r="B81"/>
      <c r="C81"/>
      <c r="D81"/>
      <c r="E81"/>
      <c r="F81">
        <v>56.81</v>
      </c>
      <c r="G81"/>
      <c r="H81"/>
      <c r="I81"/>
      <c r="J81"/>
      <c r="K81"/>
      <c r="L81"/>
      <c r="M81"/>
      <c r="N81"/>
      <c r="O81"/>
      <c r="P81"/>
      <c r="Q81"/>
      <c r="R81"/>
      <c r="S81"/>
      <c r="T81"/>
      <c r="U81"/>
      <c r="V81">
        <v>51.48</v>
      </c>
      <c r="W81"/>
      <c r="X81"/>
      <c r="Y81"/>
      <c r="Z81"/>
      <c r="AA81"/>
      <c r="AB81"/>
      <c r="AC81"/>
      <c r="AD81"/>
    </row>
    <row r="82" spans="1:30" x14ac:dyDescent="0.2">
      <c r="A82" s="79">
        <v>36770</v>
      </c>
      <c r="B82"/>
      <c r="C82"/>
      <c r="D82"/>
      <c r="E82"/>
      <c r="F82">
        <v>56.21</v>
      </c>
      <c r="G82"/>
      <c r="H82"/>
      <c r="I82"/>
      <c r="J82"/>
      <c r="K82"/>
      <c r="L82"/>
      <c r="M82"/>
      <c r="N82"/>
      <c r="O82"/>
      <c r="P82"/>
      <c r="Q82"/>
      <c r="R82"/>
      <c r="S82"/>
      <c r="T82"/>
      <c r="U82"/>
      <c r="V82">
        <v>53.75</v>
      </c>
      <c r="W82"/>
      <c r="X82"/>
      <c r="Y82"/>
      <c r="Z82"/>
      <c r="AA82"/>
      <c r="AB82"/>
      <c r="AC82"/>
      <c r="AD82"/>
    </row>
    <row r="83" spans="1:30" x14ac:dyDescent="0.2">
      <c r="A83" s="79">
        <v>36800</v>
      </c>
      <c r="B83"/>
      <c r="C83"/>
      <c r="D83"/>
      <c r="E83"/>
      <c r="F83">
        <v>59.71</v>
      </c>
      <c r="G83"/>
      <c r="H83"/>
      <c r="I83"/>
      <c r="J83"/>
      <c r="K83"/>
      <c r="L83"/>
      <c r="M83"/>
      <c r="N83"/>
      <c r="O83"/>
      <c r="P83"/>
      <c r="Q83"/>
      <c r="R83"/>
      <c r="S83"/>
      <c r="T83"/>
      <c r="U83"/>
      <c r="V83">
        <v>56.34</v>
      </c>
      <c r="W83"/>
      <c r="X83"/>
      <c r="Y83"/>
      <c r="Z83"/>
      <c r="AA83"/>
      <c r="AB83"/>
      <c r="AC83"/>
      <c r="AD83"/>
    </row>
    <row r="84" spans="1:30" x14ac:dyDescent="0.2">
      <c r="A84" s="79">
        <v>36831</v>
      </c>
      <c r="B84"/>
      <c r="C84"/>
      <c r="D84"/>
      <c r="E84"/>
      <c r="F84">
        <v>54.29</v>
      </c>
      <c r="G84"/>
      <c r="H84"/>
      <c r="I84"/>
      <c r="J84"/>
      <c r="K84"/>
      <c r="L84"/>
      <c r="M84"/>
      <c r="N84"/>
      <c r="O84"/>
      <c r="P84"/>
      <c r="Q84"/>
      <c r="R84"/>
      <c r="S84"/>
      <c r="T84"/>
      <c r="U84"/>
      <c r="V84">
        <v>51.73</v>
      </c>
      <c r="W84"/>
      <c r="X84"/>
      <c r="Y84"/>
      <c r="Z84"/>
      <c r="AA84"/>
      <c r="AB84"/>
      <c r="AC84"/>
      <c r="AD84"/>
    </row>
    <row r="85" spans="1:30" x14ac:dyDescent="0.2">
      <c r="A85" s="79">
        <v>36861</v>
      </c>
      <c r="B85"/>
      <c r="C85"/>
      <c r="D85"/>
      <c r="E85"/>
      <c r="F85">
        <v>55.54</v>
      </c>
      <c r="G85"/>
      <c r="H85"/>
      <c r="I85"/>
      <c r="J85"/>
      <c r="K85"/>
      <c r="L85"/>
      <c r="M85"/>
      <c r="N85"/>
      <c r="O85"/>
      <c r="P85"/>
      <c r="Q85"/>
      <c r="R85"/>
      <c r="S85"/>
      <c r="T85"/>
      <c r="U85"/>
      <c r="V85">
        <v>50.48</v>
      </c>
      <c r="W85"/>
      <c r="X85"/>
      <c r="Y85"/>
      <c r="Z85"/>
      <c r="AA85"/>
      <c r="AB85"/>
      <c r="AC85"/>
      <c r="AD85"/>
    </row>
    <row r="86" spans="1:30" x14ac:dyDescent="0.2">
      <c r="A86" s="79">
        <v>36892</v>
      </c>
      <c r="B86"/>
      <c r="C86"/>
      <c r="D86"/>
      <c r="E86"/>
      <c r="F86">
        <v>52.88</v>
      </c>
      <c r="G86"/>
      <c r="H86"/>
      <c r="I86"/>
      <c r="J86"/>
      <c r="K86"/>
      <c r="L86"/>
      <c r="M86"/>
      <c r="N86"/>
      <c r="O86"/>
      <c r="P86"/>
      <c r="Q86"/>
      <c r="R86"/>
      <c r="S86"/>
      <c r="T86"/>
      <c r="U86"/>
      <c r="V86">
        <v>49.29</v>
      </c>
      <c r="W86"/>
      <c r="X86"/>
      <c r="Y86"/>
      <c r="Z86"/>
      <c r="AA86"/>
      <c r="AB86"/>
      <c r="AC86"/>
      <c r="AD86"/>
    </row>
    <row r="87" spans="1:30" x14ac:dyDescent="0.2">
      <c r="A87" s="79">
        <v>36923</v>
      </c>
      <c r="B87"/>
      <c r="C87"/>
      <c r="D87"/>
      <c r="E87"/>
      <c r="F87">
        <v>51.59</v>
      </c>
      <c r="G87"/>
      <c r="H87"/>
      <c r="I87"/>
      <c r="J87"/>
      <c r="K87"/>
      <c r="L87"/>
      <c r="M87"/>
      <c r="N87"/>
      <c r="O87"/>
      <c r="P87"/>
      <c r="Q87"/>
      <c r="R87"/>
      <c r="S87"/>
      <c r="T87"/>
      <c r="U87"/>
      <c r="V87">
        <v>53.48</v>
      </c>
      <c r="W87"/>
      <c r="X87"/>
      <c r="Y87"/>
      <c r="Z87"/>
      <c r="AA87"/>
      <c r="AB87"/>
      <c r="AC87"/>
      <c r="AD87"/>
    </row>
    <row r="88" spans="1:30" x14ac:dyDescent="0.2">
      <c r="A88" s="79">
        <v>36951</v>
      </c>
      <c r="B88"/>
      <c r="C88"/>
      <c r="D88"/>
      <c r="E88"/>
      <c r="F88">
        <v>52.49</v>
      </c>
      <c r="G88"/>
      <c r="H88"/>
      <c r="I88"/>
      <c r="J88"/>
      <c r="K88"/>
      <c r="L88"/>
      <c r="M88"/>
      <c r="N88"/>
      <c r="O88"/>
      <c r="P88"/>
      <c r="Q88"/>
      <c r="R88"/>
      <c r="S88"/>
      <c r="T88"/>
      <c r="U88"/>
      <c r="V88">
        <v>53.61</v>
      </c>
      <c r="W88"/>
      <c r="X88"/>
      <c r="Y88"/>
      <c r="Z88"/>
      <c r="AA88"/>
      <c r="AB88"/>
      <c r="AC88"/>
      <c r="AD88"/>
    </row>
    <row r="89" spans="1:30" x14ac:dyDescent="0.2">
      <c r="A89" s="79">
        <v>36982</v>
      </c>
      <c r="B89"/>
      <c r="C89"/>
      <c r="D89"/>
      <c r="E89"/>
      <c r="F89">
        <v>49.61</v>
      </c>
      <c r="G89"/>
      <c r="H89"/>
      <c r="I89"/>
      <c r="J89"/>
      <c r="K89"/>
      <c r="L89"/>
      <c r="M89"/>
      <c r="N89"/>
      <c r="O89"/>
      <c r="P89"/>
      <c r="Q89"/>
      <c r="R89"/>
      <c r="S89"/>
      <c r="T89"/>
      <c r="U89"/>
      <c r="V89">
        <v>52.38</v>
      </c>
      <c r="W89"/>
      <c r="X89"/>
      <c r="Y89"/>
      <c r="Z89"/>
      <c r="AA89"/>
      <c r="AB89"/>
      <c r="AC89"/>
      <c r="AD89"/>
    </row>
    <row r="90" spans="1:30" x14ac:dyDescent="0.2">
      <c r="A90" s="79">
        <v>37012</v>
      </c>
      <c r="B90"/>
      <c r="C90"/>
      <c r="D90"/>
      <c r="E90"/>
      <c r="F90">
        <v>52.89</v>
      </c>
      <c r="G90"/>
      <c r="H90"/>
      <c r="I90"/>
      <c r="J90"/>
      <c r="K90"/>
      <c r="L90"/>
      <c r="M90"/>
      <c r="N90"/>
      <c r="O90"/>
      <c r="P90"/>
      <c r="Q90"/>
      <c r="R90"/>
      <c r="S90"/>
      <c r="T90"/>
      <c r="U90"/>
      <c r="V90">
        <v>55.01</v>
      </c>
      <c r="W90"/>
      <c r="X90"/>
      <c r="Y90"/>
      <c r="Z90"/>
      <c r="AA90"/>
      <c r="AB90"/>
      <c r="AC90"/>
      <c r="AD90"/>
    </row>
    <row r="91" spans="1:30" x14ac:dyDescent="0.2">
      <c r="A91" s="79">
        <v>37043</v>
      </c>
      <c r="B91"/>
      <c r="C91"/>
      <c r="D91"/>
      <c r="E91"/>
      <c r="F91">
        <v>53.97</v>
      </c>
      <c r="G91"/>
      <c r="H91"/>
      <c r="I91"/>
      <c r="J91"/>
      <c r="K91"/>
      <c r="L91"/>
      <c r="M91"/>
      <c r="N91"/>
      <c r="O91"/>
      <c r="P91"/>
      <c r="Q91"/>
      <c r="R91"/>
      <c r="S91"/>
      <c r="T91"/>
      <c r="U91"/>
      <c r="V91">
        <v>56.17</v>
      </c>
      <c r="W91"/>
      <c r="X91"/>
      <c r="Y91"/>
      <c r="Z91"/>
      <c r="AA91"/>
      <c r="AB91"/>
      <c r="AC91"/>
      <c r="AD91"/>
    </row>
    <row r="92" spans="1:30" x14ac:dyDescent="0.2">
      <c r="A92" s="79">
        <v>37073</v>
      </c>
      <c r="B92"/>
      <c r="C92"/>
      <c r="D92"/>
      <c r="E92"/>
      <c r="F92">
        <v>50.42</v>
      </c>
      <c r="G92"/>
      <c r="H92"/>
      <c r="I92"/>
      <c r="J92"/>
      <c r="K92"/>
      <c r="L92"/>
      <c r="M92"/>
      <c r="N92"/>
      <c r="O92"/>
      <c r="P92"/>
      <c r="Q92"/>
      <c r="R92"/>
      <c r="S92"/>
      <c r="T92"/>
      <c r="U92"/>
      <c r="V92">
        <v>51.34</v>
      </c>
      <c r="W92"/>
      <c r="X92"/>
      <c r="Y92"/>
      <c r="Z92"/>
      <c r="AA92"/>
      <c r="AB92"/>
      <c r="AC92"/>
      <c r="AD92"/>
    </row>
    <row r="93" spans="1:30" x14ac:dyDescent="0.2">
      <c r="A93" s="79">
        <v>37104</v>
      </c>
      <c r="B93"/>
      <c r="C93"/>
      <c r="D93"/>
      <c r="E93"/>
      <c r="F93">
        <v>53.21</v>
      </c>
      <c r="G93"/>
      <c r="H93"/>
      <c r="I93"/>
      <c r="J93"/>
      <c r="K93"/>
      <c r="L93"/>
      <c r="M93"/>
      <c r="N93"/>
      <c r="O93"/>
      <c r="P93"/>
      <c r="Q93"/>
      <c r="R93"/>
      <c r="S93"/>
      <c r="T93"/>
      <c r="U93"/>
      <c r="V93">
        <v>51.22</v>
      </c>
      <c r="W93"/>
      <c r="X93"/>
      <c r="Y93"/>
      <c r="Z93"/>
      <c r="AA93"/>
      <c r="AB93"/>
      <c r="AC93"/>
      <c r="AD93"/>
    </row>
    <row r="94" spans="1:30" x14ac:dyDescent="0.2">
      <c r="A94" s="79">
        <v>37135</v>
      </c>
      <c r="B94"/>
      <c r="C94"/>
      <c r="D94"/>
      <c r="E94"/>
      <c r="F94">
        <v>47.75</v>
      </c>
      <c r="G94"/>
      <c r="H94"/>
      <c r="I94"/>
      <c r="J94"/>
      <c r="K94"/>
      <c r="L94"/>
      <c r="M94"/>
      <c r="N94"/>
      <c r="O94"/>
      <c r="P94"/>
      <c r="Q94"/>
      <c r="R94"/>
      <c r="S94"/>
      <c r="T94"/>
      <c r="U94"/>
      <c r="V94">
        <v>48.76</v>
      </c>
      <c r="W94"/>
      <c r="X94"/>
      <c r="Y94"/>
      <c r="Z94"/>
      <c r="AA94"/>
      <c r="AB94"/>
      <c r="AC94"/>
      <c r="AD94"/>
    </row>
    <row r="95" spans="1:30" x14ac:dyDescent="0.2">
      <c r="A95" s="79">
        <v>37165</v>
      </c>
      <c r="B95"/>
      <c r="C95"/>
      <c r="D95"/>
      <c r="E95"/>
      <c r="F95">
        <v>46.09</v>
      </c>
      <c r="G95"/>
      <c r="H95"/>
      <c r="I95"/>
      <c r="J95"/>
      <c r="K95"/>
      <c r="L95"/>
      <c r="M95"/>
      <c r="N95"/>
      <c r="O95"/>
      <c r="P95"/>
      <c r="Q95"/>
      <c r="R95"/>
      <c r="S95"/>
      <c r="T95"/>
      <c r="U95"/>
      <c r="V95">
        <v>50.25</v>
      </c>
      <c r="W95"/>
      <c r="X95"/>
      <c r="Y95"/>
      <c r="Z95"/>
      <c r="AA95"/>
      <c r="AB95"/>
      <c r="AC95"/>
      <c r="AD95"/>
    </row>
    <row r="96" spans="1:30" x14ac:dyDescent="0.2">
      <c r="A96" s="79">
        <v>37196</v>
      </c>
      <c r="B96"/>
      <c r="C96"/>
      <c r="D96"/>
      <c r="E96"/>
      <c r="F96">
        <v>50.81</v>
      </c>
      <c r="G96"/>
      <c r="H96"/>
      <c r="I96"/>
      <c r="J96"/>
      <c r="K96"/>
      <c r="L96"/>
      <c r="M96"/>
      <c r="N96"/>
      <c r="O96"/>
      <c r="P96"/>
      <c r="Q96"/>
      <c r="R96"/>
      <c r="S96"/>
      <c r="T96"/>
      <c r="U96"/>
      <c r="V96">
        <v>54.35</v>
      </c>
      <c r="W96"/>
      <c r="X96"/>
      <c r="Y96"/>
      <c r="Z96"/>
      <c r="AA96"/>
      <c r="AB96"/>
      <c r="AC96"/>
      <c r="AD96"/>
    </row>
    <row r="97" spans="1:30" x14ac:dyDescent="0.2">
      <c r="A97" s="79">
        <v>37226</v>
      </c>
      <c r="B97"/>
      <c r="C97"/>
      <c r="D97"/>
      <c r="E97"/>
      <c r="F97">
        <v>46.1</v>
      </c>
      <c r="G97"/>
      <c r="H97"/>
      <c r="I97"/>
      <c r="J97"/>
      <c r="K97"/>
      <c r="L97"/>
      <c r="M97"/>
      <c r="N97"/>
      <c r="O97"/>
      <c r="P97"/>
      <c r="Q97"/>
      <c r="R97"/>
      <c r="S97"/>
      <c r="T97"/>
      <c r="U97"/>
      <c r="V97">
        <v>55.35</v>
      </c>
      <c r="W97"/>
      <c r="X97"/>
      <c r="Y97"/>
      <c r="Z97"/>
      <c r="AA97"/>
      <c r="AB97"/>
      <c r="AC97"/>
      <c r="AD97"/>
    </row>
    <row r="98" spans="1:30" x14ac:dyDescent="0.2">
      <c r="A98" s="79">
        <v>37257</v>
      </c>
      <c r="B98"/>
      <c r="C98"/>
      <c r="D98"/>
      <c r="E98"/>
      <c r="F98">
        <v>52.42</v>
      </c>
      <c r="G98"/>
      <c r="H98"/>
      <c r="I98"/>
      <c r="J98"/>
      <c r="K98"/>
      <c r="L98"/>
      <c r="M98"/>
      <c r="N98"/>
      <c r="O98"/>
      <c r="P98"/>
      <c r="Q98"/>
      <c r="R98"/>
      <c r="S98"/>
      <c r="T98"/>
      <c r="U98"/>
      <c r="V98">
        <v>55.53</v>
      </c>
      <c r="W98"/>
      <c r="X98"/>
      <c r="Y98"/>
      <c r="Z98"/>
      <c r="AA98"/>
      <c r="AB98"/>
      <c r="AC98"/>
      <c r="AD98"/>
    </row>
    <row r="99" spans="1:30" x14ac:dyDescent="0.2">
      <c r="A99" s="79">
        <v>37288</v>
      </c>
      <c r="B99"/>
      <c r="C99"/>
      <c r="D99"/>
      <c r="E99"/>
      <c r="F99">
        <v>53.28</v>
      </c>
      <c r="G99"/>
      <c r="H99"/>
      <c r="I99"/>
      <c r="J99"/>
      <c r="K99"/>
      <c r="L99"/>
      <c r="M99"/>
      <c r="N99"/>
      <c r="O99"/>
      <c r="P99"/>
      <c r="Q99"/>
      <c r="R99"/>
      <c r="S99"/>
      <c r="T99"/>
      <c r="U99"/>
      <c r="V99">
        <v>53.87</v>
      </c>
      <c r="W99"/>
      <c r="X99"/>
      <c r="Y99"/>
      <c r="Z99"/>
      <c r="AA99"/>
      <c r="AB99"/>
      <c r="AC99"/>
      <c r="AD99"/>
    </row>
    <row r="100" spans="1:30" x14ac:dyDescent="0.2">
      <c r="A100" s="79">
        <v>37316</v>
      </c>
      <c r="B100"/>
      <c r="C100"/>
      <c r="D100"/>
      <c r="E100"/>
      <c r="F100">
        <v>53.02</v>
      </c>
      <c r="G100"/>
      <c r="H100"/>
      <c r="I100"/>
      <c r="J100"/>
      <c r="K100"/>
      <c r="L100"/>
      <c r="M100"/>
      <c r="N100"/>
      <c r="O100"/>
      <c r="P100"/>
      <c r="Q100"/>
      <c r="R100"/>
      <c r="S100"/>
      <c r="T100"/>
      <c r="U100"/>
      <c r="V100">
        <v>53.63</v>
      </c>
      <c r="W100"/>
      <c r="X100"/>
      <c r="Y100"/>
      <c r="Z100"/>
      <c r="AA100"/>
      <c r="AB100"/>
      <c r="AC100"/>
      <c r="AD100"/>
    </row>
    <row r="101" spans="1:30" x14ac:dyDescent="0.2">
      <c r="A101" s="79">
        <v>37347</v>
      </c>
      <c r="B101"/>
      <c r="C101"/>
      <c r="D101"/>
      <c r="E101"/>
      <c r="F101">
        <v>55.71</v>
      </c>
      <c r="G101"/>
      <c r="H101"/>
      <c r="I101"/>
      <c r="J101"/>
      <c r="K101"/>
      <c r="L101"/>
      <c r="M101"/>
      <c r="N101"/>
      <c r="O101"/>
      <c r="P101"/>
      <c r="Q101"/>
      <c r="R101"/>
      <c r="S101"/>
      <c r="T101"/>
      <c r="U101"/>
      <c r="V101">
        <v>60.87</v>
      </c>
      <c r="W101"/>
      <c r="X101"/>
      <c r="Y101"/>
      <c r="Z101"/>
      <c r="AA101"/>
      <c r="AB101"/>
      <c r="AC101"/>
      <c r="AD101"/>
    </row>
    <row r="102" spans="1:30" x14ac:dyDescent="0.2">
      <c r="A102" s="79">
        <v>37377</v>
      </c>
      <c r="B102"/>
      <c r="C102"/>
      <c r="D102"/>
      <c r="E102"/>
      <c r="F102">
        <v>52.26</v>
      </c>
      <c r="G102"/>
      <c r="H102"/>
      <c r="I102"/>
      <c r="J102"/>
      <c r="K102"/>
      <c r="L102"/>
      <c r="M102"/>
      <c r="N102"/>
      <c r="O102"/>
      <c r="P102"/>
      <c r="Q102"/>
      <c r="R102"/>
      <c r="S102"/>
      <c r="T102"/>
      <c r="U102"/>
      <c r="V102">
        <v>58.74</v>
      </c>
      <c r="W102"/>
      <c r="X102"/>
      <c r="Y102"/>
      <c r="Z102"/>
      <c r="AA102"/>
      <c r="AB102"/>
      <c r="AC102"/>
      <c r="AD102"/>
    </row>
    <row r="103" spans="1:30" x14ac:dyDescent="0.2">
      <c r="A103" s="79">
        <v>37408</v>
      </c>
      <c r="B103"/>
      <c r="C103"/>
      <c r="D103"/>
      <c r="E103"/>
      <c r="F103">
        <v>53.98</v>
      </c>
      <c r="G103"/>
      <c r="H103"/>
      <c r="I103"/>
      <c r="J103"/>
      <c r="K103"/>
      <c r="L103"/>
      <c r="M103"/>
      <c r="N103"/>
      <c r="O103"/>
      <c r="P103"/>
      <c r="Q103"/>
      <c r="R103"/>
      <c r="S103"/>
      <c r="T103"/>
      <c r="U103"/>
      <c r="V103">
        <v>56.43</v>
      </c>
      <c r="W103"/>
      <c r="X103"/>
      <c r="Y103"/>
      <c r="Z103"/>
      <c r="AA103"/>
      <c r="AB103"/>
      <c r="AC103"/>
      <c r="AD103"/>
    </row>
    <row r="104" spans="1:30" x14ac:dyDescent="0.2">
      <c r="A104" s="79">
        <v>37438</v>
      </c>
      <c r="B104"/>
      <c r="C104"/>
      <c r="D104"/>
      <c r="E104"/>
      <c r="F104">
        <v>54.33</v>
      </c>
      <c r="G104"/>
      <c r="H104"/>
      <c r="I104"/>
      <c r="J104"/>
      <c r="K104"/>
      <c r="L104"/>
      <c r="M104"/>
      <c r="N104"/>
      <c r="O104"/>
      <c r="P104"/>
      <c r="Q104"/>
      <c r="R104"/>
      <c r="S104"/>
      <c r="T104"/>
      <c r="U104"/>
      <c r="V104">
        <v>54.63</v>
      </c>
      <c r="W104"/>
      <c r="X104"/>
      <c r="Y104"/>
      <c r="Z104"/>
      <c r="AA104"/>
      <c r="AB104"/>
      <c r="AC104"/>
      <c r="AD104"/>
    </row>
    <row r="105" spans="1:30" x14ac:dyDescent="0.2">
      <c r="A105" s="79">
        <v>37469</v>
      </c>
      <c r="B105"/>
      <c r="C105"/>
      <c r="D105"/>
      <c r="E105"/>
      <c r="F105">
        <v>53.11</v>
      </c>
      <c r="G105"/>
      <c r="H105"/>
      <c r="I105"/>
      <c r="J105"/>
      <c r="K105"/>
      <c r="L105"/>
      <c r="M105"/>
      <c r="N105"/>
      <c r="O105"/>
      <c r="P105"/>
      <c r="Q105"/>
      <c r="R105">
        <v>56.907262129678003</v>
      </c>
      <c r="S105"/>
      <c r="T105"/>
      <c r="U105"/>
      <c r="V105">
        <v>55.58</v>
      </c>
      <c r="W105"/>
      <c r="X105"/>
      <c r="Y105"/>
      <c r="Z105"/>
      <c r="AA105"/>
      <c r="AB105"/>
      <c r="AC105"/>
      <c r="AD105"/>
    </row>
    <row r="106" spans="1:30" x14ac:dyDescent="0.2">
      <c r="A106" s="79">
        <v>37500</v>
      </c>
      <c r="B106"/>
      <c r="C106"/>
      <c r="D106"/>
      <c r="E106"/>
      <c r="F106">
        <v>52.08</v>
      </c>
      <c r="G106"/>
      <c r="H106"/>
      <c r="I106"/>
      <c r="J106"/>
      <c r="K106"/>
      <c r="L106"/>
      <c r="M106"/>
      <c r="N106"/>
      <c r="O106"/>
      <c r="P106"/>
      <c r="Q106"/>
      <c r="R106">
        <v>58.558944963243398</v>
      </c>
      <c r="S106"/>
      <c r="T106"/>
      <c r="U106"/>
      <c r="V106">
        <v>57.74</v>
      </c>
      <c r="W106"/>
      <c r="X106"/>
      <c r="Y106"/>
      <c r="Z106"/>
      <c r="AA106"/>
      <c r="AB106"/>
      <c r="AC106"/>
      <c r="AD106"/>
    </row>
    <row r="107" spans="1:30" x14ac:dyDescent="0.2">
      <c r="A107" s="79">
        <v>37530</v>
      </c>
      <c r="B107"/>
      <c r="C107"/>
      <c r="D107"/>
      <c r="E107"/>
      <c r="F107">
        <v>47.57</v>
      </c>
      <c r="G107"/>
      <c r="H107"/>
      <c r="I107"/>
      <c r="J107"/>
      <c r="K107"/>
      <c r="L107"/>
      <c r="M107"/>
      <c r="N107"/>
      <c r="O107"/>
      <c r="P107"/>
      <c r="Q107"/>
      <c r="R107">
        <v>57.946692398866297</v>
      </c>
      <c r="S107"/>
      <c r="T107"/>
      <c r="U107"/>
      <c r="V107">
        <v>56.38</v>
      </c>
      <c r="W107"/>
      <c r="X107"/>
      <c r="Y107"/>
      <c r="Z107"/>
      <c r="AA107"/>
      <c r="AB107"/>
      <c r="AC107"/>
      <c r="AD107"/>
    </row>
    <row r="108" spans="1:30" x14ac:dyDescent="0.2">
      <c r="A108" s="79">
        <v>37561</v>
      </c>
      <c r="B108"/>
      <c r="C108"/>
      <c r="D108"/>
      <c r="E108"/>
      <c r="F108">
        <v>47.96</v>
      </c>
      <c r="G108"/>
      <c r="H108"/>
      <c r="I108"/>
      <c r="J108"/>
      <c r="K108"/>
      <c r="L108"/>
      <c r="M108"/>
      <c r="N108"/>
      <c r="O108"/>
      <c r="P108"/>
      <c r="Q108"/>
      <c r="R108">
        <v>57.045752075729702</v>
      </c>
      <c r="S108"/>
      <c r="T108"/>
      <c r="U108"/>
      <c r="V108">
        <v>54.54</v>
      </c>
      <c r="W108"/>
      <c r="X108"/>
      <c r="Y108"/>
      <c r="Z108"/>
      <c r="AA108"/>
      <c r="AB108"/>
      <c r="AC108"/>
      <c r="AD108"/>
    </row>
    <row r="109" spans="1:30" x14ac:dyDescent="0.2">
      <c r="A109" s="79">
        <v>37591</v>
      </c>
      <c r="B109"/>
      <c r="C109"/>
      <c r="D109"/>
      <c r="E109"/>
      <c r="F109">
        <v>48.71</v>
      </c>
      <c r="G109"/>
      <c r="H109"/>
      <c r="I109"/>
      <c r="J109"/>
      <c r="K109"/>
      <c r="L109"/>
      <c r="M109"/>
      <c r="N109"/>
      <c r="O109"/>
      <c r="P109"/>
      <c r="Q109"/>
      <c r="R109">
        <v>57.162855142389098</v>
      </c>
      <c r="S109"/>
      <c r="T109"/>
      <c r="U109"/>
      <c r="V109">
        <v>55.28</v>
      </c>
      <c r="W109"/>
      <c r="X109"/>
      <c r="Y109"/>
      <c r="Z109"/>
      <c r="AA109"/>
      <c r="AB109"/>
      <c r="AC109"/>
      <c r="AD109"/>
    </row>
    <row r="110" spans="1:30" x14ac:dyDescent="0.2">
      <c r="A110" s="79">
        <v>37622</v>
      </c>
      <c r="B110"/>
      <c r="C110"/>
      <c r="D110"/>
      <c r="E110"/>
      <c r="F110">
        <v>46.3</v>
      </c>
      <c r="G110"/>
      <c r="H110"/>
      <c r="I110"/>
      <c r="J110"/>
      <c r="K110"/>
      <c r="L110"/>
      <c r="M110"/>
      <c r="N110"/>
      <c r="O110"/>
      <c r="P110"/>
      <c r="Q110"/>
      <c r="R110">
        <v>56.037312647284203</v>
      </c>
      <c r="S110"/>
      <c r="T110"/>
      <c r="U110"/>
      <c r="V110">
        <v>56.84</v>
      </c>
      <c r="W110"/>
      <c r="X110"/>
      <c r="Y110"/>
      <c r="Z110"/>
      <c r="AA110"/>
      <c r="AB110"/>
      <c r="AC110"/>
      <c r="AD110"/>
    </row>
    <row r="111" spans="1:30" x14ac:dyDescent="0.2">
      <c r="A111" s="79">
        <v>37653</v>
      </c>
      <c r="B111"/>
      <c r="C111"/>
      <c r="D111"/>
      <c r="E111"/>
      <c r="F111">
        <v>46.27</v>
      </c>
      <c r="G111"/>
      <c r="H111"/>
      <c r="I111"/>
      <c r="J111"/>
      <c r="K111"/>
      <c r="L111"/>
      <c r="M111"/>
      <c r="N111"/>
      <c r="O111"/>
      <c r="P111"/>
      <c r="Q111"/>
      <c r="R111">
        <v>54.453721410704397</v>
      </c>
      <c r="S111"/>
      <c r="T111"/>
      <c r="U111"/>
      <c r="V111">
        <v>52.39</v>
      </c>
      <c r="W111"/>
      <c r="X111"/>
      <c r="Y111"/>
      <c r="Z111"/>
      <c r="AA111"/>
      <c r="AB111"/>
      <c r="AC111"/>
      <c r="AD111"/>
    </row>
    <row r="112" spans="1:30" x14ac:dyDescent="0.2">
      <c r="A112" s="79">
        <v>37681</v>
      </c>
      <c r="B112"/>
      <c r="C112"/>
      <c r="D112"/>
      <c r="E112"/>
      <c r="F112">
        <v>49.92</v>
      </c>
      <c r="G112"/>
      <c r="H112"/>
      <c r="I112"/>
      <c r="J112"/>
      <c r="K112"/>
      <c r="L112"/>
      <c r="M112"/>
      <c r="N112"/>
      <c r="O112"/>
      <c r="P112"/>
      <c r="Q112"/>
      <c r="R112">
        <v>52.803630209600101</v>
      </c>
      <c r="S112"/>
      <c r="T112"/>
      <c r="U112"/>
      <c r="V112">
        <v>49.15</v>
      </c>
      <c r="W112"/>
      <c r="X112"/>
      <c r="Y112"/>
      <c r="Z112"/>
      <c r="AA112"/>
      <c r="AB112"/>
      <c r="AC112"/>
      <c r="AD112"/>
    </row>
    <row r="113" spans="1:30" x14ac:dyDescent="0.2">
      <c r="A113" s="79">
        <v>37712</v>
      </c>
      <c r="B113"/>
      <c r="C113"/>
      <c r="D113"/>
      <c r="E113"/>
      <c r="F113">
        <v>52.91</v>
      </c>
      <c r="G113"/>
      <c r="H113"/>
      <c r="I113"/>
      <c r="J113"/>
      <c r="K113"/>
      <c r="L113"/>
      <c r="M113"/>
      <c r="N113"/>
      <c r="O113"/>
      <c r="P113"/>
      <c r="Q113"/>
      <c r="R113">
        <v>53.3207423548318</v>
      </c>
      <c r="S113"/>
      <c r="T113"/>
      <c r="U113"/>
      <c r="V113">
        <v>48.99</v>
      </c>
      <c r="W113"/>
      <c r="X113"/>
      <c r="Y113"/>
      <c r="Z113"/>
      <c r="AA113"/>
      <c r="AB113"/>
      <c r="AC113"/>
      <c r="AD113"/>
    </row>
    <row r="114" spans="1:30" x14ac:dyDescent="0.2">
      <c r="A114" s="79">
        <v>37742</v>
      </c>
      <c r="B114"/>
      <c r="C114"/>
      <c r="D114"/>
      <c r="E114"/>
      <c r="F114">
        <v>50.11</v>
      </c>
      <c r="G114"/>
      <c r="H114"/>
      <c r="I114"/>
      <c r="J114"/>
      <c r="K114"/>
      <c r="L114"/>
      <c r="M114"/>
      <c r="N114"/>
      <c r="O114"/>
      <c r="P114"/>
      <c r="Q114"/>
      <c r="R114">
        <v>51.856412409729302</v>
      </c>
      <c r="S114"/>
      <c r="T114"/>
      <c r="U114"/>
      <c r="V114">
        <v>46.13</v>
      </c>
      <c r="W114"/>
      <c r="X114"/>
      <c r="Y114"/>
      <c r="Z114"/>
      <c r="AA114"/>
      <c r="AB114"/>
      <c r="AC114"/>
      <c r="AD114"/>
    </row>
    <row r="115" spans="1:30" x14ac:dyDescent="0.2">
      <c r="A115" s="79">
        <v>37773</v>
      </c>
      <c r="B115"/>
      <c r="C115"/>
      <c r="D115"/>
      <c r="E115"/>
      <c r="F115">
        <v>47.14</v>
      </c>
      <c r="G115"/>
      <c r="H115"/>
      <c r="I115"/>
      <c r="J115"/>
      <c r="K115"/>
      <c r="L115"/>
      <c r="M115"/>
      <c r="N115"/>
      <c r="O115"/>
      <c r="P115"/>
      <c r="Q115"/>
      <c r="R115">
        <v>53.437648762611197</v>
      </c>
      <c r="S115"/>
      <c r="T115"/>
      <c r="U115"/>
      <c r="V115">
        <v>45.22</v>
      </c>
      <c r="W115"/>
      <c r="X115"/>
      <c r="Y115"/>
      <c r="Z115"/>
      <c r="AA115"/>
      <c r="AB115"/>
      <c r="AC115"/>
      <c r="AD115"/>
    </row>
    <row r="116" spans="1:30" x14ac:dyDescent="0.2">
      <c r="A116" s="79">
        <v>37803</v>
      </c>
      <c r="B116"/>
      <c r="C116"/>
      <c r="D116"/>
      <c r="E116"/>
      <c r="F116">
        <v>49.65</v>
      </c>
      <c r="G116"/>
      <c r="H116"/>
      <c r="I116"/>
      <c r="J116"/>
      <c r="K116"/>
      <c r="L116"/>
      <c r="M116"/>
      <c r="N116"/>
      <c r="O116"/>
      <c r="P116"/>
      <c r="Q116"/>
      <c r="R116">
        <v>53.0699070792162</v>
      </c>
      <c r="S116"/>
      <c r="T116"/>
      <c r="U116"/>
      <c r="V116">
        <v>47.89</v>
      </c>
      <c r="W116"/>
      <c r="X116"/>
      <c r="Y116"/>
      <c r="Z116"/>
      <c r="AA116"/>
      <c r="AB116"/>
      <c r="AC116"/>
      <c r="AD116"/>
    </row>
    <row r="117" spans="1:30" x14ac:dyDescent="0.2">
      <c r="A117" s="79">
        <v>37834</v>
      </c>
      <c r="B117"/>
      <c r="C117"/>
      <c r="D117"/>
      <c r="E117"/>
      <c r="F117">
        <v>49.78</v>
      </c>
      <c r="G117"/>
      <c r="H117"/>
      <c r="I117"/>
      <c r="J117"/>
      <c r="K117"/>
      <c r="L117"/>
      <c r="M117"/>
      <c r="N117"/>
      <c r="O117"/>
      <c r="P117"/>
      <c r="Q117"/>
      <c r="R117">
        <v>50.568235899885103</v>
      </c>
      <c r="S117"/>
      <c r="T117"/>
      <c r="U117"/>
      <c r="V117">
        <v>48.44</v>
      </c>
      <c r="W117"/>
      <c r="X117"/>
      <c r="Y117"/>
      <c r="Z117"/>
      <c r="AA117"/>
      <c r="AB117"/>
      <c r="AC117"/>
      <c r="AD117"/>
    </row>
    <row r="118" spans="1:30" x14ac:dyDescent="0.2">
      <c r="A118" s="79">
        <v>37865</v>
      </c>
      <c r="B118"/>
      <c r="C118"/>
      <c r="D118"/>
      <c r="E118"/>
      <c r="F118">
        <v>59.65</v>
      </c>
      <c r="G118"/>
      <c r="H118"/>
      <c r="I118"/>
      <c r="J118"/>
      <c r="K118"/>
      <c r="L118"/>
      <c r="M118"/>
      <c r="N118"/>
      <c r="O118"/>
      <c r="P118"/>
      <c r="Q118"/>
      <c r="R118">
        <v>57.843029176009402</v>
      </c>
      <c r="S118"/>
      <c r="T118"/>
      <c r="U118"/>
      <c r="V118">
        <v>45.46</v>
      </c>
      <c r="W118"/>
      <c r="X118"/>
      <c r="Y118"/>
      <c r="Z118"/>
      <c r="AA118"/>
      <c r="AB118"/>
      <c r="AC118"/>
      <c r="AD118"/>
    </row>
    <row r="119" spans="1:30" x14ac:dyDescent="0.2">
      <c r="A119" s="79">
        <v>37895</v>
      </c>
      <c r="B119"/>
      <c r="C119"/>
      <c r="D119"/>
      <c r="E119"/>
      <c r="F119">
        <v>54.14</v>
      </c>
      <c r="G119"/>
      <c r="H119"/>
      <c r="I119"/>
      <c r="J119"/>
      <c r="K119"/>
      <c r="L119"/>
      <c r="M119"/>
      <c r="N119"/>
      <c r="O119"/>
      <c r="P119"/>
      <c r="Q119"/>
      <c r="R119">
        <v>60.866406299467698</v>
      </c>
      <c r="S119"/>
      <c r="T119"/>
      <c r="U119"/>
      <c r="V119">
        <v>47.73</v>
      </c>
      <c r="W119"/>
      <c r="X119"/>
      <c r="Y119"/>
      <c r="Z119"/>
      <c r="AA119"/>
      <c r="AB119"/>
      <c r="AC119"/>
      <c r="AD119"/>
    </row>
    <row r="120" spans="1:30" x14ac:dyDescent="0.2">
      <c r="A120" s="79">
        <v>37926</v>
      </c>
      <c r="B120"/>
      <c r="C120"/>
      <c r="D120"/>
      <c r="E120"/>
      <c r="F120">
        <v>57.7</v>
      </c>
      <c r="G120"/>
      <c r="H120"/>
      <c r="I120"/>
      <c r="J120"/>
      <c r="K120"/>
      <c r="L120"/>
      <c r="M120"/>
      <c r="N120"/>
      <c r="O120"/>
      <c r="P120"/>
      <c r="Q120"/>
      <c r="R120">
        <v>56.386882357350899</v>
      </c>
      <c r="S120"/>
      <c r="T120"/>
      <c r="U120"/>
      <c r="V120">
        <v>53.1</v>
      </c>
      <c r="W120"/>
      <c r="X120"/>
      <c r="Y120"/>
      <c r="Z120"/>
      <c r="AA120"/>
      <c r="AB120"/>
      <c r="AC120"/>
      <c r="AD120"/>
    </row>
    <row r="121" spans="1:30" x14ac:dyDescent="0.2">
      <c r="A121" s="79">
        <v>37956</v>
      </c>
      <c r="B121"/>
      <c r="C121"/>
      <c r="D121"/>
      <c r="E121"/>
      <c r="F121">
        <v>60.4</v>
      </c>
      <c r="G121"/>
      <c r="H121"/>
      <c r="I121"/>
      <c r="J121"/>
      <c r="K121"/>
      <c r="L121"/>
      <c r="M121"/>
      <c r="N121"/>
      <c r="O121"/>
      <c r="P121"/>
      <c r="Q121"/>
      <c r="R121">
        <v>54.845751644085702</v>
      </c>
      <c r="S121"/>
      <c r="T121"/>
      <c r="U121"/>
      <c r="V121">
        <v>51.55</v>
      </c>
      <c r="W121"/>
      <c r="X121"/>
      <c r="Y121"/>
      <c r="Z121"/>
      <c r="AA121"/>
      <c r="AB121"/>
      <c r="AC121"/>
      <c r="AD121"/>
    </row>
    <row r="122" spans="1:30" x14ac:dyDescent="0.2">
      <c r="A122" s="79">
        <v>37987</v>
      </c>
      <c r="B122"/>
      <c r="C122"/>
      <c r="D122"/>
      <c r="E122"/>
      <c r="F122">
        <v>46.37</v>
      </c>
      <c r="G122"/>
      <c r="H122"/>
      <c r="I122"/>
      <c r="J122"/>
      <c r="K122"/>
      <c r="L122"/>
      <c r="M122"/>
      <c r="N122"/>
      <c r="O122"/>
      <c r="P122"/>
      <c r="Q122"/>
      <c r="R122">
        <v>55.793919717969402</v>
      </c>
      <c r="S122"/>
      <c r="T122"/>
      <c r="U122"/>
      <c r="V122">
        <v>54.61</v>
      </c>
      <c r="W122"/>
      <c r="X122"/>
      <c r="Y122"/>
      <c r="Z122"/>
      <c r="AA122"/>
      <c r="AB122"/>
      <c r="AC122"/>
      <c r="AD122"/>
    </row>
    <row r="123" spans="1:30" x14ac:dyDescent="0.2">
      <c r="A123" s="79">
        <v>38018</v>
      </c>
      <c r="B123"/>
      <c r="C123"/>
      <c r="D123"/>
      <c r="E123"/>
      <c r="F123">
        <v>56.97</v>
      </c>
      <c r="G123"/>
      <c r="H123"/>
      <c r="I123"/>
      <c r="J123"/>
      <c r="K123"/>
      <c r="L123"/>
      <c r="M123"/>
      <c r="N123"/>
      <c r="O123"/>
      <c r="P123"/>
      <c r="Q123"/>
      <c r="R123">
        <v>56.800472168487701</v>
      </c>
      <c r="S123"/>
      <c r="T123"/>
      <c r="U123"/>
      <c r="V123">
        <v>54.29</v>
      </c>
      <c r="W123"/>
      <c r="X123"/>
      <c r="Y123"/>
      <c r="Z123"/>
      <c r="AA123"/>
      <c r="AB123"/>
      <c r="AC123"/>
      <c r="AD123"/>
    </row>
    <row r="124" spans="1:30" x14ac:dyDescent="0.2">
      <c r="A124" s="79">
        <v>38047</v>
      </c>
      <c r="B124"/>
      <c r="C124"/>
      <c r="D124"/>
      <c r="E124"/>
      <c r="F124">
        <v>58.99</v>
      </c>
      <c r="G124"/>
      <c r="H124"/>
      <c r="I124"/>
      <c r="J124"/>
      <c r="K124"/>
      <c r="L124"/>
      <c r="M124"/>
      <c r="N124"/>
      <c r="O124"/>
      <c r="P124"/>
      <c r="Q124"/>
      <c r="R124">
        <v>59.0129037737941</v>
      </c>
      <c r="S124"/>
      <c r="T124"/>
      <c r="U124"/>
      <c r="V124">
        <v>55.84</v>
      </c>
      <c r="W124"/>
      <c r="X124"/>
      <c r="Y124"/>
      <c r="Z124"/>
      <c r="AA124"/>
      <c r="AB124"/>
      <c r="AC124"/>
      <c r="AD124"/>
    </row>
    <row r="125" spans="1:30" x14ac:dyDescent="0.2">
      <c r="A125" s="79">
        <v>38078</v>
      </c>
      <c r="B125"/>
      <c r="C125"/>
      <c r="D125"/>
      <c r="E125"/>
      <c r="F125">
        <v>59.16</v>
      </c>
      <c r="G125"/>
      <c r="H125"/>
      <c r="I125"/>
      <c r="J125"/>
      <c r="K125"/>
      <c r="L125"/>
      <c r="M125"/>
      <c r="N125"/>
      <c r="O125"/>
      <c r="P125"/>
      <c r="Q125"/>
      <c r="R125">
        <v>58.741686967726302</v>
      </c>
      <c r="S125"/>
      <c r="T125"/>
      <c r="U125"/>
      <c r="V125">
        <v>56.95</v>
      </c>
      <c r="W125"/>
      <c r="X125"/>
      <c r="Y125"/>
      <c r="Z125"/>
      <c r="AA125"/>
      <c r="AB125"/>
      <c r="AC125"/>
      <c r="AD125"/>
    </row>
    <row r="126" spans="1:30" x14ac:dyDescent="0.2">
      <c r="A126" s="79">
        <v>38108</v>
      </c>
      <c r="B126"/>
      <c r="C126"/>
      <c r="D126"/>
      <c r="E126"/>
      <c r="F126">
        <v>61.27</v>
      </c>
      <c r="G126"/>
      <c r="H126"/>
      <c r="I126"/>
      <c r="J126"/>
      <c r="K126"/>
      <c r="L126"/>
      <c r="M126"/>
      <c r="N126"/>
      <c r="O126"/>
      <c r="P126"/>
      <c r="Q126"/>
      <c r="R126">
        <v>56.1940744843941</v>
      </c>
      <c r="S126"/>
      <c r="T126"/>
      <c r="U126"/>
      <c r="V126">
        <v>56.6</v>
      </c>
      <c r="W126"/>
      <c r="X126"/>
      <c r="Y126"/>
      <c r="Z126"/>
      <c r="AA126"/>
      <c r="AB126"/>
      <c r="AC126"/>
      <c r="AD126"/>
    </row>
    <row r="127" spans="1:30" x14ac:dyDescent="0.2">
      <c r="A127" s="79">
        <v>38139</v>
      </c>
      <c r="B127"/>
      <c r="C127"/>
      <c r="D127"/>
      <c r="E127"/>
      <c r="F127">
        <v>51.93</v>
      </c>
      <c r="G127"/>
      <c r="H127"/>
      <c r="I127"/>
      <c r="J127"/>
      <c r="K127"/>
      <c r="L127"/>
      <c r="M127"/>
      <c r="N127"/>
      <c r="O127"/>
      <c r="P127"/>
      <c r="Q127"/>
      <c r="R127">
        <v>62.772774028058897</v>
      </c>
      <c r="S127"/>
      <c r="T127"/>
      <c r="U127"/>
      <c r="V127">
        <v>56.83</v>
      </c>
      <c r="W127"/>
      <c r="X127"/>
      <c r="Y127"/>
      <c r="Z127"/>
      <c r="AA127"/>
      <c r="AB127"/>
      <c r="AC127"/>
      <c r="AD127"/>
    </row>
    <row r="128" spans="1:30" x14ac:dyDescent="0.2">
      <c r="A128" s="79">
        <v>38169</v>
      </c>
      <c r="B128"/>
      <c r="C128"/>
      <c r="D128"/>
      <c r="E128"/>
      <c r="F128">
        <v>56.18</v>
      </c>
      <c r="G128"/>
      <c r="H128"/>
      <c r="I128"/>
      <c r="J128"/>
      <c r="K128"/>
      <c r="L128"/>
      <c r="M128"/>
      <c r="N128"/>
      <c r="O128"/>
      <c r="P128"/>
      <c r="Q128"/>
      <c r="R128">
        <v>58.771020874084499</v>
      </c>
      <c r="S128"/>
      <c r="T128"/>
      <c r="U128"/>
      <c r="V128">
        <v>55.54</v>
      </c>
      <c r="W128"/>
      <c r="X128"/>
      <c r="Y128"/>
      <c r="Z128"/>
      <c r="AA128"/>
      <c r="AB128"/>
      <c r="AC128"/>
      <c r="AD128"/>
    </row>
    <row r="129" spans="1:30" x14ac:dyDescent="0.2">
      <c r="A129" s="79">
        <v>38200</v>
      </c>
      <c r="B129"/>
      <c r="C129"/>
      <c r="D129"/>
      <c r="E129"/>
      <c r="F129">
        <v>62.38</v>
      </c>
      <c r="G129"/>
      <c r="H129"/>
      <c r="I129"/>
      <c r="J129"/>
      <c r="K129"/>
      <c r="L129"/>
      <c r="M129"/>
      <c r="N129"/>
      <c r="O129"/>
      <c r="P129"/>
      <c r="Q129"/>
      <c r="R129">
        <v>57.427085291237098</v>
      </c>
      <c r="S129"/>
      <c r="T129"/>
      <c r="U129"/>
      <c r="V129">
        <v>57.5</v>
      </c>
      <c r="W129"/>
      <c r="X129"/>
      <c r="Y129"/>
      <c r="Z129"/>
      <c r="AA129"/>
      <c r="AB129"/>
      <c r="AC129"/>
      <c r="AD129"/>
    </row>
    <row r="130" spans="1:30" x14ac:dyDescent="0.2">
      <c r="A130" s="79">
        <v>38231</v>
      </c>
      <c r="B130"/>
      <c r="C130"/>
      <c r="D130"/>
      <c r="E130"/>
      <c r="F130">
        <v>57.36</v>
      </c>
      <c r="G130"/>
      <c r="H130"/>
      <c r="I130"/>
      <c r="J130"/>
      <c r="K130"/>
      <c r="L130"/>
      <c r="M130"/>
      <c r="N130"/>
      <c r="O130"/>
      <c r="P130"/>
      <c r="Q130"/>
      <c r="R130">
        <v>55.049322078869203</v>
      </c>
      <c r="S130"/>
      <c r="T130"/>
      <c r="U130"/>
      <c r="V130">
        <v>57.5</v>
      </c>
      <c r="W130"/>
      <c r="X130"/>
      <c r="Y130"/>
      <c r="Z130"/>
      <c r="AA130"/>
      <c r="AB130"/>
      <c r="AC130"/>
      <c r="AD130"/>
    </row>
    <row r="131" spans="1:30" x14ac:dyDescent="0.2">
      <c r="A131" s="79">
        <v>38261</v>
      </c>
      <c r="B131"/>
      <c r="C131"/>
      <c r="D131"/>
      <c r="E131"/>
      <c r="F131">
        <v>56.87</v>
      </c>
      <c r="G131"/>
      <c r="H131"/>
      <c r="I131"/>
      <c r="J131"/>
      <c r="K131"/>
      <c r="L131"/>
      <c r="M131"/>
      <c r="N131"/>
      <c r="O131"/>
      <c r="P131"/>
      <c r="Q131"/>
      <c r="R131">
        <v>52.917155117700901</v>
      </c>
      <c r="S131"/>
      <c r="T131"/>
      <c r="U131"/>
      <c r="V131">
        <v>55.37</v>
      </c>
      <c r="W131"/>
      <c r="X131"/>
      <c r="Y131"/>
      <c r="Z131"/>
      <c r="AA131"/>
      <c r="AB131"/>
      <c r="AC131"/>
      <c r="AD131"/>
    </row>
    <row r="132" spans="1:30" x14ac:dyDescent="0.2">
      <c r="A132" s="79">
        <v>38292</v>
      </c>
      <c r="B132"/>
      <c r="C132"/>
      <c r="D132"/>
      <c r="E132"/>
      <c r="F132">
        <v>54.39</v>
      </c>
      <c r="G132"/>
      <c r="H132"/>
      <c r="I132"/>
      <c r="J132"/>
      <c r="K132"/>
      <c r="L132"/>
      <c r="M132"/>
      <c r="N132"/>
      <c r="O132"/>
      <c r="P132"/>
      <c r="Q132"/>
      <c r="R132">
        <v>57.866935416672398</v>
      </c>
      <c r="S132"/>
      <c r="T132"/>
      <c r="U132"/>
      <c r="V132">
        <v>54.08</v>
      </c>
      <c r="W132"/>
      <c r="X132"/>
      <c r="Y132"/>
      <c r="Z132"/>
      <c r="AA132"/>
      <c r="AB132"/>
      <c r="AC132"/>
      <c r="AD132"/>
    </row>
    <row r="133" spans="1:30" x14ac:dyDescent="0.2">
      <c r="A133" s="79">
        <v>38322</v>
      </c>
      <c r="B133"/>
      <c r="C133"/>
      <c r="D133"/>
      <c r="E133"/>
      <c r="F133">
        <v>57.58</v>
      </c>
      <c r="G133">
        <v>51.4</v>
      </c>
      <c r="H133"/>
      <c r="I133"/>
      <c r="J133"/>
      <c r="K133"/>
      <c r="L133"/>
      <c r="M133"/>
      <c r="N133"/>
      <c r="O133"/>
      <c r="P133"/>
      <c r="Q133"/>
      <c r="R133">
        <v>58.981422607151899</v>
      </c>
      <c r="S133"/>
      <c r="T133"/>
      <c r="U133"/>
      <c r="V133">
        <v>54.34</v>
      </c>
      <c r="W133"/>
      <c r="X133"/>
      <c r="Y133"/>
      <c r="Z133"/>
      <c r="AA133"/>
      <c r="AB133">
        <v>53.7</v>
      </c>
      <c r="AC133"/>
      <c r="AD133"/>
    </row>
    <row r="134" spans="1:30" x14ac:dyDescent="0.2">
      <c r="A134" s="79">
        <v>38353</v>
      </c>
      <c r="B134"/>
      <c r="C134"/>
      <c r="D134"/>
      <c r="E134"/>
      <c r="F134">
        <v>59.37</v>
      </c>
      <c r="G134">
        <v>51.9</v>
      </c>
      <c r="H134"/>
      <c r="I134"/>
      <c r="J134"/>
      <c r="K134"/>
      <c r="L134"/>
      <c r="M134"/>
      <c r="N134"/>
      <c r="O134"/>
      <c r="P134"/>
      <c r="Q134"/>
      <c r="R134">
        <v>57.034440617633997</v>
      </c>
      <c r="S134"/>
      <c r="T134"/>
      <c r="U134"/>
      <c r="V134">
        <v>51.54</v>
      </c>
      <c r="W134"/>
      <c r="X134"/>
      <c r="Y134"/>
      <c r="Z134"/>
      <c r="AA134"/>
      <c r="AB134">
        <v>51.8</v>
      </c>
      <c r="AC134"/>
      <c r="AD134"/>
    </row>
    <row r="135" spans="1:30" x14ac:dyDescent="0.2">
      <c r="A135" s="79">
        <v>38384</v>
      </c>
      <c r="B135"/>
      <c r="C135"/>
      <c r="D135"/>
      <c r="E135"/>
      <c r="F135">
        <v>55.3</v>
      </c>
      <c r="G135">
        <v>51.9</v>
      </c>
      <c r="H135"/>
      <c r="I135"/>
      <c r="J135"/>
      <c r="K135"/>
      <c r="L135"/>
      <c r="M135"/>
      <c r="N135"/>
      <c r="O135"/>
      <c r="P135"/>
      <c r="Q135"/>
      <c r="R135">
        <v>56.255983584510801</v>
      </c>
      <c r="S135"/>
      <c r="T135"/>
      <c r="U135"/>
      <c r="V135">
        <v>55.55</v>
      </c>
      <c r="W135"/>
      <c r="X135"/>
      <c r="Y135"/>
      <c r="Z135"/>
      <c r="AA135"/>
      <c r="AB135">
        <v>51.8</v>
      </c>
      <c r="AC135"/>
      <c r="AD135"/>
    </row>
    <row r="136" spans="1:30" x14ac:dyDescent="0.2">
      <c r="A136" s="79">
        <v>38412</v>
      </c>
      <c r="B136"/>
      <c r="C136"/>
      <c r="D136"/>
      <c r="E136"/>
      <c r="F136">
        <v>56.66</v>
      </c>
      <c r="G136">
        <v>50.4</v>
      </c>
      <c r="H136"/>
      <c r="I136"/>
      <c r="J136"/>
      <c r="K136"/>
      <c r="L136"/>
      <c r="M136"/>
      <c r="N136"/>
      <c r="O136"/>
      <c r="P136"/>
      <c r="Q136"/>
      <c r="R136">
        <v>51.639603525794001</v>
      </c>
      <c r="S136"/>
      <c r="T136"/>
      <c r="U136"/>
      <c r="V136">
        <v>57.65</v>
      </c>
      <c r="W136"/>
      <c r="X136"/>
      <c r="Y136"/>
      <c r="Z136"/>
      <c r="AA136"/>
      <c r="AB136">
        <v>52</v>
      </c>
      <c r="AC136"/>
      <c r="AD136"/>
    </row>
    <row r="137" spans="1:30" x14ac:dyDescent="0.2">
      <c r="A137" s="79">
        <v>38443</v>
      </c>
      <c r="B137"/>
      <c r="C137"/>
      <c r="D137"/>
      <c r="E137"/>
      <c r="F137">
        <v>52.88</v>
      </c>
      <c r="G137">
        <v>49.2</v>
      </c>
      <c r="H137"/>
      <c r="I137"/>
      <c r="J137"/>
      <c r="K137"/>
      <c r="L137"/>
      <c r="M137"/>
      <c r="N137"/>
      <c r="O137"/>
      <c r="P137"/>
      <c r="Q137"/>
      <c r="R137">
        <v>51.5818588801095</v>
      </c>
      <c r="S137"/>
      <c r="T137"/>
      <c r="U137"/>
      <c r="V137">
        <v>54.64</v>
      </c>
      <c r="W137"/>
      <c r="X137"/>
      <c r="Y137"/>
      <c r="Z137"/>
      <c r="AA137"/>
      <c r="AB137">
        <v>49.5</v>
      </c>
      <c r="AC137"/>
      <c r="AD137"/>
    </row>
    <row r="138" spans="1:30" x14ac:dyDescent="0.2">
      <c r="A138" s="79">
        <v>38473</v>
      </c>
      <c r="B138"/>
      <c r="C138"/>
      <c r="D138"/>
      <c r="E138"/>
      <c r="F138">
        <v>53.51</v>
      </c>
      <c r="G138">
        <v>48.7</v>
      </c>
      <c r="H138"/>
      <c r="I138"/>
      <c r="J138"/>
      <c r="K138"/>
      <c r="L138"/>
      <c r="M138"/>
      <c r="N138"/>
      <c r="O138"/>
      <c r="P138"/>
      <c r="Q138"/>
      <c r="R138">
        <v>51.297542414814103</v>
      </c>
      <c r="S138"/>
      <c r="T138"/>
      <c r="U138"/>
      <c r="V138">
        <v>53.75</v>
      </c>
      <c r="W138"/>
      <c r="X138"/>
      <c r="Y138"/>
      <c r="Z138"/>
      <c r="AA138"/>
      <c r="AB138">
        <v>47.3</v>
      </c>
      <c r="AC138"/>
      <c r="AD138"/>
    </row>
    <row r="139" spans="1:30" x14ac:dyDescent="0.2">
      <c r="A139" s="79">
        <v>38504</v>
      </c>
      <c r="B139"/>
      <c r="C139"/>
      <c r="D139"/>
      <c r="E139"/>
      <c r="F139">
        <v>58.58</v>
      </c>
      <c r="G139">
        <v>49.9</v>
      </c>
      <c r="H139"/>
      <c r="I139"/>
      <c r="J139"/>
      <c r="K139"/>
      <c r="L139"/>
      <c r="M139"/>
      <c r="N139"/>
      <c r="O139"/>
      <c r="P139"/>
      <c r="Q139"/>
      <c r="R139">
        <v>52.9270116328412</v>
      </c>
      <c r="S139"/>
      <c r="T139"/>
      <c r="U139"/>
      <c r="V139">
        <v>57.12</v>
      </c>
      <c r="W139"/>
      <c r="X139"/>
      <c r="Y139"/>
      <c r="Z139"/>
      <c r="AA139"/>
      <c r="AB139">
        <v>49.6</v>
      </c>
      <c r="AC139"/>
      <c r="AD139"/>
    </row>
    <row r="140" spans="1:30" x14ac:dyDescent="0.2">
      <c r="A140" s="79">
        <v>38534</v>
      </c>
      <c r="B140"/>
      <c r="C140"/>
      <c r="D140"/>
      <c r="E140"/>
      <c r="F140">
        <v>56.43</v>
      </c>
      <c r="G140">
        <v>50.8</v>
      </c>
      <c r="H140"/>
      <c r="I140"/>
      <c r="J140"/>
      <c r="K140"/>
      <c r="L140"/>
      <c r="M140"/>
      <c r="N140"/>
      <c r="O140"/>
      <c r="P140"/>
      <c r="Q140"/>
      <c r="R140">
        <v>49.237862406275802</v>
      </c>
      <c r="S140"/>
      <c r="T140"/>
      <c r="U140"/>
      <c r="V140">
        <v>57.43</v>
      </c>
      <c r="W140"/>
      <c r="X140"/>
      <c r="Y140"/>
      <c r="Z140"/>
      <c r="AA140"/>
      <c r="AB140">
        <v>49.2</v>
      </c>
      <c r="AC140"/>
      <c r="AD140"/>
    </row>
    <row r="141" spans="1:30" x14ac:dyDescent="0.2">
      <c r="A141" s="79">
        <v>38565</v>
      </c>
      <c r="B141"/>
      <c r="C141"/>
      <c r="D141"/>
      <c r="E141"/>
      <c r="F141">
        <v>56.34</v>
      </c>
      <c r="G141">
        <v>50.4</v>
      </c>
      <c r="H141"/>
      <c r="I141"/>
      <c r="J141"/>
      <c r="K141"/>
      <c r="L141"/>
      <c r="M141"/>
      <c r="N141"/>
      <c r="O141"/>
      <c r="P141"/>
      <c r="Q141"/>
      <c r="R141">
        <v>51.811669856587201</v>
      </c>
      <c r="S141"/>
      <c r="T141"/>
      <c r="U141"/>
      <c r="V141">
        <v>55.2</v>
      </c>
      <c r="W141"/>
      <c r="X141"/>
      <c r="Y141"/>
      <c r="Z141"/>
      <c r="AA141"/>
      <c r="AB141">
        <v>50.1</v>
      </c>
      <c r="AC141"/>
      <c r="AD141"/>
    </row>
    <row r="142" spans="1:30" x14ac:dyDescent="0.2">
      <c r="A142" s="79">
        <v>38596</v>
      </c>
      <c r="B142"/>
      <c r="C142"/>
      <c r="D142"/>
      <c r="E142"/>
      <c r="F142">
        <v>61.16</v>
      </c>
      <c r="G142">
        <v>51.7</v>
      </c>
      <c r="H142"/>
      <c r="I142"/>
      <c r="J142"/>
      <c r="K142"/>
      <c r="L142"/>
      <c r="M142"/>
      <c r="N142"/>
      <c r="O142"/>
      <c r="P142"/>
      <c r="Q142"/>
      <c r="R142">
        <v>50.571930732839697</v>
      </c>
      <c r="S142"/>
      <c r="T142"/>
      <c r="U142"/>
      <c r="V142">
        <v>54.96</v>
      </c>
      <c r="W142"/>
      <c r="X142"/>
      <c r="Y142"/>
      <c r="Z142"/>
      <c r="AA142"/>
      <c r="AB142">
        <v>51.5</v>
      </c>
      <c r="AC142"/>
      <c r="AD142"/>
    </row>
    <row r="143" spans="1:30" x14ac:dyDescent="0.2">
      <c r="A143" s="79">
        <v>38626</v>
      </c>
      <c r="B143"/>
      <c r="C143"/>
      <c r="D143"/>
      <c r="E143"/>
      <c r="F143">
        <v>68.930000000000007</v>
      </c>
      <c r="G143">
        <v>52.7</v>
      </c>
      <c r="H143"/>
      <c r="I143"/>
      <c r="J143"/>
      <c r="K143"/>
      <c r="L143"/>
      <c r="M143"/>
      <c r="N143"/>
      <c r="O143"/>
      <c r="P143"/>
      <c r="Q143"/>
      <c r="R143">
        <v>45.895480732884501</v>
      </c>
      <c r="S143"/>
      <c r="T143"/>
      <c r="U143"/>
      <c r="V143">
        <v>52.77</v>
      </c>
      <c r="W143"/>
      <c r="X143"/>
      <c r="Y143"/>
      <c r="Z143"/>
      <c r="AA143"/>
      <c r="AB143">
        <v>51.7</v>
      </c>
      <c r="AC143"/>
      <c r="AD143"/>
    </row>
    <row r="144" spans="1:30" x14ac:dyDescent="0.2">
      <c r="A144" s="79">
        <v>38657</v>
      </c>
      <c r="B144"/>
      <c r="C144"/>
      <c r="D144"/>
      <c r="E144"/>
      <c r="F144">
        <v>57.53</v>
      </c>
      <c r="G144">
        <v>52.8</v>
      </c>
      <c r="H144"/>
      <c r="I144"/>
      <c r="J144"/>
      <c r="K144"/>
      <c r="L144"/>
      <c r="M144"/>
      <c r="N144"/>
      <c r="O144"/>
      <c r="P144"/>
      <c r="Q144"/>
      <c r="R144">
        <v>44.270599524960801</v>
      </c>
      <c r="S144"/>
      <c r="T144"/>
      <c r="U144"/>
      <c r="V144">
        <v>52.02</v>
      </c>
      <c r="W144"/>
      <c r="X144"/>
      <c r="Y144"/>
      <c r="Z144"/>
      <c r="AA144"/>
      <c r="AB144">
        <v>51</v>
      </c>
      <c r="AC144"/>
      <c r="AD144"/>
    </row>
    <row r="145" spans="1:30" x14ac:dyDescent="0.2">
      <c r="A145" s="79">
        <v>38687</v>
      </c>
      <c r="B145"/>
      <c r="C145"/>
      <c r="D145"/>
      <c r="E145"/>
      <c r="F145">
        <v>59.8</v>
      </c>
      <c r="G145">
        <v>53.6</v>
      </c>
      <c r="H145"/>
      <c r="I145"/>
      <c r="J145"/>
      <c r="K145"/>
      <c r="L145"/>
      <c r="M145"/>
      <c r="N145"/>
      <c r="O145"/>
      <c r="P145"/>
      <c r="Q145"/>
      <c r="R145">
        <v>48.479025467498097</v>
      </c>
      <c r="S145"/>
      <c r="T145"/>
      <c r="U145"/>
      <c r="V145">
        <v>53.31</v>
      </c>
      <c r="W145"/>
      <c r="X145"/>
      <c r="Y145"/>
      <c r="Z145"/>
      <c r="AA145"/>
      <c r="AB145">
        <v>51.1</v>
      </c>
      <c r="AC145"/>
      <c r="AD145"/>
    </row>
    <row r="146" spans="1:30" x14ac:dyDescent="0.2">
      <c r="A146" s="79">
        <v>38718</v>
      </c>
      <c r="B146"/>
      <c r="C146"/>
      <c r="D146"/>
      <c r="E146"/>
      <c r="F146">
        <v>58.97</v>
      </c>
      <c r="G146">
        <v>53.5</v>
      </c>
      <c r="H146"/>
      <c r="I146"/>
      <c r="J146"/>
      <c r="K146"/>
      <c r="L146"/>
      <c r="M146"/>
      <c r="N146"/>
      <c r="O146"/>
      <c r="P146"/>
      <c r="Q146"/>
      <c r="R146">
        <v>48.585345068779702</v>
      </c>
      <c r="S146"/>
      <c r="T146"/>
      <c r="U146"/>
      <c r="V146">
        <v>49.78</v>
      </c>
      <c r="W146"/>
      <c r="X146"/>
      <c r="Y146"/>
      <c r="Z146"/>
      <c r="AA146"/>
      <c r="AB146">
        <v>51.7</v>
      </c>
      <c r="AC146"/>
      <c r="AD146"/>
    </row>
    <row r="147" spans="1:30" x14ac:dyDescent="0.2">
      <c r="A147" s="79">
        <v>38749</v>
      </c>
      <c r="B147"/>
      <c r="C147"/>
      <c r="D147"/>
      <c r="E147"/>
      <c r="F147">
        <v>60.32</v>
      </c>
      <c r="G147">
        <v>54.5</v>
      </c>
      <c r="H147"/>
      <c r="I147"/>
      <c r="J147"/>
      <c r="K147"/>
      <c r="L147"/>
      <c r="M147"/>
      <c r="N147"/>
      <c r="O147"/>
      <c r="P147"/>
      <c r="Q147"/>
      <c r="R147">
        <v>52.190552419279399</v>
      </c>
      <c r="S147"/>
      <c r="T147"/>
      <c r="U147"/>
      <c r="V147">
        <v>50.11</v>
      </c>
      <c r="W147"/>
      <c r="X147"/>
      <c r="Y147"/>
      <c r="Z147"/>
      <c r="AA147"/>
      <c r="AB147">
        <v>51.7</v>
      </c>
      <c r="AC147"/>
      <c r="AD147"/>
    </row>
    <row r="148" spans="1:30" x14ac:dyDescent="0.2">
      <c r="A148" s="79">
        <v>38777</v>
      </c>
      <c r="B148"/>
      <c r="C148"/>
      <c r="D148"/>
      <c r="E148"/>
      <c r="F148">
        <v>52.93</v>
      </c>
      <c r="G148">
        <v>56.1</v>
      </c>
      <c r="H148"/>
      <c r="I148"/>
      <c r="J148"/>
      <c r="K148"/>
      <c r="L148"/>
      <c r="M148"/>
      <c r="N148"/>
      <c r="O148"/>
      <c r="P148"/>
      <c r="Q148"/>
      <c r="R148">
        <v>53.543058814971403</v>
      </c>
      <c r="S148"/>
      <c r="T148"/>
      <c r="U148"/>
      <c r="V148">
        <v>52.17</v>
      </c>
      <c r="W148"/>
      <c r="X148"/>
      <c r="Y148"/>
      <c r="Z148"/>
      <c r="AA148"/>
      <c r="AB148">
        <v>50.8</v>
      </c>
      <c r="AC148"/>
      <c r="AD148"/>
    </row>
    <row r="149" spans="1:30" x14ac:dyDescent="0.2">
      <c r="A149" s="79">
        <v>38808</v>
      </c>
      <c r="B149"/>
      <c r="C149"/>
      <c r="D149"/>
      <c r="E149"/>
      <c r="F149">
        <v>55.97</v>
      </c>
      <c r="G149">
        <v>56.7</v>
      </c>
      <c r="H149"/>
      <c r="I149"/>
      <c r="J149"/>
      <c r="K149"/>
      <c r="L149"/>
      <c r="M149"/>
      <c r="N149"/>
      <c r="O149"/>
      <c r="P149"/>
      <c r="Q149"/>
      <c r="R149">
        <v>52.014251258866402</v>
      </c>
      <c r="S149"/>
      <c r="T149"/>
      <c r="U149"/>
      <c r="V149">
        <v>54.63</v>
      </c>
      <c r="W149"/>
      <c r="X149"/>
      <c r="Y149"/>
      <c r="Z149"/>
      <c r="AA149"/>
      <c r="AB149">
        <v>54.1</v>
      </c>
      <c r="AC149"/>
      <c r="AD149"/>
    </row>
    <row r="150" spans="1:30" x14ac:dyDescent="0.2">
      <c r="A150" s="79">
        <v>38838</v>
      </c>
      <c r="B150"/>
      <c r="C150"/>
      <c r="D150"/>
      <c r="E150"/>
      <c r="F150">
        <v>56.87</v>
      </c>
      <c r="G150">
        <v>57</v>
      </c>
      <c r="H150"/>
      <c r="I150"/>
      <c r="J150"/>
      <c r="K150"/>
      <c r="L150"/>
      <c r="M150"/>
      <c r="N150"/>
      <c r="O150"/>
      <c r="P150"/>
      <c r="Q150"/>
      <c r="R150">
        <v>57.202432453847202</v>
      </c>
      <c r="S150"/>
      <c r="T150"/>
      <c r="U150"/>
      <c r="V150">
        <v>57</v>
      </c>
      <c r="W150"/>
      <c r="X150"/>
      <c r="Y150"/>
      <c r="Z150"/>
      <c r="AA150"/>
      <c r="AB150">
        <v>53.2</v>
      </c>
      <c r="AC150"/>
      <c r="AD150"/>
    </row>
    <row r="151" spans="1:30" x14ac:dyDescent="0.2">
      <c r="A151" s="79">
        <v>38869</v>
      </c>
      <c r="B151"/>
      <c r="C151"/>
      <c r="D151"/>
      <c r="E151"/>
      <c r="F151">
        <v>56.69</v>
      </c>
      <c r="G151">
        <v>57.7</v>
      </c>
      <c r="H151"/>
      <c r="I151"/>
      <c r="J151"/>
      <c r="K151"/>
      <c r="L151"/>
      <c r="M151"/>
      <c r="N151"/>
      <c r="O151"/>
      <c r="P151"/>
      <c r="Q151"/>
      <c r="R151">
        <v>53.844737402000803</v>
      </c>
      <c r="S151"/>
      <c r="T151"/>
      <c r="U151"/>
      <c r="V151">
        <v>58.8</v>
      </c>
      <c r="W151"/>
      <c r="X151"/>
      <c r="Y151"/>
      <c r="Z151"/>
      <c r="AA151"/>
      <c r="AB151">
        <v>55.1</v>
      </c>
      <c r="AC151"/>
      <c r="AD151"/>
    </row>
    <row r="152" spans="1:30" x14ac:dyDescent="0.2">
      <c r="A152" s="79">
        <v>38899</v>
      </c>
      <c r="B152"/>
      <c r="C152"/>
      <c r="D152"/>
      <c r="E152"/>
      <c r="F152">
        <v>58.32</v>
      </c>
      <c r="G152">
        <v>57.4</v>
      </c>
      <c r="H152"/>
      <c r="I152"/>
      <c r="J152"/>
      <c r="K152"/>
      <c r="L152"/>
      <c r="M152"/>
      <c r="N152"/>
      <c r="O152"/>
      <c r="P152"/>
      <c r="Q152"/>
      <c r="R152">
        <v>53.378118046287</v>
      </c>
      <c r="S152"/>
      <c r="T152"/>
      <c r="U152"/>
      <c r="V152">
        <v>60.27</v>
      </c>
      <c r="W152"/>
      <c r="X152"/>
      <c r="Y152"/>
      <c r="Z152"/>
      <c r="AA152"/>
      <c r="AB152">
        <v>53.8</v>
      </c>
      <c r="AC152"/>
      <c r="AD152"/>
    </row>
    <row r="153" spans="1:30" x14ac:dyDescent="0.2">
      <c r="A153" s="79">
        <v>38930</v>
      </c>
      <c r="B153"/>
      <c r="C153"/>
      <c r="D153"/>
      <c r="E153"/>
      <c r="F153">
        <v>63.49</v>
      </c>
      <c r="G153">
        <v>56.5</v>
      </c>
      <c r="H153"/>
      <c r="I153"/>
      <c r="J153"/>
      <c r="K153"/>
      <c r="L153"/>
      <c r="M153"/>
      <c r="N153"/>
      <c r="O153"/>
      <c r="P153"/>
      <c r="Q153"/>
      <c r="R153">
        <v>52.497099283063399</v>
      </c>
      <c r="S153"/>
      <c r="T153"/>
      <c r="U153"/>
      <c r="V153">
        <v>58.68</v>
      </c>
      <c r="W153"/>
      <c r="X153"/>
      <c r="Y153"/>
      <c r="Z153"/>
      <c r="AA153"/>
      <c r="AB153">
        <v>53.1</v>
      </c>
      <c r="AC153"/>
      <c r="AD153"/>
    </row>
    <row r="154" spans="1:30" x14ac:dyDescent="0.2">
      <c r="A154" s="79">
        <v>38961</v>
      </c>
      <c r="B154"/>
      <c r="C154"/>
      <c r="D154"/>
      <c r="E154"/>
      <c r="F154">
        <v>62.87</v>
      </c>
      <c r="G154">
        <v>56.6</v>
      </c>
      <c r="H154"/>
      <c r="I154"/>
      <c r="J154"/>
      <c r="K154"/>
      <c r="L154"/>
      <c r="M154"/>
      <c r="N154"/>
      <c r="O154"/>
      <c r="P154"/>
      <c r="Q154"/>
      <c r="R154">
        <v>51.262659151328798</v>
      </c>
      <c r="S154"/>
      <c r="T154"/>
      <c r="U154"/>
      <c r="V154">
        <v>56.6</v>
      </c>
      <c r="W154"/>
      <c r="X154"/>
      <c r="Y154"/>
      <c r="Z154"/>
      <c r="AA154"/>
      <c r="AB154">
        <v>54.4</v>
      </c>
      <c r="AC154"/>
      <c r="AD154"/>
    </row>
    <row r="155" spans="1:30" x14ac:dyDescent="0.2">
      <c r="A155" s="79">
        <v>38991</v>
      </c>
      <c r="B155"/>
      <c r="C155"/>
      <c r="D155"/>
      <c r="E155"/>
      <c r="F155">
        <v>62.65</v>
      </c>
      <c r="G155">
        <v>57</v>
      </c>
      <c r="H155"/>
      <c r="I155"/>
      <c r="J155"/>
      <c r="K155"/>
      <c r="L155"/>
      <c r="M155"/>
      <c r="N155"/>
      <c r="O155"/>
      <c r="P155"/>
      <c r="Q155"/>
      <c r="R155">
        <v>56.532079990323197</v>
      </c>
      <c r="S155"/>
      <c r="T155"/>
      <c r="U155"/>
      <c r="V155">
        <v>56.73</v>
      </c>
      <c r="W155"/>
      <c r="X155"/>
      <c r="Y155"/>
      <c r="Z155"/>
      <c r="AA155"/>
      <c r="AB155">
        <v>53.7</v>
      </c>
      <c r="AC155"/>
      <c r="AD155"/>
    </row>
    <row r="156" spans="1:30" x14ac:dyDescent="0.2">
      <c r="A156" s="79">
        <v>39022</v>
      </c>
      <c r="B156"/>
      <c r="C156"/>
      <c r="D156"/>
      <c r="E156"/>
      <c r="F156">
        <v>66.77</v>
      </c>
      <c r="G156">
        <v>56.6</v>
      </c>
      <c r="H156"/>
      <c r="I156"/>
      <c r="J156"/>
      <c r="K156"/>
      <c r="L156"/>
      <c r="M156"/>
      <c r="N156"/>
      <c r="O156"/>
      <c r="P156"/>
      <c r="Q156"/>
      <c r="R156">
        <v>54.819585258175898</v>
      </c>
      <c r="S156"/>
      <c r="T156"/>
      <c r="U156"/>
      <c r="V156">
        <v>56.34</v>
      </c>
      <c r="W156"/>
      <c r="X156"/>
      <c r="Y156"/>
      <c r="Z156"/>
      <c r="AA156"/>
      <c r="AB156">
        <v>53.6</v>
      </c>
      <c r="AC156"/>
      <c r="AD156"/>
    </row>
    <row r="157" spans="1:30" x14ac:dyDescent="0.2">
      <c r="A157" s="79">
        <v>39052</v>
      </c>
      <c r="B157"/>
      <c r="C157"/>
      <c r="D157"/>
      <c r="E157"/>
      <c r="F157">
        <v>62.5</v>
      </c>
      <c r="G157">
        <v>56.5</v>
      </c>
      <c r="H157"/>
      <c r="I157"/>
      <c r="J157"/>
      <c r="K157"/>
      <c r="L157"/>
      <c r="M157"/>
      <c r="N157"/>
      <c r="O157">
        <v>55</v>
      </c>
      <c r="P157"/>
      <c r="Q157"/>
      <c r="R157">
        <v>54.238666923849898</v>
      </c>
      <c r="S157"/>
      <c r="T157"/>
      <c r="U157"/>
      <c r="V157">
        <v>55.49</v>
      </c>
      <c r="W157"/>
      <c r="X157">
        <v>57.2</v>
      </c>
      <c r="Y157"/>
      <c r="Z157"/>
      <c r="AA157"/>
      <c r="AB157">
        <v>51.9</v>
      </c>
      <c r="AC157"/>
      <c r="AD157"/>
    </row>
    <row r="158" spans="1:30" x14ac:dyDescent="0.2">
      <c r="A158" s="79">
        <v>39083</v>
      </c>
      <c r="B158"/>
      <c r="C158"/>
      <c r="D158"/>
      <c r="E158"/>
      <c r="F158">
        <v>55.72</v>
      </c>
      <c r="G158">
        <v>55.5</v>
      </c>
      <c r="H158"/>
      <c r="I158"/>
      <c r="J158"/>
      <c r="K158"/>
      <c r="L158"/>
      <c r="M158"/>
      <c r="N158"/>
      <c r="O158">
        <v>53.5</v>
      </c>
      <c r="P158"/>
      <c r="Q158"/>
      <c r="R158">
        <v>56.036031351097698</v>
      </c>
      <c r="S158"/>
      <c r="T158"/>
      <c r="U158"/>
      <c r="V158">
        <v>57.79</v>
      </c>
      <c r="W158"/>
      <c r="X158">
        <v>56.2</v>
      </c>
      <c r="Y158"/>
      <c r="Z158"/>
      <c r="AA158"/>
      <c r="AB158">
        <v>52.8</v>
      </c>
      <c r="AC158"/>
      <c r="AD158"/>
    </row>
    <row r="159" spans="1:30" x14ac:dyDescent="0.2">
      <c r="A159" s="79">
        <v>39114</v>
      </c>
      <c r="B159"/>
      <c r="C159"/>
      <c r="D159"/>
      <c r="E159"/>
      <c r="F159">
        <v>60.51</v>
      </c>
      <c r="G159">
        <v>55.6</v>
      </c>
      <c r="H159"/>
      <c r="I159"/>
      <c r="J159"/>
      <c r="K159"/>
      <c r="L159"/>
      <c r="M159"/>
      <c r="N159"/>
      <c r="O159">
        <v>54.2</v>
      </c>
      <c r="P159"/>
      <c r="Q159"/>
      <c r="R159">
        <v>54.742775705584201</v>
      </c>
      <c r="S159"/>
      <c r="T159"/>
      <c r="U159"/>
      <c r="V159">
        <v>60.18</v>
      </c>
      <c r="W159"/>
      <c r="X159">
        <v>56.2</v>
      </c>
      <c r="Y159"/>
      <c r="Z159"/>
      <c r="AA159"/>
      <c r="AB159">
        <v>55.4</v>
      </c>
      <c r="AC159"/>
      <c r="AD159"/>
    </row>
    <row r="160" spans="1:30" x14ac:dyDescent="0.2">
      <c r="A160" s="79">
        <v>39142</v>
      </c>
      <c r="B160"/>
      <c r="C160"/>
      <c r="D160"/>
      <c r="E160"/>
      <c r="F160">
        <v>65.52</v>
      </c>
      <c r="G160">
        <v>55.4</v>
      </c>
      <c r="H160"/>
      <c r="I160"/>
      <c r="J160"/>
      <c r="K160"/>
      <c r="L160"/>
      <c r="M160"/>
      <c r="N160"/>
      <c r="O160">
        <v>53.8</v>
      </c>
      <c r="P160"/>
      <c r="Q160"/>
      <c r="R160">
        <v>57.570250699095702</v>
      </c>
      <c r="S160"/>
      <c r="T160"/>
      <c r="U160"/>
      <c r="V160">
        <v>60.35</v>
      </c>
      <c r="W160"/>
      <c r="X160">
        <v>55.4</v>
      </c>
      <c r="Y160"/>
      <c r="Z160"/>
      <c r="AA160"/>
      <c r="AB160">
        <v>54.4</v>
      </c>
      <c r="AC160"/>
      <c r="AD160"/>
    </row>
    <row r="161" spans="1:30" x14ac:dyDescent="0.2">
      <c r="A161" s="79">
        <v>39173</v>
      </c>
      <c r="B161"/>
      <c r="C161"/>
      <c r="D161"/>
      <c r="E161"/>
      <c r="F161">
        <v>63.43</v>
      </c>
      <c r="G161">
        <v>55.4</v>
      </c>
      <c r="H161"/>
      <c r="I161"/>
      <c r="J161"/>
      <c r="K161"/>
      <c r="L161"/>
      <c r="M161"/>
      <c r="N161"/>
      <c r="O161">
        <v>53.9</v>
      </c>
      <c r="P161"/>
      <c r="Q161"/>
      <c r="R161">
        <v>53.260616311208402</v>
      </c>
      <c r="S161"/>
      <c r="T161"/>
      <c r="U161"/>
      <c r="V161">
        <v>57.89</v>
      </c>
      <c r="W161"/>
      <c r="X161">
        <v>56</v>
      </c>
      <c r="Y161"/>
      <c r="Z161"/>
      <c r="AA161"/>
      <c r="AB161">
        <v>53.9</v>
      </c>
      <c r="AC161"/>
      <c r="AD161"/>
    </row>
    <row r="162" spans="1:30" x14ac:dyDescent="0.2">
      <c r="A162" s="79">
        <v>39203</v>
      </c>
      <c r="B162"/>
      <c r="C162"/>
      <c r="D162"/>
      <c r="E162"/>
      <c r="F162">
        <v>62.81</v>
      </c>
      <c r="G162">
        <v>55</v>
      </c>
      <c r="H162"/>
      <c r="I162"/>
      <c r="J162"/>
      <c r="K162"/>
      <c r="L162"/>
      <c r="M162"/>
      <c r="N162"/>
      <c r="O162">
        <v>55</v>
      </c>
      <c r="P162"/>
      <c r="Q162"/>
      <c r="R162">
        <v>55.407160874264001</v>
      </c>
      <c r="S162"/>
      <c r="T162"/>
      <c r="U162"/>
      <c r="V162">
        <v>56.91</v>
      </c>
      <c r="W162"/>
      <c r="X162">
        <v>53.3</v>
      </c>
      <c r="Y162"/>
      <c r="Z162"/>
      <c r="AA162"/>
      <c r="AB162">
        <v>54.9</v>
      </c>
      <c r="AC162"/>
      <c r="AD162"/>
    </row>
    <row r="163" spans="1:30" x14ac:dyDescent="0.2">
      <c r="A163" s="79">
        <v>39234</v>
      </c>
      <c r="B163"/>
      <c r="C163"/>
      <c r="D163"/>
      <c r="E163"/>
      <c r="F163">
        <v>59.06</v>
      </c>
      <c r="G163">
        <v>55.6</v>
      </c>
      <c r="H163"/>
      <c r="I163"/>
      <c r="J163"/>
      <c r="K163"/>
      <c r="L163"/>
      <c r="M163"/>
      <c r="N163"/>
      <c r="O163">
        <v>54</v>
      </c>
      <c r="P163"/>
      <c r="Q163"/>
      <c r="R163">
        <v>51.416409801705001</v>
      </c>
      <c r="S163"/>
      <c r="T163"/>
      <c r="U163"/>
      <c r="V163">
        <v>56.33</v>
      </c>
      <c r="W163"/>
      <c r="X163">
        <v>55.1</v>
      </c>
      <c r="Y163"/>
      <c r="Z163"/>
      <c r="AA163"/>
      <c r="AB163">
        <v>54.3</v>
      </c>
      <c r="AC163"/>
      <c r="AD163"/>
    </row>
    <row r="164" spans="1:30" x14ac:dyDescent="0.2">
      <c r="A164" s="79">
        <v>39264</v>
      </c>
      <c r="B164"/>
      <c r="C164"/>
      <c r="D164"/>
      <c r="E164"/>
      <c r="F164">
        <v>63.94</v>
      </c>
      <c r="G164">
        <v>54.9</v>
      </c>
      <c r="H164"/>
      <c r="I164"/>
      <c r="J164"/>
      <c r="K164"/>
      <c r="L164"/>
      <c r="M164"/>
      <c r="N164"/>
      <c r="O164">
        <v>53.3</v>
      </c>
      <c r="P164"/>
      <c r="Q164"/>
      <c r="R164">
        <v>54.021529677242</v>
      </c>
      <c r="S164"/>
      <c r="T164"/>
      <c r="U164"/>
      <c r="V164">
        <v>57.52</v>
      </c>
      <c r="W164"/>
      <c r="X164">
        <v>53.2</v>
      </c>
      <c r="Y164"/>
      <c r="Z164"/>
      <c r="AA164"/>
      <c r="AB164">
        <v>55.7</v>
      </c>
      <c r="AC164"/>
      <c r="AD164"/>
    </row>
    <row r="165" spans="1:30" x14ac:dyDescent="0.2">
      <c r="A165" s="79">
        <v>39295</v>
      </c>
      <c r="B165"/>
      <c r="C165"/>
      <c r="D165"/>
      <c r="E165"/>
      <c r="F165">
        <v>55.08</v>
      </c>
      <c r="G165">
        <v>54.3</v>
      </c>
      <c r="H165"/>
      <c r="I165"/>
      <c r="J165"/>
      <c r="K165"/>
      <c r="L165"/>
      <c r="M165"/>
      <c r="N165"/>
      <c r="O165">
        <v>53.6</v>
      </c>
      <c r="P165"/>
      <c r="Q165"/>
      <c r="R165">
        <v>56.598811050608198</v>
      </c>
      <c r="S165"/>
      <c r="T165"/>
      <c r="U165"/>
      <c r="V165">
        <v>54.42</v>
      </c>
      <c r="W165"/>
      <c r="X165">
        <v>52.2</v>
      </c>
      <c r="Y165"/>
      <c r="Z165"/>
      <c r="AA165"/>
      <c r="AB165">
        <v>56.3</v>
      </c>
      <c r="AC165"/>
      <c r="AD165"/>
    </row>
    <row r="166" spans="1:30" x14ac:dyDescent="0.2">
      <c r="A166" s="79">
        <v>39326</v>
      </c>
      <c r="B166"/>
      <c r="C166"/>
      <c r="D166"/>
      <c r="E166"/>
      <c r="F166">
        <v>57.16</v>
      </c>
      <c r="G166">
        <v>53.2</v>
      </c>
      <c r="H166"/>
      <c r="I166"/>
      <c r="J166"/>
      <c r="K166"/>
      <c r="L166"/>
      <c r="M166"/>
      <c r="N166"/>
      <c r="O166">
        <v>52.4</v>
      </c>
      <c r="P166"/>
      <c r="Q166"/>
      <c r="R166">
        <v>54.2282350566784</v>
      </c>
      <c r="S166"/>
      <c r="T166"/>
      <c r="U166"/>
      <c r="V166">
        <v>51.63</v>
      </c>
      <c r="W166"/>
      <c r="X166">
        <v>50.8</v>
      </c>
      <c r="Y166"/>
      <c r="Z166"/>
      <c r="AA166"/>
      <c r="AB166">
        <v>55.1</v>
      </c>
      <c r="AC166"/>
      <c r="AD166"/>
    </row>
    <row r="167" spans="1:30" x14ac:dyDescent="0.2">
      <c r="A167" s="79">
        <v>39356</v>
      </c>
      <c r="B167"/>
      <c r="C167"/>
      <c r="D167"/>
      <c r="E167"/>
      <c r="F167">
        <v>59.94</v>
      </c>
      <c r="G167">
        <v>51.5</v>
      </c>
      <c r="H167"/>
      <c r="I167"/>
      <c r="J167"/>
      <c r="K167"/>
      <c r="L167"/>
      <c r="M167"/>
      <c r="N167"/>
      <c r="O167">
        <v>51.3</v>
      </c>
      <c r="P167"/>
      <c r="Q167"/>
      <c r="R167">
        <v>57.433784173576299</v>
      </c>
      <c r="S167"/>
      <c r="T167"/>
      <c r="U167"/>
      <c r="V167">
        <v>54.4</v>
      </c>
      <c r="W167"/>
      <c r="X167">
        <v>49.6</v>
      </c>
      <c r="Y167"/>
      <c r="Z167"/>
      <c r="AA167"/>
      <c r="AB167">
        <v>52.9</v>
      </c>
      <c r="AC167"/>
      <c r="AD167"/>
    </row>
    <row r="168" spans="1:30" x14ac:dyDescent="0.2">
      <c r="A168" s="79">
        <v>39387</v>
      </c>
      <c r="B168"/>
      <c r="C168"/>
      <c r="D168"/>
      <c r="E168"/>
      <c r="F168">
        <v>57.03</v>
      </c>
      <c r="G168">
        <v>52.8</v>
      </c>
      <c r="H168"/>
      <c r="I168"/>
      <c r="J168"/>
      <c r="K168"/>
      <c r="L168"/>
      <c r="M168"/>
      <c r="N168"/>
      <c r="O168">
        <v>51.3</v>
      </c>
      <c r="P168"/>
      <c r="Q168"/>
      <c r="R168">
        <v>57.155724465306697</v>
      </c>
      <c r="S168"/>
      <c r="T168"/>
      <c r="U168"/>
      <c r="V168">
        <v>53.96</v>
      </c>
      <c r="W168"/>
      <c r="X168">
        <v>50.7</v>
      </c>
      <c r="Y168"/>
      <c r="Z168"/>
      <c r="AA168"/>
      <c r="AB168">
        <v>54.4</v>
      </c>
      <c r="AC168"/>
      <c r="AD168"/>
    </row>
    <row r="169" spans="1:30" x14ac:dyDescent="0.2">
      <c r="A169" s="79">
        <v>39417</v>
      </c>
      <c r="B169"/>
      <c r="C169"/>
      <c r="D169"/>
      <c r="E169"/>
      <c r="F169">
        <v>55.62</v>
      </c>
      <c r="G169">
        <v>52.6</v>
      </c>
      <c r="H169"/>
      <c r="I169"/>
      <c r="J169"/>
      <c r="K169"/>
      <c r="L169"/>
      <c r="M169"/>
      <c r="N169"/>
      <c r="O169">
        <v>50.7</v>
      </c>
      <c r="P169"/>
      <c r="Q169"/>
      <c r="R169">
        <v>53.153499590717303</v>
      </c>
      <c r="S169"/>
      <c r="T169"/>
      <c r="U169"/>
      <c r="V169">
        <v>53.23</v>
      </c>
      <c r="W169"/>
      <c r="X169">
        <v>49.5</v>
      </c>
      <c r="Y169"/>
      <c r="Z169"/>
      <c r="AA169"/>
      <c r="AB169">
        <v>52.9</v>
      </c>
      <c r="AC169"/>
      <c r="AD169"/>
    </row>
    <row r="170" spans="1:30" x14ac:dyDescent="0.2">
      <c r="A170" s="79">
        <v>39448</v>
      </c>
      <c r="B170"/>
      <c r="C170"/>
      <c r="D170"/>
      <c r="E170"/>
      <c r="F170">
        <v>56.34</v>
      </c>
      <c r="G170">
        <v>52.8</v>
      </c>
      <c r="H170"/>
      <c r="I170"/>
      <c r="J170"/>
      <c r="K170"/>
      <c r="L170"/>
      <c r="M170"/>
      <c r="N170"/>
      <c r="O170">
        <v>50.8</v>
      </c>
      <c r="P170"/>
      <c r="Q170"/>
      <c r="R170">
        <v>53.080817306480398</v>
      </c>
      <c r="S170"/>
      <c r="T170"/>
      <c r="U170"/>
      <c r="V170">
        <v>51.3</v>
      </c>
      <c r="W170"/>
      <c r="X170">
        <v>49.8</v>
      </c>
      <c r="Y170"/>
      <c r="Z170"/>
      <c r="AA170"/>
      <c r="AB170">
        <v>50.6</v>
      </c>
      <c r="AC170"/>
      <c r="AD170"/>
    </row>
    <row r="171" spans="1:30" x14ac:dyDescent="0.2">
      <c r="A171" s="79">
        <v>39478</v>
      </c>
      <c r="B171"/>
      <c r="C171"/>
      <c r="D171"/>
      <c r="E171"/>
      <c r="F171"/>
      <c r="G171"/>
      <c r="H171"/>
      <c r="I171">
        <v>54.4</v>
      </c>
      <c r="J171"/>
      <c r="K171"/>
      <c r="L171"/>
      <c r="M171"/>
      <c r="N171"/>
      <c r="O171"/>
      <c r="P171"/>
      <c r="Q171"/>
      <c r="R171"/>
      <c r="S171"/>
      <c r="T171"/>
      <c r="U171"/>
      <c r="V171"/>
      <c r="W171"/>
      <c r="X171"/>
      <c r="Y171"/>
      <c r="Z171"/>
      <c r="AA171"/>
      <c r="AB171"/>
      <c r="AC171"/>
      <c r="AD171"/>
    </row>
    <row r="172" spans="1:30" x14ac:dyDescent="0.2">
      <c r="A172" s="79">
        <v>39479</v>
      </c>
      <c r="B172"/>
      <c r="C172"/>
      <c r="D172"/>
      <c r="E172"/>
      <c r="F172">
        <v>64.819999999999993</v>
      </c>
      <c r="G172">
        <v>52.3</v>
      </c>
      <c r="H172"/>
      <c r="I172">
        <v>54.3</v>
      </c>
      <c r="J172"/>
      <c r="K172"/>
      <c r="L172"/>
      <c r="M172"/>
      <c r="N172"/>
      <c r="O172">
        <v>50.6</v>
      </c>
      <c r="P172">
        <v>50.8</v>
      </c>
      <c r="Q172"/>
      <c r="R172">
        <v>52.568361901912901</v>
      </c>
      <c r="S172"/>
      <c r="T172"/>
      <c r="U172"/>
      <c r="V172">
        <v>45.75</v>
      </c>
      <c r="W172"/>
      <c r="X172">
        <v>46.7</v>
      </c>
      <c r="Y172"/>
      <c r="Z172"/>
      <c r="AA172"/>
      <c r="AB172">
        <v>51.3</v>
      </c>
      <c r="AC172"/>
      <c r="AD172"/>
    </row>
    <row r="173" spans="1:30" x14ac:dyDescent="0.2">
      <c r="A173" s="79">
        <v>39508</v>
      </c>
      <c r="B173"/>
      <c r="C173"/>
      <c r="D173"/>
      <c r="E173"/>
      <c r="F173">
        <v>57.03</v>
      </c>
      <c r="G173">
        <v>52</v>
      </c>
      <c r="H173"/>
      <c r="I173">
        <v>54.9</v>
      </c>
      <c r="J173"/>
      <c r="K173"/>
      <c r="L173"/>
      <c r="M173"/>
      <c r="N173"/>
      <c r="O173">
        <v>49.4</v>
      </c>
      <c r="P173">
        <v>49.5</v>
      </c>
      <c r="Q173"/>
      <c r="R173">
        <v>48.114001410038803</v>
      </c>
      <c r="S173"/>
      <c r="T173"/>
      <c r="U173"/>
      <c r="V173">
        <v>44.21</v>
      </c>
      <c r="W173"/>
      <c r="X173">
        <v>46.4</v>
      </c>
      <c r="Y173"/>
      <c r="Z173"/>
      <c r="AA173"/>
      <c r="AB173">
        <v>51.3</v>
      </c>
      <c r="AC173"/>
      <c r="AD173"/>
    </row>
    <row r="174" spans="1:30" x14ac:dyDescent="0.2">
      <c r="A174" s="79">
        <v>39539</v>
      </c>
      <c r="B174"/>
      <c r="C174"/>
      <c r="D174"/>
      <c r="E174"/>
      <c r="F174">
        <v>44.91</v>
      </c>
      <c r="G174">
        <v>50.7</v>
      </c>
      <c r="H174"/>
      <c r="I174">
        <v>53.6</v>
      </c>
      <c r="J174"/>
      <c r="K174"/>
      <c r="L174"/>
      <c r="M174"/>
      <c r="N174"/>
      <c r="O174">
        <v>48.2</v>
      </c>
      <c r="P174">
        <v>48.6</v>
      </c>
      <c r="Q174"/>
      <c r="R174">
        <v>50.379620041373897</v>
      </c>
      <c r="S174"/>
      <c r="T174"/>
      <c r="U174"/>
      <c r="V174">
        <v>53.72</v>
      </c>
      <c r="W174"/>
      <c r="X174">
        <v>45.2</v>
      </c>
      <c r="Y174"/>
      <c r="Z174"/>
      <c r="AA174"/>
      <c r="AB174">
        <v>51</v>
      </c>
      <c r="AC174"/>
      <c r="AD174"/>
    </row>
    <row r="175" spans="1:30" x14ac:dyDescent="0.2">
      <c r="A175" s="79">
        <v>39569</v>
      </c>
      <c r="B175">
        <v>51.4</v>
      </c>
      <c r="C175"/>
      <c r="D175"/>
      <c r="E175"/>
      <c r="F175">
        <v>66.78</v>
      </c>
      <c r="G175">
        <v>50.6</v>
      </c>
      <c r="H175"/>
      <c r="I175">
        <v>53.5</v>
      </c>
      <c r="J175"/>
      <c r="K175"/>
      <c r="L175"/>
      <c r="M175"/>
      <c r="N175"/>
      <c r="O175">
        <v>48</v>
      </c>
      <c r="P175">
        <v>47.7</v>
      </c>
      <c r="Q175"/>
      <c r="R175">
        <v>48.254867105237302</v>
      </c>
      <c r="S175"/>
      <c r="T175"/>
      <c r="U175"/>
      <c r="V175">
        <v>48.8</v>
      </c>
      <c r="W175"/>
      <c r="X175">
        <v>43.8</v>
      </c>
      <c r="Y175"/>
      <c r="Z175"/>
      <c r="AA175"/>
      <c r="AB175">
        <v>50</v>
      </c>
      <c r="AC175"/>
      <c r="AD175"/>
    </row>
    <row r="176" spans="1:30" x14ac:dyDescent="0.2">
      <c r="A176" s="79">
        <v>39600</v>
      </c>
      <c r="B176">
        <v>51.2</v>
      </c>
      <c r="C176"/>
      <c r="D176"/>
      <c r="E176"/>
      <c r="F176">
        <v>62.6</v>
      </c>
      <c r="G176">
        <v>49.2</v>
      </c>
      <c r="H176"/>
      <c r="I176">
        <v>52.3</v>
      </c>
      <c r="J176"/>
      <c r="K176"/>
      <c r="L176"/>
      <c r="M176"/>
      <c r="N176"/>
      <c r="O176">
        <v>46.9</v>
      </c>
      <c r="P176">
        <v>46.5</v>
      </c>
      <c r="Q176"/>
      <c r="R176">
        <v>44.324455950641003</v>
      </c>
      <c r="S176"/>
      <c r="T176"/>
      <c r="U176"/>
      <c r="V176">
        <v>45.37</v>
      </c>
      <c r="W176"/>
      <c r="X176">
        <v>40.6</v>
      </c>
      <c r="Y176"/>
      <c r="Z176"/>
      <c r="AA176"/>
      <c r="AB176">
        <v>45.8</v>
      </c>
      <c r="AC176"/>
      <c r="AD176"/>
    </row>
    <row r="177" spans="1:30" x14ac:dyDescent="0.2">
      <c r="A177" s="79">
        <v>39630</v>
      </c>
      <c r="B177">
        <v>52.7</v>
      </c>
      <c r="C177"/>
      <c r="D177"/>
      <c r="E177"/>
      <c r="F177">
        <v>38.909999999999997</v>
      </c>
      <c r="G177">
        <v>47.4</v>
      </c>
      <c r="H177"/>
      <c r="I177">
        <v>50.9</v>
      </c>
      <c r="J177"/>
      <c r="K177"/>
      <c r="L177"/>
      <c r="M177"/>
      <c r="N177"/>
      <c r="O177">
        <v>45.3</v>
      </c>
      <c r="P177">
        <v>47</v>
      </c>
      <c r="Q177"/>
      <c r="R177">
        <v>48.173562781692198</v>
      </c>
      <c r="S177"/>
      <c r="T177"/>
      <c r="U177"/>
      <c r="V177">
        <v>44.8</v>
      </c>
      <c r="W177"/>
      <c r="X177">
        <v>39.200000000000003</v>
      </c>
      <c r="Y177"/>
      <c r="Z177"/>
      <c r="AA177"/>
      <c r="AB177">
        <v>44.3</v>
      </c>
      <c r="AC177"/>
      <c r="AD177"/>
    </row>
    <row r="178" spans="1:30" x14ac:dyDescent="0.2">
      <c r="A178" s="79">
        <v>39661</v>
      </c>
      <c r="B178">
        <v>51.2</v>
      </c>
      <c r="C178"/>
      <c r="D178"/>
      <c r="E178"/>
      <c r="F178">
        <v>48.73</v>
      </c>
      <c r="G178">
        <v>47.6</v>
      </c>
      <c r="H178">
        <v>45.1</v>
      </c>
      <c r="I178">
        <v>49.9</v>
      </c>
      <c r="J178"/>
      <c r="K178"/>
      <c r="L178"/>
      <c r="M178"/>
      <c r="N178"/>
      <c r="O178">
        <v>47.1</v>
      </c>
      <c r="P178">
        <v>46.9</v>
      </c>
      <c r="Q178"/>
      <c r="R178">
        <v>46.094212934239899</v>
      </c>
      <c r="S178"/>
      <c r="T178"/>
      <c r="U178"/>
      <c r="V178">
        <v>48.3</v>
      </c>
      <c r="W178"/>
      <c r="X178">
        <v>42.4</v>
      </c>
      <c r="Y178"/>
      <c r="Z178"/>
      <c r="AA178"/>
      <c r="AB178">
        <v>45.9</v>
      </c>
      <c r="AC178"/>
      <c r="AD178"/>
    </row>
    <row r="179" spans="1:30" x14ac:dyDescent="0.2">
      <c r="A179" s="79">
        <v>39692</v>
      </c>
      <c r="B179">
        <v>47</v>
      </c>
      <c r="C179"/>
      <c r="D179"/>
      <c r="E179"/>
      <c r="F179">
        <v>52.91</v>
      </c>
      <c r="G179">
        <v>45</v>
      </c>
      <c r="H179">
        <v>43.6</v>
      </c>
      <c r="I179">
        <v>48.1</v>
      </c>
      <c r="J179"/>
      <c r="K179"/>
      <c r="L179"/>
      <c r="M179"/>
      <c r="N179"/>
      <c r="O179">
        <v>44.4</v>
      </c>
      <c r="P179">
        <v>44.3</v>
      </c>
      <c r="Q179"/>
      <c r="R179">
        <v>46.816302534574902</v>
      </c>
      <c r="S179"/>
      <c r="T179"/>
      <c r="U179"/>
      <c r="V179">
        <v>47.07</v>
      </c>
      <c r="W179"/>
      <c r="X179">
        <v>38.299999999999997</v>
      </c>
      <c r="Y179"/>
      <c r="Z179"/>
      <c r="AA179"/>
      <c r="AB179">
        <v>41</v>
      </c>
      <c r="AC179"/>
      <c r="AD179"/>
    </row>
    <row r="180" spans="1:30" x14ac:dyDescent="0.2">
      <c r="A180" s="79">
        <v>39722</v>
      </c>
      <c r="B180">
        <v>46.9</v>
      </c>
      <c r="C180"/>
      <c r="D180"/>
      <c r="E180"/>
      <c r="F180">
        <v>40.79</v>
      </c>
      <c r="G180">
        <v>38.9</v>
      </c>
      <c r="H180">
        <v>40.799999999999997</v>
      </c>
      <c r="I180">
        <v>43.3</v>
      </c>
      <c r="J180"/>
      <c r="K180"/>
      <c r="L180"/>
      <c r="M180"/>
      <c r="N180"/>
      <c r="O180">
        <v>39.700000000000003</v>
      </c>
      <c r="P180">
        <v>42.2</v>
      </c>
      <c r="Q180"/>
      <c r="R180">
        <v>44.045668643393597</v>
      </c>
      <c r="S180"/>
      <c r="T180"/>
      <c r="U180"/>
      <c r="V180">
        <v>45.16</v>
      </c>
      <c r="W180"/>
      <c r="X180">
        <v>34.6</v>
      </c>
      <c r="Y180"/>
      <c r="Z180"/>
      <c r="AA180"/>
      <c r="AB180">
        <v>41.5</v>
      </c>
      <c r="AC180"/>
      <c r="AD180"/>
    </row>
    <row r="181" spans="1:30" x14ac:dyDescent="0.2">
      <c r="A181" s="79">
        <v>39753</v>
      </c>
      <c r="B181">
        <v>40.4</v>
      </c>
      <c r="C181"/>
      <c r="D181"/>
      <c r="E181"/>
      <c r="F181">
        <v>45.47</v>
      </c>
      <c r="G181">
        <v>35.6</v>
      </c>
      <c r="H181">
        <v>37.9</v>
      </c>
      <c r="I181">
        <v>36.700000000000003</v>
      </c>
      <c r="J181"/>
      <c r="K181"/>
      <c r="L181"/>
      <c r="M181"/>
      <c r="N181"/>
      <c r="O181">
        <v>34.9</v>
      </c>
      <c r="P181">
        <v>36.700000000000003</v>
      </c>
      <c r="Q181"/>
      <c r="R181">
        <v>36.083796175526899</v>
      </c>
      <c r="S181"/>
      <c r="T181"/>
      <c r="U181"/>
      <c r="V181">
        <v>38.97</v>
      </c>
      <c r="W181"/>
      <c r="X181">
        <v>29.4</v>
      </c>
      <c r="Y181"/>
      <c r="Z181"/>
      <c r="AA181"/>
      <c r="AB181">
        <v>34.4</v>
      </c>
      <c r="AC181"/>
      <c r="AD181"/>
    </row>
    <row r="182" spans="1:30" x14ac:dyDescent="0.2">
      <c r="A182" s="79">
        <v>39783</v>
      </c>
      <c r="B182">
        <v>33.700000000000003</v>
      </c>
      <c r="C182"/>
      <c r="D182"/>
      <c r="E182"/>
      <c r="F182">
        <v>40.299999999999997</v>
      </c>
      <c r="G182">
        <v>33.9</v>
      </c>
      <c r="H182">
        <v>35.9</v>
      </c>
      <c r="I182">
        <v>33.5</v>
      </c>
      <c r="J182"/>
      <c r="K182"/>
      <c r="L182"/>
      <c r="M182"/>
      <c r="N182"/>
      <c r="O182">
        <v>35.5</v>
      </c>
      <c r="P182">
        <v>30.8</v>
      </c>
      <c r="Q182"/>
      <c r="R182">
        <v>42.435398240949702</v>
      </c>
      <c r="S182"/>
      <c r="T182"/>
      <c r="U182"/>
      <c r="V182">
        <v>40.24</v>
      </c>
      <c r="W182"/>
      <c r="X182">
        <v>28.5</v>
      </c>
      <c r="Y182"/>
      <c r="Z182"/>
      <c r="AA182"/>
      <c r="AB182">
        <v>34.9</v>
      </c>
      <c r="AC182"/>
      <c r="AD182"/>
    </row>
    <row r="183" spans="1:30" x14ac:dyDescent="0.2">
      <c r="A183" s="79">
        <v>39814</v>
      </c>
      <c r="B183">
        <v>36.6</v>
      </c>
      <c r="C183"/>
      <c r="D183"/>
      <c r="E183"/>
      <c r="F183">
        <v>25.32</v>
      </c>
      <c r="G183">
        <v>34.4</v>
      </c>
      <c r="H183">
        <v>38.1</v>
      </c>
      <c r="I183">
        <v>32</v>
      </c>
      <c r="J183"/>
      <c r="K183"/>
      <c r="L183"/>
      <c r="M183"/>
      <c r="N183"/>
      <c r="O183">
        <v>36.1</v>
      </c>
      <c r="P183">
        <v>29.6</v>
      </c>
      <c r="Q183"/>
      <c r="R183">
        <v>42.236706316594997</v>
      </c>
      <c r="S183"/>
      <c r="T183"/>
      <c r="U183"/>
      <c r="V183">
        <v>39.9</v>
      </c>
      <c r="W183"/>
      <c r="X183">
        <v>31.5</v>
      </c>
      <c r="Y183"/>
      <c r="Z183"/>
      <c r="AA183"/>
      <c r="AB183">
        <v>35.799999999999997</v>
      </c>
      <c r="AC183"/>
      <c r="AD183"/>
    </row>
    <row r="184" spans="1:30" x14ac:dyDescent="0.2">
      <c r="A184" s="79">
        <v>39845</v>
      </c>
      <c r="B184">
        <v>31.7</v>
      </c>
      <c r="C184"/>
      <c r="D184"/>
      <c r="E184"/>
      <c r="F184">
        <v>25.02</v>
      </c>
      <c r="G184">
        <v>33.5</v>
      </c>
      <c r="H184">
        <v>32.299999999999997</v>
      </c>
      <c r="I184">
        <v>32.200000000000003</v>
      </c>
      <c r="J184"/>
      <c r="K184"/>
      <c r="L184"/>
      <c r="M184"/>
      <c r="N184"/>
      <c r="O184">
        <v>35</v>
      </c>
      <c r="P184">
        <v>31.6</v>
      </c>
      <c r="Q184"/>
      <c r="R184">
        <v>38.936383749853697</v>
      </c>
      <c r="S184"/>
      <c r="T184"/>
      <c r="U184"/>
      <c r="V184">
        <v>37.590000000000003</v>
      </c>
      <c r="W184"/>
      <c r="X184">
        <v>31.8</v>
      </c>
      <c r="Y184"/>
      <c r="Z184"/>
      <c r="AA184"/>
      <c r="AB184">
        <v>34.700000000000003</v>
      </c>
      <c r="AC184"/>
      <c r="AD184"/>
    </row>
    <row r="185" spans="1:30" x14ac:dyDescent="0.2">
      <c r="A185" s="79">
        <v>39873</v>
      </c>
      <c r="B185">
        <v>33.4</v>
      </c>
      <c r="C185"/>
      <c r="D185"/>
      <c r="E185"/>
      <c r="F185">
        <v>30.56</v>
      </c>
      <c r="G185">
        <v>33.9</v>
      </c>
      <c r="H185">
        <v>36.299999999999997</v>
      </c>
      <c r="I185">
        <v>32.4</v>
      </c>
      <c r="J185"/>
      <c r="K185"/>
      <c r="L185"/>
      <c r="M185"/>
      <c r="N185"/>
      <c r="O185">
        <v>34.6</v>
      </c>
      <c r="P185">
        <v>33.799999999999997</v>
      </c>
      <c r="Q185"/>
      <c r="R185">
        <v>41.563078337337402</v>
      </c>
      <c r="S185"/>
      <c r="T185"/>
      <c r="U185"/>
      <c r="V185">
        <v>35.76</v>
      </c>
      <c r="W185"/>
      <c r="X185">
        <v>32.9</v>
      </c>
      <c r="Y185"/>
      <c r="Z185"/>
      <c r="AA185"/>
      <c r="AB185">
        <v>39.1</v>
      </c>
      <c r="AC185"/>
      <c r="AD185"/>
    </row>
    <row r="186" spans="1:30" x14ac:dyDescent="0.2">
      <c r="A186" s="79">
        <v>39904</v>
      </c>
      <c r="B186">
        <v>30.1</v>
      </c>
      <c r="C186"/>
      <c r="D186"/>
      <c r="E186"/>
      <c r="F186">
        <v>34.450000000000003</v>
      </c>
      <c r="G186">
        <v>36.799999999999997</v>
      </c>
      <c r="H186">
        <v>40</v>
      </c>
      <c r="I186">
        <v>35</v>
      </c>
      <c r="J186"/>
      <c r="K186"/>
      <c r="L186"/>
      <c r="M186"/>
      <c r="N186"/>
      <c r="O186">
        <v>37.200000000000003</v>
      </c>
      <c r="P186">
        <v>41.4</v>
      </c>
      <c r="Q186"/>
      <c r="R186">
        <v>43.348295431938503</v>
      </c>
      <c r="S186"/>
      <c r="T186"/>
      <c r="U186"/>
      <c r="V186">
        <v>35.090000000000003</v>
      </c>
      <c r="W186"/>
      <c r="X186">
        <v>34.6</v>
      </c>
      <c r="Y186"/>
      <c r="Z186"/>
      <c r="AA186"/>
      <c r="AB186">
        <v>42.9</v>
      </c>
      <c r="AC186"/>
      <c r="AD186"/>
    </row>
    <row r="187" spans="1:30" x14ac:dyDescent="0.2">
      <c r="A187" s="79">
        <v>39934</v>
      </c>
      <c r="B187">
        <v>37.5</v>
      </c>
      <c r="C187"/>
      <c r="D187"/>
      <c r="E187"/>
      <c r="F187">
        <v>27.75</v>
      </c>
      <c r="G187">
        <v>40.700000000000003</v>
      </c>
      <c r="H187">
        <v>43.1</v>
      </c>
      <c r="I187">
        <v>39.6</v>
      </c>
      <c r="J187"/>
      <c r="K187"/>
      <c r="L187"/>
      <c r="M187"/>
      <c r="N187"/>
      <c r="O187">
        <v>41.1</v>
      </c>
      <c r="P187">
        <v>46.6</v>
      </c>
      <c r="Q187"/>
      <c r="R187">
        <v>41.874722452342098</v>
      </c>
      <c r="S187"/>
      <c r="T187"/>
      <c r="U187"/>
      <c r="V187">
        <v>37.520000000000003</v>
      </c>
      <c r="W187"/>
      <c r="X187">
        <v>39.799999999999997</v>
      </c>
      <c r="Y187"/>
      <c r="Z187"/>
      <c r="AA187"/>
      <c r="AB187">
        <v>45.4</v>
      </c>
      <c r="AC187"/>
      <c r="AD187"/>
    </row>
    <row r="188" spans="1:30" x14ac:dyDescent="0.2">
      <c r="A188" s="79">
        <v>39965</v>
      </c>
      <c r="B188">
        <v>38.4</v>
      </c>
      <c r="C188"/>
      <c r="D188"/>
      <c r="E188"/>
      <c r="F188">
        <v>42</v>
      </c>
      <c r="G188">
        <v>42.6</v>
      </c>
      <c r="H188">
        <v>45.9</v>
      </c>
      <c r="I188">
        <v>40.9</v>
      </c>
      <c r="J188"/>
      <c r="K188"/>
      <c r="L188"/>
      <c r="M188"/>
      <c r="N188"/>
      <c r="O188">
        <v>42.7</v>
      </c>
      <c r="P188">
        <v>48.2</v>
      </c>
      <c r="Q188"/>
      <c r="R188">
        <v>45.561029356135201</v>
      </c>
      <c r="S188"/>
      <c r="T188"/>
      <c r="U188"/>
      <c r="V188">
        <v>39.700000000000003</v>
      </c>
      <c r="W188"/>
      <c r="X188">
        <v>42.8</v>
      </c>
      <c r="Y188"/>
      <c r="Z188"/>
      <c r="AA188"/>
      <c r="AB188">
        <v>47</v>
      </c>
      <c r="AC188"/>
      <c r="AD188"/>
    </row>
    <row r="189" spans="1:30" x14ac:dyDescent="0.2">
      <c r="A189" s="79">
        <v>39995</v>
      </c>
      <c r="B189">
        <v>44.5</v>
      </c>
      <c r="C189"/>
      <c r="D189"/>
      <c r="E189"/>
      <c r="F189">
        <v>47.7</v>
      </c>
      <c r="G189">
        <v>46.3</v>
      </c>
      <c r="H189">
        <v>50.2</v>
      </c>
      <c r="I189">
        <v>45.2</v>
      </c>
      <c r="J189"/>
      <c r="K189"/>
      <c r="L189"/>
      <c r="M189"/>
      <c r="N189"/>
      <c r="O189">
        <v>45.4</v>
      </c>
      <c r="P189">
        <v>50.4</v>
      </c>
      <c r="Q189"/>
      <c r="R189">
        <v>49.734183405407201</v>
      </c>
      <c r="S189"/>
      <c r="T189"/>
      <c r="U189"/>
      <c r="V189">
        <v>39.43</v>
      </c>
      <c r="W189"/>
      <c r="X189">
        <v>47.3</v>
      </c>
      <c r="Y189"/>
      <c r="Z189"/>
      <c r="AA189"/>
      <c r="AB189">
        <v>50.8</v>
      </c>
      <c r="AC189"/>
      <c r="AD189"/>
    </row>
    <row r="190" spans="1:30" x14ac:dyDescent="0.2">
      <c r="A190" s="79">
        <v>40026</v>
      </c>
      <c r="B190">
        <v>51.7</v>
      </c>
      <c r="C190"/>
      <c r="D190"/>
      <c r="E190"/>
      <c r="F190">
        <v>42.59</v>
      </c>
      <c r="G190">
        <v>48.2</v>
      </c>
      <c r="H190">
        <v>52.5</v>
      </c>
      <c r="I190">
        <v>49</v>
      </c>
      <c r="J190"/>
      <c r="K190"/>
      <c r="L190"/>
      <c r="M190"/>
      <c r="N190"/>
      <c r="O190">
        <v>44.2</v>
      </c>
      <c r="P190">
        <v>53.6</v>
      </c>
      <c r="Q190"/>
      <c r="R190">
        <v>49.642350273864402</v>
      </c>
      <c r="S190"/>
      <c r="T190"/>
      <c r="U190"/>
      <c r="V190">
        <v>40.659999999999997</v>
      </c>
      <c r="W190"/>
      <c r="X190">
        <v>47.2</v>
      </c>
      <c r="Y190"/>
      <c r="Z190"/>
      <c r="AA190"/>
      <c r="AB190">
        <v>49.7</v>
      </c>
      <c r="AC190"/>
      <c r="AD190"/>
    </row>
    <row r="191" spans="1:30" x14ac:dyDescent="0.2">
      <c r="A191" s="79">
        <v>40057</v>
      </c>
      <c r="B191">
        <v>52</v>
      </c>
      <c r="C191"/>
      <c r="D191"/>
      <c r="E191"/>
      <c r="F191">
        <v>42.73</v>
      </c>
      <c r="G191">
        <v>49.3</v>
      </c>
      <c r="H191">
        <v>53</v>
      </c>
      <c r="I191">
        <v>49.6</v>
      </c>
      <c r="J191"/>
      <c r="K191"/>
      <c r="L191"/>
      <c r="M191"/>
      <c r="N191"/>
      <c r="O191">
        <v>47.6</v>
      </c>
      <c r="P191">
        <v>54.5</v>
      </c>
      <c r="Q191"/>
      <c r="R191">
        <v>52.680029270514602</v>
      </c>
      <c r="S191"/>
      <c r="T191"/>
      <c r="U191"/>
      <c r="V191">
        <v>47.46</v>
      </c>
      <c r="W191"/>
      <c r="X191">
        <v>45.8</v>
      </c>
      <c r="Y191"/>
      <c r="Z191"/>
      <c r="AA191"/>
      <c r="AB191">
        <v>49.5</v>
      </c>
      <c r="AC191"/>
      <c r="AD191"/>
    </row>
    <row r="192" spans="1:30" x14ac:dyDescent="0.2">
      <c r="A192" s="79">
        <v>40087</v>
      </c>
      <c r="B192">
        <v>51.7</v>
      </c>
      <c r="C192"/>
      <c r="D192"/>
      <c r="E192"/>
      <c r="F192">
        <v>49.89</v>
      </c>
      <c r="G192">
        <v>50.7</v>
      </c>
      <c r="H192">
        <v>54.2</v>
      </c>
      <c r="I192">
        <v>51.1</v>
      </c>
      <c r="J192"/>
      <c r="K192"/>
      <c r="L192"/>
      <c r="M192"/>
      <c r="N192"/>
      <c r="O192">
        <v>49.2</v>
      </c>
      <c r="P192">
        <v>54.3</v>
      </c>
      <c r="Q192"/>
      <c r="R192">
        <v>51.7262292777555</v>
      </c>
      <c r="S192"/>
      <c r="T192"/>
      <c r="U192"/>
      <c r="V192">
        <v>47.74</v>
      </c>
      <c r="W192"/>
      <c r="X192">
        <v>46.3</v>
      </c>
      <c r="Y192"/>
      <c r="Z192"/>
      <c r="AA192"/>
      <c r="AB192">
        <v>53.7</v>
      </c>
      <c r="AC192"/>
      <c r="AD192"/>
    </row>
    <row r="193" spans="1:30" x14ac:dyDescent="0.2">
      <c r="A193" s="79">
        <v>40118</v>
      </c>
      <c r="B193">
        <v>51.2</v>
      </c>
      <c r="C193"/>
      <c r="D193"/>
      <c r="E193"/>
      <c r="F193">
        <v>50.67</v>
      </c>
      <c r="G193">
        <v>51.2</v>
      </c>
      <c r="H193">
        <v>54.4</v>
      </c>
      <c r="I193">
        <v>52.4</v>
      </c>
      <c r="J193"/>
      <c r="K193"/>
      <c r="L193"/>
      <c r="M193"/>
      <c r="N193"/>
      <c r="O193">
        <v>50.1</v>
      </c>
      <c r="P193">
        <v>52.3</v>
      </c>
      <c r="Q193"/>
      <c r="R193">
        <v>53.326198285872401</v>
      </c>
      <c r="S193"/>
      <c r="T193"/>
      <c r="U193"/>
      <c r="V193">
        <v>49.48</v>
      </c>
      <c r="W193"/>
      <c r="X193">
        <v>45.3</v>
      </c>
      <c r="Y193"/>
      <c r="Z193"/>
      <c r="AA193"/>
      <c r="AB193">
        <v>51.8</v>
      </c>
      <c r="AC193"/>
      <c r="AD193"/>
    </row>
    <row r="194" spans="1:30" x14ac:dyDescent="0.2">
      <c r="A194" s="79">
        <v>40148</v>
      </c>
      <c r="B194">
        <v>48.5</v>
      </c>
      <c r="C194"/>
      <c r="D194"/>
      <c r="E194"/>
      <c r="F194">
        <v>49.48</v>
      </c>
      <c r="G194">
        <v>51.6</v>
      </c>
      <c r="H194">
        <v>54.7</v>
      </c>
      <c r="I194">
        <v>53.1</v>
      </c>
      <c r="J194"/>
      <c r="K194"/>
      <c r="L194"/>
      <c r="M194"/>
      <c r="N194"/>
      <c r="O194">
        <v>50.8</v>
      </c>
      <c r="P194">
        <v>53.8</v>
      </c>
      <c r="Q194"/>
      <c r="R194">
        <v>53.1454156225943</v>
      </c>
      <c r="S194"/>
      <c r="T194"/>
      <c r="U194"/>
      <c r="V194">
        <v>52.58</v>
      </c>
      <c r="W194"/>
      <c r="X194">
        <v>45.2</v>
      </c>
      <c r="Y194"/>
      <c r="Z194"/>
      <c r="AA194"/>
      <c r="AB194">
        <v>54.1</v>
      </c>
      <c r="AC194"/>
      <c r="AD194"/>
    </row>
    <row r="195" spans="1:30" x14ac:dyDescent="0.2">
      <c r="A195" s="79">
        <v>40179</v>
      </c>
      <c r="B195">
        <v>51</v>
      </c>
      <c r="C195"/>
      <c r="D195"/>
      <c r="E195"/>
      <c r="F195">
        <v>50.96</v>
      </c>
      <c r="G195">
        <v>52.4</v>
      </c>
      <c r="H195">
        <v>54.6</v>
      </c>
      <c r="I195">
        <v>53.4</v>
      </c>
      <c r="J195"/>
      <c r="K195"/>
      <c r="L195"/>
      <c r="M195"/>
      <c r="N195"/>
      <c r="O195">
        <v>51.7</v>
      </c>
      <c r="P195">
        <v>52.5</v>
      </c>
      <c r="Q195"/>
      <c r="R195">
        <v>51.823641067846701</v>
      </c>
      <c r="S195"/>
      <c r="T195"/>
      <c r="U195"/>
      <c r="V195">
        <v>52.14</v>
      </c>
      <c r="W195"/>
      <c r="X195">
        <v>45.3</v>
      </c>
      <c r="Y195"/>
      <c r="Z195"/>
      <c r="AA195"/>
      <c r="AB195">
        <v>56.7</v>
      </c>
      <c r="AC195"/>
      <c r="AD195"/>
    </row>
    <row r="196" spans="1:30" x14ac:dyDescent="0.2">
      <c r="A196" s="79">
        <v>40210</v>
      </c>
      <c r="B196">
        <v>53.8</v>
      </c>
      <c r="C196"/>
      <c r="D196"/>
      <c r="E196"/>
      <c r="F196">
        <v>48.93</v>
      </c>
      <c r="G196">
        <v>54.2</v>
      </c>
      <c r="H196">
        <v>56.3</v>
      </c>
      <c r="I196">
        <v>57.2</v>
      </c>
      <c r="J196"/>
      <c r="K196"/>
      <c r="L196"/>
      <c r="M196"/>
      <c r="N196"/>
      <c r="O196">
        <v>51.6</v>
      </c>
      <c r="P196">
        <v>52.5</v>
      </c>
      <c r="Q196"/>
      <c r="R196">
        <v>52.533413447435898</v>
      </c>
      <c r="S196"/>
      <c r="T196"/>
      <c r="U196"/>
      <c r="V196">
        <v>55.72</v>
      </c>
      <c r="W196"/>
      <c r="X196">
        <v>49.1</v>
      </c>
      <c r="Y196"/>
      <c r="Z196"/>
      <c r="AA196"/>
      <c r="AB196">
        <v>56.6</v>
      </c>
      <c r="AC196"/>
      <c r="AD196"/>
    </row>
    <row r="197" spans="1:30" x14ac:dyDescent="0.2">
      <c r="A197" s="79">
        <v>40238</v>
      </c>
      <c r="B197">
        <v>50.2</v>
      </c>
      <c r="C197"/>
      <c r="D197"/>
      <c r="E197"/>
      <c r="F197">
        <v>51.66</v>
      </c>
      <c r="G197">
        <v>56.6</v>
      </c>
      <c r="H197">
        <v>56.7</v>
      </c>
      <c r="I197">
        <v>59.6</v>
      </c>
      <c r="J197"/>
      <c r="K197"/>
      <c r="L197"/>
      <c r="M197"/>
      <c r="N197"/>
      <c r="O197">
        <v>53.7</v>
      </c>
      <c r="P197">
        <v>52.4</v>
      </c>
      <c r="Q197"/>
      <c r="R197">
        <v>55.832523203119003</v>
      </c>
      <c r="S197"/>
      <c r="T197"/>
      <c r="U197"/>
      <c r="V197">
        <v>53.65</v>
      </c>
      <c r="W197"/>
      <c r="X197">
        <v>51.8</v>
      </c>
      <c r="Y197"/>
      <c r="Z197"/>
      <c r="AA197"/>
      <c r="AB197">
        <v>57.2</v>
      </c>
      <c r="AC197"/>
      <c r="AD197"/>
    </row>
    <row r="198" spans="1:30" x14ac:dyDescent="0.2">
      <c r="A198" s="79">
        <v>40269</v>
      </c>
      <c r="B198">
        <v>59.8</v>
      </c>
      <c r="C198"/>
      <c r="D198"/>
      <c r="E198"/>
      <c r="F198">
        <v>49.02</v>
      </c>
      <c r="G198">
        <v>57.6</v>
      </c>
      <c r="H198">
        <v>56.6</v>
      </c>
      <c r="I198">
        <v>61.5</v>
      </c>
      <c r="J198"/>
      <c r="K198"/>
      <c r="L198"/>
      <c r="M198"/>
      <c r="N198"/>
      <c r="O198">
        <v>54.3</v>
      </c>
      <c r="P198">
        <v>53.5</v>
      </c>
      <c r="Q198"/>
      <c r="R198">
        <v>58.4019949666218</v>
      </c>
      <c r="S198"/>
      <c r="T198"/>
      <c r="U198"/>
      <c r="V198">
        <v>53.24</v>
      </c>
      <c r="W198"/>
      <c r="X198">
        <v>53.3</v>
      </c>
      <c r="Y198"/>
      <c r="Z198"/>
      <c r="AA198"/>
      <c r="AB198">
        <v>58</v>
      </c>
      <c r="AC198"/>
      <c r="AD198"/>
    </row>
    <row r="199" spans="1:30" x14ac:dyDescent="0.2">
      <c r="A199" s="79">
        <v>40299</v>
      </c>
      <c r="B199">
        <v>56.3</v>
      </c>
      <c r="C199"/>
      <c r="D199"/>
      <c r="E199"/>
      <c r="F199">
        <v>51.33</v>
      </c>
      <c r="G199">
        <v>55.8</v>
      </c>
      <c r="H199">
        <v>55.8</v>
      </c>
      <c r="I199">
        <v>58.4</v>
      </c>
      <c r="J199"/>
      <c r="K199"/>
      <c r="L199"/>
      <c r="M199"/>
      <c r="N199"/>
      <c r="O199">
        <v>54</v>
      </c>
      <c r="P199">
        <v>54.7</v>
      </c>
      <c r="Q199"/>
      <c r="R199">
        <v>51.8006228698843</v>
      </c>
      <c r="S199"/>
      <c r="T199"/>
      <c r="U199"/>
      <c r="V199">
        <v>51.19</v>
      </c>
      <c r="W199"/>
      <c r="X199">
        <v>51.5</v>
      </c>
      <c r="Y199"/>
      <c r="Z199"/>
      <c r="AA199"/>
      <c r="AB199">
        <v>58</v>
      </c>
      <c r="AC199"/>
      <c r="AD199"/>
    </row>
    <row r="200" spans="1:30" x14ac:dyDescent="0.2">
      <c r="A200" s="79">
        <v>40330</v>
      </c>
      <c r="B200">
        <v>52.9</v>
      </c>
      <c r="C200"/>
      <c r="D200"/>
      <c r="E200"/>
      <c r="F200">
        <v>50.2</v>
      </c>
      <c r="G200">
        <v>55.6</v>
      </c>
      <c r="H200">
        <v>53.7</v>
      </c>
      <c r="I200">
        <v>58.1</v>
      </c>
      <c r="J200"/>
      <c r="K200"/>
      <c r="L200"/>
      <c r="M200"/>
      <c r="N200"/>
      <c r="O200">
        <v>54.3</v>
      </c>
      <c r="P200">
        <v>53.9</v>
      </c>
      <c r="Q200"/>
      <c r="R200">
        <v>54.885916458142702</v>
      </c>
      <c r="S200"/>
      <c r="T200"/>
      <c r="U200"/>
      <c r="V200">
        <v>50.84</v>
      </c>
      <c r="W200"/>
      <c r="X200">
        <v>51.2</v>
      </c>
      <c r="Y200"/>
      <c r="Z200"/>
      <c r="AA200"/>
      <c r="AB200">
        <v>57.5</v>
      </c>
      <c r="AC200"/>
      <c r="AD200"/>
    </row>
    <row r="201" spans="1:30" x14ac:dyDescent="0.2">
      <c r="A201" s="79">
        <v>40360</v>
      </c>
      <c r="B201">
        <v>54.4</v>
      </c>
      <c r="C201"/>
      <c r="D201"/>
      <c r="E201"/>
      <c r="F201">
        <v>54.3</v>
      </c>
      <c r="G201">
        <v>56.7</v>
      </c>
      <c r="H201">
        <v>54.7</v>
      </c>
      <c r="I201">
        <v>61.2</v>
      </c>
      <c r="J201"/>
      <c r="K201"/>
      <c r="L201"/>
      <c r="M201"/>
      <c r="N201"/>
      <c r="O201">
        <v>54.4</v>
      </c>
      <c r="P201">
        <v>52.8</v>
      </c>
      <c r="Q201"/>
      <c r="R201">
        <v>50.256943813857902</v>
      </c>
      <c r="S201"/>
      <c r="T201"/>
      <c r="U201"/>
      <c r="V201">
        <v>52.65</v>
      </c>
      <c r="W201"/>
      <c r="X201">
        <v>51.6</v>
      </c>
      <c r="Y201"/>
      <c r="Z201"/>
      <c r="AA201"/>
      <c r="AB201">
        <v>57.3</v>
      </c>
      <c r="AC201"/>
      <c r="AD201"/>
    </row>
    <row r="202" spans="1:30" x14ac:dyDescent="0.2">
      <c r="A202" s="79">
        <v>40391</v>
      </c>
      <c r="B202">
        <v>51.7</v>
      </c>
      <c r="C202"/>
      <c r="D202"/>
      <c r="E202"/>
      <c r="F202">
        <v>54.73</v>
      </c>
      <c r="G202">
        <v>55.1</v>
      </c>
      <c r="H202">
        <v>55.4</v>
      </c>
      <c r="I202">
        <v>58.2</v>
      </c>
      <c r="J202"/>
      <c r="K202"/>
      <c r="L202"/>
      <c r="M202"/>
      <c r="N202"/>
      <c r="O202">
        <v>52.8</v>
      </c>
      <c r="P202">
        <v>50.1</v>
      </c>
      <c r="Q202"/>
      <c r="R202">
        <v>50.288913340954501</v>
      </c>
      <c r="S202"/>
      <c r="T202"/>
      <c r="U202"/>
      <c r="V202">
        <v>51.95</v>
      </c>
      <c r="W202"/>
      <c r="X202">
        <v>51.2</v>
      </c>
      <c r="Y202"/>
      <c r="Z202"/>
      <c r="AA202"/>
      <c r="AB202">
        <v>54.3</v>
      </c>
      <c r="AC202"/>
      <c r="AD202"/>
    </row>
    <row r="203" spans="1:30" x14ac:dyDescent="0.2">
      <c r="A203" s="79">
        <v>40422</v>
      </c>
      <c r="B203">
        <v>47.3</v>
      </c>
      <c r="C203"/>
      <c r="D203"/>
      <c r="E203"/>
      <c r="F203">
        <v>56.27</v>
      </c>
      <c r="G203">
        <v>53.7</v>
      </c>
      <c r="H203">
        <v>55.2</v>
      </c>
      <c r="I203">
        <v>55.3</v>
      </c>
      <c r="J203"/>
      <c r="K203"/>
      <c r="L203"/>
      <c r="M203"/>
      <c r="N203"/>
      <c r="O203">
        <v>52.6</v>
      </c>
      <c r="P203">
        <v>49.5</v>
      </c>
      <c r="Q203"/>
      <c r="R203">
        <v>50.989279973423798</v>
      </c>
      <c r="S203"/>
      <c r="T203"/>
      <c r="U203"/>
      <c r="V203">
        <v>50.14</v>
      </c>
      <c r="W203"/>
      <c r="X203">
        <v>49.6</v>
      </c>
      <c r="Y203"/>
      <c r="Z203"/>
      <c r="AA203"/>
      <c r="AB203">
        <v>53.4</v>
      </c>
      <c r="AC203"/>
      <c r="AD203"/>
    </row>
    <row r="204" spans="1:30" x14ac:dyDescent="0.2">
      <c r="A204" s="79">
        <v>40452</v>
      </c>
      <c r="B204">
        <v>49.4</v>
      </c>
      <c r="C204">
        <v>49.5</v>
      </c>
      <c r="D204"/>
      <c r="E204">
        <v>57.2</v>
      </c>
      <c r="F204">
        <v>56.89</v>
      </c>
      <c r="G204">
        <v>54.6</v>
      </c>
      <c r="H204">
        <v>57.5</v>
      </c>
      <c r="I204">
        <v>56.6</v>
      </c>
      <c r="J204"/>
      <c r="K204"/>
      <c r="L204">
        <v>57.2</v>
      </c>
      <c r="M204"/>
      <c r="N204">
        <v>50.9</v>
      </c>
      <c r="O204">
        <v>53</v>
      </c>
      <c r="P204">
        <v>47.2</v>
      </c>
      <c r="Q204"/>
      <c r="R204">
        <v>51.425226109909701</v>
      </c>
      <c r="S204">
        <v>55.6</v>
      </c>
      <c r="T204">
        <v>51.8</v>
      </c>
      <c r="U204"/>
      <c r="V204">
        <v>51.35</v>
      </c>
      <c r="W204"/>
      <c r="X204">
        <v>51.2</v>
      </c>
      <c r="Y204">
        <v>48.6</v>
      </c>
      <c r="Z204"/>
      <c r="AA204">
        <v>54.3</v>
      </c>
      <c r="AB204">
        <v>54.9</v>
      </c>
      <c r="AC204">
        <v>56.9</v>
      </c>
      <c r="AD204"/>
    </row>
    <row r="205" spans="1:30" x14ac:dyDescent="0.2">
      <c r="A205" s="79">
        <v>40482</v>
      </c>
      <c r="B205"/>
      <c r="C205"/>
      <c r="D205"/>
      <c r="E205"/>
      <c r="F205"/>
      <c r="G205"/>
      <c r="H205"/>
      <c r="I205"/>
      <c r="J205">
        <v>43.6</v>
      </c>
      <c r="K205"/>
      <c r="L205"/>
      <c r="M205"/>
      <c r="N205"/>
      <c r="O205"/>
      <c r="P205"/>
      <c r="Q205"/>
      <c r="R205"/>
      <c r="S205"/>
      <c r="T205"/>
      <c r="U205"/>
      <c r="V205"/>
      <c r="W205"/>
      <c r="X205"/>
      <c r="Y205"/>
      <c r="Z205"/>
      <c r="AA205"/>
      <c r="AB205"/>
      <c r="AC205"/>
      <c r="AD205"/>
    </row>
    <row r="206" spans="1:30" x14ac:dyDescent="0.2">
      <c r="A206" s="79">
        <v>40483</v>
      </c>
      <c r="B206">
        <v>47.6</v>
      </c>
      <c r="C206">
        <v>49.9</v>
      </c>
      <c r="D206"/>
      <c r="E206">
        <v>57.3</v>
      </c>
      <c r="F206">
        <v>55.8</v>
      </c>
      <c r="G206">
        <v>55.3</v>
      </c>
      <c r="H206">
        <v>56.3</v>
      </c>
      <c r="I206">
        <v>58.1</v>
      </c>
      <c r="J206">
        <v>43.9</v>
      </c>
      <c r="K206"/>
      <c r="L206">
        <v>58.4</v>
      </c>
      <c r="M206"/>
      <c r="N206">
        <v>51.2</v>
      </c>
      <c r="O206">
        <v>52</v>
      </c>
      <c r="P206">
        <v>47.3</v>
      </c>
      <c r="Q206"/>
      <c r="R206">
        <v>54.9544836853158</v>
      </c>
      <c r="S206">
        <v>55.9</v>
      </c>
      <c r="T206">
        <v>51.1</v>
      </c>
      <c r="U206"/>
      <c r="V206">
        <v>52.54</v>
      </c>
      <c r="W206"/>
      <c r="X206">
        <v>50</v>
      </c>
      <c r="Y206">
        <v>51.7</v>
      </c>
      <c r="Z206"/>
      <c r="AA206">
        <v>56.4</v>
      </c>
      <c r="AB206">
        <v>58</v>
      </c>
      <c r="AC206">
        <v>56.6</v>
      </c>
      <c r="AD206"/>
    </row>
    <row r="207" spans="1:30" x14ac:dyDescent="0.2">
      <c r="A207" s="79">
        <v>40513</v>
      </c>
      <c r="B207">
        <v>46.3</v>
      </c>
      <c r="C207">
        <v>52.4</v>
      </c>
      <c r="D207"/>
      <c r="E207">
        <v>58.4</v>
      </c>
      <c r="F207">
        <v>62.4</v>
      </c>
      <c r="G207">
        <v>57.1</v>
      </c>
      <c r="H207">
        <v>54.3</v>
      </c>
      <c r="I207">
        <v>60.9</v>
      </c>
      <c r="J207">
        <v>43.1</v>
      </c>
      <c r="K207"/>
      <c r="L207">
        <v>56.7</v>
      </c>
      <c r="M207"/>
      <c r="N207">
        <v>52.2</v>
      </c>
      <c r="O207">
        <v>54.7</v>
      </c>
      <c r="P207">
        <v>48.3</v>
      </c>
      <c r="Q207"/>
      <c r="R207">
        <v>53.213836822334102</v>
      </c>
      <c r="S207">
        <v>56.3</v>
      </c>
      <c r="T207">
        <v>53.5</v>
      </c>
      <c r="U207"/>
      <c r="V207">
        <v>52.81</v>
      </c>
      <c r="W207">
        <v>53.9</v>
      </c>
      <c r="X207">
        <v>51.5</v>
      </c>
      <c r="Y207">
        <v>51.7</v>
      </c>
      <c r="Z207"/>
      <c r="AA207">
        <v>56.4</v>
      </c>
      <c r="AB207">
        <v>58.3</v>
      </c>
      <c r="AC207">
        <v>57</v>
      </c>
      <c r="AD207"/>
    </row>
    <row r="208" spans="1:30" x14ac:dyDescent="0.2">
      <c r="A208" s="79">
        <v>40544</v>
      </c>
      <c r="B208">
        <v>46.7</v>
      </c>
      <c r="C208">
        <v>53.1</v>
      </c>
      <c r="D208"/>
      <c r="E208">
        <v>60.5</v>
      </c>
      <c r="F208">
        <v>57.21</v>
      </c>
      <c r="G208">
        <v>57.3</v>
      </c>
      <c r="H208">
        <v>54.9</v>
      </c>
      <c r="I208">
        <v>60.5</v>
      </c>
      <c r="J208">
        <v>42.8</v>
      </c>
      <c r="K208"/>
      <c r="L208">
        <v>56.8</v>
      </c>
      <c r="M208"/>
      <c r="N208">
        <v>55.8</v>
      </c>
      <c r="O208">
        <v>56.6</v>
      </c>
      <c r="P208">
        <v>51.4</v>
      </c>
      <c r="Q208"/>
      <c r="R208">
        <v>52.941418710448602</v>
      </c>
      <c r="S208">
        <v>55.6</v>
      </c>
      <c r="T208">
        <v>53.5</v>
      </c>
      <c r="U208"/>
      <c r="V208">
        <v>53.56</v>
      </c>
      <c r="W208">
        <v>53.5</v>
      </c>
      <c r="X208">
        <v>52</v>
      </c>
      <c r="Y208">
        <v>54.6</v>
      </c>
      <c r="Z208"/>
      <c r="AA208">
        <v>57.2</v>
      </c>
      <c r="AB208">
        <v>62</v>
      </c>
      <c r="AC208">
        <v>60.8</v>
      </c>
      <c r="AD208"/>
    </row>
    <row r="209" spans="1:30" x14ac:dyDescent="0.2">
      <c r="A209" s="79">
        <v>40575</v>
      </c>
      <c r="B209">
        <v>51.1</v>
      </c>
      <c r="C209">
        <v>54.6</v>
      </c>
      <c r="D209"/>
      <c r="E209">
        <v>59.8</v>
      </c>
      <c r="F209">
        <v>60.78</v>
      </c>
      <c r="G209">
        <v>59</v>
      </c>
      <c r="H209">
        <v>56.6</v>
      </c>
      <c r="I209">
        <v>62.7</v>
      </c>
      <c r="J209">
        <v>43.8</v>
      </c>
      <c r="K209"/>
      <c r="L209">
        <v>57.9</v>
      </c>
      <c r="M209"/>
      <c r="N209">
        <v>56.7</v>
      </c>
      <c r="O209">
        <v>59</v>
      </c>
      <c r="P209">
        <v>52.9</v>
      </c>
      <c r="Q209"/>
      <c r="R209">
        <v>51.296148060149903</v>
      </c>
      <c r="S209">
        <v>53.8</v>
      </c>
      <c r="T209">
        <v>56.4</v>
      </c>
      <c r="U209"/>
      <c r="V209">
        <v>51.49</v>
      </c>
      <c r="W209">
        <v>53.4</v>
      </c>
      <c r="X209">
        <v>52.1</v>
      </c>
      <c r="Y209">
        <v>55.8</v>
      </c>
      <c r="Z209"/>
      <c r="AA209">
        <v>58.5</v>
      </c>
      <c r="AB209">
        <v>64.5</v>
      </c>
      <c r="AC209">
        <v>61.4</v>
      </c>
      <c r="AD209"/>
    </row>
    <row r="210" spans="1:30" x14ac:dyDescent="0.2">
      <c r="A210" s="79">
        <v>40603</v>
      </c>
      <c r="B210">
        <v>47.9</v>
      </c>
      <c r="C210">
        <v>53.2</v>
      </c>
      <c r="D210"/>
      <c r="E210">
        <v>58.6</v>
      </c>
      <c r="F210">
        <v>62.07</v>
      </c>
      <c r="G210">
        <v>57.5</v>
      </c>
      <c r="H210">
        <v>56.9</v>
      </c>
      <c r="I210">
        <v>60.9</v>
      </c>
      <c r="J210">
        <v>45.4</v>
      </c>
      <c r="K210"/>
      <c r="L210">
        <v>57.9</v>
      </c>
      <c r="M210"/>
      <c r="N210">
        <v>55.7</v>
      </c>
      <c r="O210">
        <v>56.2</v>
      </c>
      <c r="P210">
        <v>46.4</v>
      </c>
      <c r="Q210"/>
      <c r="R210">
        <v>49.030116711296003</v>
      </c>
      <c r="S210">
        <v>54.8</v>
      </c>
      <c r="T210">
        <v>55.1</v>
      </c>
      <c r="U210"/>
      <c r="V210">
        <v>54.71</v>
      </c>
      <c r="W210">
        <v>52.8</v>
      </c>
      <c r="X210">
        <v>51.6</v>
      </c>
      <c r="Y210">
        <v>55.6</v>
      </c>
      <c r="Z210"/>
      <c r="AA210">
        <v>56.1</v>
      </c>
      <c r="AB210">
        <v>57.1</v>
      </c>
      <c r="AC210">
        <v>61.2</v>
      </c>
      <c r="AD210"/>
    </row>
    <row r="211" spans="1:30" x14ac:dyDescent="0.2">
      <c r="A211" s="79">
        <v>40634</v>
      </c>
      <c r="B211">
        <v>48.4</v>
      </c>
      <c r="C211">
        <v>52.5</v>
      </c>
      <c r="D211">
        <v>56.3</v>
      </c>
      <c r="E211">
        <v>59</v>
      </c>
      <c r="F211">
        <v>63.05</v>
      </c>
      <c r="G211">
        <v>58</v>
      </c>
      <c r="H211">
        <v>57.5</v>
      </c>
      <c r="I211">
        <v>62</v>
      </c>
      <c r="J211">
        <v>46.8</v>
      </c>
      <c r="K211"/>
      <c r="L211">
        <v>58</v>
      </c>
      <c r="M211">
        <v>48.1</v>
      </c>
      <c r="N211">
        <v>56</v>
      </c>
      <c r="O211">
        <v>55.5</v>
      </c>
      <c r="P211">
        <v>45.7</v>
      </c>
      <c r="Q211">
        <v>56.1</v>
      </c>
      <c r="R211">
        <v>53.0485447056205</v>
      </c>
      <c r="S211">
        <v>54.4</v>
      </c>
      <c r="T211">
        <v>52.1</v>
      </c>
      <c r="U211"/>
      <c r="V211">
        <v>54.16</v>
      </c>
      <c r="W211">
        <v>51.7</v>
      </c>
      <c r="X211">
        <v>50.6</v>
      </c>
      <c r="Y211">
        <v>58.2</v>
      </c>
      <c r="Z211"/>
      <c r="AA211">
        <v>52.7</v>
      </c>
      <c r="AB211">
        <v>54.6</v>
      </c>
      <c r="AC211">
        <v>60.4</v>
      </c>
      <c r="AD211"/>
    </row>
    <row r="212" spans="1:30" x14ac:dyDescent="0.2">
      <c r="A212" s="79">
        <v>40664</v>
      </c>
      <c r="B212">
        <v>47.7</v>
      </c>
      <c r="C212">
        <v>53</v>
      </c>
      <c r="D212">
        <v>54.8</v>
      </c>
      <c r="E212">
        <v>55.9</v>
      </c>
      <c r="F212">
        <v>58.59</v>
      </c>
      <c r="G212">
        <v>54.6</v>
      </c>
      <c r="H212">
        <v>54.9</v>
      </c>
      <c r="I212">
        <v>57.7</v>
      </c>
      <c r="J212">
        <v>44.5</v>
      </c>
      <c r="K212"/>
      <c r="L212">
        <v>57.5</v>
      </c>
      <c r="M212">
        <v>48</v>
      </c>
      <c r="N212">
        <v>51.8</v>
      </c>
      <c r="O212">
        <v>52.8</v>
      </c>
      <c r="P212">
        <v>51.3</v>
      </c>
      <c r="Q212">
        <v>54.5</v>
      </c>
      <c r="R212">
        <v>52.890127153315902</v>
      </c>
      <c r="S212">
        <v>52.6</v>
      </c>
      <c r="T212">
        <v>50.9</v>
      </c>
      <c r="U212"/>
      <c r="V212">
        <v>54.1</v>
      </c>
      <c r="W212">
        <v>51.2</v>
      </c>
      <c r="X212">
        <v>48.2</v>
      </c>
      <c r="Y212">
        <v>54.9</v>
      </c>
      <c r="Z212"/>
      <c r="AA212">
        <v>50.6</v>
      </c>
      <c r="AB212">
        <v>52.1</v>
      </c>
      <c r="AC212">
        <v>53.5</v>
      </c>
      <c r="AD212"/>
    </row>
    <row r="213" spans="1:30" x14ac:dyDescent="0.2">
      <c r="A213" s="79">
        <v>40695</v>
      </c>
      <c r="B213">
        <v>52.9</v>
      </c>
      <c r="C213">
        <v>49</v>
      </c>
      <c r="D213">
        <v>52.8</v>
      </c>
      <c r="E213">
        <v>55.1</v>
      </c>
      <c r="F213">
        <v>58.05</v>
      </c>
      <c r="G213">
        <v>52</v>
      </c>
      <c r="H213">
        <v>50.1</v>
      </c>
      <c r="I213">
        <v>54.9</v>
      </c>
      <c r="J213">
        <v>45.5</v>
      </c>
      <c r="K213"/>
      <c r="L213">
        <v>55.3</v>
      </c>
      <c r="M213">
        <v>50.5</v>
      </c>
      <c r="N213">
        <v>49.8</v>
      </c>
      <c r="O213">
        <v>49.9</v>
      </c>
      <c r="P213">
        <v>50.7</v>
      </c>
      <c r="Q213">
        <v>55.1</v>
      </c>
      <c r="R213">
        <v>54.276686305751802</v>
      </c>
      <c r="S213">
        <v>51.2</v>
      </c>
      <c r="T213">
        <v>50.6</v>
      </c>
      <c r="U213"/>
      <c r="V213">
        <v>55.16</v>
      </c>
      <c r="W213">
        <v>51.2</v>
      </c>
      <c r="X213">
        <v>47.3</v>
      </c>
      <c r="Y213">
        <v>49.9</v>
      </c>
      <c r="Z213"/>
      <c r="AA213">
        <v>52.3</v>
      </c>
      <c r="AB213">
        <v>51.3</v>
      </c>
      <c r="AC213">
        <v>55.3</v>
      </c>
      <c r="AD213"/>
    </row>
    <row r="214" spans="1:30" x14ac:dyDescent="0.2">
      <c r="A214" s="79">
        <v>40725</v>
      </c>
      <c r="B214">
        <v>43.4</v>
      </c>
      <c r="C214">
        <v>47.8</v>
      </c>
      <c r="D214">
        <v>53.1</v>
      </c>
      <c r="E214">
        <v>53.4</v>
      </c>
      <c r="F214">
        <v>58.37</v>
      </c>
      <c r="G214">
        <v>50.4</v>
      </c>
      <c r="H214">
        <v>50.5</v>
      </c>
      <c r="I214">
        <v>52</v>
      </c>
      <c r="J214">
        <v>45.2</v>
      </c>
      <c r="K214"/>
      <c r="L214">
        <v>56.3</v>
      </c>
      <c r="M214">
        <v>51</v>
      </c>
      <c r="N214">
        <v>48.2</v>
      </c>
      <c r="O214">
        <v>50.1</v>
      </c>
      <c r="P214">
        <v>52.1</v>
      </c>
      <c r="Q214">
        <v>54.8</v>
      </c>
      <c r="R214">
        <v>52.914785131054401</v>
      </c>
      <c r="S214">
        <v>52.9</v>
      </c>
      <c r="T214">
        <v>49.8</v>
      </c>
      <c r="U214"/>
      <c r="V214">
        <v>46.16</v>
      </c>
      <c r="W214">
        <v>51.1</v>
      </c>
      <c r="X214">
        <v>45.6</v>
      </c>
      <c r="Y214">
        <v>46.1</v>
      </c>
      <c r="Z214"/>
      <c r="AA214">
        <v>52.3</v>
      </c>
      <c r="AB214">
        <v>49.1</v>
      </c>
      <c r="AC214">
        <v>50.9</v>
      </c>
      <c r="AD214"/>
    </row>
    <row r="215" spans="1:30" x14ac:dyDescent="0.2">
      <c r="A215" s="79">
        <v>40756</v>
      </c>
      <c r="B215">
        <v>43.3</v>
      </c>
      <c r="C215">
        <v>46</v>
      </c>
      <c r="D215">
        <v>54.9</v>
      </c>
      <c r="E215">
        <v>53.4</v>
      </c>
      <c r="F215">
        <v>55.07</v>
      </c>
      <c r="G215">
        <v>49</v>
      </c>
      <c r="H215">
        <v>49.1</v>
      </c>
      <c r="I215">
        <v>50.9</v>
      </c>
      <c r="J215">
        <v>43.3</v>
      </c>
      <c r="K215"/>
      <c r="L215">
        <v>52.6</v>
      </c>
      <c r="M215">
        <v>50.9</v>
      </c>
      <c r="N215">
        <v>49.7</v>
      </c>
      <c r="O215">
        <v>47</v>
      </c>
      <c r="P215">
        <v>51.9</v>
      </c>
      <c r="Q215">
        <v>51.7</v>
      </c>
      <c r="R215">
        <v>53.276022834882099</v>
      </c>
      <c r="S215">
        <v>51.8</v>
      </c>
      <c r="T215">
        <v>49.9</v>
      </c>
      <c r="U215"/>
      <c r="V215">
        <v>47.73</v>
      </c>
      <c r="W215">
        <v>51.3</v>
      </c>
      <c r="X215">
        <v>45.3</v>
      </c>
      <c r="Y215">
        <v>45.2</v>
      </c>
      <c r="Z215"/>
      <c r="AA215">
        <v>49.8</v>
      </c>
      <c r="AB215">
        <v>49</v>
      </c>
      <c r="AC215">
        <v>50.6</v>
      </c>
      <c r="AD215"/>
    </row>
    <row r="216" spans="1:30" x14ac:dyDescent="0.2">
      <c r="A216" s="79">
        <v>40787</v>
      </c>
      <c r="B216">
        <v>42.3</v>
      </c>
      <c r="C216">
        <v>45.5</v>
      </c>
      <c r="D216">
        <v>55</v>
      </c>
      <c r="E216">
        <v>52.3</v>
      </c>
      <c r="F216">
        <v>64.400000000000006</v>
      </c>
      <c r="G216">
        <v>48.5</v>
      </c>
      <c r="H216">
        <v>48.2</v>
      </c>
      <c r="I216">
        <v>50.3</v>
      </c>
      <c r="J216">
        <v>43.2</v>
      </c>
      <c r="K216"/>
      <c r="L216">
        <v>50.4</v>
      </c>
      <c r="M216">
        <v>49.8</v>
      </c>
      <c r="N216">
        <v>47.3</v>
      </c>
      <c r="O216">
        <v>48.3</v>
      </c>
      <c r="P216">
        <v>49.3</v>
      </c>
      <c r="Q216">
        <v>53.2</v>
      </c>
      <c r="R216">
        <v>51.1649272067922</v>
      </c>
      <c r="S216">
        <v>50.2</v>
      </c>
      <c r="T216">
        <v>50</v>
      </c>
      <c r="U216"/>
      <c r="V216">
        <v>52.45</v>
      </c>
      <c r="W216">
        <v>49.7</v>
      </c>
      <c r="X216">
        <v>43.7</v>
      </c>
      <c r="Y216">
        <v>44.5</v>
      </c>
      <c r="Z216"/>
      <c r="AA216">
        <v>51.5</v>
      </c>
      <c r="AB216">
        <v>51.1</v>
      </c>
      <c r="AC216">
        <v>51.6</v>
      </c>
      <c r="AD216"/>
    </row>
    <row r="217" spans="1:30" x14ac:dyDescent="0.2">
      <c r="A217" s="79">
        <v>40817</v>
      </c>
      <c r="B217">
        <v>47.4</v>
      </c>
      <c r="C217">
        <v>46.5</v>
      </c>
      <c r="D217">
        <v>53.7</v>
      </c>
      <c r="E217">
        <v>51.7</v>
      </c>
      <c r="F217">
        <v>43.91</v>
      </c>
      <c r="G217">
        <v>47.1</v>
      </c>
      <c r="H217">
        <v>48.5</v>
      </c>
      <c r="I217">
        <v>49.1</v>
      </c>
      <c r="J217">
        <v>40.5</v>
      </c>
      <c r="K217"/>
      <c r="L217">
        <v>51</v>
      </c>
      <c r="M217">
        <v>51.3</v>
      </c>
      <c r="N217">
        <v>50.1</v>
      </c>
      <c r="O217">
        <v>43.3</v>
      </c>
      <c r="P217">
        <v>50.6</v>
      </c>
      <c r="Q217">
        <v>54.8</v>
      </c>
      <c r="R217">
        <v>47.055625036655101</v>
      </c>
      <c r="S217">
        <v>51.7</v>
      </c>
      <c r="T217">
        <v>50.4</v>
      </c>
      <c r="U217"/>
      <c r="V217">
        <v>52.18</v>
      </c>
      <c r="W217">
        <v>47.4</v>
      </c>
      <c r="X217">
        <v>43.9</v>
      </c>
      <c r="Y217">
        <v>48</v>
      </c>
      <c r="Z217"/>
      <c r="AA217">
        <v>53.3</v>
      </c>
      <c r="AB217">
        <v>47.4</v>
      </c>
      <c r="AC217">
        <v>50.8</v>
      </c>
      <c r="AD217"/>
    </row>
    <row r="218" spans="1:30" x14ac:dyDescent="0.2">
      <c r="A218" s="79">
        <v>40848</v>
      </c>
      <c r="B218">
        <v>47.8</v>
      </c>
      <c r="C218">
        <v>48.7</v>
      </c>
      <c r="D218">
        <v>53.3</v>
      </c>
      <c r="E218">
        <v>48.6</v>
      </c>
      <c r="F218">
        <v>47.79</v>
      </c>
      <c r="G218">
        <v>46.4</v>
      </c>
      <c r="H218">
        <v>47.3</v>
      </c>
      <c r="I218">
        <v>47.9</v>
      </c>
      <c r="J218">
        <v>40.9</v>
      </c>
      <c r="K218"/>
      <c r="L218">
        <v>52</v>
      </c>
      <c r="M218">
        <v>50.1</v>
      </c>
      <c r="N218">
        <v>48.5</v>
      </c>
      <c r="O218">
        <v>44</v>
      </c>
      <c r="P218">
        <v>49.1</v>
      </c>
      <c r="Q218">
        <v>53.9</v>
      </c>
      <c r="R218">
        <v>47.8189290340678</v>
      </c>
      <c r="S218">
        <v>49.5</v>
      </c>
      <c r="T218">
        <v>52.6</v>
      </c>
      <c r="U218"/>
      <c r="V218">
        <v>51.66</v>
      </c>
      <c r="W218">
        <v>48</v>
      </c>
      <c r="X218">
        <v>43.8</v>
      </c>
      <c r="Y218">
        <v>47.1</v>
      </c>
      <c r="Z218"/>
      <c r="AA218">
        <v>52.3</v>
      </c>
      <c r="AB218">
        <v>47.6</v>
      </c>
      <c r="AC218">
        <v>52.7</v>
      </c>
      <c r="AD218"/>
    </row>
    <row r="219" spans="1:30" x14ac:dyDescent="0.2">
      <c r="A219" s="79">
        <v>40878</v>
      </c>
      <c r="B219">
        <v>50.2</v>
      </c>
      <c r="C219">
        <v>49.3</v>
      </c>
      <c r="D219">
        <v>54</v>
      </c>
      <c r="E219">
        <v>49.2</v>
      </c>
      <c r="F219">
        <v>58.44</v>
      </c>
      <c r="G219">
        <v>46.9</v>
      </c>
      <c r="H219">
        <v>48.9</v>
      </c>
      <c r="I219">
        <v>48.4</v>
      </c>
      <c r="J219">
        <v>42</v>
      </c>
      <c r="K219"/>
      <c r="L219">
        <v>57</v>
      </c>
      <c r="M219">
        <v>48.1</v>
      </c>
      <c r="N219">
        <v>49.8</v>
      </c>
      <c r="O219">
        <v>44.3</v>
      </c>
      <c r="P219">
        <v>50.2</v>
      </c>
      <c r="Q219">
        <v>53.1</v>
      </c>
      <c r="R219">
        <v>52.079468638644201</v>
      </c>
      <c r="S219">
        <v>48.8</v>
      </c>
      <c r="T219">
        <v>51.6</v>
      </c>
      <c r="U219"/>
      <c r="V219">
        <v>51.4</v>
      </c>
      <c r="W219">
        <v>47.1</v>
      </c>
      <c r="X219">
        <v>43.7</v>
      </c>
      <c r="Y219">
        <v>47.1</v>
      </c>
      <c r="Z219"/>
      <c r="AA219">
        <v>52</v>
      </c>
      <c r="AB219">
        <v>49.6</v>
      </c>
      <c r="AC219">
        <v>53.2</v>
      </c>
      <c r="AD219"/>
    </row>
    <row r="220" spans="1:30" x14ac:dyDescent="0.2">
      <c r="A220" s="79">
        <v>40909</v>
      </c>
      <c r="B220">
        <v>51.6</v>
      </c>
      <c r="C220">
        <v>50.6</v>
      </c>
      <c r="D220">
        <v>50.6</v>
      </c>
      <c r="E220">
        <v>48.8</v>
      </c>
      <c r="F220">
        <v>52.12</v>
      </c>
      <c r="G220">
        <v>48.8</v>
      </c>
      <c r="H220">
        <v>48.5</v>
      </c>
      <c r="I220">
        <v>51</v>
      </c>
      <c r="J220">
        <v>41</v>
      </c>
      <c r="K220"/>
      <c r="L220">
        <v>57.5</v>
      </c>
      <c r="M220">
        <v>48.5</v>
      </c>
      <c r="N220">
        <v>49.3</v>
      </c>
      <c r="O220">
        <v>46.8</v>
      </c>
      <c r="P220">
        <v>50.7</v>
      </c>
      <c r="Q220">
        <v>52.2</v>
      </c>
      <c r="R220">
        <v>50.6209489737154</v>
      </c>
      <c r="S220">
        <v>52.2</v>
      </c>
      <c r="T220">
        <v>50.8</v>
      </c>
      <c r="U220"/>
      <c r="V220">
        <v>52.94</v>
      </c>
      <c r="W220">
        <v>49.2</v>
      </c>
      <c r="X220">
        <v>45.1</v>
      </c>
      <c r="Y220">
        <v>47.1</v>
      </c>
      <c r="Z220"/>
      <c r="AA220">
        <v>51.7</v>
      </c>
      <c r="AB220">
        <v>50.8</v>
      </c>
      <c r="AC220">
        <v>54.3</v>
      </c>
      <c r="AD220"/>
    </row>
    <row r="221" spans="1:30" x14ac:dyDescent="0.2">
      <c r="A221" s="79">
        <v>40940</v>
      </c>
      <c r="B221">
        <v>51.3</v>
      </c>
      <c r="C221">
        <v>51.4</v>
      </c>
      <c r="D221">
        <v>51.8</v>
      </c>
      <c r="E221">
        <v>50.5</v>
      </c>
      <c r="F221">
        <v>53.88</v>
      </c>
      <c r="G221">
        <v>49</v>
      </c>
      <c r="H221">
        <v>50</v>
      </c>
      <c r="I221">
        <v>50.2</v>
      </c>
      <c r="J221">
        <v>37.700000000000003</v>
      </c>
      <c r="K221"/>
      <c r="L221">
        <v>56.6</v>
      </c>
      <c r="M221">
        <v>50.6</v>
      </c>
      <c r="N221">
        <v>49.7</v>
      </c>
      <c r="O221">
        <v>47.8</v>
      </c>
      <c r="P221">
        <v>50.5</v>
      </c>
      <c r="Q221">
        <v>53.7</v>
      </c>
      <c r="R221">
        <v>55.936808068004602</v>
      </c>
      <c r="S221">
        <v>50</v>
      </c>
      <c r="T221">
        <v>50.7</v>
      </c>
      <c r="U221"/>
      <c r="V221">
        <v>53.51</v>
      </c>
      <c r="W221">
        <v>50.7</v>
      </c>
      <c r="X221">
        <v>45</v>
      </c>
      <c r="Y221">
        <v>48.9</v>
      </c>
      <c r="Z221"/>
      <c r="AA221">
        <v>49.6</v>
      </c>
      <c r="AB221">
        <v>51.1</v>
      </c>
      <c r="AC221">
        <v>53.6</v>
      </c>
      <c r="AD221"/>
    </row>
    <row r="222" spans="1:30" x14ac:dyDescent="0.2">
      <c r="A222" s="79">
        <v>40969</v>
      </c>
      <c r="B222">
        <v>49.5</v>
      </c>
      <c r="C222">
        <v>51.1</v>
      </c>
      <c r="D222">
        <v>52.4</v>
      </c>
      <c r="E222">
        <v>52.1</v>
      </c>
      <c r="F222">
        <v>50.34</v>
      </c>
      <c r="G222">
        <v>47.7</v>
      </c>
      <c r="H222">
        <v>46.7</v>
      </c>
      <c r="I222">
        <v>48.4</v>
      </c>
      <c r="J222">
        <v>41.3</v>
      </c>
      <c r="K222"/>
      <c r="L222">
        <v>54.7</v>
      </c>
      <c r="M222">
        <v>50.8</v>
      </c>
      <c r="N222">
        <v>51.5</v>
      </c>
      <c r="O222">
        <v>47.9</v>
      </c>
      <c r="P222">
        <v>51.1</v>
      </c>
      <c r="Q222">
        <v>53.8</v>
      </c>
      <c r="R222">
        <v>53.627871720274001</v>
      </c>
      <c r="S222">
        <v>50.1</v>
      </c>
      <c r="T222">
        <v>50.8</v>
      </c>
      <c r="U222"/>
      <c r="V222">
        <v>53.51</v>
      </c>
      <c r="W222">
        <v>52</v>
      </c>
      <c r="X222">
        <v>44.5</v>
      </c>
      <c r="Y222">
        <v>52.7</v>
      </c>
      <c r="Z222"/>
      <c r="AA222">
        <v>49.6</v>
      </c>
      <c r="AB222">
        <v>52</v>
      </c>
      <c r="AC222">
        <v>56</v>
      </c>
      <c r="AD222"/>
    </row>
    <row r="223" spans="1:30" x14ac:dyDescent="0.2">
      <c r="A223" s="79">
        <v>41000</v>
      </c>
      <c r="B223">
        <v>43.9</v>
      </c>
      <c r="C223">
        <v>49.3</v>
      </c>
      <c r="D223">
        <v>53.3</v>
      </c>
      <c r="E223">
        <v>49.7</v>
      </c>
      <c r="F223">
        <v>63.6</v>
      </c>
      <c r="G223">
        <v>45.9</v>
      </c>
      <c r="H223">
        <v>46.9</v>
      </c>
      <c r="I223">
        <v>46.2</v>
      </c>
      <c r="J223">
        <v>40.700000000000003</v>
      </c>
      <c r="K223"/>
      <c r="L223">
        <v>54.9</v>
      </c>
      <c r="M223">
        <v>50.5</v>
      </c>
      <c r="N223">
        <v>50.1</v>
      </c>
      <c r="O223">
        <v>43.8</v>
      </c>
      <c r="P223">
        <v>50.7</v>
      </c>
      <c r="Q223">
        <v>56.3</v>
      </c>
      <c r="R223">
        <v>48.512504850892803</v>
      </c>
      <c r="S223">
        <v>49.2</v>
      </c>
      <c r="T223">
        <v>52.9</v>
      </c>
      <c r="U223"/>
      <c r="V223">
        <v>52.19</v>
      </c>
      <c r="W223">
        <v>51.9</v>
      </c>
      <c r="X223">
        <v>43.5</v>
      </c>
      <c r="Y223">
        <v>54.1</v>
      </c>
      <c r="Z223"/>
      <c r="AA223">
        <v>52.3</v>
      </c>
      <c r="AB223">
        <v>50.2</v>
      </c>
      <c r="AC223">
        <v>56</v>
      </c>
      <c r="AD223"/>
    </row>
    <row r="224" spans="1:30" x14ac:dyDescent="0.2">
      <c r="A224" s="79">
        <v>41030</v>
      </c>
      <c r="B224">
        <v>42.4</v>
      </c>
      <c r="C224">
        <v>49.3</v>
      </c>
      <c r="D224">
        <v>54.7</v>
      </c>
      <c r="E224">
        <v>47.6</v>
      </c>
      <c r="F224">
        <v>51.42</v>
      </c>
      <c r="G224">
        <v>45.1</v>
      </c>
      <c r="H224">
        <v>44.7</v>
      </c>
      <c r="I224">
        <v>45.2</v>
      </c>
      <c r="J224">
        <v>43.1</v>
      </c>
      <c r="K224"/>
      <c r="L224">
        <v>54.8</v>
      </c>
      <c r="M224">
        <v>48.1</v>
      </c>
      <c r="N224">
        <v>51.2</v>
      </c>
      <c r="O224">
        <v>44.8</v>
      </c>
      <c r="P224">
        <v>50.7</v>
      </c>
      <c r="Q224">
        <v>55.2</v>
      </c>
      <c r="R224">
        <v>54.185789788296702</v>
      </c>
      <c r="S224">
        <v>48.9</v>
      </c>
      <c r="T224">
        <v>53.2</v>
      </c>
      <c r="U224"/>
      <c r="V224">
        <v>52.57</v>
      </c>
      <c r="W224">
        <v>51</v>
      </c>
      <c r="X224">
        <v>42</v>
      </c>
      <c r="Y224">
        <v>51.2</v>
      </c>
      <c r="Z224"/>
      <c r="AA224">
        <v>50.2</v>
      </c>
      <c r="AB224">
        <v>46.8</v>
      </c>
      <c r="AC224">
        <v>54</v>
      </c>
      <c r="AD224"/>
    </row>
    <row r="225" spans="1:30" x14ac:dyDescent="0.2">
      <c r="A225" s="79">
        <v>41061</v>
      </c>
      <c r="B225">
        <v>47.2</v>
      </c>
      <c r="C225">
        <v>48.5</v>
      </c>
      <c r="D225">
        <v>54.8</v>
      </c>
      <c r="E225">
        <v>49.4</v>
      </c>
      <c r="F225">
        <v>52.69</v>
      </c>
      <c r="G225">
        <v>45.1</v>
      </c>
      <c r="H225">
        <v>45.2</v>
      </c>
      <c r="I225">
        <v>45</v>
      </c>
      <c r="J225">
        <v>40.1</v>
      </c>
      <c r="K225">
        <v>49.8</v>
      </c>
      <c r="L225">
        <v>55</v>
      </c>
      <c r="M225">
        <v>50.2</v>
      </c>
      <c r="N225">
        <v>53.1</v>
      </c>
      <c r="O225">
        <v>44.6</v>
      </c>
      <c r="P225">
        <v>52.6</v>
      </c>
      <c r="Q225">
        <v>55.9</v>
      </c>
      <c r="R225">
        <v>50.472370512699001</v>
      </c>
      <c r="S225">
        <v>48</v>
      </c>
      <c r="T225">
        <v>51</v>
      </c>
      <c r="U225"/>
      <c r="V225">
        <v>49.09</v>
      </c>
      <c r="W225">
        <v>49.4</v>
      </c>
      <c r="X225">
        <v>41.1</v>
      </c>
      <c r="Y225">
        <v>50.5</v>
      </c>
      <c r="Z225"/>
      <c r="AA225">
        <v>51.4</v>
      </c>
      <c r="AB225">
        <v>48.8</v>
      </c>
      <c r="AC225">
        <v>52.5</v>
      </c>
      <c r="AD225"/>
    </row>
    <row r="226" spans="1:30" x14ac:dyDescent="0.2">
      <c r="A226" s="79">
        <v>41091</v>
      </c>
      <c r="B226">
        <v>40.299999999999997</v>
      </c>
      <c r="C226">
        <v>48.7</v>
      </c>
      <c r="D226">
        <v>53</v>
      </c>
      <c r="E226">
        <v>49.5</v>
      </c>
      <c r="F226">
        <v>47.21</v>
      </c>
      <c r="G226">
        <v>44</v>
      </c>
      <c r="H226">
        <v>43.4</v>
      </c>
      <c r="I226">
        <v>43</v>
      </c>
      <c r="J226">
        <v>41.9</v>
      </c>
      <c r="K226">
        <v>50.3</v>
      </c>
      <c r="L226">
        <v>52.9</v>
      </c>
      <c r="M226">
        <v>51.3</v>
      </c>
      <c r="N226">
        <v>53.9</v>
      </c>
      <c r="O226">
        <v>44.3</v>
      </c>
      <c r="P226">
        <v>52</v>
      </c>
      <c r="Q226">
        <v>55.2</v>
      </c>
      <c r="R226">
        <v>49.600935432835399</v>
      </c>
      <c r="S226">
        <v>49.7</v>
      </c>
      <c r="T226">
        <v>52</v>
      </c>
      <c r="U226"/>
      <c r="V226">
        <v>51.13</v>
      </c>
      <c r="W226">
        <v>47.2</v>
      </c>
      <c r="X226">
        <v>42.3</v>
      </c>
      <c r="Y226">
        <v>49.2</v>
      </c>
      <c r="Z226"/>
      <c r="AA226">
        <v>49.4</v>
      </c>
      <c r="AB226">
        <v>45.5</v>
      </c>
      <c r="AC226">
        <v>51.4</v>
      </c>
      <c r="AD226">
        <v>43.6</v>
      </c>
    </row>
    <row r="227" spans="1:30" x14ac:dyDescent="0.2">
      <c r="A227" s="79">
        <v>41122</v>
      </c>
      <c r="B227">
        <v>45.3</v>
      </c>
      <c r="C227">
        <v>49.3</v>
      </c>
      <c r="D227">
        <v>53</v>
      </c>
      <c r="E227">
        <v>48.7</v>
      </c>
      <c r="F227">
        <v>51.06</v>
      </c>
      <c r="G227">
        <v>45.1</v>
      </c>
      <c r="H227">
        <v>46</v>
      </c>
      <c r="I227">
        <v>44.7</v>
      </c>
      <c r="J227">
        <v>42.1</v>
      </c>
      <c r="K227">
        <v>50.5</v>
      </c>
      <c r="L227">
        <v>52.8</v>
      </c>
      <c r="M227">
        <v>51.4</v>
      </c>
      <c r="N227">
        <v>50.9</v>
      </c>
      <c r="O227">
        <v>43.6</v>
      </c>
      <c r="P227">
        <v>52.1</v>
      </c>
      <c r="Q227">
        <v>55.1</v>
      </c>
      <c r="R227">
        <v>47.429094831237798</v>
      </c>
      <c r="S227">
        <v>48.3</v>
      </c>
      <c r="T227">
        <v>51</v>
      </c>
      <c r="U227"/>
      <c r="V227">
        <v>49.56</v>
      </c>
      <c r="W227">
        <v>47.5</v>
      </c>
      <c r="X227">
        <v>44</v>
      </c>
      <c r="Y227">
        <v>47.5</v>
      </c>
      <c r="Z227"/>
      <c r="AA227">
        <v>50</v>
      </c>
      <c r="AB227">
        <v>49.1</v>
      </c>
      <c r="AC227">
        <v>51.5</v>
      </c>
      <c r="AD227">
        <v>47.9</v>
      </c>
    </row>
    <row r="228" spans="1:30" x14ac:dyDescent="0.2">
      <c r="A228" s="79">
        <v>41153</v>
      </c>
      <c r="B228">
        <v>44.1</v>
      </c>
      <c r="C228">
        <v>49.8</v>
      </c>
      <c r="D228">
        <v>52.4</v>
      </c>
      <c r="E228">
        <v>48</v>
      </c>
      <c r="F228">
        <v>52.09</v>
      </c>
      <c r="G228">
        <v>46.1</v>
      </c>
      <c r="H228">
        <v>42.7</v>
      </c>
      <c r="I228">
        <v>47.4</v>
      </c>
      <c r="J228">
        <v>42.2</v>
      </c>
      <c r="K228">
        <v>49.6</v>
      </c>
      <c r="L228">
        <v>52.8</v>
      </c>
      <c r="M228">
        <v>51.6</v>
      </c>
      <c r="N228">
        <v>51.8</v>
      </c>
      <c r="O228">
        <v>45.7</v>
      </c>
      <c r="P228">
        <v>48</v>
      </c>
      <c r="Q228">
        <v>54.4</v>
      </c>
      <c r="R228">
        <v>48.448709339422898</v>
      </c>
      <c r="S228">
        <v>47</v>
      </c>
      <c r="T228">
        <v>52.4</v>
      </c>
      <c r="U228"/>
      <c r="V228">
        <v>48.42</v>
      </c>
      <c r="W228">
        <v>45.7</v>
      </c>
      <c r="X228">
        <v>44.5</v>
      </c>
      <c r="Y228">
        <v>46.1</v>
      </c>
      <c r="Z228"/>
      <c r="AA228">
        <v>52.2</v>
      </c>
      <c r="AB228">
        <v>48.2</v>
      </c>
      <c r="AC228">
        <v>51.1</v>
      </c>
      <c r="AD228">
        <v>49.2</v>
      </c>
    </row>
    <row r="229" spans="1:30" x14ac:dyDescent="0.2">
      <c r="A229" s="79">
        <v>41183</v>
      </c>
      <c r="B229">
        <v>45.2</v>
      </c>
      <c r="C229">
        <v>50.2</v>
      </c>
      <c r="D229">
        <v>51.4</v>
      </c>
      <c r="E229">
        <v>47.2</v>
      </c>
      <c r="F229">
        <v>57.41</v>
      </c>
      <c r="G229">
        <v>45.4</v>
      </c>
      <c r="H229">
        <v>43.7</v>
      </c>
      <c r="I229">
        <v>46</v>
      </c>
      <c r="J229">
        <v>41</v>
      </c>
      <c r="K229">
        <v>50.5</v>
      </c>
      <c r="L229">
        <v>52.9</v>
      </c>
      <c r="M229">
        <v>50.5</v>
      </c>
      <c r="N229">
        <v>52.1</v>
      </c>
      <c r="O229">
        <v>45.5</v>
      </c>
      <c r="P229">
        <v>46.9</v>
      </c>
      <c r="Q229">
        <v>55.5</v>
      </c>
      <c r="R229">
        <v>51.316273938764503</v>
      </c>
      <c r="S229">
        <v>47.3</v>
      </c>
      <c r="T229">
        <v>52.9</v>
      </c>
      <c r="U229"/>
      <c r="V229">
        <v>48.23</v>
      </c>
      <c r="W229">
        <v>47.4</v>
      </c>
      <c r="X229">
        <v>43.5</v>
      </c>
      <c r="Y229">
        <v>45.6</v>
      </c>
      <c r="Z229"/>
      <c r="AA229">
        <v>52.5</v>
      </c>
      <c r="AB229">
        <v>48</v>
      </c>
      <c r="AC229">
        <v>51</v>
      </c>
      <c r="AD229">
        <v>48.7</v>
      </c>
    </row>
    <row r="230" spans="1:30" x14ac:dyDescent="0.2">
      <c r="A230" s="79">
        <v>41214</v>
      </c>
      <c r="B230">
        <v>43.6</v>
      </c>
      <c r="C230">
        <v>52.2</v>
      </c>
      <c r="D230">
        <v>50.4</v>
      </c>
      <c r="E230">
        <v>48.2</v>
      </c>
      <c r="F230">
        <v>56.29</v>
      </c>
      <c r="G230">
        <v>46.2</v>
      </c>
      <c r="H230">
        <v>44.5</v>
      </c>
      <c r="I230">
        <v>46.8</v>
      </c>
      <c r="J230">
        <v>41.8</v>
      </c>
      <c r="K230">
        <v>52.2</v>
      </c>
      <c r="L230">
        <v>53.7</v>
      </c>
      <c r="M230">
        <v>51.9</v>
      </c>
      <c r="N230">
        <v>52.4</v>
      </c>
      <c r="O230">
        <v>45.1</v>
      </c>
      <c r="P230">
        <v>46.5</v>
      </c>
      <c r="Q230">
        <v>55.6</v>
      </c>
      <c r="R230">
        <v>50.803170950440403</v>
      </c>
      <c r="S230">
        <v>48.2</v>
      </c>
      <c r="T230">
        <v>52.2</v>
      </c>
      <c r="U230"/>
      <c r="V230">
        <v>49.15</v>
      </c>
      <c r="W230">
        <v>48.2</v>
      </c>
      <c r="X230">
        <v>45.3</v>
      </c>
      <c r="Y230">
        <v>47.8</v>
      </c>
      <c r="Z230"/>
      <c r="AA230">
        <v>51.6</v>
      </c>
      <c r="AB230">
        <v>48.4</v>
      </c>
      <c r="AC230">
        <v>52.8</v>
      </c>
      <c r="AD230">
        <v>50.5</v>
      </c>
    </row>
    <row r="231" spans="1:30" x14ac:dyDescent="0.2">
      <c r="A231" s="79">
        <v>41244</v>
      </c>
      <c r="B231">
        <v>44.3</v>
      </c>
      <c r="C231">
        <v>51.1</v>
      </c>
      <c r="D231">
        <v>50.4</v>
      </c>
      <c r="E231">
        <v>46</v>
      </c>
      <c r="F231">
        <v>57.62</v>
      </c>
      <c r="G231">
        <v>46.1</v>
      </c>
      <c r="H231">
        <v>44.6</v>
      </c>
      <c r="I231">
        <v>46</v>
      </c>
      <c r="J231">
        <v>41.4</v>
      </c>
      <c r="K231">
        <v>51.7</v>
      </c>
      <c r="L231">
        <v>54.7</v>
      </c>
      <c r="M231">
        <v>51.5</v>
      </c>
      <c r="N231">
        <v>51.4</v>
      </c>
      <c r="O231">
        <v>46.7</v>
      </c>
      <c r="P231">
        <v>45</v>
      </c>
      <c r="Q231">
        <v>57.1</v>
      </c>
      <c r="R231">
        <v>50.176098211716898</v>
      </c>
      <c r="S231">
        <v>48.3</v>
      </c>
      <c r="T231">
        <v>50</v>
      </c>
      <c r="U231"/>
      <c r="V231">
        <v>48.92</v>
      </c>
      <c r="W231">
        <v>50.1</v>
      </c>
      <c r="X231">
        <v>44.6</v>
      </c>
      <c r="Y231">
        <v>47.4</v>
      </c>
      <c r="Z231"/>
      <c r="AA231">
        <v>53.1</v>
      </c>
      <c r="AB231">
        <v>50.7</v>
      </c>
      <c r="AC231">
        <v>54</v>
      </c>
      <c r="AD231">
        <v>49.3</v>
      </c>
    </row>
    <row r="232" spans="1:30" x14ac:dyDescent="0.2">
      <c r="A232" s="79">
        <v>41275</v>
      </c>
      <c r="B232">
        <v>40.200000000000003</v>
      </c>
      <c r="C232">
        <v>53.2</v>
      </c>
      <c r="D232">
        <v>50.5</v>
      </c>
      <c r="E232">
        <v>48.3</v>
      </c>
      <c r="F232">
        <v>55.27</v>
      </c>
      <c r="G232">
        <v>47.9</v>
      </c>
      <c r="H232">
        <v>42.9</v>
      </c>
      <c r="I232">
        <v>49.8</v>
      </c>
      <c r="J232">
        <v>41.7</v>
      </c>
      <c r="K232">
        <v>52.5</v>
      </c>
      <c r="L232">
        <v>53.2</v>
      </c>
      <c r="M232">
        <v>49.7</v>
      </c>
      <c r="N232">
        <v>50.3</v>
      </c>
      <c r="O232">
        <v>47.8</v>
      </c>
      <c r="P232">
        <v>47.7</v>
      </c>
      <c r="Q232">
        <v>55</v>
      </c>
      <c r="R232">
        <v>55.650680223541102</v>
      </c>
      <c r="S232">
        <v>48.6</v>
      </c>
      <c r="T232">
        <v>52</v>
      </c>
      <c r="U232"/>
      <c r="V232">
        <v>49.08</v>
      </c>
      <c r="W232">
        <v>49.9</v>
      </c>
      <c r="X232">
        <v>46.1</v>
      </c>
      <c r="Y232">
        <v>51.5</v>
      </c>
      <c r="Z232"/>
      <c r="AA232">
        <v>54</v>
      </c>
      <c r="AB232">
        <v>50.9</v>
      </c>
      <c r="AC232">
        <v>55.8</v>
      </c>
      <c r="AD232">
        <v>50.1</v>
      </c>
    </row>
    <row r="233" spans="1:30" x14ac:dyDescent="0.2">
      <c r="A233" s="79">
        <v>41306</v>
      </c>
      <c r="B233">
        <v>45.6</v>
      </c>
      <c r="C233">
        <v>52.5</v>
      </c>
      <c r="D233">
        <v>51.7</v>
      </c>
      <c r="E233">
        <v>49.9</v>
      </c>
      <c r="F233">
        <v>61.23</v>
      </c>
      <c r="G233">
        <v>47.9</v>
      </c>
      <c r="H233">
        <v>43.9</v>
      </c>
      <c r="I233">
        <v>50.3</v>
      </c>
      <c r="J233">
        <v>43</v>
      </c>
      <c r="K233">
        <v>51.2</v>
      </c>
      <c r="L233">
        <v>54.2</v>
      </c>
      <c r="M233">
        <v>50.5</v>
      </c>
      <c r="N233">
        <v>51.5</v>
      </c>
      <c r="O233">
        <v>45.8</v>
      </c>
      <c r="P233">
        <v>48.5</v>
      </c>
      <c r="Q233">
        <v>53.4</v>
      </c>
      <c r="R233">
        <v>55.210349982691298</v>
      </c>
      <c r="S233">
        <v>48.9</v>
      </c>
      <c r="T233">
        <v>52</v>
      </c>
      <c r="U233"/>
      <c r="V233">
        <v>51.42</v>
      </c>
      <c r="W233">
        <v>50.9</v>
      </c>
      <c r="X233">
        <v>46.8</v>
      </c>
      <c r="Y233">
        <v>51.5</v>
      </c>
      <c r="Z233"/>
      <c r="AA233">
        <v>53.5</v>
      </c>
      <c r="AB233">
        <v>48.2</v>
      </c>
      <c r="AC233">
        <v>54.3</v>
      </c>
      <c r="AD233">
        <v>48.3</v>
      </c>
    </row>
    <row r="234" spans="1:30" x14ac:dyDescent="0.2">
      <c r="A234" s="79">
        <v>41334</v>
      </c>
      <c r="B234">
        <v>44.4</v>
      </c>
      <c r="C234">
        <v>51.8</v>
      </c>
      <c r="D234">
        <v>49.3</v>
      </c>
      <c r="E234">
        <v>49.1</v>
      </c>
      <c r="F234">
        <v>49.81</v>
      </c>
      <c r="G234">
        <v>46.8</v>
      </c>
      <c r="H234">
        <v>44</v>
      </c>
      <c r="I234">
        <v>49</v>
      </c>
      <c r="J234">
        <v>42.1</v>
      </c>
      <c r="K234">
        <v>50.5</v>
      </c>
      <c r="L234">
        <v>52</v>
      </c>
      <c r="M234">
        <v>51.3</v>
      </c>
      <c r="N234">
        <v>48.6</v>
      </c>
      <c r="O234">
        <v>44.5</v>
      </c>
      <c r="P234">
        <v>50.4</v>
      </c>
      <c r="Q234">
        <v>52.2</v>
      </c>
      <c r="R234">
        <v>52.7071688076255</v>
      </c>
      <c r="S234">
        <v>48</v>
      </c>
      <c r="T234">
        <v>50.8</v>
      </c>
      <c r="U234"/>
      <c r="V234">
        <v>49.04</v>
      </c>
      <c r="W234">
        <v>52</v>
      </c>
      <c r="X234">
        <v>44.2</v>
      </c>
      <c r="Y234">
        <v>50.2</v>
      </c>
      <c r="Z234"/>
      <c r="AA234">
        <v>52.3</v>
      </c>
      <c r="AB234">
        <v>49.3</v>
      </c>
      <c r="AC234">
        <v>54.6</v>
      </c>
      <c r="AD234">
        <v>48.8</v>
      </c>
    </row>
    <row r="235" spans="1:30" x14ac:dyDescent="0.2">
      <c r="A235" s="79">
        <v>41365</v>
      </c>
      <c r="B235">
        <v>36.700000000000003</v>
      </c>
      <c r="C235">
        <v>50.8</v>
      </c>
      <c r="D235">
        <v>50.1</v>
      </c>
      <c r="E235">
        <v>49.5</v>
      </c>
      <c r="F235">
        <v>49.29</v>
      </c>
      <c r="G235">
        <v>46.7</v>
      </c>
      <c r="H235">
        <v>44.4</v>
      </c>
      <c r="I235">
        <v>48.1</v>
      </c>
      <c r="J235">
        <v>45</v>
      </c>
      <c r="K235">
        <v>49.9</v>
      </c>
      <c r="L235">
        <v>51</v>
      </c>
      <c r="M235">
        <v>51.7</v>
      </c>
      <c r="N235">
        <v>48</v>
      </c>
      <c r="O235">
        <v>45.5</v>
      </c>
      <c r="P235">
        <v>51.1</v>
      </c>
      <c r="Q235">
        <v>51.7</v>
      </c>
      <c r="R235">
        <v>56.120859261244199</v>
      </c>
      <c r="S235">
        <v>48</v>
      </c>
      <c r="T235">
        <v>50.6</v>
      </c>
      <c r="U235"/>
      <c r="V235">
        <v>49.8</v>
      </c>
      <c r="W235">
        <v>52.6</v>
      </c>
      <c r="X235">
        <v>44.7</v>
      </c>
      <c r="Y235">
        <v>51.2</v>
      </c>
      <c r="Z235"/>
      <c r="AA235">
        <v>51.3</v>
      </c>
      <c r="AB235">
        <v>50.6</v>
      </c>
      <c r="AC235">
        <v>52.1</v>
      </c>
      <c r="AD235">
        <v>51</v>
      </c>
    </row>
    <row r="236" spans="1:30" x14ac:dyDescent="0.2">
      <c r="A236" s="79">
        <v>41395</v>
      </c>
      <c r="B236">
        <v>43.8</v>
      </c>
      <c r="C236">
        <v>50.4</v>
      </c>
      <c r="D236">
        <v>53.2</v>
      </c>
      <c r="E236">
        <v>50.1</v>
      </c>
      <c r="F236">
        <v>54.75</v>
      </c>
      <c r="G236">
        <v>48.3</v>
      </c>
      <c r="H236">
        <v>46.4</v>
      </c>
      <c r="I236">
        <v>49.4</v>
      </c>
      <c r="J236">
        <v>45.3</v>
      </c>
      <c r="K236">
        <v>49.8</v>
      </c>
      <c r="L236">
        <v>50.1</v>
      </c>
      <c r="M236">
        <v>51.6</v>
      </c>
      <c r="N236">
        <v>49.7</v>
      </c>
      <c r="O236">
        <v>47.3</v>
      </c>
      <c r="P236">
        <v>51.5</v>
      </c>
      <c r="Q236">
        <v>51.8</v>
      </c>
      <c r="R236">
        <v>59.073750840452703</v>
      </c>
      <c r="S236">
        <v>46.9</v>
      </c>
      <c r="T236">
        <v>50.4</v>
      </c>
      <c r="U236"/>
      <c r="V236">
        <v>50.21</v>
      </c>
      <c r="W236">
        <v>51.1</v>
      </c>
      <c r="X236">
        <v>48.1</v>
      </c>
      <c r="Y236">
        <v>50.7</v>
      </c>
      <c r="Z236"/>
      <c r="AA236">
        <v>51.1</v>
      </c>
      <c r="AB236">
        <v>52.1</v>
      </c>
      <c r="AC236">
        <v>52.3</v>
      </c>
      <c r="AD236">
        <v>48.8</v>
      </c>
    </row>
    <row r="237" spans="1:30" x14ac:dyDescent="0.2">
      <c r="A237" s="79">
        <v>41426</v>
      </c>
      <c r="B237">
        <v>49.6</v>
      </c>
      <c r="C237">
        <v>50.4</v>
      </c>
      <c r="D237">
        <v>52.4</v>
      </c>
      <c r="E237">
        <v>51</v>
      </c>
      <c r="F237">
        <v>57.73</v>
      </c>
      <c r="G237">
        <v>48.8</v>
      </c>
      <c r="H237">
        <v>48.4</v>
      </c>
      <c r="I237">
        <v>48.6</v>
      </c>
      <c r="J237">
        <v>45.4</v>
      </c>
      <c r="K237">
        <v>48.7</v>
      </c>
      <c r="L237">
        <v>50.3</v>
      </c>
      <c r="M237">
        <v>51</v>
      </c>
      <c r="N237">
        <v>50.3</v>
      </c>
      <c r="O237">
        <v>49.1</v>
      </c>
      <c r="P237">
        <v>52.3</v>
      </c>
      <c r="Q237">
        <v>51.3</v>
      </c>
      <c r="R237">
        <v>55.0752933288219</v>
      </c>
      <c r="S237">
        <v>48</v>
      </c>
      <c r="T237">
        <v>51.7</v>
      </c>
      <c r="U237"/>
      <c r="V237">
        <v>51.96</v>
      </c>
      <c r="W237">
        <v>49.4</v>
      </c>
      <c r="X237">
        <v>50</v>
      </c>
      <c r="Y237">
        <v>47.1</v>
      </c>
      <c r="Z237"/>
      <c r="AA237">
        <v>51.2</v>
      </c>
      <c r="AB237">
        <v>53</v>
      </c>
      <c r="AC237">
        <v>51.9</v>
      </c>
      <c r="AD237">
        <v>51</v>
      </c>
    </row>
    <row r="238" spans="1:30" x14ac:dyDescent="0.2">
      <c r="A238" s="79">
        <v>41456</v>
      </c>
      <c r="B238">
        <v>42</v>
      </c>
      <c r="C238">
        <v>48.5</v>
      </c>
      <c r="D238">
        <v>52</v>
      </c>
      <c r="E238">
        <v>52</v>
      </c>
      <c r="F238">
        <v>59.18</v>
      </c>
      <c r="G238">
        <v>50.3</v>
      </c>
      <c r="H238">
        <v>49.7</v>
      </c>
      <c r="I238">
        <v>50.7</v>
      </c>
      <c r="J238">
        <v>47</v>
      </c>
      <c r="K238">
        <v>49.7</v>
      </c>
      <c r="L238">
        <v>50.1</v>
      </c>
      <c r="M238">
        <v>50.7</v>
      </c>
      <c r="N238">
        <v>51</v>
      </c>
      <c r="O238">
        <v>50.4</v>
      </c>
      <c r="P238">
        <v>50.7</v>
      </c>
      <c r="Q238">
        <v>49.7</v>
      </c>
      <c r="R238">
        <v>60.261392032361201</v>
      </c>
      <c r="S238">
        <v>49.3</v>
      </c>
      <c r="T238">
        <v>49.2</v>
      </c>
      <c r="U238"/>
      <c r="V238">
        <v>52.15</v>
      </c>
      <c r="W238">
        <v>47.2</v>
      </c>
      <c r="X238">
        <v>49.8</v>
      </c>
      <c r="Y238">
        <v>49.5</v>
      </c>
      <c r="Z238"/>
      <c r="AA238">
        <v>49.8</v>
      </c>
      <c r="AB238">
        <v>54.7</v>
      </c>
      <c r="AC238">
        <v>53.7</v>
      </c>
      <c r="AD238">
        <v>46.4</v>
      </c>
    </row>
    <row r="239" spans="1:30" x14ac:dyDescent="0.2">
      <c r="A239" s="79">
        <v>41487</v>
      </c>
      <c r="B239">
        <v>46.4</v>
      </c>
      <c r="C239">
        <v>49.4</v>
      </c>
      <c r="D239">
        <v>52.1</v>
      </c>
      <c r="E239">
        <v>53.9</v>
      </c>
      <c r="F239">
        <v>60.29</v>
      </c>
      <c r="G239">
        <v>51.4</v>
      </c>
      <c r="H239">
        <v>49.7</v>
      </c>
      <c r="I239">
        <v>51.8</v>
      </c>
      <c r="J239">
        <v>48.7</v>
      </c>
      <c r="K239">
        <v>49.7</v>
      </c>
      <c r="L239">
        <v>48.5</v>
      </c>
      <c r="M239">
        <v>48.5</v>
      </c>
      <c r="N239">
        <v>52</v>
      </c>
      <c r="O239">
        <v>51.3</v>
      </c>
      <c r="P239">
        <v>52.2</v>
      </c>
      <c r="Q239">
        <v>50.8</v>
      </c>
      <c r="R239">
        <v>56.723185987861498</v>
      </c>
      <c r="S239">
        <v>51.1</v>
      </c>
      <c r="T239">
        <v>49.4</v>
      </c>
      <c r="U239"/>
      <c r="V239">
        <v>55.26</v>
      </c>
      <c r="W239">
        <v>47.5</v>
      </c>
      <c r="X239">
        <v>51.1</v>
      </c>
      <c r="Y239">
        <v>48.6</v>
      </c>
      <c r="Z239"/>
      <c r="AA239">
        <v>50.9</v>
      </c>
      <c r="AB239">
        <v>57.3</v>
      </c>
      <c r="AC239">
        <v>53.7</v>
      </c>
      <c r="AD239">
        <v>48.5</v>
      </c>
    </row>
    <row r="240" spans="1:30" x14ac:dyDescent="0.2">
      <c r="A240" s="79">
        <v>41518</v>
      </c>
      <c r="B240">
        <v>51.7</v>
      </c>
      <c r="C240">
        <v>49.9</v>
      </c>
      <c r="D240">
        <v>54.2</v>
      </c>
      <c r="E240">
        <v>53.4</v>
      </c>
      <c r="F240">
        <v>55.74</v>
      </c>
      <c r="G240">
        <v>51.1</v>
      </c>
      <c r="H240">
        <v>49.8</v>
      </c>
      <c r="I240">
        <v>51.1</v>
      </c>
      <c r="J240">
        <v>47.5</v>
      </c>
      <c r="K240">
        <v>50</v>
      </c>
      <c r="L240">
        <v>49.6</v>
      </c>
      <c r="M240">
        <v>50.2</v>
      </c>
      <c r="N240">
        <v>52.7</v>
      </c>
      <c r="O240">
        <v>50.8</v>
      </c>
      <c r="P240">
        <v>52.5</v>
      </c>
      <c r="Q240">
        <v>50</v>
      </c>
      <c r="R240">
        <v>52.7868939881118</v>
      </c>
      <c r="S240">
        <v>52.6</v>
      </c>
      <c r="T240">
        <v>49.4</v>
      </c>
      <c r="U240"/>
      <c r="V240">
        <v>49.43</v>
      </c>
      <c r="W240">
        <v>49.7</v>
      </c>
      <c r="X240">
        <v>50.7</v>
      </c>
      <c r="Y240">
        <v>50</v>
      </c>
      <c r="Z240"/>
      <c r="AA240">
        <v>54</v>
      </c>
      <c r="AB240">
        <v>56.7</v>
      </c>
      <c r="AC240">
        <v>52.8</v>
      </c>
      <c r="AD240">
        <v>51.5</v>
      </c>
    </row>
    <row r="241" spans="1:30" x14ac:dyDescent="0.2">
      <c r="A241" s="79">
        <v>41548</v>
      </c>
      <c r="B241">
        <v>53.2</v>
      </c>
      <c r="C241">
        <v>50.2</v>
      </c>
      <c r="D241">
        <v>55.6</v>
      </c>
      <c r="E241">
        <v>54.5</v>
      </c>
      <c r="F241">
        <v>55.71</v>
      </c>
      <c r="G241">
        <v>51.3</v>
      </c>
      <c r="H241">
        <v>49.1</v>
      </c>
      <c r="I241">
        <v>51.7</v>
      </c>
      <c r="J241">
        <v>47.3</v>
      </c>
      <c r="K241">
        <v>50.1</v>
      </c>
      <c r="L241">
        <v>49.6</v>
      </c>
      <c r="M241">
        <v>50.9</v>
      </c>
      <c r="N241">
        <v>54.9</v>
      </c>
      <c r="O241">
        <v>50.7</v>
      </c>
      <c r="P241">
        <v>54.2</v>
      </c>
      <c r="Q241">
        <v>50.2</v>
      </c>
      <c r="R241">
        <v>55.491851126124203</v>
      </c>
      <c r="S241">
        <v>53.4</v>
      </c>
      <c r="T241">
        <v>51.8</v>
      </c>
      <c r="U241"/>
      <c r="V241">
        <v>51.43</v>
      </c>
      <c r="W241">
        <v>50.2</v>
      </c>
      <c r="X241">
        <v>50.9</v>
      </c>
      <c r="Y241">
        <v>52</v>
      </c>
      <c r="Z241"/>
      <c r="AA241">
        <v>53.3</v>
      </c>
      <c r="AB241">
        <v>56.5</v>
      </c>
      <c r="AC241">
        <v>51.8</v>
      </c>
      <c r="AD241">
        <v>51.5</v>
      </c>
    </row>
    <row r="242" spans="1:30" x14ac:dyDescent="0.2">
      <c r="A242" s="79">
        <v>41579</v>
      </c>
      <c r="B242">
        <v>47.7</v>
      </c>
      <c r="C242">
        <v>49.7</v>
      </c>
      <c r="D242">
        <v>55.3</v>
      </c>
      <c r="E242">
        <v>55.4</v>
      </c>
      <c r="F242">
        <v>57.85</v>
      </c>
      <c r="G242">
        <v>51.6</v>
      </c>
      <c r="H242">
        <v>48.4</v>
      </c>
      <c r="I242">
        <v>52.7</v>
      </c>
      <c r="J242">
        <v>49.2</v>
      </c>
      <c r="K242">
        <v>52.1</v>
      </c>
      <c r="L242">
        <v>51.3</v>
      </c>
      <c r="M242">
        <v>50.3</v>
      </c>
      <c r="N242">
        <v>52.4</v>
      </c>
      <c r="O242">
        <v>51.4</v>
      </c>
      <c r="P242">
        <v>55.1</v>
      </c>
      <c r="Q242">
        <v>51.9</v>
      </c>
      <c r="R242">
        <v>57.389922652514898</v>
      </c>
      <c r="S242">
        <v>54.4</v>
      </c>
      <c r="T242">
        <v>49.4</v>
      </c>
      <c r="U242"/>
      <c r="V242">
        <v>52</v>
      </c>
      <c r="W242">
        <v>50.4</v>
      </c>
      <c r="X242">
        <v>48.6</v>
      </c>
      <c r="Y242">
        <v>53</v>
      </c>
      <c r="Z242"/>
      <c r="AA242">
        <v>55</v>
      </c>
      <c r="AB242">
        <v>58.1</v>
      </c>
      <c r="AC242">
        <v>54.7</v>
      </c>
      <c r="AD242">
        <v>50.3</v>
      </c>
    </row>
    <row r="243" spans="1:30" x14ac:dyDescent="0.2">
      <c r="A243" s="79">
        <v>41609</v>
      </c>
      <c r="B243">
        <v>47.6</v>
      </c>
      <c r="C243">
        <v>50.5</v>
      </c>
      <c r="D243">
        <v>53.5</v>
      </c>
      <c r="E243">
        <v>54.9</v>
      </c>
      <c r="F243">
        <v>53.45</v>
      </c>
      <c r="G243">
        <v>52.7</v>
      </c>
      <c r="H243">
        <v>47</v>
      </c>
      <c r="I243">
        <v>54.3</v>
      </c>
      <c r="J243">
        <v>49.6</v>
      </c>
      <c r="K243">
        <v>51.2</v>
      </c>
      <c r="L243">
        <v>50.7</v>
      </c>
      <c r="M243">
        <v>50.9</v>
      </c>
      <c r="N243">
        <v>53.5</v>
      </c>
      <c r="O243">
        <v>53.3</v>
      </c>
      <c r="P243">
        <v>55.2</v>
      </c>
      <c r="Q243">
        <v>52.6</v>
      </c>
      <c r="R243">
        <v>55.724521077420903</v>
      </c>
      <c r="S243">
        <v>53.2</v>
      </c>
      <c r="T243">
        <v>48.8</v>
      </c>
      <c r="U243"/>
      <c r="V243">
        <v>51</v>
      </c>
      <c r="W243">
        <v>50.8</v>
      </c>
      <c r="X243">
        <v>50.8</v>
      </c>
      <c r="Y243">
        <v>53.4</v>
      </c>
      <c r="Z243"/>
      <c r="AA243">
        <v>53.5</v>
      </c>
      <c r="AB243">
        <v>57.3</v>
      </c>
      <c r="AC243">
        <v>55</v>
      </c>
      <c r="AD243">
        <v>51.8</v>
      </c>
    </row>
    <row r="244" spans="1:30" x14ac:dyDescent="0.2">
      <c r="A244" s="79">
        <v>41640</v>
      </c>
      <c r="B244">
        <v>46.7</v>
      </c>
      <c r="C244">
        <v>51.7</v>
      </c>
      <c r="D244">
        <v>51.7</v>
      </c>
      <c r="E244">
        <v>55.9</v>
      </c>
      <c r="F244">
        <v>55.6</v>
      </c>
      <c r="G244">
        <v>54</v>
      </c>
      <c r="H244">
        <v>49.3</v>
      </c>
      <c r="I244">
        <v>56.6</v>
      </c>
      <c r="J244">
        <v>51.2</v>
      </c>
      <c r="K244">
        <v>52.7</v>
      </c>
      <c r="L244">
        <v>51.4</v>
      </c>
      <c r="M244">
        <v>51</v>
      </c>
      <c r="N244">
        <v>52.8</v>
      </c>
      <c r="O244">
        <v>53.1</v>
      </c>
      <c r="P244">
        <v>56.6</v>
      </c>
      <c r="Q244">
        <v>54</v>
      </c>
      <c r="R244">
        <v>57.197211909594103</v>
      </c>
      <c r="S244">
        <v>55.4</v>
      </c>
      <c r="T244">
        <v>48</v>
      </c>
      <c r="U244"/>
      <c r="V244">
        <v>49.96</v>
      </c>
      <c r="W244">
        <v>50.9</v>
      </c>
      <c r="X244">
        <v>52.2</v>
      </c>
      <c r="Y244">
        <v>55.5</v>
      </c>
      <c r="Z244"/>
      <c r="AA244">
        <v>52.7</v>
      </c>
      <c r="AB244">
        <v>56.7</v>
      </c>
      <c r="AC244">
        <v>53.7</v>
      </c>
      <c r="AD244">
        <v>52.1</v>
      </c>
    </row>
    <row r="245" spans="1:30" x14ac:dyDescent="0.2">
      <c r="A245" s="79">
        <v>41671</v>
      </c>
      <c r="B245">
        <v>48.6</v>
      </c>
      <c r="C245">
        <v>50.4</v>
      </c>
      <c r="D245">
        <v>52.9</v>
      </c>
      <c r="E245">
        <v>56.5</v>
      </c>
      <c r="F245">
        <v>56.77</v>
      </c>
      <c r="G245">
        <v>53.2</v>
      </c>
      <c r="H245">
        <v>49.7</v>
      </c>
      <c r="I245">
        <v>54.8</v>
      </c>
      <c r="J245">
        <v>51.3</v>
      </c>
      <c r="K245">
        <v>53.3</v>
      </c>
      <c r="L245">
        <v>52.5</v>
      </c>
      <c r="M245">
        <v>50.5</v>
      </c>
      <c r="N245">
        <v>52.9</v>
      </c>
      <c r="O245">
        <v>52.3</v>
      </c>
      <c r="P245">
        <v>55.5</v>
      </c>
      <c r="Q245">
        <v>52</v>
      </c>
      <c r="R245">
        <v>56.026127287725103</v>
      </c>
      <c r="S245">
        <v>55.9</v>
      </c>
      <c r="T245">
        <v>48.5</v>
      </c>
      <c r="U245"/>
      <c r="V245">
        <v>50.69</v>
      </c>
      <c r="W245">
        <v>49.8</v>
      </c>
      <c r="X245">
        <v>52.5</v>
      </c>
      <c r="Y245">
        <v>54.7</v>
      </c>
      <c r="Z245"/>
      <c r="AA245">
        <v>53.4</v>
      </c>
      <c r="AB245">
        <v>56.9</v>
      </c>
      <c r="AC245">
        <v>57.1</v>
      </c>
      <c r="AD245">
        <v>51</v>
      </c>
    </row>
    <row r="246" spans="1:30" x14ac:dyDescent="0.2">
      <c r="A246" s="79">
        <v>41699</v>
      </c>
      <c r="B246">
        <v>49.7</v>
      </c>
      <c r="C246">
        <v>50.6</v>
      </c>
      <c r="D246">
        <v>53.3</v>
      </c>
      <c r="E246">
        <v>55.5</v>
      </c>
      <c r="F246">
        <v>60.3</v>
      </c>
      <c r="G246">
        <v>53</v>
      </c>
      <c r="H246">
        <v>52.1</v>
      </c>
      <c r="I246">
        <v>53.7</v>
      </c>
      <c r="J246">
        <v>49.7</v>
      </c>
      <c r="K246">
        <v>49.9</v>
      </c>
      <c r="L246">
        <v>51.3</v>
      </c>
      <c r="M246">
        <v>50.1</v>
      </c>
      <c r="N246">
        <v>55.5</v>
      </c>
      <c r="O246">
        <v>52.4</v>
      </c>
      <c r="P246">
        <v>53.9</v>
      </c>
      <c r="Q246">
        <v>51.7</v>
      </c>
      <c r="R246">
        <v>57.951243871749298</v>
      </c>
      <c r="S246">
        <v>54</v>
      </c>
      <c r="T246">
        <v>48.3</v>
      </c>
      <c r="U246"/>
      <c r="V246">
        <v>50.29</v>
      </c>
      <c r="W246">
        <v>50.4</v>
      </c>
      <c r="X246">
        <v>52.8</v>
      </c>
      <c r="Y246">
        <v>52.7</v>
      </c>
      <c r="Z246"/>
      <c r="AA246">
        <v>51.7</v>
      </c>
      <c r="AB246">
        <v>55.3</v>
      </c>
      <c r="AC246">
        <v>55.5</v>
      </c>
      <c r="AD246">
        <v>51.3</v>
      </c>
    </row>
    <row r="247" spans="1:30" x14ac:dyDescent="0.2">
      <c r="A247" s="79">
        <v>41730</v>
      </c>
      <c r="B247">
        <v>44.8</v>
      </c>
      <c r="C247">
        <v>49.3</v>
      </c>
      <c r="D247">
        <v>52.9</v>
      </c>
      <c r="E247">
        <v>56.5</v>
      </c>
      <c r="F247">
        <v>60.5</v>
      </c>
      <c r="G247">
        <v>54</v>
      </c>
      <c r="H247">
        <v>51.2</v>
      </c>
      <c r="I247">
        <v>54.1</v>
      </c>
      <c r="J247">
        <v>51.1</v>
      </c>
      <c r="K247">
        <v>49.7</v>
      </c>
      <c r="L247">
        <v>51.3</v>
      </c>
      <c r="M247">
        <v>51.1</v>
      </c>
      <c r="N247">
        <v>56.1</v>
      </c>
      <c r="O247">
        <v>54</v>
      </c>
      <c r="P247">
        <v>49.4</v>
      </c>
      <c r="Q247">
        <v>51.8</v>
      </c>
      <c r="R247">
        <v>55.4325461314546</v>
      </c>
      <c r="S247">
        <v>51.1</v>
      </c>
      <c r="T247">
        <v>48.5</v>
      </c>
      <c r="U247"/>
      <c r="V247">
        <v>47.3</v>
      </c>
      <c r="W247">
        <v>50.2</v>
      </c>
      <c r="X247">
        <v>52.7</v>
      </c>
      <c r="Y247">
        <v>52.3</v>
      </c>
      <c r="Z247"/>
      <c r="AA247">
        <v>51.1</v>
      </c>
      <c r="AB247">
        <v>57.3</v>
      </c>
      <c r="AC247">
        <v>55.4</v>
      </c>
      <c r="AD247">
        <v>53.1</v>
      </c>
    </row>
    <row r="248" spans="1:30" x14ac:dyDescent="0.2">
      <c r="A248" s="79">
        <v>41760</v>
      </c>
      <c r="B248">
        <v>49.2</v>
      </c>
      <c r="C248">
        <v>48.8</v>
      </c>
      <c r="D248">
        <v>52.2</v>
      </c>
      <c r="E248">
        <v>57.3</v>
      </c>
      <c r="F248">
        <v>58.71</v>
      </c>
      <c r="G248">
        <v>52.2</v>
      </c>
      <c r="H248">
        <v>49.6</v>
      </c>
      <c r="I248">
        <v>52.3</v>
      </c>
      <c r="J248">
        <v>51</v>
      </c>
      <c r="K248">
        <v>49.1</v>
      </c>
      <c r="L248">
        <v>51.4</v>
      </c>
      <c r="M248">
        <v>52.4</v>
      </c>
      <c r="N248">
        <v>55</v>
      </c>
      <c r="O248">
        <v>53.2</v>
      </c>
      <c r="P248">
        <v>49.9</v>
      </c>
      <c r="Q248">
        <v>51.9</v>
      </c>
      <c r="R248">
        <v>53.956229398254202</v>
      </c>
      <c r="S248">
        <v>50.8</v>
      </c>
      <c r="T248">
        <v>48.9</v>
      </c>
      <c r="U248"/>
      <c r="V248">
        <v>44.41</v>
      </c>
      <c r="W248">
        <v>49.5</v>
      </c>
      <c r="X248">
        <v>52.9</v>
      </c>
      <c r="Y248">
        <v>52.4</v>
      </c>
      <c r="Z248"/>
      <c r="AA248">
        <v>50.1</v>
      </c>
      <c r="AB248">
        <v>57</v>
      </c>
      <c r="AC248">
        <v>56.4</v>
      </c>
      <c r="AD248">
        <v>52.5</v>
      </c>
    </row>
    <row r="249" spans="1:30" x14ac:dyDescent="0.2">
      <c r="A249" s="79">
        <v>41791</v>
      </c>
      <c r="B249">
        <v>48.9</v>
      </c>
      <c r="C249">
        <v>48.7</v>
      </c>
      <c r="D249">
        <v>53.5</v>
      </c>
      <c r="E249">
        <v>54.7</v>
      </c>
      <c r="F249">
        <v>51.76</v>
      </c>
      <c r="G249">
        <v>51.8</v>
      </c>
      <c r="H249">
        <v>48.2</v>
      </c>
      <c r="I249">
        <v>52</v>
      </c>
      <c r="J249">
        <v>49.4</v>
      </c>
      <c r="K249">
        <v>50.1</v>
      </c>
      <c r="L249">
        <v>51.5</v>
      </c>
      <c r="M249">
        <v>52.7</v>
      </c>
      <c r="N249">
        <v>55.3</v>
      </c>
      <c r="O249">
        <v>52.6</v>
      </c>
      <c r="P249">
        <v>51.5</v>
      </c>
      <c r="Q249">
        <v>51.8</v>
      </c>
      <c r="R249">
        <v>53.332054998804701</v>
      </c>
      <c r="S249">
        <v>50.3</v>
      </c>
      <c r="T249">
        <v>49.1</v>
      </c>
      <c r="U249"/>
      <c r="V249">
        <v>46.59</v>
      </c>
      <c r="W249">
        <v>48.4</v>
      </c>
      <c r="X249">
        <v>54.6</v>
      </c>
      <c r="Y249">
        <v>54</v>
      </c>
      <c r="Z249"/>
      <c r="AA249">
        <v>48.8</v>
      </c>
      <c r="AB249">
        <v>57.5</v>
      </c>
      <c r="AC249">
        <v>57.3</v>
      </c>
      <c r="AD249">
        <v>52.3</v>
      </c>
    </row>
    <row r="250" spans="1:30" x14ac:dyDescent="0.2">
      <c r="A250" s="79">
        <v>41821</v>
      </c>
      <c r="B250">
        <v>50.7</v>
      </c>
      <c r="C250">
        <v>49.1</v>
      </c>
      <c r="D250">
        <v>54.3</v>
      </c>
      <c r="E250">
        <v>56.463888888888903</v>
      </c>
      <c r="F250">
        <v>49.75</v>
      </c>
      <c r="G250">
        <v>51.8</v>
      </c>
      <c r="H250">
        <v>47.8</v>
      </c>
      <c r="I250">
        <v>52.4</v>
      </c>
      <c r="J250">
        <v>48.7</v>
      </c>
      <c r="K250">
        <v>50.4</v>
      </c>
      <c r="L250">
        <v>53</v>
      </c>
      <c r="M250">
        <v>52.4</v>
      </c>
      <c r="N250">
        <v>55.4</v>
      </c>
      <c r="O250">
        <v>51.9</v>
      </c>
      <c r="P250">
        <v>50.5</v>
      </c>
      <c r="Q250">
        <v>51.5</v>
      </c>
      <c r="R250">
        <v>54.753248698735099</v>
      </c>
      <c r="S250">
        <v>49.4</v>
      </c>
      <c r="T250">
        <v>51</v>
      </c>
      <c r="U250"/>
      <c r="V250">
        <v>45.45</v>
      </c>
      <c r="W250">
        <v>48.506666666666703</v>
      </c>
      <c r="X250">
        <v>53.9</v>
      </c>
      <c r="Y250">
        <v>55.8</v>
      </c>
      <c r="Z250"/>
      <c r="AA250">
        <v>48.5</v>
      </c>
      <c r="AB250">
        <v>55.4</v>
      </c>
      <c r="AC250">
        <v>55.8</v>
      </c>
      <c r="AD250">
        <v>51.7</v>
      </c>
    </row>
    <row r="251" spans="1:30" x14ac:dyDescent="0.2">
      <c r="A251" s="79">
        <v>41852</v>
      </c>
      <c r="B251">
        <v>47.3</v>
      </c>
      <c r="C251">
        <v>50.2</v>
      </c>
      <c r="D251">
        <v>54.8</v>
      </c>
      <c r="E251">
        <v>54.3</v>
      </c>
      <c r="F251">
        <v>48.13</v>
      </c>
      <c r="G251">
        <v>50.7</v>
      </c>
      <c r="H251">
        <v>46.9</v>
      </c>
      <c r="I251">
        <v>51.4</v>
      </c>
      <c r="J251">
        <v>50.1</v>
      </c>
      <c r="K251">
        <v>49.6</v>
      </c>
      <c r="L251">
        <v>52.4</v>
      </c>
      <c r="M251">
        <v>49.5</v>
      </c>
      <c r="N251">
        <v>57.3</v>
      </c>
      <c r="O251">
        <v>49.8</v>
      </c>
      <c r="P251">
        <v>52.2</v>
      </c>
      <c r="Q251">
        <v>52.1</v>
      </c>
      <c r="R251">
        <v>56.390867178830199</v>
      </c>
      <c r="S251">
        <v>49</v>
      </c>
      <c r="T251">
        <v>51</v>
      </c>
      <c r="U251"/>
      <c r="V251">
        <v>49</v>
      </c>
      <c r="W251">
        <v>50.3</v>
      </c>
      <c r="X251">
        <v>52.8</v>
      </c>
      <c r="Y251">
        <v>56.1</v>
      </c>
      <c r="Z251"/>
      <c r="AA251">
        <v>50</v>
      </c>
      <c r="AB251">
        <v>52.5</v>
      </c>
      <c r="AC251">
        <v>57.9</v>
      </c>
      <c r="AD251">
        <v>50.3</v>
      </c>
    </row>
    <row r="252" spans="1:30" x14ac:dyDescent="0.2">
      <c r="A252" s="79">
        <v>41883</v>
      </c>
      <c r="B252">
        <v>46.5</v>
      </c>
      <c r="C252">
        <v>49.3</v>
      </c>
      <c r="D252">
        <v>53.5</v>
      </c>
      <c r="E252">
        <v>55.6</v>
      </c>
      <c r="F252">
        <v>51.33</v>
      </c>
      <c r="G252">
        <v>50.3</v>
      </c>
      <c r="H252">
        <v>48.8</v>
      </c>
      <c r="I252">
        <v>49.9</v>
      </c>
      <c r="J252">
        <v>48.4</v>
      </c>
      <c r="K252">
        <v>49.8</v>
      </c>
      <c r="L252">
        <v>51</v>
      </c>
      <c r="M252">
        <v>50.7</v>
      </c>
      <c r="N252">
        <v>55.7</v>
      </c>
      <c r="O252">
        <v>50.7</v>
      </c>
      <c r="P252">
        <v>51.7</v>
      </c>
      <c r="Q252">
        <v>52.6</v>
      </c>
      <c r="R252">
        <v>57.298541725858399</v>
      </c>
      <c r="S252">
        <v>49.5</v>
      </c>
      <c r="T252">
        <v>50.4</v>
      </c>
      <c r="U252"/>
      <c r="V252">
        <v>50.35</v>
      </c>
      <c r="W252">
        <v>48.8</v>
      </c>
      <c r="X252">
        <v>52.6</v>
      </c>
      <c r="Y252">
        <v>53.3</v>
      </c>
      <c r="Z252"/>
      <c r="AA252">
        <v>50.4</v>
      </c>
      <c r="AB252">
        <v>51.6</v>
      </c>
      <c r="AC252">
        <v>57.5</v>
      </c>
      <c r="AD252">
        <v>51.7</v>
      </c>
    </row>
    <row r="253" spans="1:30" x14ac:dyDescent="0.2">
      <c r="A253" s="79">
        <v>41913</v>
      </c>
      <c r="B253">
        <v>49.42</v>
      </c>
      <c r="C253">
        <v>49.1</v>
      </c>
      <c r="D253">
        <v>55.3</v>
      </c>
      <c r="E253">
        <v>54.4</v>
      </c>
      <c r="F253">
        <v>54.04</v>
      </c>
      <c r="G253">
        <v>50.6</v>
      </c>
      <c r="H253">
        <v>48.5</v>
      </c>
      <c r="I253">
        <v>51.4</v>
      </c>
      <c r="J253">
        <v>48.8</v>
      </c>
      <c r="K253">
        <v>47.7</v>
      </c>
      <c r="L253">
        <v>51.6</v>
      </c>
      <c r="M253">
        <v>49.2</v>
      </c>
      <c r="N253">
        <v>56.6</v>
      </c>
      <c r="O253">
        <v>49</v>
      </c>
      <c r="P253">
        <v>52.4</v>
      </c>
      <c r="Q253">
        <v>53.3</v>
      </c>
      <c r="R253">
        <v>58.5179627874654</v>
      </c>
      <c r="S253">
        <v>51.2</v>
      </c>
      <c r="T253">
        <v>50.3</v>
      </c>
      <c r="U253"/>
      <c r="V253">
        <v>50.13</v>
      </c>
      <c r="W253">
        <v>48.7</v>
      </c>
      <c r="X253">
        <v>52.6</v>
      </c>
      <c r="Y253">
        <v>52</v>
      </c>
      <c r="Z253"/>
      <c r="AA253">
        <v>51.5</v>
      </c>
      <c r="AB253">
        <v>53.2</v>
      </c>
      <c r="AC253">
        <v>55.9</v>
      </c>
      <c r="AD253">
        <v>51</v>
      </c>
    </row>
    <row r="254" spans="1:30" x14ac:dyDescent="0.2">
      <c r="A254" s="79">
        <v>41944</v>
      </c>
      <c r="B254">
        <v>50.1</v>
      </c>
      <c r="C254">
        <v>48.7</v>
      </c>
      <c r="D254">
        <v>55.3</v>
      </c>
      <c r="E254">
        <v>55.6</v>
      </c>
      <c r="F254">
        <v>51.5</v>
      </c>
      <c r="G254">
        <v>50.1</v>
      </c>
      <c r="H254">
        <v>48.4</v>
      </c>
      <c r="I254">
        <v>49.5</v>
      </c>
      <c r="J254">
        <v>49.1</v>
      </c>
      <c r="K254">
        <v>48.8</v>
      </c>
      <c r="L254">
        <v>53.3</v>
      </c>
      <c r="M254">
        <v>48</v>
      </c>
      <c r="N254">
        <v>56.2</v>
      </c>
      <c r="O254">
        <v>49</v>
      </c>
      <c r="P254">
        <v>52</v>
      </c>
      <c r="Q254">
        <v>54.3</v>
      </c>
      <c r="R254">
        <v>54.617724905754102</v>
      </c>
      <c r="S254">
        <v>53.2</v>
      </c>
      <c r="T254">
        <v>51.7</v>
      </c>
      <c r="U254"/>
      <c r="V254">
        <v>53.12</v>
      </c>
      <c r="W254">
        <v>49</v>
      </c>
      <c r="X254">
        <v>54.7</v>
      </c>
      <c r="Y254">
        <v>51.4</v>
      </c>
      <c r="Z254"/>
      <c r="AA254">
        <v>52.2</v>
      </c>
      <c r="AB254">
        <v>53.5</v>
      </c>
      <c r="AC254">
        <v>54.8</v>
      </c>
      <c r="AD254">
        <v>52.7</v>
      </c>
    </row>
    <row r="255" spans="1:30" x14ac:dyDescent="0.2">
      <c r="A255" s="79">
        <v>41974</v>
      </c>
      <c r="B255">
        <v>46.9</v>
      </c>
      <c r="C255">
        <v>50.2</v>
      </c>
      <c r="D255">
        <v>53.9</v>
      </c>
      <c r="E255">
        <v>53.3</v>
      </c>
      <c r="F255">
        <v>53.85</v>
      </c>
      <c r="G255">
        <v>50.6</v>
      </c>
      <c r="H255">
        <v>47.5</v>
      </c>
      <c r="I255">
        <v>51.2</v>
      </c>
      <c r="J255">
        <v>49.4</v>
      </c>
      <c r="K255">
        <v>50.3</v>
      </c>
      <c r="L255">
        <v>54.5</v>
      </c>
      <c r="M255">
        <v>47.6</v>
      </c>
      <c r="N255">
        <v>56.9</v>
      </c>
      <c r="O255">
        <v>48.4</v>
      </c>
      <c r="P255">
        <v>52</v>
      </c>
      <c r="Q255">
        <v>55.3</v>
      </c>
      <c r="R255">
        <v>56.651751484174397</v>
      </c>
      <c r="S255">
        <v>52.8</v>
      </c>
      <c r="T255">
        <v>48.9</v>
      </c>
      <c r="U255"/>
      <c r="V255">
        <v>51.1</v>
      </c>
      <c r="W255">
        <v>49.9</v>
      </c>
      <c r="X255">
        <v>53.8</v>
      </c>
      <c r="Y255">
        <v>50</v>
      </c>
      <c r="Z255"/>
      <c r="AA255">
        <v>51.4</v>
      </c>
      <c r="AB255">
        <v>52.5</v>
      </c>
      <c r="AC255">
        <v>53.9</v>
      </c>
      <c r="AD255">
        <v>51.5</v>
      </c>
    </row>
    <row r="256" spans="1:30" x14ac:dyDescent="0.2">
      <c r="A256" s="79">
        <v>42005</v>
      </c>
      <c r="B256">
        <v>49</v>
      </c>
      <c r="C256">
        <v>50.7</v>
      </c>
      <c r="D256">
        <v>51</v>
      </c>
      <c r="E256">
        <v>56.1</v>
      </c>
      <c r="F256">
        <v>55.25</v>
      </c>
      <c r="G256">
        <v>51</v>
      </c>
      <c r="H256">
        <v>49.2</v>
      </c>
      <c r="I256">
        <v>50.9</v>
      </c>
      <c r="J256">
        <v>48.3</v>
      </c>
      <c r="K256">
        <v>49.4</v>
      </c>
      <c r="L256">
        <v>52.9</v>
      </c>
      <c r="M256">
        <v>48.5</v>
      </c>
      <c r="N256">
        <v>55.1</v>
      </c>
      <c r="O256">
        <v>49.9</v>
      </c>
      <c r="P256">
        <v>52.2</v>
      </c>
      <c r="Q256">
        <v>55.6</v>
      </c>
      <c r="R256">
        <v>51.560748726156199</v>
      </c>
      <c r="S256">
        <v>55.2</v>
      </c>
      <c r="T256">
        <v>47.6</v>
      </c>
      <c r="U256"/>
      <c r="V256">
        <v>53.24</v>
      </c>
      <c r="W256">
        <v>51.1</v>
      </c>
      <c r="X256">
        <v>54.7</v>
      </c>
      <c r="Y256">
        <v>51.7</v>
      </c>
      <c r="Z256"/>
      <c r="AA256">
        <v>49.8</v>
      </c>
      <c r="AB256">
        <v>53</v>
      </c>
      <c r="AC256">
        <v>53.7</v>
      </c>
      <c r="AD256">
        <v>51.5</v>
      </c>
    </row>
    <row r="257" spans="1:30" x14ac:dyDescent="0.2">
      <c r="A257" s="79">
        <v>42036</v>
      </c>
      <c r="B257">
        <v>45.4</v>
      </c>
      <c r="C257">
        <v>49.6</v>
      </c>
      <c r="D257">
        <v>48.7</v>
      </c>
      <c r="E257">
        <v>55.6</v>
      </c>
      <c r="F257">
        <v>57.96</v>
      </c>
      <c r="G257">
        <v>51</v>
      </c>
      <c r="H257">
        <v>47.6</v>
      </c>
      <c r="I257">
        <v>51.1</v>
      </c>
      <c r="J257">
        <v>48.4</v>
      </c>
      <c r="K257">
        <v>50.7</v>
      </c>
      <c r="L257">
        <v>51.2</v>
      </c>
      <c r="M257">
        <v>47.5</v>
      </c>
      <c r="N257">
        <v>57.5</v>
      </c>
      <c r="O257">
        <v>51.9</v>
      </c>
      <c r="P257">
        <v>51.6</v>
      </c>
      <c r="Q257">
        <v>54.4</v>
      </c>
      <c r="R257">
        <v>56.685992642344303</v>
      </c>
      <c r="S257">
        <v>55.1</v>
      </c>
      <c r="T257">
        <v>49.7</v>
      </c>
      <c r="U257"/>
      <c r="V257">
        <v>47.66</v>
      </c>
      <c r="W257">
        <v>51.1</v>
      </c>
      <c r="X257">
        <v>54.2</v>
      </c>
      <c r="Y257">
        <v>52.1</v>
      </c>
      <c r="Z257"/>
      <c r="AA257">
        <v>49.6</v>
      </c>
      <c r="AB257">
        <v>54.1</v>
      </c>
      <c r="AC257">
        <v>54.3</v>
      </c>
      <c r="AD257">
        <v>51.7</v>
      </c>
    </row>
    <row r="258" spans="1:30" x14ac:dyDescent="0.2">
      <c r="A258" s="79">
        <v>42064</v>
      </c>
      <c r="B258">
        <v>46.3</v>
      </c>
      <c r="C258">
        <v>46.2</v>
      </c>
      <c r="D258">
        <v>48.9</v>
      </c>
      <c r="E258">
        <v>56.1</v>
      </c>
      <c r="F258">
        <v>58.54</v>
      </c>
      <c r="G258">
        <v>52.2</v>
      </c>
      <c r="H258">
        <v>48.8</v>
      </c>
      <c r="I258">
        <v>52.8</v>
      </c>
      <c r="J258">
        <v>48.9</v>
      </c>
      <c r="K258">
        <v>49.6</v>
      </c>
      <c r="L258">
        <v>52.1</v>
      </c>
      <c r="M258">
        <v>46.4</v>
      </c>
      <c r="N258">
        <v>56.8</v>
      </c>
      <c r="O258">
        <v>53.3</v>
      </c>
      <c r="P258">
        <v>50.3</v>
      </c>
      <c r="Q258">
        <v>53.8</v>
      </c>
      <c r="R258">
        <v>54.7822942728314</v>
      </c>
      <c r="S258">
        <v>54.8</v>
      </c>
      <c r="T258">
        <v>48.1</v>
      </c>
      <c r="U258"/>
      <c r="V258">
        <v>47.88</v>
      </c>
      <c r="W258">
        <v>49.2</v>
      </c>
      <c r="X258">
        <v>54.3</v>
      </c>
      <c r="Y258">
        <v>51</v>
      </c>
      <c r="Z258"/>
      <c r="AA258">
        <v>48</v>
      </c>
      <c r="AB258">
        <v>54.4</v>
      </c>
      <c r="AC258">
        <v>55.3</v>
      </c>
      <c r="AD258">
        <v>50.7</v>
      </c>
    </row>
    <row r="259" spans="1:30" x14ac:dyDescent="0.2">
      <c r="A259" s="79">
        <v>42095</v>
      </c>
      <c r="B259">
        <v>48</v>
      </c>
      <c r="C259">
        <v>46</v>
      </c>
      <c r="D259">
        <v>49</v>
      </c>
      <c r="E259">
        <v>54.7</v>
      </c>
      <c r="F259">
        <v>53.3</v>
      </c>
      <c r="G259">
        <v>52</v>
      </c>
      <c r="H259">
        <v>48</v>
      </c>
      <c r="I259">
        <v>52.1</v>
      </c>
      <c r="J259">
        <v>46.5</v>
      </c>
      <c r="K259">
        <v>48.6</v>
      </c>
      <c r="L259">
        <v>51.3</v>
      </c>
      <c r="M259">
        <v>46.7</v>
      </c>
      <c r="N259">
        <v>55.8</v>
      </c>
      <c r="O259">
        <v>53.8</v>
      </c>
      <c r="P259">
        <v>49.9</v>
      </c>
      <c r="Q259">
        <v>53.8</v>
      </c>
      <c r="R259">
        <v>52.337448703873399</v>
      </c>
      <c r="S259">
        <v>54</v>
      </c>
      <c r="T259">
        <v>48.9</v>
      </c>
      <c r="U259">
        <v>60.1</v>
      </c>
      <c r="V259">
        <v>44.92</v>
      </c>
      <c r="W259">
        <v>48.8</v>
      </c>
      <c r="X259">
        <v>54.2</v>
      </c>
      <c r="Y259">
        <v>49.2</v>
      </c>
      <c r="Z259"/>
      <c r="AA259">
        <v>48.5</v>
      </c>
      <c r="AB259">
        <v>51.9</v>
      </c>
      <c r="AC259">
        <v>54.1</v>
      </c>
      <c r="AD259">
        <v>53.5</v>
      </c>
    </row>
    <row r="260" spans="1:30" x14ac:dyDescent="0.2">
      <c r="A260" s="79">
        <v>42125</v>
      </c>
      <c r="B260">
        <v>52.29</v>
      </c>
      <c r="C260">
        <v>45.9</v>
      </c>
      <c r="D260">
        <v>49.8</v>
      </c>
      <c r="E260">
        <v>55.5</v>
      </c>
      <c r="F260">
        <v>52.73</v>
      </c>
      <c r="G260">
        <v>52.2</v>
      </c>
      <c r="H260">
        <v>49.4</v>
      </c>
      <c r="I260">
        <v>51.1</v>
      </c>
      <c r="J260">
        <v>48</v>
      </c>
      <c r="K260">
        <v>47.6</v>
      </c>
      <c r="L260">
        <v>52.6</v>
      </c>
      <c r="M260">
        <v>47.1</v>
      </c>
      <c r="N260">
        <v>57.1</v>
      </c>
      <c r="O260">
        <v>54.8</v>
      </c>
      <c r="P260">
        <v>50.9</v>
      </c>
      <c r="Q260">
        <v>53.3</v>
      </c>
      <c r="R260">
        <v>51.445669244171299</v>
      </c>
      <c r="S260">
        <v>52.4</v>
      </c>
      <c r="T260">
        <v>47.6</v>
      </c>
      <c r="U260">
        <v>57</v>
      </c>
      <c r="V260">
        <v>50.52</v>
      </c>
      <c r="W260">
        <v>47.8</v>
      </c>
      <c r="X260">
        <v>55.8</v>
      </c>
      <c r="Y260">
        <v>49.3</v>
      </c>
      <c r="Z260"/>
      <c r="AA260">
        <v>50.2</v>
      </c>
      <c r="AB260">
        <v>52.2</v>
      </c>
      <c r="AC260">
        <v>53.8</v>
      </c>
      <c r="AD260">
        <v>54.8</v>
      </c>
    </row>
    <row r="261" spans="1:30" x14ac:dyDescent="0.2">
      <c r="A261" s="79">
        <v>42156</v>
      </c>
      <c r="B261">
        <v>44.2</v>
      </c>
      <c r="C261">
        <v>46.5</v>
      </c>
      <c r="D261">
        <v>51.3</v>
      </c>
      <c r="E261">
        <v>56.9</v>
      </c>
      <c r="F261">
        <v>54.46</v>
      </c>
      <c r="G261">
        <v>52.5</v>
      </c>
      <c r="H261">
        <v>50.7</v>
      </c>
      <c r="I261">
        <v>51.9</v>
      </c>
      <c r="J261">
        <v>46.9</v>
      </c>
      <c r="K261">
        <v>49.2</v>
      </c>
      <c r="L261">
        <v>51.3</v>
      </c>
      <c r="M261">
        <v>47.8</v>
      </c>
      <c r="N261">
        <v>54.6</v>
      </c>
      <c r="O261">
        <v>54.1</v>
      </c>
      <c r="P261">
        <v>50.1</v>
      </c>
      <c r="Q261">
        <v>52</v>
      </c>
      <c r="R261">
        <v>55.1807836368314</v>
      </c>
      <c r="S261">
        <v>54.3</v>
      </c>
      <c r="T261">
        <v>48.7</v>
      </c>
      <c r="U261">
        <v>56.1</v>
      </c>
      <c r="V261">
        <v>50.31</v>
      </c>
      <c r="W261">
        <v>46.1</v>
      </c>
      <c r="X261">
        <v>54.5</v>
      </c>
      <c r="Y261">
        <v>46.3</v>
      </c>
      <c r="Z261"/>
      <c r="AA261">
        <v>49</v>
      </c>
      <c r="AB261">
        <v>51.9</v>
      </c>
      <c r="AC261">
        <v>53.6</v>
      </c>
      <c r="AD261">
        <v>52.2</v>
      </c>
    </row>
    <row r="262" spans="1:30" x14ac:dyDescent="0.2">
      <c r="A262" s="79">
        <v>42186</v>
      </c>
      <c r="B262">
        <v>50.4</v>
      </c>
      <c r="C262">
        <v>47.2</v>
      </c>
      <c r="D262">
        <v>50.8</v>
      </c>
      <c r="E262">
        <v>57.5</v>
      </c>
      <c r="F262">
        <v>52.31</v>
      </c>
      <c r="G262">
        <v>52.4</v>
      </c>
      <c r="H262">
        <v>49.6</v>
      </c>
      <c r="I262">
        <v>51.8</v>
      </c>
      <c r="J262">
        <v>30.2</v>
      </c>
      <c r="K262">
        <v>48.2</v>
      </c>
      <c r="L262">
        <v>52.7</v>
      </c>
      <c r="M262">
        <v>47.3</v>
      </c>
      <c r="N262">
        <v>56.7</v>
      </c>
      <c r="O262">
        <v>55.3</v>
      </c>
      <c r="P262">
        <v>51.2</v>
      </c>
      <c r="Q262">
        <v>52.9</v>
      </c>
      <c r="R262">
        <v>54.381444828161598</v>
      </c>
      <c r="S262">
        <v>54.5</v>
      </c>
      <c r="T262">
        <v>48.3</v>
      </c>
      <c r="U262">
        <v>57.7</v>
      </c>
      <c r="V262">
        <v>50.25</v>
      </c>
      <c r="W262">
        <v>47.6</v>
      </c>
      <c r="X262">
        <v>53.6</v>
      </c>
      <c r="Y262">
        <v>47.1</v>
      </c>
      <c r="Z262"/>
      <c r="AA262">
        <v>50.1</v>
      </c>
      <c r="AB262">
        <v>52.5</v>
      </c>
      <c r="AC262">
        <v>53.8</v>
      </c>
      <c r="AD262">
        <v>52.6</v>
      </c>
    </row>
    <row r="263" spans="1:30" x14ac:dyDescent="0.2">
      <c r="A263" s="79">
        <v>42217</v>
      </c>
      <c r="B263">
        <v>51.7</v>
      </c>
      <c r="C263">
        <v>45.8</v>
      </c>
      <c r="D263">
        <v>49.4</v>
      </c>
      <c r="E263">
        <v>56.6</v>
      </c>
      <c r="F263">
        <v>62.51</v>
      </c>
      <c r="G263">
        <v>52.3</v>
      </c>
      <c r="H263">
        <v>48.3</v>
      </c>
      <c r="I263">
        <v>53.3</v>
      </c>
      <c r="J263">
        <v>39.1</v>
      </c>
      <c r="K263">
        <v>44.4</v>
      </c>
      <c r="L263">
        <v>52.3</v>
      </c>
      <c r="M263">
        <v>48.4</v>
      </c>
      <c r="N263">
        <v>53.6</v>
      </c>
      <c r="O263">
        <v>53.8</v>
      </c>
      <c r="P263">
        <v>51.7</v>
      </c>
      <c r="Q263">
        <v>52.4</v>
      </c>
      <c r="R263">
        <v>54.870796907468197</v>
      </c>
      <c r="S263">
        <v>51.1</v>
      </c>
      <c r="T263">
        <v>47.9</v>
      </c>
      <c r="U263">
        <v>58.7</v>
      </c>
      <c r="V263">
        <v>50.52</v>
      </c>
      <c r="W263">
        <v>47.9</v>
      </c>
      <c r="X263">
        <v>53.2</v>
      </c>
      <c r="Y263">
        <v>46.1</v>
      </c>
      <c r="Z263"/>
      <c r="AA263">
        <v>49.3</v>
      </c>
      <c r="AB263">
        <v>51.6</v>
      </c>
      <c r="AC263">
        <v>53</v>
      </c>
      <c r="AD263">
        <v>51.3</v>
      </c>
    </row>
    <row r="264" spans="1:30" x14ac:dyDescent="0.2">
      <c r="A264" s="79">
        <v>42248</v>
      </c>
      <c r="B264">
        <v>52.1</v>
      </c>
      <c r="C264">
        <v>47</v>
      </c>
      <c r="D264">
        <v>48.6</v>
      </c>
      <c r="E264">
        <v>55.5</v>
      </c>
      <c r="F264">
        <v>69.37</v>
      </c>
      <c r="G264">
        <v>52</v>
      </c>
      <c r="H264">
        <v>50.6</v>
      </c>
      <c r="I264">
        <v>52.3</v>
      </c>
      <c r="J264">
        <v>43.3</v>
      </c>
      <c r="K264">
        <v>45.7</v>
      </c>
      <c r="L264">
        <v>51.2</v>
      </c>
      <c r="M264">
        <v>47.4</v>
      </c>
      <c r="N264">
        <v>53.8</v>
      </c>
      <c r="O264">
        <v>52.7</v>
      </c>
      <c r="P264">
        <v>51</v>
      </c>
      <c r="Q264">
        <v>52.1</v>
      </c>
      <c r="R264">
        <v>54.096709865768197</v>
      </c>
      <c r="S264">
        <v>50.9</v>
      </c>
      <c r="T264">
        <v>49.1</v>
      </c>
      <c r="U264">
        <v>56.5</v>
      </c>
      <c r="V264">
        <v>50.14</v>
      </c>
      <c r="W264">
        <v>49.2</v>
      </c>
      <c r="X264">
        <v>51.7</v>
      </c>
      <c r="Y264">
        <v>46.9</v>
      </c>
      <c r="Z264"/>
      <c r="AA264">
        <v>48.8</v>
      </c>
      <c r="AB264">
        <v>51.6</v>
      </c>
      <c r="AC264">
        <v>53.1</v>
      </c>
      <c r="AD264">
        <v>49.5</v>
      </c>
    </row>
    <row r="265" spans="1:30" x14ac:dyDescent="0.2">
      <c r="A265" s="79">
        <v>42278</v>
      </c>
      <c r="B265">
        <v>50.2</v>
      </c>
      <c r="C265">
        <v>44.1</v>
      </c>
      <c r="D265">
        <v>48</v>
      </c>
      <c r="E265">
        <v>54</v>
      </c>
      <c r="F265">
        <v>55.62</v>
      </c>
      <c r="G265">
        <v>52.3</v>
      </c>
      <c r="H265">
        <v>50.6</v>
      </c>
      <c r="I265">
        <v>52.1</v>
      </c>
      <c r="J265">
        <v>47.3</v>
      </c>
      <c r="K265">
        <v>46.6</v>
      </c>
      <c r="L265">
        <v>50.7</v>
      </c>
      <c r="M265">
        <v>47.8</v>
      </c>
      <c r="N265">
        <v>53.6</v>
      </c>
      <c r="O265">
        <v>54.1</v>
      </c>
      <c r="P265">
        <v>52.4</v>
      </c>
      <c r="Q265">
        <v>53</v>
      </c>
      <c r="R265">
        <v>53.140695996963103</v>
      </c>
      <c r="S265">
        <v>52.2</v>
      </c>
      <c r="T265">
        <v>50.2</v>
      </c>
      <c r="U265">
        <v>55.7</v>
      </c>
      <c r="V265">
        <v>48.74</v>
      </c>
      <c r="W265">
        <v>49.1</v>
      </c>
      <c r="X265">
        <v>51.3</v>
      </c>
      <c r="Y265">
        <v>47.8</v>
      </c>
      <c r="Z265"/>
      <c r="AA265">
        <v>49.5</v>
      </c>
      <c r="AB265">
        <v>54.3</v>
      </c>
      <c r="AC265">
        <v>54.1</v>
      </c>
      <c r="AD265">
        <v>50.1</v>
      </c>
    </row>
    <row r="266" spans="1:30" x14ac:dyDescent="0.2">
      <c r="A266" s="79">
        <v>42309</v>
      </c>
      <c r="B266">
        <v>52.5</v>
      </c>
      <c r="C266">
        <v>43.8</v>
      </c>
      <c r="D266">
        <v>48.6</v>
      </c>
      <c r="E266">
        <v>54.2</v>
      </c>
      <c r="F266">
        <v>61.47</v>
      </c>
      <c r="G266">
        <v>52.8</v>
      </c>
      <c r="H266">
        <v>50.6</v>
      </c>
      <c r="I266">
        <v>52.9</v>
      </c>
      <c r="J266">
        <v>48.1</v>
      </c>
      <c r="K266">
        <v>46.6</v>
      </c>
      <c r="L266">
        <v>50.3</v>
      </c>
      <c r="M266">
        <v>46.9</v>
      </c>
      <c r="N266">
        <v>53.3</v>
      </c>
      <c r="O266">
        <v>54.9</v>
      </c>
      <c r="P266">
        <v>52.6</v>
      </c>
      <c r="Q266">
        <v>53</v>
      </c>
      <c r="R266">
        <v>55.032635885992697</v>
      </c>
      <c r="S266">
        <v>52.1</v>
      </c>
      <c r="T266">
        <v>50.1</v>
      </c>
      <c r="U266">
        <v>56.3</v>
      </c>
      <c r="V266">
        <v>44.73</v>
      </c>
      <c r="W266">
        <v>49.1</v>
      </c>
      <c r="X266">
        <v>53.1</v>
      </c>
      <c r="Y266">
        <v>49.5</v>
      </c>
      <c r="Z266"/>
      <c r="AA266">
        <v>50.9</v>
      </c>
      <c r="AB266">
        <v>52.3</v>
      </c>
      <c r="AC266">
        <v>52.8</v>
      </c>
      <c r="AD266">
        <v>49.4</v>
      </c>
    </row>
    <row r="267" spans="1:30" x14ac:dyDescent="0.2">
      <c r="A267" s="79">
        <v>42339</v>
      </c>
      <c r="B267">
        <v>51.9</v>
      </c>
      <c r="C267">
        <v>45.6</v>
      </c>
      <c r="D267">
        <v>47.5</v>
      </c>
      <c r="E267">
        <v>55.6</v>
      </c>
      <c r="F267">
        <v>54.76</v>
      </c>
      <c r="G267">
        <v>53.2</v>
      </c>
      <c r="H267">
        <v>51.4</v>
      </c>
      <c r="I267">
        <v>53.2</v>
      </c>
      <c r="J267">
        <v>50.2</v>
      </c>
      <c r="K267">
        <v>46.4</v>
      </c>
      <c r="L267">
        <v>49.1</v>
      </c>
      <c r="M267">
        <v>47.8</v>
      </c>
      <c r="N267">
        <v>54.2</v>
      </c>
      <c r="O267">
        <v>55.6</v>
      </c>
      <c r="P267">
        <v>52.6</v>
      </c>
      <c r="Q267">
        <v>52.4</v>
      </c>
      <c r="R267">
        <v>56.985602727074799</v>
      </c>
      <c r="S267">
        <v>52.1</v>
      </c>
      <c r="T267">
        <v>48.7</v>
      </c>
      <c r="U267">
        <v>54.4</v>
      </c>
      <c r="V267">
        <v>47.2</v>
      </c>
      <c r="W267">
        <v>50.7</v>
      </c>
      <c r="X267">
        <v>53</v>
      </c>
      <c r="Y267">
        <v>51.7</v>
      </c>
      <c r="Z267"/>
      <c r="AA267">
        <v>52.2</v>
      </c>
      <c r="AB267">
        <v>51</v>
      </c>
      <c r="AC267">
        <v>51.2</v>
      </c>
      <c r="AD267">
        <v>51.3</v>
      </c>
    </row>
    <row r="268" spans="1:30" x14ac:dyDescent="0.2">
      <c r="A268" s="79">
        <v>42370</v>
      </c>
      <c r="B268">
        <v>51.5</v>
      </c>
      <c r="C268">
        <v>47.4</v>
      </c>
      <c r="D268">
        <v>49.3</v>
      </c>
      <c r="E268">
        <v>56.9</v>
      </c>
      <c r="F268">
        <v>54.46</v>
      </c>
      <c r="G268">
        <v>52.3</v>
      </c>
      <c r="H268">
        <v>50</v>
      </c>
      <c r="I268">
        <v>52.3</v>
      </c>
      <c r="J268">
        <v>50</v>
      </c>
      <c r="K268">
        <v>46.1</v>
      </c>
      <c r="L268">
        <v>51.1</v>
      </c>
      <c r="M268">
        <v>48.9</v>
      </c>
      <c r="N268">
        <v>54.3</v>
      </c>
      <c r="O268">
        <v>53.2</v>
      </c>
      <c r="P268">
        <v>52.3</v>
      </c>
      <c r="Q268">
        <v>52.2</v>
      </c>
      <c r="R268">
        <v>59.789243036004997</v>
      </c>
      <c r="S268">
        <v>50.9</v>
      </c>
      <c r="T268">
        <v>49.8</v>
      </c>
      <c r="U268">
        <v>53.9</v>
      </c>
      <c r="V268">
        <v>43.27</v>
      </c>
      <c r="W268">
        <v>49.5</v>
      </c>
      <c r="X268">
        <v>55.4</v>
      </c>
      <c r="Y268">
        <v>50.6</v>
      </c>
      <c r="Z268"/>
      <c r="AA268">
        <v>50.9</v>
      </c>
      <c r="AB268">
        <v>52.2</v>
      </c>
      <c r="AC268">
        <v>52.4</v>
      </c>
      <c r="AD268">
        <v>51.5</v>
      </c>
    </row>
    <row r="269" spans="1:30" x14ac:dyDescent="0.2">
      <c r="A269" s="79">
        <v>42401</v>
      </c>
      <c r="B269">
        <v>53.5</v>
      </c>
      <c r="C269">
        <v>44.5</v>
      </c>
      <c r="D269">
        <v>49.4</v>
      </c>
      <c r="E269">
        <v>55.5</v>
      </c>
      <c r="F269">
        <v>50.93</v>
      </c>
      <c r="G269">
        <v>51.2</v>
      </c>
      <c r="H269">
        <v>50.2</v>
      </c>
      <c r="I269">
        <v>50.5</v>
      </c>
      <c r="J269">
        <v>48.4</v>
      </c>
      <c r="K269">
        <v>46.4</v>
      </c>
      <c r="L269">
        <v>51.1</v>
      </c>
      <c r="M269">
        <v>48.7</v>
      </c>
      <c r="N269">
        <v>52.9</v>
      </c>
      <c r="O269">
        <v>52.2</v>
      </c>
      <c r="P269">
        <v>50.1</v>
      </c>
      <c r="Q269">
        <v>53.1</v>
      </c>
      <c r="R269">
        <v>56.078910394119397</v>
      </c>
      <c r="S269">
        <v>52.8</v>
      </c>
      <c r="T269">
        <v>49.3</v>
      </c>
      <c r="U269">
        <v>54.4</v>
      </c>
      <c r="V269">
        <v>46.84</v>
      </c>
      <c r="W269">
        <v>48.7</v>
      </c>
      <c r="X269">
        <v>54.1</v>
      </c>
      <c r="Y269">
        <v>49.4</v>
      </c>
      <c r="Z269"/>
      <c r="AA269">
        <v>50.3</v>
      </c>
      <c r="AB269">
        <v>50.8</v>
      </c>
      <c r="AC269">
        <v>51.3</v>
      </c>
      <c r="AD269">
        <v>50.3</v>
      </c>
    </row>
    <row r="270" spans="1:30" x14ac:dyDescent="0.2">
      <c r="A270" s="79">
        <v>42430</v>
      </c>
      <c r="B270">
        <v>58.1</v>
      </c>
      <c r="C270">
        <v>46</v>
      </c>
      <c r="D270">
        <v>51.5</v>
      </c>
      <c r="E270">
        <v>54.3</v>
      </c>
      <c r="F270">
        <v>55.11</v>
      </c>
      <c r="G270">
        <v>51.6</v>
      </c>
      <c r="H270">
        <v>49.6</v>
      </c>
      <c r="I270">
        <v>50.7</v>
      </c>
      <c r="J270">
        <v>49</v>
      </c>
      <c r="K270">
        <v>45.5</v>
      </c>
      <c r="L270">
        <v>52.4</v>
      </c>
      <c r="M270">
        <v>50.6</v>
      </c>
      <c r="N270">
        <v>54.9</v>
      </c>
      <c r="O270">
        <v>53.5</v>
      </c>
      <c r="P270">
        <v>49.1</v>
      </c>
      <c r="Q270">
        <v>53.2</v>
      </c>
      <c r="R270">
        <v>54.178654064476802</v>
      </c>
      <c r="S270">
        <v>53.8</v>
      </c>
      <c r="T270">
        <v>48.3</v>
      </c>
      <c r="U270">
        <v>54.5</v>
      </c>
      <c r="V270">
        <v>49.54</v>
      </c>
      <c r="W270">
        <v>49.5</v>
      </c>
      <c r="X270">
        <v>53.4</v>
      </c>
      <c r="Y270">
        <v>51.1</v>
      </c>
      <c r="Z270"/>
      <c r="AA270">
        <v>49.2</v>
      </c>
      <c r="AB270">
        <v>51.1</v>
      </c>
      <c r="AC270">
        <v>51.5</v>
      </c>
      <c r="AD270">
        <v>50.7</v>
      </c>
    </row>
    <row r="271" spans="1:30" x14ac:dyDescent="0.2">
      <c r="A271" s="79">
        <v>42461</v>
      </c>
      <c r="B271">
        <v>53.4</v>
      </c>
      <c r="C271">
        <v>42.6</v>
      </c>
      <c r="D271">
        <v>52.2</v>
      </c>
      <c r="E271">
        <v>53.6</v>
      </c>
      <c r="F271">
        <v>63.28</v>
      </c>
      <c r="G271">
        <v>51.7</v>
      </c>
      <c r="H271">
        <v>48</v>
      </c>
      <c r="I271">
        <v>51.8</v>
      </c>
      <c r="J271">
        <v>49.7</v>
      </c>
      <c r="K271">
        <v>45.3</v>
      </c>
      <c r="L271">
        <v>50.5</v>
      </c>
      <c r="M271">
        <v>50.9</v>
      </c>
      <c r="N271">
        <v>52.6</v>
      </c>
      <c r="O271">
        <v>53.9</v>
      </c>
      <c r="P271">
        <v>48.2</v>
      </c>
      <c r="Q271">
        <v>52.4</v>
      </c>
      <c r="R271">
        <v>56.546320970312202</v>
      </c>
      <c r="S271">
        <v>51</v>
      </c>
      <c r="T271">
        <v>48</v>
      </c>
      <c r="U271">
        <v>54.2</v>
      </c>
      <c r="V271">
        <v>53.33</v>
      </c>
      <c r="W271">
        <v>50</v>
      </c>
      <c r="X271">
        <v>53.5</v>
      </c>
      <c r="Y271">
        <v>49.7</v>
      </c>
      <c r="Z271"/>
      <c r="AA271">
        <v>48.9</v>
      </c>
      <c r="AB271">
        <v>50</v>
      </c>
      <c r="AC271">
        <v>50.8</v>
      </c>
      <c r="AD271">
        <v>52.3</v>
      </c>
    </row>
    <row r="272" spans="1:30" x14ac:dyDescent="0.2">
      <c r="A272" s="79">
        <v>42491</v>
      </c>
      <c r="B272">
        <v>51</v>
      </c>
      <c r="C272">
        <v>41.6</v>
      </c>
      <c r="D272">
        <v>52.1</v>
      </c>
      <c r="E272">
        <v>53.3</v>
      </c>
      <c r="F272">
        <v>61.65</v>
      </c>
      <c r="G272">
        <v>51.5</v>
      </c>
      <c r="H272">
        <v>48.4</v>
      </c>
      <c r="I272">
        <v>52.1</v>
      </c>
      <c r="J272">
        <v>48.4</v>
      </c>
      <c r="K272">
        <v>47.2</v>
      </c>
      <c r="L272">
        <v>50.7</v>
      </c>
      <c r="M272">
        <v>50.6</v>
      </c>
      <c r="N272">
        <v>51.5</v>
      </c>
      <c r="O272">
        <v>52.4</v>
      </c>
      <c r="P272">
        <v>47.7</v>
      </c>
      <c r="Q272">
        <v>53.6</v>
      </c>
      <c r="R272">
        <v>56.327478347796301</v>
      </c>
      <c r="S272">
        <v>52.1</v>
      </c>
      <c r="T272">
        <v>49.6</v>
      </c>
      <c r="U272">
        <v>54.8</v>
      </c>
      <c r="V272">
        <v>50.72</v>
      </c>
      <c r="W272">
        <v>50.1</v>
      </c>
      <c r="X272">
        <v>51.8</v>
      </c>
      <c r="Y272">
        <v>48.5</v>
      </c>
      <c r="Z272"/>
      <c r="AA272">
        <v>49.4</v>
      </c>
      <c r="AB272">
        <v>50.7</v>
      </c>
      <c r="AC272">
        <v>50.7</v>
      </c>
      <c r="AD272">
        <v>52.7</v>
      </c>
    </row>
    <row r="273" spans="1:30" x14ac:dyDescent="0.2">
      <c r="A273" s="79">
        <v>42522</v>
      </c>
      <c r="B273">
        <v>51.8</v>
      </c>
      <c r="C273">
        <v>43.2</v>
      </c>
      <c r="D273">
        <v>51.8</v>
      </c>
      <c r="E273">
        <v>51.8</v>
      </c>
      <c r="F273">
        <v>59.75</v>
      </c>
      <c r="G273">
        <v>52.8</v>
      </c>
      <c r="H273">
        <v>48.3</v>
      </c>
      <c r="I273">
        <v>54.5</v>
      </c>
      <c r="J273">
        <v>50.4</v>
      </c>
      <c r="K273">
        <v>45.4</v>
      </c>
      <c r="L273">
        <v>51.7</v>
      </c>
      <c r="M273">
        <v>51.9</v>
      </c>
      <c r="N273">
        <v>53</v>
      </c>
      <c r="O273">
        <v>53.5</v>
      </c>
      <c r="P273">
        <v>48.1</v>
      </c>
      <c r="Q273">
        <v>51.1</v>
      </c>
      <c r="R273">
        <v>57.559793008442902</v>
      </c>
      <c r="S273">
        <v>51.8</v>
      </c>
      <c r="T273">
        <v>51.5</v>
      </c>
      <c r="U273">
        <v>54.4</v>
      </c>
      <c r="V273">
        <v>52.14</v>
      </c>
      <c r="W273">
        <v>50.5</v>
      </c>
      <c r="X273">
        <v>52.2</v>
      </c>
      <c r="Y273">
        <v>50.5</v>
      </c>
      <c r="Z273"/>
      <c r="AA273">
        <v>47.4</v>
      </c>
      <c r="AB273">
        <v>53.2</v>
      </c>
      <c r="AC273">
        <v>51.3</v>
      </c>
      <c r="AD273">
        <v>52.6</v>
      </c>
    </row>
    <row r="274" spans="1:30" x14ac:dyDescent="0.2">
      <c r="A274" s="79">
        <v>42552</v>
      </c>
      <c r="B274">
        <v>56.4</v>
      </c>
      <c r="C274">
        <v>46</v>
      </c>
      <c r="D274">
        <v>51.9</v>
      </c>
      <c r="E274">
        <v>49.3</v>
      </c>
      <c r="F274">
        <v>59.53</v>
      </c>
      <c r="G274">
        <v>52</v>
      </c>
      <c r="H274">
        <v>48.6</v>
      </c>
      <c r="I274">
        <v>53.8</v>
      </c>
      <c r="J274">
        <v>48.7</v>
      </c>
      <c r="K274">
        <v>47.2</v>
      </c>
      <c r="L274">
        <v>51.8</v>
      </c>
      <c r="M274">
        <v>48.4</v>
      </c>
      <c r="N274">
        <v>50.2</v>
      </c>
      <c r="O274">
        <v>51.2</v>
      </c>
      <c r="P274">
        <v>49.3</v>
      </c>
      <c r="Q274">
        <v>50.6</v>
      </c>
      <c r="R274">
        <v>55.949978197804803</v>
      </c>
      <c r="S274">
        <v>50.3</v>
      </c>
      <c r="T274">
        <v>49.5</v>
      </c>
      <c r="U274">
        <v>56</v>
      </c>
      <c r="V274">
        <v>51.25</v>
      </c>
      <c r="W274">
        <v>50.1</v>
      </c>
      <c r="X274">
        <v>51</v>
      </c>
      <c r="Y274">
        <v>51</v>
      </c>
      <c r="Z274">
        <v>49.3</v>
      </c>
      <c r="AA274">
        <v>47.6</v>
      </c>
      <c r="AB274">
        <v>48.5</v>
      </c>
      <c r="AC274">
        <v>52.9</v>
      </c>
      <c r="AD274">
        <v>51.9</v>
      </c>
    </row>
    <row r="275" spans="1:30" x14ac:dyDescent="0.2">
      <c r="A275" s="79">
        <v>42583</v>
      </c>
      <c r="B275">
        <v>46.9</v>
      </c>
      <c r="C275">
        <v>45.7</v>
      </c>
      <c r="D275">
        <v>51.1</v>
      </c>
      <c r="E275">
        <v>50.1</v>
      </c>
      <c r="F275">
        <v>53.62</v>
      </c>
      <c r="G275">
        <v>51.7</v>
      </c>
      <c r="H275">
        <v>48.3</v>
      </c>
      <c r="I275">
        <v>53.6</v>
      </c>
      <c r="J275">
        <v>50.4</v>
      </c>
      <c r="K275">
        <v>49</v>
      </c>
      <c r="L275">
        <v>52.6</v>
      </c>
      <c r="M275">
        <v>50.4</v>
      </c>
      <c r="N275">
        <v>51.7</v>
      </c>
      <c r="O275">
        <v>49.8</v>
      </c>
      <c r="P275">
        <v>49.5</v>
      </c>
      <c r="Q275">
        <v>50.9</v>
      </c>
      <c r="R275">
        <v>54.647059284907002</v>
      </c>
      <c r="S275">
        <v>51.5</v>
      </c>
      <c r="T275">
        <v>50.8</v>
      </c>
      <c r="U275">
        <v>56.6</v>
      </c>
      <c r="V275">
        <v>47.94</v>
      </c>
      <c r="W275">
        <v>48.6</v>
      </c>
      <c r="X275">
        <v>51</v>
      </c>
      <c r="Y275">
        <v>51.8</v>
      </c>
      <c r="Z275">
        <v>49.8</v>
      </c>
      <c r="AA275">
        <v>47</v>
      </c>
      <c r="AB275">
        <v>53.2</v>
      </c>
      <c r="AC275">
        <v>52</v>
      </c>
      <c r="AD275">
        <v>52.2</v>
      </c>
    </row>
    <row r="276" spans="1:30" x14ac:dyDescent="0.2">
      <c r="A276" s="79">
        <v>42614</v>
      </c>
      <c r="B276">
        <v>49.8</v>
      </c>
      <c r="C276">
        <v>46</v>
      </c>
      <c r="D276">
        <v>50.3</v>
      </c>
      <c r="E276">
        <v>52</v>
      </c>
      <c r="F276">
        <v>58.98</v>
      </c>
      <c r="G276">
        <v>52.6</v>
      </c>
      <c r="H276">
        <v>49.7</v>
      </c>
      <c r="I276">
        <v>54.3</v>
      </c>
      <c r="J276">
        <v>49.2</v>
      </c>
      <c r="K276">
        <v>49.3</v>
      </c>
      <c r="L276">
        <v>52.1</v>
      </c>
      <c r="M276">
        <v>50.9</v>
      </c>
      <c r="N276">
        <v>51.3</v>
      </c>
      <c r="O276">
        <v>51</v>
      </c>
      <c r="P276">
        <v>50.4</v>
      </c>
      <c r="Q276">
        <v>51.9</v>
      </c>
      <c r="R276">
        <v>57.200032269804097</v>
      </c>
      <c r="S276">
        <v>52.2</v>
      </c>
      <c r="T276">
        <v>51.1</v>
      </c>
      <c r="U276">
        <v>55.3</v>
      </c>
      <c r="V276">
        <v>49.85</v>
      </c>
      <c r="W276">
        <v>47.6</v>
      </c>
      <c r="X276">
        <v>52.3</v>
      </c>
      <c r="Y276">
        <v>52.2</v>
      </c>
      <c r="Z276">
        <v>48.8</v>
      </c>
      <c r="AA276">
        <v>48.3</v>
      </c>
      <c r="AB276">
        <v>55.6</v>
      </c>
      <c r="AC276">
        <v>51.5</v>
      </c>
      <c r="AD276">
        <v>52.9</v>
      </c>
    </row>
    <row r="277" spans="1:30" x14ac:dyDescent="0.2">
      <c r="A277" s="79">
        <v>42644</v>
      </c>
      <c r="B277">
        <v>50.9</v>
      </c>
      <c r="C277">
        <v>46.3</v>
      </c>
      <c r="D277">
        <v>51.1</v>
      </c>
      <c r="E277">
        <v>53.3</v>
      </c>
      <c r="F277">
        <v>57.31</v>
      </c>
      <c r="G277">
        <v>53.5</v>
      </c>
      <c r="H277">
        <v>51.8</v>
      </c>
      <c r="I277">
        <v>55</v>
      </c>
      <c r="J277">
        <v>48.6</v>
      </c>
      <c r="K277">
        <v>48.2</v>
      </c>
      <c r="L277">
        <v>54.4</v>
      </c>
      <c r="M277">
        <v>48.7</v>
      </c>
      <c r="N277">
        <v>52.1</v>
      </c>
      <c r="O277">
        <v>50.9</v>
      </c>
      <c r="P277">
        <v>51.4</v>
      </c>
      <c r="Q277">
        <v>51.8</v>
      </c>
      <c r="R277">
        <v>54.770169462479103</v>
      </c>
      <c r="S277">
        <v>50.2</v>
      </c>
      <c r="T277">
        <v>52.4</v>
      </c>
      <c r="U277">
        <v>53.2</v>
      </c>
      <c r="V277">
        <v>46.47</v>
      </c>
      <c r="W277">
        <v>48</v>
      </c>
      <c r="X277">
        <v>53.3</v>
      </c>
      <c r="Y277">
        <v>52.7</v>
      </c>
      <c r="Z277">
        <v>48.8</v>
      </c>
      <c r="AA277">
        <v>49.8</v>
      </c>
      <c r="AB277">
        <v>53.8</v>
      </c>
      <c r="AC277">
        <v>53.4</v>
      </c>
      <c r="AD277">
        <v>51.7</v>
      </c>
    </row>
    <row r="278" spans="1:30" x14ac:dyDescent="0.2">
      <c r="A278" s="79">
        <v>42675</v>
      </c>
      <c r="B278">
        <v>54.2</v>
      </c>
      <c r="C278">
        <v>46.2</v>
      </c>
      <c r="D278">
        <v>51.5</v>
      </c>
      <c r="E278">
        <v>52.2</v>
      </c>
      <c r="F278">
        <v>57.22</v>
      </c>
      <c r="G278">
        <v>53.7</v>
      </c>
      <c r="H278">
        <v>51.7</v>
      </c>
      <c r="I278">
        <v>54.3</v>
      </c>
      <c r="J278">
        <v>48.3</v>
      </c>
      <c r="K278">
        <v>49.5</v>
      </c>
      <c r="L278">
        <v>52.3</v>
      </c>
      <c r="M278">
        <v>49.7</v>
      </c>
      <c r="N278">
        <v>53.7</v>
      </c>
      <c r="O278">
        <v>52.2</v>
      </c>
      <c r="P278">
        <v>51.3</v>
      </c>
      <c r="Q278">
        <v>51.1</v>
      </c>
      <c r="R278">
        <v>54.294699659706197</v>
      </c>
      <c r="S278">
        <v>51.9</v>
      </c>
      <c r="T278">
        <v>53.6</v>
      </c>
      <c r="U278">
        <v>55</v>
      </c>
      <c r="V278">
        <v>49.22</v>
      </c>
      <c r="W278">
        <v>48</v>
      </c>
      <c r="X278">
        <v>54.5</v>
      </c>
      <c r="Y278">
        <v>54.7</v>
      </c>
      <c r="Z278">
        <v>48.2</v>
      </c>
      <c r="AA278">
        <v>48.8</v>
      </c>
      <c r="AB278">
        <v>53.2</v>
      </c>
      <c r="AC278">
        <v>54.1</v>
      </c>
      <c r="AD278">
        <v>54</v>
      </c>
    </row>
    <row r="279" spans="1:30" x14ac:dyDescent="0.2">
      <c r="A279" s="79">
        <v>42705</v>
      </c>
      <c r="B279">
        <v>55.4</v>
      </c>
      <c r="C279">
        <v>45.2</v>
      </c>
      <c r="D279">
        <v>51.8</v>
      </c>
      <c r="E279">
        <v>53.8</v>
      </c>
      <c r="F279">
        <v>62.52</v>
      </c>
      <c r="G279">
        <v>54.9</v>
      </c>
      <c r="H279">
        <v>53.5</v>
      </c>
      <c r="I279">
        <v>55.6</v>
      </c>
      <c r="J279">
        <v>49.3</v>
      </c>
      <c r="K279">
        <v>50.3</v>
      </c>
      <c r="L279">
        <v>49.6</v>
      </c>
      <c r="M279">
        <v>49</v>
      </c>
      <c r="N279">
        <v>55.7</v>
      </c>
      <c r="O279">
        <v>53.2</v>
      </c>
      <c r="P279">
        <v>52.4</v>
      </c>
      <c r="Q279">
        <v>50.2</v>
      </c>
      <c r="R279">
        <v>54.632850303643103</v>
      </c>
      <c r="S279">
        <v>54.3</v>
      </c>
      <c r="T279">
        <v>53.7</v>
      </c>
      <c r="U279">
        <v>55.5</v>
      </c>
      <c r="V279">
        <v>48.56</v>
      </c>
      <c r="W279">
        <v>49.4</v>
      </c>
      <c r="X279">
        <v>55.3</v>
      </c>
      <c r="Y279">
        <v>56.2</v>
      </c>
      <c r="Z279">
        <v>50.6</v>
      </c>
      <c r="AA279">
        <v>47.7</v>
      </c>
      <c r="AB279">
        <v>55.6</v>
      </c>
      <c r="AC279">
        <v>54.3</v>
      </c>
      <c r="AD279">
        <v>52.4</v>
      </c>
    </row>
    <row r="280" spans="1:30" x14ac:dyDescent="0.2">
      <c r="A280" s="79">
        <v>42736</v>
      </c>
      <c r="B280">
        <v>51.2</v>
      </c>
      <c r="C280">
        <v>44</v>
      </c>
      <c r="D280">
        <v>53.5</v>
      </c>
      <c r="E280">
        <v>55.7</v>
      </c>
      <c r="F280">
        <v>57.57</v>
      </c>
      <c r="G280">
        <v>55.2</v>
      </c>
      <c r="H280">
        <v>53.6</v>
      </c>
      <c r="I280">
        <v>56.4</v>
      </c>
      <c r="J280">
        <v>46.6</v>
      </c>
      <c r="K280">
        <v>49.9</v>
      </c>
      <c r="L280">
        <v>50.4</v>
      </c>
      <c r="M280">
        <v>50.4</v>
      </c>
      <c r="N280">
        <v>55.5</v>
      </c>
      <c r="O280">
        <v>53</v>
      </c>
      <c r="P280">
        <v>52.7</v>
      </c>
      <c r="Q280">
        <v>50.8</v>
      </c>
      <c r="R280">
        <v>53.201234556972999</v>
      </c>
      <c r="S280">
        <v>54.8</v>
      </c>
      <c r="T280">
        <v>54.7</v>
      </c>
      <c r="U280">
        <v>56.7</v>
      </c>
      <c r="V280">
        <v>50.08</v>
      </c>
      <c r="W280">
        <v>49</v>
      </c>
      <c r="X280">
        <v>55.6</v>
      </c>
      <c r="Y280">
        <v>55.6</v>
      </c>
      <c r="Z280">
        <v>50.6</v>
      </c>
      <c r="AA280">
        <v>48.7</v>
      </c>
      <c r="AB280">
        <v>55.2</v>
      </c>
      <c r="AC280">
        <v>55</v>
      </c>
      <c r="AD280">
        <v>51.9</v>
      </c>
    </row>
    <row r="281" spans="1:30" x14ac:dyDescent="0.2">
      <c r="A281" s="79">
        <v>42767</v>
      </c>
      <c r="B281">
        <v>59.3</v>
      </c>
      <c r="C281">
        <v>46.9</v>
      </c>
      <c r="D281">
        <v>54.7</v>
      </c>
      <c r="E281">
        <v>57.6</v>
      </c>
      <c r="F281">
        <v>56.51</v>
      </c>
      <c r="G281">
        <v>55.4</v>
      </c>
      <c r="H281">
        <v>52.2</v>
      </c>
      <c r="I281">
        <v>56.8</v>
      </c>
      <c r="J281">
        <v>47.7</v>
      </c>
      <c r="K281">
        <v>49.6</v>
      </c>
      <c r="L281">
        <v>50.7</v>
      </c>
      <c r="M281">
        <v>49.3</v>
      </c>
      <c r="N281">
        <v>53.8</v>
      </c>
      <c r="O281">
        <v>55</v>
      </c>
      <c r="P281">
        <v>53.3</v>
      </c>
      <c r="Q281">
        <v>50.6</v>
      </c>
      <c r="R281">
        <v>56.052093803738103</v>
      </c>
      <c r="S281">
        <v>54.2</v>
      </c>
      <c r="T281">
        <v>52.5</v>
      </c>
      <c r="U281">
        <v>57</v>
      </c>
      <c r="V281">
        <v>51.22</v>
      </c>
      <c r="W281">
        <v>49.2</v>
      </c>
      <c r="X281">
        <v>54.8</v>
      </c>
      <c r="Y281">
        <v>54.5</v>
      </c>
      <c r="Z281">
        <v>50.6</v>
      </c>
      <c r="AA281">
        <v>49.7</v>
      </c>
      <c r="AB281">
        <v>54.5</v>
      </c>
      <c r="AC281">
        <v>54.2</v>
      </c>
      <c r="AD281">
        <v>54.2</v>
      </c>
    </row>
    <row r="282" spans="1:30" x14ac:dyDescent="0.2">
      <c r="A282" s="79">
        <v>42795</v>
      </c>
      <c r="B282">
        <v>57.5</v>
      </c>
      <c r="C282">
        <v>49.6</v>
      </c>
      <c r="D282">
        <v>55.5</v>
      </c>
      <c r="E282">
        <v>57.5</v>
      </c>
      <c r="F282">
        <v>56.62</v>
      </c>
      <c r="G282">
        <v>56.2</v>
      </c>
      <c r="H282">
        <v>53.3</v>
      </c>
      <c r="I282">
        <v>58.3</v>
      </c>
      <c r="J282">
        <v>46.7</v>
      </c>
      <c r="K282">
        <v>49.9</v>
      </c>
      <c r="L282">
        <v>52.5</v>
      </c>
      <c r="M282">
        <v>50.5</v>
      </c>
      <c r="N282">
        <v>53.6</v>
      </c>
      <c r="O282">
        <v>55.7</v>
      </c>
      <c r="P282">
        <v>52.4</v>
      </c>
      <c r="Q282">
        <v>51.5</v>
      </c>
      <c r="R282">
        <v>58.722829092940202</v>
      </c>
      <c r="S282">
        <v>53.5</v>
      </c>
      <c r="T282">
        <v>52.4</v>
      </c>
      <c r="U282">
        <v>56.4</v>
      </c>
      <c r="V282">
        <v>50.81</v>
      </c>
      <c r="W282">
        <v>48.4</v>
      </c>
      <c r="X282">
        <v>53.9</v>
      </c>
      <c r="Y282">
        <v>56.2</v>
      </c>
      <c r="Z282">
        <v>50.2</v>
      </c>
      <c r="AA282">
        <v>52.3</v>
      </c>
      <c r="AB282">
        <v>54.1</v>
      </c>
      <c r="AC282">
        <v>53.3</v>
      </c>
      <c r="AD282">
        <v>54.6</v>
      </c>
    </row>
    <row r="283" spans="1:30" x14ac:dyDescent="0.2">
      <c r="A283" s="79">
        <v>42826</v>
      </c>
      <c r="B283">
        <v>59.2</v>
      </c>
      <c r="C283">
        <v>50.1</v>
      </c>
      <c r="D283">
        <v>55.9</v>
      </c>
      <c r="E283">
        <v>57.5</v>
      </c>
      <c r="F283">
        <v>49.11</v>
      </c>
      <c r="G283">
        <v>56.7</v>
      </c>
      <c r="H283">
        <v>55.1</v>
      </c>
      <c r="I283">
        <v>58.2</v>
      </c>
      <c r="J283">
        <v>48.2</v>
      </c>
      <c r="K283">
        <v>51.1</v>
      </c>
      <c r="L283">
        <v>52.5</v>
      </c>
      <c r="M283">
        <v>51.2</v>
      </c>
      <c r="N283">
        <v>55</v>
      </c>
      <c r="O283">
        <v>56.2</v>
      </c>
      <c r="P283">
        <v>52.7</v>
      </c>
      <c r="Q283">
        <v>50.7</v>
      </c>
      <c r="R283">
        <v>56.591209988029298</v>
      </c>
      <c r="S283">
        <v>54.1</v>
      </c>
      <c r="T283">
        <v>50.8</v>
      </c>
      <c r="U283">
        <v>56.5</v>
      </c>
      <c r="V283">
        <v>43.53</v>
      </c>
      <c r="W283">
        <v>49.4</v>
      </c>
      <c r="X283">
        <v>54.5</v>
      </c>
      <c r="Y283">
        <v>54.4</v>
      </c>
      <c r="Z283">
        <v>49.8</v>
      </c>
      <c r="AA283">
        <v>51.7</v>
      </c>
      <c r="AB283">
        <v>57.8</v>
      </c>
      <c r="AC283">
        <v>52.8</v>
      </c>
      <c r="AD283">
        <v>54.1</v>
      </c>
    </row>
    <row r="284" spans="1:30" x14ac:dyDescent="0.2">
      <c r="A284" s="79">
        <v>42856</v>
      </c>
      <c r="B284">
        <v>54.8</v>
      </c>
      <c r="C284">
        <v>52</v>
      </c>
      <c r="D284">
        <v>55.1</v>
      </c>
      <c r="E284">
        <v>56.4</v>
      </c>
      <c r="F284">
        <v>57.99</v>
      </c>
      <c r="G284">
        <v>57</v>
      </c>
      <c r="H284">
        <v>53.8</v>
      </c>
      <c r="I284">
        <v>59.5</v>
      </c>
      <c r="J284">
        <v>49.6</v>
      </c>
      <c r="K284">
        <v>50.5</v>
      </c>
      <c r="L284">
        <v>51.6</v>
      </c>
      <c r="M284">
        <v>50.6</v>
      </c>
      <c r="N284">
        <v>55.9</v>
      </c>
      <c r="O284">
        <v>55.1</v>
      </c>
      <c r="P284">
        <v>53.1</v>
      </c>
      <c r="Q284">
        <v>51.2</v>
      </c>
      <c r="R284">
        <v>57.6796522807713</v>
      </c>
      <c r="S284">
        <v>52.7</v>
      </c>
      <c r="T284">
        <v>52.4</v>
      </c>
      <c r="U284">
        <v>55.3</v>
      </c>
      <c r="V284">
        <v>50.11</v>
      </c>
      <c r="W284">
        <v>49.2</v>
      </c>
      <c r="X284">
        <v>55.4</v>
      </c>
      <c r="Y284">
        <v>53.1</v>
      </c>
      <c r="Z284">
        <v>49.7</v>
      </c>
      <c r="AA284">
        <v>53.5</v>
      </c>
      <c r="AB284">
        <v>56.6</v>
      </c>
      <c r="AC284">
        <v>52.7</v>
      </c>
      <c r="AD284">
        <v>51.6</v>
      </c>
    </row>
    <row r="285" spans="1:30" x14ac:dyDescent="0.2">
      <c r="A285" s="79">
        <v>42887</v>
      </c>
      <c r="B285">
        <v>55</v>
      </c>
      <c r="C285">
        <v>50.5</v>
      </c>
      <c r="D285">
        <v>54.7</v>
      </c>
      <c r="E285">
        <v>56.4</v>
      </c>
      <c r="F285">
        <v>63.61</v>
      </c>
      <c r="G285">
        <v>57.4</v>
      </c>
      <c r="H285">
        <v>54.8</v>
      </c>
      <c r="I285">
        <v>59.6</v>
      </c>
      <c r="J285">
        <v>50.5</v>
      </c>
      <c r="K285">
        <v>51.1</v>
      </c>
      <c r="L285">
        <v>50.9</v>
      </c>
      <c r="M285">
        <v>49.5</v>
      </c>
      <c r="N285">
        <v>56</v>
      </c>
      <c r="O285">
        <v>55.2</v>
      </c>
      <c r="P285">
        <v>52.4</v>
      </c>
      <c r="Q285">
        <v>52.3</v>
      </c>
      <c r="R285">
        <v>55.908061806319601</v>
      </c>
      <c r="S285">
        <v>53.1</v>
      </c>
      <c r="T285">
        <v>50.3</v>
      </c>
      <c r="U285">
        <v>54.3</v>
      </c>
      <c r="V285">
        <v>45.98</v>
      </c>
      <c r="W285">
        <v>50.1</v>
      </c>
      <c r="X285">
        <v>54.7</v>
      </c>
      <c r="Y285">
        <v>53.3</v>
      </c>
      <c r="Z285">
        <v>50.4</v>
      </c>
      <c r="AA285">
        <v>54.7</v>
      </c>
      <c r="AB285">
        <v>54.4</v>
      </c>
      <c r="AC285">
        <v>52</v>
      </c>
      <c r="AD285">
        <v>52.5</v>
      </c>
    </row>
    <row r="286" spans="1:30" x14ac:dyDescent="0.2">
      <c r="A286" s="79">
        <v>42917</v>
      </c>
      <c r="B286">
        <v>56</v>
      </c>
      <c r="C286">
        <v>50</v>
      </c>
      <c r="D286">
        <v>55.5</v>
      </c>
      <c r="E286">
        <v>55.3</v>
      </c>
      <c r="F286">
        <v>63.72</v>
      </c>
      <c r="G286">
        <v>56.6</v>
      </c>
      <c r="H286">
        <v>54.9</v>
      </c>
      <c r="I286">
        <v>58.1</v>
      </c>
      <c r="J286">
        <v>50.5</v>
      </c>
      <c r="K286">
        <v>51.3</v>
      </c>
      <c r="L286">
        <v>47.9</v>
      </c>
      <c r="M286">
        <v>48.6</v>
      </c>
      <c r="N286">
        <v>54.6</v>
      </c>
      <c r="O286">
        <v>55.1</v>
      </c>
      <c r="P286">
        <v>52.1</v>
      </c>
      <c r="Q286">
        <v>51.2</v>
      </c>
      <c r="R286">
        <v>55.831645577076003</v>
      </c>
      <c r="S286">
        <v>52.3</v>
      </c>
      <c r="T286">
        <v>52.7</v>
      </c>
      <c r="U286">
        <v>55.7</v>
      </c>
      <c r="V286">
        <v>42.1</v>
      </c>
      <c r="W286">
        <v>49.1</v>
      </c>
      <c r="X286">
        <v>54</v>
      </c>
      <c r="Y286">
        <v>53.6</v>
      </c>
      <c r="Z286">
        <v>49.6</v>
      </c>
      <c r="AA286">
        <v>53.6</v>
      </c>
      <c r="AB286">
        <v>55.3</v>
      </c>
      <c r="AC286">
        <v>53.3</v>
      </c>
      <c r="AD286">
        <v>51.7</v>
      </c>
    </row>
    <row r="287" spans="1:30" x14ac:dyDescent="0.2">
      <c r="A287" s="79">
        <v>42948</v>
      </c>
      <c r="B287">
        <v>59.8</v>
      </c>
      <c r="C287">
        <v>50.9</v>
      </c>
      <c r="D287">
        <v>54.6</v>
      </c>
      <c r="E287">
        <v>54.9</v>
      </c>
      <c r="F287">
        <v>60.57</v>
      </c>
      <c r="G287">
        <v>57.4</v>
      </c>
      <c r="H287">
        <v>55.8</v>
      </c>
      <c r="I287">
        <v>59.3</v>
      </c>
      <c r="J287">
        <v>52.2</v>
      </c>
      <c r="K287">
        <v>49.7</v>
      </c>
      <c r="L287">
        <v>51.2</v>
      </c>
      <c r="M287">
        <v>50.7</v>
      </c>
      <c r="N287">
        <v>56.1</v>
      </c>
      <c r="O287">
        <v>56.3</v>
      </c>
      <c r="P287">
        <v>52.2</v>
      </c>
      <c r="Q287">
        <v>52.2</v>
      </c>
      <c r="R287">
        <v>57.887533658349597</v>
      </c>
      <c r="S287">
        <v>52.5</v>
      </c>
      <c r="T287">
        <v>51.6</v>
      </c>
      <c r="U287">
        <v>55.8</v>
      </c>
      <c r="V287">
        <v>46.1</v>
      </c>
      <c r="W287">
        <v>49.9</v>
      </c>
      <c r="X287">
        <v>52.4</v>
      </c>
      <c r="Y287">
        <v>54.3</v>
      </c>
      <c r="Z287">
        <v>49.5</v>
      </c>
      <c r="AA287">
        <v>55.3</v>
      </c>
      <c r="AB287">
        <v>56.8</v>
      </c>
      <c r="AC287">
        <v>52.8</v>
      </c>
      <c r="AD287">
        <v>51.8</v>
      </c>
    </row>
    <row r="288" spans="1:30" x14ac:dyDescent="0.2">
      <c r="A288" s="79">
        <v>42979</v>
      </c>
      <c r="B288">
        <v>54.2</v>
      </c>
      <c r="C288">
        <v>50.9</v>
      </c>
      <c r="D288">
        <v>55</v>
      </c>
      <c r="E288">
        <v>56.6</v>
      </c>
      <c r="F288">
        <v>61.78</v>
      </c>
      <c r="G288">
        <v>58.1</v>
      </c>
      <c r="H288">
        <v>56.1</v>
      </c>
      <c r="I288">
        <v>60.6</v>
      </c>
      <c r="J288">
        <v>52.8</v>
      </c>
      <c r="K288">
        <v>51.2</v>
      </c>
      <c r="L288">
        <v>51.2</v>
      </c>
      <c r="M288">
        <v>50.4</v>
      </c>
      <c r="N288">
        <v>55.4</v>
      </c>
      <c r="O288">
        <v>56.3</v>
      </c>
      <c r="P288">
        <v>52.9</v>
      </c>
      <c r="Q288">
        <v>52.8</v>
      </c>
      <c r="R288">
        <v>57.5865651905984</v>
      </c>
      <c r="S288">
        <v>53.7</v>
      </c>
      <c r="T288">
        <v>51.9</v>
      </c>
      <c r="U288">
        <v>55.5</v>
      </c>
      <c r="V288">
        <v>46.4</v>
      </c>
      <c r="W288">
        <v>50.6</v>
      </c>
      <c r="X288">
        <v>54.3</v>
      </c>
      <c r="Y288">
        <v>54.2</v>
      </c>
      <c r="Z288">
        <v>50.3</v>
      </c>
      <c r="AA288">
        <v>53.5</v>
      </c>
      <c r="AB288">
        <v>56</v>
      </c>
      <c r="AC288">
        <v>53.1</v>
      </c>
      <c r="AD288">
        <v>53.3</v>
      </c>
    </row>
    <row r="289" spans="1:30" x14ac:dyDescent="0.2">
      <c r="A289" s="79">
        <v>43009</v>
      </c>
      <c r="B289">
        <v>51.1</v>
      </c>
      <c r="C289">
        <v>51.2</v>
      </c>
      <c r="D289">
        <v>54.3</v>
      </c>
      <c r="E289">
        <v>58.5</v>
      </c>
      <c r="F289">
        <v>58.57</v>
      </c>
      <c r="G289">
        <v>58.5</v>
      </c>
      <c r="H289">
        <v>56.1</v>
      </c>
      <c r="I289">
        <v>60.6</v>
      </c>
      <c r="J289">
        <v>52.1</v>
      </c>
      <c r="K289">
        <v>50.3</v>
      </c>
      <c r="L289">
        <v>50.3</v>
      </c>
      <c r="M289">
        <v>50.1</v>
      </c>
      <c r="N289">
        <v>54.4</v>
      </c>
      <c r="O289">
        <v>57.8</v>
      </c>
      <c r="P289">
        <v>52.8</v>
      </c>
      <c r="Q289">
        <v>49.2</v>
      </c>
      <c r="R289">
        <v>56.831431477817098</v>
      </c>
      <c r="S289">
        <v>53.4</v>
      </c>
      <c r="T289">
        <v>51.1</v>
      </c>
      <c r="U289">
        <v>55.6</v>
      </c>
      <c r="V289">
        <v>48.4</v>
      </c>
      <c r="W289">
        <v>50.2</v>
      </c>
      <c r="X289">
        <v>55.8</v>
      </c>
      <c r="Y289">
        <v>53.6</v>
      </c>
      <c r="Z289">
        <v>49.8</v>
      </c>
      <c r="AA289">
        <v>52.8</v>
      </c>
      <c r="AB289">
        <v>56.2</v>
      </c>
      <c r="AC289">
        <v>54.6</v>
      </c>
      <c r="AD289">
        <v>51.6</v>
      </c>
    </row>
    <row r="290" spans="1:30" x14ac:dyDescent="0.2">
      <c r="A290" s="79">
        <v>43040</v>
      </c>
      <c r="B290">
        <v>57.3</v>
      </c>
      <c r="C290">
        <v>53.5</v>
      </c>
      <c r="D290">
        <v>54.4</v>
      </c>
      <c r="E290">
        <v>58.7</v>
      </c>
      <c r="F290">
        <v>58.31</v>
      </c>
      <c r="G290">
        <v>60.1</v>
      </c>
      <c r="H290">
        <v>57.7</v>
      </c>
      <c r="I290">
        <v>62.5</v>
      </c>
      <c r="J290">
        <v>52.2</v>
      </c>
      <c r="K290">
        <v>50.7</v>
      </c>
      <c r="L290">
        <v>52.6</v>
      </c>
      <c r="M290">
        <v>50.4</v>
      </c>
      <c r="N290">
        <v>58.1</v>
      </c>
      <c r="O290">
        <v>58.3</v>
      </c>
      <c r="P290">
        <v>53.6</v>
      </c>
      <c r="Q290">
        <v>52.4</v>
      </c>
      <c r="R290">
        <v>57.427575830614998</v>
      </c>
      <c r="S290">
        <v>54.2</v>
      </c>
      <c r="T290">
        <v>51.5</v>
      </c>
      <c r="U290">
        <v>57.5</v>
      </c>
      <c r="V290">
        <v>48.9</v>
      </c>
      <c r="W290">
        <v>51.2</v>
      </c>
      <c r="X290">
        <v>56.1</v>
      </c>
      <c r="Y290">
        <v>56.3</v>
      </c>
      <c r="Z290">
        <v>50</v>
      </c>
      <c r="AA290">
        <v>52.9</v>
      </c>
      <c r="AB290">
        <v>58.3</v>
      </c>
      <c r="AC290">
        <v>53.9</v>
      </c>
      <c r="AD290">
        <v>51.4</v>
      </c>
    </row>
    <row r="291" spans="1:30" x14ac:dyDescent="0.2">
      <c r="A291" s="79">
        <v>43070</v>
      </c>
      <c r="B291">
        <v>56.2</v>
      </c>
      <c r="C291">
        <v>52.4</v>
      </c>
      <c r="D291">
        <v>54.7</v>
      </c>
      <c r="E291">
        <v>59.8</v>
      </c>
      <c r="F291">
        <v>61.04</v>
      </c>
      <c r="G291">
        <v>60.6</v>
      </c>
      <c r="H291">
        <v>58.8</v>
      </c>
      <c r="I291">
        <v>63.3</v>
      </c>
      <c r="J291">
        <v>53.1</v>
      </c>
      <c r="K291">
        <v>51.5</v>
      </c>
      <c r="L291">
        <v>54.7</v>
      </c>
      <c r="M291">
        <v>49.3</v>
      </c>
      <c r="N291">
        <v>59.1</v>
      </c>
      <c r="O291">
        <v>57.4</v>
      </c>
      <c r="P291">
        <v>54</v>
      </c>
      <c r="Q291">
        <v>51.7</v>
      </c>
      <c r="R291">
        <v>50.964893006040199</v>
      </c>
      <c r="S291">
        <v>55</v>
      </c>
      <c r="T291">
        <v>52</v>
      </c>
      <c r="U291">
        <v>57.3</v>
      </c>
      <c r="V291">
        <v>45.9</v>
      </c>
      <c r="W291">
        <v>49.9</v>
      </c>
      <c r="X291">
        <v>55.8</v>
      </c>
      <c r="Y291">
        <v>56.6</v>
      </c>
      <c r="Z291">
        <v>50.4</v>
      </c>
      <c r="AA291">
        <v>54.9</v>
      </c>
      <c r="AB291">
        <v>56</v>
      </c>
      <c r="AC291">
        <v>55.1</v>
      </c>
      <c r="AD291">
        <v>52.5</v>
      </c>
    </row>
    <row r="292" spans="1:30" x14ac:dyDescent="0.2">
      <c r="A292" s="79">
        <v>43101</v>
      </c>
      <c r="B292">
        <v>58.7</v>
      </c>
      <c r="C292">
        <v>51.2</v>
      </c>
      <c r="D292">
        <v>55.9</v>
      </c>
      <c r="E292">
        <v>59.8</v>
      </c>
      <c r="F292">
        <v>66.650000000000006</v>
      </c>
      <c r="G292">
        <v>59.6</v>
      </c>
      <c r="H292">
        <v>58.4</v>
      </c>
      <c r="I292">
        <v>61.1</v>
      </c>
      <c r="J292">
        <v>55.2</v>
      </c>
      <c r="K292">
        <v>51.1</v>
      </c>
      <c r="L292">
        <v>52.4</v>
      </c>
      <c r="M292">
        <v>49.9</v>
      </c>
      <c r="N292">
        <v>57.6</v>
      </c>
      <c r="O292">
        <v>59</v>
      </c>
      <c r="P292">
        <v>54.8</v>
      </c>
      <c r="Q292">
        <v>52.6</v>
      </c>
      <c r="R292">
        <v>55.399130043972598</v>
      </c>
      <c r="S292">
        <v>54.6</v>
      </c>
      <c r="T292">
        <v>52.1</v>
      </c>
      <c r="U292">
        <v>53</v>
      </c>
      <c r="V292">
        <v>49.2</v>
      </c>
      <c r="W292">
        <v>50.7</v>
      </c>
      <c r="X292">
        <v>55.2</v>
      </c>
      <c r="Y292">
        <v>56.9</v>
      </c>
      <c r="Z292">
        <v>50.6</v>
      </c>
      <c r="AA292">
        <v>55.7</v>
      </c>
      <c r="AB292">
        <v>55</v>
      </c>
      <c r="AC292">
        <v>55.5</v>
      </c>
      <c r="AD292">
        <v>53.4</v>
      </c>
    </row>
    <row r="293" spans="1:30" x14ac:dyDescent="0.2">
      <c r="A293" s="79">
        <v>43132</v>
      </c>
      <c r="B293">
        <v>57.5</v>
      </c>
      <c r="C293">
        <v>53.2</v>
      </c>
      <c r="D293">
        <v>55.6</v>
      </c>
      <c r="E293">
        <v>58.8</v>
      </c>
      <c r="F293">
        <v>70.75</v>
      </c>
      <c r="G293">
        <v>58.6</v>
      </c>
      <c r="H293">
        <v>55.9</v>
      </c>
      <c r="I293">
        <v>60.6</v>
      </c>
      <c r="J293">
        <v>56.1</v>
      </c>
      <c r="K293">
        <v>51.7</v>
      </c>
      <c r="L293">
        <v>52.1</v>
      </c>
      <c r="M293">
        <v>51.4</v>
      </c>
      <c r="N293">
        <v>56.2</v>
      </c>
      <c r="O293">
        <v>56.8</v>
      </c>
      <c r="P293">
        <v>54.1</v>
      </c>
      <c r="Q293">
        <v>51.6</v>
      </c>
      <c r="R293">
        <v>53.452875132901703</v>
      </c>
      <c r="S293">
        <v>53.7</v>
      </c>
      <c r="T293">
        <v>50.2</v>
      </c>
      <c r="U293">
        <v>53.2</v>
      </c>
      <c r="V293">
        <v>50</v>
      </c>
      <c r="W293">
        <v>50.3</v>
      </c>
      <c r="X293">
        <v>56</v>
      </c>
      <c r="Y293">
        <v>56</v>
      </c>
      <c r="Z293">
        <v>50.9</v>
      </c>
      <c r="AA293">
        <v>55.6</v>
      </c>
      <c r="AB293">
        <v>54.9</v>
      </c>
      <c r="AC293">
        <v>55.3</v>
      </c>
      <c r="AD293">
        <v>53.5</v>
      </c>
    </row>
    <row r="294" spans="1:30" x14ac:dyDescent="0.2">
      <c r="A294" s="79">
        <v>43160</v>
      </c>
      <c r="B294">
        <v>63.1</v>
      </c>
      <c r="C294">
        <v>53.4</v>
      </c>
      <c r="D294">
        <v>55.7</v>
      </c>
      <c r="E294">
        <v>57.3</v>
      </c>
      <c r="F294">
        <v>61.05</v>
      </c>
      <c r="G294">
        <v>56.6</v>
      </c>
      <c r="H294">
        <v>53.7</v>
      </c>
      <c r="I294">
        <v>58.4</v>
      </c>
      <c r="J294">
        <v>55</v>
      </c>
      <c r="K294">
        <v>50.6</v>
      </c>
      <c r="L294">
        <v>51</v>
      </c>
      <c r="M294">
        <v>50.7</v>
      </c>
      <c r="N294">
        <v>54.1</v>
      </c>
      <c r="O294">
        <v>55.1</v>
      </c>
      <c r="P294">
        <v>53.2</v>
      </c>
      <c r="Q294">
        <v>52.4</v>
      </c>
      <c r="R294">
        <v>53.138892832554802</v>
      </c>
      <c r="S294">
        <v>53.7</v>
      </c>
      <c r="T294">
        <v>50.6</v>
      </c>
      <c r="U294">
        <v>52.8</v>
      </c>
      <c r="V294">
        <v>46.7</v>
      </c>
      <c r="W294">
        <v>49.1</v>
      </c>
      <c r="X294">
        <v>54.8</v>
      </c>
      <c r="Y294">
        <v>55.3</v>
      </c>
      <c r="Z294">
        <v>49.1</v>
      </c>
      <c r="AA294">
        <v>51.8</v>
      </c>
      <c r="AB294">
        <v>54.9</v>
      </c>
      <c r="AC294">
        <v>55.6</v>
      </c>
      <c r="AD294">
        <v>51.6</v>
      </c>
    </row>
    <row r="295" spans="1:30" x14ac:dyDescent="0.2">
      <c r="A295" s="79">
        <v>43191</v>
      </c>
      <c r="B295">
        <v>58.3</v>
      </c>
      <c r="C295">
        <v>52.3</v>
      </c>
      <c r="D295">
        <v>55.5</v>
      </c>
      <c r="E295">
        <v>57.2</v>
      </c>
      <c r="F295">
        <v>54.24</v>
      </c>
      <c r="G295">
        <v>56.2</v>
      </c>
      <c r="H295">
        <v>53.8</v>
      </c>
      <c r="I295">
        <v>58.1</v>
      </c>
      <c r="J295">
        <v>52.9</v>
      </c>
      <c r="K295">
        <v>49.1</v>
      </c>
      <c r="L295">
        <v>51.6</v>
      </c>
      <c r="M295">
        <v>51.6</v>
      </c>
      <c r="N295">
        <v>55.3</v>
      </c>
      <c r="O295">
        <v>53.5</v>
      </c>
      <c r="P295">
        <v>53.8</v>
      </c>
      <c r="Q295">
        <v>51.6</v>
      </c>
      <c r="R295">
        <v>59.203530801353899</v>
      </c>
      <c r="S295">
        <v>53.9</v>
      </c>
      <c r="T295">
        <v>51.3</v>
      </c>
      <c r="U295">
        <v>51.4</v>
      </c>
      <c r="V295">
        <v>49.1</v>
      </c>
      <c r="W295">
        <v>48.4</v>
      </c>
      <c r="X295">
        <v>54.4</v>
      </c>
      <c r="Y295">
        <v>54.8</v>
      </c>
      <c r="Z295">
        <v>49.5</v>
      </c>
      <c r="AA295">
        <v>48.9</v>
      </c>
      <c r="AB295">
        <v>53.9</v>
      </c>
      <c r="AC295">
        <v>56.5</v>
      </c>
      <c r="AD295">
        <v>52.9</v>
      </c>
    </row>
    <row r="296" spans="1:30" x14ac:dyDescent="0.2">
      <c r="A296" s="79">
        <v>43221</v>
      </c>
      <c r="B296">
        <v>57.5</v>
      </c>
      <c r="C296">
        <v>50.7</v>
      </c>
      <c r="D296">
        <v>56.2</v>
      </c>
      <c r="E296">
        <v>56.5</v>
      </c>
      <c r="F296">
        <v>47.78</v>
      </c>
      <c r="G296">
        <v>55.5</v>
      </c>
      <c r="H296">
        <v>55.1</v>
      </c>
      <c r="I296">
        <v>56.9</v>
      </c>
      <c r="J296">
        <v>54.2</v>
      </c>
      <c r="K296">
        <v>47.8</v>
      </c>
      <c r="L296">
        <v>51.2</v>
      </c>
      <c r="M296">
        <v>51.7</v>
      </c>
      <c r="N296">
        <v>55.4</v>
      </c>
      <c r="O296">
        <v>52.7</v>
      </c>
      <c r="P296">
        <v>52.8</v>
      </c>
      <c r="Q296">
        <v>51</v>
      </c>
      <c r="R296">
        <v>54.328230091142899</v>
      </c>
      <c r="S296">
        <v>53.3</v>
      </c>
      <c r="T296">
        <v>49.8</v>
      </c>
      <c r="U296">
        <v>53.2</v>
      </c>
      <c r="V296">
        <v>49.4</v>
      </c>
      <c r="W296">
        <v>48.9</v>
      </c>
      <c r="X296">
        <v>53.4</v>
      </c>
      <c r="Y296">
        <v>53.4</v>
      </c>
      <c r="Z296">
        <v>51.1</v>
      </c>
      <c r="AA296">
        <v>46.4</v>
      </c>
      <c r="AB296">
        <v>54.4</v>
      </c>
      <c r="AC296">
        <v>56.4</v>
      </c>
      <c r="AD296">
        <v>53.9</v>
      </c>
    </row>
    <row r="297" spans="1:30" x14ac:dyDescent="0.2">
      <c r="A297" s="79">
        <v>43252</v>
      </c>
      <c r="B297">
        <v>57.4</v>
      </c>
      <c r="C297">
        <v>49.8</v>
      </c>
      <c r="D297">
        <v>57.1</v>
      </c>
      <c r="E297">
        <v>56.8</v>
      </c>
      <c r="F297">
        <v>49.8</v>
      </c>
      <c r="G297">
        <v>54.9</v>
      </c>
      <c r="H297">
        <v>52.5</v>
      </c>
      <c r="I297">
        <v>55.9</v>
      </c>
      <c r="J297">
        <v>53.5</v>
      </c>
      <c r="K297">
        <v>47.7</v>
      </c>
      <c r="L297">
        <v>53.1</v>
      </c>
      <c r="M297">
        <v>50.3</v>
      </c>
      <c r="N297">
        <v>56.6</v>
      </c>
      <c r="O297">
        <v>53.3</v>
      </c>
      <c r="P297">
        <v>53</v>
      </c>
      <c r="Q297">
        <v>52.1</v>
      </c>
      <c r="R297">
        <v>52.724539725642202</v>
      </c>
      <c r="S297">
        <v>54.2</v>
      </c>
      <c r="T297">
        <v>49.5</v>
      </c>
      <c r="U297">
        <v>55</v>
      </c>
      <c r="V297">
        <v>48</v>
      </c>
      <c r="W297">
        <v>49.8</v>
      </c>
      <c r="X297">
        <v>53.4</v>
      </c>
      <c r="Y297">
        <v>54.5</v>
      </c>
      <c r="Z297">
        <v>50.2</v>
      </c>
      <c r="AA297">
        <v>46.8</v>
      </c>
      <c r="AB297">
        <v>54.4</v>
      </c>
      <c r="AC297">
        <v>55.4</v>
      </c>
      <c r="AD297">
        <v>55.7</v>
      </c>
    </row>
    <row r="298" spans="1:30" x14ac:dyDescent="0.2">
      <c r="A298" s="79">
        <v>43282</v>
      </c>
      <c r="B298">
        <v>52</v>
      </c>
      <c r="C298">
        <v>50.5</v>
      </c>
      <c r="D298">
        <v>56.9</v>
      </c>
      <c r="E298">
        <v>55.4</v>
      </c>
      <c r="F298">
        <v>55.7</v>
      </c>
      <c r="G298">
        <v>55.1</v>
      </c>
      <c r="H298">
        <v>53.3</v>
      </c>
      <c r="I298">
        <v>56.9</v>
      </c>
      <c r="J298">
        <v>53.5</v>
      </c>
      <c r="K298">
        <v>48.2</v>
      </c>
      <c r="L298">
        <v>52.3</v>
      </c>
      <c r="M298">
        <v>50.5</v>
      </c>
      <c r="N298">
        <v>56.3</v>
      </c>
      <c r="O298">
        <v>51.5</v>
      </c>
      <c r="P298">
        <v>52.3</v>
      </c>
      <c r="Q298">
        <v>52.1</v>
      </c>
      <c r="R298">
        <v>51.2462636215065</v>
      </c>
      <c r="S298">
        <v>52.9</v>
      </c>
      <c r="T298">
        <v>48.1</v>
      </c>
      <c r="U298">
        <v>54.9</v>
      </c>
      <c r="V298">
        <v>49.9</v>
      </c>
      <c r="W298">
        <v>48.3</v>
      </c>
      <c r="X298">
        <v>52.9</v>
      </c>
      <c r="Y298">
        <v>53.1</v>
      </c>
      <c r="Z298">
        <v>50.1</v>
      </c>
      <c r="AA298">
        <v>49</v>
      </c>
      <c r="AB298">
        <v>54</v>
      </c>
      <c r="AC298">
        <v>55.3</v>
      </c>
      <c r="AD298">
        <v>54.9</v>
      </c>
    </row>
    <row r="299" spans="1:30" x14ac:dyDescent="0.2">
      <c r="A299" s="79">
        <v>43313</v>
      </c>
      <c r="B299">
        <v>56.7</v>
      </c>
      <c r="C299">
        <v>51.1</v>
      </c>
      <c r="D299">
        <v>56.8</v>
      </c>
      <c r="E299">
        <v>54.9</v>
      </c>
      <c r="F299">
        <v>59.15</v>
      </c>
      <c r="G299">
        <v>54.6</v>
      </c>
      <c r="H299">
        <v>53.5</v>
      </c>
      <c r="I299">
        <v>55.9</v>
      </c>
      <c r="J299">
        <v>53.9</v>
      </c>
      <c r="K299">
        <v>48.5</v>
      </c>
      <c r="L299">
        <v>51.7</v>
      </c>
      <c r="M299">
        <v>51.9</v>
      </c>
      <c r="N299">
        <v>57.5</v>
      </c>
      <c r="O299">
        <v>50.1</v>
      </c>
      <c r="P299">
        <v>52.5</v>
      </c>
      <c r="Q299">
        <v>50.7</v>
      </c>
      <c r="R299">
        <v>52.132210597352199</v>
      </c>
      <c r="S299">
        <v>51.4</v>
      </c>
      <c r="T299">
        <v>48.9</v>
      </c>
      <c r="U299">
        <v>55.1</v>
      </c>
      <c r="V299">
        <v>45.2</v>
      </c>
      <c r="W299">
        <v>49.9</v>
      </c>
      <c r="X299">
        <v>53</v>
      </c>
      <c r="Y299">
        <v>53</v>
      </c>
      <c r="Z299">
        <v>49.9</v>
      </c>
      <c r="AA299">
        <v>46.4</v>
      </c>
      <c r="AB299">
        <v>52.8</v>
      </c>
      <c r="AC299">
        <v>54.5</v>
      </c>
      <c r="AD299">
        <v>53.7</v>
      </c>
    </row>
    <row r="300" spans="1:30" x14ac:dyDescent="0.2">
      <c r="A300" s="79">
        <v>43344</v>
      </c>
      <c r="B300">
        <v>59</v>
      </c>
      <c r="C300">
        <v>50.9</v>
      </c>
      <c r="D300">
        <v>54.8</v>
      </c>
      <c r="E300">
        <v>53.4</v>
      </c>
      <c r="F300">
        <v>53.7</v>
      </c>
      <c r="G300">
        <v>53.2</v>
      </c>
      <c r="H300">
        <v>52.5</v>
      </c>
      <c r="I300">
        <v>53.7</v>
      </c>
      <c r="J300">
        <v>53.6</v>
      </c>
      <c r="K300">
        <v>47.9</v>
      </c>
      <c r="L300">
        <v>52.2</v>
      </c>
      <c r="M300">
        <v>50.7</v>
      </c>
      <c r="N300">
        <v>56.3</v>
      </c>
      <c r="O300">
        <v>50</v>
      </c>
      <c r="P300">
        <v>52.5</v>
      </c>
      <c r="Q300">
        <v>51.7</v>
      </c>
      <c r="R300">
        <v>51.870945765782103</v>
      </c>
      <c r="S300">
        <v>50.5</v>
      </c>
      <c r="T300">
        <v>50</v>
      </c>
      <c r="U300">
        <v>53.4</v>
      </c>
      <c r="V300">
        <v>44.5</v>
      </c>
      <c r="W300">
        <v>51.3</v>
      </c>
      <c r="X300">
        <v>51.4</v>
      </c>
      <c r="Y300">
        <v>50.8</v>
      </c>
      <c r="Z300">
        <v>50</v>
      </c>
      <c r="AA300">
        <v>42.7</v>
      </c>
      <c r="AB300">
        <v>53.8</v>
      </c>
      <c r="AC300">
        <v>55.6</v>
      </c>
      <c r="AD300">
        <v>51.5</v>
      </c>
    </row>
    <row r="301" spans="1:30" x14ac:dyDescent="0.2">
      <c r="A301" s="79">
        <v>43374</v>
      </c>
      <c r="B301">
        <v>58.3</v>
      </c>
      <c r="C301">
        <v>51.1</v>
      </c>
      <c r="D301">
        <v>53.9</v>
      </c>
      <c r="E301">
        <v>52.5</v>
      </c>
      <c r="F301">
        <v>66.8</v>
      </c>
      <c r="G301">
        <v>52</v>
      </c>
      <c r="H301">
        <v>51.2</v>
      </c>
      <c r="I301">
        <v>52.2</v>
      </c>
      <c r="J301">
        <v>53.1</v>
      </c>
      <c r="K301">
        <v>48.6</v>
      </c>
      <c r="L301">
        <v>53.1</v>
      </c>
      <c r="M301">
        <v>50.5</v>
      </c>
      <c r="N301">
        <v>54.9</v>
      </c>
      <c r="O301">
        <v>49.2</v>
      </c>
      <c r="P301">
        <v>52.9</v>
      </c>
      <c r="Q301">
        <v>50.7</v>
      </c>
      <c r="R301">
        <v>53.5</v>
      </c>
      <c r="S301">
        <v>50.4</v>
      </c>
      <c r="T301">
        <v>51.3</v>
      </c>
      <c r="U301">
        <v>53.8</v>
      </c>
      <c r="V301">
        <v>42.4</v>
      </c>
      <c r="W301">
        <v>51</v>
      </c>
      <c r="X301">
        <v>51.8</v>
      </c>
      <c r="Y301">
        <v>48.7</v>
      </c>
      <c r="Z301">
        <v>48.9</v>
      </c>
      <c r="AA301">
        <v>44.3</v>
      </c>
      <c r="AB301">
        <v>51.1</v>
      </c>
      <c r="AC301">
        <v>55.7</v>
      </c>
      <c r="AD301">
        <v>53.9</v>
      </c>
    </row>
    <row r="302" spans="1:30" x14ac:dyDescent="0.2">
      <c r="A302" s="79">
        <v>43405</v>
      </c>
      <c r="B302">
        <v>51.3</v>
      </c>
      <c r="C302">
        <v>52.7</v>
      </c>
      <c r="D302">
        <v>54.9</v>
      </c>
      <c r="E302">
        <v>51.8</v>
      </c>
      <c r="F302">
        <v>58.2</v>
      </c>
      <c r="G302">
        <v>51.8</v>
      </c>
      <c r="H302">
        <v>50.8</v>
      </c>
      <c r="I302">
        <v>51.8</v>
      </c>
      <c r="J302">
        <v>54</v>
      </c>
      <c r="K302">
        <v>47.1</v>
      </c>
      <c r="L302">
        <v>54</v>
      </c>
      <c r="M302">
        <v>50.4</v>
      </c>
      <c r="N302">
        <v>55.4</v>
      </c>
      <c r="O302">
        <v>48.6</v>
      </c>
      <c r="P302">
        <v>52.2</v>
      </c>
      <c r="Q302">
        <v>49.7</v>
      </c>
      <c r="R302">
        <v>53.5</v>
      </c>
      <c r="S302">
        <v>49.5</v>
      </c>
      <c r="T302">
        <v>52.6</v>
      </c>
      <c r="U302">
        <v>55.2</v>
      </c>
      <c r="V302">
        <v>49.5</v>
      </c>
      <c r="W302">
        <v>48.6</v>
      </c>
      <c r="X302">
        <v>52.6</v>
      </c>
      <c r="Y302">
        <v>48.4</v>
      </c>
      <c r="Z302">
        <v>49.8</v>
      </c>
      <c r="AA302">
        <v>44.7</v>
      </c>
      <c r="AB302">
        <v>53.1</v>
      </c>
      <c r="AC302">
        <v>55.3</v>
      </c>
      <c r="AD302">
        <v>56.5</v>
      </c>
    </row>
    <row r="303" spans="1:30" x14ac:dyDescent="0.2">
      <c r="A303" s="79">
        <v>43435</v>
      </c>
      <c r="B303">
        <v>49.5</v>
      </c>
      <c r="C303">
        <v>52.6</v>
      </c>
      <c r="D303">
        <v>53.6</v>
      </c>
      <c r="E303">
        <v>49.7</v>
      </c>
      <c r="F303">
        <v>57.5</v>
      </c>
      <c r="G303">
        <v>51.4</v>
      </c>
      <c r="H303">
        <v>49.7</v>
      </c>
      <c r="I303">
        <v>51.5</v>
      </c>
      <c r="J303">
        <v>53.8</v>
      </c>
      <c r="K303">
        <v>48</v>
      </c>
      <c r="L303">
        <v>53.2</v>
      </c>
      <c r="M303">
        <v>51.2</v>
      </c>
      <c r="N303">
        <v>54.5</v>
      </c>
      <c r="O303">
        <v>49.2</v>
      </c>
      <c r="P303">
        <v>52.4</v>
      </c>
      <c r="Q303">
        <v>49.7</v>
      </c>
      <c r="R303">
        <v>55.1</v>
      </c>
      <c r="S303">
        <v>47.6</v>
      </c>
      <c r="T303">
        <v>51.7</v>
      </c>
      <c r="U303">
        <v>54.5</v>
      </c>
      <c r="V303">
        <v>50.7</v>
      </c>
      <c r="W303">
        <v>49.8</v>
      </c>
      <c r="X303">
        <v>51.1</v>
      </c>
      <c r="Y303">
        <v>47.7</v>
      </c>
      <c r="Z303">
        <v>50.3</v>
      </c>
      <c r="AA303">
        <v>44.2</v>
      </c>
      <c r="AB303">
        <v>54.2</v>
      </c>
      <c r="AC303">
        <v>53.8</v>
      </c>
      <c r="AD303">
        <v>53.8</v>
      </c>
    </row>
    <row r="304" spans="1:30" x14ac:dyDescent="0.2">
      <c r="A304" s="79">
        <v>43466</v>
      </c>
      <c r="B304">
        <v>52.5</v>
      </c>
      <c r="C304">
        <v>52.7</v>
      </c>
      <c r="D304">
        <v>53</v>
      </c>
      <c r="E304">
        <v>49</v>
      </c>
      <c r="F304">
        <v>51.1</v>
      </c>
      <c r="G304">
        <v>50.5</v>
      </c>
      <c r="H304">
        <v>51.2</v>
      </c>
      <c r="I304">
        <v>49.7</v>
      </c>
      <c r="J304">
        <v>53.7</v>
      </c>
      <c r="K304">
        <v>48.2</v>
      </c>
      <c r="L304">
        <v>53.9</v>
      </c>
      <c r="M304">
        <v>49.9</v>
      </c>
      <c r="N304">
        <v>52.6</v>
      </c>
      <c r="O304">
        <v>47.8</v>
      </c>
      <c r="P304">
        <v>50.3</v>
      </c>
      <c r="Q304">
        <v>50.9</v>
      </c>
      <c r="R304">
        <v>53.1</v>
      </c>
      <c r="S304">
        <v>48.2</v>
      </c>
      <c r="T304">
        <v>50.9</v>
      </c>
      <c r="U304">
        <v>56.2</v>
      </c>
      <c r="V304">
        <v>49.9</v>
      </c>
      <c r="W304">
        <v>48.3</v>
      </c>
      <c r="X304">
        <v>52.4</v>
      </c>
      <c r="Y304">
        <v>47.5</v>
      </c>
      <c r="Z304">
        <v>50.2</v>
      </c>
      <c r="AA304">
        <v>44.2</v>
      </c>
      <c r="AB304">
        <v>52.8</v>
      </c>
      <c r="AC304">
        <v>54.9</v>
      </c>
      <c r="AD304">
        <v>51.9</v>
      </c>
    </row>
    <row r="305" spans="1:30" x14ac:dyDescent="0.2">
      <c r="A305" s="79">
        <v>43497</v>
      </c>
      <c r="B305">
        <v>54</v>
      </c>
      <c r="C305">
        <v>53.4</v>
      </c>
      <c r="D305">
        <v>52.6</v>
      </c>
      <c r="E305">
        <v>48.6</v>
      </c>
      <c r="F305">
        <v>61.6</v>
      </c>
      <c r="G305">
        <v>49.3</v>
      </c>
      <c r="H305">
        <v>51.5</v>
      </c>
      <c r="I305">
        <v>47.6</v>
      </c>
      <c r="J305">
        <v>54.2</v>
      </c>
      <c r="K305">
        <v>48.4</v>
      </c>
      <c r="L305">
        <v>54.3</v>
      </c>
      <c r="M305">
        <v>50.1</v>
      </c>
      <c r="N305">
        <v>54</v>
      </c>
      <c r="O305">
        <v>47.7</v>
      </c>
      <c r="P305">
        <v>48.9</v>
      </c>
      <c r="Q305">
        <v>52.6</v>
      </c>
      <c r="R305">
        <v>53.4</v>
      </c>
      <c r="S305">
        <v>47.6</v>
      </c>
      <c r="T305">
        <v>50.1</v>
      </c>
      <c r="U305">
        <v>56.6</v>
      </c>
      <c r="V305">
        <v>46.2</v>
      </c>
      <c r="W305">
        <v>47.2</v>
      </c>
      <c r="X305">
        <v>49.9</v>
      </c>
      <c r="Y305">
        <v>46.3</v>
      </c>
      <c r="Z305">
        <v>49.9</v>
      </c>
      <c r="AA305">
        <v>46.4</v>
      </c>
      <c r="AB305">
        <v>52</v>
      </c>
      <c r="AC305">
        <v>53</v>
      </c>
      <c r="AD305">
        <v>51.2</v>
      </c>
    </row>
    <row r="306" spans="1:30" x14ac:dyDescent="0.2">
      <c r="A306" s="79">
        <v>43525</v>
      </c>
      <c r="B306">
        <v>51</v>
      </c>
      <c r="C306">
        <v>52.8</v>
      </c>
      <c r="D306">
        <v>50.5</v>
      </c>
      <c r="E306">
        <v>47.3</v>
      </c>
      <c r="F306">
        <v>56.6</v>
      </c>
      <c r="G306">
        <v>47.5</v>
      </c>
      <c r="H306">
        <v>49.7</v>
      </c>
      <c r="I306">
        <v>44.1</v>
      </c>
      <c r="J306">
        <v>54.7</v>
      </c>
      <c r="K306">
        <v>48</v>
      </c>
      <c r="L306">
        <v>52.6</v>
      </c>
      <c r="M306">
        <v>51.2</v>
      </c>
      <c r="N306">
        <v>53.9</v>
      </c>
      <c r="O306">
        <v>47.4</v>
      </c>
      <c r="P306">
        <v>49.2</v>
      </c>
      <c r="Q306">
        <v>49.8</v>
      </c>
      <c r="R306">
        <v>51.9</v>
      </c>
      <c r="S306">
        <v>48.7</v>
      </c>
      <c r="T306">
        <v>52.8</v>
      </c>
      <c r="U306">
        <v>56.8</v>
      </c>
      <c r="V306">
        <v>45</v>
      </c>
      <c r="W306">
        <v>48.8</v>
      </c>
      <c r="X306">
        <v>50.9</v>
      </c>
      <c r="Y306">
        <v>49</v>
      </c>
      <c r="Z306">
        <v>50.3</v>
      </c>
      <c r="AA306">
        <v>47.2</v>
      </c>
      <c r="AB306">
        <v>55.1</v>
      </c>
      <c r="AC306">
        <v>52.4</v>
      </c>
      <c r="AD306">
        <v>51.9</v>
      </c>
    </row>
    <row r="307" spans="1:30" x14ac:dyDescent="0.2">
      <c r="A307" s="79">
        <v>43556</v>
      </c>
      <c r="B307">
        <v>54.8</v>
      </c>
      <c r="C307">
        <v>51.5</v>
      </c>
      <c r="D307">
        <v>49.7</v>
      </c>
      <c r="E307">
        <v>46.6</v>
      </c>
      <c r="F307">
        <v>59.6</v>
      </c>
      <c r="G307">
        <v>47.9</v>
      </c>
      <c r="H307">
        <v>50</v>
      </c>
      <c r="I307">
        <v>44.4</v>
      </c>
      <c r="J307">
        <v>56.6</v>
      </c>
      <c r="K307">
        <v>48.4</v>
      </c>
      <c r="L307">
        <v>51.8</v>
      </c>
      <c r="M307">
        <v>50.4</v>
      </c>
      <c r="N307">
        <v>52.5</v>
      </c>
      <c r="O307">
        <v>49.1</v>
      </c>
      <c r="P307">
        <v>49.5</v>
      </c>
      <c r="Q307">
        <v>50.1</v>
      </c>
      <c r="R307">
        <v>52.7</v>
      </c>
      <c r="S307">
        <v>49</v>
      </c>
      <c r="T307">
        <v>51.8</v>
      </c>
      <c r="U307">
        <v>57.3</v>
      </c>
      <c r="V307">
        <v>47.2</v>
      </c>
      <c r="W307">
        <v>50.2</v>
      </c>
      <c r="X307">
        <v>51.8</v>
      </c>
      <c r="Y307">
        <v>48.2</v>
      </c>
      <c r="Z307">
        <v>51</v>
      </c>
      <c r="AA307">
        <v>46.8</v>
      </c>
      <c r="AB307">
        <v>53.1</v>
      </c>
      <c r="AC307">
        <v>52.6</v>
      </c>
      <c r="AD307">
        <v>52.5</v>
      </c>
    </row>
    <row r="308" spans="1:30" x14ac:dyDescent="0.2">
      <c r="A308" s="79">
        <v>43586</v>
      </c>
      <c r="B308">
        <v>52.7</v>
      </c>
      <c r="C308">
        <v>50.2</v>
      </c>
      <c r="D308">
        <v>49.1</v>
      </c>
      <c r="E308">
        <v>46.6</v>
      </c>
      <c r="F308">
        <v>47.6</v>
      </c>
      <c r="G308">
        <v>47.7</v>
      </c>
      <c r="H308">
        <v>50.6</v>
      </c>
      <c r="I308">
        <v>44.3</v>
      </c>
      <c r="J308">
        <v>54.2</v>
      </c>
      <c r="K308">
        <v>46.9</v>
      </c>
      <c r="L308">
        <v>52.7</v>
      </c>
      <c r="M308">
        <v>51.6</v>
      </c>
      <c r="N308">
        <v>50.4</v>
      </c>
      <c r="O308">
        <v>49.7</v>
      </c>
      <c r="P308">
        <v>49.8</v>
      </c>
      <c r="Q308">
        <v>50</v>
      </c>
      <c r="R308">
        <v>50.2</v>
      </c>
      <c r="S308">
        <v>48.8</v>
      </c>
      <c r="T308">
        <v>49.8</v>
      </c>
      <c r="U308">
        <v>57.3</v>
      </c>
      <c r="V308">
        <v>45.4</v>
      </c>
      <c r="W308">
        <v>48.4</v>
      </c>
      <c r="X308">
        <v>50.1</v>
      </c>
      <c r="Y308">
        <v>48.4</v>
      </c>
      <c r="Z308">
        <v>50.7</v>
      </c>
      <c r="AA308">
        <v>45.3</v>
      </c>
      <c r="AB308">
        <v>49.4</v>
      </c>
      <c r="AC308">
        <v>50.5</v>
      </c>
      <c r="AD308">
        <v>52</v>
      </c>
    </row>
    <row r="309" spans="1:30" x14ac:dyDescent="0.2">
      <c r="A309" s="79">
        <v>43617</v>
      </c>
      <c r="B309">
        <v>49.4</v>
      </c>
      <c r="C309">
        <v>51</v>
      </c>
      <c r="D309">
        <v>49.2</v>
      </c>
      <c r="E309">
        <v>45.9</v>
      </c>
      <c r="F309">
        <v>45</v>
      </c>
      <c r="G309">
        <v>47.6</v>
      </c>
      <c r="H309">
        <v>51.9</v>
      </c>
      <c r="I309">
        <v>45</v>
      </c>
      <c r="J309">
        <v>52.4</v>
      </c>
      <c r="K309">
        <v>47.9</v>
      </c>
      <c r="L309">
        <v>52.1</v>
      </c>
      <c r="M309">
        <v>50.6</v>
      </c>
      <c r="N309">
        <v>49.8</v>
      </c>
      <c r="O309">
        <v>48.4</v>
      </c>
      <c r="P309">
        <v>49.3</v>
      </c>
      <c r="Q309">
        <v>49.2</v>
      </c>
      <c r="R309">
        <v>51.3</v>
      </c>
      <c r="S309">
        <v>48.4</v>
      </c>
      <c r="T309">
        <v>48.6</v>
      </c>
      <c r="U309">
        <v>57.4</v>
      </c>
      <c r="V309">
        <v>46.2</v>
      </c>
      <c r="W309">
        <v>47.5</v>
      </c>
      <c r="X309">
        <v>47.9</v>
      </c>
      <c r="Y309">
        <v>45.5</v>
      </c>
      <c r="Z309">
        <v>50.6</v>
      </c>
      <c r="AA309">
        <v>47.9</v>
      </c>
      <c r="AB309">
        <v>48</v>
      </c>
      <c r="AC309">
        <v>50.6</v>
      </c>
      <c r="AD309">
        <v>52.5</v>
      </c>
    </row>
    <row r="310" spans="1:30" x14ac:dyDescent="0.2">
      <c r="A310" s="79">
        <v>43647</v>
      </c>
      <c r="B310">
        <v>51.3</v>
      </c>
      <c r="C310">
        <v>49.9</v>
      </c>
      <c r="D310">
        <v>50.2</v>
      </c>
      <c r="E310">
        <v>43.1</v>
      </c>
      <c r="F310">
        <v>49.5</v>
      </c>
      <c r="G310">
        <v>46.5</v>
      </c>
      <c r="H310">
        <v>49.7</v>
      </c>
      <c r="I310">
        <v>43.2</v>
      </c>
      <c r="J310">
        <v>54.6</v>
      </c>
      <c r="K310">
        <v>43.8</v>
      </c>
      <c r="L310">
        <v>52.5</v>
      </c>
      <c r="M310">
        <v>49.6</v>
      </c>
      <c r="N310">
        <v>48.7</v>
      </c>
      <c r="O310">
        <v>48.5</v>
      </c>
      <c r="P310">
        <v>49.4</v>
      </c>
      <c r="Q310">
        <v>49.8</v>
      </c>
      <c r="R310">
        <v>48.1</v>
      </c>
      <c r="S310">
        <v>47.4</v>
      </c>
      <c r="T310">
        <v>49.3</v>
      </c>
      <c r="U310">
        <v>56.6</v>
      </c>
      <c r="V310">
        <v>52.1</v>
      </c>
      <c r="W310">
        <v>47.3</v>
      </c>
      <c r="X310">
        <v>48.2</v>
      </c>
      <c r="Y310">
        <v>48.1</v>
      </c>
      <c r="Z310">
        <v>50.3</v>
      </c>
      <c r="AA310">
        <v>46.7</v>
      </c>
      <c r="AB310">
        <v>48</v>
      </c>
      <c r="AC310">
        <v>50</v>
      </c>
      <c r="AD310">
        <v>52.6</v>
      </c>
    </row>
    <row r="311" spans="1:30" x14ac:dyDescent="0.2">
      <c r="A311" s="79">
        <v>43678</v>
      </c>
      <c r="B311">
        <v>53.1</v>
      </c>
      <c r="C311">
        <v>52.5</v>
      </c>
      <c r="D311">
        <v>49.1</v>
      </c>
      <c r="E311">
        <v>44.9</v>
      </c>
      <c r="F311">
        <v>48.7</v>
      </c>
      <c r="G311">
        <v>47</v>
      </c>
      <c r="H311">
        <v>51.1</v>
      </c>
      <c r="I311">
        <v>43.5</v>
      </c>
      <c r="J311">
        <v>54.9</v>
      </c>
      <c r="K311">
        <v>40.799999999999997</v>
      </c>
      <c r="L311">
        <v>51.4</v>
      </c>
      <c r="M311">
        <v>49</v>
      </c>
      <c r="N311">
        <v>48.6</v>
      </c>
      <c r="O311">
        <v>48.7</v>
      </c>
      <c r="P311">
        <v>49.3</v>
      </c>
      <c r="Q311">
        <v>49</v>
      </c>
      <c r="R311">
        <v>48.4</v>
      </c>
      <c r="S311">
        <v>48.8</v>
      </c>
      <c r="T311">
        <v>49.1</v>
      </c>
      <c r="U311">
        <v>57</v>
      </c>
      <c r="V311">
        <v>45.7</v>
      </c>
      <c r="W311">
        <v>49</v>
      </c>
      <c r="X311">
        <v>48.8</v>
      </c>
      <c r="Y311">
        <v>47.9</v>
      </c>
      <c r="Z311">
        <v>50</v>
      </c>
      <c r="AA311">
        <v>48</v>
      </c>
      <c r="AB311">
        <v>47.4</v>
      </c>
      <c r="AC311">
        <v>50.3</v>
      </c>
      <c r="AD311">
        <v>51.4</v>
      </c>
    </row>
    <row r="312" spans="1:30" x14ac:dyDescent="0.2">
      <c r="A312" s="79">
        <v>43709</v>
      </c>
      <c r="B312">
        <v>54.7</v>
      </c>
      <c r="C312">
        <v>53.4</v>
      </c>
      <c r="D312">
        <v>51</v>
      </c>
      <c r="E312">
        <v>44.9</v>
      </c>
      <c r="F312">
        <v>50.2</v>
      </c>
      <c r="G312">
        <v>45.7</v>
      </c>
      <c r="H312">
        <v>50.1</v>
      </c>
      <c r="I312">
        <v>41.7</v>
      </c>
      <c r="J312">
        <v>53.6</v>
      </c>
      <c r="K312">
        <v>41.5</v>
      </c>
      <c r="L312">
        <v>51.4</v>
      </c>
      <c r="M312">
        <v>49.1</v>
      </c>
      <c r="N312">
        <v>48.7</v>
      </c>
      <c r="O312">
        <v>47.8</v>
      </c>
      <c r="P312">
        <v>48.9</v>
      </c>
      <c r="Q312">
        <v>49.1</v>
      </c>
      <c r="R312">
        <v>48.4</v>
      </c>
      <c r="S312">
        <v>47.8</v>
      </c>
      <c r="T312">
        <v>46.3</v>
      </c>
      <c r="U312">
        <v>57.3</v>
      </c>
      <c r="V312">
        <v>41.6</v>
      </c>
      <c r="W312">
        <v>48</v>
      </c>
      <c r="X312">
        <v>47.7</v>
      </c>
      <c r="Y312">
        <v>50</v>
      </c>
      <c r="Z312">
        <v>50.6</v>
      </c>
      <c r="AA312">
        <v>50</v>
      </c>
      <c r="AB312">
        <v>48.3</v>
      </c>
      <c r="AC312">
        <v>51.1</v>
      </c>
      <c r="AD312">
        <v>50.5</v>
      </c>
    </row>
    <row r="313" spans="1:30" x14ac:dyDescent="0.2">
      <c r="A313" s="79">
        <v>43739</v>
      </c>
      <c r="B313">
        <v>51.6</v>
      </c>
      <c r="C313">
        <v>52.2</v>
      </c>
      <c r="D313">
        <v>51.2</v>
      </c>
      <c r="E313">
        <v>45</v>
      </c>
      <c r="F313">
        <v>49.5</v>
      </c>
      <c r="G313">
        <v>45.9</v>
      </c>
      <c r="H313">
        <v>50.7</v>
      </c>
      <c r="I313">
        <v>42.1</v>
      </c>
      <c r="J313">
        <v>53.5</v>
      </c>
      <c r="K313">
        <v>39.299999999999997</v>
      </c>
      <c r="L313">
        <v>50.6</v>
      </c>
      <c r="M313">
        <v>47.7</v>
      </c>
      <c r="N313">
        <v>50.7</v>
      </c>
      <c r="O313">
        <v>47.7</v>
      </c>
      <c r="P313">
        <v>48.4</v>
      </c>
      <c r="Q313">
        <v>50.4</v>
      </c>
      <c r="R313">
        <v>52.6</v>
      </c>
      <c r="S313">
        <v>45.6</v>
      </c>
      <c r="T313">
        <v>47.2</v>
      </c>
      <c r="U313">
        <v>57.8</v>
      </c>
      <c r="V313">
        <v>48.1</v>
      </c>
      <c r="W313">
        <v>48.4</v>
      </c>
      <c r="X313">
        <v>46.8</v>
      </c>
      <c r="Y313">
        <v>49.8</v>
      </c>
      <c r="Z313">
        <v>50</v>
      </c>
      <c r="AA313">
        <v>49</v>
      </c>
      <c r="AB313">
        <v>49.6</v>
      </c>
      <c r="AC313">
        <v>51.3</v>
      </c>
      <c r="AD313">
        <v>50</v>
      </c>
    </row>
    <row r="314" spans="1:30" x14ac:dyDescent="0.2">
      <c r="A314" s="79">
        <v>43770</v>
      </c>
      <c r="B314">
        <v>48.1</v>
      </c>
      <c r="C314">
        <v>52.9</v>
      </c>
      <c r="D314">
        <v>51.4</v>
      </c>
      <c r="E314">
        <v>43.5</v>
      </c>
      <c r="F314">
        <v>53</v>
      </c>
      <c r="G314">
        <v>46.9</v>
      </c>
      <c r="H314">
        <v>51.7</v>
      </c>
      <c r="I314">
        <v>44.1</v>
      </c>
      <c r="J314">
        <v>54.1</v>
      </c>
      <c r="K314">
        <v>38.5</v>
      </c>
      <c r="L314">
        <v>51.2</v>
      </c>
      <c r="M314">
        <v>48.2</v>
      </c>
      <c r="N314">
        <v>49.7</v>
      </c>
      <c r="O314">
        <v>47.6</v>
      </c>
      <c r="P314">
        <v>48.9</v>
      </c>
      <c r="Q314">
        <v>48</v>
      </c>
      <c r="R314">
        <v>51.4</v>
      </c>
      <c r="S314">
        <v>46.7</v>
      </c>
      <c r="T314">
        <v>45.6</v>
      </c>
      <c r="U314">
        <v>58.3</v>
      </c>
      <c r="V314">
        <v>47.7</v>
      </c>
      <c r="W314">
        <v>49.4</v>
      </c>
      <c r="X314">
        <v>47.5</v>
      </c>
      <c r="Y314">
        <v>49.8</v>
      </c>
      <c r="Z314">
        <v>49.3</v>
      </c>
      <c r="AA314">
        <v>49.5</v>
      </c>
      <c r="AB314">
        <v>48.9</v>
      </c>
      <c r="AC314">
        <v>52.6</v>
      </c>
      <c r="AD314">
        <v>51</v>
      </c>
    </row>
    <row r="315" spans="1:30" x14ac:dyDescent="0.2">
      <c r="A315" s="79">
        <v>43800</v>
      </c>
      <c r="B315">
        <v>48.3</v>
      </c>
      <c r="C315">
        <v>50.2</v>
      </c>
      <c r="D315">
        <v>50.4</v>
      </c>
      <c r="E315">
        <v>43.6</v>
      </c>
      <c r="F315">
        <v>50.7</v>
      </c>
      <c r="G315">
        <v>46.3</v>
      </c>
      <c r="H315">
        <v>50.4</v>
      </c>
      <c r="I315">
        <v>43.7</v>
      </c>
      <c r="J315">
        <v>53.9</v>
      </c>
      <c r="K315">
        <v>42.1</v>
      </c>
      <c r="L315">
        <v>52.7</v>
      </c>
      <c r="M315">
        <v>49.5</v>
      </c>
      <c r="N315">
        <v>49.5</v>
      </c>
      <c r="O315">
        <v>46.2</v>
      </c>
      <c r="P315">
        <v>48.4</v>
      </c>
      <c r="Q315">
        <v>47.1</v>
      </c>
      <c r="R315">
        <v>49.3</v>
      </c>
      <c r="S315">
        <v>48</v>
      </c>
      <c r="T315">
        <v>47.5</v>
      </c>
      <c r="U315">
        <v>56.9</v>
      </c>
      <c r="V315">
        <v>47.1</v>
      </c>
      <c r="W315">
        <v>50.1</v>
      </c>
      <c r="X315">
        <v>47.4</v>
      </c>
      <c r="Y315">
        <v>50.8</v>
      </c>
      <c r="Z315">
        <v>50.1</v>
      </c>
      <c r="AA315">
        <v>49.5</v>
      </c>
      <c r="AB315">
        <v>47.5</v>
      </c>
      <c r="AC315">
        <v>52.4</v>
      </c>
      <c r="AD315">
        <v>50.8</v>
      </c>
    </row>
    <row r="316" spans="1:30" x14ac:dyDescent="0.2">
      <c r="A316" s="79">
        <v>43831</v>
      </c>
      <c r="B316">
        <v>45.4</v>
      </c>
      <c r="C316">
        <v>51</v>
      </c>
      <c r="D316">
        <v>50.6</v>
      </c>
      <c r="E316">
        <v>45.2</v>
      </c>
      <c r="F316">
        <v>53.2</v>
      </c>
      <c r="G316">
        <v>47.9</v>
      </c>
      <c r="H316">
        <v>51.1</v>
      </c>
      <c r="I316">
        <v>45.3</v>
      </c>
      <c r="J316">
        <v>54.4</v>
      </c>
      <c r="K316">
        <v>46.8</v>
      </c>
      <c r="L316">
        <v>55.3</v>
      </c>
      <c r="M316">
        <v>49.3</v>
      </c>
      <c r="N316">
        <v>51.4</v>
      </c>
      <c r="O316">
        <v>48.9</v>
      </c>
      <c r="P316">
        <v>48.8</v>
      </c>
      <c r="Q316">
        <v>49</v>
      </c>
      <c r="R316">
        <v>49.6</v>
      </c>
      <c r="S316">
        <v>47.4</v>
      </c>
      <c r="T316">
        <v>47.9</v>
      </c>
      <c r="U316">
        <v>54.9</v>
      </c>
      <c r="V316">
        <v>45.2</v>
      </c>
      <c r="W316">
        <v>49.8</v>
      </c>
      <c r="X316">
        <v>48.5</v>
      </c>
      <c r="Y316">
        <v>51.8</v>
      </c>
      <c r="Z316">
        <v>49.9</v>
      </c>
      <c r="AA316">
        <v>51.3</v>
      </c>
      <c r="AB316">
        <v>50</v>
      </c>
      <c r="AC316">
        <v>51.9</v>
      </c>
      <c r="AD316">
        <v>50.6</v>
      </c>
    </row>
    <row r="317" spans="1:30" x14ac:dyDescent="0.2">
      <c r="A317" s="79">
        <v>43862</v>
      </c>
      <c r="B317">
        <v>44.3</v>
      </c>
      <c r="C317">
        <v>52.3</v>
      </c>
      <c r="D317">
        <v>51.8</v>
      </c>
      <c r="E317">
        <v>46.5</v>
      </c>
      <c r="F317">
        <v>49.2</v>
      </c>
      <c r="G317">
        <v>49.2</v>
      </c>
      <c r="H317">
        <v>49.8</v>
      </c>
      <c r="I317">
        <v>48</v>
      </c>
      <c r="J317">
        <v>56.2</v>
      </c>
      <c r="K317">
        <v>33.1</v>
      </c>
      <c r="L317">
        <v>54.5</v>
      </c>
      <c r="M317">
        <v>51.9</v>
      </c>
      <c r="N317">
        <v>51.2</v>
      </c>
      <c r="O317">
        <v>48.7</v>
      </c>
      <c r="P317">
        <v>47.8</v>
      </c>
      <c r="Q317">
        <v>50</v>
      </c>
      <c r="R317">
        <v>53.2</v>
      </c>
      <c r="S317">
        <v>48.2</v>
      </c>
      <c r="T317">
        <v>48.2</v>
      </c>
      <c r="U317">
        <v>52.5</v>
      </c>
      <c r="V317">
        <v>44.3</v>
      </c>
      <c r="W317">
        <v>48.7</v>
      </c>
      <c r="X317">
        <v>50.4</v>
      </c>
      <c r="Y317">
        <v>49.9</v>
      </c>
      <c r="Z317">
        <v>49.5</v>
      </c>
      <c r="AA317">
        <v>52.4</v>
      </c>
      <c r="AB317">
        <v>51.7</v>
      </c>
      <c r="AC317">
        <v>50.7</v>
      </c>
      <c r="AD317">
        <v>49</v>
      </c>
    </row>
    <row r="318" spans="1:30" x14ac:dyDescent="0.2">
      <c r="A318" s="79">
        <v>43891</v>
      </c>
      <c r="B318">
        <v>53.7</v>
      </c>
      <c r="C318">
        <v>48.4</v>
      </c>
      <c r="D318">
        <v>46.1</v>
      </c>
      <c r="E318">
        <v>41.3</v>
      </c>
      <c r="F318">
        <v>46.8</v>
      </c>
      <c r="G318">
        <v>44.5</v>
      </c>
      <c r="H318">
        <v>43.2</v>
      </c>
      <c r="I318">
        <v>45.4</v>
      </c>
      <c r="J318">
        <v>42.5</v>
      </c>
      <c r="K318">
        <v>34.9</v>
      </c>
      <c r="L318">
        <v>51.8</v>
      </c>
      <c r="M318">
        <v>45.3</v>
      </c>
      <c r="N318">
        <v>45.1</v>
      </c>
      <c r="O318">
        <v>40.299999999999997</v>
      </c>
      <c r="P318">
        <v>44.2</v>
      </c>
      <c r="Q318">
        <v>46.9</v>
      </c>
      <c r="R318">
        <v>38</v>
      </c>
      <c r="S318">
        <v>42.4</v>
      </c>
      <c r="T318">
        <v>47.5</v>
      </c>
      <c r="U318">
        <v>42.4</v>
      </c>
      <c r="V318">
        <v>48.1</v>
      </c>
      <c r="W318">
        <v>44.2</v>
      </c>
      <c r="X318">
        <v>45.7</v>
      </c>
      <c r="Y318">
        <v>50.4</v>
      </c>
      <c r="Z318">
        <v>46.7</v>
      </c>
      <c r="AA318">
        <v>48.1</v>
      </c>
      <c r="AB318">
        <v>47.8</v>
      </c>
      <c r="AC318">
        <v>48.5</v>
      </c>
      <c r="AD318">
        <v>41.9</v>
      </c>
    </row>
    <row r="319" spans="1:30" x14ac:dyDescent="0.2">
      <c r="A319" s="79">
        <v>43922</v>
      </c>
      <c r="B319">
        <v>35.799999999999997</v>
      </c>
      <c r="C319">
        <v>36</v>
      </c>
      <c r="D319">
        <v>33</v>
      </c>
      <c r="E319">
        <v>35.1</v>
      </c>
      <c r="F319">
        <v>38.6</v>
      </c>
      <c r="G319">
        <v>33.4</v>
      </c>
      <c r="H319">
        <v>31.5</v>
      </c>
      <c r="I319">
        <v>34.5</v>
      </c>
      <c r="J319">
        <v>29.5</v>
      </c>
      <c r="K319">
        <v>36.9</v>
      </c>
      <c r="L319">
        <v>27.4</v>
      </c>
      <c r="M319">
        <v>27.5</v>
      </c>
      <c r="N319">
        <v>36</v>
      </c>
      <c r="O319">
        <v>31.1</v>
      </c>
      <c r="P319">
        <v>41.9</v>
      </c>
      <c r="Q319">
        <v>35</v>
      </c>
      <c r="R319">
        <v>26.1</v>
      </c>
      <c r="S319">
        <v>31.9</v>
      </c>
      <c r="T319">
        <v>31.3</v>
      </c>
      <c r="U319">
        <v>44.4</v>
      </c>
      <c r="V319">
        <v>46.1</v>
      </c>
      <c r="W319">
        <v>41.6</v>
      </c>
      <c r="X319">
        <v>30.8</v>
      </c>
      <c r="Y319">
        <v>42.2</v>
      </c>
      <c r="Z319">
        <v>36.799999999999997</v>
      </c>
      <c r="AA319">
        <v>33.4</v>
      </c>
      <c r="AB319">
        <v>32.6</v>
      </c>
      <c r="AC319">
        <v>36.1</v>
      </c>
      <c r="AD319">
        <v>32.700000000000003</v>
      </c>
    </row>
    <row r="320" spans="1:30" x14ac:dyDescent="0.2">
      <c r="A320" s="79">
        <v>43952</v>
      </c>
      <c r="B320">
        <v>41.6</v>
      </c>
      <c r="C320">
        <v>38.299999999999997</v>
      </c>
      <c r="D320">
        <v>40.6</v>
      </c>
      <c r="E320">
        <v>39.6</v>
      </c>
      <c r="F320">
        <v>54</v>
      </c>
      <c r="G320">
        <v>39.4</v>
      </c>
      <c r="H320">
        <v>40.6</v>
      </c>
      <c r="I320">
        <v>36.6</v>
      </c>
      <c r="J320">
        <v>41.1</v>
      </c>
      <c r="K320">
        <v>43.9</v>
      </c>
      <c r="L320">
        <v>30.8</v>
      </c>
      <c r="M320">
        <v>28.6</v>
      </c>
      <c r="N320">
        <v>39.200000000000003</v>
      </c>
      <c r="O320">
        <v>45.4</v>
      </c>
      <c r="P320">
        <v>38.4</v>
      </c>
      <c r="Q320">
        <v>38.299999999999997</v>
      </c>
      <c r="R320">
        <v>39.700000000000003</v>
      </c>
      <c r="S320">
        <v>40.6</v>
      </c>
      <c r="T320">
        <v>36.200000000000003</v>
      </c>
      <c r="U320">
        <v>48.1</v>
      </c>
      <c r="V320">
        <v>50.2</v>
      </c>
      <c r="W320">
        <v>41.3</v>
      </c>
      <c r="X320">
        <v>38.299999999999997</v>
      </c>
      <c r="Y320">
        <v>41.9</v>
      </c>
      <c r="Z320">
        <v>41.6</v>
      </c>
      <c r="AA320">
        <v>40.9</v>
      </c>
      <c r="AB320">
        <v>40.700000000000003</v>
      </c>
      <c r="AC320">
        <v>39.799999999999997</v>
      </c>
      <c r="AD320">
        <v>42.7</v>
      </c>
    </row>
    <row r="321" spans="1:30" x14ac:dyDescent="0.2">
      <c r="A321" s="79">
        <v>43983</v>
      </c>
      <c r="B321">
        <v>51.5</v>
      </c>
      <c r="C321">
        <v>51.6</v>
      </c>
      <c r="D321">
        <v>47.8</v>
      </c>
      <c r="E321">
        <v>44.9</v>
      </c>
      <c r="F321">
        <v>52.2</v>
      </c>
      <c r="G321">
        <v>47.4</v>
      </c>
      <c r="H321">
        <v>52.3</v>
      </c>
      <c r="I321">
        <v>45.2</v>
      </c>
      <c r="J321">
        <v>49.4</v>
      </c>
      <c r="K321">
        <v>49.6</v>
      </c>
      <c r="L321">
        <v>47.2</v>
      </c>
      <c r="M321">
        <v>39.1</v>
      </c>
      <c r="N321">
        <v>51</v>
      </c>
      <c r="O321">
        <v>47.5</v>
      </c>
      <c r="P321">
        <v>40.1</v>
      </c>
      <c r="Q321">
        <v>38.6</v>
      </c>
      <c r="R321">
        <v>56.3</v>
      </c>
      <c r="S321">
        <v>47.2</v>
      </c>
      <c r="T321">
        <v>49.4</v>
      </c>
      <c r="U321">
        <v>47.7</v>
      </c>
      <c r="V321">
        <v>53.9</v>
      </c>
      <c r="W321">
        <v>43.4</v>
      </c>
      <c r="X321">
        <v>49</v>
      </c>
      <c r="Y321">
        <v>46.2</v>
      </c>
      <c r="Z321">
        <v>43.5</v>
      </c>
      <c r="AA321">
        <v>53.9</v>
      </c>
      <c r="AB321">
        <v>50.1</v>
      </c>
      <c r="AC321">
        <v>49.8</v>
      </c>
      <c r="AD321">
        <v>51.1</v>
      </c>
    </row>
    <row r="322" spans="1:30" x14ac:dyDescent="0.2">
      <c r="A322" s="79">
        <v>44013</v>
      </c>
      <c r="B322">
        <v>53.5</v>
      </c>
      <c r="C322">
        <v>58.2</v>
      </c>
      <c r="D322">
        <v>52.9</v>
      </c>
      <c r="E322">
        <v>47</v>
      </c>
      <c r="F322">
        <v>57.4</v>
      </c>
      <c r="G322">
        <v>51.8</v>
      </c>
      <c r="H322">
        <v>52.4</v>
      </c>
      <c r="I322">
        <v>51</v>
      </c>
      <c r="J322">
        <v>48.6</v>
      </c>
      <c r="K322">
        <v>44.5</v>
      </c>
      <c r="L322">
        <v>46</v>
      </c>
      <c r="M322">
        <v>46.9</v>
      </c>
      <c r="N322">
        <v>57.3</v>
      </c>
      <c r="O322">
        <v>51.9</v>
      </c>
      <c r="P322">
        <v>45.2</v>
      </c>
      <c r="Q322">
        <v>40.4</v>
      </c>
      <c r="R322">
        <v>59</v>
      </c>
      <c r="S322">
        <v>52.8</v>
      </c>
      <c r="T322">
        <v>48.4</v>
      </c>
      <c r="U322">
        <v>48.8</v>
      </c>
      <c r="V322">
        <v>51.2</v>
      </c>
      <c r="W322">
        <v>46.9</v>
      </c>
      <c r="X322">
        <v>53.5</v>
      </c>
      <c r="Y322">
        <v>50.6</v>
      </c>
      <c r="Z322">
        <v>45.9</v>
      </c>
      <c r="AA322">
        <v>56.9</v>
      </c>
      <c r="AB322">
        <v>53.3</v>
      </c>
      <c r="AC322">
        <v>50.9</v>
      </c>
      <c r="AD322">
        <v>47.6</v>
      </c>
    </row>
    <row r="323" spans="1:30" x14ac:dyDescent="0.2">
      <c r="A323" s="79">
        <v>44044</v>
      </c>
      <c r="B323">
        <v>49.3</v>
      </c>
      <c r="C323">
        <v>64.7</v>
      </c>
      <c r="D323">
        <v>55.1</v>
      </c>
      <c r="E323">
        <v>49.1</v>
      </c>
      <c r="F323">
        <v>52.3</v>
      </c>
      <c r="G323">
        <v>51.7</v>
      </c>
      <c r="H323">
        <v>49.8</v>
      </c>
      <c r="I323">
        <v>52.2</v>
      </c>
      <c r="J323">
        <v>49.4</v>
      </c>
      <c r="K323">
        <v>44</v>
      </c>
      <c r="L323">
        <v>52</v>
      </c>
      <c r="M323">
        <v>50.8</v>
      </c>
      <c r="N323">
        <v>52.3</v>
      </c>
      <c r="O323">
        <v>53.1</v>
      </c>
      <c r="P323">
        <v>47.2</v>
      </c>
      <c r="Q323">
        <v>41.3</v>
      </c>
      <c r="R323">
        <v>51</v>
      </c>
      <c r="S323">
        <v>50.6</v>
      </c>
      <c r="T323">
        <v>51.1</v>
      </c>
      <c r="U323">
        <v>50</v>
      </c>
      <c r="V323">
        <v>57.3</v>
      </c>
      <c r="W323">
        <v>48.5</v>
      </c>
      <c r="X323">
        <v>49.9</v>
      </c>
      <c r="Y323">
        <v>52.2</v>
      </c>
      <c r="Z323">
        <v>49.7</v>
      </c>
      <c r="AA323">
        <v>54.3</v>
      </c>
      <c r="AB323">
        <v>55.2</v>
      </c>
      <c r="AC323">
        <v>53.1</v>
      </c>
      <c r="AD323">
        <v>45.7</v>
      </c>
    </row>
    <row r="324" spans="1:30" x14ac:dyDescent="0.2">
      <c r="A324" s="79">
        <v>44075</v>
      </c>
      <c r="B324">
        <v>46.7</v>
      </c>
      <c r="C324">
        <v>64.900000000000006</v>
      </c>
      <c r="D324">
        <v>56</v>
      </c>
      <c r="E324">
        <v>50.7</v>
      </c>
      <c r="F324">
        <v>54.4</v>
      </c>
      <c r="G324">
        <v>53.7</v>
      </c>
      <c r="H324">
        <v>51.2</v>
      </c>
      <c r="I324">
        <v>56.4</v>
      </c>
      <c r="J324">
        <v>50</v>
      </c>
      <c r="K324">
        <v>47.7</v>
      </c>
      <c r="L324">
        <v>56.8</v>
      </c>
      <c r="M324">
        <v>47.2</v>
      </c>
      <c r="N324">
        <v>50</v>
      </c>
      <c r="O324">
        <v>53.2</v>
      </c>
      <c r="P324">
        <v>47.7</v>
      </c>
      <c r="Q324">
        <v>42.1</v>
      </c>
      <c r="R324">
        <v>54</v>
      </c>
      <c r="S324">
        <v>50.8</v>
      </c>
      <c r="T324">
        <v>48.9</v>
      </c>
      <c r="U324">
        <v>50.7</v>
      </c>
      <c r="V324">
        <v>58.3</v>
      </c>
      <c r="W324">
        <v>49.8</v>
      </c>
      <c r="X324">
        <v>50.8</v>
      </c>
      <c r="Y324">
        <v>55.2</v>
      </c>
      <c r="Z324">
        <v>49.9</v>
      </c>
      <c r="AA324">
        <v>52.8</v>
      </c>
      <c r="AB324">
        <v>54.1</v>
      </c>
      <c r="AC324">
        <v>53.2</v>
      </c>
      <c r="AD324">
        <v>52.2</v>
      </c>
    </row>
    <row r="325" spans="1:30" x14ac:dyDescent="0.2">
      <c r="A325" s="79">
        <v>44105</v>
      </c>
      <c r="B325">
        <v>56.3</v>
      </c>
      <c r="C325">
        <v>66.7</v>
      </c>
      <c r="D325">
        <v>55.5</v>
      </c>
      <c r="E325">
        <v>51.9</v>
      </c>
      <c r="F325">
        <v>61.8</v>
      </c>
      <c r="G325">
        <v>54.8</v>
      </c>
      <c r="H325">
        <v>51.3</v>
      </c>
      <c r="I325">
        <v>58.2</v>
      </c>
      <c r="J325">
        <v>48.7</v>
      </c>
      <c r="K325">
        <v>49.8</v>
      </c>
      <c r="L325">
        <v>58.9</v>
      </c>
      <c r="M325">
        <v>47.8</v>
      </c>
      <c r="N325">
        <v>50.3</v>
      </c>
      <c r="O325">
        <v>53.8</v>
      </c>
      <c r="P325">
        <v>48.7</v>
      </c>
      <c r="Q325">
        <v>43.6</v>
      </c>
      <c r="R325">
        <v>51.7</v>
      </c>
      <c r="S325">
        <v>50.8</v>
      </c>
      <c r="T325">
        <v>46.9</v>
      </c>
      <c r="U325">
        <v>51</v>
      </c>
      <c r="V325">
        <v>60.9</v>
      </c>
      <c r="W325">
        <v>51.2</v>
      </c>
      <c r="X325">
        <v>52.5</v>
      </c>
      <c r="Y325">
        <v>55.1</v>
      </c>
      <c r="Z325">
        <v>50.8</v>
      </c>
      <c r="AA325">
        <v>53.9</v>
      </c>
      <c r="AB325">
        <v>53.7</v>
      </c>
      <c r="AC325">
        <v>53.4</v>
      </c>
      <c r="AD325">
        <v>51.8</v>
      </c>
    </row>
    <row r="326" spans="1:30" x14ac:dyDescent="0.2">
      <c r="A326" s="79">
        <v>44136</v>
      </c>
      <c r="B326">
        <v>52.1</v>
      </c>
      <c r="C326">
        <v>64</v>
      </c>
      <c r="D326">
        <v>55.8</v>
      </c>
      <c r="E326">
        <v>53.9</v>
      </c>
      <c r="F326">
        <v>47.7</v>
      </c>
      <c r="G326">
        <v>53.8</v>
      </c>
      <c r="H326">
        <v>49.6</v>
      </c>
      <c r="I326">
        <v>57.8</v>
      </c>
      <c r="J326">
        <v>42.3</v>
      </c>
      <c r="K326">
        <v>50.1</v>
      </c>
      <c r="L326">
        <v>56.3</v>
      </c>
      <c r="M326">
        <v>50.6</v>
      </c>
      <c r="N326">
        <v>52.2</v>
      </c>
      <c r="O326">
        <v>51.5</v>
      </c>
      <c r="P326">
        <v>49</v>
      </c>
      <c r="Q326">
        <v>43.7</v>
      </c>
      <c r="R326">
        <v>55.3</v>
      </c>
      <c r="S326">
        <v>50.8</v>
      </c>
      <c r="T326">
        <v>46.3</v>
      </c>
      <c r="U326">
        <v>54.7</v>
      </c>
      <c r="V326">
        <v>52.6</v>
      </c>
      <c r="W326">
        <v>52.9</v>
      </c>
      <c r="X326">
        <v>49.8</v>
      </c>
      <c r="Y326">
        <v>56.9</v>
      </c>
      <c r="Z326">
        <v>50.4</v>
      </c>
      <c r="AA326">
        <v>51.4</v>
      </c>
      <c r="AB326">
        <v>55.6</v>
      </c>
      <c r="AC326">
        <v>56.7</v>
      </c>
      <c r="AD326">
        <v>49.9</v>
      </c>
    </row>
    <row r="327" spans="1:30" x14ac:dyDescent="0.2">
      <c r="A327" s="79">
        <v>44166</v>
      </c>
      <c r="B327">
        <v>55.3</v>
      </c>
      <c r="C327">
        <v>61.5</v>
      </c>
      <c r="D327">
        <v>57.9</v>
      </c>
      <c r="E327">
        <v>57</v>
      </c>
      <c r="F327">
        <v>41.9</v>
      </c>
      <c r="G327">
        <v>55.2</v>
      </c>
      <c r="H327">
        <v>51.1</v>
      </c>
      <c r="I327">
        <v>58.3</v>
      </c>
      <c r="J327">
        <v>46.9</v>
      </c>
      <c r="K327">
        <v>43.5</v>
      </c>
      <c r="L327">
        <v>56.4</v>
      </c>
      <c r="M327">
        <v>51.3</v>
      </c>
      <c r="N327">
        <v>57.2</v>
      </c>
      <c r="O327">
        <v>52.8</v>
      </c>
      <c r="P327">
        <v>50</v>
      </c>
      <c r="Q327">
        <v>42.4</v>
      </c>
      <c r="R327">
        <v>48.7</v>
      </c>
      <c r="S327">
        <v>51.7</v>
      </c>
      <c r="T327">
        <v>49.7</v>
      </c>
      <c r="U327">
        <v>57</v>
      </c>
      <c r="V327">
        <v>50.3</v>
      </c>
      <c r="W327">
        <v>52.9</v>
      </c>
      <c r="X327">
        <v>51</v>
      </c>
      <c r="Y327">
        <v>59.4</v>
      </c>
      <c r="Z327">
        <v>50.8</v>
      </c>
      <c r="AA327">
        <v>50.8</v>
      </c>
      <c r="AB327">
        <v>57.5</v>
      </c>
      <c r="AC327">
        <v>57.1</v>
      </c>
      <c r="AD327">
        <v>51.7</v>
      </c>
    </row>
    <row r="328" spans="1:30" x14ac:dyDescent="0.2">
      <c r="A328" s="79">
        <v>44197</v>
      </c>
      <c r="B328">
        <v>55.3</v>
      </c>
      <c r="C328">
        <v>56.5</v>
      </c>
      <c r="D328">
        <v>54.4</v>
      </c>
      <c r="E328">
        <v>57</v>
      </c>
      <c r="F328">
        <v>42.1</v>
      </c>
      <c r="G328">
        <v>54.8</v>
      </c>
      <c r="H328">
        <v>51.6</v>
      </c>
      <c r="I328">
        <v>57.1</v>
      </c>
      <c r="J328">
        <v>50</v>
      </c>
      <c r="K328">
        <v>47.8</v>
      </c>
      <c r="L328">
        <v>57.7</v>
      </c>
      <c r="M328">
        <v>52.2</v>
      </c>
      <c r="N328">
        <v>51.8</v>
      </c>
      <c r="O328">
        <v>55.1</v>
      </c>
      <c r="P328">
        <v>49.8</v>
      </c>
      <c r="Q328">
        <v>43</v>
      </c>
      <c r="R328">
        <v>58.05</v>
      </c>
      <c r="S328">
        <v>51.9</v>
      </c>
      <c r="T328">
        <v>50.9</v>
      </c>
      <c r="U328">
        <v>57.1</v>
      </c>
      <c r="V328">
        <v>50.3</v>
      </c>
      <c r="W328">
        <v>53.2</v>
      </c>
      <c r="X328">
        <v>49.3</v>
      </c>
      <c r="Y328">
        <v>60.2</v>
      </c>
      <c r="Z328">
        <v>49</v>
      </c>
      <c r="AA328">
        <v>54.4</v>
      </c>
      <c r="AB328">
        <v>54.1</v>
      </c>
      <c r="AC328">
        <v>59.2</v>
      </c>
      <c r="AD328">
        <v>51.3</v>
      </c>
    </row>
    <row r="329" spans="1:30" x14ac:dyDescent="0.2">
      <c r="A329" s="79">
        <v>44228</v>
      </c>
      <c r="B329">
        <v>58.8</v>
      </c>
      <c r="C329">
        <v>58.4</v>
      </c>
      <c r="D329">
        <v>54.8</v>
      </c>
      <c r="E329">
        <v>56.5</v>
      </c>
      <c r="F329">
        <v>40.799999999999997</v>
      </c>
      <c r="G329">
        <v>57.9</v>
      </c>
      <c r="H329">
        <v>56.1</v>
      </c>
      <c r="I329">
        <v>60.7</v>
      </c>
      <c r="J329">
        <v>49.4</v>
      </c>
      <c r="K329">
        <v>50.2</v>
      </c>
      <c r="L329">
        <v>57.5</v>
      </c>
      <c r="M329">
        <v>50.9</v>
      </c>
      <c r="N329">
        <v>52</v>
      </c>
      <c r="O329">
        <v>56.9</v>
      </c>
      <c r="P329">
        <v>51.4</v>
      </c>
      <c r="Q329">
        <v>44.2</v>
      </c>
      <c r="R329">
        <v>54.21</v>
      </c>
      <c r="S329">
        <v>53.4</v>
      </c>
      <c r="T329">
        <v>51.5</v>
      </c>
      <c r="U329">
        <v>53.9</v>
      </c>
      <c r="V329">
        <v>53</v>
      </c>
      <c r="W329">
        <v>55.3</v>
      </c>
      <c r="X329">
        <v>52.9</v>
      </c>
      <c r="Y329">
        <v>60.4</v>
      </c>
      <c r="Z329">
        <v>47.2</v>
      </c>
      <c r="AA329">
        <v>51.7</v>
      </c>
      <c r="AB329">
        <v>55.1</v>
      </c>
      <c r="AC329">
        <v>58.6</v>
      </c>
      <c r="AD329">
        <v>51.6</v>
      </c>
    </row>
    <row r="330" spans="1:30" x14ac:dyDescent="0.2">
      <c r="A330" s="79">
        <v>44256</v>
      </c>
      <c r="B330">
        <v>59.9</v>
      </c>
      <c r="C330">
        <v>52.8</v>
      </c>
      <c r="D330">
        <v>58.5</v>
      </c>
      <c r="E330">
        <v>58</v>
      </c>
      <c r="F330">
        <v>67.599999999999994</v>
      </c>
      <c r="G330">
        <v>62.5</v>
      </c>
      <c r="H330">
        <v>59.3</v>
      </c>
      <c r="I330">
        <v>66.599999999999994</v>
      </c>
      <c r="J330">
        <v>51.8</v>
      </c>
      <c r="K330">
        <v>50.5</v>
      </c>
      <c r="L330">
        <v>55.4</v>
      </c>
      <c r="M330">
        <v>53.2</v>
      </c>
      <c r="N330">
        <v>57.1</v>
      </c>
      <c r="O330">
        <v>59.8</v>
      </c>
      <c r="P330">
        <v>52.7</v>
      </c>
      <c r="Q330">
        <v>45.6</v>
      </c>
      <c r="R330">
        <v>63.6</v>
      </c>
      <c r="S330">
        <v>54.3</v>
      </c>
      <c r="T330">
        <v>51.1</v>
      </c>
      <c r="U330">
        <v>53.3</v>
      </c>
      <c r="V330">
        <v>57.4</v>
      </c>
      <c r="W330">
        <v>55.3</v>
      </c>
      <c r="X330">
        <v>56.9</v>
      </c>
      <c r="Y330">
        <v>60.8</v>
      </c>
      <c r="Z330">
        <v>48.8</v>
      </c>
      <c r="AA330">
        <v>52.6</v>
      </c>
      <c r="AB330">
        <v>58.9</v>
      </c>
      <c r="AC330">
        <v>59.1</v>
      </c>
      <c r="AD330">
        <v>53.6</v>
      </c>
    </row>
    <row r="331" spans="1:30" x14ac:dyDescent="0.2">
      <c r="A331" s="79">
        <v>44287</v>
      </c>
      <c r="B331">
        <v>61.7</v>
      </c>
      <c r="C331">
        <v>52.3</v>
      </c>
      <c r="D331">
        <v>57.2</v>
      </c>
      <c r="E331">
        <v>58.9</v>
      </c>
      <c r="F331">
        <v>72</v>
      </c>
      <c r="G331">
        <v>62.9</v>
      </c>
      <c r="H331">
        <v>58.9</v>
      </c>
      <c r="I331">
        <v>66.2</v>
      </c>
      <c r="J331">
        <v>54.4</v>
      </c>
      <c r="K331">
        <v>50.3</v>
      </c>
      <c r="L331">
        <v>55.5</v>
      </c>
      <c r="M331">
        <v>54.6</v>
      </c>
      <c r="N331">
        <v>60.8</v>
      </c>
      <c r="O331">
        <v>60.7</v>
      </c>
      <c r="P331">
        <v>53.6</v>
      </c>
      <c r="Q331">
        <v>48.4</v>
      </c>
      <c r="R331">
        <v>58.3</v>
      </c>
      <c r="S331">
        <v>53.7</v>
      </c>
      <c r="T331">
        <v>50.4</v>
      </c>
      <c r="U331">
        <v>55.2</v>
      </c>
      <c r="V331">
        <v>56.2</v>
      </c>
      <c r="W331">
        <v>54.6</v>
      </c>
      <c r="X331">
        <v>57.7</v>
      </c>
      <c r="Y331">
        <v>62.4</v>
      </c>
      <c r="Z331">
        <v>50.7</v>
      </c>
      <c r="AA331">
        <v>50.4</v>
      </c>
      <c r="AB331">
        <v>60.9</v>
      </c>
      <c r="AC331">
        <v>60.5</v>
      </c>
      <c r="AD331">
        <v>54.7</v>
      </c>
    </row>
    <row r="332" spans="1:30" x14ac:dyDescent="0.2">
      <c r="A332" s="79">
        <v>44317</v>
      </c>
      <c r="B332">
        <v>61.8</v>
      </c>
      <c r="C332">
        <v>53.7</v>
      </c>
      <c r="D332">
        <v>57</v>
      </c>
      <c r="E332">
        <v>61.8</v>
      </c>
      <c r="F332">
        <v>67.7</v>
      </c>
      <c r="G332">
        <v>63.1</v>
      </c>
      <c r="H332">
        <v>59.4</v>
      </c>
      <c r="I332">
        <v>64.400000000000006</v>
      </c>
      <c r="J332">
        <v>58</v>
      </c>
      <c r="K332">
        <v>52.5</v>
      </c>
      <c r="L332">
        <v>50.8</v>
      </c>
      <c r="M332">
        <v>55.3</v>
      </c>
      <c r="N332">
        <v>64.099999999999994</v>
      </c>
      <c r="O332">
        <v>62.3</v>
      </c>
      <c r="P332">
        <v>53</v>
      </c>
      <c r="Q332">
        <v>47.6</v>
      </c>
      <c r="R332">
        <v>58.6</v>
      </c>
      <c r="S332">
        <v>57.2</v>
      </c>
      <c r="T332">
        <v>51.9</v>
      </c>
      <c r="U332">
        <v>56.4</v>
      </c>
      <c r="V332">
        <v>57.8</v>
      </c>
      <c r="W332">
        <v>53.7</v>
      </c>
      <c r="X332">
        <v>59.4</v>
      </c>
      <c r="Y332">
        <v>62</v>
      </c>
      <c r="Z332">
        <v>47.8</v>
      </c>
      <c r="AA332">
        <v>49.3</v>
      </c>
      <c r="AB332">
        <v>65.599999999999994</v>
      </c>
      <c r="AC332">
        <v>62.6</v>
      </c>
      <c r="AD332">
        <v>53.1</v>
      </c>
    </row>
    <row r="333" spans="1:30" x14ac:dyDescent="0.2">
      <c r="A333" s="79">
        <v>44348</v>
      </c>
      <c r="B333">
        <v>63.2</v>
      </c>
      <c r="C333">
        <v>56.4</v>
      </c>
      <c r="D333">
        <v>56.5</v>
      </c>
      <c r="E333">
        <v>62.7</v>
      </c>
      <c r="F333">
        <v>62.1</v>
      </c>
      <c r="G333">
        <v>63.4</v>
      </c>
      <c r="H333">
        <v>59</v>
      </c>
      <c r="I333">
        <v>65.099999999999994</v>
      </c>
      <c r="J333">
        <v>58.6</v>
      </c>
      <c r="K333">
        <v>51.4</v>
      </c>
      <c r="L333">
        <v>48.1</v>
      </c>
      <c r="M333">
        <v>53.5</v>
      </c>
      <c r="N333">
        <v>64</v>
      </c>
      <c r="O333">
        <v>62.2</v>
      </c>
      <c r="P333">
        <v>52.4</v>
      </c>
      <c r="Q333">
        <v>48.8</v>
      </c>
      <c r="R333">
        <v>60.9</v>
      </c>
      <c r="S333">
        <v>59.4</v>
      </c>
      <c r="T333">
        <v>49.2</v>
      </c>
      <c r="U333">
        <v>56.4</v>
      </c>
      <c r="V333">
        <v>57.4</v>
      </c>
      <c r="W333">
        <v>53.9</v>
      </c>
      <c r="X333">
        <v>60.4</v>
      </c>
      <c r="Y333">
        <v>57.6</v>
      </c>
      <c r="Z333">
        <v>49.5</v>
      </c>
      <c r="AA333">
        <v>51.3</v>
      </c>
      <c r="AB333">
        <v>63.9</v>
      </c>
      <c r="AC333">
        <v>62.1</v>
      </c>
      <c r="AD333">
        <v>44.1</v>
      </c>
    </row>
    <row r="334" spans="1:30" x14ac:dyDescent="0.2">
      <c r="A334" s="79">
        <v>44378</v>
      </c>
      <c r="B334">
        <v>60.8</v>
      </c>
      <c r="C334">
        <v>56.7</v>
      </c>
      <c r="D334">
        <v>56.2</v>
      </c>
      <c r="E334">
        <v>62</v>
      </c>
      <c r="F334">
        <v>69.8</v>
      </c>
      <c r="G334">
        <v>62.8</v>
      </c>
      <c r="H334">
        <v>58</v>
      </c>
      <c r="I334">
        <v>65.900000000000006</v>
      </c>
      <c r="J334">
        <v>57.4</v>
      </c>
      <c r="K334">
        <v>51.3</v>
      </c>
      <c r="L334">
        <v>55.3</v>
      </c>
      <c r="M334">
        <v>40.1</v>
      </c>
      <c r="N334">
        <v>63.3</v>
      </c>
      <c r="O334">
        <v>60.3</v>
      </c>
      <c r="P334">
        <v>53</v>
      </c>
      <c r="Q334">
        <v>49.6</v>
      </c>
      <c r="R334">
        <v>62.2</v>
      </c>
      <c r="S334">
        <v>57.6</v>
      </c>
      <c r="T334">
        <v>47.5</v>
      </c>
      <c r="U334">
        <v>55.8</v>
      </c>
      <c r="V334">
        <v>43.5</v>
      </c>
      <c r="W334">
        <v>53</v>
      </c>
      <c r="X334">
        <v>59</v>
      </c>
      <c r="Y334">
        <v>59.7</v>
      </c>
      <c r="Z334">
        <v>48.7</v>
      </c>
      <c r="AA334">
        <v>54</v>
      </c>
      <c r="AB334">
        <v>60.4</v>
      </c>
      <c r="AC334">
        <v>63.4</v>
      </c>
      <c r="AD334">
        <v>45.1</v>
      </c>
    </row>
    <row r="335" spans="1:30" x14ac:dyDescent="0.2">
      <c r="A335" s="79">
        <v>44409</v>
      </c>
      <c r="B335">
        <v>51.6</v>
      </c>
      <c r="C335">
        <v>53.6</v>
      </c>
      <c r="D335">
        <v>57.2</v>
      </c>
      <c r="E335">
        <v>61</v>
      </c>
      <c r="F335">
        <v>67.3</v>
      </c>
      <c r="G335">
        <v>61.4</v>
      </c>
      <c r="H335">
        <v>57.5</v>
      </c>
      <c r="I335">
        <v>62.6</v>
      </c>
      <c r="J335">
        <v>59.3</v>
      </c>
      <c r="K335">
        <v>53.3</v>
      </c>
      <c r="L335">
        <v>52.3</v>
      </c>
      <c r="M335">
        <v>43.7</v>
      </c>
      <c r="N335">
        <v>62.8</v>
      </c>
      <c r="O335">
        <v>60.9</v>
      </c>
      <c r="P335">
        <v>52.7</v>
      </c>
      <c r="Q335">
        <v>47.1</v>
      </c>
      <c r="R335">
        <v>39.700000000000003</v>
      </c>
      <c r="S335">
        <v>56</v>
      </c>
      <c r="T335">
        <v>46.5</v>
      </c>
      <c r="U335">
        <v>54.1</v>
      </c>
      <c r="V335">
        <v>57.9</v>
      </c>
      <c r="W335">
        <v>51.2</v>
      </c>
      <c r="X335">
        <v>59.5</v>
      </c>
      <c r="Y335">
        <v>58.5</v>
      </c>
      <c r="Z335">
        <v>48.3</v>
      </c>
      <c r="AA335">
        <v>54.1</v>
      </c>
      <c r="AB335">
        <v>60.3</v>
      </c>
      <c r="AC335">
        <v>61.1</v>
      </c>
      <c r="AD335">
        <v>40.200000000000003</v>
      </c>
    </row>
    <row r="336" spans="1:30" x14ac:dyDescent="0.2">
      <c r="A336" s="79">
        <v>44440</v>
      </c>
      <c r="B336">
        <v>51.2</v>
      </c>
      <c r="C336">
        <v>54.4</v>
      </c>
      <c r="D336">
        <v>57</v>
      </c>
      <c r="E336">
        <v>58</v>
      </c>
      <c r="F336">
        <v>65.2</v>
      </c>
      <c r="G336">
        <v>58.6</v>
      </c>
      <c r="H336">
        <v>55</v>
      </c>
      <c r="I336">
        <v>58.4</v>
      </c>
      <c r="J336">
        <v>58.4</v>
      </c>
      <c r="K336">
        <v>51.7</v>
      </c>
      <c r="L336">
        <v>53.7</v>
      </c>
      <c r="M336">
        <v>52.2</v>
      </c>
      <c r="N336">
        <v>60.3</v>
      </c>
      <c r="O336">
        <v>59.7</v>
      </c>
      <c r="P336">
        <v>51.5</v>
      </c>
      <c r="Q336">
        <v>48.6</v>
      </c>
      <c r="R336">
        <v>51.4</v>
      </c>
      <c r="S336">
        <v>53.4</v>
      </c>
      <c r="T336">
        <v>49.8</v>
      </c>
      <c r="U336">
        <v>58.6</v>
      </c>
      <c r="V336">
        <v>54.7</v>
      </c>
      <c r="W336">
        <v>52.4</v>
      </c>
      <c r="X336">
        <v>58.1</v>
      </c>
      <c r="Y336">
        <v>54.7</v>
      </c>
      <c r="Z336">
        <v>48.9</v>
      </c>
      <c r="AA336">
        <v>52.5</v>
      </c>
      <c r="AB336">
        <v>57.1</v>
      </c>
      <c r="AC336">
        <v>60.7</v>
      </c>
      <c r="AD336">
        <v>40.200000000000003</v>
      </c>
    </row>
    <row r="337" spans="1:30" x14ac:dyDescent="0.2">
      <c r="A337" s="79">
        <v>44470</v>
      </c>
      <c r="B337">
        <v>50.4</v>
      </c>
      <c r="C337">
        <v>51.7</v>
      </c>
      <c r="D337">
        <v>57.7</v>
      </c>
      <c r="E337">
        <v>55.1</v>
      </c>
      <c r="F337">
        <v>71.900000000000006</v>
      </c>
      <c r="G337">
        <v>58.3</v>
      </c>
      <c r="H337">
        <v>53.6</v>
      </c>
      <c r="I337">
        <v>57.8</v>
      </c>
      <c r="J337">
        <v>58.9</v>
      </c>
      <c r="K337">
        <v>50.8</v>
      </c>
      <c r="L337">
        <v>55.9</v>
      </c>
      <c r="M337">
        <v>57.2</v>
      </c>
      <c r="N337">
        <v>62.1</v>
      </c>
      <c r="O337">
        <v>61.1</v>
      </c>
      <c r="P337">
        <v>53.2</v>
      </c>
      <c r="Q337">
        <v>49.3</v>
      </c>
      <c r="R337">
        <v>54.3</v>
      </c>
      <c r="S337">
        <v>53.8</v>
      </c>
      <c r="T337">
        <v>51.6</v>
      </c>
      <c r="U337">
        <v>57.7</v>
      </c>
      <c r="V337">
        <v>53.6</v>
      </c>
      <c r="W337">
        <v>50.2</v>
      </c>
      <c r="X337">
        <v>57.4</v>
      </c>
      <c r="Y337">
        <v>55.2</v>
      </c>
      <c r="Z337">
        <v>50.9</v>
      </c>
      <c r="AA337">
        <v>51.2</v>
      </c>
      <c r="AB337">
        <v>57.8</v>
      </c>
      <c r="AC337">
        <v>58.4</v>
      </c>
      <c r="AD337">
        <v>52.1</v>
      </c>
    </row>
    <row r="338" spans="1:30" x14ac:dyDescent="0.2">
      <c r="A338" s="79">
        <v>44501</v>
      </c>
      <c r="B338">
        <v>54.8</v>
      </c>
      <c r="C338">
        <v>49.8</v>
      </c>
      <c r="D338">
        <v>57.2</v>
      </c>
      <c r="E338">
        <v>57.1</v>
      </c>
      <c r="F338">
        <v>68.2</v>
      </c>
      <c r="G338">
        <v>58.4</v>
      </c>
      <c r="H338">
        <v>55.9</v>
      </c>
      <c r="I338">
        <v>57.4</v>
      </c>
      <c r="J338">
        <v>58.8</v>
      </c>
      <c r="K338">
        <v>52.6</v>
      </c>
      <c r="L338">
        <v>57.6</v>
      </c>
      <c r="M338">
        <v>53.9</v>
      </c>
      <c r="N338">
        <v>59.9</v>
      </c>
      <c r="O338">
        <v>62.8</v>
      </c>
      <c r="P338">
        <v>54.5</v>
      </c>
      <c r="Q338">
        <v>49.4</v>
      </c>
      <c r="R338">
        <v>50.6</v>
      </c>
      <c r="S338">
        <v>54.4</v>
      </c>
      <c r="T338">
        <v>51.7</v>
      </c>
      <c r="U338">
        <v>56.9</v>
      </c>
      <c r="V338">
        <v>57.2</v>
      </c>
      <c r="W338">
        <v>50.9</v>
      </c>
      <c r="X338">
        <v>57.1</v>
      </c>
      <c r="Y338">
        <v>54.9</v>
      </c>
      <c r="Z338">
        <v>50.6</v>
      </c>
      <c r="AA338">
        <v>52</v>
      </c>
      <c r="AB338">
        <v>58.1</v>
      </c>
      <c r="AC338">
        <v>58.3</v>
      </c>
      <c r="AD338">
        <v>52.2</v>
      </c>
    </row>
    <row r="339" spans="1:30" x14ac:dyDescent="0.2">
      <c r="A339" s="79">
        <v>44531</v>
      </c>
      <c r="B339"/>
      <c r="C339">
        <v>49.8</v>
      </c>
      <c r="D339">
        <v>55.5</v>
      </c>
      <c r="E339">
        <v>59.1</v>
      </c>
      <c r="F339">
        <v>64.400000000000006</v>
      </c>
      <c r="G339">
        <v>58</v>
      </c>
      <c r="H339">
        <v>55.6</v>
      </c>
      <c r="I339">
        <v>57.4</v>
      </c>
      <c r="J339">
        <v>59</v>
      </c>
      <c r="K339">
        <v>50.8</v>
      </c>
      <c r="L339">
        <v>55.5</v>
      </c>
      <c r="M339">
        <v>53.5</v>
      </c>
      <c r="N339">
        <v>58.3</v>
      </c>
      <c r="O339">
        <v>62</v>
      </c>
      <c r="P339">
        <v>54.3</v>
      </c>
      <c r="Q339">
        <v>49.4</v>
      </c>
      <c r="R339">
        <v>53.7</v>
      </c>
      <c r="S339">
        <v>56.1</v>
      </c>
      <c r="T339">
        <v>51.6</v>
      </c>
      <c r="U339">
        <v>53.9</v>
      </c>
      <c r="V339">
        <v>54.1</v>
      </c>
      <c r="W339">
        <v>51.9</v>
      </c>
      <c r="X339">
        <v>56.2</v>
      </c>
      <c r="Y339">
        <v>55.5</v>
      </c>
      <c r="Z339">
        <v>49.5</v>
      </c>
      <c r="AA339">
        <v>52.1</v>
      </c>
      <c r="AB339">
        <v>57.9</v>
      </c>
      <c r="AC339">
        <v>57.7</v>
      </c>
      <c r="AD339">
        <v>52.5</v>
      </c>
    </row>
    <row r="340" spans="1:30" x14ac:dyDescent="0.2">
      <c r="A340" s="79">
        <v>44562</v>
      </c>
      <c r="B340">
        <v>48.4</v>
      </c>
      <c r="C340"/>
      <c r="D340"/>
      <c r="E340"/>
      <c r="F340"/>
      <c r="G340">
        <v>59</v>
      </c>
      <c r="H340">
        <v>55.5</v>
      </c>
      <c r="I340">
        <v>60.5</v>
      </c>
      <c r="J340"/>
      <c r="K340"/>
      <c r="L340">
        <v>54</v>
      </c>
      <c r="M340"/>
      <c r="N340">
        <v>59.4</v>
      </c>
      <c r="O340"/>
      <c r="P340">
        <v>55.4</v>
      </c>
      <c r="Q340"/>
      <c r="R340"/>
      <c r="S340"/>
      <c r="T340"/>
      <c r="U340"/>
      <c r="V340"/>
      <c r="W340"/>
      <c r="X340"/>
      <c r="Y340">
        <v>55.1</v>
      </c>
      <c r="Z340">
        <v>51.7</v>
      </c>
      <c r="AA340"/>
      <c r="AB340">
        <v>56.9</v>
      </c>
      <c r="AC340">
        <v>55</v>
      </c>
      <c r="AD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8" customWidth="1"/>
    <col min="2" max="2" width="17.83203125" style="76" customWidth="1"/>
    <col min="3" max="27" width="6.1640625" style="76" customWidth="1"/>
    <col min="28" max="28" width="7.33203125" style="76" customWidth="1"/>
    <col min="29" max="29" width="9.1640625" style="78" customWidth="1"/>
    <col min="30" max="30" width="12.33203125" style="78" customWidth="1"/>
    <col min="31" max="31" width="9.1640625" style="78" customWidth="1"/>
    <col min="32" max="32" width="10.5" style="78" customWidth="1"/>
    <col min="33" max="33" width="10.6640625" style="78" bestFit="1" customWidth="1"/>
    <col min="34" max="74" width="9.1640625" style="78" customWidth="1"/>
    <col min="75" max="79" width="9.1640625" style="76" customWidth="1"/>
    <col min="80" max="16384" width="9.1640625" style="76"/>
  </cols>
  <sheetData>
    <row r="1" spans="2:36" s="78" customFormat="1" ht="16" customHeight="1" thickBot="1" x14ac:dyDescent="0.25">
      <c r="AD1" s="33" t="s">
        <v>113</v>
      </c>
      <c r="AE1" s="78" t="s">
        <v>114</v>
      </c>
      <c r="AG1" s="34">
        <v>44531</v>
      </c>
      <c r="AJ1" s="4" t="s">
        <v>115</v>
      </c>
    </row>
    <row r="2" spans="2:36" ht="72.75" customHeight="1" thickBot="1" x14ac:dyDescent="0.25">
      <c r="B2" s="39"/>
      <c r="C2" s="40" t="s">
        <v>9</v>
      </c>
      <c r="D2" s="40" t="s">
        <v>116</v>
      </c>
      <c r="E2" s="40" t="s">
        <v>18</v>
      </c>
      <c r="F2" s="40" t="s">
        <v>20</v>
      </c>
      <c r="G2" s="40" t="s">
        <v>21</v>
      </c>
      <c r="H2" s="40" t="s">
        <v>22</v>
      </c>
      <c r="I2" s="40" t="s">
        <v>23</v>
      </c>
      <c r="J2" s="40" t="s">
        <v>24</v>
      </c>
      <c r="K2" s="40" t="s">
        <v>25</v>
      </c>
      <c r="L2" s="40" t="s">
        <v>26</v>
      </c>
      <c r="M2" s="40" t="s">
        <v>27</v>
      </c>
      <c r="N2" s="40" t="s">
        <v>28</v>
      </c>
      <c r="O2" s="40" t="s">
        <v>29</v>
      </c>
      <c r="P2" s="40" t="s">
        <v>30</v>
      </c>
      <c r="Q2" s="40" t="s">
        <v>31</v>
      </c>
      <c r="R2" s="40" t="s">
        <v>32</v>
      </c>
      <c r="S2" s="40" t="s">
        <v>33</v>
      </c>
      <c r="T2" s="41" t="s">
        <v>34</v>
      </c>
      <c r="U2" s="40" t="s">
        <v>35</v>
      </c>
      <c r="V2" s="40" t="s">
        <v>36</v>
      </c>
      <c r="W2" s="40" t="s">
        <v>37</v>
      </c>
      <c r="X2" s="40" t="s">
        <v>38</v>
      </c>
      <c r="Y2" s="40" t="s">
        <v>39</v>
      </c>
      <c r="Z2" s="40" t="s">
        <v>40</v>
      </c>
      <c r="AA2" s="40" t="s">
        <v>41</v>
      </c>
      <c r="AB2" s="42" t="s">
        <v>42</v>
      </c>
      <c r="AE2" s="78" t="s">
        <v>117</v>
      </c>
      <c r="AG2" s="29">
        <f>DATE(YEAR(AG1),MONTH(AG1)-1,DAY(AG1))</f>
        <v>44501</v>
      </c>
    </row>
    <row r="3" spans="2:36" hidden="1" x14ac:dyDescent="0.2">
      <c r="B3" s="35" t="s">
        <v>118</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8" t="s">
        <v>119</v>
      </c>
      <c r="AG3" s="29">
        <f>DATE(YEAR(AG1),MONTH(AG1)-12,DAY(AG1))</f>
        <v>44166</v>
      </c>
    </row>
    <row r="4" spans="2:36" hidden="1" x14ac:dyDescent="0.2">
      <c r="B4" s="35" t="s">
        <v>120</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121</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122</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123</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124</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125</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126</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8"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8"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8"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8"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8"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8"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8"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8"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8"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8"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8"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8"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8"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8"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8"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8"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8"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8"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8"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8"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8"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8"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8"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8"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8"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8"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8"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8"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8"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8"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8"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8"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8"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8"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8"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8"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8"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8"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8"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8"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8"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8"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8"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8"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8" customFormat="1" x14ac:dyDescent="0.2"/>
    <row r="95" spans="2:28" s="78" customFormat="1" x14ac:dyDescent="0.2"/>
    <row r="96" spans="2:28" s="78" customFormat="1" x14ac:dyDescent="0.2"/>
    <row r="97" s="78" customFormat="1" x14ac:dyDescent="0.2"/>
    <row r="98" s="78" customFormat="1" x14ac:dyDescent="0.2"/>
    <row r="99" s="78" customFormat="1" x14ac:dyDescent="0.2"/>
    <row r="100" s="78" customFormat="1" x14ac:dyDescent="0.2"/>
    <row r="101" s="78" customFormat="1" x14ac:dyDescent="0.2"/>
    <row r="102" s="78" customFormat="1" x14ac:dyDescent="0.2"/>
    <row r="103" s="78" customFormat="1" x14ac:dyDescent="0.2"/>
    <row r="104" s="78" customFormat="1" x14ac:dyDescent="0.2"/>
    <row r="105" s="78" customFormat="1" x14ac:dyDescent="0.2"/>
    <row r="106" s="78" customFormat="1" x14ac:dyDescent="0.2"/>
    <row r="107" s="78" customFormat="1" x14ac:dyDescent="0.2"/>
    <row r="108" s="78" customFormat="1" x14ac:dyDescent="0.2"/>
    <row r="109" s="78" customFormat="1" x14ac:dyDescent="0.2"/>
    <row r="110" s="78" customFormat="1" x14ac:dyDescent="0.2"/>
    <row r="111" s="78" customFormat="1" x14ac:dyDescent="0.2"/>
    <row r="112" s="78" customFormat="1" x14ac:dyDescent="0.2"/>
    <row r="113" s="78" customFormat="1" x14ac:dyDescent="0.2"/>
    <row r="114" s="78" customFormat="1" x14ac:dyDescent="0.2"/>
    <row r="115" s="78" customFormat="1" x14ac:dyDescent="0.2"/>
    <row r="116" s="78" customFormat="1" x14ac:dyDescent="0.2"/>
    <row r="117" s="78" customFormat="1" x14ac:dyDescent="0.2"/>
    <row r="118" s="78" customFormat="1" x14ac:dyDescent="0.2"/>
    <row r="119" s="78" customFormat="1" x14ac:dyDescent="0.2"/>
    <row r="120" s="78" customFormat="1" x14ac:dyDescent="0.2"/>
    <row r="121" s="78" customFormat="1" x14ac:dyDescent="0.2"/>
    <row r="122" s="78" customFormat="1" x14ac:dyDescent="0.2"/>
    <row r="123" s="78" customFormat="1" x14ac:dyDescent="0.2"/>
    <row r="124" s="78" customFormat="1" x14ac:dyDescent="0.2"/>
    <row r="125" s="78" customFormat="1" x14ac:dyDescent="0.2"/>
    <row r="126" s="78" customFormat="1" x14ac:dyDescent="0.2"/>
    <row r="127" s="78" customFormat="1" x14ac:dyDescent="0.2"/>
    <row r="128" s="78" customFormat="1" x14ac:dyDescent="0.2"/>
    <row r="129" s="78" customFormat="1" x14ac:dyDescent="0.2"/>
    <row r="130" s="78" customFormat="1" x14ac:dyDescent="0.2"/>
    <row r="131" s="78" customFormat="1" x14ac:dyDescent="0.2"/>
    <row r="132" s="78" customFormat="1" x14ac:dyDescent="0.2"/>
    <row r="133" s="78" customFormat="1" x14ac:dyDescent="0.2"/>
    <row r="134" s="78" customFormat="1" x14ac:dyDescent="0.2"/>
    <row r="135" s="78" customFormat="1" x14ac:dyDescent="0.2"/>
    <row r="136" s="78" customFormat="1" x14ac:dyDescent="0.2"/>
    <row r="137" s="78" customFormat="1" x14ac:dyDescent="0.2"/>
    <row r="138" s="78" customFormat="1" x14ac:dyDescent="0.2"/>
    <row r="139" s="78" customFormat="1" x14ac:dyDescent="0.2"/>
    <row r="140" s="78" customFormat="1" x14ac:dyDescent="0.2"/>
    <row r="141" s="78" customFormat="1" x14ac:dyDescent="0.2"/>
    <row r="142" s="78" customFormat="1" x14ac:dyDescent="0.2"/>
    <row r="143" s="78" customFormat="1" x14ac:dyDescent="0.2"/>
    <row r="144" s="78" customFormat="1" x14ac:dyDescent="0.2"/>
    <row r="145" s="78" customFormat="1" x14ac:dyDescent="0.2"/>
    <row r="146" s="78" customFormat="1" x14ac:dyDescent="0.2"/>
    <row r="147" s="78" customFormat="1" x14ac:dyDescent="0.2"/>
    <row r="148" s="78" customFormat="1" x14ac:dyDescent="0.2"/>
    <row r="149" s="78" customFormat="1" x14ac:dyDescent="0.2"/>
    <row r="150" s="78" customFormat="1" x14ac:dyDescent="0.2"/>
    <row r="151" s="78" customFormat="1" x14ac:dyDescent="0.2"/>
    <row r="152" s="78" customFormat="1" x14ac:dyDescent="0.2"/>
    <row r="153" s="78" customFormat="1" x14ac:dyDescent="0.2"/>
    <row r="154" s="78" customFormat="1" x14ac:dyDescent="0.2"/>
    <row r="155" s="78" customFormat="1" x14ac:dyDescent="0.2"/>
    <row r="156" s="78" customFormat="1" x14ac:dyDescent="0.2"/>
    <row r="157" s="78" customFormat="1" x14ac:dyDescent="0.2"/>
    <row r="158" s="78" customFormat="1" x14ac:dyDescent="0.2"/>
    <row r="159" s="78" customFormat="1" x14ac:dyDescent="0.2"/>
    <row r="160" s="78" customFormat="1" x14ac:dyDescent="0.2"/>
    <row r="161" s="78" customFormat="1" x14ac:dyDescent="0.2"/>
    <row r="162" s="78" customFormat="1" x14ac:dyDescent="0.2"/>
    <row r="163" s="78" customFormat="1" x14ac:dyDescent="0.2"/>
    <row r="164" s="78" customFormat="1" x14ac:dyDescent="0.2"/>
    <row r="165" s="78" customFormat="1" x14ac:dyDescent="0.2"/>
    <row r="166" s="78" customFormat="1" x14ac:dyDescent="0.2"/>
    <row r="167" s="78" customFormat="1" x14ac:dyDescent="0.2"/>
    <row r="168" s="78" customFormat="1" x14ac:dyDescent="0.2"/>
    <row r="169" s="78" customFormat="1" x14ac:dyDescent="0.2"/>
    <row r="170" s="78" customFormat="1" x14ac:dyDescent="0.2"/>
    <row r="171" s="78" customFormat="1" x14ac:dyDescent="0.2"/>
    <row r="172" s="78" customFormat="1" x14ac:dyDescent="0.2"/>
    <row r="173" s="78" customFormat="1" x14ac:dyDescent="0.2"/>
    <row r="174" s="78" customFormat="1" x14ac:dyDescent="0.2"/>
    <row r="175" s="78" customFormat="1" x14ac:dyDescent="0.2"/>
    <row r="176" s="78" customFormat="1" x14ac:dyDescent="0.2"/>
    <row r="177" s="78" customFormat="1" x14ac:dyDescent="0.2"/>
    <row r="178" s="78" customFormat="1" x14ac:dyDescent="0.2"/>
    <row r="179" s="78" customFormat="1" x14ac:dyDescent="0.2"/>
    <row r="180" s="78" customFormat="1" x14ac:dyDescent="0.2"/>
    <row r="181" s="78" customFormat="1" x14ac:dyDescent="0.2"/>
    <row r="182" s="78" customFormat="1" x14ac:dyDescent="0.2"/>
    <row r="183" s="78" customFormat="1" x14ac:dyDescent="0.2"/>
    <row r="184" s="78" customFormat="1" x14ac:dyDescent="0.2"/>
    <row r="185" s="78" customFormat="1" x14ac:dyDescent="0.2"/>
    <row r="186" s="78" customFormat="1" x14ac:dyDescent="0.2"/>
    <row r="187" s="78" customFormat="1" x14ac:dyDescent="0.2"/>
    <row r="188" s="78" customFormat="1" x14ac:dyDescent="0.2"/>
    <row r="189" s="78" customFormat="1" x14ac:dyDescent="0.2"/>
    <row r="190" s="78" customFormat="1" x14ac:dyDescent="0.2"/>
    <row r="191" s="78" customFormat="1" x14ac:dyDescent="0.2"/>
    <row r="192" s="78" customFormat="1" x14ac:dyDescent="0.2"/>
    <row r="193" s="78" customFormat="1" x14ac:dyDescent="0.2"/>
    <row r="194" s="78" customFormat="1" x14ac:dyDescent="0.2"/>
    <row r="195" s="78" customFormat="1" x14ac:dyDescent="0.2"/>
    <row r="196" s="78" customFormat="1" x14ac:dyDescent="0.2"/>
    <row r="197" s="78" customFormat="1" x14ac:dyDescent="0.2"/>
    <row r="198" s="78" customFormat="1" x14ac:dyDescent="0.2"/>
    <row r="199" s="78" customFormat="1" x14ac:dyDescent="0.2"/>
    <row r="200" s="78" customFormat="1" x14ac:dyDescent="0.2"/>
    <row r="201" s="78" customFormat="1" x14ac:dyDescent="0.2"/>
    <row r="202" s="78" customFormat="1" x14ac:dyDescent="0.2"/>
    <row r="203" s="78" customFormat="1" x14ac:dyDescent="0.2"/>
    <row r="204" s="78" customFormat="1" x14ac:dyDescent="0.2"/>
    <row r="205" s="78" customFormat="1" x14ac:dyDescent="0.2"/>
    <row r="206" s="78" customFormat="1" x14ac:dyDescent="0.2"/>
    <row r="207" s="78" customFormat="1" x14ac:dyDescent="0.2"/>
    <row r="208" s="78" customFormat="1" x14ac:dyDescent="0.2"/>
    <row r="209" s="78" customFormat="1" x14ac:dyDescent="0.2"/>
    <row r="210" s="78" customFormat="1" x14ac:dyDescent="0.2"/>
    <row r="211" s="78" customFormat="1" x14ac:dyDescent="0.2"/>
    <row r="212" s="78" customFormat="1" x14ac:dyDescent="0.2"/>
    <row r="213" s="78" customFormat="1" x14ac:dyDescent="0.2"/>
    <row r="214" s="78" customFormat="1" x14ac:dyDescent="0.2"/>
    <row r="215" s="78" customFormat="1" x14ac:dyDescent="0.2"/>
    <row r="216" s="78" customFormat="1" x14ac:dyDescent="0.2"/>
    <row r="217" s="78" customFormat="1" x14ac:dyDescent="0.2"/>
    <row r="218" s="78" customFormat="1" x14ac:dyDescent="0.2"/>
    <row r="219" s="78" customFormat="1" x14ac:dyDescent="0.2"/>
    <row r="220" s="78" customFormat="1" x14ac:dyDescent="0.2"/>
    <row r="221" s="78" customFormat="1" x14ac:dyDescent="0.2"/>
    <row r="222" s="78" customFormat="1" x14ac:dyDescent="0.2"/>
    <row r="223" s="78" customFormat="1" x14ac:dyDescent="0.2"/>
    <row r="224" s="78" customFormat="1" x14ac:dyDescent="0.2"/>
    <row r="225" s="78" customFormat="1" x14ac:dyDescent="0.2"/>
    <row r="226" s="78" customFormat="1" x14ac:dyDescent="0.2"/>
    <row r="227" s="78" customFormat="1" x14ac:dyDescent="0.2"/>
    <row r="228" s="78" customFormat="1" x14ac:dyDescent="0.2"/>
    <row r="229" s="78" customFormat="1" x14ac:dyDescent="0.2"/>
    <row r="230" s="78" customFormat="1" x14ac:dyDescent="0.2"/>
    <row r="231" s="78" customFormat="1" x14ac:dyDescent="0.2"/>
    <row r="232" s="78" customFormat="1" x14ac:dyDescent="0.2"/>
    <row r="233" s="78" customFormat="1" x14ac:dyDescent="0.2"/>
    <row r="234" s="78" customFormat="1" x14ac:dyDescent="0.2"/>
    <row r="235" s="78" customFormat="1" x14ac:dyDescent="0.2"/>
    <row r="236" s="78" customFormat="1" x14ac:dyDescent="0.2"/>
    <row r="237" s="78" customFormat="1" x14ac:dyDescent="0.2"/>
    <row r="238" s="78" customFormat="1" x14ac:dyDescent="0.2"/>
    <row r="239" s="78" customFormat="1" x14ac:dyDescent="0.2"/>
    <row r="240" s="78" customFormat="1" x14ac:dyDescent="0.2"/>
    <row r="241" s="78" customFormat="1" x14ac:dyDescent="0.2"/>
    <row r="242" s="78" customFormat="1" x14ac:dyDescent="0.2"/>
    <row r="243" s="78" customFormat="1" x14ac:dyDescent="0.2"/>
    <row r="244" s="78" customFormat="1" x14ac:dyDescent="0.2"/>
    <row r="245" s="78" customFormat="1" x14ac:dyDescent="0.2"/>
    <row r="246" s="78" customFormat="1" x14ac:dyDescent="0.2"/>
    <row r="247" s="78" customFormat="1" x14ac:dyDescent="0.2"/>
    <row r="248" s="78" customFormat="1" x14ac:dyDescent="0.2"/>
    <row r="249" s="78" customFormat="1" x14ac:dyDescent="0.2"/>
    <row r="250" s="78" customFormat="1" x14ac:dyDescent="0.2"/>
    <row r="251" s="78" customFormat="1" x14ac:dyDescent="0.2"/>
    <row r="252" s="78" customFormat="1" x14ac:dyDescent="0.2"/>
    <row r="253" s="78" customFormat="1" x14ac:dyDescent="0.2"/>
    <row r="254" s="78" customFormat="1" x14ac:dyDescent="0.2"/>
    <row r="255" s="78" customFormat="1" x14ac:dyDescent="0.2"/>
    <row r="256" s="78" customFormat="1" x14ac:dyDescent="0.2"/>
    <row r="257" s="78" customFormat="1" x14ac:dyDescent="0.2"/>
    <row r="258" s="78" customFormat="1" x14ac:dyDescent="0.2"/>
    <row r="259" s="78" customFormat="1" x14ac:dyDescent="0.2"/>
    <row r="260" s="78" customFormat="1" x14ac:dyDescent="0.2"/>
    <row r="261" s="78" customFormat="1" x14ac:dyDescent="0.2"/>
    <row r="262" s="78" customFormat="1" x14ac:dyDescent="0.2"/>
    <row r="263" s="78" customFormat="1" x14ac:dyDescent="0.2"/>
    <row r="264" s="78" customFormat="1" x14ac:dyDescent="0.2"/>
    <row r="265" s="78" customFormat="1" x14ac:dyDescent="0.2"/>
    <row r="266" s="78" customFormat="1" x14ac:dyDescent="0.2"/>
    <row r="267" s="78" customFormat="1" x14ac:dyDescent="0.2"/>
    <row r="268" s="78" customFormat="1" x14ac:dyDescent="0.2"/>
    <row r="269" s="78" customFormat="1" x14ac:dyDescent="0.2"/>
    <row r="270" s="78" customFormat="1" x14ac:dyDescent="0.2"/>
    <row r="271" s="78" customFormat="1" x14ac:dyDescent="0.2"/>
    <row r="272" s="78" customFormat="1" x14ac:dyDescent="0.2"/>
    <row r="273" s="78" customFormat="1" x14ac:dyDescent="0.2"/>
    <row r="274" s="78" customFormat="1" x14ac:dyDescent="0.2"/>
    <row r="275" s="78" customFormat="1" x14ac:dyDescent="0.2"/>
    <row r="276" s="78" customFormat="1" x14ac:dyDescent="0.2"/>
    <row r="277" s="78" customFormat="1" x14ac:dyDescent="0.2"/>
    <row r="278" s="78" customFormat="1" x14ac:dyDescent="0.2"/>
    <row r="279" s="78" customFormat="1" x14ac:dyDescent="0.2"/>
    <row r="280" s="78" customFormat="1" x14ac:dyDescent="0.2"/>
    <row r="281" s="78" customFormat="1" x14ac:dyDescent="0.2"/>
    <row r="282" s="78" customFormat="1" x14ac:dyDescent="0.2"/>
    <row r="283" s="78" customFormat="1" x14ac:dyDescent="0.2"/>
    <row r="284" s="78" customFormat="1" x14ac:dyDescent="0.2"/>
    <row r="285" s="78" customFormat="1" x14ac:dyDescent="0.2"/>
    <row r="286" s="78" customFormat="1" x14ac:dyDescent="0.2"/>
    <row r="287" s="78" customFormat="1" x14ac:dyDescent="0.2"/>
    <row r="288" s="78" customFormat="1" x14ac:dyDescent="0.2"/>
    <row r="289" s="78" customFormat="1" x14ac:dyDescent="0.2"/>
    <row r="290" s="78" customFormat="1" x14ac:dyDescent="0.2"/>
    <row r="291" s="78" customFormat="1" x14ac:dyDescent="0.2"/>
    <row r="292" s="78" customFormat="1" x14ac:dyDescent="0.2"/>
    <row r="293" s="78" customFormat="1" x14ac:dyDescent="0.2"/>
    <row r="294" s="78" customFormat="1" x14ac:dyDescent="0.2"/>
    <row r="295" s="78" customFormat="1" x14ac:dyDescent="0.2"/>
    <row r="296" s="78" customFormat="1" x14ac:dyDescent="0.2"/>
    <row r="297" s="78" customFormat="1" x14ac:dyDescent="0.2"/>
    <row r="298" s="78" customFormat="1" x14ac:dyDescent="0.2"/>
    <row r="299" s="78" customFormat="1" x14ac:dyDescent="0.2"/>
    <row r="300" s="78" customFormat="1" x14ac:dyDescent="0.2"/>
    <row r="301" s="78" customFormat="1" x14ac:dyDescent="0.2"/>
    <row r="302" s="78" customFormat="1" x14ac:dyDescent="0.2"/>
    <row r="303" s="78" customFormat="1" x14ac:dyDescent="0.2"/>
    <row r="304" s="78" customFormat="1" x14ac:dyDescent="0.2"/>
    <row r="305" s="78" customFormat="1" x14ac:dyDescent="0.2"/>
    <row r="306" s="78" customFormat="1" x14ac:dyDescent="0.2"/>
    <row r="307" s="78" customFormat="1" x14ac:dyDescent="0.2"/>
    <row r="308" s="78" customFormat="1" x14ac:dyDescent="0.2"/>
    <row r="309" s="78" customFormat="1" x14ac:dyDescent="0.2"/>
    <row r="310" s="78" customFormat="1" x14ac:dyDescent="0.2"/>
    <row r="311" s="78" customFormat="1" x14ac:dyDescent="0.2"/>
    <row r="312" s="78" customFormat="1" x14ac:dyDescent="0.2"/>
    <row r="313" s="78" customFormat="1" x14ac:dyDescent="0.2"/>
    <row r="314" s="78" customFormat="1" x14ac:dyDescent="0.2"/>
    <row r="315" s="78" customFormat="1" x14ac:dyDescent="0.2"/>
    <row r="316" s="78" customFormat="1" x14ac:dyDescent="0.2"/>
    <row r="317" s="78" customFormat="1" x14ac:dyDescent="0.2"/>
    <row r="318" s="78" customFormat="1" x14ac:dyDescent="0.2"/>
    <row r="319" s="78" customFormat="1" x14ac:dyDescent="0.2"/>
    <row r="320" s="78" customFormat="1" x14ac:dyDescent="0.2"/>
    <row r="321" s="78" customFormat="1" x14ac:dyDescent="0.2"/>
    <row r="322" s="78" customFormat="1" x14ac:dyDescent="0.2"/>
    <row r="323" s="78" customFormat="1" x14ac:dyDescent="0.2"/>
    <row r="324" s="78" customFormat="1" x14ac:dyDescent="0.2"/>
    <row r="325" s="78" customFormat="1" x14ac:dyDescent="0.2"/>
    <row r="326" s="78" customFormat="1" x14ac:dyDescent="0.2"/>
    <row r="327" s="78" customFormat="1" x14ac:dyDescent="0.2"/>
    <row r="328" s="78" customFormat="1" x14ac:dyDescent="0.2"/>
    <row r="329" s="78" customFormat="1" x14ac:dyDescent="0.2"/>
    <row r="330" s="78" customFormat="1" x14ac:dyDescent="0.2"/>
    <row r="331" s="78" customFormat="1" x14ac:dyDescent="0.2"/>
    <row r="332" s="78" customFormat="1" x14ac:dyDescent="0.2"/>
    <row r="333" s="78" customFormat="1" x14ac:dyDescent="0.2"/>
    <row r="334" s="78" customFormat="1" x14ac:dyDescent="0.2"/>
    <row r="335" s="78" customFormat="1" x14ac:dyDescent="0.2"/>
    <row r="336" s="78" customFormat="1" x14ac:dyDescent="0.2"/>
    <row r="337" s="78" customFormat="1" x14ac:dyDescent="0.2"/>
    <row r="338" s="78" customFormat="1" x14ac:dyDescent="0.2"/>
    <row r="339" s="78" customFormat="1" x14ac:dyDescent="0.2"/>
    <row r="340" s="78" customFormat="1" x14ac:dyDescent="0.2"/>
    <row r="341" s="78" customFormat="1" x14ac:dyDescent="0.2"/>
    <row r="342" s="78" customFormat="1" x14ac:dyDescent="0.2"/>
    <row r="343" s="78" customFormat="1" x14ac:dyDescent="0.2"/>
    <row r="344" s="78" customFormat="1" x14ac:dyDescent="0.2"/>
    <row r="345" s="78" customFormat="1" x14ac:dyDescent="0.2"/>
    <row r="346" s="78" customFormat="1" x14ac:dyDescent="0.2"/>
    <row r="347" s="78"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140"/>
  <sheetViews>
    <sheetView zoomScale="150" zoomScaleNormal="150" workbookViewId="0">
      <pane ySplit="5" topLeftCell="A99" activePane="bottomLeft" state="frozen"/>
      <selection activeCell="O117" sqref="O117"/>
      <selection pane="bottomLeft" activeCell="Q124" sqref="Q124"/>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3" style="78" customWidth="1"/>
    <col min="5" max="9" width="9.1640625" style="78" customWidth="1"/>
    <col min="10" max="16384" width="9.1640625" style="78"/>
  </cols>
  <sheetData>
    <row r="1" spans="1:11" x14ac:dyDescent="0.2">
      <c r="A1" s="78" t="s">
        <v>127</v>
      </c>
    </row>
    <row r="2" spans="1:11" x14ac:dyDescent="0.2">
      <c r="K2" s="78" t="str">
        <f>A1</f>
        <v>Global Manufacturing PMI</v>
      </c>
    </row>
    <row r="4" spans="1:11" ht="16" customHeight="1" thickBot="1" x14ac:dyDescent="0.25"/>
    <row r="5" spans="1:11" ht="16" customHeight="1" thickBot="1" x14ac:dyDescent="0.25">
      <c r="A5" s="22" t="s">
        <v>83</v>
      </c>
      <c r="B5" s="23" t="s">
        <v>128</v>
      </c>
      <c r="C5" s="23" t="s">
        <v>129</v>
      </c>
      <c r="D5" s="23" t="s">
        <v>130</v>
      </c>
      <c r="E5" s="23" t="s">
        <v>131</v>
      </c>
      <c r="F5" s="24" t="s">
        <v>132</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0"/>
  <sheetViews>
    <sheetView zoomScale="160" zoomScaleNormal="160" workbookViewId="0">
      <pane ySplit="5" topLeftCell="A104" activePane="bottomLeft" state="frozen"/>
      <selection activeCell="O117" sqref="O117"/>
      <selection pane="bottomLeft" activeCell="B139" sqref="B139"/>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9" style="78" customWidth="1"/>
    <col min="5" max="9" width="9.1640625" style="78" customWidth="1"/>
    <col min="10" max="16384" width="9.1640625" style="78"/>
  </cols>
  <sheetData>
    <row r="1" spans="1:11" x14ac:dyDescent="0.2">
      <c r="A1" s="78" t="s">
        <v>133</v>
      </c>
      <c r="K1" s="78" t="s">
        <v>134</v>
      </c>
    </row>
    <row r="2" spans="1:11" x14ac:dyDescent="0.2">
      <c r="K2" s="78" t="str">
        <f>A1&amp;K1</f>
        <v>U.S. Manufacturing PMI</v>
      </c>
    </row>
    <row r="4" spans="1:11" ht="16" customHeight="1" thickBot="1" x14ac:dyDescent="0.25"/>
    <row r="5" spans="1:11" ht="16" customHeight="1" thickBot="1" x14ac:dyDescent="0.25">
      <c r="A5" s="22" t="s">
        <v>83</v>
      </c>
      <c r="B5" s="23" t="s">
        <v>128</v>
      </c>
      <c r="C5" s="23" t="s">
        <v>129</v>
      </c>
      <c r="D5" s="27" t="s">
        <v>135</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209"/>
  <sheetViews>
    <sheetView zoomScale="150" zoomScaleNormal="150" workbookViewId="0">
      <pane ySplit="5" topLeftCell="A174" activePane="bottomLeft" state="frozen"/>
      <selection pane="bottomLeft" activeCell="U189" sqref="U189"/>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8.33203125" style="78" customWidth="1"/>
    <col min="5" max="9" width="9.1640625" style="78" customWidth="1"/>
    <col min="10" max="16384" width="9.1640625" style="78"/>
  </cols>
  <sheetData>
    <row r="1" spans="1:11" x14ac:dyDescent="0.2">
      <c r="A1" s="78" t="s">
        <v>136</v>
      </c>
      <c r="K1" s="78" t="s">
        <v>134</v>
      </c>
    </row>
    <row r="2" spans="1:11" x14ac:dyDescent="0.2">
      <c r="K2" s="78" t="str">
        <f>A1&amp;K1</f>
        <v>Caixin China Manufacturing PMI</v>
      </c>
    </row>
    <row r="3" spans="1:11" x14ac:dyDescent="0.2">
      <c r="A3" s="1" t="s">
        <v>137</v>
      </c>
    </row>
    <row r="4" spans="1:11" ht="16" customHeight="1" thickBot="1" x14ac:dyDescent="0.25"/>
    <row r="5" spans="1:11" ht="16" customHeight="1" thickBot="1" x14ac:dyDescent="0.25">
      <c r="A5" s="22" t="s">
        <v>83</v>
      </c>
      <c r="B5" s="23" t="s">
        <v>138</v>
      </c>
      <c r="C5" s="23" t="s">
        <v>129</v>
      </c>
      <c r="D5" s="27" t="s">
        <v>139</v>
      </c>
      <c r="E5" s="27" t="s">
        <v>140</v>
      </c>
      <c r="F5" s="27" t="s">
        <v>141</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600-000000000000}"/>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210"/>
  <sheetViews>
    <sheetView zoomScale="150" zoomScaleNormal="150" workbookViewId="0">
      <pane ySplit="5" topLeftCell="A176" activePane="bottomLeft" state="frozen"/>
      <selection activeCell="P121" sqref="P121"/>
      <selection pane="bottomLeft" activeCell="P121" sqref="P12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57</v>
      </c>
      <c r="K1" s="78" t="s">
        <v>134</v>
      </c>
    </row>
    <row r="2" spans="1:11" x14ac:dyDescent="0.2">
      <c r="K2" s="78" t="str">
        <f>A1&amp;K1</f>
        <v>Euro Area Manufacturing PMI</v>
      </c>
    </row>
    <row r="4" spans="1:11" ht="16" customHeight="1" thickBot="1" x14ac:dyDescent="0.25"/>
    <row r="5" spans="1:11" ht="49" customHeight="1" thickBot="1" x14ac:dyDescent="0.25">
      <c r="A5" s="57" t="s">
        <v>83</v>
      </c>
      <c r="B5" s="58" t="s">
        <v>142</v>
      </c>
      <c r="C5" s="58" t="s">
        <v>129</v>
      </c>
      <c r="D5" s="59" t="s">
        <v>143</v>
      </c>
      <c r="E5" s="59" t="s">
        <v>131</v>
      </c>
      <c r="F5" s="59" t="s">
        <v>144</v>
      </c>
      <c r="G5" s="59" t="s">
        <v>145</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72"/>
  <sheetViews>
    <sheetView zoomScale="150" zoomScaleNormal="150" workbookViewId="0">
      <pane ySplit="5" topLeftCell="A137" activePane="bottomLeft" state="frozen"/>
      <selection pane="bottomLeft" activeCell="P162" sqref="P16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63</v>
      </c>
      <c r="K1" s="78" t="s">
        <v>134</v>
      </c>
    </row>
    <row r="2" spans="1:11" x14ac:dyDescent="0.2">
      <c r="K2" s="78" t="str">
        <f>A1&amp;K1</f>
        <v>Japan Manufacturing PMI</v>
      </c>
    </row>
    <row r="4" spans="1:11" ht="16" customHeight="1" thickBot="1" x14ac:dyDescent="0.25"/>
    <row r="5" spans="1:11" ht="16" customHeight="1" thickBot="1" x14ac:dyDescent="0.25">
      <c r="A5" s="22" t="s">
        <v>83</v>
      </c>
      <c r="B5" s="23" t="s">
        <v>128</v>
      </c>
      <c r="C5" s="23" t="s">
        <v>129</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3"/>
  <sheetViews>
    <sheetView zoomScale="150" zoomScaleNormal="150" workbookViewId="0">
      <pane ySplit="5" topLeftCell="A134" activePane="bottomLeft" state="frozen"/>
      <selection pane="bottomLeft" activeCell="R166" sqref="R166"/>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23</v>
      </c>
      <c r="K1" s="78" t="s">
        <v>134</v>
      </c>
    </row>
    <row r="2" spans="1:11" x14ac:dyDescent="0.2">
      <c r="K2" s="78" t="str">
        <f>A1&amp;K1</f>
        <v>Germany Manufacturing PMI</v>
      </c>
    </row>
    <row r="4" spans="1:11" ht="16" customHeight="1" thickBot="1" x14ac:dyDescent="0.25"/>
    <row r="5" spans="1:11" ht="16" customHeight="1" thickBot="1" x14ac:dyDescent="0.25">
      <c r="A5" s="22" t="s">
        <v>83</v>
      </c>
      <c r="B5" s="23" t="s">
        <v>128</v>
      </c>
      <c r="C5" s="23" t="s">
        <v>129</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66"/>
  <sheetViews>
    <sheetView zoomScale="140" zoomScaleNormal="140" workbookViewId="0">
      <pane ySplit="5" topLeftCell="A130" activePane="bottomLeft" state="frozen"/>
      <selection pane="bottomLeft" activeCell="S166" sqref="S166"/>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24</v>
      </c>
      <c r="K1" s="78" t="s">
        <v>134</v>
      </c>
    </row>
    <row r="2" spans="1:11" x14ac:dyDescent="0.2">
      <c r="K2" s="78" t="str">
        <f>A1&amp;K1</f>
        <v>France Manufacturing PMI</v>
      </c>
    </row>
    <row r="4" spans="1:11" ht="16" customHeight="1" thickBot="1" x14ac:dyDescent="0.25"/>
    <row r="5" spans="1:11" ht="16" customHeight="1" thickBot="1" x14ac:dyDescent="0.25">
      <c r="A5" s="22" t="s">
        <v>83</v>
      </c>
      <c r="B5" s="23" t="s">
        <v>128</v>
      </c>
      <c r="C5" s="23" t="s">
        <v>129</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210"/>
  <sheetViews>
    <sheetView zoomScale="150" zoomScaleNormal="150" workbookViewId="0">
      <pane ySplit="5" topLeftCell="A169" activePane="bottomLeft" state="frozen"/>
      <selection activeCell="P121" sqref="P121"/>
      <selection pane="bottomLeft" activeCell="P121" sqref="P12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146</v>
      </c>
      <c r="K1" s="78" t="s">
        <v>134</v>
      </c>
    </row>
    <row r="2" spans="1:11" x14ac:dyDescent="0.2">
      <c r="K2" s="78" t="str">
        <f>A1&amp;K1</f>
        <v>U.K. Manufacturing PMI</v>
      </c>
    </row>
    <row r="4" spans="1:11" ht="16" customHeight="1" thickBot="1" x14ac:dyDescent="0.25"/>
    <row r="5" spans="1:11" ht="16" customHeight="1" thickBot="1" x14ac:dyDescent="0.25">
      <c r="A5" s="22" t="s">
        <v>83</v>
      </c>
      <c r="B5" s="23" t="s">
        <v>128</v>
      </c>
      <c r="C5" s="23" t="s">
        <v>129</v>
      </c>
      <c r="D5" s="27" t="s">
        <v>147</v>
      </c>
      <c r="E5" s="27" t="s">
        <v>131</v>
      </c>
      <c r="F5" s="27" t="s">
        <v>148</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86"/>
  <sheetViews>
    <sheetView zoomScale="160" zoomScaleNormal="160" workbookViewId="0">
      <pane ySplit="5" topLeftCell="A150" activePane="bottomLeft" state="frozen"/>
      <selection pane="bottomLeft" activeCell="T168" sqref="T168"/>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51</v>
      </c>
      <c r="K1" s="78" t="s">
        <v>134</v>
      </c>
    </row>
    <row r="2" spans="1:11" x14ac:dyDescent="0.2">
      <c r="K2" s="78" t="str">
        <f>A1&amp;K1</f>
        <v>Italy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86"/>
  <sheetViews>
    <sheetView zoomScale="150" zoomScaleNormal="150" workbookViewId="0">
      <pane ySplit="5" topLeftCell="A148" activePane="bottomLeft" state="frozen"/>
      <selection pane="bottomLeft" activeCell="S168" sqref="S168"/>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27</v>
      </c>
      <c r="K1" s="78" t="s">
        <v>134</v>
      </c>
    </row>
    <row r="2" spans="1:11" x14ac:dyDescent="0.2">
      <c r="K2" s="78" t="str">
        <f>A1&amp;K1</f>
        <v>Spain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40"/>
  <sheetViews>
    <sheetView zoomScale="150" zoomScaleNormal="150" workbookViewId="0">
      <pane ySplit="5" topLeftCell="A109" activePane="bottomLeft" state="frozen"/>
      <selection pane="bottomLeft" activeCell="V122" sqref="V122"/>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28</v>
      </c>
      <c r="K1" s="78" t="s">
        <v>134</v>
      </c>
    </row>
    <row r="2" spans="1:11" x14ac:dyDescent="0.2">
      <c r="K2" s="78" t="str">
        <f>A1&amp;K1</f>
        <v>Brazil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34"/>
  <sheetViews>
    <sheetView zoomScale="130" zoomScaleNormal="130" workbookViewId="0">
      <pane ySplit="5" topLeftCell="A90" activePane="bottomLeft" state="frozen"/>
      <selection pane="bottomLeft" activeCell="Y134" sqref="Y134"/>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29</v>
      </c>
      <c r="K1" s="78" t="s">
        <v>134</v>
      </c>
    </row>
    <row r="2" spans="1:11" x14ac:dyDescent="0.2">
      <c r="K2" s="78" t="str">
        <f>A1&amp;K1</f>
        <v>Mexico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0"/>
  <sheetViews>
    <sheetView zoomScale="150" zoomScaleNormal="150" workbookViewId="0">
      <pane ySplit="5" topLeftCell="A101" activePane="bottomLeft" state="frozen"/>
      <selection pane="bottomLeft" activeCell="Y118" sqref="Y118"/>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30</v>
      </c>
      <c r="K1" s="78" t="s">
        <v>134</v>
      </c>
    </row>
    <row r="2" spans="1:11" x14ac:dyDescent="0.2">
      <c r="K2" s="78" t="str">
        <f>A1&amp;K1</f>
        <v>Russia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tabSelected="1" zoomScale="160" zoomScaleNormal="160" workbookViewId="0">
      <pane ySplit="5" topLeftCell="A103" activePane="bottomLeft" state="frozen"/>
      <selection pane="bottomLeft" activeCell="N133" sqref="N133"/>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31</v>
      </c>
      <c r="K1" s="78" t="s">
        <v>134</v>
      </c>
    </row>
    <row r="2" spans="1:11" x14ac:dyDescent="0.2">
      <c r="K2" s="78" t="str">
        <f>A1&amp;K1</f>
        <v>India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topLeftCell="A103" workbookViewId="0">
      <selection activeCell="B134" sqref="B134"/>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32</v>
      </c>
      <c r="K1" s="78" t="s">
        <v>134</v>
      </c>
    </row>
    <row r="2" spans="1:11" x14ac:dyDescent="0.2">
      <c r="K2" s="78" t="str">
        <f>A1&amp;K1</f>
        <v>Canada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68"/>
  <sheetViews>
    <sheetView workbookViewId="0">
      <pane ySplit="5" topLeftCell="A144" activePane="bottomLeft" state="frozen"/>
      <selection pane="bottomLeft" activeCell="A169" sqref="A169:XFD16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33</v>
      </c>
      <c r="K1" s="78" t="s">
        <v>134</v>
      </c>
    </row>
    <row r="2" spans="1:11" x14ac:dyDescent="0.2">
      <c r="K2" s="78" t="str">
        <f>A1&amp;K1</f>
        <v>Australia Manufacturing PMI</v>
      </c>
    </row>
    <row r="4" spans="1:11" ht="16" customHeight="1" thickBot="1" x14ac:dyDescent="0.25"/>
    <row r="5" spans="1:11" ht="16" customHeight="1" thickBot="1" x14ac:dyDescent="0.25">
      <c r="A5" s="22" t="s">
        <v>83</v>
      </c>
      <c r="B5" s="23" t="s">
        <v>128</v>
      </c>
      <c r="C5" s="23" t="s">
        <v>129</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4"/>
  <sheetViews>
    <sheetView topLeftCell="A106" workbookViewId="0">
      <selection activeCell="B134" sqref="B134"/>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34</v>
      </c>
      <c r="K1" s="78" t="s">
        <v>134</v>
      </c>
    </row>
    <row r="2" spans="1:11" x14ac:dyDescent="0.2">
      <c r="K2" s="78" t="str">
        <f>A1&amp;K1</f>
        <v>Indonesia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8"/>
  <sheetViews>
    <sheetView workbookViewId="0">
      <pane ySplit="5" topLeftCell="A106" activePane="bottomLeft" state="frozen"/>
      <selection pane="bottomLeft" activeCell="B138" sqref="B138"/>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71</v>
      </c>
      <c r="K1" s="78" t="s">
        <v>134</v>
      </c>
    </row>
    <row r="2" spans="1:11" x14ac:dyDescent="0.2">
      <c r="K2" s="78" t="str">
        <f>A1&amp;K1</f>
        <v>South Korea Manufacturing PMI</v>
      </c>
    </row>
    <row r="4" spans="1:11" ht="16" customHeight="1" thickBot="1" x14ac:dyDescent="0.25"/>
    <row r="5" spans="1:11" ht="16" customHeight="1" thickBot="1" x14ac:dyDescent="0.25">
      <c r="A5" s="22" t="s">
        <v>83</v>
      </c>
      <c r="B5" s="23" t="s">
        <v>128</v>
      </c>
      <c r="C5" s="23" t="s">
        <v>129</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36</v>
      </c>
      <c r="K1" s="78" t="s">
        <v>134</v>
      </c>
    </row>
    <row r="2" spans="1:11" x14ac:dyDescent="0.2">
      <c r="K2" s="78" t="str">
        <f>A1&amp;K1</f>
        <v>Taiwan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0"/>
  <sheetViews>
    <sheetView workbookViewId="0">
      <pane ySplit="5" topLeftCell="A118" activePane="bottomLeft" state="frozen"/>
      <selection pane="bottomLeft" activeCell="B140" sqref="B140"/>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37</v>
      </c>
      <c r="K1" s="78" t="s">
        <v>134</v>
      </c>
    </row>
    <row r="2" spans="1:11" x14ac:dyDescent="0.2">
      <c r="K2" s="78" t="str">
        <f>A1&amp;K1</f>
        <v>Greece Manufacturing PMI</v>
      </c>
    </row>
    <row r="4" spans="1:11" ht="16" customHeight="1" thickBot="1" x14ac:dyDescent="0.25"/>
    <row r="5" spans="1:11" ht="16" customHeight="1" thickBot="1" x14ac:dyDescent="0.25">
      <c r="A5" s="22" t="s">
        <v>83</v>
      </c>
      <c r="B5" s="23" t="s">
        <v>128</v>
      </c>
      <c r="C5" s="23" t="s">
        <v>129</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0"/>
  <sheetViews>
    <sheetView workbookViewId="0">
      <pane ySplit="5" topLeftCell="A111" activePane="bottomLeft" state="frozen"/>
      <selection pane="bottomLeft" activeCell="B140" sqref="B140"/>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38</v>
      </c>
      <c r="K1" s="78" t="s">
        <v>134</v>
      </c>
    </row>
    <row r="2" spans="1:11" x14ac:dyDescent="0.2">
      <c r="K2" s="78" t="str">
        <f>A1&amp;K1</f>
        <v>Ireland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workbookViewId="0">
      <pane ySplit="5" topLeftCell="A114" activePane="bottomLeft" state="frozen"/>
      <selection pane="bottomLeft" activeCell="B140" sqref="B140"/>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39</v>
      </c>
      <c r="K1" s="78" t="s">
        <v>134</v>
      </c>
    </row>
    <row r="2" spans="1:11" x14ac:dyDescent="0.2">
      <c r="K2" s="78" t="str">
        <f>A1&amp;K1</f>
        <v>Turkey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workbookViewId="0">
      <pane ySplit="5" topLeftCell="A108" activePane="bottomLeft" state="frozen"/>
      <selection pane="bottomLeft" activeCell="B140" sqref="B140"/>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54</v>
      </c>
      <c r="K1" s="78" t="s">
        <v>134</v>
      </c>
    </row>
    <row r="2" spans="1:11" x14ac:dyDescent="0.2">
      <c r="K2" s="78" t="str">
        <f>A1&amp;K1</f>
        <v>Czech Republic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workbookViewId="0">
      <pane ySplit="5" topLeftCell="A123" activePane="bottomLeft" state="frozen"/>
      <selection pane="bottomLeft" activeCell="B140" sqref="B140"/>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41</v>
      </c>
      <c r="K1" s="78" t="s">
        <v>134</v>
      </c>
    </row>
    <row r="2" spans="1:11" x14ac:dyDescent="0.2">
      <c r="K2" s="78" t="str">
        <f>A1&amp;K1</f>
        <v>Poland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341"/>
  <sheetViews>
    <sheetView workbookViewId="0">
      <pane ySplit="5" topLeftCell="A327" activePane="bottomLeft" state="frozen"/>
      <selection pane="bottomLeft" activeCell="B341" sqref="B34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42</v>
      </c>
      <c r="K1" s="78" t="s">
        <v>134</v>
      </c>
    </row>
    <row r="2" spans="1:11" x14ac:dyDescent="0.2">
      <c r="K2" s="78" t="str">
        <f>A1&amp;K1</f>
        <v>Denmark Manufacturing PMI</v>
      </c>
    </row>
    <row r="4" spans="1:11" ht="16" customHeight="1" thickBot="1" x14ac:dyDescent="0.25"/>
    <row r="5" spans="1:11" ht="16" customHeight="1" thickBot="1" x14ac:dyDescent="0.25">
      <c r="A5" s="22" t="s">
        <v>83</v>
      </c>
      <c r="B5" s="23" t="s">
        <v>128</v>
      </c>
      <c r="C5" s="23" t="s">
        <v>129</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19"/>
  <sheetViews>
    <sheetView workbookViewId="0">
      <pane ySplit="5" topLeftCell="A104" activePane="bottomLeft" state="frozen"/>
      <selection pane="bottomLeft" activeCell="B119" sqref="B11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70</v>
      </c>
      <c r="K1" s="78" t="s">
        <v>134</v>
      </c>
    </row>
    <row r="2" spans="1:11" x14ac:dyDescent="0.2">
      <c r="K2" s="78" t="str">
        <f>A1&amp;K1</f>
        <v>Vietnam Manufacturing PMI</v>
      </c>
    </row>
    <row r="4" spans="1:11" ht="16" customHeight="1" thickBot="1" x14ac:dyDescent="0.25"/>
    <row r="5" spans="1:11" ht="16" customHeight="1" thickBot="1" x14ac:dyDescent="0.25">
      <c r="A5" s="22" t="s">
        <v>83</v>
      </c>
      <c r="B5" s="23" t="s">
        <v>128</v>
      </c>
      <c r="C5" s="23" t="s">
        <v>129</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71"/>
  <sheetViews>
    <sheetView topLeftCell="A52" workbookViewId="0">
      <selection activeCell="B71" sqref="B71"/>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78</v>
      </c>
      <c r="K1" s="78" t="s">
        <v>134</v>
      </c>
    </row>
    <row r="2" spans="1:11" x14ac:dyDescent="0.2">
      <c r="K2" s="78" t="str">
        <f>A1&amp;K1</f>
        <v>Thailand Manufacturing PMI</v>
      </c>
    </row>
    <row r="4" spans="1:11" ht="16" customHeight="1" thickBot="1" x14ac:dyDescent="0.25"/>
    <row r="5" spans="1:11" ht="16" customHeight="1" thickBot="1" x14ac:dyDescent="0.25">
      <c r="A5" s="22" t="s">
        <v>83</v>
      </c>
      <c r="B5" s="23" t="s">
        <v>128</v>
      </c>
      <c r="C5" s="23" t="s">
        <v>129</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268"/>
  <sheetViews>
    <sheetView topLeftCell="A248" workbookViewId="0">
      <selection activeCell="A269" sqref="A269:XFD26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61</v>
      </c>
      <c r="K1" s="78" t="s">
        <v>134</v>
      </c>
    </row>
    <row r="2" spans="1:11" x14ac:dyDescent="0.2">
      <c r="K2" s="78" t="str">
        <f>A1&amp;K1</f>
        <v>South Africa Manufacturing PMI</v>
      </c>
    </row>
    <row r="4" spans="1:11" ht="16" customHeight="1" thickBot="1" x14ac:dyDescent="0.25"/>
    <row r="5" spans="1:11" ht="16" customHeight="1" thickBot="1" x14ac:dyDescent="0.25">
      <c r="A5" s="22" t="s">
        <v>83</v>
      </c>
      <c r="B5" s="23" t="s">
        <v>128</v>
      </c>
      <c r="C5" s="23" t="s">
        <v>129</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workbookViewId="0">
      <pane ySplit="5" topLeftCell="A100" activePane="bottomLeft" state="frozen"/>
      <selection pane="bottomLeft" activeCell="B119" sqref="B119"/>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149</v>
      </c>
      <c r="K1" s="78" t="s">
        <v>134</v>
      </c>
    </row>
    <row r="2" spans="1:11" x14ac:dyDescent="0.2">
      <c r="K2" s="78" t="str">
        <f>A1&amp;K1</f>
        <v>Hong-Kong Manufacturing PMI</v>
      </c>
    </row>
    <row r="4" spans="1:11" ht="16" customHeight="1" thickBot="1" x14ac:dyDescent="0.25"/>
    <row r="5" spans="1:11" ht="16" customHeight="1" thickBot="1" x14ac:dyDescent="0.25">
      <c r="A5" s="22" t="s">
        <v>83</v>
      </c>
      <c r="B5" s="23" t="s">
        <v>128</v>
      </c>
      <c r="C5" s="23" t="s">
        <v>129</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86"/>
  <sheetViews>
    <sheetView workbookViewId="0">
      <pane ySplit="5" topLeftCell="A70" activePane="bottomLeft" state="frozen"/>
      <selection pane="bottomLeft" activeCell="B86" sqref="B86"/>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64</v>
      </c>
      <c r="K1" s="78" t="s">
        <v>134</v>
      </c>
    </row>
    <row r="2" spans="1:11" x14ac:dyDescent="0.2">
      <c r="K2" s="78" t="str">
        <f>A1&amp;K1</f>
        <v>Saudi Arabia Manufacturing PMI</v>
      </c>
    </row>
    <row r="4" spans="1:11" ht="16" customHeight="1" thickBot="1" x14ac:dyDescent="0.25"/>
    <row r="5" spans="1:11" ht="16" customHeight="1" thickBot="1" x14ac:dyDescent="0.25">
      <c r="A5" s="22" t="s">
        <v>83</v>
      </c>
      <c r="B5" s="23" t="s">
        <v>128</v>
      </c>
      <c r="C5" s="23" t="s">
        <v>129</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37"/>
  <sheetViews>
    <sheetView topLeftCell="A216" workbookViewId="0">
      <selection activeCell="B237" sqref="B237"/>
    </sheetView>
  </sheetViews>
  <sheetFormatPr baseColWidth="10" defaultColWidth="9.1640625" defaultRowHeight="15" x14ac:dyDescent="0.2"/>
  <cols>
    <col min="1" max="1" width="13.5" style="78" customWidth="1"/>
    <col min="2" max="2" width="11.33203125" style="78" customWidth="1"/>
    <col min="3" max="7" width="9.1640625" style="78" customWidth="1"/>
    <col min="8" max="16384" width="9.1640625" style="78"/>
  </cols>
  <sheetData>
    <row r="1" spans="1:11" x14ac:dyDescent="0.2">
      <c r="A1" s="78" t="s">
        <v>75</v>
      </c>
      <c r="K1" s="78" t="s">
        <v>134</v>
      </c>
    </row>
    <row r="2" spans="1:11" x14ac:dyDescent="0.2">
      <c r="K2" s="78" t="str">
        <f>A1&amp;K1</f>
        <v>New Zealand Manufacturing PMI</v>
      </c>
    </row>
    <row r="4" spans="1:11" ht="16" customHeight="1" thickBot="1" x14ac:dyDescent="0.25"/>
    <row r="5" spans="1:11" ht="16" customHeight="1" thickBot="1" x14ac:dyDescent="0.25">
      <c r="A5" s="22" t="s">
        <v>83</v>
      </c>
      <c r="B5" s="23" t="s">
        <v>128</v>
      </c>
      <c r="C5" s="23" t="s">
        <v>129</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2022-02-01T05:46:47Z</dcterms:modified>
</cp:coreProperties>
</file>