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5040" yWindow="-500" windowWidth="50400" windowHeight="26880" tabRatio="804" firstSheet="1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definedName name="_xlchart.v1.0" hidden="1">NewZealand!$A$6:$A$237</definedName>
    <definedName name="_xlchart.v1.1" hidden="1">NewZealand!$B$5</definedName>
    <definedName name="_xlchart.v1.2" hidden="1">NewZealand!$B$6:$B$237</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17" fontId="14" fillId="2" borderId="30" applyAlignment="1" pivotButton="0" quotePrefix="0" xfId="0">
      <alignment horizontal="left" vertical="top" wrapText="1"/>
    </xf>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33"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4"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Global!$B$6:$B$141</f>
              <numCache>
                <formatCode>General</formatCode>
                <ptCount val="136"/>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US!$B$6:$B$141</f>
              <numCache>
                <formatCode>General</formatCode>
                <ptCount val="13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China!$D$6:$D$210</f>
              <numCache>
                <formatCode>General</formatCode>
                <ptCount val="20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China!$F$6:$F$210</f>
              <numCache>
                <formatCode>0.0%</formatCode>
                <ptCount val="205"/>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Area'!$E$18:$E$215</f>
              <numCache>
                <formatCode>General</formatCode>
                <ptCount val="19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Area'!$F$18:$F$215</f>
              <numCache>
                <formatCode>0.0%</formatCode>
                <ptCount val="198"/>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Area'!$G$6:$G$211</f>
              <numCache>
                <formatCode>0.0%</formatCode>
                <ptCount val="206"/>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v>
                </pt>
                <pt idx="203">
                  <v>0</v>
                </pt>
                <pt idx="204">
                  <v>0</v>
                </pt>
                <pt idx="20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Japan!$A$6:$A$173</f>
              <numCache>
                <formatCode>m/d/yy</formatCode>
                <ptCount val="16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numCache>
            </numRef>
          </cat>
          <val>
            <numRef>
              <f>Japan!$B$6:$B$173</f>
              <numCache>
                <formatCode>General</formatCode>
                <ptCount val="16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Germany!$A$6:$A$174</f>
              <numCache>
                <formatCode>m/d/yy</formatCode>
                <ptCount val="16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numCache>
            </numRef>
          </cat>
          <val>
            <numRef>
              <f>Germany!$B$6:$B$174</f>
              <numCache>
                <formatCode>General</formatCode>
                <ptCount val="16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France!$A$6:$A$167</f>
              <numCache>
                <formatCode>m/d/yy</formatCode>
                <ptCount val="16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numCache>
            </numRef>
          </cat>
          <val>
            <numRef>
              <f>France!$B$6:$B$167</f>
              <numCache>
                <formatCode>General</formatCode>
                <ptCount val="16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UK!$B$18:$B$216</f>
              <numCache>
                <formatCode>General</formatCode>
                <ptCount val="19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UK!$D$18:$D$216</f>
              <numCache>
                <formatCode>0.00</formatCode>
                <ptCount val="199"/>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UK!$B$6:$B$211</f>
              <numCache>
                <formatCode>General</formatCode>
                <ptCount val="20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Italy!$B$6:$B$187</f>
              <numCache>
                <formatCode>General</formatCode>
                <ptCount val="18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Spain!$B$6:$B$187</f>
              <numCache>
                <formatCode>General</formatCode>
                <ptCount val="18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Brazil!$B$6:$B$141</f>
              <numCache>
                <formatCode>General</formatCode>
                <ptCount val="13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Mexico!$B$6:$B$135</f>
              <numCache>
                <formatCode>General</formatCode>
                <ptCount val="13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Russia!$B$6:$B$141</f>
              <numCache>
                <formatCode>General</formatCode>
                <ptCount val="13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India!$B$6:$B$141</f>
              <numCache>
                <formatCode>General</formatCode>
                <ptCount val="13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Canada!$B$6:$B$135</f>
              <numCache>
                <formatCode>General</formatCode>
                <ptCount val="13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Australia!$A$6:$A$170</f>
              <numCache>
                <formatCode>m/d/yy</formatCode>
                <ptCount val="16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numCache>
            </numRef>
          </cat>
          <val>
            <numRef>
              <f>Australia!$B$6:$B$170</f>
              <numCache>
                <formatCode>General</formatCode>
                <ptCount val="16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Indonesia!$B$6:$B$135</f>
              <numCache>
                <formatCode>General</formatCode>
                <ptCount val="13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SouthKorea!$A$6:$A$139</f>
              <numCache>
                <formatCode>m/d/yy</formatCode>
                <ptCount val="13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numCache>
            </numRef>
          </cat>
          <val>
            <numRef>
              <f>SouthKorea!$B$6:$B$139</f>
              <numCache>
                <formatCode>General</formatCode>
                <ptCount val="13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Taiwan!$B$6:$B$141</f>
              <numCache>
                <formatCode>General</formatCode>
                <ptCount val="13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Greece!$A$6:$A$141</f>
              <numCache>
                <formatCode>m/d/yy</formatCode>
                <ptCount val="13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Greece!$B$6:$B$141</f>
              <numCache>
                <formatCode>General</formatCode>
                <ptCount val="13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Ireland!$B$6:$B$141</f>
              <numCache>
                <formatCode>General</formatCode>
                <ptCount val="13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Turkey!$B$6:$B$141</f>
              <numCache>
                <formatCode>General</formatCode>
                <ptCount val="13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CzechRepublic!$B$6:$B$141</f>
              <numCache>
                <formatCode>General</formatCode>
                <ptCount val="13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Poland!$B$6:$B$141</f>
              <numCache>
                <formatCode>General</formatCode>
                <ptCount val="13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Denmark!$A$6:$A$342</f>
              <numCache>
                <formatCode>m/d/yy</formatCode>
                <ptCount val="33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numCache>
            </numRef>
          </cat>
          <val>
            <numRef>
              <f>Denmark!$B$6:$B$342</f>
              <numCache>
                <formatCode>General</formatCode>
                <ptCount val="33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Vietnam!$A$6:$A$120</f>
              <numCache>
                <formatCode>m/d/yy</formatCode>
                <ptCount val="11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Vietnam!$B$6:$B$120</f>
              <numCache>
                <formatCode>General</formatCode>
                <ptCount val="11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Thailand!$A$6:$A$72</f>
              <numCache>
                <formatCode>m/d/yy</formatCode>
                <ptCount val="6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numCache>
            </numRef>
          </cat>
          <val>
            <numRef>
              <f>Thailand!$B$6:$B$72</f>
              <numCache>
                <formatCode>General</formatCode>
                <ptCount val="6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Kong'!$A$6:$A$120</f>
              <numCache>
                <formatCode>m/d/yy</formatCode>
                <ptCount val="11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numCache>
            </numRef>
          </cat>
          <val>
            <numRef>
              <f>'Hong Kong'!$B$6:$B$120</f>
              <numCache>
                <formatCode>General</formatCode>
                <ptCount val="11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Arabia'!$A$6:$A$87</f>
              <numCache>
                <formatCode>m/d/yy</formatCode>
                <ptCount val="82"/>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numCache>
            </numRef>
          </cat>
          <val>
            <numRef>
              <f>'Saudi Arabia'!$B$6:$B$87</f>
              <numCache>
                <formatCode>General</formatCode>
                <ptCount val="82"/>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61" dataDxfId="259" headerRowBorderDxfId="260" tableBorderDxfId="258" totalsRowBorderDxfId="257">
  <autoFilter ref="A5:F141"/>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1" headerRowCount="1" totalsRowShown="0" headerRowDxfId="250" dataDxfId="248" headerRowBorderDxfId="249" tableBorderDxfId="247" totalsRowBorderDxfId="246">
  <autoFilter ref="A5:D14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0" headerRowCount="1" totalsRowShown="0" headerRowDxfId="241" dataDxfId="239" headerRowBorderDxfId="240" tableBorderDxfId="238" totalsRowBorderDxfId="237">
  <autoFilter ref="A5:F21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1" headerRowCount="1" totalsRowShown="0" headerRowDxfId="230" dataDxfId="228" headerRowBorderDxfId="229" tableBorderDxfId="227" totalsRowBorderDxfId="226">
  <autoFilter ref="A5:G21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3" headerRowCount="1" totalsRowShown="0" headerRowDxfId="218" dataDxfId="216" headerRowBorderDxfId="217" tableBorderDxfId="215" totalsRowBorderDxfId="214">
  <autoFilter ref="A5:C17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4" headerRowCount="1" totalsRowShown="0" headerRowDxfId="210" dataDxfId="208" headerRowBorderDxfId="209" tableBorderDxfId="207" totalsRowBorderDxfId="206">
  <autoFilter ref="A5:C17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7" headerRowCount="1" totalsRowShown="0" headerRowDxfId="202" dataDxfId="200" headerRowBorderDxfId="201" tableBorderDxfId="199" totalsRowBorderDxfId="198">
  <autoFilter ref="A5:C16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1" headerRowCount="1" totalsRowShown="0" headerRowDxfId="194" dataDxfId="192" headerRowBorderDxfId="193" tableBorderDxfId="191" totalsRowBorderDxfId="190">
  <autoFilter ref="A5:F21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7" headerRowCount="1" totalsRowShown="0" headerRowDxfId="183" dataDxfId="181" headerRowBorderDxfId="182" tableBorderDxfId="180" totalsRowBorderDxfId="179">
  <autoFilter ref="A5:C18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7" headerRowCount="1" totalsRowShown="0" headerRowDxfId="175" dataDxfId="173" headerRowBorderDxfId="174" tableBorderDxfId="172" totalsRowBorderDxfId="171">
  <autoFilter ref="A5:C18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1" headerRowCount="1" totalsRowShown="0" headerRowDxfId="167" dataDxfId="165" headerRowBorderDxfId="166" tableBorderDxfId="164" totalsRowBorderDxfId="163">
  <autoFilter ref="A5:C14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5" headerRowCount="1" totalsRowShown="0" headerRowDxfId="159" dataDxfId="157" headerRowBorderDxfId="158" tableBorderDxfId="156" totalsRowBorderDxfId="155">
  <autoFilter ref="A5:C13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1" headerRowCount="1" totalsRowShown="0" headerRowDxfId="151" dataDxfId="149" headerRowBorderDxfId="150" tableBorderDxfId="148" totalsRowBorderDxfId="147">
  <autoFilter ref="A5:C14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1" headerRowCount="1" totalsRowShown="0" headerRowDxfId="143" dataDxfId="141" headerRowBorderDxfId="142" tableBorderDxfId="140" totalsRowBorderDxfId="139">
  <autoFilter ref="A5:C14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5" headerRowCount="1" totalsRowShown="0" headerRowDxfId="135" dataDxfId="133" headerRowBorderDxfId="134" tableBorderDxfId="132" totalsRowBorderDxfId="131">
  <autoFilter ref="A5:C13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0" headerRowCount="1" totalsRowShown="0" headerRowDxfId="127" dataDxfId="125" headerRowBorderDxfId="126" tableBorderDxfId="124" totalsRowBorderDxfId="123">
  <autoFilter ref="A5:C17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5" headerRowCount="1" totalsRowShown="0" headerRowDxfId="119" dataDxfId="117" headerRowBorderDxfId="118" tableBorderDxfId="116" totalsRowBorderDxfId="115">
  <autoFilter ref="A5:C13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39" headerRowCount="1" totalsRowShown="0" headerRowDxfId="111" dataDxfId="109" headerRowBorderDxfId="110" tableBorderDxfId="108" totalsRowBorderDxfId="107">
  <autoFilter ref="A5:C13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1" headerRowCount="1" totalsRowShown="0" headerRowDxfId="103" dataDxfId="101" headerRowBorderDxfId="102" tableBorderDxfId="100" totalsRowBorderDxfId="99">
  <autoFilter ref="A5:C14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1" headerRowCount="1" totalsRowShown="0" headerRowDxfId="95" dataDxfId="93" headerRowBorderDxfId="94" tableBorderDxfId="92" totalsRowBorderDxfId="91">
  <autoFilter ref="A5:C14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1" headerRowCount="1" totalsRowShown="0" headerRowDxfId="87" dataDxfId="85" headerRowBorderDxfId="86" tableBorderDxfId="84" totalsRowBorderDxfId="83">
  <autoFilter ref="A5:C14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1" headerRowCount="1" totalsRowShown="0" headerRowDxfId="79" dataDxfId="77" headerRowBorderDxfId="78" tableBorderDxfId="76" totalsRowBorderDxfId="75">
  <autoFilter ref="A5:C14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1" headerRowCount="1" totalsRowShown="0" headerRowDxfId="71" dataDxfId="69" headerRowBorderDxfId="70" tableBorderDxfId="68" totalsRowBorderDxfId="67">
  <autoFilter ref="A5:C14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1" headerRowCount="1" totalsRowShown="0" headerRowDxfId="63" dataDxfId="61" headerRowBorderDxfId="62" tableBorderDxfId="60" totalsRowBorderDxfId="59">
  <autoFilter ref="A5:C14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2" headerRowCount="1" totalsRowShown="0" headerRowDxfId="55" dataDxfId="53" headerRowBorderDxfId="54" tableBorderDxfId="52" totalsRowBorderDxfId="51">
  <autoFilter ref="A5:C34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0" headerRowCount="1" totalsRowShown="0" headerRowDxfId="47" dataDxfId="45" headerRowBorderDxfId="46" tableBorderDxfId="44" totalsRowBorderDxfId="43">
  <autoFilter ref="A5:C12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2" headerRowCount="1" totalsRowShown="0" headerRowDxfId="39" dataDxfId="37" headerRowBorderDxfId="38" tableBorderDxfId="36" totalsRowBorderDxfId="35">
  <autoFilter ref="A5:C7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0" headerRowCount="1" totalsRowShown="0" headerRowDxfId="23" dataDxfId="21" headerRowBorderDxfId="22" tableBorderDxfId="20" totalsRowBorderDxfId="19">
  <autoFilter ref="A5:C12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7" headerRowCount="1" totalsRowShown="0" headerRowDxfId="15" dataDxfId="13" headerRowBorderDxfId="14" tableBorderDxfId="12" totalsRowBorderDxfId="11">
  <autoFilter ref="A5:C87"/>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6" sqref="B16:F16"/>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5"/>
    <col width="9.1640625" customWidth="1" style="70" min="56" max="16384"/>
  </cols>
  <sheetData>
    <row r="1">
      <c r="B1" s="74" t="n"/>
    </row>
    <row r="2" ht="16" customHeight="1" s="63" thickBot="1">
      <c r="B2" s="75" t="n"/>
      <c r="C2" s="75" t="n"/>
      <c r="D2" s="75" t="n"/>
      <c r="E2" s="75" t="n"/>
      <c r="F2" s="75" t="n"/>
      <c r="G2" s="75" t="n"/>
      <c r="H2" s="75" t="n"/>
      <c r="I2" s="75" t="n"/>
      <c r="J2" s="75" t="n"/>
    </row>
    <row r="3" ht="16" customHeight="1" s="63"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3">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3">
      <c r="B8" s="1" t="n"/>
      <c r="C8" s="69" t="n"/>
      <c r="D8" s="69" t="n"/>
      <c r="E8" s="69" t="n"/>
      <c r="F8" s="69" t="n"/>
      <c r="G8" s="69" t="n"/>
      <c r="H8" s="69" t="n"/>
      <c r="I8" s="69" t="n"/>
      <c r="J8" s="69" t="n"/>
    </row>
    <row r="9" ht="16" customHeight="1" s="63" thickBot="1">
      <c r="B9" s="2" t="n"/>
      <c r="C9" s="3" t="n"/>
      <c r="D9" s="3" t="n"/>
      <c r="E9" s="3" t="n"/>
    </row>
    <row r="10" ht="16" customHeight="1" s="63"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3" thickBot="1">
      <c r="B12" s="67" t="inlineStr">
        <is>
          <t>TO DO LIST</t>
        </is>
      </c>
      <c r="C12" s="77" t="n"/>
      <c r="D12" s="77" t="n"/>
      <c r="E12" s="77" t="n"/>
      <c r="F12" s="68" t="n"/>
      <c r="G12" s="67" t="inlineStr">
        <is>
          <t>Comments</t>
        </is>
      </c>
      <c r="H12" s="77" t="n"/>
      <c r="I12" s="77" t="n"/>
      <c r="J12" s="68" t="n"/>
    </row>
    <row r="13">
      <c r="P13" s="5" t="n">
        <v>44562</v>
      </c>
      <c r="Q13" s="6">
        <f>DATE(YEAR(P13),MONTH(P13)-1,DAY(P13))</f>
        <v/>
      </c>
      <c r="R13" s="7" t="n"/>
      <c r="S13" s="61" t="inlineStr">
        <is>
          <t>%</t>
        </is>
      </c>
    </row>
    <row r="14" ht="16" customHeight="1" s="63"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2" t="inlineStr">
        <is>
          <t>World GDP</t>
        </is>
      </c>
    </row>
    <row r="15" ht="30.75" customHeight="1" s="63">
      <c r="G15" s="69" t="inlineStr">
        <is>
          <t>JPMorgan Global Manufacturing PMI</t>
        </is>
      </c>
      <c r="N15" s="67" t="inlineStr">
        <is>
          <t>Global</t>
        </is>
      </c>
      <c r="O15" s="68" t="n"/>
      <c r="P15" s="24">
        <f>VLOOKUP($P$13,Summary!$B:$AB,MATCH(Note!N15,Summary!$B$2:$AB$2,),)</f>
        <v/>
      </c>
      <c r="Q15" s="24">
        <f>VLOOKUP($Q$13,Summary!$B:$AB,MATCH(Note!N15,Summary!$B$2:$AB$2,),)</f>
        <v/>
      </c>
      <c r="R15" s="58">
        <f>P15-Q15</f>
        <v/>
      </c>
      <c r="S15" s="60"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8">
        <f>P16-Q16</f>
        <v/>
      </c>
      <c r="S16" s="59"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8">
        <f>P17-Q17</f>
        <v/>
      </c>
      <c r="S17" s="59" t="n">
        <v>0.152</v>
      </c>
    </row>
    <row r="18">
      <c r="B18" s="70" t="n"/>
      <c r="N18" s="67" t="inlineStr">
        <is>
          <t>Eurozone</t>
        </is>
      </c>
      <c r="O18" s="68" t="n"/>
      <c r="P18" s="24">
        <f>VLOOKUP($P$13,Summary!$B:$AB,MATCH(Note!N18,Summary!$B$2:$AB$2,),)</f>
        <v/>
      </c>
      <c r="Q18" s="24">
        <f>VLOOKUP($Q$13,Summary!$B:$AB,MATCH(Note!N18,Summary!$B$2:$AB$2,),)</f>
        <v/>
      </c>
      <c r="R18" s="58">
        <f>P18-Q18</f>
        <v/>
      </c>
      <c r="S18" s="59" t="n">
        <v>0.156</v>
      </c>
    </row>
    <row r="19">
      <c r="N19" s="67" t="inlineStr">
        <is>
          <t xml:space="preserve">Japan </t>
        </is>
      </c>
      <c r="O19" s="68" t="n"/>
      <c r="P19" s="24">
        <f>VLOOKUP($P$13,Summary!$B:$AB,MATCH(Note!N19,Summary!$B$2:$AB$2,),)</f>
        <v/>
      </c>
      <c r="Q19" s="24">
        <f>VLOOKUP($Q$13,Summary!$B:$AB,MATCH(Note!N19,Summary!$B$2:$AB$2,),)</f>
        <v/>
      </c>
      <c r="R19" s="58">
        <f>P19-Q19</f>
        <v/>
      </c>
      <c r="S19" s="59" t="n">
        <v>0.06</v>
      </c>
    </row>
    <row r="20">
      <c r="B20" s="70" t="n"/>
      <c r="G20" s="70" t="n"/>
      <c r="N20" s="67" t="inlineStr">
        <is>
          <t>Germany</t>
        </is>
      </c>
      <c r="O20" s="68" t="n"/>
      <c r="P20" s="24">
        <f>VLOOKUP($P$13,Summary!$B:$AB,MATCH(Note!N20,Summary!$B$2:$AB$2,),)</f>
        <v/>
      </c>
      <c r="Q20" s="24">
        <f>VLOOKUP($Q$13,Summary!$B:$AB,MATCH(Note!N20,Summary!$B$2:$AB$2,),)</f>
        <v/>
      </c>
      <c r="R20" s="58">
        <f>P20-Q20</f>
        <v/>
      </c>
      <c r="S20" s="59" t="n">
        <v>0.04564243244249699</v>
      </c>
    </row>
    <row r="21">
      <c r="B21" s="70" t="n"/>
      <c r="G21" s="70" t="n"/>
      <c r="N21" s="67" t="inlineStr">
        <is>
          <t>France</t>
        </is>
      </c>
      <c r="O21" s="68" t="n"/>
      <c r="P21" s="24">
        <f>VLOOKUP($P$13,Summary!$B:$AB,MATCH(Note!N21,Summary!$B$2:$AB$2,),)</f>
        <v/>
      </c>
      <c r="Q21" s="24">
        <f>VLOOKUP($Q$13,Summary!$B:$AB,MATCH(Note!N21,Summary!$B$2:$AB$2,),)</f>
        <v/>
      </c>
      <c r="R21" s="58">
        <f>P21-Q21</f>
        <v/>
      </c>
      <c r="S21" s="59" t="n">
        <v>0.03206266059259443</v>
      </c>
    </row>
    <row r="22">
      <c r="B22" s="70" t="n"/>
      <c r="G22" s="70" t="n"/>
      <c r="N22" s="67" t="inlineStr">
        <is>
          <t>UK</t>
        </is>
      </c>
      <c r="O22" s="68" t="n"/>
      <c r="P22" s="24">
        <f>VLOOKUP($P$13,Summary!$B:$AB,MATCH(Note!N22,Summary!$B$2:$AB$2,),)</f>
        <v/>
      </c>
      <c r="Q22" s="24">
        <f>VLOOKUP($Q$13,Summary!$B:$AB,MATCH(Note!N22,Summary!$B$2:$AB$2,),)</f>
        <v/>
      </c>
      <c r="R22" s="58">
        <f>P22-Q22</f>
        <v/>
      </c>
      <c r="S22" s="59" t="n">
        <v>0.033</v>
      </c>
    </row>
    <row r="23">
      <c r="B23" s="70" t="n"/>
      <c r="N23" s="67" t="inlineStr">
        <is>
          <t xml:space="preserve">Italy </t>
        </is>
      </c>
      <c r="O23" s="68" t="n"/>
      <c r="P23" s="24">
        <f>VLOOKUP($P$13,Summary!$B:$AB,MATCH(Note!N23,Summary!$B$2:$AB$2,),)</f>
        <v/>
      </c>
      <c r="Q23" s="24">
        <f>VLOOKUP($Q$13,Summary!$B:$AB,MATCH(Note!N23,Summary!$B$2:$AB$2,),)</f>
        <v/>
      </c>
      <c r="R23" s="58">
        <f>P23-Q23</f>
        <v/>
      </c>
      <c r="S23" s="59" t="n">
        <v>0.024</v>
      </c>
    </row>
    <row r="24">
      <c r="B24" s="70" t="n"/>
      <c r="N24" s="67" t="inlineStr">
        <is>
          <t>Spain</t>
        </is>
      </c>
      <c r="O24" s="68" t="n"/>
      <c r="P24" s="24">
        <f>VLOOKUP($P$13,Summary!$B:$AB,MATCH(Note!N24,Summary!$B$2:$AB$2,),)</f>
        <v/>
      </c>
      <c r="Q24" s="24">
        <f>VLOOKUP($Q$13,Summary!$B:$AB,MATCH(Note!N24,Summary!$B$2:$AB$2,),)</f>
        <v/>
      </c>
      <c r="R24" s="58">
        <f>P24-Q24</f>
        <v/>
      </c>
      <c r="S24" s="59" t="n">
        <v>0.01627338290239694</v>
      </c>
    </row>
    <row r="25">
      <c r="N25" s="67" t="inlineStr">
        <is>
          <t>Brazil</t>
        </is>
      </c>
      <c r="O25" s="68" t="n"/>
      <c r="P25" s="24">
        <f>VLOOKUP($P$13,Summary!$B:$AB,MATCH(Note!N25,Summary!$B$2:$AB$2,),)</f>
        <v/>
      </c>
      <c r="Q25" s="24">
        <f>VLOOKUP($Q$13,Summary!$B:$AB,MATCH(Note!N25,Summary!$B$2:$AB$2,),)</f>
        <v/>
      </c>
      <c r="R25" s="58">
        <f>P25-Q25</f>
        <v/>
      </c>
      <c r="S25" s="59" t="n">
        <v>0.02552103375082236</v>
      </c>
    </row>
    <row r="26">
      <c r="N26" s="67" t="inlineStr">
        <is>
          <t>Mexico</t>
        </is>
      </c>
      <c r="O26" s="68" t="n"/>
      <c r="P26" s="24">
        <f>VLOOKUP($P$13,Summary!$B:$AB,MATCH(Note!N26,Summary!$B$2:$AB$2,),)</f>
        <v/>
      </c>
      <c r="Q26" s="24">
        <f>VLOOKUP($Q$13,Summary!$B:$AB,MATCH(Note!N26,Summary!$B$2:$AB$2,),)</f>
        <v/>
      </c>
      <c r="R26" s="58">
        <f>P26-Q26</f>
        <v/>
      </c>
      <c r="S26" s="59" t="n">
        <v>0.0142873102369633</v>
      </c>
    </row>
    <row r="27">
      <c r="N27" s="67" t="inlineStr">
        <is>
          <t>Russia</t>
        </is>
      </c>
      <c r="O27" s="68" t="n"/>
      <c r="P27" s="24">
        <f>VLOOKUP($P$13,Summary!$B:$AB,MATCH(Note!N27,Summary!$B$2:$AB$2,),)</f>
        <v/>
      </c>
      <c r="Q27" s="24">
        <f>VLOOKUP($Q$13,Summary!$B:$AB,MATCH(Note!N27,Summary!$B$2:$AB$2,),)</f>
        <v/>
      </c>
      <c r="R27" s="58">
        <f>P27-Q27</f>
        <v/>
      </c>
      <c r="S27" s="59" t="n">
        <v>0.01958764166283934</v>
      </c>
    </row>
    <row r="28">
      <c r="N28" s="67" t="inlineStr">
        <is>
          <t>India</t>
        </is>
      </c>
      <c r="O28" s="68" t="n"/>
      <c r="P28" s="24">
        <f>VLOOKUP($P$13,Summary!$B:$AB,MATCH(Note!N28,Summary!$B$2:$AB$2,),)</f>
        <v/>
      </c>
      <c r="Q28" s="24">
        <f>VLOOKUP($Q$13,Summary!$B:$AB,MATCH(Note!N28,Summary!$B$2:$AB$2,),)</f>
        <v/>
      </c>
      <c r="R28" s="58">
        <f>P28-Q28</f>
        <v/>
      </c>
      <c r="S28" s="59" t="n">
        <v>0.03228609376745572</v>
      </c>
    </row>
    <row r="29">
      <c r="N29" s="67" t="inlineStr">
        <is>
          <t>Canada</t>
        </is>
      </c>
      <c r="O29" s="68" t="n"/>
      <c r="P29" s="24">
        <f>VLOOKUP($P$13,Summary!$B:$AB,MATCH(Note!N29,Summary!$B$2:$AB$2,),)</f>
        <v/>
      </c>
      <c r="Q29" s="24">
        <f>VLOOKUP($Q$13,Summary!$B:$AB,MATCH(Note!N29,Summary!$B$2:$AB$2,),)</f>
        <v/>
      </c>
      <c r="R29" s="58">
        <f>P29-Q29</f>
        <v/>
      </c>
      <c r="S29" s="59" t="n">
        <v>0.02051861322476136</v>
      </c>
    </row>
    <row r="30">
      <c r="N30" s="67" t="inlineStr">
        <is>
          <t>Australia</t>
        </is>
      </c>
      <c r="O30" s="68" t="n"/>
      <c r="P30" s="24">
        <f>VLOOKUP($P$13,Summary!$B:$AB,MATCH(Note!N30,Summary!$B$2:$AB$2,),)</f>
        <v/>
      </c>
      <c r="Q30" s="24">
        <f>VLOOKUP($Q$13,Summary!$B:$AB,MATCH(Note!N30,Summary!$B$2:$AB$2,),)</f>
        <v/>
      </c>
      <c r="R30" s="58">
        <f>P30-Q30</f>
        <v/>
      </c>
      <c r="S30" s="59" t="n">
        <v>0.01642233835230446</v>
      </c>
    </row>
    <row r="31">
      <c r="N31" s="67" t="inlineStr">
        <is>
          <t>Indonesia</t>
        </is>
      </c>
      <c r="O31" s="68" t="n"/>
      <c r="P31" s="24">
        <f>VLOOKUP($P$13,Summary!$B:$AB,MATCH(Note!N31,Summary!$B$2:$AB$2,),)</f>
        <v/>
      </c>
      <c r="Q31" s="24">
        <f>VLOOKUP($Q$13,Summary!$B:$AB,MATCH(Note!N31,Summary!$B$2:$AB$2,),)</f>
        <v/>
      </c>
      <c r="R31" s="58">
        <f>P31-Q31</f>
        <v/>
      </c>
      <c r="S31" s="59" t="n">
        <v>0.01261156142550366</v>
      </c>
    </row>
    <row r="32">
      <c r="N32" s="67" t="inlineStr">
        <is>
          <t xml:space="preserve">S Korea </t>
        </is>
      </c>
      <c r="O32" s="68" t="n"/>
      <c r="P32" s="24">
        <f>VLOOKUP($P$13,Summary!$B:$AB,MATCH(Note!N32,Summary!$B$2:$AB$2,),)</f>
        <v/>
      </c>
      <c r="Q32" s="24">
        <f>VLOOKUP($Q$13,Summary!$B:$AB,MATCH(Note!N32,Summary!$B$2:$AB$2,),)</f>
        <v/>
      </c>
      <c r="R32" s="58">
        <f>P32-Q32</f>
        <v/>
      </c>
      <c r="S32" s="59" t="n">
        <v>0.019</v>
      </c>
    </row>
    <row r="33">
      <c r="N33" s="67" t="inlineStr">
        <is>
          <t>Taiwan</t>
        </is>
      </c>
      <c r="O33" s="68" t="n"/>
      <c r="P33" s="24">
        <f>VLOOKUP($P$13,Summary!$B:$AB,MATCH(Note!N33,Summary!$B$2:$AB$2,),)</f>
        <v/>
      </c>
      <c r="Q33" s="24">
        <f>VLOOKUP($Q$13,Summary!$B:$AB,MATCH(Note!N33,Summary!$B$2:$AB$2,),)</f>
        <v/>
      </c>
      <c r="R33" s="58">
        <f>P33-Q33</f>
        <v/>
      </c>
      <c r="S33" s="59" t="n">
        <v>0.007112622733084247</v>
      </c>
    </row>
    <row r="34">
      <c r="N34" s="67" t="inlineStr">
        <is>
          <t>Greece</t>
        </is>
      </c>
      <c r="O34" s="68" t="n"/>
      <c r="P34" s="24">
        <f>VLOOKUP($P$13,Summary!$B:$AB,MATCH(Note!N34,Summary!$B$2:$AB$2,),)</f>
        <v/>
      </c>
      <c r="Q34" s="24">
        <f>VLOOKUP($Q$13,Summary!$B:$AB,MATCH(Note!N34,Summary!$B$2:$AB$2,),)</f>
        <v/>
      </c>
      <c r="R34" s="58">
        <f>P34-Q34</f>
        <v/>
      </c>
      <c r="S34" s="59" t="n">
        <v>0.002482590831792058</v>
      </c>
    </row>
    <row r="35">
      <c r="N35" s="67" t="inlineStr">
        <is>
          <t>Ireland</t>
        </is>
      </c>
      <c r="O35" s="68" t="n"/>
      <c r="P35" s="24">
        <f>VLOOKUP($P$13,Summary!$B:$AB,MATCH(Note!N35,Summary!$B$2:$AB$2,),)</f>
        <v/>
      </c>
      <c r="Q35" s="24">
        <f>VLOOKUP($Q$13,Summary!$B:$AB,MATCH(Note!N35,Summary!$B$2:$AB$2,),)</f>
        <v/>
      </c>
      <c r="R35" s="58">
        <f>P35-Q35</f>
        <v/>
      </c>
      <c r="S35" s="59" t="n">
        <v>0.004145926689092737</v>
      </c>
    </row>
    <row r="36">
      <c r="N36" s="67" t="inlineStr">
        <is>
          <t>Turkey</t>
        </is>
      </c>
      <c r="O36" s="68" t="n"/>
      <c r="P36" s="24">
        <f>VLOOKUP($P$13,Summary!$B:$AB,MATCH(Note!N36,Summary!$B$2:$AB$2,),)</f>
        <v/>
      </c>
      <c r="Q36" s="24">
        <f>VLOOKUP($Q$13,Summary!$B:$AB,MATCH(Note!N36,Summary!$B$2:$AB$2,),)</f>
        <v/>
      </c>
      <c r="R36" s="58">
        <f>P36-Q36</f>
        <v/>
      </c>
      <c r="S36" s="59" t="n">
        <v>0.01056342398927521</v>
      </c>
    </row>
    <row r="37">
      <c r="N37" s="67" t="inlineStr">
        <is>
          <t xml:space="preserve">Czech </t>
        </is>
      </c>
      <c r="O37" s="68" t="n"/>
      <c r="P37" s="24">
        <f>VLOOKUP($P$13,Summary!$B:$AB,MATCH(Note!N37,Summary!$B$2:$AB$2,),)</f>
        <v/>
      </c>
      <c r="Q37" s="24">
        <f>VLOOKUP($Q$13,Summary!$B:$AB,MATCH(Note!N37,Summary!$B$2:$AB$2,),)</f>
        <v/>
      </c>
      <c r="R37" s="58">
        <f>P37-Q37</f>
        <v/>
      </c>
      <c r="S37" s="59" t="n">
        <v>0.003</v>
      </c>
    </row>
    <row r="38">
      <c r="N38" s="67" t="inlineStr">
        <is>
          <t>Poland</t>
        </is>
      </c>
      <c r="O38" s="68" t="n"/>
      <c r="P38" s="24">
        <f>VLOOKUP($P$13,Summary!$B:$AB,MATCH(Note!N38,Summary!$B$2:$AB$2,),)</f>
        <v/>
      </c>
      <c r="Q38" s="24">
        <f>VLOOKUP($Q$13,Summary!$B:$AB,MATCH(Note!N38,Summary!$B$2:$AB$2,),)</f>
        <v/>
      </c>
      <c r="R38" s="58">
        <f>P38-Q38</f>
        <v/>
      </c>
      <c r="S38" s="59" t="n">
        <v>0.006516800933454153</v>
      </c>
    </row>
    <row r="39">
      <c r="N39" s="67" t="inlineStr">
        <is>
          <t>Denmark</t>
        </is>
      </c>
      <c r="O39" s="68" t="n"/>
      <c r="P39" s="24">
        <f>VLOOKUP($P$13,Summary!$B:$AB,MATCH(Note!N39,Summary!$B$2:$AB$2,),)</f>
        <v/>
      </c>
      <c r="Q39" s="24">
        <f>VLOOKUP($Q$13,Summary!$B:$AB,MATCH(Note!N39,Summary!$B$2:$AB$2,),)</f>
        <v/>
      </c>
      <c r="R39" s="58">
        <f>P39-Q39</f>
        <v/>
      </c>
      <c r="S39" s="59" t="n">
        <v>0.004034210101662094</v>
      </c>
    </row>
    <row r="41" ht="30" customHeight="1" s="63"/>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0"/>
  <sheetViews>
    <sheetView zoomScale="160" zoomScaleNormal="160" workbookViewId="0">
      <pane ySplit="1" topLeftCell="A314" activePane="bottomLeft" state="frozen"/>
      <selection pane="bottomLeft" activeCell="X324" sqref="X324"/>
    </sheetView>
  </sheetViews>
  <sheetFormatPr baseColWidth="10" defaultRowHeight="15"/>
  <cols>
    <col width="10.83203125" customWidth="1" style="63" min="1" max="27"/>
    <col width="10.83203125" customWidth="1" style="63" min="28"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R340" t="n">
        <v>62.4</v>
      </c>
      <c r="AS340" t="n">
        <v>63.8</v>
      </c>
      <c r="AT340" t="n">
        <v>55.1</v>
      </c>
      <c r="AU340" t="n">
        <v>51.7</v>
      </c>
      <c r="AV340" t="n">
        <v>50.5</v>
      </c>
      <c r="AW340" t="n">
        <v>54.1</v>
      </c>
      <c r="AX340" t="n">
        <v>56.9</v>
      </c>
      <c r="AY340" t="n">
        <v>55</v>
      </c>
      <c r="AZ340" t="n">
        <v>53.7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7"/>
  <sheetViews>
    <sheetView zoomScale="160" zoomScaleNormal="160" workbookViewId="0">
      <pane ySplit="1" topLeftCell="A298" activePane="bottomLeft" state="frozen"/>
      <selection activeCell="B327" sqref="B327"/>
      <selection pane="bottomLeft" activeCell="B327" sqref="B327"/>
    </sheetView>
  </sheetViews>
  <sheetFormatPr baseColWidth="10" defaultRowHeight="15"/>
  <cols>
    <col width="10.83203125" customWidth="1" style="63" min="1" max="5"/>
    <col width="17.33203125" customWidth="1" style="63" min="6" max="6"/>
    <col width="10.83203125" customWidth="1" style="63" min="7" max="28"/>
    <col width="10.83203125" customWidth="1" style="63" min="29"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
      </c>
    </row>
    <row r="327">
      <c r="A327" s="82" t="n">
        <v>44593</v>
      </c>
      <c r="B327" t="n">
        <v/>
      </c>
      <c r="C327" t="n">
        <v>101.75</v>
      </c>
      <c r="D327" t="n">
        <v>47.86000061035156</v>
      </c>
      <c r="E327" t="n">
        <v>34.27999877929688</v>
      </c>
      <c r="F32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0"/>
  <sheetViews>
    <sheetView zoomScale="200" zoomScaleNormal="200" workbookViewId="0">
      <pane ySplit="1" topLeftCell="A188" activePane="bottomLeft" state="frozen"/>
      <selection pane="bottomLeft" activeCell="H18" sqref="H18"/>
    </sheetView>
  </sheetViews>
  <sheetFormatPr baseColWidth="10" defaultRowHeight="15"/>
  <cols>
    <col width="10.83203125" customWidth="1" style="63" min="1" max="1"/>
    <col width="21.83203125" customWidth="1" style="63" min="2" max="2"/>
    <col width="10.83203125" customWidth="1" style="63" min="3" max="23"/>
    <col width="10.83203125" customWidth="1" style="63" min="24"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44652</v>
      </c>
    </row>
    <row r="208">
      <c r="A208" s="82" t="n">
        <v>44743</v>
      </c>
    </row>
    <row r="209">
      <c r="A209" s="82" t="n">
        <v>44835</v>
      </c>
    </row>
    <row r="210">
      <c r="A210"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7"/>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3" min="1" max="23"/>
    <col width="10.83203125" customWidth="1" style="63" min="24"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4"/>
  <sheetViews>
    <sheetView zoomScale="150" zoomScaleNormal="150" workbookViewId="0">
      <pane xSplit="2" ySplit="11" topLeftCell="C71" activePane="bottomRight" state="frozen"/>
      <selection pane="topRight" activeCell="C1" sqref="C1"/>
      <selection pane="bottomLeft" activeCell="A12" sqref="A12"/>
      <selection pane="bottomRight" activeCell="AE84" sqref="AE84"/>
    </sheetView>
  </sheetViews>
  <sheetFormatPr baseColWidth="10" defaultColWidth="9.1640625" defaultRowHeight="15"/>
  <cols>
    <col width="9.1640625" customWidth="1" style="70" min="1" max="1"/>
    <col width="17.83203125" customWidth="1" style="63" min="2" max="2"/>
    <col width="6.1640625" customWidth="1" style="63" min="3" max="27"/>
    <col width="7.33203125" customWidth="1" style="63"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3" min="75" max="110"/>
    <col width="9.1640625" customWidth="1" style="63" min="111" max="16384"/>
  </cols>
  <sheetData>
    <row r="1" ht="16" customFormat="1" customHeight="1" s="70" thickBot="1">
      <c r="AD1" s="31" t="inlineStr">
        <is>
          <t>*to update</t>
        </is>
      </c>
      <c r="AE1" s="70" t="inlineStr">
        <is>
          <t>Last month</t>
        </is>
      </c>
      <c r="AG1" s="32" t="n">
        <v>44562</v>
      </c>
      <c r="AJ1" s="4" t="inlineStr">
        <is>
          <t>*modify max/min/avg</t>
        </is>
      </c>
    </row>
    <row r="2" ht="72.75" customHeight="1" s="63" thickBot="1">
      <c r="B2" s="37" t="n"/>
      <c r="C2" s="38" t="inlineStr">
        <is>
          <t>Global</t>
        </is>
      </c>
      <c r="D2" s="38" t="inlineStr">
        <is>
          <t>US ISM</t>
        </is>
      </c>
      <c r="E2" s="38" t="inlineStr">
        <is>
          <t>US</t>
        </is>
      </c>
      <c r="F2" s="38" t="inlineStr">
        <is>
          <t xml:space="preserve">China </t>
        </is>
      </c>
      <c r="G2" s="38" t="inlineStr">
        <is>
          <t>Eurozone</t>
        </is>
      </c>
      <c r="H2" s="38" t="inlineStr">
        <is>
          <t xml:space="preserve">Japan </t>
        </is>
      </c>
      <c r="I2" s="38" t="inlineStr">
        <is>
          <t>Germany</t>
        </is>
      </c>
      <c r="J2" s="38" t="inlineStr">
        <is>
          <t>France</t>
        </is>
      </c>
      <c r="K2" s="38" t="inlineStr">
        <is>
          <t>UK</t>
        </is>
      </c>
      <c r="L2" s="38" t="inlineStr">
        <is>
          <t xml:space="preserve">Italy </t>
        </is>
      </c>
      <c r="M2" s="38" t="inlineStr">
        <is>
          <t>Spain</t>
        </is>
      </c>
      <c r="N2" s="38" t="inlineStr">
        <is>
          <t>Brazil</t>
        </is>
      </c>
      <c r="O2" s="38" t="inlineStr">
        <is>
          <t>Mexico</t>
        </is>
      </c>
      <c r="P2" s="38" t="inlineStr">
        <is>
          <t>Russia</t>
        </is>
      </c>
      <c r="Q2" s="38" t="inlineStr">
        <is>
          <t>India</t>
        </is>
      </c>
      <c r="R2" s="38" t="inlineStr">
        <is>
          <t>Canada</t>
        </is>
      </c>
      <c r="S2" s="38" t="inlineStr">
        <is>
          <t>Australia</t>
        </is>
      </c>
      <c r="T2" s="39" t="inlineStr">
        <is>
          <t>Indonesia</t>
        </is>
      </c>
      <c r="U2" s="38" t="inlineStr">
        <is>
          <t xml:space="preserve">S Korea </t>
        </is>
      </c>
      <c r="V2" s="38" t="inlineStr">
        <is>
          <t>Taiwan</t>
        </is>
      </c>
      <c r="W2" s="38" t="inlineStr">
        <is>
          <t>Greece</t>
        </is>
      </c>
      <c r="X2" s="38" t="inlineStr">
        <is>
          <t>Ireland</t>
        </is>
      </c>
      <c r="Y2" s="38" t="inlineStr">
        <is>
          <t>Turkey</t>
        </is>
      </c>
      <c r="Z2" s="38" t="inlineStr">
        <is>
          <t xml:space="preserve">Czech </t>
        </is>
      </c>
      <c r="AA2" s="38" t="inlineStr">
        <is>
          <t>Poland</t>
        </is>
      </c>
      <c r="AB2" s="40" t="inlineStr">
        <is>
          <t>Denmark</t>
        </is>
      </c>
      <c r="AE2" s="70" t="inlineStr">
        <is>
          <t>Previous month</t>
        </is>
      </c>
      <c r="AG2" s="27">
        <f>DATE(YEAR(AG1),MONTH(AG1)-1,DAY(AG1))</f>
        <v/>
      </c>
    </row>
    <row r="3" hidden="1" s="63">
      <c r="B3" s="33" t="inlineStr">
        <is>
          <t>max 12m</t>
        </is>
      </c>
      <c r="C3" s="28">
        <f>MAX(C48:C59)</f>
        <v/>
      </c>
      <c r="D3" s="28">
        <f>MAX(D45:D56)</f>
        <v/>
      </c>
      <c r="E3" s="28">
        <f>MAX(E45:E56)</f>
        <v/>
      </c>
      <c r="F3" s="28">
        <f>MAX(F45:F56)</f>
        <v/>
      </c>
      <c r="G3" s="28">
        <f>MAX(G45:G56)</f>
        <v/>
      </c>
      <c r="H3" s="28">
        <f>MAX(H45:H56)</f>
        <v/>
      </c>
      <c r="I3" s="28">
        <f>MAX(I45:I56)</f>
        <v/>
      </c>
      <c r="J3" s="28">
        <f>MAX(J45:J56)</f>
        <v/>
      </c>
      <c r="K3" s="28">
        <f>MAX(K45:K56)</f>
        <v/>
      </c>
      <c r="L3" s="28">
        <f>MAX(L45:L56)</f>
        <v/>
      </c>
      <c r="M3" s="28">
        <f>MAX(M45:M56)</f>
        <v/>
      </c>
      <c r="N3" s="28">
        <f>MAX(N45:N56)</f>
        <v/>
      </c>
      <c r="O3" s="28">
        <f>MAX(O45:O56)</f>
        <v/>
      </c>
      <c r="P3" s="28">
        <f>MAX(P45:P56)</f>
        <v/>
      </c>
      <c r="Q3" s="28">
        <f>MAX(Q45:Q56)</f>
        <v/>
      </c>
      <c r="R3" s="28">
        <f>MAX(R45:R56)</f>
        <v/>
      </c>
      <c r="S3" s="28">
        <f>MAX(S45:S56)</f>
        <v/>
      </c>
      <c r="T3" s="28">
        <f>MAX(T45:T56)</f>
        <v/>
      </c>
      <c r="U3" s="28">
        <f>MAX(U45:U56)</f>
        <v/>
      </c>
      <c r="V3" s="28">
        <f>MAX(V45:V56)</f>
        <v/>
      </c>
      <c r="W3" s="28">
        <f>MAX(W45:W56)</f>
        <v/>
      </c>
      <c r="X3" s="28">
        <f>MAX(X45:X56)</f>
        <v/>
      </c>
      <c r="Y3" s="28">
        <f>MAX(Y45:Y56)</f>
        <v/>
      </c>
      <c r="Z3" s="28">
        <f>MAX(Z45:Z56)</f>
        <v/>
      </c>
      <c r="AA3" s="28">
        <f>MAX(AA45:AA56)</f>
        <v/>
      </c>
      <c r="AB3" s="34">
        <f>MAX(AB45:AB56)</f>
        <v/>
      </c>
      <c r="AF3" s="70" t="inlineStr">
        <is>
          <t>12 months</t>
        </is>
      </c>
      <c r="AG3" s="27">
        <f>DATE(YEAR(AG1),MONTH(AG1)-12,DAY(AG1))</f>
        <v/>
      </c>
    </row>
    <row r="4" hidden="1" s="63">
      <c r="B4" s="33" t="inlineStr">
        <is>
          <t>min 12m</t>
        </is>
      </c>
      <c r="C4" s="28">
        <f>MIN(C48:C59)</f>
        <v/>
      </c>
      <c r="D4" s="28">
        <f>MIN(D45:D56)</f>
        <v/>
      </c>
      <c r="E4" s="28">
        <f>MIN(E45:E56)</f>
        <v/>
      </c>
      <c r="F4" s="28">
        <f>MIN(F45:F56)</f>
        <v/>
      </c>
      <c r="G4" s="28">
        <f>MIN(G45:G56)</f>
        <v/>
      </c>
      <c r="H4" s="28">
        <f>MIN(H45:H56)</f>
        <v/>
      </c>
      <c r="I4" s="28">
        <f>MIN(I45:I56)</f>
        <v/>
      </c>
      <c r="J4" s="28">
        <f>MIN(J45:J56)</f>
        <v/>
      </c>
      <c r="K4" s="28">
        <f>MIN(K45:K56)</f>
        <v/>
      </c>
      <c r="L4" s="28">
        <f>MIN(L45:L56)</f>
        <v/>
      </c>
      <c r="M4" s="28">
        <f>MIN(M45:M56)</f>
        <v/>
      </c>
      <c r="N4" s="28">
        <f>MIN(N45:N56)</f>
        <v/>
      </c>
      <c r="O4" s="28">
        <f>MIN(O45:O56)</f>
        <v/>
      </c>
      <c r="P4" s="28">
        <f>MIN(P45:P56)</f>
        <v/>
      </c>
      <c r="Q4" s="28">
        <f>MIN(Q45:Q56)</f>
        <v/>
      </c>
      <c r="R4" s="28">
        <f>MIN(R45:R56)</f>
        <v/>
      </c>
      <c r="S4" s="28">
        <f>MIN(S45:S56)</f>
        <v/>
      </c>
      <c r="T4" s="28">
        <f>MIN(T45:T56)</f>
        <v/>
      </c>
      <c r="U4" s="28">
        <f>MIN(U45:U56)</f>
        <v/>
      </c>
      <c r="V4" s="28">
        <f>MIN(V45:V56)</f>
        <v/>
      </c>
      <c r="W4" s="28">
        <f>MIN(W45:W56)</f>
        <v/>
      </c>
      <c r="X4" s="28">
        <f>MIN(X45:X56)</f>
        <v/>
      </c>
      <c r="Y4" s="28">
        <f>MIN(Y45:Y56)</f>
        <v/>
      </c>
      <c r="Z4" s="28">
        <f>MIN(Z45:Z56)</f>
        <v/>
      </c>
      <c r="AA4" s="28">
        <f>MIN(AA45:AA56)</f>
        <v/>
      </c>
      <c r="AB4" s="34">
        <f>MIN(AB45:AB56)</f>
        <v/>
      </c>
    </row>
    <row r="5" hidden="1" s="63">
      <c r="B5" s="33" t="inlineStr">
        <is>
          <t>12m avg</t>
        </is>
      </c>
      <c r="C5" s="41">
        <f>AVERAGE(C48:C59)</f>
        <v/>
      </c>
      <c r="D5" s="41">
        <f>AVERAGE(D45:D56)</f>
        <v/>
      </c>
      <c r="E5" s="41">
        <f>AVERAGE(E45:E56)</f>
        <v/>
      </c>
      <c r="F5" s="41">
        <f>AVERAGE(F45:F56)</f>
        <v/>
      </c>
      <c r="G5" s="41">
        <f>AVERAGE(G45:G56)</f>
        <v/>
      </c>
      <c r="H5" s="41">
        <f>AVERAGE(H45:H56)</f>
        <v/>
      </c>
      <c r="I5" s="41">
        <f>AVERAGE(I45:I56)</f>
        <v/>
      </c>
      <c r="J5" s="41">
        <f>AVERAGE(J45:J56)</f>
        <v/>
      </c>
      <c r="K5" s="41">
        <f>AVERAGE(K45:K56)</f>
        <v/>
      </c>
      <c r="L5" s="41">
        <f>AVERAGE(L45:L56)</f>
        <v/>
      </c>
      <c r="M5" s="41">
        <f>AVERAGE(M45:M56)</f>
        <v/>
      </c>
      <c r="N5" s="41">
        <f>AVERAGE(N45:N56)</f>
        <v/>
      </c>
      <c r="O5" s="41">
        <f>AVERAGE(O45:O56)</f>
        <v/>
      </c>
      <c r="P5" s="41">
        <f>AVERAGE(P45:P56)</f>
        <v/>
      </c>
      <c r="Q5" s="41">
        <f>AVERAGE(Q45:Q56)</f>
        <v/>
      </c>
      <c r="R5" s="41">
        <f>AVERAGE(R45:R56)</f>
        <v/>
      </c>
      <c r="S5" s="41">
        <f>AVERAGE(S45:S56)</f>
        <v/>
      </c>
      <c r="T5" s="41">
        <f>AVERAGE(T45:T56)</f>
        <v/>
      </c>
      <c r="U5" s="41">
        <f>AVERAGE(U45:U56)</f>
        <v/>
      </c>
      <c r="V5" s="41">
        <f>AVERAGE(V45:V56)</f>
        <v/>
      </c>
      <c r="W5" s="41">
        <f>AVERAGE(W45:W56)</f>
        <v/>
      </c>
      <c r="X5" s="41">
        <f>AVERAGE(X45:X56)</f>
        <v/>
      </c>
      <c r="Y5" s="41">
        <f>AVERAGE(Y45:Y56)</f>
        <v/>
      </c>
      <c r="Z5" s="41">
        <f>AVERAGE(Z45:Z56)</f>
        <v/>
      </c>
      <c r="AA5" s="41">
        <f>AVERAGE(AA45:AA56)</f>
        <v/>
      </c>
      <c r="AB5" s="42">
        <f>AVERAGE(AB45:AB56)</f>
        <v/>
      </c>
    </row>
    <row r="6">
      <c r="B6" s="51" t="inlineStr">
        <is>
          <t>Last vs 12m avg</t>
        </is>
      </c>
      <c r="C6" s="43">
        <f>IF((VLOOKUP($AG$1,$B:$AA,MATCH(C2,$B$2:$AA$2,),))&gt;C5,"above","below")</f>
        <v/>
      </c>
      <c r="D6" s="44">
        <f>IF((VLOOKUP($AG$1,$B:$AA,MATCH(D2,$B$2:$AA$2,),))&gt;D5,"above","below")</f>
        <v/>
      </c>
      <c r="E6" s="44">
        <f>IF((VLOOKUP($AG$1,$B:$AA,MATCH(E2,$B$2:$AA$2,),))&gt;E5,"above","below")</f>
        <v/>
      </c>
      <c r="F6" s="44">
        <f>IF((VLOOKUP($AG$1,$B:$AA,MATCH(F2,$B$2:$AA$2,),))&gt;F5,"above","below")</f>
        <v/>
      </c>
      <c r="G6" s="44">
        <f>IF((VLOOKUP($AG$1,$B:$AA,MATCH(G2,$B$2:$AA$2,),))&gt;G5,"above","below")</f>
        <v/>
      </c>
      <c r="H6" s="44">
        <f>IF((VLOOKUP($AG$1,$B:$AA,MATCH(H2,$B$2:$AA$2,),))&gt;H5,"above","below")</f>
        <v/>
      </c>
      <c r="I6" s="44">
        <f>IF((VLOOKUP($AG$1,$B:$AA,MATCH(I2,$B$2:$AA$2,),))&gt;I5,"above","below")</f>
        <v/>
      </c>
      <c r="J6" s="44">
        <f>IF((VLOOKUP($AG$1,$B:$AA,MATCH(J2,$B$2:$AA$2,),))&gt;J5,"above","below")</f>
        <v/>
      </c>
      <c r="K6" s="44">
        <f>IF((VLOOKUP($AG$1,$B:$AA,MATCH(K2,$B$2:$AA$2,),))&gt;K5,"above","below")</f>
        <v/>
      </c>
      <c r="L6" s="44">
        <f>IF((VLOOKUP($AG$1,$B:$AA,MATCH(L2,$B$2:$AA$2,),))&gt;L5,"above","below")</f>
        <v/>
      </c>
      <c r="M6" s="44">
        <f>IF((VLOOKUP($AG$1,$B:$AA,MATCH(M2,$B$2:$AA$2,),))&gt;M5,"above","below")</f>
        <v/>
      </c>
      <c r="N6" s="44">
        <f>IF((VLOOKUP($AG$1,$B:$AA,MATCH(N2,$B$2:$AA$2,),))&gt;N5,"above","below")</f>
        <v/>
      </c>
      <c r="O6" s="44">
        <f>IF((VLOOKUP($AG$1,$B:$AA,MATCH(O2,$B$2:$AA$2,),))&gt;O5,"above","below")</f>
        <v/>
      </c>
      <c r="P6" s="44">
        <f>IF((VLOOKUP($AG$1,$B:$AA,MATCH(P2,$B$2:$AA$2,),))&gt;P5,"above","below")</f>
        <v/>
      </c>
      <c r="Q6" s="44">
        <f>IF((VLOOKUP($AG$1,$B:$AA,MATCH(Q2,$B$2:$AA$2,),))&gt;Q5,"above","below")</f>
        <v/>
      </c>
      <c r="R6" s="44">
        <f>IF((VLOOKUP($AG$1,$B:$AA,MATCH(R2,$B$2:$AA$2,),))&gt;R5,"above","below")</f>
        <v/>
      </c>
      <c r="S6" s="44">
        <f>IF((VLOOKUP($AG$1,$B:$AA,MATCH(S2,$B$2:$AA$2,),))&gt;S5,"above","below")</f>
        <v/>
      </c>
      <c r="T6" s="44">
        <f>IF((VLOOKUP($AG$1,$B:$AA,MATCH(T2,$B$2:$AA$2,),))&gt;T5,"above","below")</f>
        <v/>
      </c>
      <c r="U6" s="44">
        <f>IF((VLOOKUP($AG$1,$B:$AA,MATCH(U2,$B$2:$AA$2,),))&gt;U5,"above","below")</f>
        <v/>
      </c>
      <c r="V6" s="44">
        <f>IF((VLOOKUP($AG$1,$B:$AA,MATCH(V2,$B$2:$AA$2,),))&gt;V5,"above","below")</f>
        <v/>
      </c>
      <c r="W6" s="44">
        <f>IF((VLOOKUP($AG$1,$B:$AA,MATCH(W2,$B$2:$AA$2,),))&gt;W5,"above","below")</f>
        <v/>
      </c>
      <c r="X6" s="44">
        <f>IF((VLOOKUP($AG$1,$B:$AA,MATCH(X2,$B$2:$AA$2,),))&gt;X5,"above","below")</f>
        <v/>
      </c>
      <c r="Y6" s="44">
        <f>IF((VLOOKUP($AG$1,$B:$AA,MATCH(Y2,$B$2:$AA$2,),))&gt;Y5,"above","below")</f>
        <v/>
      </c>
      <c r="Z6" s="44">
        <f>IF((VLOOKUP($AG$1,$B:$AA,MATCH(Z2,$B$2:$AA$2,),))&gt;Z5,"above","below")</f>
        <v/>
      </c>
      <c r="AA6" s="44">
        <f>IF((VLOOKUP($AG$1,$B:$AA,MATCH(AA2,$B$2:$AA$2,),))&gt;AA5,"above","below")</f>
        <v/>
      </c>
      <c r="AB6" s="45">
        <f>IF((VLOOKUP($AG$1,$B:$AB,MATCH(AB2,$B$2:$AB$2,),))&gt;AB5,"above","below")</f>
        <v/>
      </c>
    </row>
    <row r="7">
      <c r="B7" s="51" t="inlineStr">
        <is>
          <t>Y/Y</t>
        </is>
      </c>
      <c r="C7" s="46">
        <f>VLOOKUP($AG$1,$B:$AA,MATCH(C2,$B$2:$AA$2,),)-VLOOKUP($AG$3,$B:$AA,MATCH(C2,$B$2:$AA$2,),)</f>
        <v/>
      </c>
      <c r="D7" s="28">
        <f>VLOOKUP($AG$1,$B:$AA,MATCH(D2,$B$2:$AA$2,),)-VLOOKUP($AG$3,$B:$AA,MATCH(D2,$B$2:$AA$2,),)</f>
        <v/>
      </c>
      <c r="E7" s="28">
        <f>VLOOKUP($AG$1,$B:$AA,MATCH(E2,$B$2:$AA$2,),)-VLOOKUP($AG$3,$B:$AA,MATCH(E2,$B$2:$AA$2,),)</f>
        <v/>
      </c>
      <c r="F7" s="28">
        <f>VLOOKUP($AG$1,$B:$AA,MATCH(F2,$B$2:$AA$2,),)-VLOOKUP($AG$3,$B:$AA,MATCH(F2,$B$2:$AA$2,),)</f>
        <v/>
      </c>
      <c r="G7" s="28">
        <f>VLOOKUP($AG$1,$B:$AA,MATCH(G2,$B$2:$AA$2,),)-VLOOKUP($AG$3,$B:$AA,MATCH(G2,$B$2:$AA$2,),)</f>
        <v/>
      </c>
      <c r="H7" s="28">
        <f>VLOOKUP($AG$1,$B:$AA,MATCH(H2,$B$2:$AA$2,),)-VLOOKUP($AG$3,$B:$AA,MATCH(H2,$B$2:$AA$2,),)</f>
        <v/>
      </c>
      <c r="I7" s="28">
        <f>VLOOKUP($AG$1,$B:$AA,MATCH(I2,$B$2:$AA$2,),)-VLOOKUP($AG$3,$B:$AA,MATCH(I2,$B$2:$AA$2,),)</f>
        <v/>
      </c>
      <c r="J7" s="28">
        <f>VLOOKUP($AG$1,$B:$AA,MATCH(J2,$B$2:$AA$2,),)-VLOOKUP($AG$3,$B:$AA,MATCH(J2,$B$2:$AA$2,),)</f>
        <v/>
      </c>
      <c r="K7" s="28">
        <f>VLOOKUP($AG$1,$B:$AA,MATCH(K2,$B$2:$AA$2,),)-VLOOKUP($AG$3,$B:$AA,MATCH(K2,$B$2:$AA$2,),)</f>
        <v/>
      </c>
      <c r="L7" s="28">
        <f>VLOOKUP($AG$1,$B:$AA,MATCH(L2,$B$2:$AA$2,),)-VLOOKUP($AG$3,$B:$AA,MATCH(L2,$B$2:$AA$2,),)</f>
        <v/>
      </c>
      <c r="M7" s="28">
        <f>VLOOKUP($AG$1,$B:$AA,MATCH(M2,$B$2:$AA$2,),)-VLOOKUP($AG$3,$B:$AA,MATCH(M2,$B$2:$AA$2,),)</f>
        <v/>
      </c>
      <c r="N7" s="28">
        <f>VLOOKUP($AG$1,$B:$AA,MATCH(N2,$B$2:$AA$2,),)-VLOOKUP($AG$3,$B:$AA,MATCH(N2,$B$2:$AA$2,),)</f>
        <v/>
      </c>
      <c r="O7" s="28">
        <f>VLOOKUP($AG$1,$B:$AA,MATCH(O2,$B$2:$AA$2,),)-VLOOKUP($AG$3,$B:$AA,MATCH(O2,$B$2:$AA$2,),)</f>
        <v/>
      </c>
      <c r="P7" s="28">
        <f>VLOOKUP($AG$1,$B:$AA,MATCH(P2,$B$2:$AA$2,),)-VLOOKUP($AG$3,$B:$AA,MATCH(P2,$B$2:$AA$2,),)</f>
        <v/>
      </c>
      <c r="Q7" s="28">
        <f>VLOOKUP($AG$1,$B:$AA,MATCH(Q2,$B$2:$AA$2,),)-VLOOKUP($AG$3,$B:$AA,MATCH(Q2,$B$2:$AA$2,),)</f>
        <v/>
      </c>
      <c r="R7" s="28">
        <f>VLOOKUP($AG$1,$B:$AA,MATCH(R2,$B$2:$AA$2,),)-VLOOKUP($AG$3,$B:$AA,MATCH(R2,$B$2:$AA$2,),)</f>
        <v/>
      </c>
      <c r="S7" s="28">
        <f>VLOOKUP($AG$1,$B:$AA,MATCH(S2,$B$2:$AA$2,),)-VLOOKUP($AG$3,$B:$AA,MATCH(S2,$B$2:$AA$2,),)</f>
        <v/>
      </c>
      <c r="T7" s="28">
        <f>VLOOKUP($AG$1,$B:$AA,MATCH(T2,$B$2:$AA$2,),)-VLOOKUP($AG$3,$B:$AA,MATCH(T2,$B$2:$AA$2,),)</f>
        <v/>
      </c>
      <c r="U7" s="28">
        <f>VLOOKUP($AG$1,$B:$AA,MATCH(U2,$B$2:$AA$2,),)-VLOOKUP($AG$3,$B:$AA,MATCH(U2,$B$2:$AA$2,),)</f>
        <v/>
      </c>
      <c r="V7" s="28">
        <f>VLOOKUP($AG$1,$B:$AA,MATCH(V2,$B$2:$AA$2,),)-VLOOKUP($AG$3,$B:$AA,MATCH(V2,$B$2:$AA$2,),)</f>
        <v/>
      </c>
      <c r="W7" s="28">
        <f>VLOOKUP($AG$1,$B:$AA,MATCH(W2,$B$2:$AA$2,),)-VLOOKUP($AG$3,$B:$AA,MATCH(W2,$B$2:$AA$2,),)</f>
        <v/>
      </c>
      <c r="X7" s="28">
        <f>VLOOKUP($AG$1,$B:$AA,MATCH(X2,$B$2:$AA$2,),)-VLOOKUP($AG$3,$B:$AA,MATCH(X2,$B$2:$AA$2,),)</f>
        <v/>
      </c>
      <c r="Y7" s="28">
        <f>VLOOKUP($AG$1,$B:$AA,MATCH(Y2,$B$2:$AA$2,),)-VLOOKUP($AG$3,$B:$AA,MATCH(Y2,$B$2:$AA$2,),)</f>
        <v/>
      </c>
      <c r="Z7" s="28">
        <f>VLOOKUP($AG$1,$B:$AA,MATCH(Z2,$B$2:$AA$2,),)-VLOOKUP($AG$3,$B:$AA,MATCH(Z2,$B$2:$AA$2,),)</f>
        <v/>
      </c>
      <c r="AA7" s="28">
        <f>VLOOKUP($AG$1,$B:$AA,MATCH(AA2,$B$2:$AA$2,),)-VLOOKUP($AG$3,$B:$AA,MATCH(AA2,$B$2:$AA$2,),)</f>
        <v/>
      </c>
      <c r="AB7" s="34">
        <f>VLOOKUP($AG$1,$B:$AB,MATCH(AB2,$B$2:$AB$2,),)-VLOOKUP($AG$3,$B:$AB,MATCH(AB2,$B$2:$AB$2,),)</f>
        <v/>
      </c>
    </row>
    <row r="8">
      <c r="B8" s="51" t="inlineStr">
        <is>
          <t>M/M</t>
        </is>
      </c>
      <c r="C8" s="46">
        <f>VLOOKUP($AG$1,$B:$AA,MATCH(C2,$B$2:$AA$2,),)-VLOOKUP($AG$2,$B:$AA,MATCH(C2,$B$2:$AA$2,),)</f>
        <v/>
      </c>
      <c r="D8" s="28">
        <f>VLOOKUP($AG$1,$B:$AA,MATCH(D2,$B$2:$AA$2,),)-VLOOKUP($AG$2,$B:$AA,MATCH(D2,$B$2:$AA$2,),)</f>
        <v/>
      </c>
      <c r="E8" s="28">
        <f>VLOOKUP($AG$1,$B:$AA,MATCH(E2,$B$2:$AA$2,),)-VLOOKUP($AG$2,$B:$AA,MATCH(E2,$B$2:$AA$2,),)</f>
        <v/>
      </c>
      <c r="F8" s="28">
        <f>VLOOKUP($AG$1,$B:$AA,MATCH(F2,$B$2:$AA$2,),)-VLOOKUP($AG$2,$B:$AA,MATCH(F2,$B$2:$AA$2,),)</f>
        <v/>
      </c>
      <c r="G8" s="28">
        <f>VLOOKUP($AG$1,$B:$AA,MATCH(G2,$B$2:$AA$2,),)-VLOOKUP($AG$2,$B:$AA,MATCH(G2,$B$2:$AA$2,),)</f>
        <v/>
      </c>
      <c r="H8" s="28">
        <f>VLOOKUP($AG$1,$B:$AA,MATCH(H2,$B$2:$AA$2,),)-VLOOKUP($AG$2,$B:$AA,MATCH(H2,$B$2:$AA$2,),)</f>
        <v/>
      </c>
      <c r="I8" s="28">
        <f>VLOOKUP($AG$1,$B:$AA,MATCH(I2,$B$2:$AA$2,),)-VLOOKUP($AG$2,$B:$AA,MATCH(I2,$B$2:$AA$2,),)</f>
        <v/>
      </c>
      <c r="J8" s="28">
        <f>VLOOKUP($AG$1,$B:$AA,MATCH(J2,$B$2:$AA$2,),)-VLOOKUP($AG$2,$B:$AA,MATCH(J2,$B$2:$AA$2,),)</f>
        <v/>
      </c>
      <c r="K8" s="28">
        <f>VLOOKUP($AG$1,$B:$AA,MATCH(K2,$B$2:$AA$2,),)-VLOOKUP($AG$2,$B:$AA,MATCH(K2,$B$2:$AA$2,),)</f>
        <v/>
      </c>
      <c r="L8" s="28">
        <f>VLOOKUP($AG$1,$B:$AA,MATCH(L2,$B$2:$AA$2,),)-VLOOKUP($AG$2,$B:$AA,MATCH(L2,$B$2:$AA$2,),)</f>
        <v/>
      </c>
      <c r="M8" s="28">
        <f>VLOOKUP($AG$1,$B:$AA,MATCH(M2,$B$2:$AA$2,),)-VLOOKUP($AG$2,$B:$AA,MATCH(M2,$B$2:$AA$2,),)</f>
        <v/>
      </c>
      <c r="N8" s="28">
        <f>VLOOKUP($AG$1,$B:$AA,MATCH(N2,$B$2:$AA$2,),)-VLOOKUP($AG$2,$B:$AA,MATCH(N2,$B$2:$AA$2,),)</f>
        <v/>
      </c>
      <c r="O8" s="28">
        <f>VLOOKUP($AG$1,$B:$AA,MATCH(O2,$B$2:$AA$2,),)-VLOOKUP($AG$2,$B:$AA,MATCH(O2,$B$2:$AA$2,),)</f>
        <v/>
      </c>
      <c r="P8" s="28">
        <f>VLOOKUP($AG$1,$B:$AA,MATCH(P2,$B$2:$AA$2,),)-VLOOKUP($AG$2,$B:$AA,MATCH(P2,$B$2:$AA$2,),)</f>
        <v/>
      </c>
      <c r="Q8" s="28">
        <f>VLOOKUP($AG$1,$B:$AA,MATCH(Q2,$B$2:$AA$2,),)-VLOOKUP($AG$2,$B:$AA,MATCH(Q2,$B$2:$AA$2,),)</f>
        <v/>
      </c>
      <c r="R8" s="28">
        <f>VLOOKUP($AG$1,$B:$AA,MATCH(R2,$B$2:$AA$2,),)-VLOOKUP($AG$2,$B:$AA,MATCH(R2,$B$2:$AA$2,),)</f>
        <v/>
      </c>
      <c r="S8" s="28">
        <f>VLOOKUP($AG$1,$B:$AA,MATCH(S2,$B$2:$AA$2,),)-VLOOKUP($AG$2,$B:$AA,MATCH(S2,$B$2:$AA$2,),)</f>
        <v/>
      </c>
      <c r="T8" s="28">
        <f>VLOOKUP($AG$1,$B:$AA,MATCH(T2,$B$2:$AA$2,),)-VLOOKUP($AG$2,$B:$AA,MATCH(T2,$B$2:$AA$2,),)</f>
        <v/>
      </c>
      <c r="U8" s="28">
        <f>VLOOKUP($AG$1,$B:$AA,MATCH(U2,$B$2:$AA$2,),)-VLOOKUP($AG$2,$B:$AA,MATCH(U2,$B$2:$AA$2,),)</f>
        <v/>
      </c>
      <c r="V8" s="28">
        <f>VLOOKUP($AG$1,$B:$AA,MATCH(V2,$B$2:$AA$2,),)-VLOOKUP($AG$2,$B:$AA,MATCH(V2,$B$2:$AA$2,),)</f>
        <v/>
      </c>
      <c r="W8" s="28">
        <f>VLOOKUP($AG$1,$B:$AA,MATCH(W2,$B$2:$AA$2,),)-VLOOKUP($AG$2,$B:$AA,MATCH(W2,$B$2:$AA$2,),)</f>
        <v/>
      </c>
      <c r="X8" s="28">
        <f>VLOOKUP($AG$1,$B:$AA,MATCH(X2,$B$2:$AA$2,),)-VLOOKUP($AG$2,$B:$AA,MATCH(X2,$B$2:$AA$2,),)</f>
        <v/>
      </c>
      <c r="Y8" s="28">
        <f>VLOOKUP($AG$1,$B:$AA,MATCH(Y2,$B$2:$AA$2,),)-VLOOKUP($AG$2,$B:$AA,MATCH(Y2,$B$2:$AA$2,),)</f>
        <v/>
      </c>
      <c r="Z8" s="28">
        <f>VLOOKUP($AG$1,$B:$AA,MATCH(Z2,$B$2:$AA$2,),)-VLOOKUP($AG$2,$B:$AA,MATCH(Z2,$B$2:$AA$2,),)</f>
        <v/>
      </c>
      <c r="AA8" s="28">
        <f>VLOOKUP($AG$1,$B:$AA,MATCH(AA2,$B$2:$AA$2,),)-VLOOKUP($AG$2,$B:$AA,MATCH(AA2,$B$2:$AA$2,),)</f>
        <v/>
      </c>
      <c r="AB8" s="34">
        <f>VLOOKUP($AG$1,$B:$AB,MATCH(AB2,$B$2:$AB$2,),)-VLOOKUP($AG$2,$B:$AB,MATCH(AB2,$B$2:$AB$2,),)</f>
        <v/>
      </c>
    </row>
    <row r="9" ht="66.75" customHeight="1" s="63">
      <c r="B9" s="52" t="inlineStr">
        <is>
          <t>Growth / Contraction</t>
        </is>
      </c>
      <c r="C9" s="48">
        <f>IF(VLOOKUP($AG$1,$B:$AB,MATCH(C2,$B$2:$AB$2,),)&gt;50,"Growth","Contraction")</f>
        <v/>
      </c>
      <c r="D9" s="49">
        <f>IF(VLOOKUP($AG$1,$B:$AB,MATCH(D2,$B$2:$AB$2,),)&gt;50,"Growth","Contraction")</f>
        <v/>
      </c>
      <c r="E9" s="49">
        <f>IF(VLOOKUP($AG$1,$B:$AB,MATCH(E2,$B$2:$AB$2,),)&gt;50,"Growth","Contraction")</f>
        <v/>
      </c>
      <c r="F9" s="49">
        <f>IF(VLOOKUP($AG$1,$B:$AB,MATCH(F2,$B$2:$AB$2,),)&gt;50,"Growth","Contraction")</f>
        <v/>
      </c>
      <c r="G9" s="49">
        <f>IF(VLOOKUP($AG$1,$B:$AB,MATCH(G2,$B$2:$AB$2,),)&gt;50,"Growth","Contraction")</f>
        <v/>
      </c>
      <c r="H9" s="49">
        <f>IF(VLOOKUP($AG$1,$B:$AB,MATCH(H2,$B$2:$AB$2,),)&gt;50,"Growth","Contraction")</f>
        <v/>
      </c>
      <c r="I9" s="49">
        <f>IF(VLOOKUP($AG$1,$B:$AB,MATCH(I2,$B$2:$AB$2,),)&gt;50,"Growth","Contraction")</f>
        <v/>
      </c>
      <c r="J9" s="49">
        <f>IF(VLOOKUP($AG$1,$B:$AB,MATCH(J2,$B$2:$AB$2,),)&gt;50,"Growth","Contraction")</f>
        <v/>
      </c>
      <c r="K9" s="49">
        <f>IF(VLOOKUP($AG$1,$B:$AB,MATCH(K2,$B$2:$AB$2,),)&gt;50,"Growth","Contraction")</f>
        <v/>
      </c>
      <c r="L9" s="49">
        <f>IF(VLOOKUP($AG$1,$B:$AB,MATCH(L2,$B$2:$AB$2,),)&gt;50,"Growth","Contraction")</f>
        <v/>
      </c>
      <c r="M9" s="49">
        <f>IF(VLOOKUP($AG$1,$B:$AB,MATCH(M2,$B$2:$AB$2,),)&gt;50,"Growth","Contraction")</f>
        <v/>
      </c>
      <c r="N9" s="49">
        <f>IF(VLOOKUP($AG$1,$B:$AB,MATCH(N2,$B$2:$AB$2,),)&gt;50,"Growth","Contraction")</f>
        <v/>
      </c>
      <c r="O9" s="49">
        <f>IF(VLOOKUP($AG$1,$B:$AB,MATCH(O2,$B$2:$AB$2,),)&gt;50,"Growth","Contraction")</f>
        <v/>
      </c>
      <c r="P9" s="49">
        <f>IF(VLOOKUP($AG$1,$B:$AB,MATCH(P2,$B$2:$AB$2,),)&gt;50,"Growth","Contraction")</f>
        <v/>
      </c>
      <c r="Q9" s="49">
        <f>IF(VLOOKUP($AG$1,$B:$AB,MATCH(Q2,$B$2:$AB$2,),)&gt;50,"Growth","Contraction")</f>
        <v/>
      </c>
      <c r="R9" s="49">
        <f>IF(VLOOKUP($AG$1,$B:$AB,MATCH(R2,$B$2:$AB$2,),)&gt;50,"Growth","Contraction")</f>
        <v/>
      </c>
      <c r="S9" s="49">
        <f>IF(VLOOKUP($AG$1,$B:$AB,MATCH(S2,$B$2:$AB$2,),)&gt;50,"Growth","Contraction")</f>
        <v/>
      </c>
      <c r="T9" s="49">
        <f>IF(VLOOKUP($AG$1,$B:$AB,MATCH(T2,$B$2:$AB$2,),)&gt;50,"Growth","Contraction")</f>
        <v/>
      </c>
      <c r="U9" s="49">
        <f>IF(VLOOKUP($AG$1,$B:$AB,MATCH(U2,$B$2:$AB$2,),)&gt;50,"Growth","Contraction")</f>
        <v/>
      </c>
      <c r="V9" s="49">
        <f>IF(VLOOKUP($AG$1,$B:$AB,MATCH(V2,$B$2:$AB$2,),)&gt;50,"Growth","Contraction")</f>
        <v/>
      </c>
      <c r="W9" s="49">
        <f>IF(VLOOKUP($AG$1,$B:$AB,MATCH(W2,$B$2:$AB$2,),)&gt;50,"Growth","Contraction")</f>
        <v/>
      </c>
      <c r="X9" s="49">
        <f>IF(VLOOKUP($AG$1,$B:$AB,MATCH(X2,$B$2:$AB$2,),)&gt;50,"Growth","Contraction")</f>
        <v/>
      </c>
      <c r="Y9" s="49">
        <f>IF(VLOOKUP($AG$1,$B:$AB,MATCH(Y2,$B$2:$AB$2,),)&gt;50,"Growth","Contraction")</f>
        <v/>
      </c>
      <c r="Z9" s="49">
        <f>IF(VLOOKUP($AG$1,$B:$AB,MATCH(Z2,$B$2:$AB$2,),)&gt;50,"Growth","Contraction")</f>
        <v/>
      </c>
      <c r="AA9" s="49">
        <f>IF(VLOOKUP($AG$1,$B:$AB,MATCH(AA2,$B$2:$AB$2,),)&gt;50,"Growth","Contraction")</f>
        <v/>
      </c>
      <c r="AB9" s="50">
        <f>IF(VLOOKUP($AG$1,$B:$AB,MATCH(AB2,$B$2:$AB$2,),)&gt;50,"Growth","Contraction")</f>
        <v/>
      </c>
    </row>
    <row r="10" ht="26.25" customHeight="1" s="63" thickBot="1">
      <c r="B10" s="53" t="inlineStr">
        <is>
          <t>Slower/Faster</t>
        </is>
      </c>
      <c r="C10" s="47">
        <f>IF(C8&gt;0,"+","-")</f>
        <v/>
      </c>
      <c r="D10" s="35">
        <f>IF(D8&gt;0,"+","-")</f>
        <v/>
      </c>
      <c r="E10" s="35">
        <f>IF(E8&gt;0,"+","-")</f>
        <v/>
      </c>
      <c r="F10" s="35">
        <f>IF(F8&gt;0,"+","-")</f>
        <v/>
      </c>
      <c r="G10" s="35">
        <f>IF(G8&gt;0,"+","-")</f>
        <v/>
      </c>
      <c r="H10" s="35">
        <f>IF(H8&gt;0,"+","-")</f>
        <v/>
      </c>
      <c r="I10" s="35">
        <f>IF(I8&gt;0,"+","-")</f>
        <v/>
      </c>
      <c r="J10" s="35">
        <f>IF(J8&gt;0,"+","-")</f>
        <v/>
      </c>
      <c r="K10" s="35">
        <f>IF(K8&gt;0,"+","-")</f>
        <v/>
      </c>
      <c r="L10" s="35">
        <f>IF(L8&gt;0,"+","-")</f>
        <v/>
      </c>
      <c r="M10" s="35">
        <f>IF(M8&gt;0,"+","-")</f>
        <v/>
      </c>
      <c r="N10" s="35">
        <f>IF(N8&gt;0,"+","-")</f>
        <v/>
      </c>
      <c r="O10" s="35">
        <f>IF(O8&gt;0,"+","-")</f>
        <v/>
      </c>
      <c r="P10" s="35">
        <f>IF(P8&gt;0,"+","-")</f>
        <v/>
      </c>
      <c r="Q10" s="35">
        <f>IF(Q8&gt;0,"+","-")</f>
        <v/>
      </c>
      <c r="R10" s="35">
        <f>IF(R8&gt;0,"+","-")</f>
        <v/>
      </c>
      <c r="S10" s="35">
        <f>IF(S8&gt;0,"+","-")</f>
        <v/>
      </c>
      <c r="T10" s="35">
        <f>IF(T8&gt;0,"+","-")</f>
        <v/>
      </c>
      <c r="U10" s="35">
        <f>IF(U8&gt;0,"+","-")</f>
        <v/>
      </c>
      <c r="V10" s="35">
        <f>IF(V8&gt;0,"+","-")</f>
        <v/>
      </c>
      <c r="W10" s="35">
        <f>IF(W8&gt;0,"+","-")</f>
        <v/>
      </c>
      <c r="X10" s="35">
        <f>IF(X8&gt;0,"+","-")</f>
        <v/>
      </c>
      <c r="Y10" s="35">
        <f>IF(Y8&gt;0,"+","-")</f>
        <v/>
      </c>
      <c r="Z10" s="35">
        <f>IF(Z8&gt;0,"+","-")</f>
        <v/>
      </c>
      <c r="AA10" s="35">
        <f>IF(AA8&gt;0,"+","-")</f>
        <v/>
      </c>
      <c r="AB10" s="36">
        <f>IF(AB8&gt;0,"+","-")</f>
        <v/>
      </c>
    </row>
    <row r="11" ht="26.25" customHeight="1" s="63">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topLeftCell="C1" zoomScale="150" zoomScaleNormal="150" workbookViewId="0">
      <pane ySplit="5" topLeftCell="A101" activePane="bottomLeft" state="frozen"/>
      <selection activeCell="B327" sqref="B327"/>
      <selection pane="bottomLeft" activeCell="B327" sqref="B327"/>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0"/>
    <col width="9.1640625" customWidth="1" style="70" min="41" max="16384"/>
  </cols>
  <sheetData>
    <row r="1">
      <c r="A1" s="70" t="inlineStr">
        <is>
          <t>Global Manufacturing PMI</t>
        </is>
      </c>
    </row>
    <row r="2">
      <c r="K2" s="70">
        <f>A1</f>
        <v/>
      </c>
    </row>
    <row r="4" ht="16" customHeight="1" s="63" thickBot="1"/>
    <row r="5" ht="16" customHeight="1" s="63"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1"/>
  <sheetViews>
    <sheetView zoomScale="160" zoomScaleNormal="160" workbookViewId="0">
      <pane ySplit="5" topLeftCell="A104" activePane="bottomLeft" state="frozen"/>
      <selection activeCell="O117" sqref="O117"/>
      <selection pane="bottomLeft" activeCell="S137" sqref="S137"/>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0"/>
    <col width="9.1640625" customWidth="1" style="70" min="41" max="16384"/>
  </cols>
  <sheetData>
    <row r="1">
      <c r="A1" s="70" t="inlineStr">
        <is>
          <t>United States</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0"/>
  <sheetViews>
    <sheetView zoomScale="140" zoomScaleNormal="140" workbookViewId="0">
      <pane ySplit="5" topLeftCell="A168" activePane="bottomLeft" state="frozen"/>
      <selection activeCell="K199" sqref="K199"/>
      <selection pane="bottomLeft" activeCell="U181" sqref="U18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0"/>
    <col width="9.1640625" customWidth="1" style="70" min="41"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3" thickBot="1"/>
    <row r="5" ht="16" customHeight="1" s="63"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4">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4">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4">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4">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4">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4">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4">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4">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4">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4">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4">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4">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4">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4">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4">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4">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4">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4">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4">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4">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4">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4">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4">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4">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4">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4">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4">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4">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4">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4">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4">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4">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4">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4">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4">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4">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4">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4">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4">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4">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4">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4">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4">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4">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4">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4">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4">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4">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4">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4">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4">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4">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4">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4">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4">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4">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4">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4">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4">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4">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4">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4">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4">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4">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4">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4">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4">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4">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4">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4">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4">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4">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4">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4">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4">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4">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4">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4">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4">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4">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4">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4">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4">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4">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4">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4">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4">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4">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4">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4">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4">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4">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4">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4">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4">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4">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4">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4">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4">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4">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4">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4">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4">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4">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4">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4">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4">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4">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4">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4">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4">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4">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4">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4">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4">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4">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4">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4">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4">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4">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4">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4">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4">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4">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4">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4">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4">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4">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4">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4">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4">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4">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4">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4">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4">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4">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4">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4">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4">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4">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4">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4">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4">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4">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4">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4">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4">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4">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4">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4">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4">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4">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4">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4">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4">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4">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4">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4">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4">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4">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4">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4">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4">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4">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4">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4">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4">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4">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4">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4">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4">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4">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4">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4">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4">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4">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4">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4">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4">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4">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4">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4">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4">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4">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4">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4">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4">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4">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4">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4">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4">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4">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4">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4">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4">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4">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4">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4">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4">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4">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4">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4">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4">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4">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4">
        <f>IF(VLOOKUP(Table1346811121415161718192021[[#This Row],[Date]],'DB China Official PMI'!$A:$C,3)=0,"",VLOOKUP(Table1346811121415161718192021[[#This Row],[Date]],'DB China Official PMI'!$A:$C,3))</f>
        <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1"/>
  <sheetViews>
    <sheetView zoomScale="140" zoomScaleNormal="140" workbookViewId="0">
      <pane ySplit="5" topLeftCell="A170" activePane="bottomLeft" state="frozen"/>
      <selection activeCell="P121" sqref="P121"/>
      <selection pane="bottomLeft" activeCell="U202" sqref="U202"/>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Euro Area</t>
        </is>
      </c>
      <c r="K1" s="70" t="inlineStr">
        <is>
          <t xml:space="preserve"> Manufacturing PMI</t>
        </is>
      </c>
    </row>
    <row r="2">
      <c r="K2" s="70">
        <f>A1&amp;K1</f>
        <v/>
      </c>
    </row>
    <row r="4" ht="16" customHeight="1" s="63" thickBot="1"/>
    <row r="5" ht="49" customHeight="1" s="63" thickBot="1">
      <c r="A5" s="55" t="inlineStr">
        <is>
          <t>Date</t>
        </is>
      </c>
      <c r="B5" s="56" t="inlineStr">
        <is>
          <t>Euro Area PMI</t>
        </is>
      </c>
      <c r="C5" s="56" t="inlineStr">
        <is>
          <t>mom</t>
        </is>
      </c>
      <c r="D5" s="57" t="inlineStr">
        <is>
          <t>EZU</t>
        </is>
      </c>
      <c r="E5" s="57" t="inlineStr">
        <is>
          <t>PMI yoy</t>
        </is>
      </c>
      <c r="F5" s="57" t="inlineStr">
        <is>
          <t>EZU yoy</t>
        </is>
      </c>
      <c r="G5" s="57"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4">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4">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4">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4">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4">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4">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4">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4">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4">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4">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4">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4">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4">
        <f>(Table13468111214[[#This Row],[EZU]]-D6)/D6</f>
        <v/>
      </c>
      <c r="G18" s="54">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4">
        <f>(Table13468111214[[#This Row],[EZU]]-D7)/D7</f>
        <v/>
      </c>
      <c r="G19" s="54">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4">
        <f>(Table13468111214[[#This Row],[EZU]]-D8)/D8</f>
        <v/>
      </c>
      <c r="G20" s="54">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4">
        <f>(Table13468111214[[#This Row],[EZU]]-D9)/D9</f>
        <v/>
      </c>
      <c r="G21" s="54">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4">
        <f>(Table13468111214[[#This Row],[EZU]]-D10)/D10</f>
        <v/>
      </c>
      <c r="G22" s="54">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4">
        <f>(Table13468111214[[#This Row],[EZU]]-D11)/D11</f>
        <v/>
      </c>
      <c r="G23" s="54">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4">
        <f>(Table13468111214[[#This Row],[EZU]]-D12)/D12</f>
        <v/>
      </c>
      <c r="G24" s="54">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4">
        <f>(Table13468111214[[#This Row],[EZU]]-D13)/D13</f>
        <v/>
      </c>
      <c r="G25" s="54">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4">
        <f>(Table13468111214[[#This Row],[EZU]]-D14)/D14</f>
        <v/>
      </c>
      <c r="G26" s="54">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4">
        <f>(Table13468111214[[#This Row],[EZU]]-D15)/D15</f>
        <v/>
      </c>
      <c r="G27" s="54">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4">
        <f>(Table13468111214[[#This Row],[EZU]]-D16)/D16</f>
        <v/>
      </c>
      <c r="G28" s="54">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4">
        <f>(Table13468111214[[#This Row],[EZU]]-D17)/D17</f>
        <v/>
      </c>
      <c r="G29" s="54">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4">
        <f>(Table13468111214[[#This Row],[EZU]]-D18)/D18</f>
        <v/>
      </c>
      <c r="G30" s="54">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4">
        <f>(Table13468111214[[#This Row],[EZU]]-D19)/D19</f>
        <v/>
      </c>
      <c r="G31" s="54">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4">
        <f>(Table13468111214[[#This Row],[EZU]]-D20)/D20</f>
        <v/>
      </c>
      <c r="G32" s="54">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4">
        <f>(Table13468111214[[#This Row],[EZU]]-D21)/D21</f>
        <v/>
      </c>
      <c r="G33" s="54">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4">
        <f>(Table13468111214[[#This Row],[EZU]]-D22)/D22</f>
        <v/>
      </c>
      <c r="G34" s="54">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4">
        <f>(Table13468111214[[#This Row],[EZU]]-D23)/D23</f>
        <v/>
      </c>
      <c r="G35" s="54">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4">
        <f>(Table13468111214[[#This Row],[EZU]]-D24)/D24</f>
        <v/>
      </c>
      <c r="G36" s="54">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4">
        <f>(Table13468111214[[#This Row],[EZU]]-D25)/D25</f>
        <v/>
      </c>
      <c r="G37" s="54">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4">
        <f>(Table13468111214[[#This Row],[EZU]]-D26)/D26</f>
        <v/>
      </c>
      <c r="G38" s="54">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4">
        <f>(Table13468111214[[#This Row],[EZU]]-D27)/D27</f>
        <v/>
      </c>
      <c r="G39" s="54">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4">
        <f>(Table13468111214[[#This Row],[EZU]]-D28)/D28</f>
        <v/>
      </c>
      <c r="G40" s="54">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4">
        <f>(Table13468111214[[#This Row],[EZU]]-D29)/D29</f>
        <v/>
      </c>
      <c r="G41" s="54">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4">
        <f>(Table13468111214[[#This Row],[EZU]]-D30)/D30</f>
        <v/>
      </c>
      <c r="G42" s="54">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4">
        <f>(Table13468111214[[#This Row],[EZU]]-D31)/D31</f>
        <v/>
      </c>
      <c r="G43" s="54">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4">
        <f>(Table13468111214[[#This Row],[EZU]]-D32)/D32</f>
        <v/>
      </c>
      <c r="G44" s="54">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4">
        <f>(Table13468111214[[#This Row],[EZU]]-D33)/D33</f>
        <v/>
      </c>
      <c r="G45" s="54">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4">
        <f>(Table13468111214[[#This Row],[EZU]]-D34)/D34</f>
        <v/>
      </c>
      <c r="G46" s="54">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4">
        <f>(Table13468111214[[#This Row],[EZU]]-D35)/D35</f>
        <v/>
      </c>
      <c r="G47" s="54">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4">
        <f>(Table13468111214[[#This Row],[EZU]]-D36)/D36</f>
        <v/>
      </c>
      <c r="G48" s="54">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4">
        <f>(Table13468111214[[#This Row],[EZU]]-D37)/D37</f>
        <v/>
      </c>
      <c r="G49" s="54">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4">
        <f>(Table13468111214[[#This Row],[EZU]]-D38)/D38</f>
        <v/>
      </c>
      <c r="G50" s="54">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4">
        <f>(Table13468111214[[#This Row],[EZU]]-D39)/D39</f>
        <v/>
      </c>
      <c r="G51" s="54">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4">
        <f>(Table13468111214[[#This Row],[EZU]]-D40)/D40</f>
        <v/>
      </c>
      <c r="G52" s="54">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4">
        <f>(Table13468111214[[#This Row],[EZU]]-D41)/D41</f>
        <v/>
      </c>
      <c r="G53" s="54">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4">
        <f>(Table13468111214[[#This Row],[EZU]]-D42)/D42</f>
        <v/>
      </c>
      <c r="G54" s="54">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4">
        <f>(Table13468111214[[#This Row],[EZU]]-D43)/D43</f>
        <v/>
      </c>
      <c r="G55" s="54">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4">
        <f>(Table13468111214[[#This Row],[EZU]]-D44)/D44</f>
        <v/>
      </c>
      <c r="G56" s="54">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4">
        <f>(Table13468111214[[#This Row],[EZU]]-D45)/D45</f>
        <v/>
      </c>
      <c r="G57" s="54">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4">
        <f>(Table13468111214[[#This Row],[EZU]]-D46)/D46</f>
        <v/>
      </c>
      <c r="G58" s="54">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4">
        <f>(Table13468111214[[#This Row],[EZU]]-D47)/D47</f>
        <v/>
      </c>
      <c r="G59" s="54">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4">
        <f>(Table13468111214[[#This Row],[EZU]]-D48)/D48</f>
        <v/>
      </c>
      <c r="G60" s="54">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4">
        <f>(Table13468111214[[#This Row],[EZU]]-D49)/D49</f>
        <v/>
      </c>
      <c r="G61" s="54">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4">
        <f>(Table13468111214[[#This Row],[EZU]]-D50)/D50</f>
        <v/>
      </c>
      <c r="G62" s="54">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4">
        <f>(Table13468111214[[#This Row],[EZU]]-D51)/D51</f>
        <v/>
      </c>
      <c r="G63" s="54">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4">
        <f>(Table13468111214[[#This Row],[EZU]]-D52)/D52</f>
        <v/>
      </c>
      <c r="G64" s="54">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4">
        <f>(Table13468111214[[#This Row],[EZU]]-D53)/D53</f>
        <v/>
      </c>
      <c r="G65" s="54">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4">
        <f>(Table13468111214[[#This Row],[EZU]]-D54)/D54</f>
        <v/>
      </c>
      <c r="G66" s="54">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4">
        <f>(Table13468111214[[#This Row],[EZU]]-D55)/D55</f>
        <v/>
      </c>
      <c r="G67" s="54">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4">
        <f>(Table13468111214[[#This Row],[EZU]]-D56)/D56</f>
        <v/>
      </c>
      <c r="G68" s="54">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4">
        <f>(Table13468111214[[#This Row],[EZU]]-D57)/D57</f>
        <v/>
      </c>
      <c r="G69" s="54">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4">
        <f>(Table13468111214[[#This Row],[EZU]]-D58)/D58</f>
        <v/>
      </c>
      <c r="G70" s="54">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4">
        <f>(Table13468111214[[#This Row],[EZU]]-D59)/D59</f>
        <v/>
      </c>
      <c r="G71" s="54">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4">
        <f>(Table13468111214[[#This Row],[EZU]]-D60)/D60</f>
        <v/>
      </c>
      <c r="G72" s="54">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4">
        <f>(Table13468111214[[#This Row],[EZU]]-D61)/D61</f>
        <v/>
      </c>
      <c r="G73" s="54">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4">
        <f>(Table13468111214[[#This Row],[EZU]]-D62)/D62</f>
        <v/>
      </c>
      <c r="G74" s="54">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4">
        <f>(Table13468111214[[#This Row],[EZU]]-D63)/D63</f>
        <v/>
      </c>
      <c r="G75" s="54">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4">
        <f>(Table13468111214[[#This Row],[EZU]]-D64)/D64</f>
        <v/>
      </c>
      <c r="G76" s="54">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4">
        <f>(Table13468111214[[#This Row],[EZU]]-D65)/D65</f>
        <v/>
      </c>
      <c r="G77" s="54">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4">
        <f>(Table13468111214[[#This Row],[EZU]]-D66)/D66</f>
        <v/>
      </c>
      <c r="G78" s="54">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4">
        <f>(Table13468111214[[#This Row],[EZU]]-D67)/D67</f>
        <v/>
      </c>
      <c r="G79" s="54">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4">
        <f>(Table13468111214[[#This Row],[EZU]]-D68)/D68</f>
        <v/>
      </c>
      <c r="G80" s="54">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4">
        <f>(Table13468111214[[#This Row],[EZU]]-D69)/D69</f>
        <v/>
      </c>
      <c r="G81" s="54">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4">
        <f>(Table13468111214[[#This Row],[EZU]]-D70)/D70</f>
        <v/>
      </c>
      <c r="G82" s="54">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4">
        <f>(Table13468111214[[#This Row],[EZU]]-D71)/D71</f>
        <v/>
      </c>
      <c r="G83" s="54">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4">
        <f>(Table13468111214[[#This Row],[EZU]]-D72)/D72</f>
        <v/>
      </c>
      <c r="G84" s="54">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4">
        <f>(Table13468111214[[#This Row],[EZU]]-D73)/D73</f>
        <v/>
      </c>
      <c r="G85" s="54">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4">
        <f>(Table13468111214[[#This Row],[EZU]]-D74)/D74</f>
        <v/>
      </c>
      <c r="G86" s="54">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4">
        <f>(Table13468111214[[#This Row],[EZU]]-D75)/D75</f>
        <v/>
      </c>
      <c r="G87" s="54">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4">
        <f>(Table13468111214[[#This Row],[EZU]]-D76)/D76</f>
        <v/>
      </c>
      <c r="G88" s="54">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4">
        <f>(Table13468111214[[#This Row],[EZU]]-D77)/D77</f>
        <v/>
      </c>
      <c r="G89" s="54">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4">
        <f>(Table13468111214[[#This Row],[EZU]]-D78)/D78</f>
        <v/>
      </c>
      <c r="G90" s="54">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4">
        <f>(Table13468111214[[#This Row],[EZU]]-D79)/D79</f>
        <v/>
      </c>
      <c r="G91" s="54">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4">
        <f>(Table13468111214[[#This Row],[EZU]]-D80)/D80</f>
        <v/>
      </c>
      <c r="G92" s="54">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4">
        <f>(Table13468111214[[#This Row],[EZU]]-D81)/D81</f>
        <v/>
      </c>
      <c r="G93" s="54">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4">
        <f>(Table13468111214[[#This Row],[EZU]]-D82)/D82</f>
        <v/>
      </c>
      <c r="G94" s="54">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4">
        <f>(Table13468111214[[#This Row],[EZU]]-D83)/D83</f>
        <v/>
      </c>
      <c r="G95" s="54">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4">
        <f>(Table13468111214[[#This Row],[EZU]]-D84)/D84</f>
        <v/>
      </c>
      <c r="G96" s="54">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4">
        <f>(Table13468111214[[#This Row],[EZU]]-D85)/D85</f>
        <v/>
      </c>
      <c r="G97" s="54">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4">
        <f>(Table13468111214[[#This Row],[EZU]]-D86)/D86</f>
        <v/>
      </c>
      <c r="G98" s="54">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4">
        <f>(Table13468111214[[#This Row],[EZU]]-D87)/D87</f>
        <v/>
      </c>
      <c r="G99" s="54">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4">
        <f>(Table13468111214[[#This Row],[EZU]]-D88)/D88</f>
        <v/>
      </c>
      <c r="G100" s="54">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4">
        <f>(Table13468111214[[#This Row],[EZU]]-D89)/D89</f>
        <v/>
      </c>
      <c r="G101" s="54">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4">
        <f>(Table13468111214[[#This Row],[EZU]]-D90)/D90</f>
        <v/>
      </c>
      <c r="G102" s="54">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4">
        <f>(Table13468111214[[#This Row],[EZU]]-D91)/D91</f>
        <v/>
      </c>
      <c r="G103" s="54">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4">
        <f>(Table13468111214[[#This Row],[EZU]]-D92)/D92</f>
        <v/>
      </c>
      <c r="G104" s="54">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4">
        <f>(Table13468111214[[#This Row],[EZU]]-D93)/D93</f>
        <v/>
      </c>
      <c r="G105" s="54">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4">
        <f>(Table13468111214[[#This Row],[EZU]]-D94)/D94</f>
        <v/>
      </c>
      <c r="G106" s="54">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4">
        <f>(Table13468111214[[#This Row],[EZU]]-D95)/D95</f>
        <v/>
      </c>
      <c r="G107" s="54">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4">
        <f>(Table13468111214[[#This Row],[EZU]]-D96)/D96</f>
        <v/>
      </c>
      <c r="G108" s="54">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4">
        <f>(Table13468111214[[#This Row],[EZU]]-D97)/D97</f>
        <v/>
      </c>
      <c r="G109" s="54">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4">
        <f>(Table13468111214[[#This Row],[EZU]]-D98)/D98</f>
        <v/>
      </c>
      <c r="G110" s="54">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4">
        <f>(Table13468111214[[#This Row],[EZU]]-D99)/D99</f>
        <v/>
      </c>
      <c r="G111" s="54">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4">
        <f>(Table13468111214[[#This Row],[EZU]]-D100)/D100</f>
        <v/>
      </c>
      <c r="G112" s="54">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4">
        <f>(Table13468111214[[#This Row],[EZU]]-D101)/D101</f>
        <v/>
      </c>
      <c r="G113" s="54">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4">
        <f>(Table13468111214[[#This Row],[EZU]]-D102)/D102</f>
        <v/>
      </c>
      <c r="G114" s="54">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4">
        <f>(Table13468111214[[#This Row],[EZU]]-D103)/D103</f>
        <v/>
      </c>
      <c r="G115" s="54">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4">
        <f>(Table13468111214[[#This Row],[EZU]]-D104)/D104</f>
        <v/>
      </c>
      <c r="G116" s="54">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4">
        <f>(Table13468111214[[#This Row],[EZU]]-D105)/D105</f>
        <v/>
      </c>
      <c r="G117" s="54">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4">
        <f>(Table13468111214[[#This Row],[EZU]]-D106)/D106</f>
        <v/>
      </c>
      <c r="G118" s="54">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4">
        <f>(Table13468111214[[#This Row],[EZU]]-D107)/D107</f>
        <v/>
      </c>
      <c r="G119" s="54">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4">
        <f>(Table13468111214[[#This Row],[EZU]]-D108)/D108</f>
        <v/>
      </c>
      <c r="G120" s="54">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4">
        <f>(Table13468111214[[#This Row],[EZU]]-D109)/D109</f>
        <v/>
      </c>
      <c r="G121" s="54">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4">
        <f>(Table13468111214[[#This Row],[EZU]]-D110)/D110</f>
        <v/>
      </c>
      <c r="G122" s="54">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4">
        <f>(Table13468111214[[#This Row],[EZU]]-D111)/D111</f>
        <v/>
      </c>
      <c r="G123" s="54">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4">
        <f>(Table13468111214[[#This Row],[EZU]]-D112)/D112</f>
        <v/>
      </c>
      <c r="G124" s="54">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4">
        <f>(Table13468111214[[#This Row],[EZU]]-D113)/D113</f>
        <v/>
      </c>
      <c r="G125" s="54">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4">
        <f>(Table13468111214[[#This Row],[EZU]]-D114)/D114</f>
        <v/>
      </c>
      <c r="G126" s="54">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4">
        <f>(Table13468111214[[#This Row],[EZU]]-D115)/D115</f>
        <v/>
      </c>
      <c r="G127" s="54">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4">
        <f>(Table13468111214[[#This Row],[EZU]]-D116)/D116</f>
        <v/>
      </c>
      <c r="G128" s="54">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4">
        <f>(Table13468111214[[#This Row],[EZU]]-D117)/D117</f>
        <v/>
      </c>
      <c r="G129" s="54">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4">
        <f>(Table13468111214[[#This Row],[EZU]]-D118)/D118</f>
        <v/>
      </c>
      <c r="G130" s="54">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4">
        <f>(Table13468111214[[#This Row],[EZU]]-D119)/D119</f>
        <v/>
      </c>
      <c r="G131" s="54">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4">
        <f>(Table13468111214[[#This Row],[EZU]]-D120)/D120</f>
        <v/>
      </c>
      <c r="G132" s="54">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4">
        <f>(Table13468111214[[#This Row],[EZU]]-D121)/D121</f>
        <v/>
      </c>
      <c r="G133" s="54">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4">
        <f>(Table13468111214[[#This Row],[EZU]]-D122)/D122</f>
        <v/>
      </c>
      <c r="G134" s="54">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4">
        <f>(Table13468111214[[#This Row],[EZU]]-D123)/D123</f>
        <v/>
      </c>
      <c r="G135" s="54">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4">
        <f>(Table13468111214[[#This Row],[EZU]]-D124)/D124</f>
        <v/>
      </c>
      <c r="G136" s="54">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4">
        <f>(Table13468111214[[#This Row],[EZU]]-D125)/D125</f>
        <v/>
      </c>
      <c r="G137" s="54">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4">
        <f>(Table13468111214[[#This Row],[EZU]]-D126)/D126</f>
        <v/>
      </c>
      <c r="G138" s="54">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4">
        <f>(Table13468111214[[#This Row],[EZU]]-D127)/D127</f>
        <v/>
      </c>
      <c r="G139" s="54">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4">
        <f>(Table13468111214[[#This Row],[EZU]]-D128)/D128</f>
        <v/>
      </c>
      <c r="G140" s="54">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4">
        <f>(Table13468111214[[#This Row],[EZU]]-D129)/D129</f>
        <v/>
      </c>
      <c r="G141" s="54">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4">
        <f>(Table13468111214[[#This Row],[EZU]]-D130)/D130</f>
        <v/>
      </c>
      <c r="G142" s="54">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4">
        <f>(Table13468111214[[#This Row],[EZU]]-D131)/D131</f>
        <v/>
      </c>
      <c r="G143" s="54">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4">
        <f>(Table13468111214[[#This Row],[EZU]]-D132)/D132</f>
        <v/>
      </c>
      <c r="G144" s="54">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4">
        <f>(Table13468111214[[#This Row],[EZU]]-D133)/D133</f>
        <v/>
      </c>
      <c r="G145" s="54">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4">
        <f>(Table13468111214[[#This Row],[EZU]]-D134)/D134</f>
        <v/>
      </c>
      <c r="G146" s="54">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4">
        <f>(Table13468111214[[#This Row],[EZU]]-D135)/D135</f>
        <v/>
      </c>
      <c r="G147" s="54">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4">
        <f>(Table13468111214[[#This Row],[EZU]]-D136)/D136</f>
        <v/>
      </c>
      <c r="G148" s="54">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4">
        <f>(Table13468111214[[#This Row],[EZU]]-D137)/D137</f>
        <v/>
      </c>
      <c r="G149" s="54">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4">
        <f>(Table13468111214[[#This Row],[EZU]]-D138)/D138</f>
        <v/>
      </c>
      <c r="G150" s="54">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4">
        <f>(Table13468111214[[#This Row],[EZU]]-D139)/D139</f>
        <v/>
      </c>
      <c r="G151" s="54">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4">
        <f>(Table13468111214[[#This Row],[EZU]]-D140)/D140</f>
        <v/>
      </c>
      <c r="G152" s="54">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4">
        <f>(Table13468111214[[#This Row],[EZU]]-D141)/D141</f>
        <v/>
      </c>
      <c r="G153" s="54">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4">
        <f>(Table13468111214[[#This Row],[EZU]]-D142)/D142</f>
        <v/>
      </c>
      <c r="G154" s="54">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4">
        <f>(Table13468111214[[#This Row],[EZU]]-D143)/D143</f>
        <v/>
      </c>
      <c r="G155" s="54">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4">
        <f>(Table13468111214[[#This Row],[EZU]]-D144)/D144</f>
        <v/>
      </c>
      <c r="G156" s="54">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4">
        <f>(Table13468111214[[#This Row],[EZU]]-D145)/D145</f>
        <v/>
      </c>
      <c r="G157" s="54">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4">
        <f>(Table13468111214[[#This Row],[EZU]]-D146)/D146</f>
        <v/>
      </c>
      <c r="G158" s="54">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4">
        <f>(Table13468111214[[#This Row],[EZU]]-D147)/D147</f>
        <v/>
      </c>
      <c r="G159" s="54">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4">
        <f>(Table13468111214[[#This Row],[EZU]]-D148)/D148</f>
        <v/>
      </c>
      <c r="G160" s="54">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4">
        <f>(Table13468111214[[#This Row],[EZU]]-D149)/D149</f>
        <v/>
      </c>
      <c r="G161" s="54">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4">
        <f>(Table13468111214[[#This Row],[EZU]]-D150)/D150</f>
        <v/>
      </c>
      <c r="G162" s="54">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4">
        <f>(Table13468111214[[#This Row],[EZU]]-D151)/D151</f>
        <v/>
      </c>
      <c r="G163" s="54">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4">
        <f>(Table13468111214[[#This Row],[EZU]]-D152)/D152</f>
        <v/>
      </c>
      <c r="G164" s="54">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4">
        <f>(Table13468111214[[#This Row],[EZU]]-D153)/D153</f>
        <v/>
      </c>
      <c r="G165" s="54">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4">
        <f>(Table13468111214[[#This Row],[EZU]]-D154)/D154</f>
        <v/>
      </c>
      <c r="G166" s="54">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4">
        <f>(Table13468111214[[#This Row],[EZU]]-D155)/D155</f>
        <v/>
      </c>
      <c r="G167" s="54">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4">
        <f>(Table13468111214[[#This Row],[EZU]]-D156)/D156</f>
        <v/>
      </c>
      <c r="G168" s="54">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4">
        <f>(Table13468111214[[#This Row],[EZU]]-D157)/D157</f>
        <v/>
      </c>
      <c r="G169" s="54">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4">
        <f>(Table13468111214[[#This Row],[EZU]]-D158)/D158</f>
        <v/>
      </c>
      <c r="G170" s="54">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4">
        <f>(Table13468111214[[#This Row],[EZU]]-D159)/D159</f>
        <v/>
      </c>
      <c r="G171" s="54">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4">
        <f>(Table13468111214[[#This Row],[EZU]]-D160)/D160</f>
        <v/>
      </c>
      <c r="G172" s="54">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4">
        <f>(Table13468111214[[#This Row],[EZU]]-D161)/D161</f>
        <v/>
      </c>
      <c r="G173" s="54">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4">
        <f>(Table13468111214[[#This Row],[EZU]]-D162)/D162</f>
        <v/>
      </c>
      <c r="G174" s="54">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4">
        <f>(Table13468111214[[#This Row],[EZU]]-D163)/D163</f>
        <v/>
      </c>
      <c r="G175" s="54">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4">
        <f>(Table13468111214[[#This Row],[EZU]]-D164)/D164</f>
        <v/>
      </c>
      <c r="G176" s="54">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4">
        <f>(Table13468111214[[#This Row],[EZU]]-D165)/D165</f>
        <v/>
      </c>
      <c r="G177" s="54">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4">
        <f>(Table13468111214[[#This Row],[EZU]]-D166)/D166</f>
        <v/>
      </c>
      <c r="G178" s="54">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4">
        <f>(Table13468111214[[#This Row],[EZU]]-D167)/D167</f>
        <v/>
      </c>
      <c r="G179" s="54">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4">
        <f>(Table13468111214[[#This Row],[EZU]]-D168)/D168</f>
        <v/>
      </c>
      <c r="G180" s="54">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4">
        <f>(Table13468111214[[#This Row],[EZU]]-D169)/D169</f>
        <v/>
      </c>
      <c r="G181" s="54">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4">
        <f>(Table13468111214[[#This Row],[EZU]]-D170)/D170</f>
        <v/>
      </c>
      <c r="G182" s="54">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4">
        <f>(Table13468111214[[#This Row],[EZU]]-D171)/D171</f>
        <v/>
      </c>
      <c r="G183" s="54">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4">
        <f>(Table13468111214[[#This Row],[EZU]]-D172)/D172</f>
        <v/>
      </c>
      <c r="G184" s="54">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4">
        <f>(Table13468111214[[#This Row],[EZU]]-D173)/D173</f>
        <v/>
      </c>
      <c r="G185" s="54">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4">
        <f>(Table13468111214[[#This Row],[EZU]]-D174)/D174</f>
        <v/>
      </c>
      <c r="G186" s="54">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4">
        <f>(Table13468111214[[#This Row],[EZU]]-D175)/D175</f>
        <v/>
      </c>
      <c r="G187" s="54">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4">
        <f>(Table13468111214[[#This Row],[EZU]]-D176)/D176</f>
        <v/>
      </c>
      <c r="G188" s="54">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4">
        <f>(Table13468111214[[#This Row],[EZU]]-D177)/D177</f>
        <v/>
      </c>
      <c r="G189" s="54">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4">
        <f>(Table13468111214[[#This Row],[EZU]]-D178)/D178</f>
        <v/>
      </c>
      <c r="G190" s="54">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4">
        <f>(Table13468111214[[#This Row],[EZU]]-D179)/D179</f>
        <v/>
      </c>
      <c r="G191" s="54">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4">
        <f>(Table13468111214[[#This Row],[EZU]]-D180)/D180</f>
        <v/>
      </c>
      <c r="G192" s="54">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4">
        <f>(Table13468111214[[#This Row],[EZU]]-D181)/D181</f>
        <v/>
      </c>
      <c r="G193" s="54">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4">
        <f>(Table13468111214[[#This Row],[EZU]]-D182)/D182</f>
        <v/>
      </c>
      <c r="G194" s="54">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4">
        <f>(Table13468111214[[#This Row],[EZU]]-D183)/D183</f>
        <v/>
      </c>
      <c r="G195" s="54">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4">
        <f>(Table13468111214[[#This Row],[EZU]]-D184)/D184</f>
        <v/>
      </c>
      <c r="G196" s="54">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4">
        <f>(Table13468111214[[#This Row],[EZU]]-D185)/D185</f>
        <v/>
      </c>
      <c r="G197" s="54">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4">
        <f>(Table13468111214[[#This Row],[EZU]]-D186)/D186</f>
        <v/>
      </c>
      <c r="G198" s="54">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4">
        <f>(Table13468111214[[#This Row],[EZU]]-D187)/D187</f>
        <v/>
      </c>
      <c r="G199" s="54">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4">
        <f>(Table13468111214[[#This Row],[EZU]]-D188)/D188</f>
        <v/>
      </c>
      <c r="G200" s="54">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4">
        <f>(Table13468111214[[#This Row],[EZU]]-D189)/D189</f>
        <v/>
      </c>
      <c r="G201" s="54">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4">
        <f>(Table13468111214[[#This Row],[EZU]]-D190)/D190</f>
        <v/>
      </c>
      <c r="G202" s="54">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4">
        <f>(Table13468111214[[#This Row],[EZU]]-D191)/D191</f>
        <v/>
      </c>
      <c r="G203" s="54">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4">
        <f>(Table13468111214[[#This Row],[EZU]]-D192)/D192</f>
        <v/>
      </c>
      <c r="G204" s="54">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4">
        <f>(Table13468111214[[#This Row],[EZU]]-D193)/D193</f>
        <v/>
      </c>
      <c r="G205" s="54">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4">
        <f>(Table13468111214[[#This Row],[EZU]]-D194)/D194</f>
        <v/>
      </c>
      <c r="G206" s="54">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4">
        <f>(Table13468111214[[#This Row],[EZU]]-D195)/D195</f>
        <v/>
      </c>
      <c r="G207" s="54">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4">
        <f>(Table13468111214[[#This Row],[EZU]]-D196)/D196</f>
        <v/>
      </c>
      <c r="G208" s="54">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4">
        <f>(Table13468111214[[#This Row],[EZU]]-D197)/D197</f>
        <v/>
      </c>
      <c r="G209" s="54">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4">
        <f>(Table13468111214[[#This Row],[EZU]]-D198)/D198</f>
        <v/>
      </c>
      <c r="G210" s="54">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4">
        <f>(Table13468111214[[#This Row],[EZU]]-D199)/D199</f>
        <v/>
      </c>
      <c r="G211" s="54">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3"/>
  <sheetViews>
    <sheetView zoomScale="150" zoomScaleNormal="150" workbookViewId="0">
      <pane ySplit="5" topLeftCell="A136" activePane="bottomLeft" state="frozen"/>
      <selection activeCell="B327" sqref="B327"/>
      <selection pane="bottomLeft" activeCell="B327" sqref="B327"/>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Japan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4"/>
  <sheetViews>
    <sheetView zoomScale="150" zoomScaleNormal="150" workbookViewId="0">
      <pane ySplit="5" topLeftCell="A141" activePane="bottomLeft" state="frozen"/>
      <selection pane="bottomLeft" activeCell="U162" sqref="U162"/>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Germany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7"/>
  <sheetViews>
    <sheetView zoomScale="140" zoomScaleNormal="140" workbookViewId="0">
      <pane ySplit="5" topLeftCell="A129" activePane="bottomLeft" state="frozen"/>
      <selection pane="bottomLeft" activeCell="V160" sqref="V160"/>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France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1"/>
  <sheetViews>
    <sheetView zoomScale="150" zoomScaleNormal="150" workbookViewId="0">
      <pane ySplit="5" topLeftCell="A174" activePane="bottomLeft" state="frozen"/>
      <selection activeCell="P121" sqref="P121"/>
      <selection pane="bottomLeft" activeCell="Y183" sqref="Y18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United Kingdom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4">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4">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4">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4">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4">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4">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4">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4">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4">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4">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4">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4">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4">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4">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4">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4">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4">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4">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4">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4">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4">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4">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4">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4">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4">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4">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4">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4">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4">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4">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4">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4">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4">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4">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4">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4">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4">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4">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4">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4">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4">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4">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4">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4">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4">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4">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4">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4">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4">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4">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4">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4">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4">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4">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4">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4">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4">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4">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4">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4">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4">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4">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4">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4">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4">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4">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4">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4">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4">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4">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4">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4">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4">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4">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4">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4">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4">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4">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4">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4">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4">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4">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4">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4">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4">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4">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4">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4">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4">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4">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4">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4">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4">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4">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4">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4">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4">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4">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4">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4">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4">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4">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4">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4">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4">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4">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4">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4">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4">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4">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4">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4">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4">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4">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4">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4">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4">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4">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4">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4">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4">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4">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4">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4">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4">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4">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4">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4">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4">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4">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4">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4">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4">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4">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4">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4">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4">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4">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4">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4">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4">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4">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4">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4">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4">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4">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4">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4">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4">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4">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4">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4">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4">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4">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4">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4">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4">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4">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4">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4">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4">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4">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4">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4">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4">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4">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4">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4">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4">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4">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4">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4">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4">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4">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4">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4">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4">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4">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4">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4">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4">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4">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4">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4">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4">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4">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4">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4">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4">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4">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4">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4">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4">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4">
        <f>(Table134681112[[#This Row],[EWU]]-D199)/D199</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7"/>
  <sheetViews>
    <sheetView zoomScale="160" zoomScaleNormal="160" workbookViewId="0">
      <pane ySplit="5" topLeftCell="A154" activePane="bottomLeft" state="frozen"/>
      <selection pane="bottomLeft" activeCell="U166" sqref="U166"/>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Italy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7"/>
  <sheetViews>
    <sheetView zoomScale="150" zoomScaleNormal="150" workbookViewId="0">
      <pane ySplit="5" topLeftCell="A156" activePane="bottomLeft" state="frozen"/>
      <selection pane="bottomLeft" activeCell="Q189" sqref="Q189"/>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Spain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1"/>
  <sheetViews>
    <sheetView zoomScale="150" zoomScaleNormal="150" workbookViewId="0">
      <pane ySplit="5" topLeftCell="A108" activePane="bottomLeft" state="frozen"/>
      <selection pane="bottomLeft" activeCell="D143" sqref="D14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Brazil</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5"/>
  <sheetViews>
    <sheetView zoomScale="150" zoomScaleNormal="150" workbookViewId="0">
      <pane ySplit="5" topLeftCell="A94" activePane="bottomLeft" state="frozen"/>
      <selection pane="bottomLeft" activeCell="T113" sqref="T11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Mexico</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1"/>
  <sheetViews>
    <sheetView zoomScale="150" zoomScaleNormal="150" workbookViewId="0">
      <pane ySplit="5" topLeftCell="A102" activePane="bottomLeft" state="frozen"/>
      <selection pane="bottomLeft" activeCell="S123" sqref="S12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Russia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1"/>
  <sheetViews>
    <sheetView zoomScale="160" zoomScaleNormal="160" workbookViewId="0">
      <pane ySplit="5" topLeftCell="A109" activePane="bottomLeft" state="frozen"/>
      <selection pane="bottomLeft" activeCell="S123" sqref="S12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India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5"/>
  <sheetViews>
    <sheetView zoomScale="160" zoomScaleNormal="160" workbookViewId="0">
      <pane ySplit="5" topLeftCell="A98" activePane="bottomLeft" state="frozen"/>
      <selection pane="bottomLeft" activeCell="T111" sqref="T111"/>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Canada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0"/>
  <sheetViews>
    <sheetView zoomScale="160" zoomScaleNormal="160" workbookViewId="0">
      <pane ySplit="5" topLeftCell="A131" activePane="bottomLeft" state="frozen"/>
      <selection pane="bottomLeft" activeCell="T146" sqref="T146"/>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Australia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5"/>
  <sheetViews>
    <sheetView zoomScale="170" zoomScaleNormal="170" workbookViewId="0">
      <pane ySplit="5" topLeftCell="A103" activePane="bottomLeft" state="frozen"/>
      <selection pane="bottomLeft" activeCell="S121" sqref="S121"/>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Indonesia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39"/>
  <sheetViews>
    <sheetView zoomScale="160" zoomScaleNormal="160" workbookViewId="0">
      <pane ySplit="5" topLeftCell="A104" activePane="bottomLeft" state="frozen"/>
      <selection pane="bottomLeft" activeCell="S124" sqref="S124"/>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South Korea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1"/>
  <sheetViews>
    <sheetView zoomScale="170" zoomScaleNormal="170" workbookViewId="0">
      <pane ySplit="5" topLeftCell="A108" activePane="bottomLeft" state="frozen"/>
      <selection pane="bottomLeft" activeCell="Q134" sqref="Q134"/>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Taiwan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1"/>
  <sheetViews>
    <sheetView zoomScale="160" zoomScaleNormal="160" workbookViewId="0">
      <pane ySplit="5" topLeftCell="A104" activePane="bottomLeft" state="frozen"/>
      <selection pane="bottomLeft" activeCell="U118" sqref="U118"/>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Greece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1"/>
  <sheetViews>
    <sheetView zoomScale="180" zoomScaleNormal="180" workbookViewId="0">
      <pane ySplit="5" topLeftCell="A115" activePane="bottomLeft" state="frozen"/>
      <selection pane="bottomLeft" activeCell="O134" sqref="O134"/>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Ireland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1"/>
  <sheetViews>
    <sheetView zoomScale="170" zoomScaleNormal="170" workbookViewId="0">
      <pane ySplit="5" topLeftCell="A106" activePane="bottomLeft" state="frozen"/>
      <selection pane="bottomLeft" activeCell="S125" sqref="S125"/>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Turkey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1"/>
  <sheetViews>
    <sheetView zoomScale="160" zoomScaleNormal="160" workbookViewId="0">
      <pane ySplit="5" topLeftCell="A102" activePane="bottomLeft" state="frozen"/>
      <selection pane="bottomLeft" activeCell="N113" sqref="N11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Czech Republic</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1"/>
  <sheetViews>
    <sheetView zoomScale="160" zoomScaleNormal="160" workbookViewId="0">
      <pane ySplit="5" topLeftCell="A105" activePane="bottomLeft" state="frozen"/>
      <selection pane="bottomLeft" activeCell="T126" sqref="T126"/>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Poland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2"/>
  <sheetViews>
    <sheetView zoomScale="160" zoomScaleNormal="160" workbookViewId="0">
      <pane ySplit="5" topLeftCell="A302" activePane="bottomLeft" state="frozen"/>
      <selection pane="bottomLeft" activeCell="P307" sqref="P307"/>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Denmark</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0"/>
  <sheetViews>
    <sheetView zoomScale="160" zoomScaleNormal="160" workbookViewId="0">
      <pane ySplit="5" topLeftCell="A83" activePane="bottomLeft" state="frozen"/>
      <selection activeCell="P121" sqref="P121"/>
      <selection pane="bottomLeft" activeCell="U95" sqref="U95"/>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Vietnam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2"/>
  <sheetViews>
    <sheetView zoomScale="170" zoomScaleNormal="170" workbookViewId="0">
      <pane ySplit="5" topLeftCell="A39" activePane="bottomLeft" state="frozen"/>
      <selection pane="bottomLeft" activeCell="R68" sqref="R68"/>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Thailand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T246" sqref="T246"/>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South Africa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0"/>
  <sheetViews>
    <sheetView zoomScale="160" zoomScaleNormal="160" workbookViewId="0">
      <pane ySplit="5" topLeftCell="A82" activePane="bottomLeft" state="frozen"/>
      <selection pane="bottomLeft" activeCell="U97" sqref="U97"/>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Hong Kong</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7"/>
  <sheetViews>
    <sheetView zoomScale="160" zoomScaleNormal="160" workbookViewId="0">
      <pane ySplit="5" topLeftCell="A54" activePane="bottomLeft" state="frozen"/>
      <selection pane="bottomLeft" activeCell="U83" sqref="U8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Saudi Arabia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37"/>
  <sheetViews>
    <sheetView tabSelected="1" zoomScale="160" zoomScaleNormal="160" workbookViewId="0">
      <pane ySplit="5" topLeftCell="A200" activePane="bottomLeft" state="frozen"/>
      <selection pane="bottomLeft" activeCell="T212" sqref="T212"/>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New Zealand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2022-02-14T07:10:29Z</dcterms:modified>
  <cp:lastModifiedBy>Mark Mukherjee</cp:lastModifiedBy>
</cp:coreProperties>
</file>