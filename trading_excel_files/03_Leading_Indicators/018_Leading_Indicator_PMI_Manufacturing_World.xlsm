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46840" yWindow="580" windowWidth="45220" windowHeight="2822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applyAlignment="1" pivotButton="0" quotePrefix="0" xfId="0">
      <alignment wrapText="1"/>
    </xf>
    <xf numFmtId="0" fontId="0" fillId="2" borderId="0" pivotButton="0" quotePrefix="0" xfId="0"/>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-0.007386022453639859</v>
                </pt>
                <pt idx="13">
                  <formatCode>0.00%</formatCode>
                  <v>0.003147327915455594</v>
                </pt>
                <pt idx="14">
                  <formatCode>0.00%</formatCode>
                  <v>-0.07949545509436312</v>
                </pt>
                <pt idx="15">
                  <formatCode>0.00%</formatCode>
                  <v>-0.03799506997939039</v>
                </pt>
                <pt idx="16">
                  <formatCode>0.00%</formatCode>
                  <v>-0.02083795683716749</v>
                </pt>
                <pt idx="17">
                  <formatCode>0.00%</formatCode>
                  <v>-0.00133183988719292</v>
                </pt>
                <pt idx="18">
                  <formatCode>0.00%</formatCode>
                  <v>-0.0581365817411928</v>
                </pt>
                <pt idx="19">
                  <formatCode>0.00%</formatCode>
                  <v>-0.1285201119045626</v>
                </pt>
                <pt idx="20">
                  <formatCode>0.00%</formatCode>
                  <v>-0.06967309582819896</v>
                </pt>
                <pt idx="21">
                  <formatCode>0.00%</formatCode>
                  <v>-0.03832860374759004</v>
                </pt>
                <pt idx="22">
                  <formatCode>0.00%</formatCode>
                  <v>0.06693578726601325</v>
                </pt>
                <pt idx="23">
                  <formatCode>0.00%</formatCode>
                  <v>0.2235355782867047</v>
                </pt>
                <pt idx="24">
                  <formatCode>0.00%</formatCode>
                  <v>0.09342506910945199</v>
                </pt>
                <pt idx="25">
                  <formatCode>0.00%</formatCode>
                  <v>0.1237461604592225</v>
                </pt>
                <pt idx="26">
                  <formatCode>0.00%</formatCode>
                  <v>0.1688331293317016</v>
                </pt>
                <pt idx="27">
                  <formatCode>0.00%</formatCode>
                  <v>0.1485130713964662</v>
                </pt>
                <pt idx="28">
                  <formatCode>0.00%</formatCode>
                  <v>0.09328725713233824</v>
                </pt>
                <pt idx="29">
                  <formatCode>0.00%</formatCode>
                  <v>0.1009846626076598</v>
                </pt>
                <pt idx="30">
                  <formatCode>0.00%</formatCode>
                  <v>0.1453274587147068</v>
                </pt>
                <pt idx="31">
                  <formatCode>0.00%</formatCode>
                  <v>0.2576466992080081</v>
                </pt>
                <pt idx="32">
                  <formatCode>0.00%</formatCode>
                  <v>0.167050635800524</v>
                </pt>
                <pt idx="33">
                  <formatCode>0.00%</formatCode>
                  <v>0.2092640327885372</v>
                </pt>
                <pt idx="34">
                  <formatCode>0.00%</formatCode>
                  <v>0.1495448877973099</v>
                </pt>
                <pt idx="35">
                  <formatCode>0.00%</formatCode>
                  <v>0.1812598748165487</v>
                </pt>
                <pt idx="36">
                  <formatCode>0.00%</formatCode>
                  <v>0.2342675491455824</v>
                </pt>
                <pt idx="37">
                  <formatCode>0.00%</formatCode>
                  <v>0.2337705921676722</v>
                </pt>
                <pt idx="38">
                  <formatCode>0.00%</formatCode>
                  <v>0.2258241289271593</v>
                </pt>
                <pt idx="39">
                  <formatCode>0.00%</formatCode>
                  <v>0.1247130632687213</v>
                </pt>
                <pt idx="40">
                  <formatCode>0.00%</formatCode>
                  <v>0.1844386870340042</v>
                </pt>
                <pt idx="41">
                  <formatCode>0.00%</formatCode>
                  <v>0.1698402298890629</v>
                </pt>
                <pt idx="42">
                  <formatCode>0.00%</formatCode>
                  <v>0.1510631666389469</v>
                </pt>
                <pt idx="43">
                  <formatCode>0.00%</formatCode>
                  <v>0.178667901112774</v>
                </pt>
                <pt idx="44">
                  <formatCode>0.00%</formatCode>
                  <v>0.2306845379495436</v>
                </pt>
                <pt idx="45">
                  <formatCode>0.00%</formatCode>
                  <v>0.161184295812223</v>
                </pt>
                <pt idx="46">
                  <formatCode>0.00%</formatCode>
                  <v>0.2190749662162192</v>
                </pt>
                <pt idx="47">
                  <formatCode>0.00%</formatCode>
                  <v>0.1167910186979771</v>
                </pt>
                <pt idx="48">
                  <formatCode>0.00%</formatCode>
                  <v>0.08730131269319384</v>
                </pt>
                <pt idx="49">
                  <formatCode>0.00%</formatCode>
                  <v>0.08541071688665848</v>
                </pt>
                <pt idx="50">
                  <formatCode>0.00%</formatCode>
                  <v>0.03798003641590235</v>
                </pt>
                <pt idx="51">
                  <formatCode>0.00%</formatCode>
                  <v>0.07445620447219488</v>
                </pt>
                <pt idx="52">
                  <formatCode>0.00%</formatCode>
                  <v>0.07755742206283524</v>
                </pt>
                <pt idx="53">
                  <formatCode>0.00%</formatCode>
                  <v>0.05578564794711691</v>
                </pt>
                <pt idx="54">
                  <formatCode>0.00%</formatCode>
                  <v>0.07330369032518795</v>
                </pt>
                <pt idx="55">
                  <formatCode>0.00%</formatCode>
                  <v>0.05219893417001722</v>
                </pt>
                <pt idx="56">
                  <formatCode>0.00%</formatCode>
                  <v>0.008968229308327537</v>
                </pt>
                <pt idx="57">
                  <formatCode>0.00%</formatCode>
                  <v>0.02993192459586724</v>
                </pt>
                <pt idx="58">
                  <formatCode>0.00%</formatCode>
                  <v>-0.06427944342593468</v>
                </pt>
                <pt idx="59">
                  <formatCode>0.00%</formatCode>
                  <v>-0.06545386025971853</v>
                </pt>
                <pt idx="60">
                  <formatCode>0.00%</formatCode>
                  <v>-0.005882112076620019</v>
                </pt>
                <pt idx="61">
                  <formatCode>0.00%</formatCode>
                  <v>-0.02460710310339393</v>
                </pt>
                <pt idx="62">
                  <formatCode>0.00%</formatCode>
                  <v>-0.0262687757604817</v>
                </pt>
                <pt idx="63">
                  <formatCode>0.00%</formatCode>
                  <v>-0.06159477432974044</v>
                </pt>
                <pt idx="64">
                  <formatCode>0.00%</formatCode>
                  <v>-0.1216924585409733</v>
                </pt>
                <pt idx="65">
                  <formatCode>0.00%</formatCode>
                  <v>-0.04275769350829548</v>
                </pt>
                <pt idx="66">
                  <formatCode>0.00%</formatCode>
                  <v>-0.05697573109525166</v>
                </pt>
                <pt idx="67">
                  <formatCode>0.00%</formatCode>
                  <v>-0.05382195007337492</v>
                </pt>
                <pt idx="68">
                  <formatCode>0.00%</formatCode>
                  <v>-0.03064899728524345</v>
                </pt>
                <pt idx="69">
                  <formatCode>0.00%</formatCode>
                  <v>-0.0008988373978089165</v>
                </pt>
                <pt idx="70">
                  <formatCode>0.00%</formatCode>
                  <v>0.07575006292712361</v>
                </pt>
                <pt idx="71">
                  <formatCode>0.00%</formatCode>
                  <v>0.1245062353318073</v>
                </pt>
                <pt idx="72">
                  <formatCode>0.00%</formatCode>
                  <v>0.02455873261498652</v>
                </pt>
                <pt idx="73">
                  <formatCode>0.00%</formatCode>
                  <v>0.04071924019141514</v>
                </pt>
                <pt idx="74">
                  <formatCode>0.00%</formatCode>
                  <v>0.08792034251204715</v>
                </pt>
                <pt idx="75">
                  <formatCode>0.00%</formatCode>
                  <v>0.1779391704183547</v>
                </pt>
                <pt idx="76">
                  <formatCode>0.00%</formatCode>
                  <v>0.2228056903638537</v>
                </pt>
                <pt idx="77">
                  <formatCode>0.00%</formatCode>
                  <v>0.1539319929148457</v>
                </pt>
                <pt idx="78">
                  <formatCode>0.00%</formatCode>
                  <v>0.1570583460238522</v>
                </pt>
                <pt idx="79">
                  <formatCode>0.00%</formatCode>
                  <v>0.1786768992697995</v>
                </pt>
                <pt idx="80">
                  <formatCode>0.00%</formatCode>
                  <v>0.1909979848173803</v>
                </pt>
                <pt idx="81">
                  <formatCode>0.00%</formatCode>
                  <v>0.1766675760464224</v>
                </pt>
                <pt idx="82">
                  <formatCode>0.00%</formatCode>
                  <v>0.1773540699612695</v>
                </pt>
                <pt idx="83">
                  <formatCode>0.00%</formatCode>
                  <v>0.1883265148134419</v>
                </pt>
                <pt idx="84">
                  <formatCode>0.00%</formatCode>
                  <v>0.237544189749037</v>
                </pt>
                <pt idx="85">
                  <formatCode>0.00%</formatCode>
                  <v>0.2496074299483482</v>
                </pt>
                <pt idx="86">
                  <formatCode>0.00%</formatCode>
                  <v>0.2433179819770261</v>
                </pt>
                <pt idx="87">
                  <formatCode>0.00%</formatCode>
                  <v>0.2770954068569397</v>
                </pt>
                <pt idx="88">
                  <formatCode>0.00%</formatCode>
                  <v>0.1900417892340452</v>
                </pt>
                <pt idx="89">
                  <formatCode>0.00%</formatCode>
                  <v>0.1566558307879359</v>
                </pt>
                <pt idx="90">
                  <formatCode>0.00%</formatCode>
                  <v>0.1429059651063812</v>
                </pt>
                <pt idx="91">
                  <formatCode>0.00%</formatCode>
                  <v>0.1234852898895831</v>
                </pt>
                <pt idx="92">
                  <formatCode>0.00%</formatCode>
                  <v>0.1082329119342217</v>
                </pt>
                <pt idx="93">
                  <formatCode>0.00%</formatCode>
                  <v>0.1117679064416507</v>
                </pt>
                <pt idx="94">
                  <formatCode>0.00%</formatCode>
                  <v>0.115028743130348</v>
                </pt>
                <pt idx="95">
                  <formatCode>0.00%</formatCode>
                  <v>0.1011247133765669</v>
                </pt>
                <pt idx="96">
                  <formatCode>0.00%</formatCode>
                  <v>-0.002184588908598741</v>
                </pt>
                <pt idx="97">
                  <formatCode>0.00%</formatCode>
                  <v>-0.00643104541021283</v>
                </pt>
                <pt idx="98">
                  <formatCode>0.00%</formatCode>
                  <v>-0.0917918235722265</v>
                </pt>
                <pt idx="99">
                  <formatCode>0.00%</formatCode>
                  <v>-0.07112131216820573</v>
                </pt>
                <pt idx="100">
                  <formatCode>0.00%</formatCode>
                  <v>-0.003618456831892431</v>
                </pt>
                <pt idx="101">
                  <formatCode>0.00%</formatCode>
                  <v>0.02747857803731583</v>
                </pt>
                <pt idx="102">
                  <formatCode>0.00%</formatCode>
                  <v>0.0583729069657195</v>
                </pt>
                <pt idx="103">
                  <formatCode>0.00%</formatCode>
                  <v>-0.01055177858617366</v>
                </pt>
                <pt idx="104">
                  <formatCode>0.00%</formatCode>
                  <v>0.05825450005607163</v>
                </pt>
                <pt idx="105">
                  <formatCode>0.00%</formatCode>
                  <v>0.02904755859064216</v>
                </pt>
                <pt idx="106">
                  <formatCode>0.00%</formatCode>
                  <v>-0.0006466049387886242</v>
                </pt>
                <pt idx="107">
                  <formatCode>0.00%</formatCode>
                  <v>0.01560674232758042</v>
                </pt>
                <pt idx="108">
                  <formatCode>0.00%</formatCode>
                  <v>0.1272137366111875</v>
                </pt>
                <pt idx="109">
                  <formatCode>0.00%</formatCode>
                  <v>0.1355392795095341</v>
                </pt>
                <pt idx="110">
                  <formatCode>0.00%</formatCode>
                  <v>0.2631454869638274</v>
                </pt>
                <pt idx="111">
                  <formatCode>0.00%</formatCode>
                  <v>0.1548128416859208</v>
                </pt>
                <pt idx="112">
                  <formatCode>0.00%</formatCode>
                  <v>0.04260439464218697</v>
                </pt>
                <pt idx="113">
                  <formatCode>0.00%</formatCode>
                  <v>-0.1112220999585168</v>
                </pt>
                <pt idx="114">
                  <formatCode>0.00%</formatCode>
                  <v>-0.05617538774772217</v>
                </pt>
                <pt idx="115">
                  <formatCode>0.00%</formatCode>
                  <v>0.05600222094437182</v>
                </pt>
                <pt idx="116">
                  <formatCode>0.00%</formatCode>
                  <v>0.02499641506811924</v>
                </pt>
                <pt idx="117">
                  <formatCode>0.00%</formatCode>
                  <v>0.07476676876594721</v>
                </pt>
                <pt idx="118">
                  <formatCode>0.00%</formatCode>
                  <v>0.1652781367695523</v>
                </pt>
                <pt idx="119">
                  <formatCode>0.00%</formatCode>
                  <v>0.1060512978792538</v>
                </pt>
                <pt idx="120">
                  <formatCode>0.00%</formatCode>
                  <v>0.05258715129429371</v>
                </pt>
                <pt idx="121">
                  <formatCode>0.00%</formatCode>
                  <v>0.1495280334266993</v>
                </pt>
                <pt idx="122">
                  <formatCode>0.00%</formatCode>
                  <v>0.1683843058225267</v>
                </pt>
                <pt idx="123">
                  <formatCode>0.00%</formatCode>
                  <v>0.1767033496325688</v>
                </pt>
                <pt idx="124">
                  <formatCode>0.00%</formatCode>
                  <v>0.3010796216711702</v>
                </pt>
                <pt idx="125">
                  <formatCode>0.00%</formatCode>
                  <v>0.5454527519316993</v>
                </pt>
                <pt idx="126">
                  <formatCode>0.00%</formatCode>
                  <v>0.4668910090819391</v>
                </pt>
                <pt idx="127">
                  <formatCode>0.00%</formatCode>
                  <v>0.416346134335982</v>
                </pt>
                <pt idx="128">
                  <formatCode>0.00%</formatCode>
                  <v>0.3949717358242135</v>
                </pt>
                <pt idx="129">
                  <formatCode>0.00%</formatCode>
                  <v>0.3344038889363377</v>
                </pt>
                <pt idx="130">
                  <formatCode>0.00%</formatCode>
                  <v>0.2859316053896098</v>
                </pt>
                <pt idx="131">
                  <formatCode>0.00%</formatCode>
                  <v>0.2690223014054361</v>
                </pt>
                <pt idx="132">
                  <formatCode>0.00%</formatCode>
                  <v>0.3679445192046771</v>
                </pt>
                <pt idx="133">
                  <formatCode>0.00%</formatCode>
                  <v>0.1957482045375359</v>
                </pt>
                <pt idx="134">
                  <formatCode>0.00%</formatCode>
                  <v>0.183512283463553</v>
                </pt>
                <pt idx="135">
                  <formatCode>0.00%</formatCode>
                  <v>0.1361662789296186</v>
                </pt>
                <pt idx="136">
                  <formatCode>0.00%</formatCode>
                  <v>0.0767510644598819</v>
                </pt>
                <pt idx="137">
                  <formatCode>0.00%</formatCode>
                  <v>0.06719745529809792</v>
                </pt>
                <pt idx="138">
                  <formatCode>0.00%</formatCode>
                  <v>-0.05886144238450161</v>
                </pt>
                <pt idx="139">
                  <formatCode>0.00%</formatCode>
                  <v>-0.06836773416669145</v>
                </pt>
                <pt idx="140">
                  <formatCode>0.00%</formatCode>
                  <v>-0.1563104565300777</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US!$B$6:$B$149</f>
              <numCache>
                <formatCode>General</formatCode>
                <ptCount val="144"/>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pt idx="141">
                  <v>52.2</v>
                </pt>
                <pt idx="142">
                  <v>51.5</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China!$A$6:$A$218</f>
              <numCache>
                <formatCode>m/d/yy</formatCode>
                <ptCount val="213"/>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numCache>
            </numRef>
          </cat>
          <val>
            <numRef>
              <f>China!$B$6:$B$218</f>
              <numCache>
                <formatCode>General</formatCode>
                <ptCount val="213"/>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China!$A$6:$A$218</f>
              <numCache>
                <formatCode>m/d/yy</formatCode>
                <ptCount val="213"/>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numCache>
            </numRef>
          </cat>
          <val>
            <numRef>
              <f>China!$D$6:$D$218</f>
              <numCache>
                <formatCode>General</formatCode>
                <ptCount val="213"/>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pt idx="210">
                  <v>49</v>
                </pt>
                <pt idx="211">
                  <v>49.4</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China!$A$6:$A$218</f>
              <numCache>
                <formatCode>m/d/yy</formatCode>
                <ptCount val="213"/>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numCache>
            </numRef>
          </cat>
          <val>
            <numRef>
              <f>China!$F$6:$F$218</f>
              <numCache>
                <formatCode>0.0%</formatCode>
                <ptCount val="213"/>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pt idx="206">
                  <v>0</v>
                </pt>
                <pt idx="207">
                  <v>0.048</v>
                </pt>
                <pt idx="208">
                  <v>0</v>
                </pt>
                <pt idx="209">
                  <v>0</v>
                </pt>
                <pt idx="210">
                  <v>0.004</v>
                </pt>
                <pt idx="211">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China!$A$6:$A$218</f>
              <numCache>
                <formatCode>m/d/yy</formatCode>
                <ptCount val="213"/>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numCache>
            </numRef>
          </cat>
          <val>
            <numRef>
              <f>China!$B$6:$B$218</f>
              <numCache>
                <formatCode>General</formatCode>
                <ptCount val="213"/>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China!$A$6:$A$218</f>
              <numCache>
                <formatCode>m/d/yy</formatCode>
                <ptCount val="213"/>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numCache>
            </numRef>
          </cat>
          <val>
            <numRef>
              <f>China!$B$6:$B$218</f>
              <numCache>
                <formatCode>General</formatCode>
                <ptCount val="213"/>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Area'!$A$18:$A$222</f>
              <numCache>
                <formatCode>m/d/yy</formatCode>
                <ptCount val="205"/>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numCache>
            </numRef>
          </cat>
          <val>
            <numRef>
              <f>'Euro Area'!$E$18:$E$222</f>
              <numCache>
                <formatCode>General</formatCode>
                <ptCount val="205"/>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pt idx="199">
                  <v>-13</v>
                </pt>
                <pt idx="200">
                  <v>-11.8</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Area'!$A$18:$A$222</f>
              <numCache>
                <formatCode>m/d/yy</formatCode>
                <ptCount val="205"/>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numCache>
            </numRef>
          </cat>
          <val>
            <numRef>
              <f>'Euro Area'!$F$18:$F$222</f>
              <numCache>
                <formatCode>0.0%</formatCode>
                <ptCount val="205"/>
                <pt idx="0">
                  <v>0.08907529910447315</v>
                </pt>
                <pt idx="1">
                  <v>0.1870937530460371</v>
                </pt>
                <pt idx="2">
                  <v>0.1458201153550535</v>
                </pt>
                <pt idx="3">
                  <v>0.2258085763729156</v>
                </pt>
                <pt idx="4">
                  <v>0.3265335822934824</v>
                </pt>
                <pt idx="5">
                  <v>0.2736724634153325</v>
                </pt>
                <pt idx="6">
                  <v>0.258805331760368</v>
                </pt>
                <pt idx="7">
                  <v>0.2183272143473357</v>
                </pt>
                <pt idx="8">
                  <v>0.2452088849317382</v>
                </pt>
                <pt idx="9">
                  <v>0.2452576799307442</v>
                </pt>
                <pt idx="10">
                  <v>0.3381462330132076</v>
                </pt>
                <pt idx="11">
                  <v>0.3747122734207816</v>
                </pt>
                <pt idx="12">
                  <v>0.3535133841416189</v>
                </pt>
                <pt idx="13">
                  <v>0.2878779543411929</v>
                </pt>
                <pt idx="14">
                  <v>0.2670367787419012</v>
                </pt>
                <pt idx="15">
                  <v>0.2641436621208014</v>
                </pt>
                <pt idx="16">
                  <v>0.285801942380732</v>
                </pt>
                <pt idx="17">
                  <v>0.3836762736228018</v>
                </pt>
                <pt idx="18">
                  <v>0.364140850726866</v>
                </pt>
                <pt idx="19">
                  <v>0.3056834737698766</v>
                </pt>
                <pt idx="20">
                  <v>0.2565508550139988</v>
                </pt>
                <pt idx="21">
                  <v>0.3067051884237166</v>
                </pt>
                <pt idx="22">
                  <v>0.3262472990287688</v>
                </pt>
                <pt idx="23">
                  <v>0.2325125862756811</v>
                </pt>
                <pt idx="24">
                  <v>0.1753276482368168</v>
                </pt>
                <pt idx="25">
                  <v>0.04665900122519127</v>
                </pt>
                <pt idx="26">
                  <v>0.04754212231313611</v>
                </pt>
                <pt idx="27">
                  <v>0.03112396191577027</v>
                </pt>
                <pt idx="28">
                  <v>0.009039308872319867</v>
                </pt>
                <pt idx="29">
                  <v>-0.01622230107851439</v>
                </pt>
                <pt idx="30">
                  <v>-0.1482942844989295</v>
                </pt>
                <pt idx="31">
                  <v>-0.1105890446974757</v>
                </pt>
                <pt idx="32">
                  <v>-0.1453457533425797</v>
                </pt>
                <pt idx="33">
                  <v>-0.3013402983718891</v>
                </pt>
                <pt idx="34">
                  <v>-0.4978917919305291</v>
                </pt>
                <pt idx="35">
                  <v>-0.5220051247940406</v>
                </pt>
                <pt idx="36">
                  <v>-0.4544519074248198</v>
                </pt>
                <pt idx="37">
                  <v>-0.4996891872279146</v>
                </pt>
                <pt idx="38">
                  <v>-0.5564336817191603</v>
                </pt>
                <pt idx="39">
                  <v>-0.524464361926369</v>
                </pt>
                <pt idx="40">
                  <v>-0.4756982792920786</v>
                </pt>
                <pt idx="41">
                  <v>-0.4133983861403474</v>
                </pt>
                <pt idx="42">
                  <v>-0.3467942942671304</v>
                </pt>
                <pt idx="43">
                  <v>-0.2662782602235721</v>
                </pt>
                <pt idx="44">
                  <v>-0.1884611753922962</v>
                </pt>
                <pt idx="45">
                  <v>-0.0002378536943628199</v>
                </pt>
                <pt idx="46">
                  <v>0.2647763026672608</v>
                </pt>
                <pt idx="47">
                  <v>0.433172953643024</v>
                </pt>
                <pt idx="48">
                  <v>0.2788756850767435</v>
                </pt>
                <pt idx="49">
                  <v>0.4067904730051185</v>
                </pt>
                <pt idx="50">
                  <v>0.5521368959145141</v>
                </pt>
                <pt idx="51">
                  <v>0.5163705381708921</v>
                </pt>
                <pt idx="52">
                  <v>0.2570516995464062</v>
                </pt>
                <pt idx="53">
                  <v>-0.02974488357925885</v>
                </pt>
                <pt idx="54">
                  <v>-0.02605526178232313</v>
                </pt>
                <pt idx="55">
                  <v>0.006595376832938312</v>
                </pt>
                <pt idx="56">
                  <v>-0.1187259980556784</v>
                </pt>
                <pt idx="57">
                  <v>-0.06252920949769425</v>
                </pt>
                <pt idx="58">
                  <v>0.04202077456396364</v>
                </pt>
                <pt idx="59">
                  <v>-0.1165566604897029</v>
                </pt>
                <pt idx="60">
                  <v>-0.03144416084802155</v>
                </pt>
                <pt idx="61">
                  <v>0.1192428042384544</v>
                </pt>
                <pt idx="62">
                  <v>0.1875293898794478</v>
                </pt>
                <pt idx="63">
                  <v>0.109616189382685</v>
                </pt>
                <pt idx="64">
                  <v>0.2605720649856138</v>
                </pt>
                <pt idx="65">
                  <v>0.3740129744220866</v>
                </pt>
                <pt idx="66">
                  <v>0.399689467929459</v>
                </pt>
                <pt idx="67">
                  <v>0.1270193971919765</v>
                </pt>
                <pt idx="68">
                  <v>0.06369047412431592</v>
                </pt>
                <pt idx="69">
                  <v>-0.1866670320878314</v>
                </pt>
                <pt idx="70">
                  <v>-0.136332147163579</v>
                </pt>
                <pt idx="71">
                  <v>-0.06974030763196511</v>
                </pt>
                <pt idx="72">
                  <v>-0.1844715408043923</v>
                </pt>
                <pt idx="73">
                  <v>-0.176163382476481</v>
                </pt>
                <pt idx="74">
                  <v>-0.1556908968289847</v>
                </pt>
                <pt idx="75">
                  <v>-0.157455667218844</v>
                </pt>
                <pt idx="76">
                  <v>-0.263471115611421</v>
                </pt>
                <pt idx="77">
                  <v>-0.3263975818817499</v>
                </pt>
                <pt idx="78">
                  <v>-0.2686455220441423</v>
                </pt>
                <pt idx="79">
                  <v>-0.2115335122390954</v>
                </pt>
                <pt idx="80">
                  <v>-0.04249683520319502</v>
                </pt>
                <pt idx="81">
                  <v>0.1454914508897368</v>
                </pt>
                <pt idx="82">
                  <v>0.04311765826720064</v>
                </pt>
                <pt idx="83">
                  <v>0.126237642337049</v>
                </pt>
                <pt idx="84">
                  <v>0.2489634331014574</v>
                </pt>
                <pt idx="85">
                  <v>0.2010157250079543</v>
                </pt>
                <pt idx="86">
                  <v>0.08604067207384208</v>
                </pt>
                <pt idx="87">
                  <v>0.06927123326254096</v>
                </pt>
                <pt idx="88">
                  <v>0.1980527661137705</v>
                </pt>
                <pt idx="89">
                  <v>0.3933296646420273</v>
                </pt>
                <pt idx="90">
                  <v>0.2225813698175521</v>
                </pt>
                <pt idx="91">
                  <v>0.3362877112661695</v>
                </pt>
                <pt idx="92">
                  <v>0.230579121919166</v>
                </pt>
                <pt idx="93">
                  <v>0.2911334948680095</v>
                </pt>
                <pt idx="94">
                  <v>0.3272750623128325</v>
                </pt>
                <pt idx="95">
                  <v>0.3022601113394193</v>
                </pt>
                <pt idx="96">
                  <v>0.2717257999088035</v>
                </pt>
                <pt idx="97">
                  <v>0.1624981303530267</v>
                </pt>
                <pt idx="98">
                  <v>0.3036877414307875</v>
                </pt>
                <pt idx="99">
                  <v>0.3306393256506925</v>
                </pt>
                <pt idx="100">
                  <v>0.2814093024339376</v>
                </pt>
                <pt idx="101">
                  <v>0.2755027300549237</v>
                </pt>
                <pt idx="102">
                  <v>0.3391862663425095</v>
                </pt>
                <pt idx="103">
                  <v>0.1522175085146544</v>
                </pt>
                <pt idx="104">
                  <v>0.1755452020763274</v>
                </pt>
                <pt idx="105">
                  <v>0.0433884986532181</v>
                </pt>
                <pt idx="106">
                  <v>-0.03865579219682987</v>
                </pt>
                <pt idx="107">
                  <v>-0.01573484902931278</v>
                </pt>
                <pt idx="108">
                  <v>-0.1022675324581876</v>
                </pt>
                <pt idx="109">
                  <v>-0.04107669470438497</v>
                </pt>
                <pt idx="110">
                  <v>-0.04790180450555508</v>
                </pt>
                <pt idx="111">
                  <v>-0.06298755061727099</v>
                </pt>
                <pt idx="112">
                  <v>-0.0594560478655995</v>
                </pt>
                <pt idx="113">
                  <v>-0.0731685961723065</v>
                </pt>
                <pt idx="114">
                  <v>-0.08932386785048169</v>
                </pt>
                <pt idx="115">
                  <v>-0.003645307164124258</v>
                </pt>
                <pt idx="116">
                  <v>-0.07403215751798073</v>
                </pt>
                <pt idx="117">
                  <v>-0.08580684481447017</v>
                </pt>
                <pt idx="118">
                  <v>0.009867481902479377</v>
                </pt>
                <pt idx="119">
                  <v>-0.03547457600481619</v>
                </pt>
                <pt idx="120">
                  <v>-0.01145332198112717</v>
                </pt>
                <pt idx="121">
                  <v>-0.07695518948978769</v>
                </pt>
                <pt idx="122">
                  <v>-0.1676193380451375</v>
                </pt>
                <pt idx="123">
                  <v>-0.09095814355305434</v>
                </pt>
                <pt idx="124">
                  <v>-0.08802596021366471</v>
                </pt>
                <pt idx="125">
                  <v>-0.115516205854134</v>
                </pt>
                <pt idx="126">
                  <v>-0.1233653736635664</v>
                </pt>
                <pt idx="127">
                  <v>-0.1018750151007452</v>
                </pt>
                <pt idx="128">
                  <v>-0.02446530157121792</v>
                </pt>
                <pt idx="129">
                  <v>0.03163565873267066</v>
                </pt>
                <pt idx="130">
                  <v>-0.04838901418633475</v>
                </pt>
                <pt idx="131">
                  <v>-0.0790500807329227</v>
                </pt>
                <pt idx="132">
                  <v>0.01425080967314451</v>
                </pt>
                <pt idx="133">
                  <v>0.09808080938843874</v>
                </pt>
                <pt idx="134">
                  <v>0.1486947607900771</v>
                </pt>
                <pt idx="135">
                  <v>0.1278764647856155</v>
                </pt>
                <pt idx="136">
                  <v>0.1477025417440378</v>
                </pt>
                <pt idx="137">
                  <v>0.2498013846175783</v>
                </pt>
                <pt idx="138">
                  <v>0.289243671296566</v>
                </pt>
                <pt idx="139">
                  <v>0.2579399420938436</v>
                </pt>
                <pt idx="140">
                  <v>0.249943077418623</v>
                </pt>
                <pt idx="141">
                  <v>0.2839577841292028</v>
                </pt>
                <pt idx="142">
                  <v>0.3123914873343059</v>
                </pt>
                <pt idx="143">
                  <v>0.363410716912848</v>
                </pt>
                <pt idx="144">
                  <v>0.2816484996707594</v>
                </pt>
                <pt idx="145">
                  <v>0.3398692572738071</v>
                </pt>
                <pt idx="146">
                  <v>0.2571374212057339</v>
                </pt>
                <pt idx="147">
                  <v>0.1760483313798799</v>
                </pt>
                <pt idx="148">
                  <v>0.1523718720777074</v>
                </pt>
                <pt idx="149">
                  <v>0.0586981073365667</v>
                </pt>
                <pt idx="150">
                  <v>0.03725501703225909</v>
                </pt>
                <pt idx="151">
                  <v>0.05212575075027834</v>
                </pt>
                <pt idx="152">
                  <v>0.01388937721225701</v>
                </pt>
                <pt idx="153">
                  <v>-0.0259713216470227</v>
                </pt>
                <pt idx="154">
                  <v>-0.1227528901547051</v>
                </pt>
                <pt idx="155">
                  <v>-0.1236048774873537</v>
                </pt>
                <pt idx="156">
                  <v>-0.168441661826853</v>
                </pt>
                <pt idx="157">
                  <v>-0.1712706556568061</v>
                </pt>
                <pt idx="158">
                  <v>-0.09086409560359188</v>
                </pt>
                <pt idx="159">
                  <v>-0.08288154878771926</v>
                </pt>
                <pt idx="160">
                  <v>-0.05831397163298528</v>
                </pt>
                <pt idx="161">
                  <v>-0.08617947887955135</v>
                </pt>
                <pt idx="162">
                  <v>-0.006440744231285749</v>
                </pt>
                <pt idx="163">
                  <v>-0.06660463885405425</v>
                </pt>
                <pt idx="164">
                  <v>-0.05056060456386466</v>
                </pt>
                <pt idx="165">
                  <v>-0.02102978816621402</v>
                </pt>
                <pt idx="166">
                  <v>0.1165922356742565</v>
                </pt>
                <pt idx="167">
                  <v>0.1307468891483245</v>
                </pt>
                <pt idx="168">
                  <v>0.2343282835440845</v>
                </pt>
                <pt idx="169">
                  <v>0.1173755224039739</v>
                </pt>
                <pt idx="170">
                  <v>0.003410185720304331</v>
                </pt>
                <pt idx="171">
                  <v>-0.185100294048697</v>
                </pt>
                <pt idx="172">
                  <v>-0.1760827688255342</v>
                </pt>
                <pt idx="173">
                  <v>-0.05439313320916938</v>
                </pt>
                <pt idx="174">
                  <v>-0.04929049675357983</v>
                </pt>
                <pt idx="175">
                  <v>-0.008547068763616994</v>
                </pt>
                <pt idx="176">
                  <v>0.05258353773948923</v>
                </pt>
                <pt idx="177">
                  <v>-0.01223243819519478</v>
                </pt>
                <pt idx="178">
                  <v>-0.100749652710787</v>
                </pt>
                <pt idx="179">
                  <v>0.06643106266069347</v>
                </pt>
                <pt idx="180">
                  <v>0.06523352301190125</v>
                </pt>
                <pt idx="181">
                  <v>0.09498389221175529</v>
                </pt>
                <pt idx="182">
                  <v>0.2224426733889113</v>
                </pt>
                <pt idx="183">
                  <v>0.557458176450597</v>
                </pt>
                <pt idx="184">
                  <v>0.5353094480358881</v>
                </pt>
                <pt idx="185">
                  <v>0.4924838806682378</v>
                </pt>
                <pt idx="186">
                  <v>0.3844975131766698</v>
                </pt>
                <pt idx="187">
                  <v>0.3552064197612745</v>
                </pt>
                <pt idx="188">
                  <v>0.3215084954522811</v>
                </pt>
                <pt idx="189">
                  <v>0.299550776194561</v>
                </pt>
                <pt idx="190">
                  <v>0.4362300959081488</v>
                </pt>
                <pt idx="191">
                  <v>0.1352219254587222</v>
                </pt>
                <pt idx="192">
                  <v>0.1386202957843192</v>
                </pt>
                <pt idx="193">
                  <v>0.1209148866638726</v>
                </pt>
                <pt idx="194">
                  <v>0.004033913084083695</v>
                </pt>
                <pt idx="195">
                  <v>-0.0451084323073412</v>
                </pt>
                <pt idx="196">
                  <v>-0.1541923939105271</v>
                </pt>
                <pt idx="197">
                  <v>-0.1545615134127661</v>
                </pt>
                <pt idx="198">
                  <v>-0.2452847783170734</v>
                </pt>
                <pt idx="199">
                  <v>-0.2052528991215958</v>
                </pt>
                <pt idx="200">
                  <v>-0.2783787209974848</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Area'!$A$6:$A$218</f>
              <numCache>
                <formatCode>m/d/yy</formatCode>
                <ptCount val="213"/>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numCache>
            </numRef>
          </cat>
          <val>
            <numRef>
              <f>'Euro Area'!$G$6:$G$218</f>
              <numCache>
                <formatCode>0.0%</formatCode>
                <ptCount val="213"/>
                <pt idx="0">
                  <v>0</v>
                </pt>
                <pt idx="1">
                  <v>0.00221043091722011</v>
                </pt>
                <pt idx="2">
                  <v>0</v>
                </pt>
                <pt idx="3">
                  <v>0</v>
                </pt>
                <pt idx="4">
                  <v>0.005952457423367185</v>
                </pt>
                <pt idx="5">
                  <v>0</v>
                </pt>
                <pt idx="6">
                  <v>0</v>
                </pt>
                <pt idx="7">
                  <v>0.007339436254405703</v>
                </pt>
                <pt idx="8">
                  <v>0</v>
                </pt>
                <pt idx="9">
                  <v>0</v>
                </pt>
                <pt idx="10">
                  <v>0.006425683389720147</v>
                </pt>
                <pt idx="11">
                  <v>0</v>
                </pt>
                <pt idx="12">
                  <v>0</v>
                </pt>
                <pt idx="13">
                  <v>0.008850098443611818</v>
                </pt>
                <pt idx="14">
                  <v>0</v>
                </pt>
                <pt idx="15">
                  <v>0</v>
                </pt>
                <pt idx="16">
                  <v>0.01101841941394829</v>
                </pt>
                <pt idx="17">
                  <v>0</v>
                </pt>
                <pt idx="18">
                  <v>0</v>
                </pt>
                <pt idx="19">
                  <v>0.005773295373520445</v>
                </pt>
                <pt idx="20">
                  <v>0</v>
                </pt>
                <pt idx="21">
                  <v>0</v>
                </pt>
                <pt idx="22">
                  <v>0.01176105500812759</v>
                </pt>
                <pt idx="23">
                  <v>0</v>
                </pt>
                <pt idx="24">
                  <v>0</v>
                </pt>
                <pt idx="25">
                  <v>0.006193981606990178</v>
                </pt>
                <pt idx="26">
                  <v>0</v>
                </pt>
                <pt idx="27">
                  <v>0</v>
                </pt>
                <pt idx="28">
                  <v>0.007049447855151071</v>
                </pt>
                <pt idx="29">
                  <v>0</v>
                </pt>
                <pt idx="30">
                  <v>0</v>
                </pt>
                <pt idx="31">
                  <v>0.004546517611509739</v>
                </pt>
                <pt idx="32">
                  <v>0</v>
                </pt>
                <pt idx="33">
                  <v>0</v>
                </pt>
                <pt idx="34">
                  <v>0.005179439615667413</v>
                </pt>
                <pt idx="35">
                  <v>0</v>
                </pt>
                <pt idx="36">
                  <v>0</v>
                </pt>
                <pt idx="37">
                  <v>0.004991492112956603</v>
                </pt>
                <pt idx="38">
                  <v>0</v>
                </pt>
                <pt idx="39">
                  <v>0</v>
                </pt>
                <pt idx="40">
                  <v>-0.003328169412722092</v>
                </pt>
                <pt idx="41">
                  <v>0</v>
                </pt>
                <pt idx="42">
                  <v>0</v>
                </pt>
                <pt idx="43">
                  <v>-0.005244351982757887</v>
                </pt>
                <pt idx="44">
                  <v>0</v>
                </pt>
                <pt idx="45">
                  <v>0</v>
                </pt>
                <pt idx="46">
                  <v>-0.01799993732478456</v>
                </pt>
                <pt idx="47">
                  <v>0</v>
                </pt>
                <pt idx="48">
                  <v>0</v>
                </pt>
                <pt idx="49">
                  <v>-0.03125365962362216</v>
                </pt>
                <pt idx="50">
                  <v>0</v>
                </pt>
                <pt idx="51">
                  <v>0</v>
                </pt>
                <pt idx="52">
                  <v>5.341178300044888e-05</v>
                </pt>
                <pt idx="53">
                  <v>0</v>
                </pt>
                <pt idx="54">
                  <v>0</v>
                </pt>
                <pt idx="55">
                  <v>0.00395509900046192</v>
                </pt>
                <pt idx="56">
                  <v>0</v>
                </pt>
                <pt idx="57">
                  <v>0</v>
                </pt>
                <pt idx="58">
                  <v>0.004188762758222647</v>
                </pt>
                <pt idx="59">
                  <v>0</v>
                </pt>
                <pt idx="60">
                  <v>0</v>
                </pt>
                <pt idx="61">
                  <v>0.00424060342159847</v>
                </pt>
                <pt idx="62">
                  <v>0</v>
                </pt>
                <pt idx="63">
                  <v>0</v>
                </pt>
                <pt idx="64">
                  <v>0.00974947759961344</v>
                </pt>
                <pt idx="65">
                  <v>0</v>
                </pt>
                <pt idx="66">
                  <v>0</v>
                </pt>
                <pt idx="67">
                  <v>0.00429078685121109</v>
                </pt>
                <pt idx="68">
                  <v>0</v>
                </pt>
                <pt idx="69">
                  <v>0</v>
                </pt>
                <pt idx="70">
                  <v>0.005971158103858889</v>
                </pt>
                <pt idx="71">
                  <v>0</v>
                </pt>
                <pt idx="72">
                  <v>0</v>
                </pt>
                <pt idx="73">
                  <v>0.008992860346131965</v>
                </pt>
                <pt idx="74">
                  <v>0</v>
                </pt>
                <pt idx="75">
                  <v>0</v>
                </pt>
                <pt idx="76">
                  <v>-0.0003085770216993498</v>
                </pt>
                <pt idx="77">
                  <v>0</v>
                </pt>
                <pt idx="78">
                  <v>0</v>
                </pt>
                <pt idx="79">
                  <v>0.001521608173450129</v>
                </pt>
                <pt idx="80">
                  <v>0</v>
                </pt>
                <pt idx="81">
                  <v>0</v>
                </pt>
                <pt idx="82">
                  <v>-0.004149163311277379</v>
                </pt>
                <pt idx="83">
                  <v>0</v>
                </pt>
                <pt idx="84">
                  <v>0</v>
                </pt>
                <pt idx="85">
                  <v>-0.002069443629937232</v>
                </pt>
                <pt idx="86">
                  <v>0</v>
                </pt>
                <pt idx="87">
                  <v>0</v>
                </pt>
                <pt idx="88">
                  <v>-0.002810240153148669</v>
                </pt>
                <pt idx="89">
                  <v>0</v>
                </pt>
                <pt idx="90">
                  <v>0</v>
                </pt>
                <pt idx="91">
                  <v>-0.0008922523186748598</v>
                </pt>
                <pt idx="92">
                  <v>0</v>
                </pt>
                <pt idx="93">
                  <v>0</v>
                </pt>
                <pt idx="94">
                  <v>-0.004516196225050344</v>
                </pt>
                <pt idx="95">
                  <v>0</v>
                </pt>
                <pt idx="96">
                  <v>0</v>
                </pt>
                <pt idx="97">
                  <v>-0.003341359040126505</v>
                </pt>
                <pt idx="98">
                  <v>0</v>
                </pt>
                <pt idx="99">
                  <v>0</v>
                </pt>
                <pt idx="100">
                  <v>0.005171237888354539</v>
                </pt>
                <pt idx="101">
                  <v>0</v>
                </pt>
                <pt idx="102">
                  <v>0</v>
                </pt>
                <pt idx="103">
                  <v>0.003096605717098391</v>
                </pt>
                <pt idx="104">
                  <v>0</v>
                </pt>
                <pt idx="105">
                  <v>0</v>
                </pt>
                <pt idx="106">
                  <v>0.002852113090696769</v>
                </pt>
                <pt idx="107">
                  <v>0</v>
                </pt>
                <pt idx="108">
                  <v>0</v>
                </pt>
                <pt idx="109">
                  <v>0.004024538502711517</v>
                </pt>
                <pt idx="110">
                  <v>0</v>
                </pt>
                <pt idx="111">
                  <v>0</v>
                </pt>
                <pt idx="112">
                  <v>0.001991784822605514</v>
                </pt>
                <pt idx="113">
                  <v>0</v>
                </pt>
                <pt idx="114">
                  <v>0</v>
                </pt>
                <pt idx="115">
                  <v>0.004939600163193156</v>
                </pt>
                <pt idx="116">
                  <v>0</v>
                </pt>
                <pt idx="117">
                  <v>0</v>
                </pt>
                <pt idx="118">
                  <v>0.00368392526953091</v>
                </pt>
                <pt idx="119">
                  <v>0</v>
                </pt>
                <pt idx="120">
                  <v>0</v>
                </pt>
                <pt idx="121">
                  <v>0.006224090822477576</v>
                </pt>
                <pt idx="122">
                  <v>0</v>
                </pt>
                <pt idx="123">
                  <v>0</v>
                </pt>
                <pt idx="124">
                  <v>0.004558873405924271</v>
                </pt>
                <pt idx="125">
                  <v>0</v>
                </pt>
                <pt idx="126">
                  <v>0</v>
                </pt>
                <pt idx="127">
                  <v>0.004394535635046981</v>
                </pt>
                <pt idx="128">
                  <v>0</v>
                </pt>
                <pt idx="129">
                  <v>0</v>
                </pt>
                <pt idx="130">
                  <v>0.004590825333200707</v>
                </pt>
                <pt idx="131">
                  <v>0</v>
                </pt>
                <pt idx="132">
                  <v>0</v>
                </pt>
                <pt idx="133">
                  <v>0.005412459429406754</v>
                </pt>
                <pt idx="134">
                  <v>0</v>
                </pt>
                <pt idx="135">
                  <v>0</v>
                </pt>
                <pt idx="136">
                  <v>0.002203038595822876</v>
                </pt>
                <pt idx="137">
                  <v>0</v>
                </pt>
                <pt idx="138">
                  <v>0</v>
                </pt>
                <pt idx="139">
                  <v>0.005119587752825651</v>
                </pt>
                <pt idx="140">
                  <v>0</v>
                </pt>
                <pt idx="141">
                  <v>0</v>
                </pt>
                <pt idx="142">
                  <v>0.007314554255631152</v>
                </pt>
                <pt idx="143">
                  <v>0</v>
                </pt>
                <pt idx="144">
                  <v>0</v>
                </pt>
                <pt idx="145">
                  <v>0.00700431064125943</v>
                </pt>
                <pt idx="146">
                  <v>0</v>
                </pt>
                <pt idx="147">
                  <v>0</v>
                </pt>
                <pt idx="148">
                  <v>0.007626744400412115</v>
                </pt>
                <pt idx="149">
                  <v>0</v>
                </pt>
                <pt idx="150">
                  <v>0</v>
                </pt>
                <pt idx="151">
                  <v>0.008090551214647676</v>
                </pt>
                <pt idx="152">
                  <v>0</v>
                </pt>
                <pt idx="153">
                  <v>0</v>
                </pt>
                <pt idx="154">
                  <v>0.007873941935450657</v>
                </pt>
                <pt idx="155">
                  <v>0</v>
                </pt>
                <pt idx="156">
                  <v>0</v>
                </pt>
                <pt idx="157">
                  <v>0.0005338523778673076</v>
                </pt>
                <pt idx="158">
                  <v>0</v>
                </pt>
                <pt idx="159">
                  <v>0</v>
                </pt>
                <pt idx="160">
                  <v>0.004977474535151539</v>
                </pt>
                <pt idx="161">
                  <v>0</v>
                </pt>
                <pt idx="162">
                  <v>0</v>
                </pt>
                <pt idx="163">
                  <v>0.001080615017603164</v>
                </pt>
                <pt idx="164">
                  <v>0</v>
                </pt>
                <pt idx="165">
                  <v>0</v>
                </pt>
                <pt idx="166">
                  <v>0.005180822874175569</v>
                </pt>
                <pt idx="167">
                  <v>0</v>
                </pt>
                <pt idx="168">
                  <v>0</v>
                </pt>
                <pt idx="169">
                  <v>0.00745073842445826</v>
                </pt>
                <pt idx="170">
                  <v>0</v>
                </pt>
                <pt idx="171">
                  <v>0</v>
                </pt>
                <pt idx="172">
                  <v>0.002307604602165987</v>
                </pt>
                <pt idx="173">
                  <v>0</v>
                </pt>
                <pt idx="174">
                  <v>0</v>
                </pt>
                <pt idx="175">
                  <v>0.002806670165739273</v>
                </pt>
                <pt idx="176">
                  <v>0</v>
                </pt>
                <pt idx="177">
                  <v>0</v>
                </pt>
                <pt idx="178">
                  <v>-0.0008035412664089443</v>
                </pt>
                <pt idx="179">
                  <v>0</v>
                </pt>
                <pt idx="180">
                  <v>0</v>
                </pt>
                <pt idx="181">
                  <v>-0.03513217188477525</v>
                </pt>
                <pt idx="182">
                  <v>0</v>
                </pt>
                <pt idx="183">
                  <v>0</v>
                </pt>
                <pt idx="184">
                  <v>-0.1171453125759743</v>
                </pt>
                <pt idx="185">
                  <v>0</v>
                </pt>
                <pt idx="186">
                  <v>0</v>
                </pt>
                <pt idx="187">
                  <v>0.1280910547624244</v>
                </pt>
                <pt idx="188">
                  <v>0</v>
                </pt>
                <pt idx="189">
                  <v>0</v>
                </pt>
                <pt idx="190">
                  <v>-0.004119235975688952</v>
                </pt>
                <pt idx="191">
                  <v>0</v>
                </pt>
                <pt idx="192">
                  <v>0</v>
                </pt>
                <pt idx="193">
                  <v>-0.0009675948142924936</v>
                </pt>
                <pt idx="194">
                  <v>0</v>
                </pt>
                <pt idx="195">
                  <v>0</v>
                </pt>
                <pt idx="196">
                  <v>0.02062355013756476</v>
                </pt>
                <pt idx="197">
                  <v>0</v>
                </pt>
                <pt idx="198">
                  <v>0</v>
                </pt>
                <pt idx="199">
                  <v>0.02348450517496454</v>
                </pt>
                <pt idx="200">
                  <v>0</v>
                </pt>
                <pt idx="201">
                  <v>0</v>
                </pt>
                <pt idx="202">
                  <v>0.003906158540577391</v>
                </pt>
                <pt idx="203">
                  <v>0</v>
                </pt>
                <pt idx="204">
                  <v>0</v>
                </pt>
                <pt idx="205">
                  <v>0.004980507320315897</v>
                </pt>
                <pt idx="206">
                  <v>0</v>
                </pt>
                <pt idx="207">
                  <v>0</v>
                </pt>
                <pt idx="208">
                  <v>0.00627958051924693</v>
                </pt>
                <pt idx="209">
                  <v>0</v>
                </pt>
                <pt idx="210">
                  <v>0</v>
                </pt>
                <pt idx="211">
                  <v>0</v>
                </pt>
                <pt idx="212">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Area'!$A$6:$A$218</f>
              <numCache>
                <formatCode>m/d/yy</formatCode>
                <ptCount val="213"/>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numCache>
            </numRef>
          </cat>
          <val>
            <numRef>
              <f>'Euro Area'!$B$6:$B$218</f>
              <numCache>
                <formatCode>General</formatCode>
                <ptCount val="213"/>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Area'!$A$6:$A$218</f>
              <numCache>
                <formatCode>m/d/yy</formatCode>
                <ptCount val="213"/>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numCache>
            </numRef>
          </cat>
          <val>
            <numRef>
              <f>'Euro Area'!$B$6:$B$218</f>
              <numCache>
                <formatCode>General</formatCode>
                <ptCount val="213"/>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Japan!$A$6:$A$181</f>
              <numCache>
                <formatCode>m/d/yy</formatCode>
                <ptCount val="176"/>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pt idx="173">
                  <v>44743</v>
                </pt>
                <pt idx="174">
                  <v>44774</v>
                </pt>
              </numCache>
            </numRef>
          </cat>
          <val>
            <numRef>
              <f>Japan!$B$6:$B$181</f>
              <numCache>
                <formatCode>General</formatCode>
                <ptCount val="176"/>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pt idx="173">
                  <v>52.1</v>
                </pt>
                <pt idx="174">
                  <v>51.5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Germany!$A$6:$A$181</f>
              <numCache>
                <formatCode>m/d/yy</formatCode>
                <ptCount val="176"/>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pt idx="174">
                  <v>44743</v>
                </pt>
                <pt idx="175">
                  <v>44774</v>
                </pt>
              </numCache>
            </numRef>
          </cat>
          <val>
            <numRef>
              <f>Germany!$B$6:$B$181</f>
              <numCache>
                <formatCode>General</formatCode>
                <ptCount val="176"/>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pt idx="174">
                  <v>49.3</v>
                </pt>
                <pt idx="175">
                  <v>49.1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France!$A$6:$A$174</f>
              <numCache>
                <formatCode>m/d/yy</formatCode>
                <ptCount val="169"/>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numCache>
            </numRef>
          </cat>
          <val>
            <numRef>
              <f>France!$B$6:$B$174</f>
              <numCache>
                <formatCode>General</formatCode>
                <ptCount val="169"/>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pt idx="167">
                  <v>49.5</v>
                </pt>
                <pt idx="168">
                  <v>50.6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UK!$A$18:$A$223</f>
              <numCache>
                <formatCode>m/d/yy</formatCode>
                <ptCount val="206"/>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numCache>
            </numRef>
          </cat>
          <val>
            <numRef>
              <f>UK!$B$18:$B$223</f>
              <numCache>
                <formatCode>General</formatCode>
                <ptCount val="206"/>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pt idx="199">
                  <v>52.1</v>
                </pt>
                <pt idx="200">
                  <v>47.3</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UK!$A$18:$A$223</f>
              <numCache>
                <formatCode>m/d/yy</formatCode>
                <ptCount val="206"/>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numCache>
            </numRef>
          </cat>
          <val>
            <numRef>
              <f>UK!$D$18:$D$223</f>
              <numCache>
                <formatCode>0.00</formatCode>
                <ptCount val="206"/>
                <pt idx="0">
                  <v>37.15999984741211</v>
                </pt>
                <pt idx="1">
                  <v>39.41999816894531</v>
                </pt>
                <pt idx="2">
                  <v>39.20000076293945</v>
                </pt>
                <pt idx="3">
                  <v>40.31999969482422</v>
                </pt>
                <pt idx="4">
                  <v>42.90000152587891</v>
                </pt>
                <pt idx="5">
                  <v>41.7599983215332</v>
                </pt>
                <pt idx="6">
                  <v>42.09999847412109</v>
                </pt>
                <pt idx="7">
                  <v>43.20000076293945</v>
                </pt>
                <pt idx="8">
                  <v>44.13999938964844</v>
                </pt>
                <pt idx="9">
                  <v>43.77999877929688</v>
                </pt>
                <pt idx="10">
                  <v>45.79999923706055</v>
                </pt>
                <pt idx="11">
                  <v>47.09999847412109</v>
                </pt>
                <pt idx="12">
                  <v>46.81999969482422</v>
                </pt>
                <pt idx="13">
                  <v>47.13999938964844</v>
                </pt>
                <pt idx="14">
                  <v>46.43999862670898</v>
                </pt>
                <pt idx="15">
                  <v>48.13999938964844</v>
                </pt>
                <pt idx="16">
                  <v>49.70000076293945</v>
                </pt>
                <pt idx="17">
                  <v>50.7599983215332</v>
                </pt>
                <pt idx="18">
                  <v>51.09999847412109</v>
                </pt>
                <pt idx="19">
                  <v>49.38000106811523</v>
                </pt>
                <pt idx="20">
                  <v>49.47999954223633</v>
                </pt>
                <pt idx="21">
                  <v>51.45999908447266</v>
                </pt>
                <pt idx="22">
                  <v>54.43999862670898</v>
                </pt>
                <pt idx="23">
                  <v>51.2400016784668</v>
                </pt>
                <pt idx="24">
                  <v>48.15999984741211</v>
                </pt>
                <pt idx="25">
                  <v>44.31999969482422</v>
                </pt>
                <pt idx="26">
                  <v>43.79999923706055</v>
                </pt>
                <pt idx="27">
                  <v>43.11999893188477</v>
                </pt>
                <pt idx="28">
                  <v>45.68000030517578</v>
                </pt>
                <pt idx="29">
                  <v>45.58000183105469</v>
                </pt>
                <pt idx="30">
                  <v>41.43999862670898</v>
                </pt>
                <pt idx="31">
                  <v>39.7400016784668</v>
                </pt>
                <pt idx="32">
                  <v>38.40000152587891</v>
                </pt>
                <pt idx="33">
                  <v>33.29999923706055</v>
                </pt>
                <pt idx="34">
                  <v>26.71999931335449</v>
                </pt>
                <pt idx="35">
                  <v>25</v>
                </pt>
                <pt idx="36">
                  <v>24.5</v>
                </pt>
                <pt idx="37">
                  <v>22.20000076293945</v>
                </pt>
                <pt idx="38">
                  <v>20.04000091552734</v>
                </pt>
                <pt idx="39">
                  <v>20.95999908447266</v>
                </pt>
                <pt idx="40">
                  <v>23.45999908447266</v>
                </pt>
                <pt idx="41">
                  <v>27.45999908447266</v>
                </pt>
                <pt idx="42">
                  <v>26.42000007629395</v>
                </pt>
                <pt idx="43">
                  <v>28.65999984741211</v>
                </pt>
                <pt idx="44">
                  <v>29.89999961853027</v>
                </pt>
                <pt idx="45">
                  <v>31.02000045776367</v>
                </pt>
                <pt idx="46">
                  <v>30.97999954223633</v>
                </pt>
                <pt idx="47">
                  <v>32.54000091552734</v>
                </pt>
                <pt idx="48">
                  <v>32.40000152587891</v>
                </pt>
                <pt idx="49">
                  <v>30.86000061035156</v>
                </pt>
                <pt idx="50">
                  <v>30.60000038146973</v>
                </pt>
                <pt idx="51">
                  <v>32.54000091552734</v>
                </pt>
                <pt idx="52">
                  <v>31.84000015258789</v>
                </pt>
                <pt idx="53">
                  <v>28.34000015258789</v>
                </pt>
                <pt idx="54">
                  <v>26.8799991607666</v>
                </pt>
                <pt idx="55">
                  <v>30.78000068664551</v>
                </pt>
                <pt idx="56">
                  <v>29.92000007629395</v>
                </pt>
                <pt idx="57">
                  <v>32.72000122070312</v>
                </pt>
                <pt idx="58">
                  <v>34.09999847412109</v>
                </pt>
                <pt idx="59">
                  <v>32.31999969482422</v>
                </pt>
                <pt idx="60">
                  <v>34.7400016784668</v>
                </pt>
                <pt idx="61">
                  <v>35.11999893188477</v>
                </pt>
                <pt idx="62">
                  <v>36.72000122070312</v>
                </pt>
                <pt idx="63">
                  <v>35.81999969482422</v>
                </pt>
                <pt idx="64">
                  <v>38.22000122070312</v>
                </pt>
                <pt idx="65">
                  <v>37.31999969482422</v>
                </pt>
                <pt idx="66">
                  <v>35.61999893188477</v>
                </pt>
                <pt idx="67">
                  <v>35.47999954223633</v>
                </pt>
                <pt idx="68">
                  <v>32.7599983215332</v>
                </pt>
                <pt idx="69">
                  <v>29.54000091552734</v>
                </pt>
                <pt idx="70">
                  <v>33.36000061035156</v>
                </pt>
                <pt idx="71">
                  <v>32.81999969482422</v>
                </pt>
                <pt idx="72">
                  <v>32.31999969482422</v>
                </pt>
                <pt idx="73">
                  <v>33.36000061035156</v>
                </pt>
                <pt idx="74">
                  <v>35.06000137329102</v>
                </pt>
                <pt idx="75">
                  <v>34.59999847412109</v>
                </pt>
                <pt idx="76">
                  <v>35.09999847412109</v>
                </pt>
                <pt idx="77">
                  <v>31.10000038146973</v>
                </pt>
                <pt idx="78">
                  <v>32.58000183105469</v>
                </pt>
                <pt idx="79">
                  <v>32.86000061035156</v>
                </pt>
                <pt idx="80">
                  <v>33.93999862670898</v>
                </pt>
                <pt idx="81">
                  <v>34.79999923706055</v>
                </pt>
                <pt idx="82">
                  <v>34.95999908447266</v>
                </pt>
                <pt idx="83">
                  <v>35.36000061035156</v>
                </pt>
                <pt idx="84">
                  <v>35.88000106811523</v>
                </pt>
                <pt idx="85">
                  <v>36.93999862670898</v>
                </pt>
                <pt idx="86">
                  <v>35.93999862670898</v>
                </pt>
                <pt idx="87">
                  <v>36.54000091552734</v>
                </pt>
                <pt idx="88">
                  <v>37.58000183105469</v>
                </pt>
                <pt idx="89">
                  <v>37.54000091552734</v>
                </pt>
                <pt idx="90">
                  <v>35.31999969482422</v>
                </pt>
                <pt idx="91">
                  <v>37.58000183105469</v>
                </pt>
                <pt idx="92">
                  <v>37.29999923706055</v>
                </pt>
                <pt idx="93">
                  <v>39.2400016784668</v>
                </pt>
                <pt idx="94">
                  <v>40.70000076293945</v>
                </pt>
                <pt idx="95">
                  <v>41.02000045776367</v>
                </pt>
                <pt idx="96">
                  <v>41.7599983215332</v>
                </pt>
                <pt idx="97">
                  <v>39.81999969482422</v>
                </pt>
                <pt idx="98">
                  <v>42.52000045776367</v>
                </pt>
                <pt idx="99">
                  <v>41.18000030517578</v>
                </pt>
                <pt idx="100">
                  <v>43.04000091552734</v>
                </pt>
                <pt idx="101">
                  <v>43.45999908447266</v>
                </pt>
                <pt idx="102">
                  <v>41.7599983215332</v>
                </pt>
                <pt idx="103">
                  <v>40.7599983215332</v>
                </pt>
                <pt idx="104">
                  <v>41.08000183105469</v>
                </pt>
                <pt idx="105">
                  <v>38.7599983215332</v>
                </pt>
                <pt idx="106">
                  <v>38.02000045776367</v>
                </pt>
                <pt idx="107">
                  <v>38.06000137329102</v>
                </pt>
                <pt idx="108">
                  <v>36.06000137329102</v>
                </pt>
                <pt idx="109">
                  <v>36.08000183105469</v>
                </pt>
                <pt idx="110">
                  <v>38.20000076293945</v>
                </pt>
                <pt idx="111">
                  <v>36.02000045776367</v>
                </pt>
                <pt idx="112">
                  <v>38.41999816894531</v>
                </pt>
                <pt idx="113">
                  <v>38.65999984741211</v>
                </pt>
                <pt idx="114">
                  <v>36.5</v>
                </pt>
                <pt idx="115">
                  <v>37.08000183105469</v>
                </pt>
                <pt idx="116">
                  <v>34.11999893188477</v>
                </pt>
                <pt idx="117">
                  <v>32.77999877929688</v>
                </pt>
                <pt idx="118">
                  <v>34.93999862670898</v>
                </pt>
                <pt idx="119">
                  <v>34.36000061035156</v>
                </pt>
                <pt idx="120">
                  <v>32.27999877929688</v>
                </pt>
                <pt idx="121">
                  <v>30.71999931335449</v>
                </pt>
                <pt idx="122">
                  <v>29.76000022888184</v>
                </pt>
                <pt idx="123">
                  <v>31.36000061035156</v>
                </pt>
                <pt idx="124">
                  <v>32.61999893188477</v>
                </pt>
                <pt idx="125">
                  <v>32.2400016784668</v>
                </pt>
                <pt idx="126">
                  <v>30.73999977111816</v>
                </pt>
                <pt idx="127">
                  <v>31.20000076293945</v>
                </pt>
                <pt idx="128">
                  <v>31.54000091552734</v>
                </pt>
                <pt idx="129">
                  <v>31.68000030517578</v>
                </pt>
                <pt idx="130">
                  <v>30</v>
                </pt>
                <pt idx="131">
                  <v>30.05999946594238</v>
                </pt>
                <pt idx="132">
                  <v>30.69000053405762</v>
                </pt>
                <pt idx="133">
                  <v>31.45000076293945</v>
                </pt>
                <pt idx="134">
                  <v>31.90999984741211</v>
                </pt>
                <pt idx="135">
                  <v>32.54999923706055</v>
                </pt>
                <pt idx="136">
                  <v>33.09999847412109</v>
                </pt>
                <pt idx="137">
                  <v>34.61000061035156</v>
                </pt>
                <pt idx="138">
                  <v>33.33000183105469</v>
                </pt>
                <pt idx="139">
                  <v>34.11999893188477</v>
                </pt>
                <pt idx="140">
                  <v>33.84000015258789</v>
                </pt>
                <pt idx="141">
                  <v>34.84999847412109</v>
                </pt>
                <pt idx="142">
                  <v>35.06000137329102</v>
                </pt>
                <pt idx="143">
                  <v>35.02000045776367</v>
                </pt>
                <pt idx="144">
                  <v>35.81999969482422</v>
                </pt>
                <pt idx="145">
                  <v>37.15999984741211</v>
                </pt>
                <pt idx="146">
                  <v>34.66999816894531</v>
                </pt>
                <pt idx="147">
                  <v>34.75</v>
                </pt>
                <pt idx="148">
                  <v>36.25</v>
                </pt>
                <pt idx="149">
                  <v>36.02999877929688</v>
                </pt>
                <pt idx="150">
                  <v>34.77999877929688</v>
                </pt>
                <pt idx="151">
                  <v>35.11000061035156</v>
                </pt>
                <pt idx="152">
                  <v>33.56999969482422</v>
                </pt>
                <pt idx="153">
                  <v>34.11999893188477</v>
                </pt>
                <pt idx="154">
                  <v>31.80999946594238</v>
                </pt>
                <pt idx="155">
                  <v>31.43000030517578</v>
                </pt>
                <pt idx="156">
                  <v>29.35000038146973</v>
                </pt>
                <pt idx="157">
                  <v>31.48999977111816</v>
                </pt>
                <pt idx="158">
                  <v>32.56999969482422</v>
                </pt>
                <pt idx="159">
                  <v>33.0099983215332</v>
                </pt>
                <pt idx="160">
                  <v>33.7599983215332</v>
                </pt>
                <pt idx="161">
                  <v>31.69000053405762</v>
                </pt>
                <pt idx="162">
                  <v>32.31999969482422</v>
                </pt>
                <pt idx="163">
                  <v>31.54000091552734</v>
                </pt>
                <pt idx="164">
                  <v>30.34000015258789</v>
                </pt>
                <pt idx="165">
                  <v>31.43000030517578</v>
                </pt>
                <pt idx="166">
                  <v>32.52999877929688</v>
                </pt>
                <pt idx="167">
                  <v>32.93000030517578</v>
                </pt>
                <pt idx="168">
                  <v>34.09999847412109</v>
                </pt>
                <pt idx="169">
                  <v>32.63999938964844</v>
                </pt>
                <pt idx="170">
                  <v>29.29999923706055</v>
                </pt>
                <pt idx="171">
                  <v>23.8799991607666</v>
                </pt>
                <pt idx="172">
                  <v>25.25</v>
                </pt>
                <pt idx="173">
                  <v>25.72999954223633</v>
                </pt>
                <pt idx="174">
                  <v>25.76000022888184</v>
                </pt>
                <pt idx="175">
                  <v>25.93000030517578</v>
                </pt>
                <pt idx="176">
                  <v>26.63999938964844</v>
                </pt>
                <pt idx="177">
                  <v>25.48999977111816</v>
                </pt>
                <pt idx="178">
                  <v>24.34000015258789</v>
                </pt>
                <pt idx="179">
                  <v>28.26000022888184</v>
                </pt>
                <pt idx="180">
                  <v>29.29000091552734</v>
                </pt>
                <pt idx="181">
                  <v>29.21999931335449</v>
                </pt>
                <pt idx="182">
                  <v>30.3700008392334</v>
                </pt>
                <pt idx="183">
                  <v>31.30999946594238</v>
                </pt>
                <pt idx="184">
                  <v>32.52999877929688</v>
                </pt>
                <pt idx="185">
                  <v>33.79000091552734</v>
                </pt>
                <pt idx="186">
                  <v>32.70000076293945</v>
                </pt>
                <pt idx="187">
                  <v>32.79000091552734</v>
                </pt>
                <pt idx="188">
                  <v>33.0099983215332</v>
                </pt>
                <pt idx="189">
                  <v>32.25</v>
                </pt>
                <pt idx="190">
                  <v>33.68000030517578</v>
                </pt>
                <pt idx="191">
                  <v>32.04000091552734</v>
                </pt>
                <pt idx="192">
                  <v>33.13999938964844</v>
                </pt>
                <pt idx="193">
                  <v>33.88999938964844</v>
                </pt>
                <pt idx="194">
                  <v>33.4900016784668</v>
                </pt>
                <pt idx="195">
                  <v>33.63999938964844</v>
                </pt>
                <pt idx="196">
                  <v>32.29999923706055</v>
                </pt>
                <pt idx="197">
                  <v>33.16999816894531</v>
                </pt>
                <pt idx="198">
                  <v>29.95999908447266</v>
                </pt>
                <pt idx="199">
                  <v>30.90999984741211</v>
                </pt>
                <pt idx="200">
                  <v>28.90999984741211</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UK!$A$6:$A$218</f>
              <numCache>
                <formatCode>m/d/yy</formatCode>
                <ptCount val="213"/>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numCache>
            </numRef>
          </cat>
          <val>
            <numRef>
              <f>UK!$B$6:$B$218</f>
              <numCache>
                <formatCode>General</formatCode>
                <ptCount val="213"/>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pt idx="211">
                  <v>52.1</v>
                </pt>
                <pt idx="212">
                  <v>47.3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Italy!$A$6:$A$194</f>
              <numCache>
                <formatCode>m/d/yy</formatCode>
                <ptCount val="189"/>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numCache>
            </numRef>
          </cat>
          <val>
            <numRef>
              <f>Italy!$B$6:$B$194</f>
              <numCache>
                <formatCode>General</formatCode>
                <ptCount val="189"/>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pt idx="187">
                  <v>48.5</v>
                </pt>
                <pt idx="188">
                  <v>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Spain!$A$6:$A$194</f>
              <numCache>
                <formatCode>m/d/yy</formatCode>
                <ptCount val="189"/>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numCache>
            </numRef>
          </cat>
          <val>
            <numRef>
              <f>Spain!$B$6:$B$194</f>
              <numCache>
                <formatCode>General</formatCode>
                <ptCount val="189"/>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pt idx="187">
                  <v>48.7</v>
                </pt>
                <pt idx="188">
                  <v>49.9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Brazil!$B$6:$B$148</f>
              <numCache>
                <formatCode>General</formatCode>
                <ptCount val="143"/>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pt idx="141">
                  <v>54</v>
                </pt>
                <pt idx="142">
                  <v>51.9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Mexico!$A$6:$A$142</f>
              <numCache>
                <formatCode>m/d/yy</formatCode>
                <ptCount val="137"/>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numCache>
            </numRef>
          </cat>
          <val>
            <numRef>
              <f>Mexico!$B$6:$B$142</f>
              <numCache>
                <formatCode>General</formatCode>
                <ptCount val="137"/>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pt idx="135">
                  <v>48.5</v>
                </pt>
                <pt idx="136">
                  <v>48.5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Russia!$B$6:$B$148</f>
              <numCache>
                <formatCode>General</formatCode>
                <ptCount val="143"/>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pt idx="141">
                  <v>50.3</v>
                </pt>
                <pt idx="142">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India!$B$6:$B$148</f>
              <numCache>
                <formatCode>General</formatCode>
                <ptCount val="143"/>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pt idx="141">
                  <v>56.4</v>
                </pt>
                <pt idx="142">
                  <v>56.2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Canada!$A$6:$A$142</f>
              <numCache>
                <formatCode>m/d/yy</formatCode>
                <ptCount val="137"/>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numCache>
            </numRef>
          </cat>
          <val>
            <numRef>
              <f>Canada!$B$6:$B$142</f>
              <numCache>
                <formatCode>General</formatCode>
                <ptCount val="137"/>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pt idx="135">
                  <v>52.5</v>
                </pt>
                <pt idx="136">
                  <v>48.7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Australia!$A$6:$A$177</f>
              <numCache>
                <formatCode>m/d/yy</formatCode>
                <ptCount val="172"/>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pt idx="170">
                  <v>44743</v>
                </pt>
                <pt idx="171">
                  <v>44774</v>
                </pt>
              </numCache>
            </numRef>
          </cat>
          <val>
            <numRef>
              <f>Australia!$B$6:$B$177</f>
              <numCache>
                <formatCode>General</formatCode>
                <ptCount val="172"/>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pt idx="170">
                  <v>52.5</v>
                </pt>
                <pt idx="171">
                  <v>49.3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Indonesia!$A$6:$A$142</f>
              <numCache>
                <formatCode>m/d/yy</formatCode>
                <ptCount val="137"/>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numCache>
            </numRef>
          </cat>
          <val>
            <numRef>
              <f>Indonesia!$B$6:$B$142</f>
              <numCache>
                <formatCode>General</formatCode>
                <ptCount val="137"/>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pt idx="135">
                  <v>51.3</v>
                </pt>
                <pt idx="136">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SouthKorea!$A$6:$A$146</f>
              <numCache>
                <formatCode>m/d/yy</formatCode>
                <ptCount val="141"/>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pt idx="139">
                  <v>44743</v>
                </pt>
                <pt idx="140">
                  <v>44774</v>
                </pt>
              </numCache>
            </numRef>
          </cat>
          <val>
            <numRef>
              <f>SouthKorea!$B$6:$B$146</f>
              <numCache>
                <formatCode>General</formatCode>
                <ptCount val="141"/>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pt idx="139">
                  <v>49.8</v>
                </pt>
                <pt idx="140">
                  <v>47.6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Taiwan!$B$6:$B$148</f>
              <numCache>
                <formatCode>General</formatCode>
                <ptCount val="143"/>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pt idx="141">
                  <v>44.6</v>
                </pt>
                <pt idx="142">
                  <v>42.7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Greece!$A$6:$A$148</f>
              <numCache>
                <formatCode>m/d/yy</formatCode>
                <ptCount val="143"/>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Greece!$B$6:$B$148</f>
              <numCache>
                <formatCode>General</formatCode>
                <ptCount val="143"/>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pt idx="141">
                  <v>49.1</v>
                </pt>
                <pt idx="142">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Ireland!$B$6:$B$148</f>
              <numCache>
                <formatCode>General</formatCode>
                <ptCount val="143"/>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pt idx="141">
                  <v>51.8</v>
                </pt>
                <pt idx="142">
                  <v>51.1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Turkey!$B$6:$B$148</f>
              <numCache>
                <formatCode>General</formatCode>
                <ptCount val="143"/>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pt idx="141">
                  <v>46.9</v>
                </pt>
                <pt idx="142">
                  <v>47.4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CzechRepublic!$B$6:$B$148</f>
              <numCache>
                <formatCode>General</formatCode>
                <ptCount val="143"/>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pt idx="141">
                  <v>46.8</v>
                </pt>
                <pt idx="142">
                  <v>46.8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Poland!$A$6:$A$148</f>
              <numCache>
                <formatCode>m/d/yy</formatCode>
                <ptCount val="143"/>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numCache>
            </numRef>
          </cat>
          <val>
            <numRef>
              <f>Poland!$B$6:$B$148</f>
              <numCache>
                <formatCode>General</formatCode>
                <ptCount val="143"/>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pt idx="141">
                  <v>42.1</v>
                </pt>
                <pt idx="142">
                  <v>40.9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Denmark!$A$6:$A$349</f>
              <numCache>
                <formatCode>m/d/yy</formatCode>
                <ptCount val="344"/>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pt idx="342">
                  <v>44743</v>
                </pt>
                <pt idx="343">
                  <v>44774</v>
                </pt>
              </numCache>
            </numRef>
          </cat>
          <val>
            <numRef>
              <f>Denmark!$B$6:$B$349</f>
              <numCache>
                <formatCode>General</formatCode>
                <ptCount val="344"/>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pt idx="342">
                  <v>38</v>
                </pt>
                <pt idx="343">
                  <v>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Vietnam!$A$6:$A$127</f>
              <numCache>
                <formatCode>m/d/yy</formatCode>
                <ptCount val="122"/>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numCache>
            </numRef>
          </cat>
          <val>
            <numRef>
              <f>Vietnam!$B$6:$B$127</f>
              <numCache>
                <formatCode>General</formatCode>
                <ptCount val="122"/>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pt idx="120">
                  <v>51.2</v>
                </pt>
                <pt idx="121">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Thailand!$A$6:$A$79</f>
              <numCache>
                <formatCode>m/d/yy</formatCode>
                <ptCount val="74"/>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pt idx="72">
                  <v>44743</v>
                </pt>
                <pt idx="73">
                  <v>44774</v>
                </pt>
              </numCache>
            </numRef>
          </cat>
          <val>
            <numRef>
              <f>Thailand!$B$6:$B$79</f>
              <numCache>
                <formatCode>General</formatCode>
                <ptCount val="74"/>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pt idx="72">
                  <v>52.4</v>
                </pt>
                <pt idx="73">
                  <v>53.7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Africa'!$A$6:$A$277</f>
              <numCache>
                <formatCode>m/d/yy</formatCode>
                <ptCount val="27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numCache>
            </numRef>
          </cat>
          <val>
            <numRef>
              <f>'South Africa'!$B$6:$B$277</f>
              <numCache>
                <formatCode>General</formatCode>
                <ptCount val="272"/>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pt idx="270">
                  <v>47.6</v>
                </pt>
                <pt idx="271">
                  <v>52.1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Kong'!$A$6:$A$128</f>
              <numCache>
                <formatCode>m/d/yy</formatCode>
                <ptCount val="123"/>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pt idx="121">
                  <v>44743</v>
                </pt>
                <pt idx="122">
                  <v>44774</v>
                </pt>
              </numCache>
            </numRef>
          </cat>
          <val>
            <numRef>
              <f>'Hong Kong'!$B$6:$B$128</f>
              <numCache>
                <formatCode>General</formatCode>
                <ptCount val="123"/>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pt idx="121">
                  <v>52.3</v>
                </pt>
                <pt idx="122">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Arabia'!$A$6:$A$94</f>
              <numCache>
                <formatCode>m/d/yy</formatCode>
                <ptCount val="89"/>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pt idx="87">
                  <v>44743</v>
                </pt>
                <pt idx="88">
                  <v>44774</v>
                </pt>
              </numCache>
            </numRef>
          </cat>
          <val>
            <numRef>
              <f>'Saudi Arabia'!$B$6:$B$94</f>
              <numCache>
                <formatCode>General</formatCode>
                <ptCount val="89"/>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pt idx="87">
                  <v>56.3</v>
                </pt>
                <pt idx="88">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NewZealand!$A$6:$A$246</f>
              <numCache>
                <formatCode>m/d/yy</formatCode>
                <ptCount val="241"/>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pt idx="239">
                  <v>44743</v>
                </pt>
                <pt idx="240">
                  <v>44774</v>
                </pt>
              </numCache>
            </numRef>
          </cat>
          <val>
            <numRef>
              <f>NewZealand!$B$6:$B$246</f>
              <numCache>
                <formatCode>0.00</formatCode>
                <ptCount val="241"/>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pt idx="239">
                  <v>52.7</v>
                </pt>
                <pt idx="240">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298449</colOff>
      <row>151</row>
      <rowOff>111126</rowOff>
    </from>
    <to>
      <col>13</col>
      <colOff>396874</colOff>
      <row>176</row>
      <rowOff>93663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241300</colOff>
      <row>127</row>
      <rowOff>134938</rowOff>
    </from>
    <to>
      <col>12</col>
      <colOff>0</colOff>
      <row>148</row>
      <rowOff>26988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481013</colOff>
      <row>326</row>
      <rowOff>0</rowOff>
    </from>
    <to>
      <col>13</col>
      <colOff>531813</colOff>
      <row>348</row>
      <rowOff>182563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61" dataDxfId="259" headerRowBorderDxfId="260" tableBorderDxfId="258" totalsRowBorderDxfId="257">
  <autoFilter ref="A5:F146"/>
  <tableColumns count="6">
    <tableColumn id="1" name="Date" dataDxfId="256"/>
    <tableColumn id="2" name="PMI" dataDxfId="255">
      <calculatedColumnFormula>IF(VLOOKUP(Table1[[#This Row],[Date]],'DB Global PMI'!$A:$F,2)=0,"",VLOOKUP(Table1[[#This Row],[Date]],'DB Global PMI'!$A:$F,2))</calculatedColumnFormula>
    </tableColumn>
    <tableColumn id="3" name="mom" dataDxfId="254">
      <calculatedColumnFormula>Table1[[#This Row],[PMI]]-B5</calculatedColumnFormula>
    </tableColumn>
    <tableColumn id="4" name="ACWI" dataDxfId="253">
      <calculatedColumnFormula>IF(VLOOKUP(Table1[[#This Row],[Date]],'DB Global PMI'!$A:$F,3)=0,"",VLOOKUP(Table1[[#This Row],[Date]],'DB Global PMI'!$A:$F,3))</calculatedColumnFormula>
    </tableColumn>
    <tableColumn id="5" name="PMI yoy" dataDxfId="252"/>
    <tableColumn id="6" name="ACWI yoy" dataDxfId="25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8" headerRowCount="1" totalsRowShown="0" headerRowDxfId="250" dataDxfId="248" headerRowBorderDxfId="249" tableBorderDxfId="247" totalsRowBorderDxfId="246">
  <autoFilter ref="A5:D148"/>
  <tableColumns count="4">
    <tableColumn id="1" name="Date" dataDxfId="245"/>
    <tableColumn id="2" name="PMI" dataDxfId="244">
      <calculatedColumnFormula>IF(VLOOKUP(A6,'DB Country PMI'!$A:$AZ,MATCH($A$1,'DB Country PMI'!$A$1:$AZ$1,),)=0,#N/A,VLOOKUP(A6,'DB Country PMI'!$A:$AZ,MATCH($A$1,'DB Country PMI'!$A$1:$AZ$1,),))</calculatedColumnFormula>
    </tableColumn>
    <tableColumn id="3" name="mom" dataDxfId="243">
      <calculatedColumnFormula>Table1346811[[#This Row],[PMI]]-B5</calculatedColumnFormula>
    </tableColumn>
    <tableColumn id="4"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7" headerRowCount="1" totalsRowShown="0" headerRowDxfId="241" dataDxfId="239" headerRowBorderDxfId="240" tableBorderDxfId="238" totalsRowBorderDxfId="237">
  <autoFilter ref="A5:F217"/>
  <tableColumns count="6">
    <tableColumn id="1" name="Date" dataDxfId="236"/>
    <tableColumn id="2" name="Caixin PMI" dataDxfId="235">
      <calculatedColumnFormula>IF(VLOOKUP(A6,'DB Country PMI'!$A:$AZ,MATCH($A$2,'DB Country PMI'!$A$1:$AZ$1,),)=0,#N/A,VLOOKUP(A6,'DB Country PMI'!$A:$AZ,MATCH($A$2,'DB Country PMI'!$A$1:$AZ$1,),))</calculatedColumnFormula>
    </tableColumn>
    <tableColumn id="3" name="mom" dataDxfId="234">
      <calculatedColumnFormula>Table1346811121415161718192021[[#This Row],[Caixin PMI]]-B5</calculatedColumnFormula>
    </tableColumn>
    <tableColumn id="4" name="Official PMI" dataDxfId="233">
      <calculatedColumnFormula>IF(VLOOKUP(Table1346811121415161718192021[[#This Row],[Date]],'DB China Official PMI'!$A:$C,2)=0,#N/A,VLOOKUP(Table1346811121415161718192021[[#This Row],[Date]],'DB China Official PMI'!$A:$C,2))</calculatedColumnFormula>
    </tableColumn>
    <tableColumn id="5" name="mom2" dataDxfId="232">
      <calculatedColumnFormula>Table1346811121415161718192021[[#This Row],[Official PMI]]-D5</calculatedColumnFormula>
    </tableColumn>
    <tableColumn id="6"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8" headerRowCount="1" totalsRowShown="0" headerRowDxfId="230" dataDxfId="228" headerRowBorderDxfId="229" tableBorderDxfId="227" totalsRowBorderDxfId="226">
  <autoFilter ref="A5:G218"/>
  <tableColumns count="7">
    <tableColumn id="1" name="Date" dataDxfId="225"/>
    <tableColumn id="2" name="Euro Area PMI" dataDxfId="224">
      <calculatedColumnFormula>IF(VLOOKUP(A6,'DB Country PMI'!$A:$AZ,MATCH($A$1,'DB Country PMI'!$A$1:$AZ$1,),)=0,#N/A,VLOOKUP(A6,'DB Country PMI'!$A:$AZ,MATCH($A$1,'DB Country PMI'!$A$1:$AZ$1,),))</calculatedColumnFormula>
    </tableColumn>
    <tableColumn id="3" name="mom" dataDxfId="223">
      <calculatedColumnFormula>Table13468111214[[#This Row],[Euro Area PMI]]-B5</calculatedColumnFormula>
    </tableColumn>
    <tableColumn id="4" name="EZU" dataDxfId="222">
      <calculatedColumnFormula>IF(VLOOKUP(Table13468111214[[#This Row],[Date]],'DB Global PMI'!$A:$F,4)=0,#N/A,VLOOKUP(Table13468111214[[#This Row],[Date]],'DB Global PMI'!$A:$F,4))</calculatedColumnFormula>
    </tableColumn>
    <tableColumn id="5" name="PMI yoy" dataDxfId="221"/>
    <tableColumn id="6" name="EZU yoy" dataDxfId="220"/>
    <tableColumn id="7"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80" headerRowCount="1" totalsRowShown="0" headerRowDxfId="218" dataDxfId="216" headerRowBorderDxfId="217" tableBorderDxfId="215" totalsRowBorderDxfId="214">
  <autoFilter ref="A5:C180"/>
  <tableColumns count="3">
    <tableColumn id="1" name="Date" dataDxfId="213"/>
    <tableColumn id="2" name="PMI" dataDxfId="212">
      <calculatedColumnFormula>IF(VLOOKUP(A6,'DB Country PMI'!$A:$AZ,MATCH($A$1,'DB Country PMI'!$A$1:$AZ$1,),)=0,#N/A,VLOOKUP(A6,'DB Country PMI'!$A:$AZ,MATCH($A$1,'DB Country PMI'!$A$1:$AZ$1,),))</calculatedColumnFormula>
    </tableColumn>
    <tableColumn id="3"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81" headerRowCount="1" totalsRowShown="0" headerRowDxfId="210" dataDxfId="208" headerRowBorderDxfId="209" tableBorderDxfId="207" totalsRowBorderDxfId="206">
  <autoFilter ref="A5:C181"/>
  <tableColumns count="3">
    <tableColumn id="1" name="Date" dataDxfId="205"/>
    <tableColumn id="2" name="PMI" dataDxfId="204">
      <calculatedColumnFormula>IF(VLOOKUP(A6,'DB Country PMI'!$A:$AZ,MATCH($A$1,'DB Country PMI'!$A$1:$AZ$1,),)=0,#N/A,VLOOKUP(A6,'DB Country PMI'!$A:$AZ,MATCH($A$1,'DB Country PMI'!$A$1:$AZ$1,),))</calculatedColumnFormula>
    </tableColumn>
    <tableColumn id="3"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74" headerRowCount="1" totalsRowShown="0" headerRowDxfId="202" dataDxfId="200" headerRowBorderDxfId="201" tableBorderDxfId="199" totalsRowBorderDxfId="198">
  <autoFilter ref="A5:C174"/>
  <tableColumns count="3">
    <tableColumn id="1" name="Date" dataDxfId="197"/>
    <tableColumn id="2" name="PMI" dataDxfId="196">
      <calculatedColumnFormula>IF(VLOOKUP(A6,'DB Country PMI'!$A:$AZ,MATCH($A$1,'DB Country PMI'!$A$1:$AZ$1,),)=0,#N/A,VLOOKUP(A6,'DB Country PMI'!$A:$AZ,MATCH($A$1,'DB Country PMI'!$A$1:$AZ$1,),))</calculatedColumnFormula>
    </tableColumn>
    <tableColumn id="3"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8" headerRowCount="1" totalsRowShown="0" headerRowDxfId="194" dataDxfId="192" headerRowBorderDxfId="193" tableBorderDxfId="191" totalsRowBorderDxfId="190">
  <autoFilter ref="A5:F218"/>
  <tableColumns count="6">
    <tableColumn id="1" name="Date" dataDxfId="189"/>
    <tableColumn id="2" name="PMI" dataDxfId="188">
      <calculatedColumnFormula>IF(VLOOKUP(A6,'DB Country PMI'!$A:$AZ,MATCH($A$1,'DB Country PMI'!$A$1:$AZ$1,),)=0,#N/A,VLOOKUP(A6,'DB Country PMI'!$A:$AZ,MATCH($A$1,'DB Country PMI'!$A$1:$AZ$1,),))</calculatedColumnFormula>
    </tableColumn>
    <tableColumn id="3" name="mom" dataDxfId="187">
      <calculatedColumnFormula>Table134681112[[#This Row],[PMI]]-B5</calculatedColumnFormula>
    </tableColumn>
    <tableColumn id="4" name="EWU" dataDxfId="186">
      <calculatedColumnFormula>IF(VLOOKUP(Table134681112[[#This Row],[Date]],'DB Global PMI'!$A:$F,5)=0,#N/A,VLOOKUP(Table134681112[[#This Row],[Date]],'DB Global PMI'!$A:$F,5))</calculatedColumnFormula>
    </tableColumn>
    <tableColumn id="5" name="PMI yoy" dataDxfId="185"/>
    <tableColumn id="6" name="EWU yoy" dataDxfId="18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94" headerRowCount="1" totalsRowShown="0" headerRowDxfId="183" dataDxfId="181" headerRowBorderDxfId="182" tableBorderDxfId="180" totalsRowBorderDxfId="179">
  <autoFilter ref="A5:C194"/>
  <tableColumns count="3">
    <tableColumn id="1" name="Date" dataDxfId="178"/>
    <tableColumn id="2" name="PMI" dataDxfId="177">
      <calculatedColumnFormula>IF(VLOOKUP(A6,'DB Country PMI'!$A:$AZ,MATCH($A$1,'DB Country PMI'!$A$1:$AZ$1,),)=0,#N/A,VLOOKUP(A6,'DB Country PMI'!$A:$AZ,MATCH($A$1,'DB Country PMI'!$A$1:$AZ$1,),))</calculatedColumnFormula>
    </tableColumn>
    <tableColumn id="3"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94" headerRowCount="1" totalsRowShown="0" headerRowDxfId="175" dataDxfId="173" headerRowBorderDxfId="174" tableBorderDxfId="172" totalsRowBorderDxfId="171">
  <autoFilter ref="A5:C194"/>
  <tableColumns count="3">
    <tableColumn id="1" name="Date" dataDxfId="170"/>
    <tableColumn id="2" name="PMI" dataDxfId="169">
      <calculatedColumnFormula>IF(VLOOKUP(A6,'DB Country PMI'!$A:$AZ,MATCH($A$1,'DB Country PMI'!$A$1:$AZ$1,),)=0,#N/A,VLOOKUP(A6,'DB Country PMI'!$A:$AZ,MATCH($A$1,'DB Country PMI'!$A$1:$AZ$1,),))</calculatedColumnFormula>
    </tableColumn>
    <tableColumn id="3"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8" headerRowCount="1" totalsRowShown="0" headerRowDxfId="167" dataDxfId="165" headerRowBorderDxfId="166" tableBorderDxfId="164" totalsRowBorderDxfId="163">
  <autoFilter ref="A5:C148"/>
  <tableColumns count="3">
    <tableColumn id="1" name="Date" dataDxfId="162"/>
    <tableColumn id="2" name="PMI" dataDxfId="161">
      <calculatedColumnFormula>IF(VLOOKUP(A6,'DB Country PMI'!$A:$AZ,MATCH($A$1,'DB Country PMI'!$A$1:$AZ$1,),)=0,#N/A,VLOOKUP(A6,'DB Country PMI'!$A:$AZ,MATCH($A$1,'DB Country PMI'!$A$1:$AZ$1,),))</calculatedColumnFormula>
    </tableColumn>
    <tableColumn id="3"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2" headerRowCount="1" totalsRowShown="0" headerRowDxfId="159" dataDxfId="157" headerRowBorderDxfId="158" tableBorderDxfId="156" totalsRowBorderDxfId="155">
  <autoFilter ref="A5:C142"/>
  <tableColumns count="3">
    <tableColumn id="1" name="Date" dataDxfId="154"/>
    <tableColumn id="2" name="PMI" dataDxfId="153">
      <calculatedColumnFormula>IF(VLOOKUP(A6,'DB Country PMI'!$A:$AZ,MATCH($A$1,'DB Country PMI'!$A$1:$AZ$1,),)=0,#N/A,VLOOKUP(A6,'DB Country PMI'!$A:$AZ,MATCH($A$1,'DB Country PMI'!$A$1:$AZ$1,),))</calculatedColumnFormula>
    </tableColumn>
    <tableColumn id="3"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8" headerRowCount="1" totalsRowShown="0" headerRowDxfId="151" dataDxfId="149" headerRowBorderDxfId="150" tableBorderDxfId="148" totalsRowBorderDxfId="147">
  <autoFilter ref="A5:C148"/>
  <tableColumns count="3">
    <tableColumn id="1" name="Date" dataDxfId="146"/>
    <tableColumn id="2" name="PMI" dataDxfId="145">
      <calculatedColumnFormula>IF(VLOOKUP(A6,'DB Country PMI'!$A:$AZ,MATCH($A$1,'DB Country PMI'!$A$1:$AZ$1,),)=0,#N/A,VLOOKUP(A6,'DB Country PMI'!$A:$AZ,MATCH($A$1,'DB Country PMI'!$A$1:$AZ$1,),))</calculatedColumnFormula>
    </tableColumn>
    <tableColumn id="3"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8" headerRowCount="1" totalsRowShown="0" headerRowDxfId="143" dataDxfId="141" headerRowBorderDxfId="142" tableBorderDxfId="140" totalsRowBorderDxfId="139">
  <autoFilter ref="A5:C148"/>
  <tableColumns count="3">
    <tableColumn id="1" name="Date" dataDxfId="138"/>
    <tableColumn id="2" name="PMI" dataDxfId="137">
      <calculatedColumnFormula>IF(VLOOKUP(A6,'DB Country PMI'!$A:$AZ,MATCH($A$1,'DB Country PMI'!$A$1:$AZ$1,),)=0,#N/A,VLOOKUP(A6,'DB Country PMI'!$A:$AZ,MATCH($A$1,'DB Country PMI'!$A$1:$AZ$1,),))</calculatedColumnFormula>
    </tableColumn>
    <tableColumn id="3"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2" headerRowCount="1" totalsRowShown="0" headerRowDxfId="135" dataDxfId="133" headerRowBorderDxfId="134" tableBorderDxfId="132" totalsRowBorderDxfId="131">
  <autoFilter ref="A5:C142"/>
  <tableColumns count="3">
    <tableColumn id="1" name="Date" dataDxfId="130"/>
    <tableColumn id="2" name="PMI" dataDxfId="129">
      <calculatedColumnFormula>IF(VLOOKUP(A6,'DB Country PMI'!$A:$AZ,MATCH($A$1,'DB Country PMI'!$A$1:$AZ$1,),)=0,#N/A,VLOOKUP(A6,'DB Country PMI'!$A:$AZ,MATCH($A$1,'DB Country PMI'!$A$1:$AZ$1,),))</calculatedColumnFormula>
    </tableColumn>
    <tableColumn id="3"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7" headerRowCount="1" totalsRowShown="0" headerRowDxfId="127" dataDxfId="125" headerRowBorderDxfId="126" tableBorderDxfId="124" totalsRowBorderDxfId="123">
  <autoFilter ref="A5:C177"/>
  <tableColumns count="3">
    <tableColumn id="1" name="Date" dataDxfId="122"/>
    <tableColumn id="2" name="PMI" dataDxfId="121">
      <calculatedColumnFormula>IF(VLOOKUP(A6,'DB Country PMI'!$A:$AZ,MATCH($A$1,'DB Country PMI'!$A$1:$AZ$1,),)=0,#N/A,VLOOKUP(A6,'DB Country PMI'!$A:$AZ,MATCH($A$1,'DB Country PMI'!$A$1:$AZ$1,),))</calculatedColumnFormula>
    </tableColumn>
    <tableColumn id="3"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2" headerRowCount="1" totalsRowShown="0" headerRowDxfId="119" dataDxfId="117" headerRowBorderDxfId="118" tableBorderDxfId="116" totalsRowBorderDxfId="115">
  <autoFilter ref="A5:C142"/>
  <tableColumns count="3">
    <tableColumn id="1" name="Date" dataDxfId="114"/>
    <tableColumn id="2" name="PMI" dataDxfId="113">
      <calculatedColumnFormula>IF(VLOOKUP(A6,'DB Country PMI'!$A:$AZ,MATCH($A$1,'DB Country PMI'!$A$1:$AZ$1,),)=0,#N/A,VLOOKUP(A6,'DB Country PMI'!$A:$AZ,MATCH($A$1,'DB Country PMI'!$A$1:$AZ$1,),))</calculatedColumnFormula>
    </tableColumn>
    <tableColumn id="3"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6" headerRowCount="1" totalsRowShown="0" headerRowDxfId="111" dataDxfId="109" headerRowBorderDxfId="110" tableBorderDxfId="108" totalsRowBorderDxfId="107">
  <autoFilter ref="A5:C146"/>
  <tableColumns count="3">
    <tableColumn id="1" name="Date" dataDxfId="106"/>
    <tableColumn id="2" name="PMI" dataDxfId="105">
      <calculatedColumnFormula>IF(VLOOKUP(A6,'DB Country PMI'!$A:$AZ,MATCH($A$1,'DB Country PMI'!$A$1:$AZ$1,),)=0,#N/A,VLOOKUP(A6,'DB Country PMI'!$A:$AZ,MATCH($A$1,'DB Country PMI'!$A$1:$AZ$1,),))</calculatedColumnFormula>
    </tableColumn>
    <tableColumn id="3"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8" headerRowCount="1" totalsRowShown="0" headerRowDxfId="103" dataDxfId="101" headerRowBorderDxfId="102" tableBorderDxfId="100" totalsRowBorderDxfId="99">
  <autoFilter ref="A5:C148"/>
  <tableColumns count="3">
    <tableColumn id="1" name="Date" dataDxfId="98"/>
    <tableColumn id="2" name="PMI" dataDxfId="97">
      <calculatedColumnFormula>IF(VLOOKUP(A6,'DB Country PMI'!$A:$AZ,MATCH($A$1,'DB Country PMI'!$A$1:$AZ$1,),)=0,#N/A,VLOOKUP(A6,'DB Country PMI'!$A:$AZ,MATCH($A$1,'DB Country PMI'!$A$1:$AZ$1,),))</calculatedColumnFormula>
    </tableColumn>
    <tableColumn id="3"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8" headerRowCount="1" totalsRowShown="0" headerRowDxfId="95" dataDxfId="93" headerRowBorderDxfId="94" tableBorderDxfId="92" totalsRowBorderDxfId="91">
  <autoFilter ref="A5:C148"/>
  <tableColumns count="3">
    <tableColumn id="1" name="Date" dataDxfId="90"/>
    <tableColumn id="2" name="PMI" dataDxfId="89">
      <calculatedColumnFormula>IF(VLOOKUP(A6,'DB Country PMI'!$A:$AZ,MATCH($A$1,'DB Country PMI'!$A$1:$AZ$1,),)=0,#N/A,VLOOKUP(A6,'DB Country PMI'!$A:$AZ,MATCH($A$1,'DB Country PMI'!$A$1:$AZ$1,),))</calculatedColumnFormula>
    </tableColumn>
    <tableColumn id="3"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8" headerRowCount="1" totalsRowShown="0" headerRowDxfId="87" dataDxfId="85" headerRowBorderDxfId="86" tableBorderDxfId="84" totalsRowBorderDxfId="83">
  <autoFilter ref="A5:C148"/>
  <tableColumns count="3">
    <tableColumn id="1" name="Date" dataDxfId="82"/>
    <tableColumn id="2" name="PMI" dataDxfId="81">
      <calculatedColumnFormula>IF(VLOOKUP(A6,'DB Country PMI'!$A:$AZ,MATCH($A$1,'DB Country PMI'!$A$1:$AZ$1,),)=0,#N/A,VLOOKUP(A6,'DB Country PMI'!$A:$AZ,MATCH($A$1,'DB Country PMI'!$A$1:$AZ$1,),))</calculatedColumnFormula>
    </tableColumn>
    <tableColumn id="3"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8" headerRowCount="1" totalsRowShown="0" headerRowDxfId="79" dataDxfId="77" headerRowBorderDxfId="78" tableBorderDxfId="76" totalsRowBorderDxfId="75">
  <autoFilter ref="A5:C148"/>
  <tableColumns count="3">
    <tableColumn id="1" name="Date" dataDxfId="74"/>
    <tableColumn id="2" name="PMI" dataDxfId="73">
      <calculatedColumnFormula>IF(VLOOKUP(A6,'DB Country PMI'!$A:$AZ,MATCH($A$1,'DB Country PMI'!$A$1:$AZ$1,),)=0,#N/A,VLOOKUP(A6,'DB Country PMI'!$A:$AZ,MATCH($A$1,'DB Country PMI'!$A$1:$AZ$1,),))</calculatedColumnFormula>
    </tableColumn>
    <tableColumn id="3"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8" headerRowCount="1" totalsRowShown="0" headerRowDxfId="71" dataDxfId="69" headerRowBorderDxfId="70" tableBorderDxfId="68" totalsRowBorderDxfId="67">
  <autoFilter ref="A5:C148"/>
  <tableColumns count="3">
    <tableColumn id="1" name="Date" dataDxfId="66"/>
    <tableColumn id="2" name="PMI" dataDxfId="65">
      <calculatedColumnFormula>IF(VLOOKUP(A6,'DB Country PMI'!$A:$AZ,MATCH($A$1,'DB Country PMI'!$A$1:$AZ$1,),)=0,#N/A,VLOOKUP(A6,'DB Country PMI'!$A:$AZ,MATCH($A$1,'DB Country PMI'!$A$1:$AZ$1,),))</calculatedColumnFormula>
    </tableColumn>
    <tableColumn id="3"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8" headerRowCount="1" totalsRowShown="0" headerRowDxfId="63" dataDxfId="61" headerRowBorderDxfId="62" tableBorderDxfId="60" totalsRowBorderDxfId="59">
  <autoFilter ref="A5:C148"/>
  <tableColumns count="3">
    <tableColumn id="1" name="Date" dataDxfId="58"/>
    <tableColumn id="2" name="PMI" dataDxfId="57">
      <calculatedColumnFormula>IF(VLOOKUP(A6,'DB Country PMI'!$A:$AZ,MATCH($A$1,'DB Country PMI'!$A$1:$AZ$1,),)=0,#N/A,VLOOKUP(A6,'DB Country PMI'!$A:$AZ,MATCH($A$1,'DB Country PMI'!$A$1:$AZ$1,),))</calculatedColumnFormula>
    </tableColumn>
    <tableColumn id="3"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9" headerRowCount="1" totalsRowShown="0" headerRowDxfId="55" dataDxfId="53" headerRowBorderDxfId="54" tableBorderDxfId="52" totalsRowBorderDxfId="51">
  <autoFilter ref="A5:C349"/>
  <tableColumns count="3">
    <tableColumn id="1" name="Date" dataDxfId="50"/>
    <tableColumn id="2" name="PMI" dataDxfId="49">
      <calculatedColumnFormula>IF(VLOOKUP(A6,'DB Country PMI'!$A:$AZ,MATCH($A$1,'DB Country PMI'!$A$1:$AZ$1,),)=0,#N/A,VLOOKUP(A6,'DB Country PMI'!$A:$AZ,MATCH($A$1,'DB Country PMI'!$A$1:$AZ$1,),))</calculatedColumnFormula>
    </tableColumn>
    <tableColumn id="3"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7" headerRowCount="1" totalsRowShown="0" headerRowDxfId="47" dataDxfId="45" headerRowBorderDxfId="46" tableBorderDxfId="44" totalsRowBorderDxfId="43">
  <autoFilter ref="A5:C127"/>
  <tableColumns count="3">
    <tableColumn id="1" name="Date" dataDxfId="42"/>
    <tableColumn id="2" name="PMI" dataDxfId="41">
      <calculatedColumnFormula>IF(VLOOKUP(A6,'DB Country PMI'!$A:$AZ,MATCH($A$1,'DB Country PMI'!$A$1:$AZ$1,),)=0,#N/A,VLOOKUP(A6,'DB Country PMI'!$A:$AZ,MATCH($A$1,'DB Country PMI'!$A$1:$AZ$1,),))</calculatedColumnFormula>
    </tableColumn>
    <tableColumn id="3"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9" headerRowCount="1" totalsRowShown="0" headerRowDxfId="39" dataDxfId="37" headerRowBorderDxfId="38" tableBorderDxfId="36" totalsRowBorderDxfId="35">
  <autoFilter ref="A5:C79"/>
  <tableColumns count="3">
    <tableColumn id="1" name="Date" dataDxfId="34"/>
    <tableColumn id="2" name="PMI" dataDxfId="33">
      <calculatedColumnFormula>IF(VLOOKUP(A6,'DB Country PMI'!$A:$AZ,MATCH($A$1,'DB Country PMI'!$A$1:$AZ$1,),)=0,#N/A,VLOOKUP(A6,'DB Country PMI'!$A:$AZ,MATCH($A$1,'DB Country PMI'!$A$1:$AZ$1,),))</calculatedColumnFormula>
    </tableColumn>
    <tableColumn id="3"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7" headerRowCount="1" totalsRowShown="0" headerRowDxfId="31" dataDxfId="29" headerRowBorderDxfId="30" tableBorderDxfId="28" totalsRowBorderDxfId="27">
  <autoFilter ref="A5:C277"/>
  <tableColumns count="3">
    <tableColumn id="1" name="Date" dataDxfId="26"/>
    <tableColumn id="2" name="PMI" dataDxfId="25">
      <calculatedColumnFormula>IF(VLOOKUP(A6,'DB Country PMI'!$A:$AZ,MATCH($A$1,'DB Country PMI'!$A$1:$AZ$1,),)=0,#N/A,VLOOKUP(A6,'DB Country PMI'!$A:$AZ,MATCH($A$1,'DB Country PMI'!$A$1:$AZ$1,),))</calculatedColumnFormula>
    </tableColumn>
    <tableColumn id="3"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8" headerRowCount="1" totalsRowShown="0" headerRowDxfId="23" dataDxfId="21" headerRowBorderDxfId="22" tableBorderDxfId="20" totalsRowBorderDxfId="19">
  <autoFilter ref="A5:C128"/>
  <tableColumns count="3">
    <tableColumn id="1" name="Date" dataDxfId="18"/>
    <tableColumn id="2" name="PMI" dataDxfId="17">
      <calculatedColumnFormula>IF(VLOOKUP(A6,'DB Country PMI'!$A:$AZ,MATCH($A$1,'DB Country PMI'!$A$1:$AZ$1,),)=0,#N/A,VLOOKUP(A6,'DB Country PMI'!$A:$AZ,MATCH($A$1,'DB Country PMI'!$A$1:$AZ$1,),))</calculatedColumnFormula>
    </tableColumn>
    <tableColumn id="3"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4" headerRowCount="1" totalsRowShown="0" headerRowDxfId="15" dataDxfId="13" headerRowBorderDxfId="14" tableBorderDxfId="12" totalsRowBorderDxfId="11">
  <autoFilter ref="A5:C94"/>
  <tableColumns count="3">
    <tableColumn id="1" name="Date" dataDxfId="10"/>
    <tableColumn id="2" name="PMI" dataDxfId="9">
      <calculatedColumnFormula>IF(VLOOKUP(A6,'DB Country PMI'!$A:$AZ,MATCH($A$1,'DB Country PMI'!$A$1:$AZ$1,),)=0,#N/A,VLOOKUP(A6,'DB Country PMI'!$A:$AZ,MATCH($A$1,'DB Country PMI'!$A$1:$AZ$1,),))</calculatedColumnFormula>
    </tableColumn>
    <tableColumn id="3"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6" headerRowCount="1" totalsRowShown="0" headerRowDxfId="7" dataDxfId="5" headerRowBorderDxfId="6" tableBorderDxfId="4" totalsRowBorderDxfId="3">
  <autoFilter ref="A5:C246"/>
  <tableColumns count="3">
    <tableColumn id="1" name="Date" dataDxfId="2"/>
    <tableColumn id="2" name="PMI" dataDxfId="1">
      <calculatedColumnFormula>IF(VLOOKUP(A6,'DB Country PMI'!$A:$AZ,MATCH($A$1,'DB Country PMI'!$A$1:$AZ$1,),)=0,#N/A,VLOOKUP(A6,'DB Country PMI'!$A:$AZ,MATCH($A$1,'DB Country PMI'!$A$1:$AZ$1,),))</calculatedColumnFormula>
    </tableColumn>
    <tableColumn id="3"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topLeftCell="A7" zoomScale="140" zoomScaleNormal="140" workbookViewId="0">
      <selection activeCell="W21" sqref="W21"/>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61"/>
    <col width="9.1640625" customWidth="1" style="70" min="62" max="16384"/>
  </cols>
  <sheetData>
    <row r="1">
      <c r="B1" s="74" t="n"/>
    </row>
    <row r="2" ht="16" customHeight="1" s="61" thickBot="1">
      <c r="B2" s="75" t="n"/>
      <c r="C2" s="75" t="n"/>
      <c r="D2" s="75" t="n"/>
      <c r="E2" s="75" t="n"/>
      <c r="F2" s="75" t="n"/>
      <c r="G2" s="75" t="n"/>
      <c r="H2" s="75" t="n"/>
      <c r="I2" s="75" t="n"/>
      <c r="J2" s="75" t="n"/>
    </row>
    <row r="3" ht="16" customHeight="1" s="61" thickBot="1">
      <c r="B3" s="76" t="inlineStr">
        <is>
          <t>PMI Manufacturing</t>
        </is>
      </c>
      <c r="C3" s="72" t="n"/>
      <c r="D3" s="72" t="n"/>
      <c r="E3" s="72" t="n"/>
      <c r="F3" s="72" t="n"/>
      <c r="G3" s="72" t="n"/>
      <c r="H3" s="72" t="n"/>
      <c r="I3" s="72" t="n"/>
      <c r="J3" s="73" t="n"/>
    </row>
    <row r="5">
      <c r="B5" s="67" t="inlineStr">
        <is>
          <t>Definition</t>
        </is>
      </c>
      <c r="C5" s="77" t="n"/>
      <c r="D5" s="77" t="n"/>
      <c r="E5" s="77" t="n"/>
      <c r="F5" s="77" t="n"/>
      <c r="G5" s="77" t="n"/>
      <c r="H5" s="77" t="n"/>
      <c r="I5" s="77" t="n"/>
      <c r="J5" s="68" t="n"/>
    </row>
    <row r="7" ht="225.75" customHeight="1" s="61">
      <c r="B7" s="7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69" t="n"/>
      <c r="D8" s="69" t="n"/>
      <c r="E8" s="69" t="n"/>
      <c r="F8" s="69" t="n"/>
      <c r="G8" s="69" t="n"/>
      <c r="H8" s="69" t="n"/>
      <c r="I8" s="69" t="n"/>
      <c r="J8" s="69" t="n"/>
    </row>
    <row r="9" ht="16" customHeight="1" s="61" thickBot="1">
      <c r="B9" s="2" t="n"/>
      <c r="C9" s="3" t="n"/>
      <c r="D9" s="3" t="n"/>
      <c r="E9" s="3" t="n"/>
    </row>
    <row r="10" ht="16" customHeight="1" s="61" thickBot="1">
      <c r="B10" s="67" t="inlineStr">
        <is>
          <t>Process / TO DO LIST</t>
        </is>
      </c>
      <c r="C10" s="77" t="n"/>
      <c r="D10" s="77" t="n"/>
      <c r="E10" s="77" t="n"/>
      <c r="F10" s="77" t="n"/>
      <c r="G10" s="77" t="n"/>
      <c r="H10" s="77" t="n"/>
      <c r="I10" s="77" t="n"/>
      <c r="J10" s="68" t="n"/>
      <c r="N10" s="71" t="inlineStr">
        <is>
          <t>Summary</t>
        </is>
      </c>
      <c r="O10" s="72" t="n"/>
      <c r="P10" s="72" t="n"/>
      <c r="Q10" s="72" t="n"/>
      <c r="R10" s="72" t="n"/>
      <c r="S10" s="73" t="n"/>
    </row>
    <row r="11">
      <c r="N11" s="4" t="inlineStr">
        <is>
          <t>* input new month</t>
        </is>
      </c>
    </row>
    <row r="12" ht="16" customHeight="1" s="61" thickBot="1">
      <c r="B12" s="67" t="inlineStr">
        <is>
          <t>TO DO LIST</t>
        </is>
      </c>
      <c r="C12" s="77" t="n"/>
      <c r="D12" s="77" t="n"/>
      <c r="E12" s="77" t="n"/>
      <c r="F12" s="68" t="n"/>
      <c r="G12" s="67" t="inlineStr">
        <is>
          <t>Comments</t>
        </is>
      </c>
      <c r="H12" s="77" t="n"/>
      <c r="I12" s="77" t="n"/>
      <c r="J12" s="68" t="n"/>
    </row>
    <row r="13">
      <c r="P13" s="5" t="n">
        <v>44774</v>
      </c>
      <c r="Q13" s="6">
        <f>DATE(YEAR(P13),MONTH(P13)-1,DAY(P13))</f>
        <v/>
      </c>
      <c r="R13" s="7" t="n"/>
      <c r="S13" s="59" t="inlineStr">
        <is>
          <t>%</t>
        </is>
      </c>
    </row>
    <row r="14" ht="16" customHeight="1" s="61"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0" t="inlineStr">
        <is>
          <t>World GDP</t>
        </is>
      </c>
    </row>
    <row r="15" ht="30.75" customHeight="1" s="61">
      <c r="G15" s="69" t="inlineStr">
        <is>
          <t>JPMorgan Global Manufacturing PMI</t>
        </is>
      </c>
      <c r="N15" s="67" t="inlineStr">
        <is>
          <t>Global</t>
        </is>
      </c>
      <c r="O15" s="68" t="n"/>
      <c r="P15" s="24">
        <f>VLOOKUP($P$13,Summary!$B:$AB,MATCH(Note!N15,Summary!$B$2:$AB$2,),)</f>
        <v/>
      </c>
      <c r="Q15" s="24">
        <f>VLOOKUP($Q$13,Summary!$B:$AB,MATCH(Note!N15,Summary!$B$2:$AB$2,),)</f>
        <v/>
      </c>
      <c r="R15" s="56">
        <f>P15-Q15</f>
        <v/>
      </c>
      <c r="S15" s="58" t="n"/>
    </row>
    <row r="16">
      <c r="B16" s="69"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6">
        <f>P16-Q16</f>
        <v/>
      </c>
      <c r="S16" s="57"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6">
        <f>P17-Q17</f>
        <v/>
      </c>
      <c r="S17" s="57" t="n">
        <v>0.152</v>
      </c>
    </row>
    <row r="18">
      <c r="B18" s="70" t="n"/>
      <c r="N18" s="67" t="inlineStr">
        <is>
          <t>Eurozone</t>
        </is>
      </c>
      <c r="O18" s="68" t="n"/>
      <c r="P18" s="24">
        <f>VLOOKUP($P$13,Summary!$B:$AB,MATCH(Note!N18,Summary!$B$2:$AB$2,),)</f>
        <v/>
      </c>
      <c r="Q18" s="24">
        <f>VLOOKUP($Q$13,Summary!$B:$AB,MATCH(Note!N18,Summary!$B$2:$AB$2,),)</f>
        <v/>
      </c>
      <c r="R18" s="56">
        <f>P18-Q18</f>
        <v/>
      </c>
      <c r="S18" s="57" t="n">
        <v>0.156</v>
      </c>
    </row>
    <row r="19">
      <c r="N19" s="67" t="inlineStr">
        <is>
          <t xml:space="preserve">Japan </t>
        </is>
      </c>
      <c r="O19" s="68" t="n"/>
      <c r="P19" s="24">
        <f>VLOOKUP($P$13,Summary!$B:$AB,MATCH(Note!N19,Summary!$B$2:$AB$2,),)</f>
        <v/>
      </c>
      <c r="Q19" s="24">
        <f>VLOOKUP($Q$13,Summary!$B:$AB,MATCH(Note!N19,Summary!$B$2:$AB$2,),)</f>
        <v/>
      </c>
      <c r="R19" s="56">
        <f>P19-Q19</f>
        <v/>
      </c>
      <c r="S19" s="57" t="n">
        <v>0.06</v>
      </c>
    </row>
    <row r="20">
      <c r="B20" s="70" t="n"/>
      <c r="G20" s="70" t="n"/>
      <c r="N20" s="67" t="inlineStr">
        <is>
          <t>Germany</t>
        </is>
      </c>
      <c r="O20" s="68" t="n"/>
      <c r="P20" s="24">
        <f>VLOOKUP($P$13,Summary!$B:$AB,MATCH(Note!N20,Summary!$B$2:$AB$2,),)</f>
        <v/>
      </c>
      <c r="Q20" s="24">
        <f>VLOOKUP($Q$13,Summary!$B:$AB,MATCH(Note!N20,Summary!$B$2:$AB$2,),)</f>
        <v/>
      </c>
      <c r="R20" s="56">
        <f>P20-Q20</f>
        <v/>
      </c>
      <c r="S20" s="57" t="n">
        <v>0.04564243244249699</v>
      </c>
    </row>
    <row r="21">
      <c r="B21" s="70" t="n"/>
      <c r="G21" s="70" t="n"/>
      <c r="N21" s="67" t="inlineStr">
        <is>
          <t>France</t>
        </is>
      </c>
      <c r="O21" s="68" t="n"/>
      <c r="P21" s="24">
        <f>VLOOKUP($P$13,Summary!$B:$AB,MATCH(Note!N21,Summary!$B$2:$AB$2,),)</f>
        <v/>
      </c>
      <c r="Q21" s="24">
        <f>VLOOKUP($Q$13,Summary!$B:$AB,MATCH(Note!N21,Summary!$B$2:$AB$2,),)</f>
        <v/>
      </c>
      <c r="R21" s="56">
        <f>P21-Q21</f>
        <v/>
      </c>
      <c r="S21" s="57" t="n">
        <v>0.03206266059259443</v>
      </c>
    </row>
    <row r="22">
      <c r="B22" s="70" t="n"/>
      <c r="G22" s="70" t="n"/>
      <c r="N22" s="67" t="inlineStr">
        <is>
          <t>UK</t>
        </is>
      </c>
      <c r="O22" s="68" t="n"/>
      <c r="P22" s="24">
        <f>VLOOKUP($P$13,Summary!$B:$AB,MATCH(Note!N22,Summary!$B$2:$AB$2,),)</f>
        <v/>
      </c>
      <c r="Q22" s="24">
        <f>VLOOKUP($Q$13,Summary!$B:$AB,MATCH(Note!N22,Summary!$B$2:$AB$2,),)</f>
        <v/>
      </c>
      <c r="R22" s="56">
        <f>P22-Q22</f>
        <v/>
      </c>
      <c r="S22" s="57" t="n">
        <v>0.033</v>
      </c>
    </row>
    <row r="23">
      <c r="B23" s="70" t="n"/>
      <c r="N23" s="67" t="inlineStr">
        <is>
          <t xml:space="preserve">Italy </t>
        </is>
      </c>
      <c r="O23" s="68" t="n"/>
      <c r="P23" s="24">
        <f>VLOOKUP($P$13,Summary!$B:$AB,MATCH(Note!N23,Summary!$B$2:$AB$2,),)</f>
        <v/>
      </c>
      <c r="Q23" s="24">
        <f>VLOOKUP($Q$13,Summary!$B:$AB,MATCH(Note!N23,Summary!$B$2:$AB$2,),)</f>
        <v/>
      </c>
      <c r="R23" s="56">
        <f>P23-Q23</f>
        <v/>
      </c>
      <c r="S23" s="57" t="n">
        <v>0.024</v>
      </c>
    </row>
    <row r="24">
      <c r="B24" s="70" t="n"/>
      <c r="N24" s="67" t="inlineStr">
        <is>
          <t>Spain</t>
        </is>
      </c>
      <c r="O24" s="68" t="n"/>
      <c r="P24" s="24">
        <f>VLOOKUP($P$13,Summary!$B:$AB,MATCH(Note!N24,Summary!$B$2:$AB$2,),)</f>
        <v/>
      </c>
      <c r="Q24" s="24">
        <f>VLOOKUP($Q$13,Summary!$B:$AB,MATCH(Note!N24,Summary!$B$2:$AB$2,),)</f>
        <v/>
      </c>
      <c r="R24" s="56">
        <f>P24-Q24</f>
        <v/>
      </c>
      <c r="S24" s="57" t="n">
        <v>0.01627338290239694</v>
      </c>
    </row>
    <row r="25">
      <c r="N25" s="67" t="inlineStr">
        <is>
          <t>Brazil</t>
        </is>
      </c>
      <c r="O25" s="68" t="n"/>
      <c r="P25" s="24">
        <f>VLOOKUP($P$13,Summary!$B:$AB,MATCH(Note!N25,Summary!$B$2:$AB$2,),)</f>
        <v/>
      </c>
      <c r="Q25" s="24">
        <f>VLOOKUP($Q$13,Summary!$B:$AB,MATCH(Note!N25,Summary!$B$2:$AB$2,),)</f>
        <v/>
      </c>
      <c r="R25" s="56">
        <f>P25-Q25</f>
        <v/>
      </c>
      <c r="S25" s="57" t="n">
        <v>0.02552103375082236</v>
      </c>
    </row>
    <row r="26">
      <c r="N26" s="67" t="inlineStr">
        <is>
          <t>Mexico</t>
        </is>
      </c>
      <c r="O26" s="68" t="n"/>
      <c r="P26" s="24">
        <f>VLOOKUP($P$13,Summary!$B:$AB,MATCH(Note!N26,Summary!$B$2:$AB$2,),)</f>
        <v/>
      </c>
      <c r="Q26" s="24">
        <f>VLOOKUP($Q$13,Summary!$B:$AB,MATCH(Note!N26,Summary!$B$2:$AB$2,),)</f>
        <v/>
      </c>
      <c r="R26" s="56">
        <f>P26-Q26</f>
        <v/>
      </c>
      <c r="S26" s="57" t="n">
        <v>0.0142873102369633</v>
      </c>
    </row>
    <row r="27">
      <c r="N27" s="67" t="inlineStr">
        <is>
          <t>Russia</t>
        </is>
      </c>
      <c r="O27" s="68" t="n"/>
      <c r="P27" s="24">
        <f>VLOOKUP($P$13,Summary!$B:$AB,MATCH(Note!N27,Summary!$B$2:$AB$2,),)</f>
        <v/>
      </c>
      <c r="Q27" s="24">
        <f>VLOOKUP($Q$13,Summary!$B:$AB,MATCH(Note!N27,Summary!$B$2:$AB$2,),)</f>
        <v/>
      </c>
      <c r="R27" s="56">
        <f>P27-Q27</f>
        <v/>
      </c>
      <c r="S27" s="57" t="n">
        <v>0.01958764166283934</v>
      </c>
    </row>
    <row r="28">
      <c r="N28" s="67" t="inlineStr">
        <is>
          <t>India</t>
        </is>
      </c>
      <c r="O28" s="68" t="n"/>
      <c r="P28" s="24">
        <f>VLOOKUP($P$13,Summary!$B:$AB,MATCH(Note!N28,Summary!$B$2:$AB$2,),)</f>
        <v/>
      </c>
      <c r="Q28" s="24">
        <f>VLOOKUP($Q$13,Summary!$B:$AB,MATCH(Note!N28,Summary!$B$2:$AB$2,),)</f>
        <v/>
      </c>
      <c r="R28" s="56">
        <f>P28-Q28</f>
        <v/>
      </c>
      <c r="S28" s="57" t="n">
        <v>0.03228609376745572</v>
      </c>
    </row>
    <row r="29">
      <c r="N29" s="67" t="inlineStr">
        <is>
          <t>Canada</t>
        </is>
      </c>
      <c r="O29" s="68" t="n"/>
      <c r="P29" s="24">
        <f>VLOOKUP($P$13,Summary!$B:$AB,MATCH(Note!N29,Summary!$B$2:$AB$2,),)</f>
        <v/>
      </c>
      <c r="Q29" s="24">
        <f>VLOOKUP($Q$13,Summary!$B:$AB,MATCH(Note!N29,Summary!$B$2:$AB$2,),)</f>
        <v/>
      </c>
      <c r="R29" s="56">
        <f>P29-Q29</f>
        <v/>
      </c>
      <c r="S29" s="57" t="n">
        <v>0.02051861322476136</v>
      </c>
    </row>
    <row r="30">
      <c r="N30" s="67" t="inlineStr">
        <is>
          <t>Australia</t>
        </is>
      </c>
      <c r="O30" s="68" t="n"/>
      <c r="P30" s="24">
        <f>VLOOKUP($P$13,Summary!$B:$AB,MATCH(Note!N30,Summary!$B$2:$AB$2,),)</f>
        <v/>
      </c>
      <c r="Q30" s="24">
        <f>VLOOKUP($Q$13,Summary!$B:$AB,MATCH(Note!N30,Summary!$B$2:$AB$2,),)</f>
        <v/>
      </c>
      <c r="R30" s="56">
        <f>P30-Q30</f>
        <v/>
      </c>
      <c r="S30" s="57" t="n">
        <v>0.01642233835230446</v>
      </c>
    </row>
    <row r="31">
      <c r="N31" s="67" t="inlineStr">
        <is>
          <t>Indonesia</t>
        </is>
      </c>
      <c r="O31" s="68" t="n"/>
      <c r="P31" s="24">
        <f>VLOOKUP($P$13,Summary!$B:$AB,MATCH(Note!N31,Summary!$B$2:$AB$2,),)</f>
        <v/>
      </c>
      <c r="Q31" s="24">
        <f>VLOOKUP($Q$13,Summary!$B:$AB,MATCH(Note!N31,Summary!$B$2:$AB$2,),)</f>
        <v/>
      </c>
      <c r="R31" s="56">
        <f>P31-Q31</f>
        <v/>
      </c>
      <c r="S31" s="57" t="n">
        <v>0.01261156142550366</v>
      </c>
    </row>
    <row r="32">
      <c r="N32" s="67" t="inlineStr">
        <is>
          <t xml:space="preserve">S Korea </t>
        </is>
      </c>
      <c r="O32" s="68" t="n"/>
      <c r="P32" s="24">
        <f>VLOOKUP($P$13,Summary!$B:$AB,MATCH(Note!N32,Summary!$B$2:$AB$2,),)</f>
        <v/>
      </c>
      <c r="Q32" s="24">
        <f>VLOOKUP($Q$13,Summary!$B:$AB,MATCH(Note!N32,Summary!$B$2:$AB$2,),)</f>
        <v/>
      </c>
      <c r="R32" s="56">
        <f>P32-Q32</f>
        <v/>
      </c>
      <c r="S32" s="57" t="n">
        <v>0.019</v>
      </c>
    </row>
    <row r="33">
      <c r="N33" s="67" t="inlineStr">
        <is>
          <t>Taiwan</t>
        </is>
      </c>
      <c r="O33" s="68" t="n"/>
      <c r="P33" s="24">
        <f>VLOOKUP($P$13,Summary!$B:$AB,MATCH(Note!N33,Summary!$B$2:$AB$2,),)</f>
        <v/>
      </c>
      <c r="Q33" s="24">
        <f>VLOOKUP($Q$13,Summary!$B:$AB,MATCH(Note!N33,Summary!$B$2:$AB$2,),)</f>
        <v/>
      </c>
      <c r="R33" s="56">
        <f>P33-Q33</f>
        <v/>
      </c>
      <c r="S33" s="57" t="n">
        <v>0.007112622733084247</v>
      </c>
    </row>
    <row r="34">
      <c r="N34" s="67" t="inlineStr">
        <is>
          <t>Greece</t>
        </is>
      </c>
      <c r="O34" s="68" t="n"/>
      <c r="P34" s="24">
        <f>VLOOKUP($P$13,Summary!$B:$AB,MATCH(Note!N34,Summary!$B$2:$AB$2,),)</f>
        <v/>
      </c>
      <c r="Q34" s="24">
        <f>VLOOKUP($Q$13,Summary!$B:$AB,MATCH(Note!N34,Summary!$B$2:$AB$2,),)</f>
        <v/>
      </c>
      <c r="R34" s="56">
        <f>P34-Q34</f>
        <v/>
      </c>
      <c r="S34" s="57" t="n">
        <v>0.002482590831792058</v>
      </c>
    </row>
    <row r="35">
      <c r="N35" s="67" t="inlineStr">
        <is>
          <t>Ireland</t>
        </is>
      </c>
      <c r="O35" s="68" t="n"/>
      <c r="P35" s="24">
        <f>VLOOKUP($P$13,Summary!$B:$AB,MATCH(Note!N35,Summary!$B$2:$AB$2,),)</f>
        <v/>
      </c>
      <c r="Q35" s="24">
        <f>VLOOKUP($Q$13,Summary!$B:$AB,MATCH(Note!N35,Summary!$B$2:$AB$2,),)</f>
        <v/>
      </c>
      <c r="R35" s="56">
        <f>P35-Q35</f>
        <v/>
      </c>
      <c r="S35" s="57" t="n">
        <v>0.004145926689092737</v>
      </c>
    </row>
    <row r="36">
      <c r="N36" s="67" t="inlineStr">
        <is>
          <t>Turkey</t>
        </is>
      </c>
      <c r="O36" s="68" t="n"/>
      <c r="P36" s="24">
        <f>VLOOKUP($P$13,Summary!$B:$AB,MATCH(Note!N36,Summary!$B$2:$AB$2,),)</f>
        <v/>
      </c>
      <c r="Q36" s="24">
        <f>VLOOKUP($Q$13,Summary!$B:$AB,MATCH(Note!N36,Summary!$B$2:$AB$2,),)</f>
        <v/>
      </c>
      <c r="R36" s="56">
        <f>P36-Q36</f>
        <v/>
      </c>
      <c r="S36" s="57" t="n">
        <v>0.01056342398927521</v>
      </c>
    </row>
    <row r="37">
      <c r="N37" s="67" t="inlineStr">
        <is>
          <t xml:space="preserve">Czech </t>
        </is>
      </c>
      <c r="O37" s="68" t="n"/>
      <c r="P37" s="24">
        <f>VLOOKUP($P$13,Summary!$B:$AB,MATCH(Note!N37,Summary!$B$2:$AB$2,),)</f>
        <v/>
      </c>
      <c r="Q37" s="24">
        <f>VLOOKUP($Q$13,Summary!$B:$AB,MATCH(Note!N37,Summary!$B$2:$AB$2,),)</f>
        <v/>
      </c>
      <c r="R37" s="56">
        <f>P37-Q37</f>
        <v/>
      </c>
      <c r="S37" s="57" t="n">
        <v>0.003</v>
      </c>
    </row>
    <row r="38">
      <c r="N38" s="67" t="inlineStr">
        <is>
          <t>Poland</t>
        </is>
      </c>
      <c r="O38" s="68" t="n"/>
      <c r="P38" s="24">
        <f>VLOOKUP($P$13,Summary!$B:$AB,MATCH(Note!N38,Summary!$B$2:$AB$2,),)</f>
        <v/>
      </c>
      <c r="Q38" s="24">
        <f>VLOOKUP($Q$13,Summary!$B:$AB,MATCH(Note!N38,Summary!$B$2:$AB$2,),)</f>
        <v/>
      </c>
      <c r="R38" s="56">
        <f>P38-Q38</f>
        <v/>
      </c>
      <c r="S38" s="57" t="n">
        <v>0.006516800933454153</v>
      </c>
    </row>
    <row r="39">
      <c r="N39" s="67" t="inlineStr">
        <is>
          <t>Denmark</t>
        </is>
      </c>
      <c r="O39" s="68" t="n"/>
      <c r="P39" s="24">
        <f>VLOOKUP($P$13,Summary!$B:$AB,MATCH(Note!N39,Summary!$B$2:$AB$2,),)</f>
        <v/>
      </c>
      <c r="Q39" s="24">
        <f>VLOOKUP($Q$13,Summary!$B:$AB,MATCH(Note!N39,Summary!$B$2:$AB$2,),)</f>
        <v/>
      </c>
      <c r="R39" s="56">
        <f>P39-Q39</f>
        <v/>
      </c>
      <c r="S39" s="57" t="n">
        <v>0.004034210101662094</v>
      </c>
    </row>
    <row r="41" ht="30" customHeight="1" s="61"/>
    <row r="44">
      <c r="B44" s="79" t="n"/>
    </row>
    <row r="45">
      <c r="B45" s="69" t="n"/>
    </row>
    <row r="46">
      <c r="B46" s="80"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262">
      <formula>0</formula>
    </cfRule>
    <cfRule type="cellIs" priority="8" operator="greaterThan" dxfId="274">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BA348"/>
  <sheetViews>
    <sheetView zoomScale="160" zoomScaleNormal="160" workbookViewId="0">
      <pane ySplit="1" topLeftCell="A316" activePane="bottomLeft" state="frozen"/>
      <selection pane="bottomLeft" activeCell="X324" sqref="X324"/>
    </sheetView>
  </sheetViews>
  <sheetFormatPr baseColWidth="10" defaultRowHeight="15"/>
  <cols>
    <col width="10.83203125" customWidth="1" style="61" min="1" max="33"/>
    <col width="10.83203125" customWidth="1" style="61" min="34"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c r="BA1" t="inlineStr">
        <is>
          <t>World</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2"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2"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2"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2"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2"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T345" t="n">
        <v>53.4</v>
      </c>
      <c r="U345" t="n">
        <v>50.9</v>
      </c>
      <c r="V345" t="n">
        <v>52.7</v>
      </c>
      <c r="W345" t="n">
        <v>53</v>
      </c>
      <c r="X345" t="n">
        <v>46.8</v>
      </c>
      <c r="Y345" t="n">
        <v>49.1</v>
      </c>
      <c r="Z345" t="n">
        <v>50.4</v>
      </c>
      <c r="AA345" t="n">
        <v>52.2</v>
      </c>
      <c r="AB345" t="n">
        <v>48.2</v>
      </c>
      <c r="AC345" t="n">
        <v>55.9</v>
      </c>
      <c r="AD345" t="n">
        <v>49.74</v>
      </c>
      <c r="AF345" t="n">
        <v>56.4</v>
      </c>
      <c r="AG345" t="n">
        <v>53.8</v>
      </c>
      <c r="AH345" t="n">
        <v>44.4</v>
      </c>
      <c r="AI345" t="n">
        <v>51.6</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2"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T346" t="n">
        <v>57.6</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Q346" t="n">
        <v>41.4</v>
      </c>
      <c r="AR346" t="n">
        <v>53.1</v>
      </c>
      <c r="AS346" t="n">
        <v>58</v>
      </c>
      <c r="AT346" t="n">
        <v>44.6</v>
      </c>
      <c r="AU346" t="n">
        <v>52.4</v>
      </c>
      <c r="AV346" t="n">
        <v>46.9</v>
      </c>
      <c r="AW346" t="n">
        <v>55.4</v>
      </c>
      <c r="AX346" t="n">
        <v>52.1</v>
      </c>
      <c r="AY346" t="n">
        <v>52.2</v>
      </c>
      <c r="AZ346" t="n">
        <v>51.2</v>
      </c>
    </row>
    <row r="347">
      <c r="A347" s="82" t="n">
        <v>44774</v>
      </c>
      <c r="B347" t="n">
        <v>49.3</v>
      </c>
      <c r="C347" t="n">
        <v>48.8</v>
      </c>
      <c r="D347" t="n">
        <v>51.9</v>
      </c>
      <c r="E347" t="n">
        <v>48.7</v>
      </c>
      <c r="F347" t="n">
        <v>49.5</v>
      </c>
      <c r="G347" t="n">
        <v>52.4</v>
      </c>
      <c r="H347" t="n">
        <v>46.8</v>
      </c>
      <c r="I347" t="n">
        <v>48</v>
      </c>
      <c r="J347" t="n">
        <v>47.6</v>
      </c>
      <c r="K347" t="n">
        <v>49.6</v>
      </c>
      <c r="L347" t="n">
        <v>50.6</v>
      </c>
      <c r="M347" t="n">
        <v>49.1</v>
      </c>
      <c r="N347" t="n">
        <v>48.8</v>
      </c>
      <c r="O347" t="n">
        <v>51.2</v>
      </c>
      <c r="P347" t="n">
        <v>57.8</v>
      </c>
      <c r="Q347" t="n">
        <v>56.2</v>
      </c>
      <c r="R347" t="n">
        <v>51.7</v>
      </c>
      <c r="S347" t="n">
        <v>51.1</v>
      </c>
      <c r="U347" t="n">
        <v>48</v>
      </c>
      <c r="V347" t="n">
        <v>51.5</v>
      </c>
      <c r="W347" t="n">
        <v>52</v>
      </c>
      <c r="X347" t="n">
        <v>44.2</v>
      </c>
      <c r="Y347" t="n">
        <v>50.1</v>
      </c>
      <c r="Z347" t="n">
        <v>50.3</v>
      </c>
      <c r="AA347" t="n">
        <v>48.5</v>
      </c>
      <c r="AB347" t="n">
        <v>46.5</v>
      </c>
      <c r="AC347" t="n">
        <v>52.6</v>
      </c>
      <c r="AD347" t="n">
        <v>54.9</v>
      </c>
      <c r="AE347" t="n">
        <v>52.3</v>
      </c>
      <c r="AF347" t="n">
        <v>52.3</v>
      </c>
      <c r="AG347" t="n">
        <v>51.2</v>
      </c>
      <c r="AH347" t="n">
        <v>40.9</v>
      </c>
      <c r="AJ347" t="n">
        <v>53.7</v>
      </c>
      <c r="AK347" t="n">
        <v>51.7</v>
      </c>
      <c r="AL347" t="n">
        <v>57.7</v>
      </c>
      <c r="AM347" t="n">
        <v>50</v>
      </c>
      <c r="AN347" t="n">
        <v>52.1</v>
      </c>
      <c r="AO347" t="n">
        <v>47.6</v>
      </c>
      <c r="AP347" t="n">
        <v>49.9</v>
      </c>
      <c r="AQ347" t="n">
        <v>49.6</v>
      </c>
      <c r="AR347" t="n">
        <v>50.6</v>
      </c>
      <c r="AS347" t="n">
        <v>56.4</v>
      </c>
      <c r="AT347" t="n">
        <v>42.7</v>
      </c>
      <c r="AU347" t="n">
        <v>53.7</v>
      </c>
      <c r="AV347" t="n">
        <v>47.4</v>
      </c>
      <c r="AW347" t="n">
        <v>56.7</v>
      </c>
      <c r="AX347" t="n">
        <v>47.3</v>
      </c>
      <c r="AY347" t="n">
        <v>51.5</v>
      </c>
      <c r="AZ347" t="n">
        <v>52.7</v>
      </c>
    </row>
    <row r="348">
      <c r="A348" s="82" t="n">
        <v>44805</v>
      </c>
      <c r="B348" t="n">
        <v>50.2</v>
      </c>
      <c r="C348" t="n">
        <v>48.8</v>
      </c>
      <c r="D348" t="n">
        <v>51.1</v>
      </c>
      <c r="E348" t="n">
        <v>49.8</v>
      </c>
      <c r="F348" t="n">
        <v>48.1</v>
      </c>
      <c r="G348" t="n">
        <v>52.8</v>
      </c>
      <c r="H348" t="n">
        <v>44.7</v>
      </c>
      <c r="I348" t="n">
        <v>49.8</v>
      </c>
      <c r="J348" t="n">
        <v>47.6</v>
      </c>
      <c r="K348" t="n">
        <v>48.4</v>
      </c>
      <c r="L348" t="n">
        <v>47.7</v>
      </c>
      <c r="M348" t="n">
        <v>47.8</v>
      </c>
      <c r="N348" t="n">
        <v>49.7</v>
      </c>
      <c r="O348" t="n">
        <v>48</v>
      </c>
      <c r="P348" t="n">
        <v>49.62</v>
      </c>
      <c r="Q348" t="n">
        <v>55.1</v>
      </c>
      <c r="R348" t="n">
        <v>53.7</v>
      </c>
      <c r="S348" t="n">
        <v>51.5</v>
      </c>
      <c r="U348" t="n">
        <v>48.3</v>
      </c>
      <c r="V348" t="n">
        <v>50.8</v>
      </c>
      <c r="W348" t="n">
        <v>48.9</v>
      </c>
      <c r="X348" t="n">
        <v>51.7</v>
      </c>
      <c r="Y348" t="n">
        <v>48.8</v>
      </c>
      <c r="Z348" t="n">
        <v>49.1</v>
      </c>
      <c r="AA348" t="n">
        <v>50.3</v>
      </c>
      <c r="AB348" t="n">
        <v>43.1</v>
      </c>
      <c r="AC348" t="n">
        <v>49</v>
      </c>
      <c r="AF348" t="n">
        <v>50</v>
      </c>
      <c r="AG348" t="n">
        <v>52.9</v>
      </c>
      <c r="AH348" t="n">
        <v>43</v>
      </c>
      <c r="AJ348" t="n">
        <v>50.7</v>
      </c>
      <c r="AK348" t="n">
        <v>52</v>
      </c>
      <c r="AL348" t="n">
        <v>56.6</v>
      </c>
      <c r="AM348" t="n">
        <v>49.9</v>
      </c>
      <c r="AN348" t="n">
        <v>48.2</v>
      </c>
      <c r="AO348" t="n">
        <v>47.3</v>
      </c>
      <c r="AP348" t="n">
        <v>49</v>
      </c>
      <c r="AR348" t="n">
        <v>49.2</v>
      </c>
      <c r="AS348" t="n">
        <v>57.1</v>
      </c>
      <c r="AT348" t="n">
        <v>42.2</v>
      </c>
      <c r="AU348" t="n">
        <v>55.7</v>
      </c>
      <c r="AV348" t="n">
        <v>46.9</v>
      </c>
      <c r="AW348" t="n">
        <v>56.1</v>
      </c>
      <c r="AX348" t="n">
        <v>48.4</v>
      </c>
      <c r="AY348" t="n">
        <v>52</v>
      </c>
      <c r="AZ348" t="n">
        <v>52.5</v>
      </c>
      <c r="BA348" t="n">
        <v>49.8</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5"/>
  <sheetViews>
    <sheetView zoomScale="160" zoomScaleNormal="160" workbookViewId="0">
      <pane ySplit="1" topLeftCell="A311" activePane="bottomLeft" state="frozen"/>
      <selection activeCell="B327" sqref="B327"/>
      <selection pane="bottomLeft" activeCell="I319" sqref="I319"/>
    </sheetView>
  </sheetViews>
  <sheetFormatPr baseColWidth="10" defaultRowHeight="15"/>
  <cols>
    <col width="10.83203125" customWidth="1" style="61" min="1" max="5"/>
    <col width="17.33203125" customWidth="1" style="61" min="6" max="6"/>
    <col width="10.83203125" customWidth="1" style="61" min="7" max="34"/>
    <col width="10.83203125" customWidth="1" style="61" min="35"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0.005946261862855021</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0.002415368482095734</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0.003308250267621143</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0.001908993042490375</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0.007023736925786585</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0.005175370520328406</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0.004795953898698118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0.002499423788695592</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0.01214176985836709</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0.008121212184290098</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0.01121649135860584</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0.006475130028390621</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0.004359160056142035</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0.006042360607523571</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0.001364520743962925</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0.01095758390676076</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0.004524292991518358</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0.01127753505756466</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0.01179630964408615</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0.01231138550254699</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0.009115299081112197</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0.005519211434632205</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0.006825206364500518</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0.01007035727291746</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0.0007533104187558595</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0.0008846765040147051</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0.001133419203873534</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0.001277297013855967</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0.005242770791438547</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0.003679249698806471</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0.002307809256537911</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-0.003153878554730963</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0.0008162981865049466</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0.005203890545060355</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0.007476300241164476</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0.004971927317226276</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0.006195640327927496</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0.002286972589984521</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0.003868126932553229</v>
      </c>
    </row>
    <row r="120">
      <c r="A120" s="82" t="n">
        <v>38292</v>
      </c>
      <c r="B120" t="n">
        <v/>
      </c>
      <c r="C120" t="n">
        <v/>
      </c>
      <c r="D120" t="n">
        <v/>
      </c>
      <c r="E120" t="n">
        <v/>
      </c>
      <c r="F120" t="n">
        <v/>
      </c>
    </row>
    <row r="121">
      <c r="A121" s="82" t="n">
        <v>38322</v>
      </c>
      <c r="B121" t="n">
        <v/>
      </c>
      <c r="C121" t="n">
        <v/>
      </c>
      <c r="D121" t="n">
        <v>21.6743221282959</v>
      </c>
      <c r="E121" t="n">
        <v>20.72029113769531</v>
      </c>
      <c r="F121" t="n">
        <v/>
      </c>
    </row>
    <row r="122">
      <c r="A122" s="82" t="n">
        <v>38353</v>
      </c>
      <c r="B122" t="n">
        <v/>
      </c>
      <c r="C122" t="n">
        <v/>
      </c>
      <c r="D122" t="n">
        <v>21.58342552185059</v>
      </c>
      <c r="E122" t="n">
        <v>20.60650253295898</v>
      </c>
      <c r="F122" t="n">
        <v>0.002216151393474777</v>
      </c>
    </row>
    <row r="123">
      <c r="A123" s="82" t="n">
        <v>38384</v>
      </c>
      <c r="B123" t="n">
        <v/>
      </c>
      <c r="C123" t="n">
        <v/>
      </c>
      <c r="D123" t="n">
        <v>22.52275848388672</v>
      </c>
      <c r="E123" t="n">
        <v>21.69228935241699</v>
      </c>
      <c r="F123" t="n">
        <v/>
      </c>
    </row>
    <row r="124">
      <c r="A124" s="82" t="n">
        <v>38412</v>
      </c>
      <c r="B124" t="n">
        <v/>
      </c>
      <c r="C124" t="n">
        <v/>
      </c>
      <c r="D124" t="n">
        <v>21.97861480712891</v>
      </c>
      <c r="E124" t="n">
        <v>21.16690444946289</v>
      </c>
      <c r="F124" t="n">
        <v/>
      </c>
    </row>
    <row r="125">
      <c r="A125" s="82" t="n">
        <v>38443</v>
      </c>
      <c r="B125" t="n">
        <v/>
      </c>
      <c r="C125" t="n">
        <v/>
      </c>
      <c r="D125" t="n">
        <v>21.21863174438477</v>
      </c>
      <c r="E125" t="n">
        <v>20.91005325317383</v>
      </c>
      <c r="F125" t="n">
        <v>0.005987965793950522</v>
      </c>
    </row>
    <row r="126">
      <c r="A126" s="82" t="n">
        <v>38473</v>
      </c>
      <c r="B126" t="n">
        <v/>
      </c>
      <c r="C126" t="n">
        <v/>
      </c>
      <c r="D126" t="n">
        <v>21.31286430358887</v>
      </c>
      <c r="E126" t="n">
        <v>20.74660301208496</v>
      </c>
      <c r="F126" t="n">
        <v/>
      </c>
    </row>
    <row r="127">
      <c r="A127" s="82" t="n">
        <v>38504</v>
      </c>
      <c r="B127" t="n">
        <v/>
      </c>
      <c r="C127" t="n">
        <v/>
      </c>
      <c r="D127" t="n">
        <v>21.6259822845459</v>
      </c>
      <c r="E127" t="n">
        <v>20.9801082611084</v>
      </c>
      <c r="F127" t="n">
        <v/>
      </c>
    </row>
    <row r="128">
      <c r="A128" s="82" t="n">
        <v>38534</v>
      </c>
      <c r="B128" t="n">
        <v/>
      </c>
      <c r="C128" t="n">
        <v/>
      </c>
      <c r="D128" t="n">
        <v>22.61091041564941</v>
      </c>
      <c r="E128" t="n">
        <v>21.13188362121582</v>
      </c>
      <c r="F128" t="n">
        <v>0.007313007535677775</v>
      </c>
    </row>
    <row r="129">
      <c r="A129" s="82" t="n">
        <v>38565</v>
      </c>
      <c r="B129" t="n">
        <v/>
      </c>
      <c r="C129" t="n">
        <v/>
      </c>
      <c r="D129" t="n">
        <v>22.98178291320801</v>
      </c>
      <c r="E129" t="n">
        <v>21.97248840332031</v>
      </c>
      <c r="F129" t="n">
        <v/>
      </c>
    </row>
    <row r="130">
      <c r="A130" s="82" t="n">
        <v>38596</v>
      </c>
      <c r="B130" t="n">
        <v/>
      </c>
      <c r="C130" t="n">
        <v/>
      </c>
      <c r="D130" t="n">
        <v>23.383056640625</v>
      </c>
      <c r="E130" t="n">
        <v>22.13593482971191</v>
      </c>
      <c r="F130" t="n">
        <v/>
      </c>
    </row>
    <row r="131">
      <c r="A131" s="82" t="n">
        <v>38626</v>
      </c>
      <c r="B131" t="n">
        <v/>
      </c>
      <c r="C131" t="n">
        <v/>
      </c>
      <c r="D131" t="n">
        <v>22.5014762878418</v>
      </c>
      <c r="E131" t="n">
        <v>21.5988826751709</v>
      </c>
      <c r="F131" t="n">
        <v>0.006424843739857264</v>
      </c>
    </row>
    <row r="132">
      <c r="A132" s="82" t="n">
        <v>38657</v>
      </c>
      <c r="B132" t="n">
        <v/>
      </c>
      <c r="C132" t="n">
        <v/>
      </c>
      <c r="D132" t="n">
        <v>22.91490364074707</v>
      </c>
      <c r="E132" t="n">
        <v>21.63391494750977</v>
      </c>
      <c r="F132" t="n">
        <v/>
      </c>
    </row>
    <row r="133">
      <c r="A133" s="82" t="n">
        <v>38687</v>
      </c>
      <c r="B133" t="n">
        <v/>
      </c>
      <c r="C133" t="n">
        <v/>
      </c>
      <c r="D133" t="n">
        <v>23.60497093200684</v>
      </c>
      <c r="E133" t="n">
        <v>21.69228935241699</v>
      </c>
      <c r="F133" t="n">
        <v/>
      </c>
    </row>
    <row r="134">
      <c r="A134" s="82" t="n">
        <v>38718</v>
      </c>
      <c r="B134" t="n">
        <v/>
      </c>
      <c r="C134" t="n">
        <v/>
      </c>
      <c r="D134" t="n">
        <v>25.62154769897461</v>
      </c>
      <c r="E134" t="n">
        <v>23.72364234924316</v>
      </c>
      <c r="F134" t="n">
        <v>0.008820370419109295</v>
      </c>
    </row>
    <row r="135">
      <c r="A135" s="82" t="n">
        <v>38749</v>
      </c>
      <c r="B135" t="n">
        <v/>
      </c>
      <c r="C135" t="n">
        <v/>
      </c>
      <c r="D135" t="n">
        <v>25.80703353881836</v>
      </c>
      <c r="E135" t="n">
        <v>23.59123802185059</v>
      </c>
      <c r="F135" t="n">
        <v/>
      </c>
    </row>
    <row r="136">
      <c r="A136" s="82" t="n">
        <v>38777</v>
      </c>
      <c r="B136" t="n">
        <v/>
      </c>
      <c r="C136" t="n">
        <v/>
      </c>
      <c r="D136" t="n">
        <v>26.94157791137695</v>
      </c>
      <c r="E136" t="n">
        <v>24.26527786254883</v>
      </c>
      <c r="F136" t="n">
        <v/>
      </c>
    </row>
    <row r="137">
      <c r="A137" s="82" t="n">
        <v>38808</v>
      </c>
      <c r="B137" t="n">
        <v/>
      </c>
      <c r="C137" t="n">
        <v/>
      </c>
      <c r="D137" t="n">
        <v>28.14722633361816</v>
      </c>
      <c r="E137" t="n">
        <v>25.81797409057617</v>
      </c>
      <c r="F137" t="n">
        <v>0.01102564284103661</v>
      </c>
    </row>
    <row r="138">
      <c r="A138" s="82" t="n">
        <v>38838</v>
      </c>
      <c r="B138" t="n">
        <v/>
      </c>
      <c r="C138" t="n">
        <v/>
      </c>
      <c r="D138" t="n">
        <v>27.14560699462891</v>
      </c>
      <c r="E138" t="n">
        <v>25.13189315795898</v>
      </c>
      <c r="F138" t="n">
        <v/>
      </c>
    </row>
    <row r="139">
      <c r="A139" s="82" t="n">
        <v>38869</v>
      </c>
      <c r="B139" t="n">
        <v/>
      </c>
      <c r="C139" t="n">
        <v/>
      </c>
      <c r="D139" t="n">
        <v>27.22289848327637</v>
      </c>
      <c r="E139" t="n">
        <v>25.33651924133301</v>
      </c>
      <c r="F139" t="n">
        <v/>
      </c>
    </row>
    <row r="140">
      <c r="A140" s="82" t="n">
        <v>38899</v>
      </c>
      <c r="B140" t="n">
        <v/>
      </c>
      <c r="C140" t="n">
        <v/>
      </c>
      <c r="D140" t="n">
        <v>27.5474910736084</v>
      </c>
      <c r="E140" t="n">
        <v>25.99851226806641</v>
      </c>
      <c r="F140" t="n">
        <v>0.00581379334609599</v>
      </c>
    </row>
    <row r="141">
      <c r="A141" s="82" t="n">
        <v>38930</v>
      </c>
      <c r="B141" t="n">
        <v/>
      </c>
      <c r="C141" t="n">
        <v/>
      </c>
      <c r="D141" t="n">
        <v>28.61712074279785</v>
      </c>
      <c r="E141" t="n">
        <v>26.56422424316406</v>
      </c>
      <c r="F141" t="n">
        <v/>
      </c>
    </row>
    <row r="142">
      <c r="A142" s="82" t="n">
        <v>38961</v>
      </c>
      <c r="B142" t="n">
        <v/>
      </c>
      <c r="C142" t="n">
        <v/>
      </c>
      <c r="D142" t="n">
        <v>29.11792755126953</v>
      </c>
      <c r="E142" t="n">
        <v>26.34756660461426</v>
      </c>
      <c r="F142" t="n">
        <v/>
      </c>
    </row>
    <row r="143">
      <c r="A143" s="82" t="n">
        <v>38991</v>
      </c>
      <c r="B143" t="n">
        <v/>
      </c>
      <c r="C143" t="n">
        <v/>
      </c>
      <c r="D143" t="n">
        <v>30.11026573181152</v>
      </c>
      <c r="E143" t="n">
        <v>27.563232421875</v>
      </c>
      <c r="F143" t="n">
        <v>0.01175612468791236</v>
      </c>
    </row>
    <row r="144">
      <c r="A144" s="82" t="n">
        <v>39022</v>
      </c>
      <c r="B144" t="n">
        <v/>
      </c>
      <c r="C144" t="n">
        <v/>
      </c>
      <c r="D144" t="n">
        <v>31.50139617919922</v>
      </c>
      <c r="E144" t="n">
        <v>28.34559440612793</v>
      </c>
      <c r="F144" t="n">
        <v/>
      </c>
    </row>
    <row r="145">
      <c r="A145" s="82" t="n">
        <v>39052</v>
      </c>
      <c r="B145" t="n">
        <v/>
      </c>
      <c r="C145" t="n">
        <v/>
      </c>
      <c r="D145" t="n">
        <v>31.94965744018555</v>
      </c>
      <c r="E145" t="n">
        <v>28.17708969116211</v>
      </c>
      <c r="F145" t="n">
        <v/>
      </c>
    </row>
    <row r="146">
      <c r="A146" s="82" t="n">
        <v>39083</v>
      </c>
      <c r="B146" t="n">
        <v/>
      </c>
      <c r="C146" t="n">
        <v/>
      </c>
      <c r="D146" t="n">
        <v>32.99743270874023</v>
      </c>
      <c r="E146" t="n">
        <v>29.35253143310547</v>
      </c>
      <c r="F146" t="n">
        <v>0.006128540237409435</v>
      </c>
    </row>
    <row r="147">
      <c r="A147" s="82" t="n">
        <v>39114</v>
      </c>
      <c r="B147" t="n">
        <v/>
      </c>
      <c r="C147" t="n">
        <v/>
      </c>
      <c r="D147" t="n">
        <v>32.69845581054688</v>
      </c>
      <c r="E147" t="n">
        <v>28.91666412353516</v>
      </c>
      <c r="F147" t="n">
        <v/>
      </c>
    </row>
    <row r="148">
      <c r="A148" s="82" t="n">
        <v>39142</v>
      </c>
      <c r="B148" t="n">
        <v/>
      </c>
      <c r="C148" t="n">
        <v/>
      </c>
      <c r="D148" t="n">
        <v>34.05801010131836</v>
      </c>
      <c r="E148" t="n">
        <v>29.97519683837891</v>
      </c>
      <c r="F148" t="n">
        <v/>
      </c>
    </row>
    <row r="149">
      <c r="A149" s="82" t="n">
        <v>39173</v>
      </c>
      <c r="B149" t="n">
        <v/>
      </c>
      <c r="C149" t="n">
        <v/>
      </c>
      <c r="D149" t="n">
        <v>36.19174957275391</v>
      </c>
      <c r="E149" t="n">
        <v>30.94654655456543</v>
      </c>
      <c r="F149" t="n">
        <v>0.007101927982976596</v>
      </c>
    </row>
    <row r="150">
      <c r="A150" s="82" t="n">
        <v>39203</v>
      </c>
      <c r="B150" t="n">
        <v/>
      </c>
      <c r="C150" t="n">
        <v/>
      </c>
      <c r="D150" t="n">
        <v>37.56073379516602</v>
      </c>
      <c r="E150" t="n">
        <v>31.6065788269043</v>
      </c>
      <c r="F150" t="n">
        <v/>
      </c>
    </row>
    <row r="151">
      <c r="A151" s="82" t="n">
        <v>39234</v>
      </c>
      <c r="B151" t="n">
        <v/>
      </c>
      <c r="C151" t="n">
        <v/>
      </c>
      <c r="D151" t="n">
        <v>37.13587188720703</v>
      </c>
      <c r="E151" t="n">
        <v>31.81828880310059</v>
      </c>
      <c r="F151" t="n">
        <v/>
      </c>
    </row>
    <row r="152">
      <c r="A152" s="82" t="n">
        <v>39264</v>
      </c>
      <c r="B152" t="n">
        <v/>
      </c>
      <c r="C152" t="n">
        <v/>
      </c>
      <c r="D152" t="n">
        <v>35.96830749511719</v>
      </c>
      <c r="E152" t="n">
        <v>30.7472972869873</v>
      </c>
      <c r="F152" t="n">
        <v>0.004579234282188724</v>
      </c>
    </row>
    <row r="153">
      <c r="A153" s="82" t="n">
        <v>39295</v>
      </c>
      <c r="B153" t="n">
        <v/>
      </c>
      <c r="C153" t="n">
        <v/>
      </c>
      <c r="D153" t="n">
        <v>35.95886611938477</v>
      </c>
      <c r="E153" t="n">
        <v>30.80957412719727</v>
      </c>
      <c r="F153" t="n">
        <v/>
      </c>
    </row>
    <row r="154">
      <c r="A154" s="82" t="n">
        <v>39326</v>
      </c>
      <c r="B154" t="n">
        <v/>
      </c>
      <c r="C154" t="n">
        <v/>
      </c>
      <c r="D154" t="n">
        <v>38.04853820800781</v>
      </c>
      <c r="E154" t="n">
        <v>32.04244613647461</v>
      </c>
      <c r="F154" t="n">
        <v/>
      </c>
    </row>
    <row r="155">
      <c r="A155" s="82" t="n">
        <v>39356</v>
      </c>
      <c r="B155" t="n">
        <v/>
      </c>
      <c r="C155" t="n">
        <v/>
      </c>
      <c r="D155" t="n">
        <v>39.93365097045898</v>
      </c>
      <c r="E155" t="n">
        <v>33.89798736572266</v>
      </c>
      <c r="F155" t="n">
        <v>0.005113446659467334</v>
      </c>
    </row>
    <row r="156">
      <c r="A156" s="82" t="n">
        <v>39387</v>
      </c>
      <c r="B156" t="n">
        <v/>
      </c>
      <c r="C156" t="n">
        <v/>
      </c>
      <c r="D156" t="n">
        <v>38.82588577270508</v>
      </c>
      <c r="E156" t="n">
        <v>31.90545654296875</v>
      </c>
      <c r="F156" t="n">
        <v/>
      </c>
    </row>
    <row r="157">
      <c r="A157" s="82" t="n">
        <v>39417</v>
      </c>
      <c r="B157" t="n">
        <v/>
      </c>
      <c r="C157" t="n">
        <v/>
      </c>
      <c r="D157" t="n">
        <v>37.55130004882812</v>
      </c>
      <c r="E157" t="n">
        <v>29.98764610290527</v>
      </c>
      <c r="F157" t="n">
        <v/>
      </c>
    </row>
    <row r="158">
      <c r="A158" s="82" t="n">
        <v>39448</v>
      </c>
      <c r="B158" t="n">
        <v/>
      </c>
      <c r="C158" t="n">
        <v/>
      </c>
      <c r="D158" t="n">
        <v>34.53703689575195</v>
      </c>
      <c r="E158" t="n">
        <v>28.55843162536621</v>
      </c>
      <c r="F158" t="n">
        <v>0.005034317666948991</v>
      </c>
    </row>
    <row r="159">
      <c r="A159" s="82" t="n">
        <v>39479</v>
      </c>
      <c r="B159" t="n">
        <v/>
      </c>
      <c r="C159" t="n">
        <v/>
      </c>
      <c r="D159" t="n">
        <v>34.25300979614258</v>
      </c>
      <c r="E159" t="n">
        <v>28.22335624694824</v>
      </c>
      <c r="F159" t="n">
        <v/>
      </c>
    </row>
    <row r="160">
      <c r="A160" s="82" t="n">
        <v>39508</v>
      </c>
      <c r="B160" t="n">
        <v/>
      </c>
      <c r="C160" t="n">
        <v/>
      </c>
      <c r="D160" t="n">
        <v>35.11804962158203</v>
      </c>
      <c r="E160" t="n">
        <v>27.78517913818359</v>
      </c>
      <c r="F160" t="n">
        <v/>
      </c>
    </row>
    <row r="161">
      <c r="A161" s="82" t="n">
        <v>39539</v>
      </c>
      <c r="B161" t="n">
        <v/>
      </c>
      <c r="C161" t="n">
        <v/>
      </c>
      <c r="D161" t="n">
        <v>36.51890563964844</v>
      </c>
      <c r="E161" t="n">
        <v>29.43476867675781</v>
      </c>
      <c r="F161" t="n">
        <v>-0.003348891026628599</v>
      </c>
    </row>
    <row r="162">
      <c r="A162" s="82" t="n">
        <v>39569</v>
      </c>
      <c r="B162" t="n">
        <v/>
      </c>
      <c r="C162" t="n">
        <v/>
      </c>
      <c r="D162" t="n">
        <v>36.95141983032227</v>
      </c>
      <c r="E162" t="n">
        <v>29.37032699584961</v>
      </c>
      <c r="F162" t="n">
        <v/>
      </c>
    </row>
    <row r="163">
      <c r="A163" s="82" t="n">
        <v>39600</v>
      </c>
      <c r="B163" t="n">
        <v/>
      </c>
      <c r="C163" t="n">
        <v/>
      </c>
      <c r="D163" t="n">
        <v>31.62884330749512</v>
      </c>
      <c r="E163" t="n">
        <v>26.70264625549316</v>
      </c>
      <c r="F163" t="n">
        <v/>
      </c>
    </row>
    <row r="164">
      <c r="A164" s="82" t="n">
        <v>39630</v>
      </c>
      <c r="B164" t="n">
        <v/>
      </c>
      <c r="C164" t="n">
        <v/>
      </c>
      <c r="D164" t="n">
        <v>31.99060821533203</v>
      </c>
      <c r="E164" t="n">
        <v>26.19172668457031</v>
      </c>
      <c r="F164" t="n">
        <v>-0.005236612023770313</v>
      </c>
    </row>
    <row r="165">
      <c r="A165" s="82" t="n">
        <v>39661</v>
      </c>
      <c r="B165" t="n">
        <v/>
      </c>
      <c r="C165" t="n">
        <v/>
      </c>
      <c r="D165" t="n">
        <v>30.73239707946777</v>
      </c>
      <c r="E165" t="n">
        <v>25.30856323242188</v>
      </c>
      <c r="F165" t="n">
        <v/>
      </c>
    </row>
    <row r="166">
      <c r="A166" s="82" t="n">
        <v>39692</v>
      </c>
      <c r="B166" t="n">
        <v/>
      </c>
      <c r="C166" t="n">
        <v/>
      </c>
      <c r="D166" t="n">
        <v>26.58298873901367</v>
      </c>
      <c r="E166" t="n">
        <v>21.947265625</v>
      </c>
      <c r="F166" t="n">
        <v/>
      </c>
    </row>
    <row r="167">
      <c r="A167" s="82" t="n">
        <v>39722</v>
      </c>
      <c r="B167" t="n">
        <v/>
      </c>
      <c r="C167" t="n">
        <v/>
      </c>
      <c r="D167" t="n">
        <v>20.05101776123047</v>
      </c>
      <c r="E167" t="n">
        <v>17.61053657531738</v>
      </c>
      <c r="F167" t="n">
        <v>-0.01801536404724576</v>
      </c>
    </row>
    <row r="168">
      <c r="A168" s="82" t="n">
        <v>39753</v>
      </c>
      <c r="B168" t="n">
        <v/>
      </c>
      <c r="C168" t="n">
        <v/>
      </c>
      <c r="D168" t="n">
        <v>18.55856704711914</v>
      </c>
      <c r="E168" t="n">
        <v>16.4769287109375</v>
      </c>
      <c r="F168" t="n">
        <v/>
      </c>
    </row>
    <row r="169">
      <c r="A169" s="82" t="n">
        <v>39783</v>
      </c>
      <c r="B169" t="n">
        <v/>
      </c>
      <c r="C169" t="n">
        <v/>
      </c>
      <c r="D169" t="n">
        <v>20.48604011535645</v>
      </c>
      <c r="E169" t="n">
        <v>16.14738464355469</v>
      </c>
      <c r="F169" t="n">
        <v/>
      </c>
    </row>
    <row r="170">
      <c r="A170" s="82" t="n">
        <v>39814</v>
      </c>
      <c r="B170" t="n">
        <v/>
      </c>
      <c r="C170" t="n">
        <v/>
      </c>
      <c r="D170" t="n">
        <v>17.27926445007324</v>
      </c>
      <c r="E170" t="n">
        <v>15.05335712432861</v>
      </c>
      <c r="F170" t="n">
        <v>-0.03125700021967433</v>
      </c>
    </row>
    <row r="171">
      <c r="A171" s="82" t="n">
        <v>39845</v>
      </c>
      <c r="B171" t="n">
        <v/>
      </c>
      <c r="C171" t="n">
        <v/>
      </c>
      <c r="D171" t="n">
        <v>15.19348239898682</v>
      </c>
      <c r="E171" t="n">
        <v>13.58870697021484</v>
      </c>
      <c r="F171" t="n">
        <v/>
      </c>
    </row>
    <row r="172">
      <c r="A172" s="82" t="n">
        <v>39873</v>
      </c>
      <c r="B172" t="n">
        <v/>
      </c>
      <c r="C172" t="n">
        <v/>
      </c>
      <c r="D172" t="n">
        <v>16.69988059997559</v>
      </c>
      <c r="E172" t="n">
        <v>14.21253967285156</v>
      </c>
      <c r="F172" t="n">
        <v/>
      </c>
    </row>
    <row r="173">
      <c r="A173" s="82" t="n">
        <v>39904</v>
      </c>
      <c r="B173" t="n">
        <v/>
      </c>
      <c r="C173" t="n">
        <v/>
      </c>
      <c r="D173" t="n">
        <v>19.14692115783691</v>
      </c>
      <c r="E173" t="n">
        <v>15.90773868560791</v>
      </c>
      <c r="F173" t="n">
        <v>8.145035998345829e-05</v>
      </c>
    </row>
    <row r="174">
      <c r="A174" s="82" t="n">
        <v>39934</v>
      </c>
      <c r="B174" t="n">
        <v/>
      </c>
      <c r="C174" t="n">
        <v/>
      </c>
      <c r="D174" t="n">
        <v>21.67575836181641</v>
      </c>
      <c r="E174" t="n">
        <v>18.62005233764648</v>
      </c>
      <c r="F174" t="n">
        <v/>
      </c>
    </row>
    <row r="175">
      <c r="A175" s="82" t="n">
        <v>39965</v>
      </c>
      <c r="B175" t="n">
        <v/>
      </c>
      <c r="C175" t="n">
        <v/>
      </c>
      <c r="D175" t="n">
        <v>20.66013526916504</v>
      </c>
      <c r="E175" t="n">
        <v>17.91485214233398</v>
      </c>
      <c r="F175" t="n">
        <v/>
      </c>
    </row>
    <row r="176">
      <c r="A176" s="82" t="n">
        <v>39995</v>
      </c>
      <c r="B176" t="n">
        <v/>
      </c>
      <c r="C176" t="n">
        <v/>
      </c>
      <c r="D176" t="n">
        <v>23.47220039367676</v>
      </c>
      <c r="E176" t="n">
        <v>19.78665161132812</v>
      </c>
      <c r="F176" t="n">
        <v>0.003946279649289606</v>
      </c>
    </row>
    <row r="177">
      <c r="A177" s="82" t="n">
        <v>40026</v>
      </c>
      <c r="B177" t="n">
        <v/>
      </c>
      <c r="C177" t="n">
        <v/>
      </c>
      <c r="D177" t="n">
        <v>24.94052886962891</v>
      </c>
      <c r="E177" t="n">
        <v>20.64274024963379</v>
      </c>
      <c r="F177" t="n">
        <v/>
      </c>
    </row>
    <row r="178">
      <c r="A178" s="82" t="n">
        <v>40057</v>
      </c>
      <c r="B178" t="n">
        <v/>
      </c>
      <c r="C178" t="n">
        <v/>
      </c>
      <c r="D178" t="n">
        <v>26.57666397094727</v>
      </c>
      <c r="E178" t="n">
        <v>21.41597747802734</v>
      </c>
      <c r="F178" t="n">
        <v/>
      </c>
    </row>
    <row r="179">
      <c r="A179" s="82" t="n">
        <v>40087</v>
      </c>
      <c r="B179" t="n">
        <v/>
      </c>
      <c r="C179" t="n">
        <v/>
      </c>
      <c r="D179" t="n">
        <v>25.36005592346191</v>
      </c>
      <c r="E179" t="n">
        <v>21.38835906982422</v>
      </c>
      <c r="F179" t="n">
        <v>0.004162830892908167</v>
      </c>
    </row>
    <row r="180">
      <c r="A180" s="82" t="n">
        <v>40118</v>
      </c>
      <c r="B180" t="n">
        <v/>
      </c>
      <c r="C180" t="n">
        <v/>
      </c>
      <c r="D180" t="n">
        <v>26.59764289855957</v>
      </c>
      <c r="E180" t="n">
        <v>22.46537590026855</v>
      </c>
      <c r="F180" t="n">
        <v/>
      </c>
    </row>
    <row r="181">
      <c r="A181" s="82" t="n">
        <v>40148</v>
      </c>
      <c r="B181" t="n">
        <v/>
      </c>
      <c r="C181" t="n">
        <v/>
      </c>
      <c r="D181" t="n">
        <v>26.19909477233887</v>
      </c>
      <c r="E181" t="n">
        <v>22.36872291564941</v>
      </c>
      <c r="F181" t="n">
        <v/>
      </c>
    </row>
    <row r="182">
      <c r="A182" s="82" t="n">
        <v>40179</v>
      </c>
      <c r="B182" t="n">
        <v/>
      </c>
      <c r="C182" t="n">
        <v/>
      </c>
      <c r="D182" t="n">
        <v>24.30830955505371</v>
      </c>
      <c r="E182" t="n">
        <v>21.55474281311035</v>
      </c>
      <c r="F182" t="n">
        <v>0.004297593575372031</v>
      </c>
    </row>
    <row r="183">
      <c r="A183" s="82" t="n">
        <v>40210</v>
      </c>
      <c r="B183" t="n">
        <v/>
      </c>
      <c r="C183" t="n">
        <v/>
      </c>
      <c r="D183" t="n">
        <v>23.58236885070801</v>
      </c>
      <c r="E183" t="n">
        <v>21.37313842773438</v>
      </c>
      <c r="F183" t="n">
        <v/>
      </c>
    </row>
    <row r="184">
      <c r="A184" s="82" t="n">
        <v>40238</v>
      </c>
      <c r="B184" t="n">
        <v/>
      </c>
      <c r="C184" t="n">
        <v/>
      </c>
      <c r="D184" t="n">
        <v>25.32320594787598</v>
      </c>
      <c r="E184" t="n">
        <v>22.72817039489746</v>
      </c>
      <c r="F184" t="n">
        <v/>
      </c>
    </row>
    <row r="185">
      <c r="A185" s="82" t="n">
        <v>40269</v>
      </c>
      <c r="B185" t="n">
        <v/>
      </c>
      <c r="C185" t="n">
        <v/>
      </c>
      <c r="D185" t="n">
        <v>24.06867790222168</v>
      </c>
      <c r="E185" t="n">
        <v>22.2392406463623</v>
      </c>
      <c r="F185" t="n">
        <v>0.009765370086273224</v>
      </c>
    </row>
    <row r="186">
      <c r="A186" s="82" t="n">
        <v>40299</v>
      </c>
      <c r="B186" t="n">
        <v/>
      </c>
      <c r="C186" t="n">
        <v/>
      </c>
      <c r="D186" t="n">
        <v>21.03101539611816</v>
      </c>
      <c r="E186" t="n">
        <v>19.79460334777832</v>
      </c>
      <c r="F186" t="n">
        <v/>
      </c>
    </row>
    <row r="187">
      <c r="A187" s="82" t="n">
        <v>40330</v>
      </c>
      <c r="B187" t="n">
        <v/>
      </c>
      <c r="C187" t="n">
        <v/>
      </c>
      <c r="D187" t="n">
        <v>20.12183380126953</v>
      </c>
      <c r="E187" t="n">
        <v>18.77483749389648</v>
      </c>
      <c r="F187" t="n">
        <v/>
      </c>
    </row>
    <row r="188">
      <c r="A188" s="82" t="n">
        <v>40360</v>
      </c>
      <c r="B188" t="n">
        <v/>
      </c>
      <c r="C188" t="n">
        <v/>
      </c>
      <c r="D188" t="n">
        <v>23.62700843811035</v>
      </c>
      <c r="E188" t="n">
        <v>21.8773078918457</v>
      </c>
      <c r="F188" t="n">
        <v>0.004226547061293048</v>
      </c>
    </row>
    <row r="189">
      <c r="A189" s="82" t="n">
        <v>40391</v>
      </c>
      <c r="B189" t="n">
        <v/>
      </c>
      <c r="C189" t="n">
        <v/>
      </c>
      <c r="D189" t="n">
        <v>21.97944831848145</v>
      </c>
      <c r="E189" t="n">
        <v>21.26605224609375</v>
      </c>
      <c r="F189" t="n">
        <v/>
      </c>
    </row>
    <row r="190">
      <c r="A190" s="82" t="n">
        <v>40422</v>
      </c>
      <c r="B190" t="n">
        <v/>
      </c>
      <c r="C190" t="n">
        <v/>
      </c>
      <c r="D190" t="n">
        <v>24.91484069824219</v>
      </c>
      <c r="E190" t="n">
        <v>23.25618934631348</v>
      </c>
      <c r="F190" t="n">
        <v/>
      </c>
    </row>
    <row r="191">
      <c r="A191" s="82" t="n">
        <v>40452</v>
      </c>
      <c r="B191" t="n">
        <v>53.7</v>
      </c>
      <c r="C191" t="n">
        <v>34.73036193847656</v>
      </c>
      <c r="D191" t="n">
        <v>26.42569732666016</v>
      </c>
      <c r="E191" t="n">
        <v>24.23704147338867</v>
      </c>
      <c r="F191" t="n">
        <v>0.005946359375272979</v>
      </c>
    </row>
    <row r="192">
      <c r="A192" s="82" t="n">
        <v>40483</v>
      </c>
      <c r="B192" t="n">
        <v>54</v>
      </c>
      <c r="C192" t="n">
        <v>33.97114181518555</v>
      </c>
      <c r="D192" t="n">
        <v>23.49750709533691</v>
      </c>
      <c r="E192" t="n">
        <v>22.97188377380371</v>
      </c>
      <c r="F192" t="n">
        <v/>
      </c>
    </row>
    <row r="193">
      <c r="A193" s="82" t="n">
        <v>40513</v>
      </c>
      <c r="B193" t="n">
        <v>54.9</v>
      </c>
      <c r="C193" t="n">
        <v>36.26430130004883</v>
      </c>
      <c r="D193" t="n">
        <v>25.37528991699219</v>
      </c>
      <c r="E193" t="n">
        <v>24.69193267822266</v>
      </c>
      <c r="F193" t="n">
        <v/>
      </c>
    </row>
    <row r="194">
      <c r="A194" s="82" t="n">
        <v>40544</v>
      </c>
      <c r="B194" t="n">
        <v>57.2</v>
      </c>
      <c r="C194" t="n">
        <v>37.00938415527344</v>
      </c>
      <c r="D194" t="n">
        <v>27.20688629150391</v>
      </c>
      <c r="E194" t="n">
        <v>25.21372222900391</v>
      </c>
      <c r="F194" t="n">
        <v>0.009025740107566087</v>
      </c>
    </row>
    <row r="195">
      <c r="A195" s="82" t="n">
        <v>40575</v>
      </c>
      <c r="B195" t="n">
        <v>58.2</v>
      </c>
      <c r="C195" t="n">
        <v>38.15930557250977</v>
      </c>
      <c r="D195" t="n">
        <v>28.00474548339844</v>
      </c>
      <c r="E195" t="n">
        <v>26.3624153137207</v>
      </c>
      <c r="F195" t="n">
        <v/>
      </c>
    </row>
    <row r="196">
      <c r="A196" s="82" t="n">
        <v>40603</v>
      </c>
      <c r="B196" t="n">
        <v>56</v>
      </c>
      <c r="C196" t="n">
        <v>37.83076858520508</v>
      </c>
      <c r="D196" t="n">
        <v>28.09903717041016</v>
      </c>
      <c r="E196" t="n">
        <v>25.71627044677734</v>
      </c>
      <c r="F196" t="n">
        <v/>
      </c>
    </row>
    <row r="197">
      <c r="A197" s="82" t="n">
        <v>40634</v>
      </c>
      <c r="B197" t="n">
        <v>55.5</v>
      </c>
      <c r="C197" t="n">
        <v>39.65346145629883</v>
      </c>
      <c r="D197" t="n">
        <v>30.34028625488281</v>
      </c>
      <c r="E197" t="n">
        <v>27.43929862976074</v>
      </c>
      <c r="F197" t="n">
        <v>-0.0002631818278602184</v>
      </c>
    </row>
    <row r="198">
      <c r="A198" s="82" t="n">
        <v>40664</v>
      </c>
      <c r="B198" t="n">
        <v>53.1</v>
      </c>
      <c r="C198" t="n">
        <v>38.87901306152344</v>
      </c>
      <c r="D198" t="n">
        <v>28.89689254760742</v>
      </c>
      <c r="E198" t="n">
        <v>26.79316711425781</v>
      </c>
      <c r="F198" t="n">
        <v/>
      </c>
    </row>
    <row r="199">
      <c r="A199" s="82" t="n">
        <v>40695</v>
      </c>
      <c r="B199" t="n">
        <v>52.8</v>
      </c>
      <c r="C199" t="n">
        <v>37.74470901489258</v>
      </c>
      <c r="D199" t="n">
        <v>28.16431617736816</v>
      </c>
      <c r="E199" t="n">
        <v>25.57268142700195</v>
      </c>
      <c r="F199" t="n">
        <v/>
      </c>
    </row>
    <row r="200">
      <c r="A200" s="82" t="n">
        <v>40725</v>
      </c>
      <c r="B200" t="n">
        <v>50.9</v>
      </c>
      <c r="C200" t="n">
        <v>37.32358551025391</v>
      </c>
      <c r="D200" t="n">
        <v>26.62810707092285</v>
      </c>
      <c r="E200" t="n">
        <v>25.91227531433105</v>
      </c>
      <c r="F200" t="n">
        <v>0.001503560906723123</v>
      </c>
    </row>
    <row r="201">
      <c r="A201" s="82" t="n">
        <v>40756</v>
      </c>
      <c r="B201" t="n">
        <v>50.4</v>
      </c>
      <c r="C201" t="n">
        <v>34.57676696777344</v>
      </c>
      <c r="D201" t="n">
        <v>23.37932968139648</v>
      </c>
      <c r="E201" t="n">
        <v>23.9257640838623</v>
      </c>
      <c r="F201" t="n">
        <v/>
      </c>
    </row>
    <row r="202">
      <c r="A202" s="82" t="n">
        <v>40787</v>
      </c>
      <c r="B202" t="n">
        <v>50.1</v>
      </c>
      <c r="C202" t="n">
        <v>30.96710014343262</v>
      </c>
      <c r="D202" t="n">
        <v>20.26406097412109</v>
      </c>
      <c r="E202" t="n">
        <v>21.57408905029297</v>
      </c>
      <c r="F202" t="n">
        <v/>
      </c>
    </row>
    <row r="203">
      <c r="A203" s="82" t="n">
        <v>40817</v>
      </c>
      <c r="B203" t="n">
        <v>49.5</v>
      </c>
      <c r="C203" t="n">
        <v>34.47385025024414</v>
      </c>
      <c r="D203" t="n">
        <v>22.82303237915039</v>
      </c>
      <c r="E203" t="n">
        <v>24.36396789550781</v>
      </c>
      <c r="F203" t="n">
        <v>-0.004182532603733119</v>
      </c>
    </row>
    <row r="204">
      <c r="A204" s="82" t="n">
        <v>40848</v>
      </c>
      <c r="B204" t="n">
        <v>49.6</v>
      </c>
      <c r="C204" t="n">
        <v>34.07805633544922</v>
      </c>
      <c r="D204" t="n">
        <v>21.85877990722656</v>
      </c>
      <c r="E204" t="n">
        <v>23.96958541870117</v>
      </c>
      <c r="F204" t="n">
        <v/>
      </c>
    </row>
    <row r="205">
      <c r="A205" s="82" t="n">
        <v>40878</v>
      </c>
      <c r="B205" t="n">
        <v>50.4</v>
      </c>
      <c r="C205" t="n">
        <v>33.3814582824707</v>
      </c>
      <c r="D205" t="n">
        <v>20.69426727294922</v>
      </c>
      <c r="E205" t="n">
        <v>23.60441970825195</v>
      </c>
      <c r="F205" t="n">
        <v/>
      </c>
    </row>
    <row r="206">
      <c r="A206" s="82" t="n">
        <v>40909</v>
      </c>
      <c r="B206" t="n">
        <v>51</v>
      </c>
      <c r="C206" t="n">
        <v>35.60320663452148</v>
      </c>
      <c r="D206" t="n">
        <v>22.41403579711914</v>
      </c>
      <c r="E206" t="n">
        <v>24.36396789550781</v>
      </c>
      <c r="F206" t="n">
        <v>-0.002087551256561789</v>
      </c>
    </row>
    <row r="207">
      <c r="A207" s="82" t="n">
        <v>40940</v>
      </c>
      <c r="B207" t="n">
        <v>51.2</v>
      </c>
      <c r="C207" t="n">
        <v>37.36416625976562</v>
      </c>
      <c r="D207" t="n">
        <v>23.64466285705566</v>
      </c>
      <c r="E207" t="n">
        <v>25.60553550720215</v>
      </c>
      <c r="F207" t="n">
        <v/>
      </c>
    </row>
    <row r="208">
      <c r="A208" s="82" t="n">
        <v>40969</v>
      </c>
      <c r="B208" t="n">
        <v>51.6</v>
      </c>
      <c r="C208" t="n">
        <v>37.78038024902344</v>
      </c>
      <c r="D208" t="n">
        <v>23.67468452453613</v>
      </c>
      <c r="E208" t="n">
        <v>25.26958274841309</v>
      </c>
      <c r="F208" t="n">
        <v/>
      </c>
    </row>
    <row r="209">
      <c r="A209" s="82" t="n">
        <v>41000</v>
      </c>
      <c r="B209" t="n">
        <v>51.3</v>
      </c>
      <c r="C209" t="n">
        <v>37.34814071655273</v>
      </c>
      <c r="D209" t="n">
        <v>22.34650039672852</v>
      </c>
      <c r="E209" t="n">
        <v>25.63474655151367</v>
      </c>
      <c r="F209" t="n">
        <v>-0.002738060988658989</v>
      </c>
    </row>
    <row r="210">
      <c r="A210" s="82" t="n">
        <v>41030</v>
      </c>
      <c r="B210" t="n">
        <v>50.3</v>
      </c>
      <c r="C210" t="n">
        <v>33.88227844238281</v>
      </c>
      <c r="D210" t="n">
        <v>19.46501731872559</v>
      </c>
      <c r="E210" t="n">
        <v>22.71341323852539</v>
      </c>
      <c r="F210" t="n">
        <v/>
      </c>
    </row>
    <row r="211">
      <c r="A211" s="82" t="n">
        <v>41061</v>
      </c>
      <c r="B211" t="n">
        <v>49.7</v>
      </c>
      <c r="C211" t="n">
        <v>35.11493682861328</v>
      </c>
      <c r="D211" t="n">
        <v>20.59810256958008</v>
      </c>
      <c r="E211" t="n">
        <v>23.79430961608887</v>
      </c>
      <c r="F211" t="n">
        <v/>
      </c>
    </row>
    <row r="212">
      <c r="A212" s="82" t="n">
        <v>41091</v>
      </c>
      <c r="B212" t="n">
        <v>48.8</v>
      </c>
      <c r="C212" t="n">
        <v>35.89302444458008</v>
      </c>
      <c r="D212" t="n">
        <v>20.99536514282227</v>
      </c>
      <c r="E212" t="n">
        <v>24.56755065917969</v>
      </c>
      <c r="F212" t="n">
        <v>-0.0009576526083141005</v>
      </c>
    </row>
    <row r="213">
      <c r="A213" s="82" t="n">
        <v>41122</v>
      </c>
      <c r="B213" t="n">
        <v>48.7</v>
      </c>
      <c r="C213" t="n">
        <v>36.89118576049805</v>
      </c>
      <c r="D213" t="n">
        <v>22.38578414916992</v>
      </c>
      <c r="E213" t="n">
        <v>25.37499809265137</v>
      </c>
      <c r="F213" t="n">
        <v/>
      </c>
    </row>
    <row r="214">
      <c r="A214" s="82" t="n">
        <v>41153</v>
      </c>
      <c r="B214" t="n">
        <v>48.7</v>
      </c>
      <c r="C214" t="n">
        <v>37.88933181762695</v>
      </c>
      <c r="D214" t="n">
        <v>23.21231079101562</v>
      </c>
      <c r="E214" t="n">
        <v>26.01796722412109</v>
      </c>
      <c r="F214" t="n">
        <v/>
      </c>
    </row>
    <row r="215">
      <c r="A215" s="82" t="n">
        <v>41183</v>
      </c>
      <c r="B215" t="n">
        <v>48.9</v>
      </c>
      <c r="C215" t="n">
        <v>37.69457244873047</v>
      </c>
      <c r="D215" t="n">
        <v>23.80710601806641</v>
      </c>
      <c r="E215" t="n">
        <v>26.13759803771973</v>
      </c>
      <c r="F215" t="n">
        <v>-0.004467876354884166</v>
      </c>
    </row>
    <row r="216">
      <c r="A216" s="82" t="n">
        <v>41214</v>
      </c>
      <c r="B216" t="n">
        <v>49.6</v>
      </c>
      <c r="C216" t="n">
        <v>38.29509735107422</v>
      </c>
      <c r="D216" t="n">
        <v>24.61818313598633</v>
      </c>
      <c r="E216" t="n">
        <v>26.43665313720703</v>
      </c>
      <c r="F216" t="n">
        <v/>
      </c>
    </row>
    <row r="217">
      <c r="A217" s="82" t="n">
        <v>41244</v>
      </c>
      <c r="B217" t="n">
        <v>50</v>
      </c>
      <c r="C217" t="n">
        <v>39.01733779907227</v>
      </c>
      <c r="D217" t="n">
        <v>25.84639167785645</v>
      </c>
      <c r="E217" t="n">
        <v>26.82542419433594</v>
      </c>
      <c r="F217" t="n">
        <v/>
      </c>
    </row>
    <row r="218">
      <c r="A218" s="82" t="n">
        <v>41275</v>
      </c>
      <c r="B218" t="n">
        <v>51.5</v>
      </c>
      <c r="C218" t="n">
        <v>40.8907356262207</v>
      </c>
      <c r="D218" t="n">
        <v>26.91959953308105</v>
      </c>
      <c r="E218" t="n">
        <v>28.01076126098633</v>
      </c>
      <c r="F218" t="n">
        <v>-0.003329369867465364</v>
      </c>
    </row>
    <row r="219">
      <c r="A219" s="82" t="n">
        <v>41306</v>
      </c>
      <c r="B219" t="n">
        <v>50.9</v>
      </c>
      <c r="C219" t="n">
        <v>40.84975051879883</v>
      </c>
      <c r="D219" t="n">
        <v>25.6790657043457</v>
      </c>
      <c r="E219" t="n">
        <v>27.25248527526855</v>
      </c>
      <c r="F219" t="n">
        <v/>
      </c>
    </row>
    <row r="220">
      <c r="A220" s="82" t="n">
        <v>41334</v>
      </c>
      <c r="B220" t="n">
        <v>51.2</v>
      </c>
      <c r="C220" t="n">
        <v>41.59561538696289</v>
      </c>
      <c r="D220" t="n">
        <v>25.31466102600098</v>
      </c>
      <c r="E220" t="n">
        <v>27.70745086669922</v>
      </c>
      <c r="F220" t="n">
        <v/>
      </c>
    </row>
    <row r="221">
      <c r="A221" s="82" t="n">
        <v>41365</v>
      </c>
      <c r="B221" t="n">
        <v>50.4</v>
      </c>
      <c r="C221" t="n">
        <v>42.77585601806641</v>
      </c>
      <c r="D221" t="n">
        <v>26.77228927612305</v>
      </c>
      <c r="E221" t="n">
        <v>28.49606704711914</v>
      </c>
      <c r="F221" t="n">
        <v>0.005173073754026931</v>
      </c>
    </row>
    <row r="222">
      <c r="A222" s="82" t="n">
        <v>41395</v>
      </c>
      <c r="B222" t="n">
        <v>50.6</v>
      </c>
      <c r="C222" t="n">
        <v>42.61194229125977</v>
      </c>
      <c r="D222" t="n">
        <v>27.12118911743164</v>
      </c>
      <c r="E222" t="n">
        <v>28.46573066711426</v>
      </c>
      <c r="F222" t="n">
        <v/>
      </c>
    </row>
    <row r="223">
      <c r="A223" s="82" t="n">
        <v>41426</v>
      </c>
      <c r="B223" t="n">
        <v>50.6</v>
      </c>
      <c r="C223" t="n">
        <v>40.98090362548828</v>
      </c>
      <c r="D223" t="n">
        <v>25.18285369873047</v>
      </c>
      <c r="E223" t="n">
        <v>26.7823543548584</v>
      </c>
      <c r="F223" t="n">
        <v/>
      </c>
    </row>
    <row r="224">
      <c r="A224" s="82" t="n">
        <v>41456</v>
      </c>
      <c r="B224" t="n">
        <v>50.8</v>
      </c>
      <c r="C224" t="n">
        <v>43.40415954589844</v>
      </c>
      <c r="D224" t="n">
        <v>28.05583953857422</v>
      </c>
      <c r="E224" t="n">
        <v>28.91839027404785</v>
      </c>
      <c r="F224" t="n">
        <v>0.003023420364071733</v>
      </c>
    </row>
    <row r="225">
      <c r="A225" s="82" t="n">
        <v>41487</v>
      </c>
      <c r="B225" t="n">
        <v>51.6</v>
      </c>
      <c r="C225" t="n">
        <v>42.40806579589844</v>
      </c>
      <c r="D225" t="n">
        <v>27.54747581481934</v>
      </c>
      <c r="E225" t="n">
        <v>28.70292663574219</v>
      </c>
      <c r="F225" t="n">
        <v/>
      </c>
    </row>
    <row r="226">
      <c r="A226" s="82" t="n">
        <v>41518</v>
      </c>
      <c r="B226" t="n">
        <v>51.8</v>
      </c>
      <c r="C226" t="n">
        <v>44.75716018676758</v>
      </c>
      <c r="D226" t="n">
        <v>29.97019577026367</v>
      </c>
      <c r="E226" t="n">
        <v>30.19579124450684</v>
      </c>
      <c r="F226" t="n">
        <v/>
      </c>
    </row>
    <row r="227">
      <c r="A227" s="82" t="n">
        <v>41548</v>
      </c>
      <c r="B227" t="n">
        <v>52.1</v>
      </c>
      <c r="C227" t="n">
        <v>46.52519607543945</v>
      </c>
      <c r="D227" t="n">
        <v>31.59856986999512</v>
      </c>
      <c r="E227" t="n">
        <v>31.31928825378418</v>
      </c>
      <c r="F227" t="n">
        <v>0.002846114850167553</v>
      </c>
    </row>
    <row r="228">
      <c r="A228" s="82" t="n">
        <v>41579</v>
      </c>
      <c r="B228" t="n">
        <v>53.1</v>
      </c>
      <c r="C228" t="n">
        <v>47.24735641479492</v>
      </c>
      <c r="D228" t="n">
        <v>32.05928802490234</v>
      </c>
      <c r="E228" t="n">
        <v>31.56552505493164</v>
      </c>
      <c r="F228" t="n">
        <v/>
      </c>
    </row>
    <row r="229">
      <c r="A229" s="82" t="n">
        <v>41609</v>
      </c>
      <c r="B229" t="n">
        <v>53.3</v>
      </c>
      <c r="C229" t="n">
        <v>47.82840347290039</v>
      </c>
      <c r="D229" t="n">
        <v>32.86951065063477</v>
      </c>
      <c r="E229" t="n">
        <v>32.13496780395508</v>
      </c>
      <c r="F229" t="n">
        <v/>
      </c>
    </row>
    <row r="230">
      <c r="A230" s="82" t="n">
        <v>41640</v>
      </c>
      <c r="B230" t="n">
        <v>52.9</v>
      </c>
      <c r="C230" t="n">
        <v>45.99035263061523</v>
      </c>
      <c r="D230" t="n">
        <v>31.29400062561035</v>
      </c>
      <c r="E230" t="n">
        <v>31.01049995422363</v>
      </c>
      <c r="F230" t="n">
        <v>0.004112951053168787</v>
      </c>
    </row>
    <row r="231">
      <c r="A231" s="82" t="n">
        <v>41671</v>
      </c>
      <c r="B231" t="n">
        <v>53.3</v>
      </c>
      <c r="C231" t="n">
        <v>48.3840217590332</v>
      </c>
      <c r="D231" t="n">
        <v>33.47748565673828</v>
      </c>
      <c r="E231" t="n">
        <v>33.11317443847656</v>
      </c>
      <c r="F231" t="n">
        <v/>
      </c>
    </row>
    <row r="232">
      <c r="A232" s="82" t="n">
        <v>41699</v>
      </c>
      <c r="B232" t="n">
        <v>52.4</v>
      </c>
      <c r="C232" t="n">
        <v>48.66021728515625</v>
      </c>
      <c r="D232" t="n">
        <v>33.68467712402344</v>
      </c>
      <c r="E232" t="n">
        <v>32.06962966918945</v>
      </c>
      <c r="F232" t="n">
        <v/>
      </c>
    </row>
    <row r="233">
      <c r="A233" s="82" t="n">
        <v>41730</v>
      </c>
      <c r="B233" t="n">
        <v>51.9</v>
      </c>
      <c r="C233" t="n">
        <v>49.23770904541016</v>
      </c>
      <c r="D233" t="n">
        <v>34.30624771118164</v>
      </c>
      <c r="E233" t="n">
        <v>33.51813125610352</v>
      </c>
      <c r="F233" t="n">
        <v>0.001989290641023909</v>
      </c>
    </row>
    <row r="234">
      <c r="A234" s="82" t="n">
        <v>41760</v>
      </c>
      <c r="B234" t="n">
        <v>52.2</v>
      </c>
      <c r="C234" t="n">
        <v>50.22531890869141</v>
      </c>
      <c r="D234" t="n">
        <v>34.59313201904297</v>
      </c>
      <c r="E234" t="n">
        <v>33.84521865844727</v>
      </c>
      <c r="F234" t="n">
        <v/>
      </c>
    </row>
    <row r="235">
      <c r="A235" s="82" t="n">
        <v>41791</v>
      </c>
      <c r="B235" t="n">
        <v>52.6</v>
      </c>
      <c r="C235" t="n">
        <v>50.4345588684082</v>
      </c>
      <c r="D235" t="n">
        <v>33.72452163696289</v>
      </c>
      <c r="E235" t="n">
        <v>32.52131271362305</v>
      </c>
      <c r="F235" t="n">
        <v/>
      </c>
    </row>
    <row r="236">
      <c r="A236" s="82" t="n">
        <v>41821</v>
      </c>
      <c r="B236" t="n">
        <v>52.5</v>
      </c>
      <c r="C236" t="n">
        <v>50.40020751953125</v>
      </c>
      <c r="D236" t="n">
        <v>32.32643890380859</v>
      </c>
      <c r="E236" t="n">
        <v>33.30129623413086</v>
      </c>
      <c r="F236" t="n">
        <v>0.00488016997556175</v>
      </c>
    </row>
    <row r="237">
      <c r="A237" s="82" t="n">
        <v>41852</v>
      </c>
      <c r="B237" t="n">
        <v>52.6</v>
      </c>
      <c r="C237" t="n">
        <v>51.69861221313477</v>
      </c>
      <c r="D237" t="n">
        <v>32.3832893371582</v>
      </c>
      <c r="E237" t="n">
        <v>33.562744140625</v>
      </c>
      <c r="F237" t="n">
        <v/>
      </c>
    </row>
    <row r="238">
      <c r="A238" s="82" t="n">
        <v>41883</v>
      </c>
      <c r="B238" t="n">
        <v>52.2</v>
      </c>
      <c r="C238" t="n">
        <v>49.98438262939453</v>
      </c>
      <c r="D238" t="n">
        <v>31.27055931091309</v>
      </c>
      <c r="E238" t="n">
        <v>31.66727447509766</v>
      </c>
      <c r="F238" t="n">
        <v/>
      </c>
    </row>
    <row r="239">
      <c r="A239" s="82" t="n">
        <v>41913</v>
      </c>
      <c r="B239" t="n">
        <v>52.2</v>
      </c>
      <c r="C239" t="n">
        <v>50.58691024780273</v>
      </c>
      <c r="D239" t="n">
        <v>30.37710952758789</v>
      </c>
      <c r="E239" t="n">
        <v>31.06268882751465</v>
      </c>
      <c r="F239" t="n">
        <v>0.003665222115981597</v>
      </c>
    </row>
    <row r="240">
      <c r="A240" s="82" t="n">
        <v>41944</v>
      </c>
      <c r="B240" t="n">
        <v>51.8</v>
      </c>
      <c r="C240" t="n">
        <v>51.28278732299805</v>
      </c>
      <c r="D240" t="n">
        <v>31.55483055114746</v>
      </c>
      <c r="E240" t="n">
        <v>31.09536933898926</v>
      </c>
      <c r="F240" t="n">
        <v/>
      </c>
    </row>
    <row r="241">
      <c r="A241" s="82" t="n">
        <v>41974</v>
      </c>
      <c r="B241" t="n">
        <v>51.6</v>
      </c>
      <c r="C241" t="n">
        <v>49.64493179321289</v>
      </c>
      <c r="D241" t="n">
        <v>29.50802993774414</v>
      </c>
      <c r="E241" t="n">
        <v>29.46135139465332</v>
      </c>
      <c r="F241" t="n">
        <v/>
      </c>
    </row>
    <row r="242">
      <c r="A242" s="82" t="n">
        <v>42005</v>
      </c>
      <c r="B242" t="n">
        <v>51.7</v>
      </c>
      <c r="C242" t="n">
        <v>49.41461944580078</v>
      </c>
      <c r="D242" t="n">
        <v>30.00854110717773</v>
      </c>
      <c r="E242" t="n">
        <v>30.06690979003906</v>
      </c>
      <c r="F242" t="n">
        <v>0.006244683936581469</v>
      </c>
    </row>
    <row r="243">
      <c r="A243" s="82" t="n">
        <v>42036</v>
      </c>
      <c r="B243" t="n">
        <v>52</v>
      </c>
      <c r="C243" t="n">
        <v>52.13657760620117</v>
      </c>
      <c r="D243" t="n">
        <v>31.87384605407715</v>
      </c>
      <c r="E243" t="n">
        <v>31.83358764648438</v>
      </c>
      <c r="F243" t="n">
        <v/>
      </c>
    </row>
    <row r="244">
      <c r="A244" s="82" t="n">
        <v>42064</v>
      </c>
      <c r="B244" t="n">
        <v>51.8</v>
      </c>
      <c r="C244" t="n">
        <v>51.37476348876953</v>
      </c>
      <c r="D244" t="n">
        <v>31.56296157836914</v>
      </c>
      <c r="E244" t="n">
        <v>30.01690673828125</v>
      </c>
      <c r="F244" t="n">
        <v/>
      </c>
    </row>
    <row r="245">
      <c r="A245" s="82" t="n">
        <v>42095</v>
      </c>
      <c r="B245" t="n">
        <v>51</v>
      </c>
      <c r="C245" t="n">
        <v>52.84702682495117</v>
      </c>
      <c r="D245" t="n">
        <v>32.26655197143555</v>
      </c>
      <c r="E245" t="n">
        <v>32.01692199707031</v>
      </c>
      <c r="F245" t="n">
        <v>0.004657779638774662</v>
      </c>
    </row>
    <row r="246">
      <c r="A246" s="82" t="n">
        <v>42125</v>
      </c>
      <c r="B246" t="n">
        <v>51.2</v>
      </c>
      <c r="C246" t="n">
        <v>52.84702682495117</v>
      </c>
      <c r="D246" t="n">
        <v>32.06201934814453</v>
      </c>
      <c r="E246" t="n">
        <v>32.2169189453125</v>
      </c>
      <c r="F246" t="n">
        <v/>
      </c>
    </row>
    <row r="247">
      <c r="A247" s="82" t="n">
        <v>42156</v>
      </c>
      <c r="B247" t="n">
        <v>51</v>
      </c>
      <c r="C247" t="n">
        <v>50.88686752319336</v>
      </c>
      <c r="D247" t="n">
        <v>30.71212387084961</v>
      </c>
      <c r="E247" t="n">
        <v>30.41691398620605</v>
      </c>
      <c r="F247" t="n">
        <v/>
      </c>
    </row>
    <row r="248">
      <c r="A248" s="82" t="n">
        <v>42186</v>
      </c>
      <c r="B248" t="n">
        <v>51</v>
      </c>
      <c r="C248" t="n">
        <v>51.90878295898438</v>
      </c>
      <c r="D248" t="n">
        <v>32.20861434936523</v>
      </c>
      <c r="E248" t="n">
        <v>31.46360778808594</v>
      </c>
      <c r="F248" t="n">
        <v>0.004267697988924794</v>
      </c>
    </row>
    <row r="249">
      <c r="A249" s="82" t="n">
        <v>42217</v>
      </c>
      <c r="B249" t="n">
        <v>50.7</v>
      </c>
      <c r="C249" t="n">
        <v>48.37545394897461</v>
      </c>
      <c r="D249" t="n">
        <v>29.98589706420898</v>
      </c>
      <c r="E249" t="n">
        <v>28.95194625854492</v>
      </c>
      <c r="F249" t="n">
        <v/>
      </c>
    </row>
    <row r="250">
      <c r="A250" s="82" t="n">
        <v>42248</v>
      </c>
      <c r="B250" t="n">
        <v>50.6</v>
      </c>
      <c r="C250" t="n">
        <v>46.71271133422852</v>
      </c>
      <c r="D250" t="n">
        <v>28.58732986450195</v>
      </c>
      <c r="E250" t="n">
        <v>27.81491470336914</v>
      </c>
      <c r="F250" t="n">
        <v/>
      </c>
    </row>
    <row r="251">
      <c r="A251" s="82" t="n">
        <v>42278</v>
      </c>
      <c r="B251" t="n">
        <v>51.4</v>
      </c>
      <c r="C251" t="n">
        <v>50.28934478759766</v>
      </c>
      <c r="D251" t="n">
        <v>30.67684936523438</v>
      </c>
      <c r="E251" t="n">
        <v>29.64774322509766</v>
      </c>
      <c r="F251" t="n">
        <v>0.004609233732362008</v>
      </c>
    </row>
    <row r="252">
      <c r="A252" s="82" t="n">
        <v>42309</v>
      </c>
      <c r="B252" t="n">
        <v>51.2</v>
      </c>
      <c r="C252" t="n">
        <v>50.02088928222656</v>
      </c>
      <c r="D252" t="n">
        <v>30.43543243408203</v>
      </c>
      <c r="E252" t="n">
        <v>29.15559196472168</v>
      </c>
      <c r="F252" t="n">
        <v/>
      </c>
    </row>
    <row r="253">
      <c r="A253" s="82" t="n">
        <v>42339</v>
      </c>
      <c r="B253" t="n">
        <v>50.9</v>
      </c>
      <c r="C253" t="n">
        <v>48.34081268310547</v>
      </c>
      <c r="D253" t="n">
        <v>29.17006492614746</v>
      </c>
      <c r="E253" t="n">
        <v>27.39064788818359</v>
      </c>
      <c r="F253" t="n">
        <v/>
      </c>
    </row>
    <row r="254">
      <c r="A254" s="82" t="n">
        <v>42370</v>
      </c>
      <c r="B254" t="n">
        <v>50.9</v>
      </c>
      <c r="C254" t="n">
        <v>46.37092590332031</v>
      </c>
      <c r="D254" t="n">
        <v>27.69922065734863</v>
      </c>
      <c r="E254" t="n">
        <v>26.06693649291992</v>
      </c>
      <c r="F254" t="n">
        <v>0.005468425881394205</v>
      </c>
    </row>
    <row r="255">
      <c r="A255" s="82" t="n">
        <v>42401</v>
      </c>
      <c r="B255" t="n">
        <v>50</v>
      </c>
      <c r="C255" t="n">
        <v>45.79195022583008</v>
      </c>
      <c r="D255" t="n">
        <v>26.53118324279785</v>
      </c>
      <c r="E255" t="n">
        <v>25.25234222412109</v>
      </c>
      <c r="F255" t="n">
        <v/>
      </c>
    </row>
    <row r="256">
      <c r="A256" s="82" t="n">
        <v>42430</v>
      </c>
      <c r="B256" t="n">
        <v>50.5</v>
      </c>
      <c r="C256" t="n">
        <v>49.1781005859375</v>
      </c>
      <c r="D256" t="n">
        <v>28.69205474853516</v>
      </c>
      <c r="E256" t="n">
        <v>26.60999488830566</v>
      </c>
      <c r="F256" t="n">
        <v/>
      </c>
    </row>
    <row r="257">
      <c r="A257" s="82" t="n">
        <v>42461</v>
      </c>
      <c r="B257" t="n">
        <v>50.1</v>
      </c>
      <c r="C257" t="n">
        <v>49.83603286743164</v>
      </c>
      <c r="D257" t="n">
        <v>29.4262523651123</v>
      </c>
      <c r="E257" t="n">
        <v>27.67914772033691</v>
      </c>
      <c r="F257" t="n">
        <v>0.002290956819281886</v>
      </c>
    </row>
    <row r="258">
      <c r="A258" s="82" t="n">
        <v>42491</v>
      </c>
      <c r="B258" t="n">
        <v>50</v>
      </c>
      <c r="C258" t="n">
        <v>50.00270462036133</v>
      </c>
      <c r="D258" t="n">
        <v>28.35833549499512</v>
      </c>
      <c r="E258" t="n">
        <v>27.3567066192627</v>
      </c>
      <c r="F258" t="n">
        <v/>
      </c>
    </row>
    <row r="259">
      <c r="A259" s="82" t="n">
        <v>42522</v>
      </c>
      <c r="B259" t="n">
        <v>50.9</v>
      </c>
      <c r="C259" t="n">
        <v>49.32722854614258</v>
      </c>
      <c r="D259" t="n">
        <v>26.92331123352051</v>
      </c>
      <c r="E259" t="n">
        <v>26.08390808105469</v>
      </c>
      <c r="F259" t="n">
        <v/>
      </c>
    </row>
    <row r="260">
      <c r="A260" s="82" t="n">
        <v>42552</v>
      </c>
      <c r="B260" t="n">
        <v>51</v>
      </c>
      <c r="C260" t="n">
        <v>51.86213684082031</v>
      </c>
      <c r="D260" t="n">
        <v>28.9273509979248</v>
      </c>
      <c r="E260" t="n">
        <v>27.13310813903809</v>
      </c>
      <c r="F260" t="n">
        <v>0.004892010405905347</v>
      </c>
    </row>
    <row r="261">
      <c r="A261" s="82" t="n">
        <v>42583</v>
      </c>
      <c r="B261" t="n">
        <v>50.9</v>
      </c>
      <c r="C261" t="n">
        <v>52.03990936279297</v>
      </c>
      <c r="D261" t="n">
        <v>29.25228500366211</v>
      </c>
      <c r="E261" t="n">
        <v>27.42878913879395</v>
      </c>
      <c r="F261" t="n">
        <v/>
      </c>
    </row>
    <row r="262">
      <c r="A262" s="82" t="n">
        <v>42614</v>
      </c>
      <c r="B262" t="n">
        <v>51</v>
      </c>
      <c r="C262" t="n">
        <v>52.52874374389648</v>
      </c>
      <c r="D262" t="n">
        <v>29.49170684814453</v>
      </c>
      <c r="E262" t="n">
        <v>27.55053901672363</v>
      </c>
      <c r="F262" t="n">
        <v/>
      </c>
    </row>
    <row r="263">
      <c r="A263" s="82" t="n">
        <v>42644</v>
      </c>
      <c r="B263" t="n">
        <v>52</v>
      </c>
      <c r="C263" t="n">
        <v>51.52438735961914</v>
      </c>
      <c r="D263" t="n">
        <v>29.19242286682129</v>
      </c>
      <c r="E263" t="n">
        <v>26.08952713012695</v>
      </c>
      <c r="F263" t="n">
        <v>0.007465083186246512</v>
      </c>
    </row>
    <row r="264">
      <c r="A264" s="82" t="n">
        <v>42675</v>
      </c>
      <c r="B264" t="n">
        <v>52.1</v>
      </c>
      <c r="C264" t="n">
        <v>52.05767822265625</v>
      </c>
      <c r="D264" t="n">
        <v>28.02951049804688</v>
      </c>
      <c r="E264" t="n">
        <v>26.14170455932617</v>
      </c>
      <c r="F264" t="n">
        <v/>
      </c>
    </row>
    <row r="265">
      <c r="A265" s="82" t="n">
        <v>42705</v>
      </c>
      <c r="B265" t="n">
        <v>52.7</v>
      </c>
      <c r="C265" t="n">
        <v>52.59096527099609</v>
      </c>
      <c r="D265" t="n">
        <v>29.58576202392578</v>
      </c>
      <c r="E265" t="n">
        <v>26.6895866394043</v>
      </c>
      <c r="F265" t="n">
        <v/>
      </c>
    </row>
    <row r="266">
      <c r="A266" s="82" t="n">
        <v>42736</v>
      </c>
      <c r="B266" t="n">
        <v>52.7</v>
      </c>
      <c r="C266" t="n">
        <v>54.62215042114258</v>
      </c>
      <c r="D266" t="n">
        <v>30.41598510742188</v>
      </c>
      <c r="E266" t="n">
        <v>27.72921562194824</v>
      </c>
      <c r="F266" t="n">
        <v>0.00691075159143962</v>
      </c>
    </row>
    <row r="267">
      <c r="A267" s="82" t="n">
        <v>42767</v>
      </c>
      <c r="B267" t="n">
        <v>53</v>
      </c>
      <c r="C267" t="n">
        <v>55.99464797973633</v>
      </c>
      <c r="D267" t="n">
        <v>30.47623252868652</v>
      </c>
      <c r="E267" t="n">
        <v>28.13479423522949</v>
      </c>
      <c r="F267" t="n">
        <v/>
      </c>
    </row>
    <row r="268">
      <c r="A268" s="82" t="n">
        <v>42795</v>
      </c>
      <c r="B268" t="n">
        <v>53</v>
      </c>
      <c r="C268" t="n">
        <v>56.7481803894043</v>
      </c>
      <c r="D268" t="n">
        <v>32.3610954284668</v>
      </c>
      <c r="E268" t="n">
        <v>28.69907760620117</v>
      </c>
      <c r="F268" t="n">
        <v/>
      </c>
    </row>
    <row r="269">
      <c r="A269" s="82" t="n">
        <v>42826</v>
      </c>
      <c r="B269" t="n">
        <v>52.7</v>
      </c>
      <c r="C269" t="n">
        <v>57.66318511962891</v>
      </c>
      <c r="D269" t="n">
        <v>33.77258682250977</v>
      </c>
      <c r="E269" t="n">
        <v>29.18400955200195</v>
      </c>
      <c r="F269" t="n">
        <v>0.007843382736573354</v>
      </c>
    </row>
    <row r="270">
      <c r="A270" s="82" t="n">
        <v>42856</v>
      </c>
      <c r="B270" t="n">
        <v>52.6</v>
      </c>
      <c r="C270" t="n">
        <v>58.93701934814453</v>
      </c>
      <c r="D270" t="n">
        <v>35.44227981567383</v>
      </c>
      <c r="E270" t="n">
        <v>30.51536750793457</v>
      </c>
      <c r="F270" t="n">
        <v/>
      </c>
    </row>
    <row r="271">
      <c r="A271" s="82" t="n">
        <v>42887</v>
      </c>
      <c r="B271" t="n">
        <v>52.6</v>
      </c>
      <c r="C271" t="n">
        <v>58.74862670898438</v>
      </c>
      <c r="D271" t="n">
        <v>34.71070861816406</v>
      </c>
      <c r="E271" t="n">
        <v>29.38680076599121</v>
      </c>
      <c r="F271" t="n">
        <v/>
      </c>
    </row>
    <row r="272">
      <c r="A272" s="82" t="n">
        <v>42917</v>
      </c>
      <c r="B272" t="n">
        <v>52.8</v>
      </c>
      <c r="C272" t="n">
        <v>61.02449035644531</v>
      </c>
      <c r="D272" t="n">
        <v>36.38887405395508</v>
      </c>
      <c r="E272" t="n">
        <v>30.74687194824219</v>
      </c>
      <c r="F272" t="n">
        <v>0.007666485536365348</v>
      </c>
    </row>
    <row r="273">
      <c r="A273" s="82" t="n">
        <v>42948</v>
      </c>
      <c r="B273" t="n">
        <v>53.2</v>
      </c>
      <c r="C273" t="n">
        <v>61.26938247680664</v>
      </c>
      <c r="D273" t="n">
        <v>36.56369018554688</v>
      </c>
      <c r="E273" t="n">
        <v>30.49455070495605</v>
      </c>
      <c r="F273" t="n">
        <v/>
      </c>
    </row>
    <row r="274">
      <c r="A274" s="82" t="n">
        <v>42979</v>
      </c>
      <c r="B274" t="n">
        <v>53.3</v>
      </c>
      <c r="C274" t="n">
        <v>62.42130279541016</v>
      </c>
      <c r="D274" t="n">
        <v>37.8661003112793</v>
      </c>
      <c r="E274" t="n">
        <v>31.40470504760742</v>
      </c>
      <c r="F274" t="n">
        <v/>
      </c>
    </row>
    <row r="275">
      <c r="A275" s="82" t="n">
        <v>43009</v>
      </c>
      <c r="B275" t="n">
        <v>53.5</v>
      </c>
      <c r="C275" t="n">
        <v>63.76370239257812</v>
      </c>
      <c r="D275" t="n">
        <v>38.31189346313477</v>
      </c>
      <c r="E275" t="n">
        <v>31.59394264221191</v>
      </c>
      <c r="F275" t="n">
        <v>0.008219428020528189</v>
      </c>
    </row>
    <row r="276">
      <c r="A276" s="82" t="n">
        <v>43040</v>
      </c>
      <c r="B276" t="n">
        <v>54.1</v>
      </c>
      <c r="C276" t="n">
        <v>65.05168151855469</v>
      </c>
      <c r="D276" t="n">
        <v>38.21574401855469</v>
      </c>
      <c r="E276" t="n">
        <v>31.55789566040039</v>
      </c>
      <c r="F276" t="n">
        <v/>
      </c>
    </row>
    <row r="277">
      <c r="A277" s="82" t="n">
        <v>43070</v>
      </c>
      <c r="B277" t="n">
        <v>54.5</v>
      </c>
      <c r="C277" t="n">
        <v>65.38726806640625</v>
      </c>
      <c r="D277" t="n">
        <v>37.91855239868164</v>
      </c>
      <c r="E277" t="n">
        <v>32.27881240844727</v>
      </c>
      <c r="F277" t="n">
        <v/>
      </c>
    </row>
    <row r="278">
      <c r="A278" s="82" t="n">
        <v>43101</v>
      </c>
      <c r="B278" t="n">
        <v>54.4</v>
      </c>
      <c r="C278" t="n">
        <v>69.75767517089844</v>
      </c>
      <c r="D278" t="n">
        <v>40.75345230102539</v>
      </c>
      <c r="E278" t="n">
        <v>34.11786651611328</v>
      </c>
      <c r="F278" t="n">
        <v>8.495716885662548e-05</v>
      </c>
    </row>
    <row r="279">
      <c r="A279" s="82" t="n">
        <v>43132</v>
      </c>
      <c r="B279" t="n">
        <v>54.1</v>
      </c>
      <c r="C279" t="n">
        <v>66.63597106933594</v>
      </c>
      <c r="D279" t="n">
        <v>38.31281280517578</v>
      </c>
      <c r="E279" t="n">
        <v>31.83170890808105</v>
      </c>
      <c r="F279" t="n">
        <v/>
      </c>
    </row>
    <row r="280">
      <c r="A280" s="82" t="n">
        <v>43160</v>
      </c>
      <c r="B280" t="n">
        <v>53.3</v>
      </c>
      <c r="C280" t="n">
        <v>65.63813018798828</v>
      </c>
      <c r="D280" t="n">
        <v>38.05821228027344</v>
      </c>
      <c r="E280" t="n">
        <v>31.90516090393066</v>
      </c>
      <c r="F280" t="n">
        <v/>
      </c>
    </row>
    <row r="281">
      <c r="A281" s="82" t="n">
        <v>43191</v>
      </c>
      <c r="B281" t="n">
        <v>53.5</v>
      </c>
      <c r="C281" t="n">
        <v>65.90360260009766</v>
      </c>
      <c r="D281" t="n">
        <v>38.91858673095703</v>
      </c>
      <c r="E281" t="n">
        <v>33.28236389160156</v>
      </c>
      <c r="F281" t="n">
        <v>0.005314193056063617</v>
      </c>
    </row>
    <row r="282">
      <c r="A282" s="82" t="n">
        <v>43221</v>
      </c>
      <c r="B282" t="n">
        <v>53.1</v>
      </c>
      <c r="C282" t="n">
        <v>66.21486663818359</v>
      </c>
      <c r="D282" t="n">
        <v>37.52267456054688</v>
      </c>
      <c r="E282" t="n">
        <v>33.08037567138672</v>
      </c>
      <c r="F282" t="n">
        <v/>
      </c>
    </row>
    <row r="283">
      <c r="A283" s="82" t="n">
        <v>43252</v>
      </c>
      <c r="B283" t="n">
        <v>53</v>
      </c>
      <c r="C283" t="n">
        <v>65.10716247558594</v>
      </c>
      <c r="D283" t="n">
        <v>36.00385284423828</v>
      </c>
      <c r="E283" t="n">
        <v>31.93270492553711</v>
      </c>
      <c r="F283" t="n">
        <v/>
      </c>
    </row>
    <row r="284">
      <c r="A284" s="82" t="n">
        <v>43282</v>
      </c>
      <c r="B284" t="n">
        <v>52.8</v>
      </c>
      <c r="C284" t="n">
        <v>67.84506225585938</v>
      </c>
      <c r="D284" t="n">
        <v>38.28566360473633</v>
      </c>
      <c r="E284" t="n">
        <v>32.99745559692383</v>
      </c>
      <c r="F284" t="n">
        <v>7.80941449938355e-05</v>
      </c>
    </row>
    <row r="285">
      <c r="A285" s="82" t="n">
        <v>43313</v>
      </c>
      <c r="B285" t="n">
        <v>52.6</v>
      </c>
      <c r="C285" t="n">
        <v>68.31713104248047</v>
      </c>
      <c r="D285" t="n">
        <v>37.07152938842773</v>
      </c>
      <c r="E285" t="n">
        <v>31.55011177062988</v>
      </c>
      <c r="F285" t="n">
        <v/>
      </c>
    </row>
    <row r="286">
      <c r="A286" s="82" t="n">
        <v>43344</v>
      </c>
      <c r="B286" t="n">
        <v>52.2</v>
      </c>
      <c r="C286" t="n">
        <v>68.73363494873047</v>
      </c>
      <c r="D286" t="n">
        <v>36.88266372680664</v>
      </c>
      <c r="E286" t="n">
        <v>32.06702041625977</v>
      </c>
      <c r="F286" t="n">
        <v/>
      </c>
    </row>
    <row r="287">
      <c r="A287" s="82" t="n">
        <v>43374</v>
      </c>
      <c r="B287" t="n">
        <v>52</v>
      </c>
      <c r="C287" t="n">
        <v>63.62443161010742</v>
      </c>
      <c r="D287" t="n">
        <v>33.60900115966797</v>
      </c>
      <c r="E287" t="n">
        <v>29.89601516723633</v>
      </c>
      <c r="F287" t="n">
        <v>0.006438018295195516</v>
      </c>
    </row>
    <row r="288">
      <c r="A288" s="82" t="n">
        <v>43405</v>
      </c>
      <c r="B288" t="n">
        <v>52</v>
      </c>
      <c r="C288" t="n">
        <v>64.63331604003906</v>
      </c>
      <c r="D288" t="n">
        <v>33.49208831787109</v>
      </c>
      <c r="E288" t="n">
        <v>29.53887748718262</v>
      </c>
      <c r="F288" t="n">
        <v/>
      </c>
    </row>
    <row r="289">
      <c r="A289" s="82" t="n">
        <v>43435</v>
      </c>
      <c r="B289" t="n">
        <v>51.5</v>
      </c>
      <c r="C289" t="n">
        <v>59.3852653503418</v>
      </c>
      <c r="D289" t="n">
        <v>31.5314884185791</v>
      </c>
      <c r="E289" t="n">
        <v>27.58403205871582</v>
      </c>
      <c r="F289" t="n">
        <v/>
      </c>
    </row>
    <row r="290">
      <c r="A290" s="82" t="n">
        <v>43466</v>
      </c>
      <c r="B290" t="n">
        <v>50.7</v>
      </c>
      <c r="C290" t="n">
        <v>64.79643249511719</v>
      </c>
      <c r="D290" t="n">
        <v>33.77357864379883</v>
      </c>
      <c r="E290" t="n">
        <v>29.59526824951172</v>
      </c>
      <c r="F290" t="n">
        <v>0.00640244733810314</v>
      </c>
    </row>
    <row r="291">
      <c r="A291" s="82" t="n">
        <v>43497</v>
      </c>
      <c r="B291" t="n">
        <v>50.6</v>
      </c>
      <c r="C291" t="n">
        <v>66.39485168457031</v>
      </c>
      <c r="D291" t="n">
        <v>34.83154678344727</v>
      </c>
      <c r="E291" t="n">
        <v>30.61028480529785</v>
      </c>
      <c r="F291" t="n">
        <v/>
      </c>
    </row>
    <row r="292">
      <c r="A292" s="82" t="n">
        <v>43525</v>
      </c>
      <c r="B292" t="n">
        <v>50.5</v>
      </c>
      <c r="C292" t="n">
        <v>67.44176483154297</v>
      </c>
      <c r="D292" t="n">
        <v>34.90388870239258</v>
      </c>
      <c r="E292" t="n">
        <v>31.02380561828613</v>
      </c>
      <c r="F292" t="n">
        <v/>
      </c>
    </row>
    <row r="293">
      <c r="A293" s="82" t="n">
        <v>43556</v>
      </c>
      <c r="B293" t="n">
        <v>50.4</v>
      </c>
      <c r="C293" t="n">
        <v>69.75057220458984</v>
      </c>
      <c r="D293" t="n">
        <v>36.64908218383789</v>
      </c>
      <c r="E293" t="n">
        <v>31.72868347167969</v>
      </c>
      <c r="F293" t="n">
        <v>0.003086716494195548</v>
      </c>
    </row>
    <row r="294">
      <c r="A294" s="82" t="n">
        <v>43586</v>
      </c>
      <c r="B294" t="n">
        <v>49.8</v>
      </c>
      <c r="C294" t="n">
        <v>65.51618194580078</v>
      </c>
      <c r="D294" t="n">
        <v>34.28899765014648</v>
      </c>
      <c r="E294" t="n">
        <v>29.78323364257812</v>
      </c>
      <c r="F294" t="n">
        <v/>
      </c>
    </row>
    <row r="295">
      <c r="A295" s="82" t="n">
        <v>43617</v>
      </c>
      <c r="B295" t="n">
        <v>49.4</v>
      </c>
      <c r="C295" t="n">
        <v>68.89996337890625</v>
      </c>
      <c r="D295" t="n">
        <v>35.7719612121582</v>
      </c>
      <c r="E295" t="n">
        <v>30.37532615661621</v>
      </c>
      <c r="F295" t="n">
        <v/>
      </c>
    </row>
    <row r="296">
      <c r="A296" s="82" t="n">
        <v>43647</v>
      </c>
      <c r="B296" t="n">
        <v>49.3</v>
      </c>
      <c r="C296" t="n">
        <v>69.8157958984375</v>
      </c>
      <c r="D296" t="n">
        <v>35.73566436767578</v>
      </c>
      <c r="E296" t="n">
        <v>29.64225959777832</v>
      </c>
      <c r="F296" t="n">
        <v>0.002120712772305267</v>
      </c>
    </row>
    <row r="297">
      <c r="A297" s="82" t="n">
        <v>43678</v>
      </c>
      <c r="B297" t="n">
        <v>49.5</v>
      </c>
      <c r="C297" t="n">
        <v>68.27295684814453</v>
      </c>
      <c r="D297" t="n">
        <v>35.19717025756836</v>
      </c>
      <c r="E297" t="n">
        <v>28.51446342468262</v>
      </c>
      <c r="F297" t="n">
        <v/>
      </c>
    </row>
    <row r="298">
      <c r="A298" s="82" t="n">
        <v>43709</v>
      </c>
      <c r="B298" t="n">
        <v>49.7</v>
      </c>
      <c r="C298" t="n">
        <v>69.80632781982422</v>
      </c>
      <c r="D298" t="n">
        <v>36.10704040527344</v>
      </c>
      <c r="E298" t="n">
        <v>29.53887748718262</v>
      </c>
      <c r="F298" t="n">
        <v/>
      </c>
    </row>
    <row r="299">
      <c r="A299" s="82" t="n">
        <v>43739</v>
      </c>
      <c r="B299" t="n">
        <v>49.8</v>
      </c>
      <c r="C299" t="n">
        <v>71.71832275390625</v>
      </c>
      <c r="D299" t="n">
        <v>37.52754974365234</v>
      </c>
      <c r="E299" t="n">
        <v>30.57268905639648</v>
      </c>
      <c r="F299" t="n">
        <v>0.0003276665620981663</v>
      </c>
    </row>
    <row r="300">
      <c r="A300" s="82" t="n">
        <v>43770</v>
      </c>
      <c r="B300" t="n">
        <v>50.3</v>
      </c>
      <c r="C300" t="n">
        <v>73.39366912841797</v>
      </c>
      <c r="D300" t="n">
        <v>37.87107849121094</v>
      </c>
      <c r="E300" t="n">
        <v>30.9486255645752</v>
      </c>
      <c r="F300" t="n">
        <v/>
      </c>
    </row>
    <row r="301">
      <c r="A301" s="82" t="n">
        <v>43800</v>
      </c>
      <c r="B301" t="n">
        <v>50.1</v>
      </c>
      <c r="C301" t="n">
        <v>75.01222991943359</v>
      </c>
      <c r="D301" t="n">
        <v>38.92021179199219</v>
      </c>
      <c r="E301" t="n">
        <v>32.04822540283203</v>
      </c>
      <c r="F301" t="n">
        <v/>
      </c>
    </row>
    <row r="302">
      <c r="A302" s="82" t="n">
        <v>43831</v>
      </c>
      <c r="B302" t="n">
        <v>50.4</v>
      </c>
      <c r="C302" t="n">
        <v>74.82774353027344</v>
      </c>
      <c r="D302" t="n">
        <v>37.73777389526367</v>
      </c>
      <c r="E302" t="n">
        <v>31.22456359863281</v>
      </c>
      <c r="F302" t="n">
        <v>-0.03397344905579305</v>
      </c>
    </row>
    <row r="303">
      <c r="A303" s="82" t="n">
        <v>43862</v>
      </c>
      <c r="B303" t="n">
        <v>47.1</v>
      </c>
      <c r="C303" t="n">
        <v>69.22356414794922</v>
      </c>
      <c r="D303" t="n">
        <v>34.95032501220703</v>
      </c>
      <c r="E303" t="n">
        <v>28.0294017791748</v>
      </c>
      <c r="F303" t="n">
        <v/>
      </c>
    </row>
    <row r="304">
      <c r="A304" s="82" t="n">
        <v>43891</v>
      </c>
      <c r="B304" t="n">
        <v>47.3</v>
      </c>
      <c r="C304" t="n">
        <v>59.94075012207031</v>
      </c>
      <c r="D304" t="n">
        <v>28.44316864013672</v>
      </c>
      <c r="E304" t="n">
        <v>22.84444046020508</v>
      </c>
      <c r="F304" t="n">
        <v/>
      </c>
    </row>
    <row r="305">
      <c r="A305" s="82" t="n">
        <v>43922</v>
      </c>
      <c r="B305" t="n">
        <v>39.6</v>
      </c>
      <c r="C305" t="n">
        <v>65.83231353759766</v>
      </c>
      <c r="D305" t="n">
        <v>30.19581031799316</v>
      </c>
      <c r="E305" t="n">
        <v>24.15503120422363</v>
      </c>
      <c r="F305" t="n">
        <v>-0.1154824718047466</v>
      </c>
    </row>
    <row r="306">
      <c r="A306" s="82" t="n">
        <v>43952</v>
      </c>
      <c r="B306" t="n">
        <v>42.4</v>
      </c>
      <c r="C306" t="n">
        <v>69.18525695800781</v>
      </c>
      <c r="D306" t="n">
        <v>32.42390441894531</v>
      </c>
      <c r="E306" t="n">
        <v>24.61421585083008</v>
      </c>
      <c r="F306" t="n">
        <v/>
      </c>
    </row>
    <row r="307">
      <c r="A307" s="82" t="n">
        <v>43983</v>
      </c>
      <c r="B307" t="n">
        <v>47.8</v>
      </c>
      <c r="C307" t="n">
        <v>70.62222290039062</v>
      </c>
      <c r="D307" t="n">
        <v>34.00874328613281</v>
      </c>
      <c r="E307" t="n">
        <v>24.64291572570801</v>
      </c>
      <c r="F307" t="n">
        <v/>
      </c>
    </row>
    <row r="308">
      <c r="A308" s="82" t="n">
        <v>44013</v>
      </c>
      <c r="B308" t="n">
        <v>50.6</v>
      </c>
      <c r="C308" t="n">
        <v>75.03571319580078</v>
      </c>
      <c r="D308" t="n">
        <v>35.43022918701172</v>
      </c>
      <c r="E308" t="n">
        <v>25.18465423583984</v>
      </c>
      <c r="F308" t="n">
        <v>0.1264890109813525</v>
      </c>
    </row>
    <row r="309">
      <c r="A309" s="82" t="n">
        <v>44044</v>
      </c>
      <c r="B309" t="n">
        <v>51.8</v>
      </c>
      <c r="C309" t="n">
        <v>79.55699157714844</v>
      </c>
      <c r="D309" t="n">
        <v>37.0479621887207</v>
      </c>
      <c r="E309" t="n">
        <v>25.87424468994141</v>
      </c>
      <c r="F309" t="n">
        <v/>
      </c>
    </row>
    <row r="310">
      <c r="A310" s="82" t="n">
        <v>44075</v>
      </c>
      <c r="B310" t="n">
        <v>52.4</v>
      </c>
      <c r="C310" t="n">
        <v>77.20940399169922</v>
      </c>
      <c r="D310" t="n">
        <v>35.66536331176758</v>
      </c>
      <c r="E310" t="n">
        <v>24.75730323791504</v>
      </c>
      <c r="F310" t="n">
        <v/>
      </c>
    </row>
    <row r="311">
      <c r="A311" s="82" t="n">
        <v>44105</v>
      </c>
      <c r="B311" t="n">
        <v>53</v>
      </c>
      <c r="C311" t="n">
        <v>75.48976898193359</v>
      </c>
      <c r="D311" t="n">
        <v>33.74666213989258</v>
      </c>
      <c r="E311" t="n">
        <v>23.64035797119141</v>
      </c>
      <c r="F311" t="n">
        <v>-0.003444725073332175</v>
      </c>
    </row>
    <row r="312">
      <c r="A312" s="82" t="n">
        <v>44136</v>
      </c>
      <c r="B312" t="n">
        <v>53.8</v>
      </c>
      <c r="C312" t="n">
        <v>84.36808013916016</v>
      </c>
      <c r="D312" t="n">
        <v>40.38688659667969</v>
      </c>
      <c r="E312" t="n">
        <v>27.44767951965332</v>
      </c>
      <c r="F312" t="n">
        <v/>
      </c>
    </row>
    <row r="313">
      <c r="A313" s="82" t="n">
        <v>44166</v>
      </c>
      <c r="B313" t="n">
        <v>53.8</v>
      </c>
      <c r="C313" t="n">
        <v>87.64310455322266</v>
      </c>
      <c r="D313" t="n">
        <v>41.4591064453125</v>
      </c>
      <c r="E313" t="n">
        <v>28.44807434082031</v>
      </c>
      <c r="F313" t="n">
        <v/>
      </c>
    </row>
    <row r="314">
      <c r="A314" s="82" t="n">
        <v>44197</v>
      </c>
      <c r="B314" t="n">
        <v>53.6</v>
      </c>
      <c r="C314" t="n">
        <v>88.05007171630859</v>
      </c>
      <c r="D314" t="n">
        <v>41.32224655151367</v>
      </c>
      <c r="E314" t="n">
        <v>28.70456123352051</v>
      </c>
      <c r="F314" t="n">
        <v>-0.001003023971190241</v>
      </c>
    </row>
    <row r="315">
      <c r="A315" s="82" t="n">
        <v>44228</v>
      </c>
      <c r="B315" t="n">
        <v>53.9</v>
      </c>
      <c r="C315" t="n">
        <v>90.06536102294922</v>
      </c>
      <c r="D315" t="n">
        <v>42.72477722167969</v>
      </c>
      <c r="E315" t="n">
        <v>29.83427810668945</v>
      </c>
      <c r="F315" t="n">
        <v/>
      </c>
    </row>
    <row r="316">
      <c r="A316" s="82" t="n">
        <v>44256</v>
      </c>
      <c r="B316" t="n">
        <v>55</v>
      </c>
      <c r="C316" t="n">
        <v>92.63559722900391</v>
      </c>
      <c r="D316" t="n">
        <v>44.29904937744141</v>
      </c>
      <c r="E316" t="n">
        <v>30.75769424438477</v>
      </c>
      <c r="F316" t="n">
        <v/>
      </c>
    </row>
    <row r="317">
      <c r="A317" s="82" t="n">
        <v>44287</v>
      </c>
      <c r="B317" t="n">
        <v>55.9</v>
      </c>
      <c r="C317" t="n">
        <v>96.56884002685547</v>
      </c>
      <c r="D317" t="n">
        <v>46.35991668701172</v>
      </c>
      <c r="E317" t="n">
        <v>31.95617294311523</v>
      </c>
      <c r="F317" t="n">
        <v>0.01987186030083568</v>
      </c>
    </row>
    <row r="318">
      <c r="A318" s="82" t="n">
        <v>44317</v>
      </c>
      <c r="B318" t="n">
        <v>56</v>
      </c>
      <c r="C318" t="n">
        <v>97.99025726318359</v>
      </c>
      <c r="D318" t="n">
        <v>48.39215850830078</v>
      </c>
      <c r="E318" t="n">
        <v>33.19395065307617</v>
      </c>
      <c r="F318" t="n">
        <v/>
      </c>
    </row>
    <row r="319">
      <c r="A319" s="82" t="n">
        <v>44348</v>
      </c>
      <c r="B319" t="n">
        <v>55.5</v>
      </c>
      <c r="C319" t="n">
        <v>98.5159912109375</v>
      </c>
      <c r="D319" t="n">
        <v>47.08502960205078</v>
      </c>
      <c r="E319" t="n">
        <v>32.12317657470703</v>
      </c>
      <c r="F319" t="n">
        <v/>
      </c>
    </row>
    <row r="320">
      <c r="A320" s="82" t="n">
        <v>44378</v>
      </c>
      <c r="B320" t="n">
        <v>55.4</v>
      </c>
      <c r="C320" t="n">
        <v>100.1279296875</v>
      </c>
      <c r="D320" t="n">
        <v>48.01526641845703</v>
      </c>
      <c r="E320" t="n">
        <v>32.21158981323242</v>
      </c>
      <c r="F320" t="n">
        <v>0.02171442572690793</v>
      </c>
    </row>
    <row r="321">
      <c r="A321" s="82" t="n">
        <v>44409</v>
      </c>
      <c r="B321" t="n">
        <v>54.1</v>
      </c>
      <c r="C321" t="n">
        <v>102.3048400878906</v>
      </c>
      <c r="D321" t="n">
        <v>48.95920562744141</v>
      </c>
      <c r="E321" t="n">
        <v>32.42770767211914</v>
      </c>
      <c r="F321" t="n">
        <v/>
      </c>
    </row>
    <row r="322">
      <c r="A322" s="82" t="n">
        <v>44440</v>
      </c>
      <c r="B322" t="n">
        <v>54.1</v>
      </c>
      <c r="C322" t="n">
        <v>97.98044586181641</v>
      </c>
      <c r="D322" t="n">
        <v>46.34894561767578</v>
      </c>
      <c r="E322" t="n">
        <v>31.68111419677734</v>
      </c>
      <c r="F322" t="n">
        <v/>
      </c>
    </row>
    <row r="323">
      <c r="A323" s="82" t="n">
        <v>44470</v>
      </c>
      <c r="B323" t="n">
        <v>54.2</v>
      </c>
      <c r="C323" t="n">
        <v>103.2658157348633</v>
      </c>
      <c r="D323" t="n">
        <v>48.46797561645508</v>
      </c>
      <c r="E323" t="n">
        <v>33.08588790893555</v>
      </c>
      <c r="F323" t="n">
        <v>0.004860812642175664</v>
      </c>
    </row>
    <row r="324">
      <c r="A324" s="82" t="n">
        <v>44501</v>
      </c>
      <c r="B324" t="n">
        <v>54.2</v>
      </c>
      <c r="C324" t="n">
        <v>100.8829803466797</v>
      </c>
      <c r="D324" t="n">
        <v>45.84807968139648</v>
      </c>
      <c r="E324" t="n">
        <v>31.47481918334961</v>
      </c>
      <c r="F324" t="n">
        <v/>
      </c>
    </row>
    <row r="325">
      <c r="A325" s="82" t="n">
        <v>44531</v>
      </c>
      <c r="B325" t="n">
        <v>54.3</v>
      </c>
      <c r="C325" t="n">
        <v>103.7266998291016</v>
      </c>
      <c r="D325" t="n">
        <v>47.2061882019043</v>
      </c>
      <c r="E325" t="n">
        <v>32.55541229248047</v>
      </c>
      <c r="F325" t="n">
        <v/>
      </c>
    </row>
    <row r="326">
      <c r="A326" s="82" t="n">
        <v>44562</v>
      </c>
      <c r="B326" t="n">
        <v>53.2</v>
      </c>
      <c r="C326" t="n">
        <v>100.0395050048828</v>
      </c>
      <c r="D326" t="n">
        <v>46.3187255859375</v>
      </c>
      <c r="E326" t="n">
        <v>33.29218292236328</v>
      </c>
      <c r="F326" t="n">
        <v>0.006658478076567067</v>
      </c>
    </row>
    <row r="327">
      <c r="A327" s="82" t="n">
        <v>44593</v>
      </c>
      <c r="B327" t="n">
        <v>53.6</v>
      </c>
      <c r="C327" t="n">
        <v>96.97798156738281</v>
      </c>
      <c r="D327" t="n">
        <v>42.89712142944336</v>
      </c>
      <c r="E327" t="n">
        <v>32.89924240112305</v>
      </c>
      <c r="F327" t="n">
        <v/>
      </c>
    </row>
    <row r="328">
      <c r="A328" s="82" t="n">
        <v>44621</v>
      </c>
      <c r="B328" t="n">
        <v>52.9</v>
      </c>
      <c r="C328" t="n">
        <v>98.8604736328125</v>
      </c>
      <c r="D328" t="n">
        <v>42.30078506469727</v>
      </c>
      <c r="E328" t="n">
        <v>33.04659271240234</v>
      </c>
      <c r="F328" t="n">
        <v/>
      </c>
    </row>
    <row r="329">
      <c r="A329" s="82" t="n">
        <v>44652</v>
      </c>
      <c r="B329" t="n">
        <v>52.2</v>
      </c>
      <c r="C329" t="n">
        <v>90.88465881347656</v>
      </c>
      <c r="D329" t="n">
        <v>39.21156692504883</v>
      </c>
      <c r="E329" t="n">
        <v>31.7302303314209</v>
      </c>
      <c r="F329" t="n">
        <v>0.007714551320715047</v>
      </c>
    </row>
    <row r="330">
      <c r="A330" s="82" t="n">
        <v>44682</v>
      </c>
      <c r="B330" t="n">
        <v>52.3</v>
      </c>
      <c r="C330" t="n">
        <v>91.29087829589844</v>
      </c>
      <c r="D330" t="n">
        <v>40.91259002685547</v>
      </c>
      <c r="E330" t="n">
        <v>32.58488464355469</v>
      </c>
      <c r="F330" t="n">
        <v/>
      </c>
    </row>
    <row r="331">
      <c r="A331" s="82" t="n">
        <v>44713</v>
      </c>
      <c r="B331" t="n">
        <v>52.2</v>
      </c>
      <c r="C331" t="n">
        <v>83.11690521240234</v>
      </c>
      <c r="D331" t="n">
        <v>35.53578567504883</v>
      </c>
      <c r="E331" t="n">
        <v>29.43150901794434</v>
      </c>
      <c r="F331" t="n">
        <v/>
      </c>
    </row>
    <row r="332">
      <c r="A332" s="82" t="n">
        <v>44743</v>
      </c>
      <c r="B332" t="n">
        <v/>
      </c>
      <c r="C332" t="n">
        <v>89.81999969482422</v>
      </c>
      <c r="D332" t="n">
        <v>38.15999984741211</v>
      </c>
      <c r="E332" t="n">
        <v>30.90999984741211</v>
      </c>
      <c r="F332" t="n">
        <v/>
      </c>
    </row>
    <row r="333">
      <c r="A333" s="82" t="n">
        <v>44774</v>
      </c>
      <c r="B333" t="n">
        <v/>
      </c>
      <c r="C333" t="n">
        <v>85.90000152587891</v>
      </c>
      <c r="D333" t="n">
        <v>35.33000183105469</v>
      </c>
      <c r="E333" t="n">
        <v>28.90999984741211</v>
      </c>
      <c r="F333" t="n">
        <v/>
      </c>
    </row>
    <row r="334">
      <c r="A334" s="82" t="n">
        <v>44805</v>
      </c>
      <c r="B334" t="n">
        <v/>
      </c>
      <c r="C334" t="n">
        <v>77.83000183105469</v>
      </c>
      <c r="D334" t="n">
        <v>31.97999954223633</v>
      </c>
      <c r="E334" t="n">
        <v>26.20999908447266</v>
      </c>
      <c r="F334" t="n">
        <v/>
      </c>
    </row>
    <row r="335">
      <c r="A335" s="82" t="n">
        <v>44834</v>
      </c>
      <c r="B335" t="n">
        <v/>
      </c>
      <c r="C335" t="n">
        <v>77.83000183105469</v>
      </c>
      <c r="D335" t="n">
        <v>31.97999954223633</v>
      </c>
      <c r="E335" t="n">
        <v>26.20999908447266</v>
      </c>
      <c r="F335"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6"/>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29"/>
    <col width="10.83203125" customWidth="1" style="61" min="30"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44593</v>
      </c>
      <c r="B207" t="n">
        <v>50.2</v>
      </c>
    </row>
    <row r="208">
      <c r="A208" s="82" t="n">
        <v>44621</v>
      </c>
      <c r="B208" t="n">
        <v>49.5</v>
      </c>
    </row>
    <row r="209">
      <c r="A209" s="82" t="n">
        <v>44652</v>
      </c>
      <c r="B209" t="n">
        <v>47.4</v>
      </c>
      <c r="C209" t="n">
        <v>0.048</v>
      </c>
    </row>
    <row r="210">
      <c r="A210" s="82" t="n">
        <v>44682</v>
      </c>
      <c r="B210" t="n">
        <v>49.6</v>
      </c>
    </row>
    <row r="211">
      <c r="A211" s="82" t="n">
        <v>44713</v>
      </c>
      <c r="B211" t="n">
        <v>50.2</v>
      </c>
    </row>
    <row r="212">
      <c r="A212" s="82" t="n">
        <v>44743</v>
      </c>
      <c r="B212" t="n">
        <v>49</v>
      </c>
      <c r="C212" t="n">
        <v>0.004</v>
      </c>
    </row>
    <row r="213">
      <c r="A213" s="82" t="n">
        <v>44774</v>
      </c>
      <c r="B213" t="n">
        <v>49.4</v>
      </c>
    </row>
    <row r="214">
      <c r="A214" s="82" t="n">
        <v>44805</v>
      </c>
      <c r="B214" t="n">
        <v>50.1</v>
      </c>
    </row>
    <row r="215">
      <c r="A215" s="82" t="n">
        <v>44835</v>
      </c>
    </row>
    <row r="216">
      <c r="A216"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5"/>
  <sheetViews>
    <sheetView zoomScale="200" zoomScaleNormal="200" workbookViewId="0">
      <pane ySplit="1" topLeftCell="A127" activePane="bottomLeft" state="frozen"/>
      <selection pane="bottomLeft" activeCell="G20" sqref="G20"/>
    </sheetView>
  </sheetViews>
  <sheetFormatPr baseColWidth="10" defaultRowHeight="15"/>
  <cols>
    <col width="10.83203125" customWidth="1" style="61" min="1" max="29"/>
    <col width="10.83203125" customWidth="1" style="61" min="30"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row r="138">
      <c r="A138" s="82" t="n">
        <v>44593</v>
      </c>
      <c r="B138" t="n">
        <v>58.6</v>
      </c>
    </row>
    <row r="139">
      <c r="A139" s="82" t="n">
        <v>44621</v>
      </c>
      <c r="B139" t="n">
        <v>57.1</v>
      </c>
    </row>
    <row r="140">
      <c r="A140" s="82" t="n">
        <v>44652</v>
      </c>
      <c r="B140" t="n">
        <v>55.4</v>
      </c>
    </row>
    <row r="141">
      <c r="A141" s="82" t="n">
        <v>44682</v>
      </c>
      <c r="B141" t="n">
        <v>56.1</v>
      </c>
    </row>
    <row r="142">
      <c r="A142" s="82" t="n">
        <v>44713</v>
      </c>
      <c r="B142" t="n">
        <v>53</v>
      </c>
    </row>
    <row r="143">
      <c r="A143" s="82" t="n">
        <v>44743</v>
      </c>
      <c r="B143" t="n">
        <v>52.8</v>
      </c>
    </row>
    <row r="144">
      <c r="A144" s="82" t="n">
        <v>44774</v>
      </c>
      <c r="B144" t="n">
        <v>52.8</v>
      </c>
    </row>
    <row r="145">
      <c r="A145" s="82" t="n">
        <v>44805</v>
      </c>
      <c r="B145" t="n">
        <v>50.9</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101"/>
  <sheetViews>
    <sheetView zoomScale="150" zoomScaleNormal="150" workbookViewId="0">
      <pane xSplit="2" ySplit="11" topLeftCell="C80" activePane="bottomRight" state="frozen"/>
      <selection activeCell="I319" sqref="I319"/>
      <selection pane="topRight" activeCell="I319" sqref="I319"/>
      <selection pane="bottomLeft" activeCell="I319" sqref="I319"/>
      <selection pane="bottomRight" activeCell="AE97" sqref="AE97"/>
    </sheetView>
  </sheetViews>
  <sheetFormatPr baseColWidth="10" defaultColWidth="9.1640625" defaultRowHeight="15"/>
  <cols>
    <col width="9.1640625" customWidth="1" style="70" min="1" max="1"/>
    <col width="17.83203125" customWidth="1" style="61" min="2" max="2"/>
    <col width="6.1640625" customWidth="1" style="61" min="3" max="27"/>
    <col width="7.33203125" customWidth="1" style="61"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1" min="75" max="116"/>
    <col width="9.1640625" customWidth="1" style="61" min="117" max="16384"/>
  </cols>
  <sheetData>
    <row r="1" ht="16" customFormat="1" customHeight="1" s="70" thickBot="1">
      <c r="AD1" s="31" t="inlineStr">
        <is>
          <t>*to update</t>
        </is>
      </c>
      <c r="AE1" s="70" t="inlineStr">
        <is>
          <t>Last month</t>
        </is>
      </c>
      <c r="AG1" s="63" t="n">
        <v>44774</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0"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0"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0">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70">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70">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70">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70">
      <c r="B100" s="29" t="n">
        <v>44743</v>
      </c>
      <c r="C100" s="30">
        <f>VLOOKUP(B100,Global!$A:$B,2,)</f>
        <v/>
      </c>
      <c r="D100" s="30">
        <f>VLOOKUP(B100,US!$A:$D,4,)</f>
        <v/>
      </c>
      <c r="E100" s="30">
        <f>VLOOKUP(B100,US!$A:$B,2,)</f>
        <v/>
      </c>
      <c r="F100" s="30">
        <f>VLOOKUP(B100,China!$A:$B,2,)</f>
        <v/>
      </c>
      <c r="G100" s="30">
        <f>VLOOKUP(B100,'Euro Area'!A:B,2,)</f>
        <v/>
      </c>
      <c r="H100" s="30">
        <f>VLOOKUP(B100,Japan!$A:$B,2,)</f>
        <v/>
      </c>
      <c r="I100" s="30">
        <f>VLOOKUP(B100,Germany!$A:$B,2,)</f>
        <v/>
      </c>
      <c r="J100" s="30">
        <f>VLOOKUP(B100,France!$A:$B,2,)</f>
        <v/>
      </c>
      <c r="K100" s="30">
        <f>VLOOKUP(B100,UK!$A:$B,2,)</f>
        <v/>
      </c>
      <c r="L100" s="30">
        <f>VLOOKUP(B100,Italy!$A:$B,2,)</f>
        <v/>
      </c>
      <c r="M100" s="30">
        <f>VLOOKUP(B100,Spain!$A:$B,2,)</f>
        <v/>
      </c>
      <c r="N100" s="30">
        <f>VLOOKUP(B100,Brazil!$A:$B,2,)</f>
        <v/>
      </c>
      <c r="O100" s="30">
        <f>VLOOKUP(B100,Mexico!$A:$B,2,)</f>
        <v/>
      </c>
      <c r="P100" s="30">
        <f>VLOOKUP(B100,Russia!$A:$B,2,)</f>
        <v/>
      </c>
      <c r="Q100" s="30">
        <f>VLOOKUP(B100,India!$A:$B,2,)</f>
        <v/>
      </c>
      <c r="R100" s="30">
        <f>VLOOKUP(B100,Canada!$A:$B,2,)</f>
        <v/>
      </c>
      <c r="S100" s="30">
        <f>VLOOKUP(B100,Australia!$A:$B,2,)</f>
        <v/>
      </c>
      <c r="T100" s="30">
        <f>VLOOKUP(B100,Indonesia!$A:$B,2,)</f>
        <v/>
      </c>
      <c r="U100" s="30">
        <f>VLOOKUP(B100,SouthKorea!$A:$B,2,)</f>
        <v/>
      </c>
      <c r="V100" s="30">
        <f>VLOOKUP(B100,Taiwan!$A:$B,2,)</f>
        <v/>
      </c>
      <c r="W100" s="30">
        <f>VLOOKUP(B100,Greece!$A:$B,2,)</f>
        <v/>
      </c>
      <c r="X100" s="30">
        <f>VLOOKUP(B100,Ireland!$A:$B,2,)</f>
        <v/>
      </c>
      <c r="Y100" s="30">
        <f>VLOOKUP(B100,Turkey!$A:$B,2,)</f>
        <v/>
      </c>
      <c r="Z100" s="30">
        <f>VLOOKUP(B100,CzechRepublic!$A:$B,2,)</f>
        <v/>
      </c>
      <c r="AA100" s="30">
        <f>VLOOKUP(B100,Poland!$A:$B,2,)</f>
        <v/>
      </c>
      <c r="AB100" s="30">
        <f>VLOOKUP(B100,Denmark!$A:$B,2,)</f>
        <v/>
      </c>
    </row>
    <row r="101" customFormat="1" s="70">
      <c r="B101" s="29" t="n">
        <v>44774</v>
      </c>
      <c r="C101" s="30">
        <f>VLOOKUP(B101,Global!$A:$B,2,)</f>
        <v/>
      </c>
      <c r="D101" s="30">
        <f>VLOOKUP(B101,US!$A:$D,4,)</f>
        <v/>
      </c>
      <c r="E101" s="30">
        <f>VLOOKUP(B101,US!$A:$B,2,)</f>
        <v/>
      </c>
      <c r="F101" s="30">
        <f>VLOOKUP(B101,China!$A:$B,2,)</f>
        <v/>
      </c>
      <c r="G101" s="30">
        <f>VLOOKUP(B101,'Euro Area'!A:B,2,)</f>
        <v/>
      </c>
      <c r="H101" s="30">
        <f>VLOOKUP(B101,Japan!$A:$B,2,)</f>
        <v/>
      </c>
      <c r="I101" s="30">
        <f>VLOOKUP(B101,Germany!$A:$B,2,)</f>
        <v/>
      </c>
      <c r="J101" s="30">
        <f>VLOOKUP(B101,France!$A:$B,2,)</f>
        <v/>
      </c>
      <c r="K101" s="30">
        <f>VLOOKUP(B101,UK!$A:$B,2,)</f>
        <v/>
      </c>
      <c r="L101" s="30">
        <f>VLOOKUP(B101,Italy!$A:$B,2,)</f>
        <v/>
      </c>
      <c r="M101" s="30">
        <f>VLOOKUP(B101,Spain!$A:$B,2,)</f>
        <v/>
      </c>
      <c r="N101" s="30">
        <f>VLOOKUP(B101,Brazil!$A:$B,2,)</f>
        <v/>
      </c>
      <c r="O101" s="30">
        <f>VLOOKUP(B101,Mexico!$A:$B,2,)</f>
        <v/>
      </c>
      <c r="P101" s="30">
        <f>VLOOKUP(B101,Russia!$A:$B,2,)</f>
        <v/>
      </c>
      <c r="Q101" s="30">
        <f>VLOOKUP(B101,India!$A:$B,2,)</f>
        <v/>
      </c>
      <c r="R101" s="30">
        <f>VLOOKUP(B101,Canada!$A:$B,2,)</f>
        <v/>
      </c>
      <c r="S101" s="30">
        <f>VLOOKUP(B101,Australia!$A:$B,2,)</f>
        <v/>
      </c>
      <c r="T101" s="30">
        <f>VLOOKUP(B101,Indonesia!$A:$B,2,)</f>
        <v/>
      </c>
      <c r="U101" s="30">
        <f>VLOOKUP(B101,SouthKorea!$A:$B,2,)</f>
        <v/>
      </c>
      <c r="V101" s="30">
        <f>VLOOKUP(B101,Taiwan!$A:$B,2,)</f>
        <v/>
      </c>
      <c r="W101" s="30">
        <f>VLOOKUP(B101,Greece!$A:$B,2,)</f>
        <v/>
      </c>
      <c r="X101" s="30">
        <f>VLOOKUP(B101,Ireland!$A:$B,2,)</f>
        <v/>
      </c>
      <c r="Y101" s="30">
        <f>VLOOKUP(B101,Turkey!$A:$B,2,)</f>
        <v/>
      </c>
      <c r="Z101" s="30">
        <f>VLOOKUP(B101,CzechRepublic!$A:$B,2,)</f>
        <v/>
      </c>
      <c r="AA101" s="30">
        <f>VLOOKUP(B101,Poland!$A:$B,2,)</f>
        <v/>
      </c>
      <c r="AB101" s="30">
        <f>VLOOKUP(B101,Denmark!$A:$B,2,)</f>
        <v/>
      </c>
    </row>
    <row r="102" customFormat="1" s="70"/>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101">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269" text="below">
      <formula>NOT(ISERROR(SEARCH("below",C6)))</formula>
    </cfRule>
    <cfRule type="containsText" priority="16" operator="containsText" dxfId="268" text="above">
      <formula>NOT(ISERROR(SEARCH("above",C6)))</formula>
    </cfRule>
  </conditionalFormatting>
  <conditionalFormatting sqref="C8:AA8">
    <cfRule type="cellIs" priority="13" operator="lessThan" dxfId="267">
      <formula>0</formula>
    </cfRule>
    <cfRule type="cellIs" priority="14" operator="greaterThan" dxfId="266">
      <formula>0</formula>
    </cfRule>
  </conditionalFormatting>
  <conditionalFormatting sqref="AB6">
    <cfRule type="containsText" priority="7" operator="containsText" dxfId="269" text="below">
      <formula>NOT(ISERROR(SEARCH("below",AB6)))</formula>
    </cfRule>
    <cfRule type="containsText" priority="8" operator="containsText" dxfId="268" text="above">
      <formula>NOT(ISERROR(SEARCH("above",AB6)))</formula>
    </cfRule>
  </conditionalFormatting>
  <conditionalFormatting sqref="AB8">
    <cfRule type="cellIs" priority="5" operator="lessThan" dxfId="267">
      <formula>0</formula>
    </cfRule>
    <cfRule type="cellIs" priority="6" operator="greaterThan" dxfId="266">
      <formula>0</formula>
    </cfRule>
  </conditionalFormatting>
  <conditionalFormatting sqref="C9:AB9">
    <cfRule type="cellIs" priority="3" operator="equal" dxfId="265">
      <formula>"Growth"</formula>
    </cfRule>
    <cfRule type="cellIs" priority="4" operator="equal" dxfId="264">
      <formula>"Contraction"</formula>
    </cfRule>
  </conditionalFormatting>
  <conditionalFormatting sqref="C10:AB10">
    <cfRule type="cellIs" priority="1" operator="equal" dxfId="263">
      <formula>"+"</formula>
    </cfRule>
    <cfRule type="cellIs" priority="2" operator="equal" dxfId="262">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6"/>
  <sheetViews>
    <sheetView zoomScale="150" zoomScaleNormal="150" workbookViewId="0">
      <pane ySplit="5" topLeftCell="A116" activePane="bottomLeft" state="frozen"/>
      <selection activeCell="X324" sqref="X324"/>
      <selection pane="bottomLeft" activeCell="I154" sqref="I154"/>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46"/>
    <col width="9.1640625" customWidth="1" style="70" min="47" max="16384"/>
  </cols>
  <sheetData>
    <row r="1">
      <c r="A1" s="70" t="inlineStr">
        <is>
          <t>Global Manufacturing PMI</t>
        </is>
      </c>
    </row>
    <row r="2">
      <c r="K2" s="70">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8"/>
  <sheetViews>
    <sheetView zoomScale="160" zoomScaleNormal="160" workbookViewId="0">
      <pane ySplit="5" topLeftCell="A115" activePane="bottomLeft" state="frozen"/>
      <selection activeCell="O117" sqref="O117"/>
      <selection pane="bottomLeft" activeCell="A137" sqref="A137:D148"/>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46"/>
    <col width="9.1640625" customWidth="1" style="70" min="47" max="16384"/>
  </cols>
  <sheetData>
    <row r="1">
      <c r="A1" s="70" t="inlineStr">
        <is>
          <t>United States</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row r="147">
      <c r="A147" s="10" t="n">
        <v>44743</v>
      </c>
      <c r="B147" s="18">
        <f>IF(VLOOKUP(A147,'DB Country PMI'!$A:$AZ,MATCH($A$1,'DB Country PMI'!$A$1:$AZ$1,),)=0,#N/A,VLOOKUP(A147,'DB Country PMI'!$A:$AZ,MATCH($A$1,'DB Country PMI'!$A$1:$AZ$1,),))</f>
        <v/>
      </c>
      <c r="C147" s="24">
        <f>Table1346811[[#This Row],[PMI]]-B146</f>
        <v/>
      </c>
      <c r="D147" s="24">
        <f>IF(VLOOKUP(Table1346811[[#This Row],[Date]],'DB US ISM Manufacturing'!$A:$B,2)=0,#N/A,VLOOKUP(Table1346811[[#This Row],[Date]],'DB US ISM Manufacturing'!$A:$B,2))</f>
        <v/>
      </c>
    </row>
    <row r="148">
      <c r="A148" s="10" t="n">
        <v>44774</v>
      </c>
      <c r="B148" s="18">
        <f>IF(VLOOKUP(A148,'DB Country PMI'!$A:$AZ,MATCH($A$1,'DB Country PMI'!$A$1:$AZ$1,),)=0,#N/A,VLOOKUP(A148,'DB Country PMI'!$A:$AZ,MATCH($A$1,'DB Country PMI'!$A$1:$AZ$1,),))</f>
        <v/>
      </c>
      <c r="C148" s="24">
        <f>Table1346811[[#This Row],[PMI]]-B147</f>
        <v/>
      </c>
      <c r="D148" s="24">
        <f>IF(VLOOKUP(Table1346811[[#This Row],[Date]],'DB US ISM Manufacturing'!$A:$B,2)=0,#N/A,VLOOKUP(Table1346811[[#This Row],[Date]],'DB US ISM Manufacturing'!$A:$B,2))</f>
        <v/>
      </c>
    </row>
  </sheetData>
  <conditionalFormatting sqref="B6:B148">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7"/>
  <sheetViews>
    <sheetView zoomScale="140" zoomScaleNormal="140" workbookViewId="0">
      <pane ySplit="5" topLeftCell="A176" activePane="bottomLeft" state="frozen"/>
      <selection activeCell="K199" sqref="K199"/>
      <selection pane="bottomLeft" activeCell="A204" sqref="A204:F217"/>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46"/>
    <col width="9.1640625" customWidth="1" style="70" min="47"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row r="216">
      <c r="A216" s="10" t="n">
        <v>44743</v>
      </c>
      <c r="B216" s="18">
        <f>IF(VLOOKUP(A216,'DB Country PMI'!$A:$AZ,MATCH($A$2,'DB Country PMI'!$A$1:$AZ$1,),)=0,#N/A,VLOOKUP(A216,'DB Country PMI'!$A:$AZ,MATCH($A$2,'DB Country PMI'!$A$1:$AZ$1,),))</f>
        <v/>
      </c>
      <c r="C216" s="24">
        <f>Table1346811121415161718192021[[#This Row],[Caixin PMI]]-B215</f>
        <v/>
      </c>
      <c r="D216" s="24">
        <f>IF(VLOOKUP(Table1346811121415161718192021[[#This Row],[Date]],'DB China Official PMI'!$A:$C,2)=0,#N/A,VLOOKUP(Table1346811121415161718192021[[#This Row],[Date]],'DB China Official PMI'!$A:$C,2))</f>
        <v/>
      </c>
      <c r="E216" s="24">
        <f>Table1346811121415161718192021[[#This Row],[Official PMI]]-D215</f>
        <v/>
      </c>
      <c r="F216" s="52">
        <f>IF(VLOOKUP(Table1346811121415161718192021[[#This Row],[Date]],'DB China Official PMI'!$A:$C,3)=0,"",VLOOKUP(Table1346811121415161718192021[[#This Row],[Date]],'DB China Official PMI'!$A:$C,3))</f>
        <v/>
      </c>
    </row>
    <row r="217">
      <c r="A217" s="10" t="n">
        <v>44774</v>
      </c>
      <c r="B217" s="18">
        <f>IF(VLOOKUP(A217,'DB Country PMI'!$A:$AZ,MATCH($A$2,'DB Country PMI'!$A$1:$AZ$1,),)=0,#N/A,VLOOKUP(A217,'DB Country PMI'!$A:$AZ,MATCH($A$2,'DB Country PMI'!$A$1:$AZ$1,),))</f>
        <v/>
      </c>
      <c r="C217" s="24">
        <f>Table1346811121415161718192021[[#This Row],[Caixin PMI]]-B216</f>
        <v/>
      </c>
      <c r="D217" s="24">
        <f>IF(VLOOKUP(Table1346811121415161718192021[[#This Row],[Date]],'DB China Official PMI'!$A:$C,2)=0,#N/A,VLOOKUP(Table1346811121415161718192021[[#This Row],[Date]],'DB China Official PMI'!$A:$C,2))</f>
        <v/>
      </c>
      <c r="E217" s="24">
        <f>Table1346811121415161718192021[[#This Row],[Official PMI]]-D216</f>
        <v/>
      </c>
      <c r="F217" s="52">
        <f>IF(VLOOKUP(Table1346811121415161718192021[[#This Row],[Date]],'DB China Official PMI'!$A:$C,3)=0,"",VLOOKUP(Table1346811121415161718192021[[#This Row],[Date]],'DB China Official PMI'!$A:$C,3))</f>
        <v/>
      </c>
    </row>
  </sheetData>
  <conditionalFormatting sqref="C66:C217">
    <cfRule type="colorScale" priority="4">
      <colorScale>
        <cfvo type="min"/>
        <cfvo type="percentile" val="50"/>
        <cfvo type="max"/>
        <color rgb="FFF8696B"/>
        <color rgb="FFFCFCFF"/>
        <color rgb="FF5A8AC6"/>
      </colorScale>
    </cfRule>
  </conditionalFormatting>
  <conditionalFormatting sqref="E66:E217">
    <cfRule type="colorScale" priority="3">
      <colorScale>
        <cfvo type="min"/>
        <cfvo type="percentile" val="50"/>
        <cfvo type="max"/>
        <color rgb="FFF8696B"/>
        <color rgb="FFFCFCFF"/>
        <color rgb="FF5A8AC6"/>
      </colorScale>
    </cfRule>
  </conditionalFormatting>
  <conditionalFormatting sqref="B66:B217">
    <cfRule type="colorScale" priority="2">
      <colorScale>
        <cfvo type="min"/>
        <cfvo type="percentile" val="50"/>
        <cfvo type="max"/>
        <color rgb="FFF8696B"/>
        <color rgb="FFFFEB84"/>
        <color rgb="FF63BE7B"/>
      </colorScale>
    </cfRule>
  </conditionalFormatting>
  <conditionalFormatting sqref="D66:D217">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8"/>
  <sheetViews>
    <sheetView zoomScale="140" zoomScaleNormal="140" workbookViewId="0">
      <pane ySplit="5" topLeftCell="A186" activePane="bottomLeft" state="frozen"/>
      <selection activeCell="P121" sqref="P121"/>
      <selection pane="bottomLeft" activeCell="A205" sqref="A205:G21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Euro Area</t>
        </is>
      </c>
      <c r="K1" s="70" t="inlineStr">
        <is>
          <t xml:space="preserve"> Manufacturing PMI</t>
        </is>
      </c>
    </row>
    <row r="2">
      <c r="K2" s="70">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row r="217">
      <c r="A217" s="10" t="n">
        <v>44743</v>
      </c>
      <c r="B217" s="18">
        <f>IF(VLOOKUP(A217,'DB Country PMI'!$A:$AZ,MATCH($A$1,'DB Country PMI'!$A$1:$AZ$1,),)=0,#N/A,VLOOKUP(A217,'DB Country PMI'!$A:$AZ,MATCH($A$1,'DB Country PMI'!$A$1:$AZ$1,),))</f>
        <v/>
      </c>
      <c r="C217" s="24">
        <f>Table13468111214[[#This Row],[Euro Area PMI]]-B216</f>
        <v/>
      </c>
      <c r="D217" s="11">
        <f>IF(VLOOKUP(Table13468111214[[#This Row],[Date]],'DB Global PMI'!$A:$F,4)=0,#N/A,VLOOKUP(Table13468111214[[#This Row],[Date]],'DB Global PMI'!$A:$F,4))</f>
        <v/>
      </c>
      <c r="E217" s="24">
        <f>Table13468111214[[#This Row],[Euro Area PMI]]-B205</f>
        <v/>
      </c>
      <c r="F217" s="52">
        <f>(Table13468111214[[#This Row],[EZU]]-D205)/D205</f>
        <v/>
      </c>
      <c r="G217" s="52">
        <f>IF(VLOOKUP(Table13468111214[[#This Row],[Date]],'DB Global PMI'!$A:$F,6)=0,"",VLOOKUP(Table13468111214[[#This Row],[Date]],'DB Global PMI'!$A:$F,6))</f>
        <v/>
      </c>
    </row>
    <row r="218">
      <c r="A218" s="10" t="n">
        <v>44774</v>
      </c>
      <c r="B218" s="18">
        <f>IF(VLOOKUP(A218,'DB Country PMI'!$A:$AZ,MATCH($A$1,'DB Country PMI'!$A$1:$AZ$1,),)=0,#N/A,VLOOKUP(A218,'DB Country PMI'!$A:$AZ,MATCH($A$1,'DB Country PMI'!$A$1:$AZ$1,),))</f>
        <v/>
      </c>
      <c r="C218" s="24">
        <f>Table13468111214[[#This Row],[Euro Area PMI]]-B217</f>
        <v/>
      </c>
      <c r="D218" s="11">
        <f>IF(VLOOKUP(Table13468111214[[#This Row],[Date]],'DB Global PMI'!$A:$F,4)=0,#N/A,VLOOKUP(Table13468111214[[#This Row],[Date]],'DB Global PMI'!$A:$F,4))</f>
        <v/>
      </c>
      <c r="E218" s="24">
        <f>Table13468111214[[#This Row],[Euro Area PMI]]-B206</f>
        <v/>
      </c>
      <c r="F218" s="52">
        <f>(Table13468111214[[#This Row],[EZU]]-D206)/D206</f>
        <v/>
      </c>
      <c r="G218"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8">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80"/>
  <sheetViews>
    <sheetView zoomScale="150" zoomScaleNormal="150" workbookViewId="0">
      <pane ySplit="5" topLeftCell="A146" activePane="bottomLeft" state="frozen"/>
      <selection activeCell="B327" sqref="B327"/>
      <selection pane="bottomLeft" activeCell="A167" sqref="A167:C180"/>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Japan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row r="179">
      <c r="A179" s="10" t="n">
        <v>44743</v>
      </c>
      <c r="B179" s="18">
        <f>IF(VLOOKUP(A179,'DB Country PMI'!$A:$AZ,MATCH($A$1,'DB Country PMI'!$A$1:$AZ$1,),)=0,#N/A,VLOOKUP(A179,'DB Country PMI'!$A:$AZ,MATCH($A$1,'DB Country PMI'!$A$1:$AZ$1,),))</f>
        <v/>
      </c>
      <c r="C179" s="24">
        <f>Table1346811121415161718192022[[#This Row],[PMI]]-B178</f>
        <v/>
      </c>
    </row>
    <row r="180">
      <c r="A180" s="10" t="n">
        <v>44774</v>
      </c>
      <c r="B180" s="18">
        <f>IF(VLOOKUP(A180,'DB Country PMI'!$A:$AZ,MATCH($A$1,'DB Country PMI'!$A$1:$AZ$1,),)=0,#N/A,VLOOKUP(A180,'DB Country PMI'!$A:$AZ,MATCH($A$1,'DB Country PMI'!$A$1:$AZ$1,),))</f>
        <v/>
      </c>
      <c r="C180" s="24">
        <f>Table1346811121415161718192022[[#This Row],[PMI]]-B179</f>
        <v/>
      </c>
    </row>
  </sheetData>
  <conditionalFormatting sqref="C7:C106">
    <cfRule type="colorScale" priority="1">
      <colorScale>
        <cfvo type="min"/>
        <cfvo type="percentile" val="50"/>
        <cfvo type="max"/>
        <color rgb="FFF8696B"/>
        <color rgb="FFFCFCFF"/>
        <color rgb="FF5A8AC6"/>
      </colorScale>
    </cfRule>
  </conditionalFormatting>
  <conditionalFormatting sqref="B6:B18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81"/>
  <sheetViews>
    <sheetView zoomScale="150" zoomScaleNormal="150" workbookViewId="0">
      <pane ySplit="5" topLeftCell="A147" activePane="bottomLeft" state="frozen"/>
      <selection pane="bottomLeft" activeCell="A169" sqref="A169:C181"/>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Germany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row r="180">
      <c r="A180" s="10" t="n">
        <v>44743</v>
      </c>
      <c r="B180" s="18">
        <f>IF(VLOOKUP(A180,'DB Country PMI'!$A:$AZ,MATCH($A$1,'DB Country PMI'!$A$1:$AZ$1,),)=0,#N/A,VLOOKUP(A180,'DB Country PMI'!$A:$AZ,MATCH($A$1,'DB Country PMI'!$A$1:$AZ$1,),))</f>
        <v/>
      </c>
      <c r="C180" s="24">
        <f>Table1346811121415[[#This Row],[PMI]]-B179</f>
        <v/>
      </c>
    </row>
    <row r="181">
      <c r="A181" s="10" t="n">
        <v>44774</v>
      </c>
      <c r="B181" s="18">
        <f>IF(VLOOKUP(A181,'DB Country PMI'!$A:$AZ,MATCH($A$1,'DB Country PMI'!$A$1:$AZ$1,),)=0,#N/A,VLOOKUP(A181,'DB Country PMI'!$A:$AZ,MATCH($A$1,'DB Country PMI'!$A$1:$AZ$1,),))</f>
        <v/>
      </c>
      <c r="C181" s="24">
        <f>Table1346811121415[[#This Row],[PMI]]-B180</f>
        <v/>
      </c>
    </row>
  </sheetData>
  <conditionalFormatting sqref="C7:C106">
    <cfRule type="colorScale" priority="1">
      <colorScale>
        <cfvo type="min"/>
        <cfvo type="percentile" val="50"/>
        <cfvo type="max"/>
        <color rgb="FFF8696B"/>
        <color rgb="FFFCFCFF"/>
        <color rgb="FF5A8AC6"/>
      </colorScale>
    </cfRule>
  </conditionalFormatting>
  <conditionalFormatting sqref="B6:B181">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4"/>
  <sheetViews>
    <sheetView zoomScale="140" zoomScaleNormal="140" workbookViewId="0">
      <pane ySplit="5" topLeftCell="A136" activePane="bottomLeft" state="frozen"/>
      <selection pane="bottomLeft" activeCell="A161" sqref="A161:C174"/>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France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row r="173">
      <c r="A173" s="10" t="n">
        <v>44743</v>
      </c>
      <c r="B173" s="18">
        <f>IF(VLOOKUP(A173,'DB Country PMI'!$A:$AZ,MATCH($A$1,'DB Country PMI'!$A$1:$AZ$1,),)=0,#N/A,VLOOKUP(A173,'DB Country PMI'!$A:$AZ,MATCH($A$1,'DB Country PMI'!$A$1:$AZ$1,),))</f>
        <v/>
      </c>
      <c r="C173" s="24">
        <f>Table134681112141516[[#This Row],[PMI]]-B172</f>
        <v/>
      </c>
    </row>
    <row r="174">
      <c r="A174" s="10" t="n">
        <v>44774</v>
      </c>
      <c r="B174" s="18">
        <f>IF(VLOOKUP(A174,'DB Country PMI'!$A:$AZ,MATCH($A$1,'DB Country PMI'!$A$1:$AZ$1,),)=0,#N/A,VLOOKUP(A174,'DB Country PMI'!$A:$AZ,MATCH($A$1,'DB Country PMI'!$A$1:$AZ$1,),))</f>
        <v/>
      </c>
      <c r="C174" s="24">
        <f>Table134681112141516[[#This Row],[PMI]]-B173</f>
        <v/>
      </c>
    </row>
  </sheetData>
  <conditionalFormatting sqref="C7:C106">
    <cfRule type="colorScale" priority="1">
      <colorScale>
        <cfvo type="min"/>
        <cfvo type="percentile" val="50"/>
        <cfvo type="max"/>
        <color rgb="FFF8696B"/>
        <color rgb="FFFCFCFF"/>
        <color rgb="FF5A8AC6"/>
      </colorScale>
    </cfRule>
  </conditionalFormatting>
  <conditionalFormatting sqref="B6:B174">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8"/>
  <sheetViews>
    <sheetView zoomScale="150" zoomScaleNormal="150" workbookViewId="0">
      <pane ySplit="5" topLeftCell="A187" activePane="bottomLeft" state="frozen"/>
      <selection activeCell="P121" sqref="P121"/>
      <selection pane="bottomLeft" activeCell="A203" sqref="A203:F21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United Kingdom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row r="217">
      <c r="A217" s="10" t="n">
        <v>44743</v>
      </c>
      <c r="B217" s="18">
        <f>IF(VLOOKUP(A217,'DB Country PMI'!$A:$AZ,MATCH($A$1,'DB Country PMI'!$A$1:$AZ$1,),)=0,#N/A,VLOOKUP(A217,'DB Country PMI'!$A:$AZ,MATCH($A$1,'DB Country PMI'!$A$1:$AZ$1,),))</f>
        <v/>
      </c>
      <c r="C217" s="24">
        <f>Table134681112[[#This Row],[PMI]]-B216</f>
        <v/>
      </c>
      <c r="D217" s="11">
        <f>IF(VLOOKUP(Table134681112[[#This Row],[Date]],'DB Global PMI'!$A:$F,5)=0,#N/A,VLOOKUP(Table134681112[[#This Row],[Date]],'DB Global PMI'!$A:$F,5))</f>
        <v/>
      </c>
      <c r="E217" s="24">
        <f>Table134681112[[#This Row],[PMI]]-B205</f>
        <v/>
      </c>
      <c r="F217" s="52">
        <f>(Table134681112[[#This Row],[EWU]]-D205)/D205</f>
        <v/>
      </c>
    </row>
    <row r="218">
      <c r="A218" s="10" t="n">
        <v>44774</v>
      </c>
      <c r="B218" s="18">
        <f>IF(VLOOKUP(A218,'DB Country PMI'!$A:$AZ,MATCH($A$1,'DB Country PMI'!$A$1:$AZ$1,),)=0,#N/A,VLOOKUP(A218,'DB Country PMI'!$A:$AZ,MATCH($A$1,'DB Country PMI'!$A$1:$AZ$1,),))</f>
        <v/>
      </c>
      <c r="C218" s="24">
        <f>Table134681112[[#This Row],[PMI]]-B217</f>
        <v/>
      </c>
      <c r="D218" s="11">
        <f>IF(VLOOKUP(Table134681112[[#This Row],[Date]],'DB Global PMI'!$A:$F,5)=0,#N/A,VLOOKUP(Table134681112[[#This Row],[Date]],'DB Global PMI'!$A:$F,5))</f>
        <v/>
      </c>
      <c r="E218" s="24">
        <f>Table134681112[[#This Row],[PMI]]-B206</f>
        <v/>
      </c>
      <c r="F218" s="52">
        <f>(Table134681112[[#This Row],[EWU]]-D206)/D206</f>
        <v/>
      </c>
    </row>
  </sheetData>
  <conditionalFormatting sqref="C7:C106">
    <cfRule type="colorScale" priority="1">
      <colorScale>
        <cfvo type="min"/>
        <cfvo type="percentile" val="50"/>
        <cfvo type="max"/>
        <color rgb="FFF8696B"/>
        <color rgb="FFFCFCFF"/>
        <color rgb="FF5A8AC6"/>
      </colorScale>
    </cfRule>
  </conditionalFormatting>
  <conditionalFormatting sqref="B6:B218">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94"/>
  <sheetViews>
    <sheetView zoomScale="160" zoomScaleNormal="160" workbookViewId="0">
      <pane ySplit="5" topLeftCell="A162" activePane="bottomLeft" state="frozen"/>
      <selection pane="bottomLeft" activeCell="A179" sqref="A179:C194"/>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Italy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row r="193">
      <c r="A193" s="10" t="n">
        <v>44743</v>
      </c>
      <c r="B193" s="18">
        <f>IF(VLOOKUP(A193,'DB Country PMI'!$A:$AZ,MATCH($A$1,'DB Country PMI'!$A$1:$AZ$1,),)=0,#N/A,VLOOKUP(A193,'DB Country PMI'!$A:$AZ,MATCH($A$1,'DB Country PMI'!$A$1:$AZ$1,),))</f>
        <v/>
      </c>
      <c r="C193" s="24">
        <f>Table13468111214151617[[#This Row],[PMI]]-B192</f>
        <v/>
      </c>
    </row>
    <row r="194">
      <c r="A194" s="10" t="n">
        <v>44774</v>
      </c>
      <c r="B194" s="18">
        <f>IF(VLOOKUP(A194,'DB Country PMI'!$A:$AZ,MATCH($A$1,'DB Country PMI'!$A$1:$AZ$1,),)=0,#N/A,VLOOKUP(A194,'DB Country PMI'!$A:$AZ,MATCH($A$1,'DB Country PMI'!$A$1:$AZ$1,),))</f>
        <v/>
      </c>
      <c r="C194" s="24">
        <f>Table13468111214151617[[#This Row],[PMI]]-B193</f>
        <v/>
      </c>
    </row>
  </sheetData>
  <conditionalFormatting sqref="C7:C106">
    <cfRule type="colorScale" priority="1">
      <colorScale>
        <cfvo type="min"/>
        <cfvo type="percentile" val="50"/>
        <cfvo type="max"/>
        <color rgb="FFF8696B"/>
        <color rgb="FFFCFCFF"/>
        <color rgb="FF5A8AC6"/>
      </colorScale>
    </cfRule>
  </conditionalFormatting>
  <conditionalFormatting sqref="B6:B19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94"/>
  <sheetViews>
    <sheetView zoomScale="150" zoomScaleNormal="150" workbookViewId="0">
      <pane ySplit="5" topLeftCell="A163" activePane="bottomLeft" state="frozen"/>
      <selection pane="bottomLeft" activeCell="A183" sqref="A183:C194"/>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Spain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row r="193">
      <c r="A193" s="10" t="n">
        <v>44743</v>
      </c>
      <c r="B193" s="18">
        <f>IF(VLOOKUP(A193,'DB Country PMI'!$A:$AZ,MATCH($A$1,'DB Country PMI'!$A$1:$AZ$1,),)=0,#N/A,VLOOKUP(A193,'DB Country PMI'!$A:$AZ,MATCH($A$1,'DB Country PMI'!$A$1:$AZ$1,),))</f>
        <v/>
      </c>
      <c r="C193" s="24">
        <f>Table1346811121415161718[[#This Row],[PMI]]-B192</f>
        <v/>
      </c>
    </row>
    <row r="194">
      <c r="A194" s="10" t="n">
        <v>44774</v>
      </c>
      <c r="B194" s="18">
        <f>IF(VLOOKUP(A194,'DB Country PMI'!$A:$AZ,MATCH($A$1,'DB Country PMI'!$A$1:$AZ$1,),)=0,#N/A,VLOOKUP(A194,'DB Country PMI'!$A:$AZ,MATCH($A$1,'DB Country PMI'!$A$1:$AZ$1,),))</f>
        <v/>
      </c>
      <c r="C194" s="24">
        <f>Table1346811121415161718[[#This Row],[PMI]]-B193</f>
        <v/>
      </c>
    </row>
  </sheetData>
  <conditionalFormatting sqref="C7:C106">
    <cfRule type="colorScale" priority="1">
      <colorScale>
        <cfvo type="min"/>
        <cfvo type="percentile" val="50"/>
        <cfvo type="max"/>
        <color rgb="FFF8696B"/>
        <color rgb="FFFCFCFF"/>
        <color rgb="FF5A8AC6"/>
      </colorScale>
    </cfRule>
  </conditionalFormatting>
  <conditionalFormatting sqref="B6:B19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8"/>
  <sheetViews>
    <sheetView zoomScale="150" zoomScaleNormal="150" workbookViewId="0">
      <pane ySplit="5" topLeftCell="A125" activePane="bottomLeft" state="frozen"/>
      <selection pane="bottomLeft" activeCell="A138" sqref="A138: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Brazil</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row r="147">
      <c r="A147" s="10" t="n">
        <v>44743</v>
      </c>
      <c r="B147" s="18">
        <f>IF(VLOOKUP(A147,'DB Country PMI'!$A:$AZ,MATCH($A$1,'DB Country PMI'!$A$1:$AZ$1,),)=0,#N/A,VLOOKUP(A147,'DB Country PMI'!$A:$AZ,MATCH($A$1,'DB Country PMI'!$A$1:$AZ$1,),))</f>
        <v/>
      </c>
      <c r="C147" s="24">
        <f>Table134681112141516171819202223[[#This Row],[PMI]]-B146</f>
        <v/>
      </c>
    </row>
    <row r="148">
      <c r="A148" s="10" t="n">
        <v>44774</v>
      </c>
      <c r="B148" s="18">
        <f>IF(VLOOKUP(A148,'DB Country PMI'!$A:$AZ,MATCH($A$1,'DB Country PMI'!$A$1:$AZ$1,),)=0,#N/A,VLOOKUP(A148,'DB Country PMI'!$A:$AZ,MATCH($A$1,'DB Country PMI'!$A$1:$AZ$1,),))</f>
        <v/>
      </c>
      <c r="C148" s="24">
        <f>Table134681112141516171819202223[[#This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2"/>
  <sheetViews>
    <sheetView zoomScale="150" zoomScaleNormal="150" workbookViewId="0">
      <pane ySplit="5" topLeftCell="A108" activePane="bottomLeft" state="frozen"/>
      <selection pane="bottomLeft" activeCell="A130" sqref="A130:C142"/>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Mexico</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row r="141">
      <c r="A141" s="10" t="n">
        <v>44743</v>
      </c>
      <c r="B141" s="18">
        <f>IF(VLOOKUP(A141,'DB Country PMI'!$A:$AZ,MATCH($A$1,'DB Country PMI'!$A$1:$AZ$1,),)=0,#N/A,VLOOKUP(A141,'DB Country PMI'!$A:$AZ,MATCH($A$1,'DB Country PMI'!$A$1:$AZ$1,),))</f>
        <v/>
      </c>
      <c r="C141" s="24">
        <f>Table13468111214151617181920222526[[#This Row],[PMI]]-B140</f>
        <v/>
      </c>
    </row>
    <row r="142">
      <c r="A142" s="10" t="n">
        <v>44774</v>
      </c>
      <c r="B142" s="18">
        <f>IF(VLOOKUP(A142,'DB Country PMI'!$A:$AZ,MATCH($A$1,'DB Country PMI'!$A$1:$AZ$1,),)=0,#N/A,VLOOKUP(A142,'DB Country PMI'!$A:$AZ,MATCH($A$1,'DB Country PMI'!$A$1:$AZ$1,),))</f>
        <v/>
      </c>
      <c r="C142" s="24">
        <f>Table13468111214151617181920222526[[#This Row],[PMI]]-B141</f>
        <v/>
      </c>
    </row>
  </sheetData>
  <conditionalFormatting sqref="C7:C142">
    <cfRule type="colorScale" priority="1">
      <colorScale>
        <cfvo type="min"/>
        <cfvo type="percentile" val="50"/>
        <cfvo type="max"/>
        <color rgb="FFF8696B"/>
        <color rgb="FFFCFCFF"/>
        <color rgb="FF5A8AC6"/>
      </colorScale>
    </cfRule>
  </conditionalFormatting>
  <conditionalFormatting sqref="B6:B142">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8"/>
  <sheetViews>
    <sheetView zoomScale="150" zoomScaleNormal="150" workbookViewId="0">
      <pane ySplit="5" topLeftCell="A113" activePane="bottomLeft" state="frozen"/>
      <selection pane="bottomLeft" activeCell="A135" sqref="A135: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Russia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row r="147">
      <c r="A147" s="10" t="n">
        <v>44743</v>
      </c>
      <c r="B147" s="18">
        <f>IF(VLOOKUP(A147,'DB Country PMI'!$A:$AZ,MATCH($A$1,'DB Country PMI'!$A$1:$AZ$1,),)=0,#N/A,VLOOKUP(A147,'DB Country PMI'!$A:$AZ,MATCH($A$1,'DB Country PMI'!$A$1:$AZ$1,),))</f>
        <v/>
      </c>
      <c r="C147" s="24">
        <f>Table134681112141516171819202225[[#This Row],[PMI]]-B146</f>
        <v/>
      </c>
    </row>
    <row r="148">
      <c r="A148" s="10" t="n">
        <v>44774</v>
      </c>
      <c r="B148" s="18">
        <f>IF(VLOOKUP(A148,'DB Country PMI'!$A:$AZ,MATCH($A$1,'DB Country PMI'!$A$1:$AZ$1,),)=0,#N/A,VLOOKUP(A148,'DB Country PMI'!$A:$AZ,MATCH($A$1,'DB Country PMI'!$A$1:$AZ$1,),))</f>
        <v/>
      </c>
      <c r="C148" s="24">
        <f>Table134681112141516171819202225[[#This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8"/>
  <sheetViews>
    <sheetView zoomScale="160" zoomScaleNormal="160" workbookViewId="0">
      <pane ySplit="5" topLeftCell="A116" activePane="bottomLeft" state="frozen"/>
      <selection pane="bottomLeft" activeCell="A135" sqref="A135: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India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row r="147">
      <c r="A147" s="10" t="n">
        <v>44743</v>
      </c>
      <c r="B147" s="18">
        <f>IF(VLOOKUP(A147,'DB Country PMI'!$A:$AZ,MATCH($A$1,'DB Country PMI'!$A$1:$AZ$1,),)=0,#N/A,VLOOKUP(A147,'DB Country PMI'!$A:$AZ,MATCH($A$1,'DB Country PMI'!$A$1:$AZ$1,),))</f>
        <v/>
      </c>
      <c r="C147" s="24">
        <f>Table13468111214151617181920222324[[#This Row],[PMI]]-B146</f>
        <v/>
      </c>
    </row>
    <row r="148">
      <c r="A148" s="10" t="n">
        <v>44774</v>
      </c>
      <c r="B148" s="18">
        <f>IF(VLOOKUP(A148,'DB Country PMI'!$A:$AZ,MATCH($A$1,'DB Country PMI'!$A$1:$AZ$1,),)=0,#N/A,VLOOKUP(A148,'DB Country PMI'!$A:$AZ,MATCH($A$1,'DB Country PMI'!$A$1:$AZ$1,),))</f>
        <v/>
      </c>
      <c r="C148" s="24">
        <f>Table13468111214151617181920222324[[#This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2"/>
  <sheetViews>
    <sheetView zoomScale="160" zoomScaleNormal="160" workbookViewId="0">
      <pane ySplit="5" topLeftCell="A114" activePane="bottomLeft" state="frozen"/>
      <selection pane="bottomLeft" activeCell="A126" sqref="A126:C142"/>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Canada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row r="141">
      <c r="A141" s="10" t="n">
        <v>44743</v>
      </c>
      <c r="B141" s="18">
        <f>IF(VLOOKUP(A141,'DB Country PMI'!$A:$AZ,MATCH($A$1,'DB Country PMI'!$A$1:$AZ$1,),)=0,#N/A,VLOOKUP(A141,'DB Country PMI'!$A:$AZ,MATCH($A$1,'DB Country PMI'!$A$1:$AZ$1,),))</f>
        <v/>
      </c>
      <c r="C141" s="24">
        <f>Table13468[[#This Row],[PMI]]-B140</f>
        <v/>
      </c>
    </row>
    <row r="142">
      <c r="A142" s="10" t="n">
        <v>44774</v>
      </c>
      <c r="B142" s="18">
        <f>IF(VLOOKUP(A142,'DB Country PMI'!$A:$AZ,MATCH($A$1,'DB Country PMI'!$A$1:$AZ$1,),)=0,#N/A,VLOOKUP(A142,'DB Country PMI'!$A:$AZ,MATCH($A$1,'DB Country PMI'!$A$1:$AZ$1,),))</f>
        <v/>
      </c>
      <c r="C142" s="24">
        <f>Table13468[[#This Row],[PMI]]-B141</f>
        <v/>
      </c>
    </row>
  </sheetData>
  <conditionalFormatting sqref="B6:B142">
    <cfRule type="colorScale" priority="2">
      <colorScale>
        <cfvo type="min"/>
        <cfvo type="percentile" val="50"/>
        <cfvo type="max"/>
        <color rgb="FFF8696B"/>
        <color rgb="FFFFEB84"/>
        <color rgb="FF63BE7B"/>
      </colorScale>
    </cfRule>
  </conditionalFormatting>
  <conditionalFormatting sqref="C7:C14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7"/>
  <sheetViews>
    <sheetView zoomScale="160" zoomScaleNormal="160" workbookViewId="0">
      <pane ySplit="5" topLeftCell="A144" activePane="bottomLeft" state="frozen"/>
      <selection pane="bottomLeft" activeCell="E181" sqref="E181"/>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Australia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row r="176">
      <c r="A176" s="10" t="n">
        <v>44743</v>
      </c>
      <c r="B176" s="18">
        <f>IF(VLOOKUP(A176,'DB Country PMI'!$A:$AZ,MATCH($A$1,'DB Country PMI'!$A$1:$AZ$1,),)=0,#N/A,VLOOKUP(A176,'DB Country PMI'!$A:$AZ,MATCH($A$1,'DB Country PMI'!$A$1:$AZ$1,),))</f>
        <v/>
      </c>
      <c r="C176" s="24">
        <f>Table1346811121415161718192022252627[[#This Row],[PMI]]-B175</f>
        <v/>
      </c>
    </row>
    <row r="177">
      <c r="A177" s="10" t="n">
        <v>44774</v>
      </c>
      <c r="B177" s="18">
        <f>IF(VLOOKUP(A177,'DB Country PMI'!$A:$AZ,MATCH($A$1,'DB Country PMI'!$A$1:$AZ$1,),)=0,#N/A,VLOOKUP(A177,'DB Country PMI'!$A:$AZ,MATCH($A$1,'DB Country PMI'!$A$1:$AZ$1,),))</f>
        <v/>
      </c>
      <c r="C177" s="24">
        <f>Table1346811121415161718192022252627[[#This Row],[PMI]]-B176</f>
        <v/>
      </c>
    </row>
  </sheetData>
  <conditionalFormatting sqref="C7:C106">
    <cfRule type="colorScale" priority="1">
      <colorScale>
        <cfvo type="min"/>
        <cfvo type="percentile" val="50"/>
        <cfvo type="max"/>
        <color rgb="FFF8696B"/>
        <color rgb="FFFCFCFF"/>
        <color rgb="FF5A8AC6"/>
      </colorScale>
    </cfRule>
  </conditionalFormatting>
  <conditionalFormatting sqref="B6:B177">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2"/>
  <sheetViews>
    <sheetView zoomScale="170" zoomScaleNormal="170" workbookViewId="0">
      <pane ySplit="5" topLeftCell="A109" activePane="bottomLeft" state="frozen"/>
      <selection pane="bottomLeft" activeCell="A130" sqref="A130:C142"/>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Indonesia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row r="141">
      <c r="A141" s="10" t="n">
        <v>44743</v>
      </c>
      <c r="B141" s="18">
        <f>IF(VLOOKUP(A141,'DB Country PMI'!$A:$AZ,MATCH($A$1,'DB Country PMI'!$A$1:$AZ$1,),)=0,#N/A,VLOOKUP(A141,'DB Country PMI'!$A:$AZ,MATCH($A$1,'DB Country PMI'!$A$1:$AZ$1,),))</f>
        <v/>
      </c>
      <c r="C141" s="24">
        <f>Table13468111214151617181920222530[[#This Row],[PMI]]-B140</f>
        <v/>
      </c>
    </row>
    <row r="142">
      <c r="A142" s="10" t="n">
        <v>44774</v>
      </c>
      <c r="B142" s="18">
        <f>IF(VLOOKUP(A142,'DB Country PMI'!$A:$AZ,MATCH($A$1,'DB Country PMI'!$A$1:$AZ$1,),)=0,#N/A,VLOOKUP(A142,'DB Country PMI'!$A:$AZ,MATCH($A$1,'DB Country PMI'!$A$1:$AZ$1,),))</f>
        <v/>
      </c>
      <c r="C142" s="24">
        <f>Table13468111214151617181920222530[[#This Row],[PMI]]-B141</f>
        <v/>
      </c>
    </row>
  </sheetData>
  <conditionalFormatting sqref="C7:C142">
    <cfRule type="colorScale" priority="1">
      <colorScale>
        <cfvo type="min"/>
        <cfvo type="percentile" val="50"/>
        <cfvo type="max"/>
        <color rgb="FFF8696B"/>
        <color rgb="FFFCFCFF"/>
        <color rgb="FF5A8AC6"/>
      </colorScale>
    </cfRule>
  </conditionalFormatting>
  <conditionalFormatting sqref="B6:B142">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6"/>
  <sheetViews>
    <sheetView zoomScale="160" zoomScaleNormal="160" workbookViewId="0">
      <pane ySplit="5" topLeftCell="A115" activePane="bottomLeft" state="frozen"/>
      <selection pane="bottomLeft" activeCell="A136" sqref="A136:C146"/>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South Korea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row r="145">
      <c r="A145" s="10" t="n">
        <v>44743</v>
      </c>
      <c r="B145" s="18">
        <f>IF(VLOOKUP(A145,'DB Country PMI'!$A:$AZ,MATCH($A$1,'DB Country PMI'!$A$1:$AZ$1,),)=0,#N/A,VLOOKUP(A145,'DB Country PMI'!$A:$AZ,MATCH($A$1,'DB Country PMI'!$A$1:$AZ$1,),))</f>
        <v/>
      </c>
      <c r="C145" s="24">
        <f>Table1346811121415161718192022252629[[#This Row],[PMI]]-B144</f>
        <v/>
      </c>
    </row>
    <row r="146">
      <c r="A146" s="10" t="n">
        <v>44774</v>
      </c>
      <c r="B146" s="18">
        <f>IF(VLOOKUP(A146,'DB Country PMI'!$A:$AZ,MATCH($A$1,'DB Country PMI'!$A$1:$AZ$1,),)=0,#N/A,VLOOKUP(A146,'DB Country PMI'!$A:$AZ,MATCH($A$1,'DB Country PMI'!$A$1:$AZ$1,),))</f>
        <v/>
      </c>
      <c r="C146" s="24">
        <f>Table1346811121415161718192022252629[[#This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8"/>
  <sheetViews>
    <sheetView zoomScale="170" zoomScaleNormal="170" workbookViewId="0">
      <pane ySplit="5" topLeftCell="A115" activePane="bottomLeft" state="frozen"/>
      <selection pane="bottomLeft" activeCell="A137" sqref="A137: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Taiwan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row r="147">
      <c r="A147" s="10" t="n">
        <v>44743</v>
      </c>
      <c r="B147" s="18">
        <f>IF(VLOOKUP(A147,'DB Country PMI'!$A:$AZ,MATCH($A$1,'DB Country PMI'!$A$1:$AZ$1,),)=0,#N/A,VLOOKUP(A147,'DB Country PMI'!$A:$AZ,MATCH($A$1,'DB Country PMI'!$A$1:$AZ$1,),))</f>
        <v/>
      </c>
      <c r="C147" s="24">
        <f>Table1346811121415161718192022253033[[#This Row],[PMI]]-B146</f>
        <v/>
      </c>
    </row>
    <row r="148">
      <c r="A148" s="10" t="n">
        <v>44774</v>
      </c>
      <c r="B148" s="18">
        <f>IF(VLOOKUP(A148,'DB Country PMI'!$A:$AZ,MATCH($A$1,'DB Country PMI'!$A$1:$AZ$1,),)=0,#N/A,VLOOKUP(A148,'DB Country PMI'!$A:$AZ,MATCH($A$1,'DB Country PMI'!$A$1:$AZ$1,),))</f>
        <v/>
      </c>
      <c r="C148" s="24">
        <f>Table1346811121415161718192022253033[[#This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8"/>
  <sheetViews>
    <sheetView zoomScale="160" zoomScaleNormal="160" workbookViewId="0">
      <pane ySplit="5" topLeftCell="A115" activePane="bottomLeft" state="frozen"/>
      <selection pane="bottomLeft" activeCell="A135" sqref="A135: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Greece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row r="147">
      <c r="A147" s="10" t="n">
        <v>44743</v>
      </c>
      <c r="B147" s="18">
        <f>IF(VLOOKUP(A147,'DB Country PMI'!$A:$AZ,MATCH($A$1,'DB Country PMI'!$A$1:$AZ$1,),)=0,#N/A,VLOOKUP(A147,'DB Country PMI'!$A:$AZ,MATCH($A$1,'DB Country PMI'!$A$1:$AZ$1,),))</f>
        <v/>
      </c>
      <c r="C147" s="24">
        <f>Table134681112141516171819[[#This Row],[PMI]]-B146</f>
        <v/>
      </c>
    </row>
    <row r="148">
      <c r="A148" s="10" t="n">
        <v>44774</v>
      </c>
      <c r="B148" s="18">
        <f>IF(VLOOKUP(A148,'DB Country PMI'!$A:$AZ,MATCH($A$1,'DB Country PMI'!$A$1:$AZ$1,),)=0,#N/A,VLOOKUP(A148,'DB Country PMI'!$A:$AZ,MATCH($A$1,'DB Country PMI'!$A$1:$AZ$1,),))</f>
        <v/>
      </c>
      <c r="C148" s="24">
        <f>Table134681112141516171819[[#This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8"/>
  <sheetViews>
    <sheetView zoomScale="180" zoomScaleNormal="180" workbookViewId="0">
      <pane ySplit="5" topLeftCell="A119" activePane="bottomLeft" state="frozen"/>
      <selection pane="bottomLeft" activeCell="A137" sqref="A137: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Ireland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row r="147">
      <c r="A147" s="10" t="n">
        <v>44743</v>
      </c>
      <c r="B147" s="18">
        <f>IF(VLOOKUP(A147,'DB Country PMI'!$A:$AZ,MATCH($A$1,'DB Country PMI'!$A$1:$AZ$1,),)=0,#N/A,VLOOKUP(A147,'DB Country PMI'!$A:$AZ,MATCH($A$1,'DB Country PMI'!$A$1:$AZ$1,),))</f>
        <v/>
      </c>
      <c r="C147" s="24">
        <f>Table13468111214151617181920[[#This Row],[PMI]]-B146</f>
        <v/>
      </c>
    </row>
    <row r="148">
      <c r="A148" s="10" t="n">
        <v>44774</v>
      </c>
      <c r="B148" s="18">
        <f>IF(VLOOKUP(A148,'DB Country PMI'!$A:$AZ,MATCH($A$1,'DB Country PMI'!$A$1:$AZ$1,),)=0,#N/A,VLOOKUP(A148,'DB Country PMI'!$A:$AZ,MATCH($A$1,'DB Country PMI'!$A$1:$AZ$1,),))</f>
        <v/>
      </c>
      <c r="C148" s="24">
        <f>Table13468111214151617181920[[#This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8"/>
  <sheetViews>
    <sheetView zoomScale="170" zoomScaleNormal="170" workbookViewId="0">
      <pane ySplit="5" topLeftCell="A118" activePane="bottomLeft" state="frozen"/>
      <selection pane="bottomLeft" activeCell="A134" sqref="A134: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Turkey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row r="147">
      <c r="A147" s="10" t="n">
        <v>44743</v>
      </c>
      <c r="B147" s="18">
        <f>IF(VLOOKUP(A147,'DB Country PMI'!$A:$AZ,MATCH($A$1,'DB Country PMI'!$A$1:$AZ$1,),)=0,#N/A,VLOOKUP(A147,'DB Country PMI'!$A:$AZ,MATCH($A$1,'DB Country PMI'!$A$1:$AZ$1,),))</f>
        <v/>
      </c>
      <c r="C147" s="24">
        <f>Table134681112141516171819202225303334[[#This Row],[PMI]]-B146</f>
        <v/>
      </c>
    </row>
    <row r="148">
      <c r="A148" s="10" t="n">
        <v>44774</v>
      </c>
      <c r="B148" s="18">
        <f>IF(VLOOKUP(A148,'DB Country PMI'!$A:$AZ,MATCH($A$1,'DB Country PMI'!$A$1:$AZ$1,),)=0,#N/A,VLOOKUP(A148,'DB Country PMI'!$A:$AZ,MATCH($A$1,'DB Country PMI'!$A$1:$AZ$1,),))</f>
        <v/>
      </c>
      <c r="C148" s="24">
        <f>Table134681112141516171819202225303334[[#This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8"/>
  <sheetViews>
    <sheetView zoomScale="160" zoomScaleNormal="160" workbookViewId="0">
      <pane ySplit="5" topLeftCell="A118" activePane="bottomLeft" state="frozen"/>
      <selection pane="bottomLeft" activeCell="A132" sqref="A132: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Czech Republic</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row r="147">
      <c r="A147" s="10" t="n">
        <v>44743</v>
      </c>
      <c r="B147" s="18">
        <f>IF(VLOOKUP(A147,'DB Country PMI'!$A:$AZ,MATCH($A$1,'DB Country PMI'!$A$1:$AZ$1,),)=0,#N/A,VLOOKUP(A147,'DB Country PMI'!$A:$AZ,MATCH($A$1,'DB Country PMI'!$A$1:$AZ$1,),))</f>
        <v/>
      </c>
      <c r="C147" s="24">
        <f>Table13468111214151617181920222530333435[[#This Row],[PMI]]-B146</f>
        <v/>
      </c>
    </row>
    <row r="148">
      <c r="A148" s="10" t="n">
        <v>44774</v>
      </c>
      <c r="B148" s="18">
        <f>IF(VLOOKUP(A148,'DB Country PMI'!$A:$AZ,MATCH($A$1,'DB Country PMI'!$A$1:$AZ$1,),)=0,#N/A,VLOOKUP(A148,'DB Country PMI'!$A:$AZ,MATCH($A$1,'DB Country PMI'!$A$1:$AZ$1,),))</f>
        <v/>
      </c>
      <c r="C148" s="24">
        <f>Table13468111214151617181920222530333435[[#This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8"/>
  <sheetViews>
    <sheetView zoomScale="160" zoomScaleNormal="160" workbookViewId="0">
      <pane ySplit="5" topLeftCell="A115" activePane="bottomLeft" state="frozen"/>
      <selection pane="bottomLeft" activeCell="A136" sqref="A136:C14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Poland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row r="147">
      <c r="A147" s="10" t="n">
        <v>44743</v>
      </c>
      <c r="B147" s="18">
        <f>IF(VLOOKUP(A147,'DB Country PMI'!$A:$AZ,MATCH($A$1,'DB Country PMI'!$A$1:$AZ$1,),)=0,#N/A,VLOOKUP(A147,'DB Country PMI'!$A:$AZ,MATCH($A$1,'DB Country PMI'!$A$1:$AZ$1,),))</f>
        <v/>
      </c>
      <c r="C147" s="24">
        <f>Table1346811121415161718192022253033343536[[#This Row],[PMI]]-B146</f>
        <v/>
      </c>
    </row>
    <row r="148">
      <c r="A148" s="10" t="n">
        <v>44774</v>
      </c>
      <c r="B148" s="18">
        <f>IF(VLOOKUP(A148,'DB Country PMI'!$A:$AZ,MATCH($A$1,'DB Country PMI'!$A$1:$AZ$1,),)=0,#N/A,VLOOKUP(A148,'DB Country PMI'!$A:$AZ,MATCH($A$1,'DB Country PMI'!$A$1:$AZ$1,),))</f>
        <v/>
      </c>
      <c r="C148" s="24">
        <f>Table1346811121415161718192022253033343536[[#This Row],[PMI]]-B147</f>
        <v/>
      </c>
    </row>
  </sheetData>
  <conditionalFormatting sqref="C7:C106">
    <cfRule type="colorScale" priority="1">
      <colorScale>
        <cfvo type="min"/>
        <cfvo type="percentile" val="50"/>
        <cfvo type="max"/>
        <color rgb="FFF8696B"/>
        <color rgb="FFFCFCFF"/>
        <color rgb="FF5A8AC6"/>
      </colorScale>
    </cfRule>
  </conditionalFormatting>
  <conditionalFormatting sqref="B6:B14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9"/>
  <sheetViews>
    <sheetView zoomScale="160" zoomScaleNormal="160" workbookViewId="0">
      <pane ySplit="5" topLeftCell="A323" activePane="bottomLeft" state="frozen"/>
      <selection pane="bottomLeft" activeCell="A329" sqref="A329:C349"/>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Denmark</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row r="348">
      <c r="A348" s="10" t="n">
        <v>44743</v>
      </c>
      <c r="B348" s="18">
        <f>IF(VLOOKUP(A348,'DB Country PMI'!$A:$AZ,MATCH($A$1,'DB Country PMI'!$A$1:$AZ$1,),)=0,#N/A,VLOOKUP(A348,'DB Country PMI'!$A:$AZ,MATCH($A$1,'DB Country PMI'!$A$1:$AZ$1,),))</f>
        <v/>
      </c>
      <c r="C348" s="24">
        <f>Table13[[#This Row],[PMI]]-B347</f>
        <v/>
      </c>
    </row>
    <row r="349">
      <c r="A349" s="10" t="n">
        <v>44774</v>
      </c>
      <c r="B349" s="18">
        <f>IF(VLOOKUP(A349,'DB Country PMI'!$A:$AZ,MATCH($A$1,'DB Country PMI'!$A$1:$AZ$1,),)=0,#N/A,VLOOKUP(A349,'DB Country PMI'!$A:$AZ,MATCH($A$1,'DB Country PMI'!$A$1:$AZ$1,),))</f>
        <v/>
      </c>
      <c r="C349" s="24">
        <f>Table13[[#This Row],[PMI]]-B348</f>
        <v/>
      </c>
    </row>
  </sheetData>
  <conditionalFormatting sqref="C198:C349">
    <cfRule type="colorScale" priority="2">
      <colorScale>
        <cfvo type="min"/>
        <cfvo type="percentile" val="50"/>
        <cfvo type="max"/>
        <color rgb="FFF8696B"/>
        <color rgb="FFFCFCFF"/>
        <color rgb="FF5A8AC6"/>
      </colorScale>
    </cfRule>
  </conditionalFormatting>
  <conditionalFormatting sqref="B198:B34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7"/>
  <sheetViews>
    <sheetView zoomScale="160" zoomScaleNormal="160" workbookViewId="0">
      <pane ySplit="5" topLeftCell="A100" activePane="bottomLeft" state="frozen"/>
      <selection activeCell="P121" sqref="P121"/>
      <selection pane="bottomLeft" activeCell="A116" sqref="A116:C127"/>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Vietnam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row r="126">
      <c r="A126" s="10" t="n">
        <v>44743</v>
      </c>
      <c r="B126" s="18">
        <f>IF(VLOOKUP(A126,'DB Country PMI'!$A:$AZ,MATCH($A$1,'DB Country PMI'!$A$1:$AZ$1,),)=0,#N/A,VLOOKUP(A126,'DB Country PMI'!$A:$AZ,MATCH($A$1,'DB Country PMI'!$A$1:$AZ$1,),))</f>
        <v/>
      </c>
      <c r="C126" s="24">
        <f>Table134[[#This Row],[PMI]]-B125</f>
        <v/>
      </c>
    </row>
    <row r="127">
      <c r="A127" s="10" t="n">
        <v>44774</v>
      </c>
      <c r="B127" s="18">
        <f>IF(VLOOKUP(A127,'DB Country PMI'!$A:$AZ,MATCH($A$1,'DB Country PMI'!$A$1:$AZ$1,),)=0,#N/A,VLOOKUP(A127,'DB Country PMI'!$A:$AZ,MATCH($A$1,'DB Country PMI'!$A$1:$AZ$1,),))</f>
        <v/>
      </c>
      <c r="C127" s="24">
        <f>Table134[[#This Row],[PMI]]-B126</f>
        <v/>
      </c>
    </row>
  </sheetData>
  <conditionalFormatting sqref="B6:B127">
    <cfRule type="colorScale" priority="2">
      <colorScale>
        <cfvo type="min"/>
        <cfvo type="percentile" val="50"/>
        <cfvo type="max"/>
        <color rgb="FFF8696B"/>
        <color rgb="FFFFEB84"/>
        <color rgb="FF63BE7B"/>
      </colorScale>
    </cfRule>
  </conditionalFormatting>
  <conditionalFormatting sqref="C7:C127">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9"/>
  <sheetViews>
    <sheetView zoomScale="170" zoomScaleNormal="170" workbookViewId="0">
      <pane ySplit="5" topLeftCell="A47" activePane="bottomLeft" state="frozen"/>
      <selection pane="bottomLeft" activeCell="A66" sqref="A66:C79"/>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Thailand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row r="78">
      <c r="A78" s="10" t="n">
        <v>44743</v>
      </c>
      <c r="B78" s="18">
        <f>IF(VLOOKUP(A78,'DB Country PMI'!$A:$AZ,MATCH($A$1,'DB Country PMI'!$A$1:$AZ$1,),)=0,#N/A,VLOOKUP(A78,'DB Country PMI'!$A:$AZ,MATCH($A$1,'DB Country PMI'!$A$1:$AZ$1,),))</f>
        <v/>
      </c>
      <c r="C78" s="24">
        <f>Table1345[[#This Row],[PMI]]-B77</f>
        <v/>
      </c>
    </row>
    <row r="79">
      <c r="A79" s="10" t="n">
        <v>44774</v>
      </c>
      <c r="B79" s="18">
        <f>IF(VLOOKUP(A79,'DB Country PMI'!$A:$AZ,MATCH($A$1,'DB Country PMI'!$A$1:$AZ$1,),)=0,#N/A,VLOOKUP(A79,'DB Country PMI'!$A:$AZ,MATCH($A$1,'DB Country PMI'!$A$1:$AZ$1,),))</f>
        <v/>
      </c>
      <c r="C79" s="24">
        <f>Table1345[[#This Row],[PMI]]-B78</f>
        <v/>
      </c>
    </row>
  </sheetData>
  <conditionalFormatting sqref="B6:B79">
    <cfRule type="colorScale" priority="51">
      <colorScale>
        <cfvo type="min"/>
        <cfvo type="percentile" val="50"/>
        <cfvo type="max"/>
        <color rgb="FFF8696B"/>
        <color rgb="FFFFEB84"/>
        <color rgb="FF63BE7B"/>
      </colorScale>
    </cfRule>
  </conditionalFormatting>
  <conditionalFormatting sqref="C7:C79">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7"/>
  <sheetViews>
    <sheetView zoomScale="160" zoomScaleNormal="160" workbookViewId="0">
      <pane ySplit="5" topLeftCell="A243" activePane="bottomLeft" state="frozen"/>
      <selection pane="bottomLeft" activeCell="A263" sqref="A263:C277"/>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South Africa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row r="276">
      <c r="A276" s="10" t="n">
        <v>44743</v>
      </c>
      <c r="B276" s="18">
        <f>IF(VLOOKUP(A276,'DB Country PMI'!$A:$AZ,MATCH($A$1,'DB Country PMI'!$A$1:$AZ$1,),)=0,#N/A,VLOOKUP(A276,'DB Country PMI'!$A:$AZ,MATCH($A$1,'DB Country PMI'!$A$1:$AZ$1,),))</f>
        <v/>
      </c>
      <c r="C276" s="24">
        <f>Table1346[[#This Row],[PMI]]-B275</f>
        <v/>
      </c>
    </row>
    <row r="277">
      <c r="A277" s="10" t="n">
        <v>44774</v>
      </c>
      <c r="B277" s="18">
        <f>IF(VLOOKUP(A277,'DB Country PMI'!$A:$AZ,MATCH($A$1,'DB Country PMI'!$A$1:$AZ$1,),)=0,#N/A,VLOOKUP(A277,'DB Country PMI'!$A:$AZ,MATCH($A$1,'DB Country PMI'!$A$1:$AZ$1,),))</f>
        <v/>
      </c>
      <c r="C277" s="24">
        <f>Table1346[[#This Row],[PMI]]-B276</f>
        <v/>
      </c>
    </row>
  </sheetData>
  <conditionalFormatting sqref="C126:C277">
    <cfRule type="colorScale" priority="59">
      <colorScale>
        <cfvo type="min"/>
        <cfvo type="percentile" val="50"/>
        <cfvo type="max"/>
        <color rgb="FFF8696B"/>
        <color rgb="FFFCFCFF"/>
        <color rgb="FF5A8AC6"/>
      </colorScale>
    </cfRule>
  </conditionalFormatting>
  <conditionalFormatting sqref="B126:B27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8"/>
  <sheetViews>
    <sheetView zoomScale="160" zoomScaleNormal="160" workbookViewId="0">
      <pane ySplit="5" topLeftCell="A95" activePane="bottomLeft" state="frozen"/>
      <selection pane="bottomLeft" activeCell="A109" sqref="A109:C128"/>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Hong Kong</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row r="127">
      <c r="A127" s="10" t="n">
        <v>44743</v>
      </c>
      <c r="B127" s="18">
        <f>IF(VLOOKUP(A127,'DB Country PMI'!$A:$AZ,MATCH($A$1,'DB Country PMI'!$A$1:$AZ$1,),)=0,#N/A,VLOOKUP(A127,'DB Country PMI'!$A:$AZ,MATCH($A$1,'DB Country PMI'!$A$1:$AZ$1,),))</f>
        <v/>
      </c>
      <c r="C127" s="24">
        <f>Table13467[[#This Row],[PMI]]-B126</f>
        <v/>
      </c>
    </row>
    <row r="128">
      <c r="A128" s="10" t="n">
        <v>44774</v>
      </c>
      <c r="B128" s="18">
        <f>IF(VLOOKUP(A128,'DB Country PMI'!$A:$AZ,MATCH($A$1,'DB Country PMI'!$A$1:$AZ$1,),)=0,#N/A,VLOOKUP(A128,'DB Country PMI'!$A:$AZ,MATCH($A$1,'DB Country PMI'!$A$1:$AZ$1,),))</f>
        <v/>
      </c>
      <c r="C128" s="24">
        <f>Table13467[[#This Row],[PMI]]-B127</f>
        <v/>
      </c>
    </row>
  </sheetData>
  <conditionalFormatting sqref="B6:B12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4"/>
  <sheetViews>
    <sheetView zoomScale="160" zoomScaleNormal="160" workbookViewId="0">
      <pane ySplit="5" topLeftCell="A62" activePane="bottomLeft" state="frozen"/>
      <selection pane="bottomLeft" activeCell="A82" sqref="A82:C94"/>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Saudi Arabia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row r="93">
      <c r="A93" s="10" t="n">
        <v>44743</v>
      </c>
      <c r="B93" s="18">
        <f>IF(VLOOKUP(A93,'DB Country PMI'!$A:$AZ,MATCH($A$1,'DB Country PMI'!$A$1:$AZ$1,),)=0,#N/A,VLOOKUP(A93,'DB Country PMI'!$A:$AZ,MATCH($A$1,'DB Country PMI'!$A$1:$AZ$1,),))</f>
        <v/>
      </c>
      <c r="C93" s="24">
        <f>Table134689[[#This Row],[PMI]]-B92</f>
        <v/>
      </c>
    </row>
    <row r="94">
      <c r="A94" s="10" t="n">
        <v>44774</v>
      </c>
      <c r="B94" s="18">
        <f>IF(VLOOKUP(A94,'DB Country PMI'!$A:$AZ,MATCH($A$1,'DB Country PMI'!$A$1:$AZ$1,),)=0,#N/A,VLOOKUP(A94,'DB Country PMI'!$A:$AZ,MATCH($A$1,'DB Country PMI'!$A$1:$AZ$1,),))</f>
        <v/>
      </c>
      <c r="C94" s="24">
        <f>Table134689[[#This Row],[PMI]]-B93</f>
        <v/>
      </c>
    </row>
  </sheetData>
  <conditionalFormatting sqref="B6:B94">
    <cfRule type="colorScale" priority="54">
      <colorScale>
        <cfvo type="min"/>
        <cfvo type="percentile" val="50"/>
        <cfvo type="max"/>
        <color rgb="FFF8696B"/>
        <color rgb="FFFFEB84"/>
        <color rgb="FF63BE7B"/>
      </colorScale>
    </cfRule>
  </conditionalFormatting>
  <conditionalFormatting sqref="C7:C94">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6"/>
  <sheetViews>
    <sheetView zoomScale="160" zoomScaleNormal="160" workbookViewId="0">
      <pane ySplit="5" topLeftCell="A213" activePane="bottomLeft" state="frozen"/>
      <selection activeCell="B327" sqref="B327"/>
      <selection pane="bottomLeft" activeCell="A231" sqref="A231:C246"/>
    </sheetView>
  </sheetViews>
  <sheetFormatPr baseColWidth="10" defaultColWidth="9.1640625" defaultRowHeight="15"/>
  <cols>
    <col width="13.5" customWidth="1" style="70" min="1" max="1"/>
    <col width="11.33203125" customWidth="1" style="70" min="2" max="2"/>
    <col width="9.1640625" customWidth="1" style="70" min="3" max="44"/>
    <col width="9.1640625" customWidth="1" style="70" min="45" max="16384"/>
  </cols>
  <sheetData>
    <row r="1">
      <c r="A1" s="70" t="inlineStr">
        <is>
          <t>New Zealand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row r="245">
      <c r="A245" s="10" t="n">
        <v>44743</v>
      </c>
      <c r="B245" s="19">
        <f>IF(VLOOKUP(A245,'DB Country PMI'!$A:$AZ,MATCH($A$1,'DB Country PMI'!$A$1:$AZ$1,),)=0,#N/A,VLOOKUP(A245,'DB Country PMI'!$A:$AZ,MATCH($A$1,'DB Country PMI'!$A$1:$AZ$1,),))</f>
        <v/>
      </c>
      <c r="C245" s="26">
        <f>Table1346811121415161718192022253032[[#This Row],[PMI]]-B244</f>
        <v/>
      </c>
    </row>
    <row r="246">
      <c r="A246" s="10" t="n">
        <v>44774</v>
      </c>
      <c r="B246" s="19">
        <f>IF(VLOOKUP(A246,'DB Country PMI'!$A:$AZ,MATCH($A$1,'DB Country PMI'!$A$1:$AZ$1,),)=0,#N/A,VLOOKUP(A246,'DB Country PMI'!$A:$AZ,MATCH($A$1,'DB Country PMI'!$A$1:$AZ$1,),))</f>
        <v/>
      </c>
      <c r="C246" s="26">
        <f>Table1346811121415161718192022253032[[#This Row],[PMI]]-B245</f>
        <v/>
      </c>
    </row>
  </sheetData>
  <conditionalFormatting sqref="C95:C246">
    <cfRule type="colorScale" priority="2">
      <colorScale>
        <cfvo type="min"/>
        <cfvo type="percentile" val="50"/>
        <cfvo type="max"/>
        <color rgb="FFF8696B"/>
        <color rgb="FFFCFCFF"/>
        <color rgb="FF5A8AC6"/>
      </colorScale>
    </cfRule>
  </conditionalFormatting>
  <conditionalFormatting sqref="B95:B24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2022-09-04T01:18:20Z</dcterms:modified>
  <cp:lastModifiedBy>Mark Mukherjee</cp:lastModifiedBy>
</cp:coreProperties>
</file>