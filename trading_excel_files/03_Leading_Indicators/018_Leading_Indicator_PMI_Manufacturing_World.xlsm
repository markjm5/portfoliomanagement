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93DC30C-ED3B-244E-B065-B0CF1EA889F7}" xr6:coauthVersionLast="47" xr6:coauthVersionMax="47" xr10:uidLastSave="{00000000-0000-0000-0000-000000000000}"/>
  <bookViews>
    <workbookView xWindow="-46200" yWindow="80" windowWidth="46200" windowHeight="27120" tabRatio="804" activeTab="2"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<sst xmlns="http://schemas.openxmlformats.org/spreadsheetml/2006/main" count="394" uniqueCount="130">
  <si>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</si>
  <si>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</si>
  <si>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</si>
  <si>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</si>
  <si>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</si>
  <si>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</si>
  <si>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</si>
  <si>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</si>
  <si>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</si>
  <si>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</si>
  <si>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</si>
  <si>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</si>
  <si>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</si>
  <si>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</si>
  <si>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</si>
  <si>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</si>
  <si>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</si>
  <si>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</si>
  <si>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</si>
  <si>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</si>
  <si>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</si>
  <si>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</si>
  <si>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</si>
  <si>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</si>
  <si>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</si>
  <si>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</si>
  <si>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</si>
  <si>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</si>
  <si>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</si>
  <si>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</si>
  <si>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</si>
  <si>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</si>
  <si>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</si>
  <si>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</si>
  <si>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</si>
  <si>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</si>
  <si>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</si>
  <si>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</si>
  <si>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</si>
  <si>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</si>
  <si>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</si>
  <si>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</si>
  <si>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</si>
  <si>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</si>
  <si>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</si>
  <si>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</si>
  <si>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</si>
  <si>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</si>
  <si>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</si>
  <si>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</si>
  <si>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</si>
  <si>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</si>
  <si>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</si>
  <si>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</si>
  <si>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</si>
  <si>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</si>
  <si>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</si>
  <si>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</si>
  <si>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</si>
  <si>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</si>
  <si>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</si>
  <si>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</si>
  <si>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</si>
  <si>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</si>
  <si>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</si>
  <si>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</si>
  <si>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</si>
  <si>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</si>
  <si>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</si>
  <si>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</si>
  <si>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</si>
  <si>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</si>
  <si>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</si>
  <si>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</si>
  <si>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</si>
  <si>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</si>
  <si>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</si>
  <si>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</si>
  <si>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</si>
  <si>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</si>
  <si>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</si>
  <si>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</si>
  <si>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</si>
  <si>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</si>
  <si>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</si>
  <si>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</si>
  <si>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</si>
  <si>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</si>
  <si>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</si>
  <si>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</si>
  <si>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</si>
  <si>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</si>
  <si>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</si>
  <si>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</si>
  <si>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</si>
  <si>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</si>
  <si>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</si>
  <si>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</si>
  <si>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</si>
  <si>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</si>
  <si>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</si>
  <si>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</si>
  <si>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</si>
  <si>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</si>
  <si>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</si>
  <si>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</si>
  <si>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</si>
  <si>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</si>
  <si>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</si>
  <si>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</si>
  <si>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</si>
  <si>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</si>
  <si>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</si>
  <si>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</si>
  <si>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</si>
  <si>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</si>
  <si>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</si>
  <si>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</si>
  <si>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</si>
  <si>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</si>
  <si>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</si>
  <si>
    <t>CzechRepublic</t>
  </si>
  <si>
    <t>EuroArea</t>
  </si>
  <si>
    <t>HongKong</t>
  </si>
  <si>
    <t>NewZealand</t>
  </si>
  <si>
    <t>SaudiArabia</t>
  </si>
  <si>
    <t>SouthAfrica</t>
  </si>
  <si>
    <t>SouthKorea</t>
  </si>
  <si>
    <t>T</t>
  </si>
  <si>
    <t>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</si>
</sst>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7"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9">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0" fillId="0" borderId="0" xfId="0"/>
    <xf numFmtId="0" fontId="3" fillId="4" borderId="10" xfId="0" applyFont="1" applyFill="1" applyBorder="1" applyAlignment="1">
      <alignment horizontal="center"/>
    </xf>
    <xf numFmtId="0" fontId="0" fillId="0" borderId="10" xfId="0" applyFont="1" applyBorder="1" applyAlignment="1">
      <alignment horizontal="center"/>
    </xf>
    <xf numFmtId="0" fontId="0" fillId="2" borderId="0" xfId="0" applyFill="1" applyAlignment="1">
      <alignment wrapText="1"/>
    </xf>
    <xf numFmtId="0" fontId="0" fillId="0" borderId="0" xfId="0" applyAlignment="1"/>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4" borderId="5" xfId="0"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0" fillId="2" borderId="0" xfId="0" applyFill="1"/>
    <xf numFmtId="0" fontId="0" fillId="0" borderId="0" xfId="0"/>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0" borderId="0" xfId="0" applyAlignment="1">
      <alignment wrapText="1"/>
    </xf>
    <xf numFmtId="0" fontId="3" fillId="2" borderId="0" xfId="0" applyFont="1" applyFill="1"/>
    <xf numFmtId="0" fontId="0" fillId="0" borderId="0" xfId="0" applyAlignment="1">
      <alignment vertical="center"/>
    </xf>
    <xf numFmtId="167" fontId="0" fillId="0" borderId="0" xfId="0" applyNumberForma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140" zoomScaleNormal="140" workbookViewId="0">
      <selection activeCell="V7" sqref="V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89"/>
      <c r="C1" s="89"/>
      <c r="D1" s="89"/>
      <c r="E1" s="89"/>
      <c r="F1" s="89"/>
      <c r="G1" s="89"/>
      <c r="H1" s="89"/>
      <c r="I1" s="89"/>
      <c r="J1" s="89"/>
    </row>
    <row r="2" spans="2:19" ht="16" thickBot="1" x14ac:dyDescent="0.25">
      <c r="B2" s="90"/>
      <c r="C2" s="90"/>
      <c r="D2" s="90"/>
      <c r="E2" s="90"/>
      <c r="F2" s="90"/>
      <c r="G2" s="90"/>
      <c r="H2" s="90"/>
      <c r="I2" s="90"/>
      <c r="J2" s="90"/>
    </row>
    <row r="3" spans="2:19" ht="16" thickBot="1" x14ac:dyDescent="0.25">
      <c r="B3" s="91" t="s">
        <v>120</v>
      </c>
      <c r="C3" s="92"/>
      <c r="D3" s="92"/>
      <c r="E3" s="92"/>
      <c r="F3" s="92"/>
      <c r="G3" s="92"/>
      <c r="H3" s="92"/>
      <c r="I3" s="92"/>
      <c r="J3" s="93"/>
    </row>
    <row r="5" spans="2:19" x14ac:dyDescent="0.2">
      <c r="B5" s="94" t="s">
        <v>1</v>
      </c>
      <c r="C5" s="95"/>
      <c r="D5" s="95"/>
      <c r="E5" s="95"/>
      <c r="F5" s="95"/>
      <c r="G5" s="95"/>
      <c r="H5" s="95"/>
      <c r="I5" s="95"/>
      <c r="J5" s="96"/>
    </row>
    <row r="7" spans="2:19" ht="225.75" customHeight="1" x14ac:dyDescent="0.2">
      <c r="B7" s="97" t="s">
        <v>9</v>
      </c>
      <c r="C7" s="98"/>
      <c r="D7" s="98"/>
      <c r="E7" s="98"/>
      <c r="F7" s="98"/>
      <c r="G7" s="98"/>
      <c r="H7" s="98"/>
      <c r="I7" s="98"/>
      <c r="J7" s="98"/>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94" t="s">
        <v>2</v>
      </c>
      <c r="C10" s="99"/>
      <c r="D10" s="99"/>
      <c r="E10" s="99"/>
      <c r="F10" s="99"/>
      <c r="G10" s="99"/>
      <c r="H10" s="99"/>
      <c r="I10" s="99"/>
      <c r="J10" s="100"/>
      <c r="N10" s="86" t="s">
        <v>3</v>
      </c>
      <c r="O10" s="87"/>
      <c r="P10" s="87"/>
      <c r="Q10" s="87"/>
      <c r="R10" s="87"/>
      <c r="S10" s="88"/>
    </row>
    <row r="11" spans="2:19" x14ac:dyDescent="0.2">
      <c r="N11" s="6" t="s">
        <v>4</v>
      </c>
    </row>
    <row r="12" spans="2:19" ht="16" thickBot="1" x14ac:dyDescent="0.25">
      <c r="B12" s="94" t="s">
        <v>5</v>
      </c>
      <c r="C12" s="103"/>
      <c r="D12" s="103"/>
      <c r="E12" s="103"/>
      <c r="F12" s="104"/>
      <c r="G12" s="94" t="s">
        <v>6</v>
      </c>
      <c r="H12" s="103"/>
      <c r="I12" s="103"/>
      <c r="J12" s="104"/>
    </row>
    <row r="13" spans="2:19" x14ac:dyDescent="0.2">
      <c r="P13" s="7">
        <v>44531</v>
      </c>
      <c r="Q13" s="8">
        <f>DATE(YEAR(P13),MONTH(P13)-1,DAY(P13))</f>
        <v>44501</v>
      </c>
      <c r="R13" s="9"/>
      <c r="S13" s="71" t="s">
        <v>89</v>
      </c>
    </row>
    <row r="14" spans="2:19" ht="16" thickBot="1" x14ac:dyDescent="0.25">
      <c r="B14" s="101" t="s">
        <v>17</v>
      </c>
      <c r="C14" s="102"/>
      <c r="D14" s="102"/>
      <c r="E14" s="102"/>
      <c r="F14" s="102"/>
      <c r="G14" s="101" t="s">
        <v>18</v>
      </c>
      <c r="H14" s="102"/>
      <c r="I14" s="102"/>
      <c r="J14" s="102"/>
      <c r="O14" s="1" t="s">
        <v>84</v>
      </c>
      <c r="P14" s="12" t="s">
        <v>7</v>
      </c>
      <c r="Q14" s="12" t="s">
        <v>7</v>
      </c>
      <c r="R14" s="13" t="s">
        <v>8</v>
      </c>
      <c r="S14" s="72" t="s">
        <v>90</v>
      </c>
    </row>
    <row r="15" spans="2:19" ht="30.75" customHeight="1" x14ac:dyDescent="0.2">
      <c r="G15" s="84" t="s">
        <v>19</v>
      </c>
      <c r="H15" s="105"/>
      <c r="I15" s="105"/>
      <c r="J15" s="105"/>
      <c r="N15" s="82" t="s">
        <v>17</v>
      </c>
      <c r="O15" s="83"/>
      <c r="P15" s="14">
        <f>VLOOKUP($P$13,Summary!$B:$AB,MATCH(Note!N15,Summary!$B$2:$AB$2,),)</f>
        <v>54.2</v>
      </c>
      <c r="Q15" s="14">
        <f>VLOOKUP($Q$13,Summary!$B:$AB,MATCH(Note!N15,Summary!$B$2:$AB$2,),)</f>
        <v>54.2</v>
      </c>
      <c r="R15" s="68">
        <f>P15-Q15</f>
        <v>0</v>
      </c>
      <c r="S15" s="70"/>
    </row>
    <row r="16" spans="2:19" x14ac:dyDescent="0.2">
      <c r="B16" s="84" t="s">
        <v>83</v>
      </c>
      <c r="C16" s="105"/>
      <c r="D16" s="105"/>
      <c r="E16" s="105"/>
      <c r="F16" s="105"/>
      <c r="G16" s="101" t="s">
        <v>87</v>
      </c>
      <c r="H16" s="102"/>
      <c r="I16" s="102"/>
      <c r="J16" s="102"/>
      <c r="N16" s="82" t="s">
        <v>57</v>
      </c>
      <c r="O16" s="83"/>
      <c r="P16" s="14">
        <f>VLOOKUP($P$13,Summary!$B:$AB,MATCH(Note!N16,Summary!$B$2:$AB$2,),)</f>
        <v>57.7</v>
      </c>
      <c r="Q16" s="14">
        <f>VLOOKUP($Q$13,Summary!$B:$AB,MATCH(Note!N16,Summary!$B$2:$AB$2,),)</f>
        <v>58.3</v>
      </c>
      <c r="R16" s="68">
        <f t="shared" ref="R16:R39" si="0">P16-Q16</f>
        <v>-0.59999999999999432</v>
      </c>
      <c r="S16" s="69">
        <v>0.24099999999999999</v>
      </c>
    </row>
    <row r="17" spans="2:19" x14ac:dyDescent="0.2">
      <c r="B17" s="101"/>
      <c r="C17" s="102"/>
      <c r="D17" s="102"/>
      <c r="E17" s="102"/>
      <c r="F17" s="102"/>
      <c r="G17" s="1" t="s">
        <v>88</v>
      </c>
      <c r="N17" s="82" t="s">
        <v>58</v>
      </c>
      <c r="O17" s="83"/>
      <c r="P17" s="14">
        <f>VLOOKUP($P$13,Summary!$B:$AB,MATCH(Note!N17,Summary!$B$2:$AB$2,),)</f>
        <v>50.9</v>
      </c>
      <c r="Q17" s="14">
        <f>VLOOKUP($Q$13,Summary!$B:$AB,MATCH(Note!N17,Summary!$B$2:$AB$2,),)</f>
        <v>49.9</v>
      </c>
      <c r="R17" s="68">
        <f t="shared" si="0"/>
        <v>1</v>
      </c>
      <c r="S17" s="69">
        <v>0.152</v>
      </c>
    </row>
    <row r="18" spans="2:19" x14ac:dyDescent="0.2">
      <c r="B18" s="101"/>
      <c r="C18" s="102"/>
      <c r="D18" s="102"/>
      <c r="E18" s="102"/>
      <c r="F18" s="102"/>
      <c r="N18" s="82" t="s">
        <v>59</v>
      </c>
      <c r="O18" s="83"/>
      <c r="P18" s="14">
        <f>VLOOKUP($P$13,Summary!$B:$AB,MATCH(Note!N18,Summary!$B$2:$AB$2,),)</f>
        <v>58</v>
      </c>
      <c r="Q18" s="14">
        <f>VLOOKUP($Q$13,Summary!$B:$AB,MATCH(Note!N18,Summary!$B$2:$AB$2,),)</f>
        <v>58.4</v>
      </c>
      <c r="R18" s="68">
        <f t="shared" si="0"/>
        <v>-0.39999999999999858</v>
      </c>
      <c r="S18" s="69">
        <v>0.156</v>
      </c>
    </row>
    <row r="19" spans="2:19" x14ac:dyDescent="0.2">
      <c r="N19" s="82" t="s">
        <v>60</v>
      </c>
      <c r="O19" s="83"/>
      <c r="P19" s="14">
        <f>VLOOKUP($P$13,Summary!$B:$AB,MATCH(Note!N19,Summary!$B$2:$AB$2,),)</f>
        <v>54.3</v>
      </c>
      <c r="Q19" s="14">
        <f>VLOOKUP($Q$13,Summary!$B:$AB,MATCH(Note!N19,Summary!$B$2:$AB$2,),)</f>
        <v>54.5</v>
      </c>
      <c r="R19" s="68">
        <f t="shared" si="0"/>
        <v>-0.20000000000000284</v>
      </c>
      <c r="S19" s="69">
        <v>0.06</v>
      </c>
    </row>
    <row r="20" spans="2:19" x14ac:dyDescent="0.2">
      <c r="B20" s="101"/>
      <c r="C20" s="102"/>
      <c r="D20" s="102"/>
      <c r="E20" s="102"/>
      <c r="F20" s="102"/>
      <c r="G20" s="101"/>
      <c r="H20" s="102"/>
      <c r="I20" s="102"/>
      <c r="J20" s="102"/>
      <c r="N20" s="82" t="s">
        <v>31</v>
      </c>
      <c r="O20" s="83"/>
      <c r="P20" s="14">
        <f>VLOOKUP($P$13,Summary!$B:$AB,MATCH(Note!N20,Summary!$B$2:$AB$2,),)</f>
        <v>57.4</v>
      </c>
      <c r="Q20" s="14">
        <f>VLOOKUP($Q$13,Summary!$B:$AB,MATCH(Note!N20,Summary!$B$2:$AB$2,),)</f>
        <v>57.4</v>
      </c>
      <c r="R20" s="68">
        <f t="shared" si="0"/>
        <v>0</v>
      </c>
      <c r="S20" s="69">
        <v>4.5642432442496987E-2</v>
      </c>
    </row>
    <row r="21" spans="2:19" x14ac:dyDescent="0.2">
      <c r="B21" s="101"/>
      <c r="C21" s="102"/>
      <c r="D21" s="102"/>
      <c r="E21" s="102"/>
      <c r="F21" s="102"/>
      <c r="G21" s="101"/>
      <c r="H21" s="102"/>
      <c r="I21" s="102"/>
      <c r="J21" s="102"/>
      <c r="N21" s="82" t="s">
        <v>32</v>
      </c>
      <c r="O21" s="83"/>
      <c r="P21" s="14">
        <f>VLOOKUP($P$13,Summary!$B:$AB,MATCH(Note!N21,Summary!$B$2:$AB$2,),)</f>
        <v>55.6</v>
      </c>
      <c r="Q21" s="14">
        <f>VLOOKUP($Q$13,Summary!$B:$AB,MATCH(Note!N21,Summary!$B$2:$AB$2,),)</f>
        <v>55.9</v>
      </c>
      <c r="R21" s="68">
        <f t="shared" si="0"/>
        <v>-0.29999999999999716</v>
      </c>
      <c r="S21" s="69">
        <v>3.2062660592594432E-2</v>
      </c>
    </row>
    <row r="22" spans="2:19" x14ac:dyDescent="0.2">
      <c r="B22" s="101"/>
      <c r="C22" s="102"/>
      <c r="D22" s="102"/>
      <c r="E22" s="102"/>
      <c r="F22" s="102"/>
      <c r="G22" s="101"/>
      <c r="H22" s="102"/>
      <c r="I22" s="102"/>
      <c r="J22" s="102"/>
      <c r="N22" s="82" t="s">
        <v>61</v>
      </c>
      <c r="O22" s="83"/>
      <c r="P22" s="14">
        <f>VLOOKUP($P$13,Summary!$B:$AB,MATCH(Note!N22,Summary!$B$2:$AB$2,),)</f>
        <v>57.9</v>
      </c>
      <c r="Q22" s="14">
        <f>VLOOKUP($Q$13,Summary!$B:$AB,MATCH(Note!N22,Summary!$B$2:$AB$2,),)</f>
        <v>58.1</v>
      </c>
      <c r="R22" s="68">
        <f t="shared" si="0"/>
        <v>-0.20000000000000284</v>
      </c>
      <c r="S22" s="69">
        <v>3.3000000000000002E-2</v>
      </c>
    </row>
    <row r="23" spans="2:19" x14ac:dyDescent="0.2">
      <c r="B23" s="101"/>
      <c r="C23" s="102"/>
      <c r="D23" s="102"/>
      <c r="E23" s="102"/>
      <c r="F23" s="102"/>
      <c r="N23" s="82" t="s">
        <v>62</v>
      </c>
      <c r="O23" s="83"/>
      <c r="P23" s="14">
        <f>VLOOKUP($P$13,Summary!$B:$AB,MATCH(Note!N23,Summary!$B$2:$AB$2,),)</f>
        <v>62</v>
      </c>
      <c r="Q23" s="14">
        <f>VLOOKUP($Q$13,Summary!$B:$AB,MATCH(Note!N23,Summary!$B$2:$AB$2,),)</f>
        <v>62.8</v>
      </c>
      <c r="R23" s="68">
        <f t="shared" si="0"/>
        <v>-0.79999999999999716</v>
      </c>
      <c r="S23" s="69">
        <v>2.4E-2</v>
      </c>
    </row>
    <row r="24" spans="2:19" x14ac:dyDescent="0.2">
      <c r="B24" s="101"/>
      <c r="C24" s="102"/>
      <c r="D24" s="102"/>
      <c r="E24" s="102"/>
      <c r="F24" s="102"/>
      <c r="N24" s="82" t="s">
        <v>34</v>
      </c>
      <c r="O24" s="83"/>
      <c r="P24" s="14">
        <f>VLOOKUP($P$13,Summary!$B:$AB,MATCH(Note!N24,Summary!$B$2:$AB$2,),)</f>
        <v>56.2</v>
      </c>
      <c r="Q24" s="14">
        <f>VLOOKUP($Q$13,Summary!$B:$AB,MATCH(Note!N24,Summary!$B$2:$AB$2,),)</f>
        <v>57.1</v>
      </c>
      <c r="R24" s="68">
        <f t="shared" si="0"/>
        <v>-0.89999999999999858</v>
      </c>
      <c r="S24" s="69">
        <v>1.6273382902396941E-2</v>
      </c>
    </row>
    <row r="25" spans="2:19" x14ac:dyDescent="0.2">
      <c r="N25" s="82" t="s">
        <v>43</v>
      </c>
      <c r="O25" s="83"/>
      <c r="P25" s="14">
        <f>VLOOKUP($P$13,Summary!$B:$AB,MATCH(Note!N25,Summary!$B$2:$AB$2,),)</f>
        <v>49.8</v>
      </c>
      <c r="Q25" s="14">
        <f>VLOOKUP($Q$13,Summary!$B:$AB,MATCH(Note!N25,Summary!$B$2:$AB$2,),)</f>
        <v>49.8</v>
      </c>
      <c r="R25" s="68">
        <f t="shared" si="0"/>
        <v>0</v>
      </c>
      <c r="S25" s="69">
        <v>2.5521033750822358E-2</v>
      </c>
    </row>
    <row r="26" spans="2:19" x14ac:dyDescent="0.2">
      <c r="N26" s="82" t="s">
        <v>46</v>
      </c>
      <c r="O26" s="83"/>
      <c r="P26" s="14">
        <f>VLOOKUP($P$13,Summary!$B:$AB,MATCH(Note!N26,Summary!$B$2:$AB$2,),)</f>
        <v>49.4</v>
      </c>
      <c r="Q26" s="14">
        <f>VLOOKUP($Q$13,Summary!$B:$AB,MATCH(Note!N26,Summary!$B$2:$AB$2,),)</f>
        <v>49.4</v>
      </c>
      <c r="R26" s="68">
        <f t="shared" si="0"/>
        <v>0</v>
      </c>
      <c r="S26" s="69">
        <v>1.4287310236963295E-2</v>
      </c>
    </row>
    <row r="27" spans="2:19" s="10" customFormat="1" x14ac:dyDescent="0.2">
      <c r="N27" s="82" t="s">
        <v>45</v>
      </c>
      <c r="O27" s="83"/>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2" t="s">
        <v>44</v>
      </c>
      <c r="O28" s="83"/>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2" t="s">
        <v>26</v>
      </c>
      <c r="O29" s="83"/>
      <c r="P29" s="14">
        <f>VLOOKUP($P$13,Summary!$B:$AB,MATCH(Note!N29,Summary!$B$2:$AB$2,),)</f>
        <v>55.5</v>
      </c>
      <c r="Q29" s="14">
        <f>VLOOKUP($Q$13,Summary!$B:$AB,MATCH(Note!N29,Summary!$B$2:$AB$2,),)</f>
        <v>57.2</v>
      </c>
      <c r="R29" s="68">
        <f t="shared" si="0"/>
        <v>-1.7000000000000028</v>
      </c>
      <c r="S29" s="69">
        <v>2.051861322476136E-2</v>
      </c>
    </row>
    <row r="30" spans="2:19" s="10" customFormat="1" x14ac:dyDescent="0.2">
      <c r="N30" s="82" t="s">
        <v>47</v>
      </c>
      <c r="O30" s="83"/>
      <c r="P30" s="14" t="e">
        <f>VLOOKUP($P$13,Summary!$B:$AB,MATCH(Note!N30,Summary!$B$2:$AB$2,),)</f>
        <v>#N/A</v>
      </c>
      <c r="Q30" s="14">
        <f>VLOOKUP($Q$13,Summary!$B:$AB,MATCH(Note!N30,Summary!$B$2:$AB$2,),)</f>
        <v>54.8</v>
      </c>
      <c r="R30" s="68" t="e">
        <f t="shared" si="0"/>
        <v>#N/A</v>
      </c>
      <c r="S30" s="69">
        <v>1.6422338352304465E-2</v>
      </c>
    </row>
    <row r="31" spans="2:19" s="10" customFormat="1" x14ac:dyDescent="0.2">
      <c r="N31" s="82" t="s">
        <v>49</v>
      </c>
      <c r="O31" s="83"/>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2" t="s">
        <v>63</v>
      </c>
      <c r="O32" s="83"/>
      <c r="P32" s="14">
        <f>VLOOKUP($P$13,Summary!$B:$AB,MATCH(Note!N32,Summary!$B$2:$AB$2,),)</f>
        <v>51.9</v>
      </c>
      <c r="Q32" s="14">
        <f>VLOOKUP($Q$13,Summary!$B:$AB,MATCH(Note!N32,Summary!$B$2:$AB$2,),)</f>
        <v>50.9</v>
      </c>
      <c r="R32" s="68">
        <f t="shared" si="0"/>
        <v>1</v>
      </c>
      <c r="S32" s="69">
        <v>1.9E-2</v>
      </c>
    </row>
    <row r="33" spans="2:19" s="10" customFormat="1" x14ac:dyDescent="0.2">
      <c r="N33" s="82" t="s">
        <v>51</v>
      </c>
      <c r="O33" s="83"/>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2" t="s">
        <v>35</v>
      </c>
      <c r="O34" s="83"/>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2" t="s">
        <v>36</v>
      </c>
      <c r="O35" s="83"/>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2" t="s">
        <v>52</v>
      </c>
      <c r="O36" s="83"/>
      <c r="P36" s="14">
        <f>VLOOKUP($P$13,Summary!$B:$AB,MATCH(Note!N36,Summary!$B$2:$AB$2,),)</f>
        <v>52.1</v>
      </c>
      <c r="Q36" s="14">
        <f>VLOOKUP($Q$13,Summary!$B:$AB,MATCH(Note!N36,Summary!$B$2:$AB$2,),)</f>
        <v>52</v>
      </c>
      <c r="R36" s="68">
        <f t="shared" si="0"/>
        <v>0.10000000000000142</v>
      </c>
      <c r="S36" s="69">
        <v>1.0563423989275207E-2</v>
      </c>
    </row>
    <row r="37" spans="2:19" x14ac:dyDescent="0.2">
      <c r="N37" s="82" t="s">
        <v>64</v>
      </c>
      <c r="O37" s="83"/>
      <c r="P37" s="14">
        <f>VLOOKUP($P$13,Summary!$B:$AB,MATCH(Note!N37,Summary!$B$2:$AB$2,),)</f>
        <v>59.1</v>
      </c>
      <c r="Q37" s="14">
        <f>VLOOKUP($Q$13,Summary!$B:$AB,MATCH(Note!N37,Summary!$B$2:$AB$2,),)</f>
        <v>57.1</v>
      </c>
      <c r="R37" s="68">
        <f t="shared" si="0"/>
        <v>2</v>
      </c>
      <c r="S37" s="69">
        <v>3.0000000000000001E-3</v>
      </c>
    </row>
    <row r="38" spans="2:19" x14ac:dyDescent="0.2">
      <c r="N38" s="82" t="s">
        <v>54</v>
      </c>
      <c r="O38" s="83"/>
      <c r="P38" s="14">
        <f>VLOOKUP($P$13,Summary!$B:$AB,MATCH(Note!N38,Summary!$B$2:$AB$2,),)</f>
        <v>56.1</v>
      </c>
      <c r="Q38" s="14">
        <f>VLOOKUP($Q$13,Summary!$B:$AB,MATCH(Note!N38,Summary!$B$2:$AB$2,),)</f>
        <v>54.4</v>
      </c>
      <c r="R38" s="68">
        <f t="shared" si="0"/>
        <v>1.7000000000000028</v>
      </c>
      <c r="S38" s="69">
        <v>6.5168009334541531E-3</v>
      </c>
    </row>
    <row r="39" spans="2:19" x14ac:dyDescent="0.2">
      <c r="N39" s="82" t="s">
        <v>20</v>
      </c>
      <c r="O39" s="83"/>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106"/>
      <c r="C44" s="102"/>
      <c r="D44" s="102"/>
      <c r="E44" s="102"/>
      <c r="F44" s="102"/>
      <c r="G44" s="102"/>
      <c r="H44" s="102"/>
      <c r="I44" s="102"/>
      <c r="J44" s="102"/>
      <c r="K44" s="102"/>
      <c r="L44" s="102"/>
      <c r="M44" s="102"/>
      <c r="N44" s="102"/>
      <c r="O44" s="102"/>
      <c r="P44" s="102"/>
      <c r="Q44" s="102"/>
      <c r="R44" s="102"/>
      <c r="S44" s="102"/>
    </row>
    <row r="45" spans="2:19" x14ac:dyDescent="0.2">
      <c r="B45" s="84"/>
      <c r="C45" s="85"/>
      <c r="D45" s="85"/>
      <c r="E45" s="85"/>
      <c r="F45" s="85"/>
      <c r="G45" s="85"/>
      <c r="H45" s="85"/>
      <c r="I45" s="85"/>
      <c r="J45" s="85"/>
      <c r="K45" s="85"/>
      <c r="L45" s="85"/>
      <c r="M45" s="85"/>
      <c r="N45" s="85"/>
      <c r="O45" s="85"/>
      <c r="P45" s="85"/>
      <c r="Q45" s="85"/>
      <c r="R45" s="85"/>
      <c r="S45" s="85"/>
    </row>
    <row r="46" spans="2:19" x14ac:dyDescent="0.2">
      <c r="B46" s="107"/>
      <c r="C46" s="102"/>
      <c r="D46" s="102"/>
      <c r="E46" s="102"/>
      <c r="F46" s="102"/>
      <c r="G46" s="102"/>
      <c r="H46" s="102"/>
      <c r="I46" s="102"/>
      <c r="J46" s="102"/>
      <c r="K46" s="102"/>
      <c r="L46" s="102"/>
      <c r="M46" s="102"/>
      <c r="N46" s="102"/>
      <c r="O46" s="102"/>
      <c r="P46" s="102"/>
      <c r="Q46" s="102"/>
      <c r="R46" s="102"/>
      <c r="S46" s="102"/>
    </row>
  </sheetData>
  <mergeCells count="5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6A78-D0B2-3849-80F3-BB7D6252F061}">
  <dimension ref="A1:AE339"/>
  <sheetViews>
    <sheetView tabSelected="1" workbookViewId="0">
      <selection activeCell="U19" sqref="U19"/>
    </sheetView>
  </sheetViews>
  <sheetFormatPr baseColWidth="10" defaultRowHeight="15" x14ac:dyDescent="0.2"/>
  <cols>
    <col min="1" max="16384" width="10.83203125" style="81"/>
  </cols>
  <sheetData>
    <row r="1" spans="1:31" x14ac:dyDescent="0.2">
      <c r="A1" s="81" t="s">
        <v>10</v>
      </c>
      <c r="B1" s="81" t="s">
        <v>47</v>
      </c>
      <c r="C1" s="81" t="s">
        <v>43</v>
      </c>
      <c r="D1" s="81" t="s">
        <v>26</v>
      </c>
      <c r="E1" s="81" t="s">
        <v>121</v>
      </c>
      <c r="F1" s="81" t="s">
        <v>20</v>
      </c>
      <c r="G1" s="81" t="s">
        <v>122</v>
      </c>
      <c r="H1" s="81" t="s">
        <v>32</v>
      </c>
      <c r="I1" s="81" t="s">
        <v>31</v>
      </c>
      <c r="J1" s="81" t="s">
        <v>17</v>
      </c>
      <c r="K1" s="81" t="s">
        <v>35</v>
      </c>
      <c r="L1" s="81" t="s">
        <v>123</v>
      </c>
      <c r="M1" s="81" t="s">
        <v>44</v>
      </c>
      <c r="N1" s="81" t="s">
        <v>49</v>
      </c>
      <c r="O1" s="81" t="s">
        <v>36</v>
      </c>
      <c r="P1" s="81" t="s">
        <v>33</v>
      </c>
      <c r="Q1" s="81" t="s">
        <v>42</v>
      </c>
      <c r="R1" s="81" t="s">
        <v>46</v>
      </c>
      <c r="S1" s="81" t="s">
        <v>124</v>
      </c>
      <c r="T1" s="81" t="s">
        <v>54</v>
      </c>
      <c r="U1" s="81" t="s">
        <v>45</v>
      </c>
      <c r="V1" s="81" t="s">
        <v>125</v>
      </c>
      <c r="W1" s="81" t="s">
        <v>126</v>
      </c>
      <c r="X1" s="81" t="s">
        <v>127</v>
      </c>
      <c r="Y1" s="81" t="s">
        <v>34</v>
      </c>
      <c r="Z1" s="81" t="s">
        <v>51</v>
      </c>
      <c r="AA1" s="81" t="s">
        <v>23</v>
      </c>
      <c r="AB1" s="81" t="s">
        <v>52</v>
      </c>
      <c r="AC1" s="81" t="s">
        <v>61</v>
      </c>
      <c r="AD1" s="81" t="s">
        <v>57</v>
      </c>
      <c r="AE1" s="81" t="s">
        <v>22</v>
      </c>
    </row>
    <row r="2" spans="1:31" x14ac:dyDescent="0.2">
      <c r="A2" s="108">
        <v>34335</v>
      </c>
      <c r="F2" s="81">
        <v>62.8</v>
      </c>
    </row>
    <row r="3" spans="1:31" x14ac:dyDescent="0.2">
      <c r="A3" s="108">
        <v>34366</v>
      </c>
      <c r="F3" s="81">
        <v>67.53</v>
      </c>
    </row>
    <row r="4" spans="1:31" x14ac:dyDescent="0.2">
      <c r="A4" s="108">
        <v>34394</v>
      </c>
      <c r="F4" s="81">
        <v>61.89</v>
      </c>
    </row>
    <row r="5" spans="1:31" x14ac:dyDescent="0.2">
      <c r="A5" s="108">
        <v>34425</v>
      </c>
      <c r="F5" s="81">
        <v>60.57</v>
      </c>
    </row>
    <row r="6" spans="1:31" x14ac:dyDescent="0.2">
      <c r="A6" s="108">
        <v>34455</v>
      </c>
      <c r="F6" s="81">
        <v>63.1</v>
      </c>
    </row>
    <row r="7" spans="1:31" x14ac:dyDescent="0.2">
      <c r="A7" s="108">
        <v>34486</v>
      </c>
      <c r="F7" s="81">
        <v>62.94</v>
      </c>
    </row>
    <row r="8" spans="1:31" x14ac:dyDescent="0.2">
      <c r="A8" s="108">
        <v>34516</v>
      </c>
      <c r="F8" s="81">
        <v>63.1</v>
      </c>
    </row>
    <row r="9" spans="1:31" x14ac:dyDescent="0.2">
      <c r="A9" s="108">
        <v>34547</v>
      </c>
      <c r="F9" s="81">
        <v>59.49</v>
      </c>
    </row>
    <row r="10" spans="1:31" x14ac:dyDescent="0.2">
      <c r="A10" s="108">
        <v>34578</v>
      </c>
      <c r="F10" s="81">
        <v>59.36</v>
      </c>
    </row>
    <row r="11" spans="1:31" x14ac:dyDescent="0.2">
      <c r="A11" s="108">
        <v>34608</v>
      </c>
      <c r="F11" s="81">
        <v>61.33</v>
      </c>
    </row>
    <row r="12" spans="1:31" x14ac:dyDescent="0.2">
      <c r="A12" s="108">
        <v>34639</v>
      </c>
      <c r="F12" s="81">
        <v>60.53</v>
      </c>
    </row>
    <row r="13" spans="1:31" x14ac:dyDescent="0.2">
      <c r="A13" s="108">
        <v>34669</v>
      </c>
      <c r="F13" s="81">
        <v>62.29</v>
      </c>
    </row>
    <row r="14" spans="1:31" x14ac:dyDescent="0.2">
      <c r="A14" s="108">
        <v>34700</v>
      </c>
      <c r="F14" s="81">
        <v>62.95</v>
      </c>
    </row>
    <row r="15" spans="1:31" x14ac:dyDescent="0.2">
      <c r="A15" s="108">
        <v>34731</v>
      </c>
      <c r="F15" s="81">
        <v>63.78</v>
      </c>
    </row>
    <row r="16" spans="1:31" x14ac:dyDescent="0.2">
      <c r="A16" s="108">
        <v>34759</v>
      </c>
      <c r="F16" s="81">
        <v>61.91</v>
      </c>
    </row>
    <row r="17" spans="1:6" x14ac:dyDescent="0.2">
      <c r="A17" s="108">
        <v>34790</v>
      </c>
      <c r="F17" s="81">
        <v>59.68</v>
      </c>
    </row>
    <row r="18" spans="1:6" x14ac:dyDescent="0.2">
      <c r="A18" s="108">
        <v>34820</v>
      </c>
      <c r="F18" s="81">
        <v>58.91</v>
      </c>
    </row>
    <row r="19" spans="1:6" x14ac:dyDescent="0.2">
      <c r="A19" s="108">
        <v>34851</v>
      </c>
      <c r="F19" s="81">
        <v>58.16</v>
      </c>
    </row>
    <row r="20" spans="1:6" x14ac:dyDescent="0.2">
      <c r="A20" s="108">
        <v>34881</v>
      </c>
      <c r="F20" s="81">
        <v>65.400000000000006</v>
      </c>
    </row>
    <row r="21" spans="1:6" x14ac:dyDescent="0.2">
      <c r="A21" s="108">
        <v>34912</v>
      </c>
      <c r="F21" s="81">
        <v>56.52</v>
      </c>
    </row>
    <row r="22" spans="1:6" x14ac:dyDescent="0.2">
      <c r="A22" s="108">
        <v>34943</v>
      </c>
      <c r="F22" s="81">
        <v>55.66</v>
      </c>
    </row>
    <row r="23" spans="1:6" x14ac:dyDescent="0.2">
      <c r="A23" s="108">
        <v>34973</v>
      </c>
      <c r="F23" s="81">
        <v>53.13</v>
      </c>
    </row>
    <row r="24" spans="1:6" x14ac:dyDescent="0.2">
      <c r="A24" s="108">
        <v>35004</v>
      </c>
      <c r="F24" s="81">
        <v>55.08</v>
      </c>
    </row>
    <row r="25" spans="1:6" x14ac:dyDescent="0.2">
      <c r="A25" s="108">
        <v>35034</v>
      </c>
      <c r="F25" s="81">
        <v>54.03</v>
      </c>
    </row>
    <row r="26" spans="1:6" x14ac:dyDescent="0.2">
      <c r="A26" s="108">
        <v>35065</v>
      </c>
      <c r="F26" s="81">
        <v>50.16</v>
      </c>
    </row>
    <row r="27" spans="1:6" x14ac:dyDescent="0.2">
      <c r="A27" s="108">
        <v>35096</v>
      </c>
      <c r="F27" s="81">
        <v>46.38</v>
      </c>
    </row>
    <row r="28" spans="1:6" x14ac:dyDescent="0.2">
      <c r="A28" s="108">
        <v>35125</v>
      </c>
      <c r="F28" s="81">
        <v>52.65</v>
      </c>
    </row>
    <row r="29" spans="1:6" x14ac:dyDescent="0.2">
      <c r="A29" s="108">
        <v>35156</v>
      </c>
      <c r="F29" s="81">
        <v>54.64</v>
      </c>
    </row>
    <row r="30" spans="1:6" x14ac:dyDescent="0.2">
      <c r="A30" s="108">
        <v>35186</v>
      </c>
      <c r="F30" s="81">
        <v>48.99</v>
      </c>
    </row>
    <row r="31" spans="1:6" x14ac:dyDescent="0.2">
      <c r="A31" s="108">
        <v>35217</v>
      </c>
      <c r="F31" s="81">
        <v>50.64</v>
      </c>
    </row>
    <row r="32" spans="1:6" x14ac:dyDescent="0.2">
      <c r="A32" s="108">
        <v>35247</v>
      </c>
      <c r="F32" s="81">
        <v>54.72</v>
      </c>
    </row>
    <row r="33" spans="1:6" x14ac:dyDescent="0.2">
      <c r="A33" s="108">
        <v>35278</v>
      </c>
      <c r="F33" s="81">
        <v>56.46</v>
      </c>
    </row>
    <row r="34" spans="1:6" x14ac:dyDescent="0.2">
      <c r="A34" s="108">
        <v>35309</v>
      </c>
      <c r="F34" s="81">
        <v>59.28</v>
      </c>
    </row>
    <row r="35" spans="1:6" x14ac:dyDescent="0.2">
      <c r="A35" s="108">
        <v>35339</v>
      </c>
      <c r="F35" s="81">
        <v>57.49</v>
      </c>
    </row>
    <row r="36" spans="1:6" x14ac:dyDescent="0.2">
      <c r="A36" s="108">
        <v>35370</v>
      </c>
      <c r="F36" s="81">
        <v>61.57</v>
      </c>
    </row>
    <row r="37" spans="1:6" x14ac:dyDescent="0.2">
      <c r="A37" s="108">
        <v>35400</v>
      </c>
      <c r="F37" s="81">
        <v>60.71</v>
      </c>
    </row>
    <row r="38" spans="1:6" x14ac:dyDescent="0.2">
      <c r="A38" s="108">
        <v>35431</v>
      </c>
      <c r="F38" s="81">
        <v>62.72</v>
      </c>
    </row>
    <row r="39" spans="1:6" x14ac:dyDescent="0.2">
      <c r="A39" s="108">
        <v>35462</v>
      </c>
      <c r="F39" s="81">
        <v>57.65</v>
      </c>
    </row>
    <row r="40" spans="1:6" x14ac:dyDescent="0.2">
      <c r="A40" s="108">
        <v>35490</v>
      </c>
      <c r="F40" s="81">
        <v>60.39</v>
      </c>
    </row>
    <row r="41" spans="1:6" x14ac:dyDescent="0.2">
      <c r="A41" s="108">
        <v>35521</v>
      </c>
      <c r="F41" s="81">
        <v>60.87</v>
      </c>
    </row>
    <row r="42" spans="1:6" x14ac:dyDescent="0.2">
      <c r="A42" s="108">
        <v>35551</v>
      </c>
      <c r="F42" s="81">
        <v>64.19</v>
      </c>
    </row>
    <row r="43" spans="1:6" x14ac:dyDescent="0.2">
      <c r="A43" s="108">
        <v>35582</v>
      </c>
      <c r="F43" s="81">
        <v>63.39</v>
      </c>
    </row>
    <row r="44" spans="1:6" x14ac:dyDescent="0.2">
      <c r="A44" s="108">
        <v>35612</v>
      </c>
      <c r="F44" s="81">
        <v>54.92</v>
      </c>
    </row>
    <row r="45" spans="1:6" x14ac:dyDescent="0.2">
      <c r="A45" s="108">
        <v>35643</v>
      </c>
      <c r="F45" s="81">
        <v>61.25</v>
      </c>
    </row>
    <row r="46" spans="1:6" x14ac:dyDescent="0.2">
      <c r="A46" s="108">
        <v>35674</v>
      </c>
      <c r="F46" s="81">
        <v>61.84</v>
      </c>
    </row>
    <row r="47" spans="1:6" x14ac:dyDescent="0.2">
      <c r="A47" s="108">
        <v>35704</v>
      </c>
      <c r="F47" s="81">
        <v>58.84</v>
      </c>
    </row>
    <row r="48" spans="1:6" x14ac:dyDescent="0.2">
      <c r="A48" s="108">
        <v>35735</v>
      </c>
      <c r="F48" s="81">
        <v>56.3</v>
      </c>
    </row>
    <row r="49" spans="1:6" x14ac:dyDescent="0.2">
      <c r="A49" s="108">
        <v>35765</v>
      </c>
      <c r="F49" s="81">
        <v>56.74</v>
      </c>
    </row>
    <row r="50" spans="1:6" x14ac:dyDescent="0.2">
      <c r="A50" s="108">
        <v>35796</v>
      </c>
      <c r="F50" s="81">
        <v>55.77</v>
      </c>
    </row>
    <row r="51" spans="1:6" x14ac:dyDescent="0.2">
      <c r="A51" s="108">
        <v>35827</v>
      </c>
      <c r="F51" s="81">
        <v>55.65</v>
      </c>
    </row>
    <row r="52" spans="1:6" x14ac:dyDescent="0.2">
      <c r="A52" s="108">
        <v>35855</v>
      </c>
      <c r="F52" s="81">
        <v>58.86</v>
      </c>
    </row>
    <row r="53" spans="1:6" x14ac:dyDescent="0.2">
      <c r="A53" s="108">
        <v>35886</v>
      </c>
      <c r="F53" s="81">
        <v>58.81</v>
      </c>
    </row>
    <row r="54" spans="1:6" x14ac:dyDescent="0.2">
      <c r="A54" s="108">
        <v>35916</v>
      </c>
      <c r="F54" s="81">
        <v>60.33</v>
      </c>
    </row>
    <row r="55" spans="1:6" x14ac:dyDescent="0.2">
      <c r="A55" s="108">
        <v>35947</v>
      </c>
      <c r="F55" s="81">
        <v>57.46</v>
      </c>
    </row>
    <row r="56" spans="1:6" x14ac:dyDescent="0.2">
      <c r="A56" s="108">
        <v>35977</v>
      </c>
      <c r="F56" s="81">
        <v>50.71</v>
      </c>
    </row>
    <row r="57" spans="1:6" x14ac:dyDescent="0.2">
      <c r="A57" s="108">
        <v>36008</v>
      </c>
      <c r="F57" s="81">
        <v>62.84</v>
      </c>
    </row>
    <row r="58" spans="1:6" x14ac:dyDescent="0.2">
      <c r="A58" s="108">
        <v>36039</v>
      </c>
      <c r="F58" s="81">
        <v>51.54</v>
      </c>
    </row>
    <row r="59" spans="1:6" x14ac:dyDescent="0.2">
      <c r="A59" s="108">
        <v>36069</v>
      </c>
      <c r="F59" s="81">
        <v>54.96</v>
      </c>
    </row>
    <row r="60" spans="1:6" x14ac:dyDescent="0.2">
      <c r="A60" s="108">
        <v>36100</v>
      </c>
      <c r="F60" s="81">
        <v>48.18</v>
      </c>
    </row>
    <row r="61" spans="1:6" x14ac:dyDescent="0.2">
      <c r="A61" s="108">
        <v>36130</v>
      </c>
      <c r="F61" s="81">
        <v>49.94</v>
      </c>
    </row>
    <row r="62" spans="1:6" x14ac:dyDescent="0.2">
      <c r="A62" s="108">
        <v>36161</v>
      </c>
      <c r="F62" s="81">
        <v>53.69</v>
      </c>
    </row>
    <row r="63" spans="1:6" x14ac:dyDescent="0.2">
      <c r="A63" s="108">
        <v>36192</v>
      </c>
      <c r="F63" s="81">
        <v>55.51</v>
      </c>
    </row>
    <row r="64" spans="1:6" x14ac:dyDescent="0.2">
      <c r="A64" s="108">
        <v>36220</v>
      </c>
      <c r="F64" s="81">
        <v>45.32</v>
      </c>
    </row>
    <row r="65" spans="1:23" x14ac:dyDescent="0.2">
      <c r="A65" s="108">
        <v>36251</v>
      </c>
      <c r="F65" s="81">
        <v>50.98</v>
      </c>
    </row>
    <row r="66" spans="1:23" x14ac:dyDescent="0.2">
      <c r="A66" s="108">
        <v>36281</v>
      </c>
      <c r="F66" s="81">
        <v>48.33</v>
      </c>
    </row>
    <row r="67" spans="1:23" x14ac:dyDescent="0.2">
      <c r="A67" s="108">
        <v>36312</v>
      </c>
      <c r="F67" s="81">
        <v>51.51</v>
      </c>
    </row>
    <row r="68" spans="1:23" x14ac:dyDescent="0.2">
      <c r="A68" s="108">
        <v>36342</v>
      </c>
      <c r="F68" s="81">
        <v>53.07</v>
      </c>
    </row>
    <row r="69" spans="1:23" x14ac:dyDescent="0.2">
      <c r="A69" s="108">
        <v>36373</v>
      </c>
      <c r="F69" s="81">
        <v>49.58</v>
      </c>
    </row>
    <row r="70" spans="1:23" x14ac:dyDescent="0.2">
      <c r="A70" s="108">
        <v>36404</v>
      </c>
      <c r="F70" s="81">
        <v>52.05</v>
      </c>
    </row>
    <row r="71" spans="1:23" x14ac:dyDescent="0.2">
      <c r="A71" s="108">
        <v>36434</v>
      </c>
      <c r="F71" s="81">
        <v>69.790000000000006</v>
      </c>
    </row>
    <row r="72" spans="1:23" x14ac:dyDescent="0.2">
      <c r="A72" s="108">
        <v>36465</v>
      </c>
      <c r="F72" s="81">
        <v>64.63</v>
      </c>
    </row>
    <row r="73" spans="1:23" x14ac:dyDescent="0.2">
      <c r="A73" s="108">
        <v>36495</v>
      </c>
      <c r="F73" s="81">
        <v>46.56</v>
      </c>
    </row>
    <row r="74" spans="1:23" x14ac:dyDescent="0.2">
      <c r="A74" s="108">
        <v>36526</v>
      </c>
      <c r="F74" s="81">
        <v>56.5</v>
      </c>
      <c r="W74" s="81">
        <v>56.66</v>
      </c>
    </row>
    <row r="75" spans="1:23" x14ac:dyDescent="0.2">
      <c r="A75" s="108">
        <v>36557</v>
      </c>
      <c r="F75" s="81">
        <v>60.09</v>
      </c>
      <c r="W75" s="81">
        <v>57.26</v>
      </c>
    </row>
    <row r="76" spans="1:23" x14ac:dyDescent="0.2">
      <c r="A76" s="108">
        <v>36586</v>
      </c>
      <c r="F76" s="81">
        <v>58.03</v>
      </c>
      <c r="W76" s="81">
        <v>49.83</v>
      </c>
    </row>
    <row r="77" spans="1:23" x14ac:dyDescent="0.2">
      <c r="A77" s="108">
        <v>36617</v>
      </c>
      <c r="F77" s="81">
        <v>54.9</v>
      </c>
      <c r="W77" s="81">
        <v>52.72</v>
      </c>
    </row>
    <row r="78" spans="1:23" x14ac:dyDescent="0.2">
      <c r="A78" s="108">
        <v>36647</v>
      </c>
      <c r="F78" s="81">
        <v>55.18</v>
      </c>
      <c r="W78" s="81">
        <v>50.05</v>
      </c>
    </row>
    <row r="79" spans="1:23" x14ac:dyDescent="0.2">
      <c r="A79" s="108">
        <v>36678</v>
      </c>
      <c r="F79" s="81">
        <v>53.67</v>
      </c>
      <c r="W79" s="81">
        <v>49.65</v>
      </c>
    </row>
    <row r="80" spans="1:23" x14ac:dyDescent="0.2">
      <c r="A80" s="108">
        <v>36708</v>
      </c>
      <c r="F80" s="81">
        <v>64.069999999999993</v>
      </c>
      <c r="W80" s="81">
        <v>49.18</v>
      </c>
    </row>
    <row r="81" spans="1:23" x14ac:dyDescent="0.2">
      <c r="A81" s="108">
        <v>36739</v>
      </c>
      <c r="F81" s="81">
        <v>56.81</v>
      </c>
      <c r="W81" s="81">
        <v>51.48</v>
      </c>
    </row>
    <row r="82" spans="1:23" x14ac:dyDescent="0.2">
      <c r="A82" s="108">
        <v>36770</v>
      </c>
      <c r="F82" s="81">
        <v>56.21</v>
      </c>
      <c r="W82" s="81">
        <v>53.75</v>
      </c>
    </row>
    <row r="83" spans="1:23" x14ac:dyDescent="0.2">
      <c r="A83" s="108">
        <v>36800</v>
      </c>
      <c r="F83" s="81">
        <v>59.71</v>
      </c>
      <c r="W83" s="81">
        <v>56.34</v>
      </c>
    </row>
    <row r="84" spans="1:23" x14ac:dyDescent="0.2">
      <c r="A84" s="108">
        <v>36831</v>
      </c>
      <c r="F84" s="81">
        <v>54.29</v>
      </c>
      <c r="W84" s="81">
        <v>51.73</v>
      </c>
    </row>
    <row r="85" spans="1:23" x14ac:dyDescent="0.2">
      <c r="A85" s="108">
        <v>36861</v>
      </c>
      <c r="F85" s="81">
        <v>55.54</v>
      </c>
      <c r="W85" s="81">
        <v>50.48</v>
      </c>
    </row>
    <row r="86" spans="1:23" x14ac:dyDescent="0.2">
      <c r="A86" s="108">
        <v>36892</v>
      </c>
      <c r="F86" s="81">
        <v>52.88</v>
      </c>
      <c r="W86" s="81">
        <v>49.29</v>
      </c>
    </row>
    <row r="87" spans="1:23" x14ac:dyDescent="0.2">
      <c r="A87" s="108">
        <v>36923</v>
      </c>
      <c r="F87" s="81">
        <v>51.59</v>
      </c>
      <c r="W87" s="81">
        <v>53.48</v>
      </c>
    </row>
    <row r="88" spans="1:23" x14ac:dyDescent="0.2">
      <c r="A88" s="108">
        <v>36951</v>
      </c>
      <c r="F88" s="81">
        <v>52.49</v>
      </c>
      <c r="W88" s="81">
        <v>53.61</v>
      </c>
    </row>
    <row r="89" spans="1:23" x14ac:dyDescent="0.2">
      <c r="A89" s="108">
        <v>36982</v>
      </c>
      <c r="F89" s="81">
        <v>49.61</v>
      </c>
      <c r="W89" s="81">
        <v>52.38</v>
      </c>
    </row>
    <row r="90" spans="1:23" x14ac:dyDescent="0.2">
      <c r="A90" s="108">
        <v>37012</v>
      </c>
      <c r="F90" s="81">
        <v>52.89</v>
      </c>
      <c r="W90" s="81">
        <v>55.01</v>
      </c>
    </row>
    <row r="91" spans="1:23" x14ac:dyDescent="0.2">
      <c r="A91" s="108">
        <v>37043</v>
      </c>
      <c r="F91" s="81">
        <v>53.97</v>
      </c>
      <c r="W91" s="81">
        <v>56.17</v>
      </c>
    </row>
    <row r="92" spans="1:23" x14ac:dyDescent="0.2">
      <c r="A92" s="108">
        <v>37073</v>
      </c>
      <c r="F92" s="81">
        <v>50.42</v>
      </c>
      <c r="W92" s="81">
        <v>51.34</v>
      </c>
    </row>
    <row r="93" spans="1:23" x14ac:dyDescent="0.2">
      <c r="A93" s="108">
        <v>37104</v>
      </c>
      <c r="F93" s="81">
        <v>53.21</v>
      </c>
      <c r="W93" s="81">
        <v>51.22</v>
      </c>
    </row>
    <row r="94" spans="1:23" x14ac:dyDescent="0.2">
      <c r="A94" s="108">
        <v>37135</v>
      </c>
      <c r="F94" s="81">
        <v>47.75</v>
      </c>
      <c r="W94" s="81">
        <v>48.76</v>
      </c>
    </row>
    <row r="95" spans="1:23" x14ac:dyDescent="0.2">
      <c r="A95" s="108">
        <v>37165</v>
      </c>
      <c r="F95" s="81">
        <v>46.09</v>
      </c>
      <c r="W95" s="81">
        <v>50.25</v>
      </c>
    </row>
    <row r="96" spans="1:23" x14ac:dyDescent="0.2">
      <c r="A96" s="108">
        <v>37196</v>
      </c>
      <c r="F96" s="81">
        <v>50.81</v>
      </c>
      <c r="W96" s="81">
        <v>54.35</v>
      </c>
    </row>
    <row r="97" spans="1:23" x14ac:dyDescent="0.2">
      <c r="A97" s="108">
        <v>37226</v>
      </c>
      <c r="F97" s="81">
        <v>46.1</v>
      </c>
      <c r="W97" s="81">
        <v>55.35</v>
      </c>
    </row>
    <row r="98" spans="1:23" x14ac:dyDescent="0.2">
      <c r="A98" s="108">
        <v>37257</v>
      </c>
      <c r="F98" s="81">
        <v>52.42</v>
      </c>
      <c r="W98" s="81">
        <v>55.53</v>
      </c>
    </row>
    <row r="99" spans="1:23" x14ac:dyDescent="0.2">
      <c r="A99" s="108">
        <v>37288</v>
      </c>
      <c r="F99" s="81">
        <v>53.28</v>
      </c>
      <c r="W99" s="81">
        <v>53.87</v>
      </c>
    </row>
    <row r="100" spans="1:23" x14ac:dyDescent="0.2">
      <c r="A100" s="108">
        <v>37316</v>
      </c>
      <c r="F100" s="81">
        <v>53.02</v>
      </c>
      <c r="W100" s="81">
        <v>53.63</v>
      </c>
    </row>
    <row r="101" spans="1:23" x14ac:dyDescent="0.2">
      <c r="A101" s="108">
        <v>37347</v>
      </c>
      <c r="F101" s="81">
        <v>55.71</v>
      </c>
      <c r="W101" s="81">
        <v>60.87</v>
      </c>
    </row>
    <row r="102" spans="1:23" x14ac:dyDescent="0.2">
      <c r="A102" s="108">
        <v>37377</v>
      </c>
      <c r="F102" s="81">
        <v>52.26</v>
      </c>
      <c r="W102" s="81">
        <v>58.74</v>
      </c>
    </row>
    <row r="103" spans="1:23" x14ac:dyDescent="0.2">
      <c r="A103" s="108">
        <v>37408</v>
      </c>
      <c r="F103" s="81">
        <v>53.98</v>
      </c>
      <c r="W103" s="81">
        <v>56.43</v>
      </c>
    </row>
    <row r="104" spans="1:23" x14ac:dyDescent="0.2">
      <c r="A104" s="108">
        <v>37438</v>
      </c>
      <c r="F104" s="81">
        <v>54.33</v>
      </c>
      <c r="W104" s="81">
        <v>54.63</v>
      </c>
    </row>
    <row r="105" spans="1:23" x14ac:dyDescent="0.2">
      <c r="A105" s="108">
        <v>37469</v>
      </c>
      <c r="F105" s="81">
        <v>53.11</v>
      </c>
      <c r="S105" s="81">
        <v>56.907262129678003</v>
      </c>
      <c r="W105" s="81">
        <v>55.58</v>
      </c>
    </row>
    <row r="106" spans="1:23" x14ac:dyDescent="0.2">
      <c r="A106" s="108">
        <v>37500</v>
      </c>
      <c r="F106" s="81">
        <v>52.08</v>
      </c>
      <c r="S106" s="81">
        <v>58.558944963243398</v>
      </c>
      <c r="W106" s="81">
        <v>57.74</v>
      </c>
    </row>
    <row r="107" spans="1:23" x14ac:dyDescent="0.2">
      <c r="A107" s="108">
        <v>37530</v>
      </c>
      <c r="F107" s="81">
        <v>47.57</v>
      </c>
      <c r="S107" s="81">
        <v>57.946692398866297</v>
      </c>
      <c r="W107" s="81">
        <v>56.38</v>
      </c>
    </row>
    <row r="108" spans="1:23" x14ac:dyDescent="0.2">
      <c r="A108" s="108">
        <v>37561</v>
      </c>
      <c r="F108" s="81">
        <v>47.96</v>
      </c>
      <c r="S108" s="81">
        <v>57.045752075729702</v>
      </c>
      <c r="W108" s="81">
        <v>54.54</v>
      </c>
    </row>
    <row r="109" spans="1:23" x14ac:dyDescent="0.2">
      <c r="A109" s="108">
        <v>37591</v>
      </c>
      <c r="F109" s="81">
        <v>48.71</v>
      </c>
      <c r="S109" s="81">
        <v>57.162855142389098</v>
      </c>
      <c r="W109" s="81">
        <v>55.28</v>
      </c>
    </row>
    <row r="110" spans="1:23" x14ac:dyDescent="0.2">
      <c r="A110" s="108">
        <v>37622</v>
      </c>
      <c r="F110" s="81">
        <v>46.3</v>
      </c>
      <c r="S110" s="81">
        <v>56.037312647284203</v>
      </c>
      <c r="W110" s="81">
        <v>56.84</v>
      </c>
    </row>
    <row r="111" spans="1:23" x14ac:dyDescent="0.2">
      <c r="A111" s="108">
        <v>37653</v>
      </c>
      <c r="F111" s="81">
        <v>46.27</v>
      </c>
      <c r="S111" s="81">
        <v>54.453721410704397</v>
      </c>
      <c r="W111" s="81">
        <v>52.39</v>
      </c>
    </row>
    <row r="112" spans="1:23" x14ac:dyDescent="0.2">
      <c r="A112" s="108">
        <v>37681</v>
      </c>
      <c r="F112" s="81">
        <v>49.92</v>
      </c>
      <c r="S112" s="81">
        <v>52.803630209600101</v>
      </c>
      <c r="W112" s="81">
        <v>49.15</v>
      </c>
    </row>
    <row r="113" spans="1:23" x14ac:dyDescent="0.2">
      <c r="A113" s="108">
        <v>37712</v>
      </c>
      <c r="F113" s="81">
        <v>52.91</v>
      </c>
      <c r="S113" s="81">
        <v>53.3207423548318</v>
      </c>
      <c r="W113" s="81">
        <v>48.99</v>
      </c>
    </row>
    <row r="114" spans="1:23" x14ac:dyDescent="0.2">
      <c r="A114" s="108">
        <v>37742</v>
      </c>
      <c r="F114" s="81">
        <v>50.11</v>
      </c>
      <c r="S114" s="81">
        <v>51.856412409729302</v>
      </c>
      <c r="W114" s="81">
        <v>46.13</v>
      </c>
    </row>
    <row r="115" spans="1:23" x14ac:dyDescent="0.2">
      <c r="A115" s="108">
        <v>37773</v>
      </c>
      <c r="F115" s="81">
        <v>47.14</v>
      </c>
      <c r="S115" s="81">
        <v>53.437648762611197</v>
      </c>
      <c r="W115" s="81">
        <v>45.22</v>
      </c>
    </row>
    <row r="116" spans="1:23" x14ac:dyDescent="0.2">
      <c r="A116" s="108">
        <v>37803</v>
      </c>
      <c r="F116" s="81">
        <v>49.65</v>
      </c>
      <c r="S116" s="81">
        <v>53.0699070792162</v>
      </c>
      <c r="W116" s="81">
        <v>47.89</v>
      </c>
    </row>
    <row r="117" spans="1:23" x14ac:dyDescent="0.2">
      <c r="A117" s="108">
        <v>37834</v>
      </c>
      <c r="F117" s="81">
        <v>49.78</v>
      </c>
      <c r="S117" s="81">
        <v>50.568235899885103</v>
      </c>
      <c r="W117" s="81">
        <v>48.44</v>
      </c>
    </row>
    <row r="118" spans="1:23" x14ac:dyDescent="0.2">
      <c r="A118" s="108">
        <v>37865</v>
      </c>
      <c r="F118" s="81">
        <v>59.65</v>
      </c>
      <c r="S118" s="81">
        <v>57.843029176009402</v>
      </c>
      <c r="W118" s="81">
        <v>45.46</v>
      </c>
    </row>
    <row r="119" spans="1:23" x14ac:dyDescent="0.2">
      <c r="A119" s="108">
        <v>37895</v>
      </c>
      <c r="F119" s="81">
        <v>54.14</v>
      </c>
      <c r="S119" s="81">
        <v>60.866406299467698</v>
      </c>
      <c r="W119" s="81">
        <v>47.73</v>
      </c>
    </row>
    <row r="120" spans="1:23" x14ac:dyDescent="0.2">
      <c r="A120" s="108">
        <v>37926</v>
      </c>
      <c r="F120" s="81">
        <v>57.7</v>
      </c>
      <c r="S120" s="81">
        <v>56.386882357350899</v>
      </c>
      <c r="W120" s="81">
        <v>53.1</v>
      </c>
    </row>
    <row r="121" spans="1:23" x14ac:dyDescent="0.2">
      <c r="A121" s="108">
        <v>37956</v>
      </c>
      <c r="F121" s="81">
        <v>60.4</v>
      </c>
      <c r="S121" s="81">
        <v>54.845751644085702</v>
      </c>
      <c r="W121" s="81">
        <v>51.55</v>
      </c>
    </row>
    <row r="122" spans="1:23" x14ac:dyDescent="0.2">
      <c r="A122" s="108">
        <v>37987</v>
      </c>
      <c r="F122" s="81">
        <v>46.37</v>
      </c>
      <c r="S122" s="81">
        <v>55.793919717969402</v>
      </c>
      <c r="W122" s="81">
        <v>54.61</v>
      </c>
    </row>
    <row r="123" spans="1:23" x14ac:dyDescent="0.2">
      <c r="A123" s="108">
        <v>38018</v>
      </c>
      <c r="F123" s="81">
        <v>56.97</v>
      </c>
      <c r="S123" s="81">
        <v>56.800472168487701</v>
      </c>
      <c r="W123" s="81">
        <v>54.29</v>
      </c>
    </row>
    <row r="124" spans="1:23" x14ac:dyDescent="0.2">
      <c r="A124" s="108">
        <v>38047</v>
      </c>
      <c r="F124" s="81">
        <v>58.99</v>
      </c>
      <c r="S124" s="81">
        <v>59.0129037737941</v>
      </c>
      <c r="W124" s="81">
        <v>55.84</v>
      </c>
    </row>
    <row r="125" spans="1:23" x14ac:dyDescent="0.2">
      <c r="A125" s="108">
        <v>38078</v>
      </c>
      <c r="F125" s="81">
        <v>59.16</v>
      </c>
      <c r="S125" s="81">
        <v>58.741686967726302</v>
      </c>
      <c r="W125" s="81">
        <v>56.95</v>
      </c>
    </row>
    <row r="126" spans="1:23" x14ac:dyDescent="0.2">
      <c r="A126" s="108">
        <v>38108</v>
      </c>
      <c r="F126" s="81">
        <v>61.27</v>
      </c>
      <c r="S126" s="81">
        <v>56.1940744843941</v>
      </c>
      <c r="W126" s="81">
        <v>56.6</v>
      </c>
    </row>
    <row r="127" spans="1:23" x14ac:dyDescent="0.2">
      <c r="A127" s="108">
        <v>38139</v>
      </c>
      <c r="F127" s="81">
        <v>51.93</v>
      </c>
      <c r="S127" s="81">
        <v>62.772774028058897</v>
      </c>
      <c r="W127" s="81">
        <v>56.83</v>
      </c>
    </row>
    <row r="128" spans="1:23" x14ac:dyDescent="0.2">
      <c r="A128" s="108">
        <v>38169</v>
      </c>
      <c r="F128" s="81">
        <v>56.18</v>
      </c>
      <c r="S128" s="81">
        <v>58.771020874084499</v>
      </c>
      <c r="W128" s="81">
        <v>55.54</v>
      </c>
    </row>
    <row r="129" spans="1:29" x14ac:dyDescent="0.2">
      <c r="A129" s="108">
        <v>38200</v>
      </c>
      <c r="F129" s="81">
        <v>62.38</v>
      </c>
      <c r="S129" s="81">
        <v>57.427085291237098</v>
      </c>
      <c r="W129" s="81">
        <v>57.5</v>
      </c>
    </row>
    <row r="130" spans="1:29" x14ac:dyDescent="0.2">
      <c r="A130" s="108">
        <v>38231</v>
      </c>
      <c r="F130" s="81">
        <v>57.36</v>
      </c>
      <c r="S130" s="81">
        <v>55.049322078869203</v>
      </c>
      <c r="W130" s="81">
        <v>57.5</v>
      </c>
    </row>
    <row r="131" spans="1:29" x14ac:dyDescent="0.2">
      <c r="A131" s="108">
        <v>38261</v>
      </c>
      <c r="F131" s="81">
        <v>56.87</v>
      </c>
      <c r="S131" s="81">
        <v>52.917155117700901</v>
      </c>
      <c r="W131" s="81">
        <v>55.37</v>
      </c>
    </row>
    <row r="132" spans="1:29" x14ac:dyDescent="0.2">
      <c r="A132" s="108">
        <v>38292</v>
      </c>
      <c r="F132" s="81">
        <v>54.39</v>
      </c>
      <c r="S132" s="81">
        <v>57.866935416672398</v>
      </c>
      <c r="W132" s="81">
        <v>54.08</v>
      </c>
    </row>
    <row r="133" spans="1:29" x14ac:dyDescent="0.2">
      <c r="A133" s="108">
        <v>38322</v>
      </c>
      <c r="F133" s="81">
        <v>57.58</v>
      </c>
      <c r="G133" s="81">
        <v>51.4</v>
      </c>
      <c r="S133" s="81">
        <v>58.981422607151899</v>
      </c>
      <c r="W133" s="81">
        <v>54.34</v>
      </c>
      <c r="AC133" s="81">
        <v>53.7</v>
      </c>
    </row>
    <row r="134" spans="1:29" x14ac:dyDescent="0.2">
      <c r="A134" s="108">
        <v>38353</v>
      </c>
      <c r="F134" s="81">
        <v>59.37</v>
      </c>
      <c r="G134" s="81">
        <v>51.9</v>
      </c>
      <c r="S134" s="81">
        <v>57.034440617633997</v>
      </c>
      <c r="W134" s="81">
        <v>51.54</v>
      </c>
      <c r="AC134" s="81">
        <v>51.8</v>
      </c>
    </row>
    <row r="135" spans="1:29" x14ac:dyDescent="0.2">
      <c r="A135" s="108">
        <v>38384</v>
      </c>
      <c r="F135" s="81">
        <v>55.3</v>
      </c>
      <c r="G135" s="81">
        <v>51.9</v>
      </c>
      <c r="S135" s="81">
        <v>56.255983584510801</v>
      </c>
      <c r="W135" s="81">
        <v>55.55</v>
      </c>
      <c r="AC135" s="81">
        <v>51.8</v>
      </c>
    </row>
    <row r="136" spans="1:29" x14ac:dyDescent="0.2">
      <c r="A136" s="108">
        <v>38412</v>
      </c>
      <c r="F136" s="81">
        <v>56.66</v>
      </c>
      <c r="G136" s="81">
        <v>50.4</v>
      </c>
      <c r="S136" s="81">
        <v>51.639603525794001</v>
      </c>
      <c r="W136" s="81">
        <v>57.65</v>
      </c>
      <c r="AC136" s="81">
        <v>52</v>
      </c>
    </row>
    <row r="137" spans="1:29" x14ac:dyDescent="0.2">
      <c r="A137" s="108">
        <v>38443</v>
      </c>
      <c r="F137" s="81">
        <v>52.88</v>
      </c>
      <c r="G137" s="81">
        <v>49.2</v>
      </c>
      <c r="S137" s="81">
        <v>51.5818588801095</v>
      </c>
      <c r="W137" s="81">
        <v>54.64</v>
      </c>
      <c r="AC137" s="81">
        <v>49.5</v>
      </c>
    </row>
    <row r="138" spans="1:29" x14ac:dyDescent="0.2">
      <c r="A138" s="108">
        <v>38473</v>
      </c>
      <c r="F138" s="81">
        <v>53.51</v>
      </c>
      <c r="G138" s="81">
        <v>48.7</v>
      </c>
      <c r="S138" s="81">
        <v>51.297542414814103</v>
      </c>
      <c r="W138" s="81">
        <v>53.75</v>
      </c>
      <c r="AC138" s="81">
        <v>47.3</v>
      </c>
    </row>
    <row r="139" spans="1:29" x14ac:dyDescent="0.2">
      <c r="A139" s="108">
        <v>38504</v>
      </c>
      <c r="F139" s="81">
        <v>58.58</v>
      </c>
      <c r="G139" s="81">
        <v>49.9</v>
      </c>
      <c r="S139" s="81">
        <v>52.9270116328412</v>
      </c>
      <c r="W139" s="81">
        <v>57.12</v>
      </c>
      <c r="AC139" s="81">
        <v>49.6</v>
      </c>
    </row>
    <row r="140" spans="1:29" x14ac:dyDescent="0.2">
      <c r="A140" s="108">
        <v>38534</v>
      </c>
      <c r="F140" s="81">
        <v>56.43</v>
      </c>
      <c r="G140" s="81">
        <v>50.8</v>
      </c>
      <c r="S140" s="81">
        <v>49.237862406275802</v>
      </c>
      <c r="W140" s="81">
        <v>57.43</v>
      </c>
      <c r="AC140" s="81">
        <v>49.2</v>
      </c>
    </row>
    <row r="141" spans="1:29" x14ac:dyDescent="0.2">
      <c r="A141" s="108">
        <v>38565</v>
      </c>
      <c r="F141" s="81">
        <v>56.34</v>
      </c>
      <c r="G141" s="81">
        <v>50.4</v>
      </c>
      <c r="S141" s="81">
        <v>51.811669856587201</v>
      </c>
      <c r="W141" s="81">
        <v>55.2</v>
      </c>
      <c r="AC141" s="81">
        <v>50.1</v>
      </c>
    </row>
    <row r="142" spans="1:29" x14ac:dyDescent="0.2">
      <c r="A142" s="108">
        <v>38596</v>
      </c>
      <c r="F142" s="81">
        <v>61.16</v>
      </c>
      <c r="G142" s="81">
        <v>51.7</v>
      </c>
      <c r="S142" s="81">
        <v>50.571930732839697</v>
      </c>
      <c r="W142" s="81">
        <v>54.96</v>
      </c>
      <c r="AC142" s="81">
        <v>51.5</v>
      </c>
    </row>
    <row r="143" spans="1:29" x14ac:dyDescent="0.2">
      <c r="A143" s="108">
        <v>38626</v>
      </c>
      <c r="F143" s="81">
        <v>68.930000000000007</v>
      </c>
      <c r="G143" s="81">
        <v>52.7</v>
      </c>
      <c r="S143" s="81">
        <v>45.895480732884501</v>
      </c>
      <c r="W143" s="81">
        <v>52.77</v>
      </c>
      <c r="AC143" s="81">
        <v>51.7</v>
      </c>
    </row>
    <row r="144" spans="1:29" x14ac:dyDescent="0.2">
      <c r="A144" s="108">
        <v>38657</v>
      </c>
      <c r="F144" s="81">
        <v>57.53</v>
      </c>
      <c r="G144" s="81">
        <v>52.8</v>
      </c>
      <c r="S144" s="81">
        <v>44.270599524960801</v>
      </c>
      <c r="W144" s="81">
        <v>52.02</v>
      </c>
      <c r="AC144" s="81">
        <v>51</v>
      </c>
    </row>
    <row r="145" spans="1:29" x14ac:dyDescent="0.2">
      <c r="A145" s="108">
        <v>38687</v>
      </c>
      <c r="F145" s="81">
        <v>59.8</v>
      </c>
      <c r="G145" s="81">
        <v>53.6</v>
      </c>
      <c r="S145" s="81">
        <v>48.479025467498097</v>
      </c>
      <c r="W145" s="81">
        <v>53.31</v>
      </c>
      <c r="AC145" s="81">
        <v>51.1</v>
      </c>
    </row>
    <row r="146" spans="1:29" x14ac:dyDescent="0.2">
      <c r="A146" s="108">
        <v>38718</v>
      </c>
      <c r="F146" s="81">
        <v>58.97</v>
      </c>
      <c r="G146" s="81">
        <v>53.5</v>
      </c>
      <c r="S146" s="81">
        <v>48.585345068779702</v>
      </c>
      <c r="W146" s="81">
        <v>49.78</v>
      </c>
      <c r="AC146" s="81">
        <v>51.7</v>
      </c>
    </row>
    <row r="147" spans="1:29" x14ac:dyDescent="0.2">
      <c r="A147" s="108">
        <v>38749</v>
      </c>
      <c r="F147" s="81">
        <v>60.32</v>
      </c>
      <c r="G147" s="81">
        <v>54.5</v>
      </c>
      <c r="S147" s="81">
        <v>52.190552419279399</v>
      </c>
      <c r="W147" s="81">
        <v>50.11</v>
      </c>
      <c r="AC147" s="81">
        <v>51.7</v>
      </c>
    </row>
    <row r="148" spans="1:29" x14ac:dyDescent="0.2">
      <c r="A148" s="108">
        <v>38777</v>
      </c>
      <c r="F148" s="81">
        <v>52.93</v>
      </c>
      <c r="G148" s="81">
        <v>56.1</v>
      </c>
      <c r="S148" s="81">
        <v>53.543058814971403</v>
      </c>
      <c r="W148" s="81">
        <v>52.17</v>
      </c>
      <c r="AC148" s="81">
        <v>50.8</v>
      </c>
    </row>
    <row r="149" spans="1:29" x14ac:dyDescent="0.2">
      <c r="A149" s="108">
        <v>38808</v>
      </c>
      <c r="F149" s="81">
        <v>55.97</v>
      </c>
      <c r="G149" s="81">
        <v>56.7</v>
      </c>
      <c r="S149" s="81">
        <v>52.014251258866402</v>
      </c>
      <c r="W149" s="81">
        <v>54.63</v>
      </c>
      <c r="AC149" s="81">
        <v>54.1</v>
      </c>
    </row>
    <row r="150" spans="1:29" x14ac:dyDescent="0.2">
      <c r="A150" s="108">
        <v>38838</v>
      </c>
      <c r="F150" s="81">
        <v>56.87</v>
      </c>
      <c r="G150" s="81">
        <v>57</v>
      </c>
      <c r="S150" s="81">
        <v>57.202432453847202</v>
      </c>
      <c r="W150" s="81">
        <v>57</v>
      </c>
      <c r="AC150" s="81">
        <v>53.2</v>
      </c>
    </row>
    <row r="151" spans="1:29" x14ac:dyDescent="0.2">
      <c r="A151" s="108">
        <v>38869</v>
      </c>
      <c r="F151" s="81">
        <v>56.69</v>
      </c>
      <c r="G151" s="81">
        <v>57.7</v>
      </c>
      <c r="S151" s="81">
        <v>53.844737402000803</v>
      </c>
      <c r="W151" s="81">
        <v>58.8</v>
      </c>
      <c r="AC151" s="81">
        <v>55.1</v>
      </c>
    </row>
    <row r="152" spans="1:29" x14ac:dyDescent="0.2">
      <c r="A152" s="108">
        <v>38899</v>
      </c>
      <c r="F152" s="81">
        <v>58.32</v>
      </c>
      <c r="G152" s="81">
        <v>57.4</v>
      </c>
      <c r="S152" s="81">
        <v>53.378118046287</v>
      </c>
      <c r="W152" s="81">
        <v>60.27</v>
      </c>
      <c r="AC152" s="81">
        <v>53.8</v>
      </c>
    </row>
    <row r="153" spans="1:29" x14ac:dyDescent="0.2">
      <c r="A153" s="108">
        <v>38930</v>
      </c>
      <c r="F153" s="81">
        <v>63.49</v>
      </c>
      <c r="G153" s="81">
        <v>56.5</v>
      </c>
      <c r="S153" s="81">
        <v>52.497099283063399</v>
      </c>
      <c r="W153" s="81">
        <v>58.68</v>
      </c>
      <c r="AC153" s="81">
        <v>53.1</v>
      </c>
    </row>
    <row r="154" spans="1:29" x14ac:dyDescent="0.2">
      <c r="A154" s="108">
        <v>38961</v>
      </c>
      <c r="F154" s="81">
        <v>62.87</v>
      </c>
      <c r="G154" s="81">
        <v>56.6</v>
      </c>
      <c r="S154" s="81">
        <v>51.262659151328798</v>
      </c>
      <c r="W154" s="81">
        <v>56.6</v>
      </c>
      <c r="AC154" s="81">
        <v>54.4</v>
      </c>
    </row>
    <row r="155" spans="1:29" x14ac:dyDescent="0.2">
      <c r="A155" s="108">
        <v>38991</v>
      </c>
      <c r="F155" s="81">
        <v>62.65</v>
      </c>
      <c r="G155" s="81">
        <v>57</v>
      </c>
      <c r="S155" s="81">
        <v>56.532079990323197</v>
      </c>
      <c r="W155" s="81">
        <v>56.73</v>
      </c>
      <c r="AC155" s="81">
        <v>53.7</v>
      </c>
    </row>
    <row r="156" spans="1:29" x14ac:dyDescent="0.2">
      <c r="A156" s="108">
        <v>39022</v>
      </c>
      <c r="F156" s="81">
        <v>66.77</v>
      </c>
      <c r="G156" s="81">
        <v>56.6</v>
      </c>
      <c r="S156" s="81">
        <v>54.819585258175898</v>
      </c>
      <c r="W156" s="81">
        <v>56.34</v>
      </c>
      <c r="AC156" s="81">
        <v>53.6</v>
      </c>
    </row>
    <row r="157" spans="1:29" x14ac:dyDescent="0.2">
      <c r="A157" s="108">
        <v>39052</v>
      </c>
      <c r="F157" s="81">
        <v>62.5</v>
      </c>
      <c r="G157" s="81">
        <v>56.5</v>
      </c>
      <c r="P157" s="81">
        <v>55</v>
      </c>
      <c r="S157" s="81">
        <v>54.238666923849898</v>
      </c>
      <c r="W157" s="81">
        <v>55.49</v>
      </c>
      <c r="Y157" s="81">
        <v>57.2</v>
      </c>
      <c r="AC157" s="81">
        <v>51.9</v>
      </c>
    </row>
    <row r="158" spans="1:29" x14ac:dyDescent="0.2">
      <c r="A158" s="108">
        <v>39083</v>
      </c>
      <c r="F158" s="81">
        <v>55.72</v>
      </c>
      <c r="G158" s="81">
        <v>55.5</v>
      </c>
      <c r="P158" s="81">
        <v>53.5</v>
      </c>
      <c r="S158" s="81">
        <v>56.036031351097698</v>
      </c>
      <c r="W158" s="81">
        <v>57.79</v>
      </c>
      <c r="Y158" s="81">
        <v>56.2</v>
      </c>
      <c r="AC158" s="81">
        <v>52.8</v>
      </c>
    </row>
    <row r="159" spans="1:29" x14ac:dyDescent="0.2">
      <c r="A159" s="108">
        <v>39114</v>
      </c>
      <c r="F159" s="81">
        <v>60.51</v>
      </c>
      <c r="G159" s="81">
        <v>55.6</v>
      </c>
      <c r="P159" s="81">
        <v>54.2</v>
      </c>
      <c r="S159" s="81">
        <v>54.742775705584201</v>
      </c>
      <c r="W159" s="81">
        <v>60.18</v>
      </c>
      <c r="Y159" s="81">
        <v>56.2</v>
      </c>
      <c r="AC159" s="81">
        <v>55.4</v>
      </c>
    </row>
    <row r="160" spans="1:29" x14ac:dyDescent="0.2">
      <c r="A160" s="108">
        <v>39142</v>
      </c>
      <c r="F160" s="81">
        <v>65.52</v>
      </c>
      <c r="G160" s="81">
        <v>55.4</v>
      </c>
      <c r="P160" s="81">
        <v>53.8</v>
      </c>
      <c r="S160" s="81">
        <v>57.570250699095702</v>
      </c>
      <c r="W160" s="81">
        <v>60.35</v>
      </c>
      <c r="Y160" s="81">
        <v>55.4</v>
      </c>
      <c r="AC160" s="81">
        <v>54.4</v>
      </c>
    </row>
    <row r="161" spans="1:29" x14ac:dyDescent="0.2">
      <c r="A161" s="108">
        <v>39173</v>
      </c>
      <c r="F161" s="81">
        <v>63.43</v>
      </c>
      <c r="G161" s="81">
        <v>55.4</v>
      </c>
      <c r="P161" s="81">
        <v>53.9</v>
      </c>
      <c r="S161" s="81">
        <v>53.260616311208402</v>
      </c>
      <c r="W161" s="81">
        <v>57.89</v>
      </c>
      <c r="Y161" s="81">
        <v>56</v>
      </c>
      <c r="AC161" s="81">
        <v>53.9</v>
      </c>
    </row>
    <row r="162" spans="1:29" x14ac:dyDescent="0.2">
      <c r="A162" s="108">
        <v>39203</v>
      </c>
      <c r="F162" s="81">
        <v>62.81</v>
      </c>
      <c r="G162" s="81">
        <v>55</v>
      </c>
      <c r="P162" s="81">
        <v>55</v>
      </c>
      <c r="S162" s="81">
        <v>55.407160874264001</v>
      </c>
      <c r="W162" s="81">
        <v>56.91</v>
      </c>
      <c r="Y162" s="81">
        <v>53.3</v>
      </c>
      <c r="AC162" s="81">
        <v>54.9</v>
      </c>
    </row>
    <row r="163" spans="1:29" x14ac:dyDescent="0.2">
      <c r="A163" s="108">
        <v>39234</v>
      </c>
      <c r="F163" s="81">
        <v>59.06</v>
      </c>
      <c r="G163" s="81">
        <v>55.6</v>
      </c>
      <c r="P163" s="81">
        <v>54</v>
      </c>
      <c r="S163" s="81">
        <v>51.416409801705001</v>
      </c>
      <c r="W163" s="81">
        <v>56.33</v>
      </c>
      <c r="Y163" s="81">
        <v>55.1</v>
      </c>
      <c r="AC163" s="81">
        <v>54.3</v>
      </c>
    </row>
    <row r="164" spans="1:29" x14ac:dyDescent="0.2">
      <c r="A164" s="108">
        <v>39264</v>
      </c>
      <c r="F164" s="81">
        <v>63.94</v>
      </c>
      <c r="G164" s="81">
        <v>54.9</v>
      </c>
      <c r="P164" s="81">
        <v>53.3</v>
      </c>
      <c r="S164" s="81">
        <v>54.021529677242</v>
      </c>
      <c r="W164" s="81">
        <v>57.52</v>
      </c>
      <c r="Y164" s="81">
        <v>53.2</v>
      </c>
      <c r="AC164" s="81">
        <v>55.7</v>
      </c>
    </row>
    <row r="165" spans="1:29" x14ac:dyDescent="0.2">
      <c r="A165" s="108">
        <v>39295</v>
      </c>
      <c r="F165" s="81">
        <v>55.08</v>
      </c>
      <c r="G165" s="81">
        <v>54.3</v>
      </c>
      <c r="P165" s="81">
        <v>53.6</v>
      </c>
      <c r="S165" s="81">
        <v>56.598811050608198</v>
      </c>
      <c r="W165" s="81">
        <v>54.42</v>
      </c>
      <c r="Y165" s="81">
        <v>52.2</v>
      </c>
      <c r="AC165" s="81">
        <v>56.3</v>
      </c>
    </row>
    <row r="166" spans="1:29" x14ac:dyDescent="0.2">
      <c r="A166" s="108">
        <v>39326</v>
      </c>
      <c r="F166" s="81">
        <v>57.16</v>
      </c>
      <c r="G166" s="81">
        <v>53.2</v>
      </c>
      <c r="P166" s="81">
        <v>52.4</v>
      </c>
      <c r="S166" s="81">
        <v>54.2282350566784</v>
      </c>
      <c r="W166" s="81">
        <v>51.63</v>
      </c>
      <c r="Y166" s="81">
        <v>50.8</v>
      </c>
      <c r="AC166" s="81">
        <v>55.1</v>
      </c>
    </row>
    <row r="167" spans="1:29" x14ac:dyDescent="0.2">
      <c r="A167" s="108">
        <v>39356</v>
      </c>
      <c r="F167" s="81">
        <v>59.94</v>
      </c>
      <c r="G167" s="81">
        <v>51.5</v>
      </c>
      <c r="P167" s="81">
        <v>51.3</v>
      </c>
      <c r="S167" s="81">
        <v>57.433784173576299</v>
      </c>
      <c r="W167" s="81">
        <v>54.4</v>
      </c>
      <c r="Y167" s="81">
        <v>49.6</v>
      </c>
      <c r="AC167" s="81">
        <v>52.9</v>
      </c>
    </row>
    <row r="168" spans="1:29" x14ac:dyDescent="0.2">
      <c r="A168" s="108">
        <v>39387</v>
      </c>
      <c r="F168" s="81">
        <v>57.03</v>
      </c>
      <c r="G168" s="81">
        <v>52.8</v>
      </c>
      <c r="P168" s="81">
        <v>51.3</v>
      </c>
      <c r="S168" s="81">
        <v>57.155724465306697</v>
      </c>
      <c r="W168" s="81">
        <v>53.96</v>
      </c>
      <c r="Y168" s="81">
        <v>50.7</v>
      </c>
      <c r="AC168" s="81">
        <v>54.4</v>
      </c>
    </row>
    <row r="169" spans="1:29" x14ac:dyDescent="0.2">
      <c r="A169" s="108">
        <v>39417</v>
      </c>
      <c r="F169" s="81">
        <v>55.62</v>
      </c>
      <c r="G169" s="81">
        <v>52.6</v>
      </c>
      <c r="P169" s="81">
        <v>50.7</v>
      </c>
      <c r="S169" s="81">
        <v>53.153499590717303</v>
      </c>
      <c r="W169" s="81">
        <v>53.23</v>
      </c>
      <c r="Y169" s="81">
        <v>49.5</v>
      </c>
      <c r="AC169" s="81">
        <v>52.9</v>
      </c>
    </row>
    <row r="170" spans="1:29" x14ac:dyDescent="0.2">
      <c r="A170" s="108">
        <v>39448</v>
      </c>
      <c r="F170" s="81">
        <v>56.34</v>
      </c>
      <c r="G170" s="81">
        <v>52.8</v>
      </c>
      <c r="P170" s="81">
        <v>50.8</v>
      </c>
      <c r="S170" s="81">
        <v>53.080817306480398</v>
      </c>
      <c r="W170" s="81">
        <v>51.3</v>
      </c>
      <c r="Y170" s="81">
        <v>49.8</v>
      </c>
      <c r="AC170" s="81">
        <v>50.6</v>
      </c>
    </row>
    <row r="171" spans="1:29" x14ac:dyDescent="0.2">
      <c r="A171" s="108">
        <v>39478</v>
      </c>
      <c r="I171" s="81">
        <v>54.4</v>
      </c>
    </row>
    <row r="172" spans="1:29" x14ac:dyDescent="0.2">
      <c r="A172" s="108">
        <v>39479</v>
      </c>
      <c r="F172" s="81">
        <v>64.819999999999993</v>
      </c>
      <c r="G172" s="81">
        <v>52.3</v>
      </c>
      <c r="I172" s="81">
        <v>54.3</v>
      </c>
      <c r="P172" s="81">
        <v>50.6</v>
      </c>
      <c r="Q172" s="81">
        <v>50.8</v>
      </c>
      <c r="S172" s="81">
        <v>52.568361901912901</v>
      </c>
      <c r="W172" s="81">
        <v>45.75</v>
      </c>
      <c r="Y172" s="81">
        <v>46.7</v>
      </c>
      <c r="AC172" s="81">
        <v>51.3</v>
      </c>
    </row>
    <row r="173" spans="1:29" x14ac:dyDescent="0.2">
      <c r="A173" s="108">
        <v>39508</v>
      </c>
      <c r="F173" s="81">
        <v>57.03</v>
      </c>
      <c r="G173" s="81">
        <v>52</v>
      </c>
      <c r="I173" s="81">
        <v>54.9</v>
      </c>
      <c r="P173" s="81">
        <v>49.4</v>
      </c>
      <c r="Q173" s="81">
        <v>49.5</v>
      </c>
      <c r="S173" s="81">
        <v>48.114001410038803</v>
      </c>
      <c r="W173" s="81">
        <v>44.21</v>
      </c>
      <c r="Y173" s="81">
        <v>46.4</v>
      </c>
      <c r="AC173" s="81">
        <v>51.3</v>
      </c>
    </row>
    <row r="174" spans="1:29" x14ac:dyDescent="0.2">
      <c r="A174" s="108">
        <v>39539</v>
      </c>
      <c r="F174" s="81">
        <v>44.91</v>
      </c>
      <c r="G174" s="81">
        <v>50.7</v>
      </c>
      <c r="I174" s="81">
        <v>53.6</v>
      </c>
      <c r="P174" s="81">
        <v>48.2</v>
      </c>
      <c r="Q174" s="81">
        <v>48.6</v>
      </c>
      <c r="S174" s="81">
        <v>50.379620041373897</v>
      </c>
      <c r="W174" s="81">
        <v>53.72</v>
      </c>
      <c r="Y174" s="81">
        <v>45.2</v>
      </c>
      <c r="AC174" s="81">
        <v>51</v>
      </c>
    </row>
    <row r="175" spans="1:29" x14ac:dyDescent="0.2">
      <c r="A175" s="108">
        <v>39569</v>
      </c>
      <c r="B175" s="81">
        <v>51.4</v>
      </c>
      <c r="F175" s="81">
        <v>66.78</v>
      </c>
      <c r="G175" s="81">
        <v>50.6</v>
      </c>
      <c r="I175" s="81">
        <v>53.5</v>
      </c>
      <c r="P175" s="81">
        <v>48</v>
      </c>
      <c r="Q175" s="81">
        <v>47.7</v>
      </c>
      <c r="S175" s="81">
        <v>48.254867105237302</v>
      </c>
      <c r="W175" s="81">
        <v>48.8</v>
      </c>
      <c r="Y175" s="81">
        <v>43.8</v>
      </c>
      <c r="AC175" s="81">
        <v>50</v>
      </c>
    </row>
    <row r="176" spans="1:29" x14ac:dyDescent="0.2">
      <c r="A176" s="108">
        <v>39600</v>
      </c>
      <c r="B176" s="81">
        <v>51.2</v>
      </c>
      <c r="F176" s="81">
        <v>62.6</v>
      </c>
      <c r="G176" s="81">
        <v>49.2</v>
      </c>
      <c r="I176" s="81">
        <v>52.3</v>
      </c>
      <c r="P176" s="81">
        <v>46.9</v>
      </c>
      <c r="Q176" s="81">
        <v>46.5</v>
      </c>
      <c r="S176" s="81">
        <v>44.324455950641003</v>
      </c>
      <c r="W176" s="81">
        <v>45.37</v>
      </c>
      <c r="Y176" s="81">
        <v>40.6</v>
      </c>
      <c r="AC176" s="81">
        <v>45.8</v>
      </c>
    </row>
    <row r="177" spans="1:29" x14ac:dyDescent="0.2">
      <c r="A177" s="108">
        <v>39630</v>
      </c>
      <c r="B177" s="81">
        <v>52.7</v>
      </c>
      <c r="F177" s="81">
        <v>38.909999999999997</v>
      </c>
      <c r="G177" s="81">
        <v>47.4</v>
      </c>
      <c r="I177" s="81">
        <v>50.9</v>
      </c>
      <c r="P177" s="81">
        <v>45.3</v>
      </c>
      <c r="Q177" s="81">
        <v>47</v>
      </c>
      <c r="S177" s="81">
        <v>48.173562781692198</v>
      </c>
      <c r="W177" s="81">
        <v>44.8</v>
      </c>
      <c r="Y177" s="81">
        <v>39.200000000000003</v>
      </c>
      <c r="AC177" s="81">
        <v>44.3</v>
      </c>
    </row>
    <row r="178" spans="1:29" x14ac:dyDescent="0.2">
      <c r="A178" s="108">
        <v>39661</v>
      </c>
      <c r="B178" s="81">
        <v>51.2</v>
      </c>
      <c r="F178" s="81">
        <v>48.73</v>
      </c>
      <c r="G178" s="81">
        <v>47.6</v>
      </c>
      <c r="H178" s="81">
        <v>45.1</v>
      </c>
      <c r="I178" s="81">
        <v>49.9</v>
      </c>
      <c r="P178" s="81">
        <v>47.1</v>
      </c>
      <c r="Q178" s="81">
        <v>46.9</v>
      </c>
      <c r="S178" s="81">
        <v>46.094212934239899</v>
      </c>
      <c r="W178" s="81">
        <v>48.3</v>
      </c>
      <c r="Y178" s="81">
        <v>42.4</v>
      </c>
      <c r="AC178" s="81">
        <v>45.9</v>
      </c>
    </row>
    <row r="179" spans="1:29" x14ac:dyDescent="0.2">
      <c r="A179" s="108">
        <v>39692</v>
      </c>
      <c r="B179" s="81">
        <v>47</v>
      </c>
      <c r="F179" s="81">
        <v>52.91</v>
      </c>
      <c r="G179" s="81">
        <v>45</v>
      </c>
      <c r="H179" s="81">
        <v>43.6</v>
      </c>
      <c r="I179" s="81">
        <v>48.1</v>
      </c>
      <c r="P179" s="81">
        <v>44.4</v>
      </c>
      <c r="Q179" s="81">
        <v>44.3</v>
      </c>
      <c r="S179" s="81">
        <v>46.816302534574902</v>
      </c>
      <c r="W179" s="81">
        <v>47.07</v>
      </c>
      <c r="Y179" s="81">
        <v>38.299999999999997</v>
      </c>
      <c r="AC179" s="81">
        <v>41</v>
      </c>
    </row>
    <row r="180" spans="1:29" x14ac:dyDescent="0.2">
      <c r="A180" s="108">
        <v>39722</v>
      </c>
      <c r="B180" s="81">
        <v>46.9</v>
      </c>
      <c r="F180" s="81">
        <v>40.79</v>
      </c>
      <c r="G180" s="81">
        <v>38.9</v>
      </c>
      <c r="H180" s="81">
        <v>40.799999999999997</v>
      </c>
      <c r="I180" s="81">
        <v>43.3</v>
      </c>
      <c r="P180" s="81">
        <v>39.700000000000003</v>
      </c>
      <c r="Q180" s="81">
        <v>42.2</v>
      </c>
      <c r="S180" s="81">
        <v>44.045668643393597</v>
      </c>
      <c r="W180" s="81">
        <v>45.16</v>
      </c>
      <c r="Y180" s="81">
        <v>34.6</v>
      </c>
      <c r="AC180" s="81">
        <v>41.5</v>
      </c>
    </row>
    <row r="181" spans="1:29" x14ac:dyDescent="0.2">
      <c r="A181" s="108">
        <v>39753</v>
      </c>
      <c r="B181" s="81">
        <v>40.4</v>
      </c>
      <c r="F181" s="81">
        <v>45.47</v>
      </c>
      <c r="G181" s="81">
        <v>35.6</v>
      </c>
      <c r="H181" s="81">
        <v>37.9</v>
      </c>
      <c r="I181" s="81">
        <v>36.700000000000003</v>
      </c>
      <c r="P181" s="81">
        <v>34.9</v>
      </c>
      <c r="Q181" s="81">
        <v>36.700000000000003</v>
      </c>
      <c r="S181" s="81">
        <v>36.083796175526899</v>
      </c>
      <c r="W181" s="81">
        <v>38.97</v>
      </c>
      <c r="Y181" s="81">
        <v>29.4</v>
      </c>
      <c r="AC181" s="81">
        <v>34.4</v>
      </c>
    </row>
    <row r="182" spans="1:29" x14ac:dyDescent="0.2">
      <c r="A182" s="108">
        <v>39783</v>
      </c>
      <c r="B182" s="81">
        <v>33.700000000000003</v>
      </c>
      <c r="F182" s="81">
        <v>40.299999999999997</v>
      </c>
      <c r="G182" s="81">
        <v>33.9</v>
      </c>
      <c r="H182" s="81">
        <v>35.9</v>
      </c>
      <c r="I182" s="81">
        <v>33.5</v>
      </c>
      <c r="P182" s="81">
        <v>35.5</v>
      </c>
      <c r="Q182" s="81">
        <v>30.8</v>
      </c>
      <c r="S182" s="81">
        <v>42.435398240949702</v>
      </c>
      <c r="W182" s="81">
        <v>40.24</v>
      </c>
      <c r="Y182" s="81">
        <v>28.5</v>
      </c>
      <c r="AC182" s="81">
        <v>34.9</v>
      </c>
    </row>
    <row r="183" spans="1:29" x14ac:dyDescent="0.2">
      <c r="A183" s="108">
        <v>39814</v>
      </c>
      <c r="B183" s="81">
        <v>36.6</v>
      </c>
      <c r="F183" s="81">
        <v>25.32</v>
      </c>
      <c r="G183" s="81">
        <v>34.4</v>
      </c>
      <c r="H183" s="81">
        <v>38.1</v>
      </c>
      <c r="I183" s="81">
        <v>32</v>
      </c>
      <c r="P183" s="81">
        <v>36.1</v>
      </c>
      <c r="Q183" s="81">
        <v>29.6</v>
      </c>
      <c r="S183" s="81">
        <v>42.236706316594997</v>
      </c>
      <c r="W183" s="81">
        <v>39.9</v>
      </c>
      <c r="Y183" s="81">
        <v>31.5</v>
      </c>
      <c r="AC183" s="81">
        <v>35.799999999999997</v>
      </c>
    </row>
    <row r="184" spans="1:29" x14ac:dyDescent="0.2">
      <c r="A184" s="108">
        <v>39845</v>
      </c>
      <c r="B184" s="81">
        <v>31.7</v>
      </c>
      <c r="F184" s="81">
        <v>25.02</v>
      </c>
      <c r="G184" s="81">
        <v>33.5</v>
      </c>
      <c r="H184" s="81">
        <v>32.299999999999997</v>
      </c>
      <c r="I184" s="81">
        <v>32.200000000000003</v>
      </c>
      <c r="P184" s="81">
        <v>35</v>
      </c>
      <c r="Q184" s="81">
        <v>31.6</v>
      </c>
      <c r="S184" s="81">
        <v>38.936383749853697</v>
      </c>
      <c r="W184" s="81">
        <v>37.590000000000003</v>
      </c>
      <c r="Y184" s="81">
        <v>31.8</v>
      </c>
      <c r="AC184" s="81">
        <v>34.700000000000003</v>
      </c>
    </row>
    <row r="185" spans="1:29" x14ac:dyDescent="0.2">
      <c r="A185" s="108">
        <v>39873</v>
      </c>
      <c r="B185" s="81">
        <v>33.4</v>
      </c>
      <c r="F185" s="81">
        <v>30.56</v>
      </c>
      <c r="G185" s="81">
        <v>33.9</v>
      </c>
      <c r="H185" s="81">
        <v>36.299999999999997</v>
      </c>
      <c r="I185" s="81">
        <v>32.4</v>
      </c>
      <c r="P185" s="81">
        <v>34.6</v>
      </c>
      <c r="Q185" s="81">
        <v>33.799999999999997</v>
      </c>
      <c r="S185" s="81">
        <v>41.563078337337402</v>
      </c>
      <c r="W185" s="81">
        <v>35.76</v>
      </c>
      <c r="Y185" s="81">
        <v>32.9</v>
      </c>
      <c r="AC185" s="81">
        <v>39.1</v>
      </c>
    </row>
    <row r="186" spans="1:29" x14ac:dyDescent="0.2">
      <c r="A186" s="108">
        <v>39904</v>
      </c>
      <c r="B186" s="81">
        <v>30.1</v>
      </c>
      <c r="F186" s="81">
        <v>34.450000000000003</v>
      </c>
      <c r="G186" s="81">
        <v>36.799999999999997</v>
      </c>
      <c r="H186" s="81">
        <v>40</v>
      </c>
      <c r="I186" s="81">
        <v>35</v>
      </c>
      <c r="P186" s="81">
        <v>37.200000000000003</v>
      </c>
      <c r="Q186" s="81">
        <v>41.4</v>
      </c>
      <c r="S186" s="81">
        <v>43.348295431938503</v>
      </c>
      <c r="W186" s="81">
        <v>35.090000000000003</v>
      </c>
      <c r="Y186" s="81">
        <v>34.6</v>
      </c>
      <c r="AC186" s="81">
        <v>42.9</v>
      </c>
    </row>
    <row r="187" spans="1:29" x14ac:dyDescent="0.2">
      <c r="A187" s="108">
        <v>39934</v>
      </c>
      <c r="B187" s="81">
        <v>37.5</v>
      </c>
      <c r="F187" s="81">
        <v>27.75</v>
      </c>
      <c r="G187" s="81">
        <v>40.700000000000003</v>
      </c>
      <c r="H187" s="81">
        <v>43.1</v>
      </c>
      <c r="I187" s="81">
        <v>39.6</v>
      </c>
      <c r="P187" s="81">
        <v>41.1</v>
      </c>
      <c r="Q187" s="81">
        <v>46.6</v>
      </c>
      <c r="S187" s="81">
        <v>41.874722452342098</v>
      </c>
      <c r="W187" s="81">
        <v>37.520000000000003</v>
      </c>
      <c r="Y187" s="81">
        <v>39.799999999999997</v>
      </c>
      <c r="AC187" s="81">
        <v>45.4</v>
      </c>
    </row>
    <row r="188" spans="1:29" x14ac:dyDescent="0.2">
      <c r="A188" s="108">
        <v>39965</v>
      </c>
      <c r="B188" s="81">
        <v>38.4</v>
      </c>
      <c r="F188" s="81">
        <v>42</v>
      </c>
      <c r="G188" s="81">
        <v>42.6</v>
      </c>
      <c r="H188" s="81">
        <v>45.9</v>
      </c>
      <c r="I188" s="81">
        <v>40.9</v>
      </c>
      <c r="P188" s="81">
        <v>42.7</v>
      </c>
      <c r="Q188" s="81">
        <v>48.2</v>
      </c>
      <c r="S188" s="81">
        <v>45.561029356135201</v>
      </c>
      <c r="W188" s="81">
        <v>39.700000000000003</v>
      </c>
      <c r="Y188" s="81">
        <v>42.8</v>
      </c>
      <c r="AC188" s="81">
        <v>47</v>
      </c>
    </row>
    <row r="189" spans="1:29" x14ac:dyDescent="0.2">
      <c r="A189" s="108">
        <v>39995</v>
      </c>
      <c r="B189" s="81">
        <v>44.5</v>
      </c>
      <c r="F189" s="81">
        <v>47.7</v>
      </c>
      <c r="G189" s="81">
        <v>46.3</v>
      </c>
      <c r="H189" s="81">
        <v>50.2</v>
      </c>
      <c r="I189" s="81">
        <v>45.2</v>
      </c>
      <c r="P189" s="81">
        <v>45.4</v>
      </c>
      <c r="Q189" s="81">
        <v>50.4</v>
      </c>
      <c r="S189" s="81">
        <v>49.734183405407201</v>
      </c>
      <c r="W189" s="81">
        <v>39.43</v>
      </c>
      <c r="Y189" s="81">
        <v>47.3</v>
      </c>
      <c r="AC189" s="81">
        <v>50.8</v>
      </c>
    </row>
    <row r="190" spans="1:29" x14ac:dyDescent="0.2">
      <c r="A190" s="108">
        <v>40026</v>
      </c>
      <c r="B190" s="81">
        <v>51.7</v>
      </c>
      <c r="F190" s="81">
        <v>42.59</v>
      </c>
      <c r="G190" s="81">
        <v>48.2</v>
      </c>
      <c r="H190" s="81">
        <v>52.5</v>
      </c>
      <c r="I190" s="81">
        <v>49</v>
      </c>
      <c r="P190" s="81">
        <v>44.2</v>
      </c>
      <c r="Q190" s="81">
        <v>53.6</v>
      </c>
      <c r="S190" s="81">
        <v>49.642350273864402</v>
      </c>
      <c r="W190" s="81">
        <v>40.659999999999997</v>
      </c>
      <c r="Y190" s="81">
        <v>47.2</v>
      </c>
      <c r="AC190" s="81">
        <v>49.7</v>
      </c>
    </row>
    <row r="191" spans="1:29" x14ac:dyDescent="0.2">
      <c r="A191" s="108">
        <v>40057</v>
      </c>
      <c r="B191" s="81">
        <v>52</v>
      </c>
      <c r="F191" s="81">
        <v>42.73</v>
      </c>
      <c r="G191" s="81">
        <v>49.3</v>
      </c>
      <c r="H191" s="81">
        <v>53</v>
      </c>
      <c r="I191" s="81">
        <v>49.6</v>
      </c>
      <c r="P191" s="81">
        <v>47.6</v>
      </c>
      <c r="Q191" s="81">
        <v>54.5</v>
      </c>
      <c r="S191" s="81">
        <v>52.680029270514602</v>
      </c>
      <c r="W191" s="81">
        <v>47.46</v>
      </c>
      <c r="Y191" s="81">
        <v>45.8</v>
      </c>
      <c r="AC191" s="81">
        <v>49.5</v>
      </c>
    </row>
    <row r="192" spans="1:29" x14ac:dyDescent="0.2">
      <c r="A192" s="108">
        <v>40087</v>
      </c>
      <c r="B192" s="81">
        <v>51.7</v>
      </c>
      <c r="F192" s="81">
        <v>49.89</v>
      </c>
      <c r="G192" s="81">
        <v>50.7</v>
      </c>
      <c r="H192" s="81">
        <v>54.2</v>
      </c>
      <c r="I192" s="81">
        <v>51.1</v>
      </c>
      <c r="P192" s="81">
        <v>49.2</v>
      </c>
      <c r="Q192" s="81">
        <v>54.3</v>
      </c>
      <c r="S192" s="81">
        <v>51.7262292777555</v>
      </c>
      <c r="W192" s="81">
        <v>47.74</v>
      </c>
      <c r="Y192" s="81">
        <v>46.3</v>
      </c>
      <c r="AC192" s="81">
        <v>53.7</v>
      </c>
    </row>
    <row r="193" spans="1:30" x14ac:dyDescent="0.2">
      <c r="A193" s="108">
        <v>40118</v>
      </c>
      <c r="B193" s="81">
        <v>51.2</v>
      </c>
      <c r="F193" s="81">
        <v>50.67</v>
      </c>
      <c r="G193" s="81">
        <v>51.2</v>
      </c>
      <c r="H193" s="81">
        <v>54.4</v>
      </c>
      <c r="I193" s="81">
        <v>52.4</v>
      </c>
      <c r="P193" s="81">
        <v>50.1</v>
      </c>
      <c r="Q193" s="81">
        <v>52.3</v>
      </c>
      <c r="S193" s="81">
        <v>53.326198285872401</v>
      </c>
      <c r="W193" s="81">
        <v>49.48</v>
      </c>
      <c r="Y193" s="81">
        <v>45.3</v>
      </c>
      <c r="AC193" s="81">
        <v>51.8</v>
      </c>
    </row>
    <row r="194" spans="1:30" x14ac:dyDescent="0.2">
      <c r="A194" s="108">
        <v>40148</v>
      </c>
      <c r="B194" s="81">
        <v>48.5</v>
      </c>
      <c r="F194" s="81">
        <v>49.48</v>
      </c>
      <c r="G194" s="81">
        <v>51.6</v>
      </c>
      <c r="H194" s="81">
        <v>54.7</v>
      </c>
      <c r="I194" s="81">
        <v>53.1</v>
      </c>
      <c r="P194" s="81">
        <v>50.8</v>
      </c>
      <c r="Q194" s="81">
        <v>53.8</v>
      </c>
      <c r="S194" s="81">
        <v>53.1454156225943</v>
      </c>
      <c r="W194" s="81">
        <v>52.58</v>
      </c>
      <c r="Y194" s="81">
        <v>45.2</v>
      </c>
      <c r="AC194" s="81">
        <v>54.1</v>
      </c>
    </row>
    <row r="195" spans="1:30" x14ac:dyDescent="0.2">
      <c r="A195" s="108">
        <v>40179</v>
      </c>
      <c r="B195" s="81">
        <v>51</v>
      </c>
      <c r="F195" s="81">
        <v>50.96</v>
      </c>
      <c r="G195" s="81">
        <v>52.4</v>
      </c>
      <c r="H195" s="81">
        <v>54.6</v>
      </c>
      <c r="I195" s="81">
        <v>53.4</v>
      </c>
      <c r="P195" s="81">
        <v>51.7</v>
      </c>
      <c r="Q195" s="81">
        <v>52.5</v>
      </c>
      <c r="S195" s="81">
        <v>51.823641067846701</v>
      </c>
      <c r="W195" s="81">
        <v>52.14</v>
      </c>
      <c r="Y195" s="81">
        <v>45.3</v>
      </c>
      <c r="AC195" s="81">
        <v>56.7</v>
      </c>
    </row>
    <row r="196" spans="1:30" x14ac:dyDescent="0.2">
      <c r="A196" s="108">
        <v>40210</v>
      </c>
      <c r="B196" s="81">
        <v>53.8</v>
      </c>
      <c r="F196" s="81">
        <v>48.93</v>
      </c>
      <c r="G196" s="81">
        <v>54.2</v>
      </c>
      <c r="H196" s="81">
        <v>56.3</v>
      </c>
      <c r="I196" s="81">
        <v>57.2</v>
      </c>
      <c r="P196" s="81">
        <v>51.6</v>
      </c>
      <c r="Q196" s="81">
        <v>52.5</v>
      </c>
      <c r="S196" s="81">
        <v>52.533413447435898</v>
      </c>
      <c r="W196" s="81">
        <v>55.72</v>
      </c>
      <c r="Y196" s="81">
        <v>49.1</v>
      </c>
      <c r="AC196" s="81">
        <v>56.6</v>
      </c>
    </row>
    <row r="197" spans="1:30" x14ac:dyDescent="0.2">
      <c r="A197" s="108">
        <v>40238</v>
      </c>
      <c r="B197" s="81">
        <v>50.2</v>
      </c>
      <c r="F197" s="81">
        <v>51.66</v>
      </c>
      <c r="G197" s="81">
        <v>56.6</v>
      </c>
      <c r="H197" s="81">
        <v>56.7</v>
      </c>
      <c r="I197" s="81">
        <v>59.6</v>
      </c>
      <c r="P197" s="81">
        <v>53.7</v>
      </c>
      <c r="Q197" s="81">
        <v>52.4</v>
      </c>
      <c r="S197" s="81">
        <v>55.832523203119003</v>
      </c>
      <c r="W197" s="81">
        <v>53.65</v>
      </c>
      <c r="Y197" s="81">
        <v>51.8</v>
      </c>
      <c r="AC197" s="81">
        <v>57.2</v>
      </c>
    </row>
    <row r="198" spans="1:30" x14ac:dyDescent="0.2">
      <c r="A198" s="108">
        <v>40269</v>
      </c>
      <c r="B198" s="81">
        <v>59.8</v>
      </c>
      <c r="F198" s="81">
        <v>49.02</v>
      </c>
      <c r="G198" s="81">
        <v>57.6</v>
      </c>
      <c r="H198" s="81">
        <v>56.6</v>
      </c>
      <c r="I198" s="81">
        <v>61.5</v>
      </c>
      <c r="P198" s="81">
        <v>54.3</v>
      </c>
      <c r="Q198" s="81">
        <v>53.5</v>
      </c>
      <c r="S198" s="81">
        <v>58.4019949666218</v>
      </c>
      <c r="W198" s="81">
        <v>53.24</v>
      </c>
      <c r="Y198" s="81">
        <v>53.3</v>
      </c>
      <c r="AC198" s="81">
        <v>58</v>
      </c>
    </row>
    <row r="199" spans="1:30" x14ac:dyDescent="0.2">
      <c r="A199" s="108">
        <v>40299</v>
      </c>
      <c r="B199" s="81">
        <v>56.3</v>
      </c>
      <c r="F199" s="81">
        <v>51.33</v>
      </c>
      <c r="G199" s="81">
        <v>55.8</v>
      </c>
      <c r="H199" s="81">
        <v>55.8</v>
      </c>
      <c r="I199" s="81">
        <v>58.4</v>
      </c>
      <c r="P199" s="81">
        <v>54</v>
      </c>
      <c r="Q199" s="81">
        <v>54.7</v>
      </c>
      <c r="S199" s="81">
        <v>51.8006228698843</v>
      </c>
      <c r="W199" s="81">
        <v>51.19</v>
      </c>
      <c r="Y199" s="81">
        <v>51.5</v>
      </c>
      <c r="AC199" s="81">
        <v>58</v>
      </c>
    </row>
    <row r="200" spans="1:30" x14ac:dyDescent="0.2">
      <c r="A200" s="108">
        <v>40330</v>
      </c>
      <c r="B200" s="81">
        <v>52.9</v>
      </c>
      <c r="F200" s="81">
        <v>50.2</v>
      </c>
      <c r="G200" s="81">
        <v>55.6</v>
      </c>
      <c r="H200" s="81">
        <v>53.7</v>
      </c>
      <c r="I200" s="81">
        <v>58.1</v>
      </c>
      <c r="P200" s="81">
        <v>54.3</v>
      </c>
      <c r="Q200" s="81">
        <v>53.9</v>
      </c>
      <c r="S200" s="81">
        <v>54.885916458142702</v>
      </c>
      <c r="W200" s="81">
        <v>50.84</v>
      </c>
      <c r="Y200" s="81">
        <v>51.2</v>
      </c>
      <c r="AC200" s="81">
        <v>57.5</v>
      </c>
    </row>
    <row r="201" spans="1:30" x14ac:dyDescent="0.2">
      <c r="A201" s="108">
        <v>40360</v>
      </c>
      <c r="B201" s="81">
        <v>54.4</v>
      </c>
      <c r="F201" s="81">
        <v>54.3</v>
      </c>
      <c r="G201" s="81">
        <v>56.7</v>
      </c>
      <c r="H201" s="81">
        <v>54.7</v>
      </c>
      <c r="I201" s="81">
        <v>61.2</v>
      </c>
      <c r="P201" s="81">
        <v>54.4</v>
      </c>
      <c r="Q201" s="81">
        <v>52.8</v>
      </c>
      <c r="S201" s="81">
        <v>50.256943813857902</v>
      </c>
      <c r="W201" s="81">
        <v>52.65</v>
      </c>
      <c r="Y201" s="81">
        <v>51.6</v>
      </c>
      <c r="AC201" s="81">
        <v>57.3</v>
      </c>
    </row>
    <row r="202" spans="1:30" x14ac:dyDescent="0.2">
      <c r="A202" s="108">
        <v>40391</v>
      </c>
      <c r="B202" s="81">
        <v>51.7</v>
      </c>
      <c r="F202" s="81">
        <v>54.73</v>
      </c>
      <c r="G202" s="81">
        <v>55.1</v>
      </c>
      <c r="H202" s="81">
        <v>55.4</v>
      </c>
      <c r="I202" s="81">
        <v>58.2</v>
      </c>
      <c r="P202" s="81">
        <v>52.8</v>
      </c>
      <c r="Q202" s="81">
        <v>50.1</v>
      </c>
      <c r="S202" s="81">
        <v>50.288913340954501</v>
      </c>
      <c r="W202" s="81">
        <v>51.95</v>
      </c>
      <c r="Y202" s="81">
        <v>51.2</v>
      </c>
      <c r="AC202" s="81">
        <v>54.3</v>
      </c>
    </row>
    <row r="203" spans="1:30" x14ac:dyDescent="0.2">
      <c r="A203" s="108">
        <v>40422</v>
      </c>
      <c r="B203" s="81">
        <v>47.3</v>
      </c>
      <c r="F203" s="81">
        <v>56.27</v>
      </c>
      <c r="G203" s="81">
        <v>53.7</v>
      </c>
      <c r="H203" s="81">
        <v>55.2</v>
      </c>
      <c r="I203" s="81">
        <v>55.3</v>
      </c>
      <c r="P203" s="81">
        <v>52.6</v>
      </c>
      <c r="Q203" s="81">
        <v>49.5</v>
      </c>
      <c r="S203" s="81">
        <v>50.989279973423798</v>
      </c>
      <c r="W203" s="81">
        <v>50.14</v>
      </c>
      <c r="Y203" s="81">
        <v>49.6</v>
      </c>
      <c r="AC203" s="81">
        <v>53.4</v>
      </c>
    </row>
    <row r="204" spans="1:30" x14ac:dyDescent="0.2">
      <c r="A204" s="108">
        <v>40452</v>
      </c>
      <c r="B204" s="81">
        <v>49.4</v>
      </c>
      <c r="C204" s="81">
        <v>49.5</v>
      </c>
      <c r="E204" s="81">
        <v>57.2</v>
      </c>
      <c r="F204" s="81">
        <v>56.89</v>
      </c>
      <c r="G204" s="81">
        <v>54.6</v>
      </c>
      <c r="H204" s="81">
        <v>57.5</v>
      </c>
      <c r="I204" s="81">
        <v>56.6</v>
      </c>
      <c r="J204" s="81">
        <v>53.7</v>
      </c>
      <c r="M204" s="81">
        <v>57.2</v>
      </c>
      <c r="O204" s="81">
        <v>50.9</v>
      </c>
      <c r="P204" s="81">
        <v>53</v>
      </c>
      <c r="Q204" s="81">
        <v>47.2</v>
      </c>
      <c r="S204" s="81">
        <v>51.425226109909701</v>
      </c>
      <c r="T204" s="81">
        <v>55.6</v>
      </c>
      <c r="U204" s="81">
        <v>51.8</v>
      </c>
      <c r="W204" s="81">
        <v>51.35</v>
      </c>
      <c r="Y204" s="81">
        <v>51.2</v>
      </c>
      <c r="Z204" s="81">
        <v>48.6</v>
      </c>
      <c r="AB204" s="81" t="s">
        <v>128</v>
      </c>
      <c r="AC204" s="81">
        <v>54.9</v>
      </c>
      <c r="AD204" s="81">
        <v>56.9</v>
      </c>
    </row>
    <row r="205" spans="1:30" x14ac:dyDescent="0.2">
      <c r="A205" s="108">
        <v>40482</v>
      </c>
      <c r="K205" s="81">
        <v>43.6</v>
      </c>
    </row>
    <row r="206" spans="1:30" x14ac:dyDescent="0.2">
      <c r="A206" s="108">
        <v>40483</v>
      </c>
      <c r="B206" s="81">
        <v>47.6</v>
      </c>
      <c r="C206" s="81">
        <v>49.9</v>
      </c>
      <c r="E206" s="81">
        <v>57.3</v>
      </c>
      <c r="F206" s="81">
        <v>55.8</v>
      </c>
      <c r="G206" s="81">
        <v>55.3</v>
      </c>
      <c r="H206" s="81">
        <v>56.3</v>
      </c>
      <c r="I206" s="81">
        <v>58.1</v>
      </c>
      <c r="J206" s="81">
        <v>54</v>
      </c>
      <c r="K206" s="81">
        <v>43.9</v>
      </c>
      <c r="M206" s="81">
        <v>58.4</v>
      </c>
      <c r="O206" s="81">
        <v>51.2</v>
      </c>
      <c r="P206" s="81">
        <v>52</v>
      </c>
      <c r="Q206" s="81">
        <v>47.3</v>
      </c>
      <c r="S206" s="81">
        <v>54.9544836853158</v>
      </c>
      <c r="T206" s="81">
        <v>55.9</v>
      </c>
      <c r="U206" s="81">
        <v>51.1</v>
      </c>
      <c r="W206" s="81">
        <v>52.54</v>
      </c>
      <c r="Y206" s="81">
        <v>50</v>
      </c>
      <c r="Z206" s="81">
        <v>51.7</v>
      </c>
      <c r="AB206" s="81">
        <v>56.4</v>
      </c>
      <c r="AC206" s="81">
        <v>58</v>
      </c>
      <c r="AD206" s="81">
        <v>56.6</v>
      </c>
    </row>
    <row r="207" spans="1:30" x14ac:dyDescent="0.2">
      <c r="A207" s="108">
        <v>40513</v>
      </c>
      <c r="B207" s="81">
        <v>46.3</v>
      </c>
      <c r="C207" s="81">
        <v>52.4</v>
      </c>
      <c r="E207" s="81">
        <v>58.4</v>
      </c>
      <c r="F207" s="81">
        <v>62.4</v>
      </c>
      <c r="G207" s="81">
        <v>57.1</v>
      </c>
      <c r="H207" s="81">
        <v>54.3</v>
      </c>
      <c r="I207" s="81">
        <v>60.9</v>
      </c>
      <c r="J207" s="81">
        <v>54.9</v>
      </c>
      <c r="K207" s="81">
        <v>43.1</v>
      </c>
      <c r="M207" s="81">
        <v>56.7</v>
      </c>
      <c r="O207" s="81">
        <v>52.2</v>
      </c>
      <c r="P207" s="81">
        <v>54.7</v>
      </c>
      <c r="Q207" s="81">
        <v>48.3</v>
      </c>
      <c r="S207" s="81">
        <v>53.213836822334102</v>
      </c>
      <c r="T207" s="81">
        <v>56.3</v>
      </c>
      <c r="U207" s="81">
        <v>53.5</v>
      </c>
      <c r="W207" s="81">
        <v>52.81</v>
      </c>
      <c r="X207" s="81">
        <v>53.9</v>
      </c>
      <c r="Y207" s="81">
        <v>51.5</v>
      </c>
      <c r="Z207" s="81">
        <v>51.7</v>
      </c>
      <c r="AB207" s="81">
        <v>56.4</v>
      </c>
      <c r="AC207" s="81">
        <v>58.3</v>
      </c>
      <c r="AD207" s="81">
        <v>57</v>
      </c>
    </row>
    <row r="208" spans="1:30" x14ac:dyDescent="0.2">
      <c r="A208" s="108">
        <v>40544</v>
      </c>
      <c r="B208" s="81">
        <v>46.7</v>
      </c>
      <c r="C208" s="81">
        <v>53.1</v>
      </c>
      <c r="E208" s="81">
        <v>60.5</v>
      </c>
      <c r="F208" s="81">
        <v>57.21</v>
      </c>
      <c r="G208" s="81">
        <v>57.3</v>
      </c>
      <c r="H208" s="81">
        <v>54.9</v>
      </c>
      <c r="I208" s="81">
        <v>60.5</v>
      </c>
      <c r="J208" s="81">
        <v>57.2</v>
      </c>
      <c r="K208" s="81">
        <v>42.8</v>
      </c>
      <c r="M208" s="81">
        <v>56.8</v>
      </c>
      <c r="O208" s="81">
        <v>55.8</v>
      </c>
      <c r="P208" s="81">
        <v>56.6</v>
      </c>
      <c r="Q208" s="81">
        <v>51.4</v>
      </c>
      <c r="S208" s="81">
        <v>52.941418710448602</v>
      </c>
      <c r="T208" s="81">
        <v>55.6</v>
      </c>
      <c r="U208" s="81">
        <v>53.5</v>
      </c>
      <c r="W208" s="81">
        <v>53.56</v>
      </c>
      <c r="X208" s="81">
        <v>53.5</v>
      </c>
      <c r="Y208" s="81">
        <v>52</v>
      </c>
      <c r="Z208" s="81">
        <v>54.6</v>
      </c>
      <c r="AB208" s="81">
        <v>57.2</v>
      </c>
      <c r="AC208" s="81">
        <v>62</v>
      </c>
      <c r="AD208" s="81">
        <v>60.8</v>
      </c>
    </row>
    <row r="209" spans="1:30" x14ac:dyDescent="0.2">
      <c r="A209" s="108">
        <v>40575</v>
      </c>
      <c r="B209" s="81">
        <v>51.1</v>
      </c>
      <c r="C209" s="81">
        <v>54.6</v>
      </c>
      <c r="E209" s="81">
        <v>59.8</v>
      </c>
      <c r="F209" s="81">
        <v>60.78</v>
      </c>
      <c r="G209" s="81">
        <v>59</v>
      </c>
      <c r="H209" s="81">
        <v>56.6</v>
      </c>
      <c r="I209" s="81">
        <v>62.7</v>
      </c>
      <c r="J209" s="81">
        <v>58.2</v>
      </c>
      <c r="K209" s="81">
        <v>43.8</v>
      </c>
      <c r="M209" s="81">
        <v>57.9</v>
      </c>
      <c r="O209" s="81">
        <v>56.7</v>
      </c>
      <c r="P209" s="81">
        <v>59</v>
      </c>
      <c r="Q209" s="81">
        <v>52.9</v>
      </c>
      <c r="S209" s="81">
        <v>51.296148060149903</v>
      </c>
      <c r="T209" s="81">
        <v>53.8</v>
      </c>
      <c r="U209" s="81">
        <v>56.4</v>
      </c>
      <c r="W209" s="81">
        <v>51.49</v>
      </c>
      <c r="X209" s="81">
        <v>53.4</v>
      </c>
      <c r="Y209" s="81">
        <v>52.1</v>
      </c>
      <c r="Z209" s="81">
        <v>55.8</v>
      </c>
      <c r="AB209" s="81">
        <v>58.5</v>
      </c>
      <c r="AC209" s="81">
        <v>64.5</v>
      </c>
      <c r="AD209" s="81">
        <v>61.4</v>
      </c>
    </row>
    <row r="210" spans="1:30" x14ac:dyDescent="0.2">
      <c r="A210" s="108">
        <v>40603</v>
      </c>
      <c r="B210" s="81">
        <v>47.9</v>
      </c>
      <c r="C210" s="81">
        <v>53.2</v>
      </c>
      <c r="E210" s="81">
        <v>58.6</v>
      </c>
      <c r="F210" s="81">
        <v>62.07</v>
      </c>
      <c r="G210" s="81">
        <v>57.5</v>
      </c>
      <c r="H210" s="81">
        <v>56.9</v>
      </c>
      <c r="I210" s="81">
        <v>60.9</v>
      </c>
      <c r="J210" s="81">
        <v>56</v>
      </c>
      <c r="K210" s="81">
        <v>45.4</v>
      </c>
      <c r="M210" s="81">
        <v>57.9</v>
      </c>
      <c r="O210" s="81">
        <v>55.7</v>
      </c>
      <c r="P210" s="81">
        <v>56.2</v>
      </c>
      <c r="Q210" s="81">
        <v>46.4</v>
      </c>
      <c r="S210" s="81">
        <v>49.030116711296003</v>
      </c>
      <c r="T210" s="81">
        <v>54.8</v>
      </c>
      <c r="U210" s="81">
        <v>55.1</v>
      </c>
      <c r="W210" s="81">
        <v>54.71</v>
      </c>
      <c r="X210" s="81">
        <v>52.8</v>
      </c>
      <c r="Y210" s="81">
        <v>51.6</v>
      </c>
      <c r="Z210" s="81">
        <v>55.6</v>
      </c>
      <c r="AB210" s="81">
        <v>56.1</v>
      </c>
      <c r="AC210" s="81">
        <v>57.1</v>
      </c>
      <c r="AD210" s="81">
        <v>61.2</v>
      </c>
    </row>
    <row r="211" spans="1:30" x14ac:dyDescent="0.2">
      <c r="A211" s="108">
        <v>40634</v>
      </c>
      <c r="B211" s="81">
        <v>48.4</v>
      </c>
      <c r="C211" s="81">
        <v>52.5</v>
      </c>
      <c r="D211" s="81" t="s">
        <v>129</v>
      </c>
      <c r="E211" s="81">
        <v>59</v>
      </c>
      <c r="F211" s="81">
        <v>63.05</v>
      </c>
      <c r="G211" s="81">
        <v>58</v>
      </c>
      <c r="H211" s="81">
        <v>57.5</v>
      </c>
      <c r="I211" s="81">
        <v>62</v>
      </c>
      <c r="J211" s="81">
        <v>55.5</v>
      </c>
      <c r="K211" s="81">
        <v>46.8</v>
      </c>
      <c r="M211" s="81">
        <v>58</v>
      </c>
      <c r="N211" s="81">
        <v>48.1</v>
      </c>
      <c r="O211" s="81">
        <v>56</v>
      </c>
      <c r="P211" s="81">
        <v>55.5</v>
      </c>
      <c r="Q211" s="81">
        <v>45.7</v>
      </c>
      <c r="R211" s="81">
        <v>56.1</v>
      </c>
      <c r="S211" s="81">
        <v>53.0485447056205</v>
      </c>
      <c r="T211" s="81">
        <v>54.4</v>
      </c>
      <c r="U211" s="81">
        <v>52.1</v>
      </c>
      <c r="W211" s="81">
        <v>54.16</v>
      </c>
      <c r="X211" s="81">
        <v>51.7</v>
      </c>
      <c r="Y211" s="81">
        <v>50.6</v>
      </c>
      <c r="Z211" s="81">
        <v>58.2</v>
      </c>
      <c r="AB211" s="81">
        <v>52.7</v>
      </c>
      <c r="AC211" s="81">
        <v>54.6</v>
      </c>
      <c r="AD211" s="81">
        <v>60.4</v>
      </c>
    </row>
    <row r="212" spans="1:30" x14ac:dyDescent="0.2">
      <c r="A212" s="108">
        <v>40664</v>
      </c>
      <c r="B212" s="81">
        <v>47.7</v>
      </c>
      <c r="C212" s="81">
        <v>53</v>
      </c>
      <c r="D212" s="81">
        <v>54.8</v>
      </c>
      <c r="E212" s="81">
        <v>55.9</v>
      </c>
      <c r="F212" s="81">
        <v>58.59</v>
      </c>
      <c r="G212" s="81">
        <v>54.6</v>
      </c>
      <c r="H212" s="81">
        <v>54.9</v>
      </c>
      <c r="I212" s="81">
        <v>57.7</v>
      </c>
      <c r="J212" s="81">
        <v>53.1</v>
      </c>
      <c r="K212" s="81">
        <v>44.5</v>
      </c>
      <c r="M212" s="81">
        <v>57.5</v>
      </c>
      <c r="N212" s="81">
        <v>48</v>
      </c>
      <c r="O212" s="81">
        <v>51.8</v>
      </c>
      <c r="P212" s="81">
        <v>52.8</v>
      </c>
      <c r="Q212" s="81">
        <v>51.3</v>
      </c>
      <c r="R212" s="81">
        <v>54.5</v>
      </c>
      <c r="S212" s="81">
        <v>52.890127153315902</v>
      </c>
      <c r="T212" s="81">
        <v>52.6</v>
      </c>
      <c r="U212" s="81">
        <v>50.9</v>
      </c>
      <c r="W212" s="81">
        <v>54.1</v>
      </c>
      <c r="X212" s="81">
        <v>51.2</v>
      </c>
      <c r="Y212" s="81">
        <v>48.2</v>
      </c>
      <c r="Z212" s="81">
        <v>54.9</v>
      </c>
      <c r="AB212" s="81">
        <v>50.6</v>
      </c>
      <c r="AC212" s="81">
        <v>52.1</v>
      </c>
      <c r="AD212" s="81">
        <v>53.5</v>
      </c>
    </row>
    <row r="213" spans="1:30" x14ac:dyDescent="0.2">
      <c r="A213" s="108">
        <v>40695</v>
      </c>
      <c r="B213" s="81">
        <v>52.9</v>
      </c>
      <c r="C213" s="81">
        <v>49</v>
      </c>
      <c r="D213" s="81">
        <v>52.8</v>
      </c>
      <c r="E213" s="81">
        <v>55.1</v>
      </c>
      <c r="F213" s="81">
        <v>58.05</v>
      </c>
      <c r="G213" s="81">
        <v>52</v>
      </c>
      <c r="H213" s="81">
        <v>50.1</v>
      </c>
      <c r="I213" s="81">
        <v>54.9</v>
      </c>
      <c r="J213" s="81">
        <v>52.8</v>
      </c>
      <c r="K213" s="81">
        <v>45.5</v>
      </c>
      <c r="M213" s="81">
        <v>55.3</v>
      </c>
      <c r="N213" s="81">
        <v>50.5</v>
      </c>
      <c r="O213" s="81">
        <v>49.8</v>
      </c>
      <c r="P213" s="81">
        <v>49.9</v>
      </c>
      <c r="Q213" s="81">
        <v>50.7</v>
      </c>
      <c r="R213" s="81">
        <v>55.1</v>
      </c>
      <c r="S213" s="81">
        <v>54.276686305751802</v>
      </c>
      <c r="T213" s="81">
        <v>51.2</v>
      </c>
      <c r="U213" s="81">
        <v>50.6</v>
      </c>
      <c r="W213" s="81">
        <v>55.16</v>
      </c>
      <c r="X213" s="81">
        <v>51.2</v>
      </c>
      <c r="Y213" s="81">
        <v>47.3</v>
      </c>
      <c r="Z213" s="81">
        <v>49.9</v>
      </c>
      <c r="AB213" s="81">
        <v>52.3</v>
      </c>
      <c r="AC213" s="81">
        <v>51.3</v>
      </c>
      <c r="AD213" s="81">
        <v>55.3</v>
      </c>
    </row>
    <row r="214" spans="1:30" x14ac:dyDescent="0.2">
      <c r="A214" s="108">
        <v>40725</v>
      </c>
      <c r="B214" s="81">
        <v>43.4</v>
      </c>
      <c r="C214" s="81">
        <v>47.8</v>
      </c>
      <c r="D214" s="81">
        <v>53.1</v>
      </c>
      <c r="E214" s="81">
        <v>53.4</v>
      </c>
      <c r="F214" s="81">
        <v>58.37</v>
      </c>
      <c r="G214" s="81">
        <v>50.4</v>
      </c>
      <c r="H214" s="81">
        <v>50.5</v>
      </c>
      <c r="I214" s="81">
        <v>52</v>
      </c>
      <c r="J214" s="81">
        <v>50.9</v>
      </c>
      <c r="K214" s="81">
        <v>45.2</v>
      </c>
      <c r="M214" s="81">
        <v>56.3</v>
      </c>
      <c r="N214" s="81">
        <v>51</v>
      </c>
      <c r="O214" s="81">
        <v>48.2</v>
      </c>
      <c r="P214" s="81">
        <v>50.1</v>
      </c>
      <c r="Q214" s="81">
        <v>52.1</v>
      </c>
      <c r="R214" s="81">
        <v>54.8</v>
      </c>
      <c r="S214" s="81">
        <v>52.914785131054401</v>
      </c>
      <c r="T214" s="81">
        <v>52.9</v>
      </c>
      <c r="U214" s="81">
        <v>49.8</v>
      </c>
      <c r="W214" s="81">
        <v>46.16</v>
      </c>
      <c r="X214" s="81">
        <v>51.1</v>
      </c>
      <c r="Y214" s="81">
        <v>45.6</v>
      </c>
      <c r="Z214" s="81">
        <v>46.1</v>
      </c>
      <c r="AB214" s="81">
        <v>52.3</v>
      </c>
      <c r="AC214" s="81">
        <v>49.1</v>
      </c>
      <c r="AD214" s="81">
        <v>50.9</v>
      </c>
    </row>
    <row r="215" spans="1:30" x14ac:dyDescent="0.2">
      <c r="A215" s="108">
        <v>40756</v>
      </c>
      <c r="B215" s="81">
        <v>43.3</v>
      </c>
      <c r="C215" s="81">
        <v>46</v>
      </c>
      <c r="D215" s="81">
        <v>54.9</v>
      </c>
      <c r="E215" s="81">
        <v>53.4</v>
      </c>
      <c r="F215" s="81">
        <v>55.07</v>
      </c>
      <c r="G215" s="81">
        <v>49</v>
      </c>
      <c r="H215" s="81">
        <v>49.1</v>
      </c>
      <c r="I215" s="81">
        <v>50.9</v>
      </c>
      <c r="J215" s="81">
        <v>50.4</v>
      </c>
      <c r="K215" s="81">
        <v>43.3</v>
      </c>
      <c r="M215" s="81">
        <v>52.6</v>
      </c>
      <c r="N215" s="81">
        <v>50.9</v>
      </c>
      <c r="O215" s="81">
        <v>49.7</v>
      </c>
      <c r="P215" s="81">
        <v>47</v>
      </c>
      <c r="Q215" s="81">
        <v>51.9</v>
      </c>
      <c r="R215" s="81">
        <v>51.7</v>
      </c>
      <c r="S215" s="81">
        <v>53.276022834882099</v>
      </c>
      <c r="T215" s="81">
        <v>51.8</v>
      </c>
      <c r="U215" s="81">
        <v>49.9</v>
      </c>
      <c r="W215" s="81">
        <v>47.73</v>
      </c>
      <c r="X215" s="81">
        <v>51.3</v>
      </c>
      <c r="Y215" s="81">
        <v>45.3</v>
      </c>
      <c r="Z215" s="81">
        <v>45.2</v>
      </c>
      <c r="AB215" s="81">
        <v>49.8</v>
      </c>
      <c r="AC215" s="81">
        <v>49</v>
      </c>
      <c r="AD215" s="81">
        <v>50.6</v>
      </c>
    </row>
    <row r="216" spans="1:30" x14ac:dyDescent="0.2">
      <c r="A216" s="108">
        <v>40787</v>
      </c>
      <c r="B216" s="81">
        <v>42.3</v>
      </c>
      <c r="C216" s="81">
        <v>45.5</v>
      </c>
      <c r="D216" s="81">
        <v>55</v>
      </c>
      <c r="E216" s="81">
        <v>52.3</v>
      </c>
      <c r="F216" s="81">
        <v>64.400000000000006</v>
      </c>
      <c r="G216" s="81">
        <v>48.5</v>
      </c>
      <c r="H216" s="81">
        <v>48.2</v>
      </c>
      <c r="I216" s="81">
        <v>50.3</v>
      </c>
      <c r="J216" s="81">
        <v>50.1</v>
      </c>
      <c r="K216" s="81">
        <v>43.2</v>
      </c>
      <c r="M216" s="81">
        <v>50.4</v>
      </c>
      <c r="N216" s="81">
        <v>49.8</v>
      </c>
      <c r="O216" s="81">
        <v>47.3</v>
      </c>
      <c r="P216" s="81">
        <v>48.3</v>
      </c>
      <c r="Q216" s="81">
        <v>49.3</v>
      </c>
      <c r="R216" s="81">
        <v>53.2</v>
      </c>
      <c r="S216" s="81">
        <v>51.1649272067922</v>
      </c>
      <c r="T216" s="81">
        <v>50.2</v>
      </c>
      <c r="U216" s="81">
        <v>50</v>
      </c>
      <c r="W216" s="81">
        <v>52.45</v>
      </c>
      <c r="X216" s="81">
        <v>49.7</v>
      </c>
      <c r="Y216" s="81">
        <v>43.7</v>
      </c>
      <c r="Z216" s="81">
        <v>44.5</v>
      </c>
      <c r="AB216" s="81">
        <v>51.5</v>
      </c>
      <c r="AC216" s="81">
        <v>51.1</v>
      </c>
      <c r="AD216" s="81">
        <v>51.6</v>
      </c>
    </row>
    <row r="217" spans="1:30" x14ac:dyDescent="0.2">
      <c r="A217" s="108">
        <v>40817</v>
      </c>
      <c r="B217" s="81">
        <v>47.4</v>
      </c>
      <c r="C217" s="81">
        <v>46.5</v>
      </c>
      <c r="D217" s="81">
        <v>53.7</v>
      </c>
      <c r="E217" s="81">
        <v>51.7</v>
      </c>
      <c r="F217" s="81">
        <v>43.91</v>
      </c>
      <c r="G217" s="81">
        <v>47.1</v>
      </c>
      <c r="H217" s="81">
        <v>48.5</v>
      </c>
      <c r="I217" s="81">
        <v>49.1</v>
      </c>
      <c r="J217" s="81">
        <v>49.5</v>
      </c>
      <c r="K217" s="81">
        <v>40.5</v>
      </c>
      <c r="M217" s="81">
        <v>51</v>
      </c>
      <c r="N217" s="81">
        <v>51.3</v>
      </c>
      <c r="O217" s="81">
        <v>50.1</v>
      </c>
      <c r="P217" s="81">
        <v>43.3</v>
      </c>
      <c r="Q217" s="81">
        <v>50.6</v>
      </c>
      <c r="R217" s="81">
        <v>54.8</v>
      </c>
      <c r="S217" s="81">
        <v>47.055625036655101</v>
      </c>
      <c r="T217" s="81">
        <v>51.7</v>
      </c>
      <c r="U217" s="81">
        <v>50.4</v>
      </c>
      <c r="W217" s="81">
        <v>52.18</v>
      </c>
      <c r="X217" s="81">
        <v>47.4</v>
      </c>
      <c r="Y217" s="81">
        <v>43.9</v>
      </c>
      <c r="Z217" s="81">
        <v>48</v>
      </c>
      <c r="AB217" s="81">
        <v>53.3</v>
      </c>
      <c r="AC217" s="81">
        <v>47.4</v>
      </c>
      <c r="AD217" s="81">
        <v>50.8</v>
      </c>
    </row>
    <row r="218" spans="1:30" x14ac:dyDescent="0.2">
      <c r="A218" s="108">
        <v>40848</v>
      </c>
      <c r="B218" s="81">
        <v>47.8</v>
      </c>
      <c r="C218" s="81">
        <v>48.7</v>
      </c>
      <c r="D218" s="81">
        <v>53.3</v>
      </c>
      <c r="E218" s="81">
        <v>48.6</v>
      </c>
      <c r="F218" s="81">
        <v>47.79</v>
      </c>
      <c r="G218" s="81">
        <v>46.4</v>
      </c>
      <c r="H218" s="81">
        <v>47.3</v>
      </c>
      <c r="I218" s="81">
        <v>47.9</v>
      </c>
      <c r="J218" s="81">
        <v>49.6</v>
      </c>
      <c r="K218" s="81">
        <v>40.9</v>
      </c>
      <c r="M218" s="81">
        <v>52</v>
      </c>
      <c r="N218" s="81">
        <v>50.1</v>
      </c>
      <c r="O218" s="81">
        <v>48.5</v>
      </c>
      <c r="P218" s="81">
        <v>44</v>
      </c>
      <c r="Q218" s="81">
        <v>49.1</v>
      </c>
      <c r="R218" s="81">
        <v>53.9</v>
      </c>
      <c r="S218" s="81">
        <v>47.8189290340678</v>
      </c>
      <c r="T218" s="81">
        <v>49.5</v>
      </c>
      <c r="U218" s="81">
        <v>52.6</v>
      </c>
      <c r="W218" s="81">
        <v>51.66</v>
      </c>
      <c r="X218" s="81">
        <v>48</v>
      </c>
      <c r="Y218" s="81">
        <v>43.8</v>
      </c>
      <c r="Z218" s="81">
        <v>47.1</v>
      </c>
      <c r="AB218" s="81">
        <v>52.3</v>
      </c>
      <c r="AC218" s="81">
        <v>47.6</v>
      </c>
      <c r="AD218" s="81">
        <v>52.7</v>
      </c>
    </row>
    <row r="219" spans="1:30" x14ac:dyDescent="0.2">
      <c r="A219" s="108">
        <v>40878</v>
      </c>
      <c r="B219" s="81">
        <v>50.2</v>
      </c>
      <c r="C219" s="81">
        <v>49.3</v>
      </c>
      <c r="D219" s="81">
        <v>54</v>
      </c>
      <c r="E219" s="81">
        <v>49.2</v>
      </c>
      <c r="F219" s="81">
        <v>58.44</v>
      </c>
      <c r="G219" s="81">
        <v>46.9</v>
      </c>
      <c r="H219" s="81">
        <v>48.9</v>
      </c>
      <c r="I219" s="81">
        <v>48.4</v>
      </c>
      <c r="J219" s="81">
        <v>50.4</v>
      </c>
      <c r="K219" s="81">
        <v>42</v>
      </c>
      <c r="M219" s="81">
        <v>57</v>
      </c>
      <c r="N219" s="81">
        <v>48.1</v>
      </c>
      <c r="O219" s="81">
        <v>49.8</v>
      </c>
      <c r="P219" s="81">
        <v>44.3</v>
      </c>
      <c r="Q219" s="81">
        <v>50.2</v>
      </c>
      <c r="R219" s="81">
        <v>53.1</v>
      </c>
      <c r="S219" s="81">
        <v>52.079468638644201</v>
      </c>
      <c r="T219" s="81">
        <v>48.8</v>
      </c>
      <c r="U219" s="81">
        <v>51.6</v>
      </c>
      <c r="W219" s="81">
        <v>51.4</v>
      </c>
      <c r="X219" s="81">
        <v>47.1</v>
      </c>
      <c r="Y219" s="81">
        <v>43.7</v>
      </c>
      <c r="Z219" s="81">
        <v>47.1</v>
      </c>
      <c r="AB219" s="81">
        <v>52</v>
      </c>
      <c r="AC219" s="81">
        <v>49.6</v>
      </c>
      <c r="AD219" s="81">
        <v>53.2</v>
      </c>
    </row>
    <row r="220" spans="1:30" x14ac:dyDescent="0.2">
      <c r="A220" s="108">
        <v>40909</v>
      </c>
      <c r="B220" s="81">
        <v>51.6</v>
      </c>
      <c r="C220" s="81">
        <v>50.6</v>
      </c>
      <c r="D220" s="81">
        <v>50.6</v>
      </c>
      <c r="E220" s="81">
        <v>48.8</v>
      </c>
      <c r="F220" s="81">
        <v>52.12</v>
      </c>
      <c r="G220" s="81">
        <v>48.8</v>
      </c>
      <c r="H220" s="81">
        <v>48.5</v>
      </c>
      <c r="I220" s="81">
        <v>51</v>
      </c>
      <c r="J220" s="81">
        <v>51</v>
      </c>
      <c r="K220" s="81">
        <v>41</v>
      </c>
      <c r="M220" s="81">
        <v>57.5</v>
      </c>
      <c r="N220" s="81">
        <v>48.5</v>
      </c>
      <c r="O220" s="81">
        <v>49.3</v>
      </c>
      <c r="P220" s="81">
        <v>46.8</v>
      </c>
      <c r="Q220" s="81">
        <v>50.7</v>
      </c>
      <c r="R220" s="81">
        <v>52.2</v>
      </c>
      <c r="S220" s="81">
        <v>50.6209489737154</v>
      </c>
      <c r="T220" s="81">
        <v>52.2</v>
      </c>
      <c r="U220" s="81">
        <v>50.8</v>
      </c>
      <c r="W220" s="81">
        <v>52.94</v>
      </c>
      <c r="X220" s="81">
        <v>49.2</v>
      </c>
      <c r="Y220" s="81">
        <v>45.1</v>
      </c>
      <c r="Z220" s="81">
        <v>47.1</v>
      </c>
      <c r="AB220" s="81">
        <v>51.7</v>
      </c>
      <c r="AC220" s="81">
        <v>50.8</v>
      </c>
      <c r="AD220" s="81">
        <v>54.3</v>
      </c>
    </row>
    <row r="221" spans="1:30" x14ac:dyDescent="0.2">
      <c r="A221" s="108">
        <v>40940</v>
      </c>
      <c r="B221" s="81">
        <v>51.3</v>
      </c>
      <c r="C221" s="81">
        <v>51.4</v>
      </c>
      <c r="D221" s="81">
        <v>51.8</v>
      </c>
      <c r="E221" s="81">
        <v>50.5</v>
      </c>
      <c r="F221" s="81">
        <v>53.88</v>
      </c>
      <c r="G221" s="81">
        <v>49</v>
      </c>
      <c r="H221" s="81">
        <v>50</v>
      </c>
      <c r="I221" s="81">
        <v>50.2</v>
      </c>
      <c r="J221" s="81">
        <v>51.2</v>
      </c>
      <c r="K221" s="81">
        <v>37.700000000000003</v>
      </c>
      <c r="M221" s="81">
        <v>56.6</v>
      </c>
      <c r="N221" s="81">
        <v>50.6</v>
      </c>
      <c r="O221" s="81">
        <v>49.7</v>
      </c>
      <c r="P221" s="81">
        <v>47.8</v>
      </c>
      <c r="Q221" s="81">
        <v>50.5</v>
      </c>
      <c r="R221" s="81">
        <v>53.7</v>
      </c>
      <c r="S221" s="81">
        <v>55.936808068004602</v>
      </c>
      <c r="T221" s="81">
        <v>50</v>
      </c>
      <c r="U221" s="81">
        <v>50.7</v>
      </c>
      <c r="W221" s="81">
        <v>53.51</v>
      </c>
      <c r="X221" s="81">
        <v>50.7</v>
      </c>
      <c r="Y221" s="81">
        <v>45</v>
      </c>
      <c r="Z221" s="81">
        <v>48.9</v>
      </c>
      <c r="AB221" s="81">
        <v>49.6</v>
      </c>
      <c r="AC221" s="81">
        <v>51.1</v>
      </c>
      <c r="AD221" s="81">
        <v>53.6</v>
      </c>
    </row>
    <row r="222" spans="1:30" x14ac:dyDescent="0.2">
      <c r="A222" s="108">
        <v>40969</v>
      </c>
      <c r="B222" s="81">
        <v>49.5</v>
      </c>
      <c r="C222" s="81">
        <v>51.1</v>
      </c>
      <c r="D222" s="81">
        <v>52.4</v>
      </c>
      <c r="E222" s="81">
        <v>52.1</v>
      </c>
      <c r="F222" s="81">
        <v>50.34</v>
      </c>
      <c r="G222" s="81">
        <v>47.7</v>
      </c>
      <c r="H222" s="81">
        <v>46.7</v>
      </c>
      <c r="I222" s="81">
        <v>48.4</v>
      </c>
      <c r="J222" s="81">
        <v>51.6</v>
      </c>
      <c r="K222" s="81">
        <v>41.3</v>
      </c>
      <c r="M222" s="81">
        <v>54.7</v>
      </c>
      <c r="N222" s="81">
        <v>50.8</v>
      </c>
      <c r="O222" s="81">
        <v>51.5</v>
      </c>
      <c r="P222" s="81">
        <v>47.9</v>
      </c>
      <c r="Q222" s="81">
        <v>51.1</v>
      </c>
      <c r="R222" s="81">
        <v>53.8</v>
      </c>
      <c r="S222" s="81">
        <v>53.627871720274001</v>
      </c>
      <c r="T222" s="81">
        <v>50.1</v>
      </c>
      <c r="U222" s="81">
        <v>50.8</v>
      </c>
      <c r="W222" s="81">
        <v>53.51</v>
      </c>
      <c r="X222" s="81">
        <v>52</v>
      </c>
      <c r="Y222" s="81">
        <v>44.5</v>
      </c>
      <c r="Z222" s="81">
        <v>52.7</v>
      </c>
      <c r="AB222" s="81">
        <v>49.6</v>
      </c>
      <c r="AC222" s="81">
        <v>52</v>
      </c>
      <c r="AD222" s="81">
        <v>56</v>
      </c>
    </row>
    <row r="223" spans="1:30" x14ac:dyDescent="0.2">
      <c r="A223" s="108">
        <v>41000</v>
      </c>
      <c r="B223" s="81">
        <v>43.9</v>
      </c>
      <c r="C223" s="81">
        <v>49.3</v>
      </c>
      <c r="D223" s="81">
        <v>53.3</v>
      </c>
      <c r="E223" s="81">
        <v>49.7</v>
      </c>
      <c r="F223" s="81">
        <v>63.6</v>
      </c>
      <c r="G223" s="81">
        <v>45.9</v>
      </c>
      <c r="H223" s="81">
        <v>46.9</v>
      </c>
      <c r="I223" s="81">
        <v>46.2</v>
      </c>
      <c r="J223" s="81">
        <v>51.3</v>
      </c>
      <c r="K223" s="81">
        <v>40.700000000000003</v>
      </c>
      <c r="M223" s="81">
        <v>54.9</v>
      </c>
      <c r="N223" s="81">
        <v>50.5</v>
      </c>
      <c r="O223" s="81">
        <v>50.1</v>
      </c>
      <c r="P223" s="81">
        <v>43.8</v>
      </c>
      <c r="Q223" s="81">
        <v>50.7</v>
      </c>
      <c r="R223" s="81">
        <v>56.3</v>
      </c>
      <c r="S223" s="81">
        <v>48.512504850892803</v>
      </c>
      <c r="T223" s="81">
        <v>49.2</v>
      </c>
      <c r="U223" s="81">
        <v>52.9</v>
      </c>
      <c r="W223" s="81">
        <v>52.19</v>
      </c>
      <c r="X223" s="81">
        <v>51.9</v>
      </c>
      <c r="Y223" s="81">
        <v>43.5</v>
      </c>
      <c r="Z223" s="81">
        <v>54.1</v>
      </c>
      <c r="AB223" s="81">
        <v>52.3</v>
      </c>
      <c r="AC223" s="81">
        <v>50.2</v>
      </c>
      <c r="AD223" s="81">
        <v>56</v>
      </c>
    </row>
    <row r="224" spans="1:30" x14ac:dyDescent="0.2">
      <c r="A224" s="108">
        <v>41030</v>
      </c>
      <c r="B224" s="81">
        <v>42.4</v>
      </c>
      <c r="C224" s="81">
        <v>49.3</v>
      </c>
      <c r="D224" s="81">
        <v>54.7</v>
      </c>
      <c r="E224" s="81">
        <v>47.6</v>
      </c>
      <c r="F224" s="81">
        <v>51.42</v>
      </c>
      <c r="G224" s="81">
        <v>45.1</v>
      </c>
      <c r="H224" s="81">
        <v>44.7</v>
      </c>
      <c r="I224" s="81">
        <v>45.2</v>
      </c>
      <c r="J224" s="81">
        <v>50.3</v>
      </c>
      <c r="K224" s="81">
        <v>43.1</v>
      </c>
      <c r="M224" s="81">
        <v>54.8</v>
      </c>
      <c r="N224" s="81">
        <v>48.1</v>
      </c>
      <c r="O224" s="81">
        <v>51.2</v>
      </c>
      <c r="P224" s="81">
        <v>44.8</v>
      </c>
      <c r="Q224" s="81">
        <v>50.7</v>
      </c>
      <c r="R224" s="81">
        <v>55.2</v>
      </c>
      <c r="S224" s="81">
        <v>54.185789788296702</v>
      </c>
      <c r="T224" s="81">
        <v>48.9</v>
      </c>
      <c r="U224" s="81">
        <v>53.2</v>
      </c>
      <c r="W224" s="81">
        <v>52.57</v>
      </c>
      <c r="X224" s="81">
        <v>51</v>
      </c>
      <c r="Y224" s="81">
        <v>42</v>
      </c>
      <c r="Z224" s="81">
        <v>51.2</v>
      </c>
      <c r="AB224" s="81">
        <v>50.2</v>
      </c>
      <c r="AC224" s="81">
        <v>46.8</v>
      </c>
      <c r="AD224" s="81">
        <v>54</v>
      </c>
    </row>
    <row r="225" spans="1:31" x14ac:dyDescent="0.2">
      <c r="A225" s="108">
        <v>41061</v>
      </c>
      <c r="B225" s="81">
        <v>47.2</v>
      </c>
      <c r="C225" s="81">
        <v>48.5</v>
      </c>
      <c r="D225" s="81">
        <v>54.8</v>
      </c>
      <c r="E225" s="81">
        <v>49.4</v>
      </c>
      <c r="F225" s="81">
        <v>52.69</v>
      </c>
      <c r="G225" s="81">
        <v>45.1</v>
      </c>
      <c r="H225" s="81">
        <v>45.2</v>
      </c>
      <c r="I225" s="81">
        <v>45</v>
      </c>
      <c r="J225" s="81">
        <v>49.7</v>
      </c>
      <c r="K225" s="81">
        <v>40.1</v>
      </c>
      <c r="L225" s="81">
        <v>49.8</v>
      </c>
      <c r="M225" s="81">
        <v>55</v>
      </c>
      <c r="N225" s="81">
        <v>50.2</v>
      </c>
      <c r="O225" s="81">
        <v>53.1</v>
      </c>
      <c r="P225" s="81">
        <v>44.6</v>
      </c>
      <c r="Q225" s="81">
        <v>52.6</v>
      </c>
      <c r="R225" s="81">
        <v>55.9</v>
      </c>
      <c r="S225" s="81">
        <v>50.472370512699001</v>
      </c>
      <c r="T225" s="81">
        <v>48</v>
      </c>
      <c r="U225" s="81">
        <v>51</v>
      </c>
      <c r="W225" s="81">
        <v>49.09</v>
      </c>
      <c r="X225" s="81">
        <v>49.4</v>
      </c>
      <c r="Y225" s="81">
        <v>41.1</v>
      </c>
      <c r="Z225" s="81">
        <v>50.5</v>
      </c>
      <c r="AB225" s="81">
        <v>51.4</v>
      </c>
      <c r="AC225" s="81">
        <v>48.8</v>
      </c>
      <c r="AD225" s="81">
        <v>52.5</v>
      </c>
    </row>
    <row r="226" spans="1:31" x14ac:dyDescent="0.2">
      <c r="A226" s="108">
        <v>41091</v>
      </c>
      <c r="B226" s="81">
        <v>40.299999999999997</v>
      </c>
      <c r="C226" s="81">
        <v>48.7</v>
      </c>
      <c r="D226" s="81">
        <v>53</v>
      </c>
      <c r="E226" s="81">
        <v>49.5</v>
      </c>
      <c r="F226" s="81">
        <v>47.21</v>
      </c>
      <c r="G226" s="81">
        <v>44</v>
      </c>
      <c r="H226" s="81">
        <v>43.4</v>
      </c>
      <c r="I226" s="81">
        <v>43</v>
      </c>
      <c r="J226" s="81">
        <v>48.8</v>
      </c>
      <c r="K226" s="81">
        <v>41.9</v>
      </c>
      <c r="L226" s="81">
        <v>50.3</v>
      </c>
      <c r="M226" s="81">
        <v>52.9</v>
      </c>
      <c r="N226" s="81">
        <v>51.3</v>
      </c>
      <c r="O226" s="81">
        <v>53.9</v>
      </c>
      <c r="P226" s="81">
        <v>44.3</v>
      </c>
      <c r="Q226" s="81">
        <v>52</v>
      </c>
      <c r="R226" s="81">
        <v>55.2</v>
      </c>
      <c r="S226" s="81">
        <v>49.600935432835399</v>
      </c>
      <c r="T226" s="81">
        <v>49.7</v>
      </c>
      <c r="U226" s="81">
        <v>52</v>
      </c>
      <c r="W226" s="81">
        <v>51.13</v>
      </c>
      <c r="X226" s="81">
        <v>47.2</v>
      </c>
      <c r="Y226" s="81">
        <v>42.3</v>
      </c>
      <c r="Z226" s="81">
        <v>49.2</v>
      </c>
      <c r="AB226" s="81">
        <v>49.4</v>
      </c>
      <c r="AC226" s="81">
        <v>45.5</v>
      </c>
      <c r="AD226" s="81">
        <v>51.4</v>
      </c>
      <c r="AE226" s="81">
        <v>43.6</v>
      </c>
    </row>
    <row r="227" spans="1:31" x14ac:dyDescent="0.2">
      <c r="A227" s="108">
        <v>41122</v>
      </c>
      <c r="B227" s="81">
        <v>45.3</v>
      </c>
      <c r="C227" s="81">
        <v>49.3</v>
      </c>
      <c r="D227" s="81">
        <v>53</v>
      </c>
      <c r="E227" s="81">
        <v>48.7</v>
      </c>
      <c r="F227" s="81">
        <v>51.06</v>
      </c>
      <c r="G227" s="81">
        <v>45.1</v>
      </c>
      <c r="H227" s="81">
        <v>46</v>
      </c>
      <c r="I227" s="81">
        <v>44.7</v>
      </c>
      <c r="J227" s="81">
        <v>48.7</v>
      </c>
      <c r="K227" s="81">
        <v>42.1</v>
      </c>
      <c r="L227" s="81">
        <v>50.5</v>
      </c>
      <c r="M227" s="81">
        <v>52.8</v>
      </c>
      <c r="N227" s="81">
        <v>51.4</v>
      </c>
      <c r="O227" s="81">
        <v>50.9</v>
      </c>
      <c r="P227" s="81">
        <v>43.6</v>
      </c>
      <c r="Q227" s="81">
        <v>52.1</v>
      </c>
      <c r="R227" s="81">
        <v>55.1</v>
      </c>
      <c r="S227" s="81">
        <v>47.429094831237798</v>
      </c>
      <c r="T227" s="81">
        <v>48.3</v>
      </c>
      <c r="U227" s="81">
        <v>51</v>
      </c>
      <c r="W227" s="81">
        <v>49.56</v>
      </c>
      <c r="X227" s="81">
        <v>47.5</v>
      </c>
      <c r="Y227" s="81">
        <v>44</v>
      </c>
      <c r="Z227" s="81">
        <v>47.5</v>
      </c>
      <c r="AB227" s="81">
        <v>50</v>
      </c>
      <c r="AC227" s="81">
        <v>49.1</v>
      </c>
      <c r="AD227" s="81">
        <v>51.5</v>
      </c>
      <c r="AE227" s="81">
        <v>47.9</v>
      </c>
    </row>
    <row r="228" spans="1:31" x14ac:dyDescent="0.2">
      <c r="A228" s="108">
        <v>41153</v>
      </c>
      <c r="B228" s="81">
        <v>44.1</v>
      </c>
      <c r="C228" s="81">
        <v>49.8</v>
      </c>
      <c r="D228" s="81">
        <v>52.4</v>
      </c>
      <c r="E228" s="81">
        <v>48</v>
      </c>
      <c r="F228" s="81">
        <v>52.09</v>
      </c>
      <c r="G228" s="81">
        <v>46.1</v>
      </c>
      <c r="H228" s="81">
        <v>42.7</v>
      </c>
      <c r="I228" s="81">
        <v>47.4</v>
      </c>
      <c r="J228" s="81">
        <v>48.7</v>
      </c>
      <c r="K228" s="81">
        <v>42.2</v>
      </c>
      <c r="L228" s="81">
        <v>49.6</v>
      </c>
      <c r="M228" s="81">
        <v>52.8</v>
      </c>
      <c r="N228" s="81">
        <v>51.6</v>
      </c>
      <c r="O228" s="81">
        <v>51.8</v>
      </c>
      <c r="P228" s="81">
        <v>45.7</v>
      </c>
      <c r="Q228" s="81">
        <v>48</v>
      </c>
      <c r="R228" s="81">
        <v>54.4</v>
      </c>
      <c r="S228" s="81">
        <v>48.448709339422898</v>
      </c>
      <c r="T228" s="81">
        <v>47</v>
      </c>
      <c r="U228" s="81">
        <v>52.4</v>
      </c>
      <c r="W228" s="81">
        <v>48.42</v>
      </c>
      <c r="X228" s="81">
        <v>45.7</v>
      </c>
      <c r="Y228" s="81">
        <v>44.5</v>
      </c>
      <c r="Z228" s="81">
        <v>46.1</v>
      </c>
      <c r="AB228" s="81">
        <v>52.2</v>
      </c>
      <c r="AC228" s="81">
        <v>48.2</v>
      </c>
      <c r="AD228" s="81">
        <v>51.1</v>
      </c>
      <c r="AE228" s="81">
        <v>49.2</v>
      </c>
    </row>
    <row r="229" spans="1:31" x14ac:dyDescent="0.2">
      <c r="A229" s="108">
        <v>41183</v>
      </c>
      <c r="B229" s="81">
        <v>45.2</v>
      </c>
      <c r="C229" s="81">
        <v>50.2</v>
      </c>
      <c r="D229" s="81">
        <v>51.4</v>
      </c>
      <c r="E229" s="81">
        <v>47.2</v>
      </c>
      <c r="F229" s="81">
        <v>57.41</v>
      </c>
      <c r="G229" s="81">
        <v>45.4</v>
      </c>
      <c r="H229" s="81">
        <v>43.7</v>
      </c>
      <c r="I229" s="81">
        <v>46</v>
      </c>
      <c r="J229" s="81">
        <v>48.9</v>
      </c>
      <c r="K229" s="81">
        <v>41</v>
      </c>
      <c r="L229" s="81">
        <v>50.5</v>
      </c>
      <c r="M229" s="81">
        <v>52.9</v>
      </c>
      <c r="N229" s="81">
        <v>50.5</v>
      </c>
      <c r="O229" s="81">
        <v>52.1</v>
      </c>
      <c r="P229" s="81">
        <v>45.5</v>
      </c>
      <c r="Q229" s="81">
        <v>46.9</v>
      </c>
      <c r="R229" s="81">
        <v>55.5</v>
      </c>
      <c r="S229" s="81">
        <v>51.316273938764503</v>
      </c>
      <c r="T229" s="81">
        <v>47.3</v>
      </c>
      <c r="U229" s="81">
        <v>52.9</v>
      </c>
      <c r="W229" s="81">
        <v>48.23</v>
      </c>
      <c r="X229" s="81">
        <v>47.4</v>
      </c>
      <c r="Y229" s="81">
        <v>43.5</v>
      </c>
      <c r="Z229" s="81">
        <v>45.6</v>
      </c>
      <c r="AB229" s="81">
        <v>52.5</v>
      </c>
      <c r="AC229" s="81">
        <v>48</v>
      </c>
      <c r="AD229" s="81">
        <v>51</v>
      </c>
      <c r="AE229" s="81">
        <v>48.7</v>
      </c>
    </row>
    <row r="230" spans="1:31" x14ac:dyDescent="0.2">
      <c r="A230" s="108">
        <v>41214</v>
      </c>
      <c r="B230" s="81">
        <v>43.6</v>
      </c>
      <c r="C230" s="81">
        <v>52.2</v>
      </c>
      <c r="D230" s="81">
        <v>50.4</v>
      </c>
      <c r="E230" s="81">
        <v>48.2</v>
      </c>
      <c r="F230" s="81">
        <v>56.29</v>
      </c>
      <c r="G230" s="81">
        <v>46.2</v>
      </c>
      <c r="H230" s="81">
        <v>44.5</v>
      </c>
      <c r="I230" s="81">
        <v>46.8</v>
      </c>
      <c r="J230" s="81">
        <v>49.6</v>
      </c>
      <c r="K230" s="81">
        <v>41.8</v>
      </c>
      <c r="L230" s="81">
        <v>52.2</v>
      </c>
      <c r="M230" s="81">
        <v>53.7</v>
      </c>
      <c r="N230" s="81">
        <v>51.9</v>
      </c>
      <c r="O230" s="81">
        <v>52.4</v>
      </c>
      <c r="P230" s="81">
        <v>45.1</v>
      </c>
      <c r="Q230" s="81">
        <v>46.5</v>
      </c>
      <c r="R230" s="81">
        <v>55.6</v>
      </c>
      <c r="S230" s="81">
        <v>50.803170950440403</v>
      </c>
      <c r="T230" s="81">
        <v>48.2</v>
      </c>
      <c r="U230" s="81">
        <v>52.2</v>
      </c>
      <c r="W230" s="81">
        <v>49.15</v>
      </c>
      <c r="X230" s="81">
        <v>48.2</v>
      </c>
      <c r="Y230" s="81">
        <v>45.3</v>
      </c>
      <c r="Z230" s="81">
        <v>47.8</v>
      </c>
      <c r="AB230" s="81">
        <v>51.6</v>
      </c>
      <c r="AC230" s="81">
        <v>48.4</v>
      </c>
      <c r="AD230" s="81">
        <v>52.8</v>
      </c>
      <c r="AE230" s="81">
        <v>50.5</v>
      </c>
    </row>
    <row r="231" spans="1:31" x14ac:dyDescent="0.2">
      <c r="A231" s="108">
        <v>41244</v>
      </c>
      <c r="B231" s="81">
        <v>44.3</v>
      </c>
      <c r="C231" s="81">
        <v>51.1</v>
      </c>
      <c r="D231" s="81">
        <v>50.4</v>
      </c>
      <c r="E231" s="81">
        <v>46</v>
      </c>
      <c r="F231" s="81">
        <v>57.62</v>
      </c>
      <c r="G231" s="81">
        <v>46.1</v>
      </c>
      <c r="H231" s="81">
        <v>44.6</v>
      </c>
      <c r="I231" s="81">
        <v>46</v>
      </c>
      <c r="J231" s="81">
        <v>50</v>
      </c>
      <c r="K231" s="81">
        <v>41.4</v>
      </c>
      <c r="L231" s="81">
        <v>51.7</v>
      </c>
      <c r="M231" s="81">
        <v>54.7</v>
      </c>
      <c r="N231" s="81">
        <v>51.5</v>
      </c>
      <c r="O231" s="81">
        <v>51.4</v>
      </c>
      <c r="P231" s="81">
        <v>46.7</v>
      </c>
      <c r="Q231" s="81">
        <v>45</v>
      </c>
      <c r="R231" s="81">
        <v>57.1</v>
      </c>
      <c r="S231" s="81">
        <v>50.176098211716898</v>
      </c>
      <c r="T231" s="81">
        <v>48.3</v>
      </c>
      <c r="U231" s="81">
        <v>50</v>
      </c>
      <c r="W231" s="81">
        <v>48.92</v>
      </c>
      <c r="X231" s="81">
        <v>50.1</v>
      </c>
      <c r="Y231" s="81">
        <v>44.6</v>
      </c>
      <c r="Z231" s="81">
        <v>47.4</v>
      </c>
      <c r="AB231" s="81">
        <v>53.1</v>
      </c>
      <c r="AC231" s="81">
        <v>50.7</v>
      </c>
      <c r="AD231" s="81">
        <v>54</v>
      </c>
      <c r="AE231" s="81">
        <v>49.3</v>
      </c>
    </row>
    <row r="232" spans="1:31" x14ac:dyDescent="0.2">
      <c r="A232" s="108">
        <v>41275</v>
      </c>
      <c r="B232" s="81">
        <v>40.200000000000003</v>
      </c>
      <c r="C232" s="81">
        <v>53.2</v>
      </c>
      <c r="D232" s="81">
        <v>50.5</v>
      </c>
      <c r="E232" s="81">
        <v>48.3</v>
      </c>
      <c r="F232" s="81">
        <v>55.27</v>
      </c>
      <c r="G232" s="81">
        <v>47.9</v>
      </c>
      <c r="H232" s="81">
        <v>42.9</v>
      </c>
      <c r="I232" s="81">
        <v>49.8</v>
      </c>
      <c r="J232" s="81">
        <v>51.5</v>
      </c>
      <c r="K232" s="81">
        <v>41.7</v>
      </c>
      <c r="L232" s="81">
        <v>52.5</v>
      </c>
      <c r="M232" s="81">
        <v>53.2</v>
      </c>
      <c r="N232" s="81">
        <v>49.7</v>
      </c>
      <c r="O232" s="81">
        <v>50.3</v>
      </c>
      <c r="P232" s="81">
        <v>47.8</v>
      </c>
      <c r="Q232" s="81">
        <v>47.7</v>
      </c>
      <c r="R232" s="81">
        <v>55</v>
      </c>
      <c r="S232" s="81">
        <v>55.650680223541102</v>
      </c>
      <c r="T232" s="81">
        <v>48.6</v>
      </c>
      <c r="U232" s="81">
        <v>52</v>
      </c>
      <c r="W232" s="81">
        <v>49.08</v>
      </c>
      <c r="X232" s="81">
        <v>49.9</v>
      </c>
      <c r="Y232" s="81">
        <v>46.1</v>
      </c>
      <c r="Z232" s="81">
        <v>51.5</v>
      </c>
      <c r="AB232" s="81">
        <v>54</v>
      </c>
      <c r="AC232" s="81">
        <v>50.9</v>
      </c>
      <c r="AD232" s="81">
        <v>55.8</v>
      </c>
      <c r="AE232" s="81">
        <v>50.1</v>
      </c>
    </row>
    <row r="233" spans="1:31" x14ac:dyDescent="0.2">
      <c r="A233" s="108">
        <v>41306</v>
      </c>
      <c r="B233" s="81">
        <v>45.6</v>
      </c>
      <c r="C233" s="81">
        <v>52.5</v>
      </c>
      <c r="D233" s="81">
        <v>51.7</v>
      </c>
      <c r="E233" s="81">
        <v>49.9</v>
      </c>
      <c r="F233" s="81">
        <v>61.23</v>
      </c>
      <c r="G233" s="81">
        <v>47.9</v>
      </c>
      <c r="H233" s="81">
        <v>43.9</v>
      </c>
      <c r="I233" s="81">
        <v>50.3</v>
      </c>
      <c r="J233" s="81">
        <v>50.9</v>
      </c>
      <c r="K233" s="81">
        <v>43</v>
      </c>
      <c r="L233" s="81">
        <v>51.2</v>
      </c>
      <c r="M233" s="81">
        <v>54.2</v>
      </c>
      <c r="N233" s="81">
        <v>50.5</v>
      </c>
      <c r="O233" s="81">
        <v>51.5</v>
      </c>
      <c r="P233" s="81">
        <v>45.8</v>
      </c>
      <c r="Q233" s="81">
        <v>48.5</v>
      </c>
      <c r="R233" s="81">
        <v>53.4</v>
      </c>
      <c r="S233" s="81">
        <v>55.210349982691298</v>
      </c>
      <c r="T233" s="81">
        <v>48.9</v>
      </c>
      <c r="U233" s="81">
        <v>52</v>
      </c>
      <c r="W233" s="81">
        <v>51.42</v>
      </c>
      <c r="X233" s="81">
        <v>50.9</v>
      </c>
      <c r="Y233" s="81">
        <v>46.8</v>
      </c>
      <c r="Z233" s="81">
        <v>51.5</v>
      </c>
      <c r="AB233" s="81">
        <v>53.5</v>
      </c>
      <c r="AC233" s="81">
        <v>48.2</v>
      </c>
      <c r="AD233" s="81">
        <v>54.3</v>
      </c>
      <c r="AE233" s="81">
        <v>48.3</v>
      </c>
    </row>
    <row r="234" spans="1:31" x14ac:dyDescent="0.2">
      <c r="A234" s="108">
        <v>41334</v>
      </c>
      <c r="B234" s="81">
        <v>44.4</v>
      </c>
      <c r="C234" s="81">
        <v>51.8</v>
      </c>
      <c r="D234" s="81">
        <v>49.3</v>
      </c>
      <c r="E234" s="81">
        <v>49.1</v>
      </c>
      <c r="F234" s="81">
        <v>49.81</v>
      </c>
      <c r="G234" s="81">
        <v>46.8</v>
      </c>
      <c r="H234" s="81">
        <v>44</v>
      </c>
      <c r="I234" s="81">
        <v>49</v>
      </c>
      <c r="J234" s="81">
        <v>51.2</v>
      </c>
      <c r="K234" s="81">
        <v>42.1</v>
      </c>
      <c r="L234" s="81">
        <v>50.5</v>
      </c>
      <c r="M234" s="81">
        <v>52</v>
      </c>
      <c r="N234" s="81">
        <v>51.3</v>
      </c>
      <c r="O234" s="81">
        <v>48.6</v>
      </c>
      <c r="P234" s="81">
        <v>44.5</v>
      </c>
      <c r="Q234" s="81">
        <v>50.4</v>
      </c>
      <c r="R234" s="81">
        <v>52.2</v>
      </c>
      <c r="S234" s="81">
        <v>52.7071688076255</v>
      </c>
      <c r="T234" s="81">
        <v>48</v>
      </c>
      <c r="U234" s="81">
        <v>50.8</v>
      </c>
      <c r="W234" s="81">
        <v>49.04</v>
      </c>
      <c r="X234" s="81">
        <v>52</v>
      </c>
      <c r="Y234" s="81">
        <v>44.2</v>
      </c>
      <c r="Z234" s="81">
        <v>50.2</v>
      </c>
      <c r="AB234" s="81">
        <v>52.3</v>
      </c>
      <c r="AC234" s="81">
        <v>49.3</v>
      </c>
      <c r="AD234" s="81">
        <v>54.6</v>
      </c>
      <c r="AE234" s="81">
        <v>48.8</v>
      </c>
    </row>
    <row r="235" spans="1:31" x14ac:dyDescent="0.2">
      <c r="A235" s="108">
        <v>41365</v>
      </c>
      <c r="B235" s="81">
        <v>36.700000000000003</v>
      </c>
      <c r="C235" s="81">
        <v>50.8</v>
      </c>
      <c r="D235" s="81">
        <v>50.1</v>
      </c>
      <c r="E235" s="81">
        <v>49.5</v>
      </c>
      <c r="F235" s="81">
        <v>49.29</v>
      </c>
      <c r="G235" s="81">
        <v>46.7</v>
      </c>
      <c r="H235" s="81">
        <v>44.4</v>
      </c>
      <c r="I235" s="81">
        <v>48.1</v>
      </c>
      <c r="J235" s="81">
        <v>50.4</v>
      </c>
      <c r="K235" s="81">
        <v>45</v>
      </c>
      <c r="L235" s="81">
        <v>49.9</v>
      </c>
      <c r="M235" s="81">
        <v>51</v>
      </c>
      <c r="N235" s="81">
        <v>51.7</v>
      </c>
      <c r="O235" s="81">
        <v>48</v>
      </c>
      <c r="P235" s="81">
        <v>45.5</v>
      </c>
      <c r="Q235" s="81">
        <v>51.1</v>
      </c>
      <c r="R235" s="81">
        <v>51.7</v>
      </c>
      <c r="S235" s="81">
        <v>56.120859261244199</v>
      </c>
      <c r="T235" s="81">
        <v>48</v>
      </c>
      <c r="U235" s="81">
        <v>50.6</v>
      </c>
      <c r="W235" s="81">
        <v>49.8</v>
      </c>
      <c r="X235" s="81">
        <v>52.6</v>
      </c>
      <c r="Y235" s="81">
        <v>44.7</v>
      </c>
      <c r="Z235" s="81">
        <v>51.2</v>
      </c>
      <c r="AB235" s="81">
        <v>51.3</v>
      </c>
      <c r="AC235" s="81">
        <v>50.6</v>
      </c>
      <c r="AD235" s="81">
        <v>52.1</v>
      </c>
      <c r="AE235" s="81">
        <v>51</v>
      </c>
    </row>
    <row r="236" spans="1:31" x14ac:dyDescent="0.2">
      <c r="A236" s="108">
        <v>41395</v>
      </c>
      <c r="B236" s="81">
        <v>43.8</v>
      </c>
      <c r="C236" s="81">
        <v>50.4</v>
      </c>
      <c r="D236" s="81">
        <v>53.2</v>
      </c>
      <c r="E236" s="81">
        <v>50.1</v>
      </c>
      <c r="F236" s="81">
        <v>54.75</v>
      </c>
      <c r="G236" s="81">
        <v>48.3</v>
      </c>
      <c r="H236" s="81">
        <v>46.4</v>
      </c>
      <c r="I236" s="81">
        <v>49.4</v>
      </c>
      <c r="J236" s="81">
        <v>50.6</v>
      </c>
      <c r="K236" s="81">
        <v>45.3</v>
      </c>
      <c r="L236" s="81">
        <v>49.8</v>
      </c>
      <c r="M236" s="81">
        <v>50.1</v>
      </c>
      <c r="N236" s="81">
        <v>51.6</v>
      </c>
      <c r="O236" s="81">
        <v>49.7</v>
      </c>
      <c r="P236" s="81">
        <v>47.3</v>
      </c>
      <c r="Q236" s="81">
        <v>51.5</v>
      </c>
      <c r="R236" s="81">
        <v>51.8</v>
      </c>
      <c r="S236" s="81">
        <v>59.073750840452703</v>
      </c>
      <c r="T236" s="81">
        <v>46.9</v>
      </c>
      <c r="U236" s="81">
        <v>50.4</v>
      </c>
      <c r="W236" s="81">
        <v>50.21</v>
      </c>
      <c r="X236" s="81">
        <v>51.1</v>
      </c>
      <c r="Y236" s="81">
        <v>48.1</v>
      </c>
      <c r="Z236" s="81">
        <v>50.7</v>
      </c>
      <c r="AB236" s="81">
        <v>51.1</v>
      </c>
      <c r="AC236" s="81">
        <v>52.1</v>
      </c>
      <c r="AD236" s="81">
        <v>52.3</v>
      </c>
      <c r="AE236" s="81">
        <v>48.8</v>
      </c>
    </row>
    <row r="237" spans="1:31" x14ac:dyDescent="0.2">
      <c r="A237" s="108">
        <v>41426</v>
      </c>
      <c r="B237" s="81">
        <v>49.6</v>
      </c>
      <c r="C237" s="81">
        <v>50.4</v>
      </c>
      <c r="D237" s="81">
        <v>52.4</v>
      </c>
      <c r="E237" s="81">
        <v>51</v>
      </c>
      <c r="F237" s="81">
        <v>57.73</v>
      </c>
      <c r="G237" s="81">
        <v>48.8</v>
      </c>
      <c r="H237" s="81">
        <v>48.4</v>
      </c>
      <c r="I237" s="81">
        <v>48.6</v>
      </c>
      <c r="J237" s="81">
        <v>50.6</v>
      </c>
      <c r="K237" s="81">
        <v>45.4</v>
      </c>
      <c r="L237" s="81">
        <v>48.7</v>
      </c>
      <c r="M237" s="81">
        <v>50.3</v>
      </c>
      <c r="N237" s="81">
        <v>51</v>
      </c>
      <c r="O237" s="81">
        <v>50.3</v>
      </c>
      <c r="P237" s="81">
        <v>49.1</v>
      </c>
      <c r="Q237" s="81">
        <v>52.3</v>
      </c>
      <c r="R237" s="81">
        <v>51.3</v>
      </c>
      <c r="S237" s="81">
        <v>55.0752933288219</v>
      </c>
      <c r="T237" s="81">
        <v>48</v>
      </c>
      <c r="U237" s="81">
        <v>51.7</v>
      </c>
      <c r="W237" s="81">
        <v>51.96</v>
      </c>
      <c r="X237" s="81">
        <v>49.4</v>
      </c>
      <c r="Y237" s="81">
        <v>50</v>
      </c>
      <c r="Z237" s="81">
        <v>47.1</v>
      </c>
      <c r="AB237" s="81">
        <v>51.2</v>
      </c>
      <c r="AC237" s="81">
        <v>53</v>
      </c>
      <c r="AD237" s="81">
        <v>51.9</v>
      </c>
      <c r="AE237" s="81">
        <v>51</v>
      </c>
    </row>
    <row r="238" spans="1:31" x14ac:dyDescent="0.2">
      <c r="A238" s="108">
        <v>41456</v>
      </c>
      <c r="B238" s="81">
        <v>42</v>
      </c>
      <c r="C238" s="81">
        <v>48.5</v>
      </c>
      <c r="D238" s="81">
        <v>52</v>
      </c>
      <c r="E238" s="81">
        <v>52</v>
      </c>
      <c r="F238" s="81">
        <v>59.18</v>
      </c>
      <c r="G238" s="81">
        <v>50.3</v>
      </c>
      <c r="H238" s="81">
        <v>49.7</v>
      </c>
      <c r="I238" s="81">
        <v>50.7</v>
      </c>
      <c r="J238" s="81">
        <v>50.8</v>
      </c>
      <c r="K238" s="81">
        <v>47</v>
      </c>
      <c r="L238" s="81">
        <v>49.7</v>
      </c>
      <c r="M238" s="81">
        <v>50.1</v>
      </c>
      <c r="N238" s="81">
        <v>50.7</v>
      </c>
      <c r="O238" s="81">
        <v>51</v>
      </c>
      <c r="P238" s="81">
        <v>50.4</v>
      </c>
      <c r="Q238" s="81">
        <v>50.7</v>
      </c>
      <c r="R238" s="81">
        <v>49.7</v>
      </c>
      <c r="S238" s="81">
        <v>60.261392032361201</v>
      </c>
      <c r="T238" s="81">
        <v>49.3</v>
      </c>
      <c r="U238" s="81">
        <v>49.2</v>
      </c>
      <c r="W238" s="81">
        <v>52.15</v>
      </c>
      <c r="X238" s="81">
        <v>47.2</v>
      </c>
      <c r="Y238" s="81">
        <v>49.8</v>
      </c>
      <c r="Z238" s="81">
        <v>49.5</v>
      </c>
      <c r="AB238" s="81">
        <v>49.8</v>
      </c>
      <c r="AC238" s="81">
        <v>54.7</v>
      </c>
      <c r="AD238" s="81">
        <v>53.7</v>
      </c>
      <c r="AE238" s="81">
        <v>46.4</v>
      </c>
    </row>
    <row r="239" spans="1:31" x14ac:dyDescent="0.2">
      <c r="A239" s="108">
        <v>41487</v>
      </c>
      <c r="B239" s="81">
        <v>46.4</v>
      </c>
      <c r="C239" s="81">
        <v>49.4</v>
      </c>
      <c r="D239" s="81">
        <v>52.1</v>
      </c>
      <c r="E239" s="81">
        <v>53.9</v>
      </c>
      <c r="F239" s="81">
        <v>60.29</v>
      </c>
      <c r="G239" s="81">
        <v>51.4</v>
      </c>
      <c r="H239" s="81">
        <v>49.7</v>
      </c>
      <c r="I239" s="81">
        <v>51.8</v>
      </c>
      <c r="J239" s="81">
        <v>51.6</v>
      </c>
      <c r="K239" s="81">
        <v>48.7</v>
      </c>
      <c r="L239" s="81">
        <v>49.7</v>
      </c>
      <c r="M239" s="81">
        <v>48.5</v>
      </c>
      <c r="N239" s="81">
        <v>48.5</v>
      </c>
      <c r="O239" s="81">
        <v>52</v>
      </c>
      <c r="P239" s="81">
        <v>51.3</v>
      </c>
      <c r="Q239" s="81">
        <v>52.2</v>
      </c>
      <c r="R239" s="81">
        <v>50.8</v>
      </c>
      <c r="S239" s="81">
        <v>56.723185987861498</v>
      </c>
      <c r="T239" s="81">
        <v>51.1</v>
      </c>
      <c r="U239" s="81">
        <v>49.4</v>
      </c>
      <c r="W239" s="81">
        <v>55.26</v>
      </c>
      <c r="X239" s="81">
        <v>47.5</v>
      </c>
      <c r="Y239" s="81">
        <v>51.1</v>
      </c>
      <c r="Z239" s="81">
        <v>48.6</v>
      </c>
      <c r="AB239" s="81">
        <v>50.9</v>
      </c>
      <c r="AC239" s="81">
        <v>57.3</v>
      </c>
      <c r="AD239" s="81">
        <v>53.7</v>
      </c>
      <c r="AE239" s="81">
        <v>48.5</v>
      </c>
    </row>
    <row r="240" spans="1:31" x14ac:dyDescent="0.2">
      <c r="A240" s="108">
        <v>41518</v>
      </c>
      <c r="B240" s="81">
        <v>51.7</v>
      </c>
      <c r="C240" s="81">
        <v>49.9</v>
      </c>
      <c r="D240" s="81">
        <v>54.2</v>
      </c>
      <c r="E240" s="81">
        <v>53.4</v>
      </c>
      <c r="F240" s="81">
        <v>55.74</v>
      </c>
      <c r="G240" s="81">
        <v>51.1</v>
      </c>
      <c r="H240" s="81">
        <v>49.8</v>
      </c>
      <c r="I240" s="81">
        <v>51.1</v>
      </c>
      <c r="J240" s="81">
        <v>51.8</v>
      </c>
      <c r="K240" s="81">
        <v>47.5</v>
      </c>
      <c r="L240" s="81">
        <v>50</v>
      </c>
      <c r="M240" s="81">
        <v>49.6</v>
      </c>
      <c r="N240" s="81">
        <v>50.2</v>
      </c>
      <c r="O240" s="81">
        <v>52.7</v>
      </c>
      <c r="P240" s="81">
        <v>50.8</v>
      </c>
      <c r="Q240" s="81">
        <v>52.5</v>
      </c>
      <c r="R240" s="81">
        <v>50</v>
      </c>
      <c r="S240" s="81">
        <v>52.7868939881118</v>
      </c>
      <c r="T240" s="81">
        <v>52.6</v>
      </c>
      <c r="U240" s="81">
        <v>49.4</v>
      </c>
      <c r="W240" s="81">
        <v>49.43</v>
      </c>
      <c r="X240" s="81">
        <v>49.7</v>
      </c>
      <c r="Y240" s="81">
        <v>50.7</v>
      </c>
      <c r="Z240" s="81">
        <v>50</v>
      </c>
      <c r="AB240" s="81">
        <v>54</v>
      </c>
      <c r="AC240" s="81">
        <v>56.7</v>
      </c>
      <c r="AD240" s="81">
        <v>52.8</v>
      </c>
      <c r="AE240" s="81">
        <v>51.5</v>
      </c>
    </row>
    <row r="241" spans="1:31" x14ac:dyDescent="0.2">
      <c r="A241" s="108">
        <v>41548</v>
      </c>
      <c r="B241" s="81">
        <v>53.2</v>
      </c>
      <c r="C241" s="81">
        <v>50.2</v>
      </c>
      <c r="D241" s="81">
        <v>55.6</v>
      </c>
      <c r="E241" s="81">
        <v>54.5</v>
      </c>
      <c r="F241" s="81">
        <v>55.71</v>
      </c>
      <c r="G241" s="81">
        <v>51.3</v>
      </c>
      <c r="H241" s="81">
        <v>49.1</v>
      </c>
      <c r="I241" s="81">
        <v>51.7</v>
      </c>
      <c r="J241" s="81">
        <v>52.1</v>
      </c>
      <c r="K241" s="81">
        <v>47.3</v>
      </c>
      <c r="L241" s="81">
        <v>50.1</v>
      </c>
      <c r="M241" s="81">
        <v>49.6</v>
      </c>
      <c r="N241" s="81">
        <v>50.9</v>
      </c>
      <c r="O241" s="81">
        <v>54.9</v>
      </c>
      <c r="P241" s="81">
        <v>50.7</v>
      </c>
      <c r="Q241" s="81">
        <v>54.2</v>
      </c>
      <c r="R241" s="81">
        <v>50.2</v>
      </c>
      <c r="S241" s="81">
        <v>55.491851126124203</v>
      </c>
      <c r="T241" s="81">
        <v>53.4</v>
      </c>
      <c r="U241" s="81">
        <v>51.8</v>
      </c>
      <c r="W241" s="81">
        <v>51.43</v>
      </c>
      <c r="X241" s="81">
        <v>50.2</v>
      </c>
      <c r="Y241" s="81">
        <v>50.9</v>
      </c>
      <c r="Z241" s="81">
        <v>52</v>
      </c>
      <c r="AB241" s="81">
        <v>53.3</v>
      </c>
      <c r="AC241" s="81">
        <v>56.5</v>
      </c>
      <c r="AD241" s="81">
        <v>51.8</v>
      </c>
      <c r="AE241" s="81">
        <v>51.5</v>
      </c>
    </row>
    <row r="242" spans="1:31" x14ac:dyDescent="0.2">
      <c r="A242" s="108">
        <v>41579</v>
      </c>
      <c r="B242" s="81">
        <v>47.7</v>
      </c>
      <c r="C242" s="81">
        <v>49.7</v>
      </c>
      <c r="D242" s="81">
        <v>55.3</v>
      </c>
      <c r="E242" s="81">
        <v>55.4</v>
      </c>
      <c r="F242" s="81">
        <v>57.85</v>
      </c>
      <c r="G242" s="81">
        <v>51.6</v>
      </c>
      <c r="H242" s="81">
        <v>48.4</v>
      </c>
      <c r="I242" s="81">
        <v>52.7</v>
      </c>
      <c r="J242" s="81">
        <v>53.1</v>
      </c>
      <c r="K242" s="81">
        <v>49.2</v>
      </c>
      <c r="L242" s="81">
        <v>52.1</v>
      </c>
      <c r="M242" s="81">
        <v>51.3</v>
      </c>
      <c r="N242" s="81">
        <v>50.3</v>
      </c>
      <c r="O242" s="81">
        <v>52.4</v>
      </c>
      <c r="P242" s="81">
        <v>51.4</v>
      </c>
      <c r="Q242" s="81">
        <v>55.1</v>
      </c>
      <c r="R242" s="81">
        <v>51.9</v>
      </c>
      <c r="S242" s="81">
        <v>57.389922652514898</v>
      </c>
      <c r="T242" s="81">
        <v>54.4</v>
      </c>
      <c r="U242" s="81">
        <v>49.4</v>
      </c>
      <c r="W242" s="81">
        <v>52</v>
      </c>
      <c r="X242" s="81">
        <v>50.4</v>
      </c>
      <c r="Y242" s="81">
        <v>48.6</v>
      </c>
      <c r="Z242" s="81">
        <v>53</v>
      </c>
      <c r="AB242" s="81">
        <v>55</v>
      </c>
      <c r="AC242" s="81">
        <v>58.1</v>
      </c>
      <c r="AD242" s="81">
        <v>54.7</v>
      </c>
      <c r="AE242" s="81">
        <v>50.3</v>
      </c>
    </row>
    <row r="243" spans="1:31" x14ac:dyDescent="0.2">
      <c r="A243" s="108">
        <v>41609</v>
      </c>
      <c r="B243" s="81">
        <v>47.6</v>
      </c>
      <c r="C243" s="81">
        <v>50.5</v>
      </c>
      <c r="D243" s="81">
        <v>53.5</v>
      </c>
      <c r="E243" s="81">
        <v>54.9</v>
      </c>
      <c r="F243" s="81">
        <v>53.45</v>
      </c>
      <c r="G243" s="81">
        <v>52.7</v>
      </c>
      <c r="H243" s="81">
        <v>47</v>
      </c>
      <c r="I243" s="81">
        <v>54.3</v>
      </c>
      <c r="J243" s="81">
        <v>53.3</v>
      </c>
      <c r="K243" s="81">
        <v>49.6</v>
      </c>
      <c r="L243" s="81">
        <v>51.2</v>
      </c>
      <c r="M243" s="81">
        <v>50.7</v>
      </c>
      <c r="N243" s="81">
        <v>50.9</v>
      </c>
      <c r="O243" s="81">
        <v>53.5</v>
      </c>
      <c r="P243" s="81">
        <v>53.3</v>
      </c>
      <c r="Q243" s="81">
        <v>55.2</v>
      </c>
      <c r="R243" s="81">
        <v>52.6</v>
      </c>
      <c r="S243" s="81">
        <v>55.724521077420903</v>
      </c>
      <c r="T243" s="81">
        <v>53.2</v>
      </c>
      <c r="U243" s="81">
        <v>48.8</v>
      </c>
      <c r="W243" s="81">
        <v>51</v>
      </c>
      <c r="X243" s="81">
        <v>50.8</v>
      </c>
      <c r="Y243" s="81">
        <v>50.8</v>
      </c>
      <c r="Z243" s="81">
        <v>53.4</v>
      </c>
      <c r="AB243" s="81">
        <v>53.5</v>
      </c>
      <c r="AC243" s="81">
        <v>57.3</v>
      </c>
      <c r="AD243" s="81">
        <v>55</v>
      </c>
      <c r="AE243" s="81">
        <v>51.8</v>
      </c>
    </row>
    <row r="244" spans="1:31" x14ac:dyDescent="0.2">
      <c r="A244" s="108">
        <v>41640</v>
      </c>
      <c r="B244" s="81">
        <v>46.7</v>
      </c>
      <c r="C244" s="81">
        <v>51.7</v>
      </c>
      <c r="D244" s="81">
        <v>51.7</v>
      </c>
      <c r="E244" s="81">
        <v>55.9</v>
      </c>
      <c r="F244" s="81">
        <v>55.6</v>
      </c>
      <c r="G244" s="81">
        <v>54</v>
      </c>
      <c r="H244" s="81">
        <v>49.3</v>
      </c>
      <c r="I244" s="81">
        <v>56.6</v>
      </c>
      <c r="J244" s="81">
        <v>52.9</v>
      </c>
      <c r="K244" s="81">
        <v>51.2</v>
      </c>
      <c r="L244" s="81">
        <v>52.7</v>
      </c>
      <c r="M244" s="81">
        <v>51.4</v>
      </c>
      <c r="N244" s="81">
        <v>51</v>
      </c>
      <c r="O244" s="81">
        <v>52.8</v>
      </c>
      <c r="P244" s="81">
        <v>53.1</v>
      </c>
      <c r="Q244" s="81">
        <v>56.6</v>
      </c>
      <c r="R244" s="81">
        <v>54</v>
      </c>
      <c r="S244" s="81">
        <v>57.197211909594103</v>
      </c>
      <c r="T244" s="81">
        <v>55.4</v>
      </c>
      <c r="U244" s="81">
        <v>48</v>
      </c>
      <c r="W244" s="81">
        <v>49.96</v>
      </c>
      <c r="X244" s="81">
        <v>50.9</v>
      </c>
      <c r="Y244" s="81">
        <v>52.2</v>
      </c>
      <c r="Z244" s="81">
        <v>55.5</v>
      </c>
      <c r="AB244" s="81">
        <v>52.7</v>
      </c>
      <c r="AC244" s="81">
        <v>56.7</v>
      </c>
      <c r="AD244" s="81">
        <v>53.7</v>
      </c>
      <c r="AE244" s="81">
        <v>52.1</v>
      </c>
    </row>
    <row r="245" spans="1:31" x14ac:dyDescent="0.2">
      <c r="A245" s="108">
        <v>41671</v>
      </c>
      <c r="B245" s="81">
        <v>48.6</v>
      </c>
      <c r="C245" s="81">
        <v>50.4</v>
      </c>
      <c r="D245" s="81">
        <v>52.9</v>
      </c>
      <c r="E245" s="81">
        <v>56.5</v>
      </c>
      <c r="F245" s="81">
        <v>56.77</v>
      </c>
      <c r="G245" s="81">
        <v>53.2</v>
      </c>
      <c r="H245" s="81">
        <v>49.7</v>
      </c>
      <c r="I245" s="81">
        <v>54.8</v>
      </c>
      <c r="J245" s="81">
        <v>53.3</v>
      </c>
      <c r="K245" s="81">
        <v>51.3</v>
      </c>
      <c r="L245" s="81">
        <v>53.3</v>
      </c>
      <c r="M245" s="81">
        <v>52.5</v>
      </c>
      <c r="N245" s="81">
        <v>50.5</v>
      </c>
      <c r="O245" s="81">
        <v>52.9</v>
      </c>
      <c r="P245" s="81">
        <v>52.3</v>
      </c>
      <c r="Q245" s="81">
        <v>55.5</v>
      </c>
      <c r="R245" s="81">
        <v>52</v>
      </c>
      <c r="S245" s="81">
        <v>56.026127287725103</v>
      </c>
      <c r="T245" s="81">
        <v>55.9</v>
      </c>
      <c r="U245" s="81">
        <v>48.5</v>
      </c>
      <c r="W245" s="81">
        <v>50.69</v>
      </c>
      <c r="X245" s="81">
        <v>49.8</v>
      </c>
      <c r="Y245" s="81">
        <v>52.5</v>
      </c>
      <c r="Z245" s="81">
        <v>54.7</v>
      </c>
      <c r="AB245" s="81">
        <v>53.4</v>
      </c>
      <c r="AC245" s="81">
        <v>56.9</v>
      </c>
      <c r="AD245" s="81">
        <v>57.1</v>
      </c>
      <c r="AE245" s="81">
        <v>51</v>
      </c>
    </row>
    <row r="246" spans="1:31" x14ac:dyDescent="0.2">
      <c r="A246" s="108">
        <v>41699</v>
      </c>
      <c r="B246" s="81">
        <v>49.7</v>
      </c>
      <c r="C246" s="81">
        <v>50.6</v>
      </c>
      <c r="D246" s="81">
        <v>53.3</v>
      </c>
      <c r="E246" s="81">
        <v>55.5</v>
      </c>
      <c r="F246" s="81">
        <v>60.3</v>
      </c>
      <c r="G246" s="81">
        <v>53</v>
      </c>
      <c r="H246" s="81">
        <v>52.1</v>
      </c>
      <c r="I246" s="81">
        <v>53.7</v>
      </c>
      <c r="J246" s="81">
        <v>52.4</v>
      </c>
      <c r="K246" s="81">
        <v>49.7</v>
      </c>
      <c r="L246" s="81">
        <v>49.9</v>
      </c>
      <c r="M246" s="81">
        <v>51.3</v>
      </c>
      <c r="N246" s="81">
        <v>50.1</v>
      </c>
      <c r="O246" s="81">
        <v>55.5</v>
      </c>
      <c r="P246" s="81">
        <v>52.4</v>
      </c>
      <c r="Q246" s="81">
        <v>53.9</v>
      </c>
      <c r="R246" s="81">
        <v>51.7</v>
      </c>
      <c r="S246" s="81">
        <v>57.951243871749298</v>
      </c>
      <c r="T246" s="81">
        <v>54</v>
      </c>
      <c r="U246" s="81">
        <v>48.3</v>
      </c>
      <c r="W246" s="81">
        <v>50.29</v>
      </c>
      <c r="X246" s="81">
        <v>50.4</v>
      </c>
      <c r="Y246" s="81">
        <v>52.8</v>
      </c>
      <c r="Z246" s="81">
        <v>52.7</v>
      </c>
      <c r="AB246" s="81">
        <v>51.7</v>
      </c>
      <c r="AC246" s="81">
        <v>55.3</v>
      </c>
      <c r="AD246" s="81">
        <v>55.5</v>
      </c>
      <c r="AE246" s="81">
        <v>51.3</v>
      </c>
    </row>
    <row r="247" spans="1:31" x14ac:dyDescent="0.2">
      <c r="A247" s="108">
        <v>41730</v>
      </c>
      <c r="B247" s="81">
        <v>44.8</v>
      </c>
      <c r="C247" s="81">
        <v>49.3</v>
      </c>
      <c r="D247" s="81">
        <v>52.9</v>
      </c>
      <c r="E247" s="81">
        <v>56.5</v>
      </c>
      <c r="F247" s="81">
        <v>60.5</v>
      </c>
      <c r="G247" s="81">
        <v>54</v>
      </c>
      <c r="H247" s="81">
        <v>51.2</v>
      </c>
      <c r="I247" s="81">
        <v>54.1</v>
      </c>
      <c r="J247" s="81">
        <v>51.9</v>
      </c>
      <c r="K247" s="81">
        <v>51.1</v>
      </c>
      <c r="L247" s="81">
        <v>49.7</v>
      </c>
      <c r="M247" s="81">
        <v>51.3</v>
      </c>
      <c r="N247" s="81">
        <v>51.1</v>
      </c>
      <c r="O247" s="81">
        <v>56.1</v>
      </c>
      <c r="P247" s="81">
        <v>54</v>
      </c>
      <c r="Q247" s="81">
        <v>49.4</v>
      </c>
      <c r="R247" s="81">
        <v>51.8</v>
      </c>
      <c r="S247" s="81">
        <v>55.4325461314546</v>
      </c>
      <c r="T247" s="81">
        <v>51.1</v>
      </c>
      <c r="U247" s="81">
        <v>48.5</v>
      </c>
      <c r="W247" s="81">
        <v>47.3</v>
      </c>
      <c r="X247" s="81">
        <v>50.2</v>
      </c>
      <c r="Y247" s="81">
        <v>52.7</v>
      </c>
      <c r="Z247" s="81">
        <v>52.3</v>
      </c>
      <c r="AB247" s="81">
        <v>51.1</v>
      </c>
      <c r="AC247" s="81">
        <v>57.3</v>
      </c>
      <c r="AD247" s="81">
        <v>55.4</v>
      </c>
      <c r="AE247" s="81">
        <v>53.1</v>
      </c>
    </row>
    <row r="248" spans="1:31" x14ac:dyDescent="0.2">
      <c r="A248" s="108">
        <v>41760</v>
      </c>
      <c r="B248" s="81">
        <v>49.2</v>
      </c>
      <c r="C248" s="81">
        <v>48.8</v>
      </c>
      <c r="D248" s="81">
        <v>52.2</v>
      </c>
      <c r="E248" s="81">
        <v>57.3</v>
      </c>
      <c r="F248" s="81">
        <v>58.71</v>
      </c>
      <c r="G248" s="81">
        <v>52.2</v>
      </c>
      <c r="H248" s="81">
        <v>49.6</v>
      </c>
      <c r="I248" s="81">
        <v>52.3</v>
      </c>
      <c r="J248" s="81">
        <v>52.2</v>
      </c>
      <c r="K248" s="81">
        <v>51</v>
      </c>
      <c r="L248" s="81">
        <v>49.1</v>
      </c>
      <c r="M248" s="81">
        <v>51.4</v>
      </c>
      <c r="N248" s="81">
        <v>52.4</v>
      </c>
      <c r="O248" s="81">
        <v>55</v>
      </c>
      <c r="P248" s="81">
        <v>53.2</v>
      </c>
      <c r="Q248" s="81">
        <v>49.9</v>
      </c>
      <c r="R248" s="81">
        <v>51.9</v>
      </c>
      <c r="S248" s="81">
        <v>53.956229398254202</v>
      </c>
      <c r="T248" s="81">
        <v>50.8</v>
      </c>
      <c r="U248" s="81">
        <v>48.9</v>
      </c>
      <c r="W248" s="81">
        <v>44.41</v>
      </c>
      <c r="X248" s="81">
        <v>49.5</v>
      </c>
      <c r="Y248" s="81">
        <v>52.9</v>
      </c>
      <c r="Z248" s="81">
        <v>52.4</v>
      </c>
      <c r="AB248" s="81">
        <v>50.1</v>
      </c>
      <c r="AC248" s="81">
        <v>57</v>
      </c>
      <c r="AD248" s="81">
        <v>56.4</v>
      </c>
      <c r="AE248" s="81">
        <v>52.5</v>
      </c>
    </row>
    <row r="249" spans="1:31" x14ac:dyDescent="0.2">
      <c r="A249" s="108">
        <v>41791</v>
      </c>
      <c r="B249" s="81">
        <v>48.9</v>
      </c>
      <c r="C249" s="81">
        <v>48.7</v>
      </c>
      <c r="D249" s="81">
        <v>53.5</v>
      </c>
      <c r="E249" s="81">
        <v>54.7</v>
      </c>
      <c r="F249" s="81">
        <v>51.76</v>
      </c>
      <c r="G249" s="81">
        <v>51.8</v>
      </c>
      <c r="H249" s="81">
        <v>48.2</v>
      </c>
      <c r="I249" s="81">
        <v>52</v>
      </c>
      <c r="J249" s="81">
        <v>52.6</v>
      </c>
      <c r="K249" s="81">
        <v>49.4</v>
      </c>
      <c r="L249" s="81">
        <v>50.1</v>
      </c>
      <c r="M249" s="81">
        <v>51.5</v>
      </c>
      <c r="N249" s="81">
        <v>52.7</v>
      </c>
      <c r="O249" s="81">
        <v>55.3</v>
      </c>
      <c r="P249" s="81">
        <v>52.6</v>
      </c>
      <c r="Q249" s="81">
        <v>51.5</v>
      </c>
      <c r="R249" s="81">
        <v>51.8</v>
      </c>
      <c r="S249" s="81">
        <v>53.332054998804701</v>
      </c>
      <c r="T249" s="81">
        <v>50.3</v>
      </c>
      <c r="U249" s="81">
        <v>49.1</v>
      </c>
      <c r="W249" s="81">
        <v>46.59</v>
      </c>
      <c r="X249" s="81">
        <v>48.4</v>
      </c>
      <c r="Y249" s="81">
        <v>54.6</v>
      </c>
      <c r="Z249" s="81">
        <v>54</v>
      </c>
      <c r="AB249" s="81">
        <v>48.8</v>
      </c>
      <c r="AC249" s="81">
        <v>57.5</v>
      </c>
      <c r="AD249" s="81">
        <v>57.3</v>
      </c>
      <c r="AE249" s="81">
        <v>52.3</v>
      </c>
    </row>
    <row r="250" spans="1:31" x14ac:dyDescent="0.2">
      <c r="A250" s="108">
        <v>41821</v>
      </c>
      <c r="B250" s="81">
        <v>50.7</v>
      </c>
      <c r="C250" s="81">
        <v>49.1</v>
      </c>
      <c r="D250" s="81">
        <v>54.3</v>
      </c>
      <c r="E250" s="81">
        <v>56.463888888888903</v>
      </c>
      <c r="F250" s="81">
        <v>49.75</v>
      </c>
      <c r="G250" s="81">
        <v>51.8</v>
      </c>
      <c r="H250" s="81">
        <v>47.8</v>
      </c>
      <c r="I250" s="81">
        <v>52.4</v>
      </c>
      <c r="J250" s="81">
        <v>52.5</v>
      </c>
      <c r="K250" s="81">
        <v>48.7</v>
      </c>
      <c r="L250" s="81">
        <v>50.4</v>
      </c>
      <c r="M250" s="81">
        <v>53</v>
      </c>
      <c r="N250" s="81">
        <v>52.4</v>
      </c>
      <c r="O250" s="81">
        <v>55.4</v>
      </c>
      <c r="P250" s="81">
        <v>51.9</v>
      </c>
      <c r="Q250" s="81">
        <v>50.5</v>
      </c>
      <c r="R250" s="81">
        <v>51.5</v>
      </c>
      <c r="S250" s="81">
        <v>54.753248698735099</v>
      </c>
      <c r="T250" s="81">
        <v>49.4</v>
      </c>
      <c r="U250" s="81">
        <v>51</v>
      </c>
      <c r="W250" s="81">
        <v>45.45</v>
      </c>
      <c r="X250" s="81">
        <v>48.506666666666703</v>
      </c>
      <c r="Y250" s="81">
        <v>53.9</v>
      </c>
      <c r="Z250" s="81">
        <v>55.8</v>
      </c>
      <c r="AB250" s="81">
        <v>48.5</v>
      </c>
      <c r="AC250" s="81">
        <v>55.4</v>
      </c>
      <c r="AD250" s="81">
        <v>55.8</v>
      </c>
      <c r="AE250" s="81">
        <v>51.7</v>
      </c>
    </row>
    <row r="251" spans="1:31" x14ac:dyDescent="0.2">
      <c r="A251" s="108">
        <v>41852</v>
      </c>
      <c r="B251" s="81">
        <v>47.3</v>
      </c>
      <c r="C251" s="81">
        <v>50.2</v>
      </c>
      <c r="D251" s="81">
        <v>54.8</v>
      </c>
      <c r="E251" s="81">
        <v>54.3</v>
      </c>
      <c r="F251" s="81">
        <v>48.13</v>
      </c>
      <c r="G251" s="81">
        <v>50.7</v>
      </c>
      <c r="H251" s="81">
        <v>46.9</v>
      </c>
      <c r="I251" s="81">
        <v>51.4</v>
      </c>
      <c r="J251" s="81">
        <v>52.6</v>
      </c>
      <c r="K251" s="81">
        <v>50.1</v>
      </c>
      <c r="L251" s="81">
        <v>49.6</v>
      </c>
      <c r="M251" s="81">
        <v>52.4</v>
      </c>
      <c r="N251" s="81">
        <v>49.5</v>
      </c>
      <c r="O251" s="81">
        <v>57.3</v>
      </c>
      <c r="P251" s="81">
        <v>49.8</v>
      </c>
      <c r="Q251" s="81">
        <v>52.2</v>
      </c>
      <c r="R251" s="81">
        <v>52.1</v>
      </c>
      <c r="S251" s="81">
        <v>56.390867178830199</v>
      </c>
      <c r="T251" s="81">
        <v>49</v>
      </c>
      <c r="U251" s="81">
        <v>51</v>
      </c>
      <c r="W251" s="81">
        <v>49</v>
      </c>
      <c r="X251" s="81">
        <v>50.3</v>
      </c>
      <c r="Y251" s="81">
        <v>52.8</v>
      </c>
      <c r="Z251" s="81">
        <v>56.1</v>
      </c>
      <c r="AB251" s="81">
        <v>50</v>
      </c>
      <c r="AC251" s="81">
        <v>52.5</v>
      </c>
      <c r="AD251" s="81">
        <v>57.9</v>
      </c>
      <c r="AE251" s="81">
        <v>50.3</v>
      </c>
    </row>
    <row r="252" spans="1:31" x14ac:dyDescent="0.2">
      <c r="A252" s="108">
        <v>41883</v>
      </c>
      <c r="B252" s="81">
        <v>46.5</v>
      </c>
      <c r="C252" s="81">
        <v>49.3</v>
      </c>
      <c r="D252" s="81">
        <v>53.5</v>
      </c>
      <c r="E252" s="81">
        <v>55.6</v>
      </c>
      <c r="F252" s="81">
        <v>51.33</v>
      </c>
      <c r="G252" s="81">
        <v>50.3</v>
      </c>
      <c r="H252" s="81">
        <v>48.8</v>
      </c>
      <c r="I252" s="81">
        <v>49.9</v>
      </c>
      <c r="J252" s="81">
        <v>52.2</v>
      </c>
      <c r="K252" s="81">
        <v>48.4</v>
      </c>
      <c r="L252" s="81">
        <v>49.8</v>
      </c>
      <c r="M252" s="81">
        <v>51</v>
      </c>
      <c r="N252" s="81">
        <v>50.7</v>
      </c>
      <c r="O252" s="81">
        <v>55.7</v>
      </c>
      <c r="P252" s="81">
        <v>50.7</v>
      </c>
      <c r="Q252" s="81">
        <v>51.7</v>
      </c>
      <c r="R252" s="81">
        <v>52.6</v>
      </c>
      <c r="S252" s="81">
        <v>57.298541725858399</v>
      </c>
      <c r="T252" s="81">
        <v>49.5</v>
      </c>
      <c r="U252" s="81">
        <v>50.4</v>
      </c>
      <c r="W252" s="81">
        <v>50.35</v>
      </c>
      <c r="X252" s="81">
        <v>48.8</v>
      </c>
      <c r="Y252" s="81">
        <v>52.6</v>
      </c>
      <c r="Z252" s="81">
        <v>53.3</v>
      </c>
      <c r="AB252" s="81">
        <v>50.4</v>
      </c>
      <c r="AC252" s="81">
        <v>51.6</v>
      </c>
      <c r="AD252" s="81">
        <v>57.5</v>
      </c>
      <c r="AE252" s="81">
        <v>51.7</v>
      </c>
    </row>
    <row r="253" spans="1:31" x14ac:dyDescent="0.2">
      <c r="A253" s="108">
        <v>41913</v>
      </c>
      <c r="B253" s="81">
        <v>49.42</v>
      </c>
      <c r="C253" s="81">
        <v>49.1</v>
      </c>
      <c r="D253" s="81">
        <v>55.3</v>
      </c>
      <c r="E253" s="81">
        <v>54.4</v>
      </c>
      <c r="F253" s="81">
        <v>54.04</v>
      </c>
      <c r="G253" s="81">
        <v>50.6</v>
      </c>
      <c r="H253" s="81">
        <v>48.5</v>
      </c>
      <c r="I253" s="81">
        <v>51.4</v>
      </c>
      <c r="J253" s="81">
        <v>52.2</v>
      </c>
      <c r="K253" s="81">
        <v>48.8</v>
      </c>
      <c r="L253" s="81">
        <v>47.7</v>
      </c>
      <c r="M253" s="81">
        <v>51.6</v>
      </c>
      <c r="N253" s="81">
        <v>49.2</v>
      </c>
      <c r="O253" s="81">
        <v>56.6</v>
      </c>
      <c r="P253" s="81">
        <v>49</v>
      </c>
      <c r="Q253" s="81">
        <v>52.4</v>
      </c>
      <c r="R253" s="81">
        <v>53.3</v>
      </c>
      <c r="S253" s="81">
        <v>58.5179627874654</v>
      </c>
      <c r="T253" s="81">
        <v>51.2</v>
      </c>
      <c r="U253" s="81">
        <v>50.3</v>
      </c>
      <c r="W253" s="81">
        <v>50.13</v>
      </c>
      <c r="X253" s="81">
        <v>48.7</v>
      </c>
      <c r="Y253" s="81">
        <v>52.6</v>
      </c>
      <c r="Z253" s="81">
        <v>52</v>
      </c>
      <c r="AB253" s="81">
        <v>51.5</v>
      </c>
      <c r="AC253" s="81">
        <v>53.2</v>
      </c>
      <c r="AD253" s="81">
        <v>55.9</v>
      </c>
      <c r="AE253" s="81">
        <v>51</v>
      </c>
    </row>
    <row r="254" spans="1:31" x14ac:dyDescent="0.2">
      <c r="A254" s="108">
        <v>41944</v>
      </c>
      <c r="B254" s="81">
        <v>50.1</v>
      </c>
      <c r="C254" s="81">
        <v>48.7</v>
      </c>
      <c r="D254" s="81">
        <v>55.3</v>
      </c>
      <c r="E254" s="81">
        <v>55.6</v>
      </c>
      <c r="F254" s="81">
        <v>51.5</v>
      </c>
      <c r="G254" s="81">
        <v>50.1</v>
      </c>
      <c r="H254" s="81">
        <v>48.4</v>
      </c>
      <c r="I254" s="81">
        <v>49.5</v>
      </c>
      <c r="J254" s="81">
        <v>51.8</v>
      </c>
      <c r="K254" s="81">
        <v>49.1</v>
      </c>
      <c r="L254" s="81">
        <v>48.8</v>
      </c>
      <c r="M254" s="81">
        <v>53.3</v>
      </c>
      <c r="N254" s="81">
        <v>48</v>
      </c>
      <c r="O254" s="81">
        <v>56.2</v>
      </c>
      <c r="P254" s="81">
        <v>49</v>
      </c>
      <c r="Q254" s="81">
        <v>52</v>
      </c>
      <c r="R254" s="81">
        <v>54.3</v>
      </c>
      <c r="S254" s="81">
        <v>54.617724905754102</v>
      </c>
      <c r="T254" s="81">
        <v>53.2</v>
      </c>
      <c r="U254" s="81">
        <v>51.7</v>
      </c>
      <c r="W254" s="81">
        <v>53.12</v>
      </c>
      <c r="X254" s="81">
        <v>49</v>
      </c>
      <c r="Y254" s="81">
        <v>54.7</v>
      </c>
      <c r="Z254" s="81">
        <v>51.4</v>
      </c>
      <c r="AB254" s="81">
        <v>52.2</v>
      </c>
      <c r="AC254" s="81">
        <v>53.5</v>
      </c>
      <c r="AD254" s="81">
        <v>54.8</v>
      </c>
      <c r="AE254" s="81">
        <v>52.7</v>
      </c>
    </row>
    <row r="255" spans="1:31" x14ac:dyDescent="0.2">
      <c r="A255" s="108">
        <v>41974</v>
      </c>
      <c r="B255" s="81">
        <v>46.9</v>
      </c>
      <c r="C255" s="81">
        <v>50.2</v>
      </c>
      <c r="D255" s="81">
        <v>53.9</v>
      </c>
      <c r="E255" s="81">
        <v>53.3</v>
      </c>
      <c r="F255" s="81">
        <v>53.85</v>
      </c>
      <c r="G255" s="81">
        <v>50.6</v>
      </c>
      <c r="H255" s="81">
        <v>47.5</v>
      </c>
      <c r="I255" s="81">
        <v>51.2</v>
      </c>
      <c r="J255" s="81">
        <v>51.6</v>
      </c>
      <c r="K255" s="81">
        <v>49.4</v>
      </c>
      <c r="L255" s="81">
        <v>50.3</v>
      </c>
      <c r="M255" s="81">
        <v>54.5</v>
      </c>
      <c r="N255" s="81">
        <v>47.6</v>
      </c>
      <c r="O255" s="81">
        <v>56.9</v>
      </c>
      <c r="P255" s="81">
        <v>48.4</v>
      </c>
      <c r="Q255" s="81">
        <v>52</v>
      </c>
      <c r="R255" s="81">
        <v>55.3</v>
      </c>
      <c r="S255" s="81">
        <v>56.651751484174397</v>
      </c>
      <c r="T255" s="81">
        <v>52.8</v>
      </c>
      <c r="U255" s="81">
        <v>48.9</v>
      </c>
      <c r="W255" s="81">
        <v>51.1</v>
      </c>
      <c r="X255" s="81">
        <v>49.9</v>
      </c>
      <c r="Y255" s="81">
        <v>53.8</v>
      </c>
      <c r="Z255" s="81">
        <v>50</v>
      </c>
      <c r="AB255" s="81">
        <v>51.4</v>
      </c>
      <c r="AC255" s="81">
        <v>52.5</v>
      </c>
      <c r="AD255" s="81">
        <v>53.9</v>
      </c>
      <c r="AE255" s="81">
        <v>51.5</v>
      </c>
    </row>
    <row r="256" spans="1:31" x14ac:dyDescent="0.2">
      <c r="A256" s="108">
        <v>42005</v>
      </c>
      <c r="B256" s="81">
        <v>49</v>
      </c>
      <c r="C256" s="81">
        <v>50.7</v>
      </c>
      <c r="D256" s="81">
        <v>51</v>
      </c>
      <c r="E256" s="81">
        <v>56.1</v>
      </c>
      <c r="F256" s="81">
        <v>55.25</v>
      </c>
      <c r="G256" s="81">
        <v>51</v>
      </c>
      <c r="H256" s="81">
        <v>49.2</v>
      </c>
      <c r="I256" s="81">
        <v>50.9</v>
      </c>
      <c r="J256" s="81">
        <v>51.7</v>
      </c>
      <c r="K256" s="81">
        <v>48.3</v>
      </c>
      <c r="L256" s="81">
        <v>49.4</v>
      </c>
      <c r="M256" s="81">
        <v>52.9</v>
      </c>
      <c r="N256" s="81">
        <v>48.5</v>
      </c>
      <c r="O256" s="81">
        <v>55.1</v>
      </c>
      <c r="P256" s="81">
        <v>49.9</v>
      </c>
      <c r="Q256" s="81">
        <v>52.2</v>
      </c>
      <c r="R256" s="81">
        <v>55.6</v>
      </c>
      <c r="S256" s="81">
        <v>51.560748726156199</v>
      </c>
      <c r="T256" s="81">
        <v>55.2</v>
      </c>
      <c r="U256" s="81">
        <v>47.6</v>
      </c>
      <c r="W256" s="81">
        <v>53.24</v>
      </c>
      <c r="X256" s="81">
        <v>51.1</v>
      </c>
      <c r="Y256" s="81">
        <v>54.7</v>
      </c>
      <c r="Z256" s="81">
        <v>51.7</v>
      </c>
      <c r="AB256" s="81">
        <v>49.8</v>
      </c>
      <c r="AC256" s="81">
        <v>53</v>
      </c>
      <c r="AD256" s="81">
        <v>53.7</v>
      </c>
      <c r="AE256" s="81">
        <v>51.5</v>
      </c>
    </row>
    <row r="257" spans="1:31" x14ac:dyDescent="0.2">
      <c r="A257" s="108">
        <v>42036</v>
      </c>
      <c r="B257" s="81">
        <v>45.4</v>
      </c>
      <c r="C257" s="81">
        <v>49.6</v>
      </c>
      <c r="D257" s="81">
        <v>48.7</v>
      </c>
      <c r="E257" s="81">
        <v>55.6</v>
      </c>
      <c r="F257" s="81">
        <v>57.96</v>
      </c>
      <c r="G257" s="81">
        <v>51</v>
      </c>
      <c r="H257" s="81">
        <v>47.6</v>
      </c>
      <c r="I257" s="81">
        <v>51.1</v>
      </c>
      <c r="J257" s="81">
        <v>52</v>
      </c>
      <c r="K257" s="81">
        <v>48.4</v>
      </c>
      <c r="L257" s="81">
        <v>50.7</v>
      </c>
      <c r="M257" s="81">
        <v>51.2</v>
      </c>
      <c r="N257" s="81">
        <v>47.5</v>
      </c>
      <c r="O257" s="81">
        <v>57.5</v>
      </c>
      <c r="P257" s="81">
        <v>51.9</v>
      </c>
      <c r="Q257" s="81">
        <v>51.6</v>
      </c>
      <c r="R257" s="81">
        <v>54.4</v>
      </c>
      <c r="S257" s="81">
        <v>56.685992642344303</v>
      </c>
      <c r="T257" s="81">
        <v>55.1</v>
      </c>
      <c r="U257" s="81">
        <v>49.7</v>
      </c>
      <c r="W257" s="81">
        <v>47.66</v>
      </c>
      <c r="X257" s="81">
        <v>51.1</v>
      </c>
      <c r="Y257" s="81">
        <v>54.2</v>
      </c>
      <c r="Z257" s="81">
        <v>52.1</v>
      </c>
      <c r="AB257" s="81">
        <v>49.6</v>
      </c>
      <c r="AC257" s="81">
        <v>54.1</v>
      </c>
      <c r="AD257" s="81">
        <v>54.3</v>
      </c>
      <c r="AE257" s="81">
        <v>51.7</v>
      </c>
    </row>
    <row r="258" spans="1:31" x14ac:dyDescent="0.2">
      <c r="A258" s="108">
        <v>42064</v>
      </c>
      <c r="B258" s="81">
        <v>46.3</v>
      </c>
      <c r="C258" s="81">
        <v>46.2</v>
      </c>
      <c r="D258" s="81">
        <v>48.9</v>
      </c>
      <c r="E258" s="81">
        <v>56.1</v>
      </c>
      <c r="F258" s="81">
        <v>58.54</v>
      </c>
      <c r="G258" s="81">
        <v>52.2</v>
      </c>
      <c r="H258" s="81">
        <v>48.8</v>
      </c>
      <c r="I258" s="81">
        <v>52.8</v>
      </c>
      <c r="J258" s="81">
        <v>51.8</v>
      </c>
      <c r="K258" s="81">
        <v>48.9</v>
      </c>
      <c r="L258" s="81">
        <v>49.6</v>
      </c>
      <c r="M258" s="81">
        <v>52.1</v>
      </c>
      <c r="N258" s="81">
        <v>46.4</v>
      </c>
      <c r="O258" s="81">
        <v>56.8</v>
      </c>
      <c r="P258" s="81">
        <v>53.3</v>
      </c>
      <c r="Q258" s="81">
        <v>50.3</v>
      </c>
      <c r="R258" s="81">
        <v>53.8</v>
      </c>
      <c r="S258" s="81">
        <v>54.7822942728314</v>
      </c>
      <c r="T258" s="81">
        <v>54.8</v>
      </c>
      <c r="U258" s="81">
        <v>48.1</v>
      </c>
      <c r="W258" s="81">
        <v>47.88</v>
      </c>
      <c r="X258" s="81">
        <v>49.2</v>
      </c>
      <c r="Y258" s="81">
        <v>54.3</v>
      </c>
      <c r="Z258" s="81">
        <v>51</v>
      </c>
      <c r="AB258" s="81">
        <v>48</v>
      </c>
      <c r="AC258" s="81">
        <v>54.4</v>
      </c>
      <c r="AD258" s="81">
        <v>55.3</v>
      </c>
      <c r="AE258" s="81">
        <v>50.7</v>
      </c>
    </row>
    <row r="259" spans="1:31" x14ac:dyDescent="0.2">
      <c r="A259" s="108">
        <v>42095</v>
      </c>
      <c r="B259" s="81">
        <v>48</v>
      </c>
      <c r="C259" s="81">
        <v>46</v>
      </c>
      <c r="D259" s="81">
        <v>49</v>
      </c>
      <c r="E259" s="81">
        <v>54.7</v>
      </c>
      <c r="F259" s="81">
        <v>53.3</v>
      </c>
      <c r="G259" s="81">
        <v>52</v>
      </c>
      <c r="H259" s="81">
        <v>48</v>
      </c>
      <c r="I259" s="81">
        <v>52.1</v>
      </c>
      <c r="J259" s="81">
        <v>51</v>
      </c>
      <c r="K259" s="81">
        <v>46.5</v>
      </c>
      <c r="L259" s="81">
        <v>48.6</v>
      </c>
      <c r="M259" s="81">
        <v>51.3</v>
      </c>
      <c r="N259" s="81">
        <v>46.7</v>
      </c>
      <c r="O259" s="81">
        <v>55.8</v>
      </c>
      <c r="P259" s="81">
        <v>53.8</v>
      </c>
      <c r="Q259" s="81">
        <v>49.9</v>
      </c>
      <c r="R259" s="81">
        <v>53.8</v>
      </c>
      <c r="S259" s="81">
        <v>52.337448703873399</v>
      </c>
      <c r="T259" s="81">
        <v>54</v>
      </c>
      <c r="U259" s="81">
        <v>48.9</v>
      </c>
      <c r="V259" s="81">
        <v>60.1</v>
      </c>
      <c r="W259" s="81">
        <v>44.92</v>
      </c>
      <c r="X259" s="81">
        <v>48.8</v>
      </c>
      <c r="Y259" s="81">
        <v>54.2</v>
      </c>
      <c r="Z259" s="81">
        <v>49.2</v>
      </c>
      <c r="AB259" s="81">
        <v>48.5</v>
      </c>
      <c r="AC259" s="81">
        <v>51.9</v>
      </c>
      <c r="AD259" s="81">
        <v>54.1</v>
      </c>
      <c r="AE259" s="81">
        <v>53.5</v>
      </c>
    </row>
    <row r="260" spans="1:31" x14ac:dyDescent="0.2">
      <c r="A260" s="108">
        <v>42125</v>
      </c>
      <c r="B260" s="81">
        <v>52.29</v>
      </c>
      <c r="C260" s="81">
        <v>45.9</v>
      </c>
      <c r="D260" s="81">
        <v>49.8</v>
      </c>
      <c r="E260" s="81">
        <v>55.5</v>
      </c>
      <c r="F260" s="81">
        <v>52.73</v>
      </c>
      <c r="G260" s="81">
        <v>52.2</v>
      </c>
      <c r="H260" s="81">
        <v>49.4</v>
      </c>
      <c r="I260" s="81">
        <v>51.1</v>
      </c>
      <c r="J260" s="81">
        <v>51.2</v>
      </c>
      <c r="K260" s="81">
        <v>48</v>
      </c>
      <c r="L260" s="81">
        <v>47.6</v>
      </c>
      <c r="M260" s="81">
        <v>52.6</v>
      </c>
      <c r="N260" s="81">
        <v>47.1</v>
      </c>
      <c r="O260" s="81">
        <v>57.1</v>
      </c>
      <c r="P260" s="81">
        <v>54.8</v>
      </c>
      <c r="Q260" s="81">
        <v>50.9</v>
      </c>
      <c r="R260" s="81">
        <v>53.3</v>
      </c>
      <c r="S260" s="81">
        <v>51.445669244171299</v>
      </c>
      <c r="T260" s="81">
        <v>52.4</v>
      </c>
      <c r="U260" s="81">
        <v>47.6</v>
      </c>
      <c r="V260" s="81">
        <v>57</v>
      </c>
      <c r="W260" s="81">
        <v>50.52</v>
      </c>
      <c r="X260" s="81">
        <v>47.8</v>
      </c>
      <c r="Y260" s="81">
        <v>55.8</v>
      </c>
      <c r="Z260" s="81">
        <v>49.3</v>
      </c>
      <c r="AB260" s="81">
        <v>50.2</v>
      </c>
      <c r="AC260" s="81">
        <v>52.2</v>
      </c>
      <c r="AD260" s="81">
        <v>53.8</v>
      </c>
      <c r="AE260" s="81">
        <v>54.8</v>
      </c>
    </row>
    <row r="261" spans="1:31" x14ac:dyDescent="0.2">
      <c r="A261" s="108">
        <v>42156</v>
      </c>
      <c r="B261" s="81">
        <v>44.2</v>
      </c>
      <c r="C261" s="81">
        <v>46.5</v>
      </c>
      <c r="D261" s="81">
        <v>51.3</v>
      </c>
      <c r="E261" s="81">
        <v>56.9</v>
      </c>
      <c r="F261" s="81">
        <v>54.46</v>
      </c>
      <c r="G261" s="81">
        <v>52.5</v>
      </c>
      <c r="H261" s="81">
        <v>50.7</v>
      </c>
      <c r="I261" s="81">
        <v>51.9</v>
      </c>
      <c r="J261" s="81">
        <v>51</v>
      </c>
      <c r="K261" s="81">
        <v>46.9</v>
      </c>
      <c r="L261" s="81">
        <v>49.2</v>
      </c>
      <c r="M261" s="81">
        <v>51.3</v>
      </c>
      <c r="N261" s="81">
        <v>47.8</v>
      </c>
      <c r="O261" s="81">
        <v>54.6</v>
      </c>
      <c r="P261" s="81">
        <v>54.1</v>
      </c>
      <c r="Q261" s="81">
        <v>50.1</v>
      </c>
      <c r="R261" s="81">
        <v>52</v>
      </c>
      <c r="S261" s="81">
        <v>55.1807836368314</v>
      </c>
      <c r="T261" s="81">
        <v>54.3</v>
      </c>
      <c r="U261" s="81">
        <v>48.7</v>
      </c>
      <c r="V261" s="81">
        <v>56.1</v>
      </c>
      <c r="W261" s="81">
        <v>50.31</v>
      </c>
      <c r="X261" s="81">
        <v>46.1</v>
      </c>
      <c r="Y261" s="81">
        <v>54.5</v>
      </c>
      <c r="Z261" s="81">
        <v>46.3</v>
      </c>
      <c r="AB261" s="81">
        <v>49</v>
      </c>
      <c r="AC261" s="81">
        <v>51.9</v>
      </c>
      <c r="AD261" s="81">
        <v>53.6</v>
      </c>
      <c r="AE261" s="81">
        <v>52.2</v>
      </c>
    </row>
    <row r="262" spans="1:31" x14ac:dyDescent="0.2">
      <c r="A262" s="108">
        <v>42186</v>
      </c>
      <c r="B262" s="81">
        <v>50.4</v>
      </c>
      <c r="C262" s="81">
        <v>47.2</v>
      </c>
      <c r="D262" s="81">
        <v>50.8</v>
      </c>
      <c r="E262" s="81">
        <v>57.5</v>
      </c>
      <c r="F262" s="81">
        <v>52.31</v>
      </c>
      <c r="G262" s="81">
        <v>52.4</v>
      </c>
      <c r="H262" s="81">
        <v>49.6</v>
      </c>
      <c r="I262" s="81">
        <v>51.8</v>
      </c>
      <c r="J262" s="81">
        <v>51</v>
      </c>
      <c r="K262" s="81">
        <v>30.2</v>
      </c>
      <c r="L262" s="81">
        <v>48.2</v>
      </c>
      <c r="M262" s="81">
        <v>52.7</v>
      </c>
      <c r="N262" s="81">
        <v>47.3</v>
      </c>
      <c r="O262" s="81">
        <v>56.7</v>
      </c>
      <c r="P262" s="81">
        <v>55.3</v>
      </c>
      <c r="Q262" s="81">
        <v>51.2</v>
      </c>
      <c r="R262" s="81">
        <v>52.9</v>
      </c>
      <c r="S262" s="81">
        <v>54.381444828161598</v>
      </c>
      <c r="T262" s="81">
        <v>54.5</v>
      </c>
      <c r="U262" s="81">
        <v>48.3</v>
      </c>
      <c r="V262" s="81">
        <v>57.7</v>
      </c>
      <c r="W262" s="81">
        <v>50.25</v>
      </c>
      <c r="X262" s="81">
        <v>47.6</v>
      </c>
      <c r="Y262" s="81">
        <v>53.6</v>
      </c>
      <c r="Z262" s="81">
        <v>47.1</v>
      </c>
      <c r="AB262" s="81">
        <v>50.1</v>
      </c>
      <c r="AC262" s="81">
        <v>52.5</v>
      </c>
      <c r="AD262" s="81">
        <v>53.8</v>
      </c>
      <c r="AE262" s="81">
        <v>52.6</v>
      </c>
    </row>
    <row r="263" spans="1:31" x14ac:dyDescent="0.2">
      <c r="A263" s="108">
        <v>42217</v>
      </c>
      <c r="B263" s="81">
        <v>51.7</v>
      </c>
      <c r="C263" s="81">
        <v>45.8</v>
      </c>
      <c r="D263" s="81">
        <v>49.4</v>
      </c>
      <c r="E263" s="81">
        <v>56.6</v>
      </c>
      <c r="F263" s="81">
        <v>62.51</v>
      </c>
      <c r="G263" s="81">
        <v>52.3</v>
      </c>
      <c r="H263" s="81">
        <v>48.3</v>
      </c>
      <c r="I263" s="81">
        <v>53.3</v>
      </c>
      <c r="J263" s="81">
        <v>50.7</v>
      </c>
      <c r="K263" s="81">
        <v>39.1</v>
      </c>
      <c r="L263" s="81">
        <v>44.4</v>
      </c>
      <c r="M263" s="81">
        <v>52.3</v>
      </c>
      <c r="N263" s="81">
        <v>48.4</v>
      </c>
      <c r="O263" s="81">
        <v>53.6</v>
      </c>
      <c r="P263" s="81">
        <v>53.8</v>
      </c>
      <c r="Q263" s="81">
        <v>51.7</v>
      </c>
      <c r="R263" s="81">
        <v>52.4</v>
      </c>
      <c r="S263" s="81">
        <v>54.870796907468197</v>
      </c>
      <c r="T263" s="81">
        <v>51.1</v>
      </c>
      <c r="U263" s="81">
        <v>47.9</v>
      </c>
      <c r="V263" s="81">
        <v>58.7</v>
      </c>
      <c r="W263" s="81">
        <v>50.52</v>
      </c>
      <c r="X263" s="81">
        <v>47.9</v>
      </c>
      <c r="Y263" s="81">
        <v>53.2</v>
      </c>
      <c r="Z263" s="81">
        <v>46.1</v>
      </c>
      <c r="AB263" s="81">
        <v>49.3</v>
      </c>
      <c r="AC263" s="81">
        <v>51.6</v>
      </c>
      <c r="AD263" s="81">
        <v>53</v>
      </c>
      <c r="AE263" s="81">
        <v>51.3</v>
      </c>
    </row>
    <row r="264" spans="1:31" x14ac:dyDescent="0.2">
      <c r="A264" s="108">
        <v>42248</v>
      </c>
      <c r="B264" s="81">
        <v>52.1</v>
      </c>
      <c r="C264" s="81">
        <v>47</v>
      </c>
      <c r="D264" s="81">
        <v>48.6</v>
      </c>
      <c r="E264" s="81">
        <v>55.5</v>
      </c>
      <c r="F264" s="81">
        <v>69.37</v>
      </c>
      <c r="G264" s="81">
        <v>52</v>
      </c>
      <c r="H264" s="81">
        <v>50.6</v>
      </c>
      <c r="I264" s="81">
        <v>52.3</v>
      </c>
      <c r="J264" s="81">
        <v>50.6</v>
      </c>
      <c r="K264" s="81">
        <v>43.3</v>
      </c>
      <c r="L264" s="81">
        <v>45.7</v>
      </c>
      <c r="M264" s="81">
        <v>51.2</v>
      </c>
      <c r="N264" s="81">
        <v>47.4</v>
      </c>
      <c r="O264" s="81">
        <v>53.8</v>
      </c>
      <c r="P264" s="81">
        <v>52.7</v>
      </c>
      <c r="Q264" s="81">
        <v>51</v>
      </c>
      <c r="R264" s="81">
        <v>52.1</v>
      </c>
      <c r="S264" s="81">
        <v>54.096709865768197</v>
      </c>
      <c r="T264" s="81">
        <v>50.9</v>
      </c>
      <c r="U264" s="81">
        <v>49.1</v>
      </c>
      <c r="V264" s="81">
        <v>56.5</v>
      </c>
      <c r="W264" s="81">
        <v>50.14</v>
      </c>
      <c r="X264" s="81">
        <v>49.2</v>
      </c>
      <c r="Y264" s="81">
        <v>51.7</v>
      </c>
      <c r="Z264" s="81">
        <v>46.9</v>
      </c>
      <c r="AB264" s="81">
        <v>48.8</v>
      </c>
      <c r="AC264" s="81">
        <v>51.6</v>
      </c>
      <c r="AD264" s="81">
        <v>53.1</v>
      </c>
      <c r="AE264" s="81">
        <v>49.5</v>
      </c>
    </row>
    <row r="265" spans="1:31" x14ac:dyDescent="0.2">
      <c r="A265" s="108">
        <v>42278</v>
      </c>
      <c r="B265" s="81">
        <v>50.2</v>
      </c>
      <c r="C265" s="81">
        <v>44.1</v>
      </c>
      <c r="D265" s="81">
        <v>48</v>
      </c>
      <c r="E265" s="81">
        <v>54</v>
      </c>
      <c r="F265" s="81">
        <v>55.62</v>
      </c>
      <c r="G265" s="81">
        <v>52.3</v>
      </c>
      <c r="H265" s="81">
        <v>50.6</v>
      </c>
      <c r="I265" s="81">
        <v>52.1</v>
      </c>
      <c r="J265" s="81">
        <v>51.4</v>
      </c>
      <c r="K265" s="81">
        <v>47.3</v>
      </c>
      <c r="L265" s="81">
        <v>46.6</v>
      </c>
      <c r="M265" s="81">
        <v>50.7</v>
      </c>
      <c r="N265" s="81">
        <v>47.8</v>
      </c>
      <c r="O265" s="81">
        <v>53.6</v>
      </c>
      <c r="P265" s="81">
        <v>54.1</v>
      </c>
      <c r="Q265" s="81">
        <v>52.4</v>
      </c>
      <c r="R265" s="81">
        <v>53</v>
      </c>
      <c r="S265" s="81">
        <v>53.140695996963103</v>
      </c>
      <c r="T265" s="81">
        <v>52.2</v>
      </c>
      <c r="U265" s="81">
        <v>50.2</v>
      </c>
      <c r="V265" s="81">
        <v>55.7</v>
      </c>
      <c r="W265" s="81">
        <v>48.74</v>
      </c>
      <c r="X265" s="81">
        <v>49.1</v>
      </c>
      <c r="Y265" s="81">
        <v>51.3</v>
      </c>
      <c r="Z265" s="81">
        <v>47.8</v>
      </c>
      <c r="AB265" s="81">
        <v>49.5</v>
      </c>
      <c r="AC265" s="81">
        <v>54.3</v>
      </c>
      <c r="AD265" s="81">
        <v>54.1</v>
      </c>
      <c r="AE265" s="81">
        <v>50.1</v>
      </c>
    </row>
    <row r="266" spans="1:31" x14ac:dyDescent="0.2">
      <c r="A266" s="108">
        <v>42309</v>
      </c>
      <c r="B266" s="81">
        <v>52.5</v>
      </c>
      <c r="C266" s="81">
        <v>43.8</v>
      </c>
      <c r="D266" s="81">
        <v>48.6</v>
      </c>
      <c r="E266" s="81">
        <v>54.2</v>
      </c>
      <c r="F266" s="81">
        <v>61.47</v>
      </c>
      <c r="G266" s="81">
        <v>52.8</v>
      </c>
      <c r="H266" s="81">
        <v>50.6</v>
      </c>
      <c r="I266" s="81">
        <v>52.9</v>
      </c>
      <c r="J266" s="81">
        <v>51.2</v>
      </c>
      <c r="K266" s="81">
        <v>48.1</v>
      </c>
      <c r="L266" s="81">
        <v>46.6</v>
      </c>
      <c r="M266" s="81">
        <v>50.3</v>
      </c>
      <c r="N266" s="81">
        <v>46.9</v>
      </c>
      <c r="O266" s="81">
        <v>53.3</v>
      </c>
      <c r="P266" s="81">
        <v>54.9</v>
      </c>
      <c r="Q266" s="81">
        <v>52.6</v>
      </c>
      <c r="R266" s="81">
        <v>53</v>
      </c>
      <c r="S266" s="81">
        <v>55.032635885992697</v>
      </c>
      <c r="T266" s="81">
        <v>52.1</v>
      </c>
      <c r="U266" s="81">
        <v>50.1</v>
      </c>
      <c r="V266" s="81">
        <v>56.3</v>
      </c>
      <c r="W266" s="81">
        <v>44.73</v>
      </c>
      <c r="X266" s="81">
        <v>49.1</v>
      </c>
      <c r="Y266" s="81">
        <v>53.1</v>
      </c>
      <c r="Z266" s="81">
        <v>49.5</v>
      </c>
      <c r="AB266" s="81">
        <v>50.9</v>
      </c>
      <c r="AC266" s="81">
        <v>52.3</v>
      </c>
      <c r="AD266" s="81">
        <v>52.8</v>
      </c>
      <c r="AE266" s="81">
        <v>49.4</v>
      </c>
    </row>
    <row r="267" spans="1:31" x14ac:dyDescent="0.2">
      <c r="A267" s="108">
        <v>42339</v>
      </c>
      <c r="B267" s="81">
        <v>51.9</v>
      </c>
      <c r="C267" s="81">
        <v>45.6</v>
      </c>
      <c r="D267" s="81">
        <v>47.5</v>
      </c>
      <c r="E267" s="81">
        <v>55.6</v>
      </c>
      <c r="F267" s="81">
        <v>54.76</v>
      </c>
      <c r="G267" s="81">
        <v>53.2</v>
      </c>
      <c r="H267" s="81">
        <v>51.4</v>
      </c>
      <c r="I267" s="81">
        <v>53.2</v>
      </c>
      <c r="J267" s="81">
        <v>50.9</v>
      </c>
      <c r="K267" s="81">
        <v>50.2</v>
      </c>
      <c r="L267" s="81">
        <v>46.4</v>
      </c>
      <c r="M267" s="81">
        <v>49.1</v>
      </c>
      <c r="N267" s="81">
        <v>47.8</v>
      </c>
      <c r="O267" s="81">
        <v>54.2</v>
      </c>
      <c r="P267" s="81">
        <v>55.6</v>
      </c>
      <c r="Q267" s="81">
        <v>52.6</v>
      </c>
      <c r="R267" s="81">
        <v>52.4</v>
      </c>
      <c r="S267" s="81">
        <v>56.985602727074799</v>
      </c>
      <c r="T267" s="81">
        <v>52.1</v>
      </c>
      <c r="U267" s="81">
        <v>48.7</v>
      </c>
      <c r="V267" s="81">
        <v>54.4</v>
      </c>
      <c r="W267" s="81">
        <v>47.2</v>
      </c>
      <c r="X267" s="81">
        <v>50.7</v>
      </c>
      <c r="Y267" s="81">
        <v>53</v>
      </c>
      <c r="Z267" s="81">
        <v>51.7</v>
      </c>
      <c r="AB267" s="81">
        <v>52.2</v>
      </c>
      <c r="AC267" s="81">
        <v>51</v>
      </c>
      <c r="AD267" s="81">
        <v>51.2</v>
      </c>
      <c r="AE267" s="81">
        <v>51.3</v>
      </c>
    </row>
    <row r="268" spans="1:31" x14ac:dyDescent="0.2">
      <c r="A268" s="108">
        <v>42370</v>
      </c>
      <c r="B268" s="81">
        <v>51.5</v>
      </c>
      <c r="C268" s="81">
        <v>47.4</v>
      </c>
      <c r="D268" s="81">
        <v>49.3</v>
      </c>
      <c r="E268" s="81">
        <v>56.9</v>
      </c>
      <c r="F268" s="81">
        <v>54.46</v>
      </c>
      <c r="G268" s="81">
        <v>52.3</v>
      </c>
      <c r="H268" s="81">
        <v>50</v>
      </c>
      <c r="I268" s="81">
        <v>52.3</v>
      </c>
      <c r="J268" s="81">
        <v>50.9</v>
      </c>
      <c r="K268" s="81">
        <v>50</v>
      </c>
      <c r="L268" s="81">
        <v>46.1</v>
      </c>
      <c r="M268" s="81">
        <v>51.1</v>
      </c>
      <c r="N268" s="81">
        <v>48.9</v>
      </c>
      <c r="O268" s="81">
        <v>54.3</v>
      </c>
      <c r="P268" s="81">
        <v>53.2</v>
      </c>
      <c r="Q268" s="81">
        <v>52.3</v>
      </c>
      <c r="R268" s="81">
        <v>52.2</v>
      </c>
      <c r="S268" s="81">
        <v>59.789243036004997</v>
      </c>
      <c r="T268" s="81">
        <v>50.9</v>
      </c>
      <c r="U268" s="81">
        <v>49.8</v>
      </c>
      <c r="V268" s="81">
        <v>53.9</v>
      </c>
      <c r="W268" s="81">
        <v>43.27</v>
      </c>
      <c r="X268" s="81">
        <v>49.5</v>
      </c>
      <c r="Y268" s="81">
        <v>55.4</v>
      </c>
      <c r="Z268" s="81">
        <v>50.6</v>
      </c>
      <c r="AB268" s="81">
        <v>50.9</v>
      </c>
      <c r="AC268" s="81">
        <v>52.2</v>
      </c>
      <c r="AD268" s="81">
        <v>52.4</v>
      </c>
      <c r="AE268" s="81">
        <v>51.5</v>
      </c>
    </row>
    <row r="269" spans="1:31" x14ac:dyDescent="0.2">
      <c r="A269" s="108">
        <v>42401</v>
      </c>
      <c r="B269" s="81">
        <v>53.5</v>
      </c>
      <c r="C269" s="81">
        <v>44.5</v>
      </c>
      <c r="D269" s="81">
        <v>49.4</v>
      </c>
      <c r="E269" s="81">
        <v>55.5</v>
      </c>
      <c r="F269" s="81">
        <v>50.93</v>
      </c>
      <c r="G269" s="81">
        <v>51.2</v>
      </c>
      <c r="H269" s="81">
        <v>50.2</v>
      </c>
      <c r="I269" s="81">
        <v>50.5</v>
      </c>
      <c r="J269" s="81">
        <v>50</v>
      </c>
      <c r="K269" s="81">
        <v>48.4</v>
      </c>
      <c r="L269" s="81">
        <v>46.4</v>
      </c>
      <c r="M269" s="81">
        <v>51.1</v>
      </c>
      <c r="N269" s="81">
        <v>48.7</v>
      </c>
      <c r="O269" s="81">
        <v>52.9</v>
      </c>
      <c r="P269" s="81">
        <v>52.2</v>
      </c>
      <c r="Q269" s="81">
        <v>50.1</v>
      </c>
      <c r="R269" s="81">
        <v>53.1</v>
      </c>
      <c r="S269" s="81">
        <v>56.078910394119397</v>
      </c>
      <c r="T269" s="81">
        <v>52.8</v>
      </c>
      <c r="U269" s="81">
        <v>49.3</v>
      </c>
      <c r="V269" s="81">
        <v>54.4</v>
      </c>
      <c r="W269" s="81">
        <v>46.84</v>
      </c>
      <c r="X269" s="81">
        <v>48.7</v>
      </c>
      <c r="Y269" s="81">
        <v>54.1</v>
      </c>
      <c r="Z269" s="81">
        <v>49.4</v>
      </c>
      <c r="AB269" s="81">
        <v>50.3</v>
      </c>
      <c r="AC269" s="81">
        <v>50.8</v>
      </c>
      <c r="AD269" s="81">
        <v>51.3</v>
      </c>
      <c r="AE269" s="81">
        <v>50.3</v>
      </c>
    </row>
    <row r="270" spans="1:31" x14ac:dyDescent="0.2">
      <c r="A270" s="108">
        <v>42430</v>
      </c>
      <c r="B270" s="81">
        <v>58.1</v>
      </c>
      <c r="C270" s="81">
        <v>46</v>
      </c>
      <c r="D270" s="81">
        <v>51.5</v>
      </c>
      <c r="E270" s="81">
        <v>54.3</v>
      </c>
      <c r="F270" s="81">
        <v>55.11</v>
      </c>
      <c r="G270" s="81">
        <v>51.6</v>
      </c>
      <c r="H270" s="81">
        <v>49.6</v>
      </c>
      <c r="I270" s="81">
        <v>50.7</v>
      </c>
      <c r="J270" s="81">
        <v>50.5</v>
      </c>
      <c r="K270" s="81">
        <v>49</v>
      </c>
      <c r="L270" s="81">
        <v>45.5</v>
      </c>
      <c r="M270" s="81">
        <v>52.4</v>
      </c>
      <c r="N270" s="81">
        <v>50.6</v>
      </c>
      <c r="O270" s="81">
        <v>54.9</v>
      </c>
      <c r="P270" s="81">
        <v>53.5</v>
      </c>
      <c r="Q270" s="81">
        <v>49.1</v>
      </c>
      <c r="R270" s="81">
        <v>53.2</v>
      </c>
      <c r="S270" s="81">
        <v>54.178654064476802</v>
      </c>
      <c r="T270" s="81">
        <v>53.8</v>
      </c>
      <c r="U270" s="81">
        <v>48.3</v>
      </c>
      <c r="V270" s="81">
        <v>54.5</v>
      </c>
      <c r="W270" s="81">
        <v>49.54</v>
      </c>
      <c r="X270" s="81">
        <v>49.5</v>
      </c>
      <c r="Y270" s="81">
        <v>53.4</v>
      </c>
      <c r="Z270" s="81">
        <v>51.1</v>
      </c>
      <c r="AB270" s="81">
        <v>49.2</v>
      </c>
      <c r="AC270" s="81">
        <v>51.1</v>
      </c>
      <c r="AD270" s="81">
        <v>51.5</v>
      </c>
      <c r="AE270" s="81">
        <v>50.7</v>
      </c>
    </row>
    <row r="271" spans="1:31" x14ac:dyDescent="0.2">
      <c r="A271" s="108">
        <v>42461</v>
      </c>
      <c r="B271" s="81">
        <v>53.4</v>
      </c>
      <c r="C271" s="81">
        <v>42.6</v>
      </c>
      <c r="D271" s="81">
        <v>52.2</v>
      </c>
      <c r="E271" s="81">
        <v>53.6</v>
      </c>
      <c r="F271" s="81">
        <v>63.28</v>
      </c>
      <c r="G271" s="81">
        <v>51.7</v>
      </c>
      <c r="H271" s="81">
        <v>48</v>
      </c>
      <c r="I271" s="81">
        <v>51.8</v>
      </c>
      <c r="J271" s="81">
        <v>50.1</v>
      </c>
      <c r="K271" s="81">
        <v>49.7</v>
      </c>
      <c r="L271" s="81">
        <v>45.3</v>
      </c>
      <c r="M271" s="81">
        <v>50.5</v>
      </c>
      <c r="N271" s="81">
        <v>50.9</v>
      </c>
      <c r="O271" s="81">
        <v>52.6</v>
      </c>
      <c r="P271" s="81">
        <v>53.9</v>
      </c>
      <c r="Q271" s="81">
        <v>48.2</v>
      </c>
      <c r="R271" s="81">
        <v>52.4</v>
      </c>
      <c r="S271" s="81">
        <v>56.546320970312202</v>
      </c>
      <c r="T271" s="81">
        <v>51</v>
      </c>
      <c r="U271" s="81">
        <v>48</v>
      </c>
      <c r="V271" s="81">
        <v>54.2</v>
      </c>
      <c r="W271" s="81">
        <v>53.33</v>
      </c>
      <c r="X271" s="81">
        <v>50</v>
      </c>
      <c r="Y271" s="81">
        <v>53.5</v>
      </c>
      <c r="Z271" s="81">
        <v>49.7</v>
      </c>
      <c r="AB271" s="81">
        <v>48.9</v>
      </c>
      <c r="AC271" s="81">
        <v>50</v>
      </c>
      <c r="AD271" s="81">
        <v>50.8</v>
      </c>
      <c r="AE271" s="81">
        <v>52.3</v>
      </c>
    </row>
    <row r="272" spans="1:31" x14ac:dyDescent="0.2">
      <c r="A272" s="108">
        <v>42491</v>
      </c>
      <c r="B272" s="81">
        <v>51</v>
      </c>
      <c r="C272" s="81">
        <v>41.6</v>
      </c>
      <c r="D272" s="81">
        <v>52.1</v>
      </c>
      <c r="E272" s="81">
        <v>53.3</v>
      </c>
      <c r="F272" s="81">
        <v>61.65</v>
      </c>
      <c r="G272" s="81">
        <v>51.5</v>
      </c>
      <c r="H272" s="81">
        <v>48.4</v>
      </c>
      <c r="I272" s="81">
        <v>52.1</v>
      </c>
      <c r="J272" s="81">
        <v>50</v>
      </c>
      <c r="K272" s="81">
        <v>48.4</v>
      </c>
      <c r="L272" s="81">
        <v>47.2</v>
      </c>
      <c r="M272" s="81">
        <v>50.7</v>
      </c>
      <c r="N272" s="81">
        <v>50.6</v>
      </c>
      <c r="O272" s="81">
        <v>51.5</v>
      </c>
      <c r="P272" s="81">
        <v>52.4</v>
      </c>
      <c r="Q272" s="81">
        <v>47.7</v>
      </c>
      <c r="R272" s="81">
        <v>53.6</v>
      </c>
      <c r="S272" s="81">
        <v>56.327478347796301</v>
      </c>
      <c r="T272" s="81">
        <v>52.1</v>
      </c>
      <c r="U272" s="81">
        <v>49.6</v>
      </c>
      <c r="V272" s="81">
        <v>54.8</v>
      </c>
      <c r="W272" s="81">
        <v>50.72</v>
      </c>
      <c r="X272" s="81">
        <v>50.1</v>
      </c>
      <c r="Y272" s="81">
        <v>51.8</v>
      </c>
      <c r="Z272" s="81">
        <v>48.5</v>
      </c>
      <c r="AB272" s="81">
        <v>49.4</v>
      </c>
      <c r="AC272" s="81">
        <v>50.7</v>
      </c>
      <c r="AD272" s="81">
        <v>50.7</v>
      </c>
      <c r="AE272" s="81">
        <v>52.7</v>
      </c>
    </row>
    <row r="273" spans="1:31" x14ac:dyDescent="0.2">
      <c r="A273" s="108">
        <v>42522</v>
      </c>
      <c r="B273" s="81">
        <v>51.8</v>
      </c>
      <c r="C273" s="81">
        <v>43.2</v>
      </c>
      <c r="D273" s="81">
        <v>51.8</v>
      </c>
      <c r="E273" s="81">
        <v>51.8</v>
      </c>
      <c r="F273" s="81">
        <v>59.75</v>
      </c>
      <c r="G273" s="81">
        <v>52.8</v>
      </c>
      <c r="H273" s="81">
        <v>48.3</v>
      </c>
      <c r="I273" s="81">
        <v>54.5</v>
      </c>
      <c r="J273" s="81">
        <v>50.9</v>
      </c>
      <c r="K273" s="81">
        <v>50.4</v>
      </c>
      <c r="L273" s="81">
        <v>45.4</v>
      </c>
      <c r="M273" s="81">
        <v>51.7</v>
      </c>
      <c r="N273" s="81">
        <v>51.9</v>
      </c>
      <c r="O273" s="81">
        <v>53</v>
      </c>
      <c r="P273" s="81">
        <v>53.5</v>
      </c>
      <c r="Q273" s="81">
        <v>48.1</v>
      </c>
      <c r="R273" s="81">
        <v>51.1</v>
      </c>
      <c r="S273" s="81">
        <v>57.559793008442902</v>
      </c>
      <c r="T273" s="81">
        <v>51.8</v>
      </c>
      <c r="U273" s="81">
        <v>51.5</v>
      </c>
      <c r="V273" s="81">
        <v>54.4</v>
      </c>
      <c r="W273" s="81">
        <v>52.14</v>
      </c>
      <c r="X273" s="81">
        <v>50.5</v>
      </c>
      <c r="Y273" s="81">
        <v>52.2</v>
      </c>
      <c r="Z273" s="81">
        <v>50.5</v>
      </c>
      <c r="AB273" s="81">
        <v>47.4</v>
      </c>
      <c r="AC273" s="81">
        <v>53.2</v>
      </c>
      <c r="AD273" s="81">
        <v>51.3</v>
      </c>
      <c r="AE273" s="81">
        <v>52.6</v>
      </c>
    </row>
    <row r="274" spans="1:31" x14ac:dyDescent="0.2">
      <c r="A274" s="108">
        <v>42552</v>
      </c>
      <c r="B274" s="81">
        <v>56.4</v>
      </c>
      <c r="C274" s="81">
        <v>46</v>
      </c>
      <c r="D274" s="81">
        <v>51.9</v>
      </c>
      <c r="E274" s="81">
        <v>49.3</v>
      </c>
      <c r="F274" s="81">
        <v>59.53</v>
      </c>
      <c r="G274" s="81">
        <v>52</v>
      </c>
      <c r="H274" s="81">
        <v>48.6</v>
      </c>
      <c r="I274" s="81">
        <v>53.8</v>
      </c>
      <c r="J274" s="81">
        <v>51</v>
      </c>
      <c r="K274" s="81">
        <v>48.7</v>
      </c>
      <c r="L274" s="81">
        <v>47.2</v>
      </c>
      <c r="M274" s="81">
        <v>51.8</v>
      </c>
      <c r="N274" s="81">
        <v>48.4</v>
      </c>
      <c r="O274" s="81">
        <v>50.2</v>
      </c>
      <c r="P274" s="81">
        <v>51.2</v>
      </c>
      <c r="Q274" s="81">
        <v>49.3</v>
      </c>
      <c r="R274" s="81">
        <v>50.6</v>
      </c>
      <c r="S274" s="81">
        <v>55.949978197804803</v>
      </c>
      <c r="T274" s="81">
        <v>50.3</v>
      </c>
      <c r="U274" s="81">
        <v>49.5</v>
      </c>
      <c r="V274" s="81">
        <v>56</v>
      </c>
      <c r="W274" s="81">
        <v>51.25</v>
      </c>
      <c r="X274" s="81">
        <v>50.1</v>
      </c>
      <c r="Y274" s="81">
        <v>51</v>
      </c>
      <c r="Z274" s="81">
        <v>51</v>
      </c>
      <c r="AA274" s="81">
        <v>49.3</v>
      </c>
      <c r="AB274" s="81">
        <v>47.6</v>
      </c>
      <c r="AC274" s="81">
        <v>48.5</v>
      </c>
      <c r="AD274" s="81">
        <v>52.9</v>
      </c>
      <c r="AE274" s="81">
        <v>51.9</v>
      </c>
    </row>
    <row r="275" spans="1:31" x14ac:dyDescent="0.2">
      <c r="A275" s="108">
        <v>42583</v>
      </c>
      <c r="B275" s="81">
        <v>46.9</v>
      </c>
      <c r="C275" s="81">
        <v>45.7</v>
      </c>
      <c r="D275" s="81">
        <v>51.1</v>
      </c>
      <c r="E275" s="81">
        <v>50.1</v>
      </c>
      <c r="F275" s="81">
        <v>53.62</v>
      </c>
      <c r="G275" s="81">
        <v>51.7</v>
      </c>
      <c r="H275" s="81">
        <v>48.3</v>
      </c>
      <c r="I275" s="81">
        <v>53.6</v>
      </c>
      <c r="J275" s="81">
        <v>50.9</v>
      </c>
      <c r="K275" s="81">
        <v>50.4</v>
      </c>
      <c r="L275" s="81">
        <v>49</v>
      </c>
      <c r="M275" s="81">
        <v>52.6</v>
      </c>
      <c r="N275" s="81">
        <v>50.4</v>
      </c>
      <c r="O275" s="81">
        <v>51.7</v>
      </c>
      <c r="P275" s="81">
        <v>49.8</v>
      </c>
      <c r="Q275" s="81">
        <v>49.5</v>
      </c>
      <c r="R275" s="81">
        <v>50.9</v>
      </c>
      <c r="S275" s="81">
        <v>54.647059284907002</v>
      </c>
      <c r="T275" s="81">
        <v>51.5</v>
      </c>
      <c r="U275" s="81">
        <v>50.8</v>
      </c>
      <c r="V275" s="81">
        <v>56.6</v>
      </c>
      <c r="W275" s="81">
        <v>47.94</v>
      </c>
      <c r="X275" s="81">
        <v>48.6</v>
      </c>
      <c r="Y275" s="81">
        <v>51</v>
      </c>
      <c r="Z275" s="81">
        <v>51.8</v>
      </c>
      <c r="AA275" s="81">
        <v>49.8</v>
      </c>
      <c r="AB275" s="81">
        <v>47</v>
      </c>
      <c r="AC275" s="81">
        <v>53.2</v>
      </c>
      <c r="AD275" s="81">
        <v>52</v>
      </c>
      <c r="AE275" s="81">
        <v>52.2</v>
      </c>
    </row>
    <row r="276" spans="1:31" x14ac:dyDescent="0.2">
      <c r="A276" s="108">
        <v>42614</v>
      </c>
      <c r="B276" s="81">
        <v>49.8</v>
      </c>
      <c r="C276" s="81">
        <v>46</v>
      </c>
      <c r="D276" s="81">
        <v>50.3</v>
      </c>
      <c r="E276" s="81">
        <v>52</v>
      </c>
      <c r="F276" s="81">
        <v>58.98</v>
      </c>
      <c r="G276" s="81">
        <v>52.6</v>
      </c>
      <c r="H276" s="81">
        <v>49.7</v>
      </c>
      <c r="I276" s="81">
        <v>54.3</v>
      </c>
      <c r="J276" s="81">
        <v>51</v>
      </c>
      <c r="K276" s="81">
        <v>49.2</v>
      </c>
      <c r="L276" s="81">
        <v>49.3</v>
      </c>
      <c r="M276" s="81">
        <v>52.1</v>
      </c>
      <c r="N276" s="81">
        <v>50.9</v>
      </c>
      <c r="O276" s="81">
        <v>51.3</v>
      </c>
      <c r="P276" s="81">
        <v>51</v>
      </c>
      <c r="Q276" s="81">
        <v>50.4</v>
      </c>
      <c r="R276" s="81">
        <v>51.9</v>
      </c>
      <c r="S276" s="81">
        <v>57.200032269804097</v>
      </c>
      <c r="T276" s="81">
        <v>52.2</v>
      </c>
      <c r="U276" s="81">
        <v>51.1</v>
      </c>
      <c r="V276" s="81">
        <v>55.3</v>
      </c>
      <c r="W276" s="81">
        <v>49.85</v>
      </c>
      <c r="X276" s="81">
        <v>47.6</v>
      </c>
      <c r="Y276" s="81">
        <v>52.3</v>
      </c>
      <c r="Z276" s="81">
        <v>52.2</v>
      </c>
      <c r="AA276" s="81">
        <v>48.8</v>
      </c>
      <c r="AB276" s="81">
        <v>48.3</v>
      </c>
      <c r="AC276" s="81">
        <v>55.6</v>
      </c>
      <c r="AD276" s="81">
        <v>51.5</v>
      </c>
      <c r="AE276" s="81">
        <v>52.9</v>
      </c>
    </row>
    <row r="277" spans="1:31" x14ac:dyDescent="0.2">
      <c r="A277" s="108">
        <v>42644</v>
      </c>
      <c r="B277" s="81">
        <v>50.9</v>
      </c>
      <c r="C277" s="81">
        <v>46.3</v>
      </c>
      <c r="D277" s="81">
        <v>51.1</v>
      </c>
      <c r="E277" s="81">
        <v>53.3</v>
      </c>
      <c r="F277" s="81">
        <v>57.31</v>
      </c>
      <c r="G277" s="81">
        <v>53.5</v>
      </c>
      <c r="H277" s="81">
        <v>51.8</v>
      </c>
      <c r="I277" s="81">
        <v>55</v>
      </c>
      <c r="J277" s="81">
        <v>52</v>
      </c>
      <c r="K277" s="81">
        <v>48.6</v>
      </c>
      <c r="L277" s="81">
        <v>48.2</v>
      </c>
      <c r="M277" s="81">
        <v>54.4</v>
      </c>
      <c r="N277" s="81">
        <v>48.7</v>
      </c>
      <c r="O277" s="81">
        <v>52.1</v>
      </c>
      <c r="P277" s="81">
        <v>50.9</v>
      </c>
      <c r="Q277" s="81">
        <v>51.4</v>
      </c>
      <c r="R277" s="81">
        <v>51.8</v>
      </c>
      <c r="S277" s="81">
        <v>54.770169462479103</v>
      </c>
      <c r="T277" s="81">
        <v>50.2</v>
      </c>
      <c r="U277" s="81">
        <v>52.4</v>
      </c>
      <c r="V277" s="81">
        <v>53.2</v>
      </c>
      <c r="W277" s="81">
        <v>46.47</v>
      </c>
      <c r="X277" s="81">
        <v>48</v>
      </c>
      <c r="Y277" s="81">
        <v>53.3</v>
      </c>
      <c r="Z277" s="81">
        <v>52.7</v>
      </c>
      <c r="AA277" s="81">
        <v>48.8</v>
      </c>
      <c r="AB277" s="81">
        <v>49.8</v>
      </c>
      <c r="AC277" s="81">
        <v>53.8</v>
      </c>
      <c r="AD277" s="81">
        <v>53.4</v>
      </c>
      <c r="AE277" s="81">
        <v>51.7</v>
      </c>
    </row>
    <row r="278" spans="1:31" x14ac:dyDescent="0.2">
      <c r="A278" s="108">
        <v>42675</v>
      </c>
      <c r="B278" s="81">
        <v>54.2</v>
      </c>
      <c r="C278" s="81">
        <v>46.2</v>
      </c>
      <c r="D278" s="81">
        <v>51.5</v>
      </c>
      <c r="E278" s="81">
        <v>52.2</v>
      </c>
      <c r="F278" s="81">
        <v>57.22</v>
      </c>
      <c r="G278" s="81">
        <v>53.7</v>
      </c>
      <c r="H278" s="81">
        <v>51.7</v>
      </c>
      <c r="I278" s="81">
        <v>54.3</v>
      </c>
      <c r="J278" s="81">
        <v>52.1</v>
      </c>
      <c r="K278" s="81">
        <v>48.3</v>
      </c>
      <c r="L278" s="81">
        <v>49.5</v>
      </c>
      <c r="M278" s="81">
        <v>52.3</v>
      </c>
      <c r="N278" s="81">
        <v>49.7</v>
      </c>
      <c r="O278" s="81">
        <v>53.7</v>
      </c>
      <c r="P278" s="81">
        <v>52.2</v>
      </c>
      <c r="Q278" s="81">
        <v>51.3</v>
      </c>
      <c r="R278" s="81">
        <v>51.1</v>
      </c>
      <c r="S278" s="81">
        <v>54.294699659706197</v>
      </c>
      <c r="T278" s="81">
        <v>51.9</v>
      </c>
      <c r="U278" s="81">
        <v>53.6</v>
      </c>
      <c r="V278" s="81">
        <v>55</v>
      </c>
      <c r="W278" s="81">
        <v>49.22</v>
      </c>
      <c r="X278" s="81">
        <v>48</v>
      </c>
      <c r="Y278" s="81">
        <v>54.5</v>
      </c>
      <c r="Z278" s="81">
        <v>54.7</v>
      </c>
      <c r="AA278" s="81">
        <v>48.2</v>
      </c>
      <c r="AB278" s="81">
        <v>48.8</v>
      </c>
      <c r="AC278" s="81">
        <v>53.2</v>
      </c>
      <c r="AD278" s="81">
        <v>54.1</v>
      </c>
      <c r="AE278" s="81">
        <v>54</v>
      </c>
    </row>
    <row r="279" spans="1:31" x14ac:dyDescent="0.2">
      <c r="A279" s="108">
        <v>42705</v>
      </c>
      <c r="B279" s="81">
        <v>55.4</v>
      </c>
      <c r="C279" s="81">
        <v>45.2</v>
      </c>
      <c r="D279" s="81">
        <v>51.8</v>
      </c>
      <c r="E279" s="81">
        <v>53.8</v>
      </c>
      <c r="F279" s="81">
        <v>62.52</v>
      </c>
      <c r="G279" s="81">
        <v>54.9</v>
      </c>
      <c r="H279" s="81">
        <v>53.5</v>
      </c>
      <c r="I279" s="81">
        <v>55.6</v>
      </c>
      <c r="J279" s="81">
        <v>52.7</v>
      </c>
      <c r="K279" s="81">
        <v>49.3</v>
      </c>
      <c r="L279" s="81">
        <v>50.3</v>
      </c>
      <c r="M279" s="81">
        <v>49.6</v>
      </c>
      <c r="N279" s="81">
        <v>49</v>
      </c>
      <c r="O279" s="81">
        <v>55.7</v>
      </c>
      <c r="P279" s="81">
        <v>53.2</v>
      </c>
      <c r="Q279" s="81">
        <v>52.4</v>
      </c>
      <c r="R279" s="81">
        <v>50.2</v>
      </c>
      <c r="S279" s="81">
        <v>54.632850303643103</v>
      </c>
      <c r="T279" s="81">
        <v>54.3</v>
      </c>
      <c r="U279" s="81">
        <v>53.7</v>
      </c>
      <c r="V279" s="81">
        <v>55.5</v>
      </c>
      <c r="W279" s="81">
        <v>48.56</v>
      </c>
      <c r="X279" s="81">
        <v>49.4</v>
      </c>
      <c r="Y279" s="81">
        <v>55.3</v>
      </c>
      <c r="Z279" s="81">
        <v>56.2</v>
      </c>
      <c r="AA279" s="81">
        <v>50.6</v>
      </c>
      <c r="AB279" s="81">
        <v>47.7</v>
      </c>
      <c r="AC279" s="81">
        <v>55.6</v>
      </c>
      <c r="AD279" s="81">
        <v>54.3</v>
      </c>
      <c r="AE279" s="81">
        <v>52.4</v>
      </c>
    </row>
    <row r="280" spans="1:31" x14ac:dyDescent="0.2">
      <c r="A280" s="108">
        <v>42736</v>
      </c>
      <c r="B280" s="81">
        <v>51.2</v>
      </c>
      <c r="C280" s="81">
        <v>44</v>
      </c>
      <c r="D280" s="81">
        <v>53.5</v>
      </c>
      <c r="E280" s="81">
        <v>55.7</v>
      </c>
      <c r="F280" s="81">
        <v>57.57</v>
      </c>
      <c r="G280" s="81">
        <v>55.2</v>
      </c>
      <c r="H280" s="81">
        <v>53.6</v>
      </c>
      <c r="I280" s="81">
        <v>56.4</v>
      </c>
      <c r="J280" s="81">
        <v>52.7</v>
      </c>
      <c r="K280" s="81">
        <v>46.6</v>
      </c>
      <c r="L280" s="81">
        <v>49.9</v>
      </c>
      <c r="M280" s="81">
        <v>50.4</v>
      </c>
      <c r="N280" s="81">
        <v>50.4</v>
      </c>
      <c r="O280" s="81">
        <v>55.5</v>
      </c>
      <c r="P280" s="81">
        <v>53</v>
      </c>
      <c r="Q280" s="81">
        <v>52.7</v>
      </c>
      <c r="R280" s="81">
        <v>50.8</v>
      </c>
      <c r="S280" s="81">
        <v>53.201234556972999</v>
      </c>
      <c r="T280" s="81">
        <v>54.8</v>
      </c>
      <c r="U280" s="81">
        <v>54.7</v>
      </c>
      <c r="V280" s="81">
        <v>56.7</v>
      </c>
      <c r="W280" s="81">
        <v>50.08</v>
      </c>
      <c r="X280" s="81">
        <v>49</v>
      </c>
      <c r="Y280" s="81">
        <v>55.6</v>
      </c>
      <c r="Z280" s="81">
        <v>55.6</v>
      </c>
      <c r="AA280" s="81">
        <v>50.6</v>
      </c>
      <c r="AB280" s="81">
        <v>48.7</v>
      </c>
      <c r="AC280" s="81">
        <v>55.2</v>
      </c>
      <c r="AD280" s="81">
        <v>55</v>
      </c>
      <c r="AE280" s="81">
        <v>51.9</v>
      </c>
    </row>
    <row r="281" spans="1:31" x14ac:dyDescent="0.2">
      <c r="A281" s="108">
        <v>42767</v>
      </c>
      <c r="B281" s="81">
        <v>59.3</v>
      </c>
      <c r="C281" s="81">
        <v>46.9</v>
      </c>
      <c r="D281" s="81">
        <v>54.7</v>
      </c>
      <c r="E281" s="81">
        <v>57.6</v>
      </c>
      <c r="F281" s="81">
        <v>56.51</v>
      </c>
      <c r="G281" s="81">
        <v>55.4</v>
      </c>
      <c r="H281" s="81">
        <v>52.2</v>
      </c>
      <c r="I281" s="81">
        <v>56.8</v>
      </c>
      <c r="J281" s="81">
        <v>53</v>
      </c>
      <c r="K281" s="81">
        <v>47.7</v>
      </c>
      <c r="L281" s="81">
        <v>49.6</v>
      </c>
      <c r="M281" s="81">
        <v>50.7</v>
      </c>
      <c r="N281" s="81">
        <v>49.3</v>
      </c>
      <c r="O281" s="81">
        <v>53.8</v>
      </c>
      <c r="P281" s="81">
        <v>55</v>
      </c>
      <c r="Q281" s="81">
        <v>53.3</v>
      </c>
      <c r="R281" s="81">
        <v>50.6</v>
      </c>
      <c r="S281" s="81">
        <v>56.052093803738103</v>
      </c>
      <c r="T281" s="81">
        <v>54.2</v>
      </c>
      <c r="U281" s="81">
        <v>52.5</v>
      </c>
      <c r="V281" s="81">
        <v>57</v>
      </c>
      <c r="W281" s="81">
        <v>51.22</v>
      </c>
      <c r="X281" s="81">
        <v>49.2</v>
      </c>
      <c r="Y281" s="81">
        <v>54.8</v>
      </c>
      <c r="Z281" s="81">
        <v>54.5</v>
      </c>
      <c r="AA281" s="81">
        <v>50.6</v>
      </c>
      <c r="AB281" s="81">
        <v>49.7</v>
      </c>
      <c r="AC281" s="81">
        <v>54.5</v>
      </c>
      <c r="AD281" s="81">
        <v>54.2</v>
      </c>
      <c r="AE281" s="81">
        <v>54.2</v>
      </c>
    </row>
    <row r="282" spans="1:31" x14ac:dyDescent="0.2">
      <c r="A282" s="108">
        <v>42795</v>
      </c>
      <c r="B282" s="81">
        <v>57.5</v>
      </c>
      <c r="C282" s="81">
        <v>49.6</v>
      </c>
      <c r="D282" s="81">
        <v>55.5</v>
      </c>
      <c r="E282" s="81">
        <v>57.5</v>
      </c>
      <c r="F282" s="81">
        <v>56.62</v>
      </c>
      <c r="G282" s="81">
        <v>56.2</v>
      </c>
      <c r="H282" s="81">
        <v>53.3</v>
      </c>
      <c r="I282" s="81">
        <v>58.3</v>
      </c>
      <c r="J282" s="81">
        <v>53</v>
      </c>
      <c r="K282" s="81">
        <v>46.7</v>
      </c>
      <c r="L282" s="81">
        <v>49.9</v>
      </c>
      <c r="M282" s="81">
        <v>52.5</v>
      </c>
      <c r="N282" s="81">
        <v>50.5</v>
      </c>
      <c r="O282" s="81">
        <v>53.6</v>
      </c>
      <c r="P282" s="81">
        <v>55.7</v>
      </c>
      <c r="Q282" s="81">
        <v>52.4</v>
      </c>
      <c r="R282" s="81">
        <v>51.5</v>
      </c>
      <c r="S282" s="81">
        <v>58.722829092940202</v>
      </c>
      <c r="T282" s="81">
        <v>53.5</v>
      </c>
      <c r="U282" s="81">
        <v>52.4</v>
      </c>
      <c r="V282" s="81">
        <v>56.4</v>
      </c>
      <c r="W282" s="81">
        <v>50.81</v>
      </c>
      <c r="X282" s="81">
        <v>48.4</v>
      </c>
      <c r="Y282" s="81">
        <v>53.9</v>
      </c>
      <c r="Z282" s="81">
        <v>56.2</v>
      </c>
      <c r="AA282" s="81">
        <v>50.2</v>
      </c>
      <c r="AB282" s="81">
        <v>52.3</v>
      </c>
      <c r="AC282" s="81">
        <v>54.1</v>
      </c>
      <c r="AD282" s="81">
        <v>53.3</v>
      </c>
      <c r="AE282" s="81">
        <v>54.6</v>
      </c>
    </row>
    <row r="283" spans="1:31" x14ac:dyDescent="0.2">
      <c r="A283" s="108">
        <v>42826</v>
      </c>
      <c r="B283" s="81">
        <v>59.2</v>
      </c>
      <c r="C283" s="81">
        <v>50.1</v>
      </c>
      <c r="D283" s="81">
        <v>55.9</v>
      </c>
      <c r="E283" s="81">
        <v>57.5</v>
      </c>
      <c r="F283" s="81">
        <v>49.11</v>
      </c>
      <c r="G283" s="81">
        <v>56.7</v>
      </c>
      <c r="H283" s="81">
        <v>55.1</v>
      </c>
      <c r="I283" s="81">
        <v>58.2</v>
      </c>
      <c r="J283" s="81">
        <v>52.7</v>
      </c>
      <c r="K283" s="81">
        <v>48.2</v>
      </c>
      <c r="L283" s="81">
        <v>51.1</v>
      </c>
      <c r="M283" s="81">
        <v>52.5</v>
      </c>
      <c r="N283" s="81">
        <v>51.2</v>
      </c>
      <c r="O283" s="81">
        <v>55</v>
      </c>
      <c r="P283" s="81">
        <v>56.2</v>
      </c>
      <c r="Q283" s="81">
        <v>52.7</v>
      </c>
      <c r="R283" s="81">
        <v>50.7</v>
      </c>
      <c r="S283" s="81">
        <v>56.591209988029298</v>
      </c>
      <c r="T283" s="81">
        <v>54.1</v>
      </c>
      <c r="U283" s="81">
        <v>50.8</v>
      </c>
      <c r="V283" s="81">
        <v>56.5</v>
      </c>
      <c r="W283" s="81">
        <v>43.53</v>
      </c>
      <c r="X283" s="81">
        <v>49.4</v>
      </c>
      <c r="Y283" s="81">
        <v>54.5</v>
      </c>
      <c r="Z283" s="81">
        <v>54.4</v>
      </c>
      <c r="AA283" s="81">
        <v>49.8</v>
      </c>
      <c r="AB283" s="81">
        <v>51.7</v>
      </c>
      <c r="AC283" s="81">
        <v>57.8</v>
      </c>
      <c r="AD283" s="81">
        <v>52.8</v>
      </c>
      <c r="AE283" s="81">
        <v>54.1</v>
      </c>
    </row>
    <row r="284" spans="1:31" x14ac:dyDescent="0.2">
      <c r="A284" s="108">
        <v>42856</v>
      </c>
      <c r="B284" s="81">
        <v>54.8</v>
      </c>
      <c r="C284" s="81">
        <v>52</v>
      </c>
      <c r="D284" s="81">
        <v>55.1</v>
      </c>
      <c r="E284" s="81">
        <v>56.4</v>
      </c>
      <c r="F284" s="81">
        <v>57.99</v>
      </c>
      <c r="G284" s="81">
        <v>57</v>
      </c>
      <c r="H284" s="81">
        <v>53.8</v>
      </c>
      <c r="I284" s="81">
        <v>59.5</v>
      </c>
      <c r="J284" s="81">
        <v>52.6</v>
      </c>
      <c r="K284" s="81">
        <v>49.6</v>
      </c>
      <c r="L284" s="81">
        <v>50.5</v>
      </c>
      <c r="M284" s="81">
        <v>51.6</v>
      </c>
      <c r="N284" s="81">
        <v>50.6</v>
      </c>
      <c r="O284" s="81">
        <v>55.9</v>
      </c>
      <c r="P284" s="81">
        <v>55.1</v>
      </c>
      <c r="Q284" s="81">
        <v>53.1</v>
      </c>
      <c r="R284" s="81">
        <v>51.2</v>
      </c>
      <c r="S284" s="81">
        <v>57.6796522807713</v>
      </c>
      <c r="T284" s="81">
        <v>52.7</v>
      </c>
      <c r="U284" s="81">
        <v>52.4</v>
      </c>
      <c r="V284" s="81">
        <v>55.3</v>
      </c>
      <c r="W284" s="81">
        <v>50.11</v>
      </c>
      <c r="X284" s="81">
        <v>49.2</v>
      </c>
      <c r="Y284" s="81">
        <v>55.4</v>
      </c>
      <c r="Z284" s="81">
        <v>53.1</v>
      </c>
      <c r="AA284" s="81">
        <v>49.7</v>
      </c>
      <c r="AB284" s="81">
        <v>53.5</v>
      </c>
      <c r="AC284" s="81">
        <v>56.6</v>
      </c>
      <c r="AD284" s="81">
        <v>52.7</v>
      </c>
      <c r="AE284" s="81">
        <v>51.6</v>
      </c>
    </row>
    <row r="285" spans="1:31" x14ac:dyDescent="0.2">
      <c r="A285" s="108">
        <v>42887</v>
      </c>
      <c r="B285" s="81">
        <v>55</v>
      </c>
      <c r="C285" s="81">
        <v>50.5</v>
      </c>
      <c r="D285" s="81">
        <v>54.7</v>
      </c>
      <c r="E285" s="81">
        <v>56.4</v>
      </c>
      <c r="F285" s="81">
        <v>63.61</v>
      </c>
      <c r="G285" s="81">
        <v>57.4</v>
      </c>
      <c r="H285" s="81">
        <v>54.8</v>
      </c>
      <c r="I285" s="81">
        <v>59.6</v>
      </c>
      <c r="J285" s="81">
        <v>52.6</v>
      </c>
      <c r="K285" s="81">
        <v>50.5</v>
      </c>
      <c r="L285" s="81">
        <v>51.1</v>
      </c>
      <c r="M285" s="81">
        <v>50.9</v>
      </c>
      <c r="N285" s="81">
        <v>49.5</v>
      </c>
      <c r="O285" s="81">
        <v>56</v>
      </c>
      <c r="P285" s="81">
        <v>55.2</v>
      </c>
      <c r="Q285" s="81">
        <v>52.4</v>
      </c>
      <c r="R285" s="81">
        <v>52.3</v>
      </c>
      <c r="S285" s="81">
        <v>55.908061806319601</v>
      </c>
      <c r="T285" s="81">
        <v>53.1</v>
      </c>
      <c r="U285" s="81">
        <v>50.3</v>
      </c>
      <c r="V285" s="81">
        <v>54.3</v>
      </c>
      <c r="W285" s="81">
        <v>45.98</v>
      </c>
      <c r="X285" s="81">
        <v>50.1</v>
      </c>
      <c r="Y285" s="81">
        <v>54.7</v>
      </c>
      <c r="Z285" s="81">
        <v>53.3</v>
      </c>
      <c r="AA285" s="81">
        <v>50.4</v>
      </c>
      <c r="AB285" s="81">
        <v>54.7</v>
      </c>
      <c r="AC285" s="81">
        <v>54.4</v>
      </c>
      <c r="AD285" s="81">
        <v>52</v>
      </c>
      <c r="AE285" s="81">
        <v>52.5</v>
      </c>
    </row>
    <row r="286" spans="1:31" x14ac:dyDescent="0.2">
      <c r="A286" s="108">
        <v>42917</v>
      </c>
      <c r="B286" s="81">
        <v>56</v>
      </c>
      <c r="C286" s="81">
        <v>50</v>
      </c>
      <c r="D286" s="81">
        <v>55.5</v>
      </c>
      <c r="E286" s="81">
        <v>55.3</v>
      </c>
      <c r="F286" s="81">
        <v>63.72</v>
      </c>
      <c r="G286" s="81">
        <v>56.6</v>
      </c>
      <c r="H286" s="81">
        <v>54.9</v>
      </c>
      <c r="I286" s="81">
        <v>58.1</v>
      </c>
      <c r="J286" s="81">
        <v>52.8</v>
      </c>
      <c r="K286" s="81">
        <v>50.5</v>
      </c>
      <c r="L286" s="81">
        <v>51.3</v>
      </c>
      <c r="M286" s="81">
        <v>47.9</v>
      </c>
      <c r="N286" s="81">
        <v>48.6</v>
      </c>
      <c r="O286" s="81">
        <v>54.6</v>
      </c>
      <c r="P286" s="81">
        <v>55.1</v>
      </c>
      <c r="Q286" s="81">
        <v>52.1</v>
      </c>
      <c r="R286" s="81">
        <v>51.2</v>
      </c>
      <c r="S286" s="81">
        <v>55.831645577076003</v>
      </c>
      <c r="T286" s="81">
        <v>52.3</v>
      </c>
      <c r="U286" s="81">
        <v>52.7</v>
      </c>
      <c r="V286" s="81">
        <v>55.7</v>
      </c>
      <c r="W286" s="81">
        <v>42.1</v>
      </c>
      <c r="X286" s="81">
        <v>49.1</v>
      </c>
      <c r="Y286" s="81">
        <v>54</v>
      </c>
      <c r="Z286" s="81">
        <v>53.6</v>
      </c>
      <c r="AA286" s="81">
        <v>49.6</v>
      </c>
      <c r="AB286" s="81">
        <v>53.6</v>
      </c>
      <c r="AC286" s="81">
        <v>55.3</v>
      </c>
      <c r="AD286" s="81">
        <v>53.3</v>
      </c>
      <c r="AE286" s="81">
        <v>51.7</v>
      </c>
    </row>
    <row r="287" spans="1:31" x14ac:dyDescent="0.2">
      <c r="A287" s="108">
        <v>42948</v>
      </c>
      <c r="B287" s="81">
        <v>59.8</v>
      </c>
      <c r="C287" s="81">
        <v>50.9</v>
      </c>
      <c r="D287" s="81">
        <v>54.6</v>
      </c>
      <c r="E287" s="81">
        <v>54.9</v>
      </c>
      <c r="F287" s="81">
        <v>60.57</v>
      </c>
      <c r="G287" s="81">
        <v>57.4</v>
      </c>
      <c r="H287" s="81">
        <v>55.8</v>
      </c>
      <c r="I287" s="81">
        <v>59.3</v>
      </c>
      <c r="J287" s="81">
        <v>53.2</v>
      </c>
      <c r="K287" s="81">
        <v>52.2</v>
      </c>
      <c r="L287" s="81">
        <v>49.7</v>
      </c>
      <c r="M287" s="81">
        <v>51.2</v>
      </c>
      <c r="N287" s="81">
        <v>50.7</v>
      </c>
      <c r="O287" s="81">
        <v>56.1</v>
      </c>
      <c r="P287" s="81">
        <v>56.3</v>
      </c>
      <c r="Q287" s="81">
        <v>52.2</v>
      </c>
      <c r="R287" s="81">
        <v>52.2</v>
      </c>
      <c r="S287" s="81">
        <v>57.887533658349597</v>
      </c>
      <c r="T287" s="81">
        <v>52.5</v>
      </c>
      <c r="U287" s="81">
        <v>51.6</v>
      </c>
      <c r="V287" s="81">
        <v>55.8</v>
      </c>
      <c r="W287" s="81">
        <v>46.1</v>
      </c>
      <c r="X287" s="81">
        <v>49.9</v>
      </c>
      <c r="Y287" s="81">
        <v>52.4</v>
      </c>
      <c r="Z287" s="81">
        <v>54.3</v>
      </c>
      <c r="AA287" s="81">
        <v>49.5</v>
      </c>
      <c r="AB287" s="81">
        <v>55.3</v>
      </c>
      <c r="AC287" s="81">
        <v>56.8</v>
      </c>
      <c r="AD287" s="81">
        <v>52.8</v>
      </c>
      <c r="AE287" s="81">
        <v>51.8</v>
      </c>
    </row>
    <row r="288" spans="1:31" x14ac:dyDescent="0.2">
      <c r="A288" s="108">
        <v>42979</v>
      </c>
      <c r="B288" s="81">
        <v>54.2</v>
      </c>
      <c r="C288" s="81">
        <v>50.9</v>
      </c>
      <c r="D288" s="81">
        <v>55</v>
      </c>
      <c r="E288" s="81">
        <v>56.6</v>
      </c>
      <c r="F288" s="81">
        <v>61.78</v>
      </c>
      <c r="G288" s="81">
        <v>58.1</v>
      </c>
      <c r="H288" s="81">
        <v>56.1</v>
      </c>
      <c r="I288" s="81">
        <v>60.6</v>
      </c>
      <c r="J288" s="81">
        <v>53.3</v>
      </c>
      <c r="K288" s="81">
        <v>52.8</v>
      </c>
      <c r="L288" s="81">
        <v>51.2</v>
      </c>
      <c r="M288" s="81">
        <v>51.2</v>
      </c>
      <c r="N288" s="81">
        <v>50.4</v>
      </c>
      <c r="O288" s="81">
        <v>55.4</v>
      </c>
      <c r="P288" s="81">
        <v>56.3</v>
      </c>
      <c r="Q288" s="81">
        <v>52.9</v>
      </c>
      <c r="R288" s="81">
        <v>52.8</v>
      </c>
      <c r="S288" s="81">
        <v>57.5865651905984</v>
      </c>
      <c r="T288" s="81">
        <v>53.7</v>
      </c>
      <c r="U288" s="81">
        <v>51.9</v>
      </c>
      <c r="V288" s="81">
        <v>55.5</v>
      </c>
      <c r="W288" s="81">
        <v>46.4</v>
      </c>
      <c r="X288" s="81">
        <v>50.6</v>
      </c>
      <c r="Y288" s="81">
        <v>54.3</v>
      </c>
      <c r="Z288" s="81">
        <v>54.2</v>
      </c>
      <c r="AA288" s="81">
        <v>50.3</v>
      </c>
      <c r="AB288" s="81">
        <v>53.5</v>
      </c>
      <c r="AC288" s="81">
        <v>56</v>
      </c>
      <c r="AD288" s="81">
        <v>53.1</v>
      </c>
      <c r="AE288" s="81">
        <v>53.3</v>
      </c>
    </row>
    <row r="289" spans="1:31" x14ac:dyDescent="0.2">
      <c r="A289" s="108">
        <v>43009</v>
      </c>
      <c r="B289" s="81">
        <v>51.1</v>
      </c>
      <c r="C289" s="81">
        <v>51.2</v>
      </c>
      <c r="D289" s="81">
        <v>54.3</v>
      </c>
      <c r="E289" s="81">
        <v>58.5</v>
      </c>
      <c r="F289" s="81">
        <v>58.57</v>
      </c>
      <c r="G289" s="81">
        <v>58.5</v>
      </c>
      <c r="H289" s="81">
        <v>56.1</v>
      </c>
      <c r="I289" s="81">
        <v>60.6</v>
      </c>
      <c r="J289" s="81">
        <v>53.5</v>
      </c>
      <c r="K289" s="81">
        <v>52.1</v>
      </c>
      <c r="L289" s="81">
        <v>50.3</v>
      </c>
      <c r="M289" s="81">
        <v>50.3</v>
      </c>
      <c r="N289" s="81">
        <v>50.1</v>
      </c>
      <c r="O289" s="81">
        <v>54.4</v>
      </c>
      <c r="P289" s="81">
        <v>57.8</v>
      </c>
      <c r="Q289" s="81">
        <v>52.8</v>
      </c>
      <c r="R289" s="81">
        <v>49.2</v>
      </c>
      <c r="S289" s="81">
        <v>56.831431477817098</v>
      </c>
      <c r="T289" s="81">
        <v>53.4</v>
      </c>
      <c r="U289" s="81">
        <v>51.1</v>
      </c>
      <c r="V289" s="81">
        <v>55.6</v>
      </c>
      <c r="W289" s="81">
        <v>48.4</v>
      </c>
      <c r="X289" s="81">
        <v>50.2</v>
      </c>
      <c r="Y289" s="81">
        <v>55.8</v>
      </c>
      <c r="Z289" s="81">
        <v>53.6</v>
      </c>
      <c r="AA289" s="81">
        <v>49.8</v>
      </c>
      <c r="AB289" s="81">
        <v>52.8</v>
      </c>
      <c r="AC289" s="81">
        <v>56.2</v>
      </c>
      <c r="AD289" s="81">
        <v>54.6</v>
      </c>
      <c r="AE289" s="81">
        <v>51.6</v>
      </c>
    </row>
    <row r="290" spans="1:31" x14ac:dyDescent="0.2">
      <c r="A290" s="108">
        <v>43040</v>
      </c>
      <c r="B290" s="81">
        <v>57.3</v>
      </c>
      <c r="C290" s="81">
        <v>53.5</v>
      </c>
      <c r="D290" s="81">
        <v>54.4</v>
      </c>
      <c r="E290" s="81">
        <v>58.7</v>
      </c>
      <c r="F290" s="81">
        <v>58.31</v>
      </c>
      <c r="G290" s="81">
        <v>60.1</v>
      </c>
      <c r="H290" s="81">
        <v>57.7</v>
      </c>
      <c r="I290" s="81">
        <v>62.5</v>
      </c>
      <c r="J290" s="81">
        <v>54.1</v>
      </c>
      <c r="K290" s="81">
        <v>52.2</v>
      </c>
      <c r="L290" s="81">
        <v>50.7</v>
      </c>
      <c r="M290" s="81">
        <v>52.6</v>
      </c>
      <c r="N290" s="81">
        <v>50.4</v>
      </c>
      <c r="O290" s="81">
        <v>58.1</v>
      </c>
      <c r="P290" s="81">
        <v>58.3</v>
      </c>
      <c r="Q290" s="81">
        <v>53.6</v>
      </c>
      <c r="R290" s="81">
        <v>52.4</v>
      </c>
      <c r="S290" s="81">
        <v>57.427575830614998</v>
      </c>
      <c r="T290" s="81">
        <v>54.2</v>
      </c>
      <c r="U290" s="81">
        <v>51.5</v>
      </c>
      <c r="V290" s="81">
        <v>57.5</v>
      </c>
      <c r="W290" s="81">
        <v>48.9</v>
      </c>
      <c r="X290" s="81">
        <v>51.2</v>
      </c>
      <c r="Y290" s="81">
        <v>56.1</v>
      </c>
      <c r="Z290" s="81">
        <v>56.3</v>
      </c>
      <c r="AA290" s="81">
        <v>50</v>
      </c>
      <c r="AB290" s="81">
        <v>52.9</v>
      </c>
      <c r="AC290" s="81">
        <v>58.3</v>
      </c>
      <c r="AD290" s="81">
        <v>53.9</v>
      </c>
      <c r="AE290" s="81">
        <v>51.4</v>
      </c>
    </row>
    <row r="291" spans="1:31" x14ac:dyDescent="0.2">
      <c r="A291" s="108">
        <v>43070</v>
      </c>
      <c r="B291" s="81">
        <v>56.2</v>
      </c>
      <c r="C291" s="81">
        <v>52.4</v>
      </c>
      <c r="D291" s="81">
        <v>54.7</v>
      </c>
      <c r="E291" s="81">
        <v>59.8</v>
      </c>
      <c r="F291" s="81">
        <v>61.04</v>
      </c>
      <c r="G291" s="81">
        <v>60.6</v>
      </c>
      <c r="H291" s="81">
        <v>58.8</v>
      </c>
      <c r="I291" s="81">
        <v>63.3</v>
      </c>
      <c r="J291" s="81">
        <v>54.5</v>
      </c>
      <c r="K291" s="81">
        <v>53.1</v>
      </c>
      <c r="L291" s="81">
        <v>51.5</v>
      </c>
      <c r="M291" s="81">
        <v>54.7</v>
      </c>
      <c r="N291" s="81">
        <v>49.3</v>
      </c>
      <c r="O291" s="81">
        <v>59.1</v>
      </c>
      <c r="P291" s="81">
        <v>57.4</v>
      </c>
      <c r="Q291" s="81">
        <v>54</v>
      </c>
      <c r="R291" s="81">
        <v>51.7</v>
      </c>
      <c r="S291" s="81">
        <v>50.964893006040199</v>
      </c>
      <c r="T291" s="81">
        <v>55</v>
      </c>
      <c r="U291" s="81">
        <v>52</v>
      </c>
      <c r="V291" s="81">
        <v>57.3</v>
      </c>
      <c r="W291" s="81">
        <v>45.9</v>
      </c>
      <c r="X291" s="81">
        <v>49.9</v>
      </c>
      <c r="Y291" s="81">
        <v>55.8</v>
      </c>
      <c r="Z291" s="81">
        <v>56.6</v>
      </c>
      <c r="AA291" s="81">
        <v>50.4</v>
      </c>
      <c r="AB291" s="81">
        <v>54.9</v>
      </c>
      <c r="AC291" s="81">
        <v>56</v>
      </c>
      <c r="AD291" s="81">
        <v>55.1</v>
      </c>
      <c r="AE291" s="81">
        <v>52.5</v>
      </c>
    </row>
    <row r="292" spans="1:31" x14ac:dyDescent="0.2">
      <c r="A292" s="108">
        <v>43101</v>
      </c>
      <c r="B292" s="81">
        <v>58.7</v>
      </c>
      <c r="C292" s="81">
        <v>51.2</v>
      </c>
      <c r="D292" s="81">
        <v>55.9</v>
      </c>
      <c r="E292" s="81">
        <v>59.8</v>
      </c>
      <c r="F292" s="81">
        <v>66.650000000000006</v>
      </c>
      <c r="G292" s="81">
        <v>59.6</v>
      </c>
      <c r="H292" s="81">
        <v>58.4</v>
      </c>
      <c r="I292" s="81">
        <v>61.1</v>
      </c>
      <c r="J292" s="81">
        <v>54.4</v>
      </c>
      <c r="K292" s="81">
        <v>55.2</v>
      </c>
      <c r="L292" s="81">
        <v>51.1</v>
      </c>
      <c r="M292" s="81">
        <v>52.4</v>
      </c>
      <c r="N292" s="81">
        <v>49.9</v>
      </c>
      <c r="O292" s="81">
        <v>57.6</v>
      </c>
      <c r="P292" s="81">
        <v>59</v>
      </c>
      <c r="Q292" s="81">
        <v>54.8</v>
      </c>
      <c r="R292" s="81">
        <v>52.6</v>
      </c>
      <c r="S292" s="81">
        <v>55.399130043972598</v>
      </c>
      <c r="T292" s="81">
        <v>54.6</v>
      </c>
      <c r="U292" s="81">
        <v>52.1</v>
      </c>
      <c r="V292" s="81">
        <v>53</v>
      </c>
      <c r="W292" s="81">
        <v>49.2</v>
      </c>
      <c r="X292" s="81">
        <v>50.7</v>
      </c>
      <c r="Y292" s="81">
        <v>55.2</v>
      </c>
      <c r="Z292" s="81">
        <v>56.9</v>
      </c>
      <c r="AA292" s="81">
        <v>50.6</v>
      </c>
      <c r="AB292" s="81">
        <v>55.7</v>
      </c>
      <c r="AC292" s="81">
        <v>55</v>
      </c>
      <c r="AD292" s="81">
        <v>55.5</v>
      </c>
      <c r="AE292" s="81">
        <v>53.4</v>
      </c>
    </row>
    <row r="293" spans="1:31" x14ac:dyDescent="0.2">
      <c r="A293" s="108">
        <v>43132</v>
      </c>
      <c r="B293" s="81">
        <v>57.5</v>
      </c>
      <c r="C293" s="81">
        <v>53.2</v>
      </c>
      <c r="D293" s="81">
        <v>55.6</v>
      </c>
      <c r="E293" s="81">
        <v>58.8</v>
      </c>
      <c r="F293" s="81">
        <v>70.75</v>
      </c>
      <c r="G293" s="81">
        <v>58.6</v>
      </c>
      <c r="H293" s="81">
        <v>55.9</v>
      </c>
      <c r="I293" s="81">
        <v>60.6</v>
      </c>
      <c r="J293" s="81">
        <v>54.1</v>
      </c>
      <c r="K293" s="81">
        <v>56.1</v>
      </c>
      <c r="L293" s="81">
        <v>51.7</v>
      </c>
      <c r="M293" s="81">
        <v>52.1</v>
      </c>
      <c r="N293" s="81">
        <v>51.4</v>
      </c>
      <c r="O293" s="81">
        <v>56.2</v>
      </c>
      <c r="P293" s="81">
        <v>56.8</v>
      </c>
      <c r="Q293" s="81">
        <v>54.1</v>
      </c>
      <c r="R293" s="81">
        <v>51.6</v>
      </c>
      <c r="S293" s="81">
        <v>53.452875132901703</v>
      </c>
      <c r="T293" s="81">
        <v>53.7</v>
      </c>
      <c r="U293" s="81">
        <v>50.2</v>
      </c>
      <c r="V293" s="81">
        <v>53.2</v>
      </c>
      <c r="W293" s="81">
        <v>50</v>
      </c>
      <c r="X293" s="81">
        <v>50.3</v>
      </c>
      <c r="Y293" s="81">
        <v>56</v>
      </c>
      <c r="Z293" s="81">
        <v>56</v>
      </c>
      <c r="AA293" s="81">
        <v>50.9</v>
      </c>
      <c r="AB293" s="81">
        <v>55.6</v>
      </c>
      <c r="AC293" s="81">
        <v>54.9</v>
      </c>
      <c r="AD293" s="81">
        <v>55.3</v>
      </c>
      <c r="AE293" s="81">
        <v>53.5</v>
      </c>
    </row>
    <row r="294" spans="1:31" x14ac:dyDescent="0.2">
      <c r="A294" s="108">
        <v>43160</v>
      </c>
      <c r="B294" s="81">
        <v>63.1</v>
      </c>
      <c r="C294" s="81">
        <v>53.4</v>
      </c>
      <c r="D294" s="81">
        <v>55.7</v>
      </c>
      <c r="E294" s="81">
        <v>57.3</v>
      </c>
      <c r="F294" s="81">
        <v>61.05</v>
      </c>
      <c r="G294" s="81">
        <v>56.6</v>
      </c>
      <c r="H294" s="81">
        <v>53.7</v>
      </c>
      <c r="I294" s="81">
        <v>58.4</v>
      </c>
      <c r="J294" s="81">
        <v>53.3</v>
      </c>
      <c r="K294" s="81">
        <v>55</v>
      </c>
      <c r="L294" s="81">
        <v>50.6</v>
      </c>
      <c r="M294" s="81">
        <v>51</v>
      </c>
      <c r="N294" s="81">
        <v>50.7</v>
      </c>
      <c r="O294" s="81">
        <v>54.1</v>
      </c>
      <c r="P294" s="81">
        <v>55.1</v>
      </c>
      <c r="Q294" s="81">
        <v>53.2</v>
      </c>
      <c r="R294" s="81">
        <v>52.4</v>
      </c>
      <c r="S294" s="81">
        <v>53.138892832554802</v>
      </c>
      <c r="T294" s="81">
        <v>53.7</v>
      </c>
      <c r="U294" s="81">
        <v>50.6</v>
      </c>
      <c r="V294" s="81">
        <v>52.8</v>
      </c>
      <c r="W294" s="81">
        <v>46.7</v>
      </c>
      <c r="X294" s="81">
        <v>49.1</v>
      </c>
      <c r="Y294" s="81">
        <v>54.8</v>
      </c>
      <c r="Z294" s="81">
        <v>55.3</v>
      </c>
      <c r="AA294" s="81">
        <v>49.1</v>
      </c>
      <c r="AB294" s="81">
        <v>51.8</v>
      </c>
      <c r="AC294" s="81">
        <v>54.9</v>
      </c>
      <c r="AD294" s="81">
        <v>55.6</v>
      </c>
      <c r="AE294" s="81">
        <v>51.6</v>
      </c>
    </row>
    <row r="295" spans="1:31" x14ac:dyDescent="0.2">
      <c r="A295" s="108">
        <v>43191</v>
      </c>
      <c r="B295" s="81">
        <v>58.3</v>
      </c>
      <c r="C295" s="81">
        <v>52.3</v>
      </c>
      <c r="D295" s="81">
        <v>55.5</v>
      </c>
      <c r="E295" s="81">
        <v>57.2</v>
      </c>
      <c r="F295" s="81">
        <v>54.24</v>
      </c>
      <c r="G295" s="81">
        <v>56.2</v>
      </c>
      <c r="H295" s="81">
        <v>53.8</v>
      </c>
      <c r="I295" s="81">
        <v>58.1</v>
      </c>
      <c r="J295" s="81">
        <v>53.5</v>
      </c>
      <c r="K295" s="81">
        <v>52.9</v>
      </c>
      <c r="L295" s="81">
        <v>49.1</v>
      </c>
      <c r="M295" s="81">
        <v>51.6</v>
      </c>
      <c r="N295" s="81">
        <v>51.6</v>
      </c>
      <c r="O295" s="81">
        <v>55.3</v>
      </c>
      <c r="P295" s="81">
        <v>53.5</v>
      </c>
      <c r="Q295" s="81">
        <v>53.8</v>
      </c>
      <c r="R295" s="81">
        <v>51.6</v>
      </c>
      <c r="S295" s="81">
        <v>59.203530801353899</v>
      </c>
      <c r="T295" s="81">
        <v>53.9</v>
      </c>
      <c r="U295" s="81">
        <v>51.3</v>
      </c>
      <c r="V295" s="81">
        <v>51.4</v>
      </c>
      <c r="W295" s="81">
        <v>49.1</v>
      </c>
      <c r="X295" s="81">
        <v>48.4</v>
      </c>
      <c r="Y295" s="81">
        <v>54.4</v>
      </c>
      <c r="Z295" s="81">
        <v>54.8</v>
      </c>
      <c r="AA295" s="81">
        <v>49.5</v>
      </c>
      <c r="AB295" s="81">
        <v>48.9</v>
      </c>
      <c r="AC295" s="81">
        <v>53.9</v>
      </c>
      <c r="AD295" s="81">
        <v>56.5</v>
      </c>
      <c r="AE295" s="81">
        <v>52.9</v>
      </c>
    </row>
    <row r="296" spans="1:31" x14ac:dyDescent="0.2">
      <c r="A296" s="108">
        <v>43221</v>
      </c>
      <c r="B296" s="81">
        <v>57.5</v>
      </c>
      <c r="C296" s="81">
        <v>50.7</v>
      </c>
      <c r="D296" s="81">
        <v>56.2</v>
      </c>
      <c r="E296" s="81">
        <v>56.5</v>
      </c>
      <c r="F296" s="81">
        <v>47.78</v>
      </c>
      <c r="G296" s="81">
        <v>55.5</v>
      </c>
      <c r="H296" s="81">
        <v>55.1</v>
      </c>
      <c r="I296" s="81">
        <v>56.9</v>
      </c>
      <c r="J296" s="81">
        <v>53.1</v>
      </c>
      <c r="K296" s="81">
        <v>54.2</v>
      </c>
      <c r="L296" s="81">
        <v>47.8</v>
      </c>
      <c r="M296" s="81">
        <v>51.2</v>
      </c>
      <c r="N296" s="81">
        <v>51.7</v>
      </c>
      <c r="O296" s="81">
        <v>55.4</v>
      </c>
      <c r="P296" s="81">
        <v>52.7</v>
      </c>
      <c r="Q296" s="81">
        <v>52.8</v>
      </c>
      <c r="R296" s="81">
        <v>51</v>
      </c>
      <c r="S296" s="81">
        <v>54.328230091142899</v>
      </c>
      <c r="T296" s="81">
        <v>53.3</v>
      </c>
      <c r="U296" s="81">
        <v>49.8</v>
      </c>
      <c r="V296" s="81">
        <v>53.2</v>
      </c>
      <c r="W296" s="81">
        <v>49.4</v>
      </c>
      <c r="X296" s="81">
        <v>48.9</v>
      </c>
      <c r="Y296" s="81">
        <v>53.4</v>
      </c>
      <c r="Z296" s="81">
        <v>53.4</v>
      </c>
      <c r="AA296" s="81">
        <v>51.1</v>
      </c>
      <c r="AB296" s="81">
        <v>46.4</v>
      </c>
      <c r="AC296" s="81">
        <v>54.4</v>
      </c>
      <c r="AD296" s="81">
        <v>56.4</v>
      </c>
      <c r="AE296" s="81">
        <v>53.9</v>
      </c>
    </row>
    <row r="297" spans="1:31" x14ac:dyDescent="0.2">
      <c r="A297" s="108">
        <v>43252</v>
      </c>
      <c r="B297" s="81">
        <v>57.4</v>
      </c>
      <c r="C297" s="81">
        <v>49.8</v>
      </c>
      <c r="D297" s="81">
        <v>57.1</v>
      </c>
      <c r="E297" s="81">
        <v>56.8</v>
      </c>
      <c r="F297" s="81">
        <v>49.8</v>
      </c>
      <c r="G297" s="81">
        <v>54.9</v>
      </c>
      <c r="H297" s="81">
        <v>52.5</v>
      </c>
      <c r="I297" s="81">
        <v>55.9</v>
      </c>
      <c r="J297" s="81">
        <v>53</v>
      </c>
      <c r="K297" s="81">
        <v>53.5</v>
      </c>
      <c r="L297" s="81">
        <v>47.7</v>
      </c>
      <c r="M297" s="81">
        <v>53.1</v>
      </c>
      <c r="N297" s="81">
        <v>50.3</v>
      </c>
      <c r="O297" s="81">
        <v>56.6</v>
      </c>
      <c r="P297" s="81">
        <v>53.3</v>
      </c>
      <c r="Q297" s="81">
        <v>53</v>
      </c>
      <c r="R297" s="81">
        <v>52.1</v>
      </c>
      <c r="S297" s="81">
        <v>52.724539725642202</v>
      </c>
      <c r="T297" s="81">
        <v>54.2</v>
      </c>
      <c r="U297" s="81">
        <v>49.5</v>
      </c>
      <c r="V297" s="81">
        <v>55</v>
      </c>
      <c r="W297" s="81">
        <v>48</v>
      </c>
      <c r="X297" s="81">
        <v>49.8</v>
      </c>
      <c r="Y297" s="81">
        <v>53.4</v>
      </c>
      <c r="Z297" s="81">
        <v>54.5</v>
      </c>
      <c r="AA297" s="81">
        <v>50.2</v>
      </c>
      <c r="AB297" s="81">
        <v>46.8</v>
      </c>
      <c r="AC297" s="81">
        <v>54.4</v>
      </c>
      <c r="AD297" s="81">
        <v>55.4</v>
      </c>
      <c r="AE297" s="81">
        <v>55.7</v>
      </c>
    </row>
    <row r="298" spans="1:31" x14ac:dyDescent="0.2">
      <c r="A298" s="108">
        <v>43282</v>
      </c>
      <c r="B298" s="81">
        <v>52</v>
      </c>
      <c r="C298" s="81">
        <v>50.5</v>
      </c>
      <c r="D298" s="81">
        <v>56.9</v>
      </c>
      <c r="E298" s="81">
        <v>55.4</v>
      </c>
      <c r="F298" s="81">
        <v>55.7</v>
      </c>
      <c r="G298" s="81">
        <v>55.1</v>
      </c>
      <c r="H298" s="81">
        <v>53.3</v>
      </c>
      <c r="I298" s="81">
        <v>56.9</v>
      </c>
      <c r="J298" s="81">
        <v>52.8</v>
      </c>
      <c r="K298" s="81">
        <v>53.5</v>
      </c>
      <c r="L298" s="81">
        <v>48.2</v>
      </c>
      <c r="M298" s="81">
        <v>52.3</v>
      </c>
      <c r="N298" s="81">
        <v>50.5</v>
      </c>
      <c r="O298" s="81">
        <v>56.3</v>
      </c>
      <c r="P298" s="81">
        <v>51.5</v>
      </c>
      <c r="Q298" s="81">
        <v>52.3</v>
      </c>
      <c r="R298" s="81">
        <v>52.1</v>
      </c>
      <c r="S298" s="81">
        <v>51.2462636215065</v>
      </c>
      <c r="T298" s="81">
        <v>52.9</v>
      </c>
      <c r="U298" s="81">
        <v>48.1</v>
      </c>
      <c r="V298" s="81">
        <v>54.9</v>
      </c>
      <c r="W298" s="81">
        <v>49.9</v>
      </c>
      <c r="X298" s="81">
        <v>48.3</v>
      </c>
      <c r="Y298" s="81">
        <v>52.9</v>
      </c>
      <c r="Z298" s="81">
        <v>53.1</v>
      </c>
      <c r="AA298" s="81">
        <v>50.1</v>
      </c>
      <c r="AB298" s="81">
        <v>49</v>
      </c>
      <c r="AC298" s="81">
        <v>54</v>
      </c>
      <c r="AD298" s="81">
        <v>55.3</v>
      </c>
      <c r="AE298" s="81">
        <v>54.9</v>
      </c>
    </row>
    <row r="299" spans="1:31" x14ac:dyDescent="0.2">
      <c r="A299" s="108">
        <v>43313</v>
      </c>
      <c r="B299" s="81">
        <v>56.7</v>
      </c>
      <c r="C299" s="81">
        <v>51.1</v>
      </c>
      <c r="D299" s="81">
        <v>56.8</v>
      </c>
      <c r="E299" s="81">
        <v>54.9</v>
      </c>
      <c r="F299" s="81">
        <v>59.15</v>
      </c>
      <c r="G299" s="81">
        <v>54.6</v>
      </c>
      <c r="H299" s="81">
        <v>53.5</v>
      </c>
      <c r="I299" s="81">
        <v>55.9</v>
      </c>
      <c r="J299" s="81">
        <v>52.6</v>
      </c>
      <c r="K299" s="81">
        <v>53.9</v>
      </c>
      <c r="L299" s="81">
        <v>48.5</v>
      </c>
      <c r="M299" s="81">
        <v>51.7</v>
      </c>
      <c r="N299" s="81">
        <v>51.9</v>
      </c>
      <c r="O299" s="81">
        <v>57.5</v>
      </c>
      <c r="P299" s="81">
        <v>50.1</v>
      </c>
      <c r="Q299" s="81">
        <v>52.5</v>
      </c>
      <c r="R299" s="81">
        <v>50.7</v>
      </c>
      <c r="S299" s="81">
        <v>52.132210597352199</v>
      </c>
      <c r="T299" s="81">
        <v>51.4</v>
      </c>
      <c r="U299" s="81">
        <v>48.9</v>
      </c>
      <c r="V299" s="81">
        <v>55.1</v>
      </c>
      <c r="W299" s="81">
        <v>45.2</v>
      </c>
      <c r="X299" s="81">
        <v>49.9</v>
      </c>
      <c r="Y299" s="81">
        <v>53</v>
      </c>
      <c r="Z299" s="81">
        <v>53</v>
      </c>
      <c r="AA299" s="81">
        <v>49.9</v>
      </c>
      <c r="AB299" s="81">
        <v>46.4</v>
      </c>
      <c r="AC299" s="81">
        <v>52.8</v>
      </c>
      <c r="AD299" s="81">
        <v>54.5</v>
      </c>
      <c r="AE299" s="81">
        <v>53.7</v>
      </c>
    </row>
    <row r="300" spans="1:31" x14ac:dyDescent="0.2">
      <c r="A300" s="108">
        <v>43344</v>
      </c>
      <c r="B300" s="81">
        <v>59</v>
      </c>
      <c r="C300" s="81">
        <v>50.9</v>
      </c>
      <c r="D300" s="81">
        <v>54.8</v>
      </c>
      <c r="E300" s="81">
        <v>53.4</v>
      </c>
      <c r="F300" s="81">
        <v>53.7</v>
      </c>
      <c r="G300" s="81">
        <v>53.2</v>
      </c>
      <c r="H300" s="81">
        <v>52.5</v>
      </c>
      <c r="I300" s="81">
        <v>53.7</v>
      </c>
      <c r="J300" s="81">
        <v>52.2</v>
      </c>
      <c r="K300" s="81">
        <v>53.6</v>
      </c>
      <c r="L300" s="81">
        <v>47.9</v>
      </c>
      <c r="M300" s="81">
        <v>52.2</v>
      </c>
      <c r="N300" s="81">
        <v>50.7</v>
      </c>
      <c r="O300" s="81">
        <v>56.3</v>
      </c>
      <c r="P300" s="81">
        <v>50</v>
      </c>
      <c r="Q300" s="81">
        <v>52.5</v>
      </c>
      <c r="R300" s="81">
        <v>51.7</v>
      </c>
      <c r="S300" s="81">
        <v>51.870945765782103</v>
      </c>
      <c r="T300" s="81">
        <v>50.5</v>
      </c>
      <c r="U300" s="81">
        <v>50</v>
      </c>
      <c r="V300" s="81">
        <v>53.4</v>
      </c>
      <c r="W300" s="81">
        <v>44.5</v>
      </c>
      <c r="X300" s="81">
        <v>51.3</v>
      </c>
      <c r="Y300" s="81">
        <v>51.4</v>
      </c>
      <c r="Z300" s="81">
        <v>50.8</v>
      </c>
      <c r="AA300" s="81">
        <v>50</v>
      </c>
      <c r="AB300" s="81">
        <v>42.7</v>
      </c>
      <c r="AC300" s="81">
        <v>53.8</v>
      </c>
      <c r="AD300" s="81">
        <v>55.6</v>
      </c>
      <c r="AE300" s="81">
        <v>51.5</v>
      </c>
    </row>
    <row r="301" spans="1:31" x14ac:dyDescent="0.2">
      <c r="A301" s="108">
        <v>43374</v>
      </c>
      <c r="B301" s="81">
        <v>58.3</v>
      </c>
      <c r="C301" s="81">
        <v>51.1</v>
      </c>
      <c r="D301" s="81">
        <v>53.9</v>
      </c>
      <c r="E301" s="81">
        <v>52.5</v>
      </c>
      <c r="F301" s="81">
        <v>66.8</v>
      </c>
      <c r="G301" s="81">
        <v>52</v>
      </c>
      <c r="H301" s="81">
        <v>51.2</v>
      </c>
      <c r="I301" s="81">
        <v>52.2</v>
      </c>
      <c r="J301" s="81">
        <v>52</v>
      </c>
      <c r="K301" s="81">
        <v>53.1</v>
      </c>
      <c r="L301" s="81">
        <v>48.6</v>
      </c>
      <c r="M301" s="81">
        <v>53.1</v>
      </c>
      <c r="N301" s="81">
        <v>50.5</v>
      </c>
      <c r="O301" s="81">
        <v>54.9</v>
      </c>
      <c r="P301" s="81">
        <v>49.2</v>
      </c>
      <c r="Q301" s="81">
        <v>52.9</v>
      </c>
      <c r="R301" s="81">
        <v>50.7</v>
      </c>
      <c r="S301" s="81">
        <v>53.5</v>
      </c>
      <c r="T301" s="81">
        <v>50.4</v>
      </c>
      <c r="U301" s="81">
        <v>51.3</v>
      </c>
      <c r="V301" s="81">
        <v>53.8</v>
      </c>
      <c r="W301" s="81">
        <v>42.4</v>
      </c>
      <c r="X301" s="81">
        <v>51</v>
      </c>
      <c r="Y301" s="81">
        <v>51.8</v>
      </c>
      <c r="Z301" s="81">
        <v>48.7</v>
      </c>
      <c r="AA301" s="81">
        <v>48.9</v>
      </c>
      <c r="AB301" s="81">
        <v>44.3</v>
      </c>
      <c r="AC301" s="81">
        <v>51.1</v>
      </c>
      <c r="AD301" s="81">
        <v>55.7</v>
      </c>
      <c r="AE301" s="81">
        <v>53.9</v>
      </c>
    </row>
    <row r="302" spans="1:31" x14ac:dyDescent="0.2">
      <c r="A302" s="108">
        <v>43405</v>
      </c>
      <c r="B302" s="81">
        <v>51.3</v>
      </c>
      <c r="C302" s="81">
        <v>52.7</v>
      </c>
      <c r="D302" s="81">
        <v>54.9</v>
      </c>
      <c r="E302" s="81">
        <v>51.8</v>
      </c>
      <c r="F302" s="81">
        <v>58.2</v>
      </c>
      <c r="G302" s="81">
        <v>51.8</v>
      </c>
      <c r="H302" s="81">
        <v>50.8</v>
      </c>
      <c r="I302" s="81">
        <v>51.8</v>
      </c>
      <c r="J302" s="81">
        <v>52</v>
      </c>
      <c r="K302" s="81">
        <v>54</v>
      </c>
      <c r="L302" s="81">
        <v>47.1</v>
      </c>
      <c r="M302" s="81">
        <v>54</v>
      </c>
      <c r="N302" s="81">
        <v>50.4</v>
      </c>
      <c r="O302" s="81">
        <v>55.4</v>
      </c>
      <c r="P302" s="81">
        <v>48.6</v>
      </c>
      <c r="Q302" s="81">
        <v>52.2</v>
      </c>
      <c r="R302" s="81">
        <v>49.7</v>
      </c>
      <c r="S302" s="81">
        <v>53.5</v>
      </c>
      <c r="T302" s="81">
        <v>49.5</v>
      </c>
      <c r="U302" s="81">
        <v>52.6</v>
      </c>
      <c r="V302" s="81">
        <v>55.2</v>
      </c>
      <c r="W302" s="81">
        <v>49.5</v>
      </c>
      <c r="X302" s="81">
        <v>48.6</v>
      </c>
      <c r="Y302" s="81">
        <v>52.6</v>
      </c>
      <c r="Z302" s="81">
        <v>48.4</v>
      </c>
      <c r="AA302" s="81">
        <v>49.8</v>
      </c>
      <c r="AB302" s="81">
        <v>44.7</v>
      </c>
      <c r="AC302" s="81">
        <v>53.1</v>
      </c>
      <c r="AD302" s="81">
        <v>55.3</v>
      </c>
      <c r="AE302" s="81">
        <v>56.5</v>
      </c>
    </row>
    <row r="303" spans="1:31" x14ac:dyDescent="0.2">
      <c r="A303" s="108">
        <v>43435</v>
      </c>
      <c r="B303" s="81">
        <v>49.5</v>
      </c>
      <c r="C303" s="81">
        <v>52.6</v>
      </c>
      <c r="D303" s="81">
        <v>53.6</v>
      </c>
      <c r="E303" s="81">
        <v>49.7</v>
      </c>
      <c r="F303" s="81">
        <v>57.5</v>
      </c>
      <c r="G303" s="81">
        <v>51.4</v>
      </c>
      <c r="H303" s="81">
        <v>49.7</v>
      </c>
      <c r="I303" s="81">
        <v>51.5</v>
      </c>
      <c r="J303" s="81">
        <v>51.5</v>
      </c>
      <c r="K303" s="81">
        <v>53.8</v>
      </c>
      <c r="L303" s="81">
        <v>48</v>
      </c>
      <c r="M303" s="81">
        <v>53.2</v>
      </c>
      <c r="N303" s="81">
        <v>51.2</v>
      </c>
      <c r="O303" s="81">
        <v>54.5</v>
      </c>
      <c r="P303" s="81">
        <v>49.2</v>
      </c>
      <c r="Q303" s="81">
        <v>52.4</v>
      </c>
      <c r="R303" s="81">
        <v>49.7</v>
      </c>
      <c r="S303" s="81">
        <v>55.1</v>
      </c>
      <c r="T303" s="81">
        <v>47.6</v>
      </c>
      <c r="U303" s="81">
        <v>51.7</v>
      </c>
      <c r="V303" s="81">
        <v>54.5</v>
      </c>
      <c r="W303" s="81">
        <v>50.7</v>
      </c>
      <c r="X303" s="81">
        <v>49.8</v>
      </c>
      <c r="Y303" s="81">
        <v>51.1</v>
      </c>
      <c r="Z303" s="81">
        <v>47.7</v>
      </c>
      <c r="AA303" s="81">
        <v>50.3</v>
      </c>
      <c r="AB303" s="81">
        <v>44.2</v>
      </c>
      <c r="AC303" s="81">
        <v>54.2</v>
      </c>
      <c r="AD303" s="81">
        <v>53.8</v>
      </c>
      <c r="AE303" s="81">
        <v>53.8</v>
      </c>
    </row>
    <row r="304" spans="1:31" x14ac:dyDescent="0.2">
      <c r="A304" s="108">
        <v>43466</v>
      </c>
      <c r="B304" s="81">
        <v>52.5</v>
      </c>
      <c r="C304" s="81">
        <v>52.7</v>
      </c>
      <c r="D304" s="81">
        <v>53</v>
      </c>
      <c r="E304" s="81">
        <v>49</v>
      </c>
      <c r="F304" s="81">
        <v>51.1</v>
      </c>
      <c r="G304" s="81">
        <v>50.5</v>
      </c>
      <c r="H304" s="81">
        <v>51.2</v>
      </c>
      <c r="I304" s="81">
        <v>49.7</v>
      </c>
      <c r="J304" s="81">
        <v>50.7</v>
      </c>
      <c r="K304" s="81">
        <v>53.7</v>
      </c>
      <c r="L304" s="81">
        <v>48.2</v>
      </c>
      <c r="M304" s="81">
        <v>53.9</v>
      </c>
      <c r="N304" s="81">
        <v>49.9</v>
      </c>
      <c r="O304" s="81">
        <v>52.6</v>
      </c>
      <c r="P304" s="81">
        <v>47.8</v>
      </c>
      <c r="Q304" s="81">
        <v>50.3</v>
      </c>
      <c r="R304" s="81">
        <v>50.9</v>
      </c>
      <c r="S304" s="81">
        <v>53.1</v>
      </c>
      <c r="T304" s="81">
        <v>48.2</v>
      </c>
      <c r="U304" s="81">
        <v>50.9</v>
      </c>
      <c r="V304" s="81">
        <v>56.2</v>
      </c>
      <c r="W304" s="81">
        <v>49.9</v>
      </c>
      <c r="X304" s="81">
        <v>48.3</v>
      </c>
      <c r="Y304" s="81">
        <v>52.4</v>
      </c>
      <c r="Z304" s="81">
        <v>47.5</v>
      </c>
      <c r="AA304" s="81">
        <v>50.2</v>
      </c>
      <c r="AB304" s="81">
        <v>44.2</v>
      </c>
      <c r="AC304" s="81">
        <v>52.8</v>
      </c>
      <c r="AD304" s="81">
        <v>54.9</v>
      </c>
      <c r="AE304" s="81">
        <v>51.9</v>
      </c>
    </row>
    <row r="305" spans="1:31" x14ac:dyDescent="0.2">
      <c r="A305" s="108">
        <v>43497</v>
      </c>
      <c r="B305" s="81">
        <v>54</v>
      </c>
      <c r="C305" s="81">
        <v>53.4</v>
      </c>
      <c r="D305" s="81">
        <v>52.6</v>
      </c>
      <c r="E305" s="81">
        <v>48.6</v>
      </c>
      <c r="F305" s="81">
        <v>61.6</v>
      </c>
      <c r="G305" s="81">
        <v>49.3</v>
      </c>
      <c r="H305" s="81">
        <v>51.5</v>
      </c>
      <c r="I305" s="81">
        <v>47.6</v>
      </c>
      <c r="J305" s="81">
        <v>50.6</v>
      </c>
      <c r="K305" s="81">
        <v>54.2</v>
      </c>
      <c r="L305" s="81">
        <v>48.4</v>
      </c>
      <c r="M305" s="81">
        <v>54.3</v>
      </c>
      <c r="N305" s="81">
        <v>50.1</v>
      </c>
      <c r="O305" s="81">
        <v>54</v>
      </c>
      <c r="P305" s="81">
        <v>47.7</v>
      </c>
      <c r="Q305" s="81">
        <v>48.9</v>
      </c>
      <c r="R305" s="81">
        <v>52.6</v>
      </c>
      <c r="S305" s="81">
        <v>53.4</v>
      </c>
      <c r="T305" s="81">
        <v>47.6</v>
      </c>
      <c r="U305" s="81">
        <v>50.1</v>
      </c>
      <c r="V305" s="81">
        <v>56.6</v>
      </c>
      <c r="W305" s="81">
        <v>46.2</v>
      </c>
      <c r="X305" s="81">
        <v>47.2</v>
      </c>
      <c r="Y305" s="81">
        <v>49.9</v>
      </c>
      <c r="Z305" s="81">
        <v>46.3</v>
      </c>
      <c r="AA305" s="81">
        <v>49.9</v>
      </c>
      <c r="AB305" s="81">
        <v>46.4</v>
      </c>
      <c r="AC305" s="81">
        <v>52</v>
      </c>
      <c r="AD305" s="81">
        <v>53</v>
      </c>
      <c r="AE305" s="81">
        <v>51.2</v>
      </c>
    </row>
    <row r="306" spans="1:31" x14ac:dyDescent="0.2">
      <c r="A306" s="108">
        <v>43525</v>
      </c>
      <c r="B306" s="81">
        <v>51</v>
      </c>
      <c r="C306" s="81">
        <v>52.8</v>
      </c>
      <c r="D306" s="81">
        <v>50.5</v>
      </c>
      <c r="E306" s="81">
        <v>47.3</v>
      </c>
      <c r="F306" s="81">
        <v>56.6</v>
      </c>
      <c r="G306" s="81">
        <v>47.5</v>
      </c>
      <c r="H306" s="81">
        <v>49.7</v>
      </c>
      <c r="I306" s="81">
        <v>44.1</v>
      </c>
      <c r="J306" s="81">
        <v>50.5</v>
      </c>
      <c r="K306" s="81">
        <v>54.7</v>
      </c>
      <c r="L306" s="81">
        <v>48</v>
      </c>
      <c r="M306" s="81">
        <v>52.6</v>
      </c>
      <c r="N306" s="81">
        <v>51.2</v>
      </c>
      <c r="O306" s="81">
        <v>53.9</v>
      </c>
      <c r="P306" s="81">
        <v>47.4</v>
      </c>
      <c r="Q306" s="81">
        <v>49.2</v>
      </c>
      <c r="R306" s="81">
        <v>49.8</v>
      </c>
      <c r="S306" s="81">
        <v>51.9</v>
      </c>
      <c r="T306" s="81">
        <v>48.7</v>
      </c>
      <c r="U306" s="81">
        <v>52.8</v>
      </c>
      <c r="V306" s="81">
        <v>56.8</v>
      </c>
      <c r="W306" s="81">
        <v>45</v>
      </c>
      <c r="X306" s="81">
        <v>48.8</v>
      </c>
      <c r="Y306" s="81">
        <v>50.9</v>
      </c>
      <c r="Z306" s="81">
        <v>49</v>
      </c>
      <c r="AA306" s="81">
        <v>50.3</v>
      </c>
      <c r="AB306" s="81">
        <v>47.2</v>
      </c>
      <c r="AC306" s="81">
        <v>55.1</v>
      </c>
      <c r="AD306" s="81">
        <v>52.4</v>
      </c>
      <c r="AE306" s="81">
        <v>51.9</v>
      </c>
    </row>
    <row r="307" spans="1:31" x14ac:dyDescent="0.2">
      <c r="A307" s="108">
        <v>43556</v>
      </c>
      <c r="B307" s="81">
        <v>54.8</v>
      </c>
      <c r="C307" s="81">
        <v>51.5</v>
      </c>
      <c r="D307" s="81">
        <v>49.7</v>
      </c>
      <c r="E307" s="81">
        <v>46.6</v>
      </c>
      <c r="F307" s="81">
        <v>59.6</v>
      </c>
      <c r="G307" s="81">
        <v>47.9</v>
      </c>
      <c r="H307" s="81">
        <v>50</v>
      </c>
      <c r="I307" s="81">
        <v>44.4</v>
      </c>
      <c r="J307" s="81">
        <v>50.4</v>
      </c>
      <c r="K307" s="81">
        <v>56.6</v>
      </c>
      <c r="L307" s="81">
        <v>48.4</v>
      </c>
      <c r="M307" s="81">
        <v>51.8</v>
      </c>
      <c r="N307" s="81">
        <v>50.4</v>
      </c>
      <c r="O307" s="81">
        <v>52.5</v>
      </c>
      <c r="P307" s="81">
        <v>49.1</v>
      </c>
      <c r="Q307" s="81">
        <v>49.5</v>
      </c>
      <c r="R307" s="81">
        <v>50.1</v>
      </c>
      <c r="S307" s="81">
        <v>52.7</v>
      </c>
      <c r="T307" s="81">
        <v>49</v>
      </c>
      <c r="U307" s="81">
        <v>51.8</v>
      </c>
      <c r="V307" s="81">
        <v>57.3</v>
      </c>
      <c r="W307" s="81">
        <v>47.2</v>
      </c>
      <c r="X307" s="81">
        <v>50.2</v>
      </c>
      <c r="Y307" s="81">
        <v>51.8</v>
      </c>
      <c r="Z307" s="81">
        <v>48.2</v>
      </c>
      <c r="AA307" s="81">
        <v>51</v>
      </c>
      <c r="AB307" s="81">
        <v>46.8</v>
      </c>
      <c r="AC307" s="81">
        <v>53.1</v>
      </c>
      <c r="AD307" s="81">
        <v>52.6</v>
      </c>
      <c r="AE307" s="81">
        <v>52.5</v>
      </c>
    </row>
    <row r="308" spans="1:31" x14ac:dyDescent="0.2">
      <c r="A308" s="108">
        <v>43586</v>
      </c>
      <c r="B308" s="81">
        <v>52.7</v>
      </c>
      <c r="C308" s="81">
        <v>50.2</v>
      </c>
      <c r="D308" s="81">
        <v>49.1</v>
      </c>
      <c r="E308" s="81">
        <v>46.6</v>
      </c>
      <c r="F308" s="81">
        <v>47.6</v>
      </c>
      <c r="G308" s="81">
        <v>47.7</v>
      </c>
      <c r="H308" s="81">
        <v>50.6</v>
      </c>
      <c r="I308" s="81">
        <v>44.3</v>
      </c>
      <c r="J308" s="81">
        <v>49.8</v>
      </c>
      <c r="K308" s="81">
        <v>54.2</v>
      </c>
      <c r="L308" s="81">
        <v>46.9</v>
      </c>
      <c r="M308" s="81">
        <v>52.7</v>
      </c>
      <c r="N308" s="81">
        <v>51.6</v>
      </c>
      <c r="O308" s="81">
        <v>50.4</v>
      </c>
      <c r="P308" s="81">
        <v>49.7</v>
      </c>
      <c r="Q308" s="81">
        <v>49.8</v>
      </c>
      <c r="R308" s="81">
        <v>50</v>
      </c>
      <c r="S308" s="81">
        <v>50.2</v>
      </c>
      <c r="T308" s="81">
        <v>48.8</v>
      </c>
      <c r="U308" s="81">
        <v>49.8</v>
      </c>
      <c r="V308" s="81">
        <v>57.3</v>
      </c>
      <c r="W308" s="81">
        <v>45.4</v>
      </c>
      <c r="X308" s="81">
        <v>48.4</v>
      </c>
      <c r="Y308" s="81">
        <v>50.1</v>
      </c>
      <c r="Z308" s="81">
        <v>48.4</v>
      </c>
      <c r="AA308" s="81">
        <v>50.7</v>
      </c>
      <c r="AB308" s="81">
        <v>45.3</v>
      </c>
      <c r="AC308" s="81">
        <v>49.4</v>
      </c>
      <c r="AD308" s="81">
        <v>50.5</v>
      </c>
      <c r="AE308" s="81">
        <v>52</v>
      </c>
    </row>
    <row r="309" spans="1:31" x14ac:dyDescent="0.2">
      <c r="A309" s="108">
        <v>43617</v>
      </c>
      <c r="B309" s="81">
        <v>49.4</v>
      </c>
      <c r="C309" s="81">
        <v>51</v>
      </c>
      <c r="D309" s="81">
        <v>49.2</v>
      </c>
      <c r="E309" s="81">
        <v>45.9</v>
      </c>
      <c r="F309" s="81">
        <v>45</v>
      </c>
      <c r="G309" s="81">
        <v>47.6</v>
      </c>
      <c r="H309" s="81">
        <v>51.9</v>
      </c>
      <c r="I309" s="81">
        <v>45</v>
      </c>
      <c r="J309" s="81">
        <v>49.4</v>
      </c>
      <c r="K309" s="81">
        <v>52.4</v>
      </c>
      <c r="L309" s="81">
        <v>47.9</v>
      </c>
      <c r="M309" s="81">
        <v>52.1</v>
      </c>
      <c r="N309" s="81">
        <v>50.6</v>
      </c>
      <c r="O309" s="81">
        <v>49.8</v>
      </c>
      <c r="P309" s="81">
        <v>48.4</v>
      </c>
      <c r="Q309" s="81">
        <v>49.3</v>
      </c>
      <c r="R309" s="81">
        <v>49.2</v>
      </c>
      <c r="S309" s="81">
        <v>51.3</v>
      </c>
      <c r="T309" s="81">
        <v>48.4</v>
      </c>
      <c r="U309" s="81">
        <v>48.6</v>
      </c>
      <c r="V309" s="81">
        <v>57.4</v>
      </c>
      <c r="W309" s="81">
        <v>46.2</v>
      </c>
      <c r="X309" s="81">
        <v>47.5</v>
      </c>
      <c r="Y309" s="81">
        <v>47.9</v>
      </c>
      <c r="Z309" s="81">
        <v>45.5</v>
      </c>
      <c r="AA309" s="81">
        <v>50.6</v>
      </c>
      <c r="AB309" s="81">
        <v>47.9</v>
      </c>
      <c r="AC309" s="81">
        <v>48</v>
      </c>
      <c r="AD309" s="81">
        <v>50.6</v>
      </c>
      <c r="AE309" s="81">
        <v>52.5</v>
      </c>
    </row>
    <row r="310" spans="1:31" x14ac:dyDescent="0.2">
      <c r="A310" s="108">
        <v>43647</v>
      </c>
      <c r="B310" s="81">
        <v>51.3</v>
      </c>
      <c r="C310" s="81">
        <v>49.9</v>
      </c>
      <c r="D310" s="81">
        <v>50.2</v>
      </c>
      <c r="E310" s="81">
        <v>43.1</v>
      </c>
      <c r="F310" s="81">
        <v>49.5</v>
      </c>
      <c r="G310" s="81">
        <v>46.5</v>
      </c>
      <c r="H310" s="81">
        <v>49.7</v>
      </c>
      <c r="I310" s="81">
        <v>43.2</v>
      </c>
      <c r="J310" s="81">
        <v>49.3</v>
      </c>
      <c r="K310" s="81">
        <v>54.6</v>
      </c>
      <c r="L310" s="81">
        <v>43.8</v>
      </c>
      <c r="M310" s="81">
        <v>52.5</v>
      </c>
      <c r="N310" s="81">
        <v>49.6</v>
      </c>
      <c r="O310" s="81">
        <v>48.7</v>
      </c>
      <c r="P310" s="81">
        <v>48.5</v>
      </c>
      <c r="Q310" s="81">
        <v>49.4</v>
      </c>
      <c r="R310" s="81">
        <v>49.8</v>
      </c>
      <c r="S310" s="81">
        <v>48.1</v>
      </c>
      <c r="T310" s="81">
        <v>47.4</v>
      </c>
      <c r="U310" s="81">
        <v>49.3</v>
      </c>
      <c r="V310" s="81">
        <v>56.6</v>
      </c>
      <c r="W310" s="81">
        <v>52.1</v>
      </c>
      <c r="X310" s="81">
        <v>47.3</v>
      </c>
      <c r="Y310" s="81">
        <v>48.2</v>
      </c>
      <c r="Z310" s="81">
        <v>48.1</v>
      </c>
      <c r="AA310" s="81">
        <v>50.3</v>
      </c>
      <c r="AB310" s="81">
        <v>46.7</v>
      </c>
      <c r="AC310" s="81">
        <v>48</v>
      </c>
      <c r="AD310" s="81">
        <v>50</v>
      </c>
      <c r="AE310" s="81">
        <v>52.6</v>
      </c>
    </row>
    <row r="311" spans="1:31" x14ac:dyDescent="0.2">
      <c r="A311" s="108">
        <v>43678</v>
      </c>
      <c r="B311" s="81">
        <v>53.1</v>
      </c>
      <c r="C311" s="81">
        <v>52.5</v>
      </c>
      <c r="D311" s="81">
        <v>49.1</v>
      </c>
      <c r="E311" s="81">
        <v>44.9</v>
      </c>
      <c r="F311" s="81">
        <v>48.7</v>
      </c>
      <c r="G311" s="81">
        <v>47</v>
      </c>
      <c r="H311" s="81">
        <v>51.1</v>
      </c>
      <c r="I311" s="81">
        <v>43.5</v>
      </c>
      <c r="J311" s="81">
        <v>49.5</v>
      </c>
      <c r="K311" s="81">
        <v>54.9</v>
      </c>
      <c r="L311" s="81">
        <v>40.799999999999997</v>
      </c>
      <c r="M311" s="81">
        <v>51.4</v>
      </c>
      <c r="N311" s="81">
        <v>49</v>
      </c>
      <c r="O311" s="81">
        <v>48.6</v>
      </c>
      <c r="P311" s="81">
        <v>48.7</v>
      </c>
      <c r="Q311" s="81">
        <v>49.3</v>
      </c>
      <c r="R311" s="81">
        <v>49</v>
      </c>
      <c r="S311" s="81">
        <v>48.4</v>
      </c>
      <c r="T311" s="81">
        <v>48.8</v>
      </c>
      <c r="U311" s="81">
        <v>49.1</v>
      </c>
      <c r="V311" s="81">
        <v>57</v>
      </c>
      <c r="W311" s="81">
        <v>45.7</v>
      </c>
      <c r="X311" s="81">
        <v>49</v>
      </c>
      <c r="Y311" s="81">
        <v>48.8</v>
      </c>
      <c r="Z311" s="81">
        <v>47.9</v>
      </c>
      <c r="AA311" s="81">
        <v>50</v>
      </c>
      <c r="AB311" s="81">
        <v>48</v>
      </c>
      <c r="AC311" s="81">
        <v>47.4</v>
      </c>
      <c r="AD311" s="81">
        <v>50.3</v>
      </c>
      <c r="AE311" s="81">
        <v>51.4</v>
      </c>
    </row>
    <row r="312" spans="1:31" x14ac:dyDescent="0.2">
      <c r="A312" s="108">
        <v>43709</v>
      </c>
      <c r="B312" s="81">
        <v>54.7</v>
      </c>
      <c r="C312" s="81">
        <v>53.4</v>
      </c>
      <c r="D312" s="81">
        <v>51</v>
      </c>
      <c r="E312" s="81">
        <v>44.9</v>
      </c>
      <c r="F312" s="81">
        <v>50.2</v>
      </c>
      <c r="G312" s="81">
        <v>45.7</v>
      </c>
      <c r="H312" s="81">
        <v>50.1</v>
      </c>
      <c r="I312" s="81">
        <v>41.7</v>
      </c>
      <c r="J312" s="81">
        <v>49.7</v>
      </c>
      <c r="K312" s="81">
        <v>53.6</v>
      </c>
      <c r="L312" s="81">
        <v>41.5</v>
      </c>
      <c r="M312" s="81">
        <v>51.4</v>
      </c>
      <c r="N312" s="81">
        <v>49.1</v>
      </c>
      <c r="O312" s="81">
        <v>48.7</v>
      </c>
      <c r="P312" s="81">
        <v>47.8</v>
      </c>
      <c r="Q312" s="81">
        <v>48.9</v>
      </c>
      <c r="R312" s="81">
        <v>49.1</v>
      </c>
      <c r="S312" s="81">
        <v>48.4</v>
      </c>
      <c r="T312" s="81">
        <v>47.8</v>
      </c>
      <c r="U312" s="81">
        <v>46.3</v>
      </c>
      <c r="V312" s="81">
        <v>57.3</v>
      </c>
      <c r="W312" s="81">
        <v>41.6</v>
      </c>
      <c r="X312" s="81">
        <v>48</v>
      </c>
      <c r="Y312" s="81">
        <v>47.7</v>
      </c>
      <c r="Z312" s="81">
        <v>50</v>
      </c>
      <c r="AA312" s="81">
        <v>50.6</v>
      </c>
      <c r="AB312" s="81">
        <v>50</v>
      </c>
      <c r="AC312" s="81">
        <v>48.3</v>
      </c>
      <c r="AD312" s="81">
        <v>51.1</v>
      </c>
      <c r="AE312" s="81">
        <v>50.5</v>
      </c>
    </row>
    <row r="313" spans="1:31" x14ac:dyDescent="0.2">
      <c r="A313" s="108">
        <v>43739</v>
      </c>
      <c r="B313" s="81">
        <v>51.6</v>
      </c>
      <c r="C313" s="81">
        <v>52.2</v>
      </c>
      <c r="D313" s="81">
        <v>51.2</v>
      </c>
      <c r="E313" s="81">
        <v>45</v>
      </c>
      <c r="F313" s="81">
        <v>49.5</v>
      </c>
      <c r="G313" s="81">
        <v>45.9</v>
      </c>
      <c r="H313" s="81">
        <v>50.7</v>
      </c>
      <c r="I313" s="81">
        <v>42.1</v>
      </c>
      <c r="J313" s="81">
        <v>49.8</v>
      </c>
      <c r="K313" s="81">
        <v>53.5</v>
      </c>
      <c r="L313" s="81">
        <v>39.299999999999997</v>
      </c>
      <c r="M313" s="81">
        <v>50.6</v>
      </c>
      <c r="N313" s="81">
        <v>47.7</v>
      </c>
      <c r="O313" s="81">
        <v>50.7</v>
      </c>
      <c r="P313" s="81">
        <v>47.7</v>
      </c>
      <c r="Q313" s="81">
        <v>48.4</v>
      </c>
      <c r="R313" s="81">
        <v>50.4</v>
      </c>
      <c r="S313" s="81">
        <v>52.6</v>
      </c>
      <c r="T313" s="81">
        <v>45.6</v>
      </c>
      <c r="U313" s="81">
        <v>47.2</v>
      </c>
      <c r="V313" s="81">
        <v>57.8</v>
      </c>
      <c r="W313" s="81">
        <v>48.1</v>
      </c>
      <c r="X313" s="81">
        <v>48.4</v>
      </c>
      <c r="Y313" s="81">
        <v>46.8</v>
      </c>
      <c r="Z313" s="81">
        <v>49.8</v>
      </c>
      <c r="AA313" s="81">
        <v>50</v>
      </c>
      <c r="AB313" s="81">
        <v>49</v>
      </c>
      <c r="AC313" s="81">
        <v>49.6</v>
      </c>
      <c r="AD313" s="81">
        <v>51.3</v>
      </c>
      <c r="AE313" s="81">
        <v>50</v>
      </c>
    </row>
    <row r="314" spans="1:31" x14ac:dyDescent="0.2">
      <c r="A314" s="108">
        <v>43770</v>
      </c>
      <c r="B314" s="81">
        <v>48.1</v>
      </c>
      <c r="C314" s="81">
        <v>52.9</v>
      </c>
      <c r="D314" s="81">
        <v>51.4</v>
      </c>
      <c r="E314" s="81">
        <v>43.5</v>
      </c>
      <c r="F314" s="81">
        <v>53</v>
      </c>
      <c r="G314" s="81">
        <v>46.9</v>
      </c>
      <c r="H314" s="81">
        <v>51.7</v>
      </c>
      <c r="I314" s="81">
        <v>44.1</v>
      </c>
      <c r="J314" s="81">
        <v>50.3</v>
      </c>
      <c r="K314" s="81">
        <v>54.1</v>
      </c>
      <c r="L314" s="81">
        <v>38.5</v>
      </c>
      <c r="M314" s="81">
        <v>51.2</v>
      </c>
      <c r="N314" s="81">
        <v>48.2</v>
      </c>
      <c r="O314" s="81">
        <v>49.7</v>
      </c>
      <c r="P314" s="81">
        <v>47.6</v>
      </c>
      <c r="Q314" s="81">
        <v>48.9</v>
      </c>
      <c r="R314" s="81">
        <v>48</v>
      </c>
      <c r="S314" s="81">
        <v>51.4</v>
      </c>
      <c r="T314" s="81">
        <v>46.7</v>
      </c>
      <c r="U314" s="81">
        <v>45.6</v>
      </c>
      <c r="V314" s="81">
        <v>58.3</v>
      </c>
      <c r="W314" s="81">
        <v>47.7</v>
      </c>
      <c r="X314" s="81">
        <v>49.4</v>
      </c>
      <c r="Y314" s="81">
        <v>47.5</v>
      </c>
      <c r="Z314" s="81">
        <v>49.8</v>
      </c>
      <c r="AA314" s="81">
        <v>49.3</v>
      </c>
      <c r="AB314" s="81">
        <v>49.5</v>
      </c>
      <c r="AC314" s="81">
        <v>48.9</v>
      </c>
      <c r="AD314" s="81">
        <v>52.6</v>
      </c>
      <c r="AE314" s="81">
        <v>51</v>
      </c>
    </row>
    <row r="315" spans="1:31" x14ac:dyDescent="0.2">
      <c r="A315" s="108">
        <v>43800</v>
      </c>
      <c r="B315" s="81">
        <v>48.3</v>
      </c>
      <c r="C315" s="81">
        <v>50.2</v>
      </c>
      <c r="D315" s="81">
        <v>50.4</v>
      </c>
      <c r="E315" s="81">
        <v>43.6</v>
      </c>
      <c r="F315" s="81">
        <v>50.7</v>
      </c>
      <c r="G315" s="81">
        <v>46.3</v>
      </c>
      <c r="H315" s="81">
        <v>50.4</v>
      </c>
      <c r="I315" s="81">
        <v>43.7</v>
      </c>
      <c r="J315" s="81">
        <v>50.1</v>
      </c>
      <c r="K315" s="81">
        <v>53.9</v>
      </c>
      <c r="L315" s="81">
        <v>42.1</v>
      </c>
      <c r="M315" s="81">
        <v>52.7</v>
      </c>
      <c r="N315" s="81">
        <v>49.5</v>
      </c>
      <c r="O315" s="81">
        <v>49.5</v>
      </c>
      <c r="P315" s="81">
        <v>46.2</v>
      </c>
      <c r="Q315" s="81">
        <v>48.4</v>
      </c>
      <c r="R315" s="81">
        <v>47.1</v>
      </c>
      <c r="S315" s="81">
        <v>49.3</v>
      </c>
      <c r="T315" s="81">
        <v>48</v>
      </c>
      <c r="U315" s="81">
        <v>47.5</v>
      </c>
      <c r="V315" s="81">
        <v>56.9</v>
      </c>
      <c r="W315" s="81">
        <v>47.1</v>
      </c>
      <c r="X315" s="81">
        <v>50.1</v>
      </c>
      <c r="Y315" s="81">
        <v>47.4</v>
      </c>
      <c r="Z315" s="81">
        <v>50.8</v>
      </c>
      <c r="AA315" s="81">
        <v>50.1</v>
      </c>
      <c r="AB315" s="81">
        <v>49.5</v>
      </c>
      <c r="AC315" s="81">
        <v>47.5</v>
      </c>
      <c r="AD315" s="81">
        <v>52.4</v>
      </c>
      <c r="AE315" s="81">
        <v>50.8</v>
      </c>
    </row>
    <row r="316" spans="1:31" x14ac:dyDescent="0.2">
      <c r="A316" s="108">
        <v>43831</v>
      </c>
      <c r="B316" s="81">
        <v>45.4</v>
      </c>
      <c r="C316" s="81">
        <v>51</v>
      </c>
      <c r="D316" s="81">
        <v>50.6</v>
      </c>
      <c r="E316" s="81">
        <v>45.2</v>
      </c>
      <c r="F316" s="81">
        <v>53.2</v>
      </c>
      <c r="G316" s="81">
        <v>47.9</v>
      </c>
      <c r="H316" s="81">
        <v>51.1</v>
      </c>
      <c r="I316" s="81">
        <v>45.3</v>
      </c>
      <c r="J316" s="81">
        <v>50.4</v>
      </c>
      <c r="K316" s="81">
        <v>54.4</v>
      </c>
      <c r="L316" s="81">
        <v>46.8</v>
      </c>
      <c r="M316" s="81">
        <v>55.3</v>
      </c>
      <c r="N316" s="81">
        <v>49.3</v>
      </c>
      <c r="O316" s="81">
        <v>51.4</v>
      </c>
      <c r="P316" s="81">
        <v>48.9</v>
      </c>
      <c r="Q316" s="81">
        <v>48.8</v>
      </c>
      <c r="R316" s="81">
        <v>49</v>
      </c>
      <c r="S316" s="81">
        <v>49.6</v>
      </c>
      <c r="T316" s="81">
        <v>47.4</v>
      </c>
      <c r="U316" s="81">
        <v>47.9</v>
      </c>
      <c r="V316" s="81">
        <v>54.9</v>
      </c>
      <c r="W316" s="81">
        <v>45.2</v>
      </c>
      <c r="X316" s="81">
        <v>49.8</v>
      </c>
      <c r="Y316" s="81">
        <v>48.5</v>
      </c>
      <c r="Z316" s="81">
        <v>51.8</v>
      </c>
      <c r="AA316" s="81">
        <v>49.9</v>
      </c>
      <c r="AB316" s="81">
        <v>51.3</v>
      </c>
      <c r="AC316" s="81">
        <v>50</v>
      </c>
      <c r="AD316" s="81">
        <v>51.9</v>
      </c>
      <c r="AE316" s="81">
        <v>50.6</v>
      </c>
    </row>
    <row r="317" spans="1:31" x14ac:dyDescent="0.2">
      <c r="A317" s="108">
        <v>43862</v>
      </c>
      <c r="B317" s="81">
        <v>44.3</v>
      </c>
      <c r="C317" s="81">
        <v>52.3</v>
      </c>
      <c r="D317" s="81">
        <v>51.8</v>
      </c>
      <c r="E317" s="81">
        <v>46.5</v>
      </c>
      <c r="F317" s="81">
        <v>49.2</v>
      </c>
      <c r="G317" s="81">
        <v>49.2</v>
      </c>
      <c r="H317" s="81">
        <v>49.8</v>
      </c>
      <c r="I317" s="81">
        <v>48</v>
      </c>
      <c r="J317" s="81">
        <v>47.1</v>
      </c>
      <c r="K317" s="81">
        <v>56.2</v>
      </c>
      <c r="L317" s="81">
        <v>33.1</v>
      </c>
      <c r="M317" s="81">
        <v>54.5</v>
      </c>
      <c r="N317" s="81">
        <v>51.9</v>
      </c>
      <c r="O317" s="81">
        <v>51.2</v>
      </c>
      <c r="P317" s="81">
        <v>48.7</v>
      </c>
      <c r="Q317" s="81">
        <v>47.8</v>
      </c>
      <c r="R317" s="81">
        <v>50</v>
      </c>
      <c r="S317" s="81">
        <v>53.2</v>
      </c>
      <c r="T317" s="81">
        <v>48.2</v>
      </c>
      <c r="U317" s="81">
        <v>48.2</v>
      </c>
      <c r="V317" s="81">
        <v>52.5</v>
      </c>
      <c r="W317" s="81">
        <v>44.3</v>
      </c>
      <c r="X317" s="81">
        <v>48.7</v>
      </c>
      <c r="Y317" s="81">
        <v>50.4</v>
      </c>
      <c r="Z317" s="81">
        <v>49.9</v>
      </c>
      <c r="AA317" s="81">
        <v>49.5</v>
      </c>
      <c r="AB317" s="81">
        <v>52.4</v>
      </c>
      <c r="AC317" s="81">
        <v>51.7</v>
      </c>
      <c r="AD317" s="81">
        <v>50.7</v>
      </c>
      <c r="AE317" s="81">
        <v>49</v>
      </c>
    </row>
    <row r="318" spans="1:31" x14ac:dyDescent="0.2">
      <c r="A318" s="108">
        <v>43891</v>
      </c>
      <c r="B318" s="81">
        <v>53.7</v>
      </c>
      <c r="C318" s="81">
        <v>48.4</v>
      </c>
      <c r="D318" s="81">
        <v>46.1</v>
      </c>
      <c r="E318" s="81">
        <v>41.3</v>
      </c>
      <c r="F318" s="81">
        <v>46.8</v>
      </c>
      <c r="G318" s="81">
        <v>44.5</v>
      </c>
      <c r="H318" s="81">
        <v>43.2</v>
      </c>
      <c r="I318" s="81">
        <v>45.4</v>
      </c>
      <c r="J318" s="81">
        <v>47.3</v>
      </c>
      <c r="K318" s="81">
        <v>42.5</v>
      </c>
      <c r="L318" s="81">
        <v>34.9</v>
      </c>
      <c r="M318" s="81">
        <v>51.8</v>
      </c>
      <c r="N318" s="81">
        <v>45.3</v>
      </c>
      <c r="O318" s="81">
        <v>45.1</v>
      </c>
      <c r="P318" s="81">
        <v>40.299999999999997</v>
      </c>
      <c r="Q318" s="81">
        <v>44.2</v>
      </c>
      <c r="R318" s="81">
        <v>46.9</v>
      </c>
      <c r="S318" s="81">
        <v>38</v>
      </c>
      <c r="T318" s="81">
        <v>42.4</v>
      </c>
      <c r="U318" s="81">
        <v>47.5</v>
      </c>
      <c r="V318" s="81">
        <v>42.4</v>
      </c>
      <c r="W318" s="81">
        <v>48.1</v>
      </c>
      <c r="X318" s="81">
        <v>44.2</v>
      </c>
      <c r="Y318" s="81">
        <v>45.7</v>
      </c>
      <c r="Z318" s="81">
        <v>50.4</v>
      </c>
      <c r="AA318" s="81">
        <v>46.7</v>
      </c>
      <c r="AB318" s="81">
        <v>48.1</v>
      </c>
      <c r="AC318" s="81">
        <v>47.8</v>
      </c>
      <c r="AD318" s="81">
        <v>48.5</v>
      </c>
      <c r="AE318" s="81">
        <v>41.9</v>
      </c>
    </row>
    <row r="319" spans="1:31" x14ac:dyDescent="0.2">
      <c r="A319" s="108">
        <v>43922</v>
      </c>
      <c r="B319" s="81">
        <v>35.799999999999997</v>
      </c>
      <c r="C319" s="81">
        <v>36</v>
      </c>
      <c r="D319" s="81">
        <v>33</v>
      </c>
      <c r="E319" s="81">
        <v>35.1</v>
      </c>
      <c r="F319" s="81">
        <v>38.6</v>
      </c>
      <c r="G319" s="81">
        <v>33.4</v>
      </c>
      <c r="H319" s="81">
        <v>31.5</v>
      </c>
      <c r="I319" s="81">
        <v>34.5</v>
      </c>
      <c r="J319" s="81">
        <v>39.6</v>
      </c>
      <c r="K319" s="81">
        <v>29.5</v>
      </c>
      <c r="L319" s="81">
        <v>36.9</v>
      </c>
      <c r="M319" s="81">
        <v>27.4</v>
      </c>
      <c r="N319" s="81">
        <v>27.5</v>
      </c>
      <c r="O319" s="81">
        <v>36</v>
      </c>
      <c r="P319" s="81">
        <v>31.1</v>
      </c>
      <c r="Q319" s="81">
        <v>41.9</v>
      </c>
      <c r="R319" s="81">
        <v>35</v>
      </c>
      <c r="S319" s="81">
        <v>26.1</v>
      </c>
      <c r="T319" s="81">
        <v>31.9</v>
      </c>
      <c r="U319" s="81">
        <v>31.3</v>
      </c>
      <c r="V319" s="81">
        <v>44.4</v>
      </c>
      <c r="W319" s="81">
        <v>46.1</v>
      </c>
      <c r="X319" s="81">
        <v>41.6</v>
      </c>
      <c r="Y319" s="81">
        <v>30.8</v>
      </c>
      <c r="Z319" s="81">
        <v>42.2</v>
      </c>
      <c r="AA319" s="81">
        <v>36.799999999999997</v>
      </c>
      <c r="AB319" s="81">
        <v>33.4</v>
      </c>
      <c r="AC319" s="81">
        <v>32.6</v>
      </c>
      <c r="AD319" s="81">
        <v>36.1</v>
      </c>
      <c r="AE319" s="81">
        <v>32.700000000000003</v>
      </c>
    </row>
    <row r="320" spans="1:31" x14ac:dyDescent="0.2">
      <c r="A320" s="108">
        <v>43952</v>
      </c>
      <c r="B320" s="81">
        <v>41.6</v>
      </c>
      <c r="C320" s="81">
        <v>38.299999999999997</v>
      </c>
      <c r="D320" s="81">
        <v>40.6</v>
      </c>
      <c r="E320" s="81">
        <v>39.6</v>
      </c>
      <c r="F320" s="81">
        <v>54</v>
      </c>
      <c r="G320" s="81">
        <v>39.4</v>
      </c>
      <c r="H320" s="81">
        <v>40.6</v>
      </c>
      <c r="I320" s="81">
        <v>36.6</v>
      </c>
      <c r="J320" s="81">
        <v>42.4</v>
      </c>
      <c r="K320" s="81">
        <v>41.1</v>
      </c>
      <c r="L320" s="81">
        <v>43.9</v>
      </c>
      <c r="M320" s="81">
        <v>30.8</v>
      </c>
      <c r="N320" s="81">
        <v>28.6</v>
      </c>
      <c r="O320" s="81">
        <v>39.200000000000003</v>
      </c>
      <c r="P320" s="81">
        <v>45.4</v>
      </c>
      <c r="Q320" s="81">
        <v>38.4</v>
      </c>
      <c r="R320" s="81">
        <v>38.299999999999997</v>
      </c>
      <c r="S320" s="81">
        <v>39.700000000000003</v>
      </c>
      <c r="T320" s="81">
        <v>40.6</v>
      </c>
      <c r="U320" s="81">
        <v>36.200000000000003</v>
      </c>
      <c r="V320" s="81">
        <v>48.1</v>
      </c>
      <c r="W320" s="81">
        <v>50.2</v>
      </c>
      <c r="X320" s="81">
        <v>41.3</v>
      </c>
      <c r="Y320" s="81">
        <v>38.299999999999997</v>
      </c>
      <c r="Z320" s="81">
        <v>41.9</v>
      </c>
      <c r="AA320" s="81">
        <v>41.6</v>
      </c>
      <c r="AB320" s="81">
        <v>40.9</v>
      </c>
      <c r="AC320" s="81">
        <v>40.700000000000003</v>
      </c>
      <c r="AD320" s="81">
        <v>39.799999999999997</v>
      </c>
      <c r="AE320" s="81">
        <v>42.7</v>
      </c>
    </row>
    <row r="321" spans="1:31" x14ac:dyDescent="0.2">
      <c r="A321" s="108">
        <v>43983</v>
      </c>
      <c r="B321" s="81">
        <v>51.5</v>
      </c>
      <c r="C321" s="81">
        <v>51.6</v>
      </c>
      <c r="D321" s="81">
        <v>47.8</v>
      </c>
      <c r="E321" s="81">
        <v>44.9</v>
      </c>
      <c r="F321" s="81">
        <v>52.2</v>
      </c>
      <c r="G321" s="81">
        <v>47.4</v>
      </c>
      <c r="H321" s="81">
        <v>52.3</v>
      </c>
      <c r="I321" s="81">
        <v>45.2</v>
      </c>
      <c r="J321" s="81">
        <v>47.8</v>
      </c>
      <c r="K321" s="81">
        <v>49.4</v>
      </c>
      <c r="L321" s="81">
        <v>49.6</v>
      </c>
      <c r="M321" s="81">
        <v>47.2</v>
      </c>
      <c r="N321" s="81">
        <v>39.1</v>
      </c>
      <c r="O321" s="81">
        <v>51</v>
      </c>
      <c r="P321" s="81">
        <v>47.5</v>
      </c>
      <c r="Q321" s="81">
        <v>40.1</v>
      </c>
      <c r="R321" s="81">
        <v>38.6</v>
      </c>
      <c r="S321" s="81">
        <v>56.3</v>
      </c>
      <c r="T321" s="81">
        <v>47.2</v>
      </c>
      <c r="U321" s="81">
        <v>49.4</v>
      </c>
      <c r="V321" s="81">
        <v>47.7</v>
      </c>
      <c r="W321" s="81">
        <v>53.9</v>
      </c>
      <c r="X321" s="81">
        <v>43.4</v>
      </c>
      <c r="Y321" s="81">
        <v>49</v>
      </c>
      <c r="Z321" s="81">
        <v>46.2</v>
      </c>
      <c r="AA321" s="81">
        <v>43.5</v>
      </c>
      <c r="AB321" s="81">
        <v>53.9</v>
      </c>
      <c r="AC321" s="81">
        <v>50.1</v>
      </c>
      <c r="AD321" s="81">
        <v>49.8</v>
      </c>
      <c r="AE321" s="81">
        <v>51.1</v>
      </c>
    </row>
    <row r="322" spans="1:31" x14ac:dyDescent="0.2">
      <c r="A322" s="108">
        <v>44013</v>
      </c>
      <c r="B322" s="81">
        <v>53.5</v>
      </c>
      <c r="C322" s="81">
        <v>58.2</v>
      </c>
      <c r="D322" s="81">
        <v>52.9</v>
      </c>
      <c r="E322" s="81">
        <v>47</v>
      </c>
      <c r="F322" s="81">
        <v>57.4</v>
      </c>
      <c r="G322" s="81">
        <v>51.8</v>
      </c>
      <c r="H322" s="81">
        <v>52.4</v>
      </c>
      <c r="I322" s="81">
        <v>51</v>
      </c>
      <c r="J322" s="81">
        <v>50.6</v>
      </c>
      <c r="K322" s="81">
        <v>48.6</v>
      </c>
      <c r="L322" s="81">
        <v>44.5</v>
      </c>
      <c r="M322" s="81">
        <v>46</v>
      </c>
      <c r="N322" s="81">
        <v>46.9</v>
      </c>
      <c r="O322" s="81">
        <v>57.3</v>
      </c>
      <c r="P322" s="81">
        <v>51.9</v>
      </c>
      <c r="Q322" s="81">
        <v>45.2</v>
      </c>
      <c r="R322" s="81">
        <v>40.4</v>
      </c>
      <c r="S322" s="81">
        <v>59</v>
      </c>
      <c r="T322" s="81">
        <v>52.8</v>
      </c>
      <c r="U322" s="81">
        <v>48.4</v>
      </c>
      <c r="V322" s="81">
        <v>48.8</v>
      </c>
      <c r="W322" s="81">
        <v>51.2</v>
      </c>
      <c r="X322" s="81">
        <v>46.9</v>
      </c>
      <c r="Y322" s="81">
        <v>53.5</v>
      </c>
      <c r="Z322" s="81">
        <v>50.6</v>
      </c>
      <c r="AA322" s="81">
        <v>45.9</v>
      </c>
      <c r="AB322" s="81">
        <v>56.9</v>
      </c>
      <c r="AC322" s="81">
        <v>53.3</v>
      </c>
      <c r="AD322" s="81">
        <v>50.9</v>
      </c>
      <c r="AE322" s="81">
        <v>47.6</v>
      </c>
    </row>
    <row r="323" spans="1:31" x14ac:dyDescent="0.2">
      <c r="A323" s="108">
        <v>44044</v>
      </c>
      <c r="B323" s="81">
        <v>49.3</v>
      </c>
      <c r="C323" s="81">
        <v>64.7</v>
      </c>
      <c r="D323" s="81">
        <v>55.1</v>
      </c>
      <c r="E323" s="81">
        <v>49.1</v>
      </c>
      <c r="F323" s="81">
        <v>52.3</v>
      </c>
      <c r="G323" s="81">
        <v>51.7</v>
      </c>
      <c r="H323" s="81">
        <v>49.8</v>
      </c>
      <c r="I323" s="81">
        <v>52.2</v>
      </c>
      <c r="J323" s="81">
        <v>51.8</v>
      </c>
      <c r="K323" s="81">
        <v>49.4</v>
      </c>
      <c r="L323" s="81">
        <v>44</v>
      </c>
      <c r="M323" s="81">
        <v>52</v>
      </c>
      <c r="N323" s="81">
        <v>50.8</v>
      </c>
      <c r="O323" s="81">
        <v>52.3</v>
      </c>
      <c r="P323" s="81">
        <v>53.1</v>
      </c>
      <c r="Q323" s="81">
        <v>47.2</v>
      </c>
      <c r="R323" s="81">
        <v>41.3</v>
      </c>
      <c r="S323" s="81">
        <v>51</v>
      </c>
      <c r="T323" s="81">
        <v>50.6</v>
      </c>
      <c r="U323" s="81">
        <v>51.1</v>
      </c>
      <c r="V323" s="81">
        <v>50</v>
      </c>
      <c r="W323" s="81">
        <v>57.3</v>
      </c>
      <c r="X323" s="81">
        <v>48.5</v>
      </c>
      <c r="Y323" s="81">
        <v>49.9</v>
      </c>
      <c r="Z323" s="81">
        <v>52.2</v>
      </c>
      <c r="AA323" s="81">
        <v>49.7</v>
      </c>
      <c r="AB323" s="81">
        <v>54.3</v>
      </c>
      <c r="AC323" s="81">
        <v>55.2</v>
      </c>
      <c r="AD323" s="81">
        <v>53.1</v>
      </c>
      <c r="AE323" s="81">
        <v>45.7</v>
      </c>
    </row>
    <row r="324" spans="1:31" x14ac:dyDescent="0.2">
      <c r="A324" s="108">
        <v>44075</v>
      </c>
      <c r="B324" s="81">
        <v>46.7</v>
      </c>
      <c r="C324" s="81">
        <v>64.900000000000006</v>
      </c>
      <c r="D324" s="81">
        <v>56</v>
      </c>
      <c r="E324" s="81">
        <v>50.7</v>
      </c>
      <c r="F324" s="81">
        <v>54.4</v>
      </c>
      <c r="G324" s="81">
        <v>53.7</v>
      </c>
      <c r="H324" s="81">
        <v>51.2</v>
      </c>
      <c r="I324" s="81">
        <v>56.4</v>
      </c>
      <c r="J324" s="81">
        <v>52.4</v>
      </c>
      <c r="K324" s="81">
        <v>50</v>
      </c>
      <c r="L324" s="81">
        <v>47.7</v>
      </c>
      <c r="M324" s="81">
        <v>56.8</v>
      </c>
      <c r="N324" s="81">
        <v>47.2</v>
      </c>
      <c r="O324" s="81">
        <v>50</v>
      </c>
      <c r="P324" s="81">
        <v>53.2</v>
      </c>
      <c r="Q324" s="81">
        <v>47.7</v>
      </c>
      <c r="R324" s="81">
        <v>42.1</v>
      </c>
      <c r="S324" s="81">
        <v>54</v>
      </c>
      <c r="T324" s="81">
        <v>50.8</v>
      </c>
      <c r="U324" s="81">
        <v>48.9</v>
      </c>
      <c r="V324" s="81">
        <v>50.7</v>
      </c>
      <c r="W324" s="81">
        <v>58.3</v>
      </c>
      <c r="X324" s="81">
        <v>49.8</v>
      </c>
      <c r="Y324" s="81">
        <v>50.8</v>
      </c>
      <c r="Z324" s="81">
        <v>55.2</v>
      </c>
      <c r="AA324" s="81">
        <v>49.9</v>
      </c>
      <c r="AB324" s="81">
        <v>52.8</v>
      </c>
      <c r="AC324" s="81">
        <v>54.1</v>
      </c>
      <c r="AD324" s="81">
        <v>53.2</v>
      </c>
      <c r="AE324" s="81">
        <v>52.2</v>
      </c>
    </row>
    <row r="325" spans="1:31" x14ac:dyDescent="0.2">
      <c r="A325" s="108">
        <v>44105</v>
      </c>
      <c r="B325" s="81">
        <v>56.3</v>
      </c>
      <c r="C325" s="81">
        <v>66.7</v>
      </c>
      <c r="D325" s="81">
        <v>55.5</v>
      </c>
      <c r="E325" s="81">
        <v>51.9</v>
      </c>
      <c r="F325" s="81">
        <v>61.8</v>
      </c>
      <c r="G325" s="81">
        <v>54.8</v>
      </c>
      <c r="H325" s="81">
        <v>51.3</v>
      </c>
      <c r="I325" s="81">
        <v>58.2</v>
      </c>
      <c r="J325" s="81">
        <v>53</v>
      </c>
      <c r="K325" s="81">
        <v>48.7</v>
      </c>
      <c r="L325" s="81">
        <v>49.8</v>
      </c>
      <c r="M325" s="81">
        <v>58.9</v>
      </c>
      <c r="N325" s="81">
        <v>47.8</v>
      </c>
      <c r="O325" s="81">
        <v>50.3</v>
      </c>
      <c r="P325" s="81">
        <v>53.8</v>
      </c>
      <c r="Q325" s="81">
        <v>48.7</v>
      </c>
      <c r="R325" s="81">
        <v>43.6</v>
      </c>
      <c r="S325" s="81">
        <v>51.7</v>
      </c>
      <c r="T325" s="81">
        <v>50.8</v>
      </c>
      <c r="U325" s="81">
        <v>46.9</v>
      </c>
      <c r="V325" s="81">
        <v>51</v>
      </c>
      <c r="W325" s="81">
        <v>60.9</v>
      </c>
      <c r="X325" s="81">
        <v>51.2</v>
      </c>
      <c r="Y325" s="81">
        <v>52.5</v>
      </c>
      <c r="Z325" s="81">
        <v>55.1</v>
      </c>
      <c r="AA325" s="81">
        <v>50.8</v>
      </c>
      <c r="AB325" s="81">
        <v>53.9</v>
      </c>
      <c r="AC325" s="81">
        <v>53.7</v>
      </c>
      <c r="AD325" s="81">
        <v>53.4</v>
      </c>
      <c r="AE325" s="81">
        <v>51.8</v>
      </c>
    </row>
    <row r="326" spans="1:31" x14ac:dyDescent="0.2">
      <c r="A326" s="108">
        <v>44136</v>
      </c>
      <c r="B326" s="81">
        <v>52.1</v>
      </c>
      <c r="C326" s="81">
        <v>64</v>
      </c>
      <c r="D326" s="81">
        <v>55.8</v>
      </c>
      <c r="E326" s="81">
        <v>53.9</v>
      </c>
      <c r="F326" s="81">
        <v>47.7</v>
      </c>
      <c r="G326" s="81">
        <v>53.8</v>
      </c>
      <c r="H326" s="81">
        <v>49.6</v>
      </c>
      <c r="I326" s="81">
        <v>57.8</v>
      </c>
      <c r="J326" s="81">
        <v>53.8</v>
      </c>
      <c r="K326" s="81">
        <v>42.3</v>
      </c>
      <c r="L326" s="81">
        <v>50.1</v>
      </c>
      <c r="M326" s="81">
        <v>56.3</v>
      </c>
      <c r="N326" s="81">
        <v>50.6</v>
      </c>
      <c r="O326" s="81">
        <v>52.2</v>
      </c>
      <c r="P326" s="81">
        <v>51.5</v>
      </c>
      <c r="Q326" s="81">
        <v>49</v>
      </c>
      <c r="R326" s="81">
        <v>43.7</v>
      </c>
      <c r="S326" s="81">
        <v>55.3</v>
      </c>
      <c r="T326" s="81">
        <v>50.8</v>
      </c>
      <c r="U326" s="81">
        <v>46.3</v>
      </c>
      <c r="V326" s="81">
        <v>54.7</v>
      </c>
      <c r="W326" s="81">
        <v>52.6</v>
      </c>
      <c r="X326" s="81">
        <v>52.9</v>
      </c>
      <c r="Y326" s="81">
        <v>49.8</v>
      </c>
      <c r="Z326" s="81">
        <v>56.9</v>
      </c>
      <c r="AA326" s="81">
        <v>50.4</v>
      </c>
      <c r="AB326" s="81">
        <v>51.4</v>
      </c>
      <c r="AC326" s="81">
        <v>55.6</v>
      </c>
      <c r="AD326" s="81">
        <v>56.7</v>
      </c>
      <c r="AE326" s="81">
        <v>49.9</v>
      </c>
    </row>
    <row r="327" spans="1:31" x14ac:dyDescent="0.2">
      <c r="A327" s="108">
        <v>44166</v>
      </c>
      <c r="B327" s="81">
        <v>55.3</v>
      </c>
      <c r="C327" s="81">
        <v>61.5</v>
      </c>
      <c r="D327" s="81">
        <v>57.9</v>
      </c>
      <c r="E327" s="81">
        <v>57</v>
      </c>
      <c r="F327" s="81">
        <v>41.9</v>
      </c>
      <c r="G327" s="81">
        <v>55.2</v>
      </c>
      <c r="H327" s="81">
        <v>51.1</v>
      </c>
      <c r="I327" s="81">
        <v>58.3</v>
      </c>
      <c r="J327" s="81">
        <v>53.8</v>
      </c>
      <c r="K327" s="81">
        <v>46.9</v>
      </c>
      <c r="L327" s="81">
        <v>43.5</v>
      </c>
      <c r="M327" s="81">
        <v>56.4</v>
      </c>
      <c r="N327" s="81">
        <v>51.3</v>
      </c>
      <c r="O327" s="81">
        <v>57.2</v>
      </c>
      <c r="P327" s="81">
        <v>52.8</v>
      </c>
      <c r="Q327" s="81">
        <v>50</v>
      </c>
      <c r="R327" s="81">
        <v>42.4</v>
      </c>
      <c r="S327" s="81">
        <v>48.7</v>
      </c>
      <c r="T327" s="81">
        <v>51.7</v>
      </c>
      <c r="U327" s="81">
        <v>49.7</v>
      </c>
      <c r="V327" s="81">
        <v>57</v>
      </c>
      <c r="W327" s="81">
        <v>50.3</v>
      </c>
      <c r="X327" s="81">
        <v>52.9</v>
      </c>
      <c r="Y327" s="81">
        <v>51</v>
      </c>
      <c r="Z327" s="81">
        <v>59.4</v>
      </c>
      <c r="AA327" s="81">
        <v>50.8</v>
      </c>
      <c r="AB327" s="81">
        <v>50.8</v>
      </c>
      <c r="AC327" s="81">
        <v>57.5</v>
      </c>
      <c r="AD327" s="81">
        <v>57.1</v>
      </c>
      <c r="AE327" s="81">
        <v>51.7</v>
      </c>
    </row>
    <row r="328" spans="1:31" x14ac:dyDescent="0.2">
      <c r="A328" s="108">
        <v>44197</v>
      </c>
      <c r="B328" s="81">
        <v>55.3</v>
      </c>
      <c r="C328" s="81">
        <v>56.5</v>
      </c>
      <c r="D328" s="81">
        <v>54.4</v>
      </c>
      <c r="E328" s="81">
        <v>57</v>
      </c>
      <c r="F328" s="81">
        <v>42.1</v>
      </c>
      <c r="G328" s="81">
        <v>54.8</v>
      </c>
      <c r="H328" s="81">
        <v>51.6</v>
      </c>
      <c r="I328" s="81">
        <v>57.1</v>
      </c>
      <c r="J328" s="81">
        <v>53.6</v>
      </c>
      <c r="K328" s="81">
        <v>50</v>
      </c>
      <c r="L328" s="81">
        <v>47.8</v>
      </c>
      <c r="M328" s="81">
        <v>57.7</v>
      </c>
      <c r="N328" s="81">
        <v>52.2</v>
      </c>
      <c r="O328" s="81">
        <v>51.8</v>
      </c>
      <c r="P328" s="81">
        <v>55.1</v>
      </c>
      <c r="Q328" s="81">
        <v>49.8</v>
      </c>
      <c r="R328" s="81">
        <v>43</v>
      </c>
      <c r="S328" s="81">
        <v>58.05</v>
      </c>
      <c r="T328" s="81">
        <v>51.9</v>
      </c>
      <c r="U328" s="81">
        <v>50.9</v>
      </c>
      <c r="V328" s="81">
        <v>57.1</v>
      </c>
      <c r="W328" s="81">
        <v>50.3</v>
      </c>
      <c r="X328" s="81">
        <v>53.2</v>
      </c>
      <c r="Y328" s="81">
        <v>49.3</v>
      </c>
      <c r="Z328" s="81">
        <v>60.2</v>
      </c>
      <c r="AA328" s="81">
        <v>49</v>
      </c>
      <c r="AB328" s="81">
        <v>54.4</v>
      </c>
      <c r="AC328" s="81">
        <v>54.1</v>
      </c>
      <c r="AD328" s="81">
        <v>59.2</v>
      </c>
      <c r="AE328" s="81">
        <v>51.3</v>
      </c>
    </row>
    <row r="329" spans="1:31" x14ac:dyDescent="0.2">
      <c r="A329" s="108">
        <v>44228</v>
      </c>
      <c r="B329" s="81">
        <v>58.8</v>
      </c>
      <c r="C329" s="81">
        <v>58.4</v>
      </c>
      <c r="D329" s="81">
        <v>54.8</v>
      </c>
      <c r="E329" s="81">
        <v>56.5</v>
      </c>
      <c r="F329" s="81">
        <v>40.799999999999997</v>
      </c>
      <c r="G329" s="81">
        <v>57.9</v>
      </c>
      <c r="H329" s="81">
        <v>56.1</v>
      </c>
      <c r="I329" s="81">
        <v>60.7</v>
      </c>
      <c r="J329" s="81">
        <v>53.9</v>
      </c>
      <c r="K329" s="81">
        <v>49.4</v>
      </c>
      <c r="L329" s="81">
        <v>50.2</v>
      </c>
      <c r="M329" s="81">
        <v>57.5</v>
      </c>
      <c r="N329" s="81">
        <v>50.9</v>
      </c>
      <c r="O329" s="81">
        <v>52</v>
      </c>
      <c r="P329" s="81">
        <v>56.9</v>
      </c>
      <c r="Q329" s="81">
        <v>51.4</v>
      </c>
      <c r="R329" s="81">
        <v>44.2</v>
      </c>
      <c r="S329" s="81">
        <v>54.21</v>
      </c>
      <c r="T329" s="81">
        <v>53.4</v>
      </c>
      <c r="U329" s="81">
        <v>51.5</v>
      </c>
      <c r="V329" s="81">
        <v>53.9</v>
      </c>
      <c r="W329" s="81">
        <v>53</v>
      </c>
      <c r="X329" s="81">
        <v>55.3</v>
      </c>
      <c r="Y329" s="81">
        <v>52.9</v>
      </c>
      <c r="Z329" s="81">
        <v>60.4</v>
      </c>
      <c r="AA329" s="81">
        <v>47.2</v>
      </c>
      <c r="AB329" s="81">
        <v>51.7</v>
      </c>
      <c r="AC329" s="81">
        <v>55.1</v>
      </c>
      <c r="AD329" s="81">
        <v>58.6</v>
      </c>
      <c r="AE329" s="81">
        <v>51.6</v>
      </c>
    </row>
    <row r="330" spans="1:31" x14ac:dyDescent="0.2">
      <c r="A330" s="108">
        <v>44256</v>
      </c>
      <c r="B330" s="81">
        <v>59.9</v>
      </c>
      <c r="C330" s="81">
        <v>52.8</v>
      </c>
      <c r="D330" s="81">
        <v>58.5</v>
      </c>
      <c r="E330" s="81">
        <v>58</v>
      </c>
      <c r="F330" s="81">
        <v>67.599999999999994</v>
      </c>
      <c r="G330" s="81">
        <v>62.5</v>
      </c>
      <c r="H330" s="81">
        <v>59.3</v>
      </c>
      <c r="I330" s="81">
        <v>66.599999999999994</v>
      </c>
      <c r="J330" s="81">
        <v>55</v>
      </c>
      <c r="K330" s="81">
        <v>51.8</v>
      </c>
      <c r="L330" s="81">
        <v>50.5</v>
      </c>
      <c r="M330" s="81">
        <v>55.4</v>
      </c>
      <c r="N330" s="81">
        <v>53.2</v>
      </c>
      <c r="O330" s="81">
        <v>57.1</v>
      </c>
      <c r="P330" s="81">
        <v>59.8</v>
      </c>
      <c r="Q330" s="81">
        <v>52.7</v>
      </c>
      <c r="R330" s="81">
        <v>45.6</v>
      </c>
      <c r="S330" s="81">
        <v>63.6</v>
      </c>
      <c r="T330" s="81">
        <v>54.3</v>
      </c>
      <c r="U330" s="81">
        <v>51.1</v>
      </c>
      <c r="V330" s="81">
        <v>53.3</v>
      </c>
      <c r="W330" s="81">
        <v>57.4</v>
      </c>
      <c r="X330" s="81">
        <v>55.3</v>
      </c>
      <c r="Y330" s="81">
        <v>56.9</v>
      </c>
      <c r="Z330" s="81">
        <v>60.8</v>
      </c>
      <c r="AA330" s="81">
        <v>48.8</v>
      </c>
      <c r="AB330" s="81">
        <v>52.6</v>
      </c>
      <c r="AC330" s="81">
        <v>58.9</v>
      </c>
      <c r="AD330" s="81">
        <v>59.1</v>
      </c>
      <c r="AE330" s="81">
        <v>53.6</v>
      </c>
    </row>
    <row r="331" spans="1:31" x14ac:dyDescent="0.2">
      <c r="A331" s="108">
        <v>44287</v>
      </c>
      <c r="B331" s="81">
        <v>61.7</v>
      </c>
      <c r="C331" s="81">
        <v>52.3</v>
      </c>
      <c r="D331" s="81">
        <v>57.2</v>
      </c>
      <c r="E331" s="81">
        <v>58.9</v>
      </c>
      <c r="F331" s="81">
        <v>72</v>
      </c>
      <c r="G331" s="81">
        <v>62.9</v>
      </c>
      <c r="H331" s="81">
        <v>58.9</v>
      </c>
      <c r="I331" s="81">
        <v>66.2</v>
      </c>
      <c r="J331" s="81">
        <v>55.9</v>
      </c>
      <c r="K331" s="81">
        <v>54.4</v>
      </c>
      <c r="L331" s="81">
        <v>50.3</v>
      </c>
      <c r="M331" s="81">
        <v>55.5</v>
      </c>
      <c r="N331" s="81">
        <v>54.6</v>
      </c>
      <c r="O331" s="81">
        <v>60.8</v>
      </c>
      <c r="P331" s="81">
        <v>60.7</v>
      </c>
      <c r="Q331" s="81">
        <v>53.6</v>
      </c>
      <c r="R331" s="81">
        <v>48.4</v>
      </c>
      <c r="S331" s="81">
        <v>58.3</v>
      </c>
      <c r="T331" s="81">
        <v>53.7</v>
      </c>
      <c r="U331" s="81">
        <v>50.4</v>
      </c>
      <c r="V331" s="81">
        <v>55.2</v>
      </c>
      <c r="W331" s="81">
        <v>56.2</v>
      </c>
      <c r="X331" s="81">
        <v>54.6</v>
      </c>
      <c r="Y331" s="81">
        <v>57.7</v>
      </c>
      <c r="Z331" s="81">
        <v>62.4</v>
      </c>
      <c r="AA331" s="81">
        <v>50.7</v>
      </c>
      <c r="AB331" s="81">
        <v>50.4</v>
      </c>
      <c r="AC331" s="81">
        <v>60.9</v>
      </c>
      <c r="AD331" s="81">
        <v>60.5</v>
      </c>
      <c r="AE331" s="81">
        <v>54.7</v>
      </c>
    </row>
    <row r="332" spans="1:31" x14ac:dyDescent="0.2">
      <c r="A332" s="108">
        <v>44317</v>
      </c>
      <c r="B332" s="81">
        <v>61.8</v>
      </c>
      <c r="C332" s="81">
        <v>53.7</v>
      </c>
      <c r="D332" s="81">
        <v>57</v>
      </c>
      <c r="E332" s="81">
        <v>61.8</v>
      </c>
      <c r="F332" s="81">
        <v>67.7</v>
      </c>
      <c r="G332" s="81">
        <v>63.1</v>
      </c>
      <c r="H332" s="81">
        <v>59.4</v>
      </c>
      <c r="I332" s="81">
        <v>64.400000000000006</v>
      </c>
      <c r="J332" s="81">
        <v>56</v>
      </c>
      <c r="K332" s="81">
        <v>58</v>
      </c>
      <c r="L332" s="81">
        <v>52.5</v>
      </c>
      <c r="M332" s="81">
        <v>50.8</v>
      </c>
      <c r="N332" s="81">
        <v>55.3</v>
      </c>
      <c r="O332" s="81">
        <v>64.099999999999994</v>
      </c>
      <c r="P332" s="81">
        <v>62.3</v>
      </c>
      <c r="Q332" s="81">
        <v>53</v>
      </c>
      <c r="R332" s="81">
        <v>47.6</v>
      </c>
      <c r="S332" s="81">
        <v>58.6</v>
      </c>
      <c r="T332" s="81">
        <v>57.2</v>
      </c>
      <c r="U332" s="81">
        <v>51.9</v>
      </c>
      <c r="V332" s="81">
        <v>56.4</v>
      </c>
      <c r="W332" s="81">
        <v>57.8</v>
      </c>
      <c r="X332" s="81">
        <v>53.7</v>
      </c>
      <c r="Y332" s="81">
        <v>59.4</v>
      </c>
      <c r="Z332" s="81">
        <v>62</v>
      </c>
      <c r="AA332" s="81">
        <v>47.8</v>
      </c>
      <c r="AB332" s="81">
        <v>49.3</v>
      </c>
      <c r="AC332" s="81">
        <v>65.599999999999994</v>
      </c>
      <c r="AD332" s="81">
        <v>62.6</v>
      </c>
      <c r="AE332" s="81">
        <v>53.1</v>
      </c>
    </row>
    <row r="333" spans="1:31" x14ac:dyDescent="0.2">
      <c r="A333" s="108">
        <v>44348</v>
      </c>
      <c r="B333" s="81">
        <v>63.2</v>
      </c>
      <c r="C333" s="81">
        <v>56.4</v>
      </c>
      <c r="D333" s="81">
        <v>56.5</v>
      </c>
      <c r="E333" s="81">
        <v>62.7</v>
      </c>
      <c r="F333" s="81">
        <v>62.1</v>
      </c>
      <c r="G333" s="81">
        <v>63.4</v>
      </c>
      <c r="H333" s="81">
        <v>59</v>
      </c>
      <c r="I333" s="81">
        <v>65.099999999999994</v>
      </c>
      <c r="J333" s="81">
        <v>55.5</v>
      </c>
      <c r="K333" s="81">
        <v>58.6</v>
      </c>
      <c r="L333" s="81">
        <v>51.4</v>
      </c>
      <c r="M333" s="81">
        <v>48.1</v>
      </c>
      <c r="N333" s="81">
        <v>53.5</v>
      </c>
      <c r="O333" s="81">
        <v>64</v>
      </c>
      <c r="P333" s="81">
        <v>62.2</v>
      </c>
      <c r="Q333" s="81">
        <v>52.4</v>
      </c>
      <c r="R333" s="81">
        <v>48.8</v>
      </c>
      <c r="S333" s="81">
        <v>60.9</v>
      </c>
      <c r="T333" s="81">
        <v>59.4</v>
      </c>
      <c r="U333" s="81">
        <v>49.2</v>
      </c>
      <c r="V333" s="81">
        <v>56.4</v>
      </c>
      <c r="W333" s="81">
        <v>57.4</v>
      </c>
      <c r="X333" s="81">
        <v>53.9</v>
      </c>
      <c r="Y333" s="81">
        <v>60.4</v>
      </c>
      <c r="Z333" s="81">
        <v>57.6</v>
      </c>
      <c r="AA333" s="81">
        <v>49.5</v>
      </c>
      <c r="AB333" s="81">
        <v>51.3</v>
      </c>
      <c r="AC333" s="81">
        <v>63.9</v>
      </c>
      <c r="AD333" s="81">
        <v>62.1</v>
      </c>
      <c r="AE333" s="81">
        <v>44.1</v>
      </c>
    </row>
    <row r="334" spans="1:31" x14ac:dyDescent="0.2">
      <c r="A334" s="108">
        <v>44378</v>
      </c>
      <c r="B334" s="81">
        <v>60.8</v>
      </c>
      <c r="C334" s="81">
        <v>56.7</v>
      </c>
      <c r="D334" s="81">
        <v>56.2</v>
      </c>
      <c r="E334" s="81">
        <v>62</v>
      </c>
      <c r="F334" s="81">
        <v>69.8</v>
      </c>
      <c r="G334" s="81">
        <v>62.8</v>
      </c>
      <c r="H334" s="81">
        <v>58</v>
      </c>
      <c r="I334" s="81">
        <v>65.900000000000006</v>
      </c>
      <c r="J334" s="81">
        <v>55.4</v>
      </c>
      <c r="K334" s="81">
        <v>57.4</v>
      </c>
      <c r="L334" s="81">
        <v>51.3</v>
      </c>
      <c r="M334" s="81">
        <v>55.3</v>
      </c>
      <c r="N334" s="81">
        <v>40.1</v>
      </c>
      <c r="O334" s="81">
        <v>63.3</v>
      </c>
      <c r="P334" s="81">
        <v>60.3</v>
      </c>
      <c r="Q334" s="81">
        <v>53</v>
      </c>
      <c r="R334" s="81">
        <v>49.6</v>
      </c>
      <c r="S334" s="81">
        <v>62.2</v>
      </c>
      <c r="T334" s="81">
        <v>57.6</v>
      </c>
      <c r="U334" s="81">
        <v>47.5</v>
      </c>
      <c r="V334" s="81">
        <v>55.8</v>
      </c>
      <c r="W334" s="81">
        <v>43.5</v>
      </c>
      <c r="X334" s="81">
        <v>53</v>
      </c>
      <c r="Y334" s="81">
        <v>59</v>
      </c>
      <c r="Z334" s="81">
        <v>59.7</v>
      </c>
      <c r="AA334" s="81">
        <v>48.7</v>
      </c>
      <c r="AB334" s="81">
        <v>54</v>
      </c>
      <c r="AC334" s="81">
        <v>60.4</v>
      </c>
      <c r="AD334" s="81">
        <v>63.4</v>
      </c>
      <c r="AE334" s="81">
        <v>45.1</v>
      </c>
    </row>
    <row r="335" spans="1:31" x14ac:dyDescent="0.2">
      <c r="A335" s="108">
        <v>44409</v>
      </c>
      <c r="B335" s="81">
        <v>51.6</v>
      </c>
      <c r="C335" s="81">
        <v>53.6</v>
      </c>
      <c r="D335" s="81">
        <v>57.2</v>
      </c>
      <c r="E335" s="81">
        <v>61</v>
      </c>
      <c r="F335" s="81">
        <v>67.3</v>
      </c>
      <c r="G335" s="81">
        <v>61.4</v>
      </c>
      <c r="H335" s="81">
        <v>57.5</v>
      </c>
      <c r="I335" s="81">
        <v>62.6</v>
      </c>
      <c r="J335" s="81">
        <v>54.1</v>
      </c>
      <c r="K335" s="81">
        <v>59.3</v>
      </c>
      <c r="L335" s="81">
        <v>53.3</v>
      </c>
      <c r="M335" s="81">
        <v>52.3</v>
      </c>
      <c r="N335" s="81">
        <v>43.7</v>
      </c>
      <c r="O335" s="81">
        <v>62.8</v>
      </c>
      <c r="P335" s="81">
        <v>60.9</v>
      </c>
      <c r="Q335" s="81">
        <v>52.7</v>
      </c>
      <c r="R335" s="81">
        <v>47.1</v>
      </c>
      <c r="S335" s="81">
        <v>39.700000000000003</v>
      </c>
      <c r="T335" s="81">
        <v>56</v>
      </c>
      <c r="U335" s="81">
        <v>46.5</v>
      </c>
      <c r="V335" s="81">
        <v>54.1</v>
      </c>
      <c r="W335" s="81">
        <v>57.9</v>
      </c>
      <c r="X335" s="81">
        <v>51.2</v>
      </c>
      <c r="Y335" s="81">
        <v>59.5</v>
      </c>
      <c r="Z335" s="81">
        <v>58.5</v>
      </c>
      <c r="AA335" s="81">
        <v>48.3</v>
      </c>
      <c r="AB335" s="81">
        <v>54.1</v>
      </c>
      <c r="AC335" s="81">
        <v>60.3</v>
      </c>
      <c r="AD335" s="81">
        <v>61.1</v>
      </c>
      <c r="AE335" s="81">
        <v>40.200000000000003</v>
      </c>
    </row>
    <row r="336" spans="1:31" x14ac:dyDescent="0.2">
      <c r="A336" s="108">
        <v>44440</v>
      </c>
      <c r="B336" s="81">
        <v>51.2</v>
      </c>
      <c r="C336" s="81">
        <v>54.4</v>
      </c>
      <c r="D336" s="81">
        <v>57</v>
      </c>
      <c r="E336" s="81">
        <v>58</v>
      </c>
      <c r="F336" s="81">
        <v>65.2</v>
      </c>
      <c r="G336" s="81">
        <v>58.6</v>
      </c>
      <c r="H336" s="81">
        <v>55</v>
      </c>
      <c r="I336" s="81">
        <v>58.4</v>
      </c>
      <c r="J336" s="81">
        <v>54.1</v>
      </c>
      <c r="K336" s="81">
        <v>58.4</v>
      </c>
      <c r="L336" s="81">
        <v>51.7</v>
      </c>
      <c r="M336" s="81">
        <v>53.7</v>
      </c>
      <c r="N336" s="81">
        <v>52.2</v>
      </c>
      <c r="O336" s="81">
        <v>60.3</v>
      </c>
      <c r="P336" s="81">
        <v>59.7</v>
      </c>
      <c r="Q336" s="81">
        <v>51.5</v>
      </c>
      <c r="R336" s="81">
        <v>48.6</v>
      </c>
      <c r="S336" s="81">
        <v>51.4</v>
      </c>
      <c r="T336" s="81">
        <v>53.4</v>
      </c>
      <c r="U336" s="81">
        <v>49.8</v>
      </c>
      <c r="V336" s="81">
        <v>58.6</v>
      </c>
      <c r="W336" s="81">
        <v>54.7</v>
      </c>
      <c r="X336" s="81">
        <v>52.4</v>
      </c>
      <c r="Y336" s="81">
        <v>58.1</v>
      </c>
      <c r="Z336" s="81">
        <v>54.7</v>
      </c>
      <c r="AA336" s="81">
        <v>48.9</v>
      </c>
      <c r="AB336" s="81">
        <v>52.5</v>
      </c>
      <c r="AC336" s="81">
        <v>57.1</v>
      </c>
      <c r="AD336" s="81">
        <v>60.7</v>
      </c>
      <c r="AE336" s="81">
        <v>40.200000000000003</v>
      </c>
    </row>
    <row r="337" spans="1:31" x14ac:dyDescent="0.2">
      <c r="A337" s="108">
        <v>44470</v>
      </c>
      <c r="B337" s="81">
        <v>50.4</v>
      </c>
      <c r="C337" s="81">
        <v>51.7</v>
      </c>
      <c r="D337" s="81">
        <v>57.7</v>
      </c>
      <c r="E337" s="81">
        <v>55.1</v>
      </c>
      <c r="F337" s="81">
        <v>71.900000000000006</v>
      </c>
      <c r="G337" s="81">
        <v>58.3</v>
      </c>
      <c r="H337" s="81">
        <v>53.6</v>
      </c>
      <c r="I337" s="81">
        <v>57.8</v>
      </c>
      <c r="J337" s="81">
        <v>54.2</v>
      </c>
      <c r="K337" s="81">
        <v>58.9</v>
      </c>
      <c r="L337" s="81">
        <v>50.8</v>
      </c>
      <c r="M337" s="81">
        <v>55.9</v>
      </c>
      <c r="N337" s="81">
        <v>57.2</v>
      </c>
      <c r="O337" s="81">
        <v>62.1</v>
      </c>
      <c r="P337" s="81">
        <v>61.1</v>
      </c>
      <c r="Q337" s="81">
        <v>53.2</v>
      </c>
      <c r="R337" s="81">
        <v>49.3</v>
      </c>
      <c r="S337" s="81">
        <v>54.3</v>
      </c>
      <c r="T337" s="81">
        <v>53.8</v>
      </c>
      <c r="U337" s="81">
        <v>51.6</v>
      </c>
      <c r="V337" s="81">
        <v>57.7</v>
      </c>
      <c r="W337" s="81">
        <v>53.6</v>
      </c>
      <c r="X337" s="81">
        <v>50.2</v>
      </c>
      <c r="Y337" s="81">
        <v>57.4</v>
      </c>
      <c r="Z337" s="81">
        <v>55.2</v>
      </c>
      <c r="AA337" s="81">
        <v>50.9</v>
      </c>
      <c r="AB337" s="81">
        <v>51.2</v>
      </c>
      <c r="AC337" s="81">
        <v>57.8</v>
      </c>
      <c r="AD337" s="81">
        <v>58.4</v>
      </c>
      <c r="AE337" s="81">
        <v>52.1</v>
      </c>
    </row>
    <row r="338" spans="1:31" x14ac:dyDescent="0.2">
      <c r="A338" s="108">
        <v>44501</v>
      </c>
      <c r="B338" s="81">
        <v>54.8</v>
      </c>
      <c r="C338" s="81">
        <v>49.8</v>
      </c>
      <c r="D338" s="81">
        <v>57.2</v>
      </c>
      <c r="E338" s="81">
        <v>57.1</v>
      </c>
      <c r="F338" s="81">
        <v>68.2</v>
      </c>
      <c r="G338" s="81">
        <v>58.4</v>
      </c>
      <c r="H338" s="81">
        <v>55.9</v>
      </c>
      <c r="I338" s="81">
        <v>57.4</v>
      </c>
      <c r="J338" s="81">
        <v>54.2</v>
      </c>
      <c r="K338" s="81">
        <v>58.8</v>
      </c>
      <c r="L338" s="81">
        <v>52.6</v>
      </c>
      <c r="M338" s="81">
        <v>57.6</v>
      </c>
      <c r="N338" s="81">
        <v>53.9</v>
      </c>
      <c r="O338" s="81">
        <v>59.9</v>
      </c>
      <c r="P338" s="81">
        <v>62.8</v>
      </c>
      <c r="Q338" s="81">
        <v>54.5</v>
      </c>
      <c r="R338" s="81">
        <v>49.4</v>
      </c>
      <c r="S338" s="81">
        <v>50.6</v>
      </c>
      <c r="T338" s="81">
        <v>54.4</v>
      </c>
      <c r="U338" s="81">
        <v>51.7</v>
      </c>
      <c r="V338" s="81">
        <v>56.9</v>
      </c>
      <c r="W338" s="81">
        <v>57.2</v>
      </c>
      <c r="X338" s="81">
        <v>50.9</v>
      </c>
      <c r="Y338" s="81">
        <v>57.1</v>
      </c>
      <c r="Z338" s="81">
        <v>54.9</v>
      </c>
      <c r="AA338" s="81">
        <v>50.6</v>
      </c>
      <c r="AB338" s="81">
        <v>52</v>
      </c>
      <c r="AC338" s="81">
        <v>58.1</v>
      </c>
      <c r="AD338" s="81">
        <v>58.3</v>
      </c>
      <c r="AE338" s="81">
        <v>52.2</v>
      </c>
    </row>
    <row r="339" spans="1:31" x14ac:dyDescent="0.2">
      <c r="A339" s="108">
        <v>44531</v>
      </c>
      <c r="C339" s="81">
        <v>49.8</v>
      </c>
      <c r="D339" s="81">
        <v>55.5</v>
      </c>
      <c r="E339" s="81">
        <v>59.1</v>
      </c>
      <c r="F339" s="81">
        <v>64.400000000000006</v>
      </c>
      <c r="G339" s="81">
        <v>58</v>
      </c>
      <c r="H339" s="81">
        <v>55.6</v>
      </c>
      <c r="I339" s="81">
        <v>57.4</v>
      </c>
      <c r="J339" s="81">
        <v>54.2</v>
      </c>
      <c r="K339" s="81">
        <v>59</v>
      </c>
      <c r="M339" s="81">
        <v>55.5</v>
      </c>
      <c r="N339" s="81">
        <v>53.5</v>
      </c>
      <c r="O339" s="81">
        <v>58.3</v>
      </c>
      <c r="P339" s="81">
        <v>62</v>
      </c>
      <c r="Q339" s="81">
        <v>54.3</v>
      </c>
      <c r="R339" s="81">
        <v>49.4</v>
      </c>
      <c r="T339" s="81">
        <v>56.1</v>
      </c>
      <c r="U339" s="81">
        <v>51.6</v>
      </c>
      <c r="V339" s="81">
        <v>53.9</v>
      </c>
      <c r="X339" s="81">
        <v>51.9</v>
      </c>
      <c r="Y339" s="81">
        <v>56.2</v>
      </c>
      <c r="Z339" s="81">
        <v>55.5</v>
      </c>
      <c r="AA339" s="81">
        <v>49.5</v>
      </c>
      <c r="AB339" s="81">
        <v>52.1</v>
      </c>
      <c r="AC339" s="81">
        <v>57.9</v>
      </c>
      <c r="AD339" s="81">
        <v>57.7</v>
      </c>
      <c r="AE339" s="81">
        <v>52.5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6" sqref="H86"/>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99" activePane="bottomLeft" state="frozen"/>
      <selection pane="bottomLeft" activeCell="A5" sqref="A5:B140"/>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zoomScale="160" zoomScaleNormal="160" workbookViewId="0">
      <selection activeCell="I35" sqref="I35"/>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1" activePane="bottomLeft" state="frozen"/>
      <selection pane="bottomLeft" activeCell="R144" sqref="R14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42" activePane="bottomLeft" state="frozen"/>
      <selection pane="bottomLeft" activeCell="A5" sqref="A5:B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2022-01-31T07:52:44Z</dcterms:modified>
</cp:coreProperties>
</file>