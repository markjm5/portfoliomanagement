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3480" yWindow="-600" windowWidth="33580" windowHeight="28260" tabRatio="804"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B Global PMI" sheetId="3" state="visible" r:id="rId3"/>
    <sheet xmlns:r="http://schemas.openxmlformats.org/officeDocument/2006/relationships" name="DB Country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
      <name val="Arial"/>
      <family val="2"/>
      <color rgb="FF333333"/>
      <sz val="11"/>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8">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97">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2"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2" borderId="0"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17" fontId="14" fillId="2" borderId="30" applyAlignment="1" pivotButton="0" quotePrefix="0" xfId="0">
      <alignment horizontal="left" vertical="top" wrapText="1"/>
    </xf>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33"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0" fontId="3" fillId="4" borderId="34" applyAlignment="1" pivotButton="0" quotePrefix="0" xfId="0">
      <alignment horizontal="center"/>
    </xf>
    <xf numFmtId="0" fontId="3" fillId="4" borderId="35" applyAlignment="1" pivotButton="0" quotePrefix="0" xfId="0">
      <alignment horizontal="center"/>
    </xf>
    <xf numFmtId="0" fontId="3" fillId="4" borderId="8" applyAlignment="1" pivotButton="0" quotePrefix="0" xfId="0">
      <alignment horizontal="center"/>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6" pivotButton="0" quotePrefix="0" xfId="0"/>
    <xf numFmtId="10" fontId="0" fillId="2" borderId="0" applyAlignment="1" pivotButton="0" quotePrefix="0" xfId="0">
      <alignment horizontal="center"/>
    </xf>
    <xf numFmtId="0" fontId="16" fillId="0" borderId="9" applyAlignment="1" pivotButton="0" quotePrefix="0" xfId="0">
      <alignment horizontal="center" vertical="center"/>
    </xf>
    <xf numFmtId="17" fontId="16" fillId="0" borderId="9" applyAlignment="1" pivotButton="0" quotePrefix="0" xfId="0">
      <alignment horizontal="center" vertical="center"/>
    </xf>
    <xf numFmtId="47" fontId="16" fillId="0" borderId="9" applyAlignment="1" pivotButton="0" quotePrefix="0" xfId="0">
      <alignment horizontal="center" vertical="center"/>
    </xf>
    <xf numFmtId="0" fontId="16" fillId="0" borderId="9" applyAlignment="1" pivotButton="0" quotePrefix="0" xfId="0">
      <alignment horizontal="center"/>
    </xf>
    <xf numFmtId="2" fontId="16" fillId="0" borderId="9" applyAlignment="1" pivotButton="0" quotePrefix="0" xfId="0">
      <alignment horizontal="center" vertical="center"/>
    </xf>
    <xf numFmtId="17" fontId="0" fillId="2" borderId="9" applyAlignment="1" pivotButton="0" quotePrefix="0" xfId="0">
      <alignment horizontal="center"/>
    </xf>
    <xf numFmtId="0" fontId="0" fillId="0" borderId="9" applyAlignment="1" pivotButton="0" quotePrefix="0" xfId="0">
      <alignment horizontal="center"/>
    </xf>
    <xf numFmtId="0" fontId="0" fillId="0" borderId="0" pivotButton="0" quotePrefix="0" xfId="0"/>
    <xf numFmtId="166" fontId="0" fillId="0"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Global!$E$6:$E$141</f>
              <numCache>
                <formatCode>General</formatCode>
                <ptCount val="136"/>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0.4000000000000057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Global!$F$6:$F$141</f>
              <numCache>
                <formatCode>General</formatCode>
                <ptCount val="136"/>
                <pt idx="12">
                  <formatCode>0.00%</formatCode>
                  <v>-0.007385644636073396</v>
                </pt>
                <pt idx="13">
                  <formatCode>0.00%</formatCode>
                  <v>0.003147246238288184</v>
                </pt>
                <pt idx="14">
                  <formatCode>0.00%</formatCode>
                  <v>-0.07949562440036803</v>
                </pt>
                <pt idx="15">
                  <formatCode>0.00%</formatCode>
                  <v>-0.03799488493842092</v>
                </pt>
                <pt idx="16">
                  <formatCode>0.00%</formatCode>
                  <v>-0.02083808265845746</v>
                </pt>
                <pt idx="17">
                  <formatCode>0.00%</formatCode>
                  <v>-0.001331835759060836</v>
                </pt>
                <pt idx="18">
                  <formatCode>0.00%</formatCode>
                  <v>-0.05813657984429633</v>
                </pt>
                <pt idx="19">
                  <formatCode>0.00%</formatCode>
                  <v>-0.1285198752283062</v>
                </pt>
                <pt idx="20">
                  <formatCode>0.00%</formatCode>
                  <v>-0.06967258610512496</v>
                </pt>
                <pt idx="21">
                  <formatCode>0.00%</formatCode>
                  <v>-0.03832870330428785</v>
                </pt>
                <pt idx="22">
                  <formatCode>0.00%</formatCode>
                  <v>0.06693542039170926</v>
                </pt>
                <pt idx="23">
                  <formatCode>0.00%</formatCode>
                  <v>0.2235352189990681</v>
                </pt>
                <pt idx="24">
                  <formatCode>0.00%</formatCode>
                  <v>0.09342492899886462</v>
                </pt>
                <pt idx="25">
                  <formatCode>0.00%</formatCode>
                  <v>0.1237463776376743</v>
                </pt>
                <pt idx="26">
                  <formatCode>0.00%</formatCode>
                  <v>0.1688327927886856</v>
                </pt>
                <pt idx="27">
                  <formatCode>0.00%</formatCode>
                  <v>0.1485127563559567</v>
                </pt>
                <pt idx="28">
                  <formatCode>0.00%</formatCode>
                  <v>0.09328730267950677</v>
                </pt>
                <pt idx="29">
                  <formatCode>0.00%</formatCode>
                  <v>0.1009844989414735</v>
                </pt>
                <pt idx="30">
                  <formatCode>0.00%</formatCode>
                  <v>0.1453274433334669</v>
                </pt>
                <pt idx="31">
                  <formatCode>0.00%</formatCode>
                  <v>0.2576464956577146</v>
                </pt>
                <pt idx="32">
                  <formatCode>0.00%</formatCode>
                  <v>0.1670501477714507</v>
                </pt>
                <pt idx="33">
                  <formatCode>0.00%</formatCode>
                  <v>0.2092641212620056</v>
                </pt>
                <pt idx="34">
                  <formatCode>0.00%</formatCode>
                  <v>0.1495452876172851</v>
                </pt>
                <pt idx="35">
                  <formatCode>0.00%</formatCode>
                  <v>0.1812600341888064</v>
                </pt>
                <pt idx="36">
                  <formatCode>0.00%</formatCode>
                  <v>0.2342674654606132</v>
                </pt>
                <pt idx="37">
                  <formatCode>0.00%</formatCode>
                  <v>0.2337703011027808</v>
                </pt>
                <pt idx="38">
                  <formatCode>0.00%</formatCode>
                  <v>0.2258242958291097</v>
                </pt>
                <pt idx="39">
                  <formatCode>0.00%</formatCode>
                  <v>0.1247134312382291</v>
                </pt>
                <pt idx="40">
                  <formatCode>0.00%</formatCode>
                  <v>0.1844387572823106</v>
                </pt>
                <pt idx="41">
                  <formatCode>0.00%</formatCode>
                  <v>0.1698403063257164</v>
                </pt>
                <pt idx="42">
                  <formatCode>0.00%</formatCode>
                  <v>0.1510631987395112</v>
                </pt>
                <pt idx="43">
                  <formatCode>0.00%</formatCode>
                  <v>0.1786678369219991</v>
                </pt>
                <pt idx="44">
                  <formatCode>0.00%</formatCode>
                  <v>0.2306844782824227</v>
                </pt>
                <pt idx="45">
                  <formatCode>0.00%</formatCode>
                  <v>0.1611840020051194</v>
                </pt>
                <pt idx="46">
                  <formatCode>0.00%</formatCode>
                  <v>0.2190747830016835</v>
                </pt>
                <pt idx="47">
                  <formatCode>0.00%</formatCode>
                  <v>0.1167905498844035</v>
                </pt>
                <pt idx="48">
                  <formatCode>0.00%</formatCode>
                  <v>0.0873013400353877</v>
                </pt>
                <pt idx="49">
                  <formatCode>0.00%</formatCode>
                  <v>0.0854108505056219</v>
                </pt>
                <pt idx="50">
                  <formatCode>0.00%</formatCode>
                  <v>0.03797994525582751</v>
                </pt>
                <pt idx="51">
                  <formatCode>0.00%</formatCode>
                  <v>0.07445608158829489</v>
                </pt>
                <pt idx="52">
                  <formatCode>0.00%</formatCode>
                  <v>0.07755761517008507</v>
                </pt>
                <pt idx="53">
                  <formatCode>0.00%</formatCode>
                  <v>0.0557860011427159</v>
                </pt>
                <pt idx="54">
                  <formatCode>0.00%</formatCode>
                  <v>0.07330382761996675</v>
                </pt>
                <pt idx="55">
                  <formatCode>0.00%</formatCode>
                  <v>0.0521989911165117</v>
                </pt>
                <pt idx="56">
                  <formatCode>0.00%</formatCode>
                  <v>0.008968235289957551</v>
                </pt>
                <pt idx="57">
                  <formatCode>0.00%</formatCode>
                  <v>0.02993198685753396</v>
                </pt>
                <pt idx="58">
                  <formatCode>0.00%</formatCode>
                  <v>-0.06427939461405836</v>
                </pt>
                <pt idx="59">
                  <formatCode>0.00%</formatCode>
                  <v>-0.06545340746215841</v>
                </pt>
                <pt idx="60">
                  <formatCode>0.00%</formatCode>
                  <v>-0.005882297640127929</v>
                </pt>
                <pt idx="61">
                  <formatCode>0.00%</formatCode>
                  <v>-0.02460675017152784</v>
                </pt>
                <pt idx="62">
                  <formatCode>0.00%</formatCode>
                  <v>-0.02626865215302021</v>
                </pt>
                <pt idx="63">
                  <formatCode>0.00%</formatCode>
                  <v>-0.0615950426192951</v>
                </pt>
                <pt idx="64">
                  <formatCode>0.00%</formatCode>
                  <v>-0.1216923269590706</v>
                </pt>
                <pt idx="65">
                  <formatCode>0.00%</formatCode>
                  <v>-0.04275798464305509</v>
                </pt>
                <pt idx="66">
                  <formatCode>0.00%</formatCode>
                  <v>-0.05697569319912395</v>
                </pt>
                <pt idx="67">
                  <formatCode>0.00%</formatCode>
                  <v>-0.05382185911620791</v>
                </pt>
                <pt idx="68">
                  <formatCode>0.00%</formatCode>
                  <v>-0.03064907721500023</v>
                </pt>
                <pt idx="69">
                  <formatCode>0.00%</formatCode>
                  <v>-0.0008985791272425505</v>
                </pt>
                <pt idx="70">
                  <formatCode>0.00%</formatCode>
                  <v>0.07574998501292635</v>
                </pt>
                <pt idx="71">
                  <formatCode>0.00%</formatCode>
                  <v>0.1245061293442732</v>
                </pt>
                <pt idx="72">
                  <formatCode>0.00%</formatCode>
                  <v>0.02455893112086109</v>
                </pt>
                <pt idx="73">
                  <formatCode>0.00%</formatCode>
                  <v>0.04071897671877906</v>
                </pt>
                <pt idx="74">
                  <formatCode>0.00%</formatCode>
                  <v>0.08792051034088705</v>
                </pt>
                <pt idx="75">
                  <formatCode>0.00%</formatCode>
                  <v>0.1779394509685273</v>
                </pt>
                <pt idx="76">
                  <formatCode>0.00%</formatCode>
                  <v>0.2228055655348594</v>
                </pt>
                <pt idx="77">
                  <formatCode>0.00%</formatCode>
                  <v>0.1539320120308206</v>
                </pt>
                <pt idx="78">
                  <formatCode>0.00%</formatCode>
                  <v>0.1570582077364959</v>
                </pt>
                <pt idx="79">
                  <formatCode>0.00%</formatCode>
                  <v>0.1786766208442378</v>
                </pt>
                <pt idx="80">
                  <formatCode>0.00%</formatCode>
                  <v>0.1909980819118872</v>
                </pt>
                <pt idx="81">
                  <formatCode>0.00%</formatCode>
                  <v>0.1766675345065703</v>
                </pt>
                <pt idx="82">
                  <formatCode>0.00%</formatCode>
                  <v>0.177354311985738</v>
                </pt>
                <pt idx="83">
                  <formatCode>0.00%</formatCode>
                  <v>0.1883267414635931</v>
                </pt>
                <pt idx="84">
                  <formatCode>0.00%</formatCode>
                  <v>0.2375438947681252</v>
                </pt>
                <pt idx="85">
                  <formatCode>0.00%</formatCode>
                  <v>0.2496077367608718</v>
                </pt>
                <pt idx="86">
                  <formatCode>0.00%</formatCode>
                  <v>0.2433175179984494</v>
                </pt>
                <pt idx="87">
                  <formatCode>0.00%</formatCode>
                  <v>0.2770951361884256</v>
                </pt>
                <pt idx="88">
                  <formatCode>0.00%</formatCode>
                  <v>0.1900417329936317</v>
                </pt>
                <pt idx="89">
                  <formatCode>0.00%</formatCode>
                  <v>0.1566562455500567</v>
                </pt>
                <pt idx="90">
                  <formatCode>0.00%</formatCode>
                  <v>0.1429062105108482</v>
                </pt>
                <pt idx="91">
                  <formatCode>0.00%</formatCode>
                  <v>0.1234853985452484</v>
                </pt>
                <pt idx="92">
                  <formatCode>0.00%</formatCode>
                  <v>0.1082331109781452</v>
                </pt>
                <pt idx="93">
                  <formatCode>0.00%</formatCode>
                  <v>0.111767869198554</v>
                </pt>
                <pt idx="94">
                  <formatCode>0.00%</formatCode>
                  <v>0.1150284109877801</v>
                </pt>
                <pt idx="95">
                  <formatCode>0.00%</formatCode>
                  <v>0.1011246150930248</v>
                </pt>
                <pt idx="96">
                  <formatCode>0.00%</formatCode>
                  <v>-0.0021843696626157</v>
                </pt>
                <pt idx="97">
                  <formatCode>0.00%</formatCode>
                  <v>-0.006431387872923194</v>
                </pt>
                <pt idx="98">
                  <formatCode>0.00%</formatCode>
                  <v>-0.0917916420696438</v>
                </pt>
                <pt idx="99">
                  <formatCode>0.00%</formatCode>
                  <v>-0.07112105217430961</v>
                </pt>
                <pt idx="100">
                  <formatCode>0.00%</formatCode>
                  <v>-0.003618678098646477</v>
                </pt>
                <pt idx="101">
                  <formatCode>0.00%</formatCode>
                  <v>0.02747835325929718</v>
                </pt>
                <pt idx="102">
                  <formatCode>0.00%</formatCode>
                  <v>0.05837253983599448</v>
                </pt>
                <pt idx="103">
                  <formatCode>0.00%</formatCode>
                  <v>-0.01055180326627155</v>
                </pt>
                <pt idx="104">
                  <formatCode>0.00%</formatCode>
                  <v>0.05825437771515952</v>
                </pt>
                <pt idx="105">
                  <formatCode>0.00%</formatCode>
                  <v>0.02904748399880151</v>
                </pt>
                <pt idx="106">
                  <formatCode>0.00%</formatCode>
                  <v>-0.0006465170332416672</v>
                </pt>
                <pt idx="107">
                  <formatCode>0.00%</formatCode>
                  <v>0.01560644202052502</v>
                </pt>
                <pt idx="108">
                  <formatCode>0.00%</formatCode>
                  <v>0.1272138299303344</v>
                </pt>
                <pt idx="109">
                  <formatCode>0.00%</formatCode>
                  <v>0.1355393915751489</v>
                </pt>
                <pt idx="110">
                  <formatCode>0.00%</formatCode>
                  <v>0.2631455081751491</v>
                </pt>
                <pt idx="111">
                  <formatCode>0.00%</formatCode>
                  <v>0.1548126393864236</v>
                </pt>
                <pt idx="112">
                  <formatCode>0.00%</formatCode>
                  <v>0.04260444462829095</v>
                </pt>
                <pt idx="113">
                  <formatCode>0.00%</formatCode>
                  <v>-0.1112221160212568</v>
                </pt>
                <pt idx="114">
                  <formatCode>0.00%</formatCode>
                  <v>-0.05617529538094414</v>
                </pt>
                <pt idx="115">
                  <formatCode>0.00%</formatCode>
                  <v>0.056002222559224</v>
                </pt>
                <pt idx="116">
                  <formatCode>0.00%</formatCode>
                  <v>0.02499657143803758</v>
                </pt>
                <pt idx="117">
                  <formatCode>0.00%</formatCode>
                  <v>0.07476691430812933</v>
                </pt>
                <pt idx="118">
                  <formatCode>0.00%</formatCode>
                  <v>0.1652783029145509</v>
                </pt>
                <pt idx="119">
                  <formatCode>0.00%</formatCode>
                  <v>0.1060514973823238</v>
                </pt>
                <pt idx="120">
                  <formatCode>0.00%</formatCode>
                  <v>0.05258704757151895</v>
                </pt>
                <pt idx="121">
                  <formatCode>0.00%</formatCode>
                  <v>0.1495280057363538</v>
                </pt>
                <pt idx="122">
                  <formatCode>0.00%</formatCode>
                  <v>0.1683842351053042</v>
                </pt>
                <pt idx="123">
                  <formatCode>0.00%</formatCode>
                  <v>0.1767034694457311</v>
                </pt>
                <pt idx="124">
                  <formatCode>0.00%</formatCode>
                  <v>0.3010795417332117</v>
                </pt>
                <pt idx="125">
                  <formatCode>0.00%</formatCode>
                  <v>0.5454528158785881</v>
                </pt>
                <pt idx="126">
                  <formatCode>0.00%</formatCode>
                  <v>0.4668910469393611</v>
                </pt>
                <pt idx="127">
                  <formatCode>0.00%</formatCode>
                  <v>0.4163462267855829</v>
                </pt>
                <pt idx="128">
                  <formatCode>0.00%</formatCode>
                  <v>0.3949715049007563</v>
                </pt>
                <pt idx="129">
                  <formatCode>0.00%</formatCode>
                  <v>0.3344036546611128</v>
                </pt>
                <pt idx="130">
                  <formatCode>0.00%</formatCode>
                  <v>0.2859315221706942</v>
                </pt>
                <pt idx="131">
                  <formatCode>0.00%</formatCode>
                  <v>0.2690222214625422</v>
                </pt>
                <pt idx="132">
                  <formatCode>0.00%</formatCode>
                  <v>0.3679444114320515</v>
                </pt>
                <pt idx="133">
                  <formatCode>0.00%</formatCode>
                  <v>0.1957482224690908</v>
                </pt>
                <pt idx="134">
                  <formatCode>0.00%</formatCode>
                  <v>0.1835122918598321</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4"/>
          <min val="-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Global!$K$2</f>
          <strCache>
            <ptCount val="1"/>
            <pt idx="0">
              <v>Global Manufacturing PMI</v>
            </pt>
          </strCache>
        </strRef>
      </tx>
      <overlay val="0"/>
      <spPr>
        <a:noFill xmlns:a="http://schemas.openxmlformats.org/drawingml/2006/main"/>
        <a:ln xmlns:a="http://schemas.openxmlformats.org/drawingml/2006/main">
          <a:noFill/>
          <a:prstDash val="solid"/>
        </a:ln>
      </spPr>
    </title>
    <plotArea>
      <layout/>
      <areaChart>
        <grouping val="standard"/>
        <varyColors val="0"/>
        <ser>
          <idx val="0"/>
          <order val="0"/>
          <tx>
            <strRef>
              <f>Global!$B$5</f>
              <strCache>
                <ptCount val="1"/>
                <pt idx="0">
                  <v>PMI</v>
                </pt>
              </strCache>
            </strRef>
          </tx>
          <spPr>
            <a:solidFill xmlns:a="http://schemas.openxmlformats.org/drawingml/2006/main">
              <a:schemeClr val="accent1"/>
            </a:solidFill>
            <a:ln xmlns:a="http://schemas.openxmlformats.org/drawingml/2006/main">
              <a:noFill/>
              <a:prstDash val="solid"/>
            </a:ln>
          </spP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Global!$B$6:$B$141</f>
              <numCache>
                <formatCode>General</formatCode>
                <ptCount val="136"/>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US!$K$2</f>
          <strCache>
            <ptCount val="1"/>
            <pt idx="0">
              <v>U.S.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US!$B$5</f>
              <strCache>
                <ptCount val="1"/>
                <pt idx="0">
                  <v>PMI</v>
                </pt>
              </strCache>
            </strRef>
          </tx>
          <spPr>
            <a:solidFill xmlns:a="http://schemas.openxmlformats.org/drawingml/2006/main">
              <a:schemeClr val="accent1"/>
            </a:solidFill>
            <a:ln xmlns:a="http://schemas.openxmlformats.org/drawingml/2006/main">
              <a:noFill/>
              <a:prstDash val="solid"/>
            </a:ln>
          </spPr>
          <cat>
            <numRef>
              <f>US!$A$6:$A$141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US!$B$6:$B$141</f>
              <numCache>
                <formatCode>General</formatCode>
                <ptCount val="136"/>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China!$B$6:$B$209</f>
              <numCache>
                <formatCode>General</formatCode>
                <ptCount val="20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China!$D$6:$D$209</f>
              <numCache>
                <formatCode>General</formatCode>
                <ptCount val="204"/>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China!$F$6:$F$209</f>
              <numCache>
                <formatCode>0.0%</formatCode>
                <ptCount val="204"/>
                <pt idx="2">
                  <v>0.105</v>
                </pt>
                <pt idx="5">
                  <v>0.101</v>
                </pt>
                <pt idx="8">
                  <v>0.0998</v>
                </pt>
                <pt idx="11">
                  <v>0.099</v>
                </pt>
                <pt idx="14">
                  <v>0.114</v>
                </pt>
                <pt idx="17">
                  <v>0.115</v>
                </pt>
                <pt idx="20">
                  <v>0.106</v>
                </pt>
                <pt idx="23">
                  <v>0.104</v>
                </pt>
                <pt idx="26">
                  <v>0.13</v>
                </pt>
                <pt idx="29">
                  <v>0.126</v>
                </pt>
                <pt idx="32">
                  <v>0.115</v>
                </pt>
                <pt idx="35">
                  <v>0.112</v>
                </pt>
                <pt idx="38">
                  <v>0.106</v>
                </pt>
                <pt idx="41">
                  <v>0.101</v>
                </pt>
                <pt idx="44">
                  <v>0.09</v>
                </pt>
                <pt idx="47">
                  <v>0.068</v>
                </pt>
                <pt idx="50">
                  <v>0.062</v>
                </pt>
                <pt idx="53">
                  <v>0.079</v>
                </pt>
                <pt idx="56">
                  <v>0.091</v>
                </pt>
                <pt idx="59">
                  <v>0.107</v>
                </pt>
                <pt idx="62">
                  <v>0.119</v>
                </pt>
                <pt idx="65">
                  <v>0.103</v>
                </pt>
                <pt idx="68">
                  <v>0.096</v>
                </pt>
                <pt idx="71">
                  <v>0.098</v>
                </pt>
                <pt idx="74">
                  <v>0.097</v>
                </pt>
                <pt idx="77">
                  <v>0.095</v>
                </pt>
                <pt idx="80">
                  <v>0.091</v>
                </pt>
                <pt idx="83">
                  <v>0.089</v>
                </pt>
                <pt idx="86">
                  <v>0.081</v>
                </pt>
                <pt idx="89">
                  <v>0.076</v>
                </pt>
                <pt idx="92">
                  <v>0.074</v>
                </pt>
                <pt idx="95">
                  <v>0.079</v>
                </pt>
                <pt idx="98">
                  <v>0.078</v>
                </pt>
                <pt idx="101">
                  <v>0.075</v>
                </pt>
                <pt idx="104">
                  <v>0.079</v>
                </pt>
                <pt idx="107">
                  <v>0.076</v>
                </pt>
                <pt idx="110">
                  <v>0.073</v>
                </pt>
                <pt idx="113">
                  <v>0.074</v>
                </pt>
                <pt idx="116">
                  <v>0.07199999999999999</v>
                </pt>
                <pt idx="119">
                  <v>0.07199999999999999</v>
                </pt>
                <pt idx="122">
                  <v>0.07000000000000001</v>
                </pt>
                <pt idx="125">
                  <v>0.07000000000000001</v>
                </pt>
                <pt idx="128">
                  <v>0.06900000000000001</v>
                </pt>
                <pt idx="131">
                  <v>0.068</v>
                </pt>
                <pt idx="134">
                  <v>0.067</v>
                </pt>
                <pt idx="137">
                  <v>0.067</v>
                </pt>
                <pt idx="140">
                  <v>0.067</v>
                </pt>
                <pt idx="143">
                  <v>0.068</v>
                </pt>
                <pt idx="146">
                  <v>0.06900000000000001</v>
                </pt>
                <pt idx="149">
                  <v>0.06900000000000001</v>
                </pt>
                <pt idx="152">
                  <v>0.068</v>
                </pt>
                <pt idx="155">
                  <v>0.068</v>
                </pt>
                <pt idx="158">
                  <v>0.068</v>
                </pt>
                <pt idx="161">
                  <v>0.067</v>
                </pt>
                <pt idx="164">
                  <v>0.065</v>
                </pt>
                <pt idx="167">
                  <v>0.064</v>
                </pt>
                <pt idx="170">
                  <v>0.064</v>
                </pt>
                <pt idx="173">
                  <formatCode>0.00%</formatCode>
                  <v>0.064</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China!$B$6:$B$209</f>
              <numCache>
                <formatCode>General</formatCode>
                <ptCount val="20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China!$K$2</f>
          <strCache>
            <ptCount val="1"/>
            <pt idx="0">
              <v>Caixin China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China!$B$5</f>
              <strCache>
                <ptCount val="1"/>
                <pt idx="0">
                  <v>Caixin PMI</v>
                </pt>
              </strCache>
            </strRef>
          </tx>
          <spPr>
            <a:solidFill xmlns:a="http://schemas.openxmlformats.org/drawingml/2006/main">
              <a:schemeClr val="accent1"/>
            </a:solidFill>
            <a:ln xmlns:a="http://schemas.openxmlformats.org/drawingml/2006/main">
              <a:noFill/>
              <a:prstDash val="solid"/>
            </a:ln>
          </spP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China!$B$6:$B$209</f>
              <numCache>
                <formatCode>General</formatCode>
                <ptCount val="20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Area'!$A$18:$A$214</f>
              <numCache>
                <formatCode>m/d/yy</formatCode>
                <ptCount val="19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'Euro Area'!$E$18:$E$214</f>
              <numCache>
                <formatCode>General</formatCode>
                <ptCount val="197"/>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Area'!$A$18:$A$214</f>
              <numCache>
                <formatCode>m/d/yy</formatCode>
                <ptCount val="19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'Euro Area'!$F$18:$F$214</f>
              <numCache>
                <formatCode>0.0%</formatCode>
                <ptCount val="197"/>
                <pt idx="0">
                  <v>0.08907518686741775</v>
                </pt>
                <pt idx="1">
                  <v>0.1870935057164489</v>
                </pt>
                <pt idx="2">
                  <v>0.1458203977315319</v>
                </pt>
                <pt idx="3">
                  <v>0.2258090658682631</v>
                </pt>
                <pt idx="4">
                  <v>0.326533670911457</v>
                </pt>
                <pt idx="5">
                  <v>0.2736726587693932</v>
                </pt>
                <pt idx="6">
                  <v>0.2588048895628039</v>
                </pt>
                <pt idx="7">
                  <v>0.2183275998351158</v>
                </pt>
                <pt idx="8">
                  <v>0.24520868157836</v>
                </pt>
                <pt idx="9">
                  <v>0.2452578543401023</v>
                </pt>
                <pt idx="10">
                  <v>0.3381463037818936</v>
                </pt>
                <pt idx="11">
                  <v>0.3747117687595454</v>
                </pt>
                <pt idx="12">
                  <v>0.3535139197839393</v>
                </pt>
                <pt idx="13">
                  <v>0.2878785537432621</v>
                </pt>
                <pt idx="14">
                  <v>0.2670368036468967</v>
                </pt>
                <pt idx="15">
                  <v>0.2641429933499465</v>
                </pt>
                <pt idx="16">
                  <v>0.2858013530909395</v>
                </pt>
                <pt idx="17">
                  <v>0.3836760962944348</v>
                </pt>
                <pt idx="18">
                  <v>0.3641417584515415</v>
                </pt>
                <pt idx="19">
                  <v>0.3056826433542919</v>
                </pt>
                <pt idx="20">
                  <v>0.2565511660584342</v>
                </pt>
                <pt idx="21">
                  <v>0.3067049551737143</v>
                </pt>
                <pt idx="22">
                  <v>0.3262472570359764</v>
                </pt>
                <pt idx="23">
                  <v>0.2325131192085346</v>
                </pt>
                <pt idx="24">
                  <v>0.1753276008275457</v>
                </pt>
                <pt idx="25">
                  <v>0.04665849368465317</v>
                </pt>
                <pt idx="26">
                  <v>0.04754188798009257</v>
                </pt>
                <pt idx="27">
                  <v>0.0311245420278107</v>
                </pt>
                <pt idx="28">
                  <v>0.009039440006301259</v>
                </pt>
                <pt idx="29">
                  <v>-0.01622223271985927</v>
                </pt>
                <pt idx="30">
                  <v>-0.1482945149387449</v>
                </pt>
                <pt idx="31">
                  <v>-0.1105887963432464</v>
                </pt>
                <pt idx="32">
                  <v>-0.145345854266138</v>
                </pt>
                <pt idx="33">
                  <v>-0.3013399219729044</v>
                </pt>
                <pt idx="34">
                  <v>-0.4978918635645052</v>
                </pt>
                <pt idx="35">
                  <v>-0.5220053107250545</v>
                </pt>
                <pt idx="36">
                  <v>-0.4544521164998255</v>
                </pt>
                <pt idx="37">
                  <v>-0.499688904474723</v>
                </pt>
                <pt idx="38">
                  <v>-0.5564336509795542</v>
                </pt>
                <pt idx="39">
                  <v>-0.5244643719311873</v>
                </pt>
                <pt idx="40">
                  <v>-0.4756981389448667</v>
                </pt>
                <pt idx="41">
                  <v>-0.4133983578259893</v>
                </pt>
                <pt idx="42">
                  <v>-0.3467942648980106</v>
                </pt>
                <pt idx="43">
                  <v>-0.2662780214161731</v>
                </pt>
                <pt idx="44">
                  <v>-0.1884612536387578</v>
                </pt>
                <pt idx="45">
                  <v>-0.0002384150266117709</v>
                </pt>
                <pt idx="46">
                  <v>0.2647766139310663</v>
                </pt>
                <pt idx="47">
                  <v>0.4331735355887066</v>
                </pt>
                <pt idx="48">
                  <v>0.2788757753364045</v>
                </pt>
                <pt idx="49">
                  <v>0.4067903357584101</v>
                </pt>
                <pt idx="50">
                  <v>0.5521372605048862</v>
                </pt>
                <pt idx="51">
                  <v>0.5163701861751295</v>
                </pt>
                <pt idx="52">
                  <v>0.2570517261890478</v>
                </pt>
                <pt idx="53">
                  <v>-0.02974494379432964</v>
                </pt>
                <pt idx="54">
                  <v>-0.02605539486290778</v>
                </pt>
                <pt idx="55">
                  <v>0.006595039611595375</v>
                </pt>
                <pt idx="56">
                  <v>-0.1187256731935349</v>
                </pt>
                <pt idx="57">
                  <v>-0.06252943884435855</v>
                </pt>
                <pt idx="58">
                  <v>0.04202047436972253</v>
                </pt>
                <pt idx="59">
                  <v>-0.1165569353606107</v>
                </pt>
                <pt idx="60">
                  <v>-0.03144393756288157</v>
                </pt>
                <pt idx="61">
                  <v>0.1192421349439546</v>
                </pt>
                <pt idx="62">
                  <v>0.1875288162211374</v>
                </pt>
                <pt idx="63">
                  <v>0.109616254934049</v>
                </pt>
                <pt idx="64">
                  <v>0.2605715237315777</v>
                </pt>
                <pt idx="65">
                  <v>0.3740131614116002</v>
                </pt>
                <pt idx="66">
                  <v>0.3996895962516404</v>
                </pt>
                <pt idx="67">
                  <v>0.127019944504307</v>
                </pt>
                <pt idx="68">
                  <v>0.06369059397760611</v>
                </pt>
                <pt idx="69">
                  <v>-0.1866668340808442</v>
                </pt>
                <pt idx="70">
                  <v>-0.1363318515133675</v>
                </pt>
                <pt idx="71">
                  <v>-0.06974024513007469</v>
                </pt>
                <pt idx="72">
                  <v>-0.1844715551487071</v>
                </pt>
                <pt idx="73">
                  <v>-0.1761630030105003</v>
                </pt>
                <pt idx="74">
                  <v>-0.1556905285023782</v>
                </pt>
                <pt idx="75">
                  <v>-0.1574558854744329</v>
                </pt>
                <pt idx="76">
                  <v>-0.2634710424785068</v>
                </pt>
                <pt idx="77">
                  <v>-0.326397610148708</v>
                </pt>
                <pt idx="78">
                  <v>-0.2686453199379972</v>
                </pt>
                <pt idx="79">
                  <v>-0.2115339670065151</v>
                </pt>
                <pt idx="80">
                  <v>-0.04249711436481819</v>
                </pt>
                <pt idx="81">
                  <v>0.145491435622913</v>
                </pt>
                <pt idx="82">
                  <v>0.04311738851306385</v>
                </pt>
                <pt idx="83">
                  <v>0.1262376382642945</v>
                </pt>
                <pt idx="84">
                  <v>0.2489634563322322</v>
                </pt>
                <pt idx="85">
                  <v>0.2010152655771123</v>
                </pt>
                <pt idx="86">
                  <v>0.08604045095377053</v>
                </pt>
                <pt idx="87">
                  <v>0.06927143498660562</v>
                </pt>
                <pt idx="88">
                  <v>0.1980525419083435</v>
                </pt>
                <pt idx="89">
                  <v>0.3933298407931009</v>
                </pt>
                <pt idx="90">
                  <v>0.2225811728938371</v>
                </pt>
                <pt idx="91">
                  <v>0.3362880938793511</v>
                </pt>
                <pt idx="92">
                  <v>0.2305791426611117</v>
                </pt>
                <pt idx="93">
                  <v>0.291133861968585</v>
                </pt>
                <pt idx="94">
                  <v>0.3272751253758277</v>
                </pt>
                <pt idx="95">
                  <v>0.3022604136747279</v>
                </pt>
                <pt idx="96">
                  <v>0.2717254280513338</v>
                </pt>
                <pt idx="97">
                  <v>0.1624990548871431</v>
                </pt>
                <pt idx="98">
                  <v>0.303687946410607</v>
                </pt>
                <pt idx="99">
                  <v>0.3306395753876857</v>
                </pt>
                <pt idx="100">
                  <v>0.2814094376693358</v>
                </pt>
                <pt idx="101">
                  <v>0.2755024104983948</v>
                </pt>
                <pt idx="102">
                  <v>0.33918618718933</v>
                </pt>
                <pt idx="103">
                  <v>0.1522178773455045</v>
                </pt>
                <pt idx="104">
                  <v>0.1755452194416382</v>
                </pt>
                <pt idx="105">
                  <v>0.04338835555036265</v>
                </pt>
                <pt idx="106">
                  <v>-0.03865561453566128</v>
                </pt>
                <pt idx="107">
                  <v>-0.01573533034216235</v>
                </pt>
                <pt idx="108">
                  <v>-0.1022671902148288</v>
                </pt>
                <pt idx="109">
                  <v>-0.04107699495598896</v>
                </pt>
                <pt idx="110">
                  <v>-0.04790217512332846</v>
                </pt>
                <pt idx="111">
                  <v>-0.06298744451189817</v>
                </pt>
                <pt idx="112">
                  <v>-0.05945592561239307</v>
                </pt>
                <pt idx="113">
                  <v>-0.07316847849263183</v>
                </pt>
                <pt idx="114">
                  <v>-0.08932395233218937</v>
                </pt>
                <pt idx="115">
                  <v>-0.003645341956034918</v>
                </pt>
                <pt idx="116">
                  <v>-0.07403218484298489</v>
                </pt>
                <pt idx="117">
                  <v>-0.08580690536520712</v>
                </pt>
                <pt idx="118">
                  <v>0.009867433357043036</v>
                </pt>
                <pt idx="119">
                  <v>-0.03547457226360747</v>
                </pt>
                <pt idx="120">
                  <v>-0.01145369758600701</v>
                </pt>
                <pt idx="121">
                  <v>-0.07695534109120976</v>
                </pt>
                <pt idx="122">
                  <v>-0.1676189839987561</v>
                </pt>
                <pt idx="123">
                  <v>-0.09095823101911162</v>
                </pt>
                <pt idx="124">
                  <v>-0.08802581433134944</v>
                </pt>
                <pt idx="125">
                  <v>-0.1155161192604059</v>
                </pt>
                <pt idx="126">
                  <v>-0.1233652658731214</v>
                </pt>
                <pt idx="127">
                  <v>-0.1018750347152771</v>
                </pt>
                <pt idx="128">
                  <v>-0.02446527387572327</v>
                </pt>
                <pt idx="129">
                  <v>0.03163554124205954</v>
                </pt>
                <pt idx="130">
                  <v>-0.04838912294296401</v>
                </pt>
                <pt idx="131">
                  <v>-0.0790498581206138</v>
                </pt>
                <pt idx="132">
                  <v>0.01425082206935969</v>
                </pt>
                <pt idx="133">
                  <v>0.09808061972440425</v>
                </pt>
                <pt idx="134">
                  <v>0.1486947714288599</v>
                </pt>
                <pt idx="135">
                  <v>0.1278760487242902</v>
                </pt>
                <pt idx="136">
                  <v>0.1477023709086417</v>
                </pt>
                <pt idx="137">
                  <v>0.2498012365169102</v>
                </pt>
                <pt idx="138">
                  <v>0.2892435898776596</v>
                </pt>
                <pt idx="139">
                  <v>0.2579397776050853</v>
                </pt>
                <pt idx="140">
                  <v>0.2499432283835155</v>
                </pt>
                <pt idx="141">
                  <v>0.2839579733493365</v>
                </pt>
                <pt idx="142">
                  <v>0.3123914899887144</v>
                </pt>
                <pt idx="143">
                  <v>0.363411010283994</v>
                </pt>
                <pt idx="144">
                  <v>0.2816487282544754</v>
                </pt>
                <pt idx="145">
                  <v>0.339869552458804</v>
                </pt>
                <pt idx="146">
                  <v>0.257137520366394</v>
                </pt>
                <pt idx="147">
                  <v>0.1760483674949389</v>
                </pt>
                <pt idx="148">
                  <v>0.1523720360079217</v>
                </pt>
                <pt idx="149">
                  <v>0.05869802724103228</v>
                </pt>
                <pt idx="150">
                  <v>0.03725509502389664</v>
                </pt>
                <pt idx="151">
                  <v>0.05212575907781698</v>
                </pt>
                <pt idx="152">
                  <v>0.01388935270031617</v>
                </pt>
                <pt idx="153">
                  <v>-0.02597133024511906</v>
                </pt>
                <pt idx="154">
                  <v>-0.1227527650366234</v>
                </pt>
                <pt idx="155">
                  <v>-0.1236051459547358</v>
                </pt>
                <pt idx="156">
                  <v>-0.1684414073379633</v>
                </pt>
                <pt idx="157">
                  <v>-0.1712707642204154</v>
                </pt>
                <pt idx="158">
                  <v>-0.09086431446476201</v>
                </pt>
                <pt idx="159">
                  <v>-0.08288146065675368</v>
                </pt>
                <pt idx="160">
                  <v>-0.0583141253659888</v>
                </pt>
                <pt idx="161">
                  <v>-0.0861793156719803</v>
                </pt>
                <pt idx="162">
                  <v>-0.00644085676870892</v>
                </pt>
                <pt idx="163">
                  <v>-0.06660468452137511</v>
                </pt>
                <pt idx="164">
                  <v>-0.05056090781723047</v>
                </pt>
                <pt idx="165">
                  <v>-0.02102980180766176</v>
                </pt>
                <pt idx="166">
                  <v>0.116592100949793</v>
                </pt>
                <pt idx="167">
                  <v>0.130747023771995</v>
                </pt>
                <pt idx="168">
                  <v>0.234328125910741</v>
                </pt>
                <pt idx="169">
                  <v>0.117375590467512</v>
                </pt>
                <pt idx="170">
                  <v>0.003410055728066503</v>
                </pt>
                <pt idx="171">
                  <v>-0.1851002171460424</v>
                </pt>
                <pt idx="172">
                  <v>-0.1760826700241138</v>
                </pt>
                <pt idx="173">
                  <v>-0.05439328504051433</v>
                </pt>
                <pt idx="174">
                  <v>-0.04929053774027341</v>
                </pt>
                <pt idx="175">
                  <v>-0.008547137847122787</v>
                </pt>
                <pt idx="176">
                  <v>0.05258382351552431</v>
                </pt>
                <pt idx="177">
                  <v>-0.0122323567840853</v>
                </pt>
                <pt idx="178">
                  <v>-0.1007497304193423</v>
                </pt>
                <pt idx="179">
                  <v>0.06643097529412118</v>
                </pt>
                <pt idx="180">
                  <v>0.0652333707676359</v>
                </pt>
                <pt idx="181">
                  <v>0.09498382433688916</v>
                </pt>
                <pt idx="182">
                  <v>0.2224428928412372</v>
                </pt>
                <pt idx="183">
                  <v>0.5574582160918866</v>
                </pt>
                <pt idx="184">
                  <v>0.5353094270102325</v>
                </pt>
                <pt idx="185">
                  <v>0.492483828038126</v>
                </pt>
                <pt idx="186">
                  <v>0.3844977665841247</v>
                </pt>
                <pt idx="187">
                  <v>0.3552063856921009</v>
                </pt>
                <pt idx="188">
                  <v>0.3215084386482162</v>
                </pt>
                <pt idx="189">
                  <v>0.2995506837461775</v>
                </pt>
                <pt idx="190">
                  <v>0.4362303076505658</v>
                </pt>
                <pt idx="191">
                  <v>0.1352219433595632</v>
                </pt>
                <pt idx="192">
                  <v>0.1386203776039349</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'Euro Area'!$G$6:$G$210</f>
              <numCache>
                <formatCode>0.0%</formatCode>
                <ptCount val="205"/>
                <pt idx="0">
                  <v>0.01626596710390382</v>
                </pt>
                <pt idx="3">
                  <v>0.005980003578353488</v>
                </pt>
                <pt idx="6">
                  <v>0.02817202535097429</v>
                </pt>
                <pt idx="9">
                  <v>0.02911846187636358</v>
                </pt>
                <pt idx="12">
                  <v>0.025258257420125</v>
                </pt>
                <pt idx="15">
                  <v>0.03643398665829789</v>
                </pt>
                <pt idx="18">
                  <v>0.04269136085560676</v>
                </pt>
                <pt idx="21">
                  <v>0.02602650834018805</v>
                </pt>
                <pt idx="24">
                  <v>0.04633985072994085</v>
                </pt>
                <pt idx="27">
                  <v>0.03049337692017429</v>
                </pt>
                <pt idx="30">
                  <v>0.0247749840600775</v>
                </pt>
                <pt idx="33">
                  <v>0.01995261597458131</v>
                </pt>
                <pt idx="36">
                  <v>0.02152572881794867</v>
                </pt>
                <pt idx="39">
                  <v>0.02140624055348606</v>
                </pt>
                <pt idx="42">
                  <v>-0.01441173190349565</v>
                </pt>
                <pt idx="45">
                  <v>-0.02238680884382227</v>
                </pt>
                <pt idx="48">
                  <v>-0.06602641913376694</v>
                </pt>
                <pt idx="51">
                  <v>-0.1142893308666466</v>
                </pt>
                <pt idx="54">
                  <v>-0.009725130629728795</v>
                </pt>
                <pt idx="57">
                  <v>0.01355960828136893</v>
                </pt>
                <pt idx="60">
                  <v>0.02232783134509564</v>
                </pt>
                <pt idx="63">
                  <v>0.01568008506405594</v>
                </pt>
                <pt idx="66">
                  <v>0.0373261742491291</v>
                </pt>
                <pt idx="69">
                  <v>0.01866102414419979</v>
                </pt>
                <pt idx="72">
                  <v>0.02532020700156812</v>
                </pt>
                <pt idx="75">
                  <v>0.03052172878374027</v>
                </pt>
                <pt idx="78">
                  <v>0.0005577566217271901</v>
                </pt>
                <pt idx="81">
                  <v>-0.0001687093253858185</v>
                </pt>
                <pt idx="84">
                  <v>-0.01136381038946943</v>
                </pt>
                <pt idx="87">
                  <v>-0.005729169930632771</v>
                </pt>
                <pt idx="90">
                  <v>-0.01501229875795818</v>
                </pt>
                <pt idx="93">
                  <v>-0.004776341047733945</v>
                </pt>
                <pt idx="96">
                  <v>-0.01643311047580565</v>
                </pt>
                <pt idx="99">
                  <v>-0.01455867502188102</v>
                </pt>
                <pt idx="102">
                  <v>0.02020235165063977</v>
                </pt>
                <pt idx="105">
                  <v>0.01511342849726072</v>
                </pt>
                <pt idx="108">
                  <v>0.009765358482430431</v>
                </pt>
                <pt idx="111">
                  <v>0.01865311525292235</v>
                </pt>
                <pt idx="114">
                  <v>0.006362725500855149</v>
                </pt>
                <pt idx="117">
                  <v>0.01718213294300308</v>
                </pt>
                <pt idx="120">
                  <v>0.01920721404559167</v>
                </pt>
                <pt idx="123">
                  <v>0.03042104754318276</v>
                </pt>
                <pt idx="126">
                  <v>0.01505190156470881</v>
                </pt>
                <pt idx="129">
                  <v>0.01739521472396954</v>
                </pt>
                <pt idx="132">
                  <v>0.01805468775974384</v>
                </pt>
                <pt idx="135">
                  <v>0.02544199502036926</v>
                </pt>
                <pt idx="138">
                  <v>0.01120542011685677</v>
                </pt>
                <pt idx="141">
                  <v>0.01522200750080538</v>
                </pt>
                <pt idx="144">
                  <v>0.03171176605552839</v>
                </pt>
                <pt idx="147">
                  <v>0.02700031389270174</v>
                </pt>
                <pt idx="150">
                  <v>0.02724534287705382</v>
                </pt>
                <pt idx="153">
                  <v>0.02775129254707842</v>
                </pt>
                <pt idx="156">
                  <v>0.02936166237860971</v>
                </pt>
                <pt idx="159">
                  <v>0.01612637514117043</v>
                </pt>
                <pt idx="162">
                  <v>0.01533629995147701</v>
                </pt>
                <pt idx="165">
                  <v>0.006866771712166431</v>
                </pt>
                <pt idx="168">
                  <v>0.009532769369259064</v>
                </pt>
                <pt idx="171">
                  <v>0.0180880529414984</v>
                </pt>
                <pt idx="174">
                  <v>0.007578523033333839</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'Euro Area'!$B$6:$B$210</f>
              <numCache>
                <formatCode>General</formatCode>
                <ptCount val="20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in val="-0.060000000000000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'Euro Area'!$K$2</f>
          <strCache>
            <ptCount val="1"/>
            <pt idx="0">
              <v>Euro Area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'Euro Area'!$B$5</f>
              <strCache>
                <ptCount val="1"/>
                <pt idx="0">
                  <v>Euro Area PMI</v>
                </pt>
              </strCache>
            </strRef>
          </tx>
          <spPr>
            <a:solidFill xmlns:a="http://schemas.openxmlformats.org/drawingml/2006/main">
              <a:schemeClr val="accent1"/>
            </a:solidFill>
            <a:ln xmlns:a="http://schemas.openxmlformats.org/drawingml/2006/main">
              <a:noFill/>
              <a:prstDash val="solid"/>
            </a:ln>
          </spPr>
          <cat>
            <numRef>
              <f>'Euro Area'!$A$6:$A$210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'Euro Area'!$B$6:$B$210</f>
              <numCache>
                <formatCode>General</formatCode>
                <ptCount val="20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Japan!$B$5</f>
              <strCache>
                <ptCount val="1"/>
                <pt idx="0">
                  <v>PMI</v>
                </pt>
              </strCache>
            </strRef>
          </tx>
          <spPr>
            <a:solidFill xmlns:a="http://schemas.openxmlformats.org/drawingml/2006/main">
              <a:schemeClr val="accent1"/>
            </a:solidFill>
            <a:ln xmlns:a="http://schemas.openxmlformats.org/drawingml/2006/main">
              <a:noFill/>
              <a:prstDash val="solid"/>
            </a:ln>
          </spPr>
          <cat>
            <numRef>
              <f>Japan!$A$6:$A$172</f>
              <numCache>
                <formatCode>m/d/yy</formatCode>
                <ptCount val="167"/>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numCache>
            </numRef>
          </cat>
          <val>
            <numRef>
              <f>Japan!$B$6:$B$172</f>
              <numCache>
                <formatCode>General</formatCode>
                <ptCount val="167"/>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Germany!$B$5</f>
              <strCache>
                <ptCount val="1"/>
                <pt idx="0">
                  <v>PMI</v>
                </pt>
              </strCache>
            </strRef>
          </tx>
          <spPr>
            <a:solidFill xmlns:a="http://schemas.openxmlformats.org/drawingml/2006/main">
              <a:schemeClr val="accent1"/>
            </a:solidFill>
            <a:ln xmlns:a="http://schemas.openxmlformats.org/drawingml/2006/main">
              <a:noFill/>
              <a:prstDash val="solid"/>
            </a:ln>
          </spPr>
          <cat>
            <numRef>
              <f>Germany!$A$6:$A$173</f>
              <numCache>
                <formatCode>m/d/yy</formatCode>
                <ptCount val="168"/>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numCache>
            </numRef>
          </cat>
          <val>
            <numRef>
              <f>Germany!$B$6:$B$173</f>
              <numCache>
                <formatCode>General</formatCode>
                <ptCount val="168"/>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France!$B$5</f>
              <strCache>
                <ptCount val="1"/>
                <pt idx="0">
                  <v>PMI</v>
                </pt>
              </strCache>
            </strRef>
          </tx>
          <spPr>
            <a:solidFill xmlns:a="http://schemas.openxmlformats.org/drawingml/2006/main">
              <a:schemeClr val="accent1"/>
            </a:solidFill>
            <a:ln xmlns:a="http://schemas.openxmlformats.org/drawingml/2006/main">
              <a:noFill/>
              <a:prstDash val="solid"/>
            </a:ln>
          </spPr>
          <cat>
            <numRef>
              <f>France!$A$6:$A$166</f>
              <numCache>
                <formatCode>m/d/yy</formatCode>
                <ptCount val="161"/>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numCache>
            </numRef>
          </cat>
          <val>
            <numRef>
              <f>France!$B$6:$B$166</f>
              <numCache>
                <formatCode>General</formatCode>
                <ptCount val="161"/>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UK!$B$18:$B$215</f>
              <numCache>
                <formatCode>General</formatCode>
                <ptCount val="198"/>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UK!$D$18:$D$215</f>
              <numCache>
                <formatCode>0.00</formatCode>
                <ptCount val="198"/>
                <pt idx="0">
                  <v>19.482235</v>
                </pt>
                <pt idx="1">
                  <v>21.306637</v>
                </pt>
                <pt idx="2">
                  <v>21.187733</v>
                </pt>
                <pt idx="3">
                  <v>21.793093</v>
                </pt>
                <pt idx="4">
                  <v>23.187592</v>
                </pt>
                <pt idx="5">
                  <v>22.571417</v>
                </pt>
                <pt idx="6">
                  <v>22.75519</v>
                </pt>
                <pt idx="7">
                  <v>23.349747</v>
                </pt>
                <pt idx="8">
                  <v>23.857819</v>
                </pt>
                <pt idx="9">
                  <v>23.66324</v>
                </pt>
                <pt idx="10">
                  <v>24.75506</v>
                </pt>
                <pt idx="11">
                  <v>25.457708</v>
                </pt>
                <pt idx="12">
                  <v>25.30637</v>
                </pt>
                <pt idx="13">
                  <v>26.362038</v>
                </pt>
                <pt idx="14">
                  <v>25.970585</v>
                </pt>
                <pt idx="15">
                  <v>26.92127</v>
                </pt>
                <pt idx="16">
                  <v>27.793663</v>
                </pt>
                <pt idx="17">
                  <v>28.38645</v>
                </pt>
                <pt idx="18">
                  <v>28.576595</v>
                </pt>
                <pt idx="19">
                  <v>27.614719</v>
                </pt>
                <pt idx="20">
                  <v>27.670639</v>
                </pt>
                <pt idx="21">
                  <v>28.777901</v>
                </pt>
                <pt idx="22">
                  <v>30.444414</v>
                </pt>
                <pt idx="23">
                  <v>28.654877</v>
                </pt>
                <pt idx="24">
                  <v>26.932455</v>
                </pt>
                <pt idx="25">
                  <v>25.648849</v>
                </pt>
                <pt idx="26">
                  <v>25.347914</v>
                </pt>
                <pt idx="27">
                  <v>24.95439</v>
                </pt>
                <pt idx="28">
                  <v>26.435904</v>
                </pt>
                <pt idx="29">
                  <v>26.378036</v>
                </pt>
                <pt idx="30">
                  <v>23.982136</v>
                </pt>
                <pt idx="31">
                  <v>23.523266</v>
                </pt>
                <pt idx="32">
                  <v>22.730083</v>
                </pt>
                <pt idx="33">
                  <v>19.711241</v>
                </pt>
                <pt idx="34">
                  <v>15.816351</v>
                </pt>
                <pt idx="35">
                  <v>14.798231</v>
                </pt>
                <pt idx="36">
                  <v>14.502268</v>
                </pt>
                <pt idx="37">
                  <v>13.519698</v>
                </pt>
                <pt idx="38">
                  <v>12.204268</v>
                </pt>
                <pt idx="39">
                  <v>12.764542</v>
                </pt>
                <pt idx="40">
                  <v>14.287027</v>
                </pt>
                <pt idx="41">
                  <v>16.723017</v>
                </pt>
                <pt idx="42">
                  <v>16.089655</v>
                </pt>
                <pt idx="43">
                  <v>17.770754</v>
                </pt>
                <pt idx="44">
                  <v>18.539619</v>
                </pt>
                <pt idx="45">
                  <v>19.234083</v>
                </pt>
                <pt idx="46">
                  <v>19.20928</v>
                </pt>
                <pt idx="47">
                  <v>20.176565</v>
                </pt>
                <pt idx="48">
                  <v>20.089762</v>
                </pt>
                <pt idx="49">
                  <v>19.358707</v>
                </pt>
                <pt idx="50">
                  <v>19.195612</v>
                </pt>
                <pt idx="51">
                  <v>20.412584</v>
                </pt>
                <pt idx="52">
                  <v>19.973471</v>
                </pt>
                <pt idx="53">
                  <v>17.777897</v>
                </pt>
                <pt idx="54">
                  <v>16.862024</v>
                </pt>
                <pt idx="55">
                  <v>19.648413</v>
                </pt>
                <pt idx="56">
                  <v>19.099432</v>
                </pt>
                <pt idx="57">
                  <v>20.88681</v>
                </pt>
                <pt idx="58">
                  <v>21.767729</v>
                </pt>
                <pt idx="59">
                  <v>20.631474</v>
                </pt>
                <pt idx="60">
                  <v>22.176281</v>
                </pt>
                <pt idx="61">
                  <v>22.644909</v>
                </pt>
                <pt idx="62">
                  <v>23.676569</v>
                </pt>
                <pt idx="63">
                  <v>23.096256</v>
                </pt>
                <pt idx="64">
                  <v>24.643744</v>
                </pt>
                <pt idx="65">
                  <v>24.063437</v>
                </pt>
                <pt idx="66">
                  <v>22.967297</v>
                </pt>
                <pt idx="67">
                  <v>23.272287</v>
                </pt>
                <pt idx="68">
                  <v>21.488169</v>
                </pt>
                <pt idx="69">
                  <v>19.376085</v>
                </pt>
                <pt idx="70">
                  <v>21.881729</v>
                </pt>
                <pt idx="71">
                  <v>21.527525</v>
                </pt>
                <pt idx="72">
                  <v>21.19956</v>
                </pt>
                <pt idx="73">
                  <v>22.209337</v>
                </pt>
                <pt idx="74">
                  <v>23.341106</v>
                </pt>
                <pt idx="75">
                  <v>23.034859</v>
                </pt>
                <pt idx="76">
                  <v>23.367737</v>
                </pt>
                <pt idx="77">
                  <v>20.704746</v>
                </pt>
                <pt idx="78">
                  <v>21.690054</v>
                </pt>
                <pt idx="79">
                  <v>22.394911</v>
                </pt>
                <pt idx="80">
                  <v>23.130957</v>
                </pt>
                <pt idx="81">
                  <v>23.71707</v>
                </pt>
                <pt idx="82">
                  <v>23.826113</v>
                </pt>
                <pt idx="83">
                  <v>24.098724</v>
                </pt>
                <pt idx="84">
                  <v>24.453117</v>
                </pt>
                <pt idx="85">
                  <v>25.53363</v>
                </pt>
                <pt idx="86">
                  <v>24.842403</v>
                </pt>
                <pt idx="87">
                  <v>25.257137</v>
                </pt>
                <pt idx="88">
                  <v>25.976015</v>
                </pt>
                <pt idx="89">
                  <v>25.94836</v>
                </pt>
                <pt idx="90">
                  <v>24.413853</v>
                </pt>
                <pt idx="91">
                  <v>26.360989</v>
                </pt>
                <pt idx="92">
                  <v>26.164579</v>
                </pt>
                <pt idx="93">
                  <v>27.525415</v>
                </pt>
                <pt idx="94">
                  <v>28.549549</v>
                </pt>
                <pt idx="95">
                  <v>28.774027</v>
                </pt>
                <pt idx="96">
                  <v>29.293106</v>
                </pt>
                <pt idx="97">
                  <v>28.268082</v>
                </pt>
                <pt idx="98">
                  <v>30.184797</v>
                </pt>
                <pt idx="99">
                  <v>29.233541</v>
                </pt>
                <pt idx="100">
                  <v>30.553951</v>
                </pt>
                <pt idx="101">
                  <v>30.852104</v>
                </pt>
                <pt idx="102">
                  <v>29.645281</v>
                </pt>
                <pt idx="103">
                  <v>30.356291</v>
                </pt>
                <pt idx="104">
                  <v>30.594606</v>
                </pt>
                <pt idx="105">
                  <v>28.866774</v>
                </pt>
                <pt idx="106">
                  <v>28.315653</v>
                </pt>
                <pt idx="107">
                  <v>28.345448</v>
                </pt>
                <pt idx="108">
                  <v>26.85593</v>
                </pt>
                <pt idx="109">
                  <v>27.40794</v>
                </pt>
                <pt idx="110">
                  <v>29.018381</v>
                </pt>
                <pt idx="111">
                  <v>27.362354</v>
                </pt>
                <pt idx="112">
                  <v>29.185503</v>
                </pt>
                <pt idx="113">
                  <v>29.367815</v>
                </pt>
                <pt idx="114">
                  <v>27.726986</v>
                </pt>
                <pt idx="115">
                  <v>28.681118</v>
                </pt>
                <pt idx="116">
                  <v>26.391573</v>
                </pt>
                <pt idx="117">
                  <v>25.355099</v>
                </pt>
                <pt idx="118">
                  <v>27.025841</v>
                </pt>
                <pt idx="119">
                  <v>26.577215</v>
                </pt>
                <pt idx="120">
                  <v>24.968349</v>
                </pt>
                <pt idx="121">
                  <v>24.239233</v>
                </pt>
                <pt idx="122">
                  <v>23.481758</v>
                </pt>
                <pt idx="123">
                  <v>24.744221</v>
                </pt>
                <pt idx="124">
                  <v>25.738405</v>
                </pt>
                <pt idx="125">
                  <v>25.438572</v>
                </pt>
                <pt idx="126">
                  <v>24.255013</v>
                </pt>
                <pt idx="127">
                  <v>25.230652</v>
                </pt>
                <pt idx="128">
                  <v>25.505602</v>
                </pt>
                <pt idx="129">
                  <v>25.618811</v>
                </pt>
                <pt idx="130">
                  <v>24.260242</v>
                </pt>
                <pt idx="131">
                  <v>24.308758</v>
                </pt>
                <pt idx="132">
                  <v>24.818224</v>
                </pt>
                <pt idx="133">
                  <v>25.784966</v>
                </pt>
                <pt idx="134">
                  <v>26.162106</v>
                </pt>
                <pt idx="135">
                  <v>26.686821</v>
                </pt>
                <pt idx="136">
                  <v>27.137749</v>
                </pt>
                <pt idx="137">
                  <v>28.375755</v>
                </pt>
                <pt idx="138">
                  <v>27.326324</v>
                </pt>
                <pt idx="139">
                  <v>28.59103</v>
                </pt>
                <pt idx="140">
                  <v>28.356411</v>
                </pt>
                <pt idx="141">
                  <v>29.202745</v>
                </pt>
                <pt idx="142">
                  <v>29.37871</v>
                </pt>
                <pt idx="143">
                  <v>29.345196</v>
                </pt>
                <pt idx="144">
                  <v>30.015556</v>
                </pt>
                <pt idx="145">
                  <v>31.725664</v>
                </pt>
                <pt idx="146">
                  <v>29.59981</v>
                </pt>
                <pt idx="147">
                  <v>29.668108</v>
                </pt>
                <pt idx="148">
                  <v>30.948746</v>
                </pt>
                <pt idx="149">
                  <v>30.760918</v>
                </pt>
                <pt idx="150">
                  <v>29.693722</v>
                </pt>
                <pt idx="151">
                  <v>30.683813</v>
                </pt>
                <pt idx="152">
                  <v>29.337955</v>
                </pt>
                <pt idx="153">
                  <v>29.818615</v>
                </pt>
                <pt idx="154">
                  <v>27.799833</v>
                </pt>
                <pt idx="155">
                  <v>27.467735</v>
                </pt>
                <pt idx="156">
                  <v>25.649958</v>
                </pt>
                <pt idx="157">
                  <v>28.12026</v>
                </pt>
                <pt idx="158">
                  <v>29.084688</v>
                </pt>
                <pt idx="159">
                  <v>29.477606</v>
                </pt>
                <pt idx="160">
                  <v>30.147346</v>
                </pt>
                <pt idx="161">
                  <v>28.298859</v>
                </pt>
                <pt idx="162">
                  <v>28.861443</v>
                </pt>
                <pt idx="163">
                  <v>28.885262</v>
                </pt>
                <pt idx="164">
                  <v>27.786266</v>
                </pt>
                <pt idx="165">
                  <v>28.784521</v>
                </pt>
                <pt idx="166">
                  <v>29.791929</v>
                </pt>
                <pt idx="167">
                  <v>30.158266</v>
                </pt>
                <pt idx="168">
                  <v>31.229786</v>
                </pt>
                <pt idx="169">
                  <v>30.427158</v>
                </pt>
                <pt idx="170">
                  <v>27.313595</v>
                </pt>
                <pt idx="171">
                  <v>22.261044</v>
                </pt>
                <pt idx="172">
                  <v>23.538166</v>
                </pt>
                <pt idx="173">
                  <v>23.985626</v>
                </pt>
                <pt idx="174">
                  <v>24.013588</v>
                </pt>
                <pt idx="175">
                  <v>24.541494</v>
                </pt>
                <pt idx="176">
                  <v>25.213474</v>
                </pt>
                <pt idx="177">
                  <v>24.125057</v>
                </pt>
                <pt idx="178">
                  <v>23.036636</v>
                </pt>
                <pt idx="179">
                  <v>26.746729</v>
                </pt>
                <pt idx="180">
                  <v>27.721575</v>
                </pt>
                <pt idx="181">
                  <v>27.971512</v>
                </pt>
                <pt idx="182">
                  <v>29.072376</v>
                </pt>
                <pt idx="183">
                  <v>29.972212</v>
                </pt>
                <pt idx="184">
                  <v>31.140083</v>
                </pt>
                <pt idx="185">
                  <v>32.346252</v>
                </pt>
                <pt idx="186">
                  <v>31.302822</v>
                </pt>
                <pt idx="187">
                  <v>31.921154</v>
                </pt>
                <pt idx="188">
                  <v>32.135323</v>
                </pt>
                <pt idx="189">
                  <v>31.395462</v>
                </pt>
                <pt idx="190">
                  <v>32.787571</v>
                </pt>
                <pt idx="191">
                  <v>31.191027</v>
                </pt>
                <pt idx="192">
                  <v>32.261879</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UK!$B$5</f>
              <strCache>
                <ptCount val="1"/>
                <pt idx="0">
                  <v>PMI</v>
                </pt>
              </strCache>
            </strRef>
          </tx>
          <spPr>
            <a:solidFill xmlns:a="http://schemas.openxmlformats.org/drawingml/2006/main">
              <a:schemeClr val="accent1"/>
            </a:solidFill>
            <a:ln xmlns:a="http://schemas.openxmlformats.org/drawingml/2006/main">
              <a:noFill/>
              <a:prstDash val="solid"/>
            </a:ln>
          </spPr>
          <cat>
            <numRef>
              <f>UK!$A$6:$A$210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UK!$B$6:$B$210</f>
              <numCache>
                <formatCode>General</formatCode>
                <ptCount val="205"/>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Italy!$B$5</f>
              <strCache>
                <ptCount val="1"/>
                <pt idx="0">
                  <v>PMI</v>
                </pt>
              </strCache>
            </strRef>
          </tx>
          <spPr>
            <a:solidFill xmlns:a="http://schemas.openxmlformats.org/drawingml/2006/main">
              <a:schemeClr val="accent1"/>
            </a:solidFill>
            <a:ln xmlns:a="http://schemas.openxmlformats.org/drawingml/2006/main">
              <a:noFill/>
              <a:prstDash val="solid"/>
            </a:ln>
          </spPr>
          <cat>
            <numRef>
              <f>Italy!$A$6:$A$186</f>
              <numCache>
                <formatCode>m/d/yy</formatCode>
                <ptCount val="18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numCache>
            </numRef>
          </cat>
          <val>
            <numRef>
              <f>Italy!$B$6:$B$186</f>
              <numCache>
                <formatCode>General</formatCode>
                <ptCount val="181"/>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Spain!$B$5</f>
              <strCache>
                <ptCount val="1"/>
                <pt idx="0">
                  <v>PMI</v>
                </pt>
              </strCache>
            </strRef>
          </tx>
          <spPr>
            <a:solidFill xmlns:a="http://schemas.openxmlformats.org/drawingml/2006/main">
              <a:schemeClr val="accent1"/>
            </a:solidFill>
            <a:ln xmlns:a="http://schemas.openxmlformats.org/drawingml/2006/main">
              <a:noFill/>
              <a:prstDash val="solid"/>
            </a:ln>
          </spPr>
          <cat>
            <numRef>
              <f>Spain!$A$6:$A$186</f>
              <numCache>
                <formatCode>m/d/yy</formatCode>
                <ptCount val="18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numCache>
            </numRef>
          </cat>
          <val>
            <numRef>
              <f>Spain!$B$6:$B$186</f>
              <numCache>
                <formatCode>General</formatCode>
                <ptCount val="181"/>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Brazil!$B$5</f>
              <strCache>
                <ptCount val="1"/>
                <pt idx="0">
                  <v>PMI</v>
                </pt>
              </strCache>
            </strRef>
          </tx>
          <spPr>
            <a:solidFill xmlns:a="http://schemas.openxmlformats.org/drawingml/2006/main">
              <a:schemeClr val="accent1"/>
            </a:solidFill>
            <a:ln xmlns:a="http://schemas.openxmlformats.org/drawingml/2006/main">
              <a:noFill/>
              <a:prstDash val="solid"/>
            </a:ln>
          </spPr>
          <cat>
            <numRef>
              <f>Brazil!$A$6:$A$140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Brazil!$B$6:$B$140</f>
              <numCache>
                <formatCode>General</formatCode>
                <ptCount val="135"/>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Mexico!$B$5</f>
              <strCache>
                <ptCount val="1"/>
                <pt idx="0">
                  <v>PMI</v>
                </pt>
              </strCache>
            </strRef>
          </tx>
          <spPr>
            <a:solidFill xmlns:a="http://schemas.openxmlformats.org/drawingml/2006/main">
              <a:schemeClr val="accent1"/>
            </a:solidFill>
            <a:ln xmlns:a="http://schemas.openxmlformats.org/drawingml/2006/main">
              <a:noFill/>
              <a:prstDash val="solid"/>
            </a:ln>
          </spPr>
          <cat>
            <numRef>
              <f>Mexico!$A$6:$A$134</f>
              <numCache>
                <formatCode>m/d/yy</formatCode>
                <ptCount val="12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numCache>
            </numRef>
          </cat>
          <val>
            <numRef>
              <f>Mexico!$B$6:$B$134</f>
              <numCache>
                <formatCode>General</formatCode>
                <ptCount val="129"/>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Russia!$B$5</f>
              <strCache>
                <ptCount val="1"/>
                <pt idx="0">
                  <v>PMI</v>
                </pt>
              </strCache>
            </strRef>
          </tx>
          <spPr>
            <a:solidFill xmlns:a="http://schemas.openxmlformats.org/drawingml/2006/main">
              <a:schemeClr val="accent1"/>
            </a:solidFill>
            <a:ln xmlns:a="http://schemas.openxmlformats.org/drawingml/2006/main">
              <a:noFill/>
              <a:prstDash val="solid"/>
            </a:ln>
          </spPr>
          <cat>
            <numRef>
              <f>Russia!$A$6:$A$140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Russia!$B$6:$B$140</f>
              <numCache>
                <formatCode>General</formatCode>
                <ptCount val="135"/>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India!$B$5</f>
              <strCache>
                <ptCount val="1"/>
                <pt idx="0">
                  <v>PMI</v>
                </pt>
              </strCache>
            </strRef>
          </tx>
          <spPr>
            <a:solidFill xmlns:a="http://schemas.openxmlformats.org/drawingml/2006/main">
              <a:schemeClr val="accent1"/>
            </a:solidFill>
            <a:ln xmlns:a="http://schemas.openxmlformats.org/drawingml/2006/main">
              <a:noFill/>
              <a:prstDash val="solid"/>
            </a:ln>
          </spPr>
          <cat>
            <numRef>
              <f>India!$A$6:$A$140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India!$B$6:$B$140</f>
              <numCache>
                <formatCode>General</formatCode>
                <ptCount val="135"/>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Canada!$B$5</f>
              <strCache>
                <ptCount val="1"/>
                <pt idx="0">
                  <v>PMI</v>
                </pt>
              </strCache>
            </strRef>
          </tx>
          <spPr>
            <a:solidFill xmlns:a="http://schemas.openxmlformats.org/drawingml/2006/main">
              <a:schemeClr val="accent1"/>
            </a:solidFill>
            <a:ln xmlns:a="http://schemas.openxmlformats.org/drawingml/2006/main">
              <a:noFill/>
              <a:prstDash val="solid"/>
            </a:ln>
          </spPr>
          <cat>
            <numRef>
              <f>Canada!$A$6:$A$134</f>
              <numCache>
                <formatCode>m/d/yy</formatCode>
                <ptCount val="12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numCache>
            </numRef>
          </cat>
          <val>
            <numRef>
              <f>Canada!$B$6:$B$134</f>
              <numCache>
                <formatCode>General</formatCode>
                <ptCount val="129"/>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Australia!$B$5</f>
              <strCache>
                <ptCount val="1"/>
                <pt idx="0">
                  <v>PMI</v>
                </pt>
              </strCache>
            </strRef>
          </tx>
          <spPr>
            <a:solidFill xmlns:a="http://schemas.openxmlformats.org/drawingml/2006/main">
              <a:schemeClr val="accent1"/>
            </a:solidFill>
            <a:ln xmlns:a="http://schemas.openxmlformats.org/drawingml/2006/main">
              <a:noFill/>
              <a:prstDash val="solid"/>
            </a:ln>
          </spPr>
          <cat>
            <numRef>
              <f>Australia!$A$6:$A$168</f>
              <numCache>
                <formatCode>m/d/yy</formatCode>
                <ptCount val="163"/>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numCache>
            </numRef>
          </cat>
          <val>
            <numRef>
              <f>Australia!$B$6:$B$168</f>
              <numCache>
                <formatCode>General</formatCode>
                <ptCount val="163"/>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Indonesia!$B$5</f>
              <strCache>
                <ptCount val="1"/>
                <pt idx="0">
                  <v>PMI</v>
                </pt>
              </strCache>
            </strRef>
          </tx>
          <spPr>
            <a:solidFill xmlns:a="http://schemas.openxmlformats.org/drawingml/2006/main">
              <a:schemeClr val="accent1"/>
            </a:solidFill>
            <a:ln xmlns:a="http://schemas.openxmlformats.org/drawingml/2006/main">
              <a:noFill/>
              <a:prstDash val="solid"/>
            </a:ln>
          </spPr>
          <cat>
            <numRef>
              <f>Indonesia!$A$6:$A$134</f>
              <numCache>
                <formatCode>m/d/yy</formatCode>
                <ptCount val="12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numCache>
            </numRef>
          </cat>
          <val>
            <numRef>
              <f>Indonesia!$B$6:$B$134</f>
              <numCache>
                <formatCode>General</formatCode>
                <ptCount val="129"/>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SouthKorea!$B$5</f>
              <strCache>
                <ptCount val="1"/>
                <pt idx="0">
                  <v>PMI</v>
                </pt>
              </strCache>
            </strRef>
          </tx>
          <spPr>
            <a:solidFill xmlns:a="http://schemas.openxmlformats.org/drawingml/2006/main">
              <a:schemeClr val="accent1"/>
            </a:solidFill>
            <a:ln xmlns:a="http://schemas.openxmlformats.org/drawingml/2006/main">
              <a:noFill/>
              <a:prstDash val="solid"/>
            </a:ln>
          </spPr>
          <cat>
            <numRef>
              <f>SouthKorea!$A$6:$A$138</f>
              <numCache>
                <formatCode>m/d/yy</formatCode>
                <ptCount val="133"/>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numCache>
            </numRef>
          </cat>
          <val>
            <numRef>
              <f>SouthKorea!$B$6:$B$138</f>
              <numCache>
                <formatCode>General</formatCode>
                <ptCount val="133"/>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Taiwan!$B$5</f>
              <strCache>
                <ptCount val="1"/>
                <pt idx="0">
                  <v>PMI</v>
                </pt>
              </strCache>
            </strRef>
          </tx>
          <spPr>
            <a:solidFill xmlns:a="http://schemas.openxmlformats.org/drawingml/2006/main">
              <a:schemeClr val="accent1"/>
            </a:solidFill>
            <a:ln xmlns:a="http://schemas.openxmlformats.org/drawingml/2006/main">
              <a:noFill/>
              <a:prstDash val="solid"/>
            </a:ln>
          </spPr>
          <cat>
            <numRef>
              <f>Taiwan!$A$6:$A$140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Taiwan!$B$6:$B$140</f>
              <numCache>
                <formatCode>General</formatCode>
                <ptCount val="135"/>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Greece!$B$5</f>
              <strCache>
                <ptCount val="1"/>
                <pt idx="0">
                  <v>PMI</v>
                </pt>
              </strCache>
            </strRef>
          </tx>
          <spPr>
            <a:solidFill xmlns:a="http://schemas.openxmlformats.org/drawingml/2006/main">
              <a:schemeClr val="accent1"/>
            </a:solidFill>
            <a:ln xmlns:a="http://schemas.openxmlformats.org/drawingml/2006/main">
              <a:noFill/>
              <a:prstDash val="solid"/>
            </a:ln>
          </spPr>
          <cat>
            <numRef>
              <f>Greece!$A$6:$A$140</f>
              <numCache>
                <formatCode>m/d/yy</formatCode>
                <ptCount val="135"/>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Greece!$B$6:$B$140</f>
              <numCache>
                <formatCode>General</formatCode>
                <ptCount val="135"/>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Ireland!$B$5</f>
              <strCache>
                <ptCount val="1"/>
                <pt idx="0">
                  <v>PMI</v>
                </pt>
              </strCache>
            </strRef>
          </tx>
          <spPr>
            <a:solidFill xmlns:a="http://schemas.openxmlformats.org/drawingml/2006/main">
              <a:schemeClr val="accent1"/>
            </a:solidFill>
            <a:ln xmlns:a="http://schemas.openxmlformats.org/drawingml/2006/main">
              <a:noFill/>
              <a:prstDash val="solid"/>
            </a:ln>
          </spPr>
          <cat>
            <numRef>
              <f>Ireland!$A$6:$A$140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Ireland!$B$6:$B$140</f>
              <numCache>
                <formatCode>General</formatCode>
                <ptCount val="135"/>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Turkey!$B$5</f>
              <strCache>
                <ptCount val="1"/>
                <pt idx="0">
                  <v>PMI</v>
                </pt>
              </strCache>
            </strRef>
          </tx>
          <spPr>
            <a:solidFill xmlns:a="http://schemas.openxmlformats.org/drawingml/2006/main">
              <a:schemeClr val="accent1"/>
            </a:solidFill>
            <a:ln xmlns:a="http://schemas.openxmlformats.org/drawingml/2006/main">
              <a:noFill/>
              <a:prstDash val="solid"/>
            </a:ln>
          </spPr>
          <cat>
            <numRef>
              <f>Turkey!$A$6:$A$140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Turkey!$B$6:$B$140</f>
              <numCache>
                <formatCode>General</formatCode>
                <ptCount val="135"/>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CzechRepublic!$B$5</f>
              <strCache>
                <ptCount val="1"/>
                <pt idx="0">
                  <v>PMI</v>
                </pt>
              </strCache>
            </strRef>
          </tx>
          <spPr>
            <a:solidFill xmlns:a="http://schemas.openxmlformats.org/drawingml/2006/main">
              <a:schemeClr val="accent1"/>
            </a:solidFill>
            <a:ln xmlns:a="http://schemas.openxmlformats.org/drawingml/2006/main">
              <a:noFill/>
              <a:prstDash val="solid"/>
            </a:ln>
          </spPr>
          <cat>
            <numRef>
              <f>CzechRepublic!$A$6:$A$140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CzechRepublic!$B$6:$B$140</f>
              <numCache>
                <formatCode>General</formatCode>
                <ptCount val="135"/>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Poland!$B$5</f>
              <strCache>
                <ptCount val="1"/>
                <pt idx="0">
                  <v>PMI</v>
                </pt>
              </strCache>
            </strRef>
          </tx>
          <spPr>
            <a:solidFill xmlns:a="http://schemas.openxmlformats.org/drawingml/2006/main">
              <a:schemeClr val="accent1"/>
            </a:solidFill>
            <a:ln xmlns:a="http://schemas.openxmlformats.org/drawingml/2006/main">
              <a:noFill/>
              <a:prstDash val="solid"/>
            </a:ln>
          </spPr>
          <cat>
            <numRef>
              <f>Poland!$A$6:$A$140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Poland!$B$6:$B$140</f>
              <numCache>
                <formatCode>General</formatCode>
                <ptCount val="135"/>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Denmark!$B$5</f>
              <strCache>
                <ptCount val="1"/>
                <pt idx="0">
                  <v>PMI</v>
                </pt>
              </strCache>
            </strRef>
          </tx>
          <spPr>
            <a:solidFill xmlns:a="http://schemas.openxmlformats.org/drawingml/2006/main">
              <a:schemeClr val="accent1"/>
            </a:solidFill>
            <a:ln xmlns:a="http://schemas.openxmlformats.org/drawingml/2006/main">
              <a:noFill/>
              <a:prstDash val="solid"/>
            </a:ln>
          </spPr>
          <cat>
            <numRef>
              <f>Denmark!$A$6:$A$341</f>
              <numCache>
                <formatCode>m/d/yy</formatCode>
                <ptCount val="336"/>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numCache>
            </numRef>
          </cat>
          <val>
            <numRef>
              <f>Denmark!$B$6:$B$341</f>
              <numCache>
                <formatCode>General</formatCode>
                <ptCount val="336"/>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Vietnam!$B$5</f>
              <strCache>
                <ptCount val="1"/>
                <pt idx="0">
                  <v>PMI</v>
                </pt>
              </strCache>
            </strRef>
          </tx>
          <spPr>
            <a:solidFill xmlns:a="http://schemas.openxmlformats.org/drawingml/2006/main">
              <a:schemeClr val="accent1"/>
            </a:solidFill>
            <a:ln xmlns:a="http://schemas.openxmlformats.org/drawingml/2006/main">
              <a:noFill/>
              <a:prstDash val="solid"/>
            </a:ln>
          </spPr>
          <cat>
            <numRef>
              <f>Vietnam!$A$6:$A$119</f>
              <numCache>
                <formatCode>m/d/yy</formatCode>
                <ptCount val="114"/>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numCache>
            </numRef>
          </cat>
          <val>
            <numRef>
              <f>Vietnam!$B$6:$B$119</f>
              <numCache>
                <formatCode>General</formatCode>
                <ptCount val="114"/>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Thailand!$B$5</f>
              <strCache>
                <ptCount val="1"/>
                <pt idx="0">
                  <v>PMI</v>
                </pt>
              </strCache>
            </strRef>
          </tx>
          <spPr>
            <a:solidFill xmlns:a="http://schemas.openxmlformats.org/drawingml/2006/main">
              <a:schemeClr val="accent1"/>
            </a:solidFill>
            <a:ln xmlns:a="http://schemas.openxmlformats.org/drawingml/2006/main">
              <a:noFill/>
              <a:prstDash val="solid"/>
            </a:ln>
          </spPr>
          <cat>
            <numRef>
              <f>Thailand!$A$6:$A$71</f>
              <numCache>
                <formatCode>m/d/yy</formatCode>
                <ptCount val="66"/>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numCache>
            </numRef>
          </cat>
          <val>
            <numRef>
              <f>Thailand!$B$6:$B$71</f>
              <numCache>
                <formatCode>General</formatCode>
                <ptCount val="66"/>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'South Africa'!$B$5</f>
              <strCache>
                <ptCount val="1"/>
                <pt idx="0">
                  <v>PMI</v>
                </pt>
              </strCache>
            </strRef>
          </tx>
          <spPr>
            <a:solidFill xmlns:a="http://schemas.openxmlformats.org/drawingml/2006/main">
              <a:schemeClr val="accent1"/>
            </a:solidFill>
            <a:ln xmlns:a="http://schemas.openxmlformats.org/drawingml/2006/main">
              <a:noFill/>
              <a:prstDash val="solid"/>
            </a:ln>
          </spPr>
          <cat>
            <numRef>
              <f>'South Africa'!$A$6:$A$268</f>
              <numCache>
                <formatCode>m/d/yy</formatCode>
                <ptCount val="26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numCache>
            </numRef>
          </cat>
          <val>
            <numRef>
              <f>'South Africa'!$B$6:$B$268</f>
              <numCache>
                <formatCode>General</formatCode>
                <ptCount val="263"/>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'Hong Kong'!$B$5</f>
              <strCache>
                <ptCount val="1"/>
                <pt idx="0">
                  <v>PMI</v>
                </pt>
              </strCache>
            </strRef>
          </tx>
          <spPr>
            <a:solidFill xmlns:a="http://schemas.openxmlformats.org/drawingml/2006/main">
              <a:schemeClr val="accent1"/>
            </a:solidFill>
            <a:ln xmlns:a="http://schemas.openxmlformats.org/drawingml/2006/main">
              <a:noFill/>
              <a:prstDash val="solid"/>
            </a:ln>
          </spPr>
          <cat>
            <numRef>
              <f>'Hong Kong'!$A$6:$A$119</f>
              <numCache>
                <formatCode>m/d/yy</formatCode>
                <ptCount val="114"/>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numCache>
            </numRef>
          </cat>
          <val>
            <numRef>
              <f>'Hong Kong'!$B$6:$B$119</f>
              <numCache>
                <formatCode>General</formatCode>
                <ptCount val="114"/>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'Saudi Arabia'!$B$5</f>
              <strCache>
                <ptCount val="1"/>
                <pt idx="0">
                  <v>PMI</v>
                </pt>
              </strCache>
            </strRef>
          </tx>
          <spPr>
            <a:solidFill xmlns:a="http://schemas.openxmlformats.org/drawingml/2006/main">
              <a:schemeClr val="accent1"/>
            </a:solidFill>
            <a:ln xmlns:a="http://schemas.openxmlformats.org/drawingml/2006/main">
              <a:noFill/>
              <a:prstDash val="solid"/>
            </a:ln>
          </spPr>
          <cat>
            <numRef>
              <f>'Saudi Arabia'!$A$6:$A$86</f>
              <numCache>
                <formatCode>m/d/yy</formatCode>
                <ptCount val="8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numCache>
            </numRef>
          </cat>
          <val>
            <numRef>
              <f>'Saudi Arabia'!$B$6:$B$86</f>
              <numCache>
                <formatCode>General</formatCode>
                <ptCount val="8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NewZealand!$B$5</f>
              <strCache>
                <ptCount val="1"/>
                <pt idx="0">
                  <v>PMI</v>
                </pt>
              </strCache>
            </strRef>
          </tx>
          <spPr>
            <a:solidFill xmlns:a="http://schemas.openxmlformats.org/drawingml/2006/main">
              <a:schemeClr val="accent1"/>
            </a:solidFill>
            <a:ln xmlns:a="http://schemas.openxmlformats.org/drawingml/2006/main">
              <a:noFill/>
              <a:prstDash val="solid"/>
            </a:ln>
          </spPr>
          <cat>
            <numRef>
              <f>NewZealand!$A$6:$A$237</f>
              <numCache>
                <formatCode>m/d/yy</formatCode>
                <ptCount val="232"/>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numCache>
            </numRef>
          </cat>
          <val>
            <numRef>
              <f>NewZealand!$B$6:$B$237</f>
              <numCache>
                <formatCode>0.00</formatCode>
                <ptCount val="232"/>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444499</colOff>
      <row>100</row>
      <rowOff>33866</rowOff>
    </from>
    <to>
      <col>15</col>
      <colOff>465666</colOff>
      <row>121</row>
      <rowOff>177803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198435</colOff>
      <row>117</row>
      <rowOff>15876</rowOff>
    </from>
    <to>
      <col>13</col>
      <colOff>611186</colOff>
      <row>139</row>
      <rowOff>84142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330200</colOff>
      <row>174</row>
      <rowOff>118537</rowOff>
    </from>
    <to>
      <col>16</col>
      <colOff>558800</colOff>
      <row>194</row>
      <rowOff>25399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338666</colOff>
      <row>191</row>
      <rowOff>67737</rowOff>
    </from>
    <to>
      <col>16</col>
      <colOff>668867</colOff>
      <row>212</row>
      <rowOff>33867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266700</colOff>
      <row>148</row>
      <rowOff>82550</rowOff>
    </from>
    <to>
      <col>12</col>
      <colOff>152400</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0" headerRowCount="1" totalsRowShown="0" headerRowDxfId="275" dataDxfId="273" headerRowBorderDxfId="274" tableBorderDxfId="272" totalsRowBorderDxfId="271">
  <autoFilter ref="A5:F140"/>
  <tableColumns count="6">
    <tableColumn id="1" name="Date" dataDxfId="270"/>
    <tableColumn id="2" name="PMI" dataDxfId="269"/>
    <tableColumn id="3" name="mom" dataDxfId="268">
      <calculatedColumnFormula>Table1[[#This Row],[PMI]]-B5</calculatedColumnFormula>
    </tableColumn>
    <tableColumn id="4" name="ACWI" dataDxfId="267"/>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0" headerRowCount="1" totalsRowShown="0" headerRowDxfId="264" dataDxfId="262" headerRowBorderDxfId="263" tableBorderDxfId="261" totalsRowBorderDxfId="260">
  <autoFilter ref="A5:D140"/>
  <tableColumns count="4">
    <tableColumn id="1" name="Date" dataDxfId="259"/>
    <tableColumn id="2" name="PMI" dataDxfId="258"/>
    <tableColumn id="3" name="mom" dataDxfId="257">
      <calculatedColumnFormula>Table1346811[[#This Row],[PMI]]-B5</calculatedColumnFormula>
    </tableColumn>
    <tableColumn id="4" name="ISM Manufacturing" dataDxfId="256"/>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09" headerRowCount="1" totalsRowShown="0" headerRowDxfId="255" dataDxfId="253" headerRowBorderDxfId="254" tableBorderDxfId="252" totalsRowBorderDxfId="251">
  <autoFilter ref="A5:F209"/>
  <tableColumns count="6">
    <tableColumn id="1" name="Date" dataDxfId="250"/>
    <tableColumn id="2" name="Caixin PMI" dataDxfId="249"/>
    <tableColumn id="3" name="mom" dataDxfId="248">
      <calculatedColumnFormula>Table1346811121415161718192021[[#This Row],[Caixin PMI]]-B5</calculatedColumnFormula>
    </tableColumn>
    <tableColumn id="4" name="Official PMI" dataDxfId="247"/>
    <tableColumn id="5" name="mom2" dataDxfId="246">
      <calculatedColumnFormula>Table1346811121415161718192021[[#This Row],[Official PMI]]-D5</calculatedColumnFormula>
    </tableColumn>
    <tableColumn id="6" name="GDP yoy %" dataDxfId="245"/>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0" headerRowCount="1" totalsRowShown="0" headerRowDxfId="244" dataDxfId="242" headerRowBorderDxfId="243" tableBorderDxfId="241" totalsRowBorderDxfId="240">
  <autoFilter ref="A5:G210"/>
  <tableColumns count="7">
    <tableColumn id="1" name="Date" dataDxfId="239"/>
    <tableColumn id="2" name="Euro Area PMI" dataDxfId="238"/>
    <tableColumn id="3" name="mom" dataDxfId="237">
      <calculatedColumnFormula>Table13468111214[[#This Row],[Euro Area PMI]]-B5</calculatedColumnFormula>
    </tableColumn>
    <tableColumn id="4" name="EZU" dataDxfId="236"/>
    <tableColumn id="5" name="PMI yoy" dataDxfId="235"/>
    <tableColumn id="6" name="EZU yoy" dataDxfId="234"/>
    <tableColumn id="7" name="Euro Area GDP qoq %" dataDxfId="233"/>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2" headerRowCount="1" totalsRowShown="0" headerRowDxfId="232" dataDxfId="230" headerRowBorderDxfId="231" tableBorderDxfId="229" totalsRowBorderDxfId="228">
  <autoFilter ref="A5:C172"/>
  <tableColumns count="3">
    <tableColumn id="1" name="Date" dataDxfId="227"/>
    <tableColumn id="2" name="PMI" dataDxfId="226"/>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3" headerRowCount="1" totalsRowShown="0" headerRowDxfId="224" dataDxfId="222" headerRowBorderDxfId="223" tableBorderDxfId="221" totalsRowBorderDxfId="220">
  <autoFilter ref="A5:C173"/>
  <tableColumns count="3">
    <tableColumn id="1" name="Date" dataDxfId="219"/>
    <tableColumn id="2" name="PMI" dataDxfId="218"/>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6" headerRowCount="1" totalsRowShown="0" headerRowDxfId="216" dataDxfId="214" headerRowBorderDxfId="215" tableBorderDxfId="213" totalsRowBorderDxfId="212">
  <autoFilter ref="A5:C166"/>
  <tableColumns count="3">
    <tableColumn id="1" name="Date" dataDxfId="211"/>
    <tableColumn id="2" name="PMI" dataDxfId="210"/>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0" headerRowCount="1" totalsRowShown="0" headerRowDxfId="208" dataDxfId="206" headerRowBorderDxfId="207" tableBorderDxfId="205" totalsRowBorderDxfId="204">
  <autoFilter ref="A5:F210"/>
  <tableColumns count="6">
    <tableColumn id="1" name="Date" dataDxfId="203"/>
    <tableColumn id="2" name="PMI" dataDxfId="202"/>
    <tableColumn id="3" name="mom" dataDxfId="201">
      <calculatedColumnFormula>Table134681112[[#This Row],[PMI]]-B5</calculatedColumnFormula>
    </tableColumn>
    <tableColumn id="4" name="EWU" dataDxfId="200"/>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6" headerRowCount="1" totalsRowShown="0" headerRowDxfId="197" dataDxfId="195" headerRowBorderDxfId="196" tableBorderDxfId="194" totalsRowBorderDxfId="193">
  <autoFilter ref="A5:C186"/>
  <tableColumns count="3">
    <tableColumn id="1" name="Date" dataDxfId="192"/>
    <tableColumn id="2" name="PMI" dataDxfId="191"/>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6" headerRowCount="1" totalsRowShown="0" headerRowDxfId="189" dataDxfId="187" headerRowBorderDxfId="188" tableBorderDxfId="186" totalsRowBorderDxfId="185">
  <autoFilter ref="A5:C186"/>
  <tableColumns count="3">
    <tableColumn id="1" name="Date" dataDxfId="184"/>
    <tableColumn id="2" name="PMI" dataDxfId="183"/>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0" headerRowCount="1" totalsRowShown="0" headerRowDxfId="181" dataDxfId="179" headerRowBorderDxfId="180" tableBorderDxfId="178" totalsRowBorderDxfId="177">
  <autoFilter ref="A5:C140"/>
  <tableColumns count="3">
    <tableColumn id="1" name="Date" dataDxfId="176"/>
    <tableColumn id="2" name="PMI" dataDxfId="175"/>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4" headerRowCount="1" totalsRowShown="0" headerRowDxfId="173" dataDxfId="171" headerRowBorderDxfId="172" tableBorderDxfId="170" totalsRowBorderDxfId="169">
  <autoFilter ref="A5:C134"/>
  <tableColumns count="3">
    <tableColumn id="1" name="Date" dataDxfId="168"/>
    <tableColumn id="2" name="PMI" dataDxfId="167"/>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0" headerRowCount="1" totalsRowShown="0" headerRowDxfId="165" dataDxfId="163" headerRowBorderDxfId="164" tableBorderDxfId="162" totalsRowBorderDxfId="161">
  <autoFilter ref="A5:C140"/>
  <tableColumns count="3">
    <tableColumn id="1" name="Date" dataDxfId="160"/>
    <tableColumn id="2" name="PMI" dataDxfId="159"/>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0" headerRowCount="1" totalsRowShown="0" headerRowDxfId="157" dataDxfId="155" headerRowBorderDxfId="156" tableBorderDxfId="154" totalsRowBorderDxfId="153">
  <autoFilter ref="A5:C140"/>
  <tableColumns count="3">
    <tableColumn id="1" name="Date" dataDxfId="152"/>
    <tableColumn id="2" name="PMI" dataDxfId="151"/>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4" headerRowCount="1" totalsRowShown="0" headerRowDxfId="149" dataDxfId="147" headerRowBorderDxfId="148" tableBorderDxfId="146" totalsRowBorderDxfId="145">
  <autoFilter ref="A5:C134"/>
  <tableColumns count="3">
    <tableColumn id="1" name="Date" dataDxfId="144"/>
    <tableColumn id="2" name="PMI" dataDxfId="143"/>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68" headerRowCount="1" totalsRowShown="0" headerRowDxfId="141" dataDxfId="139" headerRowBorderDxfId="140" tableBorderDxfId="138" totalsRowBorderDxfId="137">
  <autoFilter ref="A5:C168"/>
  <tableColumns count="3">
    <tableColumn id="1" name="Date" dataDxfId="136"/>
    <tableColumn id="2" name="PMI" dataDxfId="135"/>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4" headerRowCount="1" totalsRowShown="0" headerRowDxfId="133" dataDxfId="131" headerRowBorderDxfId="132" tableBorderDxfId="130" totalsRowBorderDxfId="129">
  <autoFilter ref="A5:C134"/>
  <tableColumns count="3">
    <tableColumn id="1" name="Date" dataDxfId="128"/>
    <tableColumn id="2" name="PMI" dataDxfId="127"/>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38" headerRowCount="1" totalsRowShown="0" headerRowDxfId="125" dataDxfId="123" headerRowBorderDxfId="124" tableBorderDxfId="122" totalsRowBorderDxfId="121">
  <autoFilter ref="A5:C138"/>
  <tableColumns count="3">
    <tableColumn id="1" name="Date" dataDxfId="120"/>
    <tableColumn id="2" name="PMI" dataDxfId="119"/>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0" headerRowCount="1" totalsRowShown="0" headerRowDxfId="117" dataDxfId="115" headerRowBorderDxfId="116" tableBorderDxfId="114" totalsRowBorderDxfId="113">
  <autoFilter ref="A5:C140"/>
  <tableColumns count="3">
    <tableColumn id="1" name="Date" dataDxfId="112"/>
    <tableColumn id="2" name="PMI" dataDxfId="111"/>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0" headerRowCount="1" totalsRowShown="0" headerRowDxfId="109" dataDxfId="107" headerRowBorderDxfId="108" tableBorderDxfId="106" totalsRowBorderDxfId="105">
  <autoFilter ref="A5:C140"/>
  <tableColumns count="3">
    <tableColumn id="1" name="Date" dataDxfId="104"/>
    <tableColumn id="2" name="PMI" dataDxfId="103"/>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0" headerRowCount="1" totalsRowShown="0" headerRowDxfId="101" dataDxfId="99" headerRowBorderDxfId="100" tableBorderDxfId="98" totalsRowBorderDxfId="97">
  <autoFilter ref="A5:C140"/>
  <tableColumns count="3">
    <tableColumn id="1" name="Date" dataDxfId="96"/>
    <tableColumn id="2" name="PMI" dataDxfId="95"/>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0" headerRowCount="1" totalsRowShown="0" headerRowDxfId="93" dataDxfId="91" headerRowBorderDxfId="92" tableBorderDxfId="90" totalsRowBorderDxfId="89">
  <autoFilter ref="A5:C140"/>
  <tableColumns count="3">
    <tableColumn id="1" name="Date" dataDxfId="88"/>
    <tableColumn id="2" name="PMI" dataDxfId="87"/>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0" headerRowCount="1" totalsRowShown="0" headerRowDxfId="85" dataDxfId="83" headerRowBorderDxfId="84" tableBorderDxfId="82" totalsRowBorderDxfId="81">
  <autoFilter ref="A5:C140"/>
  <tableColumns count="3">
    <tableColumn id="1" name="Date" dataDxfId="80"/>
    <tableColumn id="2" name="PMI" dataDxfId="79"/>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0" headerRowCount="1" totalsRowShown="0" headerRowDxfId="77" dataDxfId="75" headerRowBorderDxfId="76" tableBorderDxfId="74" totalsRowBorderDxfId="73">
  <autoFilter ref="A5:C140"/>
  <tableColumns count="3">
    <tableColumn id="1" name="Date" dataDxfId="72"/>
    <tableColumn id="2" name="PMI" dataDxfId="71"/>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1" headerRowCount="1" totalsRowShown="0" headerRowDxfId="69" dataDxfId="67" headerRowBorderDxfId="68" tableBorderDxfId="66" totalsRowBorderDxfId="65">
  <autoFilter ref="A5:C341"/>
  <tableColumns count="3">
    <tableColumn id="1" name="Date" dataDxfId="64"/>
    <tableColumn id="2" name="PMI" dataDxfId="63"/>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19" headerRowCount="1" totalsRowShown="0" headerRowDxfId="61" dataDxfId="59" headerRowBorderDxfId="60" tableBorderDxfId="58" totalsRowBorderDxfId="57">
  <autoFilter ref="A5:C119"/>
  <tableColumns count="3">
    <tableColumn id="1" name="Date" dataDxfId="56"/>
    <tableColumn id="2" name="PMI" dataDxfId="55"/>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1" headerRowCount="1" totalsRowShown="0" headerRowDxfId="53" dataDxfId="51" headerRowBorderDxfId="52" tableBorderDxfId="50" totalsRowBorderDxfId="49">
  <autoFilter ref="A5:C71"/>
  <tableColumns count="3">
    <tableColumn id="1" name="Date" dataDxfId="48"/>
    <tableColumn id="2" name="PMI" dataDxfId="47"/>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68" headerRowCount="1" totalsRowShown="0" headerRowDxfId="45" dataDxfId="43" headerRowBorderDxfId="44" tableBorderDxfId="42" totalsRowBorderDxfId="41">
  <autoFilter ref="A5:C268"/>
  <tableColumns count="3">
    <tableColumn id="1" name="Date" dataDxfId="40"/>
    <tableColumn id="2" name="PMI" dataDxfId="39"/>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19" headerRowCount="1" totalsRowShown="0" headerRowDxfId="37" dataDxfId="35" headerRowBorderDxfId="36" tableBorderDxfId="34" totalsRowBorderDxfId="33">
  <autoFilter ref="A5:C119"/>
  <tableColumns count="3">
    <tableColumn id="1" name="Date" dataDxfId="32"/>
    <tableColumn id="2" name="PMI" dataDxfId="31"/>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6" headerRowCount="1" totalsRowShown="0" headerRowDxfId="29" dataDxfId="27" headerRowBorderDxfId="28" tableBorderDxfId="26" totalsRowBorderDxfId="25">
  <autoFilter ref="A5:C86"/>
  <tableColumns count="3">
    <tableColumn id="1" name="Date" dataDxfId="24"/>
    <tableColumn id="2" name="PMI" dataDxfId="23"/>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37" headerRowCount="1" totalsRowShown="0" headerRowDxfId="21" dataDxfId="19" headerRowBorderDxfId="20" tableBorderDxfId="18" totalsRowBorderDxfId="17">
  <autoFilter ref="A5:C237"/>
  <tableColumns count="3">
    <tableColumn id="1" name="Date" dataDxfId="16"/>
    <tableColumn id="2" name="PMI" dataDxfId="15"/>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2.xml.rels><Relationships xmlns="http://schemas.openxmlformats.org/package/2006/relationships"><Relationship Type="http://schemas.openxmlformats.org/officeDocument/2006/relationships/hyperlink" Target="https://tradingeconomics.com/country-list/manufacturing-pmi"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E37" sqref="E37"/>
    </sheetView>
  </sheetViews>
  <sheetFormatPr baseColWidth="10" defaultColWidth="9.1640625" defaultRowHeight="15"/>
  <cols>
    <col width="4" customWidth="1" style="84" min="1" max="1"/>
    <col width="12.83203125" customWidth="1" style="84" min="2" max="5"/>
    <col width="13.6640625" customWidth="1" style="84" min="6" max="6"/>
    <col width="12.83203125" customWidth="1" style="84" min="7" max="10"/>
    <col width="2" customWidth="1" style="84" min="11" max="13"/>
    <col width="9.1640625" customWidth="1" style="84" min="14" max="14"/>
    <col width="15.5" customWidth="1" style="84" min="15" max="15"/>
    <col width="12.6640625" customWidth="1" style="84" min="16" max="18"/>
    <col width="11.6640625" customWidth="1" style="84" min="19" max="19"/>
    <col width="9.1640625" customWidth="1" style="84" min="20" max="30"/>
    <col width="9.1640625" customWidth="1" style="84" min="31" max="16384"/>
  </cols>
  <sheetData>
    <row r="1">
      <c r="B1" s="88" t="n"/>
    </row>
    <row r="2" ht="16" customHeight="1" s="76" thickBot="1">
      <c r="B2" s="89" t="n"/>
      <c r="C2" s="89" t="n"/>
      <c r="D2" s="89" t="n"/>
      <c r="E2" s="89" t="n"/>
      <c r="F2" s="89" t="n"/>
      <c r="G2" s="89" t="n"/>
      <c r="H2" s="89" t="n"/>
      <c r="I2" s="89" t="n"/>
      <c r="J2" s="89" t="n"/>
    </row>
    <row r="3" ht="16" customHeight="1" s="76" thickBot="1">
      <c r="B3" s="90" t="inlineStr">
        <is>
          <t>PMI Manufacturing</t>
        </is>
      </c>
      <c r="C3" s="86" t="n"/>
      <c r="D3" s="86" t="n"/>
      <c r="E3" s="86" t="n"/>
      <c r="F3" s="86" t="n"/>
      <c r="G3" s="86" t="n"/>
      <c r="H3" s="86" t="n"/>
      <c r="I3" s="86" t="n"/>
      <c r="J3" s="87" t="n"/>
    </row>
    <row r="5">
      <c r="B5" s="81" t="inlineStr">
        <is>
          <t>Definition</t>
        </is>
      </c>
      <c r="C5" s="91" t="n"/>
      <c r="D5" s="91" t="n"/>
      <c r="E5" s="91" t="n"/>
      <c r="F5" s="91" t="n"/>
      <c r="G5" s="91" t="n"/>
      <c r="H5" s="91" t="n"/>
      <c r="I5" s="91" t="n"/>
      <c r="J5" s="82" t="n"/>
    </row>
    <row r="7" ht="225.75" customHeight="1" s="76">
      <c r="B7" s="92"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76">
      <c r="B8" s="1" t="n"/>
      <c r="C8" s="83" t="n"/>
      <c r="D8" s="83" t="n"/>
      <c r="E8" s="83" t="n"/>
      <c r="F8" s="83" t="n"/>
      <c r="G8" s="83" t="n"/>
      <c r="H8" s="83" t="n"/>
      <c r="I8" s="83" t="n"/>
      <c r="J8" s="83" t="n"/>
    </row>
    <row r="9" ht="16" customHeight="1" s="76" thickBot="1">
      <c r="B9" s="2" t="n"/>
      <c r="C9" s="3" t="n"/>
      <c r="D9" s="3" t="n"/>
      <c r="E9" s="3" t="n"/>
    </row>
    <row r="10" ht="16" customHeight="1" s="76" thickBot="1">
      <c r="B10" s="81" t="inlineStr">
        <is>
          <t>Process / TO DO LIST</t>
        </is>
      </c>
      <c r="C10" s="91" t="n"/>
      <c r="D10" s="91" t="n"/>
      <c r="E10" s="91" t="n"/>
      <c r="F10" s="91" t="n"/>
      <c r="G10" s="91" t="n"/>
      <c r="H10" s="91" t="n"/>
      <c r="I10" s="91" t="n"/>
      <c r="J10" s="82" t="n"/>
      <c r="N10" s="85" t="inlineStr">
        <is>
          <t>Summary</t>
        </is>
      </c>
      <c r="O10" s="86" t="n"/>
      <c r="P10" s="86" t="n"/>
      <c r="Q10" s="86" t="n"/>
      <c r="R10" s="86" t="n"/>
      <c r="S10" s="87" t="n"/>
    </row>
    <row r="11">
      <c r="N11" s="4" t="inlineStr">
        <is>
          <t>* input new month</t>
        </is>
      </c>
    </row>
    <row r="12" ht="16" customHeight="1" s="76" thickBot="1">
      <c r="B12" s="81" t="inlineStr">
        <is>
          <t>TO DO LIST</t>
        </is>
      </c>
      <c r="C12" s="91" t="n"/>
      <c r="D12" s="91" t="n"/>
      <c r="E12" s="91" t="n"/>
      <c r="F12" s="82" t="n"/>
      <c r="G12" s="81" t="inlineStr">
        <is>
          <t>Comments</t>
        </is>
      </c>
      <c r="H12" s="91" t="n"/>
      <c r="I12" s="91" t="n"/>
      <c r="J12" s="82" t="n"/>
    </row>
    <row r="13">
      <c r="P13" s="5" t="n">
        <v>44531</v>
      </c>
      <c r="Q13" s="6">
        <f>DATE(YEAR(P13),MONTH(P13)-1,DAY(P13))</f>
        <v/>
      </c>
      <c r="R13" s="7" t="n"/>
      <c r="S13" s="66" t="inlineStr">
        <is>
          <t>%</t>
        </is>
      </c>
    </row>
    <row r="14" ht="16" customHeight="1" s="76" thickBot="1">
      <c r="B14" s="84" t="inlineStr">
        <is>
          <t>https://www.markiteconomics.com/Public/Release/PressReleases?language=en</t>
        </is>
      </c>
      <c r="G14" s="84" t="inlineStr">
        <is>
          <t>Global PMI Calendar. Update Global Index Number in Tab</t>
        </is>
      </c>
      <c r="O14" s="84" t="inlineStr">
        <is>
          <t>Country</t>
        </is>
      </c>
      <c r="P14" s="8" t="inlineStr">
        <is>
          <t>ISM</t>
        </is>
      </c>
      <c r="Q14" s="8" t="inlineStr">
        <is>
          <t>ISM</t>
        </is>
      </c>
      <c r="R14" s="9" t="inlineStr">
        <is>
          <t>Change %</t>
        </is>
      </c>
      <c r="S14" s="67" t="inlineStr">
        <is>
          <t>World GDP</t>
        </is>
      </c>
    </row>
    <row r="15" ht="30.75" customHeight="1" s="76">
      <c r="G15" s="83" t="inlineStr">
        <is>
          <t>JPMorgan Global Manufacturing PMI</t>
        </is>
      </c>
      <c r="N15" s="81" t="inlineStr">
        <is>
          <t>Global</t>
        </is>
      </c>
      <c r="O15" s="82" t="n"/>
      <c r="P15" s="25">
        <f>VLOOKUP($P$13,Summary!$B:$AB,MATCH(Note!N15,Summary!$B$2:$AB$2,),)</f>
        <v/>
      </c>
      <c r="Q15" s="25">
        <f>VLOOKUP($Q$13,Summary!$B:$AB,MATCH(Note!N15,Summary!$B$2:$AB$2,),)</f>
        <v/>
      </c>
      <c r="R15" s="63">
        <f>P15-Q15</f>
        <v/>
      </c>
      <c r="S15" s="65" t="n"/>
    </row>
    <row r="16">
      <c r="B16" s="83" t="inlineStr">
        <is>
          <t>https://tradingeconomics.com/country-list/manufacturing-pmi</t>
        </is>
      </c>
      <c r="G16" s="84" t="inlineStr">
        <is>
          <t>Database</t>
        </is>
      </c>
      <c r="N16" s="81" t="inlineStr">
        <is>
          <t>US</t>
        </is>
      </c>
      <c r="O16" s="82" t="n"/>
      <c r="P16" s="25">
        <f>VLOOKUP($P$13,Summary!$B:$AB,MATCH(Note!N16,Summary!$B$2:$AB$2,),)</f>
        <v/>
      </c>
      <c r="Q16" s="25">
        <f>VLOOKUP($Q$13,Summary!$B:$AB,MATCH(Note!N16,Summary!$B$2:$AB$2,),)</f>
        <v/>
      </c>
      <c r="R16" s="63">
        <f>P16-Q16</f>
        <v/>
      </c>
      <c r="S16" s="64" t="n">
        <v>0.241</v>
      </c>
    </row>
    <row r="17">
      <c r="B17" s="84" t="n"/>
      <c r="G17" s="84" t="inlineStr">
        <is>
          <t>Update each month for each country</t>
        </is>
      </c>
      <c r="N17" s="81" t="inlineStr">
        <is>
          <t xml:space="preserve">China </t>
        </is>
      </c>
      <c r="O17" s="82" t="n"/>
      <c r="P17" s="25">
        <f>VLOOKUP($P$13,Summary!$B:$AB,MATCH(Note!N17,Summary!$B$2:$AB$2,),)</f>
        <v/>
      </c>
      <c r="Q17" s="25">
        <f>VLOOKUP($Q$13,Summary!$B:$AB,MATCH(Note!N17,Summary!$B$2:$AB$2,),)</f>
        <v/>
      </c>
      <c r="R17" s="63">
        <f>P17-Q17</f>
        <v/>
      </c>
      <c r="S17" s="64" t="n">
        <v>0.152</v>
      </c>
    </row>
    <row r="18">
      <c r="B18" s="84" t="n"/>
      <c r="N18" s="81" t="inlineStr">
        <is>
          <t>Eurozone</t>
        </is>
      </c>
      <c r="O18" s="82" t="n"/>
      <c r="P18" s="25">
        <f>VLOOKUP($P$13,Summary!$B:$AB,MATCH(Note!N18,Summary!$B$2:$AB$2,),)</f>
        <v/>
      </c>
      <c r="Q18" s="25">
        <f>VLOOKUP($Q$13,Summary!$B:$AB,MATCH(Note!N18,Summary!$B$2:$AB$2,),)</f>
        <v/>
      </c>
      <c r="R18" s="63">
        <f>P18-Q18</f>
        <v/>
      </c>
      <c r="S18" s="64" t="n">
        <v>0.156</v>
      </c>
    </row>
    <row r="19">
      <c r="N19" s="81" t="inlineStr">
        <is>
          <t xml:space="preserve">Japan </t>
        </is>
      </c>
      <c r="O19" s="82" t="n"/>
      <c r="P19" s="25">
        <f>VLOOKUP($P$13,Summary!$B:$AB,MATCH(Note!N19,Summary!$B$2:$AB$2,),)</f>
        <v/>
      </c>
      <c r="Q19" s="25">
        <f>VLOOKUP($Q$13,Summary!$B:$AB,MATCH(Note!N19,Summary!$B$2:$AB$2,),)</f>
        <v/>
      </c>
      <c r="R19" s="63">
        <f>P19-Q19</f>
        <v/>
      </c>
      <c r="S19" s="64" t="n">
        <v>0.06</v>
      </c>
    </row>
    <row r="20">
      <c r="B20" s="84" t="n"/>
      <c r="G20" s="84" t="n"/>
      <c r="N20" s="81" t="inlineStr">
        <is>
          <t>Germany</t>
        </is>
      </c>
      <c r="O20" s="82" t="n"/>
      <c r="P20" s="25">
        <f>VLOOKUP($P$13,Summary!$B:$AB,MATCH(Note!N20,Summary!$B$2:$AB$2,),)</f>
        <v/>
      </c>
      <c r="Q20" s="25">
        <f>VLOOKUP($Q$13,Summary!$B:$AB,MATCH(Note!N20,Summary!$B$2:$AB$2,),)</f>
        <v/>
      </c>
      <c r="R20" s="63">
        <f>P20-Q20</f>
        <v/>
      </c>
      <c r="S20" s="64" t="n">
        <v>0.04564243244249699</v>
      </c>
    </row>
    <row r="21">
      <c r="B21" s="84" t="n"/>
      <c r="G21" s="84" t="n"/>
      <c r="N21" s="81" t="inlineStr">
        <is>
          <t>France</t>
        </is>
      </c>
      <c r="O21" s="82" t="n"/>
      <c r="P21" s="25">
        <f>VLOOKUP($P$13,Summary!$B:$AB,MATCH(Note!N21,Summary!$B$2:$AB$2,),)</f>
        <v/>
      </c>
      <c r="Q21" s="25">
        <f>VLOOKUP($Q$13,Summary!$B:$AB,MATCH(Note!N21,Summary!$B$2:$AB$2,),)</f>
        <v/>
      </c>
      <c r="R21" s="63">
        <f>P21-Q21</f>
        <v/>
      </c>
      <c r="S21" s="64" t="n">
        <v>0.03206266059259443</v>
      </c>
    </row>
    <row r="22">
      <c r="B22" s="84" t="n"/>
      <c r="G22" s="84" t="n"/>
      <c r="N22" s="81" t="inlineStr">
        <is>
          <t>UK</t>
        </is>
      </c>
      <c r="O22" s="82" t="n"/>
      <c r="P22" s="25">
        <f>VLOOKUP($P$13,Summary!$B:$AB,MATCH(Note!N22,Summary!$B$2:$AB$2,),)</f>
        <v/>
      </c>
      <c r="Q22" s="25">
        <f>VLOOKUP($Q$13,Summary!$B:$AB,MATCH(Note!N22,Summary!$B$2:$AB$2,),)</f>
        <v/>
      </c>
      <c r="R22" s="63">
        <f>P22-Q22</f>
        <v/>
      </c>
      <c r="S22" s="64" t="n">
        <v>0.033</v>
      </c>
    </row>
    <row r="23">
      <c r="B23" s="84" t="n"/>
      <c r="N23" s="81" t="inlineStr">
        <is>
          <t xml:space="preserve">Italy </t>
        </is>
      </c>
      <c r="O23" s="82" t="n"/>
      <c r="P23" s="25">
        <f>VLOOKUP($P$13,Summary!$B:$AB,MATCH(Note!N23,Summary!$B$2:$AB$2,),)</f>
        <v/>
      </c>
      <c r="Q23" s="25">
        <f>VLOOKUP($Q$13,Summary!$B:$AB,MATCH(Note!N23,Summary!$B$2:$AB$2,),)</f>
        <v/>
      </c>
      <c r="R23" s="63">
        <f>P23-Q23</f>
        <v/>
      </c>
      <c r="S23" s="64" t="n">
        <v>0.024</v>
      </c>
    </row>
    <row r="24">
      <c r="B24" s="84" t="n"/>
      <c r="N24" s="81" t="inlineStr">
        <is>
          <t>Spain</t>
        </is>
      </c>
      <c r="O24" s="82" t="n"/>
      <c r="P24" s="25">
        <f>VLOOKUP($P$13,Summary!$B:$AB,MATCH(Note!N24,Summary!$B$2:$AB$2,),)</f>
        <v/>
      </c>
      <c r="Q24" s="25">
        <f>VLOOKUP($Q$13,Summary!$B:$AB,MATCH(Note!N24,Summary!$B$2:$AB$2,),)</f>
        <v/>
      </c>
      <c r="R24" s="63">
        <f>P24-Q24</f>
        <v/>
      </c>
      <c r="S24" s="64" t="n">
        <v>0.01627338290239694</v>
      </c>
    </row>
    <row r="25">
      <c r="N25" s="81" t="inlineStr">
        <is>
          <t>Brazil</t>
        </is>
      </c>
      <c r="O25" s="82" t="n"/>
      <c r="P25" s="25">
        <f>VLOOKUP($P$13,Summary!$B:$AB,MATCH(Note!N25,Summary!$B$2:$AB$2,),)</f>
        <v/>
      </c>
      <c r="Q25" s="25">
        <f>VLOOKUP($Q$13,Summary!$B:$AB,MATCH(Note!N25,Summary!$B$2:$AB$2,),)</f>
        <v/>
      </c>
      <c r="R25" s="63">
        <f>P25-Q25</f>
        <v/>
      </c>
      <c r="S25" s="64" t="n">
        <v>0.02552103375082236</v>
      </c>
    </row>
    <row r="26">
      <c r="N26" s="81" t="inlineStr">
        <is>
          <t>Mexico</t>
        </is>
      </c>
      <c r="O26" s="82" t="n"/>
      <c r="P26" s="25">
        <f>VLOOKUP($P$13,Summary!$B:$AB,MATCH(Note!N26,Summary!$B$2:$AB$2,),)</f>
        <v/>
      </c>
      <c r="Q26" s="25">
        <f>VLOOKUP($Q$13,Summary!$B:$AB,MATCH(Note!N26,Summary!$B$2:$AB$2,),)</f>
        <v/>
      </c>
      <c r="R26" s="63">
        <f>P26-Q26</f>
        <v/>
      </c>
      <c r="S26" s="64" t="n">
        <v>0.0142873102369633</v>
      </c>
    </row>
    <row r="27">
      <c r="N27" s="81" t="inlineStr">
        <is>
          <t>Russia</t>
        </is>
      </c>
      <c r="O27" s="82" t="n"/>
      <c r="P27" s="25">
        <f>VLOOKUP($P$13,Summary!$B:$AB,MATCH(Note!N27,Summary!$B$2:$AB$2,),)</f>
        <v/>
      </c>
      <c r="Q27" s="25">
        <f>VLOOKUP($Q$13,Summary!$B:$AB,MATCH(Note!N27,Summary!$B$2:$AB$2,),)</f>
        <v/>
      </c>
      <c r="R27" s="63">
        <f>P27-Q27</f>
        <v/>
      </c>
      <c r="S27" s="64" t="n">
        <v>0.01958764166283934</v>
      </c>
    </row>
    <row r="28">
      <c r="N28" s="81" t="inlineStr">
        <is>
          <t>India</t>
        </is>
      </c>
      <c r="O28" s="82" t="n"/>
      <c r="P28" s="25">
        <f>VLOOKUP($P$13,Summary!$B:$AB,MATCH(Note!N28,Summary!$B$2:$AB$2,),)</f>
        <v/>
      </c>
      <c r="Q28" s="25">
        <f>VLOOKUP($Q$13,Summary!$B:$AB,MATCH(Note!N28,Summary!$B$2:$AB$2,),)</f>
        <v/>
      </c>
      <c r="R28" s="63">
        <f>P28-Q28</f>
        <v/>
      </c>
      <c r="S28" s="64" t="n">
        <v>0.03228609376745572</v>
      </c>
    </row>
    <row r="29">
      <c r="N29" s="81" t="inlineStr">
        <is>
          <t>Canada</t>
        </is>
      </c>
      <c r="O29" s="82" t="n"/>
      <c r="P29" s="25">
        <f>VLOOKUP($P$13,Summary!$B:$AB,MATCH(Note!N29,Summary!$B$2:$AB$2,),)</f>
        <v/>
      </c>
      <c r="Q29" s="25">
        <f>VLOOKUP($Q$13,Summary!$B:$AB,MATCH(Note!N29,Summary!$B$2:$AB$2,),)</f>
        <v/>
      </c>
      <c r="R29" s="63">
        <f>P29-Q29</f>
        <v/>
      </c>
      <c r="S29" s="64" t="n">
        <v>0.02051861322476136</v>
      </c>
    </row>
    <row r="30">
      <c r="N30" s="81" t="inlineStr">
        <is>
          <t>Australia</t>
        </is>
      </c>
      <c r="O30" s="82" t="n"/>
      <c r="P30" s="25">
        <f>VLOOKUP($P$13,Summary!$B:$AB,MATCH(Note!N30,Summary!$B$2:$AB$2,),)</f>
        <v/>
      </c>
      <c r="Q30" s="25">
        <f>VLOOKUP($Q$13,Summary!$B:$AB,MATCH(Note!N30,Summary!$B$2:$AB$2,),)</f>
        <v/>
      </c>
      <c r="R30" s="63">
        <f>P30-Q30</f>
        <v/>
      </c>
      <c r="S30" s="64" t="n">
        <v>0.01642233835230446</v>
      </c>
    </row>
    <row r="31">
      <c r="N31" s="81" t="inlineStr">
        <is>
          <t>Indonesia</t>
        </is>
      </c>
      <c r="O31" s="82" t="n"/>
      <c r="P31" s="25">
        <f>VLOOKUP($P$13,Summary!$B:$AB,MATCH(Note!N31,Summary!$B$2:$AB$2,),)</f>
        <v/>
      </c>
      <c r="Q31" s="25">
        <f>VLOOKUP($Q$13,Summary!$B:$AB,MATCH(Note!N31,Summary!$B$2:$AB$2,),)</f>
        <v/>
      </c>
      <c r="R31" s="63">
        <f>P31-Q31</f>
        <v/>
      </c>
      <c r="S31" s="64" t="n">
        <v>0.01261156142550366</v>
      </c>
    </row>
    <row r="32">
      <c r="N32" s="81" t="inlineStr">
        <is>
          <t xml:space="preserve">S Korea </t>
        </is>
      </c>
      <c r="O32" s="82" t="n"/>
      <c r="P32" s="25">
        <f>VLOOKUP($P$13,Summary!$B:$AB,MATCH(Note!N32,Summary!$B$2:$AB$2,),)</f>
        <v/>
      </c>
      <c r="Q32" s="25">
        <f>VLOOKUP($Q$13,Summary!$B:$AB,MATCH(Note!N32,Summary!$B$2:$AB$2,),)</f>
        <v/>
      </c>
      <c r="R32" s="63">
        <f>P32-Q32</f>
        <v/>
      </c>
      <c r="S32" s="64" t="n">
        <v>0.019</v>
      </c>
    </row>
    <row r="33">
      <c r="N33" s="81" t="inlineStr">
        <is>
          <t>Taiwan</t>
        </is>
      </c>
      <c r="O33" s="82" t="n"/>
      <c r="P33" s="25">
        <f>VLOOKUP($P$13,Summary!$B:$AB,MATCH(Note!N33,Summary!$B$2:$AB$2,),)</f>
        <v/>
      </c>
      <c r="Q33" s="25">
        <f>VLOOKUP($Q$13,Summary!$B:$AB,MATCH(Note!N33,Summary!$B$2:$AB$2,),)</f>
        <v/>
      </c>
      <c r="R33" s="63">
        <f>P33-Q33</f>
        <v/>
      </c>
      <c r="S33" s="64" t="n">
        <v>0.007112622733084247</v>
      </c>
    </row>
    <row r="34">
      <c r="N34" s="81" t="inlineStr">
        <is>
          <t>Greece</t>
        </is>
      </c>
      <c r="O34" s="82" t="n"/>
      <c r="P34" s="25">
        <f>VLOOKUP($P$13,Summary!$B:$AB,MATCH(Note!N34,Summary!$B$2:$AB$2,),)</f>
        <v/>
      </c>
      <c r="Q34" s="25">
        <f>VLOOKUP($Q$13,Summary!$B:$AB,MATCH(Note!N34,Summary!$B$2:$AB$2,),)</f>
        <v/>
      </c>
      <c r="R34" s="63">
        <f>P34-Q34</f>
        <v/>
      </c>
      <c r="S34" s="64" t="n">
        <v>0.002482590831792058</v>
      </c>
    </row>
    <row r="35">
      <c r="N35" s="81" t="inlineStr">
        <is>
          <t>Ireland</t>
        </is>
      </c>
      <c r="O35" s="82" t="n"/>
      <c r="P35" s="25">
        <f>VLOOKUP($P$13,Summary!$B:$AB,MATCH(Note!N35,Summary!$B$2:$AB$2,),)</f>
        <v/>
      </c>
      <c r="Q35" s="25">
        <f>VLOOKUP($Q$13,Summary!$B:$AB,MATCH(Note!N35,Summary!$B$2:$AB$2,),)</f>
        <v/>
      </c>
      <c r="R35" s="63">
        <f>P35-Q35</f>
        <v/>
      </c>
      <c r="S35" s="64" t="n">
        <v>0.004145926689092737</v>
      </c>
    </row>
    <row r="36">
      <c r="N36" s="81" t="inlineStr">
        <is>
          <t>Turkey</t>
        </is>
      </c>
      <c r="O36" s="82" t="n"/>
      <c r="P36" s="25">
        <f>VLOOKUP($P$13,Summary!$B:$AB,MATCH(Note!N36,Summary!$B$2:$AB$2,),)</f>
        <v/>
      </c>
      <c r="Q36" s="25">
        <f>VLOOKUP($Q$13,Summary!$B:$AB,MATCH(Note!N36,Summary!$B$2:$AB$2,),)</f>
        <v/>
      </c>
      <c r="R36" s="63">
        <f>P36-Q36</f>
        <v/>
      </c>
      <c r="S36" s="64" t="n">
        <v>0.01056342398927521</v>
      </c>
    </row>
    <row r="37">
      <c r="N37" s="81" t="inlineStr">
        <is>
          <t xml:space="preserve">Czech </t>
        </is>
      </c>
      <c r="O37" s="82" t="n"/>
      <c r="P37" s="25">
        <f>VLOOKUP($P$13,Summary!$B:$AB,MATCH(Note!N37,Summary!$B$2:$AB$2,),)</f>
        <v/>
      </c>
      <c r="Q37" s="25">
        <f>VLOOKUP($Q$13,Summary!$B:$AB,MATCH(Note!N37,Summary!$B$2:$AB$2,),)</f>
        <v/>
      </c>
      <c r="R37" s="63">
        <f>P37-Q37</f>
        <v/>
      </c>
      <c r="S37" s="64" t="n">
        <v>0.003</v>
      </c>
    </row>
    <row r="38">
      <c r="N38" s="81" t="inlineStr">
        <is>
          <t>Poland</t>
        </is>
      </c>
      <c r="O38" s="82" t="n"/>
      <c r="P38" s="25">
        <f>VLOOKUP($P$13,Summary!$B:$AB,MATCH(Note!N38,Summary!$B$2:$AB$2,),)</f>
        <v/>
      </c>
      <c r="Q38" s="25">
        <f>VLOOKUP($Q$13,Summary!$B:$AB,MATCH(Note!N38,Summary!$B$2:$AB$2,),)</f>
        <v/>
      </c>
      <c r="R38" s="63">
        <f>P38-Q38</f>
        <v/>
      </c>
      <c r="S38" s="64" t="n">
        <v>0.006516800933454153</v>
      </c>
    </row>
    <row r="39">
      <c r="N39" s="81" t="inlineStr">
        <is>
          <t>Denmark</t>
        </is>
      </c>
      <c r="O39" s="82" t="n"/>
      <c r="P39" s="25">
        <f>VLOOKUP($P$13,Summary!$B:$AB,MATCH(Note!N39,Summary!$B$2:$AB$2,),)</f>
        <v/>
      </c>
      <c r="Q39" s="25">
        <f>VLOOKUP($Q$13,Summary!$B:$AB,MATCH(Note!N39,Summary!$B$2:$AB$2,),)</f>
        <v/>
      </c>
      <c r="R39" s="63">
        <f>P39-Q39</f>
        <v/>
      </c>
      <c r="S39" s="64" t="n">
        <v>0.004034210101662094</v>
      </c>
    </row>
    <row r="41" ht="30" customHeight="1" s="76"/>
    <row r="44">
      <c r="B44" s="93" t="n"/>
    </row>
    <row r="45">
      <c r="B45" s="83" t="n"/>
    </row>
    <row r="46">
      <c r="B46" s="94"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B2:G60"/>
  <sheetViews>
    <sheetView workbookViewId="0">
      <selection activeCell="F65" sqref="F65"/>
    </sheetView>
  </sheetViews>
  <sheetFormatPr baseColWidth="10" defaultColWidth="9.1640625" defaultRowHeight="15"/>
  <cols>
    <col width="9.1640625" customWidth="1" style="84" min="1" max="2"/>
    <col width="28.6640625" customWidth="1" style="26" min="3" max="7"/>
    <col width="9.1640625" customWidth="1" style="84" min="8" max="18"/>
    <col width="9.1640625" customWidth="1" style="84" min="19" max="16384"/>
  </cols>
  <sheetData>
    <row r="2">
      <c r="B2" s="1" t="inlineStr">
        <is>
          <t>https://tradingeconomics.com/country-list/manufacturing-pmi</t>
        </is>
      </c>
    </row>
    <row r="8" ht="16" customHeight="1" s="76" thickBot="1"/>
    <row r="9">
      <c r="C9" s="60" t="inlineStr">
        <is>
          <t>Country</t>
        </is>
      </c>
      <c r="D9" s="61" t="inlineStr">
        <is>
          <t>Last</t>
        </is>
      </c>
      <c r="E9" s="61" t="inlineStr">
        <is>
          <t>Previous</t>
        </is>
      </c>
      <c r="F9" s="61" t="inlineStr">
        <is>
          <t>Reference</t>
        </is>
      </c>
      <c r="G9" s="62" t="inlineStr">
        <is>
          <t>Unit</t>
        </is>
      </c>
    </row>
    <row r="10">
      <c r="C10" s="75" t="inlineStr">
        <is>
          <t>Hungary</t>
        </is>
      </c>
      <c r="D10" s="69" t="n">
        <v>64.8</v>
      </c>
      <c r="E10" s="73" t="n">
        <v>52.2</v>
      </c>
      <c r="F10" s="70" t="n">
        <v>44531</v>
      </c>
      <c r="G10" s="69" t="inlineStr">
        <is>
          <t>points</t>
        </is>
      </c>
    </row>
    <row r="11">
      <c r="C11" s="75" t="inlineStr">
        <is>
          <t>Denmark</t>
        </is>
      </c>
      <c r="D11" s="69" t="n">
        <v>64.40000000000001</v>
      </c>
      <c r="E11" s="73" t="n">
        <v>68.2</v>
      </c>
      <c r="F11" s="70" t="n">
        <v>44531</v>
      </c>
      <c r="G11" s="69" t="inlineStr">
        <is>
          <t>points</t>
        </is>
      </c>
    </row>
    <row r="12">
      <c r="C12" s="75" t="inlineStr">
        <is>
          <t>Switzerland</t>
        </is>
      </c>
      <c r="D12" s="69" t="n">
        <v>62.7</v>
      </c>
      <c r="E12" s="73" t="n">
        <v>62.5</v>
      </c>
      <c r="F12" s="70" t="n">
        <v>44531</v>
      </c>
      <c r="G12" s="69" t="inlineStr">
        <is>
          <t>points</t>
        </is>
      </c>
    </row>
    <row r="13">
      <c r="C13" s="75" t="inlineStr">
        <is>
          <t>Sweden</t>
        </is>
      </c>
      <c r="D13" s="69" t="n">
        <v>62.1</v>
      </c>
      <c r="E13" s="73" t="n">
        <v>63.1</v>
      </c>
      <c r="F13" s="70" t="n">
        <v>44531</v>
      </c>
      <c r="G13" s="71" t="inlineStr">
        <is>
          <t>points</t>
        </is>
      </c>
    </row>
    <row r="14">
      <c r="C14" s="75" t="inlineStr">
        <is>
          <t>Italy</t>
        </is>
      </c>
      <c r="D14" s="69" t="n">
        <v>62</v>
      </c>
      <c r="E14" s="73" t="n">
        <v>62.8</v>
      </c>
      <c r="F14" s="70" t="n">
        <v>44531</v>
      </c>
      <c r="G14" s="69" t="inlineStr">
        <is>
          <t>points</t>
        </is>
      </c>
    </row>
    <row r="15">
      <c r="C15" s="75" t="inlineStr">
        <is>
          <t>Sri Lanka</t>
        </is>
      </c>
      <c r="D15" s="69" t="n">
        <v>61.9</v>
      </c>
      <c r="E15" s="73" t="n">
        <v>60.4</v>
      </c>
      <c r="F15" s="70" t="n">
        <v>44501</v>
      </c>
      <c r="G15" s="69" t="inlineStr">
        <is>
          <t>points</t>
        </is>
      </c>
    </row>
    <row r="16">
      <c r="C16" s="75" t="inlineStr">
        <is>
          <t>Qatar</t>
        </is>
      </c>
      <c r="D16" s="69" t="n">
        <v>61.4</v>
      </c>
      <c r="E16" s="73" t="n">
        <v>63.1</v>
      </c>
      <c r="F16" s="70" t="n">
        <v>44531</v>
      </c>
      <c r="G16" s="69" t="inlineStr">
        <is>
          <t>points</t>
        </is>
      </c>
    </row>
    <row r="17">
      <c r="C17" s="75" t="inlineStr">
        <is>
          <t>Czech Republic</t>
        </is>
      </c>
      <c r="D17" s="69" t="n">
        <v>59.1</v>
      </c>
      <c r="E17" s="73" t="n">
        <v>57.1</v>
      </c>
      <c r="F17" s="70" t="n">
        <v>44531</v>
      </c>
      <c r="G17" s="69" t="inlineStr">
        <is>
          <t>points</t>
        </is>
      </c>
    </row>
    <row r="18">
      <c r="C18" s="75" t="inlineStr">
        <is>
          <t>Greece</t>
        </is>
      </c>
      <c r="D18" s="69" t="n">
        <v>59</v>
      </c>
      <c r="E18" s="73" t="n">
        <v>58.8</v>
      </c>
      <c r="F18" s="70" t="n">
        <v>44531</v>
      </c>
      <c r="G18" s="69" t="inlineStr">
        <is>
          <t>points</t>
        </is>
      </c>
    </row>
    <row r="19">
      <c r="C19" s="75" t="inlineStr">
        <is>
          <t>Austria</t>
        </is>
      </c>
      <c r="D19" s="69" t="n">
        <v>58.7</v>
      </c>
      <c r="E19" s="73" t="n">
        <v>58.1</v>
      </c>
      <c r="F19" s="70" t="n">
        <v>44531</v>
      </c>
      <c r="G19" s="69" t="inlineStr">
        <is>
          <t>points</t>
        </is>
      </c>
    </row>
    <row r="20">
      <c r="C20" s="75" t="inlineStr">
        <is>
          <t>Netherlands</t>
        </is>
      </c>
      <c r="D20" s="69" t="n">
        <v>58.7</v>
      </c>
      <c r="E20" s="73" t="n">
        <v>60.7</v>
      </c>
      <c r="F20" s="70" t="n">
        <v>44531</v>
      </c>
      <c r="G20" s="69" t="inlineStr">
        <is>
          <t>points</t>
        </is>
      </c>
    </row>
    <row r="21">
      <c r="C21" s="75" t="inlineStr">
        <is>
          <t>Ireland</t>
        </is>
      </c>
      <c r="D21" s="69" t="n">
        <v>58.3</v>
      </c>
      <c r="E21" s="73" t="n">
        <v>59.9</v>
      </c>
      <c r="F21" s="70" t="n">
        <v>44531</v>
      </c>
      <c r="G21" s="69" t="inlineStr">
        <is>
          <t>points</t>
        </is>
      </c>
    </row>
    <row r="22">
      <c r="C22" s="75" t="inlineStr">
        <is>
          <t>Euro Area</t>
        </is>
      </c>
      <c r="D22" s="69" t="n">
        <v>58</v>
      </c>
      <c r="E22" s="73" t="n">
        <v>58.4</v>
      </c>
      <c r="F22" s="70" t="n">
        <v>44531</v>
      </c>
      <c r="G22" s="69" t="inlineStr">
        <is>
          <t>points</t>
        </is>
      </c>
    </row>
    <row r="23">
      <c r="C23" s="75" t="inlineStr">
        <is>
          <t>Norway</t>
        </is>
      </c>
      <c r="D23" s="69" t="n">
        <v>58</v>
      </c>
      <c r="E23" s="73" t="n">
        <v>63.9</v>
      </c>
      <c r="F23" s="70" t="n">
        <v>44531</v>
      </c>
      <c r="G23" s="69" t="inlineStr">
        <is>
          <t>points</t>
        </is>
      </c>
    </row>
    <row r="24">
      <c r="C24" s="75" t="inlineStr">
        <is>
          <t>United Kingdom</t>
        </is>
      </c>
      <c r="D24" s="69" t="n">
        <v>57.9</v>
      </c>
      <c r="E24" s="73" t="n">
        <v>58.1</v>
      </c>
      <c r="F24" s="70" t="n">
        <v>44531</v>
      </c>
      <c r="G24" s="69" t="inlineStr">
        <is>
          <t>points</t>
        </is>
      </c>
    </row>
    <row r="25">
      <c r="C25" s="75" t="inlineStr">
        <is>
          <t>United States</t>
        </is>
      </c>
      <c r="D25" s="69" t="n">
        <v>57.7</v>
      </c>
      <c r="E25" s="73" t="n">
        <v>58.3</v>
      </c>
      <c r="F25" s="70" t="n">
        <v>44531</v>
      </c>
      <c r="G25" s="71" t="inlineStr">
        <is>
          <t>points</t>
        </is>
      </c>
    </row>
    <row r="26">
      <c r="C26" s="75" t="inlineStr">
        <is>
          <t>Germany</t>
        </is>
      </c>
      <c r="D26" s="69" t="n">
        <v>57.4</v>
      </c>
      <c r="E26" s="73" t="n">
        <v>57.4</v>
      </c>
      <c r="F26" s="70" t="n">
        <v>44531</v>
      </c>
      <c r="G26" s="69" t="inlineStr">
        <is>
          <t>points</t>
        </is>
      </c>
    </row>
    <row r="27">
      <c r="C27" s="75" t="inlineStr">
        <is>
          <t>South Africa</t>
        </is>
      </c>
      <c r="D27" s="69" t="n">
        <v>57.2</v>
      </c>
      <c r="E27" s="73" t="n">
        <v>53.6</v>
      </c>
      <c r="F27" s="70" t="n">
        <v>44501</v>
      </c>
      <c r="G27" s="69" t="inlineStr">
        <is>
          <t>points</t>
        </is>
      </c>
    </row>
    <row r="28">
      <c r="C28" s="75" t="inlineStr">
        <is>
          <t>Canada</t>
        </is>
      </c>
      <c r="D28" s="69" t="n">
        <v>56.5</v>
      </c>
      <c r="E28" s="73" t="n">
        <v>57.2</v>
      </c>
      <c r="F28" s="70" t="n">
        <v>44531</v>
      </c>
      <c r="G28" s="69" t="inlineStr">
        <is>
          <t>points</t>
        </is>
      </c>
    </row>
    <row r="29">
      <c r="C29" s="75" t="inlineStr">
        <is>
          <t>Spain</t>
        </is>
      </c>
      <c r="D29" s="69" t="n">
        <v>56.2</v>
      </c>
      <c r="E29" s="73" t="n">
        <v>57.1</v>
      </c>
      <c r="F29" s="70" t="n">
        <v>44531</v>
      </c>
      <c r="G29" s="69" t="inlineStr">
        <is>
          <t>points</t>
        </is>
      </c>
    </row>
    <row r="30">
      <c r="C30" s="75" t="inlineStr">
        <is>
          <t>Poland</t>
        </is>
      </c>
      <c r="D30" s="69" t="n">
        <v>56.1</v>
      </c>
      <c r="E30" s="73" t="n">
        <v>54.4</v>
      </c>
      <c r="F30" s="70" t="n">
        <v>44531</v>
      </c>
      <c r="G30" s="71" t="inlineStr">
        <is>
          <t>points</t>
        </is>
      </c>
    </row>
    <row r="31">
      <c r="C31" s="75" t="inlineStr">
        <is>
          <t>United Arab Emirates</t>
        </is>
      </c>
      <c r="D31" s="69" t="n">
        <v>55.9</v>
      </c>
      <c r="E31" s="73" t="n">
        <v>55.7</v>
      </c>
      <c r="F31" s="70" t="n">
        <v>44501</v>
      </c>
      <c r="G31" s="69" t="inlineStr">
        <is>
          <t>points</t>
        </is>
      </c>
    </row>
    <row r="32">
      <c r="C32" s="75" t="inlineStr">
        <is>
          <t>France</t>
        </is>
      </c>
      <c r="D32" s="69" t="n">
        <v>55.6</v>
      </c>
      <c r="E32" s="73" t="n">
        <v>55.9</v>
      </c>
      <c r="F32" s="70" t="n">
        <v>44531</v>
      </c>
      <c r="G32" s="69" t="inlineStr">
        <is>
          <t>points</t>
        </is>
      </c>
    </row>
    <row r="33">
      <c r="C33" s="75" t="inlineStr">
        <is>
          <t>India</t>
        </is>
      </c>
      <c r="D33" s="69" t="n">
        <v>55.5</v>
      </c>
      <c r="E33" s="73" t="n">
        <v>57.6</v>
      </c>
      <c r="F33" s="70" t="n">
        <v>44531</v>
      </c>
      <c r="G33" s="69" t="inlineStr">
        <is>
          <t>points</t>
        </is>
      </c>
    </row>
    <row r="34">
      <c r="C34" s="75" t="inlineStr">
        <is>
          <t>Taiwan</t>
        </is>
      </c>
      <c r="D34" s="69" t="n">
        <v>55.5</v>
      </c>
      <c r="E34" s="73" t="n">
        <v>54.9</v>
      </c>
      <c r="F34" s="70" t="n">
        <v>44531</v>
      </c>
      <c r="G34" s="69" t="inlineStr">
        <is>
          <t>points</t>
        </is>
      </c>
    </row>
    <row r="35">
      <c r="C35" s="75" t="inlineStr">
        <is>
          <t>Australia</t>
        </is>
      </c>
      <c r="D35" s="69" t="n">
        <v>54.8</v>
      </c>
      <c r="E35" s="73" t="n">
        <v>50.4</v>
      </c>
      <c r="F35" s="70" t="n">
        <v>44501</v>
      </c>
      <c r="G35" s="69" t="inlineStr">
        <is>
          <t>points</t>
        </is>
      </c>
    </row>
    <row r="36">
      <c r="C36" s="75" t="inlineStr">
        <is>
          <t>Japan</t>
        </is>
      </c>
      <c r="D36" s="69" t="n">
        <v>54.3</v>
      </c>
      <c r="E36" s="73" t="n">
        <v>54.5</v>
      </c>
      <c r="F36" s="70" t="n">
        <v>44531</v>
      </c>
      <c r="G36" s="69" t="inlineStr">
        <is>
          <t>points</t>
        </is>
      </c>
    </row>
    <row r="37">
      <c r="C37" s="75" t="inlineStr">
        <is>
          <t>Saudi Arabia</t>
        </is>
      </c>
      <c r="D37" s="69" t="n">
        <v>53.9</v>
      </c>
      <c r="E37" s="73" t="n">
        <v>56.9</v>
      </c>
      <c r="F37" s="70" t="n">
        <v>44531</v>
      </c>
      <c r="G37" s="69" t="inlineStr">
        <is>
          <t>points</t>
        </is>
      </c>
    </row>
    <row r="38">
      <c r="C38" s="75" t="inlineStr">
        <is>
          <t>Indonesia</t>
        </is>
      </c>
      <c r="D38" s="69" t="n">
        <v>53.5</v>
      </c>
      <c r="E38" s="73" t="n">
        <v>53.9</v>
      </c>
      <c r="F38" s="70" t="n">
        <v>44531</v>
      </c>
      <c r="G38" s="69" t="inlineStr">
        <is>
          <t>points</t>
        </is>
      </c>
    </row>
    <row r="39">
      <c r="C39" s="75" t="inlineStr">
        <is>
          <t>Puerto Rico</t>
        </is>
      </c>
      <c r="D39" s="69" t="n">
        <v>53.2</v>
      </c>
      <c r="E39" s="73" t="n">
        <v>53.8</v>
      </c>
      <c r="F39" s="70" t="n">
        <v>44440</v>
      </c>
      <c r="G39" s="69" t="inlineStr">
        <is>
          <t>points</t>
        </is>
      </c>
    </row>
    <row r="40">
      <c r="C40" s="75" t="inlineStr">
        <is>
          <t>Colombia</t>
        </is>
      </c>
      <c r="D40" s="69" t="n">
        <v>53.1</v>
      </c>
      <c r="E40" s="73" t="n">
        <v>54.9</v>
      </c>
      <c r="F40" s="70" t="n">
        <v>44531</v>
      </c>
      <c r="G40" s="69" t="inlineStr">
        <is>
          <t>points</t>
        </is>
      </c>
    </row>
    <row r="41">
      <c r="C41" s="75" t="inlineStr">
        <is>
          <t>Kenya</t>
        </is>
      </c>
      <c r="D41" s="69" t="n">
        <v>53</v>
      </c>
      <c r="E41" s="73" t="n">
        <v>51.4</v>
      </c>
      <c r="F41" s="70" t="n">
        <v>44501</v>
      </c>
      <c r="G41" s="69" t="inlineStr">
        <is>
          <t>points</t>
        </is>
      </c>
    </row>
    <row r="42">
      <c r="C42" s="75" t="inlineStr">
        <is>
          <t>Malaysia</t>
        </is>
      </c>
      <c r="D42" s="69" t="n">
        <v>52.8</v>
      </c>
      <c r="E42" s="73" t="n">
        <v>52.3</v>
      </c>
      <c r="F42" s="70" t="n">
        <v>44531</v>
      </c>
      <c r="G42" s="69" t="inlineStr">
        <is>
          <t>points</t>
        </is>
      </c>
    </row>
    <row r="43">
      <c r="C43" s="75" t="inlineStr">
        <is>
          <t>Hong Kong</t>
        </is>
      </c>
      <c r="D43" s="69" t="n">
        <v>52.6</v>
      </c>
      <c r="E43" s="73" t="n">
        <v>50.8</v>
      </c>
      <c r="F43" s="70" t="n">
        <v>44501</v>
      </c>
      <c r="G43" s="69" t="inlineStr">
        <is>
          <t>points</t>
        </is>
      </c>
    </row>
    <row r="44">
      <c r="C44" s="75" t="inlineStr">
        <is>
          <t>Vietnam</t>
        </is>
      </c>
      <c r="D44" s="69" t="n">
        <v>52.5</v>
      </c>
      <c r="E44" s="73" t="n">
        <v>52.2</v>
      </c>
      <c r="F44" s="70" t="n">
        <v>44531</v>
      </c>
      <c r="G44" s="69" t="inlineStr">
        <is>
          <t>points</t>
        </is>
      </c>
    </row>
    <row r="45">
      <c r="C45" s="75" t="inlineStr">
        <is>
          <t>Turkey</t>
        </is>
      </c>
      <c r="D45" s="69" t="n">
        <v>52.1</v>
      </c>
      <c r="E45" s="73" t="n">
        <v>52</v>
      </c>
      <c r="F45" s="70" t="n">
        <v>44531</v>
      </c>
      <c r="G45" s="69" t="inlineStr">
        <is>
          <t>points</t>
        </is>
      </c>
    </row>
    <row r="46">
      <c r="C46" s="75" t="inlineStr">
        <is>
          <t>South Korea</t>
        </is>
      </c>
      <c r="D46" s="69" t="n">
        <v>51.9</v>
      </c>
      <c r="E46" s="73" t="n">
        <v>50.9</v>
      </c>
      <c r="F46" s="70" t="n">
        <v>44531</v>
      </c>
      <c r="G46" s="69" t="inlineStr">
        <is>
          <t>points</t>
        </is>
      </c>
    </row>
    <row r="47">
      <c r="C47" s="75" t="inlineStr">
        <is>
          <t>Philippines</t>
        </is>
      </c>
      <c r="D47" s="69" t="n">
        <v>51.8</v>
      </c>
      <c r="E47" s="73" t="n">
        <v>51.7</v>
      </c>
      <c r="F47" s="70" t="n">
        <v>44531</v>
      </c>
      <c r="G47" s="69" t="inlineStr">
        <is>
          <t>points</t>
        </is>
      </c>
    </row>
    <row r="48">
      <c r="C48" s="75" t="inlineStr">
        <is>
          <t>Russia</t>
        </is>
      </c>
      <c r="D48" s="69" t="n">
        <v>51.6</v>
      </c>
      <c r="E48" s="73" t="n">
        <v>51.7</v>
      </c>
      <c r="F48" s="70" t="n">
        <v>44531</v>
      </c>
      <c r="G48" s="69" t="inlineStr">
        <is>
          <t>points</t>
        </is>
      </c>
    </row>
    <row r="49">
      <c r="C49" s="75" t="inlineStr">
        <is>
          <t>China</t>
        </is>
      </c>
      <c r="D49" s="69" t="n">
        <v>50.9</v>
      </c>
      <c r="E49" s="73" t="n">
        <v>49.9</v>
      </c>
      <c r="F49" s="70" t="n">
        <v>44531</v>
      </c>
      <c r="G49" s="69" t="inlineStr">
        <is>
          <t>points</t>
        </is>
      </c>
    </row>
    <row r="50">
      <c r="C50" s="75" t="inlineStr">
        <is>
          <t>Singapore</t>
        </is>
      </c>
      <c r="D50" s="69" t="n">
        <v>50.7</v>
      </c>
      <c r="E50" s="73" t="n">
        <v>50.6</v>
      </c>
      <c r="F50" s="70" t="n">
        <v>44531</v>
      </c>
      <c r="G50" s="69" t="inlineStr">
        <is>
          <t>points</t>
        </is>
      </c>
    </row>
    <row r="51">
      <c r="C51" s="75" t="inlineStr">
        <is>
          <t>New Zealand</t>
        </is>
      </c>
      <c r="D51" s="69" t="n">
        <v>50.6</v>
      </c>
      <c r="E51" s="73" t="n">
        <v>54.3</v>
      </c>
      <c r="F51" s="70" t="n">
        <v>44501</v>
      </c>
      <c r="G51" s="69" t="inlineStr">
        <is>
          <t>points</t>
        </is>
      </c>
    </row>
    <row r="52">
      <c r="C52" s="75" t="inlineStr">
        <is>
          <t>Israel</t>
        </is>
      </c>
      <c r="D52" s="69" t="n">
        <v>50.25</v>
      </c>
      <c r="E52" s="73" t="n">
        <v>55.4</v>
      </c>
      <c r="F52" s="70" t="n">
        <v>44501</v>
      </c>
      <c r="G52" s="69" t="inlineStr">
        <is>
          <t>points</t>
        </is>
      </c>
    </row>
    <row r="53">
      <c r="C53" s="75" t="inlineStr">
        <is>
          <t>Kazakhstan</t>
        </is>
      </c>
      <c r="D53" s="69" t="n">
        <v>49.9</v>
      </c>
      <c r="E53" s="73" t="n">
        <v>51.6</v>
      </c>
      <c r="F53" s="70" t="n">
        <v>44501</v>
      </c>
      <c r="G53" s="69" t="inlineStr">
        <is>
          <t>points</t>
        </is>
      </c>
    </row>
    <row r="54">
      <c r="C54" s="75" t="inlineStr">
        <is>
          <t>Brazil</t>
        </is>
      </c>
      <c r="D54" s="69" t="n">
        <v>49.8</v>
      </c>
      <c r="E54" s="73" t="n">
        <v>49.8</v>
      </c>
      <c r="F54" s="70" t="n">
        <v>44531</v>
      </c>
      <c r="G54" s="69" t="inlineStr">
        <is>
          <t>points</t>
        </is>
      </c>
    </row>
    <row r="55">
      <c r="C55" s="75" t="inlineStr">
        <is>
          <t>Thailand</t>
        </is>
      </c>
      <c r="D55" s="69" t="n">
        <v>49.5</v>
      </c>
      <c r="E55" s="73" t="n">
        <v>50.6</v>
      </c>
      <c r="F55" s="70" t="n">
        <v>44531</v>
      </c>
      <c r="G55" s="69" t="inlineStr">
        <is>
          <t>points</t>
        </is>
      </c>
    </row>
    <row r="56">
      <c r="C56" s="75" t="inlineStr">
        <is>
          <t>Mexico</t>
        </is>
      </c>
      <c r="D56" s="69" t="n">
        <v>49.4</v>
      </c>
      <c r="E56" s="73" t="n">
        <v>49.4</v>
      </c>
      <c r="F56" s="70" t="n">
        <v>44531</v>
      </c>
      <c r="G56" s="72" t="inlineStr">
        <is>
          <t>points</t>
        </is>
      </c>
    </row>
    <row r="57">
      <c r="C57" s="25" t="inlineStr">
        <is>
          <t>Egypt</t>
        </is>
      </c>
      <c r="D57" s="25" t="n">
        <v>49</v>
      </c>
      <c r="E57" s="25" t="n">
        <v>48.7</v>
      </c>
      <c r="F57" s="74" t="n">
        <v>44531</v>
      </c>
      <c r="G57" s="25" t="inlineStr">
        <is>
          <t>points</t>
        </is>
      </c>
    </row>
    <row r="58">
      <c r="C58" s="25" t="inlineStr">
        <is>
          <t>Myanmar</t>
        </is>
      </c>
      <c r="D58" s="25" t="n">
        <v>49</v>
      </c>
      <c r="E58" s="25" t="n">
        <v>46.7</v>
      </c>
      <c r="F58" s="74" t="n">
        <v>44531</v>
      </c>
      <c r="G58" s="25" t="inlineStr">
        <is>
          <t>points</t>
        </is>
      </c>
    </row>
    <row r="59">
      <c r="C59" s="25" t="inlineStr">
        <is>
          <t>Nigeria</t>
        </is>
      </c>
      <c r="D59" s="25" t="n">
        <v>46.9</v>
      </c>
      <c r="E59" s="25" t="n">
        <v>46.6</v>
      </c>
      <c r="F59" s="74" t="n">
        <v>44409</v>
      </c>
      <c r="G59" s="25" t="inlineStr">
        <is>
          <t>points</t>
        </is>
      </c>
    </row>
    <row r="60">
      <c r="C60" s="25" t="inlineStr">
        <is>
          <t>Lebanon</t>
        </is>
      </c>
      <c r="D60" s="25" t="n">
        <v>46.1</v>
      </c>
      <c r="E60" s="25" t="n">
        <v>46.6</v>
      </c>
      <c r="F60" s="74" t="n">
        <v>44501</v>
      </c>
      <c r="G60" s="25" t="inlineStr">
        <is>
          <t>points</t>
        </is>
      </c>
    </row>
  </sheetData>
  <hyperlinks>
    <hyperlink xmlns:r="http://schemas.openxmlformats.org/officeDocument/2006/relationships" ref="B2" r:id="rId1"/>
  </hyperlinks>
  <pageMargins left="0.7" right="0.7" top="0.75" bottom="0.75" header="0.3" footer="0.3"/>
  <pageSetup orientation="portrait" paperSize="9"/>
</worksheet>
</file>

<file path=xl/worksheets/sheet3.xml><?xml version="1.0" encoding="utf-8"?>
<worksheet xmlns="http://schemas.openxmlformats.org/spreadsheetml/2006/main">
  <sheetPr>
    <tabColor theme="6"/>
    <outlinePr summaryBelow="1" summaryRight="1"/>
    <pageSetUpPr/>
  </sheetPr>
  <dimension ref="A1:C138"/>
  <sheetViews>
    <sheetView zoomScale="160" zoomScaleNormal="160" workbookViewId="0">
      <pane ySplit="1" topLeftCell="A2" activePane="bottomLeft" state="frozen"/>
      <selection activeCell="P121" sqref="P121"/>
      <selection pane="bottomLeft" activeCell="H23" sqref="H23"/>
    </sheetView>
  </sheetViews>
  <sheetFormatPr baseColWidth="10" defaultRowHeight="15"/>
  <cols>
    <col width="10.83203125" customWidth="1" style="76" min="1" max="3"/>
    <col width="10.83203125" customWidth="1" style="76" min="4" max="16384"/>
  </cols>
  <sheetData>
    <row r="1">
      <c r="A1" t="inlineStr">
        <is>
          <t>DATE</t>
        </is>
      </c>
      <c r="B1" t="inlineStr">
        <is>
          <t>Global</t>
        </is>
      </c>
      <c r="C1" t="inlineStr">
        <is>
          <t>ACWI</t>
        </is>
      </c>
    </row>
    <row r="2">
      <c r="A2" s="96" t="n">
        <v>40452</v>
      </c>
      <c r="B2" t="n">
        <v>53.7</v>
      </c>
      <c r="C2" t="n">
        <v>35.05340576171875</v>
      </c>
    </row>
    <row r="3">
      <c r="A3" s="96" t="n">
        <v>40483</v>
      </c>
      <c r="B3" t="n">
        <v>54</v>
      </c>
      <c r="C3" t="n">
        <v>34.28712463378906</v>
      </c>
    </row>
    <row r="4">
      <c r="A4" s="96" t="n">
        <v>40513</v>
      </c>
      <c r="B4" t="n">
        <v>54.9</v>
      </c>
      <c r="C4" t="n">
        <v>36.60160827636719</v>
      </c>
    </row>
    <row r="5">
      <c r="A5" s="96" t="n">
        <v>40544</v>
      </c>
      <c r="B5" t="n">
        <v>57.2</v>
      </c>
      <c r="C5" t="n">
        <v>37.35361099243164</v>
      </c>
    </row>
    <row r="6">
      <c r="A6" s="96" t="n">
        <v>40575</v>
      </c>
      <c r="B6" t="n">
        <v>58.2</v>
      </c>
      <c r="C6" t="n">
        <v>38.51425170898438</v>
      </c>
    </row>
    <row r="7">
      <c r="A7" s="96" t="n">
        <v>40603</v>
      </c>
      <c r="B7" t="n">
        <v>56</v>
      </c>
      <c r="C7" t="n">
        <v>38.18263244628906</v>
      </c>
    </row>
    <row r="8">
      <c r="A8" s="96" t="n">
        <v>40634</v>
      </c>
      <c r="B8" t="n">
        <v>55.5</v>
      </c>
      <c r="C8" t="n">
        <v>40.02228546142578</v>
      </c>
    </row>
    <row r="9">
      <c r="A9" s="96" t="n">
        <v>40664</v>
      </c>
      <c r="B9" t="n">
        <v>53.1</v>
      </c>
      <c r="C9" t="n">
        <v>39.24062728881836</v>
      </c>
    </row>
    <row r="10">
      <c r="A10" s="96" t="n">
        <v>40695</v>
      </c>
      <c r="B10" t="n">
        <v>52.8</v>
      </c>
      <c r="C10" t="n">
        <v>38.09578323364258</v>
      </c>
    </row>
    <row r="11">
      <c r="A11" s="96" t="n">
        <v>40725</v>
      </c>
      <c r="B11" t="n">
        <v>50.9</v>
      </c>
      <c r="C11" t="n">
        <v>37.67074584960938</v>
      </c>
    </row>
    <row r="12">
      <c r="A12" s="96" t="n">
        <v>40756</v>
      </c>
      <c r="B12" t="n">
        <v>50.4</v>
      </c>
      <c r="C12" t="n">
        <v>34.89837265014648</v>
      </c>
    </row>
    <row r="13">
      <c r="A13" s="96" t="n">
        <v>40787</v>
      </c>
      <c r="B13" t="n">
        <v>50.1</v>
      </c>
      <c r="C13" t="n">
        <v>31.2551326751709</v>
      </c>
    </row>
    <row r="14">
      <c r="A14" s="96" t="n">
        <v>40817</v>
      </c>
      <c r="B14" t="n">
        <v>49.5</v>
      </c>
      <c r="C14" t="n">
        <v>34.79450988769531</v>
      </c>
    </row>
    <row r="15">
      <c r="A15" s="96" t="n">
        <v>40848</v>
      </c>
      <c r="B15" t="n">
        <v>49.6</v>
      </c>
      <c r="C15" t="n">
        <v>34.39502716064453</v>
      </c>
    </row>
    <row r="16">
      <c r="A16" s="96" t="n">
        <v>40878</v>
      </c>
      <c r="B16" t="n">
        <v>50.4</v>
      </c>
      <c r="C16" t="n">
        <v>33.69194793701172</v>
      </c>
    </row>
    <row r="17">
      <c r="A17" s="96" t="n">
        <v>40909</v>
      </c>
      <c r="B17" t="n">
        <v>51</v>
      </c>
      <c r="C17" t="n">
        <v>35.93434906005859</v>
      </c>
    </row>
    <row r="18">
      <c r="A18" s="96" t="n">
        <v>40940</v>
      </c>
      <c r="B18" t="n">
        <v>51.2</v>
      </c>
      <c r="C18" t="n">
        <v>37.7116813659668</v>
      </c>
    </row>
    <row r="19">
      <c r="A19" s="96" t="n">
        <v>40969</v>
      </c>
      <c r="B19" t="n">
        <v>51.6</v>
      </c>
      <c r="C19" t="n">
        <v>38.13177871704102</v>
      </c>
    </row>
    <row r="20">
      <c r="A20" s="96" t="n">
        <v>41000</v>
      </c>
      <c r="B20" t="n">
        <v>51.3</v>
      </c>
      <c r="C20" t="n">
        <v>37.69552230834961</v>
      </c>
    </row>
    <row r="21">
      <c r="A21" s="96" t="n">
        <v>41030</v>
      </c>
      <c r="B21" t="n">
        <v>50.3</v>
      </c>
      <c r="C21" t="n">
        <v>34.19742965698242</v>
      </c>
    </row>
    <row r="22">
      <c r="A22" s="96" t="n">
        <v>41061</v>
      </c>
      <c r="B22" t="n">
        <v>49.7</v>
      </c>
      <c r="C22" t="n">
        <v>35.44155120849609</v>
      </c>
    </row>
    <row r="23">
      <c r="A23" s="96" t="n">
        <v>41091</v>
      </c>
      <c r="B23" t="n">
        <v>48.8</v>
      </c>
      <c r="C23" t="n">
        <v>36.22687911987305</v>
      </c>
    </row>
    <row r="24">
      <c r="A24" s="96" t="n">
        <v>41122</v>
      </c>
      <c r="B24" t="n">
        <v>48.7</v>
      </c>
      <c r="C24" t="n">
        <v>37.23430633544922</v>
      </c>
    </row>
    <row r="25">
      <c r="A25" s="96" t="n">
        <v>41153</v>
      </c>
      <c r="B25" t="n">
        <v>48.7</v>
      </c>
      <c r="C25" t="n">
        <v>38.24175643920898</v>
      </c>
    </row>
    <row r="26">
      <c r="A26" s="96" t="n">
        <v>41183</v>
      </c>
      <c r="B26" t="n">
        <v>48.9</v>
      </c>
      <c r="C26" t="n">
        <v>38.04518127441406</v>
      </c>
    </row>
    <row r="27">
      <c r="A27" s="96" t="n">
        <v>41214</v>
      </c>
      <c r="B27" t="n">
        <v>49.6</v>
      </c>
      <c r="C27" t="n">
        <v>38.65127563476562</v>
      </c>
    </row>
    <row r="28">
      <c r="A28" s="96" t="n">
        <v>41244</v>
      </c>
      <c r="B28" t="n">
        <v>50</v>
      </c>
      <c r="C28" t="n">
        <v>39.38024520874023</v>
      </c>
    </row>
    <row r="29">
      <c r="A29" s="96" t="n">
        <v>41275</v>
      </c>
      <c r="B29" t="n">
        <v>51.5</v>
      </c>
      <c r="C29" t="n">
        <v>41.27107238769531</v>
      </c>
    </row>
    <row r="30">
      <c r="A30" s="96" t="n">
        <v>41306</v>
      </c>
      <c r="B30" t="n">
        <v>50.9</v>
      </c>
      <c r="C30" t="n">
        <v>41.22971343994141</v>
      </c>
    </row>
    <row r="31">
      <c r="A31" s="96" t="n">
        <v>41334</v>
      </c>
      <c r="B31" t="n">
        <v>51.2</v>
      </c>
      <c r="C31" t="n">
        <v>41.98250198364258</v>
      </c>
    </row>
    <row r="32">
      <c r="A32" s="96" t="n">
        <v>41365</v>
      </c>
      <c r="B32" t="n">
        <v>50.4</v>
      </c>
      <c r="C32" t="n">
        <v>43.17373275756836</v>
      </c>
    </row>
    <row r="33">
      <c r="A33" s="96" t="n">
        <v>41395</v>
      </c>
      <c r="B33" t="n">
        <v>50.6</v>
      </c>
      <c r="C33" t="n">
        <v>43.00827789306641</v>
      </c>
    </row>
    <row r="34">
      <c r="A34" s="96" t="n">
        <v>41426</v>
      </c>
      <c r="B34" t="n">
        <v>50.6</v>
      </c>
      <c r="C34" t="n">
        <v>41.36206817626953</v>
      </c>
    </row>
    <row r="35">
      <c r="A35" s="96" t="n">
        <v>41456</v>
      </c>
      <c r="B35" t="n">
        <v>50.8</v>
      </c>
      <c r="C35" t="n">
        <v>43.80786514282227</v>
      </c>
    </row>
    <row r="36">
      <c r="A36" s="96" t="n">
        <v>41487</v>
      </c>
      <c r="B36" t="n">
        <v>51.6</v>
      </c>
      <c r="C36" t="n">
        <v>42.80252075195312</v>
      </c>
    </row>
    <row r="37">
      <c r="A37" s="96" t="n">
        <v>41518</v>
      </c>
      <c r="B37" t="n">
        <v>51.8</v>
      </c>
      <c r="C37" t="n">
        <v>45.17345428466797</v>
      </c>
    </row>
    <row r="38">
      <c r="A38" s="96" t="n">
        <v>41548</v>
      </c>
      <c r="B38" t="n">
        <v>52.1</v>
      </c>
      <c r="C38" t="n">
        <v>46.95794296264648</v>
      </c>
    </row>
    <row r="39">
      <c r="A39" s="96" t="n">
        <v>41579</v>
      </c>
      <c r="B39" t="n">
        <v>53.1</v>
      </c>
      <c r="C39" t="n">
        <v>47.68681335449219</v>
      </c>
    </row>
    <row r="40">
      <c r="A40" s="96" t="n">
        <v>41609</v>
      </c>
      <c r="B40" t="n">
        <v>53.3</v>
      </c>
      <c r="C40" t="n">
        <v>48.27326202392578</v>
      </c>
    </row>
    <row r="41">
      <c r="A41" s="96" t="n">
        <v>41640</v>
      </c>
      <c r="B41" t="n">
        <v>52.9</v>
      </c>
      <c r="C41" t="n">
        <v>46.41812133789062</v>
      </c>
    </row>
    <row r="42">
      <c r="A42" s="96" t="n">
        <v>41671</v>
      </c>
      <c r="B42" t="n">
        <v>53.3</v>
      </c>
      <c r="C42" t="n">
        <v>48.83406829833984</v>
      </c>
    </row>
    <row r="43">
      <c r="A43" s="96" t="n">
        <v>41699</v>
      </c>
      <c r="B43" t="n">
        <v>52.4</v>
      </c>
      <c r="C43" t="n">
        <v>49.11282730102539</v>
      </c>
    </row>
    <row r="44">
      <c r="A44" s="96" t="n">
        <v>41730</v>
      </c>
      <c r="B44" t="n">
        <v>51.9</v>
      </c>
      <c r="C44" t="n">
        <v>49.69569396972656</v>
      </c>
    </row>
    <row r="45">
      <c r="A45" s="96" t="n">
        <v>41760</v>
      </c>
      <c r="B45" t="n">
        <v>52.2</v>
      </c>
      <c r="C45" t="n">
        <v>50.69247817993164</v>
      </c>
    </row>
    <row r="46">
      <c r="A46" s="96" t="n">
        <v>41791</v>
      </c>
      <c r="B46" t="n">
        <v>52.6</v>
      </c>
      <c r="C46" t="n">
        <v>50.90365219116211</v>
      </c>
    </row>
    <row r="47">
      <c r="A47" s="96" t="n">
        <v>41821</v>
      </c>
      <c r="B47" t="n">
        <v>52.5</v>
      </c>
      <c r="C47" t="n">
        <v>50.86899566650391</v>
      </c>
    </row>
    <row r="48">
      <c r="A48" s="96" t="n">
        <v>41852</v>
      </c>
      <c r="B48" t="n">
        <v>52.6</v>
      </c>
      <c r="C48" t="n">
        <v>52.17947769165039</v>
      </c>
    </row>
    <row r="49">
      <c r="A49" s="96" t="n">
        <v>41883</v>
      </c>
      <c r="B49" t="n">
        <v>52.2</v>
      </c>
      <c r="C49" t="n">
        <v>50.44929504394531</v>
      </c>
    </row>
    <row r="50">
      <c r="A50" s="96" t="n">
        <v>41913</v>
      </c>
      <c r="B50" t="n">
        <v>52.2</v>
      </c>
      <c r="C50" t="n">
        <v>51.05743026733398</v>
      </c>
    </row>
    <row r="51">
      <c r="A51" s="96" t="n">
        <v>41944</v>
      </c>
      <c r="B51" t="n">
        <v>51.8</v>
      </c>
      <c r="C51" t="n">
        <v>51.7597770690918</v>
      </c>
    </row>
    <row r="52">
      <c r="A52" s="96" t="n">
        <v>41974</v>
      </c>
      <c r="B52" t="n">
        <v>51.6</v>
      </c>
      <c r="C52" t="n">
        <v>50.106689453125</v>
      </c>
    </row>
    <row r="53">
      <c r="A53" s="96" t="n">
        <v>42005</v>
      </c>
      <c r="B53" t="n">
        <v>51.7</v>
      </c>
      <c r="C53" t="n">
        <v>49.87423324584961</v>
      </c>
    </row>
    <row r="54">
      <c r="A54" s="96" t="n">
        <v>42036</v>
      </c>
      <c r="B54" t="n">
        <v>52</v>
      </c>
      <c r="C54" t="n">
        <v>52.62150573730469</v>
      </c>
    </row>
    <row r="55">
      <c r="A55" s="96" t="n">
        <v>42064</v>
      </c>
      <c r="B55" t="n">
        <v>51.8</v>
      </c>
      <c r="C55" t="n">
        <v>51.85261535644531</v>
      </c>
    </row>
    <row r="56">
      <c r="A56" s="96" t="n">
        <v>42095</v>
      </c>
      <c r="B56" t="n">
        <v>51</v>
      </c>
      <c r="C56" t="n">
        <v>53.33855819702148</v>
      </c>
    </row>
    <row r="57">
      <c r="A57" s="96" t="n">
        <v>42125</v>
      </c>
      <c r="B57" t="n">
        <v>51.2</v>
      </c>
      <c r="C57" t="n">
        <v>53.33855819702148</v>
      </c>
    </row>
    <row r="58">
      <c r="A58" s="96" t="n">
        <v>42156</v>
      </c>
      <c r="B58" t="n">
        <v>51</v>
      </c>
      <c r="C58" t="n">
        <v>51.36018753051758</v>
      </c>
    </row>
    <row r="59">
      <c r="A59" s="96" t="n">
        <v>42186</v>
      </c>
      <c r="B59" t="n">
        <v>51</v>
      </c>
      <c r="C59" t="n">
        <v>52.3916015625</v>
      </c>
    </row>
    <row r="60">
      <c r="A60" s="96" t="n">
        <v>42217</v>
      </c>
      <c r="B60" t="n">
        <v>50.7</v>
      </c>
      <c r="C60" t="n">
        <v>48.82541656494141</v>
      </c>
    </row>
    <row r="61">
      <c r="A61" s="96" t="n">
        <v>42248</v>
      </c>
      <c r="B61" t="n">
        <v>50.6</v>
      </c>
      <c r="C61" t="n">
        <v>47.14720153808594</v>
      </c>
    </row>
    <row r="62">
      <c r="A62" s="96" t="n">
        <v>42278</v>
      </c>
      <c r="B62" t="n">
        <v>51.4</v>
      </c>
      <c r="C62" t="n">
        <v>50.75709533691406</v>
      </c>
    </row>
    <row r="63">
      <c r="A63" s="96" t="n">
        <v>42309</v>
      </c>
      <c r="B63" t="n">
        <v>51.2</v>
      </c>
      <c r="C63" t="n">
        <v>50.48614120483398</v>
      </c>
    </row>
    <row r="64">
      <c r="A64" s="96" t="n">
        <v>42339</v>
      </c>
      <c r="B64" t="n">
        <v>50.9</v>
      </c>
      <c r="C64" t="n">
        <v>48.79045104980469</v>
      </c>
    </row>
    <row r="65">
      <c r="A65" s="96" t="n">
        <v>42370</v>
      </c>
      <c r="B65" t="n">
        <v>50.9</v>
      </c>
      <c r="C65" t="n">
        <v>46.80223083496094</v>
      </c>
    </row>
    <row r="66">
      <c r="A66" s="96" t="n">
        <v>42401</v>
      </c>
      <c r="B66" t="n">
        <v>50</v>
      </c>
      <c r="C66" t="n">
        <v>46.21787643432617</v>
      </c>
    </row>
    <row r="67">
      <c r="A67" s="96" t="n">
        <v>42430</v>
      </c>
      <c r="B67" t="n">
        <v>50.5</v>
      </c>
      <c r="C67" t="n">
        <v>49.63551712036133</v>
      </c>
    </row>
    <row r="68">
      <c r="A68" s="96" t="n">
        <v>42461</v>
      </c>
      <c r="B68" t="n">
        <v>50.1</v>
      </c>
      <c r="C68" t="n">
        <v>50.29956817626953</v>
      </c>
    </row>
    <row r="69">
      <c r="A69" s="96" t="n">
        <v>42491</v>
      </c>
      <c r="B69" t="n">
        <v>50</v>
      </c>
      <c r="C69" t="n">
        <v>50.4677848815918</v>
      </c>
    </row>
    <row r="70">
      <c r="A70" s="96" t="n">
        <v>42522</v>
      </c>
      <c r="B70" t="n">
        <v>50.9</v>
      </c>
      <c r="C70" t="n">
        <v>49.7860221862793</v>
      </c>
    </row>
    <row r="71">
      <c r="A71" s="96" t="n">
        <v>42552</v>
      </c>
      <c r="B71" t="n">
        <v>51</v>
      </c>
      <c r="C71" t="n">
        <v>52.34452438354492</v>
      </c>
    </row>
    <row r="72">
      <c r="A72" s="96" t="n">
        <v>42583</v>
      </c>
      <c r="B72" t="n">
        <v>50.9</v>
      </c>
      <c r="C72" t="n">
        <v>52.52392959594727</v>
      </c>
    </row>
    <row r="73">
      <c r="A73" s="96" t="n">
        <v>42614</v>
      </c>
      <c r="B73" t="n">
        <v>51</v>
      </c>
      <c r="C73" t="n">
        <v>53.01732635498047</v>
      </c>
    </row>
    <row r="74">
      <c r="A74" s="96" t="n">
        <v>42644</v>
      </c>
      <c r="B74" t="n">
        <v>52</v>
      </c>
      <c r="C74" t="n">
        <v>52.00363540649414</v>
      </c>
    </row>
    <row r="75">
      <c r="A75" s="96" t="n">
        <v>42675</v>
      </c>
      <c r="B75" t="n">
        <v>52.1</v>
      </c>
      <c r="C75" t="n">
        <v>52.54187774658203</v>
      </c>
    </row>
    <row r="76">
      <c r="A76" s="96" t="n">
        <v>42705</v>
      </c>
      <c r="B76" t="n">
        <v>52.7</v>
      </c>
      <c r="C76" t="n">
        <v>53.08012008666992</v>
      </c>
    </row>
    <row r="77">
      <c r="A77" s="96" t="n">
        <v>42736</v>
      </c>
      <c r="B77" t="n">
        <v>52.7</v>
      </c>
      <c r="C77" t="n">
        <v>55.13020324707031</v>
      </c>
    </row>
    <row r="78">
      <c r="A78" s="96" t="n">
        <v>42767</v>
      </c>
      <c r="B78" t="n">
        <v>53</v>
      </c>
      <c r="C78" t="n">
        <v>56.51547241210938</v>
      </c>
    </row>
    <row r="79">
      <c r="A79" s="96" t="n">
        <v>42795</v>
      </c>
      <c r="B79" t="n">
        <v>53</v>
      </c>
      <c r="C79" t="n">
        <v>57.2760124206543</v>
      </c>
    </row>
    <row r="80">
      <c r="A80" s="96" t="n">
        <v>42826</v>
      </c>
      <c r="B80" t="n">
        <v>52.7</v>
      </c>
      <c r="C80" t="n">
        <v>58.19952774047852</v>
      </c>
    </row>
    <row r="81">
      <c r="A81" s="96" t="n">
        <v>42856</v>
      </c>
      <c r="B81" t="n">
        <v>52.6</v>
      </c>
      <c r="C81" t="n">
        <v>59.48520660400391</v>
      </c>
    </row>
    <row r="82">
      <c r="A82" s="96" t="n">
        <v>42887</v>
      </c>
      <c r="B82" t="n">
        <v>52.6</v>
      </c>
      <c r="C82" t="n">
        <v>59.29507064819336</v>
      </c>
    </row>
    <row r="83">
      <c r="A83" s="96" t="n">
        <v>42917</v>
      </c>
      <c r="B83" t="n">
        <v>52.8</v>
      </c>
      <c r="C83" t="n">
        <v>61.59209823608398</v>
      </c>
    </row>
    <row r="84">
      <c r="A84" s="96" t="n">
        <v>42948</v>
      </c>
      <c r="B84" t="n">
        <v>53.2</v>
      </c>
      <c r="C84" t="n">
        <v>61.83927536010742</v>
      </c>
    </row>
    <row r="85">
      <c r="A85" s="96" t="n">
        <v>42979</v>
      </c>
      <c r="B85" t="n">
        <v>53.3</v>
      </c>
      <c r="C85" t="n">
        <v>63.00190353393555</v>
      </c>
    </row>
    <row r="86">
      <c r="A86" s="96" t="n">
        <v>43009</v>
      </c>
      <c r="B86" t="n">
        <v>53.5</v>
      </c>
      <c r="C86" t="n">
        <v>64.35679626464844</v>
      </c>
    </row>
    <row r="87">
      <c r="A87" s="96" t="n">
        <v>43040</v>
      </c>
      <c r="B87" t="n">
        <v>54.1</v>
      </c>
      <c r="C87" t="n">
        <v>65.65674591064453</v>
      </c>
    </row>
    <row r="88">
      <c r="A88" s="96" t="n">
        <v>43070</v>
      </c>
      <c r="B88" t="n">
        <v>54.5</v>
      </c>
      <c r="C88" t="n">
        <v>65.99544525146484</v>
      </c>
    </row>
    <row r="89">
      <c r="A89" s="96" t="n">
        <v>43101</v>
      </c>
      <c r="B89" t="n">
        <v>54.4</v>
      </c>
      <c r="C89" t="n">
        <v>70.40650939941406</v>
      </c>
    </row>
    <row r="90">
      <c r="A90" s="96" t="n">
        <v>43132</v>
      </c>
      <c r="B90" t="n">
        <v>54.1</v>
      </c>
      <c r="C90" t="n">
        <v>67.25577545166016</v>
      </c>
    </row>
    <row r="91">
      <c r="A91" s="96" t="n">
        <v>43160</v>
      </c>
      <c r="B91" t="n">
        <v>53.3</v>
      </c>
      <c r="C91" t="n">
        <v>66.24864196777344</v>
      </c>
    </row>
    <row r="92">
      <c r="A92" s="96" t="n">
        <v>43191</v>
      </c>
      <c r="B92" t="n">
        <v>53.5</v>
      </c>
      <c r="C92" t="n">
        <v>66.5166015625</v>
      </c>
    </row>
    <row r="93">
      <c r="A93" s="96" t="n">
        <v>43221</v>
      </c>
      <c r="B93" t="n">
        <v>53.1</v>
      </c>
      <c r="C93" t="n">
        <v>66.83074951171875</v>
      </c>
    </row>
    <row r="94">
      <c r="A94" s="96" t="n">
        <v>43252</v>
      </c>
      <c r="B94" t="n">
        <v>53</v>
      </c>
      <c r="C94" t="n">
        <v>65.71274566650391</v>
      </c>
    </row>
    <row r="95">
      <c r="A95" s="96" t="n">
        <v>43282</v>
      </c>
      <c r="B95" t="n">
        <v>52.8</v>
      </c>
      <c r="C95" t="n">
        <v>68.47612762451172</v>
      </c>
    </row>
    <row r="96">
      <c r="A96" s="96" t="n">
        <v>43313</v>
      </c>
      <c r="B96" t="n">
        <v>52.6</v>
      </c>
      <c r="C96" t="n">
        <v>68.95254516601562</v>
      </c>
    </row>
    <row r="97">
      <c r="A97" s="96" t="n">
        <v>43344</v>
      </c>
      <c r="B97" t="n">
        <v>52.2</v>
      </c>
      <c r="C97" t="n">
        <v>69.37293243408203</v>
      </c>
    </row>
    <row r="98">
      <c r="A98" s="96" t="n">
        <v>43374</v>
      </c>
      <c r="B98" t="n">
        <v>52</v>
      </c>
      <c r="C98" t="n">
        <v>64.21620178222656</v>
      </c>
    </row>
    <row r="99">
      <c r="A99" s="96" t="n">
        <v>43405</v>
      </c>
      <c r="B99" t="n">
        <v>52</v>
      </c>
      <c r="C99" t="n">
        <v>65.23448181152344</v>
      </c>
    </row>
    <row r="100">
      <c r="A100" s="96" t="n">
        <v>43435</v>
      </c>
      <c r="B100" t="n">
        <v>51.5</v>
      </c>
      <c r="C100" t="n">
        <v>59.9376220703125</v>
      </c>
    </row>
    <row r="101">
      <c r="A101" s="96" t="n">
        <v>43466</v>
      </c>
      <c r="B101" t="n">
        <v>50.7</v>
      </c>
      <c r="C101" t="n">
        <v>65.39913177490234</v>
      </c>
    </row>
    <row r="102">
      <c r="A102" s="96" t="n">
        <v>43497</v>
      </c>
      <c r="B102" t="n">
        <v>50.6</v>
      </c>
      <c r="C102" t="n">
        <v>67.01239776611328</v>
      </c>
    </row>
    <row r="103">
      <c r="A103" s="96" t="n">
        <v>43525</v>
      </c>
      <c r="B103" t="n">
        <v>50.5</v>
      </c>
      <c r="C103" t="n">
        <v>68.06904602050781</v>
      </c>
    </row>
    <row r="104">
      <c r="A104" s="96" t="n">
        <v>43556</v>
      </c>
      <c r="B104" t="n">
        <v>50.4</v>
      </c>
      <c r="C104" t="n">
        <v>70.39934539794922</v>
      </c>
    </row>
    <row r="105">
      <c r="A105" s="96" t="n">
        <v>43586</v>
      </c>
      <c r="B105" t="n">
        <v>49.8</v>
      </c>
      <c r="C105" t="n">
        <v>66.12556457519531</v>
      </c>
    </row>
    <row r="106">
      <c r="A106" s="96" t="n">
        <v>43617</v>
      </c>
      <c r="B106" t="n">
        <v>49.4</v>
      </c>
      <c r="C106" t="n">
        <v>69.54081726074219</v>
      </c>
    </row>
    <row r="107">
      <c r="A107" s="96" t="n">
        <v>43647</v>
      </c>
      <c r="B107" t="n">
        <v>49.3</v>
      </c>
      <c r="C107" t="n">
        <v>70.46517181396484</v>
      </c>
    </row>
    <row r="108">
      <c r="A108" s="96" t="n">
        <v>43678</v>
      </c>
      <c r="B108" t="n">
        <v>49.5</v>
      </c>
      <c r="C108" t="n">
        <v>68.90798187255859</v>
      </c>
    </row>
    <row r="109">
      <c r="A109" s="96" t="n">
        <v>43709</v>
      </c>
      <c r="B109" t="n">
        <v>49.7</v>
      </c>
      <c r="C109" t="n">
        <v>70.45561218261719</v>
      </c>
    </row>
    <row r="110">
      <c r="A110" s="96" t="n">
        <v>43739</v>
      </c>
      <c r="B110" t="n">
        <v>49.8</v>
      </c>
      <c r="C110" t="n">
        <v>72.38539123535156</v>
      </c>
    </row>
    <row r="111">
      <c r="A111" s="96" t="n">
        <v>43770</v>
      </c>
      <c r="B111" t="n">
        <v>50.3</v>
      </c>
      <c r="C111" t="n">
        <v>74.07631683349609</v>
      </c>
    </row>
    <row r="112">
      <c r="A112" s="96" t="n">
        <v>43800</v>
      </c>
      <c r="B112" t="n">
        <v>50.1</v>
      </c>
      <c r="C112" t="n">
        <v>75.70993804931641</v>
      </c>
    </row>
    <row r="113">
      <c r="A113" s="96" t="n">
        <v>43831</v>
      </c>
      <c r="B113" t="n">
        <v>50.4</v>
      </c>
      <c r="C113" t="n">
        <v>75.52373504638672</v>
      </c>
    </row>
    <row r="114">
      <c r="A114" s="96" t="n">
        <v>43862</v>
      </c>
      <c r="B114" t="n">
        <v>47.1</v>
      </c>
      <c r="C114" t="n">
        <v>69.86743927001953</v>
      </c>
    </row>
    <row r="115">
      <c r="A115" s="96" t="n">
        <v>43891</v>
      </c>
      <c r="B115" t="n">
        <v>47.3</v>
      </c>
      <c r="C115" t="n">
        <v>60.49827194213867</v>
      </c>
    </row>
    <row r="116">
      <c r="A116" s="96" t="n">
        <v>43922</v>
      </c>
      <c r="B116" t="n">
        <v>39.6</v>
      </c>
      <c r="C116" t="n">
        <v>66.44464874267578</v>
      </c>
    </row>
    <row r="117">
      <c r="A117" s="96" t="n">
        <v>43952</v>
      </c>
      <c r="B117" t="n">
        <v>42.4</v>
      </c>
      <c r="C117" t="n">
        <v>69.82875823974609</v>
      </c>
    </row>
    <row r="118">
      <c r="A118" s="96" t="n">
        <v>43983</v>
      </c>
      <c r="B118" t="n">
        <v>47.8</v>
      </c>
      <c r="C118" t="n">
        <v>71.27909088134766</v>
      </c>
    </row>
    <row r="119">
      <c r="A119" s="96" t="n">
        <v>44013</v>
      </c>
      <c r="B119" t="n">
        <v>50.6</v>
      </c>
      <c r="C119" t="n">
        <v>75.73363494873047</v>
      </c>
    </row>
    <row r="120">
      <c r="A120" s="96" t="n">
        <v>44044</v>
      </c>
      <c r="B120" t="n">
        <v>51.8</v>
      </c>
      <c r="C120" t="n">
        <v>80.29696655273438</v>
      </c>
    </row>
    <row r="121">
      <c r="A121" s="96" t="n">
        <v>44075</v>
      </c>
      <c r="B121" t="n">
        <v>52.4</v>
      </c>
      <c r="C121" t="n">
        <v>77.92754364013672</v>
      </c>
    </row>
    <row r="122">
      <c r="A122" s="96" t="n">
        <v>44105</v>
      </c>
      <c r="B122" t="n">
        <v>53</v>
      </c>
      <c r="C122" t="n">
        <v>76.19192504882812</v>
      </c>
    </row>
    <row r="123">
      <c r="A123" s="96" t="n">
        <v>44136</v>
      </c>
      <c r="B123" t="n">
        <v>53.8</v>
      </c>
      <c r="C123" t="n">
        <v>85.15281677246094</v>
      </c>
    </row>
    <row r="124">
      <c r="A124" s="96" t="n">
        <v>44166</v>
      </c>
      <c r="B124" t="n">
        <v>53.8</v>
      </c>
      <c r="C124" t="n">
        <v>88.45829772949219</v>
      </c>
    </row>
    <row r="125">
      <c r="A125" s="96" t="n">
        <v>44197</v>
      </c>
      <c r="B125" t="n">
        <v>53.6</v>
      </c>
      <c r="C125" t="n">
        <v>88.86903381347656</v>
      </c>
    </row>
    <row r="126">
      <c r="A126" s="96" t="n">
        <v>44228</v>
      </c>
      <c r="B126" t="n">
        <v>53.9</v>
      </c>
      <c r="C126" t="n">
        <v>90.90308380126953</v>
      </c>
    </row>
    <row r="127">
      <c r="A127" s="96" t="n">
        <v>44256</v>
      </c>
      <c r="B127" t="n">
        <v>55</v>
      </c>
      <c r="C127" t="n">
        <v>93.49722290039062</v>
      </c>
    </row>
    <row r="128">
      <c r="A128" s="96" t="n">
        <v>44287</v>
      </c>
      <c r="B128" t="n">
        <v>55.9</v>
      </c>
      <c r="C128" t="n">
        <v>97.46704864501953</v>
      </c>
    </row>
    <row r="129">
      <c r="A129" s="96" t="n">
        <v>44317</v>
      </c>
      <c r="B129" t="n">
        <v>56</v>
      </c>
      <c r="C129" t="n">
        <v>98.90167999267578</v>
      </c>
    </row>
    <row r="130">
      <c r="A130" s="96" t="n">
        <v>44348</v>
      </c>
      <c r="B130" t="n">
        <v>55.5</v>
      </c>
      <c r="C130" t="n">
        <v>99.43231201171875</v>
      </c>
    </row>
    <row r="131">
      <c r="A131" s="96" t="n">
        <v>44378</v>
      </c>
      <c r="B131" t="n">
        <v>55.4</v>
      </c>
      <c r="C131" t="n">
        <v>101.0592498779297</v>
      </c>
    </row>
    <row r="132">
      <c r="A132" s="96" t="n">
        <v>44409</v>
      </c>
      <c r="B132" t="n">
        <v>54.1</v>
      </c>
      <c r="C132" t="n">
        <v>103.2564010620117</v>
      </c>
    </row>
    <row r="133">
      <c r="A133" s="96" t="n">
        <v>44440</v>
      </c>
      <c r="B133" t="n">
        <v>54.1</v>
      </c>
      <c r="C133" t="n">
        <v>98.89178466796875</v>
      </c>
    </row>
    <row r="134">
      <c r="A134" s="96" t="n">
        <v>44470</v>
      </c>
      <c r="B134" t="n">
        <v>54.2</v>
      </c>
      <c r="C134" t="n">
        <v>104.226318359375</v>
      </c>
    </row>
    <row r="135">
      <c r="A135" s="96" t="n">
        <v>44501</v>
      </c>
      <c r="B135" t="n">
        <v>54.2</v>
      </c>
      <c r="C135" t="n">
        <v>101.8213195800781</v>
      </c>
    </row>
    <row r="136">
      <c r="A136" s="96" t="n">
        <v>44531</v>
      </c>
      <c r="B136" t="n">
        <v>54.2</v>
      </c>
      <c r="C136" t="n">
        <v>104.6914825439453</v>
      </c>
    </row>
    <row r="137">
      <c r="A137" s="96" t="n">
        <v>44562</v>
      </c>
      <c r="B137" t="n">
        <v/>
      </c>
      <c r="C137" t="n">
        <v>100.9700012207031</v>
      </c>
    </row>
    <row r="138">
      <c r="A138" s="96" t="n">
        <v>44593</v>
      </c>
      <c r="B138" t="n">
        <v/>
      </c>
      <c r="C138" t="n">
        <v>101.75</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AE340"/>
  <sheetViews>
    <sheetView zoomScale="160" zoomScaleNormal="160" workbookViewId="0">
      <pane ySplit="1" topLeftCell="A309" activePane="bottomLeft" state="frozen"/>
      <selection activeCell="P121" sqref="P121"/>
      <selection pane="bottomLeft" activeCell="AF320" sqref="AF320"/>
    </sheetView>
  </sheetViews>
  <sheetFormatPr baseColWidth="10" defaultRowHeight="15"/>
  <cols>
    <col width="10.83203125" customWidth="1" style="76" min="1" max="11"/>
    <col width="10.83203125" customWidth="1" style="76" min="12" max="16384"/>
  </cols>
  <sheetData>
    <row r="1">
      <c r="A1" t="inlineStr">
        <is>
          <t>Date</t>
        </is>
      </c>
      <c r="B1" t="inlineStr">
        <is>
          <t>australia</t>
        </is>
      </c>
      <c r="C1" t="inlineStr">
        <is>
          <t>brazil</t>
        </is>
      </c>
      <c r="D1" t="inlineStr">
        <is>
          <t>canada</t>
        </is>
      </c>
      <c r="E1" t="inlineStr">
        <is>
          <t>czech-republic</t>
        </is>
      </c>
      <c r="F1" t="inlineStr">
        <is>
          <t>denmark</t>
        </is>
      </c>
      <c r="G1" t="inlineStr">
        <is>
          <t>euro-area</t>
        </is>
      </c>
      <c r="H1" t="inlineStr">
        <is>
          <t>france</t>
        </is>
      </c>
      <c r="I1" t="inlineStr">
        <is>
          <t>germany</t>
        </is>
      </c>
      <c r="J1" t="inlineStr">
        <is>
          <t>greece</t>
        </is>
      </c>
      <c r="K1" t="inlineStr">
        <is>
          <t>hong-kong</t>
        </is>
      </c>
      <c r="L1" t="inlineStr">
        <is>
          <t>india</t>
        </is>
      </c>
      <c r="M1" t="inlineStr">
        <is>
          <t>indonesia</t>
        </is>
      </c>
      <c r="N1" t="inlineStr">
        <is>
          <t>ireland</t>
        </is>
      </c>
      <c r="O1" t="inlineStr">
        <is>
          <t>italy</t>
        </is>
      </c>
      <c r="P1" t="inlineStr">
        <is>
          <t>japan</t>
        </is>
      </c>
      <c r="Q1" t="inlineStr">
        <is>
          <t>mexico</t>
        </is>
      </c>
      <c r="R1" t="inlineStr">
        <is>
          <t>new-zealand</t>
        </is>
      </c>
      <c r="S1" t="inlineStr">
        <is>
          <t>poland</t>
        </is>
      </c>
      <c r="T1" t="inlineStr">
        <is>
          <t>russia</t>
        </is>
      </c>
      <c r="U1" t="inlineStr">
        <is>
          <t>saudi-arabia</t>
        </is>
      </c>
      <c r="V1" t="inlineStr">
        <is>
          <t>south-africa</t>
        </is>
      </c>
      <c r="W1" t="inlineStr">
        <is>
          <t>south-korea</t>
        </is>
      </c>
      <c r="X1" t="inlineStr">
        <is>
          <t>spain</t>
        </is>
      </c>
      <c r="Y1" t="inlineStr">
        <is>
          <t>taiwan</t>
        </is>
      </c>
      <c r="Z1" t="inlineStr">
        <is>
          <t>thailand</t>
        </is>
      </c>
      <c r="AA1" t="inlineStr">
        <is>
          <t>turkey</t>
        </is>
      </c>
      <c r="AB1" t="inlineStr">
        <is>
          <t>united-kingdom</t>
        </is>
      </c>
      <c r="AC1" t="inlineStr">
        <is>
          <t>united-states</t>
        </is>
      </c>
      <c r="AD1" t="inlineStr">
        <is>
          <t>vietnam</t>
        </is>
      </c>
      <c r="AE1" t="inlineStr">
        <is>
          <t>china</t>
        </is>
      </c>
    </row>
    <row r="2">
      <c r="A2" s="96" t="n">
        <v>34335</v>
      </c>
      <c r="F2" t="n">
        <v>62.8</v>
      </c>
    </row>
    <row r="3">
      <c r="A3" s="96" t="n">
        <v>34366</v>
      </c>
      <c r="F3" t="n">
        <v>67.53</v>
      </c>
    </row>
    <row r="4">
      <c r="A4" s="96" t="n">
        <v>34394</v>
      </c>
      <c r="F4" t="n">
        <v>61.89</v>
      </c>
    </row>
    <row r="5">
      <c r="A5" s="96" t="n">
        <v>34425</v>
      </c>
      <c r="F5" t="n">
        <v>60.57</v>
      </c>
    </row>
    <row r="6">
      <c r="A6" s="96" t="n">
        <v>34455</v>
      </c>
      <c r="F6" t="n">
        <v>63.1</v>
      </c>
    </row>
    <row r="7">
      <c r="A7" s="96" t="n">
        <v>34486</v>
      </c>
      <c r="F7" t="n">
        <v>62.94</v>
      </c>
    </row>
    <row r="8">
      <c r="A8" s="96" t="n">
        <v>34516</v>
      </c>
      <c r="F8" t="n">
        <v>63.1</v>
      </c>
    </row>
    <row r="9">
      <c r="A9" s="96" t="n">
        <v>34547</v>
      </c>
      <c r="F9" t="n">
        <v>59.49</v>
      </c>
    </row>
    <row r="10">
      <c r="A10" s="96" t="n">
        <v>34578</v>
      </c>
      <c r="F10" t="n">
        <v>59.36</v>
      </c>
    </row>
    <row r="11">
      <c r="A11" s="96" t="n">
        <v>34608</v>
      </c>
      <c r="F11" t="n">
        <v>61.33</v>
      </c>
    </row>
    <row r="12">
      <c r="A12" s="96" t="n">
        <v>34639</v>
      </c>
      <c r="F12" t="n">
        <v>60.53</v>
      </c>
    </row>
    <row r="13">
      <c r="A13" s="96" t="n">
        <v>34669</v>
      </c>
      <c r="F13" t="n">
        <v>62.29</v>
      </c>
    </row>
    <row r="14">
      <c r="A14" s="96" t="n">
        <v>34700</v>
      </c>
      <c r="F14" t="n">
        <v>62.95</v>
      </c>
    </row>
    <row r="15">
      <c r="A15" s="96" t="n">
        <v>34731</v>
      </c>
      <c r="F15" t="n">
        <v>63.78</v>
      </c>
    </row>
    <row r="16">
      <c r="A16" s="96" t="n">
        <v>34759</v>
      </c>
      <c r="F16" t="n">
        <v>61.91</v>
      </c>
    </row>
    <row r="17">
      <c r="A17" s="96" t="n">
        <v>34790</v>
      </c>
      <c r="F17" t="n">
        <v>59.68</v>
      </c>
    </row>
    <row r="18">
      <c r="A18" s="96" t="n">
        <v>34820</v>
      </c>
      <c r="F18" t="n">
        <v>58.91</v>
      </c>
    </row>
    <row r="19">
      <c r="A19" s="96" t="n">
        <v>34851</v>
      </c>
      <c r="F19" t="n">
        <v>58.16</v>
      </c>
    </row>
    <row r="20">
      <c r="A20" s="96" t="n">
        <v>34881</v>
      </c>
      <c r="F20" t="n">
        <v>65.40000000000001</v>
      </c>
    </row>
    <row r="21">
      <c r="A21" s="96" t="n">
        <v>34912</v>
      </c>
      <c r="F21" t="n">
        <v>56.52</v>
      </c>
    </row>
    <row r="22">
      <c r="A22" s="96" t="n">
        <v>34943</v>
      </c>
      <c r="F22" t="n">
        <v>55.66</v>
      </c>
    </row>
    <row r="23">
      <c r="A23" s="96" t="n">
        <v>34973</v>
      </c>
      <c r="F23" t="n">
        <v>53.13</v>
      </c>
    </row>
    <row r="24">
      <c r="A24" s="96" t="n">
        <v>35004</v>
      </c>
      <c r="F24" t="n">
        <v>55.08</v>
      </c>
    </row>
    <row r="25">
      <c r="A25" s="96" t="n">
        <v>35034</v>
      </c>
      <c r="F25" t="n">
        <v>54.03</v>
      </c>
    </row>
    <row r="26">
      <c r="A26" s="96" t="n">
        <v>35065</v>
      </c>
      <c r="F26" t="n">
        <v>50.16</v>
      </c>
    </row>
    <row r="27">
      <c r="A27" s="96" t="n">
        <v>35096</v>
      </c>
      <c r="F27" t="n">
        <v>46.38</v>
      </c>
    </row>
    <row r="28">
      <c r="A28" s="96" t="n">
        <v>35125</v>
      </c>
      <c r="F28" t="n">
        <v>52.65</v>
      </c>
    </row>
    <row r="29">
      <c r="A29" s="96" t="n">
        <v>35156</v>
      </c>
      <c r="F29" t="n">
        <v>54.64</v>
      </c>
    </row>
    <row r="30">
      <c r="A30" s="96" t="n">
        <v>35186</v>
      </c>
      <c r="F30" t="n">
        <v>48.99</v>
      </c>
    </row>
    <row r="31">
      <c r="A31" s="96" t="n">
        <v>35217</v>
      </c>
      <c r="F31" t="n">
        <v>50.64</v>
      </c>
    </row>
    <row r="32">
      <c r="A32" s="96" t="n">
        <v>35247</v>
      </c>
      <c r="F32" t="n">
        <v>54.72</v>
      </c>
    </row>
    <row r="33">
      <c r="A33" s="96" t="n">
        <v>35278</v>
      </c>
      <c r="F33" t="n">
        <v>56.46</v>
      </c>
    </row>
    <row r="34">
      <c r="A34" s="96" t="n">
        <v>35309</v>
      </c>
      <c r="F34" t="n">
        <v>59.28</v>
      </c>
    </row>
    <row r="35">
      <c r="A35" s="96" t="n">
        <v>35339</v>
      </c>
      <c r="F35" t="n">
        <v>57.49</v>
      </c>
    </row>
    <row r="36">
      <c r="A36" s="96" t="n">
        <v>35370</v>
      </c>
      <c r="F36" t="n">
        <v>61.57</v>
      </c>
    </row>
    <row r="37">
      <c r="A37" s="96" t="n">
        <v>35400</v>
      </c>
      <c r="F37" t="n">
        <v>60.71</v>
      </c>
    </row>
    <row r="38">
      <c r="A38" s="96" t="n">
        <v>35431</v>
      </c>
      <c r="F38" t="n">
        <v>62.72</v>
      </c>
    </row>
    <row r="39">
      <c r="A39" s="96" t="n">
        <v>35462</v>
      </c>
      <c r="F39" t="n">
        <v>57.65</v>
      </c>
    </row>
    <row r="40">
      <c r="A40" s="96" t="n">
        <v>35490</v>
      </c>
      <c r="F40" t="n">
        <v>60.39</v>
      </c>
    </row>
    <row r="41">
      <c r="A41" s="96" t="n">
        <v>35521</v>
      </c>
      <c r="F41" t="n">
        <v>60.87</v>
      </c>
    </row>
    <row r="42">
      <c r="A42" s="96" t="n">
        <v>35551</v>
      </c>
      <c r="F42" t="n">
        <v>64.19</v>
      </c>
    </row>
    <row r="43">
      <c r="A43" s="96" t="n">
        <v>35582</v>
      </c>
      <c r="F43" t="n">
        <v>63.39</v>
      </c>
    </row>
    <row r="44">
      <c r="A44" s="96" t="n">
        <v>35612</v>
      </c>
      <c r="F44" t="n">
        <v>54.92</v>
      </c>
    </row>
    <row r="45">
      <c r="A45" s="96" t="n">
        <v>35643</v>
      </c>
      <c r="F45" t="n">
        <v>61.25</v>
      </c>
    </row>
    <row r="46">
      <c r="A46" s="96" t="n">
        <v>35674</v>
      </c>
      <c r="F46" t="n">
        <v>61.84</v>
      </c>
    </row>
    <row r="47">
      <c r="A47" s="96" t="n">
        <v>35704</v>
      </c>
      <c r="F47" t="n">
        <v>58.84</v>
      </c>
    </row>
    <row r="48">
      <c r="A48" s="96" t="n">
        <v>35735</v>
      </c>
      <c r="F48" t="n">
        <v>56.3</v>
      </c>
    </row>
    <row r="49">
      <c r="A49" s="96" t="n">
        <v>35765</v>
      </c>
      <c r="F49" t="n">
        <v>56.74</v>
      </c>
    </row>
    <row r="50">
      <c r="A50" s="96" t="n">
        <v>35796</v>
      </c>
      <c r="F50" t="n">
        <v>55.77</v>
      </c>
    </row>
    <row r="51">
      <c r="A51" s="96" t="n">
        <v>35827</v>
      </c>
      <c r="F51" t="n">
        <v>55.65</v>
      </c>
    </row>
    <row r="52">
      <c r="A52" s="96" t="n">
        <v>35855</v>
      </c>
      <c r="F52" t="n">
        <v>58.86</v>
      </c>
    </row>
    <row r="53">
      <c r="A53" s="96" t="n">
        <v>35886</v>
      </c>
      <c r="F53" t="n">
        <v>58.81</v>
      </c>
    </row>
    <row r="54">
      <c r="A54" s="96" t="n">
        <v>35916</v>
      </c>
      <c r="F54" t="n">
        <v>60.33</v>
      </c>
    </row>
    <row r="55">
      <c r="A55" s="96" t="n">
        <v>35947</v>
      </c>
      <c r="F55" t="n">
        <v>57.46</v>
      </c>
    </row>
    <row r="56">
      <c r="A56" s="96" t="n">
        <v>35977</v>
      </c>
      <c r="F56" t="n">
        <v>50.71</v>
      </c>
    </row>
    <row r="57">
      <c r="A57" s="96" t="n">
        <v>36008</v>
      </c>
      <c r="F57" t="n">
        <v>62.84</v>
      </c>
    </row>
    <row r="58">
      <c r="A58" s="96" t="n">
        <v>36039</v>
      </c>
      <c r="F58" t="n">
        <v>51.54</v>
      </c>
    </row>
    <row r="59">
      <c r="A59" s="96" t="n">
        <v>36069</v>
      </c>
      <c r="F59" t="n">
        <v>54.96</v>
      </c>
    </row>
    <row r="60">
      <c r="A60" s="96" t="n">
        <v>36100</v>
      </c>
      <c r="F60" t="n">
        <v>48.18</v>
      </c>
    </row>
    <row r="61">
      <c r="A61" s="96" t="n">
        <v>36130</v>
      </c>
      <c r="F61" t="n">
        <v>49.94</v>
      </c>
    </row>
    <row r="62">
      <c r="A62" s="96" t="n">
        <v>36161</v>
      </c>
      <c r="F62" t="n">
        <v>53.69</v>
      </c>
    </row>
    <row r="63">
      <c r="A63" s="96" t="n">
        <v>36192</v>
      </c>
      <c r="F63" t="n">
        <v>55.51</v>
      </c>
    </row>
    <row r="64">
      <c r="A64" s="96" t="n">
        <v>36220</v>
      </c>
      <c r="F64" t="n">
        <v>45.32</v>
      </c>
    </row>
    <row r="65">
      <c r="A65" s="96" t="n">
        <v>36251</v>
      </c>
      <c r="F65" t="n">
        <v>50.98</v>
      </c>
    </row>
    <row r="66">
      <c r="A66" s="96" t="n">
        <v>36281</v>
      </c>
      <c r="F66" t="n">
        <v>48.33</v>
      </c>
    </row>
    <row r="67">
      <c r="A67" s="96" t="n">
        <v>36312</v>
      </c>
      <c r="F67" t="n">
        <v>51.51</v>
      </c>
    </row>
    <row r="68">
      <c r="A68" s="96" t="n">
        <v>36342</v>
      </c>
      <c r="F68" t="n">
        <v>53.07</v>
      </c>
    </row>
    <row r="69">
      <c r="A69" s="96" t="n">
        <v>36373</v>
      </c>
      <c r="F69" t="n">
        <v>49.58</v>
      </c>
    </row>
    <row r="70">
      <c r="A70" s="96" t="n">
        <v>36404</v>
      </c>
      <c r="F70" t="n">
        <v>52.05</v>
      </c>
    </row>
    <row r="71">
      <c r="A71" s="96" t="n">
        <v>36434</v>
      </c>
      <c r="F71" t="n">
        <v>69.79000000000001</v>
      </c>
    </row>
    <row r="72">
      <c r="A72" s="96" t="n">
        <v>36465</v>
      </c>
      <c r="F72" t="n">
        <v>64.63</v>
      </c>
    </row>
    <row r="73">
      <c r="A73" s="96" t="n">
        <v>36495</v>
      </c>
      <c r="F73" t="n">
        <v>46.56</v>
      </c>
    </row>
    <row r="74">
      <c r="A74" s="96" t="n">
        <v>36526</v>
      </c>
      <c r="F74" t="n">
        <v>56.5</v>
      </c>
      <c r="V74" t="n">
        <v>56.66</v>
      </c>
    </row>
    <row r="75">
      <c r="A75" s="96" t="n">
        <v>36557</v>
      </c>
      <c r="F75" t="n">
        <v>60.09</v>
      </c>
      <c r="V75" t="n">
        <v>57.26</v>
      </c>
    </row>
    <row r="76">
      <c r="A76" s="96" t="n">
        <v>36586</v>
      </c>
      <c r="F76" t="n">
        <v>58.03</v>
      </c>
      <c r="V76" t="n">
        <v>49.83</v>
      </c>
    </row>
    <row r="77">
      <c r="A77" s="96" t="n">
        <v>36617</v>
      </c>
      <c r="F77" t="n">
        <v>54.9</v>
      </c>
      <c r="V77" t="n">
        <v>52.72</v>
      </c>
    </row>
    <row r="78">
      <c r="A78" s="96" t="n">
        <v>36647</v>
      </c>
      <c r="F78" t="n">
        <v>55.18</v>
      </c>
      <c r="V78" t="n">
        <v>50.05</v>
      </c>
    </row>
    <row r="79">
      <c r="A79" s="96" t="n">
        <v>36678</v>
      </c>
      <c r="F79" t="n">
        <v>53.67</v>
      </c>
      <c r="V79" t="n">
        <v>49.65</v>
      </c>
    </row>
    <row r="80">
      <c r="A80" s="96" t="n">
        <v>36708</v>
      </c>
      <c r="F80" t="n">
        <v>64.06999999999999</v>
      </c>
      <c r="V80" t="n">
        <v>49.18</v>
      </c>
    </row>
    <row r="81">
      <c r="A81" s="96" t="n">
        <v>36739</v>
      </c>
      <c r="F81" t="n">
        <v>56.81</v>
      </c>
      <c r="V81" t="n">
        <v>51.48</v>
      </c>
    </row>
    <row r="82">
      <c r="A82" s="96" t="n">
        <v>36770</v>
      </c>
      <c r="F82" t="n">
        <v>56.21</v>
      </c>
      <c r="V82" t="n">
        <v>53.75</v>
      </c>
    </row>
    <row r="83">
      <c r="A83" s="96" t="n">
        <v>36800</v>
      </c>
      <c r="F83" t="n">
        <v>59.71</v>
      </c>
      <c r="V83" t="n">
        <v>56.34</v>
      </c>
    </row>
    <row r="84">
      <c r="A84" s="96" t="n">
        <v>36831</v>
      </c>
      <c r="F84" t="n">
        <v>54.29</v>
      </c>
      <c r="V84" t="n">
        <v>51.73</v>
      </c>
    </row>
    <row r="85">
      <c r="A85" s="96" t="n">
        <v>36861</v>
      </c>
      <c r="F85" t="n">
        <v>55.54</v>
      </c>
      <c r="V85" t="n">
        <v>50.48</v>
      </c>
    </row>
    <row r="86">
      <c r="A86" s="96" t="n">
        <v>36892</v>
      </c>
      <c r="F86" t="n">
        <v>52.88</v>
      </c>
      <c r="V86" t="n">
        <v>49.29</v>
      </c>
    </row>
    <row r="87">
      <c r="A87" s="96" t="n">
        <v>36923</v>
      </c>
      <c r="F87" t="n">
        <v>51.59</v>
      </c>
      <c r="V87" t="n">
        <v>53.48</v>
      </c>
    </row>
    <row r="88">
      <c r="A88" s="96" t="n">
        <v>36951</v>
      </c>
      <c r="F88" t="n">
        <v>52.49</v>
      </c>
      <c r="V88" t="n">
        <v>53.61</v>
      </c>
    </row>
    <row r="89">
      <c r="A89" s="96" t="n">
        <v>36982</v>
      </c>
      <c r="F89" t="n">
        <v>49.61</v>
      </c>
      <c r="V89" t="n">
        <v>52.38</v>
      </c>
    </row>
    <row r="90">
      <c r="A90" s="96" t="n">
        <v>37012</v>
      </c>
      <c r="F90" t="n">
        <v>52.89</v>
      </c>
      <c r="V90" t="n">
        <v>55.01</v>
      </c>
    </row>
    <row r="91">
      <c r="A91" s="96" t="n">
        <v>37043</v>
      </c>
      <c r="F91" t="n">
        <v>53.97</v>
      </c>
      <c r="V91" t="n">
        <v>56.17</v>
      </c>
    </row>
    <row r="92">
      <c r="A92" s="96" t="n">
        <v>37073</v>
      </c>
      <c r="F92" t="n">
        <v>50.42</v>
      </c>
      <c r="V92" t="n">
        <v>51.34</v>
      </c>
    </row>
    <row r="93">
      <c r="A93" s="96" t="n">
        <v>37104</v>
      </c>
      <c r="F93" t="n">
        <v>53.21</v>
      </c>
      <c r="V93" t="n">
        <v>51.22</v>
      </c>
    </row>
    <row r="94">
      <c r="A94" s="96" t="n">
        <v>37135</v>
      </c>
      <c r="F94" t="n">
        <v>47.75</v>
      </c>
      <c r="V94" t="n">
        <v>48.76</v>
      </c>
    </row>
    <row r="95">
      <c r="A95" s="96" t="n">
        <v>37165</v>
      </c>
      <c r="F95" t="n">
        <v>46.09</v>
      </c>
      <c r="V95" t="n">
        <v>50.25</v>
      </c>
    </row>
    <row r="96">
      <c r="A96" s="96" t="n">
        <v>37196</v>
      </c>
      <c r="F96" t="n">
        <v>50.81</v>
      </c>
      <c r="V96" t="n">
        <v>54.35</v>
      </c>
    </row>
    <row r="97">
      <c r="A97" s="96" t="n">
        <v>37226</v>
      </c>
      <c r="F97" t="n">
        <v>46.1</v>
      </c>
      <c r="V97" t="n">
        <v>55.35</v>
      </c>
    </row>
    <row r="98">
      <c r="A98" s="96" t="n">
        <v>37257</v>
      </c>
      <c r="F98" t="n">
        <v>52.42</v>
      </c>
      <c r="V98" t="n">
        <v>55.53</v>
      </c>
    </row>
    <row r="99">
      <c r="A99" s="96" t="n">
        <v>37288</v>
      </c>
      <c r="F99" t="n">
        <v>53.28</v>
      </c>
      <c r="V99" t="n">
        <v>53.87</v>
      </c>
    </row>
    <row r="100">
      <c r="A100" s="96" t="n">
        <v>37316</v>
      </c>
      <c r="F100" t="n">
        <v>53.02</v>
      </c>
      <c r="V100" t="n">
        <v>53.63</v>
      </c>
    </row>
    <row r="101">
      <c r="A101" s="96" t="n">
        <v>37347</v>
      </c>
      <c r="F101" t="n">
        <v>55.71</v>
      </c>
      <c r="V101" t="n">
        <v>60.87</v>
      </c>
    </row>
    <row r="102">
      <c r="A102" s="96" t="n">
        <v>37377</v>
      </c>
      <c r="F102" t="n">
        <v>52.26</v>
      </c>
      <c r="V102" t="n">
        <v>58.74</v>
      </c>
    </row>
    <row r="103">
      <c r="A103" s="96" t="n">
        <v>37408</v>
      </c>
      <c r="F103" t="n">
        <v>53.98</v>
      </c>
      <c r="V103" t="n">
        <v>56.43</v>
      </c>
    </row>
    <row r="104">
      <c r="A104" s="96" t="n">
        <v>37438</v>
      </c>
      <c r="F104" t="n">
        <v>54.33</v>
      </c>
      <c r="V104" t="n">
        <v>54.63</v>
      </c>
    </row>
    <row r="105">
      <c r="A105" s="96" t="n">
        <v>37469</v>
      </c>
      <c r="F105" t="n">
        <v>53.11</v>
      </c>
      <c r="R105" t="n">
        <v>56.907262129678</v>
      </c>
      <c r="V105" t="n">
        <v>55.58</v>
      </c>
    </row>
    <row r="106">
      <c r="A106" s="96" t="n">
        <v>37500</v>
      </c>
      <c r="F106" t="n">
        <v>52.08</v>
      </c>
      <c r="R106" t="n">
        <v>58.5589449632434</v>
      </c>
      <c r="V106" t="n">
        <v>57.74</v>
      </c>
    </row>
    <row r="107">
      <c r="A107" s="96" t="n">
        <v>37530</v>
      </c>
      <c r="F107" t="n">
        <v>47.57</v>
      </c>
      <c r="R107" t="n">
        <v>57.9466923988663</v>
      </c>
      <c r="V107" t="n">
        <v>56.38</v>
      </c>
    </row>
    <row r="108">
      <c r="A108" s="96" t="n">
        <v>37561</v>
      </c>
      <c r="F108" t="n">
        <v>47.96</v>
      </c>
      <c r="R108" t="n">
        <v>57.0457520757297</v>
      </c>
      <c r="V108" t="n">
        <v>54.54</v>
      </c>
    </row>
    <row r="109">
      <c r="A109" s="96" t="n">
        <v>37591</v>
      </c>
      <c r="F109" t="n">
        <v>48.71</v>
      </c>
      <c r="R109" t="n">
        <v>57.1628551423891</v>
      </c>
      <c r="V109" t="n">
        <v>55.28</v>
      </c>
    </row>
    <row r="110">
      <c r="A110" s="96" t="n">
        <v>37622</v>
      </c>
      <c r="F110" t="n">
        <v>46.3</v>
      </c>
      <c r="R110" t="n">
        <v>56.0373126472842</v>
      </c>
      <c r="V110" t="n">
        <v>56.84</v>
      </c>
    </row>
    <row r="111">
      <c r="A111" s="96" t="n">
        <v>37653</v>
      </c>
      <c r="F111" t="n">
        <v>46.27</v>
      </c>
      <c r="R111" t="n">
        <v>54.4537214107044</v>
      </c>
      <c r="V111" t="n">
        <v>52.39</v>
      </c>
    </row>
    <row r="112">
      <c r="A112" s="96" t="n">
        <v>37681</v>
      </c>
      <c r="F112" t="n">
        <v>49.92</v>
      </c>
      <c r="R112" t="n">
        <v>52.8036302096001</v>
      </c>
      <c r="V112" t="n">
        <v>49.15</v>
      </c>
    </row>
    <row r="113">
      <c r="A113" s="96" t="n">
        <v>37712</v>
      </c>
      <c r="F113" t="n">
        <v>52.91</v>
      </c>
      <c r="R113" t="n">
        <v>53.3207423548318</v>
      </c>
      <c r="V113" t="n">
        <v>48.99</v>
      </c>
    </row>
    <row r="114">
      <c r="A114" s="96" t="n">
        <v>37742</v>
      </c>
      <c r="F114" t="n">
        <v>50.11</v>
      </c>
      <c r="R114" t="n">
        <v>51.8564124097293</v>
      </c>
      <c r="V114" t="n">
        <v>46.13</v>
      </c>
    </row>
    <row r="115">
      <c r="A115" s="96" t="n">
        <v>37773</v>
      </c>
      <c r="F115" t="n">
        <v>47.14</v>
      </c>
      <c r="R115" t="n">
        <v>53.4376487626112</v>
      </c>
      <c r="V115" t="n">
        <v>45.22</v>
      </c>
    </row>
    <row r="116">
      <c r="A116" s="96" t="n">
        <v>37803</v>
      </c>
      <c r="F116" t="n">
        <v>49.65</v>
      </c>
      <c r="R116" t="n">
        <v>53.0699070792162</v>
      </c>
      <c r="V116" t="n">
        <v>47.89</v>
      </c>
    </row>
    <row r="117">
      <c r="A117" s="96" t="n">
        <v>37834</v>
      </c>
      <c r="F117" t="n">
        <v>49.78</v>
      </c>
      <c r="R117" t="n">
        <v>50.5682358998851</v>
      </c>
      <c r="V117" t="n">
        <v>48.44</v>
      </c>
    </row>
    <row r="118">
      <c r="A118" s="96" t="n">
        <v>37865</v>
      </c>
      <c r="F118" t="n">
        <v>59.65</v>
      </c>
      <c r="R118" t="n">
        <v>57.8430291760094</v>
      </c>
      <c r="V118" t="n">
        <v>45.46</v>
      </c>
    </row>
    <row r="119">
      <c r="A119" s="96" t="n">
        <v>37895</v>
      </c>
      <c r="F119" t="n">
        <v>54.14</v>
      </c>
      <c r="R119" t="n">
        <v>60.8664062994677</v>
      </c>
      <c r="V119" t="n">
        <v>47.73</v>
      </c>
    </row>
    <row r="120">
      <c r="A120" s="96" t="n">
        <v>37926</v>
      </c>
      <c r="F120" t="n">
        <v>57.7</v>
      </c>
      <c r="R120" t="n">
        <v>56.3868823573509</v>
      </c>
      <c r="V120" t="n">
        <v>53.1</v>
      </c>
    </row>
    <row r="121">
      <c r="A121" s="96" t="n">
        <v>37956</v>
      </c>
      <c r="F121" t="n">
        <v>60.4</v>
      </c>
      <c r="R121" t="n">
        <v>54.8457516440857</v>
      </c>
      <c r="V121" t="n">
        <v>51.55</v>
      </c>
    </row>
    <row r="122">
      <c r="A122" s="96" t="n">
        <v>37987</v>
      </c>
      <c r="F122" t="n">
        <v>46.37</v>
      </c>
      <c r="R122" t="n">
        <v>55.7939197179694</v>
      </c>
      <c r="V122" t="n">
        <v>54.61</v>
      </c>
    </row>
    <row r="123">
      <c r="A123" s="96" t="n">
        <v>38018</v>
      </c>
      <c r="F123" t="n">
        <v>56.97</v>
      </c>
      <c r="R123" t="n">
        <v>56.8004721684877</v>
      </c>
      <c r="V123" t="n">
        <v>54.29</v>
      </c>
    </row>
    <row r="124">
      <c r="A124" s="96" t="n">
        <v>38047</v>
      </c>
      <c r="F124" t="n">
        <v>58.99</v>
      </c>
      <c r="R124" t="n">
        <v>59.0129037737941</v>
      </c>
      <c r="V124" t="n">
        <v>55.84</v>
      </c>
    </row>
    <row r="125">
      <c r="A125" s="96" t="n">
        <v>38078</v>
      </c>
      <c r="F125" t="n">
        <v>59.16</v>
      </c>
      <c r="R125" t="n">
        <v>58.7416869677263</v>
      </c>
      <c r="V125" t="n">
        <v>56.95</v>
      </c>
    </row>
    <row r="126">
      <c r="A126" s="96" t="n">
        <v>38108</v>
      </c>
      <c r="F126" t="n">
        <v>61.27</v>
      </c>
      <c r="R126" t="n">
        <v>56.1940744843941</v>
      </c>
      <c r="V126" t="n">
        <v>56.6</v>
      </c>
    </row>
    <row r="127">
      <c r="A127" s="96" t="n">
        <v>38139</v>
      </c>
      <c r="F127" t="n">
        <v>51.93</v>
      </c>
      <c r="R127" t="n">
        <v>62.7727740280589</v>
      </c>
      <c r="V127" t="n">
        <v>56.83</v>
      </c>
    </row>
    <row r="128">
      <c r="A128" s="96" t="n">
        <v>38169</v>
      </c>
      <c r="F128" t="n">
        <v>56.18</v>
      </c>
      <c r="R128" t="n">
        <v>58.7710208740845</v>
      </c>
      <c r="V128" t="n">
        <v>55.54</v>
      </c>
    </row>
    <row r="129">
      <c r="A129" s="96" t="n">
        <v>38200</v>
      </c>
      <c r="F129" t="n">
        <v>62.38</v>
      </c>
      <c r="R129" t="n">
        <v>57.4270852912371</v>
      </c>
      <c r="V129" t="n">
        <v>57.5</v>
      </c>
    </row>
    <row r="130">
      <c r="A130" s="96" t="n">
        <v>38231</v>
      </c>
      <c r="F130" t="n">
        <v>57.36</v>
      </c>
      <c r="R130" t="n">
        <v>55.0493220788692</v>
      </c>
      <c r="V130" t="n">
        <v>57.5</v>
      </c>
    </row>
    <row r="131">
      <c r="A131" s="96" t="n">
        <v>38261</v>
      </c>
      <c r="F131" t="n">
        <v>56.87</v>
      </c>
      <c r="R131" t="n">
        <v>52.9171551177009</v>
      </c>
      <c r="V131" t="n">
        <v>55.37</v>
      </c>
    </row>
    <row r="132">
      <c r="A132" s="96" t="n">
        <v>38292</v>
      </c>
      <c r="F132" t="n">
        <v>54.39</v>
      </c>
      <c r="R132" t="n">
        <v>57.8669354166724</v>
      </c>
      <c r="V132" t="n">
        <v>54.08</v>
      </c>
    </row>
    <row r="133">
      <c r="A133" s="96" t="n">
        <v>38322</v>
      </c>
      <c r="F133" t="n">
        <v>57.58</v>
      </c>
      <c r="G133" t="n">
        <v>51.4</v>
      </c>
      <c r="R133" t="n">
        <v>58.9814226071519</v>
      </c>
      <c r="V133" t="n">
        <v>54.34</v>
      </c>
      <c r="AB133" t="n">
        <v>53.7</v>
      </c>
    </row>
    <row r="134">
      <c r="A134" s="96" t="n">
        <v>38353</v>
      </c>
      <c r="F134" t="n">
        <v>59.37</v>
      </c>
      <c r="G134" t="n">
        <v>51.9</v>
      </c>
      <c r="R134" t="n">
        <v>57.034440617634</v>
      </c>
      <c r="V134" t="n">
        <v>51.54</v>
      </c>
      <c r="AB134" t="n">
        <v>51.8</v>
      </c>
    </row>
    <row r="135">
      <c r="A135" s="96" t="n">
        <v>38384</v>
      </c>
      <c r="F135" t="n">
        <v>55.3</v>
      </c>
      <c r="G135" t="n">
        <v>51.9</v>
      </c>
      <c r="R135" t="n">
        <v>56.2559835845108</v>
      </c>
      <c r="V135" t="n">
        <v>55.55</v>
      </c>
      <c r="AB135" t="n">
        <v>51.8</v>
      </c>
    </row>
    <row r="136">
      <c r="A136" s="96" t="n">
        <v>38412</v>
      </c>
      <c r="F136" t="n">
        <v>56.66</v>
      </c>
      <c r="G136" t="n">
        <v>50.4</v>
      </c>
      <c r="R136" t="n">
        <v>51.639603525794</v>
      </c>
      <c r="V136" t="n">
        <v>57.65</v>
      </c>
      <c r="AB136" t="n">
        <v>52</v>
      </c>
    </row>
    <row r="137">
      <c r="A137" s="96" t="n">
        <v>38443</v>
      </c>
      <c r="F137" t="n">
        <v>52.88</v>
      </c>
      <c r="G137" t="n">
        <v>49.2</v>
      </c>
      <c r="R137" t="n">
        <v>51.5818588801095</v>
      </c>
      <c r="V137" t="n">
        <v>54.64</v>
      </c>
      <c r="AB137" t="n">
        <v>49.5</v>
      </c>
    </row>
    <row r="138">
      <c r="A138" s="96" t="n">
        <v>38473</v>
      </c>
      <c r="F138" t="n">
        <v>53.51</v>
      </c>
      <c r="G138" t="n">
        <v>48.7</v>
      </c>
      <c r="R138" t="n">
        <v>51.2975424148141</v>
      </c>
      <c r="V138" t="n">
        <v>53.75</v>
      </c>
      <c r="AB138" t="n">
        <v>47.3</v>
      </c>
    </row>
    <row r="139">
      <c r="A139" s="96" t="n">
        <v>38504</v>
      </c>
      <c r="F139" t="n">
        <v>58.58</v>
      </c>
      <c r="G139" t="n">
        <v>49.9</v>
      </c>
      <c r="R139" t="n">
        <v>52.9270116328412</v>
      </c>
      <c r="V139" t="n">
        <v>57.12</v>
      </c>
      <c r="AB139" t="n">
        <v>49.6</v>
      </c>
    </row>
    <row r="140">
      <c r="A140" s="96" t="n">
        <v>38534</v>
      </c>
      <c r="F140" t="n">
        <v>56.43</v>
      </c>
      <c r="G140" t="n">
        <v>50.8</v>
      </c>
      <c r="R140" t="n">
        <v>49.2378624062758</v>
      </c>
      <c r="V140" t="n">
        <v>57.43</v>
      </c>
      <c r="AB140" t="n">
        <v>49.2</v>
      </c>
    </row>
    <row r="141">
      <c r="A141" s="96" t="n">
        <v>38565</v>
      </c>
      <c r="F141" t="n">
        <v>56.34</v>
      </c>
      <c r="G141" t="n">
        <v>50.4</v>
      </c>
      <c r="R141" t="n">
        <v>51.8116698565872</v>
      </c>
      <c r="V141" t="n">
        <v>55.2</v>
      </c>
      <c r="AB141" t="n">
        <v>50.1</v>
      </c>
    </row>
    <row r="142">
      <c r="A142" s="96" t="n">
        <v>38596</v>
      </c>
      <c r="F142" t="n">
        <v>61.16</v>
      </c>
      <c r="G142" t="n">
        <v>51.7</v>
      </c>
      <c r="R142" t="n">
        <v>50.5719307328397</v>
      </c>
      <c r="V142" t="n">
        <v>54.96</v>
      </c>
      <c r="AB142" t="n">
        <v>51.5</v>
      </c>
    </row>
    <row r="143">
      <c r="A143" s="96" t="n">
        <v>38626</v>
      </c>
      <c r="F143" t="n">
        <v>68.93000000000001</v>
      </c>
      <c r="G143" t="n">
        <v>52.7</v>
      </c>
      <c r="R143" t="n">
        <v>45.8954807328845</v>
      </c>
      <c r="V143" t="n">
        <v>52.77</v>
      </c>
      <c r="AB143" t="n">
        <v>51.7</v>
      </c>
    </row>
    <row r="144">
      <c r="A144" s="96" t="n">
        <v>38657</v>
      </c>
      <c r="F144" t="n">
        <v>57.53</v>
      </c>
      <c r="G144" t="n">
        <v>52.8</v>
      </c>
      <c r="R144" t="n">
        <v>44.2705995249608</v>
      </c>
      <c r="V144" t="n">
        <v>52.02</v>
      </c>
      <c r="AB144" t="n">
        <v>51</v>
      </c>
    </row>
    <row r="145">
      <c r="A145" s="96" t="n">
        <v>38687</v>
      </c>
      <c r="F145" t="n">
        <v>59.8</v>
      </c>
      <c r="G145" t="n">
        <v>53.6</v>
      </c>
      <c r="R145" t="n">
        <v>48.4790254674981</v>
      </c>
      <c r="V145" t="n">
        <v>53.31</v>
      </c>
      <c r="AB145" t="n">
        <v>51.1</v>
      </c>
    </row>
    <row r="146">
      <c r="A146" s="96" t="n">
        <v>38718</v>
      </c>
      <c r="F146" t="n">
        <v>58.97</v>
      </c>
      <c r="G146" t="n">
        <v>53.5</v>
      </c>
      <c r="R146" t="n">
        <v>48.5853450687797</v>
      </c>
      <c r="V146" t="n">
        <v>49.78</v>
      </c>
      <c r="AB146" t="n">
        <v>51.7</v>
      </c>
    </row>
    <row r="147">
      <c r="A147" s="96" t="n">
        <v>38749</v>
      </c>
      <c r="F147" t="n">
        <v>60.32</v>
      </c>
      <c r="G147" t="n">
        <v>54.5</v>
      </c>
      <c r="R147" t="n">
        <v>52.1905524192794</v>
      </c>
      <c r="V147" t="n">
        <v>50.11</v>
      </c>
      <c r="AB147" t="n">
        <v>51.7</v>
      </c>
    </row>
    <row r="148">
      <c r="A148" s="96" t="n">
        <v>38777</v>
      </c>
      <c r="F148" t="n">
        <v>52.93</v>
      </c>
      <c r="G148" t="n">
        <v>56.1</v>
      </c>
      <c r="R148" t="n">
        <v>53.5430588149714</v>
      </c>
      <c r="V148" t="n">
        <v>52.17</v>
      </c>
      <c r="AB148" t="n">
        <v>50.8</v>
      </c>
    </row>
    <row r="149">
      <c r="A149" s="96" t="n">
        <v>38808</v>
      </c>
      <c r="F149" t="n">
        <v>55.97</v>
      </c>
      <c r="G149" t="n">
        <v>56.7</v>
      </c>
      <c r="R149" t="n">
        <v>52.0142512588664</v>
      </c>
      <c r="V149" t="n">
        <v>54.63</v>
      </c>
      <c r="AB149" t="n">
        <v>54.1</v>
      </c>
    </row>
    <row r="150">
      <c r="A150" s="96" t="n">
        <v>38838</v>
      </c>
      <c r="F150" t="n">
        <v>56.87</v>
      </c>
      <c r="G150" t="n">
        <v>57</v>
      </c>
      <c r="R150" t="n">
        <v>57.2024324538472</v>
      </c>
      <c r="V150" t="n">
        <v>57</v>
      </c>
      <c r="AB150" t="n">
        <v>53.2</v>
      </c>
    </row>
    <row r="151">
      <c r="A151" s="96" t="n">
        <v>38869</v>
      </c>
      <c r="F151" t="n">
        <v>56.69</v>
      </c>
      <c r="G151" t="n">
        <v>57.7</v>
      </c>
      <c r="R151" t="n">
        <v>53.8447374020008</v>
      </c>
      <c r="V151" t="n">
        <v>58.8</v>
      </c>
      <c r="AB151" t="n">
        <v>55.1</v>
      </c>
    </row>
    <row r="152">
      <c r="A152" s="96" t="n">
        <v>38899</v>
      </c>
      <c r="F152" t="n">
        <v>58.32</v>
      </c>
      <c r="G152" t="n">
        <v>57.4</v>
      </c>
      <c r="R152" t="n">
        <v>53.378118046287</v>
      </c>
      <c r="V152" t="n">
        <v>60.27</v>
      </c>
      <c r="AB152" t="n">
        <v>53.8</v>
      </c>
    </row>
    <row r="153">
      <c r="A153" s="96" t="n">
        <v>38930</v>
      </c>
      <c r="F153" t="n">
        <v>63.49</v>
      </c>
      <c r="G153" t="n">
        <v>56.5</v>
      </c>
      <c r="R153" t="n">
        <v>52.4970992830634</v>
      </c>
      <c r="V153" t="n">
        <v>58.68</v>
      </c>
      <c r="AB153" t="n">
        <v>53.1</v>
      </c>
    </row>
    <row r="154">
      <c r="A154" s="96" t="n">
        <v>38961</v>
      </c>
      <c r="F154" t="n">
        <v>62.87</v>
      </c>
      <c r="G154" t="n">
        <v>56.6</v>
      </c>
      <c r="R154" t="n">
        <v>51.2626591513288</v>
      </c>
      <c r="V154" t="n">
        <v>56.6</v>
      </c>
      <c r="AB154" t="n">
        <v>54.4</v>
      </c>
    </row>
    <row r="155">
      <c r="A155" s="96" t="n">
        <v>38991</v>
      </c>
      <c r="F155" t="n">
        <v>62.65</v>
      </c>
      <c r="G155" t="n">
        <v>57</v>
      </c>
      <c r="R155" t="n">
        <v>56.5320799903232</v>
      </c>
      <c r="V155" t="n">
        <v>56.73</v>
      </c>
      <c r="AB155" t="n">
        <v>53.7</v>
      </c>
    </row>
    <row r="156">
      <c r="A156" s="96" t="n">
        <v>39022</v>
      </c>
      <c r="F156" t="n">
        <v>66.77</v>
      </c>
      <c r="G156" t="n">
        <v>56.6</v>
      </c>
      <c r="R156" t="n">
        <v>54.8195852581759</v>
      </c>
      <c r="V156" t="n">
        <v>56.34</v>
      </c>
      <c r="AB156" t="n">
        <v>53.6</v>
      </c>
    </row>
    <row r="157">
      <c r="A157" s="96" t="n">
        <v>39052</v>
      </c>
      <c r="F157" t="n">
        <v>62.5</v>
      </c>
      <c r="G157" t="n">
        <v>56.5</v>
      </c>
      <c r="O157" t="n">
        <v>55</v>
      </c>
      <c r="R157" t="n">
        <v>54.2386669238499</v>
      </c>
      <c r="V157" t="n">
        <v>55.49</v>
      </c>
      <c r="X157" t="n">
        <v>57.2</v>
      </c>
      <c r="AB157" t="n">
        <v>51.9</v>
      </c>
    </row>
    <row r="158">
      <c r="A158" s="96" t="n">
        <v>39083</v>
      </c>
      <c r="F158" t="n">
        <v>55.72</v>
      </c>
      <c r="G158" t="n">
        <v>55.5</v>
      </c>
      <c r="O158" t="n">
        <v>53.5</v>
      </c>
      <c r="R158" t="n">
        <v>56.0360313510977</v>
      </c>
      <c r="V158" t="n">
        <v>57.79</v>
      </c>
      <c r="X158" t="n">
        <v>56.2</v>
      </c>
      <c r="AB158" t="n">
        <v>52.8</v>
      </c>
    </row>
    <row r="159">
      <c r="A159" s="96" t="n">
        <v>39114</v>
      </c>
      <c r="F159" t="n">
        <v>60.51</v>
      </c>
      <c r="G159" t="n">
        <v>55.6</v>
      </c>
      <c r="O159" t="n">
        <v>54.2</v>
      </c>
      <c r="R159" t="n">
        <v>54.7427757055842</v>
      </c>
      <c r="V159" t="n">
        <v>60.18</v>
      </c>
      <c r="X159" t="n">
        <v>56.2</v>
      </c>
      <c r="AB159" t="n">
        <v>55.4</v>
      </c>
    </row>
    <row r="160">
      <c r="A160" s="96" t="n">
        <v>39142</v>
      </c>
      <c r="F160" t="n">
        <v>65.52</v>
      </c>
      <c r="G160" t="n">
        <v>55.4</v>
      </c>
      <c r="O160" t="n">
        <v>53.8</v>
      </c>
      <c r="R160" t="n">
        <v>57.5702506990957</v>
      </c>
      <c r="V160" t="n">
        <v>60.35</v>
      </c>
      <c r="X160" t="n">
        <v>55.4</v>
      </c>
      <c r="AB160" t="n">
        <v>54.4</v>
      </c>
    </row>
    <row r="161">
      <c r="A161" s="96" t="n">
        <v>39173</v>
      </c>
      <c r="F161" t="n">
        <v>63.43</v>
      </c>
      <c r="G161" t="n">
        <v>55.4</v>
      </c>
      <c r="O161" t="n">
        <v>53.9</v>
      </c>
      <c r="R161" t="n">
        <v>53.2606163112084</v>
      </c>
      <c r="V161" t="n">
        <v>57.89</v>
      </c>
      <c r="X161" t="n">
        <v>56</v>
      </c>
      <c r="AB161" t="n">
        <v>53.9</v>
      </c>
    </row>
    <row r="162">
      <c r="A162" s="96" t="n">
        <v>39203</v>
      </c>
      <c r="F162" t="n">
        <v>62.81</v>
      </c>
      <c r="G162" t="n">
        <v>55</v>
      </c>
      <c r="O162" t="n">
        <v>55</v>
      </c>
      <c r="R162" t="n">
        <v>55.407160874264</v>
      </c>
      <c r="V162" t="n">
        <v>56.91</v>
      </c>
      <c r="X162" t="n">
        <v>53.3</v>
      </c>
      <c r="AB162" t="n">
        <v>54.9</v>
      </c>
    </row>
    <row r="163">
      <c r="A163" s="96" t="n">
        <v>39234</v>
      </c>
      <c r="F163" t="n">
        <v>59.06</v>
      </c>
      <c r="G163" t="n">
        <v>55.6</v>
      </c>
      <c r="O163" t="n">
        <v>54</v>
      </c>
      <c r="R163" t="n">
        <v>51.416409801705</v>
      </c>
      <c r="V163" t="n">
        <v>56.33</v>
      </c>
      <c r="X163" t="n">
        <v>55.1</v>
      </c>
      <c r="AB163" t="n">
        <v>54.3</v>
      </c>
    </row>
    <row r="164">
      <c r="A164" s="96" t="n">
        <v>39264</v>
      </c>
      <c r="F164" t="n">
        <v>63.94</v>
      </c>
      <c r="G164" t="n">
        <v>54.9</v>
      </c>
      <c r="O164" t="n">
        <v>53.3</v>
      </c>
      <c r="R164" t="n">
        <v>54.021529677242</v>
      </c>
      <c r="V164" t="n">
        <v>57.52</v>
      </c>
      <c r="X164" t="n">
        <v>53.2</v>
      </c>
      <c r="AB164" t="n">
        <v>55.7</v>
      </c>
    </row>
    <row r="165">
      <c r="A165" s="96" t="n">
        <v>39295</v>
      </c>
      <c r="F165" t="n">
        <v>55.08</v>
      </c>
      <c r="G165" t="n">
        <v>54.3</v>
      </c>
      <c r="O165" t="n">
        <v>53.6</v>
      </c>
      <c r="R165" t="n">
        <v>56.5988110506082</v>
      </c>
      <c r="V165" t="n">
        <v>54.42</v>
      </c>
      <c r="X165" t="n">
        <v>52.2</v>
      </c>
      <c r="AB165" t="n">
        <v>56.3</v>
      </c>
    </row>
    <row r="166">
      <c r="A166" s="96" t="n">
        <v>39326</v>
      </c>
      <c r="F166" t="n">
        <v>57.16</v>
      </c>
      <c r="G166" t="n">
        <v>53.2</v>
      </c>
      <c r="O166" t="n">
        <v>52.4</v>
      </c>
      <c r="R166" t="n">
        <v>54.2282350566784</v>
      </c>
      <c r="V166" t="n">
        <v>51.63</v>
      </c>
      <c r="X166" t="n">
        <v>50.8</v>
      </c>
      <c r="AB166" t="n">
        <v>55.1</v>
      </c>
    </row>
    <row r="167">
      <c r="A167" s="96" t="n">
        <v>39356</v>
      </c>
      <c r="F167" t="n">
        <v>59.94</v>
      </c>
      <c r="G167" t="n">
        <v>51.5</v>
      </c>
      <c r="O167" t="n">
        <v>51.3</v>
      </c>
      <c r="R167" t="n">
        <v>57.4337841735763</v>
      </c>
      <c r="V167" t="n">
        <v>54.4</v>
      </c>
      <c r="X167" t="n">
        <v>49.6</v>
      </c>
      <c r="AB167" t="n">
        <v>52.9</v>
      </c>
    </row>
    <row r="168">
      <c r="A168" s="96" t="n">
        <v>39387</v>
      </c>
      <c r="F168" t="n">
        <v>57.03</v>
      </c>
      <c r="G168" t="n">
        <v>52.8</v>
      </c>
      <c r="O168" t="n">
        <v>51.3</v>
      </c>
      <c r="R168" t="n">
        <v>57.1557244653067</v>
      </c>
      <c r="V168" t="n">
        <v>53.96</v>
      </c>
      <c r="X168" t="n">
        <v>50.7</v>
      </c>
      <c r="AB168" t="n">
        <v>54.4</v>
      </c>
    </row>
    <row r="169">
      <c r="A169" s="96" t="n">
        <v>39417</v>
      </c>
      <c r="F169" t="n">
        <v>55.62</v>
      </c>
      <c r="G169" t="n">
        <v>52.6</v>
      </c>
      <c r="O169" t="n">
        <v>50.7</v>
      </c>
      <c r="R169" t="n">
        <v>53.1534995907173</v>
      </c>
      <c r="V169" t="n">
        <v>53.23</v>
      </c>
      <c r="X169" t="n">
        <v>49.5</v>
      </c>
      <c r="AB169" t="n">
        <v>52.9</v>
      </c>
    </row>
    <row r="170">
      <c r="A170" s="96" t="n">
        <v>39448</v>
      </c>
      <c r="F170" t="n">
        <v>56.34</v>
      </c>
      <c r="G170" t="n">
        <v>52.8</v>
      </c>
      <c r="O170" t="n">
        <v>50.8</v>
      </c>
      <c r="R170" t="n">
        <v>53.0808173064804</v>
      </c>
      <c r="V170" t="n">
        <v>51.3</v>
      </c>
      <c r="X170" t="n">
        <v>49.8</v>
      </c>
      <c r="AB170" t="n">
        <v>50.6</v>
      </c>
    </row>
    <row r="171">
      <c r="A171" s="96" t="n">
        <v>39478</v>
      </c>
      <c r="I171" t="n">
        <v>54.4</v>
      </c>
    </row>
    <row r="172">
      <c r="A172" s="96" t="n">
        <v>39479</v>
      </c>
      <c r="F172" t="n">
        <v>64.81999999999999</v>
      </c>
      <c r="G172" t="n">
        <v>52.3</v>
      </c>
      <c r="I172" t="n">
        <v>54.3</v>
      </c>
      <c r="O172" t="n">
        <v>50.6</v>
      </c>
      <c r="P172" t="n">
        <v>50.8</v>
      </c>
      <c r="R172" t="n">
        <v>52.5683619019129</v>
      </c>
      <c r="V172" t="n">
        <v>45.75</v>
      </c>
      <c r="X172" t="n">
        <v>46.7</v>
      </c>
      <c r="AB172" t="n">
        <v>51.3</v>
      </c>
    </row>
    <row r="173">
      <c r="A173" s="96" t="n">
        <v>39508</v>
      </c>
      <c r="F173" t="n">
        <v>57.03</v>
      </c>
      <c r="G173" t="n">
        <v>52</v>
      </c>
      <c r="I173" t="n">
        <v>54.9</v>
      </c>
      <c r="O173" t="n">
        <v>49.4</v>
      </c>
      <c r="P173" t="n">
        <v>49.5</v>
      </c>
      <c r="R173" t="n">
        <v>48.1140014100388</v>
      </c>
      <c r="V173" t="n">
        <v>44.21</v>
      </c>
      <c r="X173" t="n">
        <v>46.4</v>
      </c>
      <c r="AB173" t="n">
        <v>51.3</v>
      </c>
    </row>
    <row r="174">
      <c r="A174" s="96" t="n">
        <v>39539</v>
      </c>
      <c r="F174" t="n">
        <v>44.91</v>
      </c>
      <c r="G174" t="n">
        <v>50.7</v>
      </c>
      <c r="I174" t="n">
        <v>53.6</v>
      </c>
      <c r="O174" t="n">
        <v>48.2</v>
      </c>
      <c r="P174" t="n">
        <v>48.6</v>
      </c>
      <c r="R174" t="n">
        <v>50.3796200413739</v>
      </c>
      <c r="V174" t="n">
        <v>53.72</v>
      </c>
      <c r="X174" t="n">
        <v>45.2</v>
      </c>
      <c r="AB174" t="n">
        <v>51</v>
      </c>
    </row>
    <row r="175">
      <c r="A175" s="96" t="n">
        <v>39569</v>
      </c>
      <c r="B175" t="n">
        <v>51.4</v>
      </c>
      <c r="F175" t="n">
        <v>66.78</v>
      </c>
      <c r="G175" t="n">
        <v>50.6</v>
      </c>
      <c r="I175" t="n">
        <v>53.5</v>
      </c>
      <c r="O175" t="n">
        <v>48</v>
      </c>
      <c r="P175" t="n">
        <v>47.7</v>
      </c>
      <c r="R175" t="n">
        <v>48.2548671052373</v>
      </c>
      <c r="V175" t="n">
        <v>48.8</v>
      </c>
      <c r="X175" t="n">
        <v>43.8</v>
      </c>
      <c r="AB175" t="n">
        <v>50</v>
      </c>
    </row>
    <row r="176">
      <c r="A176" s="96" t="n">
        <v>39600</v>
      </c>
      <c r="B176" t="n">
        <v>51.2</v>
      </c>
      <c r="F176" t="n">
        <v>62.6</v>
      </c>
      <c r="G176" t="n">
        <v>49.2</v>
      </c>
      <c r="I176" t="n">
        <v>52.3</v>
      </c>
      <c r="O176" t="n">
        <v>46.9</v>
      </c>
      <c r="P176" t="n">
        <v>46.5</v>
      </c>
      <c r="R176" t="n">
        <v>44.324455950641</v>
      </c>
      <c r="V176" t="n">
        <v>45.37</v>
      </c>
      <c r="X176" t="n">
        <v>40.6</v>
      </c>
      <c r="AB176" t="n">
        <v>45.8</v>
      </c>
    </row>
    <row r="177">
      <c r="A177" s="96" t="n">
        <v>39630</v>
      </c>
      <c r="B177" t="n">
        <v>52.7</v>
      </c>
      <c r="F177" t="n">
        <v>38.91</v>
      </c>
      <c r="G177" t="n">
        <v>47.4</v>
      </c>
      <c r="I177" t="n">
        <v>50.9</v>
      </c>
      <c r="O177" t="n">
        <v>45.3</v>
      </c>
      <c r="P177" t="n">
        <v>47</v>
      </c>
      <c r="R177" t="n">
        <v>48.1735627816922</v>
      </c>
      <c r="V177" t="n">
        <v>44.8</v>
      </c>
      <c r="X177" t="n">
        <v>39.2</v>
      </c>
      <c r="AB177" t="n">
        <v>44.3</v>
      </c>
    </row>
    <row r="178">
      <c r="A178" s="96" t="n">
        <v>39661</v>
      </c>
      <c r="B178" t="n">
        <v>51.2</v>
      </c>
      <c r="F178" t="n">
        <v>48.73</v>
      </c>
      <c r="G178" t="n">
        <v>47.6</v>
      </c>
      <c r="H178" t="n">
        <v>45.1</v>
      </c>
      <c r="I178" t="n">
        <v>49.9</v>
      </c>
      <c r="O178" t="n">
        <v>47.1</v>
      </c>
      <c r="P178" t="n">
        <v>46.9</v>
      </c>
      <c r="R178" t="n">
        <v>46.0942129342399</v>
      </c>
      <c r="V178" t="n">
        <v>48.3</v>
      </c>
      <c r="X178" t="n">
        <v>42.4</v>
      </c>
      <c r="AB178" t="n">
        <v>45.9</v>
      </c>
    </row>
    <row r="179">
      <c r="A179" s="96" t="n">
        <v>39692</v>
      </c>
      <c r="B179" t="n">
        <v>47</v>
      </c>
      <c r="F179" t="n">
        <v>52.91</v>
      </c>
      <c r="G179" t="n">
        <v>45</v>
      </c>
      <c r="H179" t="n">
        <v>43.6</v>
      </c>
      <c r="I179" t="n">
        <v>48.1</v>
      </c>
      <c r="O179" t="n">
        <v>44.4</v>
      </c>
      <c r="P179" t="n">
        <v>44.3</v>
      </c>
      <c r="R179" t="n">
        <v>46.8163025345749</v>
      </c>
      <c r="V179" t="n">
        <v>47.07</v>
      </c>
      <c r="X179" t="n">
        <v>38.3</v>
      </c>
      <c r="AB179" t="n">
        <v>41</v>
      </c>
    </row>
    <row r="180">
      <c r="A180" s="96" t="n">
        <v>39722</v>
      </c>
      <c r="B180" t="n">
        <v>46.9</v>
      </c>
      <c r="F180" t="n">
        <v>40.79</v>
      </c>
      <c r="G180" t="n">
        <v>38.9</v>
      </c>
      <c r="H180" t="n">
        <v>40.8</v>
      </c>
      <c r="I180" t="n">
        <v>43.3</v>
      </c>
      <c r="O180" t="n">
        <v>39.7</v>
      </c>
      <c r="P180" t="n">
        <v>42.2</v>
      </c>
      <c r="R180" t="n">
        <v>44.0456686433936</v>
      </c>
      <c r="V180" t="n">
        <v>45.16</v>
      </c>
      <c r="X180" t="n">
        <v>34.6</v>
      </c>
      <c r="AB180" t="n">
        <v>41.5</v>
      </c>
    </row>
    <row r="181">
      <c r="A181" s="96" t="n">
        <v>39753</v>
      </c>
      <c r="B181" t="n">
        <v>40.4</v>
      </c>
      <c r="F181" t="n">
        <v>45.47</v>
      </c>
      <c r="G181" t="n">
        <v>35.6</v>
      </c>
      <c r="H181" t="n">
        <v>37.9</v>
      </c>
      <c r="I181" t="n">
        <v>36.7</v>
      </c>
      <c r="O181" t="n">
        <v>34.9</v>
      </c>
      <c r="P181" t="n">
        <v>36.7</v>
      </c>
      <c r="R181" t="n">
        <v>36.0837961755269</v>
      </c>
      <c r="V181" t="n">
        <v>38.97</v>
      </c>
      <c r="X181" t="n">
        <v>29.4</v>
      </c>
      <c r="AB181" t="n">
        <v>34.4</v>
      </c>
    </row>
    <row r="182">
      <c r="A182" s="96" t="n">
        <v>39783</v>
      </c>
      <c r="B182" t="n">
        <v>33.7</v>
      </c>
      <c r="F182" t="n">
        <v>40.3</v>
      </c>
      <c r="G182" t="n">
        <v>33.9</v>
      </c>
      <c r="H182" t="n">
        <v>35.9</v>
      </c>
      <c r="I182" t="n">
        <v>33.5</v>
      </c>
      <c r="O182" t="n">
        <v>35.5</v>
      </c>
      <c r="P182" t="n">
        <v>30.8</v>
      </c>
      <c r="R182" t="n">
        <v>42.4353982409497</v>
      </c>
      <c r="V182" t="n">
        <v>40.24</v>
      </c>
      <c r="X182" t="n">
        <v>28.5</v>
      </c>
      <c r="AB182" t="n">
        <v>34.9</v>
      </c>
    </row>
    <row r="183">
      <c r="A183" s="96" t="n">
        <v>39814</v>
      </c>
      <c r="B183" t="n">
        <v>36.6</v>
      </c>
      <c r="F183" t="n">
        <v>25.32</v>
      </c>
      <c r="G183" t="n">
        <v>34.4</v>
      </c>
      <c r="H183" t="n">
        <v>38.1</v>
      </c>
      <c r="I183" t="n">
        <v>32</v>
      </c>
      <c r="O183" t="n">
        <v>36.1</v>
      </c>
      <c r="P183" t="n">
        <v>29.6</v>
      </c>
      <c r="R183" t="n">
        <v>42.236706316595</v>
      </c>
      <c r="V183" t="n">
        <v>39.9</v>
      </c>
      <c r="X183" t="n">
        <v>31.5</v>
      </c>
      <c r="AB183" t="n">
        <v>35.8</v>
      </c>
    </row>
    <row r="184">
      <c r="A184" s="96" t="n">
        <v>39845</v>
      </c>
      <c r="B184" t="n">
        <v>31.7</v>
      </c>
      <c r="F184" t="n">
        <v>25.02</v>
      </c>
      <c r="G184" t="n">
        <v>33.5</v>
      </c>
      <c r="H184" t="n">
        <v>32.3</v>
      </c>
      <c r="I184" t="n">
        <v>32.2</v>
      </c>
      <c r="O184" t="n">
        <v>35</v>
      </c>
      <c r="P184" t="n">
        <v>31.6</v>
      </c>
      <c r="R184" t="n">
        <v>38.9363837498537</v>
      </c>
      <c r="V184" t="n">
        <v>37.59</v>
      </c>
      <c r="X184" t="n">
        <v>31.8</v>
      </c>
      <c r="AB184" t="n">
        <v>34.7</v>
      </c>
    </row>
    <row r="185">
      <c r="A185" s="96" t="n">
        <v>39873</v>
      </c>
      <c r="B185" t="n">
        <v>33.4</v>
      </c>
      <c r="F185" t="n">
        <v>30.56</v>
      </c>
      <c r="G185" t="n">
        <v>33.9</v>
      </c>
      <c r="H185" t="n">
        <v>36.3</v>
      </c>
      <c r="I185" t="n">
        <v>32.4</v>
      </c>
      <c r="O185" t="n">
        <v>34.6</v>
      </c>
      <c r="P185" t="n">
        <v>33.8</v>
      </c>
      <c r="R185" t="n">
        <v>41.5630783373374</v>
      </c>
      <c r="V185" t="n">
        <v>35.76</v>
      </c>
      <c r="X185" t="n">
        <v>32.9</v>
      </c>
      <c r="AB185" t="n">
        <v>39.1</v>
      </c>
    </row>
    <row r="186">
      <c r="A186" s="96" t="n">
        <v>39904</v>
      </c>
      <c r="B186" t="n">
        <v>30.1</v>
      </c>
      <c r="F186" t="n">
        <v>34.45</v>
      </c>
      <c r="G186" t="n">
        <v>36.8</v>
      </c>
      <c r="H186" t="n">
        <v>40</v>
      </c>
      <c r="I186" t="n">
        <v>35</v>
      </c>
      <c r="O186" t="n">
        <v>37.2</v>
      </c>
      <c r="P186" t="n">
        <v>41.4</v>
      </c>
      <c r="R186" t="n">
        <v>43.3482954319385</v>
      </c>
      <c r="V186" t="n">
        <v>35.09</v>
      </c>
      <c r="X186" t="n">
        <v>34.6</v>
      </c>
      <c r="AB186" t="n">
        <v>42.9</v>
      </c>
    </row>
    <row r="187">
      <c r="A187" s="96" t="n">
        <v>39934</v>
      </c>
      <c r="B187" t="n">
        <v>37.5</v>
      </c>
      <c r="F187" t="n">
        <v>27.75</v>
      </c>
      <c r="G187" t="n">
        <v>40.7</v>
      </c>
      <c r="H187" t="n">
        <v>43.1</v>
      </c>
      <c r="I187" t="n">
        <v>39.6</v>
      </c>
      <c r="O187" t="n">
        <v>41.1</v>
      </c>
      <c r="P187" t="n">
        <v>46.6</v>
      </c>
      <c r="R187" t="n">
        <v>41.8747224523421</v>
      </c>
      <c r="V187" t="n">
        <v>37.52</v>
      </c>
      <c r="X187" t="n">
        <v>39.8</v>
      </c>
      <c r="AB187" t="n">
        <v>45.4</v>
      </c>
    </row>
    <row r="188">
      <c r="A188" s="96" t="n">
        <v>39965</v>
      </c>
      <c r="B188" t="n">
        <v>38.4</v>
      </c>
      <c r="F188" t="n">
        <v>42</v>
      </c>
      <c r="G188" t="n">
        <v>42.6</v>
      </c>
      <c r="H188" t="n">
        <v>45.9</v>
      </c>
      <c r="I188" t="n">
        <v>40.9</v>
      </c>
      <c r="O188" t="n">
        <v>42.7</v>
      </c>
      <c r="P188" t="n">
        <v>48.2</v>
      </c>
      <c r="R188" t="n">
        <v>45.5610293561352</v>
      </c>
      <c r="V188" t="n">
        <v>39.7</v>
      </c>
      <c r="X188" t="n">
        <v>42.8</v>
      </c>
      <c r="AB188" t="n">
        <v>47</v>
      </c>
    </row>
    <row r="189">
      <c r="A189" s="96" t="n">
        <v>39995</v>
      </c>
      <c r="B189" t="n">
        <v>44.5</v>
      </c>
      <c r="F189" t="n">
        <v>47.7</v>
      </c>
      <c r="G189" t="n">
        <v>46.3</v>
      </c>
      <c r="H189" t="n">
        <v>50.2</v>
      </c>
      <c r="I189" t="n">
        <v>45.2</v>
      </c>
      <c r="O189" t="n">
        <v>45.4</v>
      </c>
      <c r="P189" t="n">
        <v>50.4</v>
      </c>
      <c r="R189" t="n">
        <v>49.7341834054072</v>
      </c>
      <c r="V189" t="n">
        <v>39.43</v>
      </c>
      <c r="X189" t="n">
        <v>47.3</v>
      </c>
      <c r="AB189" t="n">
        <v>50.8</v>
      </c>
    </row>
    <row r="190">
      <c r="A190" s="96" t="n">
        <v>40026</v>
      </c>
      <c r="B190" t="n">
        <v>51.7</v>
      </c>
      <c r="F190" t="n">
        <v>42.59</v>
      </c>
      <c r="G190" t="n">
        <v>48.2</v>
      </c>
      <c r="H190" t="n">
        <v>52.5</v>
      </c>
      <c r="I190" t="n">
        <v>49</v>
      </c>
      <c r="O190" t="n">
        <v>44.2</v>
      </c>
      <c r="P190" t="n">
        <v>53.6</v>
      </c>
      <c r="R190" t="n">
        <v>49.6423502738644</v>
      </c>
      <c r="V190" t="n">
        <v>40.66</v>
      </c>
      <c r="X190" t="n">
        <v>47.2</v>
      </c>
      <c r="AB190" t="n">
        <v>49.7</v>
      </c>
    </row>
    <row r="191">
      <c r="A191" s="96" t="n">
        <v>40057</v>
      </c>
      <c r="B191" t="n">
        <v>52</v>
      </c>
      <c r="F191" t="n">
        <v>42.73</v>
      </c>
      <c r="G191" t="n">
        <v>49.3</v>
      </c>
      <c r="H191" t="n">
        <v>53</v>
      </c>
      <c r="I191" t="n">
        <v>49.6</v>
      </c>
      <c r="O191" t="n">
        <v>47.6</v>
      </c>
      <c r="P191" t="n">
        <v>54.5</v>
      </c>
      <c r="R191" t="n">
        <v>52.6800292705146</v>
      </c>
      <c r="V191" t="n">
        <v>47.46</v>
      </c>
      <c r="X191" t="n">
        <v>45.8</v>
      </c>
      <c r="AB191" t="n">
        <v>49.5</v>
      </c>
    </row>
    <row r="192">
      <c r="A192" s="96" t="n">
        <v>40087</v>
      </c>
      <c r="B192" t="n">
        <v>51.7</v>
      </c>
      <c r="F192" t="n">
        <v>49.89</v>
      </c>
      <c r="G192" t="n">
        <v>50.7</v>
      </c>
      <c r="H192" t="n">
        <v>54.2</v>
      </c>
      <c r="I192" t="n">
        <v>51.1</v>
      </c>
      <c r="O192" t="n">
        <v>49.2</v>
      </c>
      <c r="P192" t="n">
        <v>54.3</v>
      </c>
      <c r="R192" t="n">
        <v>51.7262292777555</v>
      </c>
      <c r="V192" t="n">
        <v>47.74</v>
      </c>
      <c r="X192" t="n">
        <v>46.3</v>
      </c>
      <c r="AB192" t="n">
        <v>53.7</v>
      </c>
    </row>
    <row r="193">
      <c r="A193" s="96" t="n">
        <v>40118</v>
      </c>
      <c r="B193" t="n">
        <v>51.2</v>
      </c>
      <c r="F193" t="n">
        <v>50.67</v>
      </c>
      <c r="G193" t="n">
        <v>51.2</v>
      </c>
      <c r="H193" t="n">
        <v>54.4</v>
      </c>
      <c r="I193" t="n">
        <v>52.4</v>
      </c>
      <c r="O193" t="n">
        <v>50.1</v>
      </c>
      <c r="P193" t="n">
        <v>52.3</v>
      </c>
      <c r="R193" t="n">
        <v>53.3261982858724</v>
      </c>
      <c r="V193" t="n">
        <v>49.48</v>
      </c>
      <c r="X193" t="n">
        <v>45.3</v>
      </c>
      <c r="AB193" t="n">
        <v>51.8</v>
      </c>
    </row>
    <row r="194">
      <c r="A194" s="96" t="n">
        <v>40148</v>
      </c>
      <c r="B194" t="n">
        <v>48.5</v>
      </c>
      <c r="F194" t="n">
        <v>49.48</v>
      </c>
      <c r="G194" t="n">
        <v>51.6</v>
      </c>
      <c r="H194" t="n">
        <v>54.7</v>
      </c>
      <c r="I194" t="n">
        <v>53.1</v>
      </c>
      <c r="O194" t="n">
        <v>50.8</v>
      </c>
      <c r="P194" t="n">
        <v>53.8</v>
      </c>
      <c r="R194" t="n">
        <v>53.1454156225943</v>
      </c>
      <c r="V194" t="n">
        <v>52.58</v>
      </c>
      <c r="X194" t="n">
        <v>45.2</v>
      </c>
      <c r="AB194" t="n">
        <v>54.1</v>
      </c>
    </row>
    <row r="195">
      <c r="A195" s="96" t="n">
        <v>40179</v>
      </c>
      <c r="B195" t="n">
        <v>51</v>
      </c>
      <c r="F195" t="n">
        <v>50.96</v>
      </c>
      <c r="G195" t="n">
        <v>52.4</v>
      </c>
      <c r="H195" t="n">
        <v>54.6</v>
      </c>
      <c r="I195" t="n">
        <v>53.4</v>
      </c>
      <c r="O195" t="n">
        <v>51.7</v>
      </c>
      <c r="P195" t="n">
        <v>52.5</v>
      </c>
      <c r="R195" t="n">
        <v>51.8236410678467</v>
      </c>
      <c r="V195" t="n">
        <v>52.14</v>
      </c>
      <c r="X195" t="n">
        <v>45.3</v>
      </c>
      <c r="AB195" t="n">
        <v>56.7</v>
      </c>
    </row>
    <row r="196">
      <c r="A196" s="96" t="n">
        <v>40210</v>
      </c>
      <c r="B196" t="n">
        <v>53.8</v>
      </c>
      <c r="F196" t="n">
        <v>48.93</v>
      </c>
      <c r="G196" t="n">
        <v>54.2</v>
      </c>
      <c r="H196" t="n">
        <v>56.3</v>
      </c>
      <c r="I196" t="n">
        <v>57.2</v>
      </c>
      <c r="O196" t="n">
        <v>51.6</v>
      </c>
      <c r="P196" t="n">
        <v>52.5</v>
      </c>
      <c r="R196" t="n">
        <v>52.5334134474359</v>
      </c>
      <c r="V196" t="n">
        <v>55.72</v>
      </c>
      <c r="X196" t="n">
        <v>49.1</v>
      </c>
      <c r="AB196" t="n">
        <v>56.6</v>
      </c>
    </row>
    <row r="197">
      <c r="A197" s="96" t="n">
        <v>40238</v>
      </c>
      <c r="B197" t="n">
        <v>50.2</v>
      </c>
      <c r="F197" t="n">
        <v>51.66</v>
      </c>
      <c r="G197" t="n">
        <v>56.6</v>
      </c>
      <c r="H197" t="n">
        <v>56.7</v>
      </c>
      <c r="I197" t="n">
        <v>59.6</v>
      </c>
      <c r="O197" t="n">
        <v>53.7</v>
      </c>
      <c r="P197" t="n">
        <v>52.4</v>
      </c>
      <c r="R197" t="n">
        <v>55.832523203119</v>
      </c>
      <c r="V197" t="n">
        <v>53.65</v>
      </c>
      <c r="X197" t="n">
        <v>51.8</v>
      </c>
      <c r="AB197" t="n">
        <v>57.2</v>
      </c>
    </row>
    <row r="198">
      <c r="A198" s="96" t="n">
        <v>40269</v>
      </c>
      <c r="B198" t="n">
        <v>59.8</v>
      </c>
      <c r="F198" t="n">
        <v>49.02</v>
      </c>
      <c r="G198" t="n">
        <v>57.6</v>
      </c>
      <c r="H198" t="n">
        <v>56.6</v>
      </c>
      <c r="I198" t="n">
        <v>61.5</v>
      </c>
      <c r="O198" t="n">
        <v>54.3</v>
      </c>
      <c r="P198" t="n">
        <v>53.5</v>
      </c>
      <c r="R198" t="n">
        <v>58.4019949666218</v>
      </c>
      <c r="V198" t="n">
        <v>53.24</v>
      </c>
      <c r="X198" t="n">
        <v>53.3</v>
      </c>
      <c r="AB198" t="n">
        <v>58</v>
      </c>
    </row>
    <row r="199">
      <c r="A199" s="96" t="n">
        <v>40299</v>
      </c>
      <c r="B199" t="n">
        <v>56.3</v>
      </c>
      <c r="F199" t="n">
        <v>51.33</v>
      </c>
      <c r="G199" t="n">
        <v>55.8</v>
      </c>
      <c r="H199" t="n">
        <v>55.8</v>
      </c>
      <c r="I199" t="n">
        <v>58.4</v>
      </c>
      <c r="O199" t="n">
        <v>54</v>
      </c>
      <c r="P199" t="n">
        <v>54.7</v>
      </c>
      <c r="R199" t="n">
        <v>51.8006228698843</v>
      </c>
      <c r="V199" t="n">
        <v>51.19</v>
      </c>
      <c r="X199" t="n">
        <v>51.5</v>
      </c>
      <c r="AB199" t="n">
        <v>58</v>
      </c>
    </row>
    <row r="200">
      <c r="A200" s="96" t="n">
        <v>40330</v>
      </c>
      <c r="B200" t="n">
        <v>52.9</v>
      </c>
      <c r="F200" t="n">
        <v>50.2</v>
      </c>
      <c r="G200" t="n">
        <v>55.6</v>
      </c>
      <c r="H200" t="n">
        <v>53.7</v>
      </c>
      <c r="I200" t="n">
        <v>58.1</v>
      </c>
      <c r="O200" t="n">
        <v>54.3</v>
      </c>
      <c r="P200" t="n">
        <v>53.9</v>
      </c>
      <c r="R200" t="n">
        <v>54.8859164581427</v>
      </c>
      <c r="V200" t="n">
        <v>50.84</v>
      </c>
      <c r="X200" t="n">
        <v>51.2</v>
      </c>
      <c r="AB200" t="n">
        <v>57.5</v>
      </c>
    </row>
    <row r="201">
      <c r="A201" s="96" t="n">
        <v>40360</v>
      </c>
      <c r="B201" t="n">
        <v>54.4</v>
      </c>
      <c r="F201" t="n">
        <v>54.3</v>
      </c>
      <c r="G201" t="n">
        <v>56.7</v>
      </c>
      <c r="H201" t="n">
        <v>54.7</v>
      </c>
      <c r="I201" t="n">
        <v>61.2</v>
      </c>
      <c r="O201" t="n">
        <v>54.4</v>
      </c>
      <c r="P201" t="n">
        <v>52.8</v>
      </c>
      <c r="R201" t="n">
        <v>50.2569438138579</v>
      </c>
      <c r="V201" t="n">
        <v>52.65</v>
      </c>
      <c r="X201" t="n">
        <v>51.6</v>
      </c>
      <c r="AB201" t="n">
        <v>57.3</v>
      </c>
    </row>
    <row r="202">
      <c r="A202" s="96" t="n">
        <v>40391</v>
      </c>
      <c r="B202" t="n">
        <v>51.7</v>
      </c>
      <c r="F202" t="n">
        <v>54.73</v>
      </c>
      <c r="G202" t="n">
        <v>55.1</v>
      </c>
      <c r="H202" t="n">
        <v>55.4</v>
      </c>
      <c r="I202" t="n">
        <v>58.2</v>
      </c>
      <c r="O202" t="n">
        <v>52.8</v>
      </c>
      <c r="P202" t="n">
        <v>50.1</v>
      </c>
      <c r="R202" t="n">
        <v>50.2889133409545</v>
      </c>
      <c r="V202" t="n">
        <v>51.95</v>
      </c>
      <c r="X202" t="n">
        <v>51.2</v>
      </c>
      <c r="AB202" t="n">
        <v>54.3</v>
      </c>
    </row>
    <row r="203">
      <c r="A203" s="96" t="n">
        <v>40422</v>
      </c>
      <c r="B203" t="n">
        <v>47.3</v>
      </c>
      <c r="F203" t="n">
        <v>56.27</v>
      </c>
      <c r="G203" t="n">
        <v>53.7</v>
      </c>
      <c r="H203" t="n">
        <v>55.2</v>
      </c>
      <c r="I203" t="n">
        <v>55.3</v>
      </c>
      <c r="O203" t="n">
        <v>52.6</v>
      </c>
      <c r="P203" t="n">
        <v>49.5</v>
      </c>
      <c r="R203" t="n">
        <v>50.9892799734238</v>
      </c>
      <c r="V203" t="n">
        <v>50.14</v>
      </c>
      <c r="X203" t="n">
        <v>49.6</v>
      </c>
      <c r="AB203" t="n">
        <v>53.4</v>
      </c>
    </row>
    <row r="204">
      <c r="A204" s="96" t="n">
        <v>40452</v>
      </c>
      <c r="B204" t="n">
        <v>49.4</v>
      </c>
      <c r="C204" t="n">
        <v>49.5</v>
      </c>
      <c r="E204" t="n">
        <v>57.2</v>
      </c>
      <c r="F204" t="n">
        <v>56.89</v>
      </c>
      <c r="G204" t="n">
        <v>54.6</v>
      </c>
      <c r="H204" t="n">
        <v>57.5</v>
      </c>
      <c r="I204" t="n">
        <v>56.6</v>
      </c>
      <c r="L204" t="n">
        <v>57.2</v>
      </c>
      <c r="N204" t="n">
        <v>50.9</v>
      </c>
      <c r="O204" t="n">
        <v>53</v>
      </c>
      <c r="P204" t="n">
        <v>47.2</v>
      </c>
      <c r="R204" t="n">
        <v>51.4252261099097</v>
      </c>
      <c r="S204" t="n">
        <v>55.6</v>
      </c>
      <c r="T204" t="n">
        <v>51.8</v>
      </c>
      <c r="V204" t="n">
        <v>51.35</v>
      </c>
      <c r="X204" t="n">
        <v>51.2</v>
      </c>
      <c r="Y204" t="n">
        <v>48.6</v>
      </c>
      <c r="AA204" t="n">
        <v>54.3</v>
      </c>
      <c r="AB204" t="n">
        <v>54.9</v>
      </c>
      <c r="AC204" t="n">
        <v>56.9</v>
      </c>
    </row>
    <row r="205">
      <c r="A205" s="96" t="n">
        <v>40482</v>
      </c>
      <c r="J205" t="n">
        <v>43.6</v>
      </c>
    </row>
    <row r="206">
      <c r="A206" s="96" t="n">
        <v>40483</v>
      </c>
      <c r="B206" t="n">
        <v>47.6</v>
      </c>
      <c r="C206" t="n">
        <v>49.9</v>
      </c>
      <c r="E206" t="n">
        <v>57.3</v>
      </c>
      <c r="F206" t="n">
        <v>55.8</v>
      </c>
      <c r="G206" t="n">
        <v>55.3</v>
      </c>
      <c r="H206" t="n">
        <v>56.3</v>
      </c>
      <c r="I206" t="n">
        <v>58.1</v>
      </c>
      <c r="J206" t="n">
        <v>43.9</v>
      </c>
      <c r="L206" t="n">
        <v>58.4</v>
      </c>
      <c r="N206" t="n">
        <v>51.2</v>
      </c>
      <c r="O206" t="n">
        <v>52</v>
      </c>
      <c r="P206" t="n">
        <v>47.3</v>
      </c>
      <c r="R206" t="n">
        <v>54.9544836853158</v>
      </c>
      <c r="S206" t="n">
        <v>55.9</v>
      </c>
      <c r="T206" t="n">
        <v>51.1</v>
      </c>
      <c r="V206" t="n">
        <v>52.54</v>
      </c>
      <c r="X206" t="n">
        <v>50</v>
      </c>
      <c r="Y206" t="n">
        <v>51.7</v>
      </c>
      <c r="AA206" t="n">
        <v>56.4</v>
      </c>
      <c r="AB206" t="n">
        <v>58</v>
      </c>
      <c r="AC206" t="n">
        <v>56.6</v>
      </c>
    </row>
    <row r="207">
      <c r="A207" s="96" t="n">
        <v>40513</v>
      </c>
      <c r="B207" t="n">
        <v>46.3</v>
      </c>
      <c r="C207" t="n">
        <v>52.4</v>
      </c>
      <c r="E207" t="n">
        <v>58.4</v>
      </c>
      <c r="F207" t="n">
        <v>62.4</v>
      </c>
      <c r="G207" t="n">
        <v>57.1</v>
      </c>
      <c r="H207" t="n">
        <v>54.3</v>
      </c>
      <c r="I207" t="n">
        <v>60.9</v>
      </c>
      <c r="J207" t="n">
        <v>43.1</v>
      </c>
      <c r="L207" t="n">
        <v>56.7</v>
      </c>
      <c r="N207" t="n">
        <v>52.2</v>
      </c>
      <c r="O207" t="n">
        <v>54.7</v>
      </c>
      <c r="P207" t="n">
        <v>48.3</v>
      </c>
      <c r="R207" t="n">
        <v>53.2138368223341</v>
      </c>
      <c r="S207" t="n">
        <v>56.3</v>
      </c>
      <c r="T207" t="n">
        <v>53.5</v>
      </c>
      <c r="V207" t="n">
        <v>52.81</v>
      </c>
      <c r="W207" t="n">
        <v>53.9</v>
      </c>
      <c r="X207" t="n">
        <v>51.5</v>
      </c>
      <c r="Y207" t="n">
        <v>51.7</v>
      </c>
      <c r="AA207" t="n">
        <v>56.4</v>
      </c>
      <c r="AB207" t="n">
        <v>58.3</v>
      </c>
      <c r="AC207" t="n">
        <v>57</v>
      </c>
    </row>
    <row r="208">
      <c r="A208" s="96" t="n">
        <v>40544</v>
      </c>
      <c r="B208" t="n">
        <v>46.7</v>
      </c>
      <c r="C208" t="n">
        <v>53.1</v>
      </c>
      <c r="E208" t="n">
        <v>60.5</v>
      </c>
      <c r="F208" t="n">
        <v>57.21</v>
      </c>
      <c r="G208" t="n">
        <v>57.3</v>
      </c>
      <c r="H208" t="n">
        <v>54.9</v>
      </c>
      <c r="I208" t="n">
        <v>60.5</v>
      </c>
      <c r="J208" t="n">
        <v>42.8</v>
      </c>
      <c r="L208" t="n">
        <v>56.8</v>
      </c>
      <c r="N208" t="n">
        <v>55.8</v>
      </c>
      <c r="O208" t="n">
        <v>56.6</v>
      </c>
      <c r="P208" t="n">
        <v>51.4</v>
      </c>
      <c r="R208" t="n">
        <v>52.9414187104486</v>
      </c>
      <c r="S208" t="n">
        <v>55.6</v>
      </c>
      <c r="T208" t="n">
        <v>53.5</v>
      </c>
      <c r="V208" t="n">
        <v>53.56</v>
      </c>
      <c r="W208" t="n">
        <v>53.5</v>
      </c>
      <c r="X208" t="n">
        <v>52</v>
      </c>
      <c r="Y208" t="n">
        <v>54.6</v>
      </c>
      <c r="AA208" t="n">
        <v>57.2</v>
      </c>
      <c r="AB208" t="n">
        <v>62</v>
      </c>
      <c r="AC208" t="n">
        <v>60.8</v>
      </c>
    </row>
    <row r="209">
      <c r="A209" s="96" t="n">
        <v>40575</v>
      </c>
      <c r="B209" t="n">
        <v>51.1</v>
      </c>
      <c r="C209" t="n">
        <v>54.6</v>
      </c>
      <c r="E209" t="n">
        <v>59.8</v>
      </c>
      <c r="F209" t="n">
        <v>60.78</v>
      </c>
      <c r="G209" t="n">
        <v>59</v>
      </c>
      <c r="H209" t="n">
        <v>56.6</v>
      </c>
      <c r="I209" t="n">
        <v>62.7</v>
      </c>
      <c r="J209" t="n">
        <v>43.8</v>
      </c>
      <c r="L209" t="n">
        <v>57.9</v>
      </c>
      <c r="N209" t="n">
        <v>56.7</v>
      </c>
      <c r="O209" t="n">
        <v>59</v>
      </c>
      <c r="P209" t="n">
        <v>52.9</v>
      </c>
      <c r="R209" t="n">
        <v>51.2961480601499</v>
      </c>
      <c r="S209" t="n">
        <v>53.8</v>
      </c>
      <c r="T209" t="n">
        <v>56.4</v>
      </c>
      <c r="V209" t="n">
        <v>51.49</v>
      </c>
      <c r="W209" t="n">
        <v>53.4</v>
      </c>
      <c r="X209" t="n">
        <v>52.1</v>
      </c>
      <c r="Y209" t="n">
        <v>55.8</v>
      </c>
      <c r="AA209" t="n">
        <v>58.5</v>
      </c>
      <c r="AB209" t="n">
        <v>64.5</v>
      </c>
      <c r="AC209" t="n">
        <v>61.4</v>
      </c>
    </row>
    <row r="210">
      <c r="A210" s="96" t="n">
        <v>40603</v>
      </c>
      <c r="B210" t="n">
        <v>47.9</v>
      </c>
      <c r="C210" t="n">
        <v>53.2</v>
      </c>
      <c r="E210" t="n">
        <v>58.6</v>
      </c>
      <c r="F210" t="n">
        <v>62.07</v>
      </c>
      <c r="G210" t="n">
        <v>57.5</v>
      </c>
      <c r="H210" t="n">
        <v>56.9</v>
      </c>
      <c r="I210" t="n">
        <v>60.9</v>
      </c>
      <c r="J210" t="n">
        <v>45.4</v>
      </c>
      <c r="L210" t="n">
        <v>57.9</v>
      </c>
      <c r="N210" t="n">
        <v>55.7</v>
      </c>
      <c r="O210" t="n">
        <v>56.2</v>
      </c>
      <c r="P210" t="n">
        <v>46.4</v>
      </c>
      <c r="R210" t="n">
        <v>49.030116711296</v>
      </c>
      <c r="S210" t="n">
        <v>54.8</v>
      </c>
      <c r="T210" t="n">
        <v>55.1</v>
      </c>
      <c r="V210" t="n">
        <v>54.71</v>
      </c>
      <c r="W210" t="n">
        <v>52.8</v>
      </c>
      <c r="X210" t="n">
        <v>51.6</v>
      </c>
      <c r="Y210" t="n">
        <v>55.6</v>
      </c>
      <c r="AA210" t="n">
        <v>56.1</v>
      </c>
      <c r="AB210" t="n">
        <v>57.1</v>
      </c>
      <c r="AC210" t="n">
        <v>61.2</v>
      </c>
    </row>
    <row r="211">
      <c r="A211" s="96" t="n">
        <v>40634</v>
      </c>
      <c r="B211" t="n">
        <v>48.4</v>
      </c>
      <c r="C211" t="n">
        <v>52.5</v>
      </c>
      <c r="D211" t="n">
        <v>56.3</v>
      </c>
      <c r="E211" t="n">
        <v>59</v>
      </c>
      <c r="F211" t="n">
        <v>63.05</v>
      </c>
      <c r="G211" t="n">
        <v>58</v>
      </c>
      <c r="H211" t="n">
        <v>57.5</v>
      </c>
      <c r="I211" t="n">
        <v>62</v>
      </c>
      <c r="J211" t="n">
        <v>46.8</v>
      </c>
      <c r="L211" t="n">
        <v>58</v>
      </c>
      <c r="M211" t="n">
        <v>48.1</v>
      </c>
      <c r="N211" t="n">
        <v>56</v>
      </c>
      <c r="O211" t="n">
        <v>55.5</v>
      </c>
      <c r="P211" t="n">
        <v>45.7</v>
      </c>
      <c r="Q211" t="n">
        <v>56.1</v>
      </c>
      <c r="R211" t="n">
        <v>53.0485447056205</v>
      </c>
      <c r="S211" t="n">
        <v>54.4</v>
      </c>
      <c r="T211" t="n">
        <v>52.1</v>
      </c>
      <c r="V211" t="n">
        <v>54.16</v>
      </c>
      <c r="W211" t="n">
        <v>51.7</v>
      </c>
      <c r="X211" t="n">
        <v>50.6</v>
      </c>
      <c r="Y211" t="n">
        <v>58.2</v>
      </c>
      <c r="AA211" t="n">
        <v>52.7</v>
      </c>
      <c r="AB211" t="n">
        <v>54.6</v>
      </c>
      <c r="AC211" t="n">
        <v>60.4</v>
      </c>
    </row>
    <row r="212">
      <c r="A212" s="96" t="n">
        <v>40664</v>
      </c>
      <c r="B212" t="n">
        <v>47.7</v>
      </c>
      <c r="C212" t="n">
        <v>53</v>
      </c>
      <c r="D212" t="n">
        <v>54.8</v>
      </c>
      <c r="E212" t="n">
        <v>55.9</v>
      </c>
      <c r="F212" t="n">
        <v>58.59</v>
      </c>
      <c r="G212" t="n">
        <v>54.6</v>
      </c>
      <c r="H212" t="n">
        <v>54.9</v>
      </c>
      <c r="I212" t="n">
        <v>57.7</v>
      </c>
      <c r="J212" t="n">
        <v>44.5</v>
      </c>
      <c r="L212" t="n">
        <v>57.5</v>
      </c>
      <c r="M212" t="n">
        <v>48</v>
      </c>
      <c r="N212" t="n">
        <v>51.8</v>
      </c>
      <c r="O212" t="n">
        <v>52.8</v>
      </c>
      <c r="P212" t="n">
        <v>51.3</v>
      </c>
      <c r="Q212" t="n">
        <v>54.5</v>
      </c>
      <c r="R212" t="n">
        <v>52.8901271533159</v>
      </c>
      <c r="S212" t="n">
        <v>52.6</v>
      </c>
      <c r="T212" t="n">
        <v>50.9</v>
      </c>
      <c r="V212" t="n">
        <v>54.1</v>
      </c>
      <c r="W212" t="n">
        <v>51.2</v>
      </c>
      <c r="X212" t="n">
        <v>48.2</v>
      </c>
      <c r="Y212" t="n">
        <v>54.9</v>
      </c>
      <c r="AA212" t="n">
        <v>50.6</v>
      </c>
      <c r="AB212" t="n">
        <v>52.1</v>
      </c>
      <c r="AC212" t="n">
        <v>53.5</v>
      </c>
    </row>
    <row r="213">
      <c r="A213" s="96" t="n">
        <v>40695</v>
      </c>
      <c r="B213" t="n">
        <v>52.9</v>
      </c>
      <c r="C213" t="n">
        <v>49</v>
      </c>
      <c r="D213" t="n">
        <v>52.8</v>
      </c>
      <c r="E213" t="n">
        <v>55.1</v>
      </c>
      <c r="F213" t="n">
        <v>58.05</v>
      </c>
      <c r="G213" t="n">
        <v>52</v>
      </c>
      <c r="H213" t="n">
        <v>50.1</v>
      </c>
      <c r="I213" t="n">
        <v>54.9</v>
      </c>
      <c r="J213" t="n">
        <v>45.5</v>
      </c>
      <c r="L213" t="n">
        <v>55.3</v>
      </c>
      <c r="M213" t="n">
        <v>50.5</v>
      </c>
      <c r="N213" t="n">
        <v>49.8</v>
      </c>
      <c r="O213" t="n">
        <v>49.9</v>
      </c>
      <c r="P213" t="n">
        <v>50.7</v>
      </c>
      <c r="Q213" t="n">
        <v>55.1</v>
      </c>
      <c r="R213" t="n">
        <v>54.2766863057518</v>
      </c>
      <c r="S213" t="n">
        <v>51.2</v>
      </c>
      <c r="T213" t="n">
        <v>50.6</v>
      </c>
      <c r="V213" t="n">
        <v>55.16</v>
      </c>
      <c r="W213" t="n">
        <v>51.2</v>
      </c>
      <c r="X213" t="n">
        <v>47.3</v>
      </c>
      <c r="Y213" t="n">
        <v>49.9</v>
      </c>
      <c r="AA213" t="n">
        <v>52.3</v>
      </c>
      <c r="AB213" t="n">
        <v>51.3</v>
      </c>
      <c r="AC213" t="n">
        <v>55.3</v>
      </c>
    </row>
    <row r="214">
      <c r="A214" s="96" t="n">
        <v>40725</v>
      </c>
      <c r="B214" t="n">
        <v>43.4</v>
      </c>
      <c r="C214" t="n">
        <v>47.8</v>
      </c>
      <c r="D214" t="n">
        <v>53.1</v>
      </c>
      <c r="E214" t="n">
        <v>53.4</v>
      </c>
      <c r="F214" t="n">
        <v>58.37</v>
      </c>
      <c r="G214" t="n">
        <v>50.4</v>
      </c>
      <c r="H214" t="n">
        <v>50.5</v>
      </c>
      <c r="I214" t="n">
        <v>52</v>
      </c>
      <c r="J214" t="n">
        <v>45.2</v>
      </c>
      <c r="L214" t="n">
        <v>56.3</v>
      </c>
      <c r="M214" t="n">
        <v>51</v>
      </c>
      <c r="N214" t="n">
        <v>48.2</v>
      </c>
      <c r="O214" t="n">
        <v>50.1</v>
      </c>
      <c r="P214" t="n">
        <v>52.1</v>
      </c>
      <c r="Q214" t="n">
        <v>54.8</v>
      </c>
      <c r="R214" t="n">
        <v>52.9147851310544</v>
      </c>
      <c r="S214" t="n">
        <v>52.9</v>
      </c>
      <c r="T214" t="n">
        <v>49.8</v>
      </c>
      <c r="V214" t="n">
        <v>46.16</v>
      </c>
      <c r="W214" t="n">
        <v>51.1</v>
      </c>
      <c r="X214" t="n">
        <v>45.6</v>
      </c>
      <c r="Y214" t="n">
        <v>46.1</v>
      </c>
      <c r="AA214" t="n">
        <v>52.3</v>
      </c>
      <c r="AB214" t="n">
        <v>49.1</v>
      </c>
      <c r="AC214" t="n">
        <v>50.9</v>
      </c>
    </row>
    <row r="215">
      <c r="A215" s="96" t="n">
        <v>40756</v>
      </c>
      <c r="B215" t="n">
        <v>43.3</v>
      </c>
      <c r="C215" t="n">
        <v>46</v>
      </c>
      <c r="D215" t="n">
        <v>54.9</v>
      </c>
      <c r="E215" t="n">
        <v>53.4</v>
      </c>
      <c r="F215" t="n">
        <v>55.07</v>
      </c>
      <c r="G215" t="n">
        <v>49</v>
      </c>
      <c r="H215" t="n">
        <v>49.1</v>
      </c>
      <c r="I215" t="n">
        <v>50.9</v>
      </c>
      <c r="J215" t="n">
        <v>43.3</v>
      </c>
      <c r="L215" t="n">
        <v>52.6</v>
      </c>
      <c r="M215" t="n">
        <v>50.9</v>
      </c>
      <c r="N215" t="n">
        <v>49.7</v>
      </c>
      <c r="O215" t="n">
        <v>47</v>
      </c>
      <c r="P215" t="n">
        <v>51.9</v>
      </c>
      <c r="Q215" t="n">
        <v>51.7</v>
      </c>
      <c r="R215" t="n">
        <v>53.2760228348821</v>
      </c>
      <c r="S215" t="n">
        <v>51.8</v>
      </c>
      <c r="T215" t="n">
        <v>49.9</v>
      </c>
      <c r="V215" t="n">
        <v>47.73</v>
      </c>
      <c r="W215" t="n">
        <v>51.3</v>
      </c>
      <c r="X215" t="n">
        <v>45.3</v>
      </c>
      <c r="Y215" t="n">
        <v>45.2</v>
      </c>
      <c r="AA215" t="n">
        <v>49.8</v>
      </c>
      <c r="AB215" t="n">
        <v>49</v>
      </c>
      <c r="AC215" t="n">
        <v>50.6</v>
      </c>
    </row>
    <row r="216">
      <c r="A216" s="96" t="n">
        <v>40787</v>
      </c>
      <c r="B216" t="n">
        <v>42.3</v>
      </c>
      <c r="C216" t="n">
        <v>45.5</v>
      </c>
      <c r="D216" t="n">
        <v>55</v>
      </c>
      <c r="E216" t="n">
        <v>52.3</v>
      </c>
      <c r="F216" t="n">
        <v>64.40000000000001</v>
      </c>
      <c r="G216" t="n">
        <v>48.5</v>
      </c>
      <c r="H216" t="n">
        <v>48.2</v>
      </c>
      <c r="I216" t="n">
        <v>50.3</v>
      </c>
      <c r="J216" t="n">
        <v>43.2</v>
      </c>
      <c r="L216" t="n">
        <v>50.4</v>
      </c>
      <c r="M216" t="n">
        <v>49.8</v>
      </c>
      <c r="N216" t="n">
        <v>47.3</v>
      </c>
      <c r="O216" t="n">
        <v>48.3</v>
      </c>
      <c r="P216" t="n">
        <v>49.3</v>
      </c>
      <c r="Q216" t="n">
        <v>53.2</v>
      </c>
      <c r="R216" t="n">
        <v>51.1649272067922</v>
      </c>
      <c r="S216" t="n">
        <v>50.2</v>
      </c>
      <c r="T216" t="n">
        <v>50</v>
      </c>
      <c r="V216" t="n">
        <v>52.45</v>
      </c>
      <c r="W216" t="n">
        <v>49.7</v>
      </c>
      <c r="X216" t="n">
        <v>43.7</v>
      </c>
      <c r="Y216" t="n">
        <v>44.5</v>
      </c>
      <c r="AA216" t="n">
        <v>51.5</v>
      </c>
      <c r="AB216" t="n">
        <v>51.1</v>
      </c>
      <c r="AC216" t="n">
        <v>51.6</v>
      </c>
    </row>
    <row r="217">
      <c r="A217" s="96" t="n">
        <v>40817</v>
      </c>
      <c r="B217" t="n">
        <v>47.4</v>
      </c>
      <c r="C217" t="n">
        <v>46.5</v>
      </c>
      <c r="D217" t="n">
        <v>53.7</v>
      </c>
      <c r="E217" t="n">
        <v>51.7</v>
      </c>
      <c r="F217" t="n">
        <v>43.91</v>
      </c>
      <c r="G217" t="n">
        <v>47.1</v>
      </c>
      <c r="H217" t="n">
        <v>48.5</v>
      </c>
      <c r="I217" t="n">
        <v>49.1</v>
      </c>
      <c r="J217" t="n">
        <v>40.5</v>
      </c>
      <c r="L217" t="n">
        <v>51</v>
      </c>
      <c r="M217" t="n">
        <v>51.3</v>
      </c>
      <c r="N217" t="n">
        <v>50.1</v>
      </c>
      <c r="O217" t="n">
        <v>43.3</v>
      </c>
      <c r="P217" t="n">
        <v>50.6</v>
      </c>
      <c r="Q217" t="n">
        <v>54.8</v>
      </c>
      <c r="R217" t="n">
        <v>47.0556250366551</v>
      </c>
      <c r="S217" t="n">
        <v>51.7</v>
      </c>
      <c r="T217" t="n">
        <v>50.4</v>
      </c>
      <c r="V217" t="n">
        <v>52.18</v>
      </c>
      <c r="W217" t="n">
        <v>47.4</v>
      </c>
      <c r="X217" t="n">
        <v>43.9</v>
      </c>
      <c r="Y217" t="n">
        <v>48</v>
      </c>
      <c r="AA217" t="n">
        <v>53.3</v>
      </c>
      <c r="AB217" t="n">
        <v>47.4</v>
      </c>
      <c r="AC217" t="n">
        <v>50.8</v>
      </c>
    </row>
    <row r="218">
      <c r="A218" s="96" t="n">
        <v>40848</v>
      </c>
      <c r="B218" t="n">
        <v>47.8</v>
      </c>
      <c r="C218" t="n">
        <v>48.7</v>
      </c>
      <c r="D218" t="n">
        <v>53.3</v>
      </c>
      <c r="E218" t="n">
        <v>48.6</v>
      </c>
      <c r="F218" t="n">
        <v>47.79</v>
      </c>
      <c r="G218" t="n">
        <v>46.4</v>
      </c>
      <c r="H218" t="n">
        <v>47.3</v>
      </c>
      <c r="I218" t="n">
        <v>47.9</v>
      </c>
      <c r="J218" t="n">
        <v>40.9</v>
      </c>
      <c r="L218" t="n">
        <v>52</v>
      </c>
      <c r="M218" t="n">
        <v>50.1</v>
      </c>
      <c r="N218" t="n">
        <v>48.5</v>
      </c>
      <c r="O218" t="n">
        <v>44</v>
      </c>
      <c r="P218" t="n">
        <v>49.1</v>
      </c>
      <c r="Q218" t="n">
        <v>53.9</v>
      </c>
      <c r="R218" t="n">
        <v>47.8189290340678</v>
      </c>
      <c r="S218" t="n">
        <v>49.5</v>
      </c>
      <c r="T218" t="n">
        <v>52.6</v>
      </c>
      <c r="V218" t="n">
        <v>51.66</v>
      </c>
      <c r="W218" t="n">
        <v>48</v>
      </c>
      <c r="X218" t="n">
        <v>43.8</v>
      </c>
      <c r="Y218" t="n">
        <v>47.1</v>
      </c>
      <c r="AA218" t="n">
        <v>52.3</v>
      </c>
      <c r="AB218" t="n">
        <v>47.6</v>
      </c>
      <c r="AC218" t="n">
        <v>52.7</v>
      </c>
    </row>
    <row r="219">
      <c r="A219" s="96" t="n">
        <v>40878</v>
      </c>
      <c r="B219" t="n">
        <v>50.2</v>
      </c>
      <c r="C219" t="n">
        <v>49.3</v>
      </c>
      <c r="D219" t="n">
        <v>54</v>
      </c>
      <c r="E219" t="n">
        <v>49.2</v>
      </c>
      <c r="F219" t="n">
        <v>58.44</v>
      </c>
      <c r="G219" t="n">
        <v>46.9</v>
      </c>
      <c r="H219" t="n">
        <v>48.9</v>
      </c>
      <c r="I219" t="n">
        <v>48.4</v>
      </c>
      <c r="J219" t="n">
        <v>42</v>
      </c>
      <c r="L219" t="n">
        <v>57</v>
      </c>
      <c r="M219" t="n">
        <v>48.1</v>
      </c>
      <c r="N219" t="n">
        <v>49.8</v>
      </c>
      <c r="O219" t="n">
        <v>44.3</v>
      </c>
      <c r="P219" t="n">
        <v>50.2</v>
      </c>
      <c r="Q219" t="n">
        <v>53.1</v>
      </c>
      <c r="R219" t="n">
        <v>52.0794686386442</v>
      </c>
      <c r="S219" t="n">
        <v>48.8</v>
      </c>
      <c r="T219" t="n">
        <v>51.6</v>
      </c>
      <c r="V219" t="n">
        <v>51.4</v>
      </c>
      <c r="W219" t="n">
        <v>47.1</v>
      </c>
      <c r="X219" t="n">
        <v>43.7</v>
      </c>
      <c r="Y219" t="n">
        <v>47.1</v>
      </c>
      <c r="AA219" t="n">
        <v>52</v>
      </c>
      <c r="AB219" t="n">
        <v>49.6</v>
      </c>
      <c r="AC219" t="n">
        <v>53.2</v>
      </c>
    </row>
    <row r="220">
      <c r="A220" s="96" t="n">
        <v>40909</v>
      </c>
      <c r="B220" t="n">
        <v>51.6</v>
      </c>
      <c r="C220" t="n">
        <v>50.6</v>
      </c>
      <c r="D220" t="n">
        <v>50.6</v>
      </c>
      <c r="E220" t="n">
        <v>48.8</v>
      </c>
      <c r="F220" t="n">
        <v>52.12</v>
      </c>
      <c r="G220" t="n">
        <v>48.8</v>
      </c>
      <c r="H220" t="n">
        <v>48.5</v>
      </c>
      <c r="I220" t="n">
        <v>51</v>
      </c>
      <c r="J220" t="n">
        <v>41</v>
      </c>
      <c r="L220" t="n">
        <v>57.5</v>
      </c>
      <c r="M220" t="n">
        <v>48.5</v>
      </c>
      <c r="N220" t="n">
        <v>49.3</v>
      </c>
      <c r="O220" t="n">
        <v>46.8</v>
      </c>
      <c r="P220" t="n">
        <v>50.7</v>
      </c>
      <c r="Q220" t="n">
        <v>52.2</v>
      </c>
      <c r="R220" t="n">
        <v>50.6209489737154</v>
      </c>
      <c r="S220" t="n">
        <v>52.2</v>
      </c>
      <c r="T220" t="n">
        <v>50.8</v>
      </c>
      <c r="V220" t="n">
        <v>52.94</v>
      </c>
      <c r="W220" t="n">
        <v>49.2</v>
      </c>
      <c r="X220" t="n">
        <v>45.1</v>
      </c>
      <c r="Y220" t="n">
        <v>47.1</v>
      </c>
      <c r="AA220" t="n">
        <v>51.7</v>
      </c>
      <c r="AB220" t="n">
        <v>50.8</v>
      </c>
      <c r="AC220" t="n">
        <v>54.3</v>
      </c>
    </row>
    <row r="221">
      <c r="A221" s="96" t="n">
        <v>40940</v>
      </c>
      <c r="B221" t="n">
        <v>51.3</v>
      </c>
      <c r="C221" t="n">
        <v>51.4</v>
      </c>
      <c r="D221" t="n">
        <v>51.8</v>
      </c>
      <c r="E221" t="n">
        <v>50.5</v>
      </c>
      <c r="F221" t="n">
        <v>53.88</v>
      </c>
      <c r="G221" t="n">
        <v>49</v>
      </c>
      <c r="H221" t="n">
        <v>50</v>
      </c>
      <c r="I221" t="n">
        <v>50.2</v>
      </c>
      <c r="J221" t="n">
        <v>37.7</v>
      </c>
      <c r="L221" t="n">
        <v>56.6</v>
      </c>
      <c r="M221" t="n">
        <v>50.6</v>
      </c>
      <c r="N221" t="n">
        <v>49.7</v>
      </c>
      <c r="O221" t="n">
        <v>47.8</v>
      </c>
      <c r="P221" t="n">
        <v>50.5</v>
      </c>
      <c r="Q221" t="n">
        <v>53.7</v>
      </c>
      <c r="R221" t="n">
        <v>55.9368080680046</v>
      </c>
      <c r="S221" t="n">
        <v>50</v>
      </c>
      <c r="T221" t="n">
        <v>50.7</v>
      </c>
      <c r="V221" t="n">
        <v>53.51</v>
      </c>
      <c r="W221" t="n">
        <v>50.7</v>
      </c>
      <c r="X221" t="n">
        <v>45</v>
      </c>
      <c r="Y221" t="n">
        <v>48.9</v>
      </c>
      <c r="AA221" t="n">
        <v>49.6</v>
      </c>
      <c r="AB221" t="n">
        <v>51.1</v>
      </c>
      <c r="AC221" t="n">
        <v>53.6</v>
      </c>
    </row>
    <row r="222">
      <c r="A222" s="96" t="n">
        <v>40969</v>
      </c>
      <c r="B222" t="n">
        <v>49.5</v>
      </c>
      <c r="C222" t="n">
        <v>51.1</v>
      </c>
      <c r="D222" t="n">
        <v>52.4</v>
      </c>
      <c r="E222" t="n">
        <v>52.1</v>
      </c>
      <c r="F222" t="n">
        <v>50.34</v>
      </c>
      <c r="G222" t="n">
        <v>47.7</v>
      </c>
      <c r="H222" t="n">
        <v>46.7</v>
      </c>
      <c r="I222" t="n">
        <v>48.4</v>
      </c>
      <c r="J222" t="n">
        <v>41.3</v>
      </c>
      <c r="L222" t="n">
        <v>54.7</v>
      </c>
      <c r="M222" t="n">
        <v>50.8</v>
      </c>
      <c r="N222" t="n">
        <v>51.5</v>
      </c>
      <c r="O222" t="n">
        <v>47.9</v>
      </c>
      <c r="P222" t="n">
        <v>51.1</v>
      </c>
      <c r="Q222" t="n">
        <v>53.8</v>
      </c>
      <c r="R222" t="n">
        <v>53.627871720274</v>
      </c>
      <c r="S222" t="n">
        <v>50.1</v>
      </c>
      <c r="T222" t="n">
        <v>50.8</v>
      </c>
      <c r="V222" t="n">
        <v>53.51</v>
      </c>
      <c r="W222" t="n">
        <v>52</v>
      </c>
      <c r="X222" t="n">
        <v>44.5</v>
      </c>
      <c r="Y222" t="n">
        <v>52.7</v>
      </c>
      <c r="AA222" t="n">
        <v>49.6</v>
      </c>
      <c r="AB222" t="n">
        <v>52</v>
      </c>
      <c r="AC222" t="n">
        <v>56</v>
      </c>
    </row>
    <row r="223">
      <c r="A223" s="96" t="n">
        <v>41000</v>
      </c>
      <c r="B223" t="n">
        <v>43.9</v>
      </c>
      <c r="C223" t="n">
        <v>49.3</v>
      </c>
      <c r="D223" t="n">
        <v>53.3</v>
      </c>
      <c r="E223" t="n">
        <v>49.7</v>
      </c>
      <c r="F223" t="n">
        <v>63.6</v>
      </c>
      <c r="G223" t="n">
        <v>45.9</v>
      </c>
      <c r="H223" t="n">
        <v>46.9</v>
      </c>
      <c r="I223" t="n">
        <v>46.2</v>
      </c>
      <c r="J223" t="n">
        <v>40.7</v>
      </c>
      <c r="L223" t="n">
        <v>54.9</v>
      </c>
      <c r="M223" t="n">
        <v>50.5</v>
      </c>
      <c r="N223" t="n">
        <v>50.1</v>
      </c>
      <c r="O223" t="n">
        <v>43.8</v>
      </c>
      <c r="P223" t="n">
        <v>50.7</v>
      </c>
      <c r="Q223" t="n">
        <v>56.3</v>
      </c>
      <c r="R223" t="n">
        <v>48.5125048508928</v>
      </c>
      <c r="S223" t="n">
        <v>49.2</v>
      </c>
      <c r="T223" t="n">
        <v>52.9</v>
      </c>
      <c r="V223" t="n">
        <v>52.19</v>
      </c>
      <c r="W223" t="n">
        <v>51.9</v>
      </c>
      <c r="X223" t="n">
        <v>43.5</v>
      </c>
      <c r="Y223" t="n">
        <v>54.1</v>
      </c>
      <c r="AA223" t="n">
        <v>52.3</v>
      </c>
      <c r="AB223" t="n">
        <v>50.2</v>
      </c>
      <c r="AC223" t="n">
        <v>56</v>
      </c>
    </row>
    <row r="224">
      <c r="A224" s="96" t="n">
        <v>41030</v>
      </c>
      <c r="B224" t="n">
        <v>42.4</v>
      </c>
      <c r="C224" t="n">
        <v>49.3</v>
      </c>
      <c r="D224" t="n">
        <v>54.7</v>
      </c>
      <c r="E224" t="n">
        <v>47.6</v>
      </c>
      <c r="F224" t="n">
        <v>51.42</v>
      </c>
      <c r="G224" t="n">
        <v>45.1</v>
      </c>
      <c r="H224" t="n">
        <v>44.7</v>
      </c>
      <c r="I224" t="n">
        <v>45.2</v>
      </c>
      <c r="J224" t="n">
        <v>43.1</v>
      </c>
      <c r="L224" t="n">
        <v>54.8</v>
      </c>
      <c r="M224" t="n">
        <v>48.1</v>
      </c>
      <c r="N224" t="n">
        <v>51.2</v>
      </c>
      <c r="O224" t="n">
        <v>44.8</v>
      </c>
      <c r="P224" t="n">
        <v>50.7</v>
      </c>
      <c r="Q224" t="n">
        <v>55.2</v>
      </c>
      <c r="R224" t="n">
        <v>54.1857897882967</v>
      </c>
      <c r="S224" t="n">
        <v>48.9</v>
      </c>
      <c r="T224" t="n">
        <v>53.2</v>
      </c>
      <c r="V224" t="n">
        <v>52.57</v>
      </c>
      <c r="W224" t="n">
        <v>51</v>
      </c>
      <c r="X224" t="n">
        <v>42</v>
      </c>
      <c r="Y224" t="n">
        <v>51.2</v>
      </c>
      <c r="AA224" t="n">
        <v>50.2</v>
      </c>
      <c r="AB224" t="n">
        <v>46.8</v>
      </c>
      <c r="AC224" t="n">
        <v>54</v>
      </c>
    </row>
    <row r="225">
      <c r="A225" s="96" t="n">
        <v>41061</v>
      </c>
      <c r="B225" t="n">
        <v>47.2</v>
      </c>
      <c r="C225" t="n">
        <v>48.5</v>
      </c>
      <c r="D225" t="n">
        <v>54.8</v>
      </c>
      <c r="E225" t="n">
        <v>49.4</v>
      </c>
      <c r="F225" t="n">
        <v>52.69</v>
      </c>
      <c r="G225" t="n">
        <v>45.1</v>
      </c>
      <c r="H225" t="n">
        <v>45.2</v>
      </c>
      <c r="I225" t="n">
        <v>45</v>
      </c>
      <c r="J225" t="n">
        <v>40.1</v>
      </c>
      <c r="K225" t="n">
        <v>49.8</v>
      </c>
      <c r="L225" t="n">
        <v>55</v>
      </c>
      <c r="M225" t="n">
        <v>50.2</v>
      </c>
      <c r="N225" t="n">
        <v>53.1</v>
      </c>
      <c r="O225" t="n">
        <v>44.6</v>
      </c>
      <c r="P225" t="n">
        <v>52.6</v>
      </c>
      <c r="Q225" t="n">
        <v>55.9</v>
      </c>
      <c r="R225" t="n">
        <v>50.472370512699</v>
      </c>
      <c r="S225" t="n">
        <v>48</v>
      </c>
      <c r="T225" t="n">
        <v>51</v>
      </c>
      <c r="V225" t="n">
        <v>49.09</v>
      </c>
      <c r="W225" t="n">
        <v>49.4</v>
      </c>
      <c r="X225" t="n">
        <v>41.1</v>
      </c>
      <c r="Y225" t="n">
        <v>50.5</v>
      </c>
      <c r="AA225" t="n">
        <v>51.4</v>
      </c>
      <c r="AB225" t="n">
        <v>48.8</v>
      </c>
      <c r="AC225" t="n">
        <v>52.5</v>
      </c>
    </row>
    <row r="226">
      <c r="A226" s="96" t="n">
        <v>41091</v>
      </c>
      <c r="B226" t="n">
        <v>40.3</v>
      </c>
      <c r="C226" t="n">
        <v>48.7</v>
      </c>
      <c r="D226" t="n">
        <v>53</v>
      </c>
      <c r="E226" t="n">
        <v>49.5</v>
      </c>
      <c r="F226" t="n">
        <v>47.21</v>
      </c>
      <c r="G226" t="n">
        <v>44</v>
      </c>
      <c r="H226" t="n">
        <v>43.4</v>
      </c>
      <c r="I226" t="n">
        <v>43</v>
      </c>
      <c r="J226" t="n">
        <v>41.9</v>
      </c>
      <c r="K226" t="n">
        <v>50.3</v>
      </c>
      <c r="L226" t="n">
        <v>52.9</v>
      </c>
      <c r="M226" t="n">
        <v>51.3</v>
      </c>
      <c r="N226" t="n">
        <v>53.9</v>
      </c>
      <c r="O226" t="n">
        <v>44.3</v>
      </c>
      <c r="P226" t="n">
        <v>52</v>
      </c>
      <c r="Q226" t="n">
        <v>55.2</v>
      </c>
      <c r="R226" t="n">
        <v>49.6009354328354</v>
      </c>
      <c r="S226" t="n">
        <v>49.7</v>
      </c>
      <c r="T226" t="n">
        <v>52</v>
      </c>
      <c r="V226" t="n">
        <v>51.13</v>
      </c>
      <c r="W226" t="n">
        <v>47.2</v>
      </c>
      <c r="X226" t="n">
        <v>42.3</v>
      </c>
      <c r="Y226" t="n">
        <v>49.2</v>
      </c>
      <c r="AA226" t="n">
        <v>49.4</v>
      </c>
      <c r="AB226" t="n">
        <v>45.5</v>
      </c>
      <c r="AC226" t="n">
        <v>51.4</v>
      </c>
      <c r="AD226" t="n">
        <v>43.6</v>
      </c>
    </row>
    <row r="227">
      <c r="A227" s="96" t="n">
        <v>41122</v>
      </c>
      <c r="B227" t="n">
        <v>45.3</v>
      </c>
      <c r="C227" t="n">
        <v>49.3</v>
      </c>
      <c r="D227" t="n">
        <v>53</v>
      </c>
      <c r="E227" t="n">
        <v>48.7</v>
      </c>
      <c r="F227" t="n">
        <v>51.06</v>
      </c>
      <c r="G227" t="n">
        <v>45.1</v>
      </c>
      <c r="H227" t="n">
        <v>46</v>
      </c>
      <c r="I227" t="n">
        <v>44.7</v>
      </c>
      <c r="J227" t="n">
        <v>42.1</v>
      </c>
      <c r="K227" t="n">
        <v>50.5</v>
      </c>
      <c r="L227" t="n">
        <v>52.8</v>
      </c>
      <c r="M227" t="n">
        <v>51.4</v>
      </c>
      <c r="N227" t="n">
        <v>50.9</v>
      </c>
      <c r="O227" t="n">
        <v>43.6</v>
      </c>
      <c r="P227" t="n">
        <v>52.1</v>
      </c>
      <c r="Q227" t="n">
        <v>55.1</v>
      </c>
      <c r="R227" t="n">
        <v>47.4290948312378</v>
      </c>
      <c r="S227" t="n">
        <v>48.3</v>
      </c>
      <c r="T227" t="n">
        <v>51</v>
      </c>
      <c r="V227" t="n">
        <v>49.56</v>
      </c>
      <c r="W227" t="n">
        <v>47.5</v>
      </c>
      <c r="X227" t="n">
        <v>44</v>
      </c>
      <c r="Y227" t="n">
        <v>47.5</v>
      </c>
      <c r="AA227" t="n">
        <v>50</v>
      </c>
      <c r="AB227" t="n">
        <v>49.1</v>
      </c>
      <c r="AC227" t="n">
        <v>51.5</v>
      </c>
      <c r="AD227" t="n">
        <v>47.9</v>
      </c>
    </row>
    <row r="228">
      <c r="A228" s="96" t="n">
        <v>41153</v>
      </c>
      <c r="B228" t="n">
        <v>44.1</v>
      </c>
      <c r="C228" t="n">
        <v>49.8</v>
      </c>
      <c r="D228" t="n">
        <v>52.4</v>
      </c>
      <c r="E228" t="n">
        <v>48</v>
      </c>
      <c r="F228" t="n">
        <v>52.09</v>
      </c>
      <c r="G228" t="n">
        <v>46.1</v>
      </c>
      <c r="H228" t="n">
        <v>42.7</v>
      </c>
      <c r="I228" t="n">
        <v>47.4</v>
      </c>
      <c r="J228" t="n">
        <v>42.2</v>
      </c>
      <c r="K228" t="n">
        <v>49.6</v>
      </c>
      <c r="L228" t="n">
        <v>52.8</v>
      </c>
      <c r="M228" t="n">
        <v>51.6</v>
      </c>
      <c r="N228" t="n">
        <v>51.8</v>
      </c>
      <c r="O228" t="n">
        <v>45.7</v>
      </c>
      <c r="P228" t="n">
        <v>48</v>
      </c>
      <c r="Q228" t="n">
        <v>54.4</v>
      </c>
      <c r="R228" t="n">
        <v>48.4487093394229</v>
      </c>
      <c r="S228" t="n">
        <v>47</v>
      </c>
      <c r="T228" t="n">
        <v>52.4</v>
      </c>
      <c r="V228" t="n">
        <v>48.42</v>
      </c>
      <c r="W228" t="n">
        <v>45.7</v>
      </c>
      <c r="X228" t="n">
        <v>44.5</v>
      </c>
      <c r="Y228" t="n">
        <v>46.1</v>
      </c>
      <c r="AA228" t="n">
        <v>52.2</v>
      </c>
      <c r="AB228" t="n">
        <v>48.2</v>
      </c>
      <c r="AC228" t="n">
        <v>51.1</v>
      </c>
      <c r="AD228" t="n">
        <v>49.2</v>
      </c>
    </row>
    <row r="229">
      <c r="A229" s="96" t="n">
        <v>41183</v>
      </c>
      <c r="B229" t="n">
        <v>45.2</v>
      </c>
      <c r="C229" t="n">
        <v>50.2</v>
      </c>
      <c r="D229" t="n">
        <v>51.4</v>
      </c>
      <c r="E229" t="n">
        <v>47.2</v>
      </c>
      <c r="F229" t="n">
        <v>57.41</v>
      </c>
      <c r="G229" t="n">
        <v>45.4</v>
      </c>
      <c r="H229" t="n">
        <v>43.7</v>
      </c>
      <c r="I229" t="n">
        <v>46</v>
      </c>
      <c r="J229" t="n">
        <v>41</v>
      </c>
      <c r="K229" t="n">
        <v>50.5</v>
      </c>
      <c r="L229" t="n">
        <v>52.9</v>
      </c>
      <c r="M229" t="n">
        <v>50.5</v>
      </c>
      <c r="N229" t="n">
        <v>52.1</v>
      </c>
      <c r="O229" t="n">
        <v>45.5</v>
      </c>
      <c r="P229" t="n">
        <v>46.9</v>
      </c>
      <c r="Q229" t="n">
        <v>55.5</v>
      </c>
      <c r="R229" t="n">
        <v>51.3162739387645</v>
      </c>
      <c r="S229" t="n">
        <v>47.3</v>
      </c>
      <c r="T229" t="n">
        <v>52.9</v>
      </c>
      <c r="V229" t="n">
        <v>48.23</v>
      </c>
      <c r="W229" t="n">
        <v>47.4</v>
      </c>
      <c r="X229" t="n">
        <v>43.5</v>
      </c>
      <c r="Y229" t="n">
        <v>45.6</v>
      </c>
      <c r="AA229" t="n">
        <v>52.5</v>
      </c>
      <c r="AB229" t="n">
        <v>48</v>
      </c>
      <c r="AC229" t="n">
        <v>51</v>
      </c>
      <c r="AD229" t="n">
        <v>48.7</v>
      </c>
    </row>
    <row r="230">
      <c r="A230" s="96" t="n">
        <v>41214</v>
      </c>
      <c r="B230" t="n">
        <v>43.6</v>
      </c>
      <c r="C230" t="n">
        <v>52.2</v>
      </c>
      <c r="D230" t="n">
        <v>50.4</v>
      </c>
      <c r="E230" t="n">
        <v>48.2</v>
      </c>
      <c r="F230" t="n">
        <v>56.29</v>
      </c>
      <c r="G230" t="n">
        <v>46.2</v>
      </c>
      <c r="H230" t="n">
        <v>44.5</v>
      </c>
      <c r="I230" t="n">
        <v>46.8</v>
      </c>
      <c r="J230" t="n">
        <v>41.8</v>
      </c>
      <c r="K230" t="n">
        <v>52.2</v>
      </c>
      <c r="L230" t="n">
        <v>53.7</v>
      </c>
      <c r="M230" t="n">
        <v>51.9</v>
      </c>
      <c r="N230" t="n">
        <v>52.4</v>
      </c>
      <c r="O230" t="n">
        <v>45.1</v>
      </c>
      <c r="P230" t="n">
        <v>46.5</v>
      </c>
      <c r="Q230" t="n">
        <v>55.6</v>
      </c>
      <c r="R230" t="n">
        <v>50.8031709504404</v>
      </c>
      <c r="S230" t="n">
        <v>48.2</v>
      </c>
      <c r="T230" t="n">
        <v>52.2</v>
      </c>
      <c r="V230" t="n">
        <v>49.15</v>
      </c>
      <c r="W230" t="n">
        <v>48.2</v>
      </c>
      <c r="X230" t="n">
        <v>45.3</v>
      </c>
      <c r="Y230" t="n">
        <v>47.8</v>
      </c>
      <c r="AA230" t="n">
        <v>51.6</v>
      </c>
      <c r="AB230" t="n">
        <v>48.4</v>
      </c>
      <c r="AC230" t="n">
        <v>52.8</v>
      </c>
      <c r="AD230" t="n">
        <v>50.5</v>
      </c>
    </row>
    <row r="231">
      <c r="A231" s="96" t="n">
        <v>41244</v>
      </c>
      <c r="B231" t="n">
        <v>44.3</v>
      </c>
      <c r="C231" t="n">
        <v>51.1</v>
      </c>
      <c r="D231" t="n">
        <v>50.4</v>
      </c>
      <c r="E231" t="n">
        <v>46</v>
      </c>
      <c r="F231" t="n">
        <v>57.62</v>
      </c>
      <c r="G231" t="n">
        <v>46.1</v>
      </c>
      <c r="H231" t="n">
        <v>44.6</v>
      </c>
      <c r="I231" t="n">
        <v>46</v>
      </c>
      <c r="J231" t="n">
        <v>41.4</v>
      </c>
      <c r="K231" t="n">
        <v>51.7</v>
      </c>
      <c r="L231" t="n">
        <v>54.7</v>
      </c>
      <c r="M231" t="n">
        <v>51.5</v>
      </c>
      <c r="N231" t="n">
        <v>51.4</v>
      </c>
      <c r="O231" t="n">
        <v>46.7</v>
      </c>
      <c r="P231" t="n">
        <v>45</v>
      </c>
      <c r="Q231" t="n">
        <v>57.1</v>
      </c>
      <c r="R231" t="n">
        <v>50.1760982117169</v>
      </c>
      <c r="S231" t="n">
        <v>48.3</v>
      </c>
      <c r="T231" t="n">
        <v>50</v>
      </c>
      <c r="V231" t="n">
        <v>48.92</v>
      </c>
      <c r="W231" t="n">
        <v>50.1</v>
      </c>
      <c r="X231" t="n">
        <v>44.6</v>
      </c>
      <c r="Y231" t="n">
        <v>47.4</v>
      </c>
      <c r="AA231" t="n">
        <v>53.1</v>
      </c>
      <c r="AB231" t="n">
        <v>50.7</v>
      </c>
      <c r="AC231" t="n">
        <v>54</v>
      </c>
      <c r="AD231" t="n">
        <v>49.3</v>
      </c>
    </row>
    <row r="232">
      <c r="A232" s="96" t="n">
        <v>41275</v>
      </c>
      <c r="B232" t="n">
        <v>40.2</v>
      </c>
      <c r="C232" t="n">
        <v>53.2</v>
      </c>
      <c r="D232" t="n">
        <v>50.5</v>
      </c>
      <c r="E232" t="n">
        <v>48.3</v>
      </c>
      <c r="F232" t="n">
        <v>55.27</v>
      </c>
      <c r="G232" t="n">
        <v>47.9</v>
      </c>
      <c r="H232" t="n">
        <v>42.9</v>
      </c>
      <c r="I232" t="n">
        <v>49.8</v>
      </c>
      <c r="J232" t="n">
        <v>41.7</v>
      </c>
      <c r="K232" t="n">
        <v>52.5</v>
      </c>
      <c r="L232" t="n">
        <v>53.2</v>
      </c>
      <c r="M232" t="n">
        <v>49.7</v>
      </c>
      <c r="N232" t="n">
        <v>50.3</v>
      </c>
      <c r="O232" t="n">
        <v>47.8</v>
      </c>
      <c r="P232" t="n">
        <v>47.7</v>
      </c>
      <c r="Q232" t="n">
        <v>55</v>
      </c>
      <c r="R232" t="n">
        <v>55.6506802235411</v>
      </c>
      <c r="S232" t="n">
        <v>48.6</v>
      </c>
      <c r="T232" t="n">
        <v>52</v>
      </c>
      <c r="V232" t="n">
        <v>49.08</v>
      </c>
      <c r="W232" t="n">
        <v>49.9</v>
      </c>
      <c r="X232" t="n">
        <v>46.1</v>
      </c>
      <c r="Y232" t="n">
        <v>51.5</v>
      </c>
      <c r="AA232" t="n">
        <v>54</v>
      </c>
      <c r="AB232" t="n">
        <v>50.9</v>
      </c>
      <c r="AC232" t="n">
        <v>55.8</v>
      </c>
      <c r="AD232" t="n">
        <v>50.1</v>
      </c>
    </row>
    <row r="233">
      <c r="A233" s="96" t="n">
        <v>41306</v>
      </c>
      <c r="B233" t="n">
        <v>45.6</v>
      </c>
      <c r="C233" t="n">
        <v>52.5</v>
      </c>
      <c r="D233" t="n">
        <v>51.7</v>
      </c>
      <c r="E233" t="n">
        <v>49.9</v>
      </c>
      <c r="F233" t="n">
        <v>61.23</v>
      </c>
      <c r="G233" t="n">
        <v>47.9</v>
      </c>
      <c r="H233" t="n">
        <v>43.9</v>
      </c>
      <c r="I233" t="n">
        <v>50.3</v>
      </c>
      <c r="J233" t="n">
        <v>43</v>
      </c>
      <c r="K233" t="n">
        <v>51.2</v>
      </c>
      <c r="L233" t="n">
        <v>54.2</v>
      </c>
      <c r="M233" t="n">
        <v>50.5</v>
      </c>
      <c r="N233" t="n">
        <v>51.5</v>
      </c>
      <c r="O233" t="n">
        <v>45.8</v>
      </c>
      <c r="P233" t="n">
        <v>48.5</v>
      </c>
      <c r="Q233" t="n">
        <v>53.4</v>
      </c>
      <c r="R233" t="n">
        <v>55.2103499826913</v>
      </c>
      <c r="S233" t="n">
        <v>48.9</v>
      </c>
      <c r="T233" t="n">
        <v>52</v>
      </c>
      <c r="V233" t="n">
        <v>51.42</v>
      </c>
      <c r="W233" t="n">
        <v>50.9</v>
      </c>
      <c r="X233" t="n">
        <v>46.8</v>
      </c>
      <c r="Y233" t="n">
        <v>51.5</v>
      </c>
      <c r="AA233" t="n">
        <v>53.5</v>
      </c>
      <c r="AB233" t="n">
        <v>48.2</v>
      </c>
      <c r="AC233" t="n">
        <v>54.3</v>
      </c>
      <c r="AD233" t="n">
        <v>48.3</v>
      </c>
    </row>
    <row r="234">
      <c r="A234" s="96" t="n">
        <v>41334</v>
      </c>
      <c r="B234" t="n">
        <v>44.4</v>
      </c>
      <c r="C234" t="n">
        <v>51.8</v>
      </c>
      <c r="D234" t="n">
        <v>49.3</v>
      </c>
      <c r="E234" t="n">
        <v>49.1</v>
      </c>
      <c r="F234" t="n">
        <v>49.81</v>
      </c>
      <c r="G234" t="n">
        <v>46.8</v>
      </c>
      <c r="H234" t="n">
        <v>44</v>
      </c>
      <c r="I234" t="n">
        <v>49</v>
      </c>
      <c r="J234" t="n">
        <v>42.1</v>
      </c>
      <c r="K234" t="n">
        <v>50.5</v>
      </c>
      <c r="L234" t="n">
        <v>52</v>
      </c>
      <c r="M234" t="n">
        <v>51.3</v>
      </c>
      <c r="N234" t="n">
        <v>48.6</v>
      </c>
      <c r="O234" t="n">
        <v>44.5</v>
      </c>
      <c r="P234" t="n">
        <v>50.4</v>
      </c>
      <c r="Q234" t="n">
        <v>52.2</v>
      </c>
      <c r="R234" t="n">
        <v>52.7071688076255</v>
      </c>
      <c r="S234" t="n">
        <v>48</v>
      </c>
      <c r="T234" t="n">
        <v>50.8</v>
      </c>
      <c r="V234" t="n">
        <v>49.04</v>
      </c>
      <c r="W234" t="n">
        <v>52</v>
      </c>
      <c r="X234" t="n">
        <v>44.2</v>
      </c>
      <c r="Y234" t="n">
        <v>50.2</v>
      </c>
      <c r="AA234" t="n">
        <v>52.3</v>
      </c>
      <c r="AB234" t="n">
        <v>49.3</v>
      </c>
      <c r="AC234" t="n">
        <v>54.6</v>
      </c>
      <c r="AD234" t="n">
        <v>48.8</v>
      </c>
    </row>
    <row r="235">
      <c r="A235" s="96" t="n">
        <v>41365</v>
      </c>
      <c r="B235" t="n">
        <v>36.7</v>
      </c>
      <c r="C235" t="n">
        <v>50.8</v>
      </c>
      <c r="D235" t="n">
        <v>50.1</v>
      </c>
      <c r="E235" t="n">
        <v>49.5</v>
      </c>
      <c r="F235" t="n">
        <v>49.29</v>
      </c>
      <c r="G235" t="n">
        <v>46.7</v>
      </c>
      <c r="H235" t="n">
        <v>44.4</v>
      </c>
      <c r="I235" t="n">
        <v>48.1</v>
      </c>
      <c r="J235" t="n">
        <v>45</v>
      </c>
      <c r="K235" t="n">
        <v>49.9</v>
      </c>
      <c r="L235" t="n">
        <v>51</v>
      </c>
      <c r="M235" t="n">
        <v>51.7</v>
      </c>
      <c r="N235" t="n">
        <v>48</v>
      </c>
      <c r="O235" t="n">
        <v>45.5</v>
      </c>
      <c r="P235" t="n">
        <v>51.1</v>
      </c>
      <c r="Q235" t="n">
        <v>51.7</v>
      </c>
      <c r="R235" t="n">
        <v>56.1208592612442</v>
      </c>
      <c r="S235" t="n">
        <v>48</v>
      </c>
      <c r="T235" t="n">
        <v>50.6</v>
      </c>
      <c r="V235" t="n">
        <v>49.8</v>
      </c>
      <c r="W235" t="n">
        <v>52.6</v>
      </c>
      <c r="X235" t="n">
        <v>44.7</v>
      </c>
      <c r="Y235" t="n">
        <v>51.2</v>
      </c>
      <c r="AA235" t="n">
        <v>51.3</v>
      </c>
      <c r="AB235" t="n">
        <v>50.6</v>
      </c>
      <c r="AC235" t="n">
        <v>52.1</v>
      </c>
      <c r="AD235" t="n">
        <v>51</v>
      </c>
    </row>
    <row r="236">
      <c r="A236" s="96" t="n">
        <v>41395</v>
      </c>
      <c r="B236" t="n">
        <v>43.8</v>
      </c>
      <c r="C236" t="n">
        <v>50.4</v>
      </c>
      <c r="D236" t="n">
        <v>53.2</v>
      </c>
      <c r="E236" t="n">
        <v>50.1</v>
      </c>
      <c r="F236" t="n">
        <v>54.75</v>
      </c>
      <c r="G236" t="n">
        <v>48.3</v>
      </c>
      <c r="H236" t="n">
        <v>46.4</v>
      </c>
      <c r="I236" t="n">
        <v>49.4</v>
      </c>
      <c r="J236" t="n">
        <v>45.3</v>
      </c>
      <c r="K236" t="n">
        <v>49.8</v>
      </c>
      <c r="L236" t="n">
        <v>50.1</v>
      </c>
      <c r="M236" t="n">
        <v>51.6</v>
      </c>
      <c r="N236" t="n">
        <v>49.7</v>
      </c>
      <c r="O236" t="n">
        <v>47.3</v>
      </c>
      <c r="P236" t="n">
        <v>51.5</v>
      </c>
      <c r="Q236" t="n">
        <v>51.8</v>
      </c>
      <c r="R236" t="n">
        <v>59.0737508404527</v>
      </c>
      <c r="S236" t="n">
        <v>46.9</v>
      </c>
      <c r="T236" t="n">
        <v>50.4</v>
      </c>
      <c r="V236" t="n">
        <v>50.21</v>
      </c>
      <c r="W236" t="n">
        <v>51.1</v>
      </c>
      <c r="X236" t="n">
        <v>48.1</v>
      </c>
      <c r="Y236" t="n">
        <v>50.7</v>
      </c>
      <c r="AA236" t="n">
        <v>51.1</v>
      </c>
      <c r="AB236" t="n">
        <v>52.1</v>
      </c>
      <c r="AC236" t="n">
        <v>52.3</v>
      </c>
      <c r="AD236" t="n">
        <v>48.8</v>
      </c>
    </row>
    <row r="237">
      <c r="A237" s="96" t="n">
        <v>41426</v>
      </c>
      <c r="B237" t="n">
        <v>49.6</v>
      </c>
      <c r="C237" t="n">
        <v>50.4</v>
      </c>
      <c r="D237" t="n">
        <v>52.4</v>
      </c>
      <c r="E237" t="n">
        <v>51</v>
      </c>
      <c r="F237" t="n">
        <v>57.73</v>
      </c>
      <c r="G237" t="n">
        <v>48.8</v>
      </c>
      <c r="H237" t="n">
        <v>48.4</v>
      </c>
      <c r="I237" t="n">
        <v>48.6</v>
      </c>
      <c r="J237" t="n">
        <v>45.4</v>
      </c>
      <c r="K237" t="n">
        <v>48.7</v>
      </c>
      <c r="L237" t="n">
        <v>50.3</v>
      </c>
      <c r="M237" t="n">
        <v>51</v>
      </c>
      <c r="N237" t="n">
        <v>50.3</v>
      </c>
      <c r="O237" t="n">
        <v>49.1</v>
      </c>
      <c r="P237" t="n">
        <v>52.3</v>
      </c>
      <c r="Q237" t="n">
        <v>51.3</v>
      </c>
      <c r="R237" t="n">
        <v>55.0752933288219</v>
      </c>
      <c r="S237" t="n">
        <v>48</v>
      </c>
      <c r="T237" t="n">
        <v>51.7</v>
      </c>
      <c r="V237" t="n">
        <v>51.96</v>
      </c>
      <c r="W237" t="n">
        <v>49.4</v>
      </c>
      <c r="X237" t="n">
        <v>50</v>
      </c>
      <c r="Y237" t="n">
        <v>47.1</v>
      </c>
      <c r="AA237" t="n">
        <v>51.2</v>
      </c>
      <c r="AB237" t="n">
        <v>53</v>
      </c>
      <c r="AC237" t="n">
        <v>51.9</v>
      </c>
      <c r="AD237" t="n">
        <v>51</v>
      </c>
    </row>
    <row r="238">
      <c r="A238" s="96" t="n">
        <v>41456</v>
      </c>
      <c r="B238" t="n">
        <v>42</v>
      </c>
      <c r="C238" t="n">
        <v>48.5</v>
      </c>
      <c r="D238" t="n">
        <v>52</v>
      </c>
      <c r="E238" t="n">
        <v>52</v>
      </c>
      <c r="F238" t="n">
        <v>59.18</v>
      </c>
      <c r="G238" t="n">
        <v>50.3</v>
      </c>
      <c r="H238" t="n">
        <v>49.7</v>
      </c>
      <c r="I238" t="n">
        <v>50.7</v>
      </c>
      <c r="J238" t="n">
        <v>47</v>
      </c>
      <c r="K238" t="n">
        <v>49.7</v>
      </c>
      <c r="L238" t="n">
        <v>50.1</v>
      </c>
      <c r="M238" t="n">
        <v>50.7</v>
      </c>
      <c r="N238" t="n">
        <v>51</v>
      </c>
      <c r="O238" t="n">
        <v>50.4</v>
      </c>
      <c r="P238" t="n">
        <v>50.7</v>
      </c>
      <c r="Q238" t="n">
        <v>49.7</v>
      </c>
      <c r="R238" t="n">
        <v>60.2613920323612</v>
      </c>
      <c r="S238" t="n">
        <v>49.3</v>
      </c>
      <c r="T238" t="n">
        <v>49.2</v>
      </c>
      <c r="V238" t="n">
        <v>52.15</v>
      </c>
      <c r="W238" t="n">
        <v>47.2</v>
      </c>
      <c r="X238" t="n">
        <v>49.8</v>
      </c>
      <c r="Y238" t="n">
        <v>49.5</v>
      </c>
      <c r="AA238" t="n">
        <v>49.8</v>
      </c>
      <c r="AB238" t="n">
        <v>54.7</v>
      </c>
      <c r="AC238" t="n">
        <v>53.7</v>
      </c>
      <c r="AD238" t="n">
        <v>46.4</v>
      </c>
    </row>
    <row r="239">
      <c r="A239" s="96" t="n">
        <v>41487</v>
      </c>
      <c r="B239" t="n">
        <v>46.4</v>
      </c>
      <c r="C239" t="n">
        <v>49.4</v>
      </c>
      <c r="D239" t="n">
        <v>52.1</v>
      </c>
      <c r="E239" t="n">
        <v>53.9</v>
      </c>
      <c r="F239" t="n">
        <v>60.29</v>
      </c>
      <c r="G239" t="n">
        <v>51.4</v>
      </c>
      <c r="H239" t="n">
        <v>49.7</v>
      </c>
      <c r="I239" t="n">
        <v>51.8</v>
      </c>
      <c r="J239" t="n">
        <v>48.7</v>
      </c>
      <c r="K239" t="n">
        <v>49.7</v>
      </c>
      <c r="L239" t="n">
        <v>48.5</v>
      </c>
      <c r="M239" t="n">
        <v>48.5</v>
      </c>
      <c r="N239" t="n">
        <v>52</v>
      </c>
      <c r="O239" t="n">
        <v>51.3</v>
      </c>
      <c r="P239" t="n">
        <v>52.2</v>
      </c>
      <c r="Q239" t="n">
        <v>50.8</v>
      </c>
      <c r="R239" t="n">
        <v>56.7231859878615</v>
      </c>
      <c r="S239" t="n">
        <v>51.1</v>
      </c>
      <c r="T239" t="n">
        <v>49.4</v>
      </c>
      <c r="V239" t="n">
        <v>55.26</v>
      </c>
      <c r="W239" t="n">
        <v>47.5</v>
      </c>
      <c r="X239" t="n">
        <v>51.1</v>
      </c>
      <c r="Y239" t="n">
        <v>48.6</v>
      </c>
      <c r="AA239" t="n">
        <v>50.9</v>
      </c>
      <c r="AB239" t="n">
        <v>57.3</v>
      </c>
      <c r="AC239" t="n">
        <v>53.7</v>
      </c>
      <c r="AD239" t="n">
        <v>48.5</v>
      </c>
    </row>
    <row r="240">
      <c r="A240" s="96" t="n">
        <v>41518</v>
      </c>
      <c r="B240" t="n">
        <v>51.7</v>
      </c>
      <c r="C240" t="n">
        <v>49.9</v>
      </c>
      <c r="D240" t="n">
        <v>54.2</v>
      </c>
      <c r="E240" t="n">
        <v>53.4</v>
      </c>
      <c r="F240" t="n">
        <v>55.74</v>
      </c>
      <c r="G240" t="n">
        <v>51.1</v>
      </c>
      <c r="H240" t="n">
        <v>49.8</v>
      </c>
      <c r="I240" t="n">
        <v>51.1</v>
      </c>
      <c r="J240" t="n">
        <v>47.5</v>
      </c>
      <c r="K240" t="n">
        <v>50</v>
      </c>
      <c r="L240" t="n">
        <v>49.6</v>
      </c>
      <c r="M240" t="n">
        <v>50.2</v>
      </c>
      <c r="N240" t="n">
        <v>52.7</v>
      </c>
      <c r="O240" t="n">
        <v>50.8</v>
      </c>
      <c r="P240" t="n">
        <v>52.5</v>
      </c>
      <c r="Q240" t="n">
        <v>50</v>
      </c>
      <c r="R240" t="n">
        <v>52.7868939881118</v>
      </c>
      <c r="S240" t="n">
        <v>52.6</v>
      </c>
      <c r="T240" t="n">
        <v>49.4</v>
      </c>
      <c r="V240" t="n">
        <v>49.43</v>
      </c>
      <c r="W240" t="n">
        <v>49.7</v>
      </c>
      <c r="X240" t="n">
        <v>50.7</v>
      </c>
      <c r="Y240" t="n">
        <v>50</v>
      </c>
      <c r="AA240" t="n">
        <v>54</v>
      </c>
      <c r="AB240" t="n">
        <v>56.7</v>
      </c>
      <c r="AC240" t="n">
        <v>52.8</v>
      </c>
      <c r="AD240" t="n">
        <v>51.5</v>
      </c>
    </row>
    <row r="241">
      <c r="A241" s="96" t="n">
        <v>41548</v>
      </c>
      <c r="B241" t="n">
        <v>53.2</v>
      </c>
      <c r="C241" t="n">
        <v>50.2</v>
      </c>
      <c r="D241" t="n">
        <v>55.6</v>
      </c>
      <c r="E241" t="n">
        <v>54.5</v>
      </c>
      <c r="F241" t="n">
        <v>55.71</v>
      </c>
      <c r="G241" t="n">
        <v>51.3</v>
      </c>
      <c r="H241" t="n">
        <v>49.1</v>
      </c>
      <c r="I241" t="n">
        <v>51.7</v>
      </c>
      <c r="J241" t="n">
        <v>47.3</v>
      </c>
      <c r="K241" t="n">
        <v>50.1</v>
      </c>
      <c r="L241" t="n">
        <v>49.6</v>
      </c>
      <c r="M241" t="n">
        <v>50.9</v>
      </c>
      <c r="N241" t="n">
        <v>54.9</v>
      </c>
      <c r="O241" t="n">
        <v>50.7</v>
      </c>
      <c r="P241" t="n">
        <v>54.2</v>
      </c>
      <c r="Q241" t="n">
        <v>50.2</v>
      </c>
      <c r="R241" t="n">
        <v>55.4918511261242</v>
      </c>
      <c r="S241" t="n">
        <v>53.4</v>
      </c>
      <c r="T241" t="n">
        <v>51.8</v>
      </c>
      <c r="V241" t="n">
        <v>51.43</v>
      </c>
      <c r="W241" t="n">
        <v>50.2</v>
      </c>
      <c r="X241" t="n">
        <v>50.9</v>
      </c>
      <c r="Y241" t="n">
        <v>52</v>
      </c>
      <c r="AA241" t="n">
        <v>53.3</v>
      </c>
      <c r="AB241" t="n">
        <v>56.5</v>
      </c>
      <c r="AC241" t="n">
        <v>51.8</v>
      </c>
      <c r="AD241" t="n">
        <v>51.5</v>
      </c>
    </row>
    <row r="242">
      <c r="A242" s="96" t="n">
        <v>41579</v>
      </c>
      <c r="B242" t="n">
        <v>47.7</v>
      </c>
      <c r="C242" t="n">
        <v>49.7</v>
      </c>
      <c r="D242" t="n">
        <v>55.3</v>
      </c>
      <c r="E242" t="n">
        <v>55.4</v>
      </c>
      <c r="F242" t="n">
        <v>57.85</v>
      </c>
      <c r="G242" t="n">
        <v>51.6</v>
      </c>
      <c r="H242" t="n">
        <v>48.4</v>
      </c>
      <c r="I242" t="n">
        <v>52.7</v>
      </c>
      <c r="J242" t="n">
        <v>49.2</v>
      </c>
      <c r="K242" t="n">
        <v>52.1</v>
      </c>
      <c r="L242" t="n">
        <v>51.3</v>
      </c>
      <c r="M242" t="n">
        <v>50.3</v>
      </c>
      <c r="N242" t="n">
        <v>52.4</v>
      </c>
      <c r="O242" t="n">
        <v>51.4</v>
      </c>
      <c r="P242" t="n">
        <v>55.1</v>
      </c>
      <c r="Q242" t="n">
        <v>51.9</v>
      </c>
      <c r="R242" t="n">
        <v>57.3899226525149</v>
      </c>
      <c r="S242" t="n">
        <v>54.4</v>
      </c>
      <c r="T242" t="n">
        <v>49.4</v>
      </c>
      <c r="V242" t="n">
        <v>52</v>
      </c>
      <c r="W242" t="n">
        <v>50.4</v>
      </c>
      <c r="X242" t="n">
        <v>48.6</v>
      </c>
      <c r="Y242" t="n">
        <v>53</v>
      </c>
      <c r="AA242" t="n">
        <v>55</v>
      </c>
      <c r="AB242" t="n">
        <v>58.1</v>
      </c>
      <c r="AC242" t="n">
        <v>54.7</v>
      </c>
      <c r="AD242" t="n">
        <v>50.3</v>
      </c>
    </row>
    <row r="243">
      <c r="A243" s="96" t="n">
        <v>41609</v>
      </c>
      <c r="B243" t="n">
        <v>47.6</v>
      </c>
      <c r="C243" t="n">
        <v>50.5</v>
      </c>
      <c r="D243" t="n">
        <v>53.5</v>
      </c>
      <c r="E243" t="n">
        <v>54.9</v>
      </c>
      <c r="F243" t="n">
        <v>53.45</v>
      </c>
      <c r="G243" t="n">
        <v>52.7</v>
      </c>
      <c r="H243" t="n">
        <v>47</v>
      </c>
      <c r="I243" t="n">
        <v>54.3</v>
      </c>
      <c r="J243" t="n">
        <v>49.6</v>
      </c>
      <c r="K243" t="n">
        <v>51.2</v>
      </c>
      <c r="L243" t="n">
        <v>50.7</v>
      </c>
      <c r="M243" t="n">
        <v>50.9</v>
      </c>
      <c r="N243" t="n">
        <v>53.5</v>
      </c>
      <c r="O243" t="n">
        <v>53.3</v>
      </c>
      <c r="P243" t="n">
        <v>55.2</v>
      </c>
      <c r="Q243" t="n">
        <v>52.6</v>
      </c>
      <c r="R243" t="n">
        <v>55.7245210774209</v>
      </c>
      <c r="S243" t="n">
        <v>53.2</v>
      </c>
      <c r="T243" t="n">
        <v>48.8</v>
      </c>
      <c r="V243" t="n">
        <v>51</v>
      </c>
      <c r="W243" t="n">
        <v>50.8</v>
      </c>
      <c r="X243" t="n">
        <v>50.8</v>
      </c>
      <c r="Y243" t="n">
        <v>53.4</v>
      </c>
      <c r="AA243" t="n">
        <v>53.5</v>
      </c>
      <c r="AB243" t="n">
        <v>57.3</v>
      </c>
      <c r="AC243" t="n">
        <v>55</v>
      </c>
      <c r="AD243" t="n">
        <v>51.8</v>
      </c>
    </row>
    <row r="244">
      <c r="A244" s="96" t="n">
        <v>41640</v>
      </c>
      <c r="B244" t="n">
        <v>46.7</v>
      </c>
      <c r="C244" t="n">
        <v>51.7</v>
      </c>
      <c r="D244" t="n">
        <v>51.7</v>
      </c>
      <c r="E244" t="n">
        <v>55.9</v>
      </c>
      <c r="F244" t="n">
        <v>55.6</v>
      </c>
      <c r="G244" t="n">
        <v>54</v>
      </c>
      <c r="H244" t="n">
        <v>49.3</v>
      </c>
      <c r="I244" t="n">
        <v>56.6</v>
      </c>
      <c r="J244" t="n">
        <v>51.2</v>
      </c>
      <c r="K244" t="n">
        <v>52.7</v>
      </c>
      <c r="L244" t="n">
        <v>51.4</v>
      </c>
      <c r="M244" t="n">
        <v>51</v>
      </c>
      <c r="N244" t="n">
        <v>52.8</v>
      </c>
      <c r="O244" t="n">
        <v>53.1</v>
      </c>
      <c r="P244" t="n">
        <v>56.6</v>
      </c>
      <c r="Q244" t="n">
        <v>54</v>
      </c>
      <c r="R244" t="n">
        <v>57.1972119095941</v>
      </c>
      <c r="S244" t="n">
        <v>55.4</v>
      </c>
      <c r="T244" t="n">
        <v>48</v>
      </c>
      <c r="V244" t="n">
        <v>49.96</v>
      </c>
      <c r="W244" t="n">
        <v>50.9</v>
      </c>
      <c r="X244" t="n">
        <v>52.2</v>
      </c>
      <c r="Y244" t="n">
        <v>55.5</v>
      </c>
      <c r="AA244" t="n">
        <v>52.7</v>
      </c>
      <c r="AB244" t="n">
        <v>56.7</v>
      </c>
      <c r="AC244" t="n">
        <v>53.7</v>
      </c>
      <c r="AD244" t="n">
        <v>52.1</v>
      </c>
    </row>
    <row r="245">
      <c r="A245" s="96" t="n">
        <v>41671</v>
      </c>
      <c r="B245" t="n">
        <v>48.6</v>
      </c>
      <c r="C245" t="n">
        <v>50.4</v>
      </c>
      <c r="D245" t="n">
        <v>52.9</v>
      </c>
      <c r="E245" t="n">
        <v>56.5</v>
      </c>
      <c r="F245" t="n">
        <v>56.77</v>
      </c>
      <c r="G245" t="n">
        <v>53.2</v>
      </c>
      <c r="H245" t="n">
        <v>49.7</v>
      </c>
      <c r="I245" t="n">
        <v>54.8</v>
      </c>
      <c r="J245" t="n">
        <v>51.3</v>
      </c>
      <c r="K245" t="n">
        <v>53.3</v>
      </c>
      <c r="L245" t="n">
        <v>52.5</v>
      </c>
      <c r="M245" t="n">
        <v>50.5</v>
      </c>
      <c r="N245" t="n">
        <v>52.9</v>
      </c>
      <c r="O245" t="n">
        <v>52.3</v>
      </c>
      <c r="P245" t="n">
        <v>55.5</v>
      </c>
      <c r="Q245" t="n">
        <v>52</v>
      </c>
      <c r="R245" t="n">
        <v>56.0261272877251</v>
      </c>
      <c r="S245" t="n">
        <v>55.9</v>
      </c>
      <c r="T245" t="n">
        <v>48.5</v>
      </c>
      <c r="V245" t="n">
        <v>50.69</v>
      </c>
      <c r="W245" t="n">
        <v>49.8</v>
      </c>
      <c r="X245" t="n">
        <v>52.5</v>
      </c>
      <c r="Y245" t="n">
        <v>54.7</v>
      </c>
      <c r="AA245" t="n">
        <v>53.4</v>
      </c>
      <c r="AB245" t="n">
        <v>56.9</v>
      </c>
      <c r="AC245" t="n">
        <v>57.1</v>
      </c>
      <c r="AD245" t="n">
        <v>51</v>
      </c>
    </row>
    <row r="246">
      <c r="A246" s="96" t="n">
        <v>41699</v>
      </c>
      <c r="B246" t="n">
        <v>49.7</v>
      </c>
      <c r="C246" t="n">
        <v>50.6</v>
      </c>
      <c r="D246" t="n">
        <v>53.3</v>
      </c>
      <c r="E246" t="n">
        <v>55.5</v>
      </c>
      <c r="F246" t="n">
        <v>60.3</v>
      </c>
      <c r="G246" t="n">
        <v>53</v>
      </c>
      <c r="H246" t="n">
        <v>52.1</v>
      </c>
      <c r="I246" t="n">
        <v>53.7</v>
      </c>
      <c r="J246" t="n">
        <v>49.7</v>
      </c>
      <c r="K246" t="n">
        <v>49.9</v>
      </c>
      <c r="L246" t="n">
        <v>51.3</v>
      </c>
      <c r="M246" t="n">
        <v>50.1</v>
      </c>
      <c r="N246" t="n">
        <v>55.5</v>
      </c>
      <c r="O246" t="n">
        <v>52.4</v>
      </c>
      <c r="P246" t="n">
        <v>53.9</v>
      </c>
      <c r="Q246" t="n">
        <v>51.7</v>
      </c>
      <c r="R246" t="n">
        <v>57.9512438717493</v>
      </c>
      <c r="S246" t="n">
        <v>54</v>
      </c>
      <c r="T246" t="n">
        <v>48.3</v>
      </c>
      <c r="V246" t="n">
        <v>50.29</v>
      </c>
      <c r="W246" t="n">
        <v>50.4</v>
      </c>
      <c r="X246" t="n">
        <v>52.8</v>
      </c>
      <c r="Y246" t="n">
        <v>52.7</v>
      </c>
      <c r="AA246" t="n">
        <v>51.7</v>
      </c>
      <c r="AB246" t="n">
        <v>55.3</v>
      </c>
      <c r="AC246" t="n">
        <v>55.5</v>
      </c>
      <c r="AD246" t="n">
        <v>51.3</v>
      </c>
    </row>
    <row r="247">
      <c r="A247" s="96" t="n">
        <v>41730</v>
      </c>
      <c r="B247" t="n">
        <v>44.8</v>
      </c>
      <c r="C247" t="n">
        <v>49.3</v>
      </c>
      <c r="D247" t="n">
        <v>52.9</v>
      </c>
      <c r="E247" t="n">
        <v>56.5</v>
      </c>
      <c r="F247" t="n">
        <v>60.5</v>
      </c>
      <c r="G247" t="n">
        <v>54</v>
      </c>
      <c r="H247" t="n">
        <v>51.2</v>
      </c>
      <c r="I247" t="n">
        <v>54.1</v>
      </c>
      <c r="J247" t="n">
        <v>51.1</v>
      </c>
      <c r="K247" t="n">
        <v>49.7</v>
      </c>
      <c r="L247" t="n">
        <v>51.3</v>
      </c>
      <c r="M247" t="n">
        <v>51.1</v>
      </c>
      <c r="N247" t="n">
        <v>56.1</v>
      </c>
      <c r="O247" t="n">
        <v>54</v>
      </c>
      <c r="P247" t="n">
        <v>49.4</v>
      </c>
      <c r="Q247" t="n">
        <v>51.8</v>
      </c>
      <c r="R247" t="n">
        <v>55.4325461314546</v>
      </c>
      <c r="S247" t="n">
        <v>51.1</v>
      </c>
      <c r="T247" t="n">
        <v>48.5</v>
      </c>
      <c r="V247" t="n">
        <v>47.3</v>
      </c>
      <c r="W247" t="n">
        <v>50.2</v>
      </c>
      <c r="X247" t="n">
        <v>52.7</v>
      </c>
      <c r="Y247" t="n">
        <v>52.3</v>
      </c>
      <c r="AA247" t="n">
        <v>51.1</v>
      </c>
      <c r="AB247" t="n">
        <v>57.3</v>
      </c>
      <c r="AC247" t="n">
        <v>55.4</v>
      </c>
      <c r="AD247" t="n">
        <v>53.1</v>
      </c>
    </row>
    <row r="248">
      <c r="A248" s="96" t="n">
        <v>41760</v>
      </c>
      <c r="B248" t="n">
        <v>49.2</v>
      </c>
      <c r="C248" t="n">
        <v>48.8</v>
      </c>
      <c r="D248" t="n">
        <v>52.2</v>
      </c>
      <c r="E248" t="n">
        <v>57.3</v>
      </c>
      <c r="F248" t="n">
        <v>58.71</v>
      </c>
      <c r="G248" t="n">
        <v>52.2</v>
      </c>
      <c r="H248" t="n">
        <v>49.6</v>
      </c>
      <c r="I248" t="n">
        <v>52.3</v>
      </c>
      <c r="J248" t="n">
        <v>51</v>
      </c>
      <c r="K248" t="n">
        <v>49.1</v>
      </c>
      <c r="L248" t="n">
        <v>51.4</v>
      </c>
      <c r="M248" t="n">
        <v>52.4</v>
      </c>
      <c r="N248" t="n">
        <v>55</v>
      </c>
      <c r="O248" t="n">
        <v>53.2</v>
      </c>
      <c r="P248" t="n">
        <v>49.9</v>
      </c>
      <c r="Q248" t="n">
        <v>51.9</v>
      </c>
      <c r="R248" t="n">
        <v>53.9562293982542</v>
      </c>
      <c r="S248" t="n">
        <v>50.8</v>
      </c>
      <c r="T248" t="n">
        <v>48.9</v>
      </c>
      <c r="V248" t="n">
        <v>44.41</v>
      </c>
      <c r="W248" t="n">
        <v>49.5</v>
      </c>
      <c r="X248" t="n">
        <v>52.9</v>
      </c>
      <c r="Y248" t="n">
        <v>52.4</v>
      </c>
      <c r="AA248" t="n">
        <v>50.1</v>
      </c>
      <c r="AB248" t="n">
        <v>57</v>
      </c>
      <c r="AC248" t="n">
        <v>56.4</v>
      </c>
      <c r="AD248" t="n">
        <v>52.5</v>
      </c>
    </row>
    <row r="249">
      <c r="A249" s="96" t="n">
        <v>41791</v>
      </c>
      <c r="B249" t="n">
        <v>48.9</v>
      </c>
      <c r="C249" t="n">
        <v>48.7</v>
      </c>
      <c r="D249" t="n">
        <v>53.5</v>
      </c>
      <c r="E249" t="n">
        <v>54.7</v>
      </c>
      <c r="F249" t="n">
        <v>51.76</v>
      </c>
      <c r="G249" t="n">
        <v>51.8</v>
      </c>
      <c r="H249" t="n">
        <v>48.2</v>
      </c>
      <c r="I249" t="n">
        <v>52</v>
      </c>
      <c r="J249" t="n">
        <v>49.4</v>
      </c>
      <c r="K249" t="n">
        <v>50.1</v>
      </c>
      <c r="L249" t="n">
        <v>51.5</v>
      </c>
      <c r="M249" t="n">
        <v>52.7</v>
      </c>
      <c r="N249" t="n">
        <v>55.3</v>
      </c>
      <c r="O249" t="n">
        <v>52.6</v>
      </c>
      <c r="P249" t="n">
        <v>51.5</v>
      </c>
      <c r="Q249" t="n">
        <v>51.8</v>
      </c>
      <c r="R249" t="n">
        <v>53.3320549988047</v>
      </c>
      <c r="S249" t="n">
        <v>50.3</v>
      </c>
      <c r="T249" t="n">
        <v>49.1</v>
      </c>
      <c r="V249" t="n">
        <v>46.59</v>
      </c>
      <c r="W249" t="n">
        <v>48.4</v>
      </c>
      <c r="X249" t="n">
        <v>54.6</v>
      </c>
      <c r="Y249" t="n">
        <v>54</v>
      </c>
      <c r="AA249" t="n">
        <v>48.8</v>
      </c>
      <c r="AB249" t="n">
        <v>57.5</v>
      </c>
      <c r="AC249" t="n">
        <v>57.3</v>
      </c>
      <c r="AD249" t="n">
        <v>52.3</v>
      </c>
    </row>
    <row r="250">
      <c r="A250" s="96" t="n">
        <v>41821</v>
      </c>
      <c r="B250" t="n">
        <v>50.7</v>
      </c>
      <c r="C250" t="n">
        <v>49.1</v>
      </c>
      <c r="D250" t="n">
        <v>54.3</v>
      </c>
      <c r="E250" t="n">
        <v>56.4638888888889</v>
      </c>
      <c r="F250" t="n">
        <v>49.75</v>
      </c>
      <c r="G250" t="n">
        <v>51.8</v>
      </c>
      <c r="H250" t="n">
        <v>47.8</v>
      </c>
      <c r="I250" t="n">
        <v>52.4</v>
      </c>
      <c r="J250" t="n">
        <v>48.7</v>
      </c>
      <c r="K250" t="n">
        <v>50.4</v>
      </c>
      <c r="L250" t="n">
        <v>53</v>
      </c>
      <c r="M250" t="n">
        <v>52.4</v>
      </c>
      <c r="N250" t="n">
        <v>55.4</v>
      </c>
      <c r="O250" t="n">
        <v>51.9</v>
      </c>
      <c r="P250" t="n">
        <v>50.5</v>
      </c>
      <c r="Q250" t="n">
        <v>51.5</v>
      </c>
      <c r="R250" t="n">
        <v>54.7532486987351</v>
      </c>
      <c r="S250" t="n">
        <v>49.4</v>
      </c>
      <c r="T250" t="n">
        <v>51</v>
      </c>
      <c r="V250" t="n">
        <v>45.45</v>
      </c>
      <c r="W250" t="n">
        <v>48.5066666666667</v>
      </c>
      <c r="X250" t="n">
        <v>53.9</v>
      </c>
      <c r="Y250" t="n">
        <v>55.8</v>
      </c>
      <c r="AA250" t="n">
        <v>48.5</v>
      </c>
      <c r="AB250" t="n">
        <v>55.4</v>
      </c>
      <c r="AC250" t="n">
        <v>55.8</v>
      </c>
      <c r="AD250" t="n">
        <v>51.7</v>
      </c>
    </row>
    <row r="251">
      <c r="A251" s="96" t="n">
        <v>41852</v>
      </c>
      <c r="B251" t="n">
        <v>47.3</v>
      </c>
      <c r="C251" t="n">
        <v>50.2</v>
      </c>
      <c r="D251" t="n">
        <v>54.8</v>
      </c>
      <c r="E251" t="n">
        <v>54.3</v>
      </c>
      <c r="F251" t="n">
        <v>48.13</v>
      </c>
      <c r="G251" t="n">
        <v>50.7</v>
      </c>
      <c r="H251" t="n">
        <v>46.9</v>
      </c>
      <c r="I251" t="n">
        <v>51.4</v>
      </c>
      <c r="J251" t="n">
        <v>50.1</v>
      </c>
      <c r="K251" t="n">
        <v>49.6</v>
      </c>
      <c r="L251" t="n">
        <v>52.4</v>
      </c>
      <c r="M251" t="n">
        <v>49.5</v>
      </c>
      <c r="N251" t="n">
        <v>57.3</v>
      </c>
      <c r="O251" t="n">
        <v>49.8</v>
      </c>
      <c r="P251" t="n">
        <v>52.2</v>
      </c>
      <c r="Q251" t="n">
        <v>52.1</v>
      </c>
      <c r="R251" t="n">
        <v>56.3908671788302</v>
      </c>
      <c r="S251" t="n">
        <v>49</v>
      </c>
      <c r="T251" t="n">
        <v>51</v>
      </c>
      <c r="V251" t="n">
        <v>49</v>
      </c>
      <c r="W251" t="n">
        <v>50.3</v>
      </c>
      <c r="X251" t="n">
        <v>52.8</v>
      </c>
      <c r="Y251" t="n">
        <v>56.1</v>
      </c>
      <c r="AA251" t="n">
        <v>50</v>
      </c>
      <c r="AB251" t="n">
        <v>52.5</v>
      </c>
      <c r="AC251" t="n">
        <v>57.9</v>
      </c>
      <c r="AD251" t="n">
        <v>50.3</v>
      </c>
    </row>
    <row r="252">
      <c r="A252" s="96" t="n">
        <v>41883</v>
      </c>
      <c r="B252" t="n">
        <v>46.5</v>
      </c>
      <c r="C252" t="n">
        <v>49.3</v>
      </c>
      <c r="D252" t="n">
        <v>53.5</v>
      </c>
      <c r="E252" t="n">
        <v>55.6</v>
      </c>
      <c r="F252" t="n">
        <v>51.33</v>
      </c>
      <c r="G252" t="n">
        <v>50.3</v>
      </c>
      <c r="H252" t="n">
        <v>48.8</v>
      </c>
      <c r="I252" t="n">
        <v>49.9</v>
      </c>
      <c r="J252" t="n">
        <v>48.4</v>
      </c>
      <c r="K252" t="n">
        <v>49.8</v>
      </c>
      <c r="L252" t="n">
        <v>51</v>
      </c>
      <c r="M252" t="n">
        <v>50.7</v>
      </c>
      <c r="N252" t="n">
        <v>55.7</v>
      </c>
      <c r="O252" t="n">
        <v>50.7</v>
      </c>
      <c r="P252" t="n">
        <v>51.7</v>
      </c>
      <c r="Q252" t="n">
        <v>52.6</v>
      </c>
      <c r="R252" t="n">
        <v>57.2985417258584</v>
      </c>
      <c r="S252" t="n">
        <v>49.5</v>
      </c>
      <c r="T252" t="n">
        <v>50.4</v>
      </c>
      <c r="V252" t="n">
        <v>50.35</v>
      </c>
      <c r="W252" t="n">
        <v>48.8</v>
      </c>
      <c r="X252" t="n">
        <v>52.6</v>
      </c>
      <c r="Y252" t="n">
        <v>53.3</v>
      </c>
      <c r="AA252" t="n">
        <v>50.4</v>
      </c>
      <c r="AB252" t="n">
        <v>51.6</v>
      </c>
      <c r="AC252" t="n">
        <v>57.5</v>
      </c>
      <c r="AD252" t="n">
        <v>51.7</v>
      </c>
    </row>
    <row r="253">
      <c r="A253" s="96" t="n">
        <v>41913</v>
      </c>
      <c r="B253" t="n">
        <v>49.42</v>
      </c>
      <c r="C253" t="n">
        <v>49.1</v>
      </c>
      <c r="D253" t="n">
        <v>55.3</v>
      </c>
      <c r="E253" t="n">
        <v>54.4</v>
      </c>
      <c r="F253" t="n">
        <v>54.04</v>
      </c>
      <c r="G253" t="n">
        <v>50.6</v>
      </c>
      <c r="H253" t="n">
        <v>48.5</v>
      </c>
      <c r="I253" t="n">
        <v>51.4</v>
      </c>
      <c r="J253" t="n">
        <v>48.8</v>
      </c>
      <c r="K253" t="n">
        <v>47.7</v>
      </c>
      <c r="L253" t="n">
        <v>51.6</v>
      </c>
      <c r="M253" t="n">
        <v>49.2</v>
      </c>
      <c r="N253" t="n">
        <v>56.6</v>
      </c>
      <c r="O253" t="n">
        <v>49</v>
      </c>
      <c r="P253" t="n">
        <v>52.4</v>
      </c>
      <c r="Q253" t="n">
        <v>53.3</v>
      </c>
      <c r="R253" t="n">
        <v>58.5179627874654</v>
      </c>
      <c r="S253" t="n">
        <v>51.2</v>
      </c>
      <c r="T253" t="n">
        <v>50.3</v>
      </c>
      <c r="V253" t="n">
        <v>50.13</v>
      </c>
      <c r="W253" t="n">
        <v>48.7</v>
      </c>
      <c r="X253" t="n">
        <v>52.6</v>
      </c>
      <c r="Y253" t="n">
        <v>52</v>
      </c>
      <c r="AA253" t="n">
        <v>51.5</v>
      </c>
      <c r="AB253" t="n">
        <v>53.2</v>
      </c>
      <c r="AC253" t="n">
        <v>55.9</v>
      </c>
      <c r="AD253" t="n">
        <v>51</v>
      </c>
    </row>
    <row r="254">
      <c r="A254" s="96" t="n">
        <v>41944</v>
      </c>
      <c r="B254" t="n">
        <v>50.1</v>
      </c>
      <c r="C254" t="n">
        <v>48.7</v>
      </c>
      <c r="D254" t="n">
        <v>55.3</v>
      </c>
      <c r="E254" t="n">
        <v>55.6</v>
      </c>
      <c r="F254" t="n">
        <v>51.5</v>
      </c>
      <c r="G254" t="n">
        <v>50.1</v>
      </c>
      <c r="H254" t="n">
        <v>48.4</v>
      </c>
      <c r="I254" t="n">
        <v>49.5</v>
      </c>
      <c r="J254" t="n">
        <v>49.1</v>
      </c>
      <c r="K254" t="n">
        <v>48.8</v>
      </c>
      <c r="L254" t="n">
        <v>53.3</v>
      </c>
      <c r="M254" t="n">
        <v>48</v>
      </c>
      <c r="N254" t="n">
        <v>56.2</v>
      </c>
      <c r="O254" t="n">
        <v>49</v>
      </c>
      <c r="P254" t="n">
        <v>52</v>
      </c>
      <c r="Q254" t="n">
        <v>54.3</v>
      </c>
      <c r="R254" t="n">
        <v>54.6177249057541</v>
      </c>
      <c r="S254" t="n">
        <v>53.2</v>
      </c>
      <c r="T254" t="n">
        <v>51.7</v>
      </c>
      <c r="V254" t="n">
        <v>53.12</v>
      </c>
      <c r="W254" t="n">
        <v>49</v>
      </c>
      <c r="X254" t="n">
        <v>54.7</v>
      </c>
      <c r="Y254" t="n">
        <v>51.4</v>
      </c>
      <c r="AA254" t="n">
        <v>52.2</v>
      </c>
      <c r="AB254" t="n">
        <v>53.5</v>
      </c>
      <c r="AC254" t="n">
        <v>54.8</v>
      </c>
      <c r="AD254" t="n">
        <v>52.7</v>
      </c>
    </row>
    <row r="255">
      <c r="A255" s="96" t="n">
        <v>41974</v>
      </c>
      <c r="B255" t="n">
        <v>46.9</v>
      </c>
      <c r="C255" t="n">
        <v>50.2</v>
      </c>
      <c r="D255" t="n">
        <v>53.9</v>
      </c>
      <c r="E255" t="n">
        <v>53.3</v>
      </c>
      <c r="F255" t="n">
        <v>53.85</v>
      </c>
      <c r="G255" t="n">
        <v>50.6</v>
      </c>
      <c r="H255" t="n">
        <v>47.5</v>
      </c>
      <c r="I255" t="n">
        <v>51.2</v>
      </c>
      <c r="J255" t="n">
        <v>49.4</v>
      </c>
      <c r="K255" t="n">
        <v>50.3</v>
      </c>
      <c r="L255" t="n">
        <v>54.5</v>
      </c>
      <c r="M255" t="n">
        <v>47.6</v>
      </c>
      <c r="N255" t="n">
        <v>56.9</v>
      </c>
      <c r="O255" t="n">
        <v>48.4</v>
      </c>
      <c r="P255" t="n">
        <v>52</v>
      </c>
      <c r="Q255" t="n">
        <v>55.3</v>
      </c>
      <c r="R255" t="n">
        <v>56.6517514841744</v>
      </c>
      <c r="S255" t="n">
        <v>52.8</v>
      </c>
      <c r="T255" t="n">
        <v>48.9</v>
      </c>
      <c r="V255" t="n">
        <v>51.1</v>
      </c>
      <c r="W255" t="n">
        <v>49.9</v>
      </c>
      <c r="X255" t="n">
        <v>53.8</v>
      </c>
      <c r="Y255" t="n">
        <v>50</v>
      </c>
      <c r="AA255" t="n">
        <v>51.4</v>
      </c>
      <c r="AB255" t="n">
        <v>52.5</v>
      </c>
      <c r="AC255" t="n">
        <v>53.9</v>
      </c>
      <c r="AD255" t="n">
        <v>51.5</v>
      </c>
    </row>
    <row r="256">
      <c r="A256" s="96" t="n">
        <v>42005</v>
      </c>
      <c r="B256" t="n">
        <v>49</v>
      </c>
      <c r="C256" t="n">
        <v>50.7</v>
      </c>
      <c r="D256" t="n">
        <v>51</v>
      </c>
      <c r="E256" t="n">
        <v>56.1</v>
      </c>
      <c r="F256" t="n">
        <v>55.25</v>
      </c>
      <c r="G256" t="n">
        <v>51</v>
      </c>
      <c r="H256" t="n">
        <v>49.2</v>
      </c>
      <c r="I256" t="n">
        <v>50.9</v>
      </c>
      <c r="J256" t="n">
        <v>48.3</v>
      </c>
      <c r="K256" t="n">
        <v>49.4</v>
      </c>
      <c r="L256" t="n">
        <v>52.9</v>
      </c>
      <c r="M256" t="n">
        <v>48.5</v>
      </c>
      <c r="N256" t="n">
        <v>55.1</v>
      </c>
      <c r="O256" t="n">
        <v>49.9</v>
      </c>
      <c r="P256" t="n">
        <v>52.2</v>
      </c>
      <c r="Q256" t="n">
        <v>55.6</v>
      </c>
      <c r="R256" t="n">
        <v>51.5607487261562</v>
      </c>
      <c r="S256" t="n">
        <v>55.2</v>
      </c>
      <c r="T256" t="n">
        <v>47.6</v>
      </c>
      <c r="V256" t="n">
        <v>53.24</v>
      </c>
      <c r="W256" t="n">
        <v>51.1</v>
      </c>
      <c r="X256" t="n">
        <v>54.7</v>
      </c>
      <c r="Y256" t="n">
        <v>51.7</v>
      </c>
      <c r="AA256" t="n">
        <v>49.8</v>
      </c>
      <c r="AB256" t="n">
        <v>53</v>
      </c>
      <c r="AC256" t="n">
        <v>53.7</v>
      </c>
      <c r="AD256" t="n">
        <v>51.5</v>
      </c>
    </row>
    <row r="257">
      <c r="A257" s="96" t="n">
        <v>42036</v>
      </c>
      <c r="B257" t="n">
        <v>45.4</v>
      </c>
      <c r="C257" t="n">
        <v>49.6</v>
      </c>
      <c r="D257" t="n">
        <v>48.7</v>
      </c>
      <c r="E257" t="n">
        <v>55.6</v>
      </c>
      <c r="F257" t="n">
        <v>57.96</v>
      </c>
      <c r="G257" t="n">
        <v>51</v>
      </c>
      <c r="H257" t="n">
        <v>47.6</v>
      </c>
      <c r="I257" t="n">
        <v>51.1</v>
      </c>
      <c r="J257" t="n">
        <v>48.4</v>
      </c>
      <c r="K257" t="n">
        <v>50.7</v>
      </c>
      <c r="L257" t="n">
        <v>51.2</v>
      </c>
      <c r="M257" t="n">
        <v>47.5</v>
      </c>
      <c r="N257" t="n">
        <v>57.5</v>
      </c>
      <c r="O257" t="n">
        <v>51.9</v>
      </c>
      <c r="P257" t="n">
        <v>51.6</v>
      </c>
      <c r="Q257" t="n">
        <v>54.4</v>
      </c>
      <c r="R257" t="n">
        <v>56.6859926423443</v>
      </c>
      <c r="S257" t="n">
        <v>55.1</v>
      </c>
      <c r="T257" t="n">
        <v>49.7</v>
      </c>
      <c r="V257" t="n">
        <v>47.66</v>
      </c>
      <c r="W257" t="n">
        <v>51.1</v>
      </c>
      <c r="X257" t="n">
        <v>54.2</v>
      </c>
      <c r="Y257" t="n">
        <v>52.1</v>
      </c>
      <c r="AA257" t="n">
        <v>49.6</v>
      </c>
      <c r="AB257" t="n">
        <v>54.1</v>
      </c>
      <c r="AC257" t="n">
        <v>54.3</v>
      </c>
      <c r="AD257" t="n">
        <v>51.7</v>
      </c>
    </row>
    <row r="258">
      <c r="A258" s="96" t="n">
        <v>42064</v>
      </c>
      <c r="B258" t="n">
        <v>46.3</v>
      </c>
      <c r="C258" t="n">
        <v>46.2</v>
      </c>
      <c r="D258" t="n">
        <v>48.9</v>
      </c>
      <c r="E258" t="n">
        <v>56.1</v>
      </c>
      <c r="F258" t="n">
        <v>58.54</v>
      </c>
      <c r="G258" t="n">
        <v>52.2</v>
      </c>
      <c r="H258" t="n">
        <v>48.8</v>
      </c>
      <c r="I258" t="n">
        <v>52.8</v>
      </c>
      <c r="J258" t="n">
        <v>48.9</v>
      </c>
      <c r="K258" t="n">
        <v>49.6</v>
      </c>
      <c r="L258" t="n">
        <v>52.1</v>
      </c>
      <c r="M258" t="n">
        <v>46.4</v>
      </c>
      <c r="N258" t="n">
        <v>56.8</v>
      </c>
      <c r="O258" t="n">
        <v>53.3</v>
      </c>
      <c r="P258" t="n">
        <v>50.3</v>
      </c>
      <c r="Q258" t="n">
        <v>53.8</v>
      </c>
      <c r="R258" t="n">
        <v>54.7822942728314</v>
      </c>
      <c r="S258" t="n">
        <v>54.8</v>
      </c>
      <c r="T258" t="n">
        <v>48.1</v>
      </c>
      <c r="V258" t="n">
        <v>47.88</v>
      </c>
      <c r="W258" t="n">
        <v>49.2</v>
      </c>
      <c r="X258" t="n">
        <v>54.3</v>
      </c>
      <c r="Y258" t="n">
        <v>51</v>
      </c>
      <c r="AA258" t="n">
        <v>48</v>
      </c>
      <c r="AB258" t="n">
        <v>54.4</v>
      </c>
      <c r="AC258" t="n">
        <v>55.3</v>
      </c>
      <c r="AD258" t="n">
        <v>50.7</v>
      </c>
    </row>
    <row r="259">
      <c r="A259" s="96" t="n">
        <v>42095</v>
      </c>
      <c r="B259" t="n">
        <v>48</v>
      </c>
      <c r="C259" t="n">
        <v>46</v>
      </c>
      <c r="D259" t="n">
        <v>49</v>
      </c>
      <c r="E259" t="n">
        <v>54.7</v>
      </c>
      <c r="F259" t="n">
        <v>53.3</v>
      </c>
      <c r="G259" t="n">
        <v>52</v>
      </c>
      <c r="H259" t="n">
        <v>48</v>
      </c>
      <c r="I259" t="n">
        <v>52.1</v>
      </c>
      <c r="J259" t="n">
        <v>46.5</v>
      </c>
      <c r="K259" t="n">
        <v>48.6</v>
      </c>
      <c r="L259" t="n">
        <v>51.3</v>
      </c>
      <c r="M259" t="n">
        <v>46.7</v>
      </c>
      <c r="N259" t="n">
        <v>55.8</v>
      </c>
      <c r="O259" t="n">
        <v>53.8</v>
      </c>
      <c r="P259" t="n">
        <v>49.9</v>
      </c>
      <c r="Q259" t="n">
        <v>53.8</v>
      </c>
      <c r="R259" t="n">
        <v>52.3374487038734</v>
      </c>
      <c r="S259" t="n">
        <v>54</v>
      </c>
      <c r="T259" t="n">
        <v>48.9</v>
      </c>
      <c r="U259" t="n">
        <v>60.1</v>
      </c>
      <c r="V259" t="n">
        <v>44.92</v>
      </c>
      <c r="W259" t="n">
        <v>48.8</v>
      </c>
      <c r="X259" t="n">
        <v>54.2</v>
      </c>
      <c r="Y259" t="n">
        <v>49.2</v>
      </c>
      <c r="AA259" t="n">
        <v>48.5</v>
      </c>
      <c r="AB259" t="n">
        <v>51.9</v>
      </c>
      <c r="AC259" t="n">
        <v>54.1</v>
      </c>
      <c r="AD259" t="n">
        <v>53.5</v>
      </c>
    </row>
    <row r="260">
      <c r="A260" s="96" t="n">
        <v>42125</v>
      </c>
      <c r="B260" t="n">
        <v>52.29</v>
      </c>
      <c r="C260" t="n">
        <v>45.9</v>
      </c>
      <c r="D260" t="n">
        <v>49.8</v>
      </c>
      <c r="E260" t="n">
        <v>55.5</v>
      </c>
      <c r="F260" t="n">
        <v>52.73</v>
      </c>
      <c r="G260" t="n">
        <v>52.2</v>
      </c>
      <c r="H260" t="n">
        <v>49.4</v>
      </c>
      <c r="I260" t="n">
        <v>51.1</v>
      </c>
      <c r="J260" t="n">
        <v>48</v>
      </c>
      <c r="K260" t="n">
        <v>47.6</v>
      </c>
      <c r="L260" t="n">
        <v>52.6</v>
      </c>
      <c r="M260" t="n">
        <v>47.1</v>
      </c>
      <c r="N260" t="n">
        <v>57.1</v>
      </c>
      <c r="O260" t="n">
        <v>54.8</v>
      </c>
      <c r="P260" t="n">
        <v>50.9</v>
      </c>
      <c r="Q260" t="n">
        <v>53.3</v>
      </c>
      <c r="R260" t="n">
        <v>51.4456692441713</v>
      </c>
      <c r="S260" t="n">
        <v>52.4</v>
      </c>
      <c r="T260" t="n">
        <v>47.6</v>
      </c>
      <c r="U260" t="n">
        <v>57</v>
      </c>
      <c r="V260" t="n">
        <v>50.52</v>
      </c>
      <c r="W260" t="n">
        <v>47.8</v>
      </c>
      <c r="X260" t="n">
        <v>55.8</v>
      </c>
      <c r="Y260" t="n">
        <v>49.3</v>
      </c>
      <c r="AA260" t="n">
        <v>50.2</v>
      </c>
      <c r="AB260" t="n">
        <v>52.2</v>
      </c>
      <c r="AC260" t="n">
        <v>53.8</v>
      </c>
      <c r="AD260" t="n">
        <v>54.8</v>
      </c>
    </row>
    <row r="261">
      <c r="A261" s="96" t="n">
        <v>42156</v>
      </c>
      <c r="B261" t="n">
        <v>44.2</v>
      </c>
      <c r="C261" t="n">
        <v>46.5</v>
      </c>
      <c r="D261" t="n">
        <v>51.3</v>
      </c>
      <c r="E261" t="n">
        <v>56.9</v>
      </c>
      <c r="F261" t="n">
        <v>54.46</v>
      </c>
      <c r="G261" t="n">
        <v>52.5</v>
      </c>
      <c r="H261" t="n">
        <v>50.7</v>
      </c>
      <c r="I261" t="n">
        <v>51.9</v>
      </c>
      <c r="J261" t="n">
        <v>46.9</v>
      </c>
      <c r="K261" t="n">
        <v>49.2</v>
      </c>
      <c r="L261" t="n">
        <v>51.3</v>
      </c>
      <c r="M261" t="n">
        <v>47.8</v>
      </c>
      <c r="N261" t="n">
        <v>54.6</v>
      </c>
      <c r="O261" t="n">
        <v>54.1</v>
      </c>
      <c r="P261" t="n">
        <v>50.1</v>
      </c>
      <c r="Q261" t="n">
        <v>52</v>
      </c>
      <c r="R261" t="n">
        <v>55.1807836368314</v>
      </c>
      <c r="S261" t="n">
        <v>54.3</v>
      </c>
      <c r="T261" t="n">
        <v>48.7</v>
      </c>
      <c r="U261" t="n">
        <v>56.1</v>
      </c>
      <c r="V261" t="n">
        <v>50.31</v>
      </c>
      <c r="W261" t="n">
        <v>46.1</v>
      </c>
      <c r="X261" t="n">
        <v>54.5</v>
      </c>
      <c r="Y261" t="n">
        <v>46.3</v>
      </c>
      <c r="AA261" t="n">
        <v>49</v>
      </c>
      <c r="AB261" t="n">
        <v>51.9</v>
      </c>
      <c r="AC261" t="n">
        <v>53.6</v>
      </c>
      <c r="AD261" t="n">
        <v>52.2</v>
      </c>
    </row>
    <row r="262">
      <c r="A262" s="96" t="n">
        <v>42186</v>
      </c>
      <c r="B262" t="n">
        <v>50.4</v>
      </c>
      <c r="C262" t="n">
        <v>47.2</v>
      </c>
      <c r="D262" t="n">
        <v>50.8</v>
      </c>
      <c r="E262" t="n">
        <v>57.5</v>
      </c>
      <c r="F262" t="n">
        <v>52.31</v>
      </c>
      <c r="G262" t="n">
        <v>52.4</v>
      </c>
      <c r="H262" t="n">
        <v>49.6</v>
      </c>
      <c r="I262" t="n">
        <v>51.8</v>
      </c>
      <c r="J262" t="n">
        <v>30.2</v>
      </c>
      <c r="K262" t="n">
        <v>48.2</v>
      </c>
      <c r="L262" t="n">
        <v>52.7</v>
      </c>
      <c r="M262" t="n">
        <v>47.3</v>
      </c>
      <c r="N262" t="n">
        <v>56.7</v>
      </c>
      <c r="O262" t="n">
        <v>55.3</v>
      </c>
      <c r="P262" t="n">
        <v>51.2</v>
      </c>
      <c r="Q262" t="n">
        <v>52.9</v>
      </c>
      <c r="R262" t="n">
        <v>54.3814448281616</v>
      </c>
      <c r="S262" t="n">
        <v>54.5</v>
      </c>
      <c r="T262" t="n">
        <v>48.3</v>
      </c>
      <c r="U262" t="n">
        <v>57.7</v>
      </c>
      <c r="V262" t="n">
        <v>50.25</v>
      </c>
      <c r="W262" t="n">
        <v>47.6</v>
      </c>
      <c r="X262" t="n">
        <v>53.6</v>
      </c>
      <c r="Y262" t="n">
        <v>47.1</v>
      </c>
      <c r="AA262" t="n">
        <v>50.1</v>
      </c>
      <c r="AB262" t="n">
        <v>52.5</v>
      </c>
      <c r="AC262" t="n">
        <v>53.8</v>
      </c>
      <c r="AD262" t="n">
        <v>52.6</v>
      </c>
    </row>
    <row r="263">
      <c r="A263" s="96" t="n">
        <v>42217</v>
      </c>
      <c r="B263" t="n">
        <v>51.7</v>
      </c>
      <c r="C263" t="n">
        <v>45.8</v>
      </c>
      <c r="D263" t="n">
        <v>49.4</v>
      </c>
      <c r="E263" t="n">
        <v>56.6</v>
      </c>
      <c r="F263" t="n">
        <v>62.51</v>
      </c>
      <c r="G263" t="n">
        <v>52.3</v>
      </c>
      <c r="H263" t="n">
        <v>48.3</v>
      </c>
      <c r="I263" t="n">
        <v>53.3</v>
      </c>
      <c r="J263" t="n">
        <v>39.1</v>
      </c>
      <c r="K263" t="n">
        <v>44.4</v>
      </c>
      <c r="L263" t="n">
        <v>52.3</v>
      </c>
      <c r="M263" t="n">
        <v>48.4</v>
      </c>
      <c r="N263" t="n">
        <v>53.6</v>
      </c>
      <c r="O263" t="n">
        <v>53.8</v>
      </c>
      <c r="P263" t="n">
        <v>51.7</v>
      </c>
      <c r="Q263" t="n">
        <v>52.4</v>
      </c>
      <c r="R263" t="n">
        <v>54.8707969074682</v>
      </c>
      <c r="S263" t="n">
        <v>51.1</v>
      </c>
      <c r="T263" t="n">
        <v>47.9</v>
      </c>
      <c r="U263" t="n">
        <v>58.7</v>
      </c>
      <c r="V263" t="n">
        <v>50.52</v>
      </c>
      <c r="W263" t="n">
        <v>47.9</v>
      </c>
      <c r="X263" t="n">
        <v>53.2</v>
      </c>
      <c r="Y263" t="n">
        <v>46.1</v>
      </c>
      <c r="AA263" t="n">
        <v>49.3</v>
      </c>
      <c r="AB263" t="n">
        <v>51.6</v>
      </c>
      <c r="AC263" t="n">
        <v>53</v>
      </c>
      <c r="AD263" t="n">
        <v>51.3</v>
      </c>
    </row>
    <row r="264">
      <c r="A264" s="96" t="n">
        <v>42248</v>
      </c>
      <c r="B264" t="n">
        <v>52.1</v>
      </c>
      <c r="C264" t="n">
        <v>47</v>
      </c>
      <c r="D264" t="n">
        <v>48.6</v>
      </c>
      <c r="E264" t="n">
        <v>55.5</v>
      </c>
      <c r="F264" t="n">
        <v>69.37</v>
      </c>
      <c r="G264" t="n">
        <v>52</v>
      </c>
      <c r="H264" t="n">
        <v>50.6</v>
      </c>
      <c r="I264" t="n">
        <v>52.3</v>
      </c>
      <c r="J264" t="n">
        <v>43.3</v>
      </c>
      <c r="K264" t="n">
        <v>45.7</v>
      </c>
      <c r="L264" t="n">
        <v>51.2</v>
      </c>
      <c r="M264" t="n">
        <v>47.4</v>
      </c>
      <c r="N264" t="n">
        <v>53.8</v>
      </c>
      <c r="O264" t="n">
        <v>52.7</v>
      </c>
      <c r="P264" t="n">
        <v>51</v>
      </c>
      <c r="Q264" t="n">
        <v>52.1</v>
      </c>
      <c r="R264" t="n">
        <v>54.0967098657682</v>
      </c>
      <c r="S264" t="n">
        <v>50.9</v>
      </c>
      <c r="T264" t="n">
        <v>49.1</v>
      </c>
      <c r="U264" t="n">
        <v>56.5</v>
      </c>
      <c r="V264" t="n">
        <v>50.14</v>
      </c>
      <c r="W264" t="n">
        <v>49.2</v>
      </c>
      <c r="X264" t="n">
        <v>51.7</v>
      </c>
      <c r="Y264" t="n">
        <v>46.9</v>
      </c>
      <c r="AA264" t="n">
        <v>48.8</v>
      </c>
      <c r="AB264" t="n">
        <v>51.6</v>
      </c>
      <c r="AC264" t="n">
        <v>53.1</v>
      </c>
      <c r="AD264" t="n">
        <v>49.5</v>
      </c>
    </row>
    <row r="265">
      <c r="A265" s="96" t="n">
        <v>42278</v>
      </c>
      <c r="B265" t="n">
        <v>50.2</v>
      </c>
      <c r="C265" t="n">
        <v>44.1</v>
      </c>
      <c r="D265" t="n">
        <v>48</v>
      </c>
      <c r="E265" t="n">
        <v>54</v>
      </c>
      <c r="F265" t="n">
        <v>55.62</v>
      </c>
      <c r="G265" t="n">
        <v>52.3</v>
      </c>
      <c r="H265" t="n">
        <v>50.6</v>
      </c>
      <c r="I265" t="n">
        <v>52.1</v>
      </c>
      <c r="J265" t="n">
        <v>47.3</v>
      </c>
      <c r="K265" t="n">
        <v>46.6</v>
      </c>
      <c r="L265" t="n">
        <v>50.7</v>
      </c>
      <c r="M265" t="n">
        <v>47.8</v>
      </c>
      <c r="N265" t="n">
        <v>53.6</v>
      </c>
      <c r="O265" t="n">
        <v>54.1</v>
      </c>
      <c r="P265" t="n">
        <v>52.4</v>
      </c>
      <c r="Q265" t="n">
        <v>53</v>
      </c>
      <c r="R265" t="n">
        <v>53.1406959969631</v>
      </c>
      <c r="S265" t="n">
        <v>52.2</v>
      </c>
      <c r="T265" t="n">
        <v>50.2</v>
      </c>
      <c r="U265" t="n">
        <v>55.7</v>
      </c>
      <c r="V265" t="n">
        <v>48.74</v>
      </c>
      <c r="W265" t="n">
        <v>49.1</v>
      </c>
      <c r="X265" t="n">
        <v>51.3</v>
      </c>
      <c r="Y265" t="n">
        <v>47.8</v>
      </c>
      <c r="AA265" t="n">
        <v>49.5</v>
      </c>
      <c r="AB265" t="n">
        <v>54.3</v>
      </c>
      <c r="AC265" t="n">
        <v>54.1</v>
      </c>
      <c r="AD265" t="n">
        <v>50.1</v>
      </c>
    </row>
    <row r="266">
      <c r="A266" s="96" t="n">
        <v>42309</v>
      </c>
      <c r="B266" t="n">
        <v>52.5</v>
      </c>
      <c r="C266" t="n">
        <v>43.8</v>
      </c>
      <c r="D266" t="n">
        <v>48.6</v>
      </c>
      <c r="E266" t="n">
        <v>54.2</v>
      </c>
      <c r="F266" t="n">
        <v>61.47</v>
      </c>
      <c r="G266" t="n">
        <v>52.8</v>
      </c>
      <c r="H266" t="n">
        <v>50.6</v>
      </c>
      <c r="I266" t="n">
        <v>52.9</v>
      </c>
      <c r="J266" t="n">
        <v>48.1</v>
      </c>
      <c r="K266" t="n">
        <v>46.6</v>
      </c>
      <c r="L266" t="n">
        <v>50.3</v>
      </c>
      <c r="M266" t="n">
        <v>46.9</v>
      </c>
      <c r="N266" t="n">
        <v>53.3</v>
      </c>
      <c r="O266" t="n">
        <v>54.9</v>
      </c>
      <c r="P266" t="n">
        <v>52.6</v>
      </c>
      <c r="Q266" t="n">
        <v>53</v>
      </c>
      <c r="R266" t="n">
        <v>55.0326358859927</v>
      </c>
      <c r="S266" t="n">
        <v>52.1</v>
      </c>
      <c r="T266" t="n">
        <v>50.1</v>
      </c>
      <c r="U266" t="n">
        <v>56.3</v>
      </c>
      <c r="V266" t="n">
        <v>44.73</v>
      </c>
      <c r="W266" t="n">
        <v>49.1</v>
      </c>
      <c r="X266" t="n">
        <v>53.1</v>
      </c>
      <c r="Y266" t="n">
        <v>49.5</v>
      </c>
      <c r="AA266" t="n">
        <v>50.9</v>
      </c>
      <c r="AB266" t="n">
        <v>52.3</v>
      </c>
      <c r="AC266" t="n">
        <v>52.8</v>
      </c>
      <c r="AD266" t="n">
        <v>49.4</v>
      </c>
    </row>
    <row r="267">
      <c r="A267" s="96" t="n">
        <v>42339</v>
      </c>
      <c r="B267" t="n">
        <v>51.9</v>
      </c>
      <c r="C267" t="n">
        <v>45.6</v>
      </c>
      <c r="D267" t="n">
        <v>47.5</v>
      </c>
      <c r="E267" t="n">
        <v>55.6</v>
      </c>
      <c r="F267" t="n">
        <v>54.76</v>
      </c>
      <c r="G267" t="n">
        <v>53.2</v>
      </c>
      <c r="H267" t="n">
        <v>51.4</v>
      </c>
      <c r="I267" t="n">
        <v>53.2</v>
      </c>
      <c r="J267" t="n">
        <v>50.2</v>
      </c>
      <c r="K267" t="n">
        <v>46.4</v>
      </c>
      <c r="L267" t="n">
        <v>49.1</v>
      </c>
      <c r="M267" t="n">
        <v>47.8</v>
      </c>
      <c r="N267" t="n">
        <v>54.2</v>
      </c>
      <c r="O267" t="n">
        <v>55.6</v>
      </c>
      <c r="P267" t="n">
        <v>52.6</v>
      </c>
      <c r="Q267" t="n">
        <v>52.4</v>
      </c>
      <c r="R267" t="n">
        <v>56.9856027270748</v>
      </c>
      <c r="S267" t="n">
        <v>52.1</v>
      </c>
      <c r="T267" t="n">
        <v>48.7</v>
      </c>
      <c r="U267" t="n">
        <v>54.4</v>
      </c>
      <c r="V267" t="n">
        <v>47.2</v>
      </c>
      <c r="W267" t="n">
        <v>50.7</v>
      </c>
      <c r="X267" t="n">
        <v>53</v>
      </c>
      <c r="Y267" t="n">
        <v>51.7</v>
      </c>
      <c r="AA267" t="n">
        <v>52.2</v>
      </c>
      <c r="AB267" t="n">
        <v>51</v>
      </c>
      <c r="AC267" t="n">
        <v>51.2</v>
      </c>
      <c r="AD267" t="n">
        <v>51.3</v>
      </c>
    </row>
    <row r="268">
      <c r="A268" s="96" t="n">
        <v>42370</v>
      </c>
      <c r="B268" t="n">
        <v>51.5</v>
      </c>
      <c r="C268" t="n">
        <v>47.4</v>
      </c>
      <c r="D268" t="n">
        <v>49.3</v>
      </c>
      <c r="E268" t="n">
        <v>56.9</v>
      </c>
      <c r="F268" t="n">
        <v>54.46</v>
      </c>
      <c r="G268" t="n">
        <v>52.3</v>
      </c>
      <c r="H268" t="n">
        <v>50</v>
      </c>
      <c r="I268" t="n">
        <v>52.3</v>
      </c>
      <c r="J268" t="n">
        <v>50</v>
      </c>
      <c r="K268" t="n">
        <v>46.1</v>
      </c>
      <c r="L268" t="n">
        <v>51.1</v>
      </c>
      <c r="M268" t="n">
        <v>48.9</v>
      </c>
      <c r="N268" t="n">
        <v>54.3</v>
      </c>
      <c r="O268" t="n">
        <v>53.2</v>
      </c>
      <c r="P268" t="n">
        <v>52.3</v>
      </c>
      <c r="Q268" t="n">
        <v>52.2</v>
      </c>
      <c r="R268" t="n">
        <v>59.789243036005</v>
      </c>
      <c r="S268" t="n">
        <v>50.9</v>
      </c>
      <c r="T268" t="n">
        <v>49.8</v>
      </c>
      <c r="U268" t="n">
        <v>53.9</v>
      </c>
      <c r="V268" t="n">
        <v>43.27</v>
      </c>
      <c r="W268" t="n">
        <v>49.5</v>
      </c>
      <c r="X268" t="n">
        <v>55.4</v>
      </c>
      <c r="Y268" t="n">
        <v>50.6</v>
      </c>
      <c r="AA268" t="n">
        <v>50.9</v>
      </c>
      <c r="AB268" t="n">
        <v>52.2</v>
      </c>
      <c r="AC268" t="n">
        <v>52.4</v>
      </c>
      <c r="AD268" t="n">
        <v>51.5</v>
      </c>
    </row>
    <row r="269">
      <c r="A269" s="96" t="n">
        <v>42401</v>
      </c>
      <c r="B269" t="n">
        <v>53.5</v>
      </c>
      <c r="C269" t="n">
        <v>44.5</v>
      </c>
      <c r="D269" t="n">
        <v>49.4</v>
      </c>
      <c r="E269" t="n">
        <v>55.5</v>
      </c>
      <c r="F269" t="n">
        <v>50.93</v>
      </c>
      <c r="G269" t="n">
        <v>51.2</v>
      </c>
      <c r="H269" t="n">
        <v>50.2</v>
      </c>
      <c r="I269" t="n">
        <v>50.5</v>
      </c>
      <c r="J269" t="n">
        <v>48.4</v>
      </c>
      <c r="K269" t="n">
        <v>46.4</v>
      </c>
      <c r="L269" t="n">
        <v>51.1</v>
      </c>
      <c r="M269" t="n">
        <v>48.7</v>
      </c>
      <c r="N269" t="n">
        <v>52.9</v>
      </c>
      <c r="O269" t="n">
        <v>52.2</v>
      </c>
      <c r="P269" t="n">
        <v>50.1</v>
      </c>
      <c r="Q269" t="n">
        <v>53.1</v>
      </c>
      <c r="R269" t="n">
        <v>56.0789103941194</v>
      </c>
      <c r="S269" t="n">
        <v>52.8</v>
      </c>
      <c r="T269" t="n">
        <v>49.3</v>
      </c>
      <c r="U269" t="n">
        <v>54.4</v>
      </c>
      <c r="V269" t="n">
        <v>46.84</v>
      </c>
      <c r="W269" t="n">
        <v>48.7</v>
      </c>
      <c r="X269" t="n">
        <v>54.1</v>
      </c>
      <c r="Y269" t="n">
        <v>49.4</v>
      </c>
      <c r="AA269" t="n">
        <v>50.3</v>
      </c>
      <c r="AB269" t="n">
        <v>50.8</v>
      </c>
      <c r="AC269" t="n">
        <v>51.3</v>
      </c>
      <c r="AD269" t="n">
        <v>50.3</v>
      </c>
    </row>
    <row r="270">
      <c r="A270" s="96" t="n">
        <v>42430</v>
      </c>
      <c r="B270" t="n">
        <v>58.1</v>
      </c>
      <c r="C270" t="n">
        <v>46</v>
      </c>
      <c r="D270" t="n">
        <v>51.5</v>
      </c>
      <c r="E270" t="n">
        <v>54.3</v>
      </c>
      <c r="F270" t="n">
        <v>55.11</v>
      </c>
      <c r="G270" t="n">
        <v>51.6</v>
      </c>
      <c r="H270" t="n">
        <v>49.6</v>
      </c>
      <c r="I270" t="n">
        <v>50.7</v>
      </c>
      <c r="J270" t="n">
        <v>49</v>
      </c>
      <c r="K270" t="n">
        <v>45.5</v>
      </c>
      <c r="L270" t="n">
        <v>52.4</v>
      </c>
      <c r="M270" t="n">
        <v>50.6</v>
      </c>
      <c r="N270" t="n">
        <v>54.9</v>
      </c>
      <c r="O270" t="n">
        <v>53.5</v>
      </c>
      <c r="P270" t="n">
        <v>49.1</v>
      </c>
      <c r="Q270" t="n">
        <v>53.2</v>
      </c>
      <c r="R270" t="n">
        <v>54.1786540644768</v>
      </c>
      <c r="S270" t="n">
        <v>53.8</v>
      </c>
      <c r="T270" t="n">
        <v>48.3</v>
      </c>
      <c r="U270" t="n">
        <v>54.5</v>
      </c>
      <c r="V270" t="n">
        <v>49.54</v>
      </c>
      <c r="W270" t="n">
        <v>49.5</v>
      </c>
      <c r="X270" t="n">
        <v>53.4</v>
      </c>
      <c r="Y270" t="n">
        <v>51.1</v>
      </c>
      <c r="AA270" t="n">
        <v>49.2</v>
      </c>
      <c r="AB270" t="n">
        <v>51.1</v>
      </c>
      <c r="AC270" t="n">
        <v>51.5</v>
      </c>
      <c r="AD270" t="n">
        <v>50.7</v>
      </c>
    </row>
    <row r="271">
      <c r="A271" s="96" t="n">
        <v>42461</v>
      </c>
      <c r="B271" t="n">
        <v>53.4</v>
      </c>
      <c r="C271" t="n">
        <v>42.6</v>
      </c>
      <c r="D271" t="n">
        <v>52.2</v>
      </c>
      <c r="E271" t="n">
        <v>53.6</v>
      </c>
      <c r="F271" t="n">
        <v>63.28</v>
      </c>
      <c r="G271" t="n">
        <v>51.7</v>
      </c>
      <c r="H271" t="n">
        <v>48</v>
      </c>
      <c r="I271" t="n">
        <v>51.8</v>
      </c>
      <c r="J271" t="n">
        <v>49.7</v>
      </c>
      <c r="K271" t="n">
        <v>45.3</v>
      </c>
      <c r="L271" t="n">
        <v>50.5</v>
      </c>
      <c r="M271" t="n">
        <v>50.9</v>
      </c>
      <c r="N271" t="n">
        <v>52.6</v>
      </c>
      <c r="O271" t="n">
        <v>53.9</v>
      </c>
      <c r="P271" t="n">
        <v>48.2</v>
      </c>
      <c r="Q271" t="n">
        <v>52.4</v>
      </c>
      <c r="R271" t="n">
        <v>56.5463209703122</v>
      </c>
      <c r="S271" t="n">
        <v>51</v>
      </c>
      <c r="T271" t="n">
        <v>48</v>
      </c>
      <c r="U271" t="n">
        <v>54.2</v>
      </c>
      <c r="V271" t="n">
        <v>53.33</v>
      </c>
      <c r="W271" t="n">
        <v>50</v>
      </c>
      <c r="X271" t="n">
        <v>53.5</v>
      </c>
      <c r="Y271" t="n">
        <v>49.7</v>
      </c>
      <c r="AA271" t="n">
        <v>48.9</v>
      </c>
      <c r="AB271" t="n">
        <v>50</v>
      </c>
      <c r="AC271" t="n">
        <v>50.8</v>
      </c>
      <c r="AD271" t="n">
        <v>52.3</v>
      </c>
    </row>
    <row r="272">
      <c r="A272" s="96" t="n">
        <v>42491</v>
      </c>
      <c r="B272" t="n">
        <v>51</v>
      </c>
      <c r="C272" t="n">
        <v>41.6</v>
      </c>
      <c r="D272" t="n">
        <v>52.1</v>
      </c>
      <c r="E272" t="n">
        <v>53.3</v>
      </c>
      <c r="F272" t="n">
        <v>61.65</v>
      </c>
      <c r="G272" t="n">
        <v>51.5</v>
      </c>
      <c r="H272" t="n">
        <v>48.4</v>
      </c>
      <c r="I272" t="n">
        <v>52.1</v>
      </c>
      <c r="J272" t="n">
        <v>48.4</v>
      </c>
      <c r="K272" t="n">
        <v>47.2</v>
      </c>
      <c r="L272" t="n">
        <v>50.7</v>
      </c>
      <c r="M272" t="n">
        <v>50.6</v>
      </c>
      <c r="N272" t="n">
        <v>51.5</v>
      </c>
      <c r="O272" t="n">
        <v>52.4</v>
      </c>
      <c r="P272" t="n">
        <v>47.7</v>
      </c>
      <c r="Q272" t="n">
        <v>53.6</v>
      </c>
      <c r="R272" t="n">
        <v>56.3274783477963</v>
      </c>
      <c r="S272" t="n">
        <v>52.1</v>
      </c>
      <c r="T272" t="n">
        <v>49.6</v>
      </c>
      <c r="U272" t="n">
        <v>54.8</v>
      </c>
      <c r="V272" t="n">
        <v>50.72</v>
      </c>
      <c r="W272" t="n">
        <v>50.1</v>
      </c>
      <c r="X272" t="n">
        <v>51.8</v>
      </c>
      <c r="Y272" t="n">
        <v>48.5</v>
      </c>
      <c r="AA272" t="n">
        <v>49.4</v>
      </c>
      <c r="AB272" t="n">
        <v>50.7</v>
      </c>
      <c r="AC272" t="n">
        <v>50.7</v>
      </c>
      <c r="AD272" t="n">
        <v>52.7</v>
      </c>
    </row>
    <row r="273">
      <c r="A273" s="96" t="n">
        <v>42522</v>
      </c>
      <c r="B273" t="n">
        <v>51.8</v>
      </c>
      <c r="C273" t="n">
        <v>43.2</v>
      </c>
      <c r="D273" t="n">
        <v>51.8</v>
      </c>
      <c r="E273" t="n">
        <v>51.8</v>
      </c>
      <c r="F273" t="n">
        <v>59.75</v>
      </c>
      <c r="G273" t="n">
        <v>52.8</v>
      </c>
      <c r="H273" t="n">
        <v>48.3</v>
      </c>
      <c r="I273" t="n">
        <v>54.5</v>
      </c>
      <c r="J273" t="n">
        <v>50.4</v>
      </c>
      <c r="K273" t="n">
        <v>45.4</v>
      </c>
      <c r="L273" t="n">
        <v>51.7</v>
      </c>
      <c r="M273" t="n">
        <v>51.9</v>
      </c>
      <c r="N273" t="n">
        <v>53</v>
      </c>
      <c r="O273" t="n">
        <v>53.5</v>
      </c>
      <c r="P273" t="n">
        <v>48.1</v>
      </c>
      <c r="Q273" t="n">
        <v>51.1</v>
      </c>
      <c r="R273" t="n">
        <v>57.5597930084429</v>
      </c>
      <c r="S273" t="n">
        <v>51.8</v>
      </c>
      <c r="T273" t="n">
        <v>51.5</v>
      </c>
      <c r="U273" t="n">
        <v>54.4</v>
      </c>
      <c r="V273" t="n">
        <v>52.14</v>
      </c>
      <c r="W273" t="n">
        <v>50.5</v>
      </c>
      <c r="X273" t="n">
        <v>52.2</v>
      </c>
      <c r="Y273" t="n">
        <v>50.5</v>
      </c>
      <c r="AA273" t="n">
        <v>47.4</v>
      </c>
      <c r="AB273" t="n">
        <v>53.2</v>
      </c>
      <c r="AC273" t="n">
        <v>51.3</v>
      </c>
      <c r="AD273" t="n">
        <v>52.6</v>
      </c>
    </row>
    <row r="274">
      <c r="A274" s="96" t="n">
        <v>42552</v>
      </c>
      <c r="B274" t="n">
        <v>56.4</v>
      </c>
      <c r="C274" t="n">
        <v>46</v>
      </c>
      <c r="D274" t="n">
        <v>51.9</v>
      </c>
      <c r="E274" t="n">
        <v>49.3</v>
      </c>
      <c r="F274" t="n">
        <v>59.53</v>
      </c>
      <c r="G274" t="n">
        <v>52</v>
      </c>
      <c r="H274" t="n">
        <v>48.6</v>
      </c>
      <c r="I274" t="n">
        <v>53.8</v>
      </c>
      <c r="J274" t="n">
        <v>48.7</v>
      </c>
      <c r="K274" t="n">
        <v>47.2</v>
      </c>
      <c r="L274" t="n">
        <v>51.8</v>
      </c>
      <c r="M274" t="n">
        <v>48.4</v>
      </c>
      <c r="N274" t="n">
        <v>50.2</v>
      </c>
      <c r="O274" t="n">
        <v>51.2</v>
      </c>
      <c r="P274" t="n">
        <v>49.3</v>
      </c>
      <c r="Q274" t="n">
        <v>50.6</v>
      </c>
      <c r="R274" t="n">
        <v>55.9499781978048</v>
      </c>
      <c r="S274" t="n">
        <v>50.3</v>
      </c>
      <c r="T274" t="n">
        <v>49.5</v>
      </c>
      <c r="U274" t="n">
        <v>56</v>
      </c>
      <c r="V274" t="n">
        <v>51.25</v>
      </c>
      <c r="W274" t="n">
        <v>50.1</v>
      </c>
      <c r="X274" t="n">
        <v>51</v>
      </c>
      <c r="Y274" t="n">
        <v>51</v>
      </c>
      <c r="Z274" t="n">
        <v>49.3</v>
      </c>
      <c r="AA274" t="n">
        <v>47.6</v>
      </c>
      <c r="AB274" t="n">
        <v>48.5</v>
      </c>
      <c r="AC274" t="n">
        <v>52.9</v>
      </c>
      <c r="AD274" t="n">
        <v>51.9</v>
      </c>
    </row>
    <row r="275">
      <c r="A275" s="96" t="n">
        <v>42583</v>
      </c>
      <c r="B275" t="n">
        <v>46.9</v>
      </c>
      <c r="C275" t="n">
        <v>45.7</v>
      </c>
      <c r="D275" t="n">
        <v>51.1</v>
      </c>
      <c r="E275" t="n">
        <v>50.1</v>
      </c>
      <c r="F275" t="n">
        <v>53.62</v>
      </c>
      <c r="G275" t="n">
        <v>51.7</v>
      </c>
      <c r="H275" t="n">
        <v>48.3</v>
      </c>
      <c r="I275" t="n">
        <v>53.6</v>
      </c>
      <c r="J275" t="n">
        <v>50.4</v>
      </c>
      <c r="K275" t="n">
        <v>49</v>
      </c>
      <c r="L275" t="n">
        <v>52.6</v>
      </c>
      <c r="M275" t="n">
        <v>50.4</v>
      </c>
      <c r="N275" t="n">
        <v>51.7</v>
      </c>
      <c r="O275" t="n">
        <v>49.8</v>
      </c>
      <c r="P275" t="n">
        <v>49.5</v>
      </c>
      <c r="Q275" t="n">
        <v>50.9</v>
      </c>
      <c r="R275" t="n">
        <v>54.647059284907</v>
      </c>
      <c r="S275" t="n">
        <v>51.5</v>
      </c>
      <c r="T275" t="n">
        <v>50.8</v>
      </c>
      <c r="U275" t="n">
        <v>56.6</v>
      </c>
      <c r="V275" t="n">
        <v>47.94</v>
      </c>
      <c r="W275" t="n">
        <v>48.6</v>
      </c>
      <c r="X275" t="n">
        <v>51</v>
      </c>
      <c r="Y275" t="n">
        <v>51.8</v>
      </c>
      <c r="Z275" t="n">
        <v>49.8</v>
      </c>
      <c r="AA275" t="n">
        <v>47</v>
      </c>
      <c r="AB275" t="n">
        <v>53.2</v>
      </c>
      <c r="AC275" t="n">
        <v>52</v>
      </c>
      <c r="AD275" t="n">
        <v>52.2</v>
      </c>
    </row>
    <row r="276">
      <c r="A276" s="96" t="n">
        <v>42614</v>
      </c>
      <c r="B276" t="n">
        <v>49.8</v>
      </c>
      <c r="C276" t="n">
        <v>46</v>
      </c>
      <c r="D276" t="n">
        <v>50.3</v>
      </c>
      <c r="E276" t="n">
        <v>52</v>
      </c>
      <c r="F276" t="n">
        <v>58.98</v>
      </c>
      <c r="G276" t="n">
        <v>52.6</v>
      </c>
      <c r="H276" t="n">
        <v>49.7</v>
      </c>
      <c r="I276" t="n">
        <v>54.3</v>
      </c>
      <c r="J276" t="n">
        <v>49.2</v>
      </c>
      <c r="K276" t="n">
        <v>49.3</v>
      </c>
      <c r="L276" t="n">
        <v>52.1</v>
      </c>
      <c r="M276" t="n">
        <v>50.9</v>
      </c>
      <c r="N276" t="n">
        <v>51.3</v>
      </c>
      <c r="O276" t="n">
        <v>51</v>
      </c>
      <c r="P276" t="n">
        <v>50.4</v>
      </c>
      <c r="Q276" t="n">
        <v>51.9</v>
      </c>
      <c r="R276" t="n">
        <v>57.2000322698041</v>
      </c>
      <c r="S276" t="n">
        <v>52.2</v>
      </c>
      <c r="T276" t="n">
        <v>51.1</v>
      </c>
      <c r="U276" t="n">
        <v>55.3</v>
      </c>
      <c r="V276" t="n">
        <v>49.85</v>
      </c>
      <c r="W276" t="n">
        <v>47.6</v>
      </c>
      <c r="X276" t="n">
        <v>52.3</v>
      </c>
      <c r="Y276" t="n">
        <v>52.2</v>
      </c>
      <c r="Z276" t="n">
        <v>48.8</v>
      </c>
      <c r="AA276" t="n">
        <v>48.3</v>
      </c>
      <c r="AB276" t="n">
        <v>55.6</v>
      </c>
      <c r="AC276" t="n">
        <v>51.5</v>
      </c>
      <c r="AD276" t="n">
        <v>52.9</v>
      </c>
    </row>
    <row r="277">
      <c r="A277" s="96" t="n">
        <v>42644</v>
      </c>
      <c r="B277" t="n">
        <v>50.9</v>
      </c>
      <c r="C277" t="n">
        <v>46.3</v>
      </c>
      <c r="D277" t="n">
        <v>51.1</v>
      </c>
      <c r="E277" t="n">
        <v>53.3</v>
      </c>
      <c r="F277" t="n">
        <v>57.31</v>
      </c>
      <c r="G277" t="n">
        <v>53.5</v>
      </c>
      <c r="H277" t="n">
        <v>51.8</v>
      </c>
      <c r="I277" t="n">
        <v>55</v>
      </c>
      <c r="J277" t="n">
        <v>48.6</v>
      </c>
      <c r="K277" t="n">
        <v>48.2</v>
      </c>
      <c r="L277" t="n">
        <v>54.4</v>
      </c>
      <c r="M277" t="n">
        <v>48.7</v>
      </c>
      <c r="N277" t="n">
        <v>52.1</v>
      </c>
      <c r="O277" t="n">
        <v>50.9</v>
      </c>
      <c r="P277" t="n">
        <v>51.4</v>
      </c>
      <c r="Q277" t="n">
        <v>51.8</v>
      </c>
      <c r="R277" t="n">
        <v>54.7701694624791</v>
      </c>
      <c r="S277" t="n">
        <v>50.2</v>
      </c>
      <c r="T277" t="n">
        <v>52.4</v>
      </c>
      <c r="U277" t="n">
        <v>53.2</v>
      </c>
      <c r="V277" t="n">
        <v>46.47</v>
      </c>
      <c r="W277" t="n">
        <v>48</v>
      </c>
      <c r="X277" t="n">
        <v>53.3</v>
      </c>
      <c r="Y277" t="n">
        <v>52.7</v>
      </c>
      <c r="Z277" t="n">
        <v>48.8</v>
      </c>
      <c r="AA277" t="n">
        <v>49.8</v>
      </c>
      <c r="AB277" t="n">
        <v>53.8</v>
      </c>
      <c r="AC277" t="n">
        <v>53.4</v>
      </c>
      <c r="AD277" t="n">
        <v>51.7</v>
      </c>
    </row>
    <row r="278">
      <c r="A278" s="96" t="n">
        <v>42675</v>
      </c>
      <c r="B278" t="n">
        <v>54.2</v>
      </c>
      <c r="C278" t="n">
        <v>46.2</v>
      </c>
      <c r="D278" t="n">
        <v>51.5</v>
      </c>
      <c r="E278" t="n">
        <v>52.2</v>
      </c>
      <c r="F278" t="n">
        <v>57.22</v>
      </c>
      <c r="G278" t="n">
        <v>53.7</v>
      </c>
      <c r="H278" t="n">
        <v>51.7</v>
      </c>
      <c r="I278" t="n">
        <v>54.3</v>
      </c>
      <c r="J278" t="n">
        <v>48.3</v>
      </c>
      <c r="K278" t="n">
        <v>49.5</v>
      </c>
      <c r="L278" t="n">
        <v>52.3</v>
      </c>
      <c r="M278" t="n">
        <v>49.7</v>
      </c>
      <c r="N278" t="n">
        <v>53.7</v>
      </c>
      <c r="O278" t="n">
        <v>52.2</v>
      </c>
      <c r="P278" t="n">
        <v>51.3</v>
      </c>
      <c r="Q278" t="n">
        <v>51.1</v>
      </c>
      <c r="R278" t="n">
        <v>54.2946996597062</v>
      </c>
      <c r="S278" t="n">
        <v>51.9</v>
      </c>
      <c r="T278" t="n">
        <v>53.6</v>
      </c>
      <c r="U278" t="n">
        <v>55</v>
      </c>
      <c r="V278" t="n">
        <v>49.22</v>
      </c>
      <c r="W278" t="n">
        <v>48</v>
      </c>
      <c r="X278" t="n">
        <v>54.5</v>
      </c>
      <c r="Y278" t="n">
        <v>54.7</v>
      </c>
      <c r="Z278" t="n">
        <v>48.2</v>
      </c>
      <c r="AA278" t="n">
        <v>48.8</v>
      </c>
      <c r="AB278" t="n">
        <v>53.2</v>
      </c>
      <c r="AC278" t="n">
        <v>54.1</v>
      </c>
      <c r="AD278" t="n">
        <v>54</v>
      </c>
    </row>
    <row r="279">
      <c r="A279" s="96" t="n">
        <v>42705</v>
      </c>
      <c r="B279" t="n">
        <v>55.4</v>
      </c>
      <c r="C279" t="n">
        <v>45.2</v>
      </c>
      <c r="D279" t="n">
        <v>51.8</v>
      </c>
      <c r="E279" t="n">
        <v>53.8</v>
      </c>
      <c r="F279" t="n">
        <v>62.52</v>
      </c>
      <c r="G279" t="n">
        <v>54.9</v>
      </c>
      <c r="H279" t="n">
        <v>53.5</v>
      </c>
      <c r="I279" t="n">
        <v>55.6</v>
      </c>
      <c r="J279" t="n">
        <v>49.3</v>
      </c>
      <c r="K279" t="n">
        <v>50.3</v>
      </c>
      <c r="L279" t="n">
        <v>49.6</v>
      </c>
      <c r="M279" t="n">
        <v>49</v>
      </c>
      <c r="N279" t="n">
        <v>55.7</v>
      </c>
      <c r="O279" t="n">
        <v>53.2</v>
      </c>
      <c r="P279" t="n">
        <v>52.4</v>
      </c>
      <c r="Q279" t="n">
        <v>50.2</v>
      </c>
      <c r="R279" t="n">
        <v>54.6328503036431</v>
      </c>
      <c r="S279" t="n">
        <v>54.3</v>
      </c>
      <c r="T279" t="n">
        <v>53.7</v>
      </c>
      <c r="U279" t="n">
        <v>55.5</v>
      </c>
      <c r="V279" t="n">
        <v>48.56</v>
      </c>
      <c r="W279" t="n">
        <v>49.4</v>
      </c>
      <c r="X279" t="n">
        <v>55.3</v>
      </c>
      <c r="Y279" t="n">
        <v>56.2</v>
      </c>
      <c r="Z279" t="n">
        <v>50.6</v>
      </c>
      <c r="AA279" t="n">
        <v>47.7</v>
      </c>
      <c r="AB279" t="n">
        <v>55.6</v>
      </c>
      <c r="AC279" t="n">
        <v>54.3</v>
      </c>
      <c r="AD279" t="n">
        <v>52.4</v>
      </c>
    </row>
    <row r="280">
      <c r="A280" s="96" t="n">
        <v>42736</v>
      </c>
      <c r="B280" t="n">
        <v>51.2</v>
      </c>
      <c r="C280" t="n">
        <v>44</v>
      </c>
      <c r="D280" t="n">
        <v>53.5</v>
      </c>
      <c r="E280" t="n">
        <v>55.7</v>
      </c>
      <c r="F280" t="n">
        <v>57.57</v>
      </c>
      <c r="G280" t="n">
        <v>55.2</v>
      </c>
      <c r="H280" t="n">
        <v>53.6</v>
      </c>
      <c r="I280" t="n">
        <v>56.4</v>
      </c>
      <c r="J280" t="n">
        <v>46.6</v>
      </c>
      <c r="K280" t="n">
        <v>49.9</v>
      </c>
      <c r="L280" t="n">
        <v>50.4</v>
      </c>
      <c r="M280" t="n">
        <v>50.4</v>
      </c>
      <c r="N280" t="n">
        <v>55.5</v>
      </c>
      <c r="O280" t="n">
        <v>53</v>
      </c>
      <c r="P280" t="n">
        <v>52.7</v>
      </c>
      <c r="Q280" t="n">
        <v>50.8</v>
      </c>
      <c r="R280" t="n">
        <v>53.201234556973</v>
      </c>
      <c r="S280" t="n">
        <v>54.8</v>
      </c>
      <c r="T280" t="n">
        <v>54.7</v>
      </c>
      <c r="U280" t="n">
        <v>56.7</v>
      </c>
      <c r="V280" t="n">
        <v>50.08</v>
      </c>
      <c r="W280" t="n">
        <v>49</v>
      </c>
      <c r="X280" t="n">
        <v>55.6</v>
      </c>
      <c r="Y280" t="n">
        <v>55.6</v>
      </c>
      <c r="Z280" t="n">
        <v>50.6</v>
      </c>
      <c r="AA280" t="n">
        <v>48.7</v>
      </c>
      <c r="AB280" t="n">
        <v>55.2</v>
      </c>
      <c r="AC280" t="n">
        <v>55</v>
      </c>
      <c r="AD280" t="n">
        <v>51.9</v>
      </c>
    </row>
    <row r="281">
      <c r="A281" s="96" t="n">
        <v>42767</v>
      </c>
      <c r="B281" t="n">
        <v>59.3</v>
      </c>
      <c r="C281" t="n">
        <v>46.9</v>
      </c>
      <c r="D281" t="n">
        <v>54.7</v>
      </c>
      <c r="E281" t="n">
        <v>57.6</v>
      </c>
      <c r="F281" t="n">
        <v>56.51</v>
      </c>
      <c r="G281" t="n">
        <v>55.4</v>
      </c>
      <c r="H281" t="n">
        <v>52.2</v>
      </c>
      <c r="I281" t="n">
        <v>56.8</v>
      </c>
      <c r="J281" t="n">
        <v>47.7</v>
      </c>
      <c r="K281" t="n">
        <v>49.6</v>
      </c>
      <c r="L281" t="n">
        <v>50.7</v>
      </c>
      <c r="M281" t="n">
        <v>49.3</v>
      </c>
      <c r="N281" t="n">
        <v>53.8</v>
      </c>
      <c r="O281" t="n">
        <v>55</v>
      </c>
      <c r="P281" t="n">
        <v>53.3</v>
      </c>
      <c r="Q281" t="n">
        <v>50.6</v>
      </c>
      <c r="R281" t="n">
        <v>56.0520938037381</v>
      </c>
      <c r="S281" t="n">
        <v>54.2</v>
      </c>
      <c r="T281" t="n">
        <v>52.5</v>
      </c>
      <c r="U281" t="n">
        <v>57</v>
      </c>
      <c r="V281" t="n">
        <v>51.22</v>
      </c>
      <c r="W281" t="n">
        <v>49.2</v>
      </c>
      <c r="X281" t="n">
        <v>54.8</v>
      </c>
      <c r="Y281" t="n">
        <v>54.5</v>
      </c>
      <c r="Z281" t="n">
        <v>50.6</v>
      </c>
      <c r="AA281" t="n">
        <v>49.7</v>
      </c>
      <c r="AB281" t="n">
        <v>54.5</v>
      </c>
      <c r="AC281" t="n">
        <v>54.2</v>
      </c>
      <c r="AD281" t="n">
        <v>54.2</v>
      </c>
    </row>
    <row r="282">
      <c r="A282" s="96" t="n">
        <v>42795</v>
      </c>
      <c r="B282" t="n">
        <v>57.5</v>
      </c>
      <c r="C282" t="n">
        <v>49.6</v>
      </c>
      <c r="D282" t="n">
        <v>55.5</v>
      </c>
      <c r="E282" t="n">
        <v>57.5</v>
      </c>
      <c r="F282" t="n">
        <v>56.62</v>
      </c>
      <c r="G282" t="n">
        <v>56.2</v>
      </c>
      <c r="H282" t="n">
        <v>53.3</v>
      </c>
      <c r="I282" t="n">
        <v>58.3</v>
      </c>
      <c r="J282" t="n">
        <v>46.7</v>
      </c>
      <c r="K282" t="n">
        <v>49.9</v>
      </c>
      <c r="L282" t="n">
        <v>52.5</v>
      </c>
      <c r="M282" t="n">
        <v>50.5</v>
      </c>
      <c r="N282" t="n">
        <v>53.6</v>
      </c>
      <c r="O282" t="n">
        <v>55.7</v>
      </c>
      <c r="P282" t="n">
        <v>52.4</v>
      </c>
      <c r="Q282" t="n">
        <v>51.5</v>
      </c>
      <c r="R282" t="n">
        <v>58.7228290929402</v>
      </c>
      <c r="S282" t="n">
        <v>53.5</v>
      </c>
      <c r="T282" t="n">
        <v>52.4</v>
      </c>
      <c r="U282" t="n">
        <v>56.4</v>
      </c>
      <c r="V282" t="n">
        <v>50.81</v>
      </c>
      <c r="W282" t="n">
        <v>48.4</v>
      </c>
      <c r="X282" t="n">
        <v>53.9</v>
      </c>
      <c r="Y282" t="n">
        <v>56.2</v>
      </c>
      <c r="Z282" t="n">
        <v>50.2</v>
      </c>
      <c r="AA282" t="n">
        <v>52.3</v>
      </c>
      <c r="AB282" t="n">
        <v>54.1</v>
      </c>
      <c r="AC282" t="n">
        <v>53.3</v>
      </c>
      <c r="AD282" t="n">
        <v>54.6</v>
      </c>
    </row>
    <row r="283">
      <c r="A283" s="96" t="n">
        <v>42826</v>
      </c>
      <c r="B283" t="n">
        <v>59.2</v>
      </c>
      <c r="C283" t="n">
        <v>50.1</v>
      </c>
      <c r="D283" t="n">
        <v>55.9</v>
      </c>
      <c r="E283" t="n">
        <v>57.5</v>
      </c>
      <c r="F283" t="n">
        <v>49.11</v>
      </c>
      <c r="G283" t="n">
        <v>56.7</v>
      </c>
      <c r="H283" t="n">
        <v>55.1</v>
      </c>
      <c r="I283" t="n">
        <v>58.2</v>
      </c>
      <c r="J283" t="n">
        <v>48.2</v>
      </c>
      <c r="K283" t="n">
        <v>51.1</v>
      </c>
      <c r="L283" t="n">
        <v>52.5</v>
      </c>
      <c r="M283" t="n">
        <v>51.2</v>
      </c>
      <c r="N283" t="n">
        <v>55</v>
      </c>
      <c r="O283" t="n">
        <v>56.2</v>
      </c>
      <c r="P283" t="n">
        <v>52.7</v>
      </c>
      <c r="Q283" t="n">
        <v>50.7</v>
      </c>
      <c r="R283" t="n">
        <v>56.5912099880293</v>
      </c>
      <c r="S283" t="n">
        <v>54.1</v>
      </c>
      <c r="T283" t="n">
        <v>50.8</v>
      </c>
      <c r="U283" t="n">
        <v>56.5</v>
      </c>
      <c r="V283" t="n">
        <v>43.53</v>
      </c>
      <c r="W283" t="n">
        <v>49.4</v>
      </c>
      <c r="X283" t="n">
        <v>54.5</v>
      </c>
      <c r="Y283" t="n">
        <v>54.4</v>
      </c>
      <c r="Z283" t="n">
        <v>49.8</v>
      </c>
      <c r="AA283" t="n">
        <v>51.7</v>
      </c>
      <c r="AB283" t="n">
        <v>57.8</v>
      </c>
      <c r="AC283" t="n">
        <v>52.8</v>
      </c>
      <c r="AD283" t="n">
        <v>54.1</v>
      </c>
    </row>
    <row r="284">
      <c r="A284" s="96" t="n">
        <v>42856</v>
      </c>
      <c r="B284" t="n">
        <v>54.8</v>
      </c>
      <c r="C284" t="n">
        <v>52</v>
      </c>
      <c r="D284" t="n">
        <v>55.1</v>
      </c>
      <c r="E284" t="n">
        <v>56.4</v>
      </c>
      <c r="F284" t="n">
        <v>57.99</v>
      </c>
      <c r="G284" t="n">
        <v>57</v>
      </c>
      <c r="H284" t="n">
        <v>53.8</v>
      </c>
      <c r="I284" t="n">
        <v>59.5</v>
      </c>
      <c r="J284" t="n">
        <v>49.6</v>
      </c>
      <c r="K284" t="n">
        <v>50.5</v>
      </c>
      <c r="L284" t="n">
        <v>51.6</v>
      </c>
      <c r="M284" t="n">
        <v>50.6</v>
      </c>
      <c r="N284" t="n">
        <v>55.9</v>
      </c>
      <c r="O284" t="n">
        <v>55.1</v>
      </c>
      <c r="P284" t="n">
        <v>53.1</v>
      </c>
      <c r="Q284" t="n">
        <v>51.2</v>
      </c>
      <c r="R284" t="n">
        <v>57.6796522807713</v>
      </c>
      <c r="S284" t="n">
        <v>52.7</v>
      </c>
      <c r="T284" t="n">
        <v>52.4</v>
      </c>
      <c r="U284" t="n">
        <v>55.3</v>
      </c>
      <c r="V284" t="n">
        <v>50.11</v>
      </c>
      <c r="W284" t="n">
        <v>49.2</v>
      </c>
      <c r="X284" t="n">
        <v>55.4</v>
      </c>
      <c r="Y284" t="n">
        <v>53.1</v>
      </c>
      <c r="Z284" t="n">
        <v>49.7</v>
      </c>
      <c r="AA284" t="n">
        <v>53.5</v>
      </c>
      <c r="AB284" t="n">
        <v>56.6</v>
      </c>
      <c r="AC284" t="n">
        <v>52.7</v>
      </c>
      <c r="AD284" t="n">
        <v>51.6</v>
      </c>
    </row>
    <row r="285">
      <c r="A285" s="96" t="n">
        <v>42887</v>
      </c>
      <c r="B285" t="n">
        <v>55</v>
      </c>
      <c r="C285" t="n">
        <v>50.5</v>
      </c>
      <c r="D285" t="n">
        <v>54.7</v>
      </c>
      <c r="E285" t="n">
        <v>56.4</v>
      </c>
      <c r="F285" t="n">
        <v>63.61</v>
      </c>
      <c r="G285" t="n">
        <v>57.4</v>
      </c>
      <c r="H285" t="n">
        <v>54.8</v>
      </c>
      <c r="I285" t="n">
        <v>59.6</v>
      </c>
      <c r="J285" t="n">
        <v>50.5</v>
      </c>
      <c r="K285" t="n">
        <v>51.1</v>
      </c>
      <c r="L285" t="n">
        <v>50.9</v>
      </c>
      <c r="M285" t="n">
        <v>49.5</v>
      </c>
      <c r="N285" t="n">
        <v>56</v>
      </c>
      <c r="O285" t="n">
        <v>55.2</v>
      </c>
      <c r="P285" t="n">
        <v>52.4</v>
      </c>
      <c r="Q285" t="n">
        <v>52.3</v>
      </c>
      <c r="R285" t="n">
        <v>55.9080618063196</v>
      </c>
      <c r="S285" t="n">
        <v>53.1</v>
      </c>
      <c r="T285" t="n">
        <v>50.3</v>
      </c>
      <c r="U285" t="n">
        <v>54.3</v>
      </c>
      <c r="V285" t="n">
        <v>45.98</v>
      </c>
      <c r="W285" t="n">
        <v>50.1</v>
      </c>
      <c r="X285" t="n">
        <v>54.7</v>
      </c>
      <c r="Y285" t="n">
        <v>53.3</v>
      </c>
      <c r="Z285" t="n">
        <v>50.4</v>
      </c>
      <c r="AA285" t="n">
        <v>54.7</v>
      </c>
      <c r="AB285" t="n">
        <v>54.4</v>
      </c>
      <c r="AC285" t="n">
        <v>52</v>
      </c>
      <c r="AD285" t="n">
        <v>52.5</v>
      </c>
    </row>
    <row r="286">
      <c r="A286" s="96" t="n">
        <v>42917</v>
      </c>
      <c r="B286" t="n">
        <v>56</v>
      </c>
      <c r="C286" t="n">
        <v>50</v>
      </c>
      <c r="D286" t="n">
        <v>55.5</v>
      </c>
      <c r="E286" t="n">
        <v>55.3</v>
      </c>
      <c r="F286" t="n">
        <v>63.72</v>
      </c>
      <c r="G286" t="n">
        <v>56.6</v>
      </c>
      <c r="H286" t="n">
        <v>54.9</v>
      </c>
      <c r="I286" t="n">
        <v>58.1</v>
      </c>
      <c r="J286" t="n">
        <v>50.5</v>
      </c>
      <c r="K286" t="n">
        <v>51.3</v>
      </c>
      <c r="L286" t="n">
        <v>47.9</v>
      </c>
      <c r="M286" t="n">
        <v>48.6</v>
      </c>
      <c r="N286" t="n">
        <v>54.6</v>
      </c>
      <c r="O286" t="n">
        <v>55.1</v>
      </c>
      <c r="P286" t="n">
        <v>52.1</v>
      </c>
      <c r="Q286" t="n">
        <v>51.2</v>
      </c>
      <c r="R286" t="n">
        <v>55.831645577076</v>
      </c>
      <c r="S286" t="n">
        <v>52.3</v>
      </c>
      <c r="T286" t="n">
        <v>52.7</v>
      </c>
      <c r="U286" t="n">
        <v>55.7</v>
      </c>
      <c r="V286" t="n">
        <v>42.1</v>
      </c>
      <c r="W286" t="n">
        <v>49.1</v>
      </c>
      <c r="X286" t="n">
        <v>54</v>
      </c>
      <c r="Y286" t="n">
        <v>53.6</v>
      </c>
      <c r="Z286" t="n">
        <v>49.6</v>
      </c>
      <c r="AA286" t="n">
        <v>53.6</v>
      </c>
      <c r="AB286" t="n">
        <v>55.3</v>
      </c>
      <c r="AC286" t="n">
        <v>53.3</v>
      </c>
      <c r="AD286" t="n">
        <v>51.7</v>
      </c>
    </row>
    <row r="287">
      <c r="A287" s="96" t="n">
        <v>42948</v>
      </c>
      <c r="B287" t="n">
        <v>59.8</v>
      </c>
      <c r="C287" t="n">
        <v>50.9</v>
      </c>
      <c r="D287" t="n">
        <v>54.6</v>
      </c>
      <c r="E287" t="n">
        <v>54.9</v>
      </c>
      <c r="F287" t="n">
        <v>60.57</v>
      </c>
      <c r="G287" t="n">
        <v>57.4</v>
      </c>
      <c r="H287" t="n">
        <v>55.8</v>
      </c>
      <c r="I287" t="n">
        <v>59.3</v>
      </c>
      <c r="J287" t="n">
        <v>52.2</v>
      </c>
      <c r="K287" t="n">
        <v>49.7</v>
      </c>
      <c r="L287" t="n">
        <v>51.2</v>
      </c>
      <c r="M287" t="n">
        <v>50.7</v>
      </c>
      <c r="N287" t="n">
        <v>56.1</v>
      </c>
      <c r="O287" t="n">
        <v>56.3</v>
      </c>
      <c r="P287" t="n">
        <v>52.2</v>
      </c>
      <c r="Q287" t="n">
        <v>52.2</v>
      </c>
      <c r="R287" t="n">
        <v>57.8875336583496</v>
      </c>
      <c r="S287" t="n">
        <v>52.5</v>
      </c>
      <c r="T287" t="n">
        <v>51.6</v>
      </c>
      <c r="U287" t="n">
        <v>55.8</v>
      </c>
      <c r="V287" t="n">
        <v>46.1</v>
      </c>
      <c r="W287" t="n">
        <v>49.9</v>
      </c>
      <c r="X287" t="n">
        <v>52.4</v>
      </c>
      <c r="Y287" t="n">
        <v>54.3</v>
      </c>
      <c r="Z287" t="n">
        <v>49.5</v>
      </c>
      <c r="AA287" t="n">
        <v>55.3</v>
      </c>
      <c r="AB287" t="n">
        <v>56.8</v>
      </c>
      <c r="AC287" t="n">
        <v>52.8</v>
      </c>
      <c r="AD287" t="n">
        <v>51.8</v>
      </c>
    </row>
    <row r="288">
      <c r="A288" s="96" t="n">
        <v>42979</v>
      </c>
      <c r="B288" t="n">
        <v>54.2</v>
      </c>
      <c r="C288" t="n">
        <v>50.9</v>
      </c>
      <c r="D288" t="n">
        <v>55</v>
      </c>
      <c r="E288" t="n">
        <v>56.6</v>
      </c>
      <c r="F288" t="n">
        <v>61.78</v>
      </c>
      <c r="G288" t="n">
        <v>58.1</v>
      </c>
      <c r="H288" t="n">
        <v>56.1</v>
      </c>
      <c r="I288" t="n">
        <v>60.6</v>
      </c>
      <c r="J288" t="n">
        <v>52.8</v>
      </c>
      <c r="K288" t="n">
        <v>51.2</v>
      </c>
      <c r="L288" t="n">
        <v>51.2</v>
      </c>
      <c r="M288" t="n">
        <v>50.4</v>
      </c>
      <c r="N288" t="n">
        <v>55.4</v>
      </c>
      <c r="O288" t="n">
        <v>56.3</v>
      </c>
      <c r="P288" t="n">
        <v>52.9</v>
      </c>
      <c r="Q288" t="n">
        <v>52.8</v>
      </c>
      <c r="R288" t="n">
        <v>57.5865651905984</v>
      </c>
      <c r="S288" t="n">
        <v>53.7</v>
      </c>
      <c r="T288" t="n">
        <v>51.9</v>
      </c>
      <c r="U288" t="n">
        <v>55.5</v>
      </c>
      <c r="V288" t="n">
        <v>46.4</v>
      </c>
      <c r="W288" t="n">
        <v>50.6</v>
      </c>
      <c r="X288" t="n">
        <v>54.3</v>
      </c>
      <c r="Y288" t="n">
        <v>54.2</v>
      </c>
      <c r="Z288" t="n">
        <v>50.3</v>
      </c>
      <c r="AA288" t="n">
        <v>53.5</v>
      </c>
      <c r="AB288" t="n">
        <v>56</v>
      </c>
      <c r="AC288" t="n">
        <v>53.1</v>
      </c>
      <c r="AD288" t="n">
        <v>53.3</v>
      </c>
    </row>
    <row r="289">
      <c r="A289" s="96" t="n">
        <v>43009</v>
      </c>
      <c r="B289" t="n">
        <v>51.1</v>
      </c>
      <c r="C289" t="n">
        <v>51.2</v>
      </c>
      <c r="D289" t="n">
        <v>54.3</v>
      </c>
      <c r="E289" t="n">
        <v>58.5</v>
      </c>
      <c r="F289" t="n">
        <v>58.57</v>
      </c>
      <c r="G289" t="n">
        <v>58.5</v>
      </c>
      <c r="H289" t="n">
        <v>56.1</v>
      </c>
      <c r="I289" t="n">
        <v>60.6</v>
      </c>
      <c r="J289" t="n">
        <v>52.1</v>
      </c>
      <c r="K289" t="n">
        <v>50.3</v>
      </c>
      <c r="L289" t="n">
        <v>50.3</v>
      </c>
      <c r="M289" t="n">
        <v>50.1</v>
      </c>
      <c r="N289" t="n">
        <v>54.4</v>
      </c>
      <c r="O289" t="n">
        <v>57.8</v>
      </c>
      <c r="P289" t="n">
        <v>52.8</v>
      </c>
      <c r="Q289" t="n">
        <v>49.2</v>
      </c>
      <c r="R289" t="n">
        <v>56.8314314778171</v>
      </c>
      <c r="S289" t="n">
        <v>53.4</v>
      </c>
      <c r="T289" t="n">
        <v>51.1</v>
      </c>
      <c r="U289" t="n">
        <v>55.6</v>
      </c>
      <c r="V289" t="n">
        <v>48.4</v>
      </c>
      <c r="W289" t="n">
        <v>50.2</v>
      </c>
      <c r="X289" t="n">
        <v>55.8</v>
      </c>
      <c r="Y289" t="n">
        <v>53.6</v>
      </c>
      <c r="Z289" t="n">
        <v>49.8</v>
      </c>
      <c r="AA289" t="n">
        <v>52.8</v>
      </c>
      <c r="AB289" t="n">
        <v>56.2</v>
      </c>
      <c r="AC289" t="n">
        <v>54.6</v>
      </c>
      <c r="AD289" t="n">
        <v>51.6</v>
      </c>
    </row>
    <row r="290">
      <c r="A290" s="96" t="n">
        <v>43040</v>
      </c>
      <c r="B290" t="n">
        <v>57.3</v>
      </c>
      <c r="C290" t="n">
        <v>53.5</v>
      </c>
      <c r="D290" t="n">
        <v>54.4</v>
      </c>
      <c r="E290" t="n">
        <v>58.7</v>
      </c>
      <c r="F290" t="n">
        <v>58.31</v>
      </c>
      <c r="G290" t="n">
        <v>60.1</v>
      </c>
      <c r="H290" t="n">
        <v>57.7</v>
      </c>
      <c r="I290" t="n">
        <v>62.5</v>
      </c>
      <c r="J290" t="n">
        <v>52.2</v>
      </c>
      <c r="K290" t="n">
        <v>50.7</v>
      </c>
      <c r="L290" t="n">
        <v>52.6</v>
      </c>
      <c r="M290" t="n">
        <v>50.4</v>
      </c>
      <c r="N290" t="n">
        <v>58.1</v>
      </c>
      <c r="O290" t="n">
        <v>58.3</v>
      </c>
      <c r="P290" t="n">
        <v>53.6</v>
      </c>
      <c r="Q290" t="n">
        <v>52.4</v>
      </c>
      <c r="R290" t="n">
        <v>57.427575830615</v>
      </c>
      <c r="S290" t="n">
        <v>54.2</v>
      </c>
      <c r="T290" t="n">
        <v>51.5</v>
      </c>
      <c r="U290" t="n">
        <v>57.5</v>
      </c>
      <c r="V290" t="n">
        <v>48.9</v>
      </c>
      <c r="W290" t="n">
        <v>51.2</v>
      </c>
      <c r="X290" t="n">
        <v>56.1</v>
      </c>
      <c r="Y290" t="n">
        <v>56.3</v>
      </c>
      <c r="Z290" t="n">
        <v>50</v>
      </c>
      <c r="AA290" t="n">
        <v>52.9</v>
      </c>
      <c r="AB290" t="n">
        <v>58.3</v>
      </c>
      <c r="AC290" t="n">
        <v>53.9</v>
      </c>
      <c r="AD290" t="n">
        <v>51.4</v>
      </c>
    </row>
    <row r="291">
      <c r="A291" s="96" t="n">
        <v>43070</v>
      </c>
      <c r="B291" t="n">
        <v>56.2</v>
      </c>
      <c r="C291" t="n">
        <v>52.4</v>
      </c>
      <c r="D291" t="n">
        <v>54.7</v>
      </c>
      <c r="E291" t="n">
        <v>59.8</v>
      </c>
      <c r="F291" t="n">
        <v>61.04</v>
      </c>
      <c r="G291" t="n">
        <v>60.6</v>
      </c>
      <c r="H291" t="n">
        <v>58.8</v>
      </c>
      <c r="I291" t="n">
        <v>63.3</v>
      </c>
      <c r="J291" t="n">
        <v>53.1</v>
      </c>
      <c r="K291" t="n">
        <v>51.5</v>
      </c>
      <c r="L291" t="n">
        <v>54.7</v>
      </c>
      <c r="M291" t="n">
        <v>49.3</v>
      </c>
      <c r="N291" t="n">
        <v>59.1</v>
      </c>
      <c r="O291" t="n">
        <v>57.4</v>
      </c>
      <c r="P291" t="n">
        <v>54</v>
      </c>
      <c r="Q291" t="n">
        <v>51.7</v>
      </c>
      <c r="R291" t="n">
        <v>50.9648930060402</v>
      </c>
      <c r="S291" t="n">
        <v>55</v>
      </c>
      <c r="T291" t="n">
        <v>52</v>
      </c>
      <c r="U291" t="n">
        <v>57.3</v>
      </c>
      <c r="V291" t="n">
        <v>45.9</v>
      </c>
      <c r="W291" t="n">
        <v>49.9</v>
      </c>
      <c r="X291" t="n">
        <v>55.8</v>
      </c>
      <c r="Y291" t="n">
        <v>56.6</v>
      </c>
      <c r="Z291" t="n">
        <v>50.4</v>
      </c>
      <c r="AA291" t="n">
        <v>54.9</v>
      </c>
      <c r="AB291" t="n">
        <v>56</v>
      </c>
      <c r="AC291" t="n">
        <v>55.1</v>
      </c>
      <c r="AD291" t="n">
        <v>52.5</v>
      </c>
    </row>
    <row r="292">
      <c r="A292" s="96" t="n">
        <v>43101</v>
      </c>
      <c r="B292" t="n">
        <v>58.7</v>
      </c>
      <c r="C292" t="n">
        <v>51.2</v>
      </c>
      <c r="D292" t="n">
        <v>55.9</v>
      </c>
      <c r="E292" t="n">
        <v>59.8</v>
      </c>
      <c r="F292" t="n">
        <v>66.65000000000001</v>
      </c>
      <c r="G292" t="n">
        <v>59.6</v>
      </c>
      <c r="H292" t="n">
        <v>58.4</v>
      </c>
      <c r="I292" t="n">
        <v>61.1</v>
      </c>
      <c r="J292" t="n">
        <v>55.2</v>
      </c>
      <c r="K292" t="n">
        <v>51.1</v>
      </c>
      <c r="L292" t="n">
        <v>52.4</v>
      </c>
      <c r="M292" t="n">
        <v>49.9</v>
      </c>
      <c r="N292" t="n">
        <v>57.6</v>
      </c>
      <c r="O292" t="n">
        <v>59</v>
      </c>
      <c r="P292" t="n">
        <v>54.8</v>
      </c>
      <c r="Q292" t="n">
        <v>52.6</v>
      </c>
      <c r="R292" t="n">
        <v>55.3991300439726</v>
      </c>
      <c r="S292" t="n">
        <v>54.6</v>
      </c>
      <c r="T292" t="n">
        <v>52.1</v>
      </c>
      <c r="U292" t="n">
        <v>53</v>
      </c>
      <c r="V292" t="n">
        <v>49.2</v>
      </c>
      <c r="W292" t="n">
        <v>50.7</v>
      </c>
      <c r="X292" t="n">
        <v>55.2</v>
      </c>
      <c r="Y292" t="n">
        <v>56.9</v>
      </c>
      <c r="Z292" t="n">
        <v>50.6</v>
      </c>
      <c r="AA292" t="n">
        <v>55.7</v>
      </c>
      <c r="AB292" t="n">
        <v>55</v>
      </c>
      <c r="AC292" t="n">
        <v>55.5</v>
      </c>
      <c r="AD292" t="n">
        <v>53.4</v>
      </c>
    </row>
    <row r="293">
      <c r="A293" s="96" t="n">
        <v>43132</v>
      </c>
      <c r="B293" t="n">
        <v>57.5</v>
      </c>
      <c r="C293" t="n">
        <v>53.2</v>
      </c>
      <c r="D293" t="n">
        <v>55.6</v>
      </c>
      <c r="E293" t="n">
        <v>58.8</v>
      </c>
      <c r="F293" t="n">
        <v>70.75</v>
      </c>
      <c r="G293" t="n">
        <v>58.6</v>
      </c>
      <c r="H293" t="n">
        <v>55.9</v>
      </c>
      <c r="I293" t="n">
        <v>60.6</v>
      </c>
      <c r="J293" t="n">
        <v>56.1</v>
      </c>
      <c r="K293" t="n">
        <v>51.7</v>
      </c>
      <c r="L293" t="n">
        <v>52.1</v>
      </c>
      <c r="M293" t="n">
        <v>51.4</v>
      </c>
      <c r="N293" t="n">
        <v>56.2</v>
      </c>
      <c r="O293" t="n">
        <v>56.8</v>
      </c>
      <c r="P293" t="n">
        <v>54.1</v>
      </c>
      <c r="Q293" t="n">
        <v>51.6</v>
      </c>
      <c r="R293" t="n">
        <v>53.4528751329017</v>
      </c>
      <c r="S293" t="n">
        <v>53.7</v>
      </c>
      <c r="T293" t="n">
        <v>50.2</v>
      </c>
      <c r="U293" t="n">
        <v>53.2</v>
      </c>
      <c r="V293" t="n">
        <v>50</v>
      </c>
      <c r="W293" t="n">
        <v>50.3</v>
      </c>
      <c r="X293" t="n">
        <v>56</v>
      </c>
      <c r="Y293" t="n">
        <v>56</v>
      </c>
      <c r="Z293" t="n">
        <v>50.9</v>
      </c>
      <c r="AA293" t="n">
        <v>55.6</v>
      </c>
      <c r="AB293" t="n">
        <v>54.9</v>
      </c>
      <c r="AC293" t="n">
        <v>55.3</v>
      </c>
      <c r="AD293" t="n">
        <v>53.5</v>
      </c>
    </row>
    <row r="294">
      <c r="A294" s="96" t="n">
        <v>43160</v>
      </c>
      <c r="B294" t="n">
        <v>63.1</v>
      </c>
      <c r="C294" t="n">
        <v>53.4</v>
      </c>
      <c r="D294" t="n">
        <v>55.7</v>
      </c>
      <c r="E294" t="n">
        <v>57.3</v>
      </c>
      <c r="F294" t="n">
        <v>61.05</v>
      </c>
      <c r="G294" t="n">
        <v>56.6</v>
      </c>
      <c r="H294" t="n">
        <v>53.7</v>
      </c>
      <c r="I294" t="n">
        <v>58.4</v>
      </c>
      <c r="J294" t="n">
        <v>55</v>
      </c>
      <c r="K294" t="n">
        <v>50.6</v>
      </c>
      <c r="L294" t="n">
        <v>51</v>
      </c>
      <c r="M294" t="n">
        <v>50.7</v>
      </c>
      <c r="N294" t="n">
        <v>54.1</v>
      </c>
      <c r="O294" t="n">
        <v>55.1</v>
      </c>
      <c r="P294" t="n">
        <v>53.2</v>
      </c>
      <c r="Q294" t="n">
        <v>52.4</v>
      </c>
      <c r="R294" t="n">
        <v>53.1388928325548</v>
      </c>
      <c r="S294" t="n">
        <v>53.7</v>
      </c>
      <c r="T294" t="n">
        <v>50.6</v>
      </c>
      <c r="U294" t="n">
        <v>52.8</v>
      </c>
      <c r="V294" t="n">
        <v>46.7</v>
      </c>
      <c r="W294" t="n">
        <v>49.1</v>
      </c>
      <c r="X294" t="n">
        <v>54.8</v>
      </c>
      <c r="Y294" t="n">
        <v>55.3</v>
      </c>
      <c r="Z294" t="n">
        <v>49.1</v>
      </c>
      <c r="AA294" t="n">
        <v>51.8</v>
      </c>
      <c r="AB294" t="n">
        <v>54.9</v>
      </c>
      <c r="AC294" t="n">
        <v>55.6</v>
      </c>
      <c r="AD294" t="n">
        <v>51.6</v>
      </c>
    </row>
    <row r="295">
      <c r="A295" s="96" t="n">
        <v>43191</v>
      </c>
      <c r="B295" t="n">
        <v>58.3</v>
      </c>
      <c r="C295" t="n">
        <v>52.3</v>
      </c>
      <c r="D295" t="n">
        <v>55.5</v>
      </c>
      <c r="E295" t="n">
        <v>57.2</v>
      </c>
      <c r="F295" t="n">
        <v>54.24</v>
      </c>
      <c r="G295" t="n">
        <v>56.2</v>
      </c>
      <c r="H295" t="n">
        <v>53.8</v>
      </c>
      <c r="I295" t="n">
        <v>58.1</v>
      </c>
      <c r="J295" t="n">
        <v>52.9</v>
      </c>
      <c r="K295" t="n">
        <v>49.1</v>
      </c>
      <c r="L295" t="n">
        <v>51.6</v>
      </c>
      <c r="M295" t="n">
        <v>51.6</v>
      </c>
      <c r="N295" t="n">
        <v>55.3</v>
      </c>
      <c r="O295" t="n">
        <v>53.5</v>
      </c>
      <c r="P295" t="n">
        <v>53.8</v>
      </c>
      <c r="Q295" t="n">
        <v>51.6</v>
      </c>
      <c r="R295" t="n">
        <v>59.2035308013539</v>
      </c>
      <c r="S295" t="n">
        <v>53.9</v>
      </c>
      <c r="T295" t="n">
        <v>51.3</v>
      </c>
      <c r="U295" t="n">
        <v>51.4</v>
      </c>
      <c r="V295" t="n">
        <v>49.1</v>
      </c>
      <c r="W295" t="n">
        <v>48.4</v>
      </c>
      <c r="X295" t="n">
        <v>54.4</v>
      </c>
      <c r="Y295" t="n">
        <v>54.8</v>
      </c>
      <c r="Z295" t="n">
        <v>49.5</v>
      </c>
      <c r="AA295" t="n">
        <v>48.9</v>
      </c>
      <c r="AB295" t="n">
        <v>53.9</v>
      </c>
      <c r="AC295" t="n">
        <v>56.5</v>
      </c>
      <c r="AD295" t="n">
        <v>52.9</v>
      </c>
    </row>
    <row r="296">
      <c r="A296" s="96" t="n">
        <v>43221</v>
      </c>
      <c r="B296" t="n">
        <v>57.5</v>
      </c>
      <c r="C296" t="n">
        <v>50.7</v>
      </c>
      <c r="D296" t="n">
        <v>56.2</v>
      </c>
      <c r="E296" t="n">
        <v>56.5</v>
      </c>
      <c r="F296" t="n">
        <v>47.78</v>
      </c>
      <c r="G296" t="n">
        <v>55.5</v>
      </c>
      <c r="H296" t="n">
        <v>55.1</v>
      </c>
      <c r="I296" t="n">
        <v>56.9</v>
      </c>
      <c r="J296" t="n">
        <v>54.2</v>
      </c>
      <c r="K296" t="n">
        <v>47.8</v>
      </c>
      <c r="L296" t="n">
        <v>51.2</v>
      </c>
      <c r="M296" t="n">
        <v>51.7</v>
      </c>
      <c r="N296" t="n">
        <v>55.4</v>
      </c>
      <c r="O296" t="n">
        <v>52.7</v>
      </c>
      <c r="P296" t="n">
        <v>52.8</v>
      </c>
      <c r="Q296" t="n">
        <v>51</v>
      </c>
      <c r="R296" t="n">
        <v>54.3282300911429</v>
      </c>
      <c r="S296" t="n">
        <v>53.3</v>
      </c>
      <c r="T296" t="n">
        <v>49.8</v>
      </c>
      <c r="U296" t="n">
        <v>53.2</v>
      </c>
      <c r="V296" t="n">
        <v>49.4</v>
      </c>
      <c r="W296" t="n">
        <v>48.9</v>
      </c>
      <c r="X296" t="n">
        <v>53.4</v>
      </c>
      <c r="Y296" t="n">
        <v>53.4</v>
      </c>
      <c r="Z296" t="n">
        <v>51.1</v>
      </c>
      <c r="AA296" t="n">
        <v>46.4</v>
      </c>
      <c r="AB296" t="n">
        <v>54.4</v>
      </c>
      <c r="AC296" t="n">
        <v>56.4</v>
      </c>
      <c r="AD296" t="n">
        <v>53.9</v>
      </c>
    </row>
    <row r="297">
      <c r="A297" s="96" t="n">
        <v>43252</v>
      </c>
      <c r="B297" t="n">
        <v>57.4</v>
      </c>
      <c r="C297" t="n">
        <v>49.8</v>
      </c>
      <c r="D297" t="n">
        <v>57.1</v>
      </c>
      <c r="E297" t="n">
        <v>56.8</v>
      </c>
      <c r="F297" t="n">
        <v>49.8</v>
      </c>
      <c r="G297" t="n">
        <v>54.9</v>
      </c>
      <c r="H297" t="n">
        <v>52.5</v>
      </c>
      <c r="I297" t="n">
        <v>55.9</v>
      </c>
      <c r="J297" t="n">
        <v>53.5</v>
      </c>
      <c r="K297" t="n">
        <v>47.7</v>
      </c>
      <c r="L297" t="n">
        <v>53.1</v>
      </c>
      <c r="M297" t="n">
        <v>50.3</v>
      </c>
      <c r="N297" t="n">
        <v>56.6</v>
      </c>
      <c r="O297" t="n">
        <v>53.3</v>
      </c>
      <c r="P297" t="n">
        <v>53</v>
      </c>
      <c r="Q297" t="n">
        <v>52.1</v>
      </c>
      <c r="R297" t="n">
        <v>52.7245397256422</v>
      </c>
      <c r="S297" t="n">
        <v>54.2</v>
      </c>
      <c r="T297" t="n">
        <v>49.5</v>
      </c>
      <c r="U297" t="n">
        <v>55</v>
      </c>
      <c r="V297" t="n">
        <v>48</v>
      </c>
      <c r="W297" t="n">
        <v>49.8</v>
      </c>
      <c r="X297" t="n">
        <v>53.4</v>
      </c>
      <c r="Y297" t="n">
        <v>54.5</v>
      </c>
      <c r="Z297" t="n">
        <v>50.2</v>
      </c>
      <c r="AA297" t="n">
        <v>46.8</v>
      </c>
      <c r="AB297" t="n">
        <v>54.4</v>
      </c>
      <c r="AC297" t="n">
        <v>55.4</v>
      </c>
      <c r="AD297" t="n">
        <v>55.7</v>
      </c>
    </row>
    <row r="298">
      <c r="A298" s="96" t="n">
        <v>43282</v>
      </c>
      <c r="B298" t="n">
        <v>52</v>
      </c>
      <c r="C298" t="n">
        <v>50.5</v>
      </c>
      <c r="D298" t="n">
        <v>56.9</v>
      </c>
      <c r="E298" t="n">
        <v>55.4</v>
      </c>
      <c r="F298" t="n">
        <v>55.7</v>
      </c>
      <c r="G298" t="n">
        <v>55.1</v>
      </c>
      <c r="H298" t="n">
        <v>53.3</v>
      </c>
      <c r="I298" t="n">
        <v>56.9</v>
      </c>
      <c r="J298" t="n">
        <v>53.5</v>
      </c>
      <c r="K298" t="n">
        <v>48.2</v>
      </c>
      <c r="L298" t="n">
        <v>52.3</v>
      </c>
      <c r="M298" t="n">
        <v>50.5</v>
      </c>
      <c r="N298" t="n">
        <v>56.3</v>
      </c>
      <c r="O298" t="n">
        <v>51.5</v>
      </c>
      <c r="P298" t="n">
        <v>52.3</v>
      </c>
      <c r="Q298" t="n">
        <v>52.1</v>
      </c>
      <c r="R298" t="n">
        <v>51.2462636215065</v>
      </c>
      <c r="S298" t="n">
        <v>52.9</v>
      </c>
      <c r="T298" t="n">
        <v>48.1</v>
      </c>
      <c r="U298" t="n">
        <v>54.9</v>
      </c>
      <c r="V298" t="n">
        <v>49.9</v>
      </c>
      <c r="W298" t="n">
        <v>48.3</v>
      </c>
      <c r="X298" t="n">
        <v>52.9</v>
      </c>
      <c r="Y298" t="n">
        <v>53.1</v>
      </c>
      <c r="Z298" t="n">
        <v>50.1</v>
      </c>
      <c r="AA298" t="n">
        <v>49</v>
      </c>
      <c r="AB298" t="n">
        <v>54</v>
      </c>
      <c r="AC298" t="n">
        <v>55.3</v>
      </c>
      <c r="AD298" t="n">
        <v>54.9</v>
      </c>
    </row>
    <row r="299">
      <c r="A299" s="96" t="n">
        <v>43313</v>
      </c>
      <c r="B299" t="n">
        <v>56.7</v>
      </c>
      <c r="C299" t="n">
        <v>51.1</v>
      </c>
      <c r="D299" t="n">
        <v>56.8</v>
      </c>
      <c r="E299" t="n">
        <v>54.9</v>
      </c>
      <c r="F299" t="n">
        <v>59.15</v>
      </c>
      <c r="G299" t="n">
        <v>54.6</v>
      </c>
      <c r="H299" t="n">
        <v>53.5</v>
      </c>
      <c r="I299" t="n">
        <v>55.9</v>
      </c>
      <c r="J299" t="n">
        <v>53.9</v>
      </c>
      <c r="K299" t="n">
        <v>48.5</v>
      </c>
      <c r="L299" t="n">
        <v>51.7</v>
      </c>
      <c r="M299" t="n">
        <v>51.9</v>
      </c>
      <c r="N299" t="n">
        <v>57.5</v>
      </c>
      <c r="O299" t="n">
        <v>50.1</v>
      </c>
      <c r="P299" t="n">
        <v>52.5</v>
      </c>
      <c r="Q299" t="n">
        <v>50.7</v>
      </c>
      <c r="R299" t="n">
        <v>52.1322105973522</v>
      </c>
      <c r="S299" t="n">
        <v>51.4</v>
      </c>
      <c r="T299" t="n">
        <v>48.9</v>
      </c>
      <c r="U299" t="n">
        <v>55.1</v>
      </c>
      <c r="V299" t="n">
        <v>45.2</v>
      </c>
      <c r="W299" t="n">
        <v>49.9</v>
      </c>
      <c r="X299" t="n">
        <v>53</v>
      </c>
      <c r="Y299" t="n">
        <v>53</v>
      </c>
      <c r="Z299" t="n">
        <v>49.9</v>
      </c>
      <c r="AA299" t="n">
        <v>46.4</v>
      </c>
      <c r="AB299" t="n">
        <v>52.8</v>
      </c>
      <c r="AC299" t="n">
        <v>54.5</v>
      </c>
      <c r="AD299" t="n">
        <v>53.7</v>
      </c>
    </row>
    <row r="300">
      <c r="A300" s="96" t="n">
        <v>43344</v>
      </c>
      <c r="B300" t="n">
        <v>59</v>
      </c>
      <c r="C300" t="n">
        <v>50.9</v>
      </c>
      <c r="D300" t="n">
        <v>54.8</v>
      </c>
      <c r="E300" t="n">
        <v>53.4</v>
      </c>
      <c r="F300" t="n">
        <v>53.7</v>
      </c>
      <c r="G300" t="n">
        <v>53.2</v>
      </c>
      <c r="H300" t="n">
        <v>52.5</v>
      </c>
      <c r="I300" t="n">
        <v>53.7</v>
      </c>
      <c r="J300" t="n">
        <v>53.6</v>
      </c>
      <c r="K300" t="n">
        <v>47.9</v>
      </c>
      <c r="L300" t="n">
        <v>52.2</v>
      </c>
      <c r="M300" t="n">
        <v>50.7</v>
      </c>
      <c r="N300" t="n">
        <v>56.3</v>
      </c>
      <c r="O300" t="n">
        <v>50</v>
      </c>
      <c r="P300" t="n">
        <v>52.5</v>
      </c>
      <c r="Q300" t="n">
        <v>51.7</v>
      </c>
      <c r="R300" t="n">
        <v>51.8709457657821</v>
      </c>
      <c r="S300" t="n">
        <v>50.5</v>
      </c>
      <c r="T300" t="n">
        <v>50</v>
      </c>
      <c r="U300" t="n">
        <v>53.4</v>
      </c>
      <c r="V300" t="n">
        <v>44.5</v>
      </c>
      <c r="W300" t="n">
        <v>51.3</v>
      </c>
      <c r="X300" t="n">
        <v>51.4</v>
      </c>
      <c r="Y300" t="n">
        <v>50.8</v>
      </c>
      <c r="Z300" t="n">
        <v>50</v>
      </c>
      <c r="AA300" t="n">
        <v>42.7</v>
      </c>
      <c r="AB300" t="n">
        <v>53.8</v>
      </c>
      <c r="AC300" t="n">
        <v>55.6</v>
      </c>
      <c r="AD300" t="n">
        <v>51.5</v>
      </c>
    </row>
    <row r="301">
      <c r="A301" s="96" t="n">
        <v>43374</v>
      </c>
      <c r="B301" t="n">
        <v>58.3</v>
      </c>
      <c r="C301" t="n">
        <v>51.1</v>
      </c>
      <c r="D301" t="n">
        <v>53.9</v>
      </c>
      <c r="E301" t="n">
        <v>52.5</v>
      </c>
      <c r="F301" t="n">
        <v>66.8</v>
      </c>
      <c r="G301" t="n">
        <v>52</v>
      </c>
      <c r="H301" t="n">
        <v>51.2</v>
      </c>
      <c r="I301" t="n">
        <v>52.2</v>
      </c>
      <c r="J301" t="n">
        <v>53.1</v>
      </c>
      <c r="K301" t="n">
        <v>48.6</v>
      </c>
      <c r="L301" t="n">
        <v>53.1</v>
      </c>
      <c r="M301" t="n">
        <v>50.5</v>
      </c>
      <c r="N301" t="n">
        <v>54.9</v>
      </c>
      <c r="O301" t="n">
        <v>49.2</v>
      </c>
      <c r="P301" t="n">
        <v>52.9</v>
      </c>
      <c r="Q301" t="n">
        <v>50.7</v>
      </c>
      <c r="R301" t="n">
        <v>53.5</v>
      </c>
      <c r="S301" t="n">
        <v>50.4</v>
      </c>
      <c r="T301" t="n">
        <v>51.3</v>
      </c>
      <c r="U301" t="n">
        <v>53.8</v>
      </c>
      <c r="V301" t="n">
        <v>42.4</v>
      </c>
      <c r="W301" t="n">
        <v>51</v>
      </c>
      <c r="X301" t="n">
        <v>51.8</v>
      </c>
      <c r="Y301" t="n">
        <v>48.7</v>
      </c>
      <c r="Z301" t="n">
        <v>48.9</v>
      </c>
      <c r="AA301" t="n">
        <v>44.3</v>
      </c>
      <c r="AB301" t="n">
        <v>51.1</v>
      </c>
      <c r="AC301" t="n">
        <v>55.7</v>
      </c>
      <c r="AD301" t="n">
        <v>53.9</v>
      </c>
    </row>
    <row r="302">
      <c r="A302" s="96" t="n">
        <v>43405</v>
      </c>
      <c r="B302" t="n">
        <v>51.3</v>
      </c>
      <c r="C302" t="n">
        <v>52.7</v>
      </c>
      <c r="D302" t="n">
        <v>54.9</v>
      </c>
      <c r="E302" t="n">
        <v>51.8</v>
      </c>
      <c r="F302" t="n">
        <v>58.2</v>
      </c>
      <c r="G302" t="n">
        <v>51.8</v>
      </c>
      <c r="H302" t="n">
        <v>50.8</v>
      </c>
      <c r="I302" t="n">
        <v>51.8</v>
      </c>
      <c r="J302" t="n">
        <v>54</v>
      </c>
      <c r="K302" t="n">
        <v>47.1</v>
      </c>
      <c r="L302" t="n">
        <v>54</v>
      </c>
      <c r="M302" t="n">
        <v>50.4</v>
      </c>
      <c r="N302" t="n">
        <v>55.4</v>
      </c>
      <c r="O302" t="n">
        <v>48.6</v>
      </c>
      <c r="P302" t="n">
        <v>52.2</v>
      </c>
      <c r="Q302" t="n">
        <v>49.7</v>
      </c>
      <c r="R302" t="n">
        <v>53.5</v>
      </c>
      <c r="S302" t="n">
        <v>49.5</v>
      </c>
      <c r="T302" t="n">
        <v>52.6</v>
      </c>
      <c r="U302" t="n">
        <v>55.2</v>
      </c>
      <c r="V302" t="n">
        <v>49.5</v>
      </c>
      <c r="W302" t="n">
        <v>48.6</v>
      </c>
      <c r="X302" t="n">
        <v>52.6</v>
      </c>
      <c r="Y302" t="n">
        <v>48.4</v>
      </c>
      <c r="Z302" t="n">
        <v>49.8</v>
      </c>
      <c r="AA302" t="n">
        <v>44.7</v>
      </c>
      <c r="AB302" t="n">
        <v>53.1</v>
      </c>
      <c r="AC302" t="n">
        <v>55.3</v>
      </c>
      <c r="AD302" t="n">
        <v>56.5</v>
      </c>
    </row>
    <row r="303">
      <c r="A303" s="96" t="n">
        <v>43435</v>
      </c>
      <c r="B303" t="n">
        <v>49.5</v>
      </c>
      <c r="C303" t="n">
        <v>52.6</v>
      </c>
      <c r="D303" t="n">
        <v>53.6</v>
      </c>
      <c r="E303" t="n">
        <v>49.7</v>
      </c>
      <c r="F303" t="n">
        <v>57.5</v>
      </c>
      <c r="G303" t="n">
        <v>51.4</v>
      </c>
      <c r="H303" t="n">
        <v>49.7</v>
      </c>
      <c r="I303" t="n">
        <v>51.5</v>
      </c>
      <c r="J303" t="n">
        <v>53.8</v>
      </c>
      <c r="K303" t="n">
        <v>48</v>
      </c>
      <c r="L303" t="n">
        <v>53.2</v>
      </c>
      <c r="M303" t="n">
        <v>51.2</v>
      </c>
      <c r="N303" t="n">
        <v>54.5</v>
      </c>
      <c r="O303" t="n">
        <v>49.2</v>
      </c>
      <c r="P303" t="n">
        <v>52.4</v>
      </c>
      <c r="Q303" t="n">
        <v>49.7</v>
      </c>
      <c r="R303" t="n">
        <v>55.1</v>
      </c>
      <c r="S303" t="n">
        <v>47.6</v>
      </c>
      <c r="T303" t="n">
        <v>51.7</v>
      </c>
      <c r="U303" t="n">
        <v>54.5</v>
      </c>
      <c r="V303" t="n">
        <v>50.7</v>
      </c>
      <c r="W303" t="n">
        <v>49.8</v>
      </c>
      <c r="X303" t="n">
        <v>51.1</v>
      </c>
      <c r="Y303" t="n">
        <v>47.7</v>
      </c>
      <c r="Z303" t="n">
        <v>50.3</v>
      </c>
      <c r="AA303" t="n">
        <v>44.2</v>
      </c>
      <c r="AB303" t="n">
        <v>54.2</v>
      </c>
      <c r="AC303" t="n">
        <v>53.8</v>
      </c>
      <c r="AD303" t="n">
        <v>53.8</v>
      </c>
    </row>
    <row r="304">
      <c r="A304" s="96" t="n">
        <v>43466</v>
      </c>
      <c r="B304" t="n">
        <v>52.5</v>
      </c>
      <c r="C304" t="n">
        <v>52.7</v>
      </c>
      <c r="D304" t="n">
        <v>53</v>
      </c>
      <c r="E304" t="n">
        <v>49</v>
      </c>
      <c r="F304" t="n">
        <v>51.1</v>
      </c>
      <c r="G304" t="n">
        <v>50.5</v>
      </c>
      <c r="H304" t="n">
        <v>51.2</v>
      </c>
      <c r="I304" t="n">
        <v>49.7</v>
      </c>
      <c r="J304" t="n">
        <v>53.7</v>
      </c>
      <c r="K304" t="n">
        <v>48.2</v>
      </c>
      <c r="L304" t="n">
        <v>53.9</v>
      </c>
      <c r="M304" t="n">
        <v>49.9</v>
      </c>
      <c r="N304" t="n">
        <v>52.6</v>
      </c>
      <c r="O304" t="n">
        <v>47.8</v>
      </c>
      <c r="P304" t="n">
        <v>50.3</v>
      </c>
      <c r="Q304" t="n">
        <v>50.9</v>
      </c>
      <c r="R304" t="n">
        <v>53.1</v>
      </c>
      <c r="S304" t="n">
        <v>48.2</v>
      </c>
      <c r="T304" t="n">
        <v>50.9</v>
      </c>
      <c r="U304" t="n">
        <v>56.2</v>
      </c>
      <c r="V304" t="n">
        <v>49.9</v>
      </c>
      <c r="W304" t="n">
        <v>48.3</v>
      </c>
      <c r="X304" t="n">
        <v>52.4</v>
      </c>
      <c r="Y304" t="n">
        <v>47.5</v>
      </c>
      <c r="Z304" t="n">
        <v>50.2</v>
      </c>
      <c r="AA304" t="n">
        <v>44.2</v>
      </c>
      <c r="AB304" t="n">
        <v>52.8</v>
      </c>
      <c r="AC304" t="n">
        <v>54.9</v>
      </c>
      <c r="AD304" t="n">
        <v>51.9</v>
      </c>
    </row>
    <row r="305">
      <c r="A305" s="96" t="n">
        <v>43497</v>
      </c>
      <c r="B305" t="n">
        <v>54</v>
      </c>
      <c r="C305" t="n">
        <v>53.4</v>
      </c>
      <c r="D305" t="n">
        <v>52.6</v>
      </c>
      <c r="E305" t="n">
        <v>48.6</v>
      </c>
      <c r="F305" t="n">
        <v>61.6</v>
      </c>
      <c r="G305" t="n">
        <v>49.3</v>
      </c>
      <c r="H305" t="n">
        <v>51.5</v>
      </c>
      <c r="I305" t="n">
        <v>47.6</v>
      </c>
      <c r="J305" t="n">
        <v>54.2</v>
      </c>
      <c r="K305" t="n">
        <v>48.4</v>
      </c>
      <c r="L305" t="n">
        <v>54.3</v>
      </c>
      <c r="M305" t="n">
        <v>50.1</v>
      </c>
      <c r="N305" t="n">
        <v>54</v>
      </c>
      <c r="O305" t="n">
        <v>47.7</v>
      </c>
      <c r="P305" t="n">
        <v>48.9</v>
      </c>
      <c r="Q305" t="n">
        <v>52.6</v>
      </c>
      <c r="R305" t="n">
        <v>53.4</v>
      </c>
      <c r="S305" t="n">
        <v>47.6</v>
      </c>
      <c r="T305" t="n">
        <v>50.1</v>
      </c>
      <c r="U305" t="n">
        <v>56.6</v>
      </c>
      <c r="V305" t="n">
        <v>46.2</v>
      </c>
      <c r="W305" t="n">
        <v>47.2</v>
      </c>
      <c r="X305" t="n">
        <v>49.9</v>
      </c>
      <c r="Y305" t="n">
        <v>46.3</v>
      </c>
      <c r="Z305" t="n">
        <v>49.9</v>
      </c>
      <c r="AA305" t="n">
        <v>46.4</v>
      </c>
      <c r="AB305" t="n">
        <v>52</v>
      </c>
      <c r="AC305" t="n">
        <v>53</v>
      </c>
      <c r="AD305" t="n">
        <v>51.2</v>
      </c>
    </row>
    <row r="306">
      <c r="A306" s="96" t="n">
        <v>43525</v>
      </c>
      <c r="B306" t="n">
        <v>51</v>
      </c>
      <c r="C306" t="n">
        <v>52.8</v>
      </c>
      <c r="D306" t="n">
        <v>50.5</v>
      </c>
      <c r="E306" t="n">
        <v>47.3</v>
      </c>
      <c r="F306" t="n">
        <v>56.6</v>
      </c>
      <c r="G306" t="n">
        <v>47.5</v>
      </c>
      <c r="H306" t="n">
        <v>49.7</v>
      </c>
      <c r="I306" t="n">
        <v>44.1</v>
      </c>
      <c r="J306" t="n">
        <v>54.7</v>
      </c>
      <c r="K306" t="n">
        <v>48</v>
      </c>
      <c r="L306" t="n">
        <v>52.6</v>
      </c>
      <c r="M306" t="n">
        <v>51.2</v>
      </c>
      <c r="N306" t="n">
        <v>53.9</v>
      </c>
      <c r="O306" t="n">
        <v>47.4</v>
      </c>
      <c r="P306" t="n">
        <v>49.2</v>
      </c>
      <c r="Q306" t="n">
        <v>49.8</v>
      </c>
      <c r="R306" t="n">
        <v>51.9</v>
      </c>
      <c r="S306" t="n">
        <v>48.7</v>
      </c>
      <c r="T306" t="n">
        <v>52.8</v>
      </c>
      <c r="U306" t="n">
        <v>56.8</v>
      </c>
      <c r="V306" t="n">
        <v>45</v>
      </c>
      <c r="W306" t="n">
        <v>48.8</v>
      </c>
      <c r="X306" t="n">
        <v>50.9</v>
      </c>
      <c r="Y306" t="n">
        <v>49</v>
      </c>
      <c r="Z306" t="n">
        <v>50.3</v>
      </c>
      <c r="AA306" t="n">
        <v>47.2</v>
      </c>
      <c r="AB306" t="n">
        <v>55.1</v>
      </c>
      <c r="AC306" t="n">
        <v>52.4</v>
      </c>
      <c r="AD306" t="n">
        <v>51.9</v>
      </c>
    </row>
    <row r="307">
      <c r="A307" s="96" t="n">
        <v>43556</v>
      </c>
      <c r="B307" t="n">
        <v>54.8</v>
      </c>
      <c r="C307" t="n">
        <v>51.5</v>
      </c>
      <c r="D307" t="n">
        <v>49.7</v>
      </c>
      <c r="E307" t="n">
        <v>46.6</v>
      </c>
      <c r="F307" t="n">
        <v>59.6</v>
      </c>
      <c r="G307" t="n">
        <v>47.9</v>
      </c>
      <c r="H307" t="n">
        <v>50</v>
      </c>
      <c r="I307" t="n">
        <v>44.4</v>
      </c>
      <c r="J307" t="n">
        <v>56.6</v>
      </c>
      <c r="K307" t="n">
        <v>48.4</v>
      </c>
      <c r="L307" t="n">
        <v>51.8</v>
      </c>
      <c r="M307" t="n">
        <v>50.4</v>
      </c>
      <c r="N307" t="n">
        <v>52.5</v>
      </c>
      <c r="O307" t="n">
        <v>49.1</v>
      </c>
      <c r="P307" t="n">
        <v>49.5</v>
      </c>
      <c r="Q307" t="n">
        <v>50.1</v>
      </c>
      <c r="R307" t="n">
        <v>52.7</v>
      </c>
      <c r="S307" t="n">
        <v>49</v>
      </c>
      <c r="T307" t="n">
        <v>51.8</v>
      </c>
      <c r="U307" t="n">
        <v>57.3</v>
      </c>
      <c r="V307" t="n">
        <v>47.2</v>
      </c>
      <c r="W307" t="n">
        <v>50.2</v>
      </c>
      <c r="X307" t="n">
        <v>51.8</v>
      </c>
      <c r="Y307" t="n">
        <v>48.2</v>
      </c>
      <c r="Z307" t="n">
        <v>51</v>
      </c>
      <c r="AA307" t="n">
        <v>46.8</v>
      </c>
      <c r="AB307" t="n">
        <v>53.1</v>
      </c>
      <c r="AC307" t="n">
        <v>52.6</v>
      </c>
      <c r="AD307" t="n">
        <v>52.5</v>
      </c>
    </row>
    <row r="308">
      <c r="A308" s="96" t="n">
        <v>43586</v>
      </c>
      <c r="B308" t="n">
        <v>52.7</v>
      </c>
      <c r="C308" t="n">
        <v>50.2</v>
      </c>
      <c r="D308" t="n">
        <v>49.1</v>
      </c>
      <c r="E308" t="n">
        <v>46.6</v>
      </c>
      <c r="F308" t="n">
        <v>47.6</v>
      </c>
      <c r="G308" t="n">
        <v>47.7</v>
      </c>
      <c r="H308" t="n">
        <v>50.6</v>
      </c>
      <c r="I308" t="n">
        <v>44.3</v>
      </c>
      <c r="J308" t="n">
        <v>54.2</v>
      </c>
      <c r="K308" t="n">
        <v>46.9</v>
      </c>
      <c r="L308" t="n">
        <v>52.7</v>
      </c>
      <c r="M308" t="n">
        <v>51.6</v>
      </c>
      <c r="N308" t="n">
        <v>50.4</v>
      </c>
      <c r="O308" t="n">
        <v>49.7</v>
      </c>
      <c r="P308" t="n">
        <v>49.8</v>
      </c>
      <c r="Q308" t="n">
        <v>50</v>
      </c>
      <c r="R308" t="n">
        <v>50.2</v>
      </c>
      <c r="S308" t="n">
        <v>48.8</v>
      </c>
      <c r="T308" t="n">
        <v>49.8</v>
      </c>
      <c r="U308" t="n">
        <v>57.3</v>
      </c>
      <c r="V308" t="n">
        <v>45.4</v>
      </c>
      <c r="W308" t="n">
        <v>48.4</v>
      </c>
      <c r="X308" t="n">
        <v>50.1</v>
      </c>
      <c r="Y308" t="n">
        <v>48.4</v>
      </c>
      <c r="Z308" t="n">
        <v>50.7</v>
      </c>
      <c r="AA308" t="n">
        <v>45.3</v>
      </c>
      <c r="AB308" t="n">
        <v>49.4</v>
      </c>
      <c r="AC308" t="n">
        <v>50.5</v>
      </c>
      <c r="AD308" t="n">
        <v>52</v>
      </c>
    </row>
    <row r="309">
      <c r="A309" s="96" t="n">
        <v>43617</v>
      </c>
      <c r="B309" t="n">
        <v>49.4</v>
      </c>
      <c r="C309" t="n">
        <v>51</v>
      </c>
      <c r="D309" t="n">
        <v>49.2</v>
      </c>
      <c r="E309" t="n">
        <v>45.9</v>
      </c>
      <c r="F309" t="n">
        <v>45</v>
      </c>
      <c r="G309" t="n">
        <v>47.6</v>
      </c>
      <c r="H309" t="n">
        <v>51.9</v>
      </c>
      <c r="I309" t="n">
        <v>45</v>
      </c>
      <c r="J309" t="n">
        <v>52.4</v>
      </c>
      <c r="K309" t="n">
        <v>47.9</v>
      </c>
      <c r="L309" t="n">
        <v>52.1</v>
      </c>
      <c r="M309" t="n">
        <v>50.6</v>
      </c>
      <c r="N309" t="n">
        <v>49.8</v>
      </c>
      <c r="O309" t="n">
        <v>48.4</v>
      </c>
      <c r="P309" t="n">
        <v>49.3</v>
      </c>
      <c r="Q309" t="n">
        <v>49.2</v>
      </c>
      <c r="R309" t="n">
        <v>51.3</v>
      </c>
      <c r="S309" t="n">
        <v>48.4</v>
      </c>
      <c r="T309" t="n">
        <v>48.6</v>
      </c>
      <c r="U309" t="n">
        <v>57.4</v>
      </c>
      <c r="V309" t="n">
        <v>46.2</v>
      </c>
      <c r="W309" t="n">
        <v>47.5</v>
      </c>
      <c r="X309" t="n">
        <v>47.9</v>
      </c>
      <c r="Y309" t="n">
        <v>45.5</v>
      </c>
      <c r="Z309" t="n">
        <v>50.6</v>
      </c>
      <c r="AA309" t="n">
        <v>47.9</v>
      </c>
      <c r="AB309" t="n">
        <v>48</v>
      </c>
      <c r="AC309" t="n">
        <v>50.6</v>
      </c>
      <c r="AD309" t="n">
        <v>52.5</v>
      </c>
    </row>
    <row r="310">
      <c r="A310" s="96" t="n">
        <v>43647</v>
      </c>
      <c r="B310" t="n">
        <v>51.3</v>
      </c>
      <c r="C310" t="n">
        <v>49.9</v>
      </c>
      <c r="D310" t="n">
        <v>50.2</v>
      </c>
      <c r="E310" t="n">
        <v>43.1</v>
      </c>
      <c r="F310" t="n">
        <v>49.5</v>
      </c>
      <c r="G310" t="n">
        <v>46.5</v>
      </c>
      <c r="H310" t="n">
        <v>49.7</v>
      </c>
      <c r="I310" t="n">
        <v>43.2</v>
      </c>
      <c r="J310" t="n">
        <v>54.6</v>
      </c>
      <c r="K310" t="n">
        <v>43.8</v>
      </c>
      <c r="L310" t="n">
        <v>52.5</v>
      </c>
      <c r="M310" t="n">
        <v>49.6</v>
      </c>
      <c r="N310" t="n">
        <v>48.7</v>
      </c>
      <c r="O310" t="n">
        <v>48.5</v>
      </c>
      <c r="P310" t="n">
        <v>49.4</v>
      </c>
      <c r="Q310" t="n">
        <v>49.8</v>
      </c>
      <c r="R310" t="n">
        <v>48.1</v>
      </c>
      <c r="S310" t="n">
        <v>47.4</v>
      </c>
      <c r="T310" t="n">
        <v>49.3</v>
      </c>
      <c r="U310" t="n">
        <v>56.6</v>
      </c>
      <c r="V310" t="n">
        <v>52.1</v>
      </c>
      <c r="W310" t="n">
        <v>47.3</v>
      </c>
      <c r="X310" t="n">
        <v>48.2</v>
      </c>
      <c r="Y310" t="n">
        <v>48.1</v>
      </c>
      <c r="Z310" t="n">
        <v>50.3</v>
      </c>
      <c r="AA310" t="n">
        <v>46.7</v>
      </c>
      <c r="AB310" t="n">
        <v>48</v>
      </c>
      <c r="AC310" t="n">
        <v>50</v>
      </c>
      <c r="AD310" t="n">
        <v>52.6</v>
      </c>
    </row>
    <row r="311">
      <c r="A311" s="96" t="n">
        <v>43678</v>
      </c>
      <c r="B311" t="n">
        <v>53.1</v>
      </c>
      <c r="C311" t="n">
        <v>52.5</v>
      </c>
      <c r="D311" t="n">
        <v>49.1</v>
      </c>
      <c r="E311" t="n">
        <v>44.9</v>
      </c>
      <c r="F311" t="n">
        <v>48.7</v>
      </c>
      <c r="G311" t="n">
        <v>47</v>
      </c>
      <c r="H311" t="n">
        <v>51.1</v>
      </c>
      <c r="I311" t="n">
        <v>43.5</v>
      </c>
      <c r="J311" t="n">
        <v>54.9</v>
      </c>
      <c r="K311" t="n">
        <v>40.8</v>
      </c>
      <c r="L311" t="n">
        <v>51.4</v>
      </c>
      <c r="M311" t="n">
        <v>49</v>
      </c>
      <c r="N311" t="n">
        <v>48.6</v>
      </c>
      <c r="O311" t="n">
        <v>48.7</v>
      </c>
      <c r="P311" t="n">
        <v>49.3</v>
      </c>
      <c r="Q311" t="n">
        <v>49</v>
      </c>
      <c r="R311" t="n">
        <v>48.4</v>
      </c>
      <c r="S311" t="n">
        <v>48.8</v>
      </c>
      <c r="T311" t="n">
        <v>49.1</v>
      </c>
      <c r="U311" t="n">
        <v>57</v>
      </c>
      <c r="V311" t="n">
        <v>45.7</v>
      </c>
      <c r="W311" t="n">
        <v>49</v>
      </c>
      <c r="X311" t="n">
        <v>48.8</v>
      </c>
      <c r="Y311" t="n">
        <v>47.9</v>
      </c>
      <c r="Z311" t="n">
        <v>50</v>
      </c>
      <c r="AA311" t="n">
        <v>48</v>
      </c>
      <c r="AB311" t="n">
        <v>47.4</v>
      </c>
      <c r="AC311" t="n">
        <v>50.3</v>
      </c>
      <c r="AD311" t="n">
        <v>51.4</v>
      </c>
    </row>
    <row r="312">
      <c r="A312" s="96" t="n">
        <v>43709</v>
      </c>
      <c r="B312" t="n">
        <v>54.7</v>
      </c>
      <c r="C312" t="n">
        <v>53.4</v>
      </c>
      <c r="D312" t="n">
        <v>51</v>
      </c>
      <c r="E312" t="n">
        <v>44.9</v>
      </c>
      <c r="F312" t="n">
        <v>50.2</v>
      </c>
      <c r="G312" t="n">
        <v>45.7</v>
      </c>
      <c r="H312" t="n">
        <v>50.1</v>
      </c>
      <c r="I312" t="n">
        <v>41.7</v>
      </c>
      <c r="J312" t="n">
        <v>53.6</v>
      </c>
      <c r="K312" t="n">
        <v>41.5</v>
      </c>
      <c r="L312" t="n">
        <v>51.4</v>
      </c>
      <c r="M312" t="n">
        <v>49.1</v>
      </c>
      <c r="N312" t="n">
        <v>48.7</v>
      </c>
      <c r="O312" t="n">
        <v>47.8</v>
      </c>
      <c r="P312" t="n">
        <v>48.9</v>
      </c>
      <c r="Q312" t="n">
        <v>49.1</v>
      </c>
      <c r="R312" t="n">
        <v>48.4</v>
      </c>
      <c r="S312" t="n">
        <v>47.8</v>
      </c>
      <c r="T312" t="n">
        <v>46.3</v>
      </c>
      <c r="U312" t="n">
        <v>57.3</v>
      </c>
      <c r="V312" t="n">
        <v>41.6</v>
      </c>
      <c r="W312" t="n">
        <v>48</v>
      </c>
      <c r="X312" t="n">
        <v>47.7</v>
      </c>
      <c r="Y312" t="n">
        <v>50</v>
      </c>
      <c r="Z312" t="n">
        <v>50.6</v>
      </c>
      <c r="AA312" t="n">
        <v>50</v>
      </c>
      <c r="AB312" t="n">
        <v>48.3</v>
      </c>
      <c r="AC312" t="n">
        <v>51.1</v>
      </c>
      <c r="AD312" t="n">
        <v>50.5</v>
      </c>
    </row>
    <row r="313">
      <c r="A313" s="96" t="n">
        <v>43739</v>
      </c>
      <c r="B313" t="n">
        <v>51.6</v>
      </c>
      <c r="C313" t="n">
        <v>52.2</v>
      </c>
      <c r="D313" t="n">
        <v>51.2</v>
      </c>
      <c r="E313" t="n">
        <v>45</v>
      </c>
      <c r="F313" t="n">
        <v>49.5</v>
      </c>
      <c r="G313" t="n">
        <v>45.9</v>
      </c>
      <c r="H313" t="n">
        <v>50.7</v>
      </c>
      <c r="I313" t="n">
        <v>42.1</v>
      </c>
      <c r="J313" t="n">
        <v>53.5</v>
      </c>
      <c r="K313" t="n">
        <v>39.3</v>
      </c>
      <c r="L313" t="n">
        <v>50.6</v>
      </c>
      <c r="M313" t="n">
        <v>47.7</v>
      </c>
      <c r="N313" t="n">
        <v>50.7</v>
      </c>
      <c r="O313" t="n">
        <v>47.7</v>
      </c>
      <c r="P313" t="n">
        <v>48.4</v>
      </c>
      <c r="Q313" t="n">
        <v>50.4</v>
      </c>
      <c r="R313" t="n">
        <v>52.6</v>
      </c>
      <c r="S313" t="n">
        <v>45.6</v>
      </c>
      <c r="T313" t="n">
        <v>47.2</v>
      </c>
      <c r="U313" t="n">
        <v>57.8</v>
      </c>
      <c r="V313" t="n">
        <v>48.1</v>
      </c>
      <c r="W313" t="n">
        <v>48.4</v>
      </c>
      <c r="X313" t="n">
        <v>46.8</v>
      </c>
      <c r="Y313" t="n">
        <v>49.8</v>
      </c>
      <c r="Z313" t="n">
        <v>50</v>
      </c>
      <c r="AA313" t="n">
        <v>49</v>
      </c>
      <c r="AB313" t="n">
        <v>49.6</v>
      </c>
      <c r="AC313" t="n">
        <v>51.3</v>
      </c>
      <c r="AD313" t="n">
        <v>50</v>
      </c>
    </row>
    <row r="314">
      <c r="A314" s="96" t="n">
        <v>43770</v>
      </c>
      <c r="B314" t="n">
        <v>48.1</v>
      </c>
      <c r="C314" t="n">
        <v>52.9</v>
      </c>
      <c r="D314" t="n">
        <v>51.4</v>
      </c>
      <c r="E314" t="n">
        <v>43.5</v>
      </c>
      <c r="F314" t="n">
        <v>53</v>
      </c>
      <c r="G314" t="n">
        <v>46.9</v>
      </c>
      <c r="H314" t="n">
        <v>51.7</v>
      </c>
      <c r="I314" t="n">
        <v>44.1</v>
      </c>
      <c r="J314" t="n">
        <v>54.1</v>
      </c>
      <c r="K314" t="n">
        <v>38.5</v>
      </c>
      <c r="L314" t="n">
        <v>51.2</v>
      </c>
      <c r="M314" t="n">
        <v>48.2</v>
      </c>
      <c r="N314" t="n">
        <v>49.7</v>
      </c>
      <c r="O314" t="n">
        <v>47.6</v>
      </c>
      <c r="P314" t="n">
        <v>48.9</v>
      </c>
      <c r="Q314" t="n">
        <v>48</v>
      </c>
      <c r="R314" t="n">
        <v>51.4</v>
      </c>
      <c r="S314" t="n">
        <v>46.7</v>
      </c>
      <c r="T314" t="n">
        <v>45.6</v>
      </c>
      <c r="U314" t="n">
        <v>58.3</v>
      </c>
      <c r="V314" t="n">
        <v>47.7</v>
      </c>
      <c r="W314" t="n">
        <v>49.4</v>
      </c>
      <c r="X314" t="n">
        <v>47.5</v>
      </c>
      <c r="Y314" t="n">
        <v>49.8</v>
      </c>
      <c r="Z314" t="n">
        <v>49.3</v>
      </c>
      <c r="AA314" t="n">
        <v>49.5</v>
      </c>
      <c r="AB314" t="n">
        <v>48.9</v>
      </c>
      <c r="AC314" t="n">
        <v>52.6</v>
      </c>
      <c r="AD314" t="n">
        <v>51</v>
      </c>
    </row>
    <row r="315">
      <c r="A315" s="96" t="n">
        <v>43800</v>
      </c>
      <c r="B315" t="n">
        <v>48.3</v>
      </c>
      <c r="C315" t="n">
        <v>50.2</v>
      </c>
      <c r="D315" t="n">
        <v>50.4</v>
      </c>
      <c r="E315" t="n">
        <v>43.6</v>
      </c>
      <c r="F315" t="n">
        <v>50.7</v>
      </c>
      <c r="G315" t="n">
        <v>46.3</v>
      </c>
      <c r="H315" t="n">
        <v>50.4</v>
      </c>
      <c r="I315" t="n">
        <v>43.7</v>
      </c>
      <c r="J315" t="n">
        <v>53.9</v>
      </c>
      <c r="K315" t="n">
        <v>42.1</v>
      </c>
      <c r="L315" t="n">
        <v>52.7</v>
      </c>
      <c r="M315" t="n">
        <v>49.5</v>
      </c>
      <c r="N315" t="n">
        <v>49.5</v>
      </c>
      <c r="O315" t="n">
        <v>46.2</v>
      </c>
      <c r="P315" t="n">
        <v>48.4</v>
      </c>
      <c r="Q315" t="n">
        <v>47.1</v>
      </c>
      <c r="R315" t="n">
        <v>49.3</v>
      </c>
      <c r="S315" t="n">
        <v>48</v>
      </c>
      <c r="T315" t="n">
        <v>47.5</v>
      </c>
      <c r="U315" t="n">
        <v>56.9</v>
      </c>
      <c r="V315" t="n">
        <v>47.1</v>
      </c>
      <c r="W315" t="n">
        <v>50.1</v>
      </c>
      <c r="X315" t="n">
        <v>47.4</v>
      </c>
      <c r="Y315" t="n">
        <v>50.8</v>
      </c>
      <c r="Z315" t="n">
        <v>50.1</v>
      </c>
      <c r="AA315" t="n">
        <v>49.5</v>
      </c>
      <c r="AB315" t="n">
        <v>47.5</v>
      </c>
      <c r="AC315" t="n">
        <v>52.4</v>
      </c>
      <c r="AD315" t="n">
        <v>50.8</v>
      </c>
    </row>
    <row r="316">
      <c r="A316" s="96" t="n">
        <v>43831</v>
      </c>
      <c r="B316" t="n">
        <v>45.4</v>
      </c>
      <c r="C316" t="n">
        <v>51</v>
      </c>
      <c r="D316" t="n">
        <v>50.6</v>
      </c>
      <c r="E316" t="n">
        <v>45.2</v>
      </c>
      <c r="F316" t="n">
        <v>53.2</v>
      </c>
      <c r="G316" t="n">
        <v>47.9</v>
      </c>
      <c r="H316" t="n">
        <v>51.1</v>
      </c>
      <c r="I316" t="n">
        <v>45.3</v>
      </c>
      <c r="J316" t="n">
        <v>54.4</v>
      </c>
      <c r="K316" t="n">
        <v>46.8</v>
      </c>
      <c r="L316" t="n">
        <v>55.3</v>
      </c>
      <c r="M316" t="n">
        <v>49.3</v>
      </c>
      <c r="N316" t="n">
        <v>51.4</v>
      </c>
      <c r="O316" t="n">
        <v>48.9</v>
      </c>
      <c r="P316" t="n">
        <v>48.8</v>
      </c>
      <c r="Q316" t="n">
        <v>49</v>
      </c>
      <c r="R316" t="n">
        <v>49.6</v>
      </c>
      <c r="S316" t="n">
        <v>47.4</v>
      </c>
      <c r="T316" t="n">
        <v>47.9</v>
      </c>
      <c r="U316" t="n">
        <v>54.9</v>
      </c>
      <c r="V316" t="n">
        <v>45.2</v>
      </c>
      <c r="W316" t="n">
        <v>49.8</v>
      </c>
      <c r="X316" t="n">
        <v>48.5</v>
      </c>
      <c r="Y316" t="n">
        <v>51.8</v>
      </c>
      <c r="Z316" t="n">
        <v>49.9</v>
      </c>
      <c r="AA316" t="n">
        <v>51.3</v>
      </c>
      <c r="AB316" t="n">
        <v>50</v>
      </c>
      <c r="AC316" t="n">
        <v>51.9</v>
      </c>
      <c r="AD316" t="n">
        <v>50.6</v>
      </c>
    </row>
    <row r="317">
      <c r="A317" s="96" t="n">
        <v>43862</v>
      </c>
      <c r="B317" t="n">
        <v>44.3</v>
      </c>
      <c r="C317" t="n">
        <v>52.3</v>
      </c>
      <c r="D317" t="n">
        <v>51.8</v>
      </c>
      <c r="E317" t="n">
        <v>46.5</v>
      </c>
      <c r="F317" t="n">
        <v>49.2</v>
      </c>
      <c r="G317" t="n">
        <v>49.2</v>
      </c>
      <c r="H317" t="n">
        <v>49.8</v>
      </c>
      <c r="I317" t="n">
        <v>48</v>
      </c>
      <c r="J317" t="n">
        <v>56.2</v>
      </c>
      <c r="K317" t="n">
        <v>33.1</v>
      </c>
      <c r="L317" t="n">
        <v>54.5</v>
      </c>
      <c r="M317" t="n">
        <v>51.9</v>
      </c>
      <c r="N317" t="n">
        <v>51.2</v>
      </c>
      <c r="O317" t="n">
        <v>48.7</v>
      </c>
      <c r="P317" t="n">
        <v>47.8</v>
      </c>
      <c r="Q317" t="n">
        <v>50</v>
      </c>
      <c r="R317" t="n">
        <v>53.2</v>
      </c>
      <c r="S317" t="n">
        <v>48.2</v>
      </c>
      <c r="T317" t="n">
        <v>48.2</v>
      </c>
      <c r="U317" t="n">
        <v>52.5</v>
      </c>
      <c r="V317" t="n">
        <v>44.3</v>
      </c>
      <c r="W317" t="n">
        <v>48.7</v>
      </c>
      <c r="X317" t="n">
        <v>50.4</v>
      </c>
      <c r="Y317" t="n">
        <v>49.9</v>
      </c>
      <c r="Z317" t="n">
        <v>49.5</v>
      </c>
      <c r="AA317" t="n">
        <v>52.4</v>
      </c>
      <c r="AB317" t="n">
        <v>51.7</v>
      </c>
      <c r="AC317" t="n">
        <v>50.7</v>
      </c>
      <c r="AD317" t="n">
        <v>49</v>
      </c>
    </row>
    <row r="318">
      <c r="A318" s="96" t="n">
        <v>43891</v>
      </c>
      <c r="B318" t="n">
        <v>53.7</v>
      </c>
      <c r="C318" t="n">
        <v>48.4</v>
      </c>
      <c r="D318" t="n">
        <v>46.1</v>
      </c>
      <c r="E318" t="n">
        <v>41.3</v>
      </c>
      <c r="F318" t="n">
        <v>46.8</v>
      </c>
      <c r="G318" t="n">
        <v>44.5</v>
      </c>
      <c r="H318" t="n">
        <v>43.2</v>
      </c>
      <c r="I318" t="n">
        <v>45.4</v>
      </c>
      <c r="J318" t="n">
        <v>42.5</v>
      </c>
      <c r="K318" t="n">
        <v>34.9</v>
      </c>
      <c r="L318" t="n">
        <v>51.8</v>
      </c>
      <c r="M318" t="n">
        <v>45.3</v>
      </c>
      <c r="N318" t="n">
        <v>45.1</v>
      </c>
      <c r="O318" t="n">
        <v>40.3</v>
      </c>
      <c r="P318" t="n">
        <v>44.2</v>
      </c>
      <c r="Q318" t="n">
        <v>46.9</v>
      </c>
      <c r="R318" t="n">
        <v>38</v>
      </c>
      <c r="S318" t="n">
        <v>42.4</v>
      </c>
      <c r="T318" t="n">
        <v>47.5</v>
      </c>
      <c r="U318" t="n">
        <v>42.4</v>
      </c>
      <c r="V318" t="n">
        <v>48.1</v>
      </c>
      <c r="W318" t="n">
        <v>44.2</v>
      </c>
      <c r="X318" t="n">
        <v>45.7</v>
      </c>
      <c r="Y318" t="n">
        <v>50.4</v>
      </c>
      <c r="Z318" t="n">
        <v>46.7</v>
      </c>
      <c r="AA318" t="n">
        <v>48.1</v>
      </c>
      <c r="AB318" t="n">
        <v>47.8</v>
      </c>
      <c r="AC318" t="n">
        <v>48.5</v>
      </c>
      <c r="AD318" t="n">
        <v>41.9</v>
      </c>
    </row>
    <row r="319">
      <c r="A319" s="96" t="n">
        <v>43922</v>
      </c>
      <c r="B319" t="n">
        <v>35.8</v>
      </c>
      <c r="C319" t="n">
        <v>36</v>
      </c>
      <c r="D319" t="n">
        <v>33</v>
      </c>
      <c r="E319" t="n">
        <v>35.1</v>
      </c>
      <c r="F319" t="n">
        <v>38.6</v>
      </c>
      <c r="G319" t="n">
        <v>33.4</v>
      </c>
      <c r="H319" t="n">
        <v>31.5</v>
      </c>
      <c r="I319" t="n">
        <v>34.5</v>
      </c>
      <c r="J319" t="n">
        <v>29.5</v>
      </c>
      <c r="K319" t="n">
        <v>36.9</v>
      </c>
      <c r="L319" t="n">
        <v>27.4</v>
      </c>
      <c r="M319" t="n">
        <v>27.5</v>
      </c>
      <c r="N319" t="n">
        <v>36</v>
      </c>
      <c r="O319" t="n">
        <v>31.1</v>
      </c>
      <c r="P319" t="n">
        <v>41.9</v>
      </c>
      <c r="Q319" t="n">
        <v>35</v>
      </c>
      <c r="R319" t="n">
        <v>26.1</v>
      </c>
      <c r="S319" t="n">
        <v>31.9</v>
      </c>
      <c r="T319" t="n">
        <v>31.3</v>
      </c>
      <c r="U319" t="n">
        <v>44.4</v>
      </c>
      <c r="V319" t="n">
        <v>46.1</v>
      </c>
      <c r="W319" t="n">
        <v>41.6</v>
      </c>
      <c r="X319" t="n">
        <v>30.8</v>
      </c>
      <c r="Y319" t="n">
        <v>42.2</v>
      </c>
      <c r="Z319" t="n">
        <v>36.8</v>
      </c>
      <c r="AA319" t="n">
        <v>33.4</v>
      </c>
      <c r="AB319" t="n">
        <v>32.6</v>
      </c>
      <c r="AC319" t="n">
        <v>36.1</v>
      </c>
      <c r="AD319" t="n">
        <v>32.7</v>
      </c>
    </row>
    <row r="320">
      <c r="A320" s="96" t="n">
        <v>43952</v>
      </c>
      <c r="B320" t="n">
        <v>41.6</v>
      </c>
      <c r="C320" t="n">
        <v>38.3</v>
      </c>
      <c r="D320" t="n">
        <v>40.6</v>
      </c>
      <c r="E320" t="n">
        <v>39.6</v>
      </c>
      <c r="F320" t="n">
        <v>54</v>
      </c>
      <c r="G320" t="n">
        <v>39.4</v>
      </c>
      <c r="H320" t="n">
        <v>40.6</v>
      </c>
      <c r="I320" t="n">
        <v>36.6</v>
      </c>
      <c r="J320" t="n">
        <v>41.1</v>
      </c>
      <c r="K320" t="n">
        <v>43.9</v>
      </c>
      <c r="L320" t="n">
        <v>30.8</v>
      </c>
      <c r="M320" t="n">
        <v>28.6</v>
      </c>
      <c r="N320" t="n">
        <v>39.2</v>
      </c>
      <c r="O320" t="n">
        <v>45.4</v>
      </c>
      <c r="P320" t="n">
        <v>38.4</v>
      </c>
      <c r="Q320" t="n">
        <v>38.3</v>
      </c>
      <c r="R320" t="n">
        <v>39.7</v>
      </c>
      <c r="S320" t="n">
        <v>40.6</v>
      </c>
      <c r="T320" t="n">
        <v>36.2</v>
      </c>
      <c r="U320" t="n">
        <v>48.1</v>
      </c>
      <c r="V320" t="n">
        <v>50.2</v>
      </c>
      <c r="W320" t="n">
        <v>41.3</v>
      </c>
      <c r="X320" t="n">
        <v>38.3</v>
      </c>
      <c r="Y320" t="n">
        <v>41.9</v>
      </c>
      <c r="Z320" t="n">
        <v>41.6</v>
      </c>
      <c r="AA320" t="n">
        <v>40.9</v>
      </c>
      <c r="AB320" t="n">
        <v>40.7</v>
      </c>
      <c r="AC320" t="n">
        <v>39.8</v>
      </c>
      <c r="AD320" t="n">
        <v>42.7</v>
      </c>
    </row>
    <row r="321">
      <c r="A321" s="96" t="n">
        <v>43983</v>
      </c>
      <c r="B321" t="n">
        <v>51.5</v>
      </c>
      <c r="C321" t="n">
        <v>51.6</v>
      </c>
      <c r="D321" t="n">
        <v>47.8</v>
      </c>
      <c r="E321" t="n">
        <v>44.9</v>
      </c>
      <c r="F321" t="n">
        <v>52.2</v>
      </c>
      <c r="G321" t="n">
        <v>47.4</v>
      </c>
      <c r="H321" t="n">
        <v>52.3</v>
      </c>
      <c r="I321" t="n">
        <v>45.2</v>
      </c>
      <c r="J321" t="n">
        <v>49.4</v>
      </c>
      <c r="K321" t="n">
        <v>49.6</v>
      </c>
      <c r="L321" t="n">
        <v>47.2</v>
      </c>
      <c r="M321" t="n">
        <v>39.1</v>
      </c>
      <c r="N321" t="n">
        <v>51</v>
      </c>
      <c r="O321" t="n">
        <v>47.5</v>
      </c>
      <c r="P321" t="n">
        <v>40.1</v>
      </c>
      <c r="Q321" t="n">
        <v>38.6</v>
      </c>
      <c r="R321" t="n">
        <v>56.3</v>
      </c>
      <c r="S321" t="n">
        <v>47.2</v>
      </c>
      <c r="T321" t="n">
        <v>49.4</v>
      </c>
      <c r="U321" t="n">
        <v>47.7</v>
      </c>
      <c r="V321" t="n">
        <v>53.9</v>
      </c>
      <c r="W321" t="n">
        <v>43.4</v>
      </c>
      <c r="X321" t="n">
        <v>49</v>
      </c>
      <c r="Y321" t="n">
        <v>46.2</v>
      </c>
      <c r="Z321" t="n">
        <v>43.5</v>
      </c>
      <c r="AA321" t="n">
        <v>53.9</v>
      </c>
      <c r="AB321" t="n">
        <v>50.1</v>
      </c>
      <c r="AC321" t="n">
        <v>49.8</v>
      </c>
      <c r="AD321" t="n">
        <v>51.1</v>
      </c>
    </row>
    <row r="322">
      <c r="A322" s="96" t="n">
        <v>44013</v>
      </c>
      <c r="B322" t="n">
        <v>53.5</v>
      </c>
      <c r="C322" t="n">
        <v>58.2</v>
      </c>
      <c r="D322" t="n">
        <v>52.9</v>
      </c>
      <c r="E322" t="n">
        <v>47</v>
      </c>
      <c r="F322" t="n">
        <v>57.4</v>
      </c>
      <c r="G322" t="n">
        <v>51.8</v>
      </c>
      <c r="H322" t="n">
        <v>52.4</v>
      </c>
      <c r="I322" t="n">
        <v>51</v>
      </c>
      <c r="J322" t="n">
        <v>48.6</v>
      </c>
      <c r="K322" t="n">
        <v>44.5</v>
      </c>
      <c r="L322" t="n">
        <v>46</v>
      </c>
      <c r="M322" t="n">
        <v>46.9</v>
      </c>
      <c r="N322" t="n">
        <v>57.3</v>
      </c>
      <c r="O322" t="n">
        <v>51.9</v>
      </c>
      <c r="P322" t="n">
        <v>45.2</v>
      </c>
      <c r="Q322" t="n">
        <v>40.4</v>
      </c>
      <c r="R322" t="n">
        <v>59</v>
      </c>
      <c r="S322" t="n">
        <v>52.8</v>
      </c>
      <c r="T322" t="n">
        <v>48.4</v>
      </c>
      <c r="U322" t="n">
        <v>48.8</v>
      </c>
      <c r="V322" t="n">
        <v>51.2</v>
      </c>
      <c r="W322" t="n">
        <v>46.9</v>
      </c>
      <c r="X322" t="n">
        <v>53.5</v>
      </c>
      <c r="Y322" t="n">
        <v>50.6</v>
      </c>
      <c r="Z322" t="n">
        <v>45.9</v>
      </c>
      <c r="AA322" t="n">
        <v>56.9</v>
      </c>
      <c r="AB322" t="n">
        <v>53.3</v>
      </c>
      <c r="AC322" t="n">
        <v>50.9</v>
      </c>
      <c r="AD322" t="n">
        <v>47.6</v>
      </c>
    </row>
    <row r="323">
      <c r="A323" s="96" t="n">
        <v>44044</v>
      </c>
      <c r="B323" t="n">
        <v>49.3</v>
      </c>
      <c r="C323" t="n">
        <v>64.7</v>
      </c>
      <c r="D323" t="n">
        <v>55.1</v>
      </c>
      <c r="E323" t="n">
        <v>49.1</v>
      </c>
      <c r="F323" t="n">
        <v>52.3</v>
      </c>
      <c r="G323" t="n">
        <v>51.7</v>
      </c>
      <c r="H323" t="n">
        <v>49.8</v>
      </c>
      <c r="I323" t="n">
        <v>52.2</v>
      </c>
      <c r="J323" t="n">
        <v>49.4</v>
      </c>
      <c r="K323" t="n">
        <v>44</v>
      </c>
      <c r="L323" t="n">
        <v>52</v>
      </c>
      <c r="M323" t="n">
        <v>50.8</v>
      </c>
      <c r="N323" t="n">
        <v>52.3</v>
      </c>
      <c r="O323" t="n">
        <v>53.1</v>
      </c>
      <c r="P323" t="n">
        <v>47.2</v>
      </c>
      <c r="Q323" t="n">
        <v>41.3</v>
      </c>
      <c r="R323" t="n">
        <v>51</v>
      </c>
      <c r="S323" t="n">
        <v>50.6</v>
      </c>
      <c r="T323" t="n">
        <v>51.1</v>
      </c>
      <c r="U323" t="n">
        <v>50</v>
      </c>
      <c r="V323" t="n">
        <v>57.3</v>
      </c>
      <c r="W323" t="n">
        <v>48.5</v>
      </c>
      <c r="X323" t="n">
        <v>49.9</v>
      </c>
      <c r="Y323" t="n">
        <v>52.2</v>
      </c>
      <c r="Z323" t="n">
        <v>49.7</v>
      </c>
      <c r="AA323" t="n">
        <v>54.3</v>
      </c>
      <c r="AB323" t="n">
        <v>55.2</v>
      </c>
      <c r="AC323" t="n">
        <v>53.1</v>
      </c>
      <c r="AD323" t="n">
        <v>45.7</v>
      </c>
    </row>
    <row r="324">
      <c r="A324" s="96" t="n">
        <v>44075</v>
      </c>
      <c r="B324" t="n">
        <v>46.7</v>
      </c>
      <c r="C324" t="n">
        <v>64.90000000000001</v>
      </c>
      <c r="D324" t="n">
        <v>56</v>
      </c>
      <c r="E324" t="n">
        <v>50.7</v>
      </c>
      <c r="F324" t="n">
        <v>54.4</v>
      </c>
      <c r="G324" t="n">
        <v>53.7</v>
      </c>
      <c r="H324" t="n">
        <v>51.2</v>
      </c>
      <c r="I324" t="n">
        <v>56.4</v>
      </c>
      <c r="J324" t="n">
        <v>50</v>
      </c>
      <c r="K324" t="n">
        <v>47.7</v>
      </c>
      <c r="L324" t="n">
        <v>56.8</v>
      </c>
      <c r="M324" t="n">
        <v>47.2</v>
      </c>
      <c r="N324" t="n">
        <v>50</v>
      </c>
      <c r="O324" t="n">
        <v>53.2</v>
      </c>
      <c r="P324" t="n">
        <v>47.7</v>
      </c>
      <c r="Q324" t="n">
        <v>42.1</v>
      </c>
      <c r="R324" t="n">
        <v>54</v>
      </c>
      <c r="S324" t="n">
        <v>50.8</v>
      </c>
      <c r="T324" t="n">
        <v>48.9</v>
      </c>
      <c r="U324" t="n">
        <v>50.7</v>
      </c>
      <c r="V324" t="n">
        <v>58.3</v>
      </c>
      <c r="W324" t="n">
        <v>49.8</v>
      </c>
      <c r="X324" t="n">
        <v>50.8</v>
      </c>
      <c r="Y324" t="n">
        <v>55.2</v>
      </c>
      <c r="Z324" t="n">
        <v>49.9</v>
      </c>
      <c r="AA324" t="n">
        <v>52.8</v>
      </c>
      <c r="AB324" t="n">
        <v>54.1</v>
      </c>
      <c r="AC324" t="n">
        <v>53.2</v>
      </c>
      <c r="AD324" t="n">
        <v>52.2</v>
      </c>
    </row>
    <row r="325">
      <c r="A325" s="96" t="n">
        <v>44105</v>
      </c>
      <c r="B325" t="n">
        <v>56.3</v>
      </c>
      <c r="C325" t="n">
        <v>66.7</v>
      </c>
      <c r="D325" t="n">
        <v>55.5</v>
      </c>
      <c r="E325" t="n">
        <v>51.9</v>
      </c>
      <c r="F325" t="n">
        <v>61.8</v>
      </c>
      <c r="G325" t="n">
        <v>54.8</v>
      </c>
      <c r="H325" t="n">
        <v>51.3</v>
      </c>
      <c r="I325" t="n">
        <v>58.2</v>
      </c>
      <c r="J325" t="n">
        <v>48.7</v>
      </c>
      <c r="K325" t="n">
        <v>49.8</v>
      </c>
      <c r="L325" t="n">
        <v>58.9</v>
      </c>
      <c r="M325" t="n">
        <v>47.8</v>
      </c>
      <c r="N325" t="n">
        <v>50.3</v>
      </c>
      <c r="O325" t="n">
        <v>53.8</v>
      </c>
      <c r="P325" t="n">
        <v>48.7</v>
      </c>
      <c r="Q325" t="n">
        <v>43.6</v>
      </c>
      <c r="R325" t="n">
        <v>51.7</v>
      </c>
      <c r="S325" t="n">
        <v>50.8</v>
      </c>
      <c r="T325" t="n">
        <v>46.9</v>
      </c>
      <c r="U325" t="n">
        <v>51</v>
      </c>
      <c r="V325" t="n">
        <v>60.9</v>
      </c>
      <c r="W325" t="n">
        <v>51.2</v>
      </c>
      <c r="X325" t="n">
        <v>52.5</v>
      </c>
      <c r="Y325" t="n">
        <v>55.1</v>
      </c>
      <c r="Z325" t="n">
        <v>50.8</v>
      </c>
      <c r="AA325" t="n">
        <v>53.9</v>
      </c>
      <c r="AB325" t="n">
        <v>53.7</v>
      </c>
      <c r="AC325" t="n">
        <v>53.4</v>
      </c>
      <c r="AD325" t="n">
        <v>51.8</v>
      </c>
    </row>
    <row r="326">
      <c r="A326" s="96" t="n">
        <v>44136</v>
      </c>
      <c r="B326" t="n">
        <v>52.1</v>
      </c>
      <c r="C326" t="n">
        <v>64</v>
      </c>
      <c r="D326" t="n">
        <v>55.8</v>
      </c>
      <c r="E326" t="n">
        <v>53.9</v>
      </c>
      <c r="F326" t="n">
        <v>47.7</v>
      </c>
      <c r="G326" t="n">
        <v>53.8</v>
      </c>
      <c r="H326" t="n">
        <v>49.6</v>
      </c>
      <c r="I326" t="n">
        <v>57.8</v>
      </c>
      <c r="J326" t="n">
        <v>42.3</v>
      </c>
      <c r="K326" t="n">
        <v>50.1</v>
      </c>
      <c r="L326" t="n">
        <v>56.3</v>
      </c>
      <c r="M326" t="n">
        <v>50.6</v>
      </c>
      <c r="N326" t="n">
        <v>52.2</v>
      </c>
      <c r="O326" t="n">
        <v>51.5</v>
      </c>
      <c r="P326" t="n">
        <v>49</v>
      </c>
      <c r="Q326" t="n">
        <v>43.7</v>
      </c>
      <c r="R326" t="n">
        <v>55.3</v>
      </c>
      <c r="S326" t="n">
        <v>50.8</v>
      </c>
      <c r="T326" t="n">
        <v>46.3</v>
      </c>
      <c r="U326" t="n">
        <v>54.7</v>
      </c>
      <c r="V326" t="n">
        <v>52.6</v>
      </c>
      <c r="W326" t="n">
        <v>52.9</v>
      </c>
      <c r="X326" t="n">
        <v>49.8</v>
      </c>
      <c r="Y326" t="n">
        <v>56.9</v>
      </c>
      <c r="Z326" t="n">
        <v>50.4</v>
      </c>
      <c r="AA326" t="n">
        <v>51.4</v>
      </c>
      <c r="AB326" t="n">
        <v>55.6</v>
      </c>
      <c r="AC326" t="n">
        <v>56.7</v>
      </c>
      <c r="AD326" t="n">
        <v>49.9</v>
      </c>
    </row>
    <row r="327">
      <c r="A327" s="96" t="n">
        <v>44166</v>
      </c>
      <c r="B327" t="n">
        <v>55.3</v>
      </c>
      <c r="C327" t="n">
        <v>61.5</v>
      </c>
      <c r="D327" t="n">
        <v>57.9</v>
      </c>
      <c r="E327" t="n">
        <v>57</v>
      </c>
      <c r="F327" t="n">
        <v>41.9</v>
      </c>
      <c r="G327" t="n">
        <v>55.2</v>
      </c>
      <c r="H327" t="n">
        <v>51.1</v>
      </c>
      <c r="I327" t="n">
        <v>58.3</v>
      </c>
      <c r="J327" t="n">
        <v>46.9</v>
      </c>
      <c r="K327" t="n">
        <v>43.5</v>
      </c>
      <c r="L327" t="n">
        <v>56.4</v>
      </c>
      <c r="M327" t="n">
        <v>51.3</v>
      </c>
      <c r="N327" t="n">
        <v>57.2</v>
      </c>
      <c r="O327" t="n">
        <v>52.8</v>
      </c>
      <c r="P327" t="n">
        <v>50</v>
      </c>
      <c r="Q327" t="n">
        <v>42.4</v>
      </c>
      <c r="R327" t="n">
        <v>48.7</v>
      </c>
      <c r="S327" t="n">
        <v>51.7</v>
      </c>
      <c r="T327" t="n">
        <v>49.7</v>
      </c>
      <c r="U327" t="n">
        <v>57</v>
      </c>
      <c r="V327" t="n">
        <v>50.3</v>
      </c>
      <c r="W327" t="n">
        <v>52.9</v>
      </c>
      <c r="X327" t="n">
        <v>51</v>
      </c>
      <c r="Y327" t="n">
        <v>59.4</v>
      </c>
      <c r="Z327" t="n">
        <v>50.8</v>
      </c>
      <c r="AA327" t="n">
        <v>50.8</v>
      </c>
      <c r="AB327" t="n">
        <v>57.5</v>
      </c>
      <c r="AC327" t="n">
        <v>57.1</v>
      </c>
      <c r="AD327" t="n">
        <v>51.7</v>
      </c>
    </row>
    <row r="328">
      <c r="A328" s="96" t="n">
        <v>44197</v>
      </c>
      <c r="B328" t="n">
        <v>55.3</v>
      </c>
      <c r="C328" t="n">
        <v>56.5</v>
      </c>
      <c r="D328" t="n">
        <v>54.4</v>
      </c>
      <c r="E328" t="n">
        <v>57</v>
      </c>
      <c r="F328" t="n">
        <v>42.1</v>
      </c>
      <c r="G328" t="n">
        <v>54.8</v>
      </c>
      <c r="H328" t="n">
        <v>51.6</v>
      </c>
      <c r="I328" t="n">
        <v>57.1</v>
      </c>
      <c r="J328" t="n">
        <v>50</v>
      </c>
      <c r="K328" t="n">
        <v>47.8</v>
      </c>
      <c r="L328" t="n">
        <v>57.7</v>
      </c>
      <c r="M328" t="n">
        <v>52.2</v>
      </c>
      <c r="N328" t="n">
        <v>51.8</v>
      </c>
      <c r="O328" t="n">
        <v>55.1</v>
      </c>
      <c r="P328" t="n">
        <v>49.8</v>
      </c>
      <c r="Q328" t="n">
        <v>43</v>
      </c>
      <c r="R328" t="n">
        <v>58.05</v>
      </c>
      <c r="S328" t="n">
        <v>51.9</v>
      </c>
      <c r="T328" t="n">
        <v>50.9</v>
      </c>
      <c r="U328" t="n">
        <v>57.1</v>
      </c>
      <c r="V328" t="n">
        <v>50.3</v>
      </c>
      <c r="W328" t="n">
        <v>53.2</v>
      </c>
      <c r="X328" t="n">
        <v>49.3</v>
      </c>
      <c r="Y328" t="n">
        <v>60.2</v>
      </c>
      <c r="Z328" t="n">
        <v>49</v>
      </c>
      <c r="AA328" t="n">
        <v>54.4</v>
      </c>
      <c r="AB328" t="n">
        <v>54.1</v>
      </c>
      <c r="AC328" t="n">
        <v>59.2</v>
      </c>
      <c r="AD328" t="n">
        <v>51.3</v>
      </c>
    </row>
    <row r="329">
      <c r="A329" s="96" t="n">
        <v>44228</v>
      </c>
      <c r="B329" t="n">
        <v>58.8</v>
      </c>
      <c r="C329" t="n">
        <v>58.4</v>
      </c>
      <c r="D329" t="n">
        <v>54.8</v>
      </c>
      <c r="E329" t="n">
        <v>56.5</v>
      </c>
      <c r="F329" t="n">
        <v>40.8</v>
      </c>
      <c r="G329" t="n">
        <v>57.9</v>
      </c>
      <c r="H329" t="n">
        <v>56.1</v>
      </c>
      <c r="I329" t="n">
        <v>60.7</v>
      </c>
      <c r="J329" t="n">
        <v>49.4</v>
      </c>
      <c r="K329" t="n">
        <v>50.2</v>
      </c>
      <c r="L329" t="n">
        <v>57.5</v>
      </c>
      <c r="M329" t="n">
        <v>50.9</v>
      </c>
      <c r="N329" t="n">
        <v>52</v>
      </c>
      <c r="O329" t="n">
        <v>56.9</v>
      </c>
      <c r="P329" t="n">
        <v>51.4</v>
      </c>
      <c r="Q329" t="n">
        <v>44.2</v>
      </c>
      <c r="R329" t="n">
        <v>54.21</v>
      </c>
      <c r="S329" t="n">
        <v>53.4</v>
      </c>
      <c r="T329" t="n">
        <v>51.5</v>
      </c>
      <c r="U329" t="n">
        <v>53.9</v>
      </c>
      <c r="V329" t="n">
        <v>53</v>
      </c>
      <c r="W329" t="n">
        <v>55.3</v>
      </c>
      <c r="X329" t="n">
        <v>52.9</v>
      </c>
      <c r="Y329" t="n">
        <v>60.4</v>
      </c>
      <c r="Z329" t="n">
        <v>47.2</v>
      </c>
      <c r="AA329" t="n">
        <v>51.7</v>
      </c>
      <c r="AB329" t="n">
        <v>55.1</v>
      </c>
      <c r="AC329" t="n">
        <v>58.6</v>
      </c>
      <c r="AD329" t="n">
        <v>51.6</v>
      </c>
    </row>
    <row r="330">
      <c r="A330" s="96" t="n">
        <v>44256</v>
      </c>
      <c r="B330" t="n">
        <v>59.9</v>
      </c>
      <c r="C330" t="n">
        <v>52.8</v>
      </c>
      <c r="D330" t="n">
        <v>58.5</v>
      </c>
      <c r="E330" t="n">
        <v>58</v>
      </c>
      <c r="F330" t="n">
        <v>67.59999999999999</v>
      </c>
      <c r="G330" t="n">
        <v>62.5</v>
      </c>
      <c r="H330" t="n">
        <v>59.3</v>
      </c>
      <c r="I330" t="n">
        <v>66.59999999999999</v>
      </c>
      <c r="J330" t="n">
        <v>51.8</v>
      </c>
      <c r="K330" t="n">
        <v>50.5</v>
      </c>
      <c r="L330" t="n">
        <v>55.4</v>
      </c>
      <c r="M330" t="n">
        <v>53.2</v>
      </c>
      <c r="N330" t="n">
        <v>57.1</v>
      </c>
      <c r="O330" t="n">
        <v>59.8</v>
      </c>
      <c r="P330" t="n">
        <v>52.7</v>
      </c>
      <c r="Q330" t="n">
        <v>45.6</v>
      </c>
      <c r="R330" t="n">
        <v>63.6</v>
      </c>
      <c r="S330" t="n">
        <v>54.3</v>
      </c>
      <c r="T330" t="n">
        <v>51.1</v>
      </c>
      <c r="U330" t="n">
        <v>53.3</v>
      </c>
      <c r="V330" t="n">
        <v>57.4</v>
      </c>
      <c r="W330" t="n">
        <v>55.3</v>
      </c>
      <c r="X330" t="n">
        <v>56.9</v>
      </c>
      <c r="Y330" t="n">
        <v>60.8</v>
      </c>
      <c r="Z330" t="n">
        <v>48.8</v>
      </c>
      <c r="AA330" t="n">
        <v>52.6</v>
      </c>
      <c r="AB330" t="n">
        <v>58.9</v>
      </c>
      <c r="AC330" t="n">
        <v>59.1</v>
      </c>
      <c r="AD330" t="n">
        <v>53.6</v>
      </c>
    </row>
    <row r="331">
      <c r="A331" s="96" t="n">
        <v>44287</v>
      </c>
      <c r="B331" t="n">
        <v>61.7</v>
      </c>
      <c r="C331" t="n">
        <v>52.3</v>
      </c>
      <c r="D331" t="n">
        <v>57.2</v>
      </c>
      <c r="E331" t="n">
        <v>58.9</v>
      </c>
      <c r="F331" t="n">
        <v>72</v>
      </c>
      <c r="G331" t="n">
        <v>62.9</v>
      </c>
      <c r="H331" t="n">
        <v>58.9</v>
      </c>
      <c r="I331" t="n">
        <v>66.2</v>
      </c>
      <c r="J331" t="n">
        <v>54.4</v>
      </c>
      <c r="K331" t="n">
        <v>50.3</v>
      </c>
      <c r="L331" t="n">
        <v>55.5</v>
      </c>
      <c r="M331" t="n">
        <v>54.6</v>
      </c>
      <c r="N331" t="n">
        <v>60.8</v>
      </c>
      <c r="O331" t="n">
        <v>60.7</v>
      </c>
      <c r="P331" t="n">
        <v>53.6</v>
      </c>
      <c r="Q331" t="n">
        <v>48.4</v>
      </c>
      <c r="R331" t="n">
        <v>58.3</v>
      </c>
      <c r="S331" t="n">
        <v>53.7</v>
      </c>
      <c r="T331" t="n">
        <v>50.4</v>
      </c>
      <c r="U331" t="n">
        <v>55.2</v>
      </c>
      <c r="V331" t="n">
        <v>56.2</v>
      </c>
      <c r="W331" t="n">
        <v>54.6</v>
      </c>
      <c r="X331" t="n">
        <v>57.7</v>
      </c>
      <c r="Y331" t="n">
        <v>62.4</v>
      </c>
      <c r="Z331" t="n">
        <v>50.7</v>
      </c>
      <c r="AA331" t="n">
        <v>50.4</v>
      </c>
      <c r="AB331" t="n">
        <v>60.9</v>
      </c>
      <c r="AC331" t="n">
        <v>60.5</v>
      </c>
      <c r="AD331" t="n">
        <v>54.7</v>
      </c>
    </row>
    <row r="332">
      <c r="A332" s="96" t="n">
        <v>44317</v>
      </c>
      <c r="B332" t="n">
        <v>61.8</v>
      </c>
      <c r="C332" t="n">
        <v>53.7</v>
      </c>
      <c r="D332" t="n">
        <v>57</v>
      </c>
      <c r="E332" t="n">
        <v>61.8</v>
      </c>
      <c r="F332" t="n">
        <v>67.7</v>
      </c>
      <c r="G332" t="n">
        <v>63.1</v>
      </c>
      <c r="H332" t="n">
        <v>59.4</v>
      </c>
      <c r="I332" t="n">
        <v>64.40000000000001</v>
      </c>
      <c r="J332" t="n">
        <v>58</v>
      </c>
      <c r="K332" t="n">
        <v>52.5</v>
      </c>
      <c r="L332" t="n">
        <v>50.8</v>
      </c>
      <c r="M332" t="n">
        <v>55.3</v>
      </c>
      <c r="N332" t="n">
        <v>64.09999999999999</v>
      </c>
      <c r="O332" t="n">
        <v>62.3</v>
      </c>
      <c r="P332" t="n">
        <v>53</v>
      </c>
      <c r="Q332" t="n">
        <v>47.6</v>
      </c>
      <c r="R332" t="n">
        <v>58.6</v>
      </c>
      <c r="S332" t="n">
        <v>57.2</v>
      </c>
      <c r="T332" t="n">
        <v>51.9</v>
      </c>
      <c r="U332" t="n">
        <v>56.4</v>
      </c>
      <c r="V332" t="n">
        <v>57.8</v>
      </c>
      <c r="W332" t="n">
        <v>53.7</v>
      </c>
      <c r="X332" t="n">
        <v>59.4</v>
      </c>
      <c r="Y332" t="n">
        <v>62</v>
      </c>
      <c r="Z332" t="n">
        <v>47.8</v>
      </c>
      <c r="AA332" t="n">
        <v>49.3</v>
      </c>
      <c r="AB332" t="n">
        <v>65.59999999999999</v>
      </c>
      <c r="AC332" t="n">
        <v>62.6</v>
      </c>
      <c r="AD332" t="n">
        <v>53.1</v>
      </c>
    </row>
    <row r="333">
      <c r="A333" s="96" t="n">
        <v>44348</v>
      </c>
      <c r="B333" t="n">
        <v>63.2</v>
      </c>
      <c r="C333" t="n">
        <v>56.4</v>
      </c>
      <c r="D333" t="n">
        <v>56.5</v>
      </c>
      <c r="E333" t="n">
        <v>62.7</v>
      </c>
      <c r="F333" t="n">
        <v>62.1</v>
      </c>
      <c r="G333" t="n">
        <v>63.4</v>
      </c>
      <c r="H333" t="n">
        <v>59</v>
      </c>
      <c r="I333" t="n">
        <v>65.09999999999999</v>
      </c>
      <c r="J333" t="n">
        <v>58.6</v>
      </c>
      <c r="K333" t="n">
        <v>51.4</v>
      </c>
      <c r="L333" t="n">
        <v>48.1</v>
      </c>
      <c r="M333" t="n">
        <v>53.5</v>
      </c>
      <c r="N333" t="n">
        <v>64</v>
      </c>
      <c r="O333" t="n">
        <v>62.2</v>
      </c>
      <c r="P333" t="n">
        <v>52.4</v>
      </c>
      <c r="Q333" t="n">
        <v>48.8</v>
      </c>
      <c r="R333" t="n">
        <v>60.9</v>
      </c>
      <c r="S333" t="n">
        <v>59.4</v>
      </c>
      <c r="T333" t="n">
        <v>49.2</v>
      </c>
      <c r="U333" t="n">
        <v>56.4</v>
      </c>
      <c r="V333" t="n">
        <v>57.4</v>
      </c>
      <c r="W333" t="n">
        <v>53.9</v>
      </c>
      <c r="X333" t="n">
        <v>60.4</v>
      </c>
      <c r="Y333" t="n">
        <v>57.6</v>
      </c>
      <c r="Z333" t="n">
        <v>49.5</v>
      </c>
      <c r="AA333" t="n">
        <v>51.3</v>
      </c>
      <c r="AB333" t="n">
        <v>63.9</v>
      </c>
      <c r="AC333" t="n">
        <v>62.1</v>
      </c>
      <c r="AD333" t="n">
        <v>44.1</v>
      </c>
    </row>
    <row r="334">
      <c r="A334" s="96" t="n">
        <v>44378</v>
      </c>
      <c r="B334" t="n">
        <v>60.8</v>
      </c>
      <c r="C334" t="n">
        <v>56.7</v>
      </c>
      <c r="D334" t="n">
        <v>56.2</v>
      </c>
      <c r="E334" t="n">
        <v>62</v>
      </c>
      <c r="F334" t="n">
        <v>69.8</v>
      </c>
      <c r="G334" t="n">
        <v>62.8</v>
      </c>
      <c r="H334" t="n">
        <v>58</v>
      </c>
      <c r="I334" t="n">
        <v>65.90000000000001</v>
      </c>
      <c r="J334" t="n">
        <v>57.4</v>
      </c>
      <c r="K334" t="n">
        <v>51.3</v>
      </c>
      <c r="L334" t="n">
        <v>55.3</v>
      </c>
      <c r="M334" t="n">
        <v>40.1</v>
      </c>
      <c r="N334" t="n">
        <v>63.3</v>
      </c>
      <c r="O334" t="n">
        <v>60.3</v>
      </c>
      <c r="P334" t="n">
        <v>53</v>
      </c>
      <c r="Q334" t="n">
        <v>49.6</v>
      </c>
      <c r="R334" t="n">
        <v>62.2</v>
      </c>
      <c r="S334" t="n">
        <v>57.6</v>
      </c>
      <c r="T334" t="n">
        <v>47.5</v>
      </c>
      <c r="U334" t="n">
        <v>55.8</v>
      </c>
      <c r="V334" t="n">
        <v>43.5</v>
      </c>
      <c r="W334" t="n">
        <v>53</v>
      </c>
      <c r="X334" t="n">
        <v>59</v>
      </c>
      <c r="Y334" t="n">
        <v>59.7</v>
      </c>
      <c r="Z334" t="n">
        <v>48.7</v>
      </c>
      <c r="AA334" t="n">
        <v>54</v>
      </c>
      <c r="AB334" t="n">
        <v>60.4</v>
      </c>
      <c r="AC334" t="n">
        <v>63.4</v>
      </c>
      <c r="AD334" t="n">
        <v>45.1</v>
      </c>
    </row>
    <row r="335">
      <c r="A335" s="96" t="n">
        <v>44409</v>
      </c>
      <c r="B335" t="n">
        <v>51.6</v>
      </c>
      <c r="C335" t="n">
        <v>53.6</v>
      </c>
      <c r="D335" t="n">
        <v>57.2</v>
      </c>
      <c r="E335" t="n">
        <v>61</v>
      </c>
      <c r="F335" t="n">
        <v>67.3</v>
      </c>
      <c r="G335" t="n">
        <v>61.4</v>
      </c>
      <c r="H335" t="n">
        <v>57.5</v>
      </c>
      <c r="I335" t="n">
        <v>62.6</v>
      </c>
      <c r="J335" t="n">
        <v>59.3</v>
      </c>
      <c r="K335" t="n">
        <v>53.3</v>
      </c>
      <c r="L335" t="n">
        <v>52.3</v>
      </c>
      <c r="M335" t="n">
        <v>43.7</v>
      </c>
      <c r="N335" t="n">
        <v>62.8</v>
      </c>
      <c r="O335" t="n">
        <v>60.9</v>
      </c>
      <c r="P335" t="n">
        <v>52.7</v>
      </c>
      <c r="Q335" t="n">
        <v>47.1</v>
      </c>
      <c r="R335" t="n">
        <v>39.7</v>
      </c>
      <c r="S335" t="n">
        <v>56</v>
      </c>
      <c r="T335" t="n">
        <v>46.5</v>
      </c>
      <c r="U335" t="n">
        <v>54.1</v>
      </c>
      <c r="V335" t="n">
        <v>57.9</v>
      </c>
      <c r="W335" t="n">
        <v>51.2</v>
      </c>
      <c r="X335" t="n">
        <v>59.5</v>
      </c>
      <c r="Y335" t="n">
        <v>58.5</v>
      </c>
      <c r="Z335" t="n">
        <v>48.3</v>
      </c>
      <c r="AA335" t="n">
        <v>54.1</v>
      </c>
      <c r="AB335" t="n">
        <v>60.3</v>
      </c>
      <c r="AC335" t="n">
        <v>61.1</v>
      </c>
      <c r="AD335" t="n">
        <v>40.2</v>
      </c>
    </row>
    <row r="336">
      <c r="A336" s="96" t="n">
        <v>44440</v>
      </c>
      <c r="B336" t="n">
        <v>51.2</v>
      </c>
      <c r="C336" t="n">
        <v>54.4</v>
      </c>
      <c r="D336" t="n">
        <v>57</v>
      </c>
      <c r="E336" t="n">
        <v>58</v>
      </c>
      <c r="F336" t="n">
        <v>65.2</v>
      </c>
      <c r="G336" t="n">
        <v>58.6</v>
      </c>
      <c r="H336" t="n">
        <v>55</v>
      </c>
      <c r="I336" t="n">
        <v>58.4</v>
      </c>
      <c r="J336" t="n">
        <v>58.4</v>
      </c>
      <c r="K336" t="n">
        <v>51.7</v>
      </c>
      <c r="L336" t="n">
        <v>53.7</v>
      </c>
      <c r="M336" t="n">
        <v>52.2</v>
      </c>
      <c r="N336" t="n">
        <v>60.3</v>
      </c>
      <c r="O336" t="n">
        <v>59.7</v>
      </c>
      <c r="P336" t="n">
        <v>51.5</v>
      </c>
      <c r="Q336" t="n">
        <v>48.6</v>
      </c>
      <c r="R336" t="n">
        <v>51.4</v>
      </c>
      <c r="S336" t="n">
        <v>53.4</v>
      </c>
      <c r="T336" t="n">
        <v>49.8</v>
      </c>
      <c r="U336" t="n">
        <v>58.6</v>
      </c>
      <c r="V336" t="n">
        <v>54.7</v>
      </c>
      <c r="W336" t="n">
        <v>52.4</v>
      </c>
      <c r="X336" t="n">
        <v>58.1</v>
      </c>
      <c r="Y336" t="n">
        <v>54.7</v>
      </c>
      <c r="Z336" t="n">
        <v>48.9</v>
      </c>
      <c r="AA336" t="n">
        <v>52.5</v>
      </c>
      <c r="AB336" t="n">
        <v>57.1</v>
      </c>
      <c r="AC336" t="n">
        <v>60.7</v>
      </c>
      <c r="AD336" t="n">
        <v>40.2</v>
      </c>
    </row>
    <row r="337">
      <c r="A337" s="96" t="n">
        <v>44470</v>
      </c>
      <c r="B337" t="n">
        <v>50.4</v>
      </c>
      <c r="C337" t="n">
        <v>51.7</v>
      </c>
      <c r="D337" t="n">
        <v>57.7</v>
      </c>
      <c r="E337" t="n">
        <v>55.1</v>
      </c>
      <c r="F337" t="n">
        <v>71.90000000000001</v>
      </c>
      <c r="G337" t="n">
        <v>58.3</v>
      </c>
      <c r="H337" t="n">
        <v>53.6</v>
      </c>
      <c r="I337" t="n">
        <v>57.8</v>
      </c>
      <c r="J337" t="n">
        <v>58.9</v>
      </c>
      <c r="K337" t="n">
        <v>50.8</v>
      </c>
      <c r="L337" t="n">
        <v>55.9</v>
      </c>
      <c r="M337" t="n">
        <v>57.2</v>
      </c>
      <c r="N337" t="n">
        <v>62.1</v>
      </c>
      <c r="O337" t="n">
        <v>61.1</v>
      </c>
      <c r="P337" t="n">
        <v>53.2</v>
      </c>
      <c r="Q337" t="n">
        <v>49.3</v>
      </c>
      <c r="R337" t="n">
        <v>54.3</v>
      </c>
      <c r="S337" t="n">
        <v>53.8</v>
      </c>
      <c r="T337" t="n">
        <v>51.6</v>
      </c>
      <c r="U337" t="n">
        <v>57.7</v>
      </c>
      <c r="V337" t="n">
        <v>53.6</v>
      </c>
      <c r="W337" t="n">
        <v>50.2</v>
      </c>
      <c r="X337" t="n">
        <v>57.4</v>
      </c>
      <c r="Y337" t="n">
        <v>55.2</v>
      </c>
      <c r="Z337" t="n">
        <v>50.9</v>
      </c>
      <c r="AA337" t="n">
        <v>51.2</v>
      </c>
      <c r="AB337" t="n">
        <v>57.8</v>
      </c>
      <c r="AC337" t="n">
        <v>58.4</v>
      </c>
      <c r="AD337" t="n">
        <v>52.1</v>
      </c>
    </row>
    <row r="338">
      <c r="A338" s="96" t="n">
        <v>44501</v>
      </c>
      <c r="B338" t="n">
        <v>54.8</v>
      </c>
      <c r="C338" t="n">
        <v>49.8</v>
      </c>
      <c r="D338" t="n">
        <v>57.2</v>
      </c>
      <c r="E338" t="n">
        <v>57.1</v>
      </c>
      <c r="F338" t="n">
        <v>68.2</v>
      </c>
      <c r="G338" t="n">
        <v>58.4</v>
      </c>
      <c r="H338" t="n">
        <v>55.9</v>
      </c>
      <c r="I338" t="n">
        <v>57.4</v>
      </c>
      <c r="J338" t="n">
        <v>58.8</v>
      </c>
      <c r="K338" t="n">
        <v>52.6</v>
      </c>
      <c r="L338" t="n">
        <v>57.6</v>
      </c>
      <c r="M338" t="n">
        <v>53.9</v>
      </c>
      <c r="N338" t="n">
        <v>59.9</v>
      </c>
      <c r="O338" t="n">
        <v>62.8</v>
      </c>
      <c r="P338" t="n">
        <v>54.5</v>
      </c>
      <c r="Q338" t="n">
        <v>49.4</v>
      </c>
      <c r="R338" t="n">
        <v>50.6</v>
      </c>
      <c r="S338" t="n">
        <v>54.4</v>
      </c>
      <c r="T338" t="n">
        <v>51.7</v>
      </c>
      <c r="U338" t="n">
        <v>56.9</v>
      </c>
      <c r="V338" t="n">
        <v>57.2</v>
      </c>
      <c r="W338" t="n">
        <v>50.9</v>
      </c>
      <c r="X338" t="n">
        <v>57.1</v>
      </c>
      <c r="Y338" t="n">
        <v>54.9</v>
      </c>
      <c r="Z338" t="n">
        <v>50.6</v>
      </c>
      <c r="AA338" t="n">
        <v>52</v>
      </c>
      <c r="AB338" t="n">
        <v>58.1</v>
      </c>
      <c r="AC338" t="n">
        <v>58.3</v>
      </c>
      <c r="AD338" t="n">
        <v>52.2</v>
      </c>
    </row>
    <row r="339">
      <c r="A339" s="96" t="n">
        <v>44531</v>
      </c>
      <c r="C339" t="n">
        <v>49.8</v>
      </c>
      <c r="D339" t="n">
        <v>55.5</v>
      </c>
      <c r="E339" t="n">
        <v>59.1</v>
      </c>
      <c r="F339" t="n">
        <v>64.40000000000001</v>
      </c>
      <c r="G339" t="n">
        <v>58</v>
      </c>
      <c r="H339" t="n">
        <v>55.6</v>
      </c>
      <c r="I339" t="n">
        <v>57.4</v>
      </c>
      <c r="J339" t="n">
        <v>59</v>
      </c>
      <c r="K339" t="n">
        <v>50.8</v>
      </c>
      <c r="L339" t="n">
        <v>55.5</v>
      </c>
      <c r="M339" t="n">
        <v>53.5</v>
      </c>
      <c r="N339" t="n">
        <v>58.3</v>
      </c>
      <c r="O339" t="n">
        <v>62</v>
      </c>
      <c r="P339" t="n">
        <v>54.3</v>
      </c>
      <c r="Q339" t="n">
        <v>49.4</v>
      </c>
      <c r="R339" t="n">
        <v>53.7</v>
      </c>
      <c r="S339" t="n">
        <v>56.1</v>
      </c>
      <c r="T339" t="n">
        <v>51.6</v>
      </c>
      <c r="U339" t="n">
        <v>53.9</v>
      </c>
      <c r="V339" t="n">
        <v>54.1</v>
      </c>
      <c r="W339" t="n">
        <v>51.9</v>
      </c>
      <c r="X339" t="n">
        <v>56.2</v>
      </c>
      <c r="Y339" t="n">
        <v>55.5</v>
      </c>
      <c r="Z339" t="n">
        <v>49.5</v>
      </c>
      <c r="AA339" t="n">
        <v>52.1</v>
      </c>
      <c r="AB339" t="n">
        <v>57.9</v>
      </c>
      <c r="AC339" t="n">
        <v>57.7</v>
      </c>
      <c r="AD339" t="n">
        <v>52.5</v>
      </c>
    </row>
    <row r="340">
      <c r="A340" s="96" t="n">
        <v>44562</v>
      </c>
      <c r="B340" t="n">
        <v>48.4</v>
      </c>
      <c r="G340" t="n">
        <v>59</v>
      </c>
      <c r="H340" t="n">
        <v>55.5</v>
      </c>
      <c r="I340" t="n">
        <v>60.5</v>
      </c>
      <c r="L340" t="n">
        <v>54</v>
      </c>
      <c r="N340" t="n">
        <v>59.4</v>
      </c>
      <c r="P340" t="n">
        <v>55.4</v>
      </c>
      <c r="T340" t="n">
        <v>51.8</v>
      </c>
      <c r="Y340" t="n">
        <v>55.1</v>
      </c>
      <c r="Z340" t="n">
        <v>51.7</v>
      </c>
      <c r="AB340" t="n">
        <v>56.9</v>
      </c>
      <c r="AC340" t="n">
        <v>55</v>
      </c>
      <c r="AD340" t="n">
        <v>53.7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36"/>
  <sheetViews>
    <sheetView tabSelected="1" zoomScale="160" zoomScaleNormal="160" workbookViewId="0">
      <pane ySplit="1" topLeftCell="A103" activePane="bottomLeft" state="frozen"/>
      <selection activeCell="P121" sqref="P121"/>
      <selection pane="bottomLeft" activeCell="F133" sqref="F133"/>
    </sheetView>
  </sheetViews>
  <sheetFormatPr baseColWidth="10" defaultRowHeight="15"/>
  <cols>
    <col width="10.83203125" customWidth="1" style="76" min="1" max="2"/>
    <col width="10.83203125" customWidth="1" style="76" min="3" max="16384"/>
  </cols>
  <sheetData>
    <row r="1">
      <c r="A1" t="inlineStr">
        <is>
          <t>DATE</t>
        </is>
      </c>
      <c r="B1" t="inlineStr">
        <is>
          <t>ISM Manufacturing</t>
        </is>
      </c>
    </row>
    <row r="2">
      <c r="A2" s="80" t="n">
        <v>40452</v>
      </c>
      <c r="B2" t="n">
        <v>56.9</v>
      </c>
    </row>
    <row r="3">
      <c r="A3" s="80" t="n">
        <v>40483</v>
      </c>
      <c r="B3" t="n">
        <v>57.3</v>
      </c>
    </row>
    <row r="4">
      <c r="A4" s="80" t="n">
        <v>40513</v>
      </c>
      <c r="B4" t="n">
        <v>56.6</v>
      </c>
    </row>
    <row r="5">
      <c r="A5" s="80" t="n">
        <v>40544</v>
      </c>
      <c r="B5" t="n">
        <v>59.1</v>
      </c>
    </row>
    <row r="6">
      <c r="A6" s="80" t="n">
        <v>40575</v>
      </c>
      <c r="B6" t="n">
        <v>59.2</v>
      </c>
    </row>
    <row r="7">
      <c r="A7" s="80" t="n">
        <v>40603</v>
      </c>
      <c r="B7" t="n">
        <v>58.4</v>
      </c>
    </row>
    <row r="8">
      <c r="A8" s="80" t="n">
        <v>40634</v>
      </c>
      <c r="B8" t="n">
        <v>57.9</v>
      </c>
    </row>
    <row r="9">
      <c r="A9" s="80" t="n">
        <v>40664</v>
      </c>
      <c r="B9" t="n">
        <v>54.8</v>
      </c>
    </row>
    <row r="10">
      <c r="A10" s="80" t="n">
        <v>40695</v>
      </c>
      <c r="B10" t="n">
        <v>55.8</v>
      </c>
    </row>
    <row r="11">
      <c r="A11" s="80" t="n">
        <v>40725</v>
      </c>
      <c r="B11" t="n">
        <v>52.9</v>
      </c>
    </row>
    <row r="12">
      <c r="A12" s="80" t="n">
        <v>40756</v>
      </c>
      <c r="B12" t="n">
        <v>52.6</v>
      </c>
    </row>
    <row r="13">
      <c r="A13" s="80" t="n">
        <v>40787</v>
      </c>
      <c r="B13" t="n">
        <v>53.7</v>
      </c>
    </row>
    <row r="14">
      <c r="A14" s="80" t="n">
        <v>40817</v>
      </c>
      <c r="B14" t="n">
        <v>51.4</v>
      </c>
    </row>
    <row r="15">
      <c r="A15" s="80" t="n">
        <v>40848</v>
      </c>
      <c r="B15" t="n">
        <v>51.8</v>
      </c>
    </row>
    <row r="16">
      <c r="A16" s="80" t="n">
        <v>40878</v>
      </c>
      <c r="B16" t="n">
        <v>53</v>
      </c>
    </row>
    <row r="17">
      <c r="A17" s="80" t="n">
        <v>40909</v>
      </c>
      <c r="B17" t="n">
        <v>52.6</v>
      </c>
    </row>
    <row r="18">
      <c r="A18" s="80" t="n">
        <v>40940</v>
      </c>
      <c r="B18" t="n">
        <v>53.1</v>
      </c>
    </row>
    <row r="19">
      <c r="A19" s="80" t="n">
        <v>40969</v>
      </c>
      <c r="B19" t="n">
        <v>53.5</v>
      </c>
    </row>
    <row r="20">
      <c r="A20" s="80" t="n">
        <v>41000</v>
      </c>
      <c r="B20" t="n">
        <v>53.5</v>
      </c>
    </row>
    <row r="21">
      <c r="A21" s="80" t="n">
        <v>41030</v>
      </c>
      <c r="B21" t="n">
        <v>52.6</v>
      </c>
    </row>
    <row r="22">
      <c r="A22" s="80" t="n">
        <v>41061</v>
      </c>
      <c r="B22" t="n">
        <v>49.7</v>
      </c>
    </row>
    <row r="23">
      <c r="A23" s="80" t="n">
        <v>41091</v>
      </c>
      <c r="B23" t="n">
        <v>50</v>
      </c>
    </row>
    <row r="24">
      <c r="A24" s="80" t="n">
        <v>41122</v>
      </c>
      <c r="B24" t="n">
        <v>50.2</v>
      </c>
    </row>
    <row r="25">
      <c r="A25" s="80" t="n">
        <v>41153</v>
      </c>
      <c r="B25" t="n">
        <v>51.8</v>
      </c>
    </row>
    <row r="26">
      <c r="A26" s="80" t="n">
        <v>41183</v>
      </c>
      <c r="B26" t="n">
        <v>50.7</v>
      </c>
    </row>
    <row r="27">
      <c r="A27" s="80" t="n">
        <v>41214</v>
      </c>
      <c r="B27" t="n">
        <v>48.9</v>
      </c>
    </row>
    <row r="28">
      <c r="A28" s="80" t="n">
        <v>41244</v>
      </c>
      <c r="B28" t="n">
        <v>49.8</v>
      </c>
    </row>
    <row r="29">
      <c r="A29" s="80" t="n">
        <v>41275</v>
      </c>
      <c r="B29" t="n">
        <v>52</v>
      </c>
    </row>
    <row r="30">
      <c r="A30" s="80" t="n">
        <v>41306</v>
      </c>
      <c r="B30" t="n">
        <v>53.6</v>
      </c>
    </row>
    <row r="31">
      <c r="A31" s="80" t="n">
        <v>41334</v>
      </c>
      <c r="B31" t="n">
        <v>52</v>
      </c>
    </row>
    <row r="32">
      <c r="A32" s="80" t="n">
        <v>41365</v>
      </c>
      <c r="B32" t="n">
        <v>49.7</v>
      </c>
    </row>
    <row r="33">
      <c r="A33" s="80" t="n">
        <v>41395</v>
      </c>
      <c r="B33" t="n">
        <v>50.5</v>
      </c>
    </row>
    <row r="34">
      <c r="A34" s="80" t="n">
        <v>41426</v>
      </c>
      <c r="B34" t="n">
        <v>51.5</v>
      </c>
    </row>
    <row r="35">
      <c r="A35" s="80" t="n">
        <v>41456</v>
      </c>
      <c r="B35" t="n">
        <v>53.5</v>
      </c>
    </row>
    <row r="36">
      <c r="A36" s="80" t="n">
        <v>41487</v>
      </c>
      <c r="B36" t="n">
        <v>55.9</v>
      </c>
    </row>
    <row r="37">
      <c r="A37" s="80" t="n">
        <v>41518</v>
      </c>
      <c r="B37" t="n">
        <v>54.8</v>
      </c>
    </row>
    <row r="38">
      <c r="A38" s="80" t="n">
        <v>41548</v>
      </c>
      <c r="B38" t="n">
        <v>55.3</v>
      </c>
    </row>
    <row r="39">
      <c r="A39" s="80" t="n">
        <v>41579</v>
      </c>
      <c r="B39" t="n">
        <v>56.3</v>
      </c>
    </row>
    <row r="40">
      <c r="A40" s="80" t="n">
        <v>41609</v>
      </c>
      <c r="B40" t="n">
        <v>55.9</v>
      </c>
    </row>
    <row r="41">
      <c r="A41" s="80" t="n">
        <v>41640</v>
      </c>
      <c r="B41" t="n">
        <v>51.7</v>
      </c>
    </row>
    <row r="42">
      <c r="A42" s="80" t="n">
        <v>41671</v>
      </c>
      <c r="B42" t="n">
        <v>54.6</v>
      </c>
    </row>
    <row r="43">
      <c r="A43" s="80" t="n">
        <v>41699</v>
      </c>
      <c r="B43" t="n">
        <v>55.3</v>
      </c>
    </row>
    <row r="44">
      <c r="A44" s="80" t="n">
        <v>41730</v>
      </c>
      <c r="B44" t="n">
        <v>55.7</v>
      </c>
    </row>
    <row r="45">
      <c r="A45" s="80" t="n">
        <v>41760</v>
      </c>
      <c r="B45" t="n">
        <v>55.8</v>
      </c>
    </row>
    <row r="46">
      <c r="A46" s="80" t="n">
        <v>41791</v>
      </c>
      <c r="B46" t="n">
        <v>54.9</v>
      </c>
    </row>
    <row r="47">
      <c r="A47" s="80" t="n">
        <v>41821</v>
      </c>
      <c r="B47" t="n">
        <v>55.3</v>
      </c>
    </row>
    <row r="48">
      <c r="A48" s="80" t="n">
        <v>41852</v>
      </c>
      <c r="B48" t="n">
        <v>58.2</v>
      </c>
    </row>
    <row r="49">
      <c r="A49" s="80" t="n">
        <v>41883</v>
      </c>
      <c r="B49" t="n">
        <v>55.5</v>
      </c>
    </row>
    <row r="50">
      <c r="A50" s="80" t="n">
        <v>41913</v>
      </c>
      <c r="B50" t="n">
        <v>56.8</v>
      </c>
    </row>
    <row r="51">
      <c r="A51" s="80" t="n">
        <v>41944</v>
      </c>
      <c r="B51" t="n">
        <v>57</v>
      </c>
    </row>
    <row r="52">
      <c r="A52" s="80" t="n">
        <v>41974</v>
      </c>
      <c r="B52" t="n">
        <v>54.7</v>
      </c>
    </row>
    <row r="53">
      <c r="A53" s="80" t="n">
        <v>42005</v>
      </c>
      <c r="B53" t="n">
        <v>53.9</v>
      </c>
    </row>
    <row r="54">
      <c r="A54" s="80" t="n">
        <v>42036</v>
      </c>
      <c r="B54" t="n">
        <v>53</v>
      </c>
    </row>
    <row r="55">
      <c r="A55" s="80" t="n">
        <v>42064</v>
      </c>
      <c r="B55" t="n">
        <v>51.8</v>
      </c>
    </row>
    <row r="56">
      <c r="A56" s="80" t="n">
        <v>42095</v>
      </c>
      <c r="B56" t="n">
        <v>51.6</v>
      </c>
    </row>
    <row r="57">
      <c r="A57" s="80" t="n">
        <v>42125</v>
      </c>
      <c r="B57" t="n">
        <v>52.9</v>
      </c>
    </row>
    <row r="58">
      <c r="A58" s="80" t="n">
        <v>42156</v>
      </c>
      <c r="B58" t="n">
        <v>52.3</v>
      </c>
    </row>
    <row r="59">
      <c r="A59" s="80" t="n">
        <v>42186</v>
      </c>
      <c r="B59" t="n">
        <v>51.9</v>
      </c>
    </row>
    <row r="60">
      <c r="A60" s="80" t="n">
        <v>42217</v>
      </c>
      <c r="B60" t="n">
        <v>50.8</v>
      </c>
    </row>
    <row r="61">
      <c r="A61" s="80" t="n">
        <v>42248</v>
      </c>
      <c r="B61" t="n">
        <v>50.1</v>
      </c>
    </row>
    <row r="62">
      <c r="A62" s="80" t="n">
        <v>42278</v>
      </c>
      <c r="B62" t="n">
        <v>49.6</v>
      </c>
    </row>
    <row r="63">
      <c r="A63" s="80" t="n">
        <v>42309</v>
      </c>
      <c r="B63" t="n">
        <v>49.1</v>
      </c>
    </row>
    <row r="64">
      <c r="A64" s="80" t="n">
        <v>42339</v>
      </c>
      <c r="B64" t="n">
        <v>48.4</v>
      </c>
    </row>
    <row r="65">
      <c r="A65" s="80" t="n">
        <v>42370</v>
      </c>
      <c r="B65" t="n">
        <v>47.8</v>
      </c>
    </row>
    <row r="66">
      <c r="A66" s="80" t="n">
        <v>42401</v>
      </c>
      <c r="B66" t="n">
        <v>49.4</v>
      </c>
    </row>
    <row r="67">
      <c r="A67" s="80" t="n">
        <v>42430</v>
      </c>
      <c r="B67" t="n">
        <v>51.2</v>
      </c>
    </row>
    <row r="68">
      <c r="A68" s="80" t="n">
        <v>42461</v>
      </c>
      <c r="B68" t="n">
        <v>50.8</v>
      </c>
    </row>
    <row r="69">
      <c r="A69" s="80" t="n">
        <v>42491</v>
      </c>
      <c r="B69" t="n">
        <v>50.9</v>
      </c>
    </row>
    <row r="70">
      <c r="A70" s="80" t="n">
        <v>42522</v>
      </c>
      <c r="B70" t="n">
        <v>52.5</v>
      </c>
    </row>
    <row r="71">
      <c r="A71" s="80" t="n">
        <v>42552</v>
      </c>
      <c r="B71" t="n">
        <v>52.9</v>
      </c>
    </row>
    <row r="72">
      <c r="A72" s="80" t="n">
        <v>42583</v>
      </c>
      <c r="B72" t="n">
        <v>49.9</v>
      </c>
    </row>
    <row r="73">
      <c r="A73" s="80" t="n">
        <v>42614</v>
      </c>
      <c r="B73" t="n">
        <v>51.4</v>
      </c>
    </row>
    <row r="74">
      <c r="A74" s="80" t="n">
        <v>42644</v>
      </c>
      <c r="B74" t="n">
        <v>51.8</v>
      </c>
    </row>
    <row r="75">
      <c r="A75" s="80" t="n">
        <v>42675</v>
      </c>
      <c r="B75" t="n">
        <v>53.4</v>
      </c>
    </row>
    <row r="76">
      <c r="A76" s="80" t="n">
        <v>42705</v>
      </c>
      <c r="B76" t="n">
        <v>54.3</v>
      </c>
    </row>
    <row r="77">
      <c r="A77" s="80" t="n">
        <v>42736</v>
      </c>
      <c r="B77" t="n">
        <v>55.6</v>
      </c>
    </row>
    <row r="78">
      <c r="A78" s="80" t="n">
        <v>42767</v>
      </c>
      <c r="B78" t="n">
        <v>57.6</v>
      </c>
    </row>
    <row r="79">
      <c r="A79" s="80" t="n">
        <v>42795</v>
      </c>
      <c r="B79" t="n">
        <v>56.6</v>
      </c>
    </row>
    <row r="80">
      <c r="A80" s="80" t="n">
        <v>42826</v>
      </c>
      <c r="B80" t="n">
        <v>55.3</v>
      </c>
    </row>
    <row r="81">
      <c r="A81" s="80" t="n">
        <v>42856</v>
      </c>
      <c r="B81" t="n">
        <v>55.5</v>
      </c>
    </row>
    <row r="82">
      <c r="A82" s="80" t="n">
        <v>42887</v>
      </c>
      <c r="B82" t="n">
        <v>56.7</v>
      </c>
    </row>
    <row r="83">
      <c r="A83" s="80" t="n">
        <v>42917</v>
      </c>
      <c r="B83" t="n">
        <v>56.5</v>
      </c>
    </row>
    <row r="84">
      <c r="A84" s="80" t="n">
        <v>42948</v>
      </c>
      <c r="B84" t="n">
        <v>59.3</v>
      </c>
    </row>
    <row r="85">
      <c r="A85" s="80" t="n">
        <v>42979</v>
      </c>
      <c r="B85" t="n">
        <v>60.2</v>
      </c>
    </row>
    <row r="86">
      <c r="A86" s="80" t="n">
        <v>43009</v>
      </c>
      <c r="B86" t="n">
        <v>58.5</v>
      </c>
    </row>
    <row r="87">
      <c r="A87" s="80" t="n">
        <v>43040</v>
      </c>
      <c r="B87" t="n">
        <v>58.2</v>
      </c>
    </row>
    <row r="88">
      <c r="A88" s="80" t="n">
        <v>43070</v>
      </c>
      <c r="B88" t="n">
        <v>59.3</v>
      </c>
    </row>
    <row r="89">
      <c r="A89" s="80" t="n">
        <v>43101</v>
      </c>
      <c r="B89" t="n">
        <v>59.1</v>
      </c>
    </row>
    <row r="90">
      <c r="A90" s="80" t="n">
        <v>43132</v>
      </c>
      <c r="B90" t="n">
        <v>60.8</v>
      </c>
    </row>
    <row r="91">
      <c r="A91" s="80" t="n">
        <v>43160</v>
      </c>
      <c r="B91" t="n">
        <v>59.3</v>
      </c>
    </row>
    <row r="92">
      <c r="A92" s="80" t="n">
        <v>43191</v>
      </c>
      <c r="B92" t="n">
        <v>57.3</v>
      </c>
    </row>
    <row r="93">
      <c r="A93" s="80" t="n">
        <v>43221</v>
      </c>
      <c r="B93" t="n">
        <v>58.7</v>
      </c>
    </row>
    <row r="94">
      <c r="A94" s="80" t="n">
        <v>43252</v>
      </c>
      <c r="B94" t="n">
        <v>60.2</v>
      </c>
    </row>
    <row r="95">
      <c r="A95" s="80" t="n">
        <v>43282</v>
      </c>
      <c r="B95" t="n">
        <v>58.1</v>
      </c>
    </row>
    <row r="96">
      <c r="A96" s="80" t="n">
        <v>43313</v>
      </c>
      <c r="B96" t="n">
        <v>61.3</v>
      </c>
    </row>
    <row r="97">
      <c r="A97" s="80" t="n">
        <v>43344</v>
      </c>
      <c r="B97" t="n">
        <v>59.8</v>
      </c>
    </row>
    <row r="98">
      <c r="A98" s="80" t="n">
        <v>43374</v>
      </c>
      <c r="B98" t="n">
        <v>57.7</v>
      </c>
    </row>
    <row r="99">
      <c r="A99" s="80" t="n">
        <v>43405</v>
      </c>
      <c r="B99" t="n">
        <v>59.3</v>
      </c>
    </row>
    <row r="100">
      <c r="A100" s="80" t="n">
        <v>43435</v>
      </c>
      <c r="B100" t="n">
        <v>54.3</v>
      </c>
    </row>
    <row r="101">
      <c r="A101" s="80" t="n">
        <v>43466</v>
      </c>
      <c r="B101" t="n">
        <v>56.6</v>
      </c>
    </row>
    <row r="102">
      <c r="A102" s="80" t="n">
        <v>43497</v>
      </c>
      <c r="B102" t="n">
        <v>54.3</v>
      </c>
    </row>
    <row r="103">
      <c r="A103" s="80" t="n">
        <v>43525</v>
      </c>
      <c r="B103" t="n">
        <v>54.3</v>
      </c>
    </row>
    <row r="104">
      <c r="A104" s="80" t="n">
        <v>43556</v>
      </c>
      <c r="B104" t="n">
        <v>52.8</v>
      </c>
    </row>
    <row r="105">
      <c r="A105" s="80" t="n">
        <v>43586</v>
      </c>
      <c r="B105" t="n">
        <v>52.1</v>
      </c>
    </row>
    <row r="106">
      <c r="A106" s="80" t="n">
        <v>43617</v>
      </c>
      <c r="B106" t="n">
        <v>51.7</v>
      </c>
    </row>
    <row r="107">
      <c r="A107" s="80" t="n">
        <v>43647</v>
      </c>
      <c r="B107" t="n">
        <v>51.2</v>
      </c>
    </row>
    <row r="108">
      <c r="A108" s="80" t="n">
        <v>43678</v>
      </c>
      <c r="B108" t="n">
        <v>49.1</v>
      </c>
    </row>
    <row r="109">
      <c r="A109" s="80" t="n">
        <v>43709</v>
      </c>
      <c r="B109" t="n">
        <v>47.8</v>
      </c>
    </row>
    <row r="110">
      <c r="A110" s="80" t="n">
        <v>43739</v>
      </c>
      <c r="B110" t="n">
        <v>48.3</v>
      </c>
    </row>
    <row r="111">
      <c r="A111" s="80" t="n">
        <v>43770</v>
      </c>
      <c r="B111" t="n">
        <v>48.1</v>
      </c>
    </row>
    <row r="112">
      <c r="A112" s="80" t="n">
        <v>43800</v>
      </c>
      <c r="B112" t="n">
        <v>47.8</v>
      </c>
    </row>
    <row r="113">
      <c r="A113" s="80" t="n">
        <v>43831</v>
      </c>
      <c r="B113" t="n">
        <v>50.9</v>
      </c>
    </row>
    <row r="114">
      <c r="A114" s="80" t="n">
        <v>43862</v>
      </c>
      <c r="B114" t="n">
        <v>50.1</v>
      </c>
    </row>
    <row r="115">
      <c r="A115" s="80" t="n">
        <v>43891</v>
      </c>
      <c r="B115" t="n">
        <v>49.1</v>
      </c>
    </row>
    <row r="116">
      <c r="A116" s="80" t="n">
        <v>43922</v>
      </c>
      <c r="B116" t="n">
        <v>41.5</v>
      </c>
    </row>
    <row r="117">
      <c r="A117" s="80" t="n">
        <v>43952</v>
      </c>
      <c r="B117" t="n">
        <v>43.1</v>
      </c>
    </row>
    <row r="118">
      <c r="A118" s="80" t="n">
        <v>43983</v>
      </c>
      <c r="B118" t="n">
        <v>52.6</v>
      </c>
    </row>
    <row r="119">
      <c r="A119" s="80" t="n">
        <v>44013</v>
      </c>
      <c r="B119" t="n">
        <v>54.2</v>
      </c>
    </row>
    <row r="120">
      <c r="A120" s="80" t="n">
        <v>44044</v>
      </c>
      <c r="B120" t="n">
        <v>56</v>
      </c>
    </row>
    <row r="121">
      <c r="A121" s="80" t="n">
        <v>44075</v>
      </c>
      <c r="B121" t="n">
        <v>57.8</v>
      </c>
    </row>
    <row r="122">
      <c r="A122" s="80" t="n">
        <v>44105</v>
      </c>
      <c r="B122" t="n">
        <v>59.3</v>
      </c>
    </row>
    <row r="123">
      <c r="A123" s="80" t="n">
        <v>44136</v>
      </c>
      <c r="B123" t="n">
        <v>57.5</v>
      </c>
    </row>
    <row r="124">
      <c r="A124" s="80" t="n">
        <v>44166</v>
      </c>
      <c r="B124" t="n">
        <v>60.5</v>
      </c>
    </row>
    <row r="125">
      <c r="A125" s="80" t="n">
        <v>44197</v>
      </c>
      <c r="B125" t="n">
        <v>58.7</v>
      </c>
    </row>
    <row r="126">
      <c r="A126" s="80" t="n">
        <v>44228</v>
      </c>
      <c r="B126" t="n">
        <v>60.8</v>
      </c>
    </row>
    <row r="127">
      <c r="A127" s="80" t="n">
        <v>44256</v>
      </c>
      <c r="B127" t="n">
        <v>64.7</v>
      </c>
    </row>
    <row r="128">
      <c r="A128" s="80" t="n">
        <v>44287</v>
      </c>
      <c r="B128" t="n">
        <v>60.7</v>
      </c>
    </row>
    <row r="129">
      <c r="A129" s="80" t="n">
        <v>44317</v>
      </c>
      <c r="B129" t="n">
        <v>61.2</v>
      </c>
    </row>
    <row r="130">
      <c r="A130" s="80" t="n">
        <v>44348</v>
      </c>
      <c r="B130" t="n">
        <v>60.6</v>
      </c>
    </row>
    <row r="131">
      <c r="A131" s="80" t="n">
        <v>44378</v>
      </c>
      <c r="B131" t="n">
        <v>59.5</v>
      </c>
    </row>
    <row r="132">
      <c r="A132" s="80" t="n">
        <v>44409</v>
      </c>
      <c r="B132" t="n">
        <v>59.9</v>
      </c>
    </row>
    <row r="133">
      <c r="A133" s="80" t="n">
        <v>44440</v>
      </c>
      <c r="B133" t="n">
        <v>60.3</v>
      </c>
    </row>
    <row r="134">
      <c r="A134" s="80" t="n">
        <v>44470</v>
      </c>
      <c r="B134" t="n">
        <v>60.7</v>
      </c>
    </row>
    <row r="135">
      <c r="A135" s="80" t="n">
        <v>44501</v>
      </c>
      <c r="B135" t="n">
        <v>61.1</v>
      </c>
    </row>
    <row r="136">
      <c r="A136" s="80" t="n">
        <v>44531</v>
      </c>
      <c r="B136" t="n">
        <v>61.5</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3"/>
  <sheetViews>
    <sheetView zoomScale="150" zoomScaleNormal="150" workbookViewId="0">
      <pane xSplit="2" ySplit="11" topLeftCell="C63" activePane="bottomRight" state="frozen"/>
      <selection pane="topRight" activeCell="C1" sqref="C1"/>
      <selection pane="bottomLeft" activeCell="A12" sqref="A12"/>
      <selection pane="bottomRight" activeCell="AG1" sqref="AG1"/>
    </sheetView>
  </sheetViews>
  <sheetFormatPr baseColWidth="10" defaultColWidth="9.1640625" defaultRowHeight="15"/>
  <cols>
    <col width="9.1640625" customWidth="1" style="84" min="1" max="1"/>
    <col width="17.83203125" customWidth="1" style="76" min="2" max="2"/>
    <col width="6.1640625" customWidth="1" style="76" min="3" max="27"/>
    <col width="7.33203125" customWidth="1" style="76" min="28" max="28"/>
    <col width="9.1640625" customWidth="1" style="84" min="29" max="29"/>
    <col width="12.33203125" customWidth="1" style="84" min="30" max="30"/>
    <col width="9.1640625" customWidth="1" style="84" min="31" max="31"/>
    <col width="10.5" customWidth="1" style="84" min="32" max="32"/>
    <col width="10.6640625" bestFit="1" customWidth="1" style="84" min="33" max="33"/>
    <col width="9.1640625" customWidth="1" style="84" min="34" max="74"/>
    <col width="9.1640625" customWidth="1" style="76" min="75" max="85"/>
    <col width="9.1640625" customWidth="1" style="76" min="86" max="16384"/>
  </cols>
  <sheetData>
    <row r="1" ht="16" customFormat="1" customHeight="1" s="84" thickBot="1">
      <c r="AD1" s="33" t="inlineStr">
        <is>
          <t>*to update</t>
        </is>
      </c>
      <c r="AE1" s="84" t="inlineStr">
        <is>
          <t>Last month</t>
        </is>
      </c>
      <c r="AG1" s="34" t="n">
        <v>44531</v>
      </c>
      <c r="AJ1" s="4" t="inlineStr">
        <is>
          <t>*modify max/min/avg</t>
        </is>
      </c>
    </row>
    <row r="2" ht="72.75" customHeight="1" s="76" thickBot="1">
      <c r="B2" s="39" t="n"/>
      <c r="C2" s="40" t="inlineStr">
        <is>
          <t>Global</t>
        </is>
      </c>
      <c r="D2" s="40" t="inlineStr">
        <is>
          <t>US ISM</t>
        </is>
      </c>
      <c r="E2" s="40" t="inlineStr">
        <is>
          <t>US</t>
        </is>
      </c>
      <c r="F2" s="40" t="inlineStr">
        <is>
          <t xml:space="preserve">China </t>
        </is>
      </c>
      <c r="G2" s="40" t="inlineStr">
        <is>
          <t>Eurozone</t>
        </is>
      </c>
      <c r="H2" s="40" t="inlineStr">
        <is>
          <t xml:space="preserve">Japan </t>
        </is>
      </c>
      <c r="I2" s="40" t="inlineStr">
        <is>
          <t>Germany</t>
        </is>
      </c>
      <c r="J2" s="40" t="inlineStr">
        <is>
          <t>France</t>
        </is>
      </c>
      <c r="K2" s="40" t="inlineStr">
        <is>
          <t>UK</t>
        </is>
      </c>
      <c r="L2" s="40" t="inlineStr">
        <is>
          <t xml:space="preserve">Italy </t>
        </is>
      </c>
      <c r="M2" s="40" t="inlineStr">
        <is>
          <t>Spain</t>
        </is>
      </c>
      <c r="N2" s="40" t="inlineStr">
        <is>
          <t>Brazil</t>
        </is>
      </c>
      <c r="O2" s="40" t="inlineStr">
        <is>
          <t>Mexico</t>
        </is>
      </c>
      <c r="P2" s="40" t="inlineStr">
        <is>
          <t>Russia</t>
        </is>
      </c>
      <c r="Q2" s="40" t="inlineStr">
        <is>
          <t>India</t>
        </is>
      </c>
      <c r="R2" s="40" t="inlineStr">
        <is>
          <t>Canada</t>
        </is>
      </c>
      <c r="S2" s="40" t="inlineStr">
        <is>
          <t>Australia</t>
        </is>
      </c>
      <c r="T2" s="41" t="inlineStr">
        <is>
          <t>Indonesia</t>
        </is>
      </c>
      <c r="U2" s="40" t="inlineStr">
        <is>
          <t xml:space="preserve">S Korea </t>
        </is>
      </c>
      <c r="V2" s="40" t="inlineStr">
        <is>
          <t>Taiwan</t>
        </is>
      </c>
      <c r="W2" s="40" t="inlineStr">
        <is>
          <t>Greece</t>
        </is>
      </c>
      <c r="X2" s="40" t="inlineStr">
        <is>
          <t>Ireland</t>
        </is>
      </c>
      <c r="Y2" s="40" t="inlineStr">
        <is>
          <t>Turkey</t>
        </is>
      </c>
      <c r="Z2" s="40" t="inlineStr">
        <is>
          <t xml:space="preserve">Czech </t>
        </is>
      </c>
      <c r="AA2" s="40" t="inlineStr">
        <is>
          <t>Poland</t>
        </is>
      </c>
      <c r="AB2" s="42" t="inlineStr">
        <is>
          <t>Denmark</t>
        </is>
      </c>
      <c r="AE2" s="84" t="inlineStr">
        <is>
          <t>Previous month</t>
        </is>
      </c>
      <c r="AG2" s="29">
        <f>DATE(YEAR(AG1),MONTH(AG1)-1,DAY(AG1))</f>
        <v/>
      </c>
    </row>
    <row r="3" hidden="1" s="76">
      <c r="B3" s="35" t="inlineStr">
        <is>
          <t>max 12m</t>
        </is>
      </c>
      <c r="C3" s="30">
        <f>MAX(C48:C59)</f>
        <v/>
      </c>
      <c r="D3" s="30">
        <f>MAX(D45:D56)</f>
        <v/>
      </c>
      <c r="E3" s="30">
        <f>MAX(E45:E56)</f>
        <v/>
      </c>
      <c r="F3" s="30">
        <f>MAX(F45:F56)</f>
        <v/>
      </c>
      <c r="G3" s="30">
        <f>MAX(G45:G56)</f>
        <v/>
      </c>
      <c r="H3" s="30">
        <f>MAX(H45:H56)</f>
        <v/>
      </c>
      <c r="I3" s="30">
        <f>MAX(I45:I56)</f>
        <v/>
      </c>
      <c r="J3" s="30">
        <f>MAX(J45:J56)</f>
        <v/>
      </c>
      <c r="K3" s="30">
        <f>MAX(K45:K56)</f>
        <v/>
      </c>
      <c r="L3" s="30">
        <f>MAX(L45:L56)</f>
        <v/>
      </c>
      <c r="M3" s="30">
        <f>MAX(M45:M56)</f>
        <v/>
      </c>
      <c r="N3" s="30">
        <f>MAX(N45:N56)</f>
        <v/>
      </c>
      <c r="O3" s="30">
        <f>MAX(O45:O56)</f>
        <v/>
      </c>
      <c r="P3" s="30">
        <f>MAX(P45:P56)</f>
        <v/>
      </c>
      <c r="Q3" s="30">
        <f>MAX(Q45:Q56)</f>
        <v/>
      </c>
      <c r="R3" s="30">
        <f>MAX(R45:R56)</f>
        <v/>
      </c>
      <c r="S3" s="30">
        <f>MAX(S45:S56)</f>
        <v/>
      </c>
      <c r="T3" s="30">
        <f>MAX(T45:T56)</f>
        <v/>
      </c>
      <c r="U3" s="30">
        <f>MAX(U45:U56)</f>
        <v/>
      </c>
      <c r="V3" s="30">
        <f>MAX(V45:V56)</f>
        <v/>
      </c>
      <c r="W3" s="30">
        <f>MAX(W45:W56)</f>
        <v/>
      </c>
      <c r="X3" s="30">
        <f>MAX(X45:X56)</f>
        <v/>
      </c>
      <c r="Y3" s="30">
        <f>MAX(Y45:Y56)</f>
        <v/>
      </c>
      <c r="Z3" s="30">
        <f>MAX(Z45:Z56)</f>
        <v/>
      </c>
      <c r="AA3" s="30">
        <f>MAX(AA45:AA56)</f>
        <v/>
      </c>
      <c r="AB3" s="36">
        <f>MAX(AB45:AB56)</f>
        <v/>
      </c>
      <c r="AF3" s="84" t="inlineStr">
        <is>
          <t>12 months</t>
        </is>
      </c>
      <c r="AG3" s="29">
        <f>DATE(YEAR(AG1),MONTH(AG1)-12,DAY(AG1))</f>
        <v/>
      </c>
    </row>
    <row r="4" hidden="1" s="76">
      <c r="B4" s="35" t="inlineStr">
        <is>
          <t>min 12m</t>
        </is>
      </c>
      <c r="C4" s="30">
        <f>MIN(C48:C59)</f>
        <v/>
      </c>
      <c r="D4" s="30">
        <f>MIN(D45:D56)</f>
        <v/>
      </c>
      <c r="E4" s="30">
        <f>MIN(E45:E56)</f>
        <v/>
      </c>
      <c r="F4" s="30">
        <f>MIN(F45:F56)</f>
        <v/>
      </c>
      <c r="G4" s="30">
        <f>MIN(G45:G56)</f>
        <v/>
      </c>
      <c r="H4" s="30">
        <f>MIN(H45:H56)</f>
        <v/>
      </c>
      <c r="I4" s="30">
        <f>MIN(I45:I56)</f>
        <v/>
      </c>
      <c r="J4" s="30">
        <f>MIN(J45:J56)</f>
        <v/>
      </c>
      <c r="K4" s="30">
        <f>MIN(K45:K56)</f>
        <v/>
      </c>
      <c r="L4" s="30">
        <f>MIN(L45:L56)</f>
        <v/>
      </c>
      <c r="M4" s="30">
        <f>MIN(M45:M56)</f>
        <v/>
      </c>
      <c r="N4" s="30">
        <f>MIN(N45:N56)</f>
        <v/>
      </c>
      <c r="O4" s="30">
        <f>MIN(O45:O56)</f>
        <v/>
      </c>
      <c r="P4" s="30">
        <f>MIN(P45:P56)</f>
        <v/>
      </c>
      <c r="Q4" s="30">
        <f>MIN(Q45:Q56)</f>
        <v/>
      </c>
      <c r="R4" s="30">
        <f>MIN(R45:R56)</f>
        <v/>
      </c>
      <c r="S4" s="30">
        <f>MIN(S45:S56)</f>
        <v/>
      </c>
      <c r="T4" s="30">
        <f>MIN(T45:T56)</f>
        <v/>
      </c>
      <c r="U4" s="30">
        <f>MIN(U45:U56)</f>
        <v/>
      </c>
      <c r="V4" s="30">
        <f>MIN(V45:V56)</f>
        <v/>
      </c>
      <c r="W4" s="30">
        <f>MIN(W45:W56)</f>
        <v/>
      </c>
      <c r="X4" s="30">
        <f>MIN(X45:X56)</f>
        <v/>
      </c>
      <c r="Y4" s="30">
        <f>MIN(Y45:Y56)</f>
        <v/>
      </c>
      <c r="Z4" s="30">
        <f>MIN(Z45:Z56)</f>
        <v/>
      </c>
      <c r="AA4" s="30">
        <f>MIN(AA45:AA56)</f>
        <v/>
      </c>
      <c r="AB4" s="36">
        <f>MIN(AB45:AB56)</f>
        <v/>
      </c>
    </row>
    <row r="5" hidden="1" s="76">
      <c r="B5" s="35" t="inlineStr">
        <is>
          <t>12m avg</t>
        </is>
      </c>
      <c r="C5" s="43">
        <f>AVERAGE(C48:C59)</f>
        <v/>
      </c>
      <c r="D5" s="43">
        <f>AVERAGE(D45:D56)</f>
        <v/>
      </c>
      <c r="E5" s="43">
        <f>AVERAGE(E45:E56)</f>
        <v/>
      </c>
      <c r="F5" s="43">
        <f>AVERAGE(F45:F56)</f>
        <v/>
      </c>
      <c r="G5" s="43">
        <f>AVERAGE(G45:G56)</f>
        <v/>
      </c>
      <c r="H5" s="43">
        <f>AVERAGE(H45:H56)</f>
        <v/>
      </c>
      <c r="I5" s="43">
        <f>AVERAGE(I45:I56)</f>
        <v/>
      </c>
      <c r="J5" s="43">
        <f>AVERAGE(J45:J56)</f>
        <v/>
      </c>
      <c r="K5" s="43">
        <f>AVERAGE(K45:K56)</f>
        <v/>
      </c>
      <c r="L5" s="43">
        <f>AVERAGE(L45:L56)</f>
        <v/>
      </c>
      <c r="M5" s="43">
        <f>AVERAGE(M45:M56)</f>
        <v/>
      </c>
      <c r="N5" s="43">
        <f>AVERAGE(N45:N56)</f>
        <v/>
      </c>
      <c r="O5" s="43">
        <f>AVERAGE(O45:O56)</f>
        <v/>
      </c>
      <c r="P5" s="43">
        <f>AVERAGE(P45:P56)</f>
        <v/>
      </c>
      <c r="Q5" s="43">
        <f>AVERAGE(Q45:Q56)</f>
        <v/>
      </c>
      <c r="R5" s="43">
        <f>AVERAGE(R45:R56)</f>
        <v/>
      </c>
      <c r="S5" s="43">
        <f>AVERAGE(S45:S56)</f>
        <v/>
      </c>
      <c r="T5" s="43">
        <f>AVERAGE(T45:T56)</f>
        <v/>
      </c>
      <c r="U5" s="43">
        <f>AVERAGE(U45:U56)</f>
        <v/>
      </c>
      <c r="V5" s="43">
        <f>AVERAGE(V45:V56)</f>
        <v/>
      </c>
      <c r="W5" s="43">
        <f>AVERAGE(W45:W56)</f>
        <v/>
      </c>
      <c r="X5" s="43">
        <f>AVERAGE(X45:X56)</f>
        <v/>
      </c>
      <c r="Y5" s="43">
        <f>AVERAGE(Y45:Y56)</f>
        <v/>
      </c>
      <c r="Z5" s="43">
        <f>AVERAGE(Z45:Z56)</f>
        <v/>
      </c>
      <c r="AA5" s="43">
        <f>AVERAGE(AA45:AA56)</f>
        <v/>
      </c>
      <c r="AB5" s="44">
        <f>AVERAGE(AB45:AB56)</f>
        <v/>
      </c>
    </row>
    <row r="6">
      <c r="B6" s="53" t="inlineStr">
        <is>
          <t>Last vs 12m avg</t>
        </is>
      </c>
      <c r="C6" s="45">
        <f>IF((VLOOKUP($AG$1,$B:$AA,MATCH(C2,$B$2:$AA$2,),))&gt;C5,"above","below")</f>
        <v/>
      </c>
      <c r="D6" s="46">
        <f>IF((VLOOKUP($AG$1,$B:$AA,MATCH(D2,$B$2:$AA$2,),))&gt;D5,"above","below")</f>
        <v/>
      </c>
      <c r="E6" s="46">
        <f>IF((VLOOKUP($AG$1,$B:$AA,MATCH(E2,$B$2:$AA$2,),))&gt;E5,"above","below")</f>
        <v/>
      </c>
      <c r="F6" s="46">
        <f>IF((VLOOKUP($AG$1,$B:$AA,MATCH(F2,$B$2:$AA$2,),))&gt;F5,"above","below")</f>
        <v/>
      </c>
      <c r="G6" s="46">
        <f>IF((VLOOKUP($AG$1,$B:$AA,MATCH(G2,$B$2:$AA$2,),))&gt;G5,"above","below")</f>
        <v/>
      </c>
      <c r="H6" s="46">
        <f>IF((VLOOKUP($AG$1,$B:$AA,MATCH(H2,$B$2:$AA$2,),))&gt;H5,"above","below")</f>
        <v/>
      </c>
      <c r="I6" s="46">
        <f>IF((VLOOKUP($AG$1,$B:$AA,MATCH(I2,$B$2:$AA$2,),))&gt;I5,"above","below")</f>
        <v/>
      </c>
      <c r="J6" s="46">
        <f>IF((VLOOKUP($AG$1,$B:$AA,MATCH(J2,$B$2:$AA$2,),))&gt;J5,"above","below")</f>
        <v/>
      </c>
      <c r="K6" s="46">
        <f>IF((VLOOKUP($AG$1,$B:$AA,MATCH(K2,$B$2:$AA$2,),))&gt;K5,"above","below")</f>
        <v/>
      </c>
      <c r="L6" s="46">
        <f>IF((VLOOKUP($AG$1,$B:$AA,MATCH(L2,$B$2:$AA$2,),))&gt;L5,"above","below")</f>
        <v/>
      </c>
      <c r="M6" s="46">
        <f>IF((VLOOKUP($AG$1,$B:$AA,MATCH(M2,$B$2:$AA$2,),))&gt;M5,"above","below")</f>
        <v/>
      </c>
      <c r="N6" s="46">
        <f>IF((VLOOKUP($AG$1,$B:$AA,MATCH(N2,$B$2:$AA$2,),))&gt;N5,"above","below")</f>
        <v/>
      </c>
      <c r="O6" s="46">
        <f>IF((VLOOKUP($AG$1,$B:$AA,MATCH(O2,$B$2:$AA$2,),))&gt;O5,"above","below")</f>
        <v/>
      </c>
      <c r="P6" s="46">
        <f>IF((VLOOKUP($AG$1,$B:$AA,MATCH(P2,$B$2:$AA$2,),))&gt;P5,"above","below")</f>
        <v/>
      </c>
      <c r="Q6" s="46">
        <f>IF((VLOOKUP($AG$1,$B:$AA,MATCH(Q2,$B$2:$AA$2,),))&gt;Q5,"above","below")</f>
        <v/>
      </c>
      <c r="R6" s="46">
        <f>IF((VLOOKUP($AG$1,$B:$AA,MATCH(R2,$B$2:$AA$2,),))&gt;R5,"above","below")</f>
        <v/>
      </c>
      <c r="S6" s="46">
        <f>IF((VLOOKUP($AG$1,$B:$AA,MATCH(S2,$B$2:$AA$2,),))&gt;S5,"above","below")</f>
        <v/>
      </c>
      <c r="T6" s="46">
        <f>IF((VLOOKUP($AG$1,$B:$AA,MATCH(T2,$B$2:$AA$2,),))&gt;T5,"above","below")</f>
        <v/>
      </c>
      <c r="U6" s="46">
        <f>IF((VLOOKUP($AG$1,$B:$AA,MATCH(U2,$B$2:$AA$2,),))&gt;U5,"above","below")</f>
        <v/>
      </c>
      <c r="V6" s="46">
        <f>IF((VLOOKUP($AG$1,$B:$AA,MATCH(V2,$B$2:$AA$2,),))&gt;V5,"above","below")</f>
        <v/>
      </c>
      <c r="W6" s="46">
        <f>IF((VLOOKUP($AG$1,$B:$AA,MATCH(W2,$B$2:$AA$2,),))&gt;W5,"above","below")</f>
        <v/>
      </c>
      <c r="X6" s="46">
        <f>IF((VLOOKUP($AG$1,$B:$AA,MATCH(X2,$B$2:$AA$2,),))&gt;X5,"above","below")</f>
        <v/>
      </c>
      <c r="Y6" s="46">
        <f>IF((VLOOKUP($AG$1,$B:$AA,MATCH(Y2,$B$2:$AA$2,),))&gt;Y5,"above","below")</f>
        <v/>
      </c>
      <c r="Z6" s="46">
        <f>IF((VLOOKUP($AG$1,$B:$AA,MATCH(Z2,$B$2:$AA$2,),))&gt;Z5,"above","below")</f>
        <v/>
      </c>
      <c r="AA6" s="46">
        <f>IF((VLOOKUP($AG$1,$B:$AA,MATCH(AA2,$B$2:$AA$2,),))&gt;AA5,"above","below")</f>
        <v/>
      </c>
      <c r="AB6" s="47">
        <f>IF((VLOOKUP($AG$1,$B:$AB,MATCH(AB2,$B$2:$AB$2,),))&gt;AB5,"above","below")</f>
        <v/>
      </c>
    </row>
    <row r="7">
      <c r="B7" s="53" t="inlineStr">
        <is>
          <t>Y/Y</t>
        </is>
      </c>
      <c r="C7" s="48">
        <f>VLOOKUP($AG$1,$B:$AA,MATCH(C2,$B$2:$AA$2,),)-VLOOKUP($AG$3,$B:$AA,MATCH(C2,$B$2:$AA$2,),)</f>
        <v/>
      </c>
      <c r="D7" s="30">
        <f>VLOOKUP($AG$1,$B:$AA,MATCH(D2,$B$2:$AA$2,),)-VLOOKUP($AG$3,$B:$AA,MATCH(D2,$B$2:$AA$2,),)</f>
        <v/>
      </c>
      <c r="E7" s="30">
        <f>VLOOKUP($AG$1,$B:$AA,MATCH(E2,$B$2:$AA$2,),)-VLOOKUP($AG$3,$B:$AA,MATCH(E2,$B$2:$AA$2,),)</f>
        <v/>
      </c>
      <c r="F7" s="30">
        <f>VLOOKUP($AG$1,$B:$AA,MATCH(F2,$B$2:$AA$2,),)-VLOOKUP($AG$3,$B:$AA,MATCH(F2,$B$2:$AA$2,),)</f>
        <v/>
      </c>
      <c r="G7" s="30">
        <f>VLOOKUP($AG$1,$B:$AA,MATCH(G2,$B$2:$AA$2,),)-VLOOKUP($AG$3,$B:$AA,MATCH(G2,$B$2:$AA$2,),)</f>
        <v/>
      </c>
      <c r="H7" s="30">
        <f>VLOOKUP($AG$1,$B:$AA,MATCH(H2,$B$2:$AA$2,),)-VLOOKUP($AG$3,$B:$AA,MATCH(H2,$B$2:$AA$2,),)</f>
        <v/>
      </c>
      <c r="I7" s="30">
        <f>VLOOKUP($AG$1,$B:$AA,MATCH(I2,$B$2:$AA$2,),)-VLOOKUP($AG$3,$B:$AA,MATCH(I2,$B$2:$AA$2,),)</f>
        <v/>
      </c>
      <c r="J7" s="30">
        <f>VLOOKUP($AG$1,$B:$AA,MATCH(J2,$B$2:$AA$2,),)-VLOOKUP($AG$3,$B:$AA,MATCH(J2,$B$2:$AA$2,),)</f>
        <v/>
      </c>
      <c r="K7" s="30">
        <f>VLOOKUP($AG$1,$B:$AA,MATCH(K2,$B$2:$AA$2,),)-VLOOKUP($AG$3,$B:$AA,MATCH(K2,$B$2:$AA$2,),)</f>
        <v/>
      </c>
      <c r="L7" s="30">
        <f>VLOOKUP($AG$1,$B:$AA,MATCH(L2,$B$2:$AA$2,),)-VLOOKUP($AG$3,$B:$AA,MATCH(L2,$B$2:$AA$2,),)</f>
        <v/>
      </c>
      <c r="M7" s="30">
        <f>VLOOKUP($AG$1,$B:$AA,MATCH(M2,$B$2:$AA$2,),)-VLOOKUP($AG$3,$B:$AA,MATCH(M2,$B$2:$AA$2,),)</f>
        <v/>
      </c>
      <c r="N7" s="30">
        <f>VLOOKUP($AG$1,$B:$AA,MATCH(N2,$B$2:$AA$2,),)-VLOOKUP($AG$3,$B:$AA,MATCH(N2,$B$2:$AA$2,),)</f>
        <v/>
      </c>
      <c r="O7" s="30">
        <f>VLOOKUP($AG$1,$B:$AA,MATCH(O2,$B$2:$AA$2,),)-VLOOKUP($AG$3,$B:$AA,MATCH(O2,$B$2:$AA$2,),)</f>
        <v/>
      </c>
      <c r="P7" s="30">
        <f>VLOOKUP($AG$1,$B:$AA,MATCH(P2,$B$2:$AA$2,),)-VLOOKUP($AG$3,$B:$AA,MATCH(P2,$B$2:$AA$2,),)</f>
        <v/>
      </c>
      <c r="Q7" s="30">
        <f>VLOOKUP($AG$1,$B:$AA,MATCH(Q2,$B$2:$AA$2,),)-VLOOKUP($AG$3,$B:$AA,MATCH(Q2,$B$2:$AA$2,),)</f>
        <v/>
      </c>
      <c r="R7" s="30">
        <f>VLOOKUP($AG$1,$B:$AA,MATCH(R2,$B$2:$AA$2,),)-VLOOKUP($AG$3,$B:$AA,MATCH(R2,$B$2:$AA$2,),)</f>
        <v/>
      </c>
      <c r="S7" s="30">
        <f>VLOOKUP($AG$1,$B:$AA,MATCH(S2,$B$2:$AA$2,),)-VLOOKUP($AG$3,$B:$AA,MATCH(S2,$B$2:$AA$2,),)</f>
        <v/>
      </c>
      <c r="T7" s="30">
        <f>VLOOKUP($AG$1,$B:$AA,MATCH(T2,$B$2:$AA$2,),)-VLOOKUP($AG$3,$B:$AA,MATCH(T2,$B$2:$AA$2,),)</f>
        <v/>
      </c>
      <c r="U7" s="30">
        <f>VLOOKUP($AG$1,$B:$AA,MATCH(U2,$B$2:$AA$2,),)-VLOOKUP($AG$3,$B:$AA,MATCH(U2,$B$2:$AA$2,),)</f>
        <v/>
      </c>
      <c r="V7" s="30">
        <f>VLOOKUP($AG$1,$B:$AA,MATCH(V2,$B$2:$AA$2,),)-VLOOKUP($AG$3,$B:$AA,MATCH(V2,$B$2:$AA$2,),)</f>
        <v/>
      </c>
      <c r="W7" s="30">
        <f>VLOOKUP($AG$1,$B:$AA,MATCH(W2,$B$2:$AA$2,),)-VLOOKUP($AG$3,$B:$AA,MATCH(W2,$B$2:$AA$2,),)</f>
        <v/>
      </c>
      <c r="X7" s="30">
        <f>VLOOKUP($AG$1,$B:$AA,MATCH(X2,$B$2:$AA$2,),)-VLOOKUP($AG$3,$B:$AA,MATCH(X2,$B$2:$AA$2,),)</f>
        <v/>
      </c>
      <c r="Y7" s="30">
        <f>VLOOKUP($AG$1,$B:$AA,MATCH(Y2,$B$2:$AA$2,),)-VLOOKUP($AG$3,$B:$AA,MATCH(Y2,$B$2:$AA$2,),)</f>
        <v/>
      </c>
      <c r="Z7" s="30">
        <f>VLOOKUP($AG$1,$B:$AA,MATCH(Z2,$B$2:$AA$2,),)-VLOOKUP($AG$3,$B:$AA,MATCH(Z2,$B$2:$AA$2,),)</f>
        <v/>
      </c>
      <c r="AA7" s="30">
        <f>VLOOKUP($AG$1,$B:$AA,MATCH(AA2,$B$2:$AA$2,),)-VLOOKUP($AG$3,$B:$AA,MATCH(AA2,$B$2:$AA$2,),)</f>
        <v/>
      </c>
      <c r="AB7" s="36">
        <f>VLOOKUP($AG$1,$B:$AB,MATCH(AB2,$B$2:$AB$2,),)-VLOOKUP($AG$3,$B:$AB,MATCH(AB2,$B$2:$AB$2,),)</f>
        <v/>
      </c>
    </row>
    <row r="8">
      <c r="B8" s="53" t="inlineStr">
        <is>
          <t>M/M</t>
        </is>
      </c>
      <c r="C8" s="48">
        <f>VLOOKUP($AG$1,$B:$AA,MATCH(C2,$B$2:$AA$2,),)-VLOOKUP($AG$2,$B:$AA,MATCH(C2,$B$2:$AA$2,),)</f>
        <v/>
      </c>
      <c r="D8" s="30">
        <f>VLOOKUP($AG$1,$B:$AA,MATCH(D2,$B$2:$AA$2,),)-VLOOKUP($AG$2,$B:$AA,MATCH(D2,$B$2:$AA$2,),)</f>
        <v/>
      </c>
      <c r="E8" s="30">
        <f>VLOOKUP($AG$1,$B:$AA,MATCH(E2,$B$2:$AA$2,),)-VLOOKUP($AG$2,$B:$AA,MATCH(E2,$B$2:$AA$2,),)</f>
        <v/>
      </c>
      <c r="F8" s="30">
        <f>VLOOKUP($AG$1,$B:$AA,MATCH(F2,$B$2:$AA$2,),)-VLOOKUP($AG$2,$B:$AA,MATCH(F2,$B$2:$AA$2,),)</f>
        <v/>
      </c>
      <c r="G8" s="30">
        <f>VLOOKUP($AG$1,$B:$AA,MATCH(G2,$B$2:$AA$2,),)-VLOOKUP($AG$2,$B:$AA,MATCH(G2,$B$2:$AA$2,),)</f>
        <v/>
      </c>
      <c r="H8" s="30">
        <f>VLOOKUP($AG$1,$B:$AA,MATCH(H2,$B$2:$AA$2,),)-VLOOKUP($AG$2,$B:$AA,MATCH(H2,$B$2:$AA$2,),)</f>
        <v/>
      </c>
      <c r="I8" s="30">
        <f>VLOOKUP($AG$1,$B:$AA,MATCH(I2,$B$2:$AA$2,),)-VLOOKUP($AG$2,$B:$AA,MATCH(I2,$B$2:$AA$2,),)</f>
        <v/>
      </c>
      <c r="J8" s="30">
        <f>VLOOKUP($AG$1,$B:$AA,MATCH(J2,$B$2:$AA$2,),)-VLOOKUP($AG$2,$B:$AA,MATCH(J2,$B$2:$AA$2,),)</f>
        <v/>
      </c>
      <c r="K8" s="30">
        <f>VLOOKUP($AG$1,$B:$AA,MATCH(K2,$B$2:$AA$2,),)-VLOOKUP($AG$2,$B:$AA,MATCH(K2,$B$2:$AA$2,),)</f>
        <v/>
      </c>
      <c r="L8" s="30">
        <f>VLOOKUP($AG$1,$B:$AA,MATCH(L2,$B$2:$AA$2,),)-VLOOKUP($AG$2,$B:$AA,MATCH(L2,$B$2:$AA$2,),)</f>
        <v/>
      </c>
      <c r="M8" s="30">
        <f>VLOOKUP($AG$1,$B:$AA,MATCH(M2,$B$2:$AA$2,),)-VLOOKUP($AG$2,$B:$AA,MATCH(M2,$B$2:$AA$2,),)</f>
        <v/>
      </c>
      <c r="N8" s="30">
        <f>VLOOKUP($AG$1,$B:$AA,MATCH(N2,$B$2:$AA$2,),)-VLOOKUP($AG$2,$B:$AA,MATCH(N2,$B$2:$AA$2,),)</f>
        <v/>
      </c>
      <c r="O8" s="30">
        <f>VLOOKUP($AG$1,$B:$AA,MATCH(O2,$B$2:$AA$2,),)-VLOOKUP($AG$2,$B:$AA,MATCH(O2,$B$2:$AA$2,),)</f>
        <v/>
      </c>
      <c r="P8" s="30">
        <f>VLOOKUP($AG$1,$B:$AA,MATCH(P2,$B$2:$AA$2,),)-VLOOKUP($AG$2,$B:$AA,MATCH(P2,$B$2:$AA$2,),)</f>
        <v/>
      </c>
      <c r="Q8" s="30">
        <f>VLOOKUP($AG$1,$B:$AA,MATCH(Q2,$B$2:$AA$2,),)-VLOOKUP($AG$2,$B:$AA,MATCH(Q2,$B$2:$AA$2,),)</f>
        <v/>
      </c>
      <c r="R8" s="30">
        <f>VLOOKUP($AG$1,$B:$AA,MATCH(R2,$B$2:$AA$2,),)-VLOOKUP($AG$2,$B:$AA,MATCH(R2,$B$2:$AA$2,),)</f>
        <v/>
      </c>
      <c r="S8" s="30">
        <f>VLOOKUP($AG$1,$B:$AA,MATCH(S2,$B$2:$AA$2,),)-VLOOKUP($AG$2,$B:$AA,MATCH(S2,$B$2:$AA$2,),)</f>
        <v/>
      </c>
      <c r="T8" s="30">
        <f>VLOOKUP($AG$1,$B:$AA,MATCH(T2,$B$2:$AA$2,),)-VLOOKUP($AG$2,$B:$AA,MATCH(T2,$B$2:$AA$2,),)</f>
        <v/>
      </c>
      <c r="U8" s="30">
        <f>VLOOKUP($AG$1,$B:$AA,MATCH(U2,$B$2:$AA$2,),)-VLOOKUP($AG$2,$B:$AA,MATCH(U2,$B$2:$AA$2,),)</f>
        <v/>
      </c>
      <c r="V8" s="30">
        <f>VLOOKUP($AG$1,$B:$AA,MATCH(V2,$B$2:$AA$2,),)-VLOOKUP($AG$2,$B:$AA,MATCH(V2,$B$2:$AA$2,),)</f>
        <v/>
      </c>
      <c r="W8" s="30">
        <f>VLOOKUP($AG$1,$B:$AA,MATCH(W2,$B$2:$AA$2,),)-VLOOKUP($AG$2,$B:$AA,MATCH(W2,$B$2:$AA$2,),)</f>
        <v/>
      </c>
      <c r="X8" s="30">
        <f>VLOOKUP($AG$1,$B:$AA,MATCH(X2,$B$2:$AA$2,),)-VLOOKUP($AG$2,$B:$AA,MATCH(X2,$B$2:$AA$2,),)</f>
        <v/>
      </c>
      <c r="Y8" s="30">
        <f>VLOOKUP($AG$1,$B:$AA,MATCH(Y2,$B$2:$AA$2,),)-VLOOKUP($AG$2,$B:$AA,MATCH(Y2,$B$2:$AA$2,),)</f>
        <v/>
      </c>
      <c r="Z8" s="30">
        <f>VLOOKUP($AG$1,$B:$AA,MATCH(Z2,$B$2:$AA$2,),)-VLOOKUP($AG$2,$B:$AA,MATCH(Z2,$B$2:$AA$2,),)</f>
        <v/>
      </c>
      <c r="AA8" s="30">
        <f>VLOOKUP($AG$1,$B:$AA,MATCH(AA2,$B$2:$AA$2,),)-VLOOKUP($AG$2,$B:$AA,MATCH(AA2,$B$2:$AA$2,),)</f>
        <v/>
      </c>
      <c r="AB8" s="36">
        <f>VLOOKUP($AG$1,$B:$AB,MATCH(AB2,$B$2:$AB$2,),)-VLOOKUP($AG$2,$B:$AB,MATCH(AB2,$B$2:$AB$2,),)</f>
        <v/>
      </c>
    </row>
    <row r="9" ht="66.75" customHeight="1" s="76">
      <c r="B9" s="54" t="inlineStr">
        <is>
          <t>Growth / Contraction</t>
        </is>
      </c>
      <c r="C9" s="50">
        <f>IF(VLOOKUP($AG$1,$B:$AB,MATCH(C2,$B$2:$AB$2,),)&gt;50,"Growth","Contraction")</f>
        <v/>
      </c>
      <c r="D9" s="51">
        <f>IF(VLOOKUP($AG$1,$B:$AB,MATCH(D2,$B$2:$AB$2,),)&gt;50,"Growth","Contraction")</f>
        <v/>
      </c>
      <c r="E9" s="51">
        <f>IF(VLOOKUP($AG$1,$B:$AB,MATCH(E2,$B$2:$AB$2,),)&gt;50,"Growth","Contraction")</f>
        <v/>
      </c>
      <c r="F9" s="51">
        <f>IF(VLOOKUP($AG$1,$B:$AB,MATCH(F2,$B$2:$AB$2,),)&gt;50,"Growth","Contraction")</f>
        <v/>
      </c>
      <c r="G9" s="51">
        <f>IF(VLOOKUP($AG$1,$B:$AB,MATCH(G2,$B$2:$AB$2,),)&gt;50,"Growth","Contraction")</f>
        <v/>
      </c>
      <c r="H9" s="51">
        <f>IF(VLOOKUP($AG$1,$B:$AB,MATCH(H2,$B$2:$AB$2,),)&gt;50,"Growth","Contraction")</f>
        <v/>
      </c>
      <c r="I9" s="51">
        <f>IF(VLOOKUP($AG$1,$B:$AB,MATCH(I2,$B$2:$AB$2,),)&gt;50,"Growth","Contraction")</f>
        <v/>
      </c>
      <c r="J9" s="51">
        <f>IF(VLOOKUP($AG$1,$B:$AB,MATCH(J2,$B$2:$AB$2,),)&gt;50,"Growth","Contraction")</f>
        <v/>
      </c>
      <c r="K9" s="51">
        <f>IF(VLOOKUP($AG$1,$B:$AB,MATCH(K2,$B$2:$AB$2,),)&gt;50,"Growth","Contraction")</f>
        <v/>
      </c>
      <c r="L9" s="51">
        <f>IF(VLOOKUP($AG$1,$B:$AB,MATCH(L2,$B$2:$AB$2,),)&gt;50,"Growth","Contraction")</f>
        <v/>
      </c>
      <c r="M9" s="51">
        <f>IF(VLOOKUP($AG$1,$B:$AB,MATCH(M2,$B$2:$AB$2,),)&gt;50,"Growth","Contraction")</f>
        <v/>
      </c>
      <c r="N9" s="51">
        <f>IF(VLOOKUP($AG$1,$B:$AB,MATCH(N2,$B$2:$AB$2,),)&gt;50,"Growth","Contraction")</f>
        <v/>
      </c>
      <c r="O9" s="51">
        <f>IF(VLOOKUP($AG$1,$B:$AB,MATCH(O2,$B$2:$AB$2,),)&gt;50,"Growth","Contraction")</f>
        <v/>
      </c>
      <c r="P9" s="51">
        <f>IF(VLOOKUP($AG$1,$B:$AB,MATCH(P2,$B$2:$AB$2,),)&gt;50,"Growth","Contraction")</f>
        <v/>
      </c>
      <c r="Q9" s="51">
        <f>IF(VLOOKUP($AG$1,$B:$AB,MATCH(Q2,$B$2:$AB$2,),)&gt;50,"Growth","Contraction")</f>
        <v/>
      </c>
      <c r="R9" s="51">
        <f>IF(VLOOKUP($AG$1,$B:$AB,MATCH(R2,$B$2:$AB$2,),)&gt;50,"Growth","Contraction")</f>
        <v/>
      </c>
      <c r="S9" s="51">
        <f>IF(VLOOKUP($AG$1,$B:$AB,MATCH(S2,$B$2:$AB$2,),)&gt;50,"Growth","Contraction")</f>
        <v/>
      </c>
      <c r="T9" s="51">
        <f>IF(VLOOKUP($AG$1,$B:$AB,MATCH(T2,$B$2:$AB$2,),)&gt;50,"Growth","Contraction")</f>
        <v/>
      </c>
      <c r="U9" s="51">
        <f>IF(VLOOKUP($AG$1,$B:$AB,MATCH(U2,$B$2:$AB$2,),)&gt;50,"Growth","Contraction")</f>
        <v/>
      </c>
      <c r="V9" s="51">
        <f>IF(VLOOKUP($AG$1,$B:$AB,MATCH(V2,$B$2:$AB$2,),)&gt;50,"Growth","Contraction")</f>
        <v/>
      </c>
      <c r="W9" s="51">
        <f>IF(VLOOKUP($AG$1,$B:$AB,MATCH(W2,$B$2:$AB$2,),)&gt;50,"Growth","Contraction")</f>
        <v/>
      </c>
      <c r="X9" s="51">
        <f>IF(VLOOKUP($AG$1,$B:$AB,MATCH(X2,$B$2:$AB$2,),)&gt;50,"Growth","Contraction")</f>
        <v/>
      </c>
      <c r="Y9" s="51">
        <f>IF(VLOOKUP($AG$1,$B:$AB,MATCH(Y2,$B$2:$AB$2,),)&gt;50,"Growth","Contraction")</f>
        <v/>
      </c>
      <c r="Z9" s="51">
        <f>IF(VLOOKUP($AG$1,$B:$AB,MATCH(Z2,$B$2:$AB$2,),)&gt;50,"Growth","Contraction")</f>
        <v/>
      </c>
      <c r="AA9" s="51">
        <f>IF(VLOOKUP($AG$1,$B:$AB,MATCH(AA2,$B$2:$AB$2,),)&gt;50,"Growth","Contraction")</f>
        <v/>
      </c>
      <c r="AB9" s="52">
        <f>IF(VLOOKUP($AG$1,$B:$AB,MATCH(AB2,$B$2:$AB$2,),)&gt;50,"Growth","Contraction")</f>
        <v/>
      </c>
    </row>
    <row r="10" ht="26.25" customHeight="1" s="76" thickBot="1">
      <c r="B10" s="55" t="inlineStr">
        <is>
          <t>Slower/Faster</t>
        </is>
      </c>
      <c r="C10" s="49">
        <f>IF(C8&gt;0,"+","-")</f>
        <v/>
      </c>
      <c r="D10" s="37">
        <f>IF(D8&gt;0,"+","-")</f>
        <v/>
      </c>
      <c r="E10" s="37">
        <f>IF(E8&gt;0,"+","-")</f>
        <v/>
      </c>
      <c r="F10" s="37">
        <f>IF(F8&gt;0,"+","-")</f>
        <v/>
      </c>
      <c r="G10" s="37">
        <f>IF(G8&gt;0,"+","-")</f>
        <v/>
      </c>
      <c r="H10" s="37">
        <f>IF(H8&gt;0,"+","-")</f>
        <v/>
      </c>
      <c r="I10" s="37">
        <f>IF(I8&gt;0,"+","-")</f>
        <v/>
      </c>
      <c r="J10" s="37">
        <f>IF(J8&gt;0,"+","-")</f>
        <v/>
      </c>
      <c r="K10" s="37">
        <f>IF(K8&gt;0,"+","-")</f>
        <v/>
      </c>
      <c r="L10" s="37">
        <f>IF(L8&gt;0,"+","-")</f>
        <v/>
      </c>
      <c r="M10" s="37">
        <f>IF(M8&gt;0,"+","-")</f>
        <v/>
      </c>
      <c r="N10" s="37">
        <f>IF(N8&gt;0,"+","-")</f>
        <v/>
      </c>
      <c r="O10" s="37">
        <f>IF(O8&gt;0,"+","-")</f>
        <v/>
      </c>
      <c r="P10" s="37">
        <f>IF(P8&gt;0,"+","-")</f>
        <v/>
      </c>
      <c r="Q10" s="37">
        <f>IF(Q8&gt;0,"+","-")</f>
        <v/>
      </c>
      <c r="R10" s="37">
        <f>IF(R8&gt;0,"+","-")</f>
        <v/>
      </c>
      <c r="S10" s="37">
        <f>IF(S8&gt;0,"+","-")</f>
        <v/>
      </c>
      <c r="T10" s="37">
        <f>IF(T8&gt;0,"+","-")</f>
        <v/>
      </c>
      <c r="U10" s="37">
        <f>IF(U8&gt;0,"+","-")</f>
        <v/>
      </c>
      <c r="V10" s="37">
        <f>IF(V8&gt;0,"+","-")</f>
        <v/>
      </c>
      <c r="W10" s="37">
        <f>IF(W8&gt;0,"+","-")</f>
        <v/>
      </c>
      <c r="X10" s="37">
        <f>IF(X8&gt;0,"+","-")</f>
        <v/>
      </c>
      <c r="Y10" s="37">
        <f>IF(Y8&gt;0,"+","-")</f>
        <v/>
      </c>
      <c r="Z10" s="37">
        <f>IF(Z8&gt;0,"+","-")</f>
        <v/>
      </c>
      <c r="AA10" s="37">
        <f>IF(AA8&gt;0,"+","-")</f>
        <v/>
      </c>
      <c r="AB10" s="38">
        <f>IF(AB8&gt;0,"+","-")</f>
        <v/>
      </c>
    </row>
    <row r="11" ht="26.25" customHeight="1" s="76">
      <c r="B11" s="84" t="n"/>
      <c r="C11" s="84" t="n"/>
      <c r="D11" s="84" t="n"/>
      <c r="E11" s="84" t="n"/>
      <c r="F11" s="84" t="n"/>
      <c r="G11" s="84" t="n"/>
      <c r="H11" s="84" t="n"/>
      <c r="I11" s="84" t="n"/>
      <c r="J11" s="84" t="n"/>
      <c r="K11" s="84" t="n"/>
      <c r="L11" s="84" t="n"/>
      <c r="M11" s="84" t="n"/>
      <c r="N11" s="84" t="n"/>
      <c r="O11" s="84" t="n"/>
      <c r="P11" s="84" t="n"/>
      <c r="Q11" s="84" t="n"/>
      <c r="R11" s="84" t="n"/>
      <c r="S11" s="84" t="n"/>
      <c r="T11" s="84" t="n"/>
      <c r="U11" s="84" t="n"/>
      <c r="V11" s="84" t="n"/>
      <c r="W11" s="84" t="n"/>
      <c r="X11" s="84" t="n"/>
      <c r="Y11" s="84" t="n"/>
      <c r="Z11" s="84" t="n"/>
      <c r="AA11" s="84" t="n"/>
      <c r="AB11" s="84" t="n"/>
    </row>
    <row r="12">
      <c r="B12" s="31" t="n">
        <v>42064</v>
      </c>
      <c r="C12" s="32">
        <f>VLOOKUP(B12,Global!$A:$B,2,)</f>
        <v/>
      </c>
      <c r="D12" s="32">
        <f>VLOOKUP(B12,US!$A:$D,4,)</f>
        <v/>
      </c>
      <c r="E12" s="32">
        <f>VLOOKUP(B12,US!$A:$B,2,)</f>
        <v/>
      </c>
      <c r="F12" s="32">
        <f>VLOOKUP(B12,China!$A:$B,2,)</f>
        <v/>
      </c>
      <c r="G12" s="32">
        <f>VLOOKUP(B12,'Euro Area'!A:B,2,)</f>
        <v/>
      </c>
      <c r="H12" s="32">
        <f>VLOOKUP(B12,Japan!$A:$B,2,)</f>
        <v/>
      </c>
      <c r="I12" s="32">
        <f>VLOOKUP(B12,Germany!$A:$B,2,)</f>
        <v/>
      </c>
      <c r="J12" s="32">
        <f>VLOOKUP(B12,France!$A:$B,2,)</f>
        <v/>
      </c>
      <c r="K12" s="32">
        <f>VLOOKUP(B12,UK!$A:$B,2,)</f>
        <v/>
      </c>
      <c r="L12" s="32">
        <f>VLOOKUP(B12,Italy!$A:$B,2,)</f>
        <v/>
      </c>
      <c r="M12" s="32">
        <f>VLOOKUP(B12,Spain!$A:$B,2,)</f>
        <v/>
      </c>
      <c r="N12" s="32">
        <f>VLOOKUP(B12,Brazil!$A:$B,2,)</f>
        <v/>
      </c>
      <c r="O12" s="32">
        <f>VLOOKUP(B12,Mexico!$A:$B,2,)</f>
        <v/>
      </c>
      <c r="P12" s="32">
        <f>VLOOKUP(B12,Russia!$A:$B,2,)</f>
        <v/>
      </c>
      <c r="Q12" s="32">
        <f>VLOOKUP(B12,India!$A:$B,2,)</f>
        <v/>
      </c>
      <c r="R12" s="32">
        <f>VLOOKUP(B12,Canada!$A:$B,2,)</f>
        <v/>
      </c>
      <c r="S12" s="32">
        <f>VLOOKUP(B12,Australia!$A:$B,2,)</f>
        <v/>
      </c>
      <c r="T12" s="32">
        <f>VLOOKUP(B12,Indonesia!$A:$B,2,)</f>
        <v/>
      </c>
      <c r="U12" s="32">
        <f>VLOOKUP(B12,SouthKorea!$A:$B,2,)</f>
        <v/>
      </c>
      <c r="V12" s="32">
        <f>VLOOKUP(B12,Taiwan!$A:$B,2,)</f>
        <v/>
      </c>
      <c r="W12" s="32">
        <f>VLOOKUP(B12,Greece!$A:$B,2,)</f>
        <v/>
      </c>
      <c r="X12" s="32">
        <f>VLOOKUP(B12,Ireland!$A:$B,2,)</f>
        <v/>
      </c>
      <c r="Y12" s="32">
        <f>VLOOKUP(B12,Turkey!$A:$B,2,)</f>
        <v/>
      </c>
      <c r="Z12" s="32">
        <f>VLOOKUP(B12,CzechRepublic!$A:$B,2,)</f>
        <v/>
      </c>
      <c r="AA12" s="32">
        <f>VLOOKUP(B12,Poland!$A:$B,2,)</f>
        <v/>
      </c>
      <c r="AB12" s="32">
        <f>VLOOKUP(B12,Denmark!$A:$B,2,)</f>
        <v/>
      </c>
    </row>
    <row r="13">
      <c r="B13" s="31" t="n">
        <v>42095</v>
      </c>
      <c r="C13" s="32">
        <f>VLOOKUP(B13,Global!$A:$B,2,)</f>
        <v/>
      </c>
      <c r="D13" s="32">
        <f>VLOOKUP(B13,US!$A:$D,4,)</f>
        <v/>
      </c>
      <c r="E13" s="32">
        <f>VLOOKUP(B13,US!$A:$B,2,)</f>
        <v/>
      </c>
      <c r="F13" s="32">
        <f>VLOOKUP(B13,China!$A:$B,2,)</f>
        <v/>
      </c>
      <c r="G13" s="32">
        <f>VLOOKUP(B13,'Euro Area'!A:B,2,)</f>
        <v/>
      </c>
      <c r="H13" s="32">
        <f>VLOOKUP(B13,Japan!$A:$B,2,)</f>
        <v/>
      </c>
      <c r="I13" s="32">
        <f>VLOOKUP(B13,Germany!$A:$B,2,)</f>
        <v/>
      </c>
      <c r="J13" s="32">
        <f>VLOOKUP(B13,France!$A:$B,2,)</f>
        <v/>
      </c>
      <c r="K13" s="32">
        <f>VLOOKUP(B13,UK!$A:$B,2,)</f>
        <v/>
      </c>
      <c r="L13" s="32">
        <f>VLOOKUP(B13,Italy!$A:$B,2,)</f>
        <v/>
      </c>
      <c r="M13" s="32">
        <f>VLOOKUP(B13,Spain!$A:$B,2,)</f>
        <v/>
      </c>
      <c r="N13" s="32">
        <f>VLOOKUP(B13,Brazil!$A:$B,2,)</f>
        <v/>
      </c>
      <c r="O13" s="32">
        <f>VLOOKUP(B13,Mexico!$A:$B,2,)</f>
        <v/>
      </c>
      <c r="P13" s="32">
        <f>VLOOKUP(B13,Russia!$A:$B,2,)</f>
        <v/>
      </c>
      <c r="Q13" s="32">
        <f>VLOOKUP(B13,India!$A:$B,2,)</f>
        <v/>
      </c>
      <c r="R13" s="32">
        <f>VLOOKUP(B13,Canada!$A:$B,2,)</f>
        <v/>
      </c>
      <c r="S13" s="32">
        <f>VLOOKUP(B13,Australia!$A:$B,2,)</f>
        <v/>
      </c>
      <c r="T13" s="32">
        <f>VLOOKUP(B13,Indonesia!$A:$B,2,)</f>
        <v/>
      </c>
      <c r="U13" s="32">
        <f>VLOOKUP(B13,SouthKorea!$A:$B,2,)</f>
        <v/>
      </c>
      <c r="V13" s="32">
        <f>VLOOKUP(B13,Taiwan!$A:$B,2,)</f>
        <v/>
      </c>
      <c r="W13" s="32">
        <f>VLOOKUP(B13,Greece!$A:$B,2,)</f>
        <v/>
      </c>
      <c r="X13" s="32">
        <f>VLOOKUP(B13,Ireland!$A:$B,2,)</f>
        <v/>
      </c>
      <c r="Y13" s="32">
        <f>VLOOKUP(B13,Turkey!$A:$B,2,)</f>
        <v/>
      </c>
      <c r="Z13" s="32">
        <f>VLOOKUP(B13,CzechRepublic!$A:$B,2,)</f>
        <v/>
      </c>
      <c r="AA13" s="32">
        <f>VLOOKUP(B13,Poland!$A:$B,2,)</f>
        <v/>
      </c>
      <c r="AB13" s="32">
        <f>VLOOKUP(B13,Denmark!$A:$B,2,)</f>
        <v/>
      </c>
    </row>
    <row r="14">
      <c r="B14" s="31" t="n">
        <v>42125</v>
      </c>
      <c r="C14" s="32">
        <f>VLOOKUP(B14,Global!$A:$B,2,)</f>
        <v/>
      </c>
      <c r="D14" s="32">
        <f>VLOOKUP(B14,US!$A:$D,4,)</f>
        <v/>
      </c>
      <c r="E14" s="32">
        <f>VLOOKUP(B14,US!$A:$B,2,)</f>
        <v/>
      </c>
      <c r="F14" s="32">
        <f>VLOOKUP(B14,China!$A:$B,2,)</f>
        <v/>
      </c>
      <c r="G14" s="32">
        <f>VLOOKUP(B14,'Euro Area'!A:B,2,)</f>
        <v/>
      </c>
      <c r="H14" s="32">
        <f>VLOOKUP(B14,Japan!$A:$B,2,)</f>
        <v/>
      </c>
      <c r="I14" s="32">
        <f>VLOOKUP(B14,Germany!$A:$B,2,)</f>
        <v/>
      </c>
      <c r="J14" s="32">
        <f>VLOOKUP(B14,France!$A:$B,2,)</f>
        <v/>
      </c>
      <c r="K14" s="32">
        <f>VLOOKUP(B14,UK!$A:$B,2,)</f>
        <v/>
      </c>
      <c r="L14" s="32">
        <f>VLOOKUP(B14,Italy!$A:$B,2,)</f>
        <v/>
      </c>
      <c r="M14" s="32">
        <f>VLOOKUP(B14,Spain!$A:$B,2,)</f>
        <v/>
      </c>
      <c r="N14" s="32">
        <f>VLOOKUP(B14,Brazil!$A:$B,2,)</f>
        <v/>
      </c>
      <c r="O14" s="32">
        <f>VLOOKUP(B14,Mexico!$A:$B,2,)</f>
        <v/>
      </c>
      <c r="P14" s="32">
        <f>VLOOKUP(B14,Russia!$A:$B,2,)</f>
        <v/>
      </c>
      <c r="Q14" s="32">
        <f>VLOOKUP(B14,India!$A:$B,2,)</f>
        <v/>
      </c>
      <c r="R14" s="32">
        <f>VLOOKUP(B14,Canada!$A:$B,2,)</f>
        <v/>
      </c>
      <c r="S14" s="32">
        <f>VLOOKUP(B14,Australia!$A:$B,2,)</f>
        <v/>
      </c>
      <c r="T14" s="32">
        <f>VLOOKUP(B14,Indonesia!$A:$B,2,)</f>
        <v/>
      </c>
      <c r="U14" s="32">
        <f>VLOOKUP(B14,SouthKorea!$A:$B,2,)</f>
        <v/>
      </c>
      <c r="V14" s="32">
        <f>VLOOKUP(B14,Taiwan!$A:$B,2,)</f>
        <v/>
      </c>
      <c r="W14" s="32">
        <f>VLOOKUP(B14,Greece!$A:$B,2,)</f>
        <v/>
      </c>
      <c r="X14" s="32">
        <f>VLOOKUP(B14,Ireland!$A:$B,2,)</f>
        <v/>
      </c>
      <c r="Y14" s="32">
        <f>VLOOKUP(B14,Turkey!$A:$B,2,)</f>
        <v/>
      </c>
      <c r="Z14" s="32">
        <f>VLOOKUP(B14,CzechRepublic!$A:$B,2,)</f>
        <v/>
      </c>
      <c r="AA14" s="32">
        <f>VLOOKUP(B14,Poland!$A:$B,2,)</f>
        <v/>
      </c>
      <c r="AB14" s="32">
        <f>VLOOKUP(B14,Denmark!$A:$B,2,)</f>
        <v/>
      </c>
    </row>
    <row r="15">
      <c r="B15" s="31" t="n">
        <v>42156</v>
      </c>
      <c r="C15" s="32">
        <f>VLOOKUP(B15,Global!$A:$B,2,)</f>
        <v/>
      </c>
      <c r="D15" s="32">
        <f>VLOOKUP(B15,US!$A:$D,4,)</f>
        <v/>
      </c>
      <c r="E15" s="32">
        <f>VLOOKUP(B15,US!$A:$B,2,)</f>
        <v/>
      </c>
      <c r="F15" s="32">
        <f>VLOOKUP(B15,China!$A:$B,2,)</f>
        <v/>
      </c>
      <c r="G15" s="32">
        <f>VLOOKUP(B15,'Euro Area'!A:B,2,)</f>
        <v/>
      </c>
      <c r="H15" s="32">
        <f>VLOOKUP(B15,Japan!$A:$B,2,)</f>
        <v/>
      </c>
      <c r="I15" s="32">
        <f>VLOOKUP(B15,Germany!$A:$B,2,)</f>
        <v/>
      </c>
      <c r="J15" s="32">
        <f>VLOOKUP(B15,France!$A:$B,2,)</f>
        <v/>
      </c>
      <c r="K15" s="32">
        <f>VLOOKUP(B15,UK!$A:$B,2,)</f>
        <v/>
      </c>
      <c r="L15" s="32">
        <f>VLOOKUP(B15,Italy!$A:$B,2,)</f>
        <v/>
      </c>
      <c r="M15" s="32">
        <f>VLOOKUP(B15,Spain!$A:$B,2,)</f>
        <v/>
      </c>
      <c r="N15" s="32">
        <f>VLOOKUP(B15,Brazil!$A:$B,2,)</f>
        <v/>
      </c>
      <c r="O15" s="32">
        <f>VLOOKUP(B15,Mexico!$A:$B,2,)</f>
        <v/>
      </c>
      <c r="P15" s="32">
        <f>VLOOKUP(B15,Russia!$A:$B,2,)</f>
        <v/>
      </c>
      <c r="Q15" s="32">
        <f>VLOOKUP(B15,India!$A:$B,2,)</f>
        <v/>
      </c>
      <c r="R15" s="32">
        <f>VLOOKUP(B15,Canada!$A:$B,2,)</f>
        <v/>
      </c>
      <c r="S15" s="32">
        <f>VLOOKUP(B15,Australia!$A:$B,2,)</f>
        <v/>
      </c>
      <c r="T15" s="32">
        <f>VLOOKUP(B15,Indonesia!$A:$B,2,)</f>
        <v/>
      </c>
      <c r="U15" s="32">
        <f>VLOOKUP(B15,SouthKorea!$A:$B,2,)</f>
        <v/>
      </c>
      <c r="V15" s="32">
        <f>VLOOKUP(B15,Taiwan!$A:$B,2,)</f>
        <v/>
      </c>
      <c r="W15" s="32">
        <f>VLOOKUP(B15,Greece!$A:$B,2,)</f>
        <v/>
      </c>
      <c r="X15" s="32">
        <f>VLOOKUP(B15,Ireland!$A:$B,2,)</f>
        <v/>
      </c>
      <c r="Y15" s="32">
        <f>VLOOKUP(B15,Turkey!$A:$B,2,)</f>
        <v/>
      </c>
      <c r="Z15" s="32">
        <f>VLOOKUP(B15,CzechRepublic!$A:$B,2,)</f>
        <v/>
      </c>
      <c r="AA15" s="32">
        <f>VLOOKUP(B15,Poland!$A:$B,2,)</f>
        <v/>
      </c>
      <c r="AB15" s="32">
        <f>VLOOKUP(B15,Denmark!$A:$B,2,)</f>
        <v/>
      </c>
    </row>
    <row r="16">
      <c r="B16" s="31" t="n">
        <v>42186</v>
      </c>
      <c r="C16" s="32">
        <f>VLOOKUP(B16,Global!$A:$B,2,)</f>
        <v/>
      </c>
      <c r="D16" s="32">
        <f>VLOOKUP(B16,US!$A:$D,4,)</f>
        <v/>
      </c>
      <c r="E16" s="32">
        <f>VLOOKUP(B16,US!$A:$B,2,)</f>
        <v/>
      </c>
      <c r="F16" s="32">
        <f>VLOOKUP(B16,China!$A:$B,2,)</f>
        <v/>
      </c>
      <c r="G16" s="32">
        <f>VLOOKUP(B16,'Euro Area'!A:B,2,)</f>
        <v/>
      </c>
      <c r="H16" s="32">
        <f>VLOOKUP(B16,Japan!$A:$B,2,)</f>
        <v/>
      </c>
      <c r="I16" s="32">
        <f>VLOOKUP(B16,Germany!$A:$B,2,)</f>
        <v/>
      </c>
      <c r="J16" s="32">
        <f>VLOOKUP(B16,France!$A:$B,2,)</f>
        <v/>
      </c>
      <c r="K16" s="32">
        <f>VLOOKUP(B16,UK!$A:$B,2,)</f>
        <v/>
      </c>
      <c r="L16" s="32">
        <f>VLOOKUP(B16,Italy!$A:$B,2,)</f>
        <v/>
      </c>
      <c r="M16" s="32">
        <f>VLOOKUP(B16,Spain!$A:$B,2,)</f>
        <v/>
      </c>
      <c r="N16" s="32">
        <f>VLOOKUP(B16,Brazil!$A:$B,2,)</f>
        <v/>
      </c>
      <c r="O16" s="32">
        <f>VLOOKUP(B16,Mexico!$A:$B,2,)</f>
        <v/>
      </c>
      <c r="P16" s="32">
        <f>VLOOKUP(B16,Russia!$A:$B,2,)</f>
        <v/>
      </c>
      <c r="Q16" s="32">
        <f>VLOOKUP(B16,India!$A:$B,2,)</f>
        <v/>
      </c>
      <c r="R16" s="32">
        <f>VLOOKUP(B16,Canada!$A:$B,2,)</f>
        <v/>
      </c>
      <c r="S16" s="32">
        <f>VLOOKUP(B16,Australia!$A:$B,2,)</f>
        <v/>
      </c>
      <c r="T16" s="32">
        <f>VLOOKUP(B16,Indonesia!$A:$B,2,)</f>
        <v/>
      </c>
      <c r="U16" s="32">
        <f>VLOOKUP(B16,SouthKorea!$A:$B,2,)</f>
        <v/>
      </c>
      <c r="V16" s="32">
        <f>VLOOKUP(B16,Taiwan!$A:$B,2,)</f>
        <v/>
      </c>
      <c r="W16" s="32">
        <f>VLOOKUP(B16,Greece!$A:$B,2,)</f>
        <v/>
      </c>
      <c r="X16" s="32">
        <f>VLOOKUP(B16,Ireland!$A:$B,2,)</f>
        <v/>
      </c>
      <c r="Y16" s="32">
        <f>VLOOKUP(B16,Turkey!$A:$B,2,)</f>
        <v/>
      </c>
      <c r="Z16" s="32">
        <f>VLOOKUP(B16,CzechRepublic!$A:$B,2,)</f>
        <v/>
      </c>
      <c r="AA16" s="32">
        <f>VLOOKUP(B16,Poland!$A:$B,2,)</f>
        <v/>
      </c>
      <c r="AB16" s="32">
        <f>VLOOKUP(B16,Denmark!$A:$B,2,)</f>
        <v/>
      </c>
    </row>
    <row r="17">
      <c r="B17" s="31" t="n">
        <v>42217</v>
      </c>
      <c r="C17" s="32">
        <f>VLOOKUP(B17,Global!$A:$B,2,)</f>
        <v/>
      </c>
      <c r="D17" s="32">
        <f>VLOOKUP(B17,US!$A:$D,4,)</f>
        <v/>
      </c>
      <c r="E17" s="32">
        <f>VLOOKUP(B17,US!$A:$B,2,)</f>
        <v/>
      </c>
      <c r="F17" s="32">
        <f>VLOOKUP(B17,China!$A:$B,2,)</f>
        <v/>
      </c>
      <c r="G17" s="32">
        <f>VLOOKUP(B17,'Euro Area'!A:B,2,)</f>
        <v/>
      </c>
      <c r="H17" s="32">
        <f>VLOOKUP(B17,Japan!$A:$B,2,)</f>
        <v/>
      </c>
      <c r="I17" s="32">
        <f>VLOOKUP(B17,Germany!$A:$B,2,)</f>
        <v/>
      </c>
      <c r="J17" s="32">
        <f>VLOOKUP(B17,France!$A:$B,2,)</f>
        <v/>
      </c>
      <c r="K17" s="32">
        <f>VLOOKUP(B17,UK!$A:$B,2,)</f>
        <v/>
      </c>
      <c r="L17" s="32">
        <f>VLOOKUP(B17,Italy!$A:$B,2,)</f>
        <v/>
      </c>
      <c r="M17" s="32">
        <f>VLOOKUP(B17,Spain!$A:$B,2,)</f>
        <v/>
      </c>
      <c r="N17" s="32">
        <f>VLOOKUP(B17,Brazil!$A:$B,2,)</f>
        <v/>
      </c>
      <c r="O17" s="32">
        <f>VLOOKUP(B17,Mexico!$A:$B,2,)</f>
        <v/>
      </c>
      <c r="P17" s="32">
        <f>VLOOKUP(B17,Russia!$A:$B,2,)</f>
        <v/>
      </c>
      <c r="Q17" s="32">
        <f>VLOOKUP(B17,India!$A:$B,2,)</f>
        <v/>
      </c>
      <c r="R17" s="32">
        <f>VLOOKUP(B17,Canada!$A:$B,2,)</f>
        <v/>
      </c>
      <c r="S17" s="32">
        <f>VLOOKUP(B17,Australia!$A:$B,2,)</f>
        <v/>
      </c>
      <c r="T17" s="32">
        <f>VLOOKUP(B17,Indonesia!$A:$B,2,)</f>
        <v/>
      </c>
      <c r="U17" s="32">
        <f>VLOOKUP(B17,SouthKorea!$A:$B,2,)</f>
        <v/>
      </c>
      <c r="V17" s="32">
        <f>VLOOKUP(B17,Taiwan!$A:$B,2,)</f>
        <v/>
      </c>
      <c r="W17" s="32">
        <f>VLOOKUP(B17,Greece!$A:$B,2,)</f>
        <v/>
      </c>
      <c r="X17" s="32">
        <f>VLOOKUP(B17,Ireland!$A:$B,2,)</f>
        <v/>
      </c>
      <c r="Y17" s="32">
        <f>VLOOKUP(B17,Turkey!$A:$B,2,)</f>
        <v/>
      </c>
      <c r="Z17" s="32">
        <f>VLOOKUP(B17,CzechRepublic!$A:$B,2,)</f>
        <v/>
      </c>
      <c r="AA17" s="32">
        <f>VLOOKUP(B17,Poland!$A:$B,2,)</f>
        <v/>
      </c>
      <c r="AB17" s="32">
        <f>VLOOKUP(B17,Denmark!$A:$B,2,)</f>
        <v/>
      </c>
    </row>
    <row r="18">
      <c r="B18" s="31" t="n">
        <v>42248</v>
      </c>
      <c r="C18" s="32">
        <f>VLOOKUP(B18,Global!$A:$B,2,)</f>
        <v/>
      </c>
      <c r="D18" s="32">
        <f>VLOOKUP(B18,US!$A:$D,4,)</f>
        <v/>
      </c>
      <c r="E18" s="32">
        <f>VLOOKUP(B18,US!$A:$B,2,)</f>
        <v/>
      </c>
      <c r="F18" s="32">
        <f>VLOOKUP(B18,China!$A:$B,2,)</f>
        <v/>
      </c>
      <c r="G18" s="32">
        <f>VLOOKUP(B18,'Euro Area'!A:B,2,)</f>
        <v/>
      </c>
      <c r="H18" s="32">
        <f>VLOOKUP(B18,Japan!$A:$B,2,)</f>
        <v/>
      </c>
      <c r="I18" s="32">
        <f>VLOOKUP(B18,Germany!$A:$B,2,)</f>
        <v/>
      </c>
      <c r="J18" s="32">
        <f>VLOOKUP(B18,France!$A:$B,2,)</f>
        <v/>
      </c>
      <c r="K18" s="32">
        <f>VLOOKUP(B18,UK!$A:$B,2,)</f>
        <v/>
      </c>
      <c r="L18" s="32">
        <f>VLOOKUP(B18,Italy!$A:$B,2,)</f>
        <v/>
      </c>
      <c r="M18" s="32">
        <f>VLOOKUP(B18,Spain!$A:$B,2,)</f>
        <v/>
      </c>
      <c r="N18" s="32">
        <f>VLOOKUP(B18,Brazil!$A:$B,2,)</f>
        <v/>
      </c>
      <c r="O18" s="32">
        <f>VLOOKUP(B18,Mexico!$A:$B,2,)</f>
        <v/>
      </c>
      <c r="P18" s="32">
        <f>VLOOKUP(B18,Russia!$A:$B,2,)</f>
        <v/>
      </c>
      <c r="Q18" s="32">
        <f>VLOOKUP(B18,India!$A:$B,2,)</f>
        <v/>
      </c>
      <c r="R18" s="32">
        <f>VLOOKUP(B18,Canada!$A:$B,2,)</f>
        <v/>
      </c>
      <c r="S18" s="32">
        <f>VLOOKUP(B18,Australia!$A:$B,2,)</f>
        <v/>
      </c>
      <c r="T18" s="32">
        <f>VLOOKUP(B18,Indonesia!$A:$B,2,)</f>
        <v/>
      </c>
      <c r="U18" s="32">
        <f>VLOOKUP(B18,SouthKorea!$A:$B,2,)</f>
        <v/>
      </c>
      <c r="V18" s="32">
        <f>VLOOKUP(B18,Taiwan!$A:$B,2,)</f>
        <v/>
      </c>
      <c r="W18" s="32">
        <f>VLOOKUP(B18,Greece!$A:$B,2,)</f>
        <v/>
      </c>
      <c r="X18" s="32">
        <f>VLOOKUP(B18,Ireland!$A:$B,2,)</f>
        <v/>
      </c>
      <c r="Y18" s="32">
        <f>VLOOKUP(B18,Turkey!$A:$B,2,)</f>
        <v/>
      </c>
      <c r="Z18" s="32">
        <f>VLOOKUP(B18,CzechRepublic!$A:$B,2,)</f>
        <v/>
      </c>
      <c r="AA18" s="32">
        <f>VLOOKUP(B18,Poland!$A:$B,2,)</f>
        <v/>
      </c>
      <c r="AB18" s="32">
        <f>VLOOKUP(B18,Denmark!$A:$B,2,)</f>
        <v/>
      </c>
    </row>
    <row r="19">
      <c r="B19" s="31" t="n">
        <v>42278</v>
      </c>
      <c r="C19" s="32">
        <f>VLOOKUP(B19,Global!$A:$B,2,)</f>
        <v/>
      </c>
      <c r="D19" s="32">
        <f>VLOOKUP(B19,US!$A:$D,4,)</f>
        <v/>
      </c>
      <c r="E19" s="32">
        <f>VLOOKUP(B19,US!$A:$B,2,)</f>
        <v/>
      </c>
      <c r="F19" s="32">
        <f>VLOOKUP(B19,China!$A:$B,2,)</f>
        <v/>
      </c>
      <c r="G19" s="32">
        <f>VLOOKUP(B19,'Euro Area'!A:B,2,)</f>
        <v/>
      </c>
      <c r="H19" s="32">
        <f>VLOOKUP(B19,Japan!$A:$B,2,)</f>
        <v/>
      </c>
      <c r="I19" s="32">
        <f>VLOOKUP(B19,Germany!$A:$B,2,)</f>
        <v/>
      </c>
      <c r="J19" s="32">
        <f>VLOOKUP(B19,France!$A:$B,2,)</f>
        <v/>
      </c>
      <c r="K19" s="32">
        <f>VLOOKUP(B19,UK!$A:$B,2,)</f>
        <v/>
      </c>
      <c r="L19" s="32">
        <f>VLOOKUP(B19,Italy!$A:$B,2,)</f>
        <v/>
      </c>
      <c r="M19" s="32">
        <f>VLOOKUP(B19,Spain!$A:$B,2,)</f>
        <v/>
      </c>
      <c r="N19" s="32">
        <f>VLOOKUP(B19,Brazil!$A:$B,2,)</f>
        <v/>
      </c>
      <c r="O19" s="32">
        <f>VLOOKUP(B19,Mexico!$A:$B,2,)</f>
        <v/>
      </c>
      <c r="P19" s="32">
        <f>VLOOKUP(B19,Russia!$A:$B,2,)</f>
        <v/>
      </c>
      <c r="Q19" s="32">
        <f>VLOOKUP(B19,India!$A:$B,2,)</f>
        <v/>
      </c>
      <c r="R19" s="32">
        <f>VLOOKUP(B19,Canada!$A:$B,2,)</f>
        <v/>
      </c>
      <c r="S19" s="32">
        <f>VLOOKUP(B19,Australia!$A:$B,2,)</f>
        <v/>
      </c>
      <c r="T19" s="32">
        <f>VLOOKUP(B19,Indonesia!$A:$B,2,)</f>
        <v/>
      </c>
      <c r="U19" s="32">
        <f>VLOOKUP(B19,SouthKorea!$A:$B,2,)</f>
        <v/>
      </c>
      <c r="V19" s="32">
        <f>VLOOKUP(B19,Taiwan!$A:$B,2,)</f>
        <v/>
      </c>
      <c r="W19" s="32">
        <f>VLOOKUP(B19,Greece!$A:$B,2,)</f>
        <v/>
      </c>
      <c r="X19" s="32">
        <f>VLOOKUP(B19,Ireland!$A:$B,2,)</f>
        <v/>
      </c>
      <c r="Y19" s="32">
        <f>VLOOKUP(B19,Turkey!$A:$B,2,)</f>
        <v/>
      </c>
      <c r="Z19" s="32">
        <f>VLOOKUP(B19,CzechRepublic!$A:$B,2,)</f>
        <v/>
      </c>
      <c r="AA19" s="32">
        <f>VLOOKUP(B19,Poland!$A:$B,2,)</f>
        <v/>
      </c>
      <c r="AB19" s="32">
        <f>VLOOKUP(B19,Denmark!$A:$B,2,)</f>
        <v/>
      </c>
    </row>
    <row r="20">
      <c r="B20" s="31" t="n">
        <v>42309</v>
      </c>
      <c r="C20" s="32">
        <f>VLOOKUP(B20,Global!$A:$B,2,)</f>
        <v/>
      </c>
      <c r="D20" s="32">
        <f>VLOOKUP(B20,US!$A:$D,4,)</f>
        <v/>
      </c>
      <c r="E20" s="32">
        <f>VLOOKUP(B20,US!$A:$B,2,)</f>
        <v/>
      </c>
      <c r="F20" s="32">
        <f>VLOOKUP(B20,China!$A:$B,2,)</f>
        <v/>
      </c>
      <c r="G20" s="32">
        <f>VLOOKUP(B20,'Euro Area'!A:B,2,)</f>
        <v/>
      </c>
      <c r="H20" s="32">
        <f>VLOOKUP(B20,Japan!$A:$B,2,)</f>
        <v/>
      </c>
      <c r="I20" s="32">
        <f>VLOOKUP(B20,Germany!$A:$B,2,)</f>
        <v/>
      </c>
      <c r="J20" s="32">
        <f>VLOOKUP(B20,France!$A:$B,2,)</f>
        <v/>
      </c>
      <c r="K20" s="32">
        <f>VLOOKUP(B20,UK!$A:$B,2,)</f>
        <v/>
      </c>
      <c r="L20" s="32">
        <f>VLOOKUP(B20,Italy!$A:$B,2,)</f>
        <v/>
      </c>
      <c r="M20" s="32">
        <f>VLOOKUP(B20,Spain!$A:$B,2,)</f>
        <v/>
      </c>
      <c r="N20" s="32">
        <f>VLOOKUP(B20,Brazil!$A:$B,2,)</f>
        <v/>
      </c>
      <c r="O20" s="32">
        <f>VLOOKUP(B20,Mexico!$A:$B,2,)</f>
        <v/>
      </c>
      <c r="P20" s="32">
        <f>VLOOKUP(B20,Russia!$A:$B,2,)</f>
        <v/>
      </c>
      <c r="Q20" s="32">
        <f>VLOOKUP(B20,India!$A:$B,2,)</f>
        <v/>
      </c>
      <c r="R20" s="32">
        <f>VLOOKUP(B20,Canada!$A:$B,2,)</f>
        <v/>
      </c>
      <c r="S20" s="32">
        <f>VLOOKUP(B20,Australia!$A:$B,2,)</f>
        <v/>
      </c>
      <c r="T20" s="32">
        <f>VLOOKUP(B20,Indonesia!$A:$B,2,)</f>
        <v/>
      </c>
      <c r="U20" s="32">
        <f>VLOOKUP(B20,SouthKorea!$A:$B,2,)</f>
        <v/>
      </c>
      <c r="V20" s="32">
        <f>VLOOKUP(B20,Taiwan!$A:$B,2,)</f>
        <v/>
      </c>
      <c r="W20" s="32">
        <f>VLOOKUP(B20,Greece!$A:$B,2,)</f>
        <v/>
      </c>
      <c r="X20" s="32">
        <f>VLOOKUP(B20,Ireland!$A:$B,2,)</f>
        <v/>
      </c>
      <c r="Y20" s="32">
        <f>VLOOKUP(B20,Turkey!$A:$B,2,)</f>
        <v/>
      </c>
      <c r="Z20" s="32">
        <f>VLOOKUP(B20,CzechRepublic!$A:$B,2,)</f>
        <v/>
      </c>
      <c r="AA20" s="32">
        <f>VLOOKUP(B20,Poland!$A:$B,2,)</f>
        <v/>
      </c>
      <c r="AB20" s="32">
        <f>VLOOKUP(B20,Denmark!$A:$B,2,)</f>
        <v/>
      </c>
    </row>
    <row r="21">
      <c r="B21" s="31" t="n">
        <v>42339</v>
      </c>
      <c r="C21" s="32">
        <f>VLOOKUP(B21,Global!$A:$B,2,)</f>
        <v/>
      </c>
      <c r="D21" s="32">
        <f>VLOOKUP(B21,US!$A:$D,4,)</f>
        <v/>
      </c>
      <c r="E21" s="32">
        <f>VLOOKUP(B21,US!$A:$B,2,)</f>
        <v/>
      </c>
      <c r="F21" s="32">
        <f>VLOOKUP(B21,China!$A:$B,2,)</f>
        <v/>
      </c>
      <c r="G21" s="32">
        <f>VLOOKUP(B21,'Euro Area'!A:B,2,)</f>
        <v/>
      </c>
      <c r="H21" s="32">
        <f>VLOOKUP(B21,Japan!$A:$B,2,)</f>
        <v/>
      </c>
      <c r="I21" s="32">
        <f>VLOOKUP(B21,Germany!$A:$B,2,)</f>
        <v/>
      </c>
      <c r="J21" s="32">
        <f>VLOOKUP(B21,France!$A:$B,2,)</f>
        <v/>
      </c>
      <c r="K21" s="32">
        <f>VLOOKUP(B21,UK!$A:$B,2,)</f>
        <v/>
      </c>
      <c r="L21" s="32">
        <f>VLOOKUP(B21,Italy!$A:$B,2,)</f>
        <v/>
      </c>
      <c r="M21" s="32">
        <f>VLOOKUP(B21,Spain!$A:$B,2,)</f>
        <v/>
      </c>
      <c r="N21" s="32">
        <f>VLOOKUP(B21,Brazil!$A:$B,2,)</f>
        <v/>
      </c>
      <c r="O21" s="32">
        <f>VLOOKUP(B21,Mexico!$A:$B,2,)</f>
        <v/>
      </c>
      <c r="P21" s="32">
        <f>VLOOKUP(B21,Russia!$A:$B,2,)</f>
        <v/>
      </c>
      <c r="Q21" s="32">
        <f>VLOOKUP(B21,India!$A:$B,2,)</f>
        <v/>
      </c>
      <c r="R21" s="32">
        <f>VLOOKUP(B21,Canada!$A:$B,2,)</f>
        <v/>
      </c>
      <c r="S21" s="32">
        <f>VLOOKUP(B21,Australia!$A:$B,2,)</f>
        <v/>
      </c>
      <c r="T21" s="32">
        <f>VLOOKUP(B21,Indonesia!$A:$B,2,)</f>
        <v/>
      </c>
      <c r="U21" s="32">
        <f>VLOOKUP(B21,SouthKorea!$A:$B,2,)</f>
        <v/>
      </c>
      <c r="V21" s="32">
        <f>VLOOKUP(B21,Taiwan!$A:$B,2,)</f>
        <v/>
      </c>
      <c r="W21" s="32">
        <f>VLOOKUP(B21,Greece!$A:$B,2,)</f>
        <v/>
      </c>
      <c r="X21" s="32">
        <f>VLOOKUP(B21,Ireland!$A:$B,2,)</f>
        <v/>
      </c>
      <c r="Y21" s="32">
        <f>VLOOKUP(B21,Turkey!$A:$B,2,)</f>
        <v/>
      </c>
      <c r="Z21" s="32">
        <f>VLOOKUP(B21,CzechRepublic!$A:$B,2,)</f>
        <v/>
      </c>
      <c r="AA21" s="32">
        <f>VLOOKUP(B21,Poland!$A:$B,2,)</f>
        <v/>
      </c>
      <c r="AB21" s="32">
        <f>VLOOKUP(B21,Denmark!$A:$B,2,)</f>
        <v/>
      </c>
    </row>
    <row r="22">
      <c r="B22" s="31" t="n">
        <v>42370</v>
      </c>
      <c r="C22" s="32">
        <f>VLOOKUP(B22,Global!$A:$B,2,)</f>
        <v/>
      </c>
      <c r="D22" s="32">
        <f>VLOOKUP(B22,US!$A:$D,4,)</f>
        <v/>
      </c>
      <c r="E22" s="32">
        <f>VLOOKUP(B22,US!$A:$B,2,)</f>
        <v/>
      </c>
      <c r="F22" s="32">
        <f>VLOOKUP(B22,China!$A:$B,2,)</f>
        <v/>
      </c>
      <c r="G22" s="32">
        <f>VLOOKUP(B22,'Euro Area'!A:B,2,)</f>
        <v/>
      </c>
      <c r="H22" s="32">
        <f>VLOOKUP(B22,Japan!$A:$B,2,)</f>
        <v/>
      </c>
      <c r="I22" s="32">
        <f>VLOOKUP(B22,Germany!$A:$B,2,)</f>
        <v/>
      </c>
      <c r="J22" s="32">
        <f>VLOOKUP(B22,France!$A:$B,2,)</f>
        <v/>
      </c>
      <c r="K22" s="32">
        <f>VLOOKUP(B22,UK!$A:$B,2,)</f>
        <v/>
      </c>
      <c r="L22" s="32">
        <f>VLOOKUP(B22,Italy!$A:$B,2,)</f>
        <v/>
      </c>
      <c r="M22" s="32">
        <f>VLOOKUP(B22,Spain!$A:$B,2,)</f>
        <v/>
      </c>
      <c r="N22" s="32">
        <f>VLOOKUP(B22,Brazil!$A:$B,2,)</f>
        <v/>
      </c>
      <c r="O22" s="32">
        <f>VLOOKUP(B22,Mexico!$A:$B,2,)</f>
        <v/>
      </c>
      <c r="P22" s="32">
        <f>VLOOKUP(B22,Russia!$A:$B,2,)</f>
        <v/>
      </c>
      <c r="Q22" s="32">
        <f>VLOOKUP(B22,India!$A:$B,2,)</f>
        <v/>
      </c>
      <c r="R22" s="32">
        <f>VLOOKUP(B22,Canada!$A:$B,2,)</f>
        <v/>
      </c>
      <c r="S22" s="32">
        <f>VLOOKUP(B22,Australia!$A:$B,2,)</f>
        <v/>
      </c>
      <c r="T22" s="32">
        <f>VLOOKUP(B22,Indonesia!$A:$B,2,)</f>
        <v/>
      </c>
      <c r="U22" s="32">
        <f>VLOOKUP(B22,SouthKorea!$A:$B,2,)</f>
        <v/>
      </c>
      <c r="V22" s="32">
        <f>VLOOKUP(B22,Taiwan!$A:$B,2,)</f>
        <v/>
      </c>
      <c r="W22" s="32">
        <f>VLOOKUP(B22,Greece!$A:$B,2,)</f>
        <v/>
      </c>
      <c r="X22" s="32">
        <f>VLOOKUP(B22,Ireland!$A:$B,2,)</f>
        <v/>
      </c>
      <c r="Y22" s="32">
        <f>VLOOKUP(B22,Turkey!$A:$B,2,)</f>
        <v/>
      </c>
      <c r="Z22" s="32">
        <f>VLOOKUP(B22,CzechRepublic!$A:$B,2,)</f>
        <v/>
      </c>
      <c r="AA22" s="32">
        <f>VLOOKUP(B22,Poland!$A:$B,2,)</f>
        <v/>
      </c>
      <c r="AB22" s="32">
        <f>VLOOKUP(B22,Denmark!$A:$B,2,)</f>
        <v/>
      </c>
    </row>
    <row r="23">
      <c r="B23" s="31" t="n">
        <v>42401</v>
      </c>
      <c r="C23" s="32">
        <f>VLOOKUP(B23,Global!$A:$B,2,)</f>
        <v/>
      </c>
      <c r="D23" s="32">
        <f>VLOOKUP(B23,US!$A:$D,4,)</f>
        <v/>
      </c>
      <c r="E23" s="32">
        <f>VLOOKUP(B23,US!$A:$B,2,)</f>
        <v/>
      </c>
      <c r="F23" s="32">
        <f>VLOOKUP(B23,China!$A:$B,2,)</f>
        <v/>
      </c>
      <c r="G23" s="32">
        <f>VLOOKUP(B23,'Euro Area'!A:B,2,)</f>
        <v/>
      </c>
      <c r="H23" s="32">
        <f>VLOOKUP(B23,Japan!$A:$B,2,)</f>
        <v/>
      </c>
      <c r="I23" s="32">
        <f>VLOOKUP(B23,Germany!$A:$B,2,)</f>
        <v/>
      </c>
      <c r="J23" s="32">
        <f>VLOOKUP(B23,France!$A:$B,2,)</f>
        <v/>
      </c>
      <c r="K23" s="32">
        <f>VLOOKUP(B23,UK!$A:$B,2,)</f>
        <v/>
      </c>
      <c r="L23" s="32">
        <f>VLOOKUP(B23,Italy!$A:$B,2,)</f>
        <v/>
      </c>
      <c r="M23" s="32">
        <f>VLOOKUP(B23,Spain!$A:$B,2,)</f>
        <v/>
      </c>
      <c r="N23" s="32">
        <f>VLOOKUP(B23,Brazil!$A:$B,2,)</f>
        <v/>
      </c>
      <c r="O23" s="32">
        <f>VLOOKUP(B23,Mexico!$A:$B,2,)</f>
        <v/>
      </c>
      <c r="P23" s="32">
        <f>VLOOKUP(B23,Russia!$A:$B,2,)</f>
        <v/>
      </c>
      <c r="Q23" s="32">
        <f>VLOOKUP(B23,India!$A:$B,2,)</f>
        <v/>
      </c>
      <c r="R23" s="32">
        <f>VLOOKUP(B23,Canada!$A:$B,2,)</f>
        <v/>
      </c>
      <c r="S23" s="32">
        <f>VLOOKUP(B23,Australia!$A:$B,2,)</f>
        <v/>
      </c>
      <c r="T23" s="32">
        <f>VLOOKUP(B23,Indonesia!$A:$B,2,)</f>
        <v/>
      </c>
      <c r="U23" s="32">
        <f>VLOOKUP(B23,SouthKorea!$A:$B,2,)</f>
        <v/>
      </c>
      <c r="V23" s="32">
        <f>VLOOKUP(B23,Taiwan!$A:$B,2,)</f>
        <v/>
      </c>
      <c r="W23" s="32">
        <f>VLOOKUP(B23,Greece!$A:$B,2,)</f>
        <v/>
      </c>
      <c r="X23" s="32">
        <f>VLOOKUP(B23,Ireland!$A:$B,2,)</f>
        <v/>
      </c>
      <c r="Y23" s="32">
        <f>VLOOKUP(B23,Turkey!$A:$B,2,)</f>
        <v/>
      </c>
      <c r="Z23" s="32">
        <f>VLOOKUP(B23,CzechRepublic!$A:$B,2,)</f>
        <v/>
      </c>
      <c r="AA23" s="32">
        <f>VLOOKUP(B23,Poland!$A:$B,2,)</f>
        <v/>
      </c>
      <c r="AB23" s="32">
        <f>VLOOKUP(B23,Denmark!$A:$B,2,)</f>
        <v/>
      </c>
    </row>
    <row r="24">
      <c r="B24" s="31" t="n">
        <v>42430</v>
      </c>
      <c r="C24" s="32">
        <f>VLOOKUP(B24,Global!$A:$B,2,)</f>
        <v/>
      </c>
      <c r="D24" s="32">
        <f>VLOOKUP(B24,US!$A:$D,4,)</f>
        <v/>
      </c>
      <c r="E24" s="32">
        <f>VLOOKUP(B24,US!$A:$B,2,)</f>
        <v/>
      </c>
      <c r="F24" s="32">
        <f>VLOOKUP(B24,China!$A:$B,2,)</f>
        <v/>
      </c>
      <c r="G24" s="32">
        <f>VLOOKUP(B24,'Euro Area'!A:B,2,)</f>
        <v/>
      </c>
      <c r="H24" s="32">
        <f>VLOOKUP(B24,Japan!$A:$B,2,)</f>
        <v/>
      </c>
      <c r="I24" s="32">
        <f>VLOOKUP(B24,Germany!$A:$B,2,)</f>
        <v/>
      </c>
      <c r="J24" s="32">
        <f>VLOOKUP(B24,France!$A:$B,2,)</f>
        <v/>
      </c>
      <c r="K24" s="32">
        <f>VLOOKUP(B24,UK!$A:$B,2,)</f>
        <v/>
      </c>
      <c r="L24" s="32">
        <f>VLOOKUP(B24,Italy!$A:$B,2,)</f>
        <v/>
      </c>
      <c r="M24" s="32">
        <f>VLOOKUP(B24,Spain!$A:$B,2,)</f>
        <v/>
      </c>
      <c r="N24" s="32">
        <f>VLOOKUP(B24,Brazil!$A:$B,2,)</f>
        <v/>
      </c>
      <c r="O24" s="32">
        <f>VLOOKUP(B24,Mexico!$A:$B,2,)</f>
        <v/>
      </c>
      <c r="P24" s="32">
        <f>VLOOKUP(B24,Russia!$A:$B,2,)</f>
        <v/>
      </c>
      <c r="Q24" s="32">
        <f>VLOOKUP(B24,India!$A:$B,2,)</f>
        <v/>
      </c>
      <c r="R24" s="32">
        <f>VLOOKUP(B24,Canada!$A:$B,2,)</f>
        <v/>
      </c>
      <c r="S24" s="32">
        <f>VLOOKUP(B24,Australia!$A:$B,2,)</f>
        <v/>
      </c>
      <c r="T24" s="32">
        <f>VLOOKUP(B24,Indonesia!$A:$B,2,)</f>
        <v/>
      </c>
      <c r="U24" s="32">
        <f>VLOOKUP(B24,SouthKorea!$A:$B,2,)</f>
        <v/>
      </c>
      <c r="V24" s="32">
        <f>VLOOKUP(B24,Taiwan!$A:$B,2,)</f>
        <v/>
      </c>
      <c r="W24" s="32">
        <f>VLOOKUP(B24,Greece!$A:$B,2,)</f>
        <v/>
      </c>
      <c r="X24" s="32">
        <f>VLOOKUP(B24,Ireland!$A:$B,2,)</f>
        <v/>
      </c>
      <c r="Y24" s="32">
        <f>VLOOKUP(B24,Turkey!$A:$B,2,)</f>
        <v/>
      </c>
      <c r="Z24" s="32">
        <f>VLOOKUP(B24,CzechRepublic!$A:$B,2,)</f>
        <v/>
      </c>
      <c r="AA24" s="32">
        <f>VLOOKUP(B24,Poland!$A:$B,2,)</f>
        <v/>
      </c>
      <c r="AB24" s="32">
        <f>VLOOKUP(B24,Denmark!$A:$B,2,)</f>
        <v/>
      </c>
    </row>
    <row r="25">
      <c r="B25" s="31" t="n">
        <v>42461</v>
      </c>
      <c r="C25" s="32">
        <f>VLOOKUP(B25,Global!$A:$B,2,)</f>
        <v/>
      </c>
      <c r="D25" s="32">
        <f>VLOOKUP(B25,US!$A:$D,4,)</f>
        <v/>
      </c>
      <c r="E25" s="32">
        <f>VLOOKUP(B25,US!$A:$B,2,)</f>
        <v/>
      </c>
      <c r="F25" s="32">
        <f>VLOOKUP(B25,China!$A:$B,2,)</f>
        <v/>
      </c>
      <c r="G25" s="32">
        <f>VLOOKUP(B25,'Euro Area'!A:B,2,)</f>
        <v/>
      </c>
      <c r="H25" s="32">
        <f>VLOOKUP(B25,Japan!$A:$B,2,)</f>
        <v/>
      </c>
      <c r="I25" s="32">
        <f>VLOOKUP(B25,Germany!$A:$B,2,)</f>
        <v/>
      </c>
      <c r="J25" s="32">
        <f>VLOOKUP(B25,France!$A:$B,2,)</f>
        <v/>
      </c>
      <c r="K25" s="32">
        <f>VLOOKUP(B25,UK!$A:$B,2,)</f>
        <v/>
      </c>
      <c r="L25" s="32">
        <f>VLOOKUP(B25,Italy!$A:$B,2,)</f>
        <v/>
      </c>
      <c r="M25" s="32">
        <f>VLOOKUP(B25,Spain!$A:$B,2,)</f>
        <v/>
      </c>
      <c r="N25" s="32">
        <f>VLOOKUP(B25,Brazil!$A:$B,2,)</f>
        <v/>
      </c>
      <c r="O25" s="32">
        <f>VLOOKUP(B25,Mexico!$A:$B,2,)</f>
        <v/>
      </c>
      <c r="P25" s="32">
        <f>VLOOKUP(B25,Russia!$A:$B,2,)</f>
        <v/>
      </c>
      <c r="Q25" s="32">
        <f>VLOOKUP(B25,India!$A:$B,2,)</f>
        <v/>
      </c>
      <c r="R25" s="32">
        <f>VLOOKUP(B25,Canada!$A:$B,2,)</f>
        <v/>
      </c>
      <c r="S25" s="32">
        <f>VLOOKUP(B25,Australia!$A:$B,2,)</f>
        <v/>
      </c>
      <c r="T25" s="32">
        <f>VLOOKUP(B25,Indonesia!$A:$B,2,)</f>
        <v/>
      </c>
      <c r="U25" s="32">
        <f>VLOOKUP(B25,SouthKorea!$A:$B,2,)</f>
        <v/>
      </c>
      <c r="V25" s="32">
        <f>VLOOKUP(B25,Taiwan!$A:$B,2,)</f>
        <v/>
      </c>
      <c r="W25" s="32">
        <f>VLOOKUP(B25,Greece!$A:$B,2,)</f>
        <v/>
      </c>
      <c r="X25" s="32">
        <f>VLOOKUP(B25,Ireland!$A:$B,2,)</f>
        <v/>
      </c>
      <c r="Y25" s="32">
        <f>VLOOKUP(B25,Turkey!$A:$B,2,)</f>
        <v/>
      </c>
      <c r="Z25" s="32">
        <f>VLOOKUP(B25,CzechRepublic!$A:$B,2,)</f>
        <v/>
      </c>
      <c r="AA25" s="32">
        <f>VLOOKUP(B25,Poland!$A:$B,2,)</f>
        <v/>
      </c>
      <c r="AB25" s="32">
        <f>VLOOKUP(B25,Denmark!$A:$B,2,)</f>
        <v/>
      </c>
    </row>
    <row r="26">
      <c r="B26" s="31" t="n">
        <v>42491</v>
      </c>
      <c r="C26" s="32">
        <f>VLOOKUP(B26,Global!$A:$B,2,)</f>
        <v/>
      </c>
      <c r="D26" s="32">
        <f>VLOOKUP(B26,US!$A:$D,4,)</f>
        <v/>
      </c>
      <c r="E26" s="32">
        <f>VLOOKUP(B26,US!$A:$B,2,)</f>
        <v/>
      </c>
      <c r="F26" s="32">
        <f>VLOOKUP(B26,China!$A:$B,2,)</f>
        <v/>
      </c>
      <c r="G26" s="32">
        <f>VLOOKUP(B26,'Euro Area'!A:B,2,)</f>
        <v/>
      </c>
      <c r="H26" s="32">
        <f>VLOOKUP(B26,Japan!$A:$B,2,)</f>
        <v/>
      </c>
      <c r="I26" s="32">
        <f>VLOOKUP(B26,Germany!$A:$B,2,)</f>
        <v/>
      </c>
      <c r="J26" s="32">
        <f>VLOOKUP(B26,France!$A:$B,2,)</f>
        <v/>
      </c>
      <c r="K26" s="32">
        <f>VLOOKUP(B26,UK!$A:$B,2,)</f>
        <v/>
      </c>
      <c r="L26" s="32">
        <f>VLOOKUP(B26,Italy!$A:$B,2,)</f>
        <v/>
      </c>
      <c r="M26" s="32">
        <f>VLOOKUP(B26,Spain!$A:$B,2,)</f>
        <v/>
      </c>
      <c r="N26" s="32">
        <f>VLOOKUP(B26,Brazil!$A:$B,2,)</f>
        <v/>
      </c>
      <c r="O26" s="32">
        <f>VLOOKUP(B26,Mexico!$A:$B,2,)</f>
        <v/>
      </c>
      <c r="P26" s="32">
        <f>VLOOKUP(B26,Russia!$A:$B,2,)</f>
        <v/>
      </c>
      <c r="Q26" s="32">
        <f>VLOOKUP(B26,India!$A:$B,2,)</f>
        <v/>
      </c>
      <c r="R26" s="32">
        <f>VLOOKUP(B26,Canada!$A:$B,2,)</f>
        <v/>
      </c>
      <c r="S26" s="32">
        <f>VLOOKUP(B26,Australia!$A:$B,2,)</f>
        <v/>
      </c>
      <c r="T26" s="32">
        <f>VLOOKUP(B26,Indonesia!$A:$B,2,)</f>
        <v/>
      </c>
      <c r="U26" s="32">
        <f>VLOOKUP(B26,SouthKorea!$A:$B,2,)</f>
        <v/>
      </c>
      <c r="V26" s="32">
        <f>VLOOKUP(B26,Taiwan!$A:$B,2,)</f>
        <v/>
      </c>
      <c r="W26" s="32">
        <f>VLOOKUP(B26,Greece!$A:$B,2,)</f>
        <v/>
      </c>
      <c r="X26" s="32">
        <f>VLOOKUP(B26,Ireland!$A:$B,2,)</f>
        <v/>
      </c>
      <c r="Y26" s="32">
        <f>VLOOKUP(B26,Turkey!$A:$B,2,)</f>
        <v/>
      </c>
      <c r="Z26" s="32">
        <f>VLOOKUP(B26,CzechRepublic!$A:$B,2,)</f>
        <v/>
      </c>
      <c r="AA26" s="32">
        <f>VLOOKUP(B26,Poland!$A:$B,2,)</f>
        <v/>
      </c>
      <c r="AB26" s="32">
        <f>VLOOKUP(B26,Denmark!$A:$B,2,)</f>
        <v/>
      </c>
    </row>
    <row r="27">
      <c r="B27" s="31" t="n">
        <v>42522</v>
      </c>
      <c r="C27" s="32">
        <f>VLOOKUP(B27,Global!$A:$B,2,)</f>
        <v/>
      </c>
      <c r="D27" s="32">
        <f>VLOOKUP(B27,US!$A:$D,4,)</f>
        <v/>
      </c>
      <c r="E27" s="32">
        <f>VLOOKUP(B27,US!$A:$B,2,)</f>
        <v/>
      </c>
      <c r="F27" s="32">
        <f>VLOOKUP(B27,China!$A:$B,2,)</f>
        <v/>
      </c>
      <c r="G27" s="32">
        <f>VLOOKUP(B27,'Euro Area'!A:B,2,)</f>
        <v/>
      </c>
      <c r="H27" s="32">
        <f>VLOOKUP(B27,Japan!$A:$B,2,)</f>
        <v/>
      </c>
      <c r="I27" s="32">
        <f>VLOOKUP(B27,Germany!$A:$B,2,)</f>
        <v/>
      </c>
      <c r="J27" s="32">
        <f>VLOOKUP(B27,France!$A:$B,2,)</f>
        <v/>
      </c>
      <c r="K27" s="32">
        <f>VLOOKUP(B27,UK!$A:$B,2,)</f>
        <v/>
      </c>
      <c r="L27" s="32">
        <f>VLOOKUP(B27,Italy!$A:$B,2,)</f>
        <v/>
      </c>
      <c r="M27" s="32">
        <f>VLOOKUP(B27,Spain!$A:$B,2,)</f>
        <v/>
      </c>
      <c r="N27" s="32">
        <f>VLOOKUP(B27,Brazil!$A:$B,2,)</f>
        <v/>
      </c>
      <c r="O27" s="32">
        <f>VLOOKUP(B27,Mexico!$A:$B,2,)</f>
        <v/>
      </c>
      <c r="P27" s="32">
        <f>VLOOKUP(B27,Russia!$A:$B,2,)</f>
        <v/>
      </c>
      <c r="Q27" s="32">
        <f>VLOOKUP(B27,India!$A:$B,2,)</f>
        <v/>
      </c>
      <c r="R27" s="32">
        <f>VLOOKUP(B27,Canada!$A:$B,2,)</f>
        <v/>
      </c>
      <c r="S27" s="32">
        <f>VLOOKUP(B27,Australia!$A:$B,2,)</f>
        <v/>
      </c>
      <c r="T27" s="32">
        <f>VLOOKUP(B27,Indonesia!$A:$B,2,)</f>
        <v/>
      </c>
      <c r="U27" s="32">
        <f>VLOOKUP(B27,SouthKorea!$A:$B,2,)</f>
        <v/>
      </c>
      <c r="V27" s="32">
        <f>VLOOKUP(B27,Taiwan!$A:$B,2,)</f>
        <v/>
      </c>
      <c r="W27" s="32">
        <f>VLOOKUP(B27,Greece!$A:$B,2,)</f>
        <v/>
      </c>
      <c r="X27" s="32">
        <f>VLOOKUP(B27,Ireland!$A:$B,2,)</f>
        <v/>
      </c>
      <c r="Y27" s="32">
        <f>VLOOKUP(B27,Turkey!$A:$B,2,)</f>
        <v/>
      </c>
      <c r="Z27" s="32">
        <f>VLOOKUP(B27,CzechRepublic!$A:$B,2,)</f>
        <v/>
      </c>
      <c r="AA27" s="32">
        <f>VLOOKUP(B27,Poland!$A:$B,2,)</f>
        <v/>
      </c>
      <c r="AB27" s="32">
        <f>VLOOKUP(B27,Denmark!$A:$B,2,)</f>
        <v/>
      </c>
    </row>
    <row r="28">
      <c r="B28" s="31" t="n">
        <v>42552</v>
      </c>
      <c r="C28" s="32">
        <f>VLOOKUP(B28,Global!$A:$B,2,)</f>
        <v/>
      </c>
      <c r="D28" s="32">
        <f>VLOOKUP(B28,US!$A:$D,4,)</f>
        <v/>
      </c>
      <c r="E28" s="32">
        <f>VLOOKUP(B28,US!$A:$B,2,)</f>
        <v/>
      </c>
      <c r="F28" s="32">
        <f>VLOOKUP(B28,China!$A:$B,2,)</f>
        <v/>
      </c>
      <c r="G28" s="32">
        <f>VLOOKUP(B28,'Euro Area'!A:B,2,)</f>
        <v/>
      </c>
      <c r="H28" s="32">
        <f>VLOOKUP(B28,Japan!$A:$B,2,)</f>
        <v/>
      </c>
      <c r="I28" s="32">
        <f>VLOOKUP(B28,Germany!$A:$B,2,)</f>
        <v/>
      </c>
      <c r="J28" s="32">
        <f>VLOOKUP(B28,France!$A:$B,2,)</f>
        <v/>
      </c>
      <c r="K28" s="32">
        <f>VLOOKUP(B28,UK!$A:$B,2,)</f>
        <v/>
      </c>
      <c r="L28" s="32">
        <f>VLOOKUP(B28,Italy!$A:$B,2,)</f>
        <v/>
      </c>
      <c r="M28" s="32">
        <f>VLOOKUP(B28,Spain!$A:$B,2,)</f>
        <v/>
      </c>
      <c r="N28" s="32">
        <f>VLOOKUP(B28,Brazil!$A:$B,2,)</f>
        <v/>
      </c>
      <c r="O28" s="32">
        <f>VLOOKUP(B28,Mexico!$A:$B,2,)</f>
        <v/>
      </c>
      <c r="P28" s="32">
        <f>VLOOKUP(B28,Russia!$A:$B,2,)</f>
        <v/>
      </c>
      <c r="Q28" s="32">
        <f>VLOOKUP(B28,India!$A:$B,2,)</f>
        <v/>
      </c>
      <c r="R28" s="32">
        <f>VLOOKUP(B28,Canada!$A:$B,2,)</f>
        <v/>
      </c>
      <c r="S28" s="32">
        <f>VLOOKUP(B28,Australia!$A:$B,2,)</f>
        <v/>
      </c>
      <c r="T28" s="32">
        <f>VLOOKUP(B28,Indonesia!$A:$B,2,)</f>
        <v/>
      </c>
      <c r="U28" s="32">
        <f>VLOOKUP(B28,SouthKorea!$A:$B,2,)</f>
        <v/>
      </c>
      <c r="V28" s="32">
        <f>VLOOKUP(B28,Taiwan!$A:$B,2,)</f>
        <v/>
      </c>
      <c r="W28" s="32">
        <f>VLOOKUP(B28,Greece!$A:$B,2,)</f>
        <v/>
      </c>
      <c r="X28" s="32">
        <f>VLOOKUP(B28,Ireland!$A:$B,2,)</f>
        <v/>
      </c>
      <c r="Y28" s="32">
        <f>VLOOKUP(B28,Turkey!$A:$B,2,)</f>
        <v/>
      </c>
      <c r="Z28" s="32">
        <f>VLOOKUP(B28,CzechRepublic!$A:$B,2,)</f>
        <v/>
      </c>
      <c r="AA28" s="32">
        <f>VLOOKUP(B28,Poland!$A:$B,2,)</f>
        <v/>
      </c>
      <c r="AB28" s="32">
        <f>VLOOKUP(B28,Denmark!$A:$B,2,)</f>
        <v/>
      </c>
    </row>
    <row r="29">
      <c r="B29" s="31" t="n">
        <v>42583</v>
      </c>
      <c r="C29" s="32">
        <f>VLOOKUP(B29,Global!$A:$B,2,)</f>
        <v/>
      </c>
      <c r="D29" s="32">
        <f>VLOOKUP(B29,US!$A:$D,4,)</f>
        <v/>
      </c>
      <c r="E29" s="32">
        <f>VLOOKUP(B29,US!$A:$B,2,)</f>
        <v/>
      </c>
      <c r="F29" s="32">
        <f>VLOOKUP(B29,China!$A:$B,2,)</f>
        <v/>
      </c>
      <c r="G29" s="32">
        <f>VLOOKUP(B29,'Euro Area'!A:B,2,)</f>
        <v/>
      </c>
      <c r="H29" s="32">
        <f>VLOOKUP(B29,Japan!$A:$B,2,)</f>
        <v/>
      </c>
      <c r="I29" s="32">
        <f>VLOOKUP(B29,Germany!$A:$B,2,)</f>
        <v/>
      </c>
      <c r="J29" s="32">
        <f>VLOOKUP(B29,France!$A:$B,2,)</f>
        <v/>
      </c>
      <c r="K29" s="32">
        <f>VLOOKUP(B29,UK!$A:$B,2,)</f>
        <v/>
      </c>
      <c r="L29" s="32">
        <f>VLOOKUP(B29,Italy!$A:$B,2,)</f>
        <v/>
      </c>
      <c r="M29" s="32">
        <f>VLOOKUP(B29,Spain!$A:$B,2,)</f>
        <v/>
      </c>
      <c r="N29" s="32">
        <f>VLOOKUP(B29,Brazil!$A:$B,2,)</f>
        <v/>
      </c>
      <c r="O29" s="32">
        <f>VLOOKUP(B29,Mexico!$A:$B,2,)</f>
        <v/>
      </c>
      <c r="P29" s="32">
        <f>VLOOKUP(B29,Russia!$A:$B,2,)</f>
        <v/>
      </c>
      <c r="Q29" s="32">
        <f>VLOOKUP(B29,India!$A:$B,2,)</f>
        <v/>
      </c>
      <c r="R29" s="32">
        <f>VLOOKUP(B29,Canada!$A:$B,2,)</f>
        <v/>
      </c>
      <c r="S29" s="32">
        <f>VLOOKUP(B29,Australia!$A:$B,2,)</f>
        <v/>
      </c>
      <c r="T29" s="32">
        <f>VLOOKUP(B29,Indonesia!$A:$B,2,)</f>
        <v/>
      </c>
      <c r="U29" s="32">
        <f>VLOOKUP(B29,SouthKorea!$A:$B,2,)</f>
        <v/>
      </c>
      <c r="V29" s="32">
        <f>VLOOKUP(B29,Taiwan!$A:$B,2,)</f>
        <v/>
      </c>
      <c r="W29" s="32">
        <f>VLOOKUP(B29,Greece!$A:$B,2,)</f>
        <v/>
      </c>
      <c r="X29" s="32">
        <f>VLOOKUP(B29,Ireland!$A:$B,2,)</f>
        <v/>
      </c>
      <c r="Y29" s="32">
        <f>VLOOKUP(B29,Turkey!$A:$B,2,)</f>
        <v/>
      </c>
      <c r="Z29" s="32">
        <f>VLOOKUP(B29,CzechRepublic!$A:$B,2,)</f>
        <v/>
      </c>
      <c r="AA29" s="32">
        <f>VLOOKUP(B29,Poland!$A:$B,2,)</f>
        <v/>
      </c>
      <c r="AB29" s="32">
        <f>VLOOKUP(B29,Denmark!$A:$B,2,)</f>
        <v/>
      </c>
    </row>
    <row r="30">
      <c r="B30" s="31" t="n">
        <v>42614</v>
      </c>
      <c r="C30" s="32">
        <f>VLOOKUP(B30,Global!$A:$B,2,)</f>
        <v/>
      </c>
      <c r="D30" s="32">
        <f>VLOOKUP(B30,US!$A:$D,4,)</f>
        <v/>
      </c>
      <c r="E30" s="32">
        <f>VLOOKUP(B30,US!$A:$B,2,)</f>
        <v/>
      </c>
      <c r="F30" s="32">
        <f>VLOOKUP(B30,China!$A:$B,2,)</f>
        <v/>
      </c>
      <c r="G30" s="32">
        <f>VLOOKUP(B30,'Euro Area'!A:B,2,)</f>
        <v/>
      </c>
      <c r="H30" s="32">
        <f>VLOOKUP(B30,Japan!$A:$B,2,)</f>
        <v/>
      </c>
      <c r="I30" s="32">
        <f>VLOOKUP(B30,Germany!$A:$B,2,)</f>
        <v/>
      </c>
      <c r="J30" s="32">
        <f>VLOOKUP(B30,France!$A:$B,2,)</f>
        <v/>
      </c>
      <c r="K30" s="32">
        <f>VLOOKUP(B30,UK!$A:$B,2,)</f>
        <v/>
      </c>
      <c r="L30" s="32">
        <f>VLOOKUP(B30,Italy!$A:$B,2,)</f>
        <v/>
      </c>
      <c r="M30" s="32">
        <f>VLOOKUP(B30,Spain!$A:$B,2,)</f>
        <v/>
      </c>
      <c r="N30" s="32">
        <f>VLOOKUP(B30,Brazil!$A:$B,2,)</f>
        <v/>
      </c>
      <c r="O30" s="32">
        <f>VLOOKUP(B30,Mexico!$A:$B,2,)</f>
        <v/>
      </c>
      <c r="P30" s="32">
        <f>VLOOKUP(B30,Russia!$A:$B,2,)</f>
        <v/>
      </c>
      <c r="Q30" s="32">
        <f>VLOOKUP(B30,India!$A:$B,2,)</f>
        <v/>
      </c>
      <c r="R30" s="32">
        <f>VLOOKUP(B30,Canada!$A:$B,2,)</f>
        <v/>
      </c>
      <c r="S30" s="32">
        <f>VLOOKUP(B30,Australia!$A:$B,2,)</f>
        <v/>
      </c>
      <c r="T30" s="32">
        <f>VLOOKUP(B30,Indonesia!$A:$B,2,)</f>
        <v/>
      </c>
      <c r="U30" s="32">
        <f>VLOOKUP(B30,SouthKorea!$A:$B,2,)</f>
        <v/>
      </c>
      <c r="V30" s="32">
        <f>VLOOKUP(B30,Taiwan!$A:$B,2,)</f>
        <v/>
      </c>
      <c r="W30" s="32">
        <f>VLOOKUP(B30,Greece!$A:$B,2,)</f>
        <v/>
      </c>
      <c r="X30" s="32">
        <f>VLOOKUP(B30,Ireland!$A:$B,2,)</f>
        <v/>
      </c>
      <c r="Y30" s="32">
        <f>VLOOKUP(B30,Turkey!$A:$B,2,)</f>
        <v/>
      </c>
      <c r="Z30" s="32">
        <f>VLOOKUP(B30,CzechRepublic!$A:$B,2,)</f>
        <v/>
      </c>
      <c r="AA30" s="32">
        <f>VLOOKUP(B30,Poland!$A:$B,2,)</f>
        <v/>
      </c>
      <c r="AB30" s="32">
        <f>VLOOKUP(B30,Denmark!$A:$B,2,)</f>
        <v/>
      </c>
    </row>
    <row r="31">
      <c r="B31" s="31" t="n">
        <v>42644</v>
      </c>
      <c r="C31" s="32">
        <f>VLOOKUP(B31,Global!$A:$B,2,)</f>
        <v/>
      </c>
      <c r="D31" s="32">
        <f>VLOOKUP(B31,US!$A:$D,4,)</f>
        <v/>
      </c>
      <c r="E31" s="32">
        <f>VLOOKUP(B31,US!$A:$B,2,)</f>
        <v/>
      </c>
      <c r="F31" s="32">
        <f>VLOOKUP(B31,China!$A:$B,2,)</f>
        <v/>
      </c>
      <c r="G31" s="32">
        <f>VLOOKUP(B31,'Euro Area'!A:B,2,)</f>
        <v/>
      </c>
      <c r="H31" s="32">
        <f>VLOOKUP(B31,Japan!$A:$B,2,)</f>
        <v/>
      </c>
      <c r="I31" s="32">
        <f>VLOOKUP(B31,Germany!$A:$B,2,)</f>
        <v/>
      </c>
      <c r="J31" s="32">
        <f>VLOOKUP(B31,France!$A:$B,2,)</f>
        <v/>
      </c>
      <c r="K31" s="32">
        <f>VLOOKUP(B31,UK!$A:$B,2,)</f>
        <v/>
      </c>
      <c r="L31" s="32">
        <f>VLOOKUP(B31,Italy!$A:$B,2,)</f>
        <v/>
      </c>
      <c r="M31" s="32">
        <f>VLOOKUP(B31,Spain!$A:$B,2,)</f>
        <v/>
      </c>
      <c r="N31" s="32">
        <f>VLOOKUP(B31,Brazil!$A:$B,2,)</f>
        <v/>
      </c>
      <c r="O31" s="32">
        <f>VLOOKUP(B31,Mexico!$A:$B,2,)</f>
        <v/>
      </c>
      <c r="P31" s="32">
        <f>VLOOKUP(B31,Russia!$A:$B,2,)</f>
        <v/>
      </c>
      <c r="Q31" s="32">
        <f>VLOOKUP(B31,India!$A:$B,2,)</f>
        <v/>
      </c>
      <c r="R31" s="32">
        <f>VLOOKUP(B31,Canada!$A:$B,2,)</f>
        <v/>
      </c>
      <c r="S31" s="32">
        <f>VLOOKUP(B31,Australia!$A:$B,2,)</f>
        <v/>
      </c>
      <c r="T31" s="32">
        <f>VLOOKUP(B31,Indonesia!$A:$B,2,)</f>
        <v/>
      </c>
      <c r="U31" s="32">
        <f>VLOOKUP(B31,SouthKorea!$A:$B,2,)</f>
        <v/>
      </c>
      <c r="V31" s="32">
        <f>VLOOKUP(B31,Taiwan!$A:$B,2,)</f>
        <v/>
      </c>
      <c r="W31" s="32">
        <f>VLOOKUP(B31,Greece!$A:$B,2,)</f>
        <v/>
      </c>
      <c r="X31" s="32">
        <f>VLOOKUP(B31,Ireland!$A:$B,2,)</f>
        <v/>
      </c>
      <c r="Y31" s="32">
        <f>VLOOKUP(B31,Turkey!$A:$B,2,)</f>
        <v/>
      </c>
      <c r="Z31" s="32">
        <f>VLOOKUP(B31,CzechRepublic!$A:$B,2,)</f>
        <v/>
      </c>
      <c r="AA31" s="32">
        <f>VLOOKUP(B31,Poland!$A:$B,2,)</f>
        <v/>
      </c>
      <c r="AB31" s="32">
        <f>VLOOKUP(B31,Denmark!$A:$B,2,)</f>
        <v/>
      </c>
    </row>
    <row r="32">
      <c r="B32" s="31" t="n">
        <v>42675</v>
      </c>
      <c r="C32" s="32">
        <f>VLOOKUP(B32,Global!$A:$B,2,)</f>
        <v/>
      </c>
      <c r="D32" s="32">
        <f>VLOOKUP(B32,US!$A:$D,4,)</f>
        <v/>
      </c>
      <c r="E32" s="32">
        <f>VLOOKUP(B32,US!$A:$B,2,)</f>
        <v/>
      </c>
      <c r="F32" s="32">
        <f>VLOOKUP(B32,China!$A:$B,2,)</f>
        <v/>
      </c>
      <c r="G32" s="32">
        <f>VLOOKUP(B32,'Euro Area'!A:B,2,)</f>
        <v/>
      </c>
      <c r="H32" s="32">
        <f>VLOOKUP(B32,Japan!$A:$B,2,)</f>
        <v/>
      </c>
      <c r="I32" s="32">
        <f>VLOOKUP(B32,Germany!$A:$B,2,)</f>
        <v/>
      </c>
      <c r="J32" s="32">
        <f>VLOOKUP(B32,France!$A:$B,2,)</f>
        <v/>
      </c>
      <c r="K32" s="32">
        <f>VLOOKUP(B32,UK!$A:$B,2,)</f>
        <v/>
      </c>
      <c r="L32" s="32">
        <f>VLOOKUP(B32,Italy!$A:$B,2,)</f>
        <v/>
      </c>
      <c r="M32" s="32">
        <f>VLOOKUP(B32,Spain!$A:$B,2,)</f>
        <v/>
      </c>
      <c r="N32" s="32">
        <f>VLOOKUP(B32,Brazil!$A:$B,2,)</f>
        <v/>
      </c>
      <c r="O32" s="32">
        <f>VLOOKUP(B32,Mexico!$A:$B,2,)</f>
        <v/>
      </c>
      <c r="P32" s="32">
        <f>VLOOKUP(B32,Russia!$A:$B,2,)</f>
        <v/>
      </c>
      <c r="Q32" s="32">
        <f>VLOOKUP(B32,India!$A:$B,2,)</f>
        <v/>
      </c>
      <c r="R32" s="32">
        <f>VLOOKUP(B32,Canada!$A:$B,2,)</f>
        <v/>
      </c>
      <c r="S32" s="32">
        <f>VLOOKUP(B32,Australia!$A:$B,2,)</f>
        <v/>
      </c>
      <c r="T32" s="32">
        <f>VLOOKUP(B32,Indonesia!$A:$B,2,)</f>
        <v/>
      </c>
      <c r="U32" s="32">
        <f>VLOOKUP(B32,SouthKorea!$A:$B,2,)</f>
        <v/>
      </c>
      <c r="V32" s="32">
        <f>VLOOKUP(B32,Taiwan!$A:$B,2,)</f>
        <v/>
      </c>
      <c r="W32" s="32">
        <f>VLOOKUP(B32,Greece!$A:$B,2,)</f>
        <v/>
      </c>
      <c r="X32" s="32">
        <f>VLOOKUP(B32,Ireland!$A:$B,2,)</f>
        <v/>
      </c>
      <c r="Y32" s="32">
        <f>VLOOKUP(B32,Turkey!$A:$B,2,)</f>
        <v/>
      </c>
      <c r="Z32" s="32">
        <f>VLOOKUP(B32,CzechRepublic!$A:$B,2,)</f>
        <v/>
      </c>
      <c r="AA32" s="32">
        <f>VLOOKUP(B32,Poland!$A:$B,2,)</f>
        <v/>
      </c>
      <c r="AB32" s="32">
        <f>VLOOKUP(B32,Denmark!$A:$B,2,)</f>
        <v/>
      </c>
    </row>
    <row r="33">
      <c r="B33" s="31" t="n">
        <v>42705</v>
      </c>
      <c r="C33" s="32">
        <f>VLOOKUP(B33,Global!$A:$B,2,)</f>
        <v/>
      </c>
      <c r="D33" s="32">
        <f>VLOOKUP(B33,US!$A:$D,4,)</f>
        <v/>
      </c>
      <c r="E33" s="32">
        <f>VLOOKUP(B33,US!$A:$B,2,)</f>
        <v/>
      </c>
      <c r="F33" s="32">
        <f>VLOOKUP(B33,China!$A:$B,2,)</f>
        <v/>
      </c>
      <c r="G33" s="32">
        <f>VLOOKUP(B33,'Euro Area'!A:B,2,)</f>
        <v/>
      </c>
      <c r="H33" s="32">
        <f>VLOOKUP(B33,Japan!$A:$B,2,)</f>
        <v/>
      </c>
      <c r="I33" s="32">
        <f>VLOOKUP(B33,Germany!$A:$B,2,)</f>
        <v/>
      </c>
      <c r="J33" s="32">
        <f>VLOOKUP(B33,France!$A:$B,2,)</f>
        <v/>
      </c>
      <c r="K33" s="32">
        <f>VLOOKUP(B33,UK!$A:$B,2,)</f>
        <v/>
      </c>
      <c r="L33" s="32">
        <f>VLOOKUP(B33,Italy!$A:$B,2,)</f>
        <v/>
      </c>
      <c r="M33" s="32">
        <f>VLOOKUP(B33,Spain!$A:$B,2,)</f>
        <v/>
      </c>
      <c r="N33" s="32">
        <f>VLOOKUP(B33,Brazil!$A:$B,2,)</f>
        <v/>
      </c>
      <c r="O33" s="32">
        <f>VLOOKUP(B33,Mexico!$A:$B,2,)</f>
        <v/>
      </c>
      <c r="P33" s="32">
        <f>VLOOKUP(B33,Russia!$A:$B,2,)</f>
        <v/>
      </c>
      <c r="Q33" s="32">
        <f>VLOOKUP(B33,India!$A:$B,2,)</f>
        <v/>
      </c>
      <c r="R33" s="32">
        <f>VLOOKUP(B33,Canada!$A:$B,2,)</f>
        <v/>
      </c>
      <c r="S33" s="32">
        <f>VLOOKUP(B33,Australia!$A:$B,2,)</f>
        <v/>
      </c>
      <c r="T33" s="32">
        <f>VLOOKUP(B33,Indonesia!$A:$B,2,)</f>
        <v/>
      </c>
      <c r="U33" s="32">
        <f>VLOOKUP(B33,SouthKorea!$A:$B,2,)</f>
        <v/>
      </c>
      <c r="V33" s="32">
        <f>VLOOKUP(B33,Taiwan!$A:$B,2,)</f>
        <v/>
      </c>
      <c r="W33" s="32">
        <f>VLOOKUP(B33,Greece!$A:$B,2,)</f>
        <v/>
      </c>
      <c r="X33" s="32">
        <f>VLOOKUP(B33,Ireland!$A:$B,2,)</f>
        <v/>
      </c>
      <c r="Y33" s="32">
        <f>VLOOKUP(B33,Turkey!$A:$B,2,)</f>
        <v/>
      </c>
      <c r="Z33" s="32">
        <f>VLOOKUP(B33,CzechRepublic!$A:$B,2,)</f>
        <v/>
      </c>
      <c r="AA33" s="32">
        <f>VLOOKUP(B33,Poland!$A:$B,2,)</f>
        <v/>
      </c>
      <c r="AB33" s="32">
        <f>VLOOKUP(B33,Denmark!$A:$B,2,)</f>
        <v/>
      </c>
    </row>
    <row r="34">
      <c r="B34" s="31" t="n">
        <v>42736</v>
      </c>
      <c r="C34" s="32">
        <f>VLOOKUP(B34,Global!$A:$B,2,)</f>
        <v/>
      </c>
      <c r="D34" s="32">
        <f>VLOOKUP(B34,US!$A:$D,4,)</f>
        <v/>
      </c>
      <c r="E34" s="32">
        <f>VLOOKUP(B34,US!$A:$B,2,)</f>
        <v/>
      </c>
      <c r="F34" s="32">
        <f>VLOOKUP(B34,China!$A:$B,2,)</f>
        <v/>
      </c>
      <c r="G34" s="32">
        <f>VLOOKUP(B34,'Euro Area'!A:B,2,)</f>
        <v/>
      </c>
      <c r="H34" s="32">
        <f>VLOOKUP(B34,Japan!$A:$B,2,)</f>
        <v/>
      </c>
      <c r="I34" s="32">
        <f>VLOOKUP(B34,Germany!$A:$B,2,)</f>
        <v/>
      </c>
      <c r="J34" s="32">
        <f>VLOOKUP(B34,France!$A:$B,2,)</f>
        <v/>
      </c>
      <c r="K34" s="32">
        <f>VLOOKUP(B34,UK!$A:$B,2,)</f>
        <v/>
      </c>
      <c r="L34" s="32">
        <f>VLOOKUP(B34,Italy!$A:$B,2,)</f>
        <v/>
      </c>
      <c r="M34" s="32">
        <f>VLOOKUP(B34,Spain!$A:$B,2,)</f>
        <v/>
      </c>
      <c r="N34" s="32">
        <f>VLOOKUP(B34,Brazil!$A:$B,2,)</f>
        <v/>
      </c>
      <c r="O34" s="32">
        <f>VLOOKUP(B34,Mexico!$A:$B,2,)</f>
        <v/>
      </c>
      <c r="P34" s="32">
        <f>VLOOKUP(B34,Russia!$A:$B,2,)</f>
        <v/>
      </c>
      <c r="Q34" s="32">
        <f>VLOOKUP(B34,India!$A:$B,2,)</f>
        <v/>
      </c>
      <c r="R34" s="32">
        <f>VLOOKUP(B34,Canada!$A:$B,2,)</f>
        <v/>
      </c>
      <c r="S34" s="32">
        <f>VLOOKUP(B34,Australia!$A:$B,2,)</f>
        <v/>
      </c>
      <c r="T34" s="32">
        <f>VLOOKUP(B34,Indonesia!$A:$B,2,)</f>
        <v/>
      </c>
      <c r="U34" s="32">
        <f>VLOOKUP(B34,SouthKorea!$A:$B,2,)</f>
        <v/>
      </c>
      <c r="V34" s="32">
        <f>VLOOKUP(B34,Taiwan!$A:$B,2,)</f>
        <v/>
      </c>
      <c r="W34" s="32">
        <f>VLOOKUP(B34,Greece!$A:$B,2,)</f>
        <v/>
      </c>
      <c r="X34" s="32">
        <f>VLOOKUP(B34,Ireland!$A:$B,2,)</f>
        <v/>
      </c>
      <c r="Y34" s="32">
        <f>VLOOKUP(B34,Turkey!$A:$B,2,)</f>
        <v/>
      </c>
      <c r="Z34" s="32">
        <f>VLOOKUP(B34,CzechRepublic!$A:$B,2,)</f>
        <v/>
      </c>
      <c r="AA34" s="32">
        <f>VLOOKUP(B34,Poland!$A:$B,2,)</f>
        <v/>
      </c>
      <c r="AB34" s="32">
        <f>VLOOKUP(B34,Denmark!$A:$B,2,)</f>
        <v/>
      </c>
    </row>
    <row r="35">
      <c r="B35" s="31" t="n">
        <v>42767</v>
      </c>
      <c r="C35" s="32">
        <f>VLOOKUP(B35,Global!$A:$B,2,)</f>
        <v/>
      </c>
      <c r="D35" s="32">
        <f>VLOOKUP(B35,US!$A:$D,4,)</f>
        <v/>
      </c>
      <c r="E35" s="32">
        <f>VLOOKUP(B35,US!$A:$B,2,)</f>
        <v/>
      </c>
      <c r="F35" s="32">
        <f>VLOOKUP(B35,China!$A:$B,2,)</f>
        <v/>
      </c>
      <c r="G35" s="32">
        <f>VLOOKUP(B35,'Euro Area'!A:B,2,)</f>
        <v/>
      </c>
      <c r="H35" s="32">
        <f>VLOOKUP(B35,Japan!$A:$B,2,)</f>
        <v/>
      </c>
      <c r="I35" s="32">
        <f>VLOOKUP(B35,Germany!$A:$B,2,)</f>
        <v/>
      </c>
      <c r="J35" s="32">
        <f>VLOOKUP(B35,France!$A:$B,2,)</f>
        <v/>
      </c>
      <c r="K35" s="32">
        <f>VLOOKUP(B35,UK!$A:$B,2,)</f>
        <v/>
      </c>
      <c r="L35" s="32">
        <f>VLOOKUP(B35,Italy!$A:$B,2,)</f>
        <v/>
      </c>
      <c r="M35" s="32">
        <f>VLOOKUP(B35,Spain!$A:$B,2,)</f>
        <v/>
      </c>
      <c r="N35" s="32">
        <f>VLOOKUP(B35,Brazil!$A:$B,2,)</f>
        <v/>
      </c>
      <c r="O35" s="32">
        <f>VLOOKUP(B35,Mexico!$A:$B,2,)</f>
        <v/>
      </c>
      <c r="P35" s="32">
        <f>VLOOKUP(B35,Russia!$A:$B,2,)</f>
        <v/>
      </c>
      <c r="Q35" s="32">
        <f>VLOOKUP(B35,India!$A:$B,2,)</f>
        <v/>
      </c>
      <c r="R35" s="32">
        <f>VLOOKUP(B35,Canada!$A:$B,2,)</f>
        <v/>
      </c>
      <c r="S35" s="32">
        <f>VLOOKUP(B35,Australia!$A:$B,2,)</f>
        <v/>
      </c>
      <c r="T35" s="32">
        <f>VLOOKUP(B35,Indonesia!$A:$B,2,)</f>
        <v/>
      </c>
      <c r="U35" s="32">
        <f>VLOOKUP(B35,SouthKorea!$A:$B,2,)</f>
        <v/>
      </c>
      <c r="V35" s="32">
        <f>VLOOKUP(B35,Taiwan!$A:$B,2,)</f>
        <v/>
      </c>
      <c r="W35" s="32">
        <f>VLOOKUP(B35,Greece!$A:$B,2,)</f>
        <v/>
      </c>
      <c r="X35" s="32">
        <f>VLOOKUP(B35,Ireland!$A:$B,2,)</f>
        <v/>
      </c>
      <c r="Y35" s="32">
        <f>VLOOKUP(B35,Turkey!$A:$B,2,)</f>
        <v/>
      </c>
      <c r="Z35" s="32">
        <f>VLOOKUP(B35,CzechRepublic!$A:$B,2,)</f>
        <v/>
      </c>
      <c r="AA35" s="32">
        <f>VLOOKUP(B35,Poland!$A:$B,2,)</f>
        <v/>
      </c>
      <c r="AB35" s="32">
        <f>VLOOKUP(B35,Denmark!$A:$B,2,)</f>
        <v/>
      </c>
    </row>
    <row r="36">
      <c r="B36" s="31" t="n">
        <v>42795</v>
      </c>
      <c r="C36" s="32">
        <f>VLOOKUP(B36,Global!$A:$B,2,)</f>
        <v/>
      </c>
      <c r="D36" s="32">
        <f>VLOOKUP(B36,US!$A:$D,4,)</f>
        <v/>
      </c>
      <c r="E36" s="32">
        <f>VLOOKUP(B36,US!$A:$B,2,)</f>
        <v/>
      </c>
      <c r="F36" s="32">
        <f>VLOOKUP(B36,China!$A:$B,2,)</f>
        <v/>
      </c>
      <c r="G36" s="32">
        <f>VLOOKUP(B36,'Euro Area'!A:B,2,)</f>
        <v/>
      </c>
      <c r="H36" s="32">
        <f>VLOOKUP(B36,Japan!$A:$B,2,)</f>
        <v/>
      </c>
      <c r="I36" s="32">
        <f>VLOOKUP(B36,Germany!$A:$B,2,)</f>
        <v/>
      </c>
      <c r="J36" s="32">
        <f>VLOOKUP(B36,France!$A:$B,2,)</f>
        <v/>
      </c>
      <c r="K36" s="32">
        <f>VLOOKUP(B36,UK!$A:$B,2,)</f>
        <v/>
      </c>
      <c r="L36" s="32">
        <f>VLOOKUP(B36,Italy!$A:$B,2,)</f>
        <v/>
      </c>
      <c r="M36" s="32">
        <f>VLOOKUP(B36,Spain!$A:$B,2,)</f>
        <v/>
      </c>
      <c r="N36" s="32">
        <f>VLOOKUP(B36,Brazil!$A:$B,2,)</f>
        <v/>
      </c>
      <c r="O36" s="32">
        <f>VLOOKUP(B36,Mexico!$A:$B,2,)</f>
        <v/>
      </c>
      <c r="P36" s="32">
        <f>VLOOKUP(B36,Russia!$A:$B,2,)</f>
        <v/>
      </c>
      <c r="Q36" s="32">
        <f>VLOOKUP(B36,India!$A:$B,2,)</f>
        <v/>
      </c>
      <c r="R36" s="32">
        <f>VLOOKUP(B36,Canada!$A:$B,2,)</f>
        <v/>
      </c>
      <c r="S36" s="32">
        <f>VLOOKUP(B36,Australia!$A:$B,2,)</f>
        <v/>
      </c>
      <c r="T36" s="32">
        <f>VLOOKUP(B36,Indonesia!$A:$B,2,)</f>
        <v/>
      </c>
      <c r="U36" s="32">
        <f>VLOOKUP(B36,SouthKorea!$A:$B,2,)</f>
        <v/>
      </c>
      <c r="V36" s="32">
        <f>VLOOKUP(B36,Taiwan!$A:$B,2,)</f>
        <v/>
      </c>
      <c r="W36" s="32">
        <f>VLOOKUP(B36,Greece!$A:$B,2,)</f>
        <v/>
      </c>
      <c r="X36" s="32">
        <f>VLOOKUP(B36,Ireland!$A:$B,2,)</f>
        <v/>
      </c>
      <c r="Y36" s="32">
        <f>VLOOKUP(B36,Turkey!$A:$B,2,)</f>
        <v/>
      </c>
      <c r="Z36" s="32">
        <f>VLOOKUP(B36,CzechRepublic!$A:$B,2,)</f>
        <v/>
      </c>
      <c r="AA36" s="32">
        <f>VLOOKUP(B36,Poland!$A:$B,2,)</f>
        <v/>
      </c>
      <c r="AB36" s="32">
        <f>VLOOKUP(B36,Denmark!$A:$B,2,)</f>
        <v/>
      </c>
    </row>
    <row r="37">
      <c r="B37" s="31" t="n">
        <v>42826</v>
      </c>
      <c r="C37" s="32">
        <f>VLOOKUP(B37,Global!$A:$B,2,)</f>
        <v/>
      </c>
      <c r="D37" s="32">
        <f>VLOOKUP(B37,US!$A:$D,4,)</f>
        <v/>
      </c>
      <c r="E37" s="32">
        <f>VLOOKUP(B37,US!$A:$B,2,)</f>
        <v/>
      </c>
      <c r="F37" s="32">
        <f>VLOOKUP(B37,China!$A:$B,2,)</f>
        <v/>
      </c>
      <c r="G37" s="32">
        <f>VLOOKUP(B37,'Euro Area'!A:B,2,)</f>
        <v/>
      </c>
      <c r="H37" s="32">
        <f>VLOOKUP(B37,Japan!$A:$B,2,)</f>
        <v/>
      </c>
      <c r="I37" s="32">
        <f>VLOOKUP(B37,Germany!$A:$B,2,)</f>
        <v/>
      </c>
      <c r="J37" s="32">
        <f>VLOOKUP(B37,France!$A:$B,2,)</f>
        <v/>
      </c>
      <c r="K37" s="32">
        <f>VLOOKUP(B37,UK!$A:$B,2,)</f>
        <v/>
      </c>
      <c r="L37" s="32">
        <f>VLOOKUP(B37,Italy!$A:$B,2,)</f>
        <v/>
      </c>
      <c r="M37" s="32">
        <f>VLOOKUP(B37,Spain!$A:$B,2,)</f>
        <v/>
      </c>
      <c r="N37" s="32">
        <f>VLOOKUP(B37,Brazil!$A:$B,2,)</f>
        <v/>
      </c>
      <c r="O37" s="32">
        <f>VLOOKUP(B37,Mexico!$A:$B,2,)</f>
        <v/>
      </c>
      <c r="P37" s="32">
        <f>VLOOKUP(B37,Russia!$A:$B,2,)</f>
        <v/>
      </c>
      <c r="Q37" s="32">
        <f>VLOOKUP(B37,India!$A:$B,2,)</f>
        <v/>
      </c>
      <c r="R37" s="32">
        <f>VLOOKUP(B37,Canada!$A:$B,2,)</f>
        <v/>
      </c>
      <c r="S37" s="32">
        <f>VLOOKUP(B37,Australia!$A:$B,2,)</f>
        <v/>
      </c>
      <c r="T37" s="32">
        <f>VLOOKUP(B37,Indonesia!$A:$B,2,)</f>
        <v/>
      </c>
      <c r="U37" s="32">
        <f>VLOOKUP(B37,SouthKorea!$A:$B,2,)</f>
        <v/>
      </c>
      <c r="V37" s="32">
        <f>VLOOKUP(B37,Taiwan!$A:$B,2,)</f>
        <v/>
      </c>
      <c r="W37" s="32">
        <f>VLOOKUP(B37,Greece!$A:$B,2,)</f>
        <v/>
      </c>
      <c r="X37" s="32">
        <f>VLOOKUP(B37,Ireland!$A:$B,2,)</f>
        <v/>
      </c>
      <c r="Y37" s="32">
        <f>VLOOKUP(B37,Turkey!$A:$B,2,)</f>
        <v/>
      </c>
      <c r="Z37" s="32">
        <f>VLOOKUP(B37,CzechRepublic!$A:$B,2,)</f>
        <v/>
      </c>
      <c r="AA37" s="32">
        <f>VLOOKUP(B37,Poland!$A:$B,2,)</f>
        <v/>
      </c>
      <c r="AB37" s="32">
        <f>VLOOKUP(B37,Denmark!$A:$B,2,)</f>
        <v/>
      </c>
    </row>
    <row r="38">
      <c r="B38" s="31" t="n">
        <v>42856</v>
      </c>
      <c r="C38" s="32">
        <f>VLOOKUP(B38,Global!$A:$B,2,)</f>
        <v/>
      </c>
      <c r="D38" s="32">
        <f>VLOOKUP(B38,US!$A:$D,4,)</f>
        <v/>
      </c>
      <c r="E38" s="32">
        <f>VLOOKUP(B38,US!$A:$B,2,)</f>
        <v/>
      </c>
      <c r="F38" s="32">
        <f>VLOOKUP(B38,China!$A:$B,2,)</f>
        <v/>
      </c>
      <c r="G38" s="32">
        <f>VLOOKUP(B38,'Euro Area'!A:B,2,)</f>
        <v/>
      </c>
      <c r="H38" s="32">
        <f>VLOOKUP(B38,Japan!$A:$B,2,)</f>
        <v/>
      </c>
      <c r="I38" s="32">
        <f>VLOOKUP(B38,Germany!$A:$B,2,)</f>
        <v/>
      </c>
      <c r="J38" s="32">
        <f>VLOOKUP(B38,France!$A:$B,2,)</f>
        <v/>
      </c>
      <c r="K38" s="32">
        <f>VLOOKUP(B38,UK!$A:$B,2,)</f>
        <v/>
      </c>
      <c r="L38" s="32">
        <f>VLOOKUP(B38,Italy!$A:$B,2,)</f>
        <v/>
      </c>
      <c r="M38" s="32">
        <f>VLOOKUP(B38,Spain!$A:$B,2,)</f>
        <v/>
      </c>
      <c r="N38" s="32">
        <f>VLOOKUP(B38,Brazil!$A:$B,2,)</f>
        <v/>
      </c>
      <c r="O38" s="32">
        <f>VLOOKUP(B38,Mexico!$A:$B,2,)</f>
        <v/>
      </c>
      <c r="P38" s="32">
        <f>VLOOKUP(B38,Russia!$A:$B,2,)</f>
        <v/>
      </c>
      <c r="Q38" s="32">
        <f>VLOOKUP(B38,India!$A:$B,2,)</f>
        <v/>
      </c>
      <c r="R38" s="32">
        <f>VLOOKUP(B38,Canada!$A:$B,2,)</f>
        <v/>
      </c>
      <c r="S38" s="32">
        <f>VLOOKUP(B38,Australia!$A:$B,2,)</f>
        <v/>
      </c>
      <c r="T38" s="32">
        <f>VLOOKUP(B38,Indonesia!$A:$B,2,)</f>
        <v/>
      </c>
      <c r="U38" s="32">
        <f>VLOOKUP(B38,SouthKorea!$A:$B,2,)</f>
        <v/>
      </c>
      <c r="V38" s="32">
        <f>VLOOKUP(B38,Taiwan!$A:$B,2,)</f>
        <v/>
      </c>
      <c r="W38" s="32">
        <f>VLOOKUP(B38,Greece!$A:$B,2,)</f>
        <v/>
      </c>
      <c r="X38" s="32">
        <f>VLOOKUP(B38,Ireland!$A:$B,2,)</f>
        <v/>
      </c>
      <c r="Y38" s="32">
        <f>VLOOKUP(B38,Turkey!$A:$B,2,)</f>
        <v/>
      </c>
      <c r="Z38" s="32">
        <f>VLOOKUP(B38,CzechRepublic!$A:$B,2,)</f>
        <v/>
      </c>
      <c r="AA38" s="32">
        <f>VLOOKUP(B38,Poland!$A:$B,2,)</f>
        <v/>
      </c>
      <c r="AB38" s="32">
        <f>VLOOKUP(B38,Denmark!$A:$B,2,)</f>
        <v/>
      </c>
    </row>
    <row r="39">
      <c r="B39" s="31" t="n">
        <v>42887</v>
      </c>
      <c r="C39" s="32">
        <f>VLOOKUP(B39,Global!$A:$B,2,)</f>
        <v/>
      </c>
      <c r="D39" s="32">
        <f>VLOOKUP(B39,US!$A:$D,4,)</f>
        <v/>
      </c>
      <c r="E39" s="32">
        <f>VLOOKUP(B39,US!$A:$B,2,)</f>
        <v/>
      </c>
      <c r="F39" s="32">
        <f>VLOOKUP(B39,China!$A:$B,2,)</f>
        <v/>
      </c>
      <c r="G39" s="32">
        <f>VLOOKUP(B39,'Euro Area'!A:B,2,)</f>
        <v/>
      </c>
      <c r="H39" s="32">
        <f>VLOOKUP(B39,Japan!$A:$B,2,)</f>
        <v/>
      </c>
      <c r="I39" s="32">
        <f>VLOOKUP(B39,Germany!$A:$B,2,)</f>
        <v/>
      </c>
      <c r="J39" s="32">
        <f>VLOOKUP(B39,France!$A:$B,2,)</f>
        <v/>
      </c>
      <c r="K39" s="32">
        <f>VLOOKUP(B39,UK!$A:$B,2,)</f>
        <v/>
      </c>
      <c r="L39" s="32">
        <f>VLOOKUP(B39,Italy!$A:$B,2,)</f>
        <v/>
      </c>
      <c r="M39" s="32">
        <f>VLOOKUP(B39,Spain!$A:$B,2,)</f>
        <v/>
      </c>
      <c r="N39" s="32">
        <f>VLOOKUP(B39,Brazil!$A:$B,2,)</f>
        <v/>
      </c>
      <c r="O39" s="32">
        <f>VLOOKUP(B39,Mexico!$A:$B,2,)</f>
        <v/>
      </c>
      <c r="P39" s="32">
        <f>VLOOKUP(B39,Russia!$A:$B,2,)</f>
        <v/>
      </c>
      <c r="Q39" s="32">
        <f>VLOOKUP(B39,India!$A:$B,2,)</f>
        <v/>
      </c>
      <c r="R39" s="32">
        <f>VLOOKUP(B39,Canada!$A:$B,2,)</f>
        <v/>
      </c>
      <c r="S39" s="32">
        <f>VLOOKUP(B39,Australia!$A:$B,2,)</f>
        <v/>
      </c>
      <c r="T39" s="32">
        <f>VLOOKUP(B39,Indonesia!$A:$B,2,)</f>
        <v/>
      </c>
      <c r="U39" s="32">
        <f>VLOOKUP(B39,SouthKorea!$A:$B,2,)</f>
        <v/>
      </c>
      <c r="V39" s="32">
        <f>VLOOKUP(B39,Taiwan!$A:$B,2,)</f>
        <v/>
      </c>
      <c r="W39" s="32">
        <f>VLOOKUP(B39,Greece!$A:$B,2,)</f>
        <v/>
      </c>
      <c r="X39" s="32">
        <f>VLOOKUP(B39,Ireland!$A:$B,2,)</f>
        <v/>
      </c>
      <c r="Y39" s="32">
        <f>VLOOKUP(B39,Turkey!$A:$B,2,)</f>
        <v/>
      </c>
      <c r="Z39" s="32">
        <f>VLOOKUP(B39,CzechRepublic!$A:$B,2,)</f>
        <v/>
      </c>
      <c r="AA39" s="32">
        <f>VLOOKUP(B39,Poland!$A:$B,2,)</f>
        <v/>
      </c>
      <c r="AB39" s="32">
        <f>VLOOKUP(B39,Denmark!$A:$B,2,)</f>
        <v/>
      </c>
    </row>
    <row r="40">
      <c r="B40" s="31" t="n">
        <v>42917</v>
      </c>
      <c r="C40" s="32">
        <f>VLOOKUP(B40,Global!$A:$B,2,)</f>
        <v/>
      </c>
      <c r="D40" s="32">
        <f>VLOOKUP(B40,US!$A:$D,4,)</f>
        <v/>
      </c>
      <c r="E40" s="32">
        <f>VLOOKUP(B40,US!$A:$B,2,)</f>
        <v/>
      </c>
      <c r="F40" s="32">
        <f>VLOOKUP(B40,China!$A:$B,2,)</f>
        <v/>
      </c>
      <c r="G40" s="32">
        <f>VLOOKUP(B40,'Euro Area'!A:B,2,)</f>
        <v/>
      </c>
      <c r="H40" s="32">
        <f>VLOOKUP(B40,Japan!$A:$B,2,)</f>
        <v/>
      </c>
      <c r="I40" s="32">
        <f>VLOOKUP(B40,Germany!$A:$B,2,)</f>
        <v/>
      </c>
      <c r="J40" s="32">
        <f>VLOOKUP(B40,France!$A:$B,2,)</f>
        <v/>
      </c>
      <c r="K40" s="32">
        <f>VLOOKUP(B40,UK!$A:$B,2,)</f>
        <v/>
      </c>
      <c r="L40" s="32">
        <f>VLOOKUP(B40,Italy!$A:$B,2,)</f>
        <v/>
      </c>
      <c r="M40" s="32">
        <f>VLOOKUP(B40,Spain!$A:$B,2,)</f>
        <v/>
      </c>
      <c r="N40" s="32">
        <f>VLOOKUP(B40,Brazil!$A:$B,2,)</f>
        <v/>
      </c>
      <c r="O40" s="32">
        <f>VLOOKUP(B40,Mexico!$A:$B,2,)</f>
        <v/>
      </c>
      <c r="P40" s="32">
        <f>VLOOKUP(B40,Russia!$A:$B,2,)</f>
        <v/>
      </c>
      <c r="Q40" s="32">
        <f>VLOOKUP(B40,India!$A:$B,2,)</f>
        <v/>
      </c>
      <c r="R40" s="32">
        <f>VLOOKUP(B40,Canada!$A:$B,2,)</f>
        <v/>
      </c>
      <c r="S40" s="32">
        <f>VLOOKUP(B40,Australia!$A:$B,2,)</f>
        <v/>
      </c>
      <c r="T40" s="32">
        <f>VLOOKUP(B40,Indonesia!$A:$B,2,)</f>
        <v/>
      </c>
      <c r="U40" s="32">
        <f>VLOOKUP(B40,SouthKorea!$A:$B,2,)</f>
        <v/>
      </c>
      <c r="V40" s="32">
        <f>VLOOKUP(B40,Taiwan!$A:$B,2,)</f>
        <v/>
      </c>
      <c r="W40" s="32">
        <f>VLOOKUP(B40,Greece!$A:$B,2,)</f>
        <v/>
      </c>
      <c r="X40" s="32">
        <f>VLOOKUP(B40,Ireland!$A:$B,2,)</f>
        <v/>
      </c>
      <c r="Y40" s="32">
        <f>VLOOKUP(B40,Turkey!$A:$B,2,)</f>
        <v/>
      </c>
      <c r="Z40" s="32">
        <f>VLOOKUP(B40,CzechRepublic!$A:$B,2,)</f>
        <v/>
      </c>
      <c r="AA40" s="32">
        <f>VLOOKUP(B40,Poland!$A:$B,2,)</f>
        <v/>
      </c>
      <c r="AB40" s="32">
        <f>VLOOKUP(B40,Denmark!$A:$B,2,)</f>
        <v/>
      </c>
    </row>
    <row r="41">
      <c r="B41" s="31" t="n">
        <v>42948</v>
      </c>
      <c r="C41" s="32">
        <f>VLOOKUP(B41,Global!$A:$B,2,)</f>
        <v/>
      </c>
      <c r="D41" s="32">
        <f>VLOOKUP(B41,US!$A:$D,4,)</f>
        <v/>
      </c>
      <c r="E41" s="32">
        <f>VLOOKUP(B41,US!$A:$B,2,)</f>
        <v/>
      </c>
      <c r="F41" s="32">
        <f>VLOOKUP(B41,China!$A:$B,2,)</f>
        <v/>
      </c>
      <c r="G41" s="32">
        <f>VLOOKUP(B41,'Euro Area'!A:B,2,)</f>
        <v/>
      </c>
      <c r="H41" s="32">
        <f>VLOOKUP(B41,Japan!$A:$B,2,)</f>
        <v/>
      </c>
      <c r="I41" s="32">
        <f>VLOOKUP(B41,Germany!$A:$B,2,)</f>
        <v/>
      </c>
      <c r="J41" s="32">
        <f>VLOOKUP(B41,France!$A:$B,2,)</f>
        <v/>
      </c>
      <c r="K41" s="32">
        <f>VLOOKUP(B41,UK!$A:$B,2,)</f>
        <v/>
      </c>
      <c r="L41" s="32">
        <f>VLOOKUP(B41,Italy!$A:$B,2,)</f>
        <v/>
      </c>
      <c r="M41" s="32">
        <f>VLOOKUP(B41,Spain!$A:$B,2,)</f>
        <v/>
      </c>
      <c r="N41" s="32">
        <f>VLOOKUP(B41,Brazil!$A:$B,2,)</f>
        <v/>
      </c>
      <c r="O41" s="32">
        <f>VLOOKUP(B41,Mexico!$A:$B,2,)</f>
        <v/>
      </c>
      <c r="P41" s="32">
        <f>VLOOKUP(B41,Russia!$A:$B,2,)</f>
        <v/>
      </c>
      <c r="Q41" s="32">
        <f>VLOOKUP(B41,India!$A:$B,2,)</f>
        <v/>
      </c>
      <c r="R41" s="32">
        <f>VLOOKUP(B41,Canada!$A:$B,2,)</f>
        <v/>
      </c>
      <c r="S41" s="32">
        <f>VLOOKUP(B41,Australia!$A:$B,2,)</f>
        <v/>
      </c>
      <c r="T41" s="32">
        <f>VLOOKUP(B41,Indonesia!$A:$B,2,)</f>
        <v/>
      </c>
      <c r="U41" s="32">
        <f>VLOOKUP(B41,SouthKorea!$A:$B,2,)</f>
        <v/>
      </c>
      <c r="V41" s="32">
        <f>VLOOKUP(B41,Taiwan!$A:$B,2,)</f>
        <v/>
      </c>
      <c r="W41" s="32">
        <f>VLOOKUP(B41,Greece!$A:$B,2,)</f>
        <v/>
      </c>
      <c r="X41" s="32">
        <f>VLOOKUP(B41,Ireland!$A:$B,2,)</f>
        <v/>
      </c>
      <c r="Y41" s="32">
        <f>VLOOKUP(B41,Turkey!$A:$B,2,)</f>
        <v/>
      </c>
      <c r="Z41" s="32">
        <f>VLOOKUP(B41,CzechRepublic!$A:$B,2,)</f>
        <v/>
      </c>
      <c r="AA41" s="32">
        <f>VLOOKUP(B41,Poland!$A:$B,2,)</f>
        <v/>
      </c>
      <c r="AB41" s="32">
        <f>VLOOKUP(B41,Denmark!$A:$B,2,)</f>
        <v/>
      </c>
    </row>
    <row r="42">
      <c r="B42" s="31" t="n">
        <v>42979</v>
      </c>
      <c r="C42" s="32">
        <f>VLOOKUP(B42,Global!$A:$B,2,)</f>
        <v/>
      </c>
      <c r="D42" s="32">
        <f>VLOOKUP(B42,US!$A:$D,4,)</f>
        <v/>
      </c>
      <c r="E42" s="32">
        <f>VLOOKUP(B42,US!$A:$B,2,)</f>
        <v/>
      </c>
      <c r="F42" s="32">
        <f>VLOOKUP(B42,China!$A:$B,2,)</f>
        <v/>
      </c>
      <c r="G42" s="32">
        <f>VLOOKUP(B42,'Euro Area'!A:B,2,)</f>
        <v/>
      </c>
      <c r="H42" s="32">
        <f>VLOOKUP(B42,Japan!$A:$B,2,)</f>
        <v/>
      </c>
      <c r="I42" s="32">
        <f>VLOOKUP(B42,Germany!$A:$B,2,)</f>
        <v/>
      </c>
      <c r="J42" s="32">
        <f>VLOOKUP(B42,France!$A:$B,2,)</f>
        <v/>
      </c>
      <c r="K42" s="32">
        <f>VLOOKUP(B42,UK!$A:$B,2,)</f>
        <v/>
      </c>
      <c r="L42" s="32">
        <f>VLOOKUP(B42,Italy!$A:$B,2,)</f>
        <v/>
      </c>
      <c r="M42" s="32">
        <f>VLOOKUP(B42,Spain!$A:$B,2,)</f>
        <v/>
      </c>
      <c r="N42" s="32">
        <f>VLOOKUP(B42,Brazil!$A:$B,2,)</f>
        <v/>
      </c>
      <c r="O42" s="32">
        <f>VLOOKUP(B42,Mexico!$A:$B,2,)</f>
        <v/>
      </c>
      <c r="P42" s="32">
        <f>VLOOKUP(B42,Russia!$A:$B,2,)</f>
        <v/>
      </c>
      <c r="Q42" s="32">
        <f>VLOOKUP(B42,India!$A:$B,2,)</f>
        <v/>
      </c>
      <c r="R42" s="32">
        <f>VLOOKUP(B42,Canada!$A:$B,2,)</f>
        <v/>
      </c>
      <c r="S42" s="32">
        <f>VLOOKUP(B42,Australia!$A:$B,2,)</f>
        <v/>
      </c>
      <c r="T42" s="32">
        <f>VLOOKUP(B42,Indonesia!$A:$B,2,)</f>
        <v/>
      </c>
      <c r="U42" s="32">
        <f>VLOOKUP(B42,SouthKorea!$A:$B,2,)</f>
        <v/>
      </c>
      <c r="V42" s="32">
        <f>VLOOKUP(B42,Taiwan!$A:$B,2,)</f>
        <v/>
      </c>
      <c r="W42" s="32">
        <f>VLOOKUP(B42,Greece!$A:$B,2,)</f>
        <v/>
      </c>
      <c r="X42" s="32">
        <f>VLOOKUP(B42,Ireland!$A:$B,2,)</f>
        <v/>
      </c>
      <c r="Y42" s="32">
        <f>VLOOKUP(B42,Turkey!$A:$B,2,)</f>
        <v/>
      </c>
      <c r="Z42" s="32">
        <f>VLOOKUP(B42,CzechRepublic!$A:$B,2,)</f>
        <v/>
      </c>
      <c r="AA42" s="32">
        <f>VLOOKUP(B42,Poland!$A:$B,2,)</f>
        <v/>
      </c>
      <c r="AB42" s="32">
        <f>VLOOKUP(B42,Denmark!$A:$B,2,)</f>
        <v/>
      </c>
    </row>
    <row r="43">
      <c r="B43" s="31" t="n">
        <v>43009</v>
      </c>
      <c r="C43" s="32">
        <f>VLOOKUP(B43,Global!$A:$B,2,)</f>
        <v/>
      </c>
      <c r="D43" s="32">
        <f>VLOOKUP(B43,US!$A:$D,4,)</f>
        <v/>
      </c>
      <c r="E43" s="32">
        <f>VLOOKUP(B43,US!$A:$B,2,)</f>
        <v/>
      </c>
      <c r="F43" s="32">
        <f>VLOOKUP(B43,China!$A:$B,2,)</f>
        <v/>
      </c>
      <c r="G43" s="32">
        <f>VLOOKUP(B43,'Euro Area'!A:B,2,)</f>
        <v/>
      </c>
      <c r="H43" s="32">
        <f>VLOOKUP(B43,Japan!$A:$B,2,)</f>
        <v/>
      </c>
      <c r="I43" s="32">
        <f>VLOOKUP(B43,Germany!$A:$B,2,)</f>
        <v/>
      </c>
      <c r="J43" s="32">
        <f>VLOOKUP(B43,France!$A:$B,2,)</f>
        <v/>
      </c>
      <c r="K43" s="32">
        <f>VLOOKUP(B43,UK!$A:$B,2,)</f>
        <v/>
      </c>
      <c r="L43" s="32">
        <f>VLOOKUP(B43,Italy!$A:$B,2,)</f>
        <v/>
      </c>
      <c r="M43" s="32">
        <f>VLOOKUP(B43,Spain!$A:$B,2,)</f>
        <v/>
      </c>
      <c r="N43" s="32">
        <f>VLOOKUP(B43,Brazil!$A:$B,2,)</f>
        <v/>
      </c>
      <c r="O43" s="32">
        <f>VLOOKUP(B43,Mexico!$A:$B,2,)</f>
        <v/>
      </c>
      <c r="P43" s="32">
        <f>VLOOKUP(B43,Russia!$A:$B,2,)</f>
        <v/>
      </c>
      <c r="Q43" s="32">
        <f>VLOOKUP(B43,India!$A:$B,2,)</f>
        <v/>
      </c>
      <c r="R43" s="32">
        <f>VLOOKUP(B43,Canada!$A:$B,2,)</f>
        <v/>
      </c>
      <c r="S43" s="32">
        <f>VLOOKUP(B43,Australia!$A:$B,2,)</f>
        <v/>
      </c>
      <c r="T43" s="32">
        <f>VLOOKUP(B43,Indonesia!$A:$B,2,)</f>
        <v/>
      </c>
      <c r="U43" s="32">
        <f>VLOOKUP(B43,SouthKorea!$A:$B,2,)</f>
        <v/>
      </c>
      <c r="V43" s="32">
        <f>VLOOKUP(B43,Taiwan!$A:$B,2,)</f>
        <v/>
      </c>
      <c r="W43" s="32">
        <f>VLOOKUP(B43,Greece!$A:$B,2,)</f>
        <v/>
      </c>
      <c r="X43" s="32">
        <f>VLOOKUP(B43,Ireland!$A:$B,2,)</f>
        <v/>
      </c>
      <c r="Y43" s="32">
        <f>VLOOKUP(B43,Turkey!$A:$B,2,)</f>
        <v/>
      </c>
      <c r="Z43" s="32">
        <f>VLOOKUP(B43,CzechRepublic!$A:$B,2,)</f>
        <v/>
      </c>
      <c r="AA43" s="32">
        <f>VLOOKUP(B43,Poland!$A:$B,2,)</f>
        <v/>
      </c>
      <c r="AB43" s="32">
        <f>VLOOKUP(B43,Denmark!$A:$B,2,)</f>
        <v/>
      </c>
    </row>
    <row r="44">
      <c r="B44" s="31" t="n">
        <v>43040</v>
      </c>
      <c r="C44" s="32">
        <f>VLOOKUP(B44,Global!$A:$B,2,)</f>
        <v/>
      </c>
      <c r="D44" s="32">
        <f>VLOOKUP(B44,US!$A:$D,4,)</f>
        <v/>
      </c>
      <c r="E44" s="32">
        <f>VLOOKUP(B44,US!$A:$B,2,)</f>
        <v/>
      </c>
      <c r="F44" s="32">
        <f>VLOOKUP(B44,China!$A:$B,2,)</f>
        <v/>
      </c>
      <c r="G44" s="32">
        <f>VLOOKUP(B44,'Euro Area'!A:B,2,)</f>
        <v/>
      </c>
      <c r="H44" s="32">
        <f>VLOOKUP(B44,Japan!$A:$B,2,)</f>
        <v/>
      </c>
      <c r="I44" s="32">
        <f>VLOOKUP(B44,Germany!$A:$B,2,)</f>
        <v/>
      </c>
      <c r="J44" s="32">
        <f>VLOOKUP(B44,France!$A:$B,2,)</f>
        <v/>
      </c>
      <c r="K44" s="32">
        <f>VLOOKUP(B44,UK!$A:$B,2,)</f>
        <v/>
      </c>
      <c r="L44" s="32">
        <f>VLOOKUP(B44,Italy!$A:$B,2,)</f>
        <v/>
      </c>
      <c r="M44" s="32">
        <f>VLOOKUP(B44,Spain!$A:$B,2,)</f>
        <v/>
      </c>
      <c r="N44" s="32">
        <f>VLOOKUP(B44,Brazil!$A:$B,2,)</f>
        <v/>
      </c>
      <c r="O44" s="32">
        <f>VLOOKUP(B44,Mexico!$A:$B,2,)</f>
        <v/>
      </c>
      <c r="P44" s="32">
        <f>VLOOKUP(B44,Russia!$A:$B,2,)</f>
        <v/>
      </c>
      <c r="Q44" s="32">
        <f>VLOOKUP(B44,India!$A:$B,2,)</f>
        <v/>
      </c>
      <c r="R44" s="32">
        <f>VLOOKUP(B44,Canada!$A:$B,2,)</f>
        <v/>
      </c>
      <c r="S44" s="32">
        <f>VLOOKUP(B44,Australia!$A:$B,2,)</f>
        <v/>
      </c>
      <c r="T44" s="32">
        <f>VLOOKUP(B44,Indonesia!$A:$B,2,)</f>
        <v/>
      </c>
      <c r="U44" s="32">
        <f>VLOOKUP(B44,SouthKorea!$A:$B,2,)</f>
        <v/>
      </c>
      <c r="V44" s="32">
        <f>VLOOKUP(B44,Taiwan!$A:$B,2,)</f>
        <v/>
      </c>
      <c r="W44" s="32">
        <f>VLOOKUP(B44,Greece!$A:$B,2,)</f>
        <v/>
      </c>
      <c r="X44" s="32">
        <f>VLOOKUP(B44,Ireland!$A:$B,2,)</f>
        <v/>
      </c>
      <c r="Y44" s="32">
        <f>VLOOKUP(B44,Turkey!$A:$B,2,)</f>
        <v/>
      </c>
      <c r="Z44" s="32">
        <f>VLOOKUP(B44,CzechRepublic!$A:$B,2,)</f>
        <v/>
      </c>
      <c r="AA44" s="32">
        <f>VLOOKUP(B44,Poland!$A:$B,2,)</f>
        <v/>
      </c>
      <c r="AB44" s="32">
        <f>VLOOKUP(B44,Denmark!$A:$B,2,)</f>
        <v/>
      </c>
    </row>
    <row r="45">
      <c r="B45" s="31" t="n">
        <v>43070</v>
      </c>
      <c r="C45" s="32">
        <f>VLOOKUP(B45,Global!$A:$B,2,)</f>
        <v/>
      </c>
      <c r="D45" s="32">
        <f>VLOOKUP(B45,US!$A:$D,4,)</f>
        <v/>
      </c>
      <c r="E45" s="32">
        <f>VLOOKUP(B45,US!$A:$B,2,)</f>
        <v/>
      </c>
      <c r="F45" s="32">
        <f>VLOOKUP(B45,China!$A:$B,2,)</f>
        <v/>
      </c>
      <c r="G45" s="32">
        <f>VLOOKUP(B45,'Euro Area'!A:B,2,)</f>
        <v/>
      </c>
      <c r="H45" s="32">
        <f>VLOOKUP(B45,Japan!$A:$B,2,)</f>
        <v/>
      </c>
      <c r="I45" s="32">
        <f>VLOOKUP(B45,Germany!$A:$B,2,)</f>
        <v/>
      </c>
      <c r="J45" s="32">
        <f>VLOOKUP(B45,France!$A:$B,2,)</f>
        <v/>
      </c>
      <c r="K45" s="32">
        <f>VLOOKUP(B45,UK!$A:$B,2,)</f>
        <v/>
      </c>
      <c r="L45" s="32">
        <f>VLOOKUP(B45,Italy!$A:$B,2,)</f>
        <v/>
      </c>
      <c r="M45" s="32">
        <f>VLOOKUP(B45,Spain!$A:$B,2,)</f>
        <v/>
      </c>
      <c r="N45" s="32">
        <f>VLOOKUP(B45,Brazil!$A:$B,2,)</f>
        <v/>
      </c>
      <c r="O45" s="32">
        <f>VLOOKUP(B45,Mexico!$A:$B,2,)</f>
        <v/>
      </c>
      <c r="P45" s="32">
        <f>VLOOKUP(B45,Russia!$A:$B,2,)</f>
        <v/>
      </c>
      <c r="Q45" s="32">
        <f>VLOOKUP(B45,India!$A:$B,2,)</f>
        <v/>
      </c>
      <c r="R45" s="32">
        <f>VLOOKUP(B45,Canada!$A:$B,2,)</f>
        <v/>
      </c>
      <c r="S45" s="32">
        <f>VLOOKUP(B45,Australia!$A:$B,2,)</f>
        <v/>
      </c>
      <c r="T45" s="32">
        <f>VLOOKUP(B45,Indonesia!$A:$B,2,)</f>
        <v/>
      </c>
      <c r="U45" s="32">
        <f>VLOOKUP(B45,SouthKorea!$A:$B,2,)</f>
        <v/>
      </c>
      <c r="V45" s="32">
        <f>VLOOKUP(B45,Taiwan!$A:$B,2,)</f>
        <v/>
      </c>
      <c r="W45" s="32">
        <f>VLOOKUP(B45,Greece!$A:$B,2,)</f>
        <v/>
      </c>
      <c r="X45" s="32">
        <f>VLOOKUP(B45,Ireland!$A:$B,2,)</f>
        <v/>
      </c>
      <c r="Y45" s="32">
        <f>VLOOKUP(B45,Turkey!$A:$B,2,)</f>
        <v/>
      </c>
      <c r="Z45" s="32">
        <f>VLOOKUP(B45,CzechRepublic!$A:$B,2,)</f>
        <v/>
      </c>
      <c r="AA45" s="32">
        <f>VLOOKUP(B45,Poland!$A:$B,2,)</f>
        <v/>
      </c>
      <c r="AB45" s="32">
        <f>VLOOKUP(B45,Denmark!$A:$B,2,)</f>
        <v/>
      </c>
    </row>
    <row r="46">
      <c r="B46" s="31" t="n">
        <v>43101</v>
      </c>
      <c r="C46" s="32">
        <f>VLOOKUP(B46,Global!$A:$B,2,)</f>
        <v/>
      </c>
      <c r="D46" s="32">
        <f>VLOOKUP(B46,US!$A:$D,4,)</f>
        <v/>
      </c>
      <c r="E46" s="32">
        <f>VLOOKUP(B46,US!$A:$B,2,)</f>
        <v/>
      </c>
      <c r="F46" s="32">
        <f>VLOOKUP(B46,China!$A:$B,2,)</f>
        <v/>
      </c>
      <c r="G46" s="32">
        <f>VLOOKUP(B46,'Euro Area'!A:B,2,)</f>
        <v/>
      </c>
      <c r="H46" s="32">
        <f>VLOOKUP(B46,Japan!$A:$B,2,)</f>
        <v/>
      </c>
      <c r="I46" s="32">
        <f>VLOOKUP(B46,Germany!$A:$B,2,)</f>
        <v/>
      </c>
      <c r="J46" s="32">
        <f>VLOOKUP(B46,France!$A:$B,2,)</f>
        <v/>
      </c>
      <c r="K46" s="32">
        <f>VLOOKUP(B46,UK!$A:$B,2,)</f>
        <v/>
      </c>
      <c r="L46" s="32">
        <f>VLOOKUP(B46,Italy!$A:$B,2,)</f>
        <v/>
      </c>
      <c r="M46" s="32">
        <f>VLOOKUP(B46,Spain!$A:$B,2,)</f>
        <v/>
      </c>
      <c r="N46" s="32">
        <f>VLOOKUP(B46,Brazil!$A:$B,2,)</f>
        <v/>
      </c>
      <c r="O46" s="32">
        <f>VLOOKUP(B46,Mexico!$A:$B,2,)</f>
        <v/>
      </c>
      <c r="P46" s="32">
        <f>VLOOKUP(B46,Russia!$A:$B,2,)</f>
        <v/>
      </c>
      <c r="Q46" s="32">
        <f>VLOOKUP(B46,India!$A:$B,2,)</f>
        <v/>
      </c>
      <c r="R46" s="32">
        <f>VLOOKUP(B46,Canada!$A:$B,2,)</f>
        <v/>
      </c>
      <c r="S46" s="32">
        <f>VLOOKUP(B46,Australia!$A:$B,2,)</f>
        <v/>
      </c>
      <c r="T46" s="32">
        <f>VLOOKUP(B46,Indonesia!$A:$B,2,)</f>
        <v/>
      </c>
      <c r="U46" s="32">
        <f>VLOOKUP(B46,SouthKorea!$A:$B,2,)</f>
        <v/>
      </c>
      <c r="V46" s="32">
        <f>VLOOKUP(B46,Taiwan!$A:$B,2,)</f>
        <v/>
      </c>
      <c r="W46" s="32">
        <f>VLOOKUP(B46,Greece!$A:$B,2,)</f>
        <v/>
      </c>
      <c r="X46" s="32">
        <f>VLOOKUP(B46,Ireland!$A:$B,2,)</f>
        <v/>
      </c>
      <c r="Y46" s="32">
        <f>VLOOKUP(B46,Turkey!$A:$B,2,)</f>
        <v/>
      </c>
      <c r="Z46" s="32">
        <f>VLOOKUP(B46,CzechRepublic!$A:$B,2,)</f>
        <v/>
      </c>
      <c r="AA46" s="32">
        <f>VLOOKUP(B46,Poland!$A:$B,2,)</f>
        <v/>
      </c>
      <c r="AB46" s="32">
        <f>VLOOKUP(B46,Denmark!$A:$B,2,)</f>
        <v/>
      </c>
    </row>
    <row r="47">
      <c r="B47" s="31" t="n">
        <v>43132</v>
      </c>
      <c r="C47" s="32">
        <f>VLOOKUP(B47,Global!$A:$B,2,)</f>
        <v/>
      </c>
      <c r="D47" s="32">
        <f>VLOOKUP(B47,US!$A:$D,4,)</f>
        <v/>
      </c>
      <c r="E47" s="32">
        <f>VLOOKUP(B47,US!$A:$B,2,)</f>
        <v/>
      </c>
      <c r="F47" s="32">
        <f>VLOOKUP(B47,China!$A:$B,2,)</f>
        <v/>
      </c>
      <c r="G47" s="32">
        <f>VLOOKUP(B47,'Euro Area'!A:B,2,)</f>
        <v/>
      </c>
      <c r="H47" s="32">
        <f>VLOOKUP(B47,Japan!$A:$B,2,)</f>
        <v/>
      </c>
      <c r="I47" s="32">
        <f>VLOOKUP(B47,Germany!$A:$B,2,)</f>
        <v/>
      </c>
      <c r="J47" s="32">
        <f>VLOOKUP(B47,France!$A:$B,2,)</f>
        <v/>
      </c>
      <c r="K47" s="32">
        <f>VLOOKUP(B47,UK!$A:$B,2,)</f>
        <v/>
      </c>
      <c r="L47" s="32">
        <f>VLOOKUP(B47,Italy!$A:$B,2,)</f>
        <v/>
      </c>
      <c r="M47" s="32">
        <f>VLOOKUP(B47,Spain!$A:$B,2,)</f>
        <v/>
      </c>
      <c r="N47" s="32">
        <f>VLOOKUP(B47,Brazil!$A:$B,2,)</f>
        <v/>
      </c>
      <c r="O47" s="32">
        <f>VLOOKUP(B47,Mexico!$A:$B,2,)</f>
        <v/>
      </c>
      <c r="P47" s="32">
        <f>VLOOKUP(B47,Russia!$A:$B,2,)</f>
        <v/>
      </c>
      <c r="Q47" s="32">
        <f>VLOOKUP(B47,India!$A:$B,2,)</f>
        <v/>
      </c>
      <c r="R47" s="32">
        <f>VLOOKUP(B47,Canada!$A:$B,2,)</f>
        <v/>
      </c>
      <c r="S47" s="32">
        <f>VLOOKUP(B47,Australia!$A:$B,2,)</f>
        <v/>
      </c>
      <c r="T47" s="32">
        <f>VLOOKUP(B47,Indonesia!$A:$B,2,)</f>
        <v/>
      </c>
      <c r="U47" s="32">
        <f>VLOOKUP(B47,SouthKorea!$A:$B,2,)</f>
        <v/>
      </c>
      <c r="V47" s="32">
        <f>VLOOKUP(B47,Taiwan!$A:$B,2,)</f>
        <v/>
      </c>
      <c r="W47" s="32">
        <f>VLOOKUP(B47,Greece!$A:$B,2,)</f>
        <v/>
      </c>
      <c r="X47" s="32">
        <f>VLOOKUP(B47,Ireland!$A:$B,2,)</f>
        <v/>
      </c>
      <c r="Y47" s="32">
        <f>VLOOKUP(B47,Turkey!$A:$B,2,)</f>
        <v/>
      </c>
      <c r="Z47" s="32">
        <f>VLOOKUP(B47,CzechRepublic!$A:$B,2,)</f>
        <v/>
      </c>
      <c r="AA47" s="32">
        <f>VLOOKUP(B47,Poland!$A:$B,2,)</f>
        <v/>
      </c>
      <c r="AB47" s="32">
        <f>VLOOKUP(B47,Denmark!$A:$B,2,)</f>
        <v/>
      </c>
    </row>
    <row r="48">
      <c r="B48" s="31" t="n">
        <v>43160</v>
      </c>
      <c r="C48" s="32">
        <f>VLOOKUP(B48,Global!$A:$B,2,)</f>
        <v/>
      </c>
      <c r="D48" s="32">
        <f>VLOOKUP(B48,US!$A:$D,4,)</f>
        <v/>
      </c>
      <c r="E48" s="32">
        <f>VLOOKUP(B48,US!$A:$B,2,)</f>
        <v/>
      </c>
      <c r="F48" s="32">
        <f>VLOOKUP(B48,China!$A:$B,2,)</f>
        <v/>
      </c>
      <c r="G48" s="32">
        <f>VLOOKUP(B48,'Euro Area'!A:B,2,)</f>
        <v/>
      </c>
      <c r="H48" s="32">
        <f>VLOOKUP(B48,Japan!$A:$B,2,)</f>
        <v/>
      </c>
      <c r="I48" s="32">
        <f>VLOOKUP(B48,Germany!$A:$B,2,)</f>
        <v/>
      </c>
      <c r="J48" s="32">
        <f>VLOOKUP(B48,France!$A:$B,2,)</f>
        <v/>
      </c>
      <c r="K48" s="32">
        <f>VLOOKUP(B48,UK!$A:$B,2,)</f>
        <v/>
      </c>
      <c r="L48" s="32">
        <f>VLOOKUP(B48,Italy!$A:$B,2,)</f>
        <v/>
      </c>
      <c r="M48" s="32">
        <f>VLOOKUP(B48,Spain!$A:$B,2,)</f>
        <v/>
      </c>
      <c r="N48" s="32">
        <f>VLOOKUP(B48,Brazil!$A:$B,2,)</f>
        <v/>
      </c>
      <c r="O48" s="32">
        <f>VLOOKUP(B48,Mexico!$A:$B,2,)</f>
        <v/>
      </c>
      <c r="P48" s="32">
        <f>VLOOKUP(B48,Russia!$A:$B,2,)</f>
        <v/>
      </c>
      <c r="Q48" s="32">
        <f>VLOOKUP(B48,India!$A:$B,2,)</f>
        <v/>
      </c>
      <c r="R48" s="32">
        <f>VLOOKUP(B48,Canada!$A:$B,2,)</f>
        <v/>
      </c>
      <c r="S48" s="32">
        <f>VLOOKUP(B48,Australia!$A:$B,2,)</f>
        <v/>
      </c>
      <c r="T48" s="32">
        <f>VLOOKUP(B48,Indonesia!$A:$B,2,)</f>
        <v/>
      </c>
      <c r="U48" s="32">
        <f>VLOOKUP(B48,SouthKorea!$A:$B,2,)</f>
        <v/>
      </c>
      <c r="V48" s="32">
        <f>VLOOKUP(B48,Taiwan!$A:$B,2,)</f>
        <v/>
      </c>
      <c r="W48" s="32">
        <f>VLOOKUP(B48,Greece!$A:$B,2,)</f>
        <v/>
      </c>
      <c r="X48" s="32">
        <f>VLOOKUP(B48,Ireland!$A:$B,2,)</f>
        <v/>
      </c>
      <c r="Y48" s="32">
        <f>VLOOKUP(B48,Turkey!$A:$B,2,)</f>
        <v/>
      </c>
      <c r="Z48" s="32">
        <f>VLOOKUP(B48,CzechRepublic!$A:$B,2,)</f>
        <v/>
      </c>
      <c r="AA48" s="32">
        <f>VLOOKUP(B48,Poland!$A:$B,2,)</f>
        <v/>
      </c>
      <c r="AB48" s="32">
        <f>VLOOKUP(B48,Denmark!$A:$B,2,)</f>
        <v/>
      </c>
    </row>
    <row r="49">
      <c r="B49" s="31" t="n">
        <v>43191</v>
      </c>
      <c r="C49" s="32">
        <f>VLOOKUP(B49,Global!$A:$B,2,)</f>
        <v/>
      </c>
      <c r="D49" s="32">
        <f>VLOOKUP(B49,US!$A:$D,4,)</f>
        <v/>
      </c>
      <c r="E49" s="32">
        <f>VLOOKUP(B49,US!$A:$B,2,)</f>
        <v/>
      </c>
      <c r="F49" s="32">
        <f>VLOOKUP(B49,China!$A:$B,2,)</f>
        <v/>
      </c>
      <c r="G49" s="32">
        <f>VLOOKUP(B49,'Euro Area'!A:B,2,)</f>
        <v/>
      </c>
      <c r="H49" s="32">
        <f>VLOOKUP(B49,Japan!$A:$B,2,)</f>
        <v/>
      </c>
      <c r="I49" s="32">
        <f>VLOOKUP(B49,Germany!$A:$B,2,)</f>
        <v/>
      </c>
      <c r="J49" s="32">
        <f>VLOOKUP(B49,France!$A:$B,2,)</f>
        <v/>
      </c>
      <c r="K49" s="32">
        <f>VLOOKUP(B49,UK!$A:$B,2,)</f>
        <v/>
      </c>
      <c r="L49" s="32">
        <f>VLOOKUP(B49,Italy!$A:$B,2,)</f>
        <v/>
      </c>
      <c r="M49" s="32">
        <f>VLOOKUP(B49,Spain!$A:$B,2,)</f>
        <v/>
      </c>
      <c r="N49" s="32">
        <f>VLOOKUP(B49,Brazil!$A:$B,2,)</f>
        <v/>
      </c>
      <c r="O49" s="32">
        <f>VLOOKUP(B49,Mexico!$A:$B,2,)</f>
        <v/>
      </c>
      <c r="P49" s="32">
        <f>VLOOKUP(B49,Russia!$A:$B,2,)</f>
        <v/>
      </c>
      <c r="Q49" s="32">
        <f>VLOOKUP(B49,India!$A:$B,2,)</f>
        <v/>
      </c>
      <c r="R49" s="32">
        <f>VLOOKUP(B49,Canada!$A:$B,2,)</f>
        <v/>
      </c>
      <c r="S49" s="32">
        <f>VLOOKUP(B49,Australia!$A:$B,2,)</f>
        <v/>
      </c>
      <c r="T49" s="32">
        <f>VLOOKUP(B49,Indonesia!$A:$B,2,)</f>
        <v/>
      </c>
      <c r="U49" s="32">
        <f>VLOOKUP(B49,SouthKorea!$A:$B,2,)</f>
        <v/>
      </c>
      <c r="V49" s="32">
        <f>VLOOKUP(B49,Taiwan!$A:$B,2,)</f>
        <v/>
      </c>
      <c r="W49" s="32">
        <f>VLOOKUP(B49,Greece!$A:$B,2,)</f>
        <v/>
      </c>
      <c r="X49" s="32">
        <f>VLOOKUP(B49,Ireland!$A:$B,2,)</f>
        <v/>
      </c>
      <c r="Y49" s="32">
        <f>VLOOKUP(B49,Turkey!$A:$B,2,)</f>
        <v/>
      </c>
      <c r="Z49" s="32">
        <f>VLOOKUP(B49,CzechRepublic!$A:$B,2,)</f>
        <v/>
      </c>
      <c r="AA49" s="32">
        <f>VLOOKUP(B49,Poland!$A:$B,2,)</f>
        <v/>
      </c>
      <c r="AB49" s="32">
        <f>VLOOKUP(B49,Denmark!$A:$B,2,)</f>
        <v/>
      </c>
    </row>
    <row r="50" customFormat="1" s="84">
      <c r="B50" s="31" t="n">
        <v>43221</v>
      </c>
      <c r="C50" s="32">
        <f>VLOOKUP(B50,Global!$A:$B,2,)</f>
        <v/>
      </c>
      <c r="D50" s="32">
        <f>VLOOKUP(B50,US!$A:$D,4,)</f>
        <v/>
      </c>
      <c r="E50" s="32">
        <f>VLOOKUP(B50,US!$A:$B,2,)</f>
        <v/>
      </c>
      <c r="F50" s="32">
        <f>VLOOKUP(B50,China!$A:$B,2,)</f>
        <v/>
      </c>
      <c r="G50" s="32">
        <f>VLOOKUP(B50,'Euro Area'!A:B,2,)</f>
        <v/>
      </c>
      <c r="H50" s="32">
        <f>VLOOKUP(B50,Japan!$A:$B,2,)</f>
        <v/>
      </c>
      <c r="I50" s="32">
        <f>VLOOKUP(B50,Germany!$A:$B,2,)</f>
        <v/>
      </c>
      <c r="J50" s="32">
        <f>VLOOKUP(B50,France!$A:$B,2,)</f>
        <v/>
      </c>
      <c r="K50" s="32">
        <f>VLOOKUP(B50,UK!$A:$B,2,)</f>
        <v/>
      </c>
      <c r="L50" s="32">
        <f>VLOOKUP(B50,Italy!$A:$B,2,)</f>
        <v/>
      </c>
      <c r="M50" s="32">
        <f>VLOOKUP(B50,Spain!$A:$B,2,)</f>
        <v/>
      </c>
      <c r="N50" s="32">
        <f>VLOOKUP(B50,Brazil!$A:$B,2,)</f>
        <v/>
      </c>
      <c r="O50" s="32">
        <f>VLOOKUP(B50,Mexico!$A:$B,2,)</f>
        <v/>
      </c>
      <c r="P50" s="32">
        <f>VLOOKUP(B50,Russia!$A:$B,2,)</f>
        <v/>
      </c>
      <c r="Q50" s="32">
        <f>VLOOKUP(B50,India!$A:$B,2,)</f>
        <v/>
      </c>
      <c r="R50" s="32">
        <f>VLOOKUP(B50,Canada!$A:$B,2,)</f>
        <v/>
      </c>
      <c r="S50" s="32">
        <f>VLOOKUP(B50,Australia!$A:$B,2,)</f>
        <v/>
      </c>
      <c r="T50" s="32">
        <f>VLOOKUP(B50,Indonesia!$A:$B,2,)</f>
        <v/>
      </c>
      <c r="U50" s="32">
        <f>VLOOKUP(B50,SouthKorea!$A:$B,2,)</f>
        <v/>
      </c>
      <c r="V50" s="32">
        <f>VLOOKUP(B50,Taiwan!$A:$B,2,)</f>
        <v/>
      </c>
      <c r="W50" s="32">
        <f>VLOOKUP(B50,Greece!$A:$B,2,)</f>
        <v/>
      </c>
      <c r="X50" s="32">
        <f>VLOOKUP(B50,Ireland!$A:$B,2,)</f>
        <v/>
      </c>
      <c r="Y50" s="32">
        <f>VLOOKUP(B50,Turkey!$A:$B,2,)</f>
        <v/>
      </c>
      <c r="Z50" s="32">
        <f>VLOOKUP(B50,CzechRepublic!$A:$B,2,)</f>
        <v/>
      </c>
      <c r="AA50" s="32">
        <f>VLOOKUP(B50,Poland!$A:$B,2,)</f>
        <v/>
      </c>
      <c r="AB50" s="32">
        <f>VLOOKUP(B50,Denmark!$A:$B,2,)</f>
        <v/>
      </c>
    </row>
    <row r="51" customFormat="1" s="84">
      <c r="B51" s="31" t="n">
        <v>43252</v>
      </c>
      <c r="C51" s="32">
        <f>VLOOKUP(B51,Global!$A:$B,2,)</f>
        <v/>
      </c>
      <c r="D51" s="32">
        <f>VLOOKUP(B51,US!$A:$D,4,)</f>
        <v/>
      </c>
      <c r="E51" s="32">
        <f>VLOOKUP(B51,US!$A:$B,2,)</f>
        <v/>
      </c>
      <c r="F51" s="32">
        <f>VLOOKUP(B51,China!$A:$B,2,)</f>
        <v/>
      </c>
      <c r="G51" s="32">
        <f>VLOOKUP(B51,'Euro Area'!A:B,2,)</f>
        <v/>
      </c>
      <c r="H51" s="32">
        <f>VLOOKUP(B51,Japan!$A:$B,2,)</f>
        <v/>
      </c>
      <c r="I51" s="32">
        <f>VLOOKUP(B51,Germany!$A:$B,2,)</f>
        <v/>
      </c>
      <c r="J51" s="32">
        <f>VLOOKUP(B51,France!$A:$B,2,)</f>
        <v/>
      </c>
      <c r="K51" s="32">
        <f>VLOOKUP(B51,UK!$A:$B,2,)</f>
        <v/>
      </c>
      <c r="L51" s="32">
        <f>VLOOKUP(B51,Italy!$A:$B,2,)</f>
        <v/>
      </c>
      <c r="M51" s="32">
        <f>VLOOKUP(B51,Spain!$A:$B,2,)</f>
        <v/>
      </c>
      <c r="N51" s="32">
        <f>VLOOKUP(B51,Brazil!$A:$B,2,)</f>
        <v/>
      </c>
      <c r="O51" s="32">
        <f>VLOOKUP(B51,Mexico!$A:$B,2,)</f>
        <v/>
      </c>
      <c r="P51" s="32">
        <f>VLOOKUP(B51,Russia!$A:$B,2,)</f>
        <v/>
      </c>
      <c r="Q51" s="32">
        <f>VLOOKUP(B51,India!$A:$B,2,)</f>
        <v/>
      </c>
      <c r="R51" s="32">
        <f>VLOOKUP(B51,Canada!$A:$B,2,)</f>
        <v/>
      </c>
      <c r="S51" s="32">
        <f>VLOOKUP(B51,Australia!$A:$B,2,)</f>
        <v/>
      </c>
      <c r="T51" s="32">
        <f>VLOOKUP(B51,Indonesia!$A:$B,2,)</f>
        <v/>
      </c>
      <c r="U51" s="32">
        <f>VLOOKUP(B51,SouthKorea!$A:$B,2,)</f>
        <v/>
      </c>
      <c r="V51" s="32">
        <f>VLOOKUP(B51,Taiwan!$A:$B,2,)</f>
        <v/>
      </c>
      <c r="W51" s="32">
        <f>VLOOKUP(B51,Greece!$A:$B,2,)</f>
        <v/>
      </c>
      <c r="X51" s="32">
        <f>VLOOKUP(B51,Ireland!$A:$B,2,)</f>
        <v/>
      </c>
      <c r="Y51" s="32">
        <f>VLOOKUP(B51,Turkey!$A:$B,2,)</f>
        <v/>
      </c>
      <c r="Z51" s="32">
        <f>VLOOKUP(B51,CzechRepublic!$A:$B,2,)</f>
        <v/>
      </c>
      <c r="AA51" s="32">
        <f>VLOOKUP(B51,Poland!$A:$B,2,)</f>
        <v/>
      </c>
      <c r="AB51" s="32">
        <f>VLOOKUP(B51,Denmark!$A:$B,2,)</f>
        <v/>
      </c>
    </row>
    <row r="52" customFormat="1" s="84">
      <c r="B52" s="31" t="n">
        <v>43282</v>
      </c>
      <c r="C52" s="32">
        <f>VLOOKUP(B52,Global!$A:$B,2,)</f>
        <v/>
      </c>
      <c r="D52" s="32">
        <f>VLOOKUP(B52,US!$A:$D,4,)</f>
        <v/>
      </c>
      <c r="E52" s="32">
        <f>VLOOKUP(B52,US!$A:$B,2,)</f>
        <v/>
      </c>
      <c r="F52" s="32">
        <f>VLOOKUP(B52,China!$A:$B,2,)</f>
        <v/>
      </c>
      <c r="G52" s="32">
        <f>VLOOKUP(B52,'Euro Area'!A:B,2,)</f>
        <v/>
      </c>
      <c r="H52" s="32">
        <f>VLOOKUP(B52,Japan!$A:$B,2,)</f>
        <v/>
      </c>
      <c r="I52" s="32">
        <f>VLOOKUP(B52,Germany!$A:$B,2,)</f>
        <v/>
      </c>
      <c r="J52" s="32">
        <f>VLOOKUP(B52,France!$A:$B,2,)</f>
        <v/>
      </c>
      <c r="K52" s="32">
        <f>VLOOKUP(B52,UK!$A:$B,2,)</f>
        <v/>
      </c>
      <c r="L52" s="32">
        <f>VLOOKUP(B52,Italy!$A:$B,2,)</f>
        <v/>
      </c>
      <c r="M52" s="32">
        <f>VLOOKUP(B52,Spain!$A:$B,2,)</f>
        <v/>
      </c>
      <c r="N52" s="32">
        <f>VLOOKUP(B52,Brazil!$A:$B,2,)</f>
        <v/>
      </c>
      <c r="O52" s="32">
        <f>VLOOKUP(B52,Mexico!$A:$B,2,)</f>
        <v/>
      </c>
      <c r="P52" s="32">
        <f>VLOOKUP(B52,Russia!$A:$B,2,)</f>
        <v/>
      </c>
      <c r="Q52" s="32">
        <f>VLOOKUP(B52,India!$A:$B,2,)</f>
        <v/>
      </c>
      <c r="R52" s="32">
        <f>VLOOKUP(B52,Canada!$A:$B,2,)</f>
        <v/>
      </c>
      <c r="S52" s="32">
        <f>VLOOKUP(B52,Australia!$A:$B,2,)</f>
        <v/>
      </c>
      <c r="T52" s="32">
        <f>VLOOKUP(B52,Indonesia!$A:$B,2,)</f>
        <v/>
      </c>
      <c r="U52" s="32">
        <f>VLOOKUP(B52,SouthKorea!$A:$B,2,)</f>
        <v/>
      </c>
      <c r="V52" s="32">
        <f>VLOOKUP(B52,Taiwan!$A:$B,2,)</f>
        <v/>
      </c>
      <c r="W52" s="32">
        <f>VLOOKUP(B52,Greece!$A:$B,2,)</f>
        <v/>
      </c>
      <c r="X52" s="32">
        <f>VLOOKUP(B52,Ireland!$A:$B,2,)</f>
        <v/>
      </c>
      <c r="Y52" s="32">
        <f>VLOOKUP(B52,Turkey!$A:$B,2,)</f>
        <v/>
      </c>
      <c r="Z52" s="32">
        <f>VLOOKUP(B52,CzechRepublic!$A:$B,2,)</f>
        <v/>
      </c>
      <c r="AA52" s="32">
        <f>VLOOKUP(B52,Poland!$A:$B,2,)</f>
        <v/>
      </c>
      <c r="AB52" s="32">
        <f>VLOOKUP(B52,Denmark!$A:$B,2,)</f>
        <v/>
      </c>
    </row>
    <row r="53" customFormat="1" s="84">
      <c r="B53" s="31" t="n">
        <v>43313</v>
      </c>
      <c r="C53" s="32">
        <f>VLOOKUP(B53,Global!$A:$B,2,)</f>
        <v/>
      </c>
      <c r="D53" s="32">
        <f>VLOOKUP(B53,US!$A:$D,4,)</f>
        <v/>
      </c>
      <c r="E53" s="32">
        <f>VLOOKUP(B53,US!$A:$B,2,)</f>
        <v/>
      </c>
      <c r="F53" s="32">
        <f>VLOOKUP(B53,China!$A:$B,2,)</f>
        <v/>
      </c>
      <c r="G53" s="32">
        <f>VLOOKUP(B53,'Euro Area'!A:B,2,)</f>
        <v/>
      </c>
      <c r="H53" s="32">
        <f>VLOOKUP(B53,Japan!$A:$B,2,)</f>
        <v/>
      </c>
      <c r="I53" s="32">
        <f>VLOOKUP(B53,Germany!$A:$B,2,)</f>
        <v/>
      </c>
      <c r="J53" s="32">
        <f>VLOOKUP(B53,France!$A:$B,2,)</f>
        <v/>
      </c>
      <c r="K53" s="32">
        <f>VLOOKUP(B53,UK!$A:$B,2,)</f>
        <v/>
      </c>
      <c r="L53" s="32">
        <f>VLOOKUP(B53,Italy!$A:$B,2,)</f>
        <v/>
      </c>
      <c r="M53" s="32">
        <f>VLOOKUP(B53,Spain!$A:$B,2,)</f>
        <v/>
      </c>
      <c r="N53" s="32">
        <f>VLOOKUP(B53,Brazil!$A:$B,2,)</f>
        <v/>
      </c>
      <c r="O53" s="32">
        <f>VLOOKUP(B53,Mexico!$A:$B,2,)</f>
        <v/>
      </c>
      <c r="P53" s="32">
        <f>VLOOKUP(B53,Russia!$A:$B,2,)</f>
        <v/>
      </c>
      <c r="Q53" s="32">
        <f>VLOOKUP(B53,India!$A:$B,2,)</f>
        <v/>
      </c>
      <c r="R53" s="32">
        <f>VLOOKUP(B53,Canada!$A:$B,2,)</f>
        <v/>
      </c>
      <c r="S53" s="32">
        <f>VLOOKUP(B53,Australia!$A:$B,2,)</f>
        <v/>
      </c>
      <c r="T53" s="32">
        <f>VLOOKUP(B53,Indonesia!$A:$B,2,)</f>
        <v/>
      </c>
      <c r="U53" s="32">
        <f>VLOOKUP(B53,SouthKorea!$A:$B,2,)</f>
        <v/>
      </c>
      <c r="V53" s="32">
        <f>VLOOKUP(B53,Taiwan!$A:$B,2,)</f>
        <v/>
      </c>
      <c r="W53" s="32">
        <f>VLOOKUP(B53,Greece!$A:$B,2,)</f>
        <v/>
      </c>
      <c r="X53" s="32">
        <f>VLOOKUP(B53,Ireland!$A:$B,2,)</f>
        <v/>
      </c>
      <c r="Y53" s="32">
        <f>VLOOKUP(B53,Turkey!$A:$B,2,)</f>
        <v/>
      </c>
      <c r="Z53" s="32">
        <f>VLOOKUP(B53,CzechRepublic!$A:$B,2,)</f>
        <v/>
      </c>
      <c r="AA53" s="32">
        <f>VLOOKUP(B53,Poland!$A:$B,2,)</f>
        <v/>
      </c>
      <c r="AB53" s="32">
        <f>VLOOKUP(B53,Denmark!$A:$B,2,)</f>
        <v/>
      </c>
    </row>
    <row r="54" customFormat="1" s="84">
      <c r="B54" s="31" t="n">
        <v>43344</v>
      </c>
      <c r="C54" s="32">
        <f>VLOOKUP(B54,Global!$A:$B,2,)</f>
        <v/>
      </c>
      <c r="D54" s="32">
        <f>VLOOKUP(B54,US!$A:$D,4,)</f>
        <v/>
      </c>
      <c r="E54" s="32">
        <f>VLOOKUP(B54,US!$A:$B,2,)</f>
        <v/>
      </c>
      <c r="F54" s="32">
        <f>VLOOKUP(B54,China!$A:$B,2,)</f>
        <v/>
      </c>
      <c r="G54" s="32">
        <f>VLOOKUP(B54,'Euro Area'!A:B,2,)</f>
        <v/>
      </c>
      <c r="H54" s="32">
        <f>VLOOKUP(B54,Japan!$A:$B,2,)</f>
        <v/>
      </c>
      <c r="I54" s="32">
        <f>VLOOKUP(B54,Germany!$A:$B,2,)</f>
        <v/>
      </c>
      <c r="J54" s="32">
        <f>VLOOKUP(B54,France!$A:$B,2,)</f>
        <v/>
      </c>
      <c r="K54" s="32">
        <f>VLOOKUP(B54,UK!$A:$B,2,)</f>
        <v/>
      </c>
      <c r="L54" s="32">
        <f>VLOOKUP(B54,Italy!$A:$B,2,)</f>
        <v/>
      </c>
      <c r="M54" s="32">
        <f>VLOOKUP(B54,Spain!$A:$B,2,)</f>
        <v/>
      </c>
      <c r="N54" s="32">
        <f>VLOOKUP(B54,Brazil!$A:$B,2,)</f>
        <v/>
      </c>
      <c r="O54" s="32">
        <f>VLOOKUP(B54,Mexico!$A:$B,2,)</f>
        <v/>
      </c>
      <c r="P54" s="32">
        <f>VLOOKUP(B54,Russia!$A:$B,2,)</f>
        <v/>
      </c>
      <c r="Q54" s="32">
        <f>VLOOKUP(B54,India!$A:$B,2,)</f>
        <v/>
      </c>
      <c r="R54" s="32">
        <f>VLOOKUP(B54,Canada!$A:$B,2,)</f>
        <v/>
      </c>
      <c r="S54" s="32">
        <f>VLOOKUP(B54,Australia!$A:$B,2,)</f>
        <v/>
      </c>
      <c r="T54" s="32">
        <f>VLOOKUP(B54,Indonesia!$A:$B,2,)</f>
        <v/>
      </c>
      <c r="U54" s="32">
        <f>VLOOKUP(B54,SouthKorea!$A:$B,2,)</f>
        <v/>
      </c>
      <c r="V54" s="32">
        <f>VLOOKUP(B54,Taiwan!$A:$B,2,)</f>
        <v/>
      </c>
      <c r="W54" s="32">
        <f>VLOOKUP(B54,Greece!$A:$B,2,)</f>
        <v/>
      </c>
      <c r="X54" s="32">
        <f>VLOOKUP(B54,Ireland!$A:$B,2,)</f>
        <v/>
      </c>
      <c r="Y54" s="32">
        <f>VLOOKUP(B54,Turkey!$A:$B,2,)</f>
        <v/>
      </c>
      <c r="Z54" s="32">
        <f>VLOOKUP(B54,CzechRepublic!$A:$B,2,)</f>
        <v/>
      </c>
      <c r="AA54" s="32">
        <f>VLOOKUP(B54,Poland!$A:$B,2,)</f>
        <v/>
      </c>
      <c r="AB54" s="32">
        <f>VLOOKUP(B54,Denmark!$A:$B,2,)</f>
        <v/>
      </c>
    </row>
    <row r="55" customFormat="1" s="84">
      <c r="B55" s="31" t="n">
        <v>43374</v>
      </c>
      <c r="C55" s="32">
        <f>VLOOKUP(B55,Global!$A:$B,2,)</f>
        <v/>
      </c>
      <c r="D55" s="32">
        <f>VLOOKUP(B55,US!$A:$D,4,)</f>
        <v/>
      </c>
      <c r="E55" s="32">
        <f>VLOOKUP(B55,US!$A:$B,2,)</f>
        <v/>
      </c>
      <c r="F55" s="32">
        <f>VLOOKUP(B55,China!$A:$B,2,)</f>
        <v/>
      </c>
      <c r="G55" s="32">
        <f>VLOOKUP(B55,'Euro Area'!A:B,2,)</f>
        <v/>
      </c>
      <c r="H55" s="32">
        <f>VLOOKUP(B55,Japan!$A:$B,2,)</f>
        <v/>
      </c>
      <c r="I55" s="32">
        <f>VLOOKUP(B55,Germany!$A:$B,2,)</f>
        <v/>
      </c>
      <c r="J55" s="32">
        <f>VLOOKUP(B55,France!$A:$B,2,)</f>
        <v/>
      </c>
      <c r="K55" s="32">
        <f>VLOOKUP(B55,UK!$A:$B,2,)</f>
        <v/>
      </c>
      <c r="L55" s="32">
        <f>VLOOKUP(B55,Italy!$A:$B,2,)</f>
        <v/>
      </c>
      <c r="M55" s="32">
        <f>VLOOKUP(B55,Spain!$A:$B,2,)</f>
        <v/>
      </c>
      <c r="N55" s="32">
        <f>VLOOKUP(B55,Brazil!$A:$B,2,)</f>
        <v/>
      </c>
      <c r="O55" s="32">
        <f>VLOOKUP(B55,Mexico!$A:$B,2,)</f>
        <v/>
      </c>
      <c r="P55" s="32">
        <f>VLOOKUP(B55,Russia!$A:$B,2,)</f>
        <v/>
      </c>
      <c r="Q55" s="32">
        <f>VLOOKUP(B55,India!$A:$B,2,)</f>
        <v/>
      </c>
      <c r="R55" s="32">
        <f>VLOOKUP(B55,Canada!$A:$B,2,)</f>
        <v/>
      </c>
      <c r="S55" s="32">
        <f>VLOOKUP(B55,Australia!$A:$B,2,)</f>
        <v/>
      </c>
      <c r="T55" s="32">
        <f>VLOOKUP(B55,Indonesia!$A:$B,2,)</f>
        <v/>
      </c>
      <c r="U55" s="32">
        <f>VLOOKUP(B55,SouthKorea!$A:$B,2,)</f>
        <v/>
      </c>
      <c r="V55" s="32">
        <f>VLOOKUP(B55,Taiwan!$A:$B,2,)</f>
        <v/>
      </c>
      <c r="W55" s="32">
        <f>VLOOKUP(B55,Greece!$A:$B,2,)</f>
        <v/>
      </c>
      <c r="X55" s="32">
        <f>VLOOKUP(B55,Ireland!$A:$B,2,)</f>
        <v/>
      </c>
      <c r="Y55" s="32">
        <f>VLOOKUP(B55,Turkey!$A:$B,2,)</f>
        <v/>
      </c>
      <c r="Z55" s="32">
        <f>VLOOKUP(B55,CzechRepublic!$A:$B,2,)</f>
        <v/>
      </c>
      <c r="AA55" s="32">
        <f>VLOOKUP(B55,Poland!$A:$B,2,)</f>
        <v/>
      </c>
      <c r="AB55" s="32">
        <f>VLOOKUP(B55,Denmark!$A:$B,2,)</f>
        <v/>
      </c>
    </row>
    <row r="56" customFormat="1" s="84">
      <c r="B56" s="31" t="n">
        <v>43405</v>
      </c>
      <c r="C56" s="32">
        <f>VLOOKUP(B56,Global!$A:$B,2,)</f>
        <v/>
      </c>
      <c r="D56" s="32">
        <f>VLOOKUP(B56,US!$A:$D,4,)</f>
        <v/>
      </c>
      <c r="E56" s="32">
        <f>VLOOKUP(B56,US!$A:$B,2,)</f>
        <v/>
      </c>
      <c r="F56" s="32">
        <f>VLOOKUP(B56,China!$A:$B,2,)</f>
        <v/>
      </c>
      <c r="G56" s="32">
        <f>VLOOKUP(B56,'Euro Area'!A:B,2,)</f>
        <v/>
      </c>
      <c r="H56" s="32">
        <f>VLOOKUP(B56,Japan!$A:$B,2,)</f>
        <v/>
      </c>
      <c r="I56" s="32">
        <f>VLOOKUP(B56,Germany!$A:$B,2,)</f>
        <v/>
      </c>
      <c r="J56" s="32">
        <f>VLOOKUP(B56,France!$A:$B,2,)</f>
        <v/>
      </c>
      <c r="K56" s="32">
        <f>VLOOKUP(B56,UK!$A:$B,2,)</f>
        <v/>
      </c>
      <c r="L56" s="32">
        <f>VLOOKUP(B56,Italy!$A:$B,2,)</f>
        <v/>
      </c>
      <c r="M56" s="32">
        <f>VLOOKUP(B56,Spain!$A:$B,2,)</f>
        <v/>
      </c>
      <c r="N56" s="32">
        <f>VLOOKUP(B56,Brazil!$A:$B,2,)</f>
        <v/>
      </c>
      <c r="O56" s="32">
        <f>VLOOKUP(B56,Mexico!$A:$B,2,)</f>
        <v/>
      </c>
      <c r="P56" s="32">
        <f>VLOOKUP(B56,Russia!$A:$B,2,)</f>
        <v/>
      </c>
      <c r="Q56" s="32">
        <f>VLOOKUP(B56,India!$A:$B,2,)</f>
        <v/>
      </c>
      <c r="R56" s="32">
        <f>VLOOKUP(B56,Canada!$A:$B,2,)</f>
        <v/>
      </c>
      <c r="S56" s="32">
        <f>VLOOKUP(B56,Australia!$A:$B,2,)</f>
        <v/>
      </c>
      <c r="T56" s="32">
        <f>VLOOKUP(B56,Indonesia!$A:$B,2,)</f>
        <v/>
      </c>
      <c r="U56" s="32">
        <f>VLOOKUP(B56,SouthKorea!$A:$B,2,)</f>
        <v/>
      </c>
      <c r="V56" s="32">
        <f>VLOOKUP(B56,Taiwan!$A:$B,2,)</f>
        <v/>
      </c>
      <c r="W56" s="32">
        <f>VLOOKUP(B56,Greece!$A:$B,2,)</f>
        <v/>
      </c>
      <c r="X56" s="32">
        <f>VLOOKUP(B56,Ireland!$A:$B,2,)</f>
        <v/>
      </c>
      <c r="Y56" s="32">
        <f>VLOOKUP(B56,Turkey!$A:$B,2,)</f>
        <v/>
      </c>
      <c r="Z56" s="32">
        <f>VLOOKUP(B56,CzechRepublic!$A:$B,2,)</f>
        <v/>
      </c>
      <c r="AA56" s="32">
        <f>VLOOKUP(B56,Poland!$A:$B,2,)</f>
        <v/>
      </c>
      <c r="AB56" s="32">
        <f>VLOOKUP(B56,Denmark!$A:$B,2,)</f>
        <v/>
      </c>
    </row>
    <row r="57" customFormat="1" s="84">
      <c r="B57" s="31" t="n">
        <v>43435</v>
      </c>
      <c r="C57" s="32">
        <f>VLOOKUP(B57,Global!$A:$B,2,)</f>
        <v/>
      </c>
      <c r="D57" s="32">
        <f>VLOOKUP(B57,US!$A:$D,4,)</f>
        <v/>
      </c>
      <c r="E57" s="32">
        <f>VLOOKUP(B57,US!$A:$B,2,)</f>
        <v/>
      </c>
      <c r="F57" s="32">
        <f>VLOOKUP(B57,China!$A:$B,2,)</f>
        <v/>
      </c>
      <c r="G57" s="32">
        <f>VLOOKUP(B57,'Euro Area'!A:B,2,)</f>
        <v/>
      </c>
      <c r="H57" s="32">
        <f>VLOOKUP(B57,Japan!$A:$B,2,)</f>
        <v/>
      </c>
      <c r="I57" s="32">
        <f>VLOOKUP(B57,Germany!$A:$B,2,)</f>
        <v/>
      </c>
      <c r="J57" s="32">
        <f>VLOOKUP(B57,France!$A:$B,2,)</f>
        <v/>
      </c>
      <c r="K57" s="32">
        <f>VLOOKUP(B57,UK!$A:$B,2,)</f>
        <v/>
      </c>
      <c r="L57" s="32">
        <f>VLOOKUP(B57,Italy!$A:$B,2,)</f>
        <v/>
      </c>
      <c r="M57" s="32">
        <f>VLOOKUP(B57,Spain!$A:$B,2,)</f>
        <v/>
      </c>
      <c r="N57" s="32">
        <f>VLOOKUP(B57,Brazil!$A:$B,2,)</f>
        <v/>
      </c>
      <c r="O57" s="32">
        <f>VLOOKUP(B57,Mexico!$A:$B,2,)</f>
        <v/>
      </c>
      <c r="P57" s="32">
        <f>VLOOKUP(B57,Russia!$A:$B,2,)</f>
        <v/>
      </c>
      <c r="Q57" s="32">
        <f>VLOOKUP(B57,India!$A:$B,2,)</f>
        <v/>
      </c>
      <c r="R57" s="32">
        <f>VLOOKUP(B57,Canada!$A:$B,2,)</f>
        <v/>
      </c>
      <c r="S57" s="32">
        <f>VLOOKUP(B57,Australia!$A:$B,2,)</f>
        <v/>
      </c>
      <c r="T57" s="32">
        <f>VLOOKUP(B57,Indonesia!$A:$B,2,)</f>
        <v/>
      </c>
      <c r="U57" s="32">
        <f>VLOOKUP(B57,SouthKorea!$A:$B,2,)</f>
        <v/>
      </c>
      <c r="V57" s="32">
        <f>VLOOKUP(B57,Taiwan!$A:$B,2,)</f>
        <v/>
      </c>
      <c r="W57" s="32">
        <f>VLOOKUP(B57,Greece!$A:$B,2,)</f>
        <v/>
      </c>
      <c r="X57" s="32">
        <f>VLOOKUP(B57,Ireland!$A:$B,2,)</f>
        <v/>
      </c>
      <c r="Y57" s="32">
        <f>VLOOKUP(B57,Turkey!$A:$B,2,)</f>
        <v/>
      </c>
      <c r="Z57" s="32">
        <f>VLOOKUP(B57,CzechRepublic!$A:$B,2,)</f>
        <v/>
      </c>
      <c r="AA57" s="32">
        <f>VLOOKUP(B57,Poland!$A:$B,2,)</f>
        <v/>
      </c>
      <c r="AB57" s="32">
        <f>VLOOKUP(B57,Denmark!$A:$B,2,)</f>
        <v/>
      </c>
    </row>
    <row r="58" customFormat="1" s="84">
      <c r="B58" s="31" t="n">
        <v>43466</v>
      </c>
      <c r="C58" s="32">
        <f>VLOOKUP(B58,Global!$A:$B,2,)</f>
        <v/>
      </c>
      <c r="D58" s="32">
        <f>VLOOKUP(B58,US!$A:$D,4,)</f>
        <v/>
      </c>
      <c r="E58" s="32">
        <f>VLOOKUP(B58,US!$A:$B,2,)</f>
        <v/>
      </c>
      <c r="F58" s="32">
        <f>VLOOKUP(B58,China!$A:$B,2,)</f>
        <v/>
      </c>
      <c r="G58" s="32">
        <f>VLOOKUP(B58,'Euro Area'!A:B,2,)</f>
        <v/>
      </c>
      <c r="H58" s="32">
        <f>VLOOKUP(B58,Japan!$A:$B,2,)</f>
        <v/>
      </c>
      <c r="I58" s="32">
        <f>VLOOKUP(B58,Germany!$A:$B,2,)</f>
        <v/>
      </c>
      <c r="J58" s="32">
        <f>VLOOKUP(B58,France!$A:$B,2,)</f>
        <v/>
      </c>
      <c r="K58" s="32">
        <f>VLOOKUP(B58,UK!$A:$B,2,)</f>
        <v/>
      </c>
      <c r="L58" s="32">
        <f>VLOOKUP(B58,Italy!$A:$B,2,)</f>
        <v/>
      </c>
      <c r="M58" s="32">
        <f>VLOOKUP(B58,Spain!$A:$B,2,)</f>
        <v/>
      </c>
      <c r="N58" s="32">
        <f>VLOOKUP(B58,Brazil!$A:$B,2,)</f>
        <v/>
      </c>
      <c r="O58" s="32">
        <f>VLOOKUP(B58,Mexico!$A:$B,2,)</f>
        <v/>
      </c>
      <c r="P58" s="32">
        <f>VLOOKUP(B58,Russia!$A:$B,2,)</f>
        <v/>
      </c>
      <c r="Q58" s="32">
        <f>VLOOKUP(B58,India!$A:$B,2,)</f>
        <v/>
      </c>
      <c r="R58" s="32">
        <f>VLOOKUP(B58,Canada!$A:$B,2,)</f>
        <v/>
      </c>
      <c r="S58" s="32">
        <f>VLOOKUP(B58,Australia!$A:$B,2,)</f>
        <v/>
      </c>
      <c r="T58" s="32">
        <f>VLOOKUP(B58,Indonesia!$A:$B,2,)</f>
        <v/>
      </c>
      <c r="U58" s="32">
        <f>VLOOKUP(B58,SouthKorea!$A:$B,2,)</f>
        <v/>
      </c>
      <c r="V58" s="32">
        <f>VLOOKUP(B58,Taiwan!$A:$B,2,)</f>
        <v/>
      </c>
      <c r="W58" s="32">
        <f>VLOOKUP(B58,Greece!$A:$B,2,)</f>
        <v/>
      </c>
      <c r="X58" s="32">
        <f>VLOOKUP(B58,Ireland!$A:$B,2,)</f>
        <v/>
      </c>
      <c r="Y58" s="32">
        <f>VLOOKUP(B58,Turkey!$A:$B,2,)</f>
        <v/>
      </c>
      <c r="Z58" s="32">
        <f>VLOOKUP(B58,CzechRepublic!$A:$B,2,)</f>
        <v/>
      </c>
      <c r="AA58" s="32">
        <f>VLOOKUP(B58,Poland!$A:$B,2,)</f>
        <v/>
      </c>
      <c r="AB58" s="32">
        <f>VLOOKUP(B58,Denmark!$A:$B,2,)</f>
        <v/>
      </c>
    </row>
    <row r="59" customFormat="1" s="84">
      <c r="B59" s="31" t="n">
        <v>43497</v>
      </c>
      <c r="C59" s="32">
        <f>VLOOKUP(B59,Global!$A:$B,2,)</f>
        <v/>
      </c>
      <c r="D59" s="32">
        <f>VLOOKUP(B59,US!$A:$D,4,)</f>
        <v/>
      </c>
      <c r="E59" s="32">
        <f>VLOOKUP(B59,US!$A:$B,2,)</f>
        <v/>
      </c>
      <c r="F59" s="32">
        <f>VLOOKUP(B59,China!$A:$B,2,)</f>
        <v/>
      </c>
      <c r="G59" s="32">
        <f>VLOOKUP(B59,'Euro Area'!A:B,2,)</f>
        <v/>
      </c>
      <c r="H59" s="32">
        <f>VLOOKUP(B59,Japan!$A:$B,2,)</f>
        <v/>
      </c>
      <c r="I59" s="32">
        <f>VLOOKUP(B59,Germany!$A:$B,2,)</f>
        <v/>
      </c>
      <c r="J59" s="32">
        <f>VLOOKUP(B59,France!$A:$B,2,)</f>
        <v/>
      </c>
      <c r="K59" s="32">
        <f>VLOOKUP(B59,UK!$A:$B,2,)</f>
        <v/>
      </c>
      <c r="L59" s="32">
        <f>VLOOKUP(B59,Italy!$A:$B,2,)</f>
        <v/>
      </c>
      <c r="M59" s="32">
        <f>VLOOKUP(B59,Spain!$A:$B,2,)</f>
        <v/>
      </c>
      <c r="N59" s="32">
        <f>VLOOKUP(B59,Brazil!$A:$B,2,)</f>
        <v/>
      </c>
      <c r="O59" s="32">
        <f>VLOOKUP(B59,Mexico!$A:$B,2,)</f>
        <v/>
      </c>
      <c r="P59" s="32">
        <f>VLOOKUP(B59,Russia!$A:$B,2,)</f>
        <v/>
      </c>
      <c r="Q59" s="32">
        <f>VLOOKUP(B59,India!$A:$B,2,)</f>
        <v/>
      </c>
      <c r="R59" s="32">
        <f>VLOOKUP(B59,Canada!$A:$B,2,)</f>
        <v/>
      </c>
      <c r="S59" s="32">
        <f>VLOOKUP(B59,Australia!$A:$B,2,)</f>
        <v/>
      </c>
      <c r="T59" s="32">
        <f>VLOOKUP(B59,Indonesia!$A:$B,2,)</f>
        <v/>
      </c>
      <c r="U59" s="32">
        <f>VLOOKUP(B59,SouthKorea!$A:$B,2,)</f>
        <v/>
      </c>
      <c r="V59" s="32">
        <f>VLOOKUP(B59,Taiwan!$A:$B,2,)</f>
        <v/>
      </c>
      <c r="W59" s="32">
        <f>VLOOKUP(B59,Greece!$A:$B,2,)</f>
        <v/>
      </c>
      <c r="X59" s="32">
        <f>VLOOKUP(B59,Ireland!$A:$B,2,)</f>
        <v/>
      </c>
      <c r="Y59" s="32">
        <f>VLOOKUP(B59,Turkey!$A:$B,2,)</f>
        <v/>
      </c>
      <c r="Z59" s="32">
        <f>VLOOKUP(B59,CzechRepublic!$A:$B,2,)</f>
        <v/>
      </c>
      <c r="AA59" s="32">
        <f>VLOOKUP(B59,Poland!$A:$B,2,)</f>
        <v/>
      </c>
      <c r="AB59" s="32">
        <f>VLOOKUP(B59,Denmark!$A:$B,2,)</f>
        <v/>
      </c>
    </row>
    <row r="60" customFormat="1" s="84">
      <c r="B60" s="31" t="n">
        <v>43525</v>
      </c>
      <c r="C60" s="32">
        <f>VLOOKUP(B60,Global!$A:$B,2,)</f>
        <v/>
      </c>
      <c r="D60" s="32">
        <f>VLOOKUP(B60,US!$A:$D,4,)</f>
        <v/>
      </c>
      <c r="E60" s="32">
        <f>VLOOKUP(B60,US!$A:$B,2,)</f>
        <v/>
      </c>
      <c r="F60" s="32">
        <f>VLOOKUP(B60,China!$A:$B,2,)</f>
        <v/>
      </c>
      <c r="G60" s="32">
        <f>VLOOKUP(B60,'Euro Area'!A:B,2,)</f>
        <v/>
      </c>
      <c r="H60" s="32">
        <f>VLOOKUP(B60,Japan!$A:$B,2,)</f>
        <v/>
      </c>
      <c r="I60" s="32">
        <f>VLOOKUP(B60,Germany!$A:$B,2,)</f>
        <v/>
      </c>
      <c r="J60" s="32">
        <f>VLOOKUP(B60,France!$A:$B,2,)</f>
        <v/>
      </c>
      <c r="K60" s="32">
        <f>VLOOKUP(B60,UK!$A:$B,2,)</f>
        <v/>
      </c>
      <c r="L60" s="32">
        <f>VLOOKUP(B60,Italy!$A:$B,2,)</f>
        <v/>
      </c>
      <c r="M60" s="32">
        <f>VLOOKUP(B60,Spain!$A:$B,2,)</f>
        <v/>
      </c>
      <c r="N60" s="32">
        <f>VLOOKUP(B60,Brazil!$A:$B,2,)</f>
        <v/>
      </c>
      <c r="O60" s="32">
        <f>VLOOKUP(B60,Mexico!$A:$B,2,)</f>
        <v/>
      </c>
      <c r="P60" s="32">
        <f>VLOOKUP(B60,Russia!$A:$B,2,)</f>
        <v/>
      </c>
      <c r="Q60" s="32">
        <f>VLOOKUP(B60,India!$A:$B,2,)</f>
        <v/>
      </c>
      <c r="R60" s="32">
        <f>VLOOKUP(B60,Canada!$A:$B,2,)</f>
        <v/>
      </c>
      <c r="S60" s="32">
        <f>VLOOKUP(B60,Australia!$A:$B,2,)</f>
        <v/>
      </c>
      <c r="T60" s="32">
        <f>VLOOKUP(B60,Indonesia!$A:$B,2,)</f>
        <v/>
      </c>
      <c r="U60" s="32">
        <f>VLOOKUP(B60,SouthKorea!$A:$B,2,)</f>
        <v/>
      </c>
      <c r="V60" s="32">
        <f>VLOOKUP(B60,Taiwan!$A:$B,2,)</f>
        <v/>
      </c>
      <c r="W60" s="32">
        <f>VLOOKUP(B60,Greece!$A:$B,2,)</f>
        <v/>
      </c>
      <c r="X60" s="32">
        <f>VLOOKUP(B60,Ireland!$A:$B,2,)</f>
        <v/>
      </c>
      <c r="Y60" s="32">
        <f>VLOOKUP(B60,Turkey!$A:$B,2,)</f>
        <v/>
      </c>
      <c r="Z60" s="32">
        <f>VLOOKUP(B60,CzechRepublic!$A:$B,2,)</f>
        <v/>
      </c>
      <c r="AA60" s="32">
        <f>VLOOKUP(B60,Poland!$A:$B,2,)</f>
        <v/>
      </c>
      <c r="AB60" s="32">
        <f>VLOOKUP(B60,Denmark!$A:$B,2,)</f>
        <v/>
      </c>
    </row>
    <row r="61" customFormat="1" s="84">
      <c r="B61" s="31" t="n">
        <v>43556</v>
      </c>
      <c r="C61" s="32">
        <f>VLOOKUP(B61,Global!$A:$B,2,)</f>
        <v/>
      </c>
      <c r="D61" s="32">
        <f>VLOOKUP(B61,US!$A:$D,4,)</f>
        <v/>
      </c>
      <c r="E61" s="32">
        <f>VLOOKUP(B61,US!$A:$B,2,)</f>
        <v/>
      </c>
      <c r="F61" s="32">
        <f>VLOOKUP(B61,China!$A:$B,2,)</f>
        <v/>
      </c>
      <c r="G61" s="32">
        <f>VLOOKUP(B61,'Euro Area'!A:B,2,)</f>
        <v/>
      </c>
      <c r="H61" s="32">
        <f>VLOOKUP(B61,Japan!$A:$B,2,)</f>
        <v/>
      </c>
      <c r="I61" s="32">
        <f>VLOOKUP(B61,Germany!$A:$B,2,)</f>
        <v/>
      </c>
      <c r="J61" s="32">
        <f>VLOOKUP(B61,France!$A:$B,2,)</f>
        <v/>
      </c>
      <c r="K61" s="32">
        <f>VLOOKUP(B61,UK!$A:$B,2,)</f>
        <v/>
      </c>
      <c r="L61" s="32">
        <f>VLOOKUP(B61,Italy!$A:$B,2,)</f>
        <v/>
      </c>
      <c r="M61" s="32">
        <f>VLOOKUP(B61,Spain!$A:$B,2,)</f>
        <v/>
      </c>
      <c r="N61" s="32">
        <f>VLOOKUP(B61,Brazil!$A:$B,2,)</f>
        <v/>
      </c>
      <c r="O61" s="32">
        <f>VLOOKUP(B61,Mexico!$A:$B,2,)</f>
        <v/>
      </c>
      <c r="P61" s="32">
        <f>VLOOKUP(B61,Russia!$A:$B,2,)</f>
        <v/>
      </c>
      <c r="Q61" s="32">
        <f>VLOOKUP(B61,India!$A:$B,2,)</f>
        <v/>
      </c>
      <c r="R61" s="32">
        <f>VLOOKUP(B61,Canada!$A:$B,2,)</f>
        <v/>
      </c>
      <c r="S61" s="32">
        <f>VLOOKUP(B61,Australia!$A:$B,2,)</f>
        <v/>
      </c>
      <c r="T61" s="32">
        <f>VLOOKUP(B61,Indonesia!$A:$B,2,)</f>
        <v/>
      </c>
      <c r="U61" s="32">
        <f>VLOOKUP(B61,SouthKorea!$A:$B,2,)</f>
        <v/>
      </c>
      <c r="V61" s="32">
        <f>VLOOKUP(B61,Taiwan!$A:$B,2,)</f>
        <v/>
      </c>
      <c r="W61" s="32">
        <f>VLOOKUP(B61,Greece!$A:$B,2,)</f>
        <v/>
      </c>
      <c r="X61" s="32">
        <f>VLOOKUP(B61,Ireland!$A:$B,2,)</f>
        <v/>
      </c>
      <c r="Y61" s="32">
        <f>VLOOKUP(B61,Turkey!$A:$B,2,)</f>
        <v/>
      </c>
      <c r="Z61" s="32">
        <f>VLOOKUP(B61,CzechRepublic!$A:$B,2,)</f>
        <v/>
      </c>
      <c r="AA61" s="32">
        <f>VLOOKUP(B61,Poland!$A:$B,2,)</f>
        <v/>
      </c>
      <c r="AB61" s="32">
        <f>VLOOKUP(B61,Denmark!$A:$B,2,)</f>
        <v/>
      </c>
    </row>
    <row r="62" customFormat="1" s="84">
      <c r="B62" s="31" t="n">
        <v>43586</v>
      </c>
      <c r="C62" s="32">
        <f>VLOOKUP(B62,Global!$A:$B,2,)</f>
        <v/>
      </c>
      <c r="D62" s="32">
        <f>VLOOKUP(B62,US!$A:$D,4,)</f>
        <v/>
      </c>
      <c r="E62" s="32">
        <f>VLOOKUP(B62,US!$A:$B,2,)</f>
        <v/>
      </c>
      <c r="F62" s="32">
        <f>VLOOKUP(B62,China!$A:$B,2,)</f>
        <v/>
      </c>
      <c r="G62" s="32">
        <f>VLOOKUP(B62,'Euro Area'!A:B,2,)</f>
        <v/>
      </c>
      <c r="H62" s="32">
        <f>VLOOKUP(B62,Japan!$A:$B,2,)</f>
        <v/>
      </c>
      <c r="I62" s="32">
        <f>VLOOKUP(B62,Germany!$A:$B,2,)</f>
        <v/>
      </c>
      <c r="J62" s="32">
        <f>VLOOKUP(B62,France!$A:$B,2,)</f>
        <v/>
      </c>
      <c r="K62" s="32">
        <f>VLOOKUP(B62,UK!$A:$B,2,)</f>
        <v/>
      </c>
      <c r="L62" s="32">
        <f>VLOOKUP(B62,Italy!$A:$B,2,)</f>
        <v/>
      </c>
      <c r="M62" s="32">
        <f>VLOOKUP(B62,Spain!$A:$B,2,)</f>
        <v/>
      </c>
      <c r="N62" s="32">
        <f>VLOOKUP(B62,Brazil!$A:$B,2,)</f>
        <v/>
      </c>
      <c r="O62" s="32">
        <f>VLOOKUP(B62,Mexico!$A:$B,2,)</f>
        <v/>
      </c>
      <c r="P62" s="32">
        <f>VLOOKUP(B62,Russia!$A:$B,2,)</f>
        <v/>
      </c>
      <c r="Q62" s="32">
        <f>VLOOKUP(B62,India!$A:$B,2,)</f>
        <v/>
      </c>
      <c r="R62" s="32">
        <f>VLOOKUP(B62,Canada!$A:$B,2,)</f>
        <v/>
      </c>
      <c r="S62" s="32">
        <f>VLOOKUP(B62,Australia!$A:$B,2,)</f>
        <v/>
      </c>
      <c r="T62" s="32">
        <f>VLOOKUP(B62,Indonesia!$A:$B,2,)</f>
        <v/>
      </c>
      <c r="U62" s="32">
        <f>VLOOKUP(B62,SouthKorea!$A:$B,2,)</f>
        <v/>
      </c>
      <c r="V62" s="32">
        <f>VLOOKUP(B62,Taiwan!$A:$B,2,)</f>
        <v/>
      </c>
      <c r="W62" s="32">
        <f>VLOOKUP(B62,Greece!$A:$B,2,)</f>
        <v/>
      </c>
      <c r="X62" s="32">
        <f>VLOOKUP(B62,Ireland!$A:$B,2,)</f>
        <v/>
      </c>
      <c r="Y62" s="32">
        <f>VLOOKUP(B62,Turkey!$A:$B,2,)</f>
        <v/>
      </c>
      <c r="Z62" s="32">
        <f>VLOOKUP(B62,CzechRepublic!$A:$B,2,)</f>
        <v/>
      </c>
      <c r="AA62" s="32">
        <f>VLOOKUP(B62,Poland!$A:$B,2,)</f>
        <v/>
      </c>
      <c r="AB62" s="32">
        <f>VLOOKUP(B62,Denmark!$A:$B,2,)</f>
        <v/>
      </c>
    </row>
    <row r="63" customFormat="1" s="84">
      <c r="B63" s="31" t="n">
        <v>43617</v>
      </c>
      <c r="C63" s="32">
        <f>VLOOKUP(B63,Global!$A:$B,2,)</f>
        <v/>
      </c>
      <c r="D63" s="32">
        <f>VLOOKUP(B63,US!$A:$D,4,)</f>
        <v/>
      </c>
      <c r="E63" s="32">
        <f>VLOOKUP(B63,US!$A:$B,2,)</f>
        <v/>
      </c>
      <c r="F63" s="32">
        <f>VLOOKUP(B63,China!$A:$B,2,)</f>
        <v/>
      </c>
      <c r="G63" s="32">
        <f>VLOOKUP(B63,'Euro Area'!A:B,2,)</f>
        <v/>
      </c>
      <c r="H63" s="32">
        <f>VLOOKUP(B63,Japan!$A:$B,2,)</f>
        <v/>
      </c>
      <c r="I63" s="32">
        <f>VLOOKUP(B63,Germany!$A:$B,2,)</f>
        <v/>
      </c>
      <c r="J63" s="32">
        <f>VLOOKUP(B63,France!$A:$B,2,)</f>
        <v/>
      </c>
      <c r="K63" s="32">
        <f>VLOOKUP(B63,UK!$A:$B,2,)</f>
        <v/>
      </c>
      <c r="L63" s="32">
        <f>VLOOKUP(B63,Italy!$A:$B,2,)</f>
        <v/>
      </c>
      <c r="M63" s="32">
        <f>VLOOKUP(B63,Spain!$A:$B,2,)</f>
        <v/>
      </c>
      <c r="N63" s="32">
        <f>VLOOKUP(B63,Brazil!$A:$B,2,)</f>
        <v/>
      </c>
      <c r="O63" s="32">
        <f>VLOOKUP(B63,Mexico!$A:$B,2,)</f>
        <v/>
      </c>
      <c r="P63" s="32">
        <f>VLOOKUP(B63,Russia!$A:$B,2,)</f>
        <v/>
      </c>
      <c r="Q63" s="32">
        <f>VLOOKUP(B63,India!$A:$B,2,)</f>
        <v/>
      </c>
      <c r="R63" s="32">
        <f>VLOOKUP(B63,Canada!$A:$B,2,)</f>
        <v/>
      </c>
      <c r="S63" s="32">
        <f>VLOOKUP(B63,Australia!$A:$B,2,)</f>
        <v/>
      </c>
      <c r="T63" s="32">
        <f>VLOOKUP(B63,Indonesia!$A:$B,2,)</f>
        <v/>
      </c>
      <c r="U63" s="32">
        <f>VLOOKUP(B63,SouthKorea!$A:$B,2,)</f>
        <v/>
      </c>
      <c r="V63" s="32">
        <f>VLOOKUP(B63,Taiwan!$A:$B,2,)</f>
        <v/>
      </c>
      <c r="W63" s="32">
        <f>VLOOKUP(B63,Greece!$A:$B,2,)</f>
        <v/>
      </c>
      <c r="X63" s="32">
        <f>VLOOKUP(B63,Ireland!$A:$B,2,)</f>
        <v/>
      </c>
      <c r="Y63" s="32">
        <f>VLOOKUP(B63,Turkey!$A:$B,2,)</f>
        <v/>
      </c>
      <c r="Z63" s="32">
        <f>VLOOKUP(B63,CzechRepublic!$A:$B,2,)</f>
        <v/>
      </c>
      <c r="AA63" s="32">
        <f>VLOOKUP(B63,Poland!$A:$B,2,)</f>
        <v/>
      </c>
      <c r="AB63" s="32">
        <f>VLOOKUP(B63,Denmark!$A:$B,2,)</f>
        <v/>
      </c>
    </row>
    <row r="64" customFormat="1" s="84">
      <c r="B64" s="31" t="n">
        <v>43647</v>
      </c>
      <c r="C64" s="32">
        <f>VLOOKUP(B64,Global!$A:$B,2,)</f>
        <v/>
      </c>
      <c r="D64" s="32">
        <f>VLOOKUP(B64,US!$A:$D,4,)</f>
        <v/>
      </c>
      <c r="E64" s="32">
        <f>VLOOKUP(B64,US!$A:$B,2,)</f>
        <v/>
      </c>
      <c r="F64" s="32">
        <f>VLOOKUP(B64,China!$A:$B,2,)</f>
        <v/>
      </c>
      <c r="G64" s="32">
        <f>VLOOKUP(B64,'Euro Area'!A:B,2,)</f>
        <v/>
      </c>
      <c r="H64" s="32">
        <f>VLOOKUP(B64,Japan!$A:$B,2,)</f>
        <v/>
      </c>
      <c r="I64" s="32">
        <f>VLOOKUP(B64,Germany!$A:$B,2,)</f>
        <v/>
      </c>
      <c r="J64" s="32">
        <f>VLOOKUP(B64,France!$A:$B,2,)</f>
        <v/>
      </c>
      <c r="K64" s="32">
        <f>VLOOKUP(B64,UK!$A:$B,2,)</f>
        <v/>
      </c>
      <c r="L64" s="32">
        <f>VLOOKUP(B64,Italy!$A:$B,2,)</f>
        <v/>
      </c>
      <c r="M64" s="32">
        <f>VLOOKUP(B64,Spain!$A:$B,2,)</f>
        <v/>
      </c>
      <c r="N64" s="32">
        <f>VLOOKUP(B64,Brazil!$A:$B,2,)</f>
        <v/>
      </c>
      <c r="O64" s="32">
        <f>VLOOKUP(B64,Mexico!$A:$B,2,)</f>
        <v/>
      </c>
      <c r="P64" s="32">
        <f>VLOOKUP(B64,Russia!$A:$B,2,)</f>
        <v/>
      </c>
      <c r="Q64" s="32">
        <f>VLOOKUP(B64,India!$A:$B,2,)</f>
        <v/>
      </c>
      <c r="R64" s="32">
        <f>VLOOKUP(B64,Canada!$A:$B,2,)</f>
        <v/>
      </c>
      <c r="S64" s="32">
        <f>VLOOKUP(B64,Australia!$A:$B,2,)</f>
        <v/>
      </c>
      <c r="T64" s="32">
        <f>VLOOKUP(B64,Indonesia!$A:$B,2,)</f>
        <v/>
      </c>
      <c r="U64" s="32">
        <f>VLOOKUP(B64,SouthKorea!$A:$B,2,)</f>
        <v/>
      </c>
      <c r="V64" s="32">
        <f>VLOOKUP(B64,Taiwan!$A:$B,2,)</f>
        <v/>
      </c>
      <c r="W64" s="32">
        <f>VLOOKUP(B64,Greece!$A:$B,2,)</f>
        <v/>
      </c>
      <c r="X64" s="32">
        <f>VLOOKUP(B64,Ireland!$A:$B,2,)</f>
        <v/>
      </c>
      <c r="Y64" s="32">
        <f>VLOOKUP(B64,Turkey!$A:$B,2,)</f>
        <v/>
      </c>
      <c r="Z64" s="32">
        <f>VLOOKUP(B64,CzechRepublic!$A:$B,2,)</f>
        <v/>
      </c>
      <c r="AA64" s="32">
        <f>VLOOKUP(B64,Poland!$A:$B,2,)</f>
        <v/>
      </c>
      <c r="AB64" s="32">
        <f>VLOOKUP(B64,Denmark!$A:$B,2,)</f>
        <v/>
      </c>
    </row>
    <row r="65" customFormat="1" s="84">
      <c r="B65" s="31" t="n">
        <v>43678</v>
      </c>
      <c r="C65" s="32">
        <f>VLOOKUP(B65,Global!$A:$B,2,)</f>
        <v/>
      </c>
      <c r="D65" s="32">
        <f>VLOOKUP(B65,US!$A:$D,4,)</f>
        <v/>
      </c>
      <c r="E65" s="32">
        <f>VLOOKUP(B65,US!$A:$B,2,)</f>
        <v/>
      </c>
      <c r="F65" s="32">
        <f>VLOOKUP(B65,China!$A:$B,2,)</f>
        <v/>
      </c>
      <c r="G65" s="32">
        <f>VLOOKUP(B65,'Euro Area'!A:B,2,)</f>
        <v/>
      </c>
      <c r="H65" s="32">
        <f>VLOOKUP(B65,Japan!$A:$B,2,)</f>
        <v/>
      </c>
      <c r="I65" s="32">
        <f>VLOOKUP(B65,Germany!$A:$B,2,)</f>
        <v/>
      </c>
      <c r="J65" s="32">
        <f>VLOOKUP(B65,France!$A:$B,2,)</f>
        <v/>
      </c>
      <c r="K65" s="32">
        <f>VLOOKUP(B65,UK!$A:$B,2,)</f>
        <v/>
      </c>
      <c r="L65" s="32">
        <f>VLOOKUP(B65,Italy!$A:$B,2,)</f>
        <v/>
      </c>
      <c r="M65" s="32">
        <f>VLOOKUP(B65,Spain!$A:$B,2,)</f>
        <v/>
      </c>
      <c r="N65" s="32">
        <f>VLOOKUP(B65,Brazil!$A:$B,2,)</f>
        <v/>
      </c>
      <c r="O65" s="32">
        <f>VLOOKUP(B65,Mexico!$A:$B,2,)</f>
        <v/>
      </c>
      <c r="P65" s="32">
        <f>VLOOKUP(B65,Russia!$A:$B,2,)</f>
        <v/>
      </c>
      <c r="Q65" s="32">
        <f>VLOOKUP(B65,India!$A:$B,2,)</f>
        <v/>
      </c>
      <c r="R65" s="32">
        <f>VLOOKUP(B65,Canada!$A:$B,2,)</f>
        <v/>
      </c>
      <c r="S65" s="32">
        <f>VLOOKUP(B65,Australia!$A:$B,2,)</f>
        <v/>
      </c>
      <c r="T65" s="32">
        <f>VLOOKUP(B65,Indonesia!$A:$B,2,)</f>
        <v/>
      </c>
      <c r="U65" s="32">
        <f>VLOOKUP(B65,SouthKorea!$A:$B,2,)</f>
        <v/>
      </c>
      <c r="V65" s="32">
        <f>VLOOKUP(B65,Taiwan!$A:$B,2,)</f>
        <v/>
      </c>
      <c r="W65" s="32">
        <f>VLOOKUP(B65,Greece!$A:$B,2,)</f>
        <v/>
      </c>
      <c r="X65" s="32">
        <f>VLOOKUP(B65,Ireland!$A:$B,2,)</f>
        <v/>
      </c>
      <c r="Y65" s="32">
        <f>VLOOKUP(B65,Turkey!$A:$B,2,)</f>
        <v/>
      </c>
      <c r="Z65" s="32">
        <f>VLOOKUP(B65,CzechRepublic!$A:$B,2,)</f>
        <v/>
      </c>
      <c r="AA65" s="32">
        <f>VLOOKUP(B65,Poland!$A:$B,2,)</f>
        <v/>
      </c>
      <c r="AB65" s="32">
        <f>VLOOKUP(B65,Denmark!$A:$B,2,)</f>
        <v/>
      </c>
    </row>
    <row r="66" customFormat="1" s="84">
      <c r="B66" s="31" t="n">
        <v>43709</v>
      </c>
      <c r="C66" s="32">
        <f>VLOOKUP(B66,Global!$A:$B,2,)</f>
        <v/>
      </c>
      <c r="D66" s="32">
        <f>VLOOKUP(B66,US!$A:$D,4,)</f>
        <v/>
      </c>
      <c r="E66" s="32">
        <f>VLOOKUP(B66,US!$A:$B,2,)</f>
        <v/>
      </c>
      <c r="F66" s="32">
        <f>VLOOKUP(B66,China!$A:$B,2,)</f>
        <v/>
      </c>
      <c r="G66" s="32">
        <f>VLOOKUP(B66,'Euro Area'!A:B,2,)</f>
        <v/>
      </c>
      <c r="H66" s="32">
        <f>VLOOKUP(B66,Japan!$A:$B,2,)</f>
        <v/>
      </c>
      <c r="I66" s="32">
        <f>VLOOKUP(B66,Germany!$A:$B,2,)</f>
        <v/>
      </c>
      <c r="J66" s="32">
        <f>VLOOKUP(B66,France!$A:$B,2,)</f>
        <v/>
      </c>
      <c r="K66" s="32">
        <f>VLOOKUP(B66,UK!$A:$B,2,)</f>
        <v/>
      </c>
      <c r="L66" s="32">
        <f>VLOOKUP(B66,Italy!$A:$B,2,)</f>
        <v/>
      </c>
      <c r="M66" s="32">
        <f>VLOOKUP(B66,Spain!$A:$B,2,)</f>
        <v/>
      </c>
      <c r="N66" s="32">
        <f>VLOOKUP(B66,Brazil!$A:$B,2,)</f>
        <v/>
      </c>
      <c r="O66" s="32">
        <f>VLOOKUP(B66,Mexico!$A:$B,2,)</f>
        <v/>
      </c>
      <c r="P66" s="32">
        <f>VLOOKUP(B66,Russia!$A:$B,2,)</f>
        <v/>
      </c>
      <c r="Q66" s="32">
        <f>VLOOKUP(B66,India!$A:$B,2,)</f>
        <v/>
      </c>
      <c r="R66" s="32">
        <f>VLOOKUP(B66,Canada!$A:$B,2,)</f>
        <v/>
      </c>
      <c r="S66" s="32">
        <f>VLOOKUP(B66,Australia!$A:$B,2,)</f>
        <v/>
      </c>
      <c r="T66" s="32">
        <f>VLOOKUP(B66,Indonesia!$A:$B,2,)</f>
        <v/>
      </c>
      <c r="U66" s="32">
        <f>VLOOKUP(B66,SouthKorea!$A:$B,2,)</f>
        <v/>
      </c>
      <c r="V66" s="32">
        <f>VLOOKUP(B66,Taiwan!$A:$B,2,)</f>
        <v/>
      </c>
      <c r="W66" s="32">
        <f>VLOOKUP(B66,Greece!$A:$B,2,)</f>
        <v/>
      </c>
      <c r="X66" s="32">
        <f>VLOOKUP(B66,Ireland!$A:$B,2,)</f>
        <v/>
      </c>
      <c r="Y66" s="32">
        <f>VLOOKUP(B66,Turkey!$A:$B,2,)</f>
        <v/>
      </c>
      <c r="Z66" s="32">
        <f>VLOOKUP(B66,CzechRepublic!$A:$B,2,)</f>
        <v/>
      </c>
      <c r="AA66" s="32">
        <f>VLOOKUP(B66,Poland!$A:$B,2,)</f>
        <v/>
      </c>
      <c r="AB66" s="32">
        <f>VLOOKUP(B66,Denmark!$A:$B,2,)</f>
        <v/>
      </c>
    </row>
    <row r="67" customFormat="1" s="84">
      <c r="B67" s="31" t="n">
        <v>43739</v>
      </c>
      <c r="C67" s="32">
        <f>VLOOKUP(B67,Global!$A:$B,2,)</f>
        <v/>
      </c>
      <c r="D67" s="32">
        <f>VLOOKUP(B67,US!$A:$D,4,)</f>
        <v/>
      </c>
      <c r="E67" s="32">
        <f>VLOOKUP(B67,US!$A:$B,2,)</f>
        <v/>
      </c>
      <c r="F67" s="32">
        <f>VLOOKUP(B67,China!$A:$B,2,)</f>
        <v/>
      </c>
      <c r="G67" s="32">
        <f>VLOOKUP(B67,'Euro Area'!A:B,2,)</f>
        <v/>
      </c>
      <c r="H67" s="32">
        <f>VLOOKUP(B67,Japan!$A:$B,2,)</f>
        <v/>
      </c>
      <c r="I67" s="32">
        <f>VLOOKUP(B67,Germany!$A:$B,2,)</f>
        <v/>
      </c>
      <c r="J67" s="32">
        <f>VLOOKUP(B67,France!$A:$B,2,)</f>
        <v/>
      </c>
      <c r="K67" s="32">
        <f>VLOOKUP(B67,UK!$A:$B,2,)</f>
        <v/>
      </c>
      <c r="L67" s="32">
        <f>VLOOKUP(B67,Italy!$A:$B,2,)</f>
        <v/>
      </c>
      <c r="M67" s="32">
        <f>VLOOKUP(B67,Spain!$A:$B,2,)</f>
        <v/>
      </c>
      <c r="N67" s="32">
        <f>VLOOKUP(B67,Brazil!$A:$B,2,)</f>
        <v/>
      </c>
      <c r="O67" s="32">
        <f>VLOOKUP(B67,Mexico!$A:$B,2,)</f>
        <v/>
      </c>
      <c r="P67" s="32">
        <f>VLOOKUP(B67,Russia!$A:$B,2,)</f>
        <v/>
      </c>
      <c r="Q67" s="32">
        <f>VLOOKUP(B67,India!$A:$B,2,)</f>
        <v/>
      </c>
      <c r="R67" s="32">
        <f>VLOOKUP(B67,Canada!$A:$B,2,)</f>
        <v/>
      </c>
      <c r="S67" s="32">
        <f>VLOOKUP(B67,Australia!$A:$B,2,)</f>
        <v/>
      </c>
      <c r="T67" s="32">
        <f>VLOOKUP(B67,Indonesia!$A:$B,2,)</f>
        <v/>
      </c>
      <c r="U67" s="32">
        <f>VLOOKUP(B67,SouthKorea!$A:$B,2,)</f>
        <v/>
      </c>
      <c r="V67" s="32">
        <f>VLOOKUP(B67,Taiwan!$A:$B,2,)</f>
        <v/>
      </c>
      <c r="W67" s="32">
        <f>VLOOKUP(B67,Greece!$A:$B,2,)</f>
        <v/>
      </c>
      <c r="X67" s="32">
        <f>VLOOKUP(B67,Ireland!$A:$B,2,)</f>
        <v/>
      </c>
      <c r="Y67" s="32">
        <f>VLOOKUP(B67,Turkey!$A:$B,2,)</f>
        <v/>
      </c>
      <c r="Z67" s="32">
        <f>VLOOKUP(B67,CzechRepublic!$A:$B,2,)</f>
        <v/>
      </c>
      <c r="AA67" s="32">
        <f>VLOOKUP(B67,Poland!$A:$B,2,)</f>
        <v/>
      </c>
      <c r="AB67" s="32">
        <f>VLOOKUP(B67,Denmark!$A:$B,2,)</f>
        <v/>
      </c>
    </row>
    <row r="68" customFormat="1" s="84">
      <c r="B68" s="31" t="n">
        <v>43770</v>
      </c>
      <c r="C68" s="32">
        <f>VLOOKUP(B68,Global!$A:$B,2,)</f>
        <v/>
      </c>
      <c r="D68" s="32">
        <f>VLOOKUP(B68,US!$A:$D,4,)</f>
        <v/>
      </c>
      <c r="E68" s="32">
        <f>VLOOKUP(B68,US!$A:$B,2,)</f>
        <v/>
      </c>
      <c r="F68" s="32">
        <f>VLOOKUP(B68,China!$A:$B,2,)</f>
        <v/>
      </c>
      <c r="G68" s="32">
        <f>VLOOKUP(B68,'Euro Area'!A:B,2,)</f>
        <v/>
      </c>
      <c r="H68" s="32">
        <f>VLOOKUP(B68,Japan!$A:$B,2,)</f>
        <v/>
      </c>
      <c r="I68" s="32">
        <f>VLOOKUP(B68,Germany!$A:$B,2,)</f>
        <v/>
      </c>
      <c r="J68" s="32">
        <f>VLOOKUP(B68,France!$A:$B,2,)</f>
        <v/>
      </c>
      <c r="K68" s="32">
        <f>VLOOKUP(B68,UK!$A:$B,2,)</f>
        <v/>
      </c>
      <c r="L68" s="32">
        <f>VLOOKUP(B68,Italy!$A:$B,2,)</f>
        <v/>
      </c>
      <c r="M68" s="32">
        <f>VLOOKUP(B68,Spain!$A:$B,2,)</f>
        <v/>
      </c>
      <c r="N68" s="32">
        <f>VLOOKUP(B68,Brazil!$A:$B,2,)</f>
        <v/>
      </c>
      <c r="O68" s="32">
        <f>VLOOKUP(B68,Mexico!$A:$B,2,)</f>
        <v/>
      </c>
      <c r="P68" s="32">
        <f>VLOOKUP(B68,Russia!$A:$B,2,)</f>
        <v/>
      </c>
      <c r="Q68" s="32">
        <f>VLOOKUP(B68,India!$A:$B,2,)</f>
        <v/>
      </c>
      <c r="R68" s="32">
        <f>VLOOKUP(B68,Canada!$A:$B,2,)</f>
        <v/>
      </c>
      <c r="S68" s="32">
        <f>VLOOKUP(B68,Australia!$A:$B,2,)</f>
        <v/>
      </c>
      <c r="T68" s="32">
        <f>VLOOKUP(B68,Indonesia!$A:$B,2,)</f>
        <v/>
      </c>
      <c r="U68" s="32">
        <f>VLOOKUP(B68,SouthKorea!$A:$B,2,)</f>
        <v/>
      </c>
      <c r="V68" s="32">
        <f>VLOOKUP(B68,Taiwan!$A:$B,2,)</f>
        <v/>
      </c>
      <c r="W68" s="32">
        <f>VLOOKUP(B68,Greece!$A:$B,2,)</f>
        <v/>
      </c>
      <c r="X68" s="32">
        <f>VLOOKUP(B68,Ireland!$A:$B,2,)</f>
        <v/>
      </c>
      <c r="Y68" s="32">
        <f>VLOOKUP(B68,Turkey!$A:$B,2,)</f>
        <v/>
      </c>
      <c r="Z68" s="32">
        <f>VLOOKUP(B68,CzechRepublic!$A:$B,2,)</f>
        <v/>
      </c>
      <c r="AA68" s="32">
        <f>VLOOKUP(B68,Poland!$A:$B,2,)</f>
        <v/>
      </c>
      <c r="AB68" s="32">
        <f>VLOOKUP(B68,Denmark!$A:$B,2,)</f>
        <v/>
      </c>
    </row>
    <row r="69" customFormat="1" s="84">
      <c r="B69" s="31" t="n">
        <v>43800</v>
      </c>
      <c r="C69" s="32">
        <f>VLOOKUP(B69,Global!$A:$B,2,)</f>
        <v/>
      </c>
      <c r="D69" s="32">
        <f>VLOOKUP(B69,US!$A:$D,4,)</f>
        <v/>
      </c>
      <c r="E69" s="32">
        <f>VLOOKUP(B69,US!$A:$B,2,)</f>
        <v/>
      </c>
      <c r="F69" s="32">
        <f>VLOOKUP(B69,China!$A:$B,2,)</f>
        <v/>
      </c>
      <c r="G69" s="32">
        <f>VLOOKUP(B69,'Euro Area'!A:B,2,)</f>
        <v/>
      </c>
      <c r="H69" s="32">
        <f>VLOOKUP(B69,Japan!$A:$B,2,)</f>
        <v/>
      </c>
      <c r="I69" s="32">
        <f>VLOOKUP(B69,Germany!$A:$B,2,)</f>
        <v/>
      </c>
      <c r="J69" s="32">
        <f>VLOOKUP(B69,France!$A:$B,2,)</f>
        <v/>
      </c>
      <c r="K69" s="32">
        <f>VLOOKUP(B69,UK!$A:$B,2,)</f>
        <v/>
      </c>
      <c r="L69" s="32">
        <f>VLOOKUP(B69,Italy!$A:$B,2,)</f>
        <v/>
      </c>
      <c r="M69" s="32">
        <f>VLOOKUP(B69,Spain!$A:$B,2,)</f>
        <v/>
      </c>
      <c r="N69" s="32">
        <f>VLOOKUP(B69,Brazil!$A:$B,2,)</f>
        <v/>
      </c>
      <c r="O69" s="32">
        <f>VLOOKUP(B69,Mexico!$A:$B,2,)</f>
        <v/>
      </c>
      <c r="P69" s="32">
        <f>VLOOKUP(B69,Russia!$A:$B,2,)</f>
        <v/>
      </c>
      <c r="Q69" s="32">
        <f>VLOOKUP(B69,India!$A:$B,2,)</f>
        <v/>
      </c>
      <c r="R69" s="32">
        <f>VLOOKUP(B69,Canada!$A:$B,2,)</f>
        <v/>
      </c>
      <c r="S69" s="32">
        <f>VLOOKUP(B69,Australia!$A:$B,2,)</f>
        <v/>
      </c>
      <c r="T69" s="32">
        <f>VLOOKUP(B69,Indonesia!$A:$B,2,)</f>
        <v/>
      </c>
      <c r="U69" s="32">
        <f>VLOOKUP(B69,SouthKorea!$A:$B,2,)</f>
        <v/>
      </c>
      <c r="V69" s="32">
        <f>VLOOKUP(B69,Taiwan!$A:$B,2,)</f>
        <v/>
      </c>
      <c r="W69" s="32">
        <f>VLOOKUP(B69,Greece!$A:$B,2,)</f>
        <v/>
      </c>
      <c r="X69" s="32">
        <f>VLOOKUP(B69,Ireland!$A:$B,2,)</f>
        <v/>
      </c>
      <c r="Y69" s="32">
        <f>VLOOKUP(B69,Turkey!$A:$B,2,)</f>
        <v/>
      </c>
      <c r="Z69" s="32">
        <f>VLOOKUP(B69,CzechRepublic!$A:$B,2,)</f>
        <v/>
      </c>
      <c r="AA69" s="32">
        <f>VLOOKUP(B69,Poland!$A:$B,2,)</f>
        <v/>
      </c>
      <c r="AB69" s="32">
        <f>VLOOKUP(B69,Denmark!$A:$B,2,)</f>
        <v/>
      </c>
    </row>
    <row r="70" customFormat="1" s="84">
      <c r="B70" s="31" t="n">
        <v>43831</v>
      </c>
      <c r="C70" s="32">
        <f>VLOOKUP(B70,Global!$A:$B,2,)</f>
        <v/>
      </c>
      <c r="D70" s="32">
        <f>VLOOKUP(B70,US!$A:$D,4,)</f>
        <v/>
      </c>
      <c r="E70" s="32">
        <f>VLOOKUP(B70,US!$A:$B,2,)</f>
        <v/>
      </c>
      <c r="F70" s="32">
        <f>VLOOKUP(B70,China!$A:$B,2,)</f>
        <v/>
      </c>
      <c r="G70" s="32">
        <f>VLOOKUP(B70,'Euro Area'!A:B,2,)</f>
        <v/>
      </c>
      <c r="H70" s="32">
        <f>VLOOKUP(B70,Japan!$A:$B,2,)</f>
        <v/>
      </c>
      <c r="I70" s="32">
        <f>VLOOKUP(B70,Germany!$A:$B,2,)</f>
        <v/>
      </c>
      <c r="J70" s="32">
        <f>VLOOKUP(B70,France!$A:$B,2,)</f>
        <v/>
      </c>
      <c r="K70" s="32">
        <f>VLOOKUP(B70,UK!$A:$B,2,)</f>
        <v/>
      </c>
      <c r="L70" s="32">
        <f>VLOOKUP(B70,Italy!$A:$B,2,)</f>
        <v/>
      </c>
      <c r="M70" s="32">
        <f>VLOOKUP(B70,Spain!$A:$B,2,)</f>
        <v/>
      </c>
      <c r="N70" s="32">
        <f>VLOOKUP(B70,Brazil!$A:$B,2,)</f>
        <v/>
      </c>
      <c r="O70" s="32">
        <f>VLOOKUP(B70,Mexico!$A:$B,2,)</f>
        <v/>
      </c>
      <c r="P70" s="32">
        <f>VLOOKUP(B70,Russia!$A:$B,2,)</f>
        <v/>
      </c>
      <c r="Q70" s="32">
        <f>VLOOKUP(B70,India!$A:$B,2,)</f>
        <v/>
      </c>
      <c r="R70" s="32">
        <f>VLOOKUP(B70,Canada!$A:$B,2,)</f>
        <v/>
      </c>
      <c r="S70" s="32">
        <f>VLOOKUP(B70,Australia!$A:$B,2,)</f>
        <v/>
      </c>
      <c r="T70" s="32">
        <f>VLOOKUP(B70,Indonesia!$A:$B,2,)</f>
        <v/>
      </c>
      <c r="U70" s="32">
        <f>VLOOKUP(B70,SouthKorea!$A:$B,2,)</f>
        <v/>
      </c>
      <c r="V70" s="32">
        <f>VLOOKUP(B70,Taiwan!$A:$B,2,)</f>
        <v/>
      </c>
      <c r="W70" s="32">
        <f>VLOOKUP(B70,Greece!$A:$B,2,)</f>
        <v/>
      </c>
      <c r="X70" s="32">
        <f>VLOOKUP(B70,Ireland!$A:$B,2,)</f>
        <v/>
      </c>
      <c r="Y70" s="32">
        <f>VLOOKUP(B70,Turkey!$A:$B,2,)</f>
        <v/>
      </c>
      <c r="Z70" s="32">
        <f>VLOOKUP(B70,CzechRepublic!$A:$B,2,)</f>
        <v/>
      </c>
      <c r="AA70" s="32">
        <f>VLOOKUP(B70,Poland!$A:$B,2,)</f>
        <v/>
      </c>
      <c r="AB70" s="32">
        <f>VLOOKUP(B70,Denmark!$A:$B,2,)</f>
        <v/>
      </c>
    </row>
    <row r="71" customFormat="1" s="84">
      <c r="B71" s="31" t="n">
        <v>43862</v>
      </c>
      <c r="C71" s="32">
        <f>VLOOKUP(B71,Global!$A:$B,2,)</f>
        <v/>
      </c>
      <c r="D71" s="32">
        <f>VLOOKUP(B71,US!$A:$D,4,)</f>
        <v/>
      </c>
      <c r="E71" s="32">
        <f>VLOOKUP(B71,US!$A:$B,2,)</f>
        <v/>
      </c>
      <c r="F71" s="32">
        <f>VLOOKUP(B71,China!$A:$B,2,)</f>
        <v/>
      </c>
      <c r="G71" s="32">
        <f>VLOOKUP(B71,'Euro Area'!A:B,2,)</f>
        <v/>
      </c>
      <c r="H71" s="32">
        <f>VLOOKUP(B71,Japan!$A:$B,2,)</f>
        <v/>
      </c>
      <c r="I71" s="32">
        <f>VLOOKUP(B71,Germany!$A:$B,2,)</f>
        <v/>
      </c>
      <c r="J71" s="32">
        <f>VLOOKUP(B71,France!$A:$B,2,)</f>
        <v/>
      </c>
      <c r="K71" s="32">
        <f>VLOOKUP(B71,UK!$A:$B,2,)</f>
        <v/>
      </c>
      <c r="L71" s="32">
        <f>VLOOKUP(B71,Italy!$A:$B,2,)</f>
        <v/>
      </c>
      <c r="M71" s="32">
        <f>VLOOKUP(B71,Spain!$A:$B,2,)</f>
        <v/>
      </c>
      <c r="N71" s="32">
        <f>VLOOKUP(B71,Brazil!$A:$B,2,)</f>
        <v/>
      </c>
      <c r="O71" s="32">
        <f>VLOOKUP(B71,Mexico!$A:$B,2,)</f>
        <v/>
      </c>
      <c r="P71" s="32">
        <f>VLOOKUP(B71,Russia!$A:$B,2,)</f>
        <v/>
      </c>
      <c r="Q71" s="32">
        <f>VLOOKUP(B71,India!$A:$B,2,)</f>
        <v/>
      </c>
      <c r="R71" s="32">
        <f>VLOOKUP(B71,Canada!$A:$B,2,)</f>
        <v/>
      </c>
      <c r="S71" s="32">
        <f>VLOOKUP(B71,Australia!$A:$B,2,)</f>
        <v/>
      </c>
      <c r="T71" s="32">
        <f>VLOOKUP(B71,Indonesia!$A:$B,2,)</f>
        <v/>
      </c>
      <c r="U71" s="32">
        <f>VLOOKUP(B71,SouthKorea!$A:$B,2,)</f>
        <v/>
      </c>
      <c r="V71" s="32">
        <f>VLOOKUP(B71,Taiwan!$A:$B,2,)</f>
        <v/>
      </c>
      <c r="W71" s="32">
        <f>VLOOKUP(B71,Greece!$A:$B,2,)</f>
        <v/>
      </c>
      <c r="X71" s="32">
        <f>VLOOKUP(B71,Ireland!$A:$B,2,)</f>
        <v/>
      </c>
      <c r="Y71" s="32">
        <f>VLOOKUP(B71,Turkey!$A:$B,2,)</f>
        <v/>
      </c>
      <c r="Z71" s="32">
        <f>VLOOKUP(B71,CzechRepublic!$A:$B,2,)</f>
        <v/>
      </c>
      <c r="AA71" s="32">
        <f>VLOOKUP(B71,Poland!$A:$B,2,)</f>
        <v/>
      </c>
      <c r="AB71" s="32">
        <f>VLOOKUP(B71,Denmark!$A:$B,2,)</f>
        <v/>
      </c>
    </row>
    <row r="72" customFormat="1" s="84">
      <c r="B72" s="31" t="n">
        <v>43891</v>
      </c>
      <c r="C72" s="32">
        <f>VLOOKUP(B72,Global!$A:$B,2,)</f>
        <v/>
      </c>
      <c r="D72" s="32">
        <f>VLOOKUP(B72,US!$A:$D,4,)</f>
        <v/>
      </c>
      <c r="E72" s="32">
        <f>VLOOKUP(B72,US!$A:$B,2,)</f>
        <v/>
      </c>
      <c r="F72" s="32">
        <f>VLOOKUP(B72,China!$A:$B,2,)</f>
        <v/>
      </c>
      <c r="G72" s="32">
        <f>VLOOKUP(B72,'Euro Area'!A:B,2,)</f>
        <v/>
      </c>
      <c r="H72" s="32">
        <f>VLOOKUP(B72,Japan!$A:$B,2,)</f>
        <v/>
      </c>
      <c r="I72" s="32">
        <f>VLOOKUP(B72,Germany!$A:$B,2,)</f>
        <v/>
      </c>
      <c r="J72" s="32">
        <f>VLOOKUP(B72,France!$A:$B,2,)</f>
        <v/>
      </c>
      <c r="K72" s="32">
        <f>VLOOKUP(B72,UK!$A:$B,2,)</f>
        <v/>
      </c>
      <c r="L72" s="32">
        <f>VLOOKUP(B72,Italy!$A:$B,2,)</f>
        <v/>
      </c>
      <c r="M72" s="32">
        <f>VLOOKUP(B72,Spain!$A:$B,2,)</f>
        <v/>
      </c>
      <c r="N72" s="32">
        <f>VLOOKUP(B72,Brazil!$A:$B,2,)</f>
        <v/>
      </c>
      <c r="O72" s="32">
        <f>VLOOKUP(B72,Mexico!$A:$B,2,)</f>
        <v/>
      </c>
      <c r="P72" s="32">
        <f>VLOOKUP(B72,Russia!$A:$B,2,)</f>
        <v/>
      </c>
      <c r="Q72" s="32">
        <f>VLOOKUP(B72,India!$A:$B,2,)</f>
        <v/>
      </c>
      <c r="R72" s="32">
        <f>VLOOKUP(B72,Canada!$A:$B,2,)</f>
        <v/>
      </c>
      <c r="S72" s="32">
        <f>VLOOKUP(B72,Australia!$A:$B,2,)</f>
        <v/>
      </c>
      <c r="T72" s="32">
        <f>VLOOKUP(B72,Indonesia!$A:$B,2,)</f>
        <v/>
      </c>
      <c r="U72" s="32">
        <f>VLOOKUP(B72,SouthKorea!$A:$B,2,)</f>
        <v/>
      </c>
      <c r="V72" s="32">
        <f>VLOOKUP(B72,Taiwan!$A:$B,2,)</f>
        <v/>
      </c>
      <c r="W72" s="32">
        <f>VLOOKUP(B72,Greece!$A:$B,2,)</f>
        <v/>
      </c>
      <c r="X72" s="32">
        <f>VLOOKUP(B72,Ireland!$A:$B,2,)</f>
        <v/>
      </c>
      <c r="Y72" s="32">
        <f>VLOOKUP(B72,Turkey!$A:$B,2,)</f>
        <v/>
      </c>
      <c r="Z72" s="32">
        <f>VLOOKUP(B72,CzechRepublic!$A:$B,2,)</f>
        <v/>
      </c>
      <c r="AA72" s="32">
        <f>VLOOKUP(B72,Poland!$A:$B,2,)</f>
        <v/>
      </c>
      <c r="AB72" s="32">
        <f>VLOOKUP(B72,Denmark!$A:$B,2,)</f>
        <v/>
      </c>
    </row>
    <row r="73" customFormat="1" s="84">
      <c r="B73" s="31" t="n">
        <v>43922</v>
      </c>
      <c r="C73" s="32">
        <f>VLOOKUP(B73,Global!$A:$B,2,)</f>
        <v/>
      </c>
      <c r="D73" s="32">
        <f>VLOOKUP(B73,US!$A:$D,4,)</f>
        <v/>
      </c>
      <c r="E73" s="32">
        <f>VLOOKUP(B73,US!$A:$B,2,)</f>
        <v/>
      </c>
      <c r="F73" s="32">
        <f>VLOOKUP(B73,China!$A:$B,2,)</f>
        <v/>
      </c>
      <c r="G73" s="32">
        <f>VLOOKUP(B73,'Euro Area'!A:B,2,)</f>
        <v/>
      </c>
      <c r="H73" s="32">
        <f>VLOOKUP(B73,Japan!$A:$B,2,)</f>
        <v/>
      </c>
      <c r="I73" s="32">
        <f>VLOOKUP(B73,Germany!$A:$B,2,)</f>
        <v/>
      </c>
      <c r="J73" s="32">
        <f>VLOOKUP(B73,France!$A:$B,2,)</f>
        <v/>
      </c>
      <c r="K73" s="32">
        <f>VLOOKUP(B73,UK!$A:$B,2,)</f>
        <v/>
      </c>
      <c r="L73" s="32">
        <f>VLOOKUP(B73,Italy!$A:$B,2,)</f>
        <v/>
      </c>
      <c r="M73" s="32">
        <f>VLOOKUP(B73,Spain!$A:$B,2,)</f>
        <v/>
      </c>
      <c r="N73" s="32">
        <f>VLOOKUP(B73,Brazil!$A:$B,2,)</f>
        <v/>
      </c>
      <c r="O73" s="32">
        <f>VLOOKUP(B73,Mexico!$A:$B,2,)</f>
        <v/>
      </c>
      <c r="P73" s="32">
        <f>VLOOKUP(B73,Russia!$A:$B,2,)</f>
        <v/>
      </c>
      <c r="Q73" s="32">
        <f>VLOOKUP(B73,India!$A:$B,2,)</f>
        <v/>
      </c>
      <c r="R73" s="32">
        <f>VLOOKUP(B73,Canada!$A:$B,2,)</f>
        <v/>
      </c>
      <c r="S73" s="32">
        <f>VLOOKUP(B73,Australia!$A:$B,2,)</f>
        <v/>
      </c>
      <c r="T73" s="32">
        <f>VLOOKUP(B73,Indonesia!$A:$B,2,)</f>
        <v/>
      </c>
      <c r="U73" s="32">
        <f>VLOOKUP(B73,SouthKorea!$A:$B,2,)</f>
        <v/>
      </c>
      <c r="V73" s="32">
        <f>VLOOKUP(B73,Taiwan!$A:$B,2,)</f>
        <v/>
      </c>
      <c r="W73" s="32">
        <f>VLOOKUP(B73,Greece!$A:$B,2,)</f>
        <v/>
      </c>
      <c r="X73" s="32">
        <f>VLOOKUP(B73,Ireland!$A:$B,2,)</f>
        <v/>
      </c>
      <c r="Y73" s="32">
        <f>VLOOKUP(B73,Turkey!$A:$B,2,)</f>
        <v/>
      </c>
      <c r="Z73" s="32">
        <f>VLOOKUP(B73,CzechRepublic!$A:$B,2,)</f>
        <v/>
      </c>
      <c r="AA73" s="32">
        <f>VLOOKUP(B73,Poland!$A:$B,2,)</f>
        <v/>
      </c>
      <c r="AB73" s="32">
        <f>VLOOKUP(B73,Denmark!$A:$B,2,)</f>
        <v/>
      </c>
    </row>
    <row r="74" customFormat="1" s="84">
      <c r="B74" s="31" t="n">
        <v>43952</v>
      </c>
      <c r="C74" s="32">
        <f>VLOOKUP(B74,Global!$A:$B,2,)</f>
        <v/>
      </c>
      <c r="D74" s="32">
        <f>VLOOKUP(B74,US!$A:$D,4,)</f>
        <v/>
      </c>
      <c r="E74" s="32">
        <f>VLOOKUP(B74,US!$A:$B,2,)</f>
        <v/>
      </c>
      <c r="F74" s="32">
        <f>VLOOKUP(B74,China!$A:$B,2,)</f>
        <v/>
      </c>
      <c r="G74" s="32">
        <f>VLOOKUP(B74,'Euro Area'!A:B,2,)</f>
        <v/>
      </c>
      <c r="H74" s="32">
        <f>VLOOKUP(B74,Japan!$A:$B,2,)</f>
        <v/>
      </c>
      <c r="I74" s="32">
        <f>VLOOKUP(B74,Germany!$A:$B,2,)</f>
        <v/>
      </c>
      <c r="J74" s="32">
        <f>VLOOKUP(B74,France!$A:$B,2,)</f>
        <v/>
      </c>
      <c r="K74" s="32">
        <f>VLOOKUP(B74,UK!$A:$B,2,)</f>
        <v/>
      </c>
      <c r="L74" s="32">
        <f>VLOOKUP(B74,Italy!$A:$B,2,)</f>
        <v/>
      </c>
      <c r="M74" s="32">
        <f>VLOOKUP(B74,Spain!$A:$B,2,)</f>
        <v/>
      </c>
      <c r="N74" s="32">
        <f>VLOOKUP(B74,Brazil!$A:$B,2,)</f>
        <v/>
      </c>
      <c r="O74" s="32">
        <f>VLOOKUP(B74,Mexico!$A:$B,2,)</f>
        <v/>
      </c>
      <c r="P74" s="32">
        <f>VLOOKUP(B74,Russia!$A:$B,2,)</f>
        <v/>
      </c>
      <c r="Q74" s="32">
        <f>VLOOKUP(B74,India!$A:$B,2,)</f>
        <v/>
      </c>
      <c r="R74" s="32">
        <f>VLOOKUP(B74,Canada!$A:$B,2,)</f>
        <v/>
      </c>
      <c r="S74" s="32">
        <f>VLOOKUP(B74,Australia!$A:$B,2,)</f>
        <v/>
      </c>
      <c r="T74" s="32">
        <f>VLOOKUP(B74,Indonesia!$A:$B,2,)</f>
        <v/>
      </c>
      <c r="U74" s="32">
        <f>VLOOKUP(B74,SouthKorea!$A:$B,2,)</f>
        <v/>
      </c>
      <c r="V74" s="32">
        <f>VLOOKUP(B74,Taiwan!$A:$B,2,)</f>
        <v/>
      </c>
      <c r="W74" s="32">
        <f>VLOOKUP(B74,Greece!$A:$B,2,)</f>
        <v/>
      </c>
      <c r="X74" s="32">
        <f>VLOOKUP(B74,Ireland!$A:$B,2,)</f>
        <v/>
      </c>
      <c r="Y74" s="32">
        <f>VLOOKUP(B74,Turkey!$A:$B,2,)</f>
        <v/>
      </c>
      <c r="Z74" s="32">
        <f>VLOOKUP(B74,CzechRepublic!$A:$B,2,)</f>
        <v/>
      </c>
      <c r="AA74" s="32">
        <f>VLOOKUP(B74,Poland!$A:$B,2,)</f>
        <v/>
      </c>
      <c r="AB74" s="32">
        <f>VLOOKUP(B74,Denmark!$A:$B,2,)</f>
        <v/>
      </c>
    </row>
    <row r="75" customFormat="1" s="84">
      <c r="B75" s="31" t="n">
        <v>43983</v>
      </c>
      <c r="C75" s="32">
        <f>VLOOKUP(B75,Global!$A:$B,2,)</f>
        <v/>
      </c>
      <c r="D75" s="32">
        <f>VLOOKUP(B75,US!$A:$D,4,)</f>
        <v/>
      </c>
      <c r="E75" s="32">
        <f>VLOOKUP(B75,US!$A:$B,2,)</f>
        <v/>
      </c>
      <c r="F75" s="32">
        <f>VLOOKUP(B75,China!$A:$B,2,)</f>
        <v/>
      </c>
      <c r="G75" s="32">
        <f>VLOOKUP(B75,'Euro Area'!A:B,2,)</f>
        <v/>
      </c>
      <c r="H75" s="32">
        <f>VLOOKUP(B75,Japan!$A:$B,2,)</f>
        <v/>
      </c>
      <c r="I75" s="32">
        <f>VLOOKUP(B75,Germany!$A:$B,2,)</f>
        <v/>
      </c>
      <c r="J75" s="32">
        <f>VLOOKUP(B75,France!$A:$B,2,)</f>
        <v/>
      </c>
      <c r="K75" s="32">
        <f>VLOOKUP(B75,UK!$A:$B,2,)</f>
        <v/>
      </c>
      <c r="L75" s="32">
        <f>VLOOKUP(B75,Italy!$A:$B,2,)</f>
        <v/>
      </c>
      <c r="M75" s="32">
        <f>VLOOKUP(B75,Spain!$A:$B,2,)</f>
        <v/>
      </c>
      <c r="N75" s="32">
        <f>VLOOKUP(B75,Brazil!$A:$B,2,)</f>
        <v/>
      </c>
      <c r="O75" s="32">
        <f>VLOOKUP(B75,Mexico!$A:$B,2,)</f>
        <v/>
      </c>
      <c r="P75" s="32">
        <f>VLOOKUP(B75,Russia!$A:$B,2,)</f>
        <v/>
      </c>
      <c r="Q75" s="32">
        <f>VLOOKUP(B75,India!$A:$B,2,)</f>
        <v/>
      </c>
      <c r="R75" s="32">
        <f>VLOOKUP(B75,Canada!$A:$B,2,)</f>
        <v/>
      </c>
      <c r="S75" s="32">
        <f>VLOOKUP(B75,Australia!$A:$B,2,)</f>
        <v/>
      </c>
      <c r="T75" s="32">
        <f>VLOOKUP(B75,Indonesia!$A:$B,2,)</f>
        <v/>
      </c>
      <c r="U75" s="32">
        <f>VLOOKUP(B75,SouthKorea!$A:$B,2,)</f>
        <v/>
      </c>
      <c r="V75" s="32">
        <f>VLOOKUP(B75,Taiwan!$A:$B,2,)</f>
        <v/>
      </c>
      <c r="W75" s="32">
        <f>VLOOKUP(B75,Greece!$A:$B,2,)</f>
        <v/>
      </c>
      <c r="X75" s="32">
        <f>VLOOKUP(B75,Ireland!$A:$B,2,)</f>
        <v/>
      </c>
      <c r="Y75" s="32">
        <f>VLOOKUP(B75,Turkey!$A:$B,2,)</f>
        <v/>
      </c>
      <c r="Z75" s="32">
        <f>VLOOKUP(B75,CzechRepublic!$A:$B,2,)</f>
        <v/>
      </c>
      <c r="AA75" s="32">
        <f>VLOOKUP(B75,Poland!$A:$B,2,)</f>
        <v/>
      </c>
      <c r="AB75" s="32">
        <f>VLOOKUP(B75,Denmark!$A:$B,2,)</f>
        <v/>
      </c>
    </row>
    <row r="76" customFormat="1" s="84">
      <c r="B76" s="31" t="n">
        <v>44013</v>
      </c>
      <c r="C76" s="32">
        <f>VLOOKUP(B76,Global!$A:$B,2,)</f>
        <v/>
      </c>
      <c r="D76" s="32">
        <f>VLOOKUP(B76,US!$A:$D,4,)</f>
        <v/>
      </c>
      <c r="E76" s="32">
        <f>VLOOKUP(B76,US!$A:$B,2,)</f>
        <v/>
      </c>
      <c r="F76" s="32">
        <f>VLOOKUP(B76,China!$A:$B,2,)</f>
        <v/>
      </c>
      <c r="G76" s="32">
        <f>VLOOKUP(B76,'Euro Area'!A:B,2,)</f>
        <v/>
      </c>
      <c r="H76" s="32">
        <f>VLOOKUP(B76,Japan!$A:$B,2,)</f>
        <v/>
      </c>
      <c r="I76" s="32">
        <f>VLOOKUP(B76,Germany!$A:$B,2,)</f>
        <v/>
      </c>
      <c r="J76" s="32">
        <f>VLOOKUP(B76,France!$A:$B,2,)</f>
        <v/>
      </c>
      <c r="K76" s="32">
        <f>VLOOKUP(B76,UK!$A:$B,2,)</f>
        <v/>
      </c>
      <c r="L76" s="32">
        <f>VLOOKUP(B76,Italy!$A:$B,2,)</f>
        <v/>
      </c>
      <c r="M76" s="32">
        <f>VLOOKUP(B76,Spain!$A:$B,2,)</f>
        <v/>
      </c>
      <c r="N76" s="32">
        <f>VLOOKUP(B76,Brazil!$A:$B,2,)</f>
        <v/>
      </c>
      <c r="O76" s="32">
        <f>VLOOKUP(B76,Mexico!$A:$B,2,)</f>
        <v/>
      </c>
      <c r="P76" s="32">
        <f>VLOOKUP(B76,Russia!$A:$B,2,)</f>
        <v/>
      </c>
      <c r="Q76" s="32">
        <f>VLOOKUP(B76,India!$A:$B,2,)</f>
        <v/>
      </c>
      <c r="R76" s="32">
        <f>VLOOKUP(B76,Canada!$A:$B,2,)</f>
        <v/>
      </c>
      <c r="S76" s="32">
        <f>VLOOKUP(B76,Australia!$A:$B,2,)</f>
        <v/>
      </c>
      <c r="T76" s="32">
        <f>VLOOKUP(B76,Indonesia!$A:$B,2,)</f>
        <v/>
      </c>
      <c r="U76" s="32">
        <f>VLOOKUP(B76,SouthKorea!$A:$B,2,)</f>
        <v/>
      </c>
      <c r="V76" s="32">
        <f>VLOOKUP(B76,Taiwan!$A:$B,2,)</f>
        <v/>
      </c>
      <c r="W76" s="32">
        <f>VLOOKUP(B76,Greece!$A:$B,2,)</f>
        <v/>
      </c>
      <c r="X76" s="32">
        <f>VLOOKUP(B76,Ireland!$A:$B,2,)</f>
        <v/>
      </c>
      <c r="Y76" s="32">
        <f>VLOOKUP(B76,Turkey!$A:$B,2,)</f>
        <v/>
      </c>
      <c r="Z76" s="32">
        <f>VLOOKUP(B76,CzechRepublic!$A:$B,2,)</f>
        <v/>
      </c>
      <c r="AA76" s="32">
        <f>VLOOKUP(B76,Poland!$A:$B,2,)</f>
        <v/>
      </c>
      <c r="AB76" s="32">
        <f>VLOOKUP(B76,Denmark!$A:$B,2,)</f>
        <v/>
      </c>
    </row>
    <row r="77" customFormat="1" s="84">
      <c r="B77" s="31" t="n">
        <v>44044</v>
      </c>
      <c r="C77" s="32">
        <f>VLOOKUP(B77,Global!$A:$B,2,)</f>
        <v/>
      </c>
      <c r="D77" s="32">
        <f>VLOOKUP(B77,US!$A:$D,4,)</f>
        <v/>
      </c>
      <c r="E77" s="32">
        <f>VLOOKUP(B77,US!$A:$B,2,)</f>
        <v/>
      </c>
      <c r="F77" s="32">
        <f>VLOOKUP(B77,China!$A:$B,2,)</f>
        <v/>
      </c>
      <c r="G77" s="32">
        <f>VLOOKUP(B77,'Euro Area'!A:B,2,)</f>
        <v/>
      </c>
      <c r="H77" s="32">
        <f>VLOOKUP(B77,Japan!$A:$B,2,)</f>
        <v/>
      </c>
      <c r="I77" s="32">
        <f>VLOOKUP(B77,Germany!$A:$B,2,)</f>
        <v/>
      </c>
      <c r="J77" s="32">
        <f>VLOOKUP(B77,France!$A:$B,2,)</f>
        <v/>
      </c>
      <c r="K77" s="32">
        <f>VLOOKUP(B77,UK!$A:$B,2,)</f>
        <v/>
      </c>
      <c r="L77" s="32">
        <f>VLOOKUP(B77,Italy!$A:$B,2,)</f>
        <v/>
      </c>
      <c r="M77" s="32">
        <f>VLOOKUP(B77,Spain!$A:$B,2,)</f>
        <v/>
      </c>
      <c r="N77" s="32">
        <f>VLOOKUP(B77,Brazil!$A:$B,2,)</f>
        <v/>
      </c>
      <c r="O77" s="32">
        <f>VLOOKUP(B77,Mexico!$A:$B,2,)</f>
        <v/>
      </c>
      <c r="P77" s="32">
        <f>VLOOKUP(B77,Russia!$A:$B,2,)</f>
        <v/>
      </c>
      <c r="Q77" s="32">
        <f>VLOOKUP(B77,India!$A:$B,2,)</f>
        <v/>
      </c>
      <c r="R77" s="32">
        <f>VLOOKUP(B77,Canada!$A:$B,2,)</f>
        <v/>
      </c>
      <c r="S77" s="32">
        <f>VLOOKUP(B77,Australia!$A:$B,2,)</f>
        <v/>
      </c>
      <c r="T77" s="32">
        <f>VLOOKUP(B77,Indonesia!$A:$B,2,)</f>
        <v/>
      </c>
      <c r="U77" s="32">
        <f>VLOOKUP(B77,SouthKorea!$A:$B,2,)</f>
        <v/>
      </c>
      <c r="V77" s="32">
        <f>VLOOKUP(B77,Taiwan!$A:$B,2,)</f>
        <v/>
      </c>
      <c r="W77" s="32">
        <f>VLOOKUP(B77,Greece!$A:$B,2,)</f>
        <v/>
      </c>
      <c r="X77" s="32">
        <f>VLOOKUP(B77,Ireland!$A:$B,2,)</f>
        <v/>
      </c>
      <c r="Y77" s="32">
        <f>VLOOKUP(B77,Turkey!$A:$B,2,)</f>
        <v/>
      </c>
      <c r="Z77" s="32">
        <f>VLOOKUP(B77,CzechRepublic!$A:$B,2,)</f>
        <v/>
      </c>
      <c r="AA77" s="32">
        <f>VLOOKUP(B77,Poland!$A:$B,2,)</f>
        <v/>
      </c>
      <c r="AB77" s="32">
        <f>VLOOKUP(B77,Denmark!$A:$B,2,)</f>
        <v/>
      </c>
    </row>
    <row r="78" customFormat="1" s="84">
      <c r="B78" s="31" t="n">
        <v>44075</v>
      </c>
      <c r="C78" s="32">
        <f>VLOOKUP(B78,Global!$A:$B,2,)</f>
        <v/>
      </c>
      <c r="D78" s="32">
        <f>VLOOKUP(B78,US!$A:$D,4,)</f>
        <v/>
      </c>
      <c r="E78" s="32">
        <f>VLOOKUP(B78,US!$A:$B,2,)</f>
        <v/>
      </c>
      <c r="F78" s="32">
        <f>VLOOKUP(B78,China!$A:$B,2,)</f>
        <v/>
      </c>
      <c r="G78" s="32">
        <f>VLOOKUP(B78,'Euro Area'!A:B,2,)</f>
        <v/>
      </c>
      <c r="H78" s="32">
        <f>VLOOKUP(B78,Japan!$A:$B,2,)</f>
        <v/>
      </c>
      <c r="I78" s="32">
        <f>VLOOKUP(B78,Germany!$A:$B,2,)</f>
        <v/>
      </c>
      <c r="J78" s="32">
        <f>VLOOKUP(B78,France!$A:$B,2,)</f>
        <v/>
      </c>
      <c r="K78" s="32">
        <f>VLOOKUP(B78,UK!$A:$B,2,)</f>
        <v/>
      </c>
      <c r="L78" s="32">
        <f>VLOOKUP(B78,Italy!$A:$B,2,)</f>
        <v/>
      </c>
      <c r="M78" s="32">
        <f>VLOOKUP(B78,Spain!$A:$B,2,)</f>
        <v/>
      </c>
      <c r="N78" s="32">
        <f>VLOOKUP(B78,Brazil!$A:$B,2,)</f>
        <v/>
      </c>
      <c r="O78" s="32">
        <f>VLOOKUP(B78,Mexico!$A:$B,2,)</f>
        <v/>
      </c>
      <c r="P78" s="32">
        <f>VLOOKUP(B78,Russia!$A:$B,2,)</f>
        <v/>
      </c>
      <c r="Q78" s="32">
        <f>VLOOKUP(B78,India!$A:$B,2,)</f>
        <v/>
      </c>
      <c r="R78" s="32">
        <f>VLOOKUP(B78,Canada!$A:$B,2,)</f>
        <v/>
      </c>
      <c r="S78" s="32">
        <f>VLOOKUP(B78,Australia!$A:$B,2,)</f>
        <v/>
      </c>
      <c r="T78" s="32">
        <f>VLOOKUP(B78,Indonesia!$A:$B,2,)</f>
        <v/>
      </c>
      <c r="U78" s="32">
        <f>VLOOKUP(B78,SouthKorea!$A:$B,2,)</f>
        <v/>
      </c>
      <c r="V78" s="32">
        <f>VLOOKUP(B78,Taiwan!$A:$B,2,)</f>
        <v/>
      </c>
      <c r="W78" s="32">
        <f>VLOOKUP(B78,Greece!$A:$B,2,)</f>
        <v/>
      </c>
      <c r="X78" s="32">
        <f>VLOOKUP(B78,Ireland!$A:$B,2,)</f>
        <v/>
      </c>
      <c r="Y78" s="32">
        <f>VLOOKUP(B78,Turkey!$A:$B,2,)</f>
        <v/>
      </c>
      <c r="Z78" s="32">
        <f>VLOOKUP(B78,CzechRepublic!$A:$B,2,)</f>
        <v/>
      </c>
      <c r="AA78" s="32">
        <f>VLOOKUP(B78,Poland!$A:$B,2,)</f>
        <v/>
      </c>
      <c r="AB78" s="32">
        <f>VLOOKUP(B78,Denmark!$A:$B,2,)</f>
        <v/>
      </c>
    </row>
    <row r="79" customFormat="1" s="84">
      <c r="B79" s="31" t="n">
        <v>44105</v>
      </c>
      <c r="C79" s="32">
        <f>VLOOKUP(B79,Global!$A:$B,2,)</f>
        <v/>
      </c>
      <c r="D79" s="32">
        <f>VLOOKUP(B79,US!$A:$D,4,)</f>
        <v/>
      </c>
      <c r="E79" s="32">
        <f>VLOOKUP(B79,US!$A:$B,2,)</f>
        <v/>
      </c>
      <c r="F79" s="32">
        <f>VLOOKUP(B79,China!$A:$B,2,)</f>
        <v/>
      </c>
      <c r="G79" s="32">
        <f>VLOOKUP(B79,'Euro Area'!A:B,2,)</f>
        <v/>
      </c>
      <c r="H79" s="32">
        <f>VLOOKUP(B79,Japan!$A:$B,2,)</f>
        <v/>
      </c>
      <c r="I79" s="32">
        <f>VLOOKUP(B79,Germany!$A:$B,2,)</f>
        <v/>
      </c>
      <c r="J79" s="32">
        <f>VLOOKUP(B79,France!$A:$B,2,)</f>
        <v/>
      </c>
      <c r="K79" s="32">
        <f>VLOOKUP(B79,UK!$A:$B,2,)</f>
        <v/>
      </c>
      <c r="L79" s="32">
        <f>VLOOKUP(B79,Italy!$A:$B,2,)</f>
        <v/>
      </c>
      <c r="M79" s="32">
        <f>VLOOKUP(B79,Spain!$A:$B,2,)</f>
        <v/>
      </c>
      <c r="N79" s="32">
        <f>VLOOKUP(B79,Brazil!$A:$B,2,)</f>
        <v/>
      </c>
      <c r="O79" s="32">
        <f>VLOOKUP(B79,Mexico!$A:$B,2,)</f>
        <v/>
      </c>
      <c r="P79" s="32">
        <f>VLOOKUP(B79,Russia!$A:$B,2,)</f>
        <v/>
      </c>
      <c r="Q79" s="32">
        <f>VLOOKUP(B79,India!$A:$B,2,)</f>
        <v/>
      </c>
      <c r="R79" s="32">
        <f>VLOOKUP(B79,Canada!$A:$B,2,)</f>
        <v/>
      </c>
      <c r="S79" s="32">
        <f>VLOOKUP(B79,Australia!$A:$B,2,)</f>
        <v/>
      </c>
      <c r="T79" s="32">
        <f>VLOOKUP(B79,Indonesia!$A:$B,2,)</f>
        <v/>
      </c>
      <c r="U79" s="32">
        <f>VLOOKUP(B79,SouthKorea!$A:$B,2,)</f>
        <v/>
      </c>
      <c r="V79" s="32">
        <f>VLOOKUP(B79,Taiwan!$A:$B,2,)</f>
        <v/>
      </c>
      <c r="W79" s="32">
        <f>VLOOKUP(B79,Greece!$A:$B,2,)</f>
        <v/>
      </c>
      <c r="X79" s="32">
        <f>VLOOKUP(B79,Ireland!$A:$B,2,)</f>
        <v/>
      </c>
      <c r="Y79" s="32">
        <f>VLOOKUP(B79,Turkey!$A:$B,2,)</f>
        <v/>
      </c>
      <c r="Z79" s="32">
        <f>VLOOKUP(B79,CzechRepublic!$A:$B,2,)</f>
        <v/>
      </c>
      <c r="AA79" s="32">
        <f>VLOOKUP(B79,Poland!$A:$B,2,)</f>
        <v/>
      </c>
      <c r="AB79" s="32">
        <f>VLOOKUP(B79,Denmark!$A:$B,2,)</f>
        <v/>
      </c>
    </row>
    <row r="80" customFormat="1" s="84">
      <c r="B80" s="31" t="n">
        <v>44136</v>
      </c>
      <c r="C80" s="32">
        <f>VLOOKUP(B80,Global!$A:$B,2,)</f>
        <v/>
      </c>
      <c r="D80" s="32">
        <f>VLOOKUP(B80,US!$A:$D,4,)</f>
        <v/>
      </c>
      <c r="E80" s="32">
        <f>VLOOKUP(B80,US!$A:$B,2,)</f>
        <v/>
      </c>
      <c r="F80" s="32">
        <f>VLOOKUP(B80,China!$A:$B,2,)</f>
        <v/>
      </c>
      <c r="G80" s="32">
        <f>VLOOKUP(B80,'Euro Area'!A:B,2,)</f>
        <v/>
      </c>
      <c r="H80" s="32">
        <f>VLOOKUP(B80,Japan!$A:$B,2,)</f>
        <v/>
      </c>
      <c r="I80" s="32">
        <f>VLOOKUP(B80,Germany!$A:$B,2,)</f>
        <v/>
      </c>
      <c r="J80" s="32">
        <f>VLOOKUP(B80,France!$A:$B,2,)</f>
        <v/>
      </c>
      <c r="K80" s="32">
        <f>VLOOKUP(B80,UK!$A:$B,2,)</f>
        <v/>
      </c>
      <c r="L80" s="32">
        <f>VLOOKUP(B80,Italy!$A:$B,2,)</f>
        <v/>
      </c>
      <c r="M80" s="32">
        <f>VLOOKUP(B80,Spain!$A:$B,2,)</f>
        <v/>
      </c>
      <c r="N80" s="32">
        <f>VLOOKUP(B80,Brazil!$A:$B,2,)</f>
        <v/>
      </c>
      <c r="O80" s="32">
        <f>VLOOKUP(B80,Mexico!$A:$B,2,)</f>
        <v/>
      </c>
      <c r="P80" s="32">
        <f>VLOOKUP(B80,Russia!$A:$B,2,)</f>
        <v/>
      </c>
      <c r="Q80" s="32">
        <f>VLOOKUP(B80,India!$A:$B,2,)</f>
        <v/>
      </c>
      <c r="R80" s="32">
        <f>VLOOKUP(B80,Canada!$A:$B,2,)</f>
        <v/>
      </c>
      <c r="S80" s="32">
        <f>VLOOKUP(B80,Australia!$A:$B,2,)</f>
        <v/>
      </c>
      <c r="T80" s="32">
        <f>VLOOKUP(B80,Indonesia!$A:$B,2,)</f>
        <v/>
      </c>
      <c r="U80" s="32">
        <f>VLOOKUP(B80,SouthKorea!$A:$B,2,)</f>
        <v/>
      </c>
      <c r="V80" s="32">
        <f>VLOOKUP(B80,Taiwan!$A:$B,2,)</f>
        <v/>
      </c>
      <c r="W80" s="32">
        <f>VLOOKUP(B80,Greece!$A:$B,2,)</f>
        <v/>
      </c>
      <c r="X80" s="32">
        <f>VLOOKUP(B80,Ireland!$A:$B,2,)</f>
        <v/>
      </c>
      <c r="Y80" s="32">
        <f>VLOOKUP(B80,Turkey!$A:$B,2,)</f>
        <v/>
      </c>
      <c r="Z80" s="32">
        <f>VLOOKUP(B80,CzechRepublic!$A:$B,2,)</f>
        <v/>
      </c>
      <c r="AA80" s="32">
        <f>VLOOKUP(B80,Poland!$A:$B,2,)</f>
        <v/>
      </c>
      <c r="AB80" s="32">
        <f>VLOOKUP(B80,Denmark!$A:$B,2,)</f>
        <v/>
      </c>
    </row>
    <row r="81" customFormat="1" s="84">
      <c r="B81" s="31" t="n">
        <v>44166</v>
      </c>
      <c r="C81" s="32">
        <f>VLOOKUP(B81,Global!$A:$B,2,)</f>
        <v/>
      </c>
      <c r="D81" s="32">
        <f>VLOOKUP(B81,US!$A:$D,4,)</f>
        <v/>
      </c>
      <c r="E81" s="32">
        <f>VLOOKUP(B81,US!$A:$B,2,)</f>
        <v/>
      </c>
      <c r="F81" s="32">
        <f>VLOOKUP(B81,China!$A:$B,2,)</f>
        <v/>
      </c>
      <c r="G81" s="32">
        <f>VLOOKUP(B81,'Euro Area'!A:B,2,)</f>
        <v/>
      </c>
      <c r="H81" s="32">
        <f>VLOOKUP(B81,Japan!$A:$B,2,)</f>
        <v/>
      </c>
      <c r="I81" s="32">
        <f>VLOOKUP(B81,Germany!$A:$B,2,)</f>
        <v/>
      </c>
      <c r="J81" s="32">
        <f>VLOOKUP(B81,France!$A:$B,2,)</f>
        <v/>
      </c>
      <c r="K81" s="32">
        <f>VLOOKUP(B81,UK!$A:$B,2,)</f>
        <v/>
      </c>
      <c r="L81" s="32">
        <f>VLOOKUP(B81,Italy!$A:$B,2,)</f>
        <v/>
      </c>
      <c r="M81" s="32">
        <f>VLOOKUP(B81,Spain!$A:$B,2,)</f>
        <v/>
      </c>
      <c r="N81" s="32">
        <f>VLOOKUP(B81,Brazil!$A:$B,2,)</f>
        <v/>
      </c>
      <c r="O81" s="32">
        <f>VLOOKUP(B81,Mexico!$A:$B,2,)</f>
        <v/>
      </c>
      <c r="P81" s="32">
        <f>VLOOKUP(B81,Russia!$A:$B,2,)</f>
        <v/>
      </c>
      <c r="Q81" s="32">
        <f>VLOOKUP(B81,India!$A:$B,2,)</f>
        <v/>
      </c>
      <c r="R81" s="32">
        <f>VLOOKUP(B81,Canada!$A:$B,2,)</f>
        <v/>
      </c>
      <c r="S81" s="32">
        <f>VLOOKUP(B81,Australia!$A:$B,2,)</f>
        <v/>
      </c>
      <c r="T81" s="32">
        <f>VLOOKUP(B81,Indonesia!$A:$B,2,)</f>
        <v/>
      </c>
      <c r="U81" s="32">
        <f>VLOOKUP(B81,SouthKorea!$A:$B,2,)</f>
        <v/>
      </c>
      <c r="V81" s="32">
        <f>VLOOKUP(B81,Taiwan!$A:$B,2,)</f>
        <v/>
      </c>
      <c r="W81" s="32">
        <f>VLOOKUP(B81,Greece!$A:$B,2,)</f>
        <v/>
      </c>
      <c r="X81" s="32">
        <f>VLOOKUP(B81,Ireland!$A:$B,2,)</f>
        <v/>
      </c>
      <c r="Y81" s="32">
        <f>VLOOKUP(B81,Turkey!$A:$B,2,)</f>
        <v/>
      </c>
      <c r="Z81" s="32">
        <f>VLOOKUP(B81,CzechRepublic!$A:$B,2,)</f>
        <v/>
      </c>
      <c r="AA81" s="32">
        <f>VLOOKUP(B81,Poland!$A:$B,2,)</f>
        <v/>
      </c>
      <c r="AB81" s="32">
        <f>VLOOKUP(B81,Denmark!$A:$B,2,)</f>
        <v/>
      </c>
    </row>
    <row r="82" customFormat="1" s="84">
      <c r="B82" s="31" t="n">
        <v>44197</v>
      </c>
      <c r="C82" s="32">
        <f>VLOOKUP(B82,Global!$A:$B,2,)</f>
        <v/>
      </c>
      <c r="D82" s="32">
        <f>VLOOKUP(B82,US!$A:$D,4,)</f>
        <v/>
      </c>
      <c r="E82" s="32">
        <f>VLOOKUP(B82,US!$A:$B,2,)</f>
        <v/>
      </c>
      <c r="F82" s="32">
        <f>VLOOKUP(B82,China!$A:$B,2,)</f>
        <v/>
      </c>
      <c r="G82" s="32">
        <f>VLOOKUP(B82,'Euro Area'!A:B,2,)</f>
        <v/>
      </c>
      <c r="H82" s="32">
        <f>VLOOKUP(B82,Japan!$A:$B,2,)</f>
        <v/>
      </c>
      <c r="I82" s="32">
        <f>VLOOKUP(B82,Germany!$A:$B,2,)</f>
        <v/>
      </c>
      <c r="J82" s="32">
        <f>VLOOKUP(B82,France!$A:$B,2,)</f>
        <v/>
      </c>
      <c r="K82" s="32">
        <f>VLOOKUP(B82,UK!$A:$B,2,)</f>
        <v/>
      </c>
      <c r="L82" s="32">
        <f>VLOOKUP(B82,Italy!$A:$B,2,)</f>
        <v/>
      </c>
      <c r="M82" s="32">
        <f>VLOOKUP(B82,Spain!$A:$B,2,)</f>
        <v/>
      </c>
      <c r="N82" s="32">
        <f>VLOOKUP(B82,Brazil!$A:$B,2,)</f>
        <v/>
      </c>
      <c r="O82" s="32">
        <f>VLOOKUP(B82,Mexico!$A:$B,2,)</f>
        <v/>
      </c>
      <c r="P82" s="32">
        <f>VLOOKUP(B82,Russia!$A:$B,2,)</f>
        <v/>
      </c>
      <c r="Q82" s="32">
        <f>VLOOKUP(B82,India!$A:$B,2,)</f>
        <v/>
      </c>
      <c r="R82" s="32">
        <f>VLOOKUP(B82,Canada!$A:$B,2,)</f>
        <v/>
      </c>
      <c r="S82" s="32">
        <f>VLOOKUP(B82,Australia!$A:$B,2,)</f>
        <v/>
      </c>
      <c r="T82" s="32">
        <f>VLOOKUP(B82,Indonesia!$A:$B,2,)</f>
        <v/>
      </c>
      <c r="U82" s="32">
        <f>VLOOKUP(B82,SouthKorea!$A:$B,2,)</f>
        <v/>
      </c>
      <c r="V82" s="32">
        <f>VLOOKUP(B82,Taiwan!$A:$B,2,)</f>
        <v/>
      </c>
      <c r="W82" s="32">
        <f>VLOOKUP(B82,Greece!$A:$B,2,)</f>
        <v/>
      </c>
      <c r="X82" s="32">
        <f>VLOOKUP(B82,Ireland!$A:$B,2,)</f>
        <v/>
      </c>
      <c r="Y82" s="32">
        <f>VLOOKUP(B82,Turkey!$A:$B,2,)</f>
        <v/>
      </c>
      <c r="Z82" s="32">
        <f>VLOOKUP(B82,CzechRepublic!$A:$B,2,)</f>
        <v/>
      </c>
      <c r="AA82" s="32">
        <f>VLOOKUP(B82,Poland!$A:$B,2,)</f>
        <v/>
      </c>
      <c r="AB82" s="32">
        <f>VLOOKUP(B82,Denmark!$A:$B,2,)</f>
        <v/>
      </c>
    </row>
    <row r="83" customFormat="1" s="84">
      <c r="B83" s="31" t="n">
        <v>44228</v>
      </c>
      <c r="C83" s="32">
        <f>VLOOKUP(B83,Global!$A:$B,2,)</f>
        <v/>
      </c>
      <c r="D83" s="32">
        <f>VLOOKUP(B83,US!$A:$D,4,)</f>
        <v/>
      </c>
      <c r="E83" s="32">
        <f>VLOOKUP(B83,US!$A:$B,2,)</f>
        <v/>
      </c>
      <c r="F83" s="32">
        <f>VLOOKUP(B83,China!$A:$B,2,)</f>
        <v/>
      </c>
      <c r="G83" s="32">
        <f>VLOOKUP(B83,'Euro Area'!A:B,2,)</f>
        <v/>
      </c>
      <c r="H83" s="32">
        <f>VLOOKUP(B83,Japan!$A:$B,2,)</f>
        <v/>
      </c>
      <c r="I83" s="32">
        <f>VLOOKUP(B83,Germany!$A:$B,2,)</f>
        <v/>
      </c>
      <c r="J83" s="32">
        <f>VLOOKUP(B83,France!$A:$B,2,)</f>
        <v/>
      </c>
      <c r="K83" s="32">
        <f>VLOOKUP(B83,UK!$A:$B,2,)</f>
        <v/>
      </c>
      <c r="L83" s="32">
        <f>VLOOKUP(B83,Italy!$A:$B,2,)</f>
        <v/>
      </c>
      <c r="M83" s="32">
        <f>VLOOKUP(B83,Spain!$A:$B,2,)</f>
        <v/>
      </c>
      <c r="N83" s="32">
        <f>VLOOKUP(B83,Brazil!$A:$B,2,)</f>
        <v/>
      </c>
      <c r="O83" s="32">
        <f>VLOOKUP(B83,Mexico!$A:$B,2,)</f>
        <v/>
      </c>
      <c r="P83" s="32">
        <f>VLOOKUP(B83,Russia!$A:$B,2,)</f>
        <v/>
      </c>
      <c r="Q83" s="32">
        <f>VLOOKUP(B83,India!$A:$B,2,)</f>
        <v/>
      </c>
      <c r="R83" s="32">
        <f>VLOOKUP(B83,Canada!$A:$B,2,)</f>
        <v/>
      </c>
      <c r="S83" s="32">
        <f>VLOOKUP(B83,Australia!$A:$B,2,)</f>
        <v/>
      </c>
      <c r="T83" s="32">
        <f>VLOOKUP(B83,Indonesia!$A:$B,2,)</f>
        <v/>
      </c>
      <c r="U83" s="32">
        <f>VLOOKUP(B83,SouthKorea!$A:$B,2,)</f>
        <v/>
      </c>
      <c r="V83" s="32">
        <f>VLOOKUP(B83,Taiwan!$A:$B,2,)</f>
        <v/>
      </c>
      <c r="W83" s="32">
        <f>VLOOKUP(B83,Greece!$A:$B,2,)</f>
        <v/>
      </c>
      <c r="X83" s="32">
        <f>VLOOKUP(B83,Ireland!$A:$B,2,)</f>
        <v/>
      </c>
      <c r="Y83" s="32">
        <f>VLOOKUP(B83,Turkey!$A:$B,2,)</f>
        <v/>
      </c>
      <c r="Z83" s="32">
        <f>VLOOKUP(B83,CzechRepublic!$A:$B,2,)</f>
        <v/>
      </c>
      <c r="AA83" s="32">
        <f>VLOOKUP(B83,Poland!$A:$B,2,)</f>
        <v/>
      </c>
      <c r="AB83" s="32">
        <f>VLOOKUP(B83,Denmark!$A:$B,2,)</f>
        <v/>
      </c>
    </row>
    <row r="84" customFormat="1" s="84">
      <c r="B84" s="31" t="n">
        <v>44256</v>
      </c>
      <c r="C84" s="32">
        <f>VLOOKUP(B84,Global!$A:$B,2,)</f>
        <v/>
      </c>
      <c r="D84" s="32">
        <f>VLOOKUP(B84,US!$A:$D,4,)</f>
        <v/>
      </c>
      <c r="E84" s="32">
        <f>VLOOKUP(B84,US!$A:$B,2,)</f>
        <v/>
      </c>
      <c r="F84" s="32">
        <f>VLOOKUP(B84,China!$A:$B,2,)</f>
        <v/>
      </c>
      <c r="G84" s="32">
        <f>VLOOKUP(B84,'Euro Area'!A:B,2,)</f>
        <v/>
      </c>
      <c r="H84" s="32">
        <f>VLOOKUP(B84,Japan!$A:$B,2,)</f>
        <v/>
      </c>
      <c r="I84" s="32">
        <f>VLOOKUP(B84,Germany!$A:$B,2,)</f>
        <v/>
      </c>
      <c r="J84" s="32">
        <f>VLOOKUP(B84,France!$A:$B,2,)</f>
        <v/>
      </c>
      <c r="K84" s="32">
        <f>VLOOKUP(B84,UK!$A:$B,2,)</f>
        <v/>
      </c>
      <c r="L84" s="32">
        <f>VLOOKUP(B84,Italy!$A:$B,2,)</f>
        <v/>
      </c>
      <c r="M84" s="32">
        <f>VLOOKUP(B84,Spain!$A:$B,2,)</f>
        <v/>
      </c>
      <c r="N84" s="32">
        <f>VLOOKUP(B84,Brazil!$A:$B,2,)</f>
        <v/>
      </c>
      <c r="O84" s="32">
        <f>VLOOKUP(B84,Mexico!$A:$B,2,)</f>
        <v/>
      </c>
      <c r="P84" s="32">
        <f>VLOOKUP(B84,Russia!$A:$B,2,)</f>
        <v/>
      </c>
      <c r="Q84" s="32">
        <f>VLOOKUP(B84,India!$A:$B,2,)</f>
        <v/>
      </c>
      <c r="R84" s="32">
        <f>VLOOKUP(B84,Canada!$A:$B,2,)</f>
        <v/>
      </c>
      <c r="S84" s="32">
        <f>VLOOKUP(B84,Australia!$A:$B,2,)</f>
        <v/>
      </c>
      <c r="T84" s="32">
        <f>VLOOKUP(B84,Indonesia!$A:$B,2,)</f>
        <v/>
      </c>
      <c r="U84" s="32">
        <f>VLOOKUP(B84,SouthKorea!$A:$B,2,)</f>
        <v/>
      </c>
      <c r="V84" s="32">
        <f>VLOOKUP(B84,Taiwan!$A:$B,2,)</f>
        <v/>
      </c>
      <c r="W84" s="32">
        <f>VLOOKUP(B84,Greece!$A:$B,2,)</f>
        <v/>
      </c>
      <c r="X84" s="32">
        <f>VLOOKUP(B84,Ireland!$A:$B,2,)</f>
        <v/>
      </c>
      <c r="Y84" s="32">
        <f>VLOOKUP(B84,Turkey!$A:$B,2,)</f>
        <v/>
      </c>
      <c r="Z84" s="32">
        <f>VLOOKUP(B84,CzechRepublic!$A:$B,2,)</f>
        <v/>
      </c>
      <c r="AA84" s="32">
        <f>VLOOKUP(B84,Poland!$A:$B,2,)</f>
        <v/>
      </c>
      <c r="AB84" s="32">
        <f>VLOOKUP(B84,Denmark!$A:$B,2,)</f>
        <v/>
      </c>
    </row>
    <row r="85" customFormat="1" s="84">
      <c r="B85" s="31" t="n">
        <v>44287</v>
      </c>
      <c r="C85" s="32">
        <f>VLOOKUP(B85,Global!$A:$B,2,)</f>
        <v/>
      </c>
      <c r="D85" s="32">
        <f>VLOOKUP(B85,US!$A:$D,4,)</f>
        <v/>
      </c>
      <c r="E85" s="32">
        <f>VLOOKUP(B85,US!$A:$B,2,)</f>
        <v/>
      </c>
      <c r="F85" s="32">
        <f>VLOOKUP(B85,China!$A:$B,2,)</f>
        <v/>
      </c>
      <c r="G85" s="32">
        <f>VLOOKUP(B85,'Euro Area'!A:B,2,)</f>
        <v/>
      </c>
      <c r="H85" s="32">
        <f>VLOOKUP(B85,Japan!$A:$B,2,)</f>
        <v/>
      </c>
      <c r="I85" s="32">
        <f>VLOOKUP(B85,Germany!$A:$B,2,)</f>
        <v/>
      </c>
      <c r="J85" s="32">
        <f>VLOOKUP(B85,France!$A:$B,2,)</f>
        <v/>
      </c>
      <c r="K85" s="32">
        <f>VLOOKUP(B85,UK!$A:$B,2,)</f>
        <v/>
      </c>
      <c r="L85" s="32">
        <f>VLOOKUP(B85,Italy!$A:$B,2,)</f>
        <v/>
      </c>
      <c r="M85" s="32">
        <f>VLOOKUP(B85,Spain!$A:$B,2,)</f>
        <v/>
      </c>
      <c r="N85" s="32">
        <f>VLOOKUP(B85,Brazil!$A:$B,2,)</f>
        <v/>
      </c>
      <c r="O85" s="32">
        <f>VLOOKUP(B85,Mexico!$A:$B,2,)</f>
        <v/>
      </c>
      <c r="P85" s="32">
        <f>VLOOKUP(B85,Russia!$A:$B,2,)</f>
        <v/>
      </c>
      <c r="Q85" s="32">
        <f>VLOOKUP(B85,India!$A:$B,2,)</f>
        <v/>
      </c>
      <c r="R85" s="32">
        <f>VLOOKUP(B85,Canada!$A:$B,2,)</f>
        <v/>
      </c>
      <c r="S85" s="32">
        <f>VLOOKUP(B85,Australia!$A:$B,2,)</f>
        <v/>
      </c>
      <c r="T85" s="32">
        <f>VLOOKUP(B85,Indonesia!$A:$B,2,)</f>
        <v/>
      </c>
      <c r="U85" s="32">
        <f>VLOOKUP(B85,SouthKorea!$A:$B,2,)</f>
        <v/>
      </c>
      <c r="V85" s="32">
        <f>VLOOKUP(B85,Taiwan!$A:$B,2,)</f>
        <v/>
      </c>
      <c r="W85" s="32">
        <f>VLOOKUP(B85,Greece!$A:$B,2,)</f>
        <v/>
      </c>
      <c r="X85" s="32">
        <f>VLOOKUP(B85,Ireland!$A:$B,2,)</f>
        <v/>
      </c>
      <c r="Y85" s="32">
        <f>VLOOKUP(B85,Turkey!$A:$B,2,)</f>
        <v/>
      </c>
      <c r="Z85" s="32">
        <f>VLOOKUP(B85,CzechRepublic!$A:$B,2,)</f>
        <v/>
      </c>
      <c r="AA85" s="32">
        <f>VLOOKUP(B85,Poland!$A:$B,2,)</f>
        <v/>
      </c>
      <c r="AB85" s="32">
        <f>VLOOKUP(B85,Denmark!$A:$B,2,)</f>
        <v/>
      </c>
    </row>
    <row r="86" customFormat="1" s="84">
      <c r="B86" s="31" t="n">
        <v>44317</v>
      </c>
      <c r="C86" s="32">
        <f>VLOOKUP(B86,Global!$A:$B,2,)</f>
        <v/>
      </c>
      <c r="D86" s="32">
        <f>VLOOKUP(B86,US!$A:$D,4,)</f>
        <v/>
      </c>
      <c r="E86" s="32">
        <f>VLOOKUP(B86,US!$A:$B,2,)</f>
        <v/>
      </c>
      <c r="F86" s="32">
        <f>VLOOKUP(B86,China!$A:$B,2,)</f>
        <v/>
      </c>
      <c r="G86" s="32">
        <f>VLOOKUP(B86,'Euro Area'!A:B,2,)</f>
        <v/>
      </c>
      <c r="H86" s="32">
        <f>VLOOKUP(B86,Japan!$A:$B,2,)</f>
        <v/>
      </c>
      <c r="I86" s="32">
        <f>VLOOKUP(B86,Germany!$A:$B,2,)</f>
        <v/>
      </c>
      <c r="J86" s="32">
        <f>VLOOKUP(B86,France!$A:$B,2,)</f>
        <v/>
      </c>
      <c r="K86" s="32">
        <f>VLOOKUP(B86,UK!$A:$B,2,)</f>
        <v/>
      </c>
      <c r="L86" s="32">
        <f>VLOOKUP(B86,Italy!$A:$B,2,)</f>
        <v/>
      </c>
      <c r="M86" s="32">
        <f>VLOOKUP(B86,Spain!$A:$B,2,)</f>
        <v/>
      </c>
      <c r="N86" s="32">
        <f>VLOOKUP(B86,Brazil!$A:$B,2,)</f>
        <v/>
      </c>
      <c r="O86" s="32">
        <f>VLOOKUP(B86,Mexico!$A:$B,2,)</f>
        <v/>
      </c>
      <c r="P86" s="32">
        <f>VLOOKUP(B86,Russia!$A:$B,2,)</f>
        <v/>
      </c>
      <c r="Q86" s="32">
        <f>VLOOKUP(B86,India!$A:$B,2,)</f>
        <v/>
      </c>
      <c r="R86" s="32">
        <f>VLOOKUP(B86,Canada!$A:$B,2,)</f>
        <v/>
      </c>
      <c r="S86" s="32">
        <f>VLOOKUP(B86,Australia!$A:$B,2,)</f>
        <v/>
      </c>
      <c r="T86" s="32">
        <f>VLOOKUP(B86,Indonesia!$A:$B,2,)</f>
        <v/>
      </c>
      <c r="U86" s="32">
        <f>VLOOKUP(B86,SouthKorea!$A:$B,2,)</f>
        <v/>
      </c>
      <c r="V86" s="32">
        <f>VLOOKUP(B86,Taiwan!$A:$B,2,)</f>
        <v/>
      </c>
      <c r="W86" s="32">
        <f>VLOOKUP(B86,Greece!$A:$B,2,)</f>
        <v/>
      </c>
      <c r="X86" s="32">
        <f>VLOOKUP(B86,Ireland!$A:$B,2,)</f>
        <v/>
      </c>
      <c r="Y86" s="32">
        <f>VLOOKUP(B86,Turkey!$A:$B,2,)</f>
        <v/>
      </c>
      <c r="Z86" s="32">
        <f>VLOOKUP(B86,CzechRepublic!$A:$B,2,)</f>
        <v/>
      </c>
      <c r="AA86" s="32">
        <f>VLOOKUP(B86,Poland!$A:$B,2,)</f>
        <v/>
      </c>
      <c r="AB86" s="32">
        <f>VLOOKUP(B86,Denmark!$A:$B,2,)</f>
        <v/>
      </c>
    </row>
    <row r="87" customFormat="1" s="84">
      <c r="B87" s="31" t="n">
        <v>44348</v>
      </c>
      <c r="C87" s="32">
        <f>VLOOKUP(B87,Global!$A:$B,2,)</f>
        <v/>
      </c>
      <c r="D87" s="32">
        <f>VLOOKUP(B87,US!$A:$D,4,)</f>
        <v/>
      </c>
      <c r="E87" s="32">
        <f>VLOOKUP(B87,US!$A:$B,2,)</f>
        <v/>
      </c>
      <c r="F87" s="32">
        <f>VLOOKUP(B87,China!$A:$B,2,)</f>
        <v/>
      </c>
      <c r="G87" s="32">
        <f>VLOOKUP(B87,'Euro Area'!A:B,2,)</f>
        <v/>
      </c>
      <c r="H87" s="32">
        <f>VLOOKUP(B87,Japan!$A:$B,2,)</f>
        <v/>
      </c>
      <c r="I87" s="32">
        <f>VLOOKUP(B87,Germany!$A:$B,2,)</f>
        <v/>
      </c>
      <c r="J87" s="32">
        <f>VLOOKUP(B87,France!$A:$B,2,)</f>
        <v/>
      </c>
      <c r="K87" s="32">
        <f>VLOOKUP(B87,UK!$A:$B,2,)</f>
        <v/>
      </c>
      <c r="L87" s="32">
        <f>VLOOKUP(B87,Italy!$A:$B,2,)</f>
        <v/>
      </c>
      <c r="M87" s="32">
        <f>VLOOKUP(B87,Spain!$A:$B,2,)</f>
        <v/>
      </c>
      <c r="N87" s="32">
        <f>VLOOKUP(B87,Brazil!$A:$B,2,)</f>
        <v/>
      </c>
      <c r="O87" s="32">
        <f>VLOOKUP(B87,Mexico!$A:$B,2,)</f>
        <v/>
      </c>
      <c r="P87" s="32">
        <f>VLOOKUP(B87,Russia!$A:$B,2,)</f>
        <v/>
      </c>
      <c r="Q87" s="32">
        <f>VLOOKUP(B87,India!$A:$B,2,)</f>
        <v/>
      </c>
      <c r="R87" s="32">
        <f>VLOOKUP(B87,Canada!$A:$B,2,)</f>
        <v/>
      </c>
      <c r="S87" s="32">
        <f>VLOOKUP(B87,Australia!$A:$B,2,)</f>
        <v/>
      </c>
      <c r="T87" s="32">
        <f>VLOOKUP(B87,Indonesia!$A:$B,2,)</f>
        <v/>
      </c>
      <c r="U87" s="32">
        <f>VLOOKUP(B87,SouthKorea!$A:$B,2,)</f>
        <v/>
      </c>
      <c r="V87" s="32">
        <f>VLOOKUP(B87,Taiwan!$A:$B,2,)</f>
        <v/>
      </c>
      <c r="W87" s="32">
        <f>VLOOKUP(B87,Greece!$A:$B,2,)</f>
        <v/>
      </c>
      <c r="X87" s="32">
        <f>VLOOKUP(B87,Ireland!$A:$B,2,)</f>
        <v/>
      </c>
      <c r="Y87" s="32">
        <f>VLOOKUP(B87,Turkey!$A:$B,2,)</f>
        <v/>
      </c>
      <c r="Z87" s="32">
        <f>VLOOKUP(B87,CzechRepublic!$A:$B,2,)</f>
        <v/>
      </c>
      <c r="AA87" s="32">
        <f>VLOOKUP(B87,Poland!$A:$B,2,)</f>
        <v/>
      </c>
      <c r="AB87" s="32">
        <f>VLOOKUP(B87,Denmark!$A:$B,2,)</f>
        <v/>
      </c>
    </row>
    <row r="88" customFormat="1" s="84">
      <c r="B88" s="31" t="n">
        <v>44378</v>
      </c>
      <c r="C88" s="32">
        <f>VLOOKUP(B88,Global!$A:$B,2,)</f>
        <v/>
      </c>
      <c r="D88" s="32">
        <f>VLOOKUP(B88,US!$A:$D,4,)</f>
        <v/>
      </c>
      <c r="E88" s="32">
        <f>VLOOKUP(B88,US!$A:$B,2,)</f>
        <v/>
      </c>
      <c r="F88" s="32">
        <f>VLOOKUP(B88,China!$A:$B,2,)</f>
        <v/>
      </c>
      <c r="G88" s="32">
        <f>VLOOKUP(B88,'Euro Area'!A:B,2,)</f>
        <v/>
      </c>
      <c r="H88" s="32">
        <f>VLOOKUP(B88,Japan!$A:$B,2,)</f>
        <v/>
      </c>
      <c r="I88" s="32">
        <f>VLOOKUP(B88,Germany!$A:$B,2,)</f>
        <v/>
      </c>
      <c r="J88" s="32">
        <f>VLOOKUP(B88,France!$A:$B,2,)</f>
        <v/>
      </c>
      <c r="K88" s="32">
        <f>VLOOKUP(B88,UK!$A:$B,2,)</f>
        <v/>
      </c>
      <c r="L88" s="32">
        <f>VLOOKUP(B88,Italy!$A:$B,2,)</f>
        <v/>
      </c>
      <c r="M88" s="32">
        <f>VLOOKUP(B88,Spain!$A:$B,2,)</f>
        <v/>
      </c>
      <c r="N88" s="32">
        <f>VLOOKUP(B88,Brazil!$A:$B,2,)</f>
        <v/>
      </c>
      <c r="O88" s="32">
        <f>VLOOKUP(B88,Mexico!$A:$B,2,)</f>
        <v/>
      </c>
      <c r="P88" s="32">
        <f>VLOOKUP(B88,Russia!$A:$B,2,)</f>
        <v/>
      </c>
      <c r="Q88" s="32">
        <f>VLOOKUP(B88,India!$A:$B,2,)</f>
        <v/>
      </c>
      <c r="R88" s="32">
        <f>VLOOKUP(B88,Canada!$A:$B,2,)</f>
        <v/>
      </c>
      <c r="S88" s="32">
        <f>VLOOKUP(B88,Australia!$A:$B,2,)</f>
        <v/>
      </c>
      <c r="T88" s="32">
        <f>VLOOKUP(B88,Indonesia!$A:$B,2,)</f>
        <v/>
      </c>
      <c r="U88" s="32">
        <f>VLOOKUP(B88,SouthKorea!$A:$B,2,)</f>
        <v/>
      </c>
      <c r="V88" s="32">
        <f>VLOOKUP(B88,Taiwan!$A:$B,2,)</f>
        <v/>
      </c>
      <c r="W88" s="32">
        <f>VLOOKUP(B88,Greece!$A:$B,2,)</f>
        <v/>
      </c>
      <c r="X88" s="32">
        <f>VLOOKUP(B88,Ireland!$A:$B,2,)</f>
        <v/>
      </c>
      <c r="Y88" s="32">
        <f>VLOOKUP(B88,Turkey!$A:$B,2,)</f>
        <v/>
      </c>
      <c r="Z88" s="32">
        <f>VLOOKUP(B88,CzechRepublic!$A:$B,2,)</f>
        <v/>
      </c>
      <c r="AA88" s="32">
        <f>VLOOKUP(B88,Poland!$A:$B,2,)</f>
        <v/>
      </c>
      <c r="AB88" s="32">
        <f>VLOOKUP(B88,Denmark!$A:$B,2,)</f>
        <v/>
      </c>
    </row>
    <row r="89" customFormat="1" s="84">
      <c r="B89" s="31" t="n">
        <v>44409</v>
      </c>
      <c r="C89" s="32">
        <f>VLOOKUP(B89,Global!$A:$B,2,)</f>
        <v/>
      </c>
      <c r="D89" s="32">
        <f>VLOOKUP(B89,US!$A:$D,4,)</f>
        <v/>
      </c>
      <c r="E89" s="32">
        <f>VLOOKUP(B89,US!$A:$B,2,)</f>
        <v/>
      </c>
      <c r="F89" s="32">
        <f>VLOOKUP(B89,China!$A:$B,2,)</f>
        <v/>
      </c>
      <c r="G89" s="32">
        <f>VLOOKUP(B89,'Euro Area'!A:B,2,)</f>
        <v/>
      </c>
      <c r="H89" s="32">
        <f>VLOOKUP(B89,Japan!$A:$B,2,)</f>
        <v/>
      </c>
      <c r="I89" s="32">
        <f>VLOOKUP(B89,Germany!$A:$B,2,)</f>
        <v/>
      </c>
      <c r="J89" s="32">
        <f>VLOOKUP(B89,France!$A:$B,2,)</f>
        <v/>
      </c>
      <c r="K89" s="32">
        <f>VLOOKUP(B89,UK!$A:$B,2,)</f>
        <v/>
      </c>
      <c r="L89" s="32">
        <f>VLOOKUP(B89,Italy!$A:$B,2,)</f>
        <v/>
      </c>
      <c r="M89" s="32">
        <f>VLOOKUP(B89,Spain!$A:$B,2,)</f>
        <v/>
      </c>
      <c r="N89" s="32">
        <f>VLOOKUP(B89,Brazil!$A:$B,2,)</f>
        <v/>
      </c>
      <c r="O89" s="32">
        <f>VLOOKUP(B89,Mexico!$A:$B,2,)</f>
        <v/>
      </c>
      <c r="P89" s="32">
        <f>VLOOKUP(B89,Russia!$A:$B,2,)</f>
        <v/>
      </c>
      <c r="Q89" s="32">
        <f>VLOOKUP(B89,India!$A:$B,2,)</f>
        <v/>
      </c>
      <c r="R89" s="32">
        <f>VLOOKUP(B89,Canada!$A:$B,2,)</f>
        <v/>
      </c>
      <c r="S89" s="32">
        <f>VLOOKUP(B89,Australia!$A:$B,2,)</f>
        <v/>
      </c>
      <c r="T89" s="32">
        <f>VLOOKUP(B89,Indonesia!$A:$B,2,)</f>
        <v/>
      </c>
      <c r="U89" s="32">
        <f>VLOOKUP(B89,SouthKorea!$A:$B,2,)</f>
        <v/>
      </c>
      <c r="V89" s="32">
        <f>VLOOKUP(B89,Taiwan!$A:$B,2,)</f>
        <v/>
      </c>
      <c r="W89" s="32">
        <f>VLOOKUP(B89,Greece!$A:$B,2,)</f>
        <v/>
      </c>
      <c r="X89" s="32">
        <f>VLOOKUP(B89,Ireland!$A:$B,2,)</f>
        <v/>
      </c>
      <c r="Y89" s="32">
        <f>VLOOKUP(B89,Turkey!$A:$B,2,)</f>
        <v/>
      </c>
      <c r="Z89" s="32">
        <f>VLOOKUP(B89,CzechRepublic!$A:$B,2,)</f>
        <v/>
      </c>
      <c r="AA89" s="32">
        <f>VLOOKUP(B89,Poland!$A:$B,2,)</f>
        <v/>
      </c>
      <c r="AB89" s="32">
        <f>VLOOKUP(B89,Denmark!$A:$B,2,)</f>
        <v/>
      </c>
    </row>
    <row r="90" customFormat="1" s="84">
      <c r="B90" s="31" t="n">
        <v>44440</v>
      </c>
      <c r="C90" s="32">
        <f>VLOOKUP(B90,Global!$A:$B,2,)</f>
        <v/>
      </c>
      <c r="D90" s="32">
        <f>VLOOKUP(B90,US!$A:$D,4,)</f>
        <v/>
      </c>
      <c r="E90" s="32">
        <f>VLOOKUP(B90,US!$A:$B,2,)</f>
        <v/>
      </c>
      <c r="F90" s="32">
        <f>VLOOKUP(B90,China!$A:$B,2,)</f>
        <v/>
      </c>
      <c r="G90" s="32">
        <f>VLOOKUP(B90,'Euro Area'!A:B,2,)</f>
        <v/>
      </c>
      <c r="H90" s="32">
        <f>VLOOKUP(B90,Japan!$A:$B,2,)</f>
        <v/>
      </c>
      <c r="I90" s="32">
        <f>VLOOKUP(B90,Germany!$A:$B,2,)</f>
        <v/>
      </c>
      <c r="J90" s="32">
        <f>VLOOKUP(B90,France!$A:$B,2,)</f>
        <v/>
      </c>
      <c r="K90" s="32">
        <f>VLOOKUP(B90,UK!$A:$B,2,)</f>
        <v/>
      </c>
      <c r="L90" s="32">
        <f>VLOOKUP(B90,Italy!$A:$B,2,)</f>
        <v/>
      </c>
      <c r="M90" s="32">
        <f>VLOOKUP(B90,Spain!$A:$B,2,)</f>
        <v/>
      </c>
      <c r="N90" s="32">
        <f>VLOOKUP(B90,Brazil!$A:$B,2,)</f>
        <v/>
      </c>
      <c r="O90" s="32">
        <f>VLOOKUP(B90,Mexico!$A:$B,2,)</f>
        <v/>
      </c>
      <c r="P90" s="32">
        <f>VLOOKUP(B90,Russia!$A:$B,2,)</f>
        <v/>
      </c>
      <c r="Q90" s="32">
        <f>VLOOKUP(B90,India!$A:$B,2,)</f>
        <v/>
      </c>
      <c r="R90" s="32">
        <f>VLOOKUP(B90,Canada!$A:$B,2,)</f>
        <v/>
      </c>
      <c r="S90" s="32">
        <f>VLOOKUP(B90,Australia!$A:$B,2,)</f>
        <v/>
      </c>
      <c r="T90" s="32">
        <f>VLOOKUP(B90,Indonesia!$A:$B,2,)</f>
        <v/>
      </c>
      <c r="U90" s="32">
        <f>VLOOKUP(B90,SouthKorea!$A:$B,2,)</f>
        <v/>
      </c>
      <c r="V90" s="32">
        <f>VLOOKUP(B90,Taiwan!$A:$B,2,)</f>
        <v/>
      </c>
      <c r="W90" s="32">
        <f>VLOOKUP(B90,Greece!$A:$B,2,)</f>
        <v/>
      </c>
      <c r="X90" s="32">
        <f>VLOOKUP(B90,Ireland!$A:$B,2,)</f>
        <v/>
      </c>
      <c r="Y90" s="32">
        <f>VLOOKUP(B90,Turkey!$A:$B,2,)</f>
        <v/>
      </c>
      <c r="Z90" s="32">
        <f>VLOOKUP(B90,CzechRepublic!$A:$B,2,)</f>
        <v/>
      </c>
      <c r="AA90" s="32">
        <f>VLOOKUP(B90,Poland!$A:$B,2,)</f>
        <v/>
      </c>
      <c r="AB90" s="32">
        <f>VLOOKUP(B90,Denmark!$A:$B,2,)</f>
        <v/>
      </c>
    </row>
    <row r="91" customFormat="1" s="84">
      <c r="B91" s="31" t="n">
        <v>44470</v>
      </c>
      <c r="C91" s="32">
        <f>VLOOKUP(B91,Global!$A:$B,2,)</f>
        <v/>
      </c>
      <c r="D91" s="32">
        <f>VLOOKUP(B91,US!$A:$D,4,)</f>
        <v/>
      </c>
      <c r="E91" s="32">
        <f>VLOOKUP(B91,US!$A:$B,2,)</f>
        <v/>
      </c>
      <c r="F91" s="32">
        <f>VLOOKUP(B91,China!$A:$B,2,)</f>
        <v/>
      </c>
      <c r="G91" s="32">
        <f>VLOOKUP(B91,'Euro Area'!A:B,2,)</f>
        <v/>
      </c>
      <c r="H91" s="32">
        <f>VLOOKUP(B91,Japan!$A:$B,2,)</f>
        <v/>
      </c>
      <c r="I91" s="32">
        <f>VLOOKUP(B91,Germany!$A:$B,2,)</f>
        <v/>
      </c>
      <c r="J91" s="32">
        <f>VLOOKUP(B91,France!$A:$B,2,)</f>
        <v/>
      </c>
      <c r="K91" s="32">
        <f>VLOOKUP(B91,UK!$A:$B,2,)</f>
        <v/>
      </c>
      <c r="L91" s="32">
        <f>VLOOKUP(B91,Italy!$A:$B,2,)</f>
        <v/>
      </c>
      <c r="M91" s="32">
        <f>VLOOKUP(B91,Spain!$A:$B,2,)</f>
        <v/>
      </c>
      <c r="N91" s="32">
        <f>VLOOKUP(B91,Brazil!$A:$B,2,)</f>
        <v/>
      </c>
      <c r="O91" s="32">
        <f>VLOOKUP(B91,Mexico!$A:$B,2,)</f>
        <v/>
      </c>
      <c r="P91" s="32">
        <f>VLOOKUP(B91,Russia!$A:$B,2,)</f>
        <v/>
      </c>
      <c r="Q91" s="32">
        <f>VLOOKUP(B91,India!$A:$B,2,)</f>
        <v/>
      </c>
      <c r="R91" s="32">
        <f>VLOOKUP(B91,Canada!$A:$B,2,)</f>
        <v/>
      </c>
      <c r="S91" s="32">
        <f>VLOOKUP(B91,Australia!$A:$B,2,)</f>
        <v/>
      </c>
      <c r="T91" s="32">
        <f>VLOOKUP(B91,Indonesia!$A:$B,2,)</f>
        <v/>
      </c>
      <c r="U91" s="32">
        <f>VLOOKUP(B91,SouthKorea!$A:$B,2,)</f>
        <v/>
      </c>
      <c r="V91" s="32">
        <f>VLOOKUP(B91,Taiwan!$A:$B,2,)</f>
        <v/>
      </c>
      <c r="W91" s="32">
        <f>VLOOKUP(B91,Greece!$A:$B,2,)</f>
        <v/>
      </c>
      <c r="X91" s="32">
        <f>VLOOKUP(B91,Ireland!$A:$B,2,)</f>
        <v/>
      </c>
      <c r="Y91" s="32">
        <f>VLOOKUP(B91,Turkey!$A:$B,2,)</f>
        <v/>
      </c>
      <c r="Z91" s="32">
        <f>VLOOKUP(B91,CzechRepublic!$A:$B,2,)</f>
        <v/>
      </c>
      <c r="AA91" s="32">
        <f>VLOOKUP(B91,Poland!$A:$B,2,)</f>
        <v/>
      </c>
      <c r="AB91" s="32">
        <f>VLOOKUP(B91,Denmark!$A:$B,2,)</f>
        <v/>
      </c>
    </row>
    <row r="92" customFormat="1" s="84">
      <c r="B92" s="31" t="n">
        <v>44501</v>
      </c>
      <c r="C92" s="32">
        <f>VLOOKUP(B92,Global!$A:$B,2,)</f>
        <v/>
      </c>
      <c r="D92" s="32">
        <f>VLOOKUP(B92,US!$A:$D,4,)</f>
        <v/>
      </c>
      <c r="E92" s="32">
        <f>VLOOKUP(B92,US!$A:$B,2,)</f>
        <v/>
      </c>
      <c r="F92" s="32">
        <f>VLOOKUP(B92,China!$A:$B,2,)</f>
        <v/>
      </c>
      <c r="G92" s="32">
        <f>VLOOKUP(B92,'Euro Area'!A:B,2,)</f>
        <v/>
      </c>
      <c r="H92" s="32">
        <f>VLOOKUP(B92,Japan!$A:$B,2,)</f>
        <v/>
      </c>
      <c r="I92" s="32">
        <f>VLOOKUP(B92,Germany!$A:$B,2,)</f>
        <v/>
      </c>
      <c r="J92" s="32">
        <f>VLOOKUP(B92,France!$A:$B,2,)</f>
        <v/>
      </c>
      <c r="K92" s="32">
        <f>VLOOKUP(B92,UK!$A:$B,2,)</f>
        <v/>
      </c>
      <c r="L92" s="32">
        <f>VLOOKUP(B92,Italy!$A:$B,2,)</f>
        <v/>
      </c>
      <c r="M92" s="32">
        <f>VLOOKUP(B92,Spain!$A:$B,2,)</f>
        <v/>
      </c>
      <c r="N92" s="32">
        <f>VLOOKUP(B92,Brazil!$A:$B,2,)</f>
        <v/>
      </c>
      <c r="O92" s="32">
        <f>VLOOKUP(B92,Mexico!$A:$B,2,)</f>
        <v/>
      </c>
      <c r="P92" s="32">
        <f>VLOOKUP(B92,Russia!$A:$B,2,)</f>
        <v/>
      </c>
      <c r="Q92" s="32">
        <f>VLOOKUP(B92,India!$A:$B,2,)</f>
        <v/>
      </c>
      <c r="R92" s="32">
        <f>VLOOKUP(B92,Canada!$A:$B,2,)</f>
        <v/>
      </c>
      <c r="S92" s="32">
        <f>VLOOKUP(B92,Australia!$A:$B,2,)</f>
        <v/>
      </c>
      <c r="T92" s="32">
        <f>VLOOKUP(B92,Indonesia!$A:$B,2,)</f>
        <v/>
      </c>
      <c r="U92" s="32">
        <f>VLOOKUP(B92,SouthKorea!$A:$B,2,)</f>
        <v/>
      </c>
      <c r="V92" s="32">
        <f>VLOOKUP(B92,Taiwan!$A:$B,2,)</f>
        <v/>
      </c>
      <c r="W92" s="32">
        <f>VLOOKUP(B92,Greece!$A:$B,2,)</f>
        <v/>
      </c>
      <c r="X92" s="32">
        <f>VLOOKUP(B92,Ireland!$A:$B,2,)</f>
        <v/>
      </c>
      <c r="Y92" s="32">
        <f>VLOOKUP(B92,Turkey!$A:$B,2,)</f>
        <v/>
      </c>
      <c r="Z92" s="32">
        <f>VLOOKUP(B92,CzechRepublic!$A:$B,2,)</f>
        <v/>
      </c>
      <c r="AA92" s="32">
        <f>VLOOKUP(B92,Poland!$A:$B,2,)</f>
        <v/>
      </c>
      <c r="AB92" s="32">
        <f>VLOOKUP(B92,Denmark!$A:$B,2,)</f>
        <v/>
      </c>
    </row>
    <row r="93" customFormat="1" s="84">
      <c r="B93" s="31" t="n">
        <v>44531</v>
      </c>
      <c r="C93" s="32">
        <f>VLOOKUP(B93,Global!$A:$B,2,)</f>
        <v/>
      </c>
      <c r="D93" s="32">
        <f>VLOOKUP(B93,US!$A:$D,4,)</f>
        <v/>
      </c>
      <c r="E93" s="32">
        <f>VLOOKUP(B93,US!$A:$B,2,)</f>
        <v/>
      </c>
      <c r="F93" s="32">
        <f>VLOOKUP(B93,China!$A:$B,2,)</f>
        <v/>
      </c>
      <c r="G93" s="32">
        <f>VLOOKUP(B93,'Euro Area'!A:B,2,)</f>
        <v/>
      </c>
      <c r="H93" s="32">
        <f>VLOOKUP(B93,Japan!$A:$B,2,)</f>
        <v/>
      </c>
      <c r="I93" s="32">
        <f>VLOOKUP(B93,Germany!$A:$B,2,)</f>
        <v/>
      </c>
      <c r="J93" s="32">
        <f>VLOOKUP(B93,France!$A:$B,2,)</f>
        <v/>
      </c>
      <c r="K93" s="32">
        <f>VLOOKUP(B93,UK!$A:$B,2,)</f>
        <v/>
      </c>
      <c r="L93" s="32">
        <f>VLOOKUP(B93,Italy!$A:$B,2,)</f>
        <v/>
      </c>
      <c r="M93" s="32">
        <f>VLOOKUP(B93,Spain!$A:$B,2,)</f>
        <v/>
      </c>
      <c r="N93" s="32">
        <f>VLOOKUP(B93,Brazil!$A:$B,2,)</f>
        <v/>
      </c>
      <c r="O93" s="32">
        <f>VLOOKUP(B93,Mexico!$A:$B,2,)</f>
        <v/>
      </c>
      <c r="P93" s="32">
        <f>VLOOKUP(B93,Russia!$A:$B,2,)</f>
        <v/>
      </c>
      <c r="Q93" s="32">
        <f>VLOOKUP(B93,India!$A:$B,2,)</f>
        <v/>
      </c>
      <c r="R93" s="32">
        <f>VLOOKUP(B93,Canada!$A:$B,2,)</f>
        <v/>
      </c>
      <c r="S93" s="32">
        <f>VLOOKUP(B93,Australia!$A:$B,2,)</f>
        <v/>
      </c>
      <c r="T93" s="32">
        <f>VLOOKUP(B93,Indonesia!$A:$B,2,)</f>
        <v/>
      </c>
      <c r="U93" s="32">
        <f>VLOOKUP(B93,SouthKorea!$A:$B,2,)</f>
        <v/>
      </c>
      <c r="V93" s="32">
        <f>VLOOKUP(B93,Taiwan!$A:$B,2,)</f>
        <v/>
      </c>
      <c r="W93" s="32">
        <f>VLOOKUP(B93,Greece!$A:$B,2,)</f>
        <v/>
      </c>
      <c r="X93" s="32">
        <f>VLOOKUP(B93,Ireland!$A:$B,2,)</f>
        <v/>
      </c>
      <c r="Y93" s="32">
        <f>VLOOKUP(B93,Turkey!$A:$B,2,)</f>
        <v/>
      </c>
      <c r="Z93" s="32">
        <f>VLOOKUP(B93,CzechRepublic!$A:$B,2,)</f>
        <v/>
      </c>
      <c r="AA93" s="32">
        <f>VLOOKUP(B93,Poland!$A:$B,2,)</f>
        <v/>
      </c>
      <c r="AB93" s="32">
        <f>VLOOKUP(B93,Denmark!$A:$B,2,)</f>
        <v/>
      </c>
    </row>
    <row r="94" customFormat="1" s="84"/>
    <row r="95" customFormat="1" s="84"/>
    <row r="96" customFormat="1" s="84"/>
    <row r="97" customFormat="1" s="84"/>
    <row r="98" customFormat="1" s="84"/>
    <row r="99" customFormat="1" s="84"/>
    <row r="100" customFormat="1" s="84"/>
    <row r="101" customFormat="1" s="84"/>
    <row r="102" customFormat="1" s="84"/>
    <row r="103" customFormat="1" s="84"/>
    <row r="104" customFormat="1" s="84"/>
    <row r="105" customFormat="1" s="84"/>
    <row r="106" customFormat="1" s="84"/>
    <row r="107" customFormat="1" s="84"/>
    <row r="108" customFormat="1" s="84"/>
    <row r="109" customFormat="1" s="84"/>
    <row r="110" customFormat="1" s="84"/>
    <row r="111" customFormat="1" s="84"/>
    <row r="112" customFormat="1" s="84"/>
    <row r="113" customFormat="1" s="84"/>
    <row r="114" customFormat="1" s="84"/>
    <row r="115" customFormat="1" s="84"/>
    <row r="116" customFormat="1" s="84"/>
    <row r="117" customFormat="1" s="84"/>
    <row r="118" customFormat="1" s="84"/>
    <row r="119" customFormat="1" s="84"/>
    <row r="120" customFormat="1" s="84"/>
    <row r="121" customFormat="1" s="84"/>
    <row r="122" customFormat="1" s="84"/>
    <row r="123" customFormat="1" s="84"/>
    <row r="124" customFormat="1" s="84"/>
    <row r="125" customFormat="1" s="84"/>
    <row r="126" customFormat="1" s="84"/>
    <row r="127" customFormat="1" s="84"/>
    <row r="128" customFormat="1" s="84"/>
    <row r="129" customFormat="1" s="84"/>
    <row r="130" customFormat="1" s="84"/>
    <row r="131" customFormat="1" s="84"/>
    <row r="132" customFormat="1" s="84"/>
    <row r="133" customFormat="1" s="84"/>
    <row r="134" customFormat="1" s="84"/>
    <row r="135" customFormat="1" s="84"/>
    <row r="136" customFormat="1" s="84"/>
    <row r="137" customFormat="1" s="84"/>
    <row r="138" customFormat="1" s="84"/>
    <row r="139" customFormat="1" s="84"/>
    <row r="140" customFormat="1" s="84"/>
    <row r="141" customFormat="1" s="84"/>
    <row r="142" customFormat="1" s="84"/>
    <row r="143" customFormat="1" s="84"/>
    <row r="144" customFormat="1" s="84"/>
    <row r="145" customFormat="1" s="84"/>
    <row r="146" customFormat="1" s="84"/>
    <row r="147" customFormat="1" s="84"/>
    <row r="148" customFormat="1" s="84"/>
    <row r="149" customFormat="1" s="84"/>
    <row r="150" customFormat="1" s="84"/>
    <row r="151" customFormat="1" s="84"/>
    <row r="152" customFormat="1" s="84"/>
    <row r="153" customFormat="1" s="84"/>
    <row r="154" customFormat="1" s="84"/>
    <row r="155" customFormat="1" s="84"/>
    <row r="156" customFormat="1" s="84"/>
    <row r="157" customFormat="1" s="84"/>
    <row r="158" customFormat="1" s="84"/>
    <row r="159" customFormat="1" s="84"/>
    <row r="160" customFormat="1" s="84"/>
    <row r="161" customFormat="1" s="84"/>
    <row r="162" customFormat="1" s="84"/>
    <row r="163" customFormat="1" s="84"/>
    <row r="164" customFormat="1" s="84"/>
    <row r="165" customFormat="1" s="84"/>
    <row r="166" customFormat="1" s="84"/>
    <row r="167" customFormat="1" s="84"/>
    <row r="168" customFormat="1" s="84"/>
    <row r="169" customFormat="1" s="84"/>
    <row r="170" customFormat="1" s="84"/>
    <row r="171" customFormat="1" s="84"/>
    <row r="172" customFormat="1" s="84"/>
    <row r="173" customFormat="1" s="84"/>
    <row r="174" customFormat="1" s="84"/>
    <row r="175" customFormat="1" s="84"/>
    <row r="176" customFormat="1" s="84"/>
    <row r="177" customFormat="1" s="84"/>
    <row r="178" customFormat="1" s="84"/>
    <row r="179" customFormat="1" s="84"/>
    <row r="180" customFormat="1" s="84"/>
    <row r="181" customFormat="1" s="84"/>
    <row r="182" customFormat="1" s="84"/>
    <row r="183" customFormat="1" s="84"/>
    <row r="184" customFormat="1" s="84"/>
    <row r="185" customFormat="1" s="84"/>
    <row r="186" customFormat="1" s="84"/>
    <row r="187" customFormat="1" s="84"/>
    <row r="188" customFormat="1" s="84"/>
    <row r="189" customFormat="1" s="84"/>
    <row r="190" customFormat="1" s="84"/>
    <row r="191" customFormat="1" s="84"/>
    <row r="192" customFormat="1" s="84"/>
    <row r="193" customFormat="1" s="84"/>
    <row r="194" customFormat="1" s="84"/>
    <row r="195" customFormat="1" s="84"/>
    <row r="196" customFormat="1" s="84"/>
    <row r="197" customFormat="1" s="84"/>
    <row r="198" customFormat="1" s="84"/>
    <row r="199" customFormat="1" s="84"/>
    <row r="200" customFormat="1" s="84"/>
    <row r="201" customFormat="1" s="84"/>
    <row r="202" customFormat="1" s="84"/>
    <row r="203" customFormat="1" s="84"/>
    <row r="204" customFormat="1" s="84"/>
    <row r="205" customFormat="1" s="84"/>
    <row r="206" customFormat="1" s="84"/>
    <row r="207" customFormat="1" s="84"/>
    <row r="208" customFormat="1" s="84"/>
    <row r="209" customFormat="1" s="84"/>
    <row r="210" customFormat="1" s="84"/>
    <row r="211" customFormat="1" s="84"/>
    <row r="212" customFormat="1" s="84"/>
    <row r="213" customFormat="1" s="84"/>
    <row r="214" customFormat="1" s="84"/>
    <row r="215" customFormat="1" s="84"/>
    <row r="216" customFormat="1" s="84"/>
    <row r="217" customFormat="1" s="84"/>
    <row r="218" customFormat="1" s="84"/>
    <row r="219" customFormat="1" s="84"/>
    <row r="220" customFormat="1" s="84"/>
    <row r="221" customFormat="1" s="84"/>
    <row r="222" customFormat="1" s="84"/>
    <row r="223" customFormat="1" s="84"/>
    <row r="224" customFormat="1" s="84"/>
    <row r="225" customFormat="1" s="84"/>
    <row r="226" customFormat="1" s="84"/>
    <row r="227" customFormat="1" s="84"/>
    <row r="228" customFormat="1" s="84"/>
    <row r="229" customFormat="1" s="84"/>
    <row r="230" customFormat="1" s="84"/>
    <row r="231" customFormat="1" s="84"/>
    <row r="232" customFormat="1" s="84"/>
    <row r="233" customFormat="1" s="84"/>
    <row r="234" customFormat="1" s="84"/>
    <row r="235" customFormat="1" s="84"/>
    <row r="236" customFormat="1" s="84"/>
    <row r="237" customFormat="1" s="84"/>
    <row r="238" customFormat="1" s="84"/>
    <row r="239" customFormat="1" s="84"/>
    <row r="240" customFormat="1" s="84"/>
    <row r="241" customFormat="1" s="84"/>
    <row r="242" customFormat="1" s="84"/>
    <row r="243" customFormat="1" s="84"/>
    <row r="244" customFormat="1" s="84"/>
    <row r="245" customFormat="1" s="84"/>
    <row r="246" customFormat="1" s="84"/>
    <row r="247" customFormat="1" s="84"/>
    <row r="248" customFormat="1" s="84"/>
    <row r="249" customFormat="1" s="84"/>
    <row r="250" customFormat="1" s="84"/>
    <row r="251" customFormat="1" s="84"/>
    <row r="252" customFormat="1" s="84"/>
    <row r="253" customFormat="1" s="84"/>
    <row r="254" customFormat="1" s="84"/>
    <row r="255" customFormat="1" s="84"/>
    <row r="256" customFormat="1" s="84"/>
    <row r="257" customFormat="1" s="84"/>
    <row r="258" customFormat="1" s="84"/>
    <row r="259" customFormat="1" s="84"/>
    <row r="260" customFormat="1" s="84"/>
    <row r="261" customFormat="1" s="84"/>
    <row r="262" customFormat="1" s="84"/>
    <row r="263" customFormat="1" s="84"/>
    <row r="264" customFormat="1" s="84"/>
    <row r="265" customFormat="1" s="84"/>
    <row r="266" customFormat="1" s="84"/>
    <row r="267" customFormat="1" s="84"/>
    <row r="268" customFormat="1" s="84"/>
    <row r="269" customFormat="1" s="84"/>
    <row r="270" customFormat="1" s="84"/>
    <row r="271" customFormat="1" s="84"/>
    <row r="272" customFormat="1" s="84"/>
    <row r="273" customFormat="1" s="84"/>
    <row r="274" customFormat="1" s="84"/>
    <row r="275" customFormat="1" s="84"/>
    <row r="276" customFormat="1" s="84"/>
    <row r="277" customFormat="1" s="84"/>
    <row r="278" customFormat="1" s="84"/>
    <row r="279" customFormat="1" s="84"/>
    <row r="280" customFormat="1" s="84"/>
    <row r="281" customFormat="1" s="84"/>
    <row r="282" customFormat="1" s="84"/>
    <row r="283" customFormat="1" s="84"/>
    <row r="284" customFormat="1" s="84"/>
    <row r="285" customFormat="1" s="84"/>
    <row r="286" customFormat="1" s="84"/>
    <row r="287" customFormat="1" s="84"/>
    <row r="288" customFormat="1" s="84"/>
    <row r="289" customFormat="1" s="84"/>
    <row r="290" customFormat="1" s="84"/>
    <row r="291" customFormat="1" s="84"/>
    <row r="292" customFormat="1" s="84"/>
    <row r="293" customFormat="1" s="84"/>
    <row r="294" customFormat="1" s="84"/>
    <row r="295" customFormat="1" s="84"/>
    <row r="296" customFormat="1" s="84"/>
    <row r="297" customFormat="1" s="84"/>
    <row r="298" customFormat="1" s="84"/>
    <row r="299" customFormat="1" s="84"/>
    <row r="300" customFormat="1" s="84"/>
    <row r="301" customFormat="1" s="84"/>
    <row r="302" customFormat="1" s="84"/>
    <row r="303" customFormat="1" s="84"/>
    <row r="304" customFormat="1" s="84"/>
    <row r="305" customFormat="1" s="84"/>
    <row r="306" customFormat="1" s="84"/>
    <row r="307" customFormat="1" s="84"/>
    <row r="308" customFormat="1" s="84"/>
    <row r="309" customFormat="1" s="84"/>
    <row r="310" customFormat="1" s="84"/>
    <row r="311" customFormat="1" s="84"/>
    <row r="312" customFormat="1" s="84"/>
    <row r="313" customFormat="1" s="84"/>
    <row r="314" customFormat="1" s="84"/>
    <row r="315" customFormat="1" s="84"/>
    <row r="316" customFormat="1" s="84"/>
    <row r="317" customFormat="1" s="84"/>
    <row r="318" customFormat="1" s="84"/>
    <row r="319" customFormat="1" s="84"/>
    <row r="320" customFormat="1" s="84"/>
    <row r="321" customFormat="1" s="84"/>
    <row r="322" customFormat="1" s="84"/>
    <row r="323" customFormat="1" s="84"/>
    <row r="324" customFormat="1" s="84"/>
    <row r="325" customFormat="1" s="84"/>
    <row r="326" customFormat="1" s="84"/>
    <row r="327" customFormat="1" s="84"/>
    <row r="328" customFormat="1" s="84"/>
    <row r="329" customFormat="1" s="84"/>
    <row r="330" customFormat="1" s="84"/>
    <row r="331" customFormat="1" s="84"/>
    <row r="332" customFormat="1" s="84"/>
    <row r="333" customFormat="1" s="84"/>
    <row r="334" customFormat="1" s="84"/>
    <row r="335" customFormat="1" s="84"/>
    <row r="336" customFormat="1" s="84"/>
    <row r="337" customFormat="1" s="84"/>
    <row r="338" customFormat="1" s="84"/>
    <row r="339" customFormat="1" s="84"/>
    <row r="340" customFormat="1" s="84"/>
    <row r="341" customFormat="1" s="84"/>
    <row r="342" customFormat="1" s="84"/>
    <row r="343" customFormat="1" s="84"/>
    <row r="344" customFormat="1" s="84"/>
    <row r="345" customFormat="1" s="84"/>
    <row r="346" customFormat="1" s="84"/>
    <row r="347" customFormat="1" s="84"/>
  </sheetData>
  <conditionalFormatting sqref="C12:AB9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0"/>
  <sheetViews>
    <sheetView zoomScale="150" zoomScaleNormal="150" workbookViewId="0">
      <pane ySplit="5" topLeftCell="A100" activePane="bottomLeft" state="frozen"/>
      <selection activeCell="O117" sqref="O117"/>
      <selection pane="bottomLeft" activeCell="D144" sqref="D144:E144"/>
    </sheetView>
  </sheetViews>
  <sheetFormatPr baseColWidth="10" defaultColWidth="9.1640625" defaultRowHeight="15"/>
  <cols>
    <col width="13.5" customWidth="1" style="84" min="1" max="1"/>
    <col width="11.33203125" customWidth="1" style="84" min="2" max="2"/>
    <col width="9.1640625" customWidth="1" style="84" min="3" max="3"/>
    <col width="13" customWidth="1" style="84" min="4" max="4"/>
    <col width="9.1640625" customWidth="1" style="84" min="5" max="15"/>
    <col width="9.1640625" customWidth="1" style="84" min="16" max="16384"/>
  </cols>
  <sheetData>
    <row r="1">
      <c r="A1" s="84" t="inlineStr">
        <is>
          <t>Global Manufacturing PMI</t>
        </is>
      </c>
    </row>
    <row r="2">
      <c r="K2" s="84">
        <f>A1</f>
        <v/>
      </c>
    </row>
    <row r="4" ht="16" customHeight="1" s="76" thickBot="1"/>
    <row r="5" ht="16" customHeight="1" s="76" thickBot="1">
      <c r="A5" s="22" t="inlineStr">
        <is>
          <t>Date</t>
        </is>
      </c>
      <c r="B5" s="23" t="inlineStr">
        <is>
          <t>PMI</t>
        </is>
      </c>
      <c r="C5" s="23" t="inlineStr">
        <is>
          <t>mom</t>
        </is>
      </c>
      <c r="D5" s="23" t="inlineStr">
        <is>
          <t>ACWI</t>
        </is>
      </c>
      <c r="E5" s="23" t="inlineStr">
        <is>
          <t>PMI yoy</t>
        </is>
      </c>
      <c r="F5" s="24" t="inlineStr">
        <is>
          <t>ACWI yoy</t>
        </is>
      </c>
    </row>
    <row r="6">
      <c r="A6" s="18" t="n">
        <v>40452</v>
      </c>
      <c r="B6" s="19" t="n">
        <v>53.7</v>
      </c>
      <c r="C6" s="19" t="n"/>
      <c r="D6" s="20" t="n">
        <v>35.053406</v>
      </c>
      <c r="E6" s="19" t="n"/>
      <c r="F6" s="21" t="n"/>
    </row>
    <row r="7">
      <c r="A7" s="10" t="n">
        <v>40483</v>
      </c>
      <c r="B7" s="25" t="n">
        <v>54</v>
      </c>
      <c r="C7" s="25">
        <f>Table1[[#This Row],[PMI]]-B6</f>
        <v/>
      </c>
      <c r="D7" s="11" t="n">
        <v>34.287117</v>
      </c>
      <c r="E7" s="25" t="n"/>
      <c r="F7" s="12" t="n"/>
    </row>
    <row r="8">
      <c r="A8" s="10" t="n">
        <v>40513</v>
      </c>
      <c r="B8" s="25" t="n">
        <v>54.9</v>
      </c>
      <c r="C8" s="25">
        <f>Table1[[#This Row],[PMI]]-B7</f>
        <v/>
      </c>
      <c r="D8" s="11" t="n">
        <v>36.601612</v>
      </c>
      <c r="E8" s="25" t="n"/>
      <c r="F8" s="12" t="n"/>
    </row>
    <row r="9">
      <c r="A9" s="10" t="n">
        <v>40544</v>
      </c>
      <c r="B9" s="25" t="n">
        <v>57.2</v>
      </c>
      <c r="C9" s="25">
        <f>Table1[[#This Row],[PMI]]-B8</f>
        <v/>
      </c>
      <c r="D9" s="11" t="n">
        <v>37.353607</v>
      </c>
      <c r="E9" s="25" t="n"/>
      <c r="F9" s="12" t="n"/>
    </row>
    <row r="10">
      <c r="A10" s="10" t="n">
        <v>40575</v>
      </c>
      <c r="B10" s="25" t="n">
        <v>58.2</v>
      </c>
      <c r="C10" s="25">
        <f>Table1[[#This Row],[PMI]]-B9</f>
        <v/>
      </c>
      <c r="D10" s="11" t="n">
        <v>38.514244</v>
      </c>
      <c r="E10" s="25" t="n"/>
      <c r="F10" s="12" t="n"/>
    </row>
    <row r="11">
      <c r="A11" s="10" t="n">
        <v>40603</v>
      </c>
      <c r="B11" s="25" t="n">
        <v>56</v>
      </c>
      <c r="C11" s="25">
        <f>Table1[[#This Row],[PMI]]-B10</f>
        <v/>
      </c>
      <c r="D11" s="11" t="n">
        <v>38.182636</v>
      </c>
      <c r="E11" s="25" t="n"/>
      <c r="F11" s="12" t="n"/>
    </row>
    <row r="12">
      <c r="A12" s="10" t="n">
        <v>40634</v>
      </c>
      <c r="B12" s="25" t="n">
        <v>55.5</v>
      </c>
      <c r="C12" s="25">
        <f>Table1[[#This Row],[PMI]]-B11</f>
        <v/>
      </c>
      <c r="D12" s="11" t="n">
        <v>40.022289</v>
      </c>
      <c r="E12" s="25" t="n"/>
      <c r="F12" s="12" t="n"/>
    </row>
    <row r="13">
      <c r="A13" s="10" t="n">
        <v>40664</v>
      </c>
      <c r="B13" s="25" t="n">
        <v>53.1</v>
      </c>
      <c r="C13" s="25">
        <f>Table1[[#This Row],[PMI]]-B12</f>
        <v/>
      </c>
      <c r="D13" s="11" t="n">
        <v>39.240631</v>
      </c>
      <c r="E13" s="25" t="n"/>
      <c r="F13" s="12" t="n"/>
    </row>
    <row r="14">
      <c r="A14" s="10" t="n">
        <v>40695</v>
      </c>
      <c r="B14" s="25" t="n">
        <v>52.8</v>
      </c>
      <c r="C14" s="25">
        <f>Table1[[#This Row],[PMI]]-B13</f>
        <v/>
      </c>
      <c r="D14" s="11" t="n">
        <v>38.095787</v>
      </c>
      <c r="E14" s="25" t="n"/>
      <c r="F14" s="12" t="n"/>
    </row>
    <row r="15">
      <c r="A15" s="10" t="n">
        <v>40725</v>
      </c>
      <c r="B15" s="25" t="n">
        <v>50.9</v>
      </c>
      <c r="C15" s="25">
        <f>Table1[[#This Row],[PMI]]-B14</f>
        <v/>
      </c>
      <c r="D15" s="11" t="n">
        <v>37.67075</v>
      </c>
      <c r="E15" s="25" t="n"/>
      <c r="F15" s="12" t="n"/>
    </row>
    <row r="16">
      <c r="A16" s="10" t="n">
        <v>40756</v>
      </c>
      <c r="B16" s="25" t="n">
        <v>50.4</v>
      </c>
      <c r="C16" s="25">
        <f>Table1[[#This Row],[PMI]]-B15</f>
        <v/>
      </c>
      <c r="D16" s="11" t="n">
        <v>34.898369</v>
      </c>
      <c r="E16" s="25" t="n"/>
      <c r="F16" s="12" t="n"/>
    </row>
    <row r="17">
      <c r="A17" s="10" t="n">
        <v>40787</v>
      </c>
      <c r="B17" s="25" t="n">
        <v>50.1</v>
      </c>
      <c r="C17" s="25">
        <f>Table1[[#This Row],[PMI]]-B16</f>
        <v/>
      </c>
      <c r="D17" s="11" t="n">
        <v>31.255133</v>
      </c>
      <c r="E17" s="25" t="n"/>
      <c r="F17" s="12" t="n"/>
    </row>
    <row r="18">
      <c r="A18" s="10" t="n">
        <v>40817</v>
      </c>
      <c r="B18" s="25" t="n">
        <v>49.5</v>
      </c>
      <c r="C18" s="25">
        <f>Table1[[#This Row],[PMI]]-B17</f>
        <v/>
      </c>
      <c r="D18" s="11" t="n">
        <v>34.794514</v>
      </c>
      <c r="E18" s="25">
        <f>Table1[[#This Row],[PMI]]-B6</f>
        <v/>
      </c>
      <c r="F18" s="13">
        <f>(Table1[[#This Row],[ACWI]]-D6)/D6</f>
        <v/>
      </c>
    </row>
    <row r="19">
      <c r="A19" s="10" t="n">
        <v>40848</v>
      </c>
      <c r="B19" s="25" t="n">
        <v>49.6</v>
      </c>
      <c r="C19" s="25">
        <f>Table1[[#This Row],[PMI]]-B18</f>
        <v/>
      </c>
      <c r="D19" s="11" t="n">
        <v>34.395027</v>
      </c>
      <c r="E19" s="25">
        <f>Table1[[#This Row],[PMI]]-B7</f>
        <v/>
      </c>
      <c r="F19" s="13">
        <f>(Table1[[#This Row],[ACWI]]-D7)/D7</f>
        <v/>
      </c>
    </row>
    <row r="20">
      <c r="A20" s="10" t="n">
        <v>40878</v>
      </c>
      <c r="B20" s="25" t="n">
        <v>50.4</v>
      </c>
      <c r="C20" s="25">
        <f>Table1[[#This Row],[PMI]]-B19</f>
        <v/>
      </c>
      <c r="D20" s="11" t="n">
        <v>33.691944</v>
      </c>
      <c r="E20" s="25">
        <f>Table1[[#This Row],[PMI]]-B8</f>
        <v/>
      </c>
      <c r="F20" s="13">
        <f>(Table1[[#This Row],[ACWI]]-D8)/D8</f>
        <v/>
      </c>
    </row>
    <row r="21">
      <c r="A21" s="10" t="n">
        <v>40909</v>
      </c>
      <c r="B21" s="25" t="n">
        <v>51</v>
      </c>
      <c r="C21" s="25">
        <f>Table1[[#This Row],[PMI]]-B20</f>
        <v/>
      </c>
      <c r="D21" s="11" t="n">
        <v>35.934361</v>
      </c>
      <c r="E21" s="25">
        <f>Table1[[#This Row],[PMI]]-B9</f>
        <v/>
      </c>
      <c r="F21" s="13">
        <f>(Table1[[#This Row],[ACWI]]-D9)/D9</f>
        <v/>
      </c>
    </row>
    <row r="22">
      <c r="A22" s="10" t="n">
        <v>40940</v>
      </c>
      <c r="B22" s="25" t="n">
        <v>51.2</v>
      </c>
      <c r="C22" s="25">
        <f>Table1[[#This Row],[PMI]]-B21</f>
        <v/>
      </c>
      <c r="D22" s="11" t="n">
        <v>37.711681</v>
      </c>
      <c r="E22" s="25">
        <f>Table1[[#This Row],[PMI]]-B10</f>
        <v/>
      </c>
      <c r="F22" s="13">
        <f>(Table1[[#This Row],[ACWI]]-D10)/D10</f>
        <v/>
      </c>
    </row>
    <row r="23">
      <c r="A23" s="10" t="n">
        <v>40969</v>
      </c>
      <c r="B23" s="25" t="n">
        <v>51.6</v>
      </c>
      <c r="C23" s="25">
        <f>Table1[[#This Row],[PMI]]-B22</f>
        <v/>
      </c>
      <c r="D23" s="11" t="n">
        <v>38.131783</v>
      </c>
      <c r="E23" s="25">
        <f>Table1[[#This Row],[PMI]]-B11</f>
        <v/>
      </c>
      <c r="F23" s="13">
        <f>(Table1[[#This Row],[ACWI]]-D11)/D11</f>
        <v/>
      </c>
    </row>
    <row r="24">
      <c r="A24" s="10" t="n">
        <v>41000</v>
      </c>
      <c r="B24" s="25" t="n">
        <v>51.3</v>
      </c>
      <c r="C24" s="25">
        <f>Table1[[#This Row],[PMI]]-B23</f>
        <v/>
      </c>
      <c r="D24" s="11" t="n">
        <v>37.69553</v>
      </c>
      <c r="E24" s="25">
        <f>Table1[[#This Row],[PMI]]-B12</f>
        <v/>
      </c>
      <c r="F24" s="13">
        <f>(Table1[[#This Row],[ACWI]]-D12)/D12</f>
        <v/>
      </c>
    </row>
    <row r="25">
      <c r="A25" s="10" t="n">
        <v>41030</v>
      </c>
      <c r="B25" s="25" t="n">
        <v>50.3</v>
      </c>
      <c r="C25" s="25">
        <f>Table1[[#This Row],[PMI]]-B24</f>
        <v/>
      </c>
      <c r="D25" s="11" t="n">
        <v>34.19743</v>
      </c>
      <c r="E25" s="25">
        <f>Table1[[#This Row],[PMI]]-B13</f>
        <v/>
      </c>
      <c r="F25" s="13">
        <f>(Table1[[#This Row],[ACWI]]-D13)/D13</f>
        <v/>
      </c>
    </row>
    <row r="26">
      <c r="A26" s="10" t="n">
        <v>41061</v>
      </c>
      <c r="B26" s="25" t="n">
        <v>49.7</v>
      </c>
      <c r="C26" s="25">
        <f>Table1[[#This Row],[PMI]]-B25</f>
        <v/>
      </c>
      <c r="D26" s="11" t="n">
        <v>35.441555</v>
      </c>
      <c r="E26" s="25">
        <f>Table1[[#This Row],[PMI]]-B14</f>
        <v/>
      </c>
      <c r="F26" s="13">
        <f>(Table1[[#This Row],[ACWI]]-D14)/D14</f>
        <v/>
      </c>
    </row>
    <row r="27">
      <c r="A27" s="10" t="n">
        <v>41091</v>
      </c>
      <c r="B27" s="25" t="n">
        <v>48.8</v>
      </c>
      <c r="C27" s="25">
        <f>Table1[[#This Row],[PMI]]-B26</f>
        <v/>
      </c>
      <c r="D27" s="11" t="n">
        <v>36.226879</v>
      </c>
      <c r="E27" s="25">
        <f>Table1[[#This Row],[PMI]]-B15</f>
        <v/>
      </c>
      <c r="F27" s="13">
        <f>(Table1[[#This Row],[ACWI]]-D15)/D15</f>
        <v/>
      </c>
    </row>
    <row r="28">
      <c r="A28" s="10" t="n">
        <v>41122</v>
      </c>
      <c r="B28" s="25" t="n">
        <v>48.7</v>
      </c>
      <c r="C28" s="25">
        <f>Table1[[#This Row],[PMI]]-B27</f>
        <v/>
      </c>
      <c r="D28" s="11" t="n">
        <v>37.234306</v>
      </c>
      <c r="E28" s="25">
        <f>Table1[[#This Row],[PMI]]-B16</f>
        <v/>
      </c>
      <c r="F28" s="13">
        <f>(Table1[[#This Row],[ACWI]]-D16)/D16</f>
        <v/>
      </c>
    </row>
    <row r="29">
      <c r="A29" s="10" t="n">
        <v>41153</v>
      </c>
      <c r="B29" s="25" t="n">
        <v>48.7</v>
      </c>
      <c r="C29" s="25">
        <f>Table1[[#This Row],[PMI]]-B28</f>
        <v/>
      </c>
      <c r="D29" s="11" t="n">
        <v>38.241756</v>
      </c>
      <c r="E29" s="25">
        <f>Table1[[#This Row],[PMI]]-B17</f>
        <v/>
      </c>
      <c r="F29" s="13">
        <f>(Table1[[#This Row],[ACWI]]-D17)/D17</f>
        <v/>
      </c>
    </row>
    <row r="30">
      <c r="A30" s="10" t="n">
        <v>41183</v>
      </c>
      <c r="B30" s="25" t="n">
        <v>48.9</v>
      </c>
      <c r="C30" s="25">
        <f>Table1[[#This Row],[PMI]]-B29</f>
        <v/>
      </c>
      <c r="D30" s="11" t="n">
        <v>38.045189</v>
      </c>
      <c r="E30" s="25">
        <f>Table1[[#This Row],[PMI]]-B18</f>
        <v/>
      </c>
      <c r="F30" s="13">
        <f>(Table1[[#This Row],[ACWI]]-D18)/D18</f>
        <v/>
      </c>
    </row>
    <row r="31">
      <c r="A31" s="10" t="n">
        <v>41214</v>
      </c>
      <c r="B31" s="25" t="n">
        <v>49.6</v>
      </c>
      <c r="C31" s="25">
        <f>Table1[[#This Row],[PMI]]-B30</f>
        <v/>
      </c>
      <c r="D31" s="11" t="n">
        <v>38.651287</v>
      </c>
      <c r="E31" s="25">
        <f>Table1[[#This Row],[PMI]]-B19</f>
        <v/>
      </c>
      <c r="F31" s="13">
        <f>(Table1[[#This Row],[ACWI]]-D19)/D19</f>
        <v/>
      </c>
    </row>
    <row r="32">
      <c r="A32" s="10" t="n">
        <v>41244</v>
      </c>
      <c r="B32" s="25" t="n">
        <v>50</v>
      </c>
      <c r="C32" s="25">
        <f>Table1[[#This Row],[PMI]]-B31</f>
        <v/>
      </c>
      <c r="D32" s="11" t="n">
        <v>39.380249</v>
      </c>
      <c r="E32" s="25">
        <f>Table1[[#This Row],[PMI]]-B20</f>
        <v/>
      </c>
      <c r="F32" s="13">
        <f>(Table1[[#This Row],[ACWI]]-D20)/D20</f>
        <v/>
      </c>
    </row>
    <row r="33">
      <c r="A33" s="10" t="n">
        <v>41275</v>
      </c>
      <c r="B33" s="25" t="n">
        <v>51.5</v>
      </c>
      <c r="C33" s="25">
        <f>Table1[[#This Row],[PMI]]-B32</f>
        <v/>
      </c>
      <c r="D33" s="11" t="n">
        <v>41.271072</v>
      </c>
      <c r="E33" s="25">
        <f>Table1[[#This Row],[PMI]]-B21</f>
        <v/>
      </c>
      <c r="F33" s="13">
        <f>(Table1[[#This Row],[ACWI]]-D21)/D21</f>
        <v/>
      </c>
    </row>
    <row r="34">
      <c r="A34" s="10" t="n">
        <v>41306</v>
      </c>
      <c r="B34" s="25" t="n">
        <v>50.9</v>
      </c>
      <c r="C34" s="25">
        <f>Table1[[#This Row],[PMI]]-B33</f>
        <v/>
      </c>
      <c r="D34" s="11" t="n">
        <v>41.229702</v>
      </c>
      <c r="E34" s="25">
        <f>Table1[[#This Row],[PMI]]-B22</f>
        <v/>
      </c>
      <c r="F34" s="13">
        <f>(Table1[[#This Row],[ACWI]]-D22)/D22</f>
        <v/>
      </c>
    </row>
    <row r="35">
      <c r="A35" s="10" t="n">
        <v>41334</v>
      </c>
      <c r="B35" s="25" t="n">
        <v>51.2</v>
      </c>
      <c r="C35" s="25">
        <f>Table1[[#This Row],[PMI]]-B34</f>
        <v/>
      </c>
      <c r="D35" s="11" t="n">
        <v>41.982502</v>
      </c>
      <c r="E35" s="25">
        <f>Table1[[#This Row],[PMI]]-B23</f>
        <v/>
      </c>
      <c r="F35" s="13">
        <f>(Table1[[#This Row],[ACWI]]-D23)/D23</f>
        <v/>
      </c>
    </row>
    <row r="36">
      <c r="A36" s="10" t="n">
        <v>41365</v>
      </c>
      <c r="B36" s="25" t="n">
        <v>50.4</v>
      </c>
      <c r="C36" s="25">
        <f>Table1[[#This Row],[PMI]]-B35</f>
        <v/>
      </c>
      <c r="D36" s="11" t="n">
        <v>43.173725</v>
      </c>
      <c r="E36" s="25">
        <f>Table1[[#This Row],[PMI]]-B24</f>
        <v/>
      </c>
      <c r="F36" s="13">
        <f>(Table1[[#This Row],[ACWI]]-D24)/D24</f>
        <v/>
      </c>
    </row>
    <row r="37">
      <c r="A37" s="10" t="n">
        <v>41395</v>
      </c>
      <c r="B37" s="25" t="n">
        <v>50.6</v>
      </c>
      <c r="C37" s="25">
        <f>Table1[[#This Row],[PMI]]-B36</f>
        <v/>
      </c>
      <c r="D37" s="11" t="n">
        <v>43.008278</v>
      </c>
      <c r="E37" s="25">
        <f>Table1[[#This Row],[PMI]]-B25</f>
        <v/>
      </c>
      <c r="F37" s="13">
        <f>(Table1[[#This Row],[ACWI]]-D25)/D25</f>
        <v/>
      </c>
    </row>
    <row r="38">
      <c r="A38" s="10" t="n">
        <v>41426</v>
      </c>
      <c r="B38" s="25" t="n">
        <v>50.6</v>
      </c>
      <c r="C38" s="25">
        <f>Table1[[#This Row],[PMI]]-B37</f>
        <v/>
      </c>
      <c r="D38" s="11" t="n">
        <v>41.362072</v>
      </c>
      <c r="E38" s="25">
        <f>Table1[[#This Row],[PMI]]-B26</f>
        <v/>
      </c>
      <c r="F38" s="13">
        <f>(Table1[[#This Row],[ACWI]]-D26)/D26</f>
        <v/>
      </c>
    </row>
    <row r="39">
      <c r="A39" s="10" t="n">
        <v>41456</v>
      </c>
      <c r="B39" s="25" t="n">
        <v>50.8</v>
      </c>
      <c r="C39" s="25">
        <f>Table1[[#This Row],[PMI]]-B38</f>
        <v/>
      </c>
      <c r="D39" s="11" t="n">
        <v>43.807865</v>
      </c>
      <c r="E39" s="25">
        <f>Table1[[#This Row],[PMI]]-B27</f>
        <v/>
      </c>
      <c r="F39" s="13">
        <f>(Table1[[#This Row],[ACWI]]-D27)/D27</f>
        <v/>
      </c>
    </row>
    <row r="40">
      <c r="A40" s="10" t="n">
        <v>41487</v>
      </c>
      <c r="B40" s="25" t="n">
        <v>51.6</v>
      </c>
      <c r="C40" s="25">
        <f>Table1[[#This Row],[PMI]]-B39</f>
        <v/>
      </c>
      <c r="D40" s="11" t="n">
        <v>42.802521</v>
      </c>
      <c r="E40" s="25">
        <f>Table1[[#This Row],[PMI]]-B28</f>
        <v/>
      </c>
      <c r="F40" s="13">
        <f>(Table1[[#This Row],[ACWI]]-D28)/D28</f>
        <v/>
      </c>
    </row>
    <row r="41">
      <c r="A41" s="10" t="n">
        <v>41518</v>
      </c>
      <c r="B41" s="25" t="n">
        <v>51.8</v>
      </c>
      <c r="C41" s="25">
        <f>Table1[[#This Row],[PMI]]-B40</f>
        <v/>
      </c>
      <c r="D41" s="11" t="n">
        <v>45.173458</v>
      </c>
      <c r="E41" s="25">
        <f>Table1[[#This Row],[PMI]]-B29</f>
        <v/>
      </c>
      <c r="F41" s="13">
        <f>(Table1[[#This Row],[ACWI]]-D29)/D29</f>
        <v/>
      </c>
    </row>
    <row r="42">
      <c r="A42" s="10" t="n">
        <v>41548</v>
      </c>
      <c r="B42" s="25" t="n">
        <v>52.1</v>
      </c>
      <c r="C42" s="25">
        <f>Table1[[#This Row],[PMI]]-B41</f>
        <v/>
      </c>
      <c r="D42" s="11" t="n">
        <v>46.957939</v>
      </c>
      <c r="E42" s="25">
        <f>Table1[[#This Row],[PMI]]-B30</f>
        <v/>
      </c>
      <c r="F42" s="13">
        <f>(Table1[[#This Row],[ACWI]]-D30)/D30</f>
        <v/>
      </c>
    </row>
    <row r="43">
      <c r="A43" s="10" t="n">
        <v>41579</v>
      </c>
      <c r="B43" s="25" t="n">
        <v>53.1</v>
      </c>
      <c r="C43" s="25">
        <f>Table1[[#This Row],[PMI]]-B42</f>
        <v/>
      </c>
      <c r="D43" s="11" t="n">
        <v>47.68681</v>
      </c>
      <c r="E43" s="25">
        <f>Table1[[#This Row],[PMI]]-B31</f>
        <v/>
      </c>
      <c r="F43" s="13">
        <f>(Table1[[#This Row],[ACWI]]-D31)/D31</f>
        <v/>
      </c>
    </row>
    <row r="44">
      <c r="A44" s="10" t="n">
        <v>41609</v>
      </c>
      <c r="B44" s="25" t="n">
        <v>53.3</v>
      </c>
      <c r="C44" s="25">
        <f>Table1[[#This Row],[PMI]]-B43</f>
        <v/>
      </c>
      <c r="D44" s="11" t="n">
        <v>48.273266</v>
      </c>
      <c r="E44" s="25">
        <f>Table1[[#This Row],[PMI]]-B32</f>
        <v/>
      </c>
      <c r="F44" s="13">
        <f>(Table1[[#This Row],[ACWI]]-D32)/D32</f>
        <v/>
      </c>
    </row>
    <row r="45">
      <c r="A45" s="10" t="n">
        <v>41640</v>
      </c>
      <c r="B45" s="25" t="n">
        <v>52.9</v>
      </c>
      <c r="C45" s="25">
        <f>Table1[[#This Row],[PMI]]-B44</f>
        <v/>
      </c>
      <c r="D45" s="11" t="n">
        <v>46.418129</v>
      </c>
      <c r="E45" s="25">
        <f>Table1[[#This Row],[PMI]]-B33</f>
        <v/>
      </c>
      <c r="F45" s="13">
        <f>(Table1[[#This Row],[ACWI]]-D33)/D33</f>
        <v/>
      </c>
    </row>
    <row r="46">
      <c r="A46" s="10" t="n">
        <v>41671</v>
      </c>
      <c r="B46" s="25" t="n">
        <v>53.3</v>
      </c>
      <c r="C46" s="25">
        <f>Table1[[#This Row],[PMI]]-B45</f>
        <v/>
      </c>
      <c r="D46" s="11" t="n">
        <v>48.834057</v>
      </c>
      <c r="E46" s="25">
        <f>Table1[[#This Row],[PMI]]-B34</f>
        <v/>
      </c>
      <c r="F46" s="13">
        <f>(Table1[[#This Row],[ACWI]]-D34)/D34</f>
        <v/>
      </c>
    </row>
    <row r="47">
      <c r="A47" s="10" t="n">
        <v>41699</v>
      </c>
      <c r="B47" s="25" t="n">
        <v>52.4</v>
      </c>
      <c r="C47" s="25">
        <f>Table1[[#This Row],[PMI]]-B46</f>
        <v/>
      </c>
      <c r="D47" s="11" t="n">
        <v>49.112823</v>
      </c>
      <c r="E47" s="25">
        <f>Table1[[#This Row],[PMI]]-B35</f>
        <v/>
      </c>
      <c r="F47" s="13">
        <f>(Table1[[#This Row],[ACWI]]-D35)/D35</f>
        <v/>
      </c>
    </row>
    <row r="48">
      <c r="A48" s="10" t="n">
        <v>41730</v>
      </c>
      <c r="B48" s="25" t="n">
        <v>51.9</v>
      </c>
      <c r="C48" s="25">
        <f>Table1[[#This Row],[PMI]]-B47</f>
        <v/>
      </c>
      <c r="D48" s="11" t="n">
        <v>49.695686</v>
      </c>
      <c r="E48" s="25">
        <f>Table1[[#This Row],[PMI]]-B36</f>
        <v/>
      </c>
      <c r="F48" s="13">
        <f>(Table1[[#This Row],[ACWI]]-D36)/D36</f>
        <v/>
      </c>
    </row>
    <row r="49">
      <c r="A49" s="10" t="n">
        <v>41760</v>
      </c>
      <c r="B49" s="25" t="n">
        <v>52.2</v>
      </c>
      <c r="C49" s="25">
        <f>Table1[[#This Row],[PMI]]-B48</f>
        <v/>
      </c>
      <c r="D49" s="11" t="n">
        <v>50.692474</v>
      </c>
      <c r="E49" s="25">
        <f>Table1[[#This Row],[PMI]]-B37</f>
        <v/>
      </c>
      <c r="F49" s="13">
        <f>(Table1[[#This Row],[ACWI]]-D37)/D37</f>
        <v/>
      </c>
    </row>
    <row r="50">
      <c r="A50" s="10" t="n">
        <v>41791</v>
      </c>
      <c r="B50" s="25" t="n">
        <v>52.6</v>
      </c>
      <c r="C50" s="25">
        <f>Table1[[#This Row],[PMI]]-B49</f>
        <v/>
      </c>
      <c r="D50" s="11" t="n">
        <v>50.90366</v>
      </c>
      <c r="E50" s="25">
        <f>Table1[[#This Row],[PMI]]-B38</f>
        <v/>
      </c>
      <c r="F50" s="13">
        <f>(Table1[[#This Row],[ACWI]]-D38)/D38</f>
        <v/>
      </c>
    </row>
    <row r="51">
      <c r="A51" s="10" t="n">
        <v>41821</v>
      </c>
      <c r="B51" s="25" t="n">
        <v>52.5</v>
      </c>
      <c r="C51" s="25">
        <f>Table1[[#This Row],[PMI]]-B50</f>
        <v/>
      </c>
      <c r="D51" s="11" t="n">
        <v>50.868992</v>
      </c>
      <c r="E51" s="25">
        <f>Table1[[#This Row],[PMI]]-B39</f>
        <v/>
      </c>
      <c r="F51" s="13">
        <f>(Table1[[#This Row],[ACWI]]-D39)/D39</f>
        <v/>
      </c>
    </row>
    <row r="52">
      <c r="A52" s="10" t="n">
        <v>41852</v>
      </c>
      <c r="B52" s="25" t="n">
        <v>52.6</v>
      </c>
      <c r="C52" s="25">
        <f>Table1[[#This Row],[PMI]]-B51</f>
        <v/>
      </c>
      <c r="D52" s="11" t="n">
        <v>52.179474</v>
      </c>
      <c r="E52" s="25">
        <f>Table1[[#This Row],[PMI]]-B40</f>
        <v/>
      </c>
      <c r="F52" s="13">
        <f>(Table1[[#This Row],[ACWI]]-D40)/D40</f>
        <v/>
      </c>
    </row>
    <row r="53">
      <c r="A53" s="10" t="n">
        <v>41883</v>
      </c>
      <c r="B53" s="25" t="n">
        <v>52.2</v>
      </c>
      <c r="C53" s="25">
        <f>Table1[[#This Row],[PMI]]-B52</f>
        <v/>
      </c>
      <c r="D53" s="11" t="n">
        <v>50.449291</v>
      </c>
      <c r="E53" s="25">
        <f>Table1[[#This Row],[PMI]]-B41</f>
        <v/>
      </c>
      <c r="F53" s="13">
        <f>(Table1[[#This Row],[ACWI]]-D41)/D41</f>
        <v/>
      </c>
    </row>
    <row r="54">
      <c r="A54" s="10" t="n">
        <v>41913</v>
      </c>
      <c r="B54" s="25" t="n">
        <v>52.2</v>
      </c>
      <c r="C54" s="25">
        <f>Table1[[#This Row],[PMI]]-B53</f>
        <v/>
      </c>
      <c r="D54" s="11" t="n">
        <v>51.05743</v>
      </c>
      <c r="E54" s="25">
        <f>Table1[[#This Row],[PMI]]-B42</f>
        <v/>
      </c>
      <c r="F54" s="13">
        <f>(Table1[[#This Row],[ACWI]]-D42)/D42</f>
        <v/>
      </c>
    </row>
    <row r="55">
      <c r="A55" s="10" t="n">
        <v>41944</v>
      </c>
      <c r="B55" s="25" t="n">
        <v>51.8</v>
      </c>
      <c r="C55" s="25">
        <f>Table1[[#This Row],[PMI]]-B54</f>
        <v/>
      </c>
      <c r="D55" s="11" t="n">
        <v>51.759781</v>
      </c>
      <c r="E55" s="25">
        <f>Table1[[#This Row],[PMI]]-B43</f>
        <v/>
      </c>
      <c r="F55" s="13">
        <f>(Table1[[#This Row],[ACWI]]-D43)/D43</f>
        <v/>
      </c>
    </row>
    <row r="56">
      <c r="A56" s="10" t="n">
        <v>41974</v>
      </c>
      <c r="B56" s="25" t="n">
        <v>51.6</v>
      </c>
      <c r="C56" s="25">
        <f>Table1[[#This Row],[PMI]]-B55</f>
        <v/>
      </c>
      <c r="D56" s="11" t="n">
        <v>50.106682</v>
      </c>
      <c r="E56" s="25">
        <f>Table1[[#This Row],[PMI]]-B44</f>
        <v/>
      </c>
      <c r="F56" s="13">
        <f>(Table1[[#This Row],[ACWI]]-D44)/D44</f>
        <v/>
      </c>
    </row>
    <row r="57">
      <c r="A57" s="10" t="n">
        <v>42005</v>
      </c>
      <c r="B57" s="25" t="n">
        <v>51.7</v>
      </c>
      <c r="C57" s="25">
        <f>Table1[[#This Row],[PMI]]-B56</f>
        <v/>
      </c>
      <c r="D57" s="11" t="n">
        <v>49.874241</v>
      </c>
      <c r="E57" s="25">
        <f>Table1[[#This Row],[PMI]]-B45</f>
        <v/>
      </c>
      <c r="F57" s="13">
        <f>(Table1[[#This Row],[ACWI]]-D45)/D45</f>
        <v/>
      </c>
    </row>
    <row r="58">
      <c r="A58" s="10" t="n">
        <v>42036</v>
      </c>
      <c r="B58" s="25" t="n">
        <v>52</v>
      </c>
      <c r="C58" s="25">
        <f>Table1[[#This Row],[PMI]]-B57</f>
        <v/>
      </c>
      <c r="D58" s="11" t="n">
        <v>52.62151</v>
      </c>
      <c r="E58" s="25">
        <f>Table1[[#This Row],[PMI]]-B46</f>
        <v/>
      </c>
      <c r="F58" s="13">
        <f>(Table1[[#This Row],[ACWI]]-D46)/D46</f>
        <v/>
      </c>
    </row>
    <row r="59">
      <c r="A59" s="10" t="n">
        <v>42064</v>
      </c>
      <c r="B59" s="25" t="n">
        <v>51.8</v>
      </c>
      <c r="C59" s="25">
        <f>Table1[[#This Row],[PMI]]-B58</f>
        <v/>
      </c>
      <c r="D59" s="11" t="n">
        <v>51.852631</v>
      </c>
      <c r="E59" s="25">
        <f>Table1[[#This Row],[PMI]]-B47</f>
        <v/>
      </c>
      <c r="F59" s="13">
        <f>(Table1[[#This Row],[ACWI]]-D47)/D47</f>
        <v/>
      </c>
    </row>
    <row r="60">
      <c r="A60" s="10" t="n">
        <v>42095</v>
      </c>
      <c r="B60" s="25" t="n">
        <v>51</v>
      </c>
      <c r="C60" s="25">
        <f>Table1[[#This Row],[PMI]]-B59</f>
        <v/>
      </c>
      <c r="D60" s="11" t="n">
        <v>53.33857</v>
      </c>
      <c r="E60" s="25">
        <f>Table1[[#This Row],[PMI]]-B48</f>
        <v/>
      </c>
      <c r="F60" s="13">
        <f>(Table1[[#This Row],[ACWI]]-D48)/D48</f>
        <v/>
      </c>
    </row>
    <row r="61">
      <c r="A61" s="10" t="n">
        <v>42125</v>
      </c>
      <c r="B61" s="25" t="n">
        <v>51.2</v>
      </c>
      <c r="C61" s="25">
        <f>Table1[[#This Row],[PMI]]-B60</f>
        <v/>
      </c>
      <c r="D61" s="11" t="n">
        <v>53.33857</v>
      </c>
      <c r="E61" s="25">
        <f>Table1[[#This Row],[PMI]]-B49</f>
        <v/>
      </c>
      <c r="F61" s="13">
        <f>(Table1[[#This Row],[ACWI]]-D49)/D49</f>
        <v/>
      </c>
    </row>
    <row r="62">
      <c r="A62" s="10" t="n">
        <v>42156</v>
      </c>
      <c r="B62" s="25" t="n">
        <v>51</v>
      </c>
      <c r="C62" s="25">
        <f>Table1[[#This Row],[PMI]]-B61</f>
        <v/>
      </c>
      <c r="D62" s="11" t="n">
        <v>51.360176</v>
      </c>
      <c r="E62" s="25">
        <f>Table1[[#This Row],[PMI]]-B50</f>
        <v/>
      </c>
      <c r="F62" s="13">
        <f>(Table1[[#This Row],[ACWI]]-D50)/D50</f>
        <v/>
      </c>
    </row>
    <row r="63">
      <c r="A63" s="10" t="n">
        <v>42186</v>
      </c>
      <c r="B63" s="25" t="n">
        <v>51</v>
      </c>
      <c r="C63" s="25">
        <f>Table1[[#This Row],[PMI]]-B62</f>
        <v/>
      </c>
      <c r="D63" s="11" t="n">
        <v>52.391602</v>
      </c>
      <c r="E63" s="25">
        <f>Table1[[#This Row],[PMI]]-B51</f>
        <v/>
      </c>
      <c r="F63" s="13">
        <f>(Table1[[#This Row],[ACWI]]-D51)/D51</f>
        <v/>
      </c>
    </row>
    <row r="64">
      <c r="A64" s="10" t="n">
        <v>42217</v>
      </c>
      <c r="B64" s="25" t="n">
        <v>50.7</v>
      </c>
      <c r="C64" s="25">
        <f>Table1[[#This Row],[PMI]]-B63</f>
        <v/>
      </c>
      <c r="D64" s="11" t="n">
        <v>48.825409</v>
      </c>
      <c r="E64" s="25">
        <f>Table1[[#This Row],[PMI]]-B52</f>
        <v/>
      </c>
      <c r="F64" s="13">
        <f>(Table1[[#This Row],[ACWI]]-D52)/D52</f>
        <v/>
      </c>
    </row>
    <row r="65">
      <c r="A65" s="10" t="n">
        <v>42248</v>
      </c>
      <c r="B65" s="25" t="n">
        <v>50.6</v>
      </c>
      <c r="C65" s="25">
        <f>Table1[[#This Row],[PMI]]-B64</f>
        <v/>
      </c>
      <c r="D65" s="11" t="n">
        <v>47.147213</v>
      </c>
      <c r="E65" s="25">
        <f>Table1[[#This Row],[PMI]]-B53</f>
        <v/>
      </c>
      <c r="F65" s="13">
        <f>(Table1[[#This Row],[ACWI]]-D53)/D53</f>
        <v/>
      </c>
    </row>
    <row r="66">
      <c r="A66" s="10" t="n">
        <v>42278</v>
      </c>
      <c r="B66" s="25" t="n">
        <v>51.4</v>
      </c>
      <c r="C66" s="25">
        <f>Table1[[#This Row],[PMI]]-B65</f>
        <v/>
      </c>
      <c r="D66" s="11" t="n">
        <v>50.757095</v>
      </c>
      <c r="E66" s="25">
        <f>Table1[[#This Row],[PMI]]-B54</f>
        <v/>
      </c>
      <c r="F66" s="13">
        <f>(Table1[[#This Row],[ACWI]]-D54)/D54</f>
        <v/>
      </c>
    </row>
    <row r="67">
      <c r="A67" s="10" t="n">
        <v>42309</v>
      </c>
      <c r="B67" s="25" t="n">
        <v>51.2</v>
      </c>
      <c r="C67" s="25">
        <f>Table1[[#This Row],[PMI]]-B66</f>
        <v/>
      </c>
      <c r="D67" s="11" t="n">
        <v>50.486141</v>
      </c>
      <c r="E67" s="25">
        <f>Table1[[#This Row],[PMI]]-B55</f>
        <v/>
      </c>
      <c r="F67" s="13">
        <f>(Table1[[#This Row],[ACWI]]-D55)/D55</f>
        <v/>
      </c>
    </row>
    <row r="68">
      <c r="A68" s="10" t="n">
        <v>42339</v>
      </c>
      <c r="B68" s="25" t="n">
        <v>50.9</v>
      </c>
      <c r="C68" s="25">
        <f>Table1[[#This Row],[PMI]]-B67</f>
        <v/>
      </c>
      <c r="D68" s="11" t="n">
        <v>48.790447</v>
      </c>
      <c r="E68" s="25">
        <f>Table1[[#This Row],[PMI]]-B56</f>
        <v/>
      </c>
      <c r="F68" s="13">
        <f>(Table1[[#This Row],[ACWI]]-D56)/D56</f>
        <v/>
      </c>
    </row>
    <row r="69">
      <c r="A69" s="10" t="n">
        <v>42370</v>
      </c>
      <c r="B69" s="25" t="n">
        <v>50.9</v>
      </c>
      <c r="C69" s="25">
        <f>Table1[[#This Row],[PMI]]-B68</f>
        <v/>
      </c>
      <c r="D69" s="11" t="n">
        <v>46.802235</v>
      </c>
      <c r="E69" s="25">
        <f>Table1[[#This Row],[PMI]]-B57</f>
        <v/>
      </c>
      <c r="F69" s="13">
        <f>(Table1[[#This Row],[ACWI]]-D57)/D57</f>
        <v/>
      </c>
    </row>
    <row r="70">
      <c r="A70" s="10" t="n">
        <v>42401</v>
      </c>
      <c r="B70" s="25" t="n">
        <v>50</v>
      </c>
      <c r="C70" s="25">
        <f>Table1[[#This Row],[PMI]]-B69</f>
        <v/>
      </c>
      <c r="D70" s="11" t="n">
        <v>46.217876</v>
      </c>
      <c r="E70" s="25">
        <f>Table1[[#This Row],[PMI]]-B58</f>
        <v/>
      </c>
      <c r="F70" s="13">
        <f>(Table1[[#This Row],[ACWI]]-D58)/D58</f>
        <v/>
      </c>
    </row>
    <row r="71">
      <c r="A71" s="10" t="n">
        <v>42430</v>
      </c>
      <c r="B71" s="25" t="n">
        <v>50.5</v>
      </c>
      <c r="C71" s="25">
        <f>Table1[[#This Row],[PMI]]-B70</f>
        <v/>
      </c>
      <c r="D71" s="11" t="n">
        <v>49.635517</v>
      </c>
      <c r="E71" s="25">
        <f>Table1[[#This Row],[PMI]]-B59</f>
        <v/>
      </c>
      <c r="F71" s="13">
        <f>(Table1[[#This Row],[ACWI]]-D59)/D59</f>
        <v/>
      </c>
    </row>
    <row r="72">
      <c r="A72" s="10" t="n">
        <v>42461</v>
      </c>
      <c r="B72" s="25" t="n">
        <v>50.1</v>
      </c>
      <c r="C72" s="25">
        <f>Table1[[#This Row],[PMI]]-B71</f>
        <v/>
      </c>
      <c r="D72" s="11" t="n">
        <v>50.299568</v>
      </c>
      <c r="E72" s="25">
        <f>Table1[[#This Row],[PMI]]-B60</f>
        <v/>
      </c>
      <c r="F72" s="13">
        <f>(Table1[[#This Row],[ACWI]]-D60)/D60</f>
        <v/>
      </c>
    </row>
    <row r="73">
      <c r="A73" s="10" t="n">
        <v>42491</v>
      </c>
      <c r="B73" s="25" t="n">
        <v>50</v>
      </c>
      <c r="C73" s="25">
        <f>Table1[[#This Row],[PMI]]-B72</f>
        <v/>
      </c>
      <c r="D73" s="11" t="n">
        <v>50.467789</v>
      </c>
      <c r="E73" s="25">
        <f>Table1[[#This Row],[PMI]]-B61</f>
        <v/>
      </c>
      <c r="F73" s="13">
        <f>(Table1[[#This Row],[ACWI]]-D61)/D61</f>
        <v/>
      </c>
    </row>
    <row r="74">
      <c r="A74" s="10" t="n">
        <v>42522</v>
      </c>
      <c r="B74" s="25" t="n">
        <v>50.9</v>
      </c>
      <c r="C74" s="25">
        <f>Table1[[#This Row],[PMI]]-B73</f>
        <v/>
      </c>
      <c r="D74" s="11" t="n">
        <v>49.786034</v>
      </c>
      <c r="E74" s="25">
        <f>Table1[[#This Row],[PMI]]-B62</f>
        <v/>
      </c>
      <c r="F74" s="13">
        <f>(Table1[[#This Row],[ACWI]]-D62)/D62</f>
        <v/>
      </c>
    </row>
    <row r="75">
      <c r="A75" s="10" t="n">
        <v>42552</v>
      </c>
      <c r="B75" s="25" t="n">
        <v>51</v>
      </c>
      <c r="C75" s="25">
        <f>Table1[[#This Row],[PMI]]-B74</f>
        <v/>
      </c>
      <c r="D75" s="11" t="n">
        <v>52.344524</v>
      </c>
      <c r="E75" s="25">
        <f>Table1[[#This Row],[PMI]]-B63</f>
        <v/>
      </c>
      <c r="F75" s="13">
        <f>(Table1[[#This Row],[ACWI]]-D63)/D63</f>
        <v/>
      </c>
    </row>
    <row r="76">
      <c r="A76" s="10" t="n">
        <v>42583</v>
      </c>
      <c r="B76" s="25" t="n">
        <v>50.9</v>
      </c>
      <c r="C76" s="25">
        <f>Table1[[#This Row],[PMI]]-B75</f>
        <v/>
      </c>
      <c r="D76" s="11" t="n">
        <v>52.523933</v>
      </c>
      <c r="E76" s="25">
        <f>Table1[[#This Row],[PMI]]-B64</f>
        <v/>
      </c>
      <c r="F76" s="13">
        <f>(Table1[[#This Row],[ACWI]]-D64)/D64</f>
        <v/>
      </c>
    </row>
    <row r="77">
      <c r="A77" s="10" t="n">
        <v>42614</v>
      </c>
      <c r="B77" s="25" t="n">
        <v>51</v>
      </c>
      <c r="C77" s="25">
        <f>Table1[[#This Row],[PMI]]-B76</f>
        <v/>
      </c>
      <c r="D77" s="11" t="n">
        <v>53.01733</v>
      </c>
      <c r="E77" s="25">
        <f>Table1[[#This Row],[PMI]]-B65</f>
        <v/>
      </c>
      <c r="F77" s="13">
        <f>(Table1[[#This Row],[ACWI]]-D65)/D65</f>
        <v/>
      </c>
    </row>
    <row r="78">
      <c r="A78" s="10" t="n">
        <v>42644</v>
      </c>
      <c r="B78" s="25" t="n">
        <v>52</v>
      </c>
      <c r="C78" s="25">
        <f>Table1[[#This Row],[PMI]]-B77</f>
        <v/>
      </c>
      <c r="D78" s="11" t="n">
        <v>52.003635</v>
      </c>
      <c r="E78" s="25">
        <f>Table1[[#This Row],[PMI]]-B66</f>
        <v/>
      </c>
      <c r="F78" s="13">
        <f>(Table1[[#This Row],[ACWI]]-D66)/D66</f>
        <v/>
      </c>
    </row>
    <row r="79">
      <c r="A79" s="10" t="n">
        <v>42675</v>
      </c>
      <c r="B79" s="25" t="n">
        <v>52.1</v>
      </c>
      <c r="C79" s="25">
        <f>Table1[[#This Row],[PMI]]-B78</f>
        <v/>
      </c>
      <c r="D79" s="11" t="n">
        <v>52.541885</v>
      </c>
      <c r="E79" s="25">
        <f>Table1[[#This Row],[PMI]]-B67</f>
        <v/>
      </c>
      <c r="F79" s="13">
        <f>(Table1[[#This Row],[ACWI]]-D67)/D67</f>
        <v/>
      </c>
    </row>
    <row r="80">
      <c r="A80" s="10" t="n">
        <v>42705</v>
      </c>
      <c r="B80" s="25" t="n">
        <v>52.7</v>
      </c>
      <c r="C80" s="25">
        <f>Table1[[#This Row],[PMI]]-B79</f>
        <v/>
      </c>
      <c r="D80" s="11" t="n">
        <v>53.080128</v>
      </c>
      <c r="E80" s="25">
        <f>Table1[[#This Row],[PMI]]-B68</f>
        <v/>
      </c>
      <c r="F80" s="13">
        <f>(Table1[[#This Row],[ACWI]]-D68)/D68</f>
        <v/>
      </c>
    </row>
    <row r="81">
      <c r="A81" s="10" t="n">
        <v>42736</v>
      </c>
      <c r="B81" s="25" t="n">
        <v>52.7</v>
      </c>
      <c r="C81" s="25">
        <f>Table1[[#This Row],[PMI]]-B80</f>
        <v/>
      </c>
      <c r="D81" s="11" t="n">
        <v>55.130199</v>
      </c>
      <c r="E81" s="25">
        <f>Table1[[#This Row],[PMI]]-B69</f>
        <v/>
      </c>
      <c r="F81" s="13">
        <f>(Table1[[#This Row],[ACWI]]-D69)/D69</f>
        <v/>
      </c>
    </row>
    <row r="82">
      <c r="A82" s="10" t="n">
        <v>42767</v>
      </c>
      <c r="B82" s="25" t="n">
        <v>53</v>
      </c>
      <c r="C82" s="25">
        <f>Table1[[#This Row],[PMI]]-B81</f>
        <v/>
      </c>
      <c r="D82" s="11" t="n">
        <v>56.515476</v>
      </c>
      <c r="E82" s="25">
        <f>Table1[[#This Row],[PMI]]-B70</f>
        <v/>
      </c>
      <c r="F82" s="13">
        <f>(Table1[[#This Row],[ACWI]]-D70)/D70</f>
        <v/>
      </c>
    </row>
    <row r="83">
      <c r="A83" s="10" t="n">
        <v>42795</v>
      </c>
      <c r="B83" s="25" t="n">
        <v>53</v>
      </c>
      <c r="C83" s="25">
        <f>Table1[[#This Row],[PMI]]-B82</f>
        <v/>
      </c>
      <c r="D83" s="11" t="n">
        <v>57.276012</v>
      </c>
      <c r="E83" s="25">
        <f>Table1[[#This Row],[PMI]]-B71</f>
        <v/>
      </c>
      <c r="F83" s="13">
        <f>(Table1[[#This Row],[ACWI]]-D71)/D71</f>
        <v/>
      </c>
    </row>
    <row r="84">
      <c r="A84" s="10" t="n">
        <v>42826</v>
      </c>
      <c r="B84" s="25" t="n">
        <v>52.7</v>
      </c>
      <c r="C84" s="25">
        <f>Table1[[#This Row],[PMI]]-B83</f>
        <v/>
      </c>
      <c r="D84" s="11" t="n">
        <v>58.199528</v>
      </c>
      <c r="E84" s="25">
        <f>Table1[[#This Row],[PMI]]-B72</f>
        <v/>
      </c>
      <c r="F84" s="13">
        <f>(Table1[[#This Row],[ACWI]]-D72)/D72</f>
        <v/>
      </c>
    </row>
    <row r="85">
      <c r="A85" s="10" t="n">
        <v>42856</v>
      </c>
      <c r="B85" s="25" t="n">
        <v>52.6</v>
      </c>
      <c r="C85" s="25">
        <f>Table1[[#This Row],[PMI]]-B84</f>
        <v/>
      </c>
      <c r="D85" s="11" t="n">
        <v>59.485203</v>
      </c>
      <c r="E85" s="25">
        <f>Table1[[#This Row],[PMI]]-B73</f>
        <v/>
      </c>
      <c r="F85" s="13">
        <f>(Table1[[#This Row],[ACWI]]-D73)/D73</f>
        <v/>
      </c>
    </row>
    <row r="86">
      <c r="A86" s="10" t="n">
        <v>42887</v>
      </c>
      <c r="B86" s="25" t="n">
        <v>52.6</v>
      </c>
      <c r="C86" s="25">
        <f>Table1[[#This Row],[PMI]]-B85</f>
        <v/>
      </c>
      <c r="D86" s="11" t="n">
        <v>59.295071</v>
      </c>
      <c r="E86" s="25">
        <f>Table1[[#This Row],[PMI]]-B74</f>
        <v/>
      </c>
      <c r="F86" s="13">
        <f>(Table1[[#This Row],[ACWI]]-D74)/D74</f>
        <v/>
      </c>
    </row>
    <row r="87">
      <c r="A87" s="10" t="n">
        <v>42917</v>
      </c>
      <c r="B87" s="25" t="n">
        <v>52.8</v>
      </c>
      <c r="C87" s="25">
        <f>Table1[[#This Row],[PMI]]-B86</f>
        <v/>
      </c>
      <c r="D87" s="11" t="n">
        <v>61.592102</v>
      </c>
      <c r="E87" s="25">
        <f>Table1[[#This Row],[PMI]]-B75</f>
        <v/>
      </c>
      <c r="F87" s="13">
        <f>(Table1[[#This Row],[ACWI]]-D75)/D75</f>
        <v/>
      </c>
    </row>
    <row r="88">
      <c r="A88" s="10" t="n">
        <v>42948</v>
      </c>
      <c r="B88" s="25" t="n">
        <v>53.2</v>
      </c>
      <c r="C88" s="25">
        <f>Table1[[#This Row],[PMI]]-B87</f>
        <v/>
      </c>
      <c r="D88" s="11" t="n">
        <v>61.839279</v>
      </c>
      <c r="E88" s="25">
        <f>Table1[[#This Row],[PMI]]-B76</f>
        <v/>
      </c>
      <c r="F88" s="13">
        <f>(Table1[[#This Row],[ACWI]]-D76)/D76</f>
        <v/>
      </c>
    </row>
    <row r="89">
      <c r="A89" s="10" t="n">
        <v>42979</v>
      </c>
      <c r="B89" s="25" t="n">
        <v>53.3</v>
      </c>
      <c r="C89" s="25">
        <f>Table1[[#This Row],[PMI]]-B88</f>
        <v/>
      </c>
      <c r="D89" s="11" t="n">
        <v>63.001911</v>
      </c>
      <c r="E89" s="25">
        <f>Table1[[#This Row],[PMI]]-B77</f>
        <v/>
      </c>
      <c r="F89" s="13">
        <f>(Table1[[#This Row],[ACWI]]-D77)/D77</f>
        <v/>
      </c>
    </row>
    <row r="90">
      <c r="A90" s="10" t="n">
        <v>43009</v>
      </c>
      <c r="B90" s="25" t="n">
        <v>53.5</v>
      </c>
      <c r="C90" s="25">
        <f>Table1[[#This Row],[PMI]]-B89</f>
        <v/>
      </c>
      <c r="D90" s="11" t="n">
        <v>64.356781</v>
      </c>
      <c r="E90" s="25">
        <f>Table1[[#This Row],[PMI]]-B78</f>
        <v/>
      </c>
      <c r="F90" s="13">
        <f>(Table1[[#This Row],[ACWI]]-D78)/D78</f>
        <v/>
      </c>
    </row>
    <row r="91">
      <c r="A91" s="10" t="n">
        <v>43040</v>
      </c>
      <c r="B91" s="25" t="n">
        <v>54.1</v>
      </c>
      <c r="C91" s="25">
        <f>Table1[[#This Row],[PMI]]-B90</f>
        <v/>
      </c>
      <c r="D91" s="11" t="n">
        <v>65.656746</v>
      </c>
      <c r="E91" s="25">
        <f>Table1[[#This Row],[PMI]]-B79</f>
        <v/>
      </c>
      <c r="F91" s="13">
        <f>(Table1[[#This Row],[ACWI]]-D79)/D79</f>
        <v/>
      </c>
    </row>
    <row r="92">
      <c r="A92" s="10" t="n">
        <v>43070</v>
      </c>
      <c r="B92" s="25" t="n">
        <v>54.5</v>
      </c>
      <c r="C92" s="25">
        <f>Table1[[#This Row],[PMI]]-B91</f>
        <v/>
      </c>
      <c r="D92" s="11" t="n">
        <v>65.995453</v>
      </c>
      <c r="E92" s="25">
        <f>Table1[[#This Row],[PMI]]-B80</f>
        <v/>
      </c>
      <c r="F92" s="13">
        <f>(Table1[[#This Row],[ACWI]]-D80)/D80</f>
        <v/>
      </c>
    </row>
    <row r="93">
      <c r="A93" s="10" t="n">
        <v>43101</v>
      </c>
      <c r="B93" s="25" t="n">
        <v>54.4</v>
      </c>
      <c r="C93" s="25">
        <f>Table1[[#This Row],[PMI]]-B92</f>
        <v/>
      </c>
      <c r="D93" s="11" t="n">
        <v>70.406509</v>
      </c>
      <c r="E93" s="25">
        <f>Table1[[#This Row],[PMI]]-B81</f>
        <v/>
      </c>
      <c r="F93" s="13">
        <f>(Table1[[#This Row],[ACWI]]-D81)/D81</f>
        <v/>
      </c>
    </row>
    <row r="94">
      <c r="A94" s="10" t="n">
        <v>43132</v>
      </c>
      <c r="B94" s="25" t="n">
        <v>54.1</v>
      </c>
      <c r="C94" s="25">
        <f>Table1[[#This Row],[PMI]]-B93</f>
        <v/>
      </c>
      <c r="D94" s="11" t="n">
        <v>67.255775</v>
      </c>
      <c r="E94" s="25">
        <f>Table1[[#This Row],[PMI]]-B82</f>
        <v/>
      </c>
      <c r="F94" s="13">
        <f>(Table1[[#This Row],[ACWI]]-D82)/D82</f>
        <v/>
      </c>
    </row>
    <row r="95">
      <c r="A95" s="10" t="n">
        <v>43160</v>
      </c>
      <c r="B95" s="25" t="n">
        <v>53.3</v>
      </c>
      <c r="C95" s="25">
        <f>Table1[[#This Row],[PMI]]-B94</f>
        <v/>
      </c>
      <c r="D95" s="11" t="n">
        <v>66.24865699999999</v>
      </c>
      <c r="E95" s="25">
        <f>Table1[[#This Row],[PMI]]-B83</f>
        <v/>
      </c>
      <c r="F95" s="13">
        <f>(Table1[[#This Row],[ACWI]]-D83)/D83</f>
        <v/>
      </c>
    </row>
    <row r="96">
      <c r="A96" s="10" t="n">
        <v>43191</v>
      </c>
      <c r="B96" s="25" t="n">
        <v>53.5</v>
      </c>
      <c r="C96" s="25">
        <f>Table1[[#This Row],[PMI]]-B95</f>
        <v/>
      </c>
      <c r="D96" s="11" t="n">
        <v>66.51660200000001</v>
      </c>
      <c r="E96" s="25">
        <f>Table1[[#This Row],[PMI]]-B84</f>
        <v/>
      </c>
      <c r="F96" s="13">
        <f>(Table1[[#This Row],[ACWI]]-D84)/D84</f>
        <v/>
      </c>
    </row>
    <row r="97">
      <c r="A97" s="10" t="n">
        <v>43221</v>
      </c>
      <c r="B97" s="25" t="n">
        <v>53.1</v>
      </c>
      <c r="C97" s="25">
        <f>Table1[[#This Row],[PMI]]-B96</f>
        <v/>
      </c>
      <c r="D97" s="11" t="n">
        <v>66.83075700000001</v>
      </c>
      <c r="E97" s="25">
        <f>Table1[[#This Row],[PMI]]-B85</f>
        <v/>
      </c>
      <c r="F97" s="13">
        <f>(Table1[[#This Row],[ACWI]]-D85)/D85</f>
        <v/>
      </c>
    </row>
    <row r="98">
      <c r="A98" s="10" t="n">
        <v>43252</v>
      </c>
      <c r="B98" s="25" t="n">
        <v>53</v>
      </c>
      <c r="C98" s="25">
        <f>Table1[[#This Row],[PMI]]-B97</f>
        <v/>
      </c>
      <c r="D98" s="11" t="n">
        <v>65.712761</v>
      </c>
      <c r="E98" s="25">
        <f>Table1[[#This Row],[PMI]]-B86</f>
        <v/>
      </c>
      <c r="F98" s="13">
        <f>(Table1[[#This Row],[ACWI]]-D86)/D86</f>
        <v/>
      </c>
    </row>
    <row r="99">
      <c r="A99" s="10" t="n">
        <v>43282</v>
      </c>
      <c r="B99" s="25" t="n">
        <v>52.8</v>
      </c>
      <c r="C99" s="25">
        <f>Table1[[#This Row],[PMI]]-B98</f>
        <v/>
      </c>
      <c r="D99" s="11" t="n">
        <v>68.47611999999999</v>
      </c>
      <c r="E99" s="25">
        <f>Table1[[#This Row],[PMI]]-B87</f>
        <v/>
      </c>
      <c r="F99" s="13">
        <f>(Table1[[#This Row],[ACWI]]-D87)/D87</f>
        <v/>
      </c>
    </row>
    <row r="100">
      <c r="A100" s="10" t="n">
        <v>43313</v>
      </c>
      <c r="B100" s="25" t="n">
        <v>52.6</v>
      </c>
      <c r="C100" s="25">
        <f>Table1[[#This Row],[PMI]]-B99</f>
        <v/>
      </c>
      <c r="D100" s="11" t="n">
        <v>68.95255299999999</v>
      </c>
      <c r="E100" s="25">
        <f>Table1[[#This Row],[PMI]]-B88</f>
        <v/>
      </c>
      <c r="F100" s="13">
        <f>(Table1[[#This Row],[ACWI]]-D88)/D88</f>
        <v/>
      </c>
    </row>
    <row r="101">
      <c r="A101" s="10" t="n">
        <v>43344</v>
      </c>
      <c r="B101" s="25" t="n">
        <v>52.2</v>
      </c>
      <c r="C101" s="25">
        <f>Table1[[#This Row],[PMI]]-B100</f>
        <v/>
      </c>
      <c r="D101" s="11" t="n">
        <v>69.372955</v>
      </c>
      <c r="E101" s="25">
        <f>Table1[[#This Row],[PMI]]-B89</f>
        <v/>
      </c>
      <c r="F101" s="13">
        <f>(Table1[[#This Row],[ACWI]]-D89)/D89</f>
        <v/>
      </c>
    </row>
    <row r="102">
      <c r="A102" s="10" t="n">
        <v>43374</v>
      </c>
      <c r="B102" s="25" t="n">
        <v>52</v>
      </c>
      <c r="C102" s="25">
        <f>Table1[[#This Row],[PMI]]-B101</f>
        <v/>
      </c>
      <c r="D102" s="11" t="n">
        <v>64.216202</v>
      </c>
      <c r="E102" s="25">
        <f>Table1[[#This Row],[PMI]]-B90</f>
        <v/>
      </c>
      <c r="F102" s="13">
        <f>(Table1[[#This Row],[ACWI]]-D90)/D90</f>
        <v/>
      </c>
    </row>
    <row r="103">
      <c r="A103" s="10" t="n">
        <v>43405</v>
      </c>
      <c r="B103" s="25" t="n">
        <v>52</v>
      </c>
      <c r="C103" s="25">
        <f>Table1[[#This Row],[PMI]]-B102</f>
        <v/>
      </c>
      <c r="D103" s="11" t="n">
        <v>65.234482</v>
      </c>
      <c r="E103" s="25">
        <f>Table1[[#This Row],[PMI]]-B91</f>
        <v/>
      </c>
      <c r="F103" s="13">
        <f>(Table1[[#This Row],[ACWI]]-D91)/D91</f>
        <v/>
      </c>
    </row>
    <row r="104">
      <c r="A104" s="10" t="n">
        <v>43435</v>
      </c>
      <c r="B104" s="25" t="n">
        <v>51.5</v>
      </c>
      <c r="C104" s="25">
        <f>Table1[[#This Row],[PMI]]-B103</f>
        <v/>
      </c>
      <c r="D104" s="11" t="n">
        <v>59.937622</v>
      </c>
      <c r="E104" s="25">
        <f>Table1[[#This Row],[PMI]]-B92</f>
        <v/>
      </c>
      <c r="F104" s="13">
        <f>(Table1[[#This Row],[ACWI]]-D92)/D92</f>
        <v/>
      </c>
    </row>
    <row r="105">
      <c r="A105" s="10" t="n">
        <v>43466</v>
      </c>
      <c r="B105" s="25" t="n">
        <v>50.7</v>
      </c>
      <c r="C105" s="25">
        <f>Table1[[#This Row],[PMI]]-B104</f>
        <v/>
      </c>
      <c r="D105" s="11" t="n">
        <v>65.399124</v>
      </c>
      <c r="E105" s="25">
        <f>Table1[[#This Row],[PMI]]-B93</f>
        <v/>
      </c>
      <c r="F105" s="13">
        <f>(Table1[[#This Row],[ACWI]]-D93)/D93</f>
        <v/>
      </c>
    </row>
    <row r="106">
      <c r="A106" s="10" t="n">
        <v>43497</v>
      </c>
      <c r="B106" s="25" t="n">
        <v>50.6</v>
      </c>
      <c r="C106" s="25">
        <f>Table1[[#This Row],[PMI]]-B105</f>
        <v/>
      </c>
      <c r="D106" s="11" t="n">
        <v>67.012398</v>
      </c>
      <c r="E106" s="25">
        <f>Table1[[#This Row],[PMI]]-B94</f>
        <v/>
      </c>
      <c r="F106" s="13">
        <f>(Table1[[#This Row],[ACWI]]-D94)/D94</f>
        <v/>
      </c>
    </row>
    <row r="107">
      <c r="A107" s="10" t="n">
        <v>43525</v>
      </c>
      <c r="B107" s="25" t="n">
        <v>50.5</v>
      </c>
      <c r="C107" s="25">
        <f>Table1[[#This Row],[PMI]]-B106</f>
        <v/>
      </c>
      <c r="D107" s="11" t="n">
        <v>68.069061</v>
      </c>
      <c r="E107" s="25">
        <f>Table1[[#This Row],[PMI]]-B95</f>
        <v/>
      </c>
      <c r="F107" s="13">
        <f>(Table1[[#This Row],[ACWI]]-D95)/D95</f>
        <v/>
      </c>
    </row>
    <row r="108">
      <c r="A108" s="10" t="n">
        <v>43556</v>
      </c>
      <c r="B108" s="25" t="n">
        <v>50.4</v>
      </c>
      <c r="C108" s="25">
        <f>Table1[[#This Row],[PMI]]-B107</f>
        <v/>
      </c>
      <c r="D108" s="11" t="n">
        <v>70.399345</v>
      </c>
      <c r="E108" s="25">
        <f>Table1[[#This Row],[PMI]]-B96</f>
        <v/>
      </c>
      <c r="F108" s="13">
        <f>(Table1[[#This Row],[ACWI]]-D96)/D96</f>
        <v/>
      </c>
    </row>
    <row r="109">
      <c r="A109" s="10" t="n">
        <v>43586</v>
      </c>
      <c r="B109" s="25" t="n">
        <v>49.8</v>
      </c>
      <c r="C109" s="25">
        <f>Table1[[#This Row],[PMI]]-B108</f>
        <v/>
      </c>
      <c r="D109" s="11" t="n">
        <v>66.12557200000001</v>
      </c>
      <c r="E109" s="25">
        <f>Table1[[#This Row],[PMI]]-B97</f>
        <v/>
      </c>
      <c r="F109" s="13">
        <f>(Table1[[#This Row],[ACWI]]-D97)/D97</f>
        <v/>
      </c>
    </row>
    <row r="110">
      <c r="A110" s="10" t="n">
        <v>43617</v>
      </c>
      <c r="B110" s="25" t="n">
        <v>49.4</v>
      </c>
      <c r="C110" s="25">
        <f>Table1[[#This Row],[PMI]]-B109</f>
        <v/>
      </c>
      <c r="D110" s="11" t="n">
        <v>69.540817</v>
      </c>
      <c r="E110" s="25">
        <f>Table1[[#This Row],[PMI]]-B98</f>
        <v/>
      </c>
      <c r="F110" s="13">
        <f>(Table1[[#This Row],[ACWI]]-D98)/D98</f>
        <v/>
      </c>
    </row>
    <row r="111">
      <c r="A111" s="10" t="n">
        <v>43647</v>
      </c>
      <c r="B111" s="25" t="n">
        <v>49.3</v>
      </c>
      <c r="C111" s="25">
        <f>Table1[[#This Row],[PMI]]-B110</f>
        <v/>
      </c>
      <c r="D111" s="11" t="n">
        <v>70.46517900000001</v>
      </c>
      <c r="E111" s="25">
        <f>Table1[[#This Row],[PMI]]-B99</f>
        <v/>
      </c>
      <c r="F111" s="13">
        <f>(Table1[[#This Row],[ACWI]]-D99)/D99</f>
        <v/>
      </c>
    </row>
    <row r="112">
      <c r="A112" s="14" t="n">
        <v>43678</v>
      </c>
      <c r="B112" s="15" t="n">
        <v>49.5</v>
      </c>
      <c r="C112" s="15">
        <f>Table1[[#This Row],[PMI]]-B111</f>
        <v/>
      </c>
      <c r="D112" s="16" t="n">
        <v>68.907974</v>
      </c>
      <c r="E112" s="15">
        <f>Table1[[#This Row],[PMI]]-B100</f>
        <v/>
      </c>
      <c r="F112" s="17">
        <f>(Table1[[#This Row],[ACWI]]-D100)/D100</f>
        <v/>
      </c>
    </row>
    <row r="113">
      <c r="A113" s="10" t="n">
        <v>43709</v>
      </c>
      <c r="B113" s="25" t="n">
        <v>49.7</v>
      </c>
      <c r="C113" s="25">
        <f>Table1[[#This Row],[PMI]]-B112</f>
        <v/>
      </c>
      <c r="D113" s="11" t="n">
        <v>70.45562</v>
      </c>
      <c r="E113" s="25">
        <f>Table1[[#This Row],[PMI]]-B101</f>
        <v/>
      </c>
      <c r="F113" s="13">
        <f>(Table1[[#This Row],[ACWI]]-D101)/D101</f>
        <v/>
      </c>
    </row>
    <row r="114">
      <c r="A114" s="14" t="n">
        <v>43739</v>
      </c>
      <c r="B114" s="15" t="n">
        <v>49.8</v>
      </c>
      <c r="C114" s="15">
        <f>Table1[[#This Row],[PMI]]-B113</f>
        <v/>
      </c>
      <c r="D114" s="16" t="n">
        <v>72.385391</v>
      </c>
      <c r="E114" s="15">
        <f>Table1[[#This Row],[PMI]]-B102</f>
        <v/>
      </c>
      <c r="F114" s="17">
        <f>(Table1[[#This Row],[ACWI]]-D102)/D102</f>
        <v/>
      </c>
    </row>
    <row r="115">
      <c r="A115" s="10" t="n">
        <v>43770</v>
      </c>
      <c r="B115" s="25" t="n">
        <v>50.3</v>
      </c>
      <c r="C115" s="25">
        <f>Table1[[#This Row],[PMI]]-B114</f>
        <v/>
      </c>
      <c r="D115" s="11" t="n">
        <v>74.076324</v>
      </c>
      <c r="E115" s="25">
        <f>Table1[[#This Row],[PMI]]-B103</f>
        <v/>
      </c>
      <c r="F115" s="13">
        <f>(Table1[[#This Row],[ACWI]]-D103)/D103</f>
        <v/>
      </c>
    </row>
    <row r="116">
      <c r="A116" s="14" t="n">
        <v>43800</v>
      </c>
      <c r="B116" s="15" t="n">
        <v>50.1</v>
      </c>
      <c r="C116" s="15">
        <f>Table1[[#This Row],[PMI]]-B115</f>
        <v/>
      </c>
      <c r="D116" s="16" t="n">
        <v>75.70993799999999</v>
      </c>
      <c r="E116" s="15">
        <f>Table1[[#This Row],[PMI]]-B104</f>
        <v/>
      </c>
      <c r="F116" s="17">
        <f>(Table1[[#This Row],[ACWI]]-D104)/D104</f>
        <v/>
      </c>
    </row>
    <row r="117">
      <c r="A117" s="10" t="n">
        <v>43831</v>
      </c>
      <c r="B117" s="25" t="n">
        <v>50.4</v>
      </c>
      <c r="C117" s="25">
        <f>Table1[[#This Row],[PMI]]-B116</f>
        <v/>
      </c>
      <c r="D117" s="11" t="n">
        <v>75.523735</v>
      </c>
      <c r="E117" s="25">
        <f>Table1[[#This Row],[PMI]]-B105</f>
        <v/>
      </c>
      <c r="F117" s="13">
        <f>(Table1[[#This Row],[ACWI]]-D105)/D105</f>
        <v/>
      </c>
    </row>
    <row r="118">
      <c r="A118" s="14" t="n">
        <v>43862</v>
      </c>
      <c r="B118" s="15" t="n">
        <v>47.1</v>
      </c>
      <c r="C118" s="15">
        <f>Table1[[#This Row],[PMI]]-B117</f>
        <v/>
      </c>
      <c r="D118" s="16" t="n">
        <v>69.867424</v>
      </c>
      <c r="E118" s="15">
        <f>Table1[[#This Row],[PMI]]-B106</f>
        <v/>
      </c>
      <c r="F118" s="17">
        <f>(Table1[[#This Row],[ACWI]]-D106)/D106</f>
        <v/>
      </c>
    </row>
    <row r="119">
      <c r="A119" s="10" t="n">
        <v>43891</v>
      </c>
      <c r="B119" s="25" t="n">
        <v>47.3</v>
      </c>
      <c r="C119" s="25">
        <f>Table1[[#This Row],[PMI]]-B118</f>
        <v/>
      </c>
      <c r="D119" s="11" t="n">
        <v>60.498276</v>
      </c>
      <c r="E119" s="25">
        <f>Table1[[#This Row],[PMI]]-B107</f>
        <v/>
      </c>
      <c r="F119" s="13">
        <f>(Table1[[#This Row],[ACWI]]-D107)/D107</f>
        <v/>
      </c>
    </row>
    <row r="120">
      <c r="A120" s="14" t="n">
        <v>43922</v>
      </c>
      <c r="B120" s="15" t="n">
        <v>39.6</v>
      </c>
      <c r="C120" s="15">
        <f>Table1[[#This Row],[PMI]]-B119</f>
        <v/>
      </c>
      <c r="D120" s="16" t="n">
        <v>66.444641</v>
      </c>
      <c r="E120" s="15">
        <f>Table1[[#This Row],[PMI]]-B108</f>
        <v/>
      </c>
      <c r="F120" s="17">
        <f>(Table1[[#This Row],[ACWI]]-D108)/D108</f>
        <v/>
      </c>
    </row>
    <row r="121">
      <c r="A121" s="10" t="n">
        <v>43952</v>
      </c>
      <c r="B121" s="25" t="n">
        <v>42.4</v>
      </c>
      <c r="C121" s="25">
        <f>Table1[[#This Row],[PMI]]-B120</f>
        <v/>
      </c>
      <c r="D121" s="11" t="n">
        <v>69.828751</v>
      </c>
      <c r="E121" s="25">
        <f>Table1[[#This Row],[PMI]]-B109</f>
        <v/>
      </c>
      <c r="F121" s="13">
        <f>(Table1[[#This Row],[ACWI]]-D109)/D109</f>
        <v/>
      </c>
    </row>
    <row r="122">
      <c r="A122" s="14" t="n">
        <v>43983</v>
      </c>
      <c r="B122" s="15" t="n">
        <v>47.8</v>
      </c>
      <c r="C122" s="15">
        <f>Table1[[#This Row],[PMI]]-B121</f>
        <v/>
      </c>
      <c r="D122" s="16" t="n">
        <v>71.279099</v>
      </c>
      <c r="E122" s="15">
        <f>Table1[[#This Row],[PMI]]-B110</f>
        <v/>
      </c>
      <c r="F122" s="17">
        <f>(Table1[[#This Row],[ACWI]]-D110)/D110</f>
        <v/>
      </c>
    </row>
    <row r="123">
      <c r="A123" s="10" t="n">
        <v>44013</v>
      </c>
      <c r="B123" s="25" t="n">
        <v>50.6</v>
      </c>
      <c r="C123" s="25">
        <f>Table1[[#This Row],[PMI]]-B122</f>
        <v/>
      </c>
      <c r="D123" s="11" t="n">
        <v>75.733643</v>
      </c>
      <c r="E123" s="25">
        <f>Table1[[#This Row],[PMI]]-B111</f>
        <v/>
      </c>
      <c r="F123" s="13">
        <f>(Table1[[#This Row],[ACWI]]-D111)/D111</f>
        <v/>
      </c>
    </row>
    <row r="124">
      <c r="A124" s="14" t="n">
        <v>44044</v>
      </c>
      <c r="B124" s="15" t="n">
        <v>51.8</v>
      </c>
      <c r="C124" s="15">
        <f>Table1[[#This Row],[PMI]]-B123</f>
        <v/>
      </c>
      <c r="D124" s="16" t="n">
        <v>80.296967</v>
      </c>
      <c r="E124" s="15">
        <f>Table1[[#This Row],[PMI]]-B112</f>
        <v/>
      </c>
      <c r="F124" s="17">
        <f>(Table1[[#This Row],[ACWI]]-D112)/D112</f>
        <v/>
      </c>
    </row>
    <row r="125">
      <c r="A125" s="10" t="n">
        <v>44075</v>
      </c>
      <c r="B125" s="25" t="n">
        <v>52.4</v>
      </c>
      <c r="C125" s="25">
        <f>Table1[[#This Row],[PMI]]-B124</f>
        <v/>
      </c>
      <c r="D125" s="11" t="n">
        <v>77.927544</v>
      </c>
      <c r="E125" s="25">
        <f>Table1[[#This Row],[PMI]]-B113</f>
        <v/>
      </c>
      <c r="F125" s="13">
        <f>(Table1[[#This Row],[ACWI]]-D113)/D113</f>
        <v/>
      </c>
    </row>
    <row r="126">
      <c r="A126" s="14" t="n">
        <v>44105</v>
      </c>
      <c r="B126" s="15" t="n">
        <v>53</v>
      </c>
      <c r="C126" s="15">
        <f>Table1[[#This Row],[PMI]]-B125</f>
        <v/>
      </c>
      <c r="D126" s="16" t="n">
        <v>76.191925</v>
      </c>
      <c r="E126" s="15">
        <f>Table1[[#This Row],[PMI]]-B114</f>
        <v/>
      </c>
      <c r="F126" s="17">
        <f>(Table1[[#This Row],[ACWI]]-D114)/D114</f>
        <v/>
      </c>
    </row>
    <row r="127">
      <c r="A127" s="10" t="n">
        <v>44136</v>
      </c>
      <c r="B127" s="25" t="n">
        <v>53.8</v>
      </c>
      <c r="C127" s="25">
        <f>Table1[[#This Row],[PMI]]-B126</f>
        <v/>
      </c>
      <c r="D127" s="11" t="n">
        <v>85.152809</v>
      </c>
      <c r="E127" s="25">
        <f>Table1[[#This Row],[PMI]]-B115</f>
        <v/>
      </c>
      <c r="F127" s="13">
        <f>(Table1[[#This Row],[ACWI]]-D115)/D115</f>
        <v/>
      </c>
    </row>
    <row r="128">
      <c r="A128" s="14" t="n">
        <v>44166</v>
      </c>
      <c r="B128" s="15" t="n">
        <v>53.8</v>
      </c>
      <c r="C128" s="15">
        <f>Table1[[#This Row],[PMI]]-B127</f>
        <v/>
      </c>
      <c r="D128" s="16" t="n">
        <v>88.458298</v>
      </c>
      <c r="E128" s="15">
        <f>Table1[[#This Row],[PMI]]-B116</f>
        <v/>
      </c>
      <c r="F128" s="17">
        <f>(Table1[[#This Row],[ACWI]]-D116)/D116</f>
        <v/>
      </c>
    </row>
    <row r="129">
      <c r="A129" s="10" t="n">
        <v>44197</v>
      </c>
      <c r="B129" s="25" t="n">
        <v>53.6</v>
      </c>
      <c r="C129" s="25">
        <f>Table1[[#This Row],[PMI]]-B128</f>
        <v/>
      </c>
      <c r="D129" s="11" t="n">
        <v>88.869041</v>
      </c>
      <c r="E129" s="25">
        <f>Table1[[#This Row],[PMI]]-B117</f>
        <v/>
      </c>
      <c r="F129" s="13">
        <f>(Table1[[#This Row],[ACWI]]-D117)/D117</f>
        <v/>
      </c>
    </row>
    <row r="130">
      <c r="A130" s="14" t="n">
        <v>44228</v>
      </c>
      <c r="B130" s="15" t="n">
        <v>53.9</v>
      </c>
      <c r="C130" s="15">
        <f>Table1[[#This Row],[PMI]]-B129</f>
        <v/>
      </c>
      <c r="D130" s="16" t="n">
        <v>90.903076</v>
      </c>
      <c r="E130" s="15">
        <f>Table1[[#This Row],[PMI]]-B118</f>
        <v/>
      </c>
      <c r="F130" s="17">
        <f>(Table1[[#This Row],[ACWI]]-D118)/D118</f>
        <v/>
      </c>
    </row>
    <row r="131">
      <c r="A131" s="10" t="n">
        <v>44256</v>
      </c>
      <c r="B131" s="25" t="n">
        <v>55</v>
      </c>
      <c r="C131" s="25">
        <f>Table1[[#This Row],[PMI]]-B130</f>
        <v/>
      </c>
      <c r="D131" s="11" t="n">
        <v>93.497231</v>
      </c>
      <c r="E131" s="25">
        <f>Table1[[#This Row],[PMI]]-B119</f>
        <v/>
      </c>
      <c r="F131" s="13">
        <f>(Table1[[#This Row],[ACWI]]-D119)/D119</f>
        <v/>
      </c>
    </row>
    <row r="132">
      <c r="A132" s="14" t="n">
        <v>44287</v>
      </c>
      <c r="B132" s="15" t="n">
        <v>55.9</v>
      </c>
      <c r="C132" s="15">
        <f>Table1[[#This Row],[PMI]]-B131</f>
        <v/>
      </c>
      <c r="D132" s="16" t="n">
        <v>97.467049</v>
      </c>
      <c r="E132" s="15">
        <f>Table1[[#This Row],[PMI]]-B120</f>
        <v/>
      </c>
      <c r="F132" s="17">
        <f>(Table1[[#This Row],[ACWI]]-D120)/D120</f>
        <v/>
      </c>
    </row>
    <row r="133">
      <c r="A133" s="10" t="n">
        <v>44317</v>
      </c>
      <c r="B133" s="25" t="n">
        <v>56</v>
      </c>
      <c r="C133" s="25">
        <f>Table1[[#This Row],[PMI]]-B132</f>
        <v/>
      </c>
      <c r="D133" s="11" t="n">
        <v>98.90168799999999</v>
      </c>
      <c r="E133" s="25">
        <f>Table1[[#This Row],[PMI]]-B121</f>
        <v/>
      </c>
      <c r="F133" s="13">
        <f>(Table1[[#This Row],[ACWI]]-D121)/D121</f>
        <v/>
      </c>
    </row>
    <row r="134">
      <c r="A134" s="14" t="n">
        <v>44348</v>
      </c>
      <c r="B134" s="15" t="n">
        <v>55.5</v>
      </c>
      <c r="C134" s="15">
        <f>Table1[[#This Row],[PMI]]-B133</f>
        <v/>
      </c>
      <c r="D134" s="16" t="n">
        <v>99.432312</v>
      </c>
      <c r="E134" s="15">
        <f>Table1[[#This Row],[PMI]]-B122</f>
        <v/>
      </c>
      <c r="F134" s="17">
        <f>(Table1[[#This Row],[ACWI]]-D122)/D122</f>
        <v/>
      </c>
    </row>
    <row r="135">
      <c r="A135" s="10" t="n">
        <v>44378</v>
      </c>
      <c r="B135" s="25" t="n">
        <v>55.4</v>
      </c>
      <c r="C135" s="25">
        <f>Table1[[#This Row],[PMI]]-B134</f>
        <v/>
      </c>
      <c r="D135" s="11" t="n">
        <v>101.05925</v>
      </c>
      <c r="E135" s="25">
        <f>Table1[[#This Row],[PMI]]-B123</f>
        <v/>
      </c>
      <c r="F135" s="13">
        <f>(Table1[[#This Row],[ACWI]]-D123)/D123</f>
        <v/>
      </c>
    </row>
    <row r="136">
      <c r="A136" s="14" t="n">
        <v>44409</v>
      </c>
      <c r="B136" s="15" t="n">
        <v>54.1</v>
      </c>
      <c r="C136" s="15">
        <f>Table1[[#This Row],[PMI]]-B135</f>
        <v/>
      </c>
      <c r="D136" s="16" t="n">
        <v>103.256401</v>
      </c>
      <c r="E136" s="15">
        <f>Table1[[#This Row],[PMI]]-B124</f>
        <v/>
      </c>
      <c r="F136" s="17">
        <f>(Table1[[#This Row],[ACWI]]-D124)/D124</f>
        <v/>
      </c>
    </row>
    <row r="137">
      <c r="A137" s="10" t="n">
        <v>44440</v>
      </c>
      <c r="B137" s="25" t="n">
        <v>54.1</v>
      </c>
      <c r="C137" s="25">
        <f>Table1[[#This Row],[PMI]]-B136</f>
        <v/>
      </c>
      <c r="D137" s="11" t="n">
        <v>98.891785</v>
      </c>
      <c r="E137" s="25">
        <f>Table1[[#This Row],[PMI]]-B125</f>
        <v/>
      </c>
      <c r="F137" s="13">
        <f>(Table1[[#This Row],[ACWI]]-D125)/D125</f>
        <v/>
      </c>
    </row>
    <row r="138">
      <c r="A138" s="14" t="n">
        <v>44470</v>
      </c>
      <c r="B138" s="15" t="n">
        <v>54.2</v>
      </c>
      <c r="C138" s="15">
        <f>Table1[[#This Row],[PMI]]-B137</f>
        <v/>
      </c>
      <c r="D138" s="16" t="n">
        <v>104.226318</v>
      </c>
      <c r="E138" s="15">
        <f>Table1[[#This Row],[PMI]]-B126</f>
        <v/>
      </c>
      <c r="F138" s="17">
        <f>(Table1[[#This Row],[ACWI]]-D126)/D126</f>
        <v/>
      </c>
    </row>
    <row r="139">
      <c r="A139" s="10" t="n">
        <v>44501</v>
      </c>
      <c r="B139" s="25" t="n">
        <v>54.2</v>
      </c>
      <c r="C139" s="25">
        <f>Table1[[#This Row],[PMI]]-B138</f>
        <v/>
      </c>
      <c r="D139" s="11" t="n">
        <v>101.82132</v>
      </c>
      <c r="E139" s="25">
        <f>Table1[[#This Row],[PMI]]-B127</f>
        <v/>
      </c>
      <c r="F139" s="13">
        <f>(Table1[[#This Row],[ACWI]]-D127)/D127</f>
        <v/>
      </c>
    </row>
    <row r="140">
      <c r="A140" s="14" t="n">
        <v>44531</v>
      </c>
      <c r="B140" s="15" t="n">
        <v>54.2</v>
      </c>
      <c r="C140" s="15">
        <f>Table1[[#This Row],[PMI]]-B139</f>
        <v/>
      </c>
      <c r="D140" s="16" t="n">
        <v>104.691483</v>
      </c>
      <c r="E140" s="15">
        <f>Table1[[#This Row],[PMI]]-B128</f>
        <v/>
      </c>
      <c r="F140" s="17">
        <f>(Table1[[#This Row],[ACWI]]-D128)/D128</f>
        <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0"/>
  <sheetViews>
    <sheetView zoomScale="160" zoomScaleNormal="160" workbookViewId="0">
      <pane ySplit="5" topLeftCell="A106" activePane="bottomLeft" state="frozen"/>
      <selection activeCell="O117" sqref="O117"/>
      <selection pane="bottomLeft" activeCell="D6" sqref="D6:D140"/>
    </sheetView>
  </sheetViews>
  <sheetFormatPr baseColWidth="10" defaultColWidth="9.1640625" defaultRowHeight="15"/>
  <cols>
    <col width="13.5" customWidth="1" style="84" min="1" max="1"/>
    <col width="11.33203125" customWidth="1" style="84" min="2" max="2"/>
    <col width="9.1640625" customWidth="1" style="84" min="3" max="3"/>
    <col width="19" customWidth="1" style="84" min="4" max="4"/>
    <col width="9.1640625" customWidth="1" style="84" min="5" max="15"/>
    <col width="9.1640625" customWidth="1" style="84" min="16" max="16384"/>
  </cols>
  <sheetData>
    <row r="1">
      <c r="A1" s="84" t="inlineStr">
        <is>
          <t>U.S.</t>
        </is>
      </c>
      <c r="K1" s="84" t="inlineStr">
        <is>
          <t xml:space="preserve"> Manufacturing PMI</t>
        </is>
      </c>
    </row>
    <row r="2">
      <c r="A2" s="84" t="inlineStr">
        <is>
          <t>united-states</t>
        </is>
      </c>
      <c r="K2" s="84">
        <f>A1&amp;K1</f>
        <v/>
      </c>
    </row>
    <row r="4" ht="16" customHeight="1" s="76" thickBot="1"/>
    <row r="5" ht="16" customHeight="1" s="76" thickBot="1">
      <c r="A5" s="22" t="inlineStr">
        <is>
          <t>Date</t>
        </is>
      </c>
      <c r="B5" s="23" t="inlineStr">
        <is>
          <t>PMI</t>
        </is>
      </c>
      <c r="C5" s="23" t="inlineStr">
        <is>
          <t>mom</t>
        </is>
      </c>
      <c r="D5" s="27" t="inlineStr">
        <is>
          <t>ISM Manufacturing</t>
        </is>
      </c>
    </row>
    <row r="6">
      <c r="A6" s="18" t="n">
        <v>40452</v>
      </c>
      <c r="B6" s="19" t="n">
        <v>56.9</v>
      </c>
      <c r="C6" s="19" t="n"/>
      <c r="D6" s="25" t="n">
        <v>56.9</v>
      </c>
    </row>
    <row r="7">
      <c r="A7" s="10" t="n">
        <v>40483</v>
      </c>
      <c r="B7" s="25" t="n">
        <v>56.6</v>
      </c>
      <c r="C7" s="25">
        <f>Table1346811[[#This Row],[PMI]]-B6</f>
        <v/>
      </c>
      <c r="D7" s="25" t="n">
        <v>57.3</v>
      </c>
    </row>
    <row r="8">
      <c r="A8" s="10" t="n">
        <v>40513</v>
      </c>
      <c r="B8" s="25" t="n">
        <v>57</v>
      </c>
      <c r="C8" s="25">
        <f>Table1346811[[#This Row],[PMI]]-B7</f>
        <v/>
      </c>
      <c r="D8" s="25" t="n">
        <v>56.6</v>
      </c>
    </row>
    <row r="9">
      <c r="A9" s="10" t="n">
        <v>40544</v>
      </c>
      <c r="B9" s="25" t="n">
        <v>60.8</v>
      </c>
      <c r="C9" s="25">
        <f>Table1346811[[#This Row],[PMI]]-B8</f>
        <v/>
      </c>
      <c r="D9" s="25" t="n">
        <v>59.1</v>
      </c>
    </row>
    <row r="10">
      <c r="A10" s="10" t="n">
        <v>40575</v>
      </c>
      <c r="B10" s="25" t="n">
        <v>61.4</v>
      </c>
      <c r="C10" s="25">
        <f>Table1346811[[#This Row],[PMI]]-B9</f>
        <v/>
      </c>
      <c r="D10" s="25" t="n">
        <v>59.2</v>
      </c>
    </row>
    <row r="11">
      <c r="A11" s="10" t="n">
        <v>40603</v>
      </c>
      <c r="B11" s="25" t="n">
        <v>61.2</v>
      </c>
      <c r="C11" s="25">
        <f>Table1346811[[#This Row],[PMI]]-B10</f>
        <v/>
      </c>
      <c r="D11" s="25" t="n">
        <v>58.4</v>
      </c>
    </row>
    <row r="12">
      <c r="A12" s="10" t="n">
        <v>40634</v>
      </c>
      <c r="B12" s="25" t="n">
        <v>60.4</v>
      </c>
      <c r="C12" s="25">
        <f>Table1346811[[#This Row],[PMI]]-B11</f>
        <v/>
      </c>
      <c r="D12" s="25" t="n">
        <v>57.9</v>
      </c>
    </row>
    <row r="13">
      <c r="A13" s="10" t="n">
        <v>40664</v>
      </c>
      <c r="B13" s="25" t="n">
        <v>53.5</v>
      </c>
      <c r="C13" s="25">
        <f>Table1346811[[#This Row],[PMI]]-B12</f>
        <v/>
      </c>
      <c r="D13" s="25" t="n">
        <v>54.8</v>
      </c>
    </row>
    <row r="14">
      <c r="A14" s="10" t="n">
        <v>40695</v>
      </c>
      <c r="B14" s="25" t="n">
        <v>55.3</v>
      </c>
      <c r="C14" s="25">
        <f>Table1346811[[#This Row],[PMI]]-B13</f>
        <v/>
      </c>
      <c r="D14" s="25" t="n">
        <v>55.8</v>
      </c>
    </row>
    <row r="15">
      <c r="A15" s="10" t="n">
        <v>40725</v>
      </c>
      <c r="B15" s="25" t="n">
        <v>50.9</v>
      </c>
      <c r="C15" s="25">
        <f>Table1346811[[#This Row],[PMI]]-B14</f>
        <v/>
      </c>
      <c r="D15" s="25" t="n">
        <v>52.9</v>
      </c>
    </row>
    <row r="16">
      <c r="A16" s="10" t="n">
        <v>40756</v>
      </c>
      <c r="B16" s="25" t="n">
        <v>50.6</v>
      </c>
      <c r="C16" s="25">
        <f>Table1346811[[#This Row],[PMI]]-B15</f>
        <v/>
      </c>
      <c r="D16" s="25" t="n">
        <v>52.6</v>
      </c>
    </row>
    <row r="17">
      <c r="A17" s="10" t="n">
        <v>40787</v>
      </c>
      <c r="B17" s="25" t="n">
        <v>51.6</v>
      </c>
      <c r="C17" s="25">
        <f>Table1346811[[#This Row],[PMI]]-B16</f>
        <v/>
      </c>
      <c r="D17" s="25" t="n">
        <v>53.7</v>
      </c>
    </row>
    <row r="18">
      <c r="A18" s="10" t="n">
        <v>40817</v>
      </c>
      <c r="B18" s="25" t="n">
        <v>50.8</v>
      </c>
      <c r="C18" s="25">
        <f>Table1346811[[#This Row],[PMI]]-B17</f>
        <v/>
      </c>
      <c r="D18" s="25" t="n">
        <v>51.4</v>
      </c>
    </row>
    <row r="19">
      <c r="A19" s="10" t="n">
        <v>40848</v>
      </c>
      <c r="B19" s="25" t="n">
        <v>52.7</v>
      </c>
      <c r="C19" s="25">
        <f>Table1346811[[#This Row],[PMI]]-B18</f>
        <v/>
      </c>
      <c r="D19" s="25" t="n">
        <v>51.8</v>
      </c>
    </row>
    <row r="20">
      <c r="A20" s="10" t="n">
        <v>40878</v>
      </c>
      <c r="B20" s="25" t="n">
        <v>53.2</v>
      </c>
      <c r="C20" s="25">
        <f>Table1346811[[#This Row],[PMI]]-B19</f>
        <v/>
      </c>
      <c r="D20" s="25" t="n">
        <v>53</v>
      </c>
    </row>
    <row r="21">
      <c r="A21" s="10" t="n">
        <v>40909</v>
      </c>
      <c r="B21" s="25" t="n">
        <v>54.3</v>
      </c>
      <c r="C21" s="25">
        <f>Table1346811[[#This Row],[PMI]]-B20</f>
        <v/>
      </c>
      <c r="D21" s="25" t="n">
        <v>52.6</v>
      </c>
    </row>
    <row r="22">
      <c r="A22" s="10" t="n">
        <v>40940</v>
      </c>
      <c r="B22" s="25" t="n">
        <v>53.6</v>
      </c>
      <c r="C22" s="25">
        <f>Table1346811[[#This Row],[PMI]]-B21</f>
        <v/>
      </c>
      <c r="D22" s="25" t="n">
        <v>53.1</v>
      </c>
    </row>
    <row r="23">
      <c r="A23" s="10" t="n">
        <v>40969</v>
      </c>
      <c r="B23" s="25" t="n">
        <v>56</v>
      </c>
      <c r="C23" s="25">
        <f>Table1346811[[#This Row],[PMI]]-B22</f>
        <v/>
      </c>
      <c r="D23" s="25" t="n">
        <v>53.5</v>
      </c>
    </row>
    <row r="24">
      <c r="A24" s="10" t="n">
        <v>41000</v>
      </c>
      <c r="B24" s="25" t="n">
        <v>56</v>
      </c>
      <c r="C24" s="25">
        <f>Table1346811[[#This Row],[PMI]]-B23</f>
        <v/>
      </c>
      <c r="D24" s="25" t="n">
        <v>53.5</v>
      </c>
    </row>
    <row r="25">
      <c r="A25" s="10" t="n">
        <v>41030</v>
      </c>
      <c r="B25" s="25" t="n">
        <v>54</v>
      </c>
      <c r="C25" s="25">
        <f>Table1346811[[#This Row],[PMI]]-B24</f>
        <v/>
      </c>
      <c r="D25" s="25" t="n">
        <v>52.6</v>
      </c>
    </row>
    <row r="26">
      <c r="A26" s="10" t="n">
        <v>41061</v>
      </c>
      <c r="B26" s="25" t="n">
        <v>52.5</v>
      </c>
      <c r="C26" s="25">
        <f>Table1346811[[#This Row],[PMI]]-B25</f>
        <v/>
      </c>
      <c r="D26" s="25" t="n">
        <v>49.7</v>
      </c>
    </row>
    <row r="27">
      <c r="A27" s="10" t="n">
        <v>41091</v>
      </c>
      <c r="B27" s="25" t="n">
        <v>51.4</v>
      </c>
      <c r="C27" s="25">
        <f>Table1346811[[#This Row],[PMI]]-B26</f>
        <v/>
      </c>
      <c r="D27" s="25" t="n">
        <v>50</v>
      </c>
    </row>
    <row r="28">
      <c r="A28" s="10" t="n">
        <v>41122</v>
      </c>
      <c r="B28" s="25" t="n">
        <v>51.5</v>
      </c>
      <c r="C28" s="25">
        <f>Table1346811[[#This Row],[PMI]]-B27</f>
        <v/>
      </c>
      <c r="D28" s="25" t="n">
        <v>50.2</v>
      </c>
    </row>
    <row r="29">
      <c r="A29" s="10" t="n">
        <v>41153</v>
      </c>
      <c r="B29" s="25" t="n">
        <v>51.1</v>
      </c>
      <c r="C29" s="25">
        <f>Table1346811[[#This Row],[PMI]]-B28</f>
        <v/>
      </c>
      <c r="D29" s="25" t="n">
        <v>51.8</v>
      </c>
    </row>
    <row r="30">
      <c r="A30" s="10" t="n">
        <v>41183</v>
      </c>
      <c r="B30" s="25" t="n">
        <v>51</v>
      </c>
      <c r="C30" s="25">
        <f>Table1346811[[#This Row],[PMI]]-B29</f>
        <v/>
      </c>
      <c r="D30" s="25" t="n">
        <v>50.7</v>
      </c>
    </row>
    <row r="31">
      <c r="A31" s="10" t="n">
        <v>41214</v>
      </c>
      <c r="B31" s="25" t="n">
        <v>52.8</v>
      </c>
      <c r="C31" s="25">
        <f>Table1346811[[#This Row],[PMI]]-B30</f>
        <v/>
      </c>
      <c r="D31" s="25" t="n">
        <v>48.9</v>
      </c>
    </row>
    <row r="32">
      <c r="A32" s="10" t="n">
        <v>41244</v>
      </c>
      <c r="B32" s="25" t="n">
        <v>54</v>
      </c>
      <c r="C32" s="25">
        <f>Table1346811[[#This Row],[PMI]]-B31</f>
        <v/>
      </c>
      <c r="D32" s="25" t="n">
        <v>49.8</v>
      </c>
    </row>
    <row r="33">
      <c r="A33" s="10" t="n">
        <v>41275</v>
      </c>
      <c r="B33" s="25" t="n">
        <v>55.8</v>
      </c>
      <c r="C33" s="25">
        <f>Table1346811[[#This Row],[PMI]]-B32</f>
        <v/>
      </c>
      <c r="D33" s="25" t="n">
        <v>52</v>
      </c>
    </row>
    <row r="34">
      <c r="A34" s="10" t="n">
        <v>41306</v>
      </c>
      <c r="B34" s="25" t="n">
        <v>54.3</v>
      </c>
      <c r="C34" s="25">
        <f>Table1346811[[#This Row],[PMI]]-B33</f>
        <v/>
      </c>
      <c r="D34" s="25" t="n">
        <v>53.6</v>
      </c>
    </row>
    <row r="35">
      <c r="A35" s="10" t="n">
        <v>41334</v>
      </c>
      <c r="B35" s="25" t="n">
        <v>54.6</v>
      </c>
      <c r="C35" s="25">
        <f>Table1346811[[#This Row],[PMI]]-B34</f>
        <v/>
      </c>
      <c r="D35" s="25" t="n">
        <v>52</v>
      </c>
    </row>
    <row r="36">
      <c r="A36" s="10" t="n">
        <v>41365</v>
      </c>
      <c r="B36" s="25" t="n">
        <v>52.1</v>
      </c>
      <c r="C36" s="25">
        <f>Table1346811[[#This Row],[PMI]]-B35</f>
        <v/>
      </c>
      <c r="D36" s="25" t="n">
        <v>49.7</v>
      </c>
    </row>
    <row r="37">
      <c r="A37" s="10" t="n">
        <v>41395</v>
      </c>
      <c r="B37" s="25" t="n">
        <v>52.3</v>
      </c>
      <c r="C37" s="25">
        <f>Table1346811[[#This Row],[PMI]]-B36</f>
        <v/>
      </c>
      <c r="D37" s="25" t="n">
        <v>50.5</v>
      </c>
    </row>
    <row r="38">
      <c r="A38" s="10" t="n">
        <v>41426</v>
      </c>
      <c r="B38" s="25" t="n">
        <v>51.9</v>
      </c>
      <c r="C38" s="25">
        <f>Table1346811[[#This Row],[PMI]]-B37</f>
        <v/>
      </c>
      <c r="D38" s="25" t="n">
        <v>51.5</v>
      </c>
    </row>
    <row r="39">
      <c r="A39" s="10" t="n">
        <v>41456</v>
      </c>
      <c r="B39" s="25" t="n">
        <v>53.7</v>
      </c>
      <c r="C39" s="25">
        <f>Table1346811[[#This Row],[PMI]]-B38</f>
        <v/>
      </c>
      <c r="D39" s="25" t="n">
        <v>53.5</v>
      </c>
    </row>
    <row r="40">
      <c r="A40" s="10" t="n">
        <v>41487</v>
      </c>
      <c r="B40" s="25" t="n">
        <v>53.7</v>
      </c>
      <c r="C40" s="25">
        <f>Table1346811[[#This Row],[PMI]]-B39</f>
        <v/>
      </c>
      <c r="D40" s="25" t="n">
        <v>55.9</v>
      </c>
    </row>
    <row r="41">
      <c r="A41" s="10" t="n">
        <v>41518</v>
      </c>
      <c r="B41" s="25" t="n">
        <v>52.8</v>
      </c>
      <c r="C41" s="25">
        <f>Table1346811[[#This Row],[PMI]]-B40</f>
        <v/>
      </c>
      <c r="D41" s="25" t="n">
        <v>54.8</v>
      </c>
    </row>
    <row r="42">
      <c r="A42" s="10" t="n">
        <v>41548</v>
      </c>
      <c r="B42" s="25" t="n">
        <v>51.8</v>
      </c>
      <c r="C42" s="25">
        <f>Table1346811[[#This Row],[PMI]]-B41</f>
        <v/>
      </c>
      <c r="D42" s="25" t="n">
        <v>55.3</v>
      </c>
    </row>
    <row r="43">
      <c r="A43" s="10" t="n">
        <v>41579</v>
      </c>
      <c r="B43" s="25" t="n">
        <v>54.7</v>
      </c>
      <c r="C43" s="25">
        <f>Table1346811[[#This Row],[PMI]]-B42</f>
        <v/>
      </c>
      <c r="D43" s="25" t="n">
        <v>56.3</v>
      </c>
    </row>
    <row r="44">
      <c r="A44" s="10" t="n">
        <v>41609</v>
      </c>
      <c r="B44" s="25" t="n">
        <v>55</v>
      </c>
      <c r="C44" s="25">
        <f>Table1346811[[#This Row],[PMI]]-B43</f>
        <v/>
      </c>
      <c r="D44" s="25" t="n">
        <v>55.9</v>
      </c>
    </row>
    <row r="45">
      <c r="A45" s="10" t="n">
        <v>41640</v>
      </c>
      <c r="B45" s="25" t="n">
        <v>53.7</v>
      </c>
      <c r="C45" s="25">
        <f>Table1346811[[#This Row],[PMI]]-B44</f>
        <v/>
      </c>
      <c r="D45" s="25" t="n">
        <v>51.7</v>
      </c>
    </row>
    <row r="46">
      <c r="A46" s="10" t="n">
        <v>41671</v>
      </c>
      <c r="B46" s="25" t="n">
        <v>57.1</v>
      </c>
      <c r="C46" s="25">
        <f>Table1346811[[#This Row],[PMI]]-B45</f>
        <v/>
      </c>
      <c r="D46" s="25" t="n">
        <v>54.6</v>
      </c>
    </row>
    <row r="47">
      <c r="A47" s="10" t="n">
        <v>41699</v>
      </c>
      <c r="B47" s="25" t="n">
        <v>55.5</v>
      </c>
      <c r="C47" s="25">
        <f>Table1346811[[#This Row],[PMI]]-B46</f>
        <v/>
      </c>
      <c r="D47" s="25" t="n">
        <v>55.3</v>
      </c>
    </row>
    <row r="48">
      <c r="A48" s="10" t="n">
        <v>41730</v>
      </c>
      <c r="B48" s="25" t="n">
        <v>55.4</v>
      </c>
      <c r="C48" s="25">
        <f>Table1346811[[#This Row],[PMI]]-B47</f>
        <v/>
      </c>
      <c r="D48" s="25" t="n">
        <v>55.7</v>
      </c>
    </row>
    <row r="49">
      <c r="A49" s="10" t="n">
        <v>41760</v>
      </c>
      <c r="B49" s="25" t="n">
        <v>56.4</v>
      </c>
      <c r="C49" s="25">
        <f>Table1346811[[#This Row],[PMI]]-B48</f>
        <v/>
      </c>
      <c r="D49" s="25" t="n">
        <v>55.8</v>
      </c>
    </row>
    <row r="50">
      <c r="A50" s="10" t="n">
        <v>41791</v>
      </c>
      <c r="B50" s="25" t="n">
        <v>57.3</v>
      </c>
      <c r="C50" s="25">
        <f>Table1346811[[#This Row],[PMI]]-B49</f>
        <v/>
      </c>
      <c r="D50" s="25" t="n">
        <v>54.9</v>
      </c>
    </row>
    <row r="51">
      <c r="A51" s="10" t="n">
        <v>41821</v>
      </c>
      <c r="B51" s="25" t="n">
        <v>55.8</v>
      </c>
      <c r="C51" s="25">
        <f>Table1346811[[#This Row],[PMI]]-B50</f>
        <v/>
      </c>
      <c r="D51" s="25" t="n">
        <v>55.3</v>
      </c>
    </row>
    <row r="52">
      <c r="A52" s="10" t="n">
        <v>41852</v>
      </c>
      <c r="B52" s="25" t="n">
        <v>57.9</v>
      </c>
      <c r="C52" s="25">
        <f>Table1346811[[#This Row],[PMI]]-B51</f>
        <v/>
      </c>
      <c r="D52" s="25" t="n">
        <v>58.2</v>
      </c>
    </row>
    <row r="53">
      <c r="A53" s="10" t="n">
        <v>41883</v>
      </c>
      <c r="B53" s="25" t="n">
        <v>57.5</v>
      </c>
      <c r="C53" s="25">
        <f>Table1346811[[#This Row],[PMI]]-B52</f>
        <v/>
      </c>
      <c r="D53" s="25" t="n">
        <v>55.5</v>
      </c>
    </row>
    <row r="54">
      <c r="A54" s="10" t="n">
        <v>41913</v>
      </c>
      <c r="B54" s="25" t="n">
        <v>55.9</v>
      </c>
      <c r="C54" s="25">
        <f>Table1346811[[#This Row],[PMI]]-B53</f>
        <v/>
      </c>
      <c r="D54" s="25" t="n">
        <v>56.8</v>
      </c>
    </row>
    <row r="55">
      <c r="A55" s="10" t="n">
        <v>41944</v>
      </c>
      <c r="B55" s="25" t="n">
        <v>54.8</v>
      </c>
      <c r="C55" s="25">
        <f>Table1346811[[#This Row],[PMI]]-B54</f>
        <v/>
      </c>
      <c r="D55" s="25" t="n">
        <v>57</v>
      </c>
    </row>
    <row r="56">
      <c r="A56" s="10" t="n">
        <v>41974</v>
      </c>
      <c r="B56" s="25" t="n">
        <v>53.9</v>
      </c>
      <c r="C56" s="25">
        <f>Table1346811[[#This Row],[PMI]]-B55</f>
        <v/>
      </c>
      <c r="D56" s="25" t="n">
        <v>54.7</v>
      </c>
    </row>
    <row r="57">
      <c r="A57" s="10" t="n">
        <v>42005</v>
      </c>
      <c r="B57" s="25" t="n">
        <v>53.7</v>
      </c>
      <c r="C57" s="25">
        <f>Table1346811[[#This Row],[PMI]]-B56</f>
        <v/>
      </c>
      <c r="D57" s="25" t="n">
        <v>53.9</v>
      </c>
    </row>
    <row r="58">
      <c r="A58" s="10" t="n">
        <v>42036</v>
      </c>
      <c r="B58" s="25" t="n">
        <v>54.3</v>
      </c>
      <c r="C58" s="25">
        <f>Table1346811[[#This Row],[PMI]]-B57</f>
        <v/>
      </c>
      <c r="D58" s="25" t="n">
        <v>53</v>
      </c>
    </row>
    <row r="59">
      <c r="A59" s="10" t="n">
        <v>42064</v>
      </c>
      <c r="B59" s="25" t="n">
        <v>55.3</v>
      </c>
      <c r="C59" s="25">
        <f>Table1346811[[#This Row],[PMI]]-B58</f>
        <v/>
      </c>
      <c r="D59" s="25" t="n">
        <v>51.8</v>
      </c>
    </row>
    <row r="60">
      <c r="A60" s="10" t="n">
        <v>42095</v>
      </c>
      <c r="B60" s="25" t="n">
        <v>54.1</v>
      </c>
      <c r="C60" s="25">
        <f>Table1346811[[#This Row],[PMI]]-B59</f>
        <v/>
      </c>
      <c r="D60" s="25" t="n">
        <v>51.6</v>
      </c>
    </row>
    <row r="61">
      <c r="A61" s="10" t="n">
        <v>42125</v>
      </c>
      <c r="B61" s="25" t="n">
        <v>53.8</v>
      </c>
      <c r="C61" s="25">
        <f>Table1346811[[#This Row],[PMI]]-B60</f>
        <v/>
      </c>
      <c r="D61" s="25" t="n">
        <v>52.9</v>
      </c>
    </row>
    <row r="62">
      <c r="A62" s="10" t="n">
        <v>42156</v>
      </c>
      <c r="B62" s="25" t="n">
        <v>53.6</v>
      </c>
      <c r="C62" s="25">
        <f>Table1346811[[#This Row],[PMI]]-B61</f>
        <v/>
      </c>
      <c r="D62" s="25" t="n">
        <v>52.3</v>
      </c>
    </row>
    <row r="63">
      <c r="A63" s="10" t="n">
        <v>42186</v>
      </c>
      <c r="B63" s="25" t="n">
        <v>53.8</v>
      </c>
      <c r="C63" s="25">
        <f>Table1346811[[#This Row],[PMI]]-B62</f>
        <v/>
      </c>
      <c r="D63" s="25" t="n">
        <v>51.9</v>
      </c>
    </row>
    <row r="64">
      <c r="A64" s="10" t="n">
        <v>42217</v>
      </c>
      <c r="B64" s="25" t="n">
        <v>53</v>
      </c>
      <c r="C64" s="25">
        <f>Table1346811[[#This Row],[PMI]]-B63</f>
        <v/>
      </c>
      <c r="D64" s="25" t="n">
        <v>50.8</v>
      </c>
    </row>
    <row r="65">
      <c r="A65" s="10" t="n">
        <v>42248</v>
      </c>
      <c r="B65" s="25" t="n">
        <v>53.1</v>
      </c>
      <c r="C65" s="25">
        <f>Table1346811[[#This Row],[PMI]]-B64</f>
        <v/>
      </c>
      <c r="D65" s="25" t="n">
        <v>50.1</v>
      </c>
    </row>
    <row r="66">
      <c r="A66" s="10" t="n">
        <v>42278</v>
      </c>
      <c r="B66" s="25" t="n">
        <v>54.1</v>
      </c>
      <c r="C66" s="25">
        <f>Table1346811[[#This Row],[PMI]]-B65</f>
        <v/>
      </c>
      <c r="D66" s="25" t="n">
        <v>49.6</v>
      </c>
    </row>
    <row r="67">
      <c r="A67" s="10" t="n">
        <v>42309</v>
      </c>
      <c r="B67" s="25" t="n">
        <v>52.8</v>
      </c>
      <c r="C67" s="25">
        <f>Table1346811[[#This Row],[PMI]]-B66</f>
        <v/>
      </c>
      <c r="D67" s="25" t="n">
        <v>49.1</v>
      </c>
    </row>
    <row r="68">
      <c r="A68" s="10" t="n">
        <v>42339</v>
      </c>
      <c r="B68" s="25" t="n">
        <v>51.2</v>
      </c>
      <c r="C68" s="25">
        <f>Table1346811[[#This Row],[PMI]]-B67</f>
        <v/>
      </c>
      <c r="D68" s="25" t="n">
        <v>48.4</v>
      </c>
    </row>
    <row r="69">
      <c r="A69" s="10" t="n">
        <v>42370</v>
      </c>
      <c r="B69" s="25" t="n">
        <v>52.4</v>
      </c>
      <c r="C69" s="25">
        <f>Table1346811[[#This Row],[PMI]]-B68</f>
        <v/>
      </c>
      <c r="D69" s="25" t="n">
        <v>47.8</v>
      </c>
    </row>
    <row r="70">
      <c r="A70" s="10" t="n">
        <v>42401</v>
      </c>
      <c r="B70" s="25" t="n">
        <v>51.3</v>
      </c>
      <c r="C70" s="25">
        <f>Table1346811[[#This Row],[PMI]]-B69</f>
        <v/>
      </c>
      <c r="D70" s="25" t="n">
        <v>49.4</v>
      </c>
    </row>
    <row r="71">
      <c r="A71" s="10" t="n">
        <v>42430</v>
      </c>
      <c r="B71" s="25" t="n">
        <v>51.5</v>
      </c>
      <c r="C71" s="25">
        <f>Table1346811[[#This Row],[PMI]]-B70</f>
        <v/>
      </c>
      <c r="D71" s="25" t="n">
        <v>51.2</v>
      </c>
    </row>
    <row r="72">
      <c r="A72" s="10" t="n">
        <v>42461</v>
      </c>
      <c r="B72" s="25" t="n">
        <v>50.8</v>
      </c>
      <c r="C72" s="25">
        <f>Table1346811[[#This Row],[PMI]]-B71</f>
        <v/>
      </c>
      <c r="D72" s="25" t="n">
        <v>50.8</v>
      </c>
    </row>
    <row r="73">
      <c r="A73" s="10" t="n">
        <v>42491</v>
      </c>
      <c r="B73" s="25" t="n">
        <v>50.7</v>
      </c>
      <c r="C73" s="25">
        <f>Table1346811[[#This Row],[PMI]]-B72</f>
        <v/>
      </c>
      <c r="D73" s="25" t="n">
        <v>50.9</v>
      </c>
    </row>
    <row r="74">
      <c r="A74" s="10" t="n">
        <v>42522</v>
      </c>
      <c r="B74" s="25" t="n">
        <v>51.3</v>
      </c>
      <c r="C74" s="25">
        <f>Table1346811[[#This Row],[PMI]]-B73</f>
        <v/>
      </c>
      <c r="D74" s="25" t="n">
        <v>52.5</v>
      </c>
    </row>
    <row r="75">
      <c r="A75" s="10" t="n">
        <v>42552</v>
      </c>
      <c r="B75" s="25" t="n">
        <v>52.9</v>
      </c>
      <c r="C75" s="25">
        <f>Table1346811[[#This Row],[PMI]]-B74</f>
        <v/>
      </c>
      <c r="D75" s="25" t="n">
        <v>52.9</v>
      </c>
    </row>
    <row r="76">
      <c r="A76" s="10" t="n">
        <v>42583</v>
      </c>
      <c r="B76" s="25" t="n">
        <v>52</v>
      </c>
      <c r="C76" s="25">
        <f>Table1346811[[#This Row],[PMI]]-B75</f>
        <v/>
      </c>
      <c r="D76" s="25" t="n">
        <v>49.9</v>
      </c>
    </row>
    <row r="77">
      <c r="A77" s="10" t="n">
        <v>42614</v>
      </c>
      <c r="B77" s="25" t="n">
        <v>51.5</v>
      </c>
      <c r="C77" s="25">
        <f>Table1346811[[#This Row],[PMI]]-B76</f>
        <v/>
      </c>
      <c r="D77" s="25" t="n">
        <v>51.4</v>
      </c>
    </row>
    <row r="78">
      <c r="A78" s="10" t="n">
        <v>42644</v>
      </c>
      <c r="B78" s="25" t="n">
        <v>53.4</v>
      </c>
      <c r="C78" s="25">
        <f>Table1346811[[#This Row],[PMI]]-B77</f>
        <v/>
      </c>
      <c r="D78" s="25" t="n">
        <v>51.8</v>
      </c>
    </row>
    <row r="79">
      <c r="A79" s="10" t="n">
        <v>42675</v>
      </c>
      <c r="B79" s="25" t="n">
        <v>54.1</v>
      </c>
      <c r="C79" s="25">
        <f>Table1346811[[#This Row],[PMI]]-B78</f>
        <v/>
      </c>
      <c r="D79" s="25" t="n">
        <v>53.4</v>
      </c>
    </row>
    <row r="80">
      <c r="A80" s="10" t="n">
        <v>42705</v>
      </c>
      <c r="B80" s="25" t="n">
        <v>54.3</v>
      </c>
      <c r="C80" s="25">
        <f>Table1346811[[#This Row],[PMI]]-B79</f>
        <v/>
      </c>
      <c r="D80" s="25" t="n">
        <v>54.3</v>
      </c>
    </row>
    <row r="81">
      <c r="A81" s="10" t="n">
        <v>42736</v>
      </c>
      <c r="B81" s="25" t="n">
        <v>55</v>
      </c>
      <c r="C81" s="25">
        <f>Table1346811[[#This Row],[PMI]]-B80</f>
        <v/>
      </c>
      <c r="D81" s="25" t="n">
        <v>55.6</v>
      </c>
    </row>
    <row r="82">
      <c r="A82" s="10" t="n">
        <v>42767</v>
      </c>
      <c r="B82" s="25" t="n">
        <v>54.2</v>
      </c>
      <c r="C82" s="25">
        <f>Table1346811[[#This Row],[PMI]]-B81</f>
        <v/>
      </c>
      <c r="D82" s="25" t="n">
        <v>57.6</v>
      </c>
    </row>
    <row r="83">
      <c r="A83" s="10" t="n">
        <v>42795</v>
      </c>
      <c r="B83" s="25" t="n">
        <v>53.3</v>
      </c>
      <c r="C83" s="25">
        <f>Table1346811[[#This Row],[PMI]]-B82</f>
        <v/>
      </c>
      <c r="D83" s="25" t="n">
        <v>56.6</v>
      </c>
    </row>
    <row r="84">
      <c r="A84" s="10" t="n">
        <v>42826</v>
      </c>
      <c r="B84" s="25" t="n">
        <v>52.8</v>
      </c>
      <c r="C84" s="25">
        <f>Table1346811[[#This Row],[PMI]]-B83</f>
        <v/>
      </c>
      <c r="D84" s="25" t="n">
        <v>55.3</v>
      </c>
    </row>
    <row r="85">
      <c r="A85" s="10" t="n">
        <v>42856</v>
      </c>
      <c r="B85" s="25" t="n">
        <v>52.7</v>
      </c>
      <c r="C85" s="25">
        <f>Table1346811[[#This Row],[PMI]]-B84</f>
        <v/>
      </c>
      <c r="D85" s="25" t="n">
        <v>55.5</v>
      </c>
    </row>
    <row r="86">
      <c r="A86" s="10" t="n">
        <v>42887</v>
      </c>
      <c r="B86" s="25" t="n">
        <v>52</v>
      </c>
      <c r="C86" s="25">
        <f>Table1346811[[#This Row],[PMI]]-B85</f>
        <v/>
      </c>
      <c r="D86" s="25" t="n">
        <v>56.7</v>
      </c>
    </row>
    <row r="87">
      <c r="A87" s="10" t="n">
        <v>42917</v>
      </c>
      <c r="B87" s="25" t="n">
        <v>53.3</v>
      </c>
      <c r="C87" s="25">
        <f>Table1346811[[#This Row],[PMI]]-B86</f>
        <v/>
      </c>
      <c r="D87" s="25" t="n">
        <v>56.5</v>
      </c>
    </row>
    <row r="88">
      <c r="A88" s="10" t="n">
        <v>42948</v>
      </c>
      <c r="B88" s="25" t="n">
        <v>52.8</v>
      </c>
      <c r="C88" s="25">
        <f>Table1346811[[#This Row],[PMI]]-B87</f>
        <v/>
      </c>
      <c r="D88" s="25" t="n">
        <v>59.3</v>
      </c>
    </row>
    <row r="89">
      <c r="A89" s="10" t="n">
        <v>42979</v>
      </c>
      <c r="B89" s="25" t="n">
        <v>53.1</v>
      </c>
      <c r="C89" s="25">
        <f>Table1346811[[#This Row],[PMI]]-B88</f>
        <v/>
      </c>
      <c r="D89" s="25" t="n">
        <v>60.2</v>
      </c>
    </row>
    <row r="90">
      <c r="A90" s="10" t="n">
        <v>43009</v>
      </c>
      <c r="B90" s="25" t="n">
        <v>54.6</v>
      </c>
      <c r="C90" s="25">
        <f>Table1346811[[#This Row],[PMI]]-B89</f>
        <v/>
      </c>
      <c r="D90" s="25" t="n">
        <v>58.5</v>
      </c>
    </row>
    <row r="91">
      <c r="A91" s="10" t="n">
        <v>43040</v>
      </c>
      <c r="B91" s="25" t="n">
        <v>53.9</v>
      </c>
      <c r="C91" s="25">
        <f>Table1346811[[#This Row],[PMI]]-B90</f>
        <v/>
      </c>
      <c r="D91" s="25" t="n">
        <v>58.2</v>
      </c>
    </row>
    <row r="92">
      <c r="A92" s="10" t="n">
        <v>43070</v>
      </c>
      <c r="B92" s="25" t="n">
        <v>55.1</v>
      </c>
      <c r="C92" s="25">
        <f>Table1346811[[#This Row],[PMI]]-B91</f>
        <v/>
      </c>
      <c r="D92" s="25" t="n">
        <v>59.3</v>
      </c>
    </row>
    <row r="93">
      <c r="A93" s="10" t="n">
        <v>43101</v>
      </c>
      <c r="B93" s="25" t="n">
        <v>55.5</v>
      </c>
      <c r="C93" s="25">
        <f>Table1346811[[#This Row],[PMI]]-B92</f>
        <v/>
      </c>
      <c r="D93" s="25" t="n">
        <v>59.1</v>
      </c>
    </row>
    <row r="94">
      <c r="A94" s="10" t="n">
        <v>43132</v>
      </c>
      <c r="B94" s="25" t="n">
        <v>55.3</v>
      </c>
      <c r="C94" s="25">
        <f>Table1346811[[#This Row],[PMI]]-B93</f>
        <v/>
      </c>
      <c r="D94" s="25" t="n">
        <v>60.8</v>
      </c>
    </row>
    <row r="95">
      <c r="A95" s="10" t="n">
        <v>43160</v>
      </c>
      <c r="B95" s="25" t="n">
        <v>55.6</v>
      </c>
      <c r="C95" s="25">
        <f>Table1346811[[#This Row],[PMI]]-B94</f>
        <v/>
      </c>
      <c r="D95" s="25" t="n">
        <v>59.3</v>
      </c>
    </row>
    <row r="96">
      <c r="A96" s="10" t="n">
        <v>43191</v>
      </c>
      <c r="B96" s="25" t="n">
        <v>56.5</v>
      </c>
      <c r="C96" s="25">
        <f>Table1346811[[#This Row],[PMI]]-B95</f>
        <v/>
      </c>
      <c r="D96" s="25" t="n">
        <v>57.3</v>
      </c>
    </row>
    <row r="97">
      <c r="A97" s="10" t="n">
        <v>43221</v>
      </c>
      <c r="B97" s="25" t="n">
        <v>56.4</v>
      </c>
      <c r="C97" s="25">
        <f>Table1346811[[#This Row],[PMI]]-B96</f>
        <v/>
      </c>
      <c r="D97" s="25" t="n">
        <v>58.7</v>
      </c>
    </row>
    <row r="98">
      <c r="A98" s="10" t="n">
        <v>43252</v>
      </c>
      <c r="B98" s="25" t="n">
        <v>55.4</v>
      </c>
      <c r="C98" s="25">
        <f>Table1346811[[#This Row],[PMI]]-B97</f>
        <v/>
      </c>
      <c r="D98" s="25" t="n">
        <v>60.2</v>
      </c>
    </row>
    <row r="99">
      <c r="A99" s="10" t="n">
        <v>43282</v>
      </c>
      <c r="B99" s="25" t="n">
        <v>55.3</v>
      </c>
      <c r="C99" s="25">
        <f>Table1346811[[#This Row],[PMI]]-B98</f>
        <v/>
      </c>
      <c r="D99" s="25" t="n">
        <v>58.1</v>
      </c>
    </row>
    <row r="100">
      <c r="A100" s="10" t="n">
        <v>43313</v>
      </c>
      <c r="B100" s="25" t="n">
        <v>54.5</v>
      </c>
      <c r="C100" s="25">
        <f>Table1346811[[#This Row],[PMI]]-B99</f>
        <v/>
      </c>
      <c r="D100" s="25" t="n">
        <v>61.3</v>
      </c>
    </row>
    <row r="101">
      <c r="A101" s="10" t="n">
        <v>43344</v>
      </c>
      <c r="B101" s="25" t="n">
        <v>55.6</v>
      </c>
      <c r="C101" s="25">
        <f>Table1346811[[#This Row],[PMI]]-B100</f>
        <v/>
      </c>
      <c r="D101" s="25" t="n">
        <v>59.8</v>
      </c>
    </row>
    <row r="102">
      <c r="A102" s="10" t="n">
        <v>43374</v>
      </c>
      <c r="B102" s="25" t="n">
        <v>55.7</v>
      </c>
      <c r="C102" s="25">
        <f>Table1346811[[#This Row],[PMI]]-B101</f>
        <v/>
      </c>
      <c r="D102" s="25" t="n">
        <v>57.7</v>
      </c>
    </row>
    <row r="103">
      <c r="A103" s="10" t="n">
        <v>43405</v>
      </c>
      <c r="B103" s="25" t="n">
        <v>55.3</v>
      </c>
      <c r="C103" s="25">
        <f>Table1346811[[#This Row],[PMI]]-B102</f>
        <v/>
      </c>
      <c r="D103" s="25" t="n">
        <v>59.3</v>
      </c>
    </row>
    <row r="104">
      <c r="A104" s="10" t="n">
        <v>43435</v>
      </c>
      <c r="B104" s="25" t="n">
        <v>53.8</v>
      </c>
      <c r="C104" s="25">
        <f>Table1346811[[#This Row],[PMI]]-B103</f>
        <v/>
      </c>
      <c r="D104" s="25" t="n">
        <v>54.3</v>
      </c>
    </row>
    <row r="105">
      <c r="A105" s="10" t="n">
        <v>43466</v>
      </c>
      <c r="B105" s="25" t="n">
        <v>54.9</v>
      </c>
      <c r="C105" s="25">
        <f>Table1346811[[#This Row],[PMI]]-B104</f>
        <v/>
      </c>
      <c r="D105" s="25" t="n">
        <v>56.6</v>
      </c>
    </row>
    <row r="106">
      <c r="A106" s="10" t="n">
        <v>43497</v>
      </c>
      <c r="B106" s="25" t="n">
        <v>53</v>
      </c>
      <c r="C106" s="25">
        <f>Table1346811[[#This Row],[PMI]]-B105</f>
        <v/>
      </c>
      <c r="D106" s="25" t="n">
        <v>54.3</v>
      </c>
    </row>
    <row r="107">
      <c r="A107" s="10" t="n">
        <v>43525</v>
      </c>
      <c r="B107" s="25" t="n">
        <v>52.4</v>
      </c>
      <c r="C107" s="25">
        <f>Table1346811[[#This Row],[PMI]]-B106</f>
        <v/>
      </c>
      <c r="D107" s="25" t="n">
        <v>54.3</v>
      </c>
    </row>
    <row r="108">
      <c r="A108" s="10" t="n">
        <v>43556</v>
      </c>
      <c r="B108" s="25" t="n">
        <v>52.6</v>
      </c>
      <c r="C108" s="25">
        <f>Table1346811[[#This Row],[PMI]]-B107</f>
        <v/>
      </c>
      <c r="D108" s="25" t="n">
        <v>52.8</v>
      </c>
    </row>
    <row r="109">
      <c r="A109" s="10" t="n">
        <v>43586</v>
      </c>
      <c r="B109" s="25" t="n">
        <v>50.5</v>
      </c>
      <c r="C109" s="25">
        <f>Table1346811[[#This Row],[PMI]]-B108</f>
        <v/>
      </c>
      <c r="D109" s="25" t="n">
        <v>52.1</v>
      </c>
    </row>
    <row r="110">
      <c r="A110" s="10" t="n">
        <v>43617</v>
      </c>
      <c r="B110" s="25" t="n">
        <v>50.6</v>
      </c>
      <c r="C110" s="25">
        <f>Table1346811[[#This Row],[PMI]]-B109</f>
        <v/>
      </c>
      <c r="D110" s="25" t="n">
        <v>51.7</v>
      </c>
    </row>
    <row r="111">
      <c r="A111" s="10" t="n">
        <v>43647</v>
      </c>
      <c r="B111" s="25" t="n">
        <v>50</v>
      </c>
      <c r="C111" s="25">
        <f>Table1346811[[#This Row],[PMI]]-B110</f>
        <v/>
      </c>
      <c r="D111" s="25" t="n">
        <v>51.2</v>
      </c>
    </row>
    <row r="112">
      <c r="A112" s="10" t="n">
        <v>43678</v>
      </c>
      <c r="B112" s="25" t="n">
        <v>50.3</v>
      </c>
      <c r="C112" s="25">
        <f>Table1346811[[#This Row],[PMI]]-B111</f>
        <v/>
      </c>
      <c r="D112" s="25" t="n">
        <v>49.1</v>
      </c>
    </row>
    <row r="113">
      <c r="A113" s="10" t="n">
        <v>43709</v>
      </c>
      <c r="B113" s="25" t="n">
        <v>51.1</v>
      </c>
      <c r="C113" s="25">
        <f>Table1346811[[#This Row],[PMI]]-B112</f>
        <v/>
      </c>
      <c r="D113" s="25" t="n">
        <v>47.8</v>
      </c>
    </row>
    <row r="114">
      <c r="A114" s="10" t="n">
        <v>43739</v>
      </c>
      <c r="B114" s="25" t="n">
        <v>51.3</v>
      </c>
      <c r="C114" s="25">
        <f>Table1346811[[#This Row],[PMI]]-B113</f>
        <v/>
      </c>
      <c r="D114" s="25" t="n">
        <v>48.3</v>
      </c>
    </row>
    <row r="115">
      <c r="A115" s="10" t="n">
        <v>43770</v>
      </c>
      <c r="B115" s="25" t="n">
        <v>52.6</v>
      </c>
      <c r="C115" s="25">
        <f>Table1346811[[#This Row],[PMI]]-B114</f>
        <v/>
      </c>
      <c r="D115" s="25" t="n">
        <v>48.1</v>
      </c>
    </row>
    <row r="116">
      <c r="A116" s="10" t="n">
        <v>43800</v>
      </c>
      <c r="B116" s="25" t="n">
        <v>52.4</v>
      </c>
      <c r="C116" s="25">
        <f>Table1346811[[#This Row],[PMI]]-B115</f>
        <v/>
      </c>
      <c r="D116" s="25" t="n">
        <v>47.8</v>
      </c>
    </row>
    <row r="117">
      <c r="A117" s="10" t="n">
        <v>43831</v>
      </c>
      <c r="B117" s="25" t="n">
        <v>51.9</v>
      </c>
      <c r="C117" s="25">
        <f>Table1346811[[#This Row],[PMI]]-B116</f>
        <v/>
      </c>
      <c r="D117" s="25" t="n">
        <v>50.9</v>
      </c>
    </row>
    <row r="118">
      <c r="A118" s="10" t="n">
        <v>43862</v>
      </c>
      <c r="B118" s="25" t="n">
        <v>50.7</v>
      </c>
      <c r="C118" s="25">
        <f>Table1346811[[#This Row],[PMI]]-B117</f>
        <v/>
      </c>
      <c r="D118" s="25" t="n">
        <v>50.1</v>
      </c>
    </row>
    <row r="119">
      <c r="A119" s="10" t="n">
        <v>43891</v>
      </c>
      <c r="B119" s="25" t="n">
        <v>48.5</v>
      </c>
      <c r="C119" s="25">
        <f>Table1346811[[#This Row],[PMI]]-B118</f>
        <v/>
      </c>
      <c r="D119" s="25" t="n">
        <v>49.1</v>
      </c>
    </row>
    <row r="120">
      <c r="A120" s="10" t="n">
        <v>43922</v>
      </c>
      <c r="B120" s="25" t="n">
        <v>36.1</v>
      </c>
      <c r="C120" s="25">
        <f>Table1346811[[#This Row],[PMI]]-B119</f>
        <v/>
      </c>
      <c r="D120" s="25" t="n">
        <v>41.5</v>
      </c>
    </row>
    <row r="121">
      <c r="A121" s="10" t="n">
        <v>43952</v>
      </c>
      <c r="B121" s="25" t="n">
        <v>39.8</v>
      </c>
      <c r="C121" s="25">
        <f>Table1346811[[#This Row],[PMI]]-B120</f>
        <v/>
      </c>
      <c r="D121" s="25" t="n">
        <v>43.1</v>
      </c>
    </row>
    <row r="122">
      <c r="A122" s="10" t="n">
        <v>43983</v>
      </c>
      <c r="B122" s="25" t="n">
        <v>49.8</v>
      </c>
      <c r="C122" s="25">
        <f>Table1346811[[#This Row],[PMI]]-B121</f>
        <v/>
      </c>
      <c r="D122" s="25" t="n">
        <v>52.6</v>
      </c>
    </row>
    <row r="123">
      <c r="A123" s="10" t="n">
        <v>44013</v>
      </c>
      <c r="B123" s="25" t="n">
        <v>50.9</v>
      </c>
      <c r="C123" s="25">
        <f>Table1346811[[#This Row],[PMI]]-B122</f>
        <v/>
      </c>
      <c r="D123" s="25" t="n">
        <v>54.2</v>
      </c>
    </row>
    <row r="124">
      <c r="A124" s="10" t="n">
        <v>44044</v>
      </c>
      <c r="B124" s="25" t="n">
        <v>53.1</v>
      </c>
      <c r="C124" s="25">
        <f>Table1346811[[#This Row],[PMI]]-B123</f>
        <v/>
      </c>
      <c r="D124" s="25" t="n">
        <v>56</v>
      </c>
    </row>
    <row r="125">
      <c r="A125" s="10" t="n">
        <v>44075</v>
      </c>
      <c r="B125" s="25" t="n">
        <v>53.2</v>
      </c>
      <c r="C125" s="25">
        <f>Table1346811[[#This Row],[PMI]]-B124</f>
        <v/>
      </c>
      <c r="D125" s="25" t="n">
        <v>57.8</v>
      </c>
    </row>
    <row r="126">
      <c r="A126" s="10" t="n">
        <v>44105</v>
      </c>
      <c r="B126" s="25" t="n">
        <v>53.4</v>
      </c>
      <c r="C126" s="25">
        <f>Table1346811[[#This Row],[PMI]]-B125</f>
        <v/>
      </c>
      <c r="D126" s="25" t="n">
        <v>59.3</v>
      </c>
    </row>
    <row r="127">
      <c r="A127" s="10" t="n">
        <v>44136</v>
      </c>
      <c r="B127" s="25" t="n">
        <v>56.7</v>
      </c>
      <c r="C127" s="25">
        <f>Table1346811[[#This Row],[PMI]]-B126</f>
        <v/>
      </c>
      <c r="D127" s="25" t="n">
        <v>57.5</v>
      </c>
    </row>
    <row r="128">
      <c r="A128" s="10" t="n">
        <v>44166</v>
      </c>
      <c r="B128" s="25" t="n">
        <v>57.1</v>
      </c>
      <c r="C128" s="25">
        <f>Table1346811[[#This Row],[PMI]]-B127</f>
        <v/>
      </c>
      <c r="D128" s="25" t="n">
        <v>60.5</v>
      </c>
    </row>
    <row r="129">
      <c r="A129" s="10" t="n">
        <v>44197</v>
      </c>
      <c r="B129" s="25" t="n">
        <v>59.2</v>
      </c>
      <c r="C129" s="25">
        <f>Table1346811[[#This Row],[PMI]]-B128</f>
        <v/>
      </c>
      <c r="D129" s="25" t="n">
        <v>58.7</v>
      </c>
    </row>
    <row r="130">
      <c r="A130" s="10" t="n">
        <v>44228</v>
      </c>
      <c r="B130" s="25" t="n">
        <v>58.6</v>
      </c>
      <c r="C130" s="25">
        <f>Table1346811[[#This Row],[PMI]]-B129</f>
        <v/>
      </c>
      <c r="D130" s="25" t="n">
        <v>60.8</v>
      </c>
    </row>
    <row r="131">
      <c r="A131" s="10" t="n">
        <v>44256</v>
      </c>
      <c r="B131" s="25" t="n">
        <v>59.1</v>
      </c>
      <c r="C131" s="25">
        <f>Table1346811[[#This Row],[PMI]]-B130</f>
        <v/>
      </c>
      <c r="D131" s="25" t="n">
        <v>64.7</v>
      </c>
    </row>
    <row r="132">
      <c r="A132" s="10" t="n">
        <v>44287</v>
      </c>
      <c r="B132" s="25" t="n">
        <v>60.5</v>
      </c>
      <c r="C132" s="25">
        <f>Table1346811[[#This Row],[PMI]]-B131</f>
        <v/>
      </c>
      <c r="D132" s="25" t="n">
        <v>60.7</v>
      </c>
    </row>
    <row r="133">
      <c r="A133" s="10" t="n">
        <v>44317</v>
      </c>
      <c r="B133" s="25" t="n">
        <v>62.6</v>
      </c>
      <c r="C133" s="25">
        <f>Table1346811[[#This Row],[PMI]]-B132</f>
        <v/>
      </c>
      <c r="D133" s="25" t="n">
        <v>61.2</v>
      </c>
    </row>
    <row r="134">
      <c r="A134" s="10" t="n">
        <v>44348</v>
      </c>
      <c r="B134" s="25" t="n">
        <v>62.1</v>
      </c>
      <c r="C134" s="25">
        <f>Table1346811[[#This Row],[PMI]]-B133</f>
        <v/>
      </c>
      <c r="D134" s="25" t="n">
        <v>60.6</v>
      </c>
    </row>
    <row r="135">
      <c r="A135" s="10" t="n">
        <v>44378</v>
      </c>
      <c r="B135" s="25" t="n">
        <v>63.4</v>
      </c>
      <c r="C135" s="25">
        <f>Table1346811[[#This Row],[PMI]]-B134</f>
        <v/>
      </c>
      <c r="D135" s="25" t="n">
        <v>59.5</v>
      </c>
    </row>
    <row r="136">
      <c r="A136" s="10" t="n">
        <v>44409</v>
      </c>
      <c r="B136" s="25" t="n">
        <v>61.1</v>
      </c>
      <c r="C136" s="25">
        <f>Table1346811[[#This Row],[PMI]]-B135</f>
        <v/>
      </c>
      <c r="D136" s="25" t="n">
        <v>59.9</v>
      </c>
    </row>
    <row r="137">
      <c r="A137" s="10" t="n">
        <v>44440</v>
      </c>
      <c r="B137" s="25" t="n">
        <v>60.7</v>
      </c>
      <c r="C137" s="25">
        <f>Table1346811[[#This Row],[PMI]]-B136</f>
        <v/>
      </c>
      <c r="D137" s="25" t="n">
        <v>60.3</v>
      </c>
    </row>
    <row r="138">
      <c r="A138" s="10" t="n">
        <v>44470</v>
      </c>
      <c r="B138" s="25" t="n">
        <v>58.4</v>
      </c>
      <c r="C138" s="25">
        <f>Table1346811[[#This Row],[PMI]]-B137</f>
        <v/>
      </c>
      <c r="D138" s="25" t="n">
        <v>60.7</v>
      </c>
    </row>
    <row r="139">
      <c r="A139" s="10" t="n">
        <v>44501</v>
      </c>
      <c r="B139" s="25" t="n">
        <v>58.3</v>
      </c>
      <c r="C139" s="25">
        <f>Table1346811[[#This Row],[PMI]]-B138</f>
        <v/>
      </c>
      <c r="D139" s="25" t="n">
        <v>61.1</v>
      </c>
    </row>
    <row r="140">
      <c r="A140" s="10" t="n">
        <v>44531</v>
      </c>
      <c r="B140" s="25" t="n">
        <v>57.7</v>
      </c>
      <c r="C140" s="25">
        <f>Table1346811[[#This Row],[PMI]]-B139</f>
        <v/>
      </c>
      <c r="D140" s="25" t="n">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09"/>
  <sheetViews>
    <sheetView zoomScale="150" zoomScaleNormal="150" workbookViewId="0">
      <pane ySplit="5" topLeftCell="A174" activePane="bottomLeft" state="frozen"/>
      <selection pane="bottomLeft" activeCell="U189" sqref="U189"/>
    </sheetView>
  </sheetViews>
  <sheetFormatPr baseColWidth="10" defaultColWidth="9.1640625" defaultRowHeight="15"/>
  <cols>
    <col width="13.5" customWidth="1" style="84" min="1" max="1"/>
    <col width="11.33203125" customWidth="1" style="84" min="2" max="2"/>
    <col width="9.1640625" customWidth="1" style="84" min="3" max="3"/>
    <col width="18.33203125" customWidth="1" style="84" min="4" max="4"/>
    <col width="9.1640625" customWidth="1" style="84" min="5" max="15"/>
    <col width="9.1640625" customWidth="1" style="84" min="16" max="16384"/>
  </cols>
  <sheetData>
    <row r="1">
      <c r="A1" s="84" t="inlineStr">
        <is>
          <t>Caixin China</t>
        </is>
      </c>
      <c r="K1" s="84" t="inlineStr">
        <is>
          <t xml:space="preserve"> Manufacturing PMI</t>
        </is>
      </c>
    </row>
    <row r="2">
      <c r="K2" s="84">
        <f>A1&amp;K1</f>
        <v/>
      </c>
    </row>
    <row r="3">
      <c r="A3" s="1" t="inlineStr">
        <is>
          <t>https://tradingeconomics.com/china/business-confidence</t>
        </is>
      </c>
    </row>
    <row r="4" ht="16" customHeight="1" s="76" thickBot="1"/>
    <row r="5" ht="16" customHeight="1" s="76" thickBot="1">
      <c r="A5" s="22" t="inlineStr">
        <is>
          <t>Date</t>
        </is>
      </c>
      <c r="B5" s="23" t="inlineStr">
        <is>
          <t>Caixin PMI</t>
        </is>
      </c>
      <c r="C5" s="23" t="inlineStr">
        <is>
          <t>mom</t>
        </is>
      </c>
      <c r="D5" s="27" t="inlineStr">
        <is>
          <t>Official PMI</t>
        </is>
      </c>
      <c r="E5" s="27" t="inlineStr">
        <is>
          <t>mom2</t>
        </is>
      </c>
      <c r="F5" s="27" t="inlineStr">
        <is>
          <t>GDP yoy %</t>
        </is>
      </c>
    </row>
    <row r="6">
      <c r="A6" s="18" t="n">
        <v>38353</v>
      </c>
      <c r="B6" s="19" t="n">
        <v>52.1</v>
      </c>
      <c r="C6" s="19" t="n"/>
      <c r="D6" s="25" t="n">
        <v>55.7</v>
      </c>
      <c r="E6" s="25" t="n"/>
      <c r="F6" s="56" t="n"/>
    </row>
    <row r="7">
      <c r="A7" s="10" t="n">
        <v>38384</v>
      </c>
      <c r="B7" s="25" t="n">
        <v>52.9</v>
      </c>
      <c r="C7" s="25">
        <f>Table1346811121415161718192021[[#This Row],[Caixin PMI]]-B6</f>
        <v/>
      </c>
      <c r="D7" s="25" t="n">
        <v>54.4</v>
      </c>
      <c r="E7" s="25">
        <f>Table1346811121415161718192021[[#This Row],[Official PMI]]-D6</f>
        <v/>
      </c>
      <c r="F7" s="56" t="n"/>
    </row>
    <row r="8">
      <c r="A8" s="10" t="n">
        <v>38412</v>
      </c>
      <c r="B8" s="25" t="n">
        <v>55.2</v>
      </c>
      <c r="C8" s="25">
        <f>Table1346811121415161718192021[[#This Row],[Caixin PMI]]-B7</f>
        <v/>
      </c>
      <c r="D8" s="25" t="n">
        <v>63.4</v>
      </c>
      <c r="E8" s="25">
        <f>Table1346811121415161718192021[[#This Row],[Official PMI]]-D7</f>
        <v/>
      </c>
      <c r="F8" s="56" t="n">
        <v>0.105</v>
      </c>
    </row>
    <row r="9">
      <c r="A9" s="10" t="n">
        <v>38443</v>
      </c>
      <c r="B9" s="25" t="n">
        <v>54.4</v>
      </c>
      <c r="C9" s="25">
        <f>Table1346811121415161718192021[[#This Row],[Caixin PMI]]-B8</f>
        <v/>
      </c>
      <c r="D9" s="25" t="n">
        <v>56.9</v>
      </c>
      <c r="E9" s="25">
        <f>Table1346811121415161718192021[[#This Row],[Official PMI]]-D8</f>
        <v/>
      </c>
      <c r="F9" s="56" t="n"/>
    </row>
    <row r="10">
      <c r="A10" s="10" t="n">
        <v>38473</v>
      </c>
      <c r="B10" s="25" t="n">
        <v>53.3</v>
      </c>
      <c r="C10" s="25">
        <f>Table1346811121415161718192021[[#This Row],[Caixin PMI]]-B9</f>
        <v/>
      </c>
      <c r="D10" s="25" t="n">
        <v>52.1</v>
      </c>
      <c r="E10" s="25">
        <f>Table1346811121415161718192021[[#This Row],[Official PMI]]-D9</f>
        <v/>
      </c>
      <c r="F10" s="56" t="n"/>
    </row>
    <row r="11">
      <c r="A11" s="10" t="n">
        <v>38504</v>
      </c>
      <c r="B11" s="25" t="n">
        <v>51</v>
      </c>
      <c r="C11" s="25">
        <f>Table1346811121415161718192021[[#This Row],[Caixin PMI]]-B10</f>
        <v/>
      </c>
      <c r="D11" s="25" t="n">
        <v>52.1</v>
      </c>
      <c r="E11" s="25">
        <f>Table1346811121415161718192021[[#This Row],[Official PMI]]-D10</f>
        <v/>
      </c>
      <c r="F11" s="56" t="n">
        <v>0.101</v>
      </c>
    </row>
    <row r="12">
      <c r="A12" s="10" t="n">
        <v>38534</v>
      </c>
      <c r="B12" s="25" t="n">
        <v>51.5</v>
      </c>
      <c r="C12" s="25">
        <f>Table1346811121415161718192021[[#This Row],[Caixin PMI]]-B11</f>
        <v/>
      </c>
      <c r="D12" s="25" t="n">
        <v>51.2</v>
      </c>
      <c r="E12" s="25">
        <f>Table1346811121415161718192021[[#This Row],[Official PMI]]-D11</f>
        <v/>
      </c>
      <c r="F12" s="56" t="n"/>
    </row>
    <row r="13">
      <c r="A13" s="10" t="n">
        <v>38565</v>
      </c>
      <c r="B13" s="25" t="n">
        <v>50.6</v>
      </c>
      <c r="C13" s="25">
        <f>Table1346811121415161718192021[[#This Row],[Caixin PMI]]-B12</f>
        <v/>
      </c>
      <c r="D13" s="25" t="n">
        <v>54.1</v>
      </c>
      <c r="E13" s="25">
        <f>Table1346811121415161718192021[[#This Row],[Official PMI]]-D12</f>
        <v/>
      </c>
      <c r="F13" s="56" t="n"/>
    </row>
    <row r="14">
      <c r="A14" s="10" t="n">
        <v>38596</v>
      </c>
      <c r="B14" s="25" t="n">
        <v>50.9</v>
      </c>
      <c r="C14" s="25">
        <f>Table1346811121415161718192021[[#This Row],[Caixin PMI]]-B13</f>
        <v/>
      </c>
      <c r="D14" s="25" t="n">
        <v>56.9</v>
      </c>
      <c r="E14" s="25">
        <f>Table1346811121415161718192021[[#This Row],[Official PMI]]-D13</f>
        <v/>
      </c>
      <c r="F14" s="56" t="n">
        <v>0.0998</v>
      </c>
    </row>
    <row r="15">
      <c r="A15" s="10" t="n">
        <v>38626</v>
      </c>
      <c r="B15" s="25" t="n">
        <v>50.1</v>
      </c>
      <c r="C15" s="25">
        <f>Table1346811121415161718192021[[#This Row],[Caixin PMI]]-B14</f>
        <v/>
      </c>
      <c r="D15" s="25" t="n">
        <v>54.1</v>
      </c>
      <c r="E15" s="25">
        <f>Table1346811121415161718192021[[#This Row],[Official PMI]]-D14</f>
        <v/>
      </c>
      <c r="F15" s="56" t="n"/>
    </row>
    <row r="16">
      <c r="A16" s="10" t="n">
        <v>38657</v>
      </c>
      <c r="B16" s="25" t="n">
        <v>49.8</v>
      </c>
      <c r="C16" s="25">
        <f>Table1346811121415161718192021[[#This Row],[Caixin PMI]]-B15</f>
        <v/>
      </c>
      <c r="D16" s="25" t="n">
        <v>54.1</v>
      </c>
      <c r="E16" s="25">
        <f>Table1346811121415161718192021[[#This Row],[Official PMI]]-D15</f>
        <v/>
      </c>
      <c r="F16" s="56" t="n"/>
    </row>
    <row r="17">
      <c r="A17" s="10" t="n">
        <v>38687</v>
      </c>
      <c r="B17" s="25" t="n">
        <v>50.1</v>
      </c>
      <c r="C17" s="25">
        <f>Table1346811121415161718192021[[#This Row],[Caixin PMI]]-B16</f>
        <v/>
      </c>
      <c r="D17" s="25" t="n">
        <v>54.3</v>
      </c>
      <c r="E17" s="25">
        <f>Table1346811121415161718192021[[#This Row],[Official PMI]]-D16</f>
        <v/>
      </c>
      <c r="F17" s="56" t="n">
        <v>0.099</v>
      </c>
    </row>
    <row r="18">
      <c r="A18" s="10" t="n">
        <v>38718</v>
      </c>
      <c r="B18" s="25" t="n">
        <v>50.2</v>
      </c>
      <c r="C18" s="25">
        <f>Table1346811121415161718192021[[#This Row],[Caixin PMI]]-B17</f>
        <v/>
      </c>
      <c r="D18" s="25" t="n">
        <v>52.1</v>
      </c>
      <c r="E18" s="25">
        <f>Table1346811121415161718192021[[#This Row],[Official PMI]]-D17</f>
        <v/>
      </c>
      <c r="F18" s="56" t="n"/>
    </row>
    <row r="19">
      <c r="A19" s="10" t="n">
        <v>38749</v>
      </c>
      <c r="B19" s="25" t="n">
        <v>50.7</v>
      </c>
      <c r="C19" s="25">
        <f>Table1346811121415161718192021[[#This Row],[Caixin PMI]]-B18</f>
        <v/>
      </c>
      <c r="D19" s="25" t="n">
        <v>52.1</v>
      </c>
      <c r="E19" s="25">
        <f>Table1346811121415161718192021[[#This Row],[Official PMI]]-D18</f>
        <v/>
      </c>
      <c r="F19" s="56" t="n"/>
    </row>
    <row r="20">
      <c r="A20" s="10" t="n">
        <v>38777</v>
      </c>
      <c r="B20" s="25" t="n">
        <v>51</v>
      </c>
      <c r="C20" s="25">
        <f>Table1346811121415161718192021[[#This Row],[Caixin PMI]]-B19</f>
        <v/>
      </c>
      <c r="D20" s="25" t="n">
        <v>55.3</v>
      </c>
      <c r="E20" s="25">
        <f>Table1346811121415161718192021[[#This Row],[Official PMI]]-D19</f>
        <v/>
      </c>
      <c r="F20" s="56" t="n">
        <v>0.114</v>
      </c>
    </row>
    <row r="21">
      <c r="A21" s="10" t="n">
        <v>38808</v>
      </c>
      <c r="B21" s="25" t="n">
        <v>52.7</v>
      </c>
      <c r="C21" s="25">
        <f>Table1346811121415161718192021[[#This Row],[Caixin PMI]]-B20</f>
        <v/>
      </c>
      <c r="D21" s="25" t="n">
        <v>58.1</v>
      </c>
      <c r="E21" s="25">
        <f>Table1346811121415161718192021[[#This Row],[Official PMI]]-D20</f>
        <v/>
      </c>
      <c r="F21" s="56" t="n"/>
    </row>
    <row r="22">
      <c r="A22" s="10" t="n">
        <v>38838</v>
      </c>
      <c r="B22" s="25" t="n">
        <v>52.8</v>
      </c>
      <c r="C22" s="25">
        <f>Table1346811121415161718192021[[#This Row],[Caixin PMI]]-B21</f>
        <v/>
      </c>
      <c r="D22" s="25" t="n">
        <v>54.8</v>
      </c>
      <c r="E22" s="25">
        <f>Table1346811121415161718192021[[#This Row],[Official PMI]]-D21</f>
        <v/>
      </c>
      <c r="F22" s="56" t="n"/>
    </row>
    <row r="23">
      <c r="A23" s="10" t="n">
        <v>38869</v>
      </c>
      <c r="B23" s="25" t="n">
        <v>52.9</v>
      </c>
      <c r="C23" s="25">
        <f>Table1346811121415161718192021[[#This Row],[Caixin PMI]]-B22</f>
        <v/>
      </c>
      <c r="D23" s="25" t="n">
        <v>54.1</v>
      </c>
      <c r="E23" s="25">
        <f>Table1346811121415161718192021[[#This Row],[Official PMI]]-D22</f>
        <v/>
      </c>
      <c r="F23" s="56" t="n">
        <v>0.115</v>
      </c>
    </row>
    <row r="24">
      <c r="A24" s="10" t="n">
        <v>38899</v>
      </c>
      <c r="B24" s="25" t="n">
        <v>53</v>
      </c>
      <c r="C24" s="25">
        <f>Table1346811121415161718192021[[#This Row],[Caixin PMI]]-B23</f>
        <v/>
      </c>
      <c r="D24" s="25" t="n">
        <v>52.4</v>
      </c>
      <c r="E24" s="25">
        <f>Table1346811121415161718192021[[#This Row],[Official PMI]]-D23</f>
        <v/>
      </c>
      <c r="F24" s="56" t="n"/>
    </row>
    <row r="25">
      <c r="A25" s="10" t="n">
        <v>38930</v>
      </c>
      <c r="B25" s="25" t="n">
        <v>52.6</v>
      </c>
      <c r="C25" s="25">
        <f>Table1346811121415161718192021[[#This Row],[Caixin PMI]]-B24</f>
        <v/>
      </c>
      <c r="D25" s="25" t="n">
        <v>53.1</v>
      </c>
      <c r="E25" s="25">
        <f>Table1346811121415161718192021[[#This Row],[Official PMI]]-D24</f>
        <v/>
      </c>
      <c r="F25" s="56" t="n"/>
    </row>
    <row r="26">
      <c r="A26" s="10" t="n">
        <v>38961</v>
      </c>
      <c r="B26" s="25" t="n">
        <v>52.4</v>
      </c>
      <c r="C26" s="25">
        <f>Table1346811121415161718192021[[#This Row],[Caixin PMI]]-B25</f>
        <v/>
      </c>
      <c r="D26" s="25" t="n">
        <v>57</v>
      </c>
      <c r="E26" s="25">
        <f>Table1346811121415161718192021[[#This Row],[Official PMI]]-D25</f>
        <v/>
      </c>
      <c r="F26" s="56" t="n">
        <v>0.106</v>
      </c>
    </row>
    <row r="27">
      <c r="A27" s="10" t="n">
        <v>38991</v>
      </c>
      <c r="B27" s="25" t="n">
        <v>52.1</v>
      </c>
      <c r="C27" s="25">
        <f>Table1346811121415161718192021[[#This Row],[Caixin PMI]]-B26</f>
        <v/>
      </c>
      <c r="D27" s="25" t="n">
        <v>54.7</v>
      </c>
      <c r="E27" s="25">
        <f>Table1346811121415161718192021[[#This Row],[Official PMI]]-D26</f>
        <v/>
      </c>
      <c r="F27" s="56" t="n"/>
    </row>
    <row r="28">
      <c r="A28" s="10" t="n">
        <v>39022</v>
      </c>
      <c r="B28" s="25" t="n">
        <v>53</v>
      </c>
      <c r="C28" s="25">
        <f>Table1346811121415161718192021[[#This Row],[Caixin PMI]]-B27</f>
        <v/>
      </c>
      <c r="D28" s="25" t="n">
        <v>55.3</v>
      </c>
      <c r="E28" s="25">
        <f>Table1346811121415161718192021[[#This Row],[Official PMI]]-D27</f>
        <v/>
      </c>
      <c r="F28" s="56" t="n"/>
    </row>
    <row r="29">
      <c r="A29" s="10" t="n">
        <v>39052</v>
      </c>
      <c r="B29" s="25" t="n">
        <v>52.4</v>
      </c>
      <c r="C29" s="25">
        <f>Table1346811121415161718192021[[#This Row],[Caixin PMI]]-B28</f>
        <v/>
      </c>
      <c r="D29" s="25" t="n">
        <v>54.8</v>
      </c>
      <c r="E29" s="25">
        <f>Table1346811121415161718192021[[#This Row],[Official PMI]]-D28</f>
        <v/>
      </c>
      <c r="F29" s="56" t="n">
        <v>0.104</v>
      </c>
    </row>
    <row r="30">
      <c r="A30" s="10" t="n">
        <v>39083</v>
      </c>
      <c r="B30" s="25" t="n">
        <v>52</v>
      </c>
      <c r="C30" s="25">
        <f>Table1346811121415161718192021[[#This Row],[Caixin PMI]]-B29</f>
        <v/>
      </c>
      <c r="D30" s="25" t="n">
        <v>55.1</v>
      </c>
      <c r="E30" s="25">
        <f>Table1346811121415161718192021[[#This Row],[Official PMI]]-D29</f>
        <v/>
      </c>
      <c r="F30" s="56" t="n"/>
    </row>
    <row r="31">
      <c r="A31" s="10" t="n">
        <v>39114</v>
      </c>
      <c r="B31" s="25" t="n">
        <v>53</v>
      </c>
      <c r="C31" s="25">
        <f>Table1346811121415161718192021[[#This Row],[Caixin PMI]]-B30</f>
        <v/>
      </c>
      <c r="D31" s="25" t="n">
        <v>53.1</v>
      </c>
      <c r="E31" s="25">
        <f>Table1346811121415161718192021[[#This Row],[Official PMI]]-D30</f>
        <v/>
      </c>
      <c r="F31" s="56" t="n"/>
    </row>
    <row r="32">
      <c r="A32" s="10" t="n">
        <v>39142</v>
      </c>
      <c r="B32" s="25" t="n">
        <v>52.3</v>
      </c>
      <c r="C32" s="25">
        <f>Table1346811121415161718192021[[#This Row],[Caixin PMI]]-B31</f>
        <v/>
      </c>
      <c r="D32" s="25" t="n">
        <v>56.1</v>
      </c>
      <c r="E32" s="25">
        <f>Table1346811121415161718192021[[#This Row],[Official PMI]]-D31</f>
        <v/>
      </c>
      <c r="F32" s="56" t="n">
        <v>0.13</v>
      </c>
    </row>
    <row r="33">
      <c r="A33" s="10" t="n">
        <v>39173</v>
      </c>
      <c r="B33" s="25" t="n">
        <v>53.3</v>
      </c>
      <c r="C33" s="25">
        <f>Table1346811121415161718192021[[#This Row],[Caixin PMI]]-B32</f>
        <v/>
      </c>
      <c r="D33" s="25" t="n">
        <v>58.6</v>
      </c>
      <c r="E33" s="25">
        <f>Table1346811121415161718192021[[#This Row],[Official PMI]]-D32</f>
        <v/>
      </c>
      <c r="F33" s="56" t="n"/>
    </row>
    <row r="34">
      <c r="A34" s="10" t="n">
        <v>39203</v>
      </c>
      <c r="B34" s="25" t="n">
        <v>54.1</v>
      </c>
      <c r="C34" s="25">
        <f>Table1346811121415161718192021[[#This Row],[Caixin PMI]]-B33</f>
        <v/>
      </c>
      <c r="D34" s="25" t="n">
        <v>55.7</v>
      </c>
      <c r="E34" s="25">
        <f>Table1346811121415161718192021[[#This Row],[Official PMI]]-D33</f>
        <v/>
      </c>
      <c r="F34" s="56" t="n"/>
    </row>
    <row r="35">
      <c r="A35" s="10" t="n">
        <v>39234</v>
      </c>
      <c r="B35" s="25" t="n">
        <v>55</v>
      </c>
      <c r="C35" s="25">
        <f>Table1346811121415161718192021[[#This Row],[Caixin PMI]]-B34</f>
        <v/>
      </c>
      <c r="D35" s="25" t="n">
        <v>54.5</v>
      </c>
      <c r="E35" s="25">
        <f>Table1346811121415161718192021[[#This Row],[Official PMI]]-D34</f>
        <v/>
      </c>
      <c r="F35" s="56" t="n">
        <v>0.126</v>
      </c>
    </row>
    <row r="36">
      <c r="A36" s="10" t="n">
        <v>39264</v>
      </c>
      <c r="B36" s="25" t="n">
        <v>53.2</v>
      </c>
      <c r="C36" s="25">
        <f>Table1346811121415161718192021[[#This Row],[Caixin PMI]]-B35</f>
        <v/>
      </c>
      <c r="D36" s="25" t="n">
        <v>53.3</v>
      </c>
      <c r="E36" s="25">
        <f>Table1346811121415161718192021[[#This Row],[Official PMI]]-D35</f>
        <v/>
      </c>
      <c r="F36" s="56" t="n"/>
    </row>
    <row r="37">
      <c r="A37" s="10" t="n">
        <v>39295</v>
      </c>
      <c r="B37" s="25" t="n">
        <v>53.4</v>
      </c>
      <c r="C37" s="25">
        <f>Table1346811121415161718192021[[#This Row],[Caixin PMI]]-B36</f>
        <v/>
      </c>
      <c r="D37" s="25" t="n">
        <v>54</v>
      </c>
      <c r="E37" s="25">
        <f>Table1346811121415161718192021[[#This Row],[Official PMI]]-D36</f>
        <v/>
      </c>
      <c r="F37" s="56" t="n"/>
    </row>
    <row r="38">
      <c r="A38" s="10" t="n">
        <v>39326</v>
      </c>
      <c r="B38" s="25" t="n">
        <v>55</v>
      </c>
      <c r="C38" s="25">
        <f>Table1346811121415161718192021[[#This Row],[Caixin PMI]]-B37</f>
        <v/>
      </c>
      <c r="D38" s="25" t="n">
        <v>56.1</v>
      </c>
      <c r="E38" s="25">
        <f>Table1346811121415161718192021[[#This Row],[Official PMI]]-D37</f>
        <v/>
      </c>
      <c r="F38" s="56" t="n">
        <v>0.115</v>
      </c>
    </row>
    <row r="39">
      <c r="A39" s="10" t="n">
        <v>39356</v>
      </c>
      <c r="B39" s="25" t="n">
        <v>55.2</v>
      </c>
      <c r="C39" s="25">
        <f>Table1346811121415161718192021[[#This Row],[Caixin PMI]]-B38</f>
        <v/>
      </c>
      <c r="D39" s="25" t="n">
        <v>53.2</v>
      </c>
      <c r="E39" s="25">
        <f>Table1346811121415161718192021[[#This Row],[Official PMI]]-D38</f>
        <v/>
      </c>
      <c r="F39" s="56" t="n"/>
    </row>
    <row r="40">
      <c r="A40" s="10" t="n">
        <v>39387</v>
      </c>
      <c r="B40" s="25" t="n">
        <v>52.8</v>
      </c>
      <c r="C40" s="25">
        <f>Table1346811121415161718192021[[#This Row],[Caixin PMI]]-B39</f>
        <v/>
      </c>
      <c r="D40" s="25" t="n">
        <v>55.4</v>
      </c>
      <c r="E40" s="25">
        <f>Table1346811121415161718192021[[#This Row],[Official PMI]]-D39</f>
        <v/>
      </c>
      <c r="F40" s="56" t="n"/>
    </row>
    <row r="41">
      <c r="A41" s="10" t="n">
        <v>39417</v>
      </c>
      <c r="B41" s="25" t="n">
        <v>53.3</v>
      </c>
      <c r="C41" s="25">
        <f>Table1346811121415161718192021[[#This Row],[Caixin PMI]]-B40</f>
        <v/>
      </c>
      <c r="D41" s="25" t="n">
        <v>55.3</v>
      </c>
      <c r="E41" s="25">
        <f>Table1346811121415161718192021[[#This Row],[Official PMI]]-D40</f>
        <v/>
      </c>
      <c r="F41" s="56" t="n">
        <v>0.112</v>
      </c>
    </row>
    <row r="42">
      <c r="A42" s="10" t="n">
        <v>39448</v>
      </c>
      <c r="B42" s="25" t="n">
        <v>53.2</v>
      </c>
      <c r="C42" s="25">
        <f>Table1346811121415161718192021[[#This Row],[Caixin PMI]]-B41</f>
        <v/>
      </c>
      <c r="D42" s="25" t="n">
        <v>53</v>
      </c>
      <c r="E42" s="25">
        <f>Table1346811121415161718192021[[#This Row],[Official PMI]]-D41</f>
        <v/>
      </c>
      <c r="F42" s="56" t="n"/>
    </row>
    <row r="43">
      <c r="A43" s="10" t="n">
        <v>39479</v>
      </c>
      <c r="B43" s="25" t="n">
        <v>52.8</v>
      </c>
      <c r="C43" s="25">
        <f>Table1346811121415161718192021[[#This Row],[Caixin PMI]]-B42</f>
        <v/>
      </c>
      <c r="D43" s="25" t="n">
        <v>53.4</v>
      </c>
      <c r="E43" s="25">
        <f>Table1346811121415161718192021[[#This Row],[Official PMI]]-D42</f>
        <v/>
      </c>
      <c r="F43" s="56" t="n"/>
    </row>
    <row r="44">
      <c r="A44" s="10" t="n">
        <v>39508</v>
      </c>
      <c r="B44" s="25" t="n">
        <v>54.4</v>
      </c>
      <c r="C44" s="25">
        <f>Table1346811121415161718192021[[#This Row],[Caixin PMI]]-B43</f>
        <v/>
      </c>
      <c r="D44" s="25" t="n">
        <v>58.4</v>
      </c>
      <c r="E44" s="25">
        <f>Table1346811121415161718192021[[#This Row],[Official PMI]]-D43</f>
        <v/>
      </c>
      <c r="F44" s="56" t="n">
        <v>0.106</v>
      </c>
    </row>
    <row r="45">
      <c r="A45" s="10" t="n">
        <v>39539</v>
      </c>
      <c r="B45" s="25" t="n">
        <v>55.4</v>
      </c>
      <c r="C45" s="25">
        <f>Table1346811121415161718192021[[#This Row],[Caixin PMI]]-B44</f>
        <v/>
      </c>
      <c r="D45" s="25" t="n">
        <v>59.2</v>
      </c>
      <c r="E45" s="25">
        <f>Table1346811121415161718192021[[#This Row],[Official PMI]]-D44</f>
        <v/>
      </c>
      <c r="F45" s="56" t="n"/>
    </row>
    <row r="46">
      <c r="A46" s="10" t="n">
        <v>39569</v>
      </c>
      <c r="B46" s="25" t="n">
        <v>54.7</v>
      </c>
      <c r="C46" s="25">
        <f>Table1346811121415161718192021[[#This Row],[Caixin PMI]]-B45</f>
        <v/>
      </c>
      <c r="D46" s="25" t="n">
        <v>53.3</v>
      </c>
      <c r="E46" s="25">
        <f>Table1346811121415161718192021[[#This Row],[Official PMI]]-D45</f>
        <v/>
      </c>
      <c r="F46" s="56" t="n"/>
    </row>
    <row r="47">
      <c r="A47" s="10" t="n">
        <v>39600</v>
      </c>
      <c r="B47" s="25" t="n">
        <v>53.3</v>
      </c>
      <c r="C47" s="25">
        <f>Table1346811121415161718192021[[#This Row],[Caixin PMI]]-B46</f>
        <v/>
      </c>
      <c r="D47" s="25" t="n">
        <v>52</v>
      </c>
      <c r="E47" s="25">
        <f>Table1346811121415161718192021[[#This Row],[Official PMI]]-D46</f>
        <v/>
      </c>
      <c r="F47" s="56" t="n">
        <v>0.101</v>
      </c>
    </row>
    <row r="48">
      <c r="A48" s="10" t="n">
        <v>39630</v>
      </c>
      <c r="B48" s="25" t="n">
        <v>53.3</v>
      </c>
      <c r="C48" s="25">
        <f>Table1346811121415161718192021[[#This Row],[Caixin PMI]]-B47</f>
        <v/>
      </c>
      <c r="D48" s="25" t="n">
        <v>48.4</v>
      </c>
      <c r="E48" s="25">
        <f>Table1346811121415161718192021[[#This Row],[Official PMI]]-D47</f>
        <v/>
      </c>
      <c r="F48" s="56" t="n"/>
    </row>
    <row r="49">
      <c r="A49" s="10" t="n">
        <v>39661</v>
      </c>
      <c r="B49" s="25" t="n">
        <v>49.2</v>
      </c>
      <c r="C49" s="25">
        <f>Table1346811121415161718192021[[#This Row],[Caixin PMI]]-B48</f>
        <v/>
      </c>
      <c r="D49" s="25" t="n">
        <v>48.4</v>
      </c>
      <c r="E49" s="25">
        <f>Table1346811121415161718192021[[#This Row],[Official PMI]]-D48</f>
        <v/>
      </c>
      <c r="F49" s="56" t="n"/>
    </row>
    <row r="50">
      <c r="A50" s="10" t="n">
        <v>39692</v>
      </c>
      <c r="B50" s="25" t="n">
        <v>47.7</v>
      </c>
      <c r="C50" s="25">
        <f>Table1346811121415161718192021[[#This Row],[Caixin PMI]]-B49</f>
        <v/>
      </c>
      <c r="D50" s="25" t="n">
        <v>51.2</v>
      </c>
      <c r="E50" s="25">
        <f>Table1346811121415161718192021[[#This Row],[Official PMI]]-D49</f>
        <v/>
      </c>
      <c r="F50" s="56" t="n">
        <v>0.09</v>
      </c>
    </row>
    <row r="51">
      <c r="A51" s="10" t="n">
        <v>39722</v>
      </c>
      <c r="B51" s="25" t="n">
        <v>45.2</v>
      </c>
      <c r="C51" s="25">
        <f>Table1346811121415161718192021[[#This Row],[Caixin PMI]]-B50</f>
        <v/>
      </c>
      <c r="D51" s="25" t="n">
        <v>44.6</v>
      </c>
      <c r="E51" s="25">
        <f>Table1346811121415161718192021[[#This Row],[Official PMI]]-D50</f>
        <v/>
      </c>
      <c r="F51" s="56" t="n"/>
    </row>
    <row r="52">
      <c r="A52" s="10" t="n">
        <v>39753</v>
      </c>
      <c r="B52" s="25" t="n">
        <v>40.9</v>
      </c>
      <c r="C52" s="25">
        <f>Table1346811121415161718192021[[#This Row],[Caixin PMI]]-B51</f>
        <v/>
      </c>
      <c r="D52" s="25" t="n">
        <v>38.8</v>
      </c>
      <c r="E52" s="25">
        <f>Table1346811121415161718192021[[#This Row],[Official PMI]]-D51</f>
        <v/>
      </c>
      <c r="F52" s="56" t="n"/>
    </row>
    <row r="53">
      <c r="A53" s="10" t="n">
        <v>39783</v>
      </c>
      <c r="B53" s="25" t="n">
        <v>41.2</v>
      </c>
      <c r="C53" s="25">
        <f>Table1346811121415161718192021[[#This Row],[Caixin PMI]]-B52</f>
        <v/>
      </c>
      <c r="D53" s="25" t="n">
        <v>41.2</v>
      </c>
      <c r="E53" s="25">
        <f>Table1346811121415161718192021[[#This Row],[Official PMI]]-D52</f>
        <v/>
      </c>
      <c r="F53" s="56" t="n">
        <v>0.068</v>
      </c>
    </row>
    <row r="54">
      <c r="A54" s="10" t="n">
        <v>39814</v>
      </c>
      <c r="B54" s="25" t="n">
        <v>42.2</v>
      </c>
      <c r="C54" s="25">
        <f>Table1346811121415161718192021[[#This Row],[Caixin PMI]]-B53</f>
        <v/>
      </c>
      <c r="D54" s="25" t="n">
        <v>45.3</v>
      </c>
      <c r="E54" s="25">
        <f>Table1346811121415161718192021[[#This Row],[Official PMI]]-D53</f>
        <v/>
      </c>
      <c r="F54" s="56" t="n"/>
    </row>
    <row r="55">
      <c r="A55" s="10" t="n">
        <v>39845</v>
      </c>
      <c r="B55" s="25" t="n">
        <v>45.1</v>
      </c>
      <c r="C55" s="25">
        <f>Table1346811121415161718192021[[#This Row],[Caixin PMI]]-B54</f>
        <v/>
      </c>
      <c r="D55" s="25" t="n">
        <v>49</v>
      </c>
      <c r="E55" s="25">
        <f>Table1346811121415161718192021[[#This Row],[Official PMI]]-D54</f>
        <v/>
      </c>
      <c r="F55" s="56" t="n"/>
    </row>
    <row r="56">
      <c r="A56" s="10" t="n">
        <v>39873</v>
      </c>
      <c r="B56" s="25" t="n">
        <v>44.8</v>
      </c>
      <c r="C56" s="25">
        <f>Table1346811121415161718192021[[#This Row],[Caixin PMI]]-B55</f>
        <v/>
      </c>
      <c r="D56" s="25" t="n">
        <v>52.4</v>
      </c>
      <c r="E56" s="25">
        <f>Table1346811121415161718192021[[#This Row],[Official PMI]]-D55</f>
        <v/>
      </c>
      <c r="F56" s="56" t="n">
        <v>0.062</v>
      </c>
    </row>
    <row r="57">
      <c r="A57" s="10" t="n">
        <v>39904</v>
      </c>
      <c r="B57" s="25" t="n">
        <v>50.1</v>
      </c>
      <c r="C57" s="25">
        <f>Table1346811121415161718192021[[#This Row],[Caixin PMI]]-B56</f>
        <v/>
      </c>
      <c r="D57" s="25" t="n">
        <v>53.5</v>
      </c>
      <c r="E57" s="25">
        <f>Table1346811121415161718192021[[#This Row],[Official PMI]]-D56</f>
        <v/>
      </c>
      <c r="F57" s="56" t="n"/>
    </row>
    <row r="58">
      <c r="A58" s="10" t="n">
        <v>39934</v>
      </c>
      <c r="B58" s="25" t="n">
        <v>51.2</v>
      </c>
      <c r="C58" s="25">
        <f>Table1346811121415161718192021[[#This Row],[Caixin PMI]]-B57</f>
        <v/>
      </c>
      <c r="D58" s="25" t="n">
        <v>53.1</v>
      </c>
      <c r="E58" s="25">
        <f>Table1346811121415161718192021[[#This Row],[Official PMI]]-D57</f>
        <v/>
      </c>
      <c r="F58" s="56" t="n"/>
    </row>
    <row r="59">
      <c r="A59" s="10" t="n">
        <v>39965</v>
      </c>
      <c r="B59" s="25" t="n">
        <v>51.8</v>
      </c>
      <c r="C59" s="25">
        <f>Table1346811121415161718192021[[#This Row],[Caixin PMI]]-B58</f>
        <v/>
      </c>
      <c r="D59" s="25" t="n">
        <v>53.2</v>
      </c>
      <c r="E59" s="25">
        <f>Table1346811121415161718192021[[#This Row],[Official PMI]]-D58</f>
        <v/>
      </c>
      <c r="F59" s="56" t="n">
        <v>0.079</v>
      </c>
    </row>
    <row r="60">
      <c r="A60" s="10" t="n">
        <v>39995</v>
      </c>
      <c r="B60" s="25" t="n">
        <v>52.8</v>
      </c>
      <c r="C60" s="25">
        <f>Table1346811121415161718192021[[#This Row],[Caixin PMI]]-B59</f>
        <v/>
      </c>
      <c r="D60" s="25" t="n">
        <v>53.3</v>
      </c>
      <c r="E60" s="25">
        <f>Table1346811121415161718192021[[#This Row],[Official PMI]]-D59</f>
        <v/>
      </c>
      <c r="F60" s="56" t="n"/>
    </row>
    <row r="61">
      <c r="A61" s="10" t="n">
        <v>40026</v>
      </c>
      <c r="B61" s="25" t="n">
        <v>55.1</v>
      </c>
      <c r="C61" s="25">
        <f>Table1346811121415161718192021[[#This Row],[Caixin PMI]]-B60</f>
        <v/>
      </c>
      <c r="D61" s="25" t="n">
        <v>54</v>
      </c>
      <c r="E61" s="25">
        <f>Table1346811121415161718192021[[#This Row],[Official PMI]]-D60</f>
        <v/>
      </c>
      <c r="F61" s="56" t="n"/>
    </row>
    <row r="62">
      <c r="A62" s="10" t="n">
        <v>40057</v>
      </c>
      <c r="B62" s="25" t="n">
        <v>55</v>
      </c>
      <c r="C62" s="25">
        <f>Table1346811121415161718192021[[#This Row],[Caixin PMI]]-B61</f>
        <v/>
      </c>
      <c r="D62" s="25" t="n">
        <v>54.3</v>
      </c>
      <c r="E62" s="25">
        <f>Table1346811121415161718192021[[#This Row],[Official PMI]]-D61</f>
        <v/>
      </c>
      <c r="F62" s="56" t="n">
        <v>0.091</v>
      </c>
    </row>
    <row r="63">
      <c r="A63" s="10" t="n">
        <v>40087</v>
      </c>
      <c r="B63" s="25" t="n">
        <v>55.4</v>
      </c>
      <c r="C63" s="25">
        <f>Table1346811121415161718192021[[#This Row],[Caixin PMI]]-B62</f>
        <v/>
      </c>
      <c r="D63" s="25" t="n">
        <v>55.2</v>
      </c>
      <c r="E63" s="25">
        <f>Table1346811121415161718192021[[#This Row],[Official PMI]]-D62</f>
        <v/>
      </c>
      <c r="F63" s="56" t="n"/>
    </row>
    <row r="64">
      <c r="A64" s="10" t="n">
        <v>40118</v>
      </c>
      <c r="B64" s="25" t="n">
        <v>55.7</v>
      </c>
      <c r="C64" s="25">
        <f>Table1346811121415161718192021[[#This Row],[Caixin PMI]]-B63</f>
        <v/>
      </c>
      <c r="D64" s="25" t="n">
        <v>55.2</v>
      </c>
      <c r="E64" s="25">
        <f>Table1346811121415161718192021[[#This Row],[Official PMI]]-D63</f>
        <v/>
      </c>
      <c r="F64" s="56" t="n"/>
    </row>
    <row r="65">
      <c r="A65" s="10" t="n">
        <v>40148</v>
      </c>
      <c r="B65" s="25" t="n">
        <v>56.1</v>
      </c>
      <c r="C65" s="25">
        <f>Table1346811121415161718192021[[#This Row],[Caixin PMI]]-B64</f>
        <v/>
      </c>
      <c r="D65" s="25" t="n">
        <v>56.6</v>
      </c>
      <c r="E65" s="25">
        <f>Table1346811121415161718192021[[#This Row],[Official PMI]]-D64</f>
        <v/>
      </c>
      <c r="F65" s="56" t="n">
        <v>0.107</v>
      </c>
    </row>
    <row r="66">
      <c r="A66" s="10" t="n">
        <v>40179</v>
      </c>
      <c r="B66" s="25" t="n">
        <v>57.4</v>
      </c>
      <c r="C66" s="25">
        <f>Table1346811121415161718192021[[#This Row],[Caixin PMI]]-B65</f>
        <v/>
      </c>
      <c r="D66" s="25" t="n">
        <v>55.8</v>
      </c>
      <c r="E66" s="25">
        <f>Table1346811121415161718192021[[#This Row],[Official PMI]]-D65</f>
        <v/>
      </c>
      <c r="F66" s="56" t="n"/>
    </row>
    <row r="67">
      <c r="A67" s="10" t="n">
        <v>40210</v>
      </c>
      <c r="B67" s="25" t="n">
        <v>55.8</v>
      </c>
      <c r="C67" s="25">
        <f>Table1346811121415161718192021[[#This Row],[Caixin PMI]]-B66</f>
        <v/>
      </c>
      <c r="D67" s="25" t="n">
        <v>52</v>
      </c>
      <c r="E67" s="25">
        <f>Table1346811121415161718192021[[#This Row],[Official PMI]]-D66</f>
        <v/>
      </c>
      <c r="F67" s="56" t="n"/>
    </row>
    <row r="68">
      <c r="A68" s="10" t="n">
        <v>40238</v>
      </c>
      <c r="B68" s="25" t="n">
        <v>57</v>
      </c>
      <c r="C68" s="25">
        <f>Table1346811121415161718192021[[#This Row],[Caixin PMI]]-B67</f>
        <v/>
      </c>
      <c r="D68" s="25" t="n">
        <v>55.1</v>
      </c>
      <c r="E68" s="25">
        <f>Table1346811121415161718192021[[#This Row],[Official PMI]]-D67</f>
        <v/>
      </c>
      <c r="F68" s="56" t="n">
        <v>0.119</v>
      </c>
    </row>
    <row r="69">
      <c r="A69" s="10" t="n">
        <v>40269</v>
      </c>
      <c r="B69" s="25" t="n">
        <v>55.4</v>
      </c>
      <c r="C69" s="25">
        <f>Table1346811121415161718192021[[#This Row],[Caixin PMI]]-B68</f>
        <v/>
      </c>
      <c r="D69" s="25" t="n">
        <v>55.7</v>
      </c>
      <c r="E69" s="25">
        <f>Table1346811121415161718192021[[#This Row],[Official PMI]]-D68</f>
        <v/>
      </c>
      <c r="F69" s="56" t="n"/>
    </row>
    <row r="70">
      <c r="A70" s="10" t="n">
        <v>40299</v>
      </c>
      <c r="B70" s="25" t="n">
        <v>52.7</v>
      </c>
      <c r="C70" s="25">
        <f>Table1346811121415161718192021[[#This Row],[Caixin PMI]]-B69</f>
        <v/>
      </c>
      <c r="D70" s="25" t="n">
        <v>53.9</v>
      </c>
      <c r="E70" s="25">
        <f>Table1346811121415161718192021[[#This Row],[Official PMI]]-D69</f>
        <v/>
      </c>
      <c r="F70" s="56" t="n"/>
    </row>
    <row r="71">
      <c r="A71" s="10" t="n">
        <v>40330</v>
      </c>
      <c r="B71" s="25" t="n">
        <v>50.4</v>
      </c>
      <c r="C71" s="25">
        <f>Table1346811121415161718192021[[#This Row],[Caixin PMI]]-B70</f>
        <v/>
      </c>
      <c r="D71" s="25" t="n">
        <v>52.1</v>
      </c>
      <c r="E71" s="25">
        <f>Table1346811121415161718192021[[#This Row],[Official PMI]]-D70</f>
        <v/>
      </c>
      <c r="F71" s="56" t="n">
        <v>0.103</v>
      </c>
    </row>
    <row r="72">
      <c r="A72" s="10" t="n">
        <v>40360</v>
      </c>
      <c r="B72" s="25" t="n">
        <v>49.4</v>
      </c>
      <c r="C72" s="25">
        <f>Table1346811121415161718192021[[#This Row],[Caixin PMI]]-B71</f>
        <v/>
      </c>
      <c r="D72" s="25" t="n">
        <v>51.2</v>
      </c>
      <c r="E72" s="25">
        <f>Table1346811121415161718192021[[#This Row],[Official PMI]]-D71</f>
        <v/>
      </c>
      <c r="F72" s="56" t="n"/>
    </row>
    <row r="73">
      <c r="A73" s="10" t="n">
        <v>40391</v>
      </c>
      <c r="B73" s="25" t="n">
        <v>51.9</v>
      </c>
      <c r="C73" s="25">
        <f>Table1346811121415161718192021[[#This Row],[Caixin PMI]]-B72</f>
        <v/>
      </c>
      <c r="D73" s="25" t="n">
        <v>51.7</v>
      </c>
      <c r="E73" s="25">
        <f>Table1346811121415161718192021[[#This Row],[Official PMI]]-D72</f>
        <v/>
      </c>
      <c r="F73" s="56" t="n"/>
    </row>
    <row r="74">
      <c r="A74" s="10" t="n">
        <v>40422</v>
      </c>
      <c r="B74" s="25" t="n">
        <v>52.9</v>
      </c>
      <c r="C74" s="25">
        <f>Table1346811121415161718192021[[#This Row],[Caixin PMI]]-B73</f>
        <v/>
      </c>
      <c r="D74" s="25" t="n">
        <v>53.8</v>
      </c>
      <c r="E74" s="25">
        <f>Table1346811121415161718192021[[#This Row],[Official PMI]]-D73</f>
        <v/>
      </c>
      <c r="F74" s="56" t="n">
        <v>0.096</v>
      </c>
    </row>
    <row r="75">
      <c r="A75" s="10" t="n">
        <v>40452</v>
      </c>
      <c r="B75" s="25" t="n">
        <v>54.8</v>
      </c>
      <c r="C75" s="25">
        <f>Table1346811121415161718192021[[#This Row],[Caixin PMI]]-B74</f>
        <v/>
      </c>
      <c r="D75" s="25" t="n">
        <v>54.7</v>
      </c>
      <c r="E75" s="25">
        <f>Table1346811121415161718192021[[#This Row],[Official PMI]]-D74</f>
        <v/>
      </c>
      <c r="F75" s="56" t="n"/>
    </row>
    <row r="76">
      <c r="A76" s="10" t="n">
        <v>40483</v>
      </c>
      <c r="B76" s="25" t="n">
        <v>55.3</v>
      </c>
      <c r="C76" s="25">
        <f>Table1346811121415161718192021[[#This Row],[Caixin PMI]]-B75</f>
        <v/>
      </c>
      <c r="D76" s="25" t="n">
        <v>55.2</v>
      </c>
      <c r="E76" s="25">
        <f>Table1346811121415161718192021[[#This Row],[Official PMI]]-D75</f>
        <v/>
      </c>
      <c r="F76" s="56" t="n"/>
    </row>
    <row r="77">
      <c r="A77" s="10" t="n">
        <v>40513</v>
      </c>
      <c r="B77" s="25" t="n">
        <v>54.4</v>
      </c>
      <c r="C77" s="25">
        <f>Table1346811121415161718192021[[#This Row],[Caixin PMI]]-B76</f>
        <v/>
      </c>
      <c r="D77" s="25" t="n">
        <v>53.9</v>
      </c>
      <c r="E77" s="25">
        <f>Table1346811121415161718192021[[#This Row],[Official PMI]]-D76</f>
        <v/>
      </c>
      <c r="F77" s="56" t="n">
        <v>0.098</v>
      </c>
    </row>
    <row r="78">
      <c r="A78" s="10" t="n">
        <v>40544</v>
      </c>
      <c r="B78" s="25" t="n">
        <v>54.5</v>
      </c>
      <c r="C78" s="25">
        <f>Table1346811121415161718192021[[#This Row],[Caixin PMI]]-B77</f>
        <v/>
      </c>
      <c r="D78" s="25" t="n">
        <v>52.9</v>
      </c>
      <c r="E78" s="25">
        <f>Table1346811121415161718192021[[#This Row],[Official PMI]]-D77</f>
        <v/>
      </c>
      <c r="F78" s="56" t="n"/>
    </row>
    <row r="79">
      <c r="A79" s="10" t="n">
        <v>40575</v>
      </c>
      <c r="B79" s="25" t="n">
        <v>51.7</v>
      </c>
      <c r="C79" s="25">
        <f>Table1346811121415161718192021[[#This Row],[Caixin PMI]]-B78</f>
        <v/>
      </c>
      <c r="D79" s="25" t="n">
        <v>52.2</v>
      </c>
      <c r="E79" s="25">
        <f>Table1346811121415161718192021[[#This Row],[Official PMI]]-D78</f>
        <v/>
      </c>
      <c r="F79" s="56" t="n"/>
    </row>
    <row r="80">
      <c r="A80" s="10" t="n">
        <v>40603</v>
      </c>
      <c r="B80" s="25" t="n">
        <v>51.8</v>
      </c>
      <c r="C80" s="25">
        <f>Table1346811121415161718192021[[#This Row],[Caixin PMI]]-B79</f>
        <v/>
      </c>
      <c r="D80" s="25" t="n">
        <v>53.4</v>
      </c>
      <c r="E80" s="25">
        <f>Table1346811121415161718192021[[#This Row],[Official PMI]]-D79</f>
        <v/>
      </c>
      <c r="F80" s="56" t="n">
        <v>0.097</v>
      </c>
    </row>
    <row r="81">
      <c r="A81" s="10" t="n">
        <v>40634</v>
      </c>
      <c r="B81" s="25" t="n">
        <v>51.8</v>
      </c>
      <c r="C81" s="25">
        <f>Table1346811121415161718192021[[#This Row],[Caixin PMI]]-B80</f>
        <v/>
      </c>
      <c r="D81" s="25" t="n">
        <v>52.9</v>
      </c>
      <c r="E81" s="25">
        <f>Table1346811121415161718192021[[#This Row],[Official PMI]]-D80</f>
        <v/>
      </c>
      <c r="F81" s="56" t="n"/>
    </row>
    <row r="82">
      <c r="A82" s="10" t="n">
        <v>40664</v>
      </c>
      <c r="B82" s="25" t="n">
        <v>51.6</v>
      </c>
      <c r="C82" s="25">
        <f>Table1346811121415161718192021[[#This Row],[Caixin PMI]]-B81</f>
        <v/>
      </c>
      <c r="D82" s="25" t="n">
        <v>52</v>
      </c>
      <c r="E82" s="25">
        <f>Table1346811121415161718192021[[#This Row],[Official PMI]]-D81</f>
        <v/>
      </c>
      <c r="F82" s="56" t="n"/>
    </row>
    <row r="83">
      <c r="A83" s="10" t="n">
        <v>40695</v>
      </c>
      <c r="B83" s="25" t="n">
        <v>50.1</v>
      </c>
      <c r="C83" s="25">
        <f>Table1346811121415161718192021[[#This Row],[Caixin PMI]]-B82</f>
        <v/>
      </c>
      <c r="D83" s="25" t="n">
        <v>50.9</v>
      </c>
      <c r="E83" s="25">
        <f>Table1346811121415161718192021[[#This Row],[Official PMI]]-D82</f>
        <v/>
      </c>
      <c r="F83" s="56" t="n">
        <v>0.095</v>
      </c>
    </row>
    <row r="84">
      <c r="A84" s="10" t="n">
        <v>40725</v>
      </c>
      <c r="B84" s="25" t="n">
        <v>49.3</v>
      </c>
      <c r="C84" s="25">
        <f>Table1346811121415161718192021[[#This Row],[Caixin PMI]]-B83</f>
        <v/>
      </c>
      <c r="D84" s="25" t="n">
        <v>50.7</v>
      </c>
      <c r="E84" s="25">
        <f>Table1346811121415161718192021[[#This Row],[Official PMI]]-D83</f>
        <v/>
      </c>
      <c r="F84" s="56" t="n"/>
    </row>
    <row r="85">
      <c r="A85" s="10" t="n">
        <v>40756</v>
      </c>
      <c r="B85" s="25" t="n">
        <v>49.9</v>
      </c>
      <c r="C85" s="25">
        <f>Table1346811121415161718192021[[#This Row],[Caixin PMI]]-B84</f>
        <v/>
      </c>
      <c r="D85" s="25" t="n">
        <v>50.9</v>
      </c>
      <c r="E85" s="25">
        <f>Table1346811121415161718192021[[#This Row],[Official PMI]]-D84</f>
        <v/>
      </c>
      <c r="F85" s="56" t="n"/>
    </row>
    <row r="86">
      <c r="A86" s="10" t="n">
        <v>40787</v>
      </c>
      <c r="B86" s="25" t="n">
        <v>49.9</v>
      </c>
      <c r="C86" s="25">
        <f>Table1346811121415161718192021[[#This Row],[Caixin PMI]]-B85</f>
        <v/>
      </c>
      <c r="D86" s="25" t="n">
        <v>51.2</v>
      </c>
      <c r="E86" s="25">
        <f>Table1346811121415161718192021[[#This Row],[Official PMI]]-D85</f>
        <v/>
      </c>
      <c r="F86" s="56" t="n">
        <v>0.091</v>
      </c>
    </row>
    <row r="87">
      <c r="A87" s="10" t="n">
        <v>40817</v>
      </c>
      <c r="B87" s="25" t="n">
        <v>51</v>
      </c>
      <c r="C87" s="25">
        <f>Table1346811121415161718192021[[#This Row],[Caixin PMI]]-B86</f>
        <v/>
      </c>
      <c r="D87" s="25" t="n">
        <v>50.4</v>
      </c>
      <c r="E87" s="25">
        <f>Table1346811121415161718192021[[#This Row],[Official PMI]]-D86</f>
        <v/>
      </c>
      <c r="F87" s="56" t="n"/>
    </row>
    <row r="88">
      <c r="A88" s="10" t="n">
        <v>40848</v>
      </c>
      <c r="B88" s="25" t="n">
        <v>47.7</v>
      </c>
      <c r="C88" s="25">
        <f>Table1346811121415161718192021[[#This Row],[Caixin PMI]]-B87</f>
        <v/>
      </c>
      <c r="D88" s="25" t="n">
        <v>49</v>
      </c>
      <c r="E88" s="25">
        <f>Table1346811121415161718192021[[#This Row],[Official PMI]]-D87</f>
        <v/>
      </c>
      <c r="F88" s="56" t="n"/>
    </row>
    <row r="89">
      <c r="A89" s="10" t="n">
        <v>40878</v>
      </c>
      <c r="B89" s="25" t="n">
        <v>48.7</v>
      </c>
      <c r="C89" s="25">
        <f>Table1346811121415161718192021[[#This Row],[Caixin PMI]]-B88</f>
        <v/>
      </c>
      <c r="D89" s="25" t="n">
        <v>50.3</v>
      </c>
      <c r="E89" s="25">
        <f>Table1346811121415161718192021[[#This Row],[Official PMI]]-D88</f>
        <v/>
      </c>
      <c r="F89" s="56" t="n">
        <v>0.089</v>
      </c>
    </row>
    <row r="90">
      <c r="A90" s="10" t="n">
        <v>40909</v>
      </c>
      <c r="B90" s="25" t="n">
        <v>48.8</v>
      </c>
      <c r="C90" s="25">
        <f>Table1346811121415161718192021[[#This Row],[Caixin PMI]]-B89</f>
        <v/>
      </c>
      <c r="D90" s="25" t="n">
        <v>50.5</v>
      </c>
      <c r="E90" s="25">
        <f>Table1346811121415161718192021[[#This Row],[Official PMI]]-D89</f>
        <v/>
      </c>
      <c r="F90" s="56" t="n"/>
    </row>
    <row r="91">
      <c r="A91" s="10" t="n">
        <v>40940</v>
      </c>
      <c r="B91" s="25" t="n">
        <v>49.6</v>
      </c>
      <c r="C91" s="25">
        <f>Table1346811121415161718192021[[#This Row],[Caixin PMI]]-B90</f>
        <v/>
      </c>
      <c r="D91" s="25" t="n">
        <v>51</v>
      </c>
      <c r="E91" s="25">
        <f>Table1346811121415161718192021[[#This Row],[Official PMI]]-D90</f>
        <v/>
      </c>
      <c r="F91" s="56" t="n"/>
    </row>
    <row r="92">
      <c r="A92" s="10" t="n">
        <v>40969</v>
      </c>
      <c r="B92" s="25" t="n">
        <v>48.3</v>
      </c>
      <c r="C92" s="25">
        <f>Table1346811121415161718192021[[#This Row],[Caixin PMI]]-B91</f>
        <v/>
      </c>
      <c r="D92" s="25" t="n">
        <v>53.1</v>
      </c>
      <c r="E92" s="25">
        <f>Table1346811121415161718192021[[#This Row],[Official PMI]]-D91</f>
        <v/>
      </c>
      <c r="F92" s="56" t="n">
        <v>0.081</v>
      </c>
    </row>
    <row r="93">
      <c r="A93" s="10" t="n">
        <v>41000</v>
      </c>
      <c r="B93" s="25" t="n">
        <v>49.3</v>
      </c>
      <c r="C93" s="25">
        <f>Table1346811121415161718192021[[#This Row],[Caixin PMI]]-B92</f>
        <v/>
      </c>
      <c r="D93" s="25" t="n">
        <v>53.3</v>
      </c>
      <c r="E93" s="25">
        <f>Table1346811121415161718192021[[#This Row],[Official PMI]]-D92</f>
        <v/>
      </c>
      <c r="F93" s="56" t="n"/>
    </row>
    <row r="94">
      <c r="A94" s="10" t="n">
        <v>41030</v>
      </c>
      <c r="B94" s="25" t="n">
        <v>48.4</v>
      </c>
      <c r="C94" s="25">
        <f>Table1346811121415161718192021[[#This Row],[Caixin PMI]]-B93</f>
        <v/>
      </c>
      <c r="D94" s="25" t="n">
        <v>50.4</v>
      </c>
      <c r="E94" s="25">
        <f>Table1346811121415161718192021[[#This Row],[Official PMI]]-D93</f>
        <v/>
      </c>
      <c r="F94" s="56" t="n"/>
    </row>
    <row r="95">
      <c r="A95" s="10" t="n">
        <v>41061</v>
      </c>
      <c r="B95" s="25" t="n">
        <v>48.2</v>
      </c>
      <c r="C95" s="25">
        <f>Table1346811121415161718192021[[#This Row],[Caixin PMI]]-B94</f>
        <v/>
      </c>
      <c r="D95" s="25" t="n">
        <v>50.2</v>
      </c>
      <c r="E95" s="25">
        <f>Table1346811121415161718192021[[#This Row],[Official PMI]]-D94</f>
        <v/>
      </c>
      <c r="F95" s="56" t="n">
        <v>0.076</v>
      </c>
    </row>
    <row r="96">
      <c r="A96" s="10" t="n">
        <v>41091</v>
      </c>
      <c r="B96" s="25" t="n">
        <v>49.3</v>
      </c>
      <c r="C96" s="25">
        <f>Table1346811121415161718192021[[#This Row],[Caixin PMI]]-B95</f>
        <v/>
      </c>
      <c r="D96" s="25" t="n">
        <v>50.1</v>
      </c>
      <c r="E96" s="25">
        <f>Table1346811121415161718192021[[#This Row],[Official PMI]]-D95</f>
        <v/>
      </c>
      <c r="F96" s="56" t="n"/>
    </row>
    <row r="97">
      <c r="A97" s="10" t="n">
        <v>41122</v>
      </c>
      <c r="B97" s="25" t="n">
        <v>47.7</v>
      </c>
      <c r="C97" s="25">
        <f>Table1346811121415161718192021[[#This Row],[Caixin PMI]]-B96</f>
        <v/>
      </c>
      <c r="D97" s="25" t="n">
        <v>49.2</v>
      </c>
      <c r="E97" s="25">
        <f>Table1346811121415161718192021[[#This Row],[Official PMI]]-D96</f>
        <v/>
      </c>
      <c r="F97" s="56" t="n"/>
    </row>
    <row r="98">
      <c r="A98" s="10" t="n">
        <v>41153</v>
      </c>
      <c r="B98" s="25" t="n">
        <v>47.9</v>
      </c>
      <c r="C98" s="25">
        <f>Table1346811121415161718192021[[#This Row],[Caixin PMI]]-B97</f>
        <v/>
      </c>
      <c r="D98" s="25" t="n">
        <v>49.8</v>
      </c>
      <c r="E98" s="25">
        <f>Table1346811121415161718192021[[#This Row],[Official PMI]]-D97</f>
        <v/>
      </c>
      <c r="F98" s="56" t="n">
        <v>0.074</v>
      </c>
    </row>
    <row r="99">
      <c r="A99" s="10" t="n">
        <v>41183</v>
      </c>
      <c r="B99" s="25" t="n">
        <v>49.5</v>
      </c>
      <c r="C99" s="25">
        <f>Table1346811121415161718192021[[#This Row],[Caixin PMI]]-B98</f>
        <v/>
      </c>
      <c r="D99" s="25" t="n">
        <v>50.2</v>
      </c>
      <c r="E99" s="25">
        <f>Table1346811121415161718192021[[#This Row],[Official PMI]]-D98</f>
        <v/>
      </c>
      <c r="F99" s="56" t="n"/>
    </row>
    <row r="100">
      <c r="A100" s="10" t="n">
        <v>41214</v>
      </c>
      <c r="B100" s="25" t="n">
        <v>50.5</v>
      </c>
      <c r="C100" s="25">
        <f>Table1346811121415161718192021[[#This Row],[Caixin PMI]]-B99</f>
        <v/>
      </c>
      <c r="D100" s="25" t="n">
        <v>50.6</v>
      </c>
      <c r="E100" s="25">
        <f>Table1346811121415161718192021[[#This Row],[Official PMI]]-D99</f>
        <v/>
      </c>
      <c r="F100" s="56" t="n"/>
    </row>
    <row r="101">
      <c r="A101" s="10" t="n">
        <v>41244</v>
      </c>
      <c r="B101" s="25" t="n">
        <v>51.5</v>
      </c>
      <c r="C101" s="25">
        <f>Table1346811121415161718192021[[#This Row],[Caixin PMI]]-B100</f>
        <v/>
      </c>
      <c r="D101" s="25" t="n">
        <v>50.6</v>
      </c>
      <c r="E101" s="25">
        <f>Table1346811121415161718192021[[#This Row],[Official PMI]]-D100</f>
        <v/>
      </c>
      <c r="F101" s="56" t="n">
        <v>0.079</v>
      </c>
    </row>
    <row r="102">
      <c r="A102" s="10" t="n">
        <v>41275</v>
      </c>
      <c r="B102" s="25" t="n">
        <v>52.3</v>
      </c>
      <c r="C102" s="25">
        <f>Table1346811121415161718192021[[#This Row],[Caixin PMI]]-B101</f>
        <v/>
      </c>
      <c r="D102" s="25" t="n">
        <v>50.4</v>
      </c>
      <c r="E102" s="25">
        <f>Table1346811121415161718192021[[#This Row],[Official PMI]]-D101</f>
        <v/>
      </c>
      <c r="F102" s="56" t="n"/>
    </row>
    <row r="103">
      <c r="A103" s="10" t="n">
        <v>41306</v>
      </c>
      <c r="B103" s="25" t="n">
        <v>50.4</v>
      </c>
      <c r="C103" s="25">
        <f>Table1346811121415161718192021[[#This Row],[Caixin PMI]]-B102</f>
        <v/>
      </c>
      <c r="D103" s="25" t="n">
        <v>50.1</v>
      </c>
      <c r="E103" s="25">
        <f>Table1346811121415161718192021[[#This Row],[Official PMI]]-D102</f>
        <v/>
      </c>
      <c r="F103" s="56" t="n"/>
    </row>
    <row r="104">
      <c r="A104" s="10" t="n">
        <v>41334</v>
      </c>
      <c r="B104" s="25" t="n">
        <v>51.6</v>
      </c>
      <c r="C104" s="25">
        <f>Table1346811121415161718192021[[#This Row],[Caixin PMI]]-B103</f>
        <v/>
      </c>
      <c r="D104" s="25" t="n">
        <v>50.9</v>
      </c>
      <c r="E104" s="25">
        <f>Table1346811121415161718192021[[#This Row],[Official PMI]]-D103</f>
        <v/>
      </c>
      <c r="F104" s="56" t="n">
        <v>0.078</v>
      </c>
    </row>
    <row r="105">
      <c r="A105" s="10" t="n">
        <v>41365</v>
      </c>
      <c r="B105" s="25" t="n">
        <v>50.4</v>
      </c>
      <c r="C105" s="25">
        <f>Table1346811121415161718192021[[#This Row],[Caixin PMI]]-B104</f>
        <v/>
      </c>
      <c r="D105" s="25" t="n">
        <v>50.6</v>
      </c>
      <c r="E105" s="25">
        <f>Table1346811121415161718192021[[#This Row],[Official PMI]]-D104</f>
        <v/>
      </c>
      <c r="F105" s="56" t="n"/>
    </row>
    <row r="106">
      <c r="A106" s="10" t="n">
        <v>41395</v>
      </c>
      <c r="B106" s="25" t="n">
        <v>49.2</v>
      </c>
      <c r="C106" s="25">
        <f>Table1346811121415161718192021[[#This Row],[Caixin PMI]]-B105</f>
        <v/>
      </c>
      <c r="D106" s="25" t="n">
        <v>50.8</v>
      </c>
      <c r="E106" s="25">
        <f>Table1346811121415161718192021[[#This Row],[Official PMI]]-D105</f>
        <v/>
      </c>
      <c r="F106" s="56" t="n"/>
    </row>
    <row r="107">
      <c r="A107" s="10" t="n">
        <v>41426</v>
      </c>
      <c r="B107" s="25" t="n">
        <v>48.2</v>
      </c>
      <c r="C107" s="25">
        <f>Table1346811121415161718192021[[#This Row],[Caixin PMI]]-B106</f>
        <v/>
      </c>
      <c r="D107" s="25" t="n">
        <v>50.1</v>
      </c>
      <c r="E107" s="25">
        <f>Table1346811121415161718192021[[#This Row],[Official PMI]]-D106</f>
        <v/>
      </c>
      <c r="F107" s="56" t="n">
        <v>0.075</v>
      </c>
    </row>
    <row r="108">
      <c r="A108" s="10" t="n">
        <v>41456</v>
      </c>
      <c r="B108" s="25" t="n">
        <v>47.7</v>
      </c>
      <c r="C108" s="25">
        <f>Table1346811121415161718192021[[#This Row],[Caixin PMI]]-B107</f>
        <v/>
      </c>
      <c r="D108" s="25" t="n">
        <v>50.3</v>
      </c>
      <c r="E108" s="25">
        <f>Table1346811121415161718192021[[#This Row],[Official PMI]]-D107</f>
        <v/>
      </c>
      <c r="F108" s="56" t="n"/>
    </row>
    <row r="109">
      <c r="A109" s="10" t="n">
        <v>41487</v>
      </c>
      <c r="B109" s="25" t="n">
        <v>50.1</v>
      </c>
      <c r="C109" s="25">
        <f>Table1346811121415161718192021[[#This Row],[Caixin PMI]]-B108</f>
        <v/>
      </c>
      <c r="D109" s="25" t="n">
        <v>51</v>
      </c>
      <c r="E109" s="25">
        <f>Table1346811121415161718192021[[#This Row],[Official PMI]]-D108</f>
        <v/>
      </c>
      <c r="F109" s="56" t="n"/>
    </row>
    <row r="110">
      <c r="A110" s="10" t="n">
        <v>41518</v>
      </c>
      <c r="B110" s="25" t="n">
        <v>50.2</v>
      </c>
      <c r="C110" s="25">
        <f>Table1346811121415161718192021[[#This Row],[Caixin PMI]]-B109</f>
        <v/>
      </c>
      <c r="D110" s="25" t="n">
        <v>51.1</v>
      </c>
      <c r="E110" s="25">
        <f>Table1346811121415161718192021[[#This Row],[Official PMI]]-D109</f>
        <v/>
      </c>
      <c r="F110" s="56" t="n">
        <v>0.079</v>
      </c>
    </row>
    <row r="111">
      <c r="A111" s="10" t="n">
        <v>41548</v>
      </c>
      <c r="B111" s="25" t="n">
        <v>50.9</v>
      </c>
      <c r="C111" s="25">
        <f>Table1346811121415161718192021[[#This Row],[Caixin PMI]]-B110</f>
        <v/>
      </c>
      <c r="D111" s="25" t="n">
        <v>51.4</v>
      </c>
      <c r="E111" s="25">
        <f>Table1346811121415161718192021[[#This Row],[Official PMI]]-D110</f>
        <v/>
      </c>
      <c r="F111" s="56" t="n"/>
    </row>
    <row r="112">
      <c r="A112" s="10" t="n">
        <v>41579</v>
      </c>
      <c r="B112" s="25" t="n">
        <v>50.8</v>
      </c>
      <c r="C112" s="25">
        <f>Table1346811121415161718192021[[#This Row],[Caixin PMI]]-B111</f>
        <v/>
      </c>
      <c r="D112" s="25" t="n">
        <v>51.4</v>
      </c>
      <c r="E112" s="25">
        <f>Table1346811121415161718192021[[#This Row],[Official PMI]]-D111</f>
        <v/>
      </c>
      <c r="F112" s="56" t="n"/>
    </row>
    <row r="113">
      <c r="A113" s="10" t="n">
        <v>41609</v>
      </c>
      <c r="B113" s="25" t="n">
        <v>50.5</v>
      </c>
      <c r="C113" s="25">
        <f>Table1346811121415161718192021[[#This Row],[Caixin PMI]]-B112</f>
        <v/>
      </c>
      <c r="D113" s="25" t="n">
        <v>51</v>
      </c>
      <c r="E113" s="25">
        <f>Table1346811121415161718192021[[#This Row],[Official PMI]]-D112</f>
        <v/>
      </c>
      <c r="F113" s="56" t="n">
        <v>0.076</v>
      </c>
    </row>
    <row r="114">
      <c r="A114" s="10" t="n">
        <v>41640</v>
      </c>
      <c r="B114" s="25" t="n">
        <v>49.5</v>
      </c>
      <c r="C114" s="25">
        <f>Table1346811121415161718192021[[#This Row],[Caixin PMI]]-B113</f>
        <v/>
      </c>
      <c r="D114" s="25" t="n">
        <v>50.5</v>
      </c>
      <c r="E114" s="25">
        <f>Table1346811121415161718192021[[#This Row],[Official PMI]]-D113</f>
        <v/>
      </c>
      <c r="F114" s="56" t="n"/>
    </row>
    <row r="115">
      <c r="A115" s="10" t="n">
        <v>41671</v>
      </c>
      <c r="B115" s="25" t="n">
        <v>48.5</v>
      </c>
      <c r="C115" s="25">
        <f>Table1346811121415161718192021[[#This Row],[Caixin PMI]]-B114</f>
        <v/>
      </c>
      <c r="D115" s="25" t="n">
        <v>50.2</v>
      </c>
      <c r="E115" s="25">
        <f>Table1346811121415161718192021[[#This Row],[Official PMI]]-D114</f>
        <v/>
      </c>
      <c r="F115" s="56" t="n"/>
    </row>
    <row r="116">
      <c r="A116" s="10" t="n">
        <v>41699</v>
      </c>
      <c r="B116" s="25" t="n">
        <v>48</v>
      </c>
      <c r="C116" s="25">
        <f>Table1346811121415161718192021[[#This Row],[Caixin PMI]]-B115</f>
        <v/>
      </c>
      <c r="D116" s="25" t="n">
        <v>50.3</v>
      </c>
      <c r="E116" s="25">
        <f>Table1346811121415161718192021[[#This Row],[Official PMI]]-D115</f>
        <v/>
      </c>
      <c r="F116" s="56" t="n">
        <v>0.073</v>
      </c>
    </row>
    <row r="117">
      <c r="A117" s="10" t="n">
        <v>41730</v>
      </c>
      <c r="B117" s="25" t="n">
        <v>48.1</v>
      </c>
      <c r="C117" s="25">
        <f>Table1346811121415161718192021[[#This Row],[Caixin PMI]]-B116</f>
        <v/>
      </c>
      <c r="D117" s="25" t="n">
        <v>50.4</v>
      </c>
      <c r="E117" s="25">
        <f>Table1346811121415161718192021[[#This Row],[Official PMI]]-D116</f>
        <v/>
      </c>
      <c r="F117" s="56" t="n"/>
    </row>
    <row r="118">
      <c r="A118" s="10" t="n">
        <v>41760</v>
      </c>
      <c r="B118" s="25" t="n">
        <v>49.4</v>
      </c>
      <c r="C118" s="25">
        <f>Table1346811121415161718192021[[#This Row],[Caixin PMI]]-B117</f>
        <v/>
      </c>
      <c r="D118" s="25" t="n">
        <v>50.8</v>
      </c>
      <c r="E118" s="25">
        <f>Table1346811121415161718192021[[#This Row],[Official PMI]]-D117</f>
        <v/>
      </c>
      <c r="F118" s="56" t="n"/>
    </row>
    <row r="119">
      <c r="A119" s="10" t="n">
        <v>41791</v>
      </c>
      <c r="B119" s="25" t="n">
        <v>50.7</v>
      </c>
      <c r="C119" s="25">
        <f>Table1346811121415161718192021[[#This Row],[Caixin PMI]]-B118</f>
        <v/>
      </c>
      <c r="D119" s="25" t="n">
        <v>51</v>
      </c>
      <c r="E119" s="25">
        <f>Table1346811121415161718192021[[#This Row],[Official PMI]]-D118</f>
        <v/>
      </c>
      <c r="F119" s="56" t="n">
        <v>0.074</v>
      </c>
    </row>
    <row r="120">
      <c r="A120" s="10" t="n">
        <v>41821</v>
      </c>
      <c r="B120" s="25" t="n">
        <v>51.7</v>
      </c>
      <c r="C120" s="25">
        <f>Table1346811121415161718192021[[#This Row],[Caixin PMI]]-B119</f>
        <v/>
      </c>
      <c r="D120" s="25" t="n">
        <v>51.7</v>
      </c>
      <c r="E120" s="25">
        <f>Table1346811121415161718192021[[#This Row],[Official PMI]]-D119</f>
        <v/>
      </c>
      <c r="F120" s="56" t="n"/>
    </row>
    <row r="121">
      <c r="A121" s="10" t="n">
        <v>41852</v>
      </c>
      <c r="B121" s="25" t="n">
        <v>50.2</v>
      </c>
      <c r="C121" s="25">
        <f>Table1346811121415161718192021[[#This Row],[Caixin PMI]]-B120</f>
        <v/>
      </c>
      <c r="D121" s="25" t="n">
        <v>51.1</v>
      </c>
      <c r="E121" s="25">
        <f>Table1346811121415161718192021[[#This Row],[Official PMI]]-D120</f>
        <v/>
      </c>
      <c r="F121" s="56" t="n"/>
    </row>
    <row r="122">
      <c r="A122" s="10" t="n">
        <v>41883</v>
      </c>
      <c r="B122" s="25" t="n">
        <v>51.1</v>
      </c>
      <c r="C122" s="25">
        <f>Table1346811121415161718192021[[#This Row],[Caixin PMI]]-B121</f>
        <v/>
      </c>
      <c r="D122" s="25" t="n">
        <v>51.1</v>
      </c>
      <c r="E122" s="25">
        <f>Table1346811121415161718192021[[#This Row],[Official PMI]]-D121</f>
        <v/>
      </c>
      <c r="F122" s="56" t="n">
        <v>0.07199999999999999</v>
      </c>
    </row>
    <row r="123">
      <c r="A123" s="10" t="n">
        <v>41913</v>
      </c>
      <c r="B123" s="25" t="n">
        <v>50.8</v>
      </c>
      <c r="C123" s="25">
        <f>Table1346811121415161718192021[[#This Row],[Caixin PMI]]-B122</f>
        <v/>
      </c>
      <c r="D123" s="25" t="n">
        <v>50.8</v>
      </c>
      <c r="E123" s="25">
        <f>Table1346811121415161718192021[[#This Row],[Official PMI]]-D122</f>
        <v/>
      </c>
      <c r="F123" s="56" t="n"/>
    </row>
    <row r="124">
      <c r="A124" s="10" t="n">
        <v>41944</v>
      </c>
      <c r="B124" s="25" t="n">
        <v>50.3</v>
      </c>
      <c r="C124" s="25">
        <f>Table1346811121415161718192021[[#This Row],[Caixin PMI]]-B123</f>
        <v/>
      </c>
      <c r="D124" s="25" t="n">
        <v>50.3</v>
      </c>
      <c r="E124" s="25">
        <f>Table1346811121415161718192021[[#This Row],[Official PMI]]-D123</f>
        <v/>
      </c>
      <c r="F124" s="56" t="n"/>
    </row>
    <row r="125">
      <c r="A125" s="10" t="n">
        <v>41974</v>
      </c>
      <c r="B125" s="25" t="n">
        <v>50.1</v>
      </c>
      <c r="C125" s="25">
        <f>Table1346811121415161718192021[[#This Row],[Caixin PMI]]-B124</f>
        <v/>
      </c>
      <c r="D125" s="25" t="n">
        <v>50.1</v>
      </c>
      <c r="E125" s="25">
        <f>Table1346811121415161718192021[[#This Row],[Official PMI]]-D124</f>
        <v/>
      </c>
      <c r="F125" s="56" t="n">
        <v>0.07199999999999999</v>
      </c>
    </row>
    <row r="126">
      <c r="A126" s="10" t="n">
        <v>42005</v>
      </c>
      <c r="B126" s="25" t="n">
        <v>49.8</v>
      </c>
      <c r="C126" s="25">
        <f>Table1346811121415161718192021[[#This Row],[Caixin PMI]]-B125</f>
        <v/>
      </c>
      <c r="D126" s="25" t="n">
        <v>49.8</v>
      </c>
      <c r="E126" s="25">
        <f>Table1346811121415161718192021[[#This Row],[Official PMI]]-D125</f>
        <v/>
      </c>
      <c r="F126" s="56" t="n"/>
    </row>
    <row r="127">
      <c r="A127" s="10" t="n">
        <v>42036</v>
      </c>
      <c r="B127" s="25" t="n">
        <v>49.9</v>
      </c>
      <c r="C127" s="25">
        <f>Table1346811121415161718192021[[#This Row],[Caixin PMI]]-B126</f>
        <v/>
      </c>
      <c r="D127" s="25" t="n">
        <v>49.9</v>
      </c>
      <c r="E127" s="25">
        <f>Table1346811121415161718192021[[#This Row],[Official PMI]]-D126</f>
        <v/>
      </c>
      <c r="F127" s="56" t="n"/>
    </row>
    <row r="128">
      <c r="A128" s="10" t="n">
        <v>42064</v>
      </c>
      <c r="B128" s="25" t="n">
        <v>50.1</v>
      </c>
      <c r="C128" s="25">
        <f>Table1346811121415161718192021[[#This Row],[Caixin PMI]]-B127</f>
        <v/>
      </c>
      <c r="D128" s="25" t="n">
        <v>50.1</v>
      </c>
      <c r="E128" s="25">
        <f>Table1346811121415161718192021[[#This Row],[Official PMI]]-D127</f>
        <v/>
      </c>
      <c r="F128" s="56" t="n">
        <v>0.07000000000000001</v>
      </c>
    </row>
    <row r="129">
      <c r="A129" s="10" t="n">
        <v>42095</v>
      </c>
      <c r="B129" s="25" t="n">
        <v>50.1</v>
      </c>
      <c r="C129" s="25">
        <f>Table1346811121415161718192021[[#This Row],[Caixin PMI]]-B128</f>
        <v/>
      </c>
      <c r="D129" s="25" t="n">
        <v>50.1</v>
      </c>
      <c r="E129" s="25">
        <f>Table1346811121415161718192021[[#This Row],[Official PMI]]-D128</f>
        <v/>
      </c>
      <c r="F129" s="56" t="n"/>
    </row>
    <row r="130">
      <c r="A130" s="10" t="n">
        <v>42125</v>
      </c>
      <c r="B130" s="25" t="n">
        <v>50.2</v>
      </c>
      <c r="C130" s="25">
        <f>Table1346811121415161718192021[[#This Row],[Caixin PMI]]-B129</f>
        <v/>
      </c>
      <c r="D130" s="25" t="n">
        <v>50.2</v>
      </c>
      <c r="E130" s="25">
        <f>Table1346811121415161718192021[[#This Row],[Official PMI]]-D129</f>
        <v/>
      </c>
      <c r="F130" s="56" t="n"/>
    </row>
    <row r="131">
      <c r="A131" s="10" t="n">
        <v>42156</v>
      </c>
      <c r="B131" s="25" t="n">
        <v>50.2</v>
      </c>
      <c r="C131" s="25">
        <f>Table1346811121415161718192021[[#This Row],[Caixin PMI]]-B130</f>
        <v/>
      </c>
      <c r="D131" s="25" t="n">
        <v>50.2</v>
      </c>
      <c r="E131" s="25">
        <f>Table1346811121415161718192021[[#This Row],[Official PMI]]-D130</f>
        <v/>
      </c>
      <c r="F131" s="56" t="n">
        <v>0.07000000000000001</v>
      </c>
    </row>
    <row r="132">
      <c r="A132" s="10" t="n">
        <v>42186</v>
      </c>
      <c r="B132" s="25" t="n">
        <v>50</v>
      </c>
      <c r="C132" s="25">
        <f>Table1346811121415161718192021[[#This Row],[Caixin PMI]]-B131</f>
        <v/>
      </c>
      <c r="D132" s="25" t="n">
        <v>50</v>
      </c>
      <c r="E132" s="25">
        <f>Table1346811121415161718192021[[#This Row],[Official PMI]]-D131</f>
        <v/>
      </c>
      <c r="F132" s="56" t="n"/>
    </row>
    <row r="133">
      <c r="A133" s="10" t="n">
        <v>42217</v>
      </c>
      <c r="B133" s="25" t="n">
        <v>47.3</v>
      </c>
      <c r="C133" s="25">
        <f>Table1346811121415161718192021[[#This Row],[Caixin PMI]]-B132</f>
        <v/>
      </c>
      <c r="D133" s="25" t="n">
        <v>49.7</v>
      </c>
      <c r="E133" s="25">
        <f>Table1346811121415161718192021[[#This Row],[Official PMI]]-D132</f>
        <v/>
      </c>
      <c r="F133" s="56" t="n"/>
    </row>
    <row r="134">
      <c r="A134" s="10" t="n">
        <v>42248</v>
      </c>
      <c r="B134" s="25" t="n">
        <v>47.2</v>
      </c>
      <c r="C134" s="25">
        <f>Table1346811121415161718192021[[#This Row],[Caixin PMI]]-B133</f>
        <v/>
      </c>
      <c r="D134" s="25" t="n">
        <v>49.8</v>
      </c>
      <c r="E134" s="25">
        <f>Table1346811121415161718192021[[#This Row],[Official PMI]]-D133</f>
        <v/>
      </c>
      <c r="F134" s="56" t="n">
        <v>0.06900000000000001</v>
      </c>
    </row>
    <row r="135">
      <c r="A135" s="10" t="n">
        <v>42278</v>
      </c>
      <c r="B135" s="25" t="n">
        <v>48.3</v>
      </c>
      <c r="C135" s="25">
        <f>Table1346811121415161718192021[[#This Row],[Caixin PMI]]-B134</f>
        <v/>
      </c>
      <c r="D135" s="25" t="n">
        <v>49.8</v>
      </c>
      <c r="E135" s="25">
        <f>Table1346811121415161718192021[[#This Row],[Official PMI]]-D134</f>
        <v/>
      </c>
      <c r="F135" s="56" t="n"/>
    </row>
    <row r="136">
      <c r="A136" s="10" t="n">
        <v>42309</v>
      </c>
      <c r="B136" s="25" t="n">
        <v>48.6</v>
      </c>
      <c r="C136" s="25">
        <f>Table1346811121415161718192021[[#This Row],[Caixin PMI]]-B135</f>
        <v/>
      </c>
      <c r="D136" s="25" t="n">
        <v>49.6</v>
      </c>
      <c r="E136" s="25">
        <f>Table1346811121415161718192021[[#This Row],[Official PMI]]-D135</f>
        <v/>
      </c>
      <c r="F136" s="56" t="n"/>
    </row>
    <row r="137">
      <c r="A137" s="10" t="n">
        <v>42339</v>
      </c>
      <c r="B137" s="25" t="n">
        <v>48.2</v>
      </c>
      <c r="C137" s="25">
        <f>Table1346811121415161718192021[[#This Row],[Caixin PMI]]-B136</f>
        <v/>
      </c>
      <c r="D137" s="25" t="n">
        <v>49.7</v>
      </c>
      <c r="E137" s="25">
        <f>Table1346811121415161718192021[[#This Row],[Official PMI]]-D136</f>
        <v/>
      </c>
      <c r="F137" s="56" t="n">
        <v>0.068</v>
      </c>
    </row>
    <row r="138">
      <c r="A138" s="10" t="n">
        <v>42370</v>
      </c>
      <c r="B138" s="25" t="n">
        <v>48.4</v>
      </c>
      <c r="C138" s="25">
        <f>Table1346811121415161718192021[[#This Row],[Caixin PMI]]-B137</f>
        <v/>
      </c>
      <c r="D138" s="25" t="n">
        <v>49.4</v>
      </c>
      <c r="E138" s="25">
        <f>Table1346811121415161718192021[[#This Row],[Official PMI]]-D137</f>
        <v/>
      </c>
      <c r="F138" s="56" t="n"/>
    </row>
    <row r="139">
      <c r="A139" s="10" t="n">
        <v>42401</v>
      </c>
      <c r="B139" s="25" t="n">
        <v>48</v>
      </c>
      <c r="C139" s="25">
        <f>Table1346811121415161718192021[[#This Row],[Caixin PMI]]-B138</f>
        <v/>
      </c>
      <c r="D139" s="25" t="n">
        <v>49</v>
      </c>
      <c r="E139" s="25">
        <f>Table1346811121415161718192021[[#This Row],[Official PMI]]-D138</f>
        <v/>
      </c>
      <c r="F139" s="56" t="n"/>
    </row>
    <row r="140">
      <c r="A140" s="10" t="n">
        <v>42430</v>
      </c>
      <c r="B140" s="25" t="n">
        <v>49.7</v>
      </c>
      <c r="C140" s="25">
        <f>Table1346811121415161718192021[[#This Row],[Caixin PMI]]-B139</f>
        <v/>
      </c>
      <c r="D140" s="25" t="n">
        <v>50.2</v>
      </c>
      <c r="E140" s="25">
        <f>Table1346811121415161718192021[[#This Row],[Official PMI]]-D139</f>
        <v/>
      </c>
      <c r="F140" s="56" t="n">
        <v>0.067</v>
      </c>
    </row>
    <row r="141">
      <c r="A141" s="10" t="n">
        <v>42461</v>
      </c>
      <c r="B141" s="25" t="n">
        <v>49.4</v>
      </c>
      <c r="C141" s="25">
        <f>Table1346811121415161718192021[[#This Row],[Caixin PMI]]-B140</f>
        <v/>
      </c>
      <c r="D141" s="25" t="n">
        <v>50.1</v>
      </c>
      <c r="E141" s="25">
        <f>Table1346811121415161718192021[[#This Row],[Official PMI]]-D140</f>
        <v/>
      </c>
      <c r="F141" s="56" t="n"/>
    </row>
    <row r="142">
      <c r="A142" s="10" t="n">
        <v>42491</v>
      </c>
      <c r="B142" s="25" t="n">
        <v>49.2</v>
      </c>
      <c r="C142" s="25">
        <f>Table1346811121415161718192021[[#This Row],[Caixin PMI]]-B141</f>
        <v/>
      </c>
      <c r="D142" s="25" t="n">
        <v>50.1</v>
      </c>
      <c r="E142" s="25">
        <f>Table1346811121415161718192021[[#This Row],[Official PMI]]-D141</f>
        <v/>
      </c>
      <c r="F142" s="56" t="n"/>
    </row>
    <row r="143">
      <c r="A143" s="10" t="n">
        <v>42522</v>
      </c>
      <c r="B143" s="25" t="n">
        <v>48.6</v>
      </c>
      <c r="C143" s="25">
        <f>Table1346811121415161718192021[[#This Row],[Caixin PMI]]-B142</f>
        <v/>
      </c>
      <c r="D143" s="25" t="n">
        <v>50</v>
      </c>
      <c r="E143" s="25">
        <f>Table1346811121415161718192021[[#This Row],[Official PMI]]-D142</f>
        <v/>
      </c>
      <c r="F143" s="56" t="n">
        <v>0.067</v>
      </c>
    </row>
    <row r="144">
      <c r="A144" s="10" t="n">
        <v>42552</v>
      </c>
      <c r="B144" s="25" t="n">
        <v>50.6</v>
      </c>
      <c r="C144" s="25">
        <f>Table1346811121415161718192021[[#This Row],[Caixin PMI]]-B143</f>
        <v/>
      </c>
      <c r="D144" s="25" t="n">
        <v>49.9</v>
      </c>
      <c r="E144" s="25">
        <f>Table1346811121415161718192021[[#This Row],[Official PMI]]-D143</f>
        <v/>
      </c>
      <c r="F144" s="56" t="n"/>
    </row>
    <row r="145">
      <c r="A145" s="10" t="n">
        <v>42583</v>
      </c>
      <c r="B145" s="25" t="n">
        <v>50</v>
      </c>
      <c r="C145" s="25">
        <f>Table1346811121415161718192021[[#This Row],[Caixin PMI]]-B144</f>
        <v/>
      </c>
      <c r="D145" s="25" t="n">
        <v>50.4</v>
      </c>
      <c r="E145" s="25">
        <f>Table1346811121415161718192021[[#This Row],[Official PMI]]-D144</f>
        <v/>
      </c>
      <c r="F145" s="56" t="n"/>
    </row>
    <row r="146">
      <c r="A146" s="10" t="n">
        <v>42614</v>
      </c>
      <c r="B146" s="25" t="n">
        <v>50.1</v>
      </c>
      <c r="C146" s="25">
        <f>Table1346811121415161718192021[[#This Row],[Caixin PMI]]-B145</f>
        <v/>
      </c>
      <c r="D146" s="25" t="n">
        <v>50.4</v>
      </c>
      <c r="E146" s="25">
        <f>Table1346811121415161718192021[[#This Row],[Official PMI]]-D145</f>
        <v/>
      </c>
      <c r="F146" s="56" t="n">
        <v>0.067</v>
      </c>
    </row>
    <row r="147">
      <c r="A147" s="10" t="n">
        <v>42644</v>
      </c>
      <c r="B147" s="25" t="n">
        <v>51.2</v>
      </c>
      <c r="C147" s="25">
        <f>Table1346811121415161718192021[[#This Row],[Caixin PMI]]-B146</f>
        <v/>
      </c>
      <c r="D147" s="25" t="n">
        <v>51.2</v>
      </c>
      <c r="E147" s="25">
        <f>Table1346811121415161718192021[[#This Row],[Official PMI]]-D146</f>
        <v/>
      </c>
      <c r="F147" s="56" t="n"/>
    </row>
    <row r="148">
      <c r="A148" s="10" t="n">
        <v>42675</v>
      </c>
      <c r="B148" s="25" t="n">
        <v>50.9</v>
      </c>
      <c r="C148" s="25">
        <f>Table1346811121415161718192021[[#This Row],[Caixin PMI]]-B147</f>
        <v/>
      </c>
      <c r="D148" s="25" t="n">
        <v>51.7</v>
      </c>
      <c r="E148" s="25">
        <f>Table1346811121415161718192021[[#This Row],[Official PMI]]-D147</f>
        <v/>
      </c>
      <c r="F148" s="56" t="n"/>
    </row>
    <row r="149">
      <c r="A149" s="10" t="n">
        <v>42705</v>
      </c>
      <c r="B149" s="25" t="n">
        <v>51.9</v>
      </c>
      <c r="C149" s="25">
        <f>Table1346811121415161718192021[[#This Row],[Caixin PMI]]-B148</f>
        <v/>
      </c>
      <c r="D149" s="25" t="n">
        <v>51.4</v>
      </c>
      <c r="E149" s="25">
        <f>Table1346811121415161718192021[[#This Row],[Official PMI]]-D148</f>
        <v/>
      </c>
      <c r="F149" s="56" t="n">
        <v>0.068</v>
      </c>
    </row>
    <row r="150">
      <c r="A150" s="10" t="n">
        <v>42736</v>
      </c>
      <c r="B150" s="25" t="n">
        <v>51</v>
      </c>
      <c r="C150" s="25">
        <f>Table1346811121415161718192021[[#This Row],[Caixin PMI]]-B149</f>
        <v/>
      </c>
      <c r="D150" s="25" t="n">
        <v>51.3</v>
      </c>
      <c r="E150" s="25">
        <f>Table1346811121415161718192021[[#This Row],[Official PMI]]-D149</f>
        <v/>
      </c>
      <c r="F150" s="56" t="n"/>
    </row>
    <row r="151">
      <c r="A151" s="10" t="n">
        <v>42767</v>
      </c>
      <c r="B151" s="25" t="n">
        <v>51.7</v>
      </c>
      <c r="C151" s="25">
        <f>Table1346811121415161718192021[[#This Row],[Caixin PMI]]-B150</f>
        <v/>
      </c>
      <c r="D151" s="25" t="n">
        <v>51.6</v>
      </c>
      <c r="E151" s="25">
        <f>Table1346811121415161718192021[[#This Row],[Official PMI]]-D150</f>
        <v/>
      </c>
      <c r="F151" s="56" t="n"/>
    </row>
    <row r="152">
      <c r="A152" s="10" t="n">
        <v>42795</v>
      </c>
      <c r="B152" s="25" t="n">
        <v>51.2</v>
      </c>
      <c r="C152" s="25">
        <f>Table1346811121415161718192021[[#This Row],[Caixin PMI]]-B151</f>
        <v/>
      </c>
      <c r="D152" s="25" t="n">
        <v>51.8</v>
      </c>
      <c r="E152" s="25">
        <f>Table1346811121415161718192021[[#This Row],[Official PMI]]-D151</f>
        <v/>
      </c>
      <c r="F152" s="56" t="n">
        <v>0.06900000000000001</v>
      </c>
    </row>
    <row r="153">
      <c r="A153" s="10" t="n">
        <v>42826</v>
      </c>
      <c r="B153" s="25" t="n">
        <v>50.3</v>
      </c>
      <c r="C153" s="25">
        <f>Table1346811121415161718192021[[#This Row],[Caixin PMI]]-B152</f>
        <v/>
      </c>
      <c r="D153" s="25" t="n">
        <v>51.2</v>
      </c>
      <c r="E153" s="25">
        <f>Table1346811121415161718192021[[#This Row],[Official PMI]]-D152</f>
        <v/>
      </c>
      <c r="F153" s="56" t="n"/>
    </row>
    <row r="154">
      <c r="A154" s="10" t="n">
        <v>42856</v>
      </c>
      <c r="B154" s="25" t="n">
        <v>49.6</v>
      </c>
      <c r="C154" s="25">
        <f>Table1346811121415161718192021[[#This Row],[Caixin PMI]]-B153</f>
        <v/>
      </c>
      <c r="D154" s="25" t="n">
        <v>51.2</v>
      </c>
      <c r="E154" s="25">
        <f>Table1346811121415161718192021[[#This Row],[Official PMI]]-D153</f>
        <v/>
      </c>
      <c r="F154" s="56" t="n"/>
    </row>
    <row r="155">
      <c r="A155" s="10" t="n">
        <v>42887</v>
      </c>
      <c r="B155" s="25" t="n">
        <v>50.4</v>
      </c>
      <c r="C155" s="25">
        <f>Table1346811121415161718192021[[#This Row],[Caixin PMI]]-B154</f>
        <v/>
      </c>
      <c r="D155" s="25" t="n">
        <v>51.7</v>
      </c>
      <c r="E155" s="25">
        <f>Table1346811121415161718192021[[#This Row],[Official PMI]]-D154</f>
        <v/>
      </c>
      <c r="F155" s="56" t="n">
        <v>0.06900000000000001</v>
      </c>
    </row>
    <row r="156">
      <c r="A156" s="10" t="n">
        <v>42917</v>
      </c>
      <c r="B156" s="25" t="n">
        <v>51.1</v>
      </c>
      <c r="C156" s="25">
        <f>Table1346811121415161718192021[[#This Row],[Caixin PMI]]-B155</f>
        <v/>
      </c>
      <c r="D156" s="25" t="n">
        <v>51.4</v>
      </c>
      <c r="E156" s="25">
        <f>Table1346811121415161718192021[[#This Row],[Official PMI]]-D155</f>
        <v/>
      </c>
      <c r="F156" s="56" t="n"/>
    </row>
    <row r="157">
      <c r="A157" s="10" t="n">
        <v>42948</v>
      </c>
      <c r="B157" s="25" t="n">
        <v>51.6</v>
      </c>
      <c r="C157" s="25">
        <f>Table1346811121415161718192021[[#This Row],[Caixin PMI]]-B156</f>
        <v/>
      </c>
      <c r="D157" s="25" t="n">
        <v>51.7</v>
      </c>
      <c r="E157" s="25">
        <f>Table1346811121415161718192021[[#This Row],[Official PMI]]-D156</f>
        <v/>
      </c>
      <c r="F157" s="56" t="n"/>
    </row>
    <row r="158">
      <c r="A158" s="10" t="n">
        <v>42979</v>
      </c>
      <c r="B158" s="25" t="n">
        <v>51</v>
      </c>
      <c r="C158" s="25">
        <f>Table1346811121415161718192021[[#This Row],[Caixin PMI]]-B157</f>
        <v/>
      </c>
      <c r="D158" s="25" t="n">
        <v>52.4</v>
      </c>
      <c r="E158" s="25">
        <f>Table1346811121415161718192021[[#This Row],[Official PMI]]-D157</f>
        <v/>
      </c>
      <c r="F158" s="56" t="n">
        <v>0.068</v>
      </c>
    </row>
    <row r="159">
      <c r="A159" s="10" t="n">
        <v>43009</v>
      </c>
      <c r="B159" s="25" t="n">
        <v>51</v>
      </c>
      <c r="C159" s="25">
        <f>Table1346811121415161718192021[[#This Row],[Caixin PMI]]-B158</f>
        <v/>
      </c>
      <c r="D159" s="25" t="n">
        <v>51.6</v>
      </c>
      <c r="E159" s="25">
        <f>Table1346811121415161718192021[[#This Row],[Official PMI]]-D158</f>
        <v/>
      </c>
      <c r="F159" s="56" t="n"/>
    </row>
    <row r="160">
      <c r="A160" s="10" t="n">
        <v>43040</v>
      </c>
      <c r="B160" s="25" t="n">
        <v>50.8</v>
      </c>
      <c r="C160" s="25">
        <f>Table1346811121415161718192021[[#This Row],[Caixin PMI]]-B159</f>
        <v/>
      </c>
      <c r="D160" s="25" t="n">
        <v>51.8</v>
      </c>
      <c r="E160" s="25">
        <f>Table1346811121415161718192021[[#This Row],[Official PMI]]-D159</f>
        <v/>
      </c>
      <c r="F160" s="56" t="n"/>
    </row>
    <row r="161">
      <c r="A161" s="10" t="n">
        <v>43070</v>
      </c>
      <c r="B161" s="25" t="n">
        <v>51.5</v>
      </c>
      <c r="C161" s="25">
        <f>Table1346811121415161718192021[[#This Row],[Caixin PMI]]-B160</f>
        <v/>
      </c>
      <c r="D161" s="25" t="n">
        <v>51.6</v>
      </c>
      <c r="E161" s="25">
        <f>Table1346811121415161718192021[[#This Row],[Official PMI]]-D160</f>
        <v/>
      </c>
      <c r="F161" s="56" t="n">
        <v>0.068</v>
      </c>
    </row>
    <row r="162">
      <c r="A162" s="10" t="n">
        <v>43101</v>
      </c>
      <c r="B162" s="25" t="n">
        <v>51.6</v>
      </c>
      <c r="C162" s="25">
        <f>Table1346811121415161718192021[[#This Row],[Caixin PMI]]-B161</f>
        <v/>
      </c>
      <c r="D162" s="25" t="n">
        <v>51.3</v>
      </c>
      <c r="E162" s="25">
        <f>Table1346811121415161718192021[[#This Row],[Official PMI]]-D161</f>
        <v/>
      </c>
      <c r="F162" s="56" t="n"/>
    </row>
    <row r="163">
      <c r="A163" s="10" t="n">
        <v>43132</v>
      </c>
      <c r="B163" s="25" t="n">
        <v>51.5</v>
      </c>
      <c r="C163" s="25">
        <f>Table1346811121415161718192021[[#This Row],[Caixin PMI]]-B162</f>
        <v/>
      </c>
      <c r="D163" s="25" t="n">
        <v>50.3</v>
      </c>
      <c r="E163" s="25">
        <f>Table1346811121415161718192021[[#This Row],[Official PMI]]-D162</f>
        <v/>
      </c>
      <c r="F163" s="56" t="n"/>
    </row>
    <row r="164">
      <c r="A164" s="10" t="n">
        <v>43160</v>
      </c>
      <c r="B164" s="25" t="n">
        <v>51</v>
      </c>
      <c r="C164" s="25">
        <f>Table1346811121415161718192021[[#This Row],[Caixin PMI]]-B163</f>
        <v/>
      </c>
      <c r="D164" s="25" t="n">
        <v>51.5</v>
      </c>
      <c r="E164" s="25">
        <f>Table1346811121415161718192021[[#This Row],[Official PMI]]-D163</f>
        <v/>
      </c>
      <c r="F164" s="56" t="n">
        <v>0.068</v>
      </c>
    </row>
    <row r="165">
      <c r="A165" s="10" t="n">
        <v>43191</v>
      </c>
      <c r="B165" s="25" t="n">
        <v>51.1</v>
      </c>
      <c r="C165" s="25">
        <f>Table1346811121415161718192021[[#This Row],[Caixin PMI]]-B164</f>
        <v/>
      </c>
      <c r="D165" s="25" t="n">
        <v>51.4</v>
      </c>
      <c r="E165" s="25">
        <f>Table1346811121415161718192021[[#This Row],[Official PMI]]-D164</f>
        <v/>
      </c>
      <c r="F165" s="56" t="n"/>
    </row>
    <row r="166">
      <c r="A166" s="10" t="n">
        <v>43221</v>
      </c>
      <c r="B166" s="25" t="n">
        <v>51.1</v>
      </c>
      <c r="C166" s="25">
        <f>Table1346811121415161718192021[[#This Row],[Caixin PMI]]-B165</f>
        <v/>
      </c>
      <c r="D166" s="25" t="n">
        <v>51.9</v>
      </c>
      <c r="E166" s="25">
        <f>Table1346811121415161718192021[[#This Row],[Official PMI]]-D165</f>
        <v/>
      </c>
      <c r="F166" s="56" t="n"/>
    </row>
    <row r="167">
      <c r="A167" s="10" t="n">
        <v>43252</v>
      </c>
      <c r="B167" s="25" t="n">
        <v>51</v>
      </c>
      <c r="C167" s="25">
        <f>Table1346811121415161718192021[[#This Row],[Caixin PMI]]-B166</f>
        <v/>
      </c>
      <c r="D167" s="25" t="n">
        <v>51.5</v>
      </c>
      <c r="E167" s="25">
        <f>Table1346811121415161718192021[[#This Row],[Official PMI]]-D166</f>
        <v/>
      </c>
      <c r="F167" s="56" t="n">
        <v>0.067</v>
      </c>
    </row>
    <row r="168">
      <c r="A168" s="10" t="n">
        <v>43282</v>
      </c>
      <c r="B168" s="25" t="n">
        <v>50.8</v>
      </c>
      <c r="C168" s="25">
        <f>Table1346811121415161718192021[[#This Row],[Caixin PMI]]-B167</f>
        <v/>
      </c>
      <c r="D168" s="25" t="n">
        <v>51.2</v>
      </c>
      <c r="E168" s="25">
        <f>Table1346811121415161718192021[[#This Row],[Official PMI]]-D167</f>
        <v/>
      </c>
      <c r="F168" s="56" t="n"/>
    </row>
    <row r="169">
      <c r="A169" s="10" t="n">
        <v>43313</v>
      </c>
      <c r="B169" s="25" t="n">
        <v>50.6</v>
      </c>
      <c r="C169" s="25">
        <f>Table1346811121415161718192021[[#This Row],[Caixin PMI]]-B168</f>
        <v/>
      </c>
      <c r="D169" s="25" t="n">
        <v>51.3</v>
      </c>
      <c r="E169" s="25">
        <f>Table1346811121415161718192021[[#This Row],[Official PMI]]-D168</f>
        <v/>
      </c>
      <c r="F169" s="56" t="n"/>
    </row>
    <row r="170">
      <c r="A170" s="10" t="n">
        <v>43344</v>
      </c>
      <c r="B170" s="25" t="n">
        <v>50</v>
      </c>
      <c r="C170" s="25">
        <f>Table1346811121415161718192021[[#This Row],[Caixin PMI]]-B169</f>
        <v/>
      </c>
      <c r="D170" s="25" t="n">
        <v>50.8</v>
      </c>
      <c r="E170" s="25">
        <f>Table1346811121415161718192021[[#This Row],[Official PMI]]-D169</f>
        <v/>
      </c>
      <c r="F170" s="56" t="n">
        <v>0.065</v>
      </c>
    </row>
    <row r="171">
      <c r="A171" s="10" t="n">
        <v>43374</v>
      </c>
      <c r="B171" s="25" t="n">
        <v>50.1</v>
      </c>
      <c r="C171" s="25">
        <f>Table1346811121415161718192021[[#This Row],[Caixin PMI]]-B170</f>
        <v/>
      </c>
      <c r="D171" s="25" t="n">
        <v>50.2</v>
      </c>
      <c r="E171" s="25">
        <f>Table1346811121415161718192021[[#This Row],[Official PMI]]-D170</f>
        <v/>
      </c>
      <c r="F171" s="56" t="n"/>
    </row>
    <row r="172">
      <c r="A172" s="10" t="n">
        <v>43405</v>
      </c>
      <c r="B172" s="25" t="n">
        <v>50.2</v>
      </c>
      <c r="C172" s="25">
        <f>Table1346811121415161718192021[[#This Row],[Caixin PMI]]-B171</f>
        <v/>
      </c>
      <c r="D172" s="25" t="n">
        <v>50</v>
      </c>
      <c r="E172" s="25">
        <f>Table1346811121415161718192021[[#This Row],[Official PMI]]-D171</f>
        <v/>
      </c>
      <c r="F172" s="56" t="n"/>
    </row>
    <row r="173">
      <c r="A173" s="10" t="n">
        <v>43435</v>
      </c>
      <c r="B173" s="25" t="n">
        <v>49.7</v>
      </c>
      <c r="C173" s="25">
        <f>Table1346811121415161718192021[[#This Row],[Caixin PMI]]-B172</f>
        <v/>
      </c>
      <c r="D173" s="25" t="n">
        <v>49.4</v>
      </c>
      <c r="E173" s="25">
        <f>Table1346811121415161718192021[[#This Row],[Official PMI]]-D172</f>
        <v/>
      </c>
      <c r="F173" s="56" t="n">
        <v>0.064</v>
      </c>
    </row>
    <row r="174">
      <c r="A174" s="10" t="n">
        <v>43466</v>
      </c>
      <c r="B174" s="25" t="n">
        <v>48.3</v>
      </c>
      <c r="C174" s="25">
        <f>Table1346811121415161718192021[[#This Row],[Caixin PMI]]-B173</f>
        <v/>
      </c>
      <c r="D174" s="25" t="n">
        <v>49.5</v>
      </c>
      <c r="E174" s="25">
        <f>Table1346811121415161718192021[[#This Row],[Official PMI]]-D173</f>
        <v/>
      </c>
      <c r="F174" s="56" t="n"/>
    </row>
    <row r="175">
      <c r="A175" s="10" t="n">
        <v>43497</v>
      </c>
      <c r="B175" s="25" t="n">
        <v>49.9</v>
      </c>
      <c r="C175" s="25">
        <f>Table1346811121415161718192021[[#This Row],[Caixin PMI]]-B174</f>
        <v/>
      </c>
      <c r="D175" s="25" t="n">
        <v>49.2</v>
      </c>
      <c r="E175" s="25">
        <f>Table1346811121415161718192021[[#This Row],[Official PMI]]-D174</f>
        <v/>
      </c>
      <c r="F175" s="56" t="n"/>
    </row>
    <row r="176">
      <c r="A176" s="10" t="n">
        <v>43525</v>
      </c>
      <c r="B176" s="25" t="n">
        <v>50.8</v>
      </c>
      <c r="C176" s="25">
        <f>Table1346811121415161718192021[[#This Row],[Caixin PMI]]-B175</f>
        <v/>
      </c>
      <c r="D176" s="25" t="n">
        <v>50.5</v>
      </c>
      <c r="E176" s="25">
        <f>Table1346811121415161718192021[[#This Row],[Official PMI]]-D175</f>
        <v/>
      </c>
      <c r="F176" s="56" t="n">
        <v>0.064</v>
      </c>
    </row>
    <row r="177">
      <c r="A177" s="10" t="n">
        <v>43556</v>
      </c>
      <c r="B177" s="25" t="n">
        <v>50.2</v>
      </c>
      <c r="C177" s="25">
        <f>Table1346811121415161718192021[[#This Row],[Caixin PMI]]-B176</f>
        <v/>
      </c>
      <c r="D177" s="25" t="n">
        <v>50.1</v>
      </c>
      <c r="E177" s="25">
        <f>Table1346811121415161718192021[[#This Row],[Official PMI]]-D176</f>
        <v/>
      </c>
      <c r="F177" s="26" t="n"/>
    </row>
    <row r="178">
      <c r="A178" s="10" t="n">
        <v>43586</v>
      </c>
      <c r="B178" s="25" t="n">
        <v>50.2</v>
      </c>
      <c r="C178" s="25">
        <f>Table1346811121415161718192021[[#This Row],[Caixin PMI]]-B177</f>
        <v/>
      </c>
      <c r="D178" s="25" t="n">
        <v>49.4</v>
      </c>
      <c r="E178" s="25">
        <f>Table1346811121415161718192021[[#This Row],[Official PMI]]-D177</f>
        <v/>
      </c>
      <c r="F178" s="26" t="n"/>
    </row>
    <row r="179">
      <c r="A179" s="10" t="n">
        <v>43617</v>
      </c>
      <c r="B179" s="25" t="n">
        <v>49.4</v>
      </c>
      <c r="C179" s="25">
        <f>Table1346811121415161718192021[[#This Row],[Caixin PMI]]-B178</f>
        <v/>
      </c>
      <c r="D179" s="25" t="n">
        <v>49.4</v>
      </c>
      <c r="E179" s="25">
        <f>Table1346811121415161718192021[[#This Row],[Official PMI]]-D178</f>
        <v/>
      </c>
      <c r="F179" s="68" t="n">
        <v>0.064</v>
      </c>
    </row>
    <row r="180">
      <c r="A180" s="10" t="n">
        <v>43647</v>
      </c>
      <c r="B180" s="25" t="n">
        <v>49.9</v>
      </c>
      <c r="C180" s="25">
        <f>Table1346811121415161718192021[[#This Row],[Caixin PMI]]-B179</f>
        <v/>
      </c>
      <c r="D180" s="25" t="n">
        <v>49.7</v>
      </c>
      <c r="E180" s="25">
        <f>Table1346811121415161718192021[[#This Row],[Official PMI]]-D179</f>
        <v/>
      </c>
      <c r="F180" s="26" t="n"/>
    </row>
    <row r="181">
      <c r="A181" s="10" t="n">
        <v>43678</v>
      </c>
      <c r="B181" s="25" t="n">
        <v>50.4</v>
      </c>
      <c r="C181" s="25">
        <f>Table1346811121415161718192021[[#This Row],[Caixin PMI]]-B180</f>
        <v/>
      </c>
      <c r="D181" s="25" t="n">
        <v>49.5</v>
      </c>
      <c r="E181" s="25">
        <f>Table1346811121415161718192021[[#This Row],[Official PMI]]-D180</f>
        <v/>
      </c>
      <c r="F181" s="26" t="n"/>
    </row>
    <row r="182">
      <c r="A182" s="10" t="n">
        <v>43709</v>
      </c>
      <c r="B182" s="25" t="n">
        <v>51.4</v>
      </c>
      <c r="C182" s="25">
        <f>Table1346811121415161718192021[[#This Row],[Caixin PMI]]-B181</f>
        <v/>
      </c>
      <c r="D182" s="25" t="n">
        <v>49.8</v>
      </c>
      <c r="E182" s="25">
        <f>Table1346811121415161718192021[[#This Row],[Official PMI]]-D181</f>
        <v/>
      </c>
      <c r="F182" s="26" t="n"/>
    </row>
    <row r="183">
      <c r="A183" s="10" t="n">
        <v>43739</v>
      </c>
      <c r="B183" s="25" t="n">
        <v>51.7</v>
      </c>
      <c r="C183" s="25">
        <f>Table1346811121415161718192021[[#This Row],[Caixin PMI]]-B182</f>
        <v/>
      </c>
      <c r="D183" s="25" t="n">
        <v>49.3</v>
      </c>
      <c r="E183" s="25">
        <f>Table1346811121415161718192021[[#This Row],[Official PMI]]-D182</f>
        <v/>
      </c>
      <c r="F183" s="26" t="n"/>
    </row>
    <row r="184">
      <c r="A184" s="10" t="n">
        <v>43770</v>
      </c>
      <c r="B184" s="25" t="n">
        <v>51.8</v>
      </c>
      <c r="C184" s="25">
        <f>Table1346811121415161718192021[[#This Row],[Caixin PMI]]-B183</f>
        <v/>
      </c>
      <c r="D184" s="25" t="n">
        <v>50.2</v>
      </c>
      <c r="E184" s="25">
        <f>Table1346811121415161718192021[[#This Row],[Official PMI]]-D183</f>
        <v/>
      </c>
      <c r="F184" s="26" t="n"/>
    </row>
    <row r="185">
      <c r="A185" s="10" t="n">
        <v>43800</v>
      </c>
      <c r="B185" s="25" t="n">
        <v>51.5</v>
      </c>
      <c r="C185" s="25">
        <f>Table1346811121415161718192021[[#This Row],[Caixin PMI]]-B184</f>
        <v/>
      </c>
      <c r="D185" s="25" t="n">
        <v>50.2</v>
      </c>
      <c r="E185" s="25">
        <f>Table1346811121415161718192021[[#This Row],[Official PMI]]-D184</f>
        <v/>
      </c>
      <c r="F185" s="26" t="n"/>
    </row>
    <row r="186">
      <c r="A186" s="10" t="n">
        <v>43831</v>
      </c>
      <c r="B186" s="25" t="n">
        <v>51.1</v>
      </c>
      <c r="C186" s="25">
        <f>Table1346811121415161718192021[[#This Row],[Caixin PMI]]-B185</f>
        <v/>
      </c>
      <c r="D186" s="25" t="n">
        <v>50</v>
      </c>
      <c r="E186" s="25">
        <f>Table1346811121415161718192021[[#This Row],[Official PMI]]-D185</f>
        <v/>
      </c>
      <c r="F186" s="26" t="n"/>
    </row>
    <row r="187">
      <c r="A187" s="10" t="n">
        <v>43862</v>
      </c>
      <c r="B187" s="25" t="n">
        <v>40.3</v>
      </c>
      <c r="C187" s="25">
        <f>Table1346811121415161718192021[[#This Row],[Caixin PMI]]-B186</f>
        <v/>
      </c>
      <c r="D187" s="25" t="n">
        <v>35.7</v>
      </c>
      <c r="E187" s="25">
        <f>Table1346811121415161718192021[[#This Row],[Official PMI]]-D186</f>
        <v/>
      </c>
      <c r="F187" s="26" t="n"/>
    </row>
    <row r="188">
      <c r="A188" s="10" t="n">
        <v>43891</v>
      </c>
      <c r="B188" s="25" t="n">
        <v>50.1</v>
      </c>
      <c r="C188" s="25">
        <f>Table1346811121415161718192021[[#This Row],[Caixin PMI]]-B187</f>
        <v/>
      </c>
      <c r="D188" s="25" t="n">
        <v>52</v>
      </c>
      <c r="E188" s="25">
        <f>Table1346811121415161718192021[[#This Row],[Official PMI]]-D187</f>
        <v/>
      </c>
      <c r="F188" s="26" t="n"/>
    </row>
    <row r="189">
      <c r="A189" s="10" t="n">
        <v>43922</v>
      </c>
      <c r="B189" s="25" t="n">
        <v>49.4</v>
      </c>
      <c r="C189" s="25">
        <f>Table1346811121415161718192021[[#This Row],[Caixin PMI]]-B188</f>
        <v/>
      </c>
      <c r="D189" s="25" t="n">
        <v>50.8</v>
      </c>
      <c r="E189" s="25">
        <f>Table1346811121415161718192021[[#This Row],[Official PMI]]-D188</f>
        <v/>
      </c>
      <c r="F189" s="26" t="n"/>
    </row>
    <row r="190">
      <c r="A190" s="10" t="n">
        <v>43952</v>
      </c>
      <c r="B190" s="25" t="n">
        <v>50.7</v>
      </c>
      <c r="C190" s="25">
        <f>Table1346811121415161718192021[[#This Row],[Caixin PMI]]-B189</f>
        <v/>
      </c>
      <c r="D190" s="25" t="n">
        <v>50.6</v>
      </c>
      <c r="E190" s="25">
        <f>Table1346811121415161718192021[[#This Row],[Official PMI]]-D189</f>
        <v/>
      </c>
      <c r="F190" s="26" t="n"/>
    </row>
    <row r="191">
      <c r="A191" s="10" t="n">
        <v>43983</v>
      </c>
      <c r="B191" s="25" t="n">
        <v>51.2</v>
      </c>
      <c r="C191" s="25">
        <f>Table1346811121415161718192021[[#This Row],[Caixin PMI]]-B190</f>
        <v/>
      </c>
      <c r="D191" s="25" t="n">
        <v>50.9</v>
      </c>
      <c r="E191" s="25">
        <f>Table1346811121415161718192021[[#This Row],[Official PMI]]-D190</f>
        <v/>
      </c>
      <c r="F191" s="26" t="n"/>
    </row>
    <row r="192">
      <c r="A192" s="10" t="n">
        <v>44013</v>
      </c>
      <c r="B192" s="25" t="n">
        <v>52.8</v>
      </c>
      <c r="C192" s="25">
        <f>Table1346811121415161718192021[[#This Row],[Caixin PMI]]-B191</f>
        <v/>
      </c>
      <c r="D192" s="25" t="n">
        <v>51.1</v>
      </c>
      <c r="E192" s="25">
        <f>Table1346811121415161718192021[[#This Row],[Official PMI]]-D191</f>
        <v/>
      </c>
      <c r="F192" s="26" t="n"/>
    </row>
    <row r="193">
      <c r="A193" s="10" t="n">
        <v>44044</v>
      </c>
      <c r="B193" s="25" t="n">
        <v>53.1</v>
      </c>
      <c r="C193" s="25">
        <f>Table1346811121415161718192021[[#This Row],[Caixin PMI]]-B192</f>
        <v/>
      </c>
      <c r="D193" s="25" t="n">
        <v>51</v>
      </c>
      <c r="E193" s="25">
        <f>Table1346811121415161718192021[[#This Row],[Official PMI]]-D192</f>
        <v/>
      </c>
      <c r="F193" s="26" t="n"/>
    </row>
    <row r="194">
      <c r="A194" s="10" t="n">
        <v>44075</v>
      </c>
      <c r="B194" s="25" t="n">
        <v>53</v>
      </c>
      <c r="C194" s="25">
        <f>Table1346811121415161718192021[[#This Row],[Caixin PMI]]-B193</f>
        <v/>
      </c>
      <c r="D194" s="25" t="n">
        <v>51.5</v>
      </c>
      <c r="E194" s="25">
        <f>Table1346811121415161718192021[[#This Row],[Official PMI]]-D193</f>
        <v/>
      </c>
      <c r="F194" s="26" t="n"/>
    </row>
    <row r="195">
      <c r="A195" s="10" t="n">
        <v>44105</v>
      </c>
      <c r="B195" s="25" t="n">
        <v>53.6</v>
      </c>
      <c r="C195" s="25">
        <f>Table1346811121415161718192021[[#This Row],[Caixin PMI]]-B194</f>
        <v/>
      </c>
      <c r="D195" s="25" t="n">
        <v>51.4</v>
      </c>
      <c r="E195" s="25">
        <f>Table1346811121415161718192021[[#This Row],[Official PMI]]-D194</f>
        <v/>
      </c>
      <c r="F195" s="26" t="n"/>
    </row>
    <row r="196">
      <c r="A196" s="10" t="n">
        <v>44136</v>
      </c>
      <c r="B196" s="25" t="n">
        <v>54.9</v>
      </c>
      <c r="C196" s="25">
        <f>Table1346811121415161718192021[[#This Row],[Caixin PMI]]-B195</f>
        <v/>
      </c>
      <c r="D196" s="25" t="n">
        <v>52.1</v>
      </c>
      <c r="E196" s="25">
        <f>Table1346811121415161718192021[[#This Row],[Official PMI]]-D195</f>
        <v/>
      </c>
      <c r="F196" s="26" t="n"/>
    </row>
    <row r="197">
      <c r="A197" s="10" t="n">
        <v>44166</v>
      </c>
      <c r="B197" s="25" t="n">
        <v>53</v>
      </c>
      <c r="C197" s="25">
        <f>Table1346811121415161718192021[[#This Row],[Caixin PMI]]-B196</f>
        <v/>
      </c>
      <c r="D197" s="25" t="n">
        <v>51.9</v>
      </c>
      <c r="E197" s="25">
        <f>Table1346811121415161718192021[[#This Row],[Official PMI]]-D196</f>
        <v/>
      </c>
      <c r="F197" s="26" t="n"/>
    </row>
    <row r="198">
      <c r="A198" s="10" t="n">
        <v>44197</v>
      </c>
      <c r="B198" s="25" t="n">
        <v>51.5</v>
      </c>
      <c r="C198" s="25">
        <f>Table1346811121415161718192021[[#This Row],[Caixin PMI]]-B197</f>
        <v/>
      </c>
      <c r="D198" s="25" t="n">
        <v>51.3</v>
      </c>
      <c r="E198" s="25">
        <f>Table1346811121415161718192021[[#This Row],[Official PMI]]-D197</f>
        <v/>
      </c>
      <c r="F198" s="26" t="n"/>
    </row>
    <row r="199">
      <c r="A199" s="10" t="n">
        <v>44228</v>
      </c>
      <c r="B199" s="25" t="n">
        <v>50.9</v>
      </c>
      <c r="C199" s="25">
        <f>Table1346811121415161718192021[[#This Row],[Caixin PMI]]-B198</f>
        <v/>
      </c>
      <c r="D199" s="25" t="n">
        <v>50.6</v>
      </c>
      <c r="E199" s="25">
        <f>Table1346811121415161718192021[[#This Row],[Official PMI]]-D198</f>
        <v/>
      </c>
      <c r="F199" s="26" t="n"/>
    </row>
    <row r="200">
      <c r="A200" s="10" t="n">
        <v>44256</v>
      </c>
      <c r="B200" s="25" t="n">
        <v>50.6</v>
      </c>
      <c r="C200" s="25">
        <f>Table1346811121415161718192021[[#This Row],[Caixin PMI]]-B199</f>
        <v/>
      </c>
      <c r="D200" s="25" t="n">
        <v>51.9</v>
      </c>
      <c r="E200" s="25">
        <f>Table1346811121415161718192021[[#This Row],[Official PMI]]-D199</f>
        <v/>
      </c>
      <c r="F200" s="26" t="n"/>
    </row>
    <row r="201">
      <c r="A201" s="10" t="n">
        <v>44287</v>
      </c>
      <c r="B201" s="25" t="n">
        <v>51.9</v>
      </c>
      <c r="C201" s="25">
        <f>Table1346811121415161718192021[[#This Row],[Caixin PMI]]-B200</f>
        <v/>
      </c>
      <c r="D201" s="25" t="n">
        <v>51.1</v>
      </c>
      <c r="E201" s="25">
        <f>Table1346811121415161718192021[[#This Row],[Official PMI]]-D200</f>
        <v/>
      </c>
      <c r="F201" s="26" t="n"/>
    </row>
    <row r="202">
      <c r="A202" s="10" t="n">
        <v>44317</v>
      </c>
      <c r="B202" s="25" t="n">
        <v>52</v>
      </c>
      <c r="C202" s="25">
        <f>Table1346811121415161718192021[[#This Row],[Caixin PMI]]-B201</f>
        <v/>
      </c>
      <c r="D202" s="25" t="n">
        <v>51</v>
      </c>
      <c r="E202" s="25">
        <f>Table1346811121415161718192021[[#This Row],[Official PMI]]-D201</f>
        <v/>
      </c>
      <c r="F202" s="26" t="n"/>
    </row>
    <row r="203">
      <c r="A203" s="10" t="n">
        <v>44348</v>
      </c>
      <c r="B203" s="25" t="n">
        <v>51.3</v>
      </c>
      <c r="C203" s="25">
        <f>Table1346811121415161718192021[[#This Row],[Caixin PMI]]-B202</f>
        <v/>
      </c>
      <c r="D203" s="25" t="n">
        <v>50.9</v>
      </c>
      <c r="E203" s="25">
        <f>Table1346811121415161718192021[[#This Row],[Official PMI]]-D202</f>
        <v/>
      </c>
      <c r="F203" s="26" t="n"/>
    </row>
    <row r="204">
      <c r="A204" s="10" t="n">
        <v>44378</v>
      </c>
      <c r="B204" s="25" t="n">
        <v>50.3</v>
      </c>
      <c r="C204" s="25">
        <f>Table1346811121415161718192021[[#This Row],[Caixin PMI]]-B203</f>
        <v/>
      </c>
      <c r="D204" s="25" t="n">
        <v>50.4</v>
      </c>
      <c r="E204" s="25">
        <f>Table1346811121415161718192021[[#This Row],[Official PMI]]-D203</f>
        <v/>
      </c>
      <c r="F204" s="26" t="n"/>
    </row>
    <row r="205">
      <c r="A205" s="10" t="n">
        <v>44409</v>
      </c>
      <c r="B205" s="25" t="n">
        <v>49.2</v>
      </c>
      <c r="C205" s="25">
        <f>Table1346811121415161718192021[[#This Row],[Caixin PMI]]-B204</f>
        <v/>
      </c>
      <c r="D205" s="25" t="n">
        <v>50.1</v>
      </c>
      <c r="E205" s="25">
        <f>Table1346811121415161718192021[[#This Row],[Official PMI]]-D204</f>
        <v/>
      </c>
      <c r="F205" s="26" t="n"/>
    </row>
    <row r="206">
      <c r="A206" s="10" t="n">
        <v>44440</v>
      </c>
      <c r="B206" s="25" t="n">
        <v>50</v>
      </c>
      <c r="C206" s="25">
        <f>Table1346811121415161718192021[[#This Row],[Caixin PMI]]-B205</f>
        <v/>
      </c>
      <c r="D206" s="25" t="n">
        <v>49.6</v>
      </c>
      <c r="E206" s="25">
        <f>Table1346811121415161718192021[[#This Row],[Official PMI]]-D205</f>
        <v/>
      </c>
      <c r="F206" s="26" t="n"/>
    </row>
    <row r="207">
      <c r="A207" s="10" t="n">
        <v>44470</v>
      </c>
      <c r="B207" s="25" t="n">
        <v>50.6</v>
      </c>
      <c r="C207" s="25">
        <f>Table1346811121415161718192021[[#This Row],[Caixin PMI]]-B206</f>
        <v/>
      </c>
      <c r="D207" s="25" t="n">
        <v>49.2</v>
      </c>
      <c r="E207" s="25">
        <f>Table1346811121415161718192021[[#This Row],[Official PMI]]-D206</f>
        <v/>
      </c>
      <c r="F207" s="26" t="n"/>
    </row>
    <row r="208">
      <c r="A208" s="10" t="n">
        <v>44501</v>
      </c>
      <c r="B208" s="25" t="n">
        <v>49.9</v>
      </c>
      <c r="C208" s="25">
        <f>Table1346811121415161718192021[[#This Row],[Caixin PMI]]-B207</f>
        <v/>
      </c>
      <c r="D208" s="25" t="n">
        <v>50.1</v>
      </c>
      <c r="E208" s="25">
        <f>Table1346811121415161718192021[[#This Row],[Official PMI]]-D207</f>
        <v/>
      </c>
      <c r="F208" s="26" t="n"/>
    </row>
    <row r="209">
      <c r="A209" s="10" t="n">
        <v>44531</v>
      </c>
      <c r="B209" s="25" t="n">
        <v>50.9</v>
      </c>
      <c r="C209" s="25">
        <f>Table1346811121415161718192021[[#This Row],[Caixin PMI]]-B208</f>
        <v/>
      </c>
      <c r="D209" s="25" t="n">
        <v>50.3</v>
      </c>
      <c r="E209" s="25">
        <f>Table1346811121415161718192021[[#This Row],[Official PMI]]-D208</f>
        <v/>
      </c>
      <c r="F209" s="26" t="n"/>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0"/>
  <sheetViews>
    <sheetView zoomScale="150" zoomScaleNormal="150" workbookViewId="0">
      <pane ySplit="5" topLeftCell="A172" activePane="bottomLeft" state="frozen"/>
      <selection activeCell="P121" sqref="P121"/>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Euro Area</t>
        </is>
      </c>
      <c r="K1" s="84" t="inlineStr">
        <is>
          <t xml:space="preserve"> Manufacturing PMI</t>
        </is>
      </c>
    </row>
    <row r="2">
      <c r="A2" s="84" t="inlineStr">
        <is>
          <t>euro-area</t>
        </is>
      </c>
      <c r="K2" s="84">
        <f>A1&amp;K1</f>
        <v/>
      </c>
    </row>
    <row r="4" ht="16" customHeight="1" s="76" thickBot="1"/>
    <row r="5" ht="49" customHeight="1" s="76" thickBot="1">
      <c r="A5" s="57" t="inlineStr">
        <is>
          <t>Date</t>
        </is>
      </c>
      <c r="B5" s="58" t="inlineStr">
        <is>
          <t>Euro Area PMI</t>
        </is>
      </c>
      <c r="C5" s="58" t="inlineStr">
        <is>
          <t>mom</t>
        </is>
      </c>
      <c r="D5" s="59" t="inlineStr">
        <is>
          <t>EZU</t>
        </is>
      </c>
      <c r="E5" s="59" t="inlineStr">
        <is>
          <t>PMI yoy</t>
        </is>
      </c>
      <c r="F5" s="59" t="inlineStr">
        <is>
          <t>EZU yoy</t>
        </is>
      </c>
      <c r="G5" s="59" t="inlineStr">
        <is>
          <t>Euro Area GDP qoq %</t>
        </is>
      </c>
    </row>
    <row r="6">
      <c r="A6" s="18" t="n">
        <v>38322</v>
      </c>
      <c r="B6" s="19" t="n">
        <v>51.4</v>
      </c>
      <c r="C6" s="19" t="n"/>
      <c r="D6" s="11" t="n">
        <v>22.170933</v>
      </c>
      <c r="E6" s="25" t="n"/>
      <c r="F6" s="25" t="n"/>
      <c r="G6" s="56" t="n">
        <v>0.01626596710390382</v>
      </c>
    </row>
    <row r="7">
      <c r="A7" s="10" t="n">
        <v>38353</v>
      </c>
      <c r="B7" s="25" t="n">
        <v>51.9</v>
      </c>
      <c r="C7" s="25">
        <f>Table13468111214[[#This Row],[Euro Area PMI]]-B6</f>
        <v/>
      </c>
      <c r="D7" s="11" t="n">
        <v>22.077955</v>
      </c>
      <c r="E7" s="25" t="n"/>
      <c r="F7" s="25" t="n"/>
      <c r="G7" s="56" t="n"/>
    </row>
    <row r="8">
      <c r="A8" s="10" t="n">
        <v>38384</v>
      </c>
      <c r="B8" s="25" t="n">
        <v>51.9</v>
      </c>
      <c r="C8" s="25">
        <f>Table13468111214[[#This Row],[Euro Area PMI]]-B7</f>
        <v/>
      </c>
      <c r="D8" s="11" t="n">
        <v>23.038807</v>
      </c>
      <c r="E8" s="25" t="n"/>
      <c r="F8" s="25" t="n"/>
      <c r="G8" s="56" t="n"/>
    </row>
    <row r="9">
      <c r="A9" s="10" t="n">
        <v>38412</v>
      </c>
      <c r="B9" s="25" t="n">
        <v>50.4</v>
      </c>
      <c r="C9" s="25">
        <f>Table13468111214[[#This Row],[Euro Area PMI]]-B8</f>
        <v/>
      </c>
      <c r="D9" s="11" t="n">
        <v>22.482193</v>
      </c>
      <c r="E9" s="25" t="n"/>
      <c r="F9" s="25" t="n"/>
      <c r="G9" s="56" t="n">
        <v>0.005980003578353488</v>
      </c>
    </row>
    <row r="10">
      <c r="A10" s="10" t="n">
        <v>38443</v>
      </c>
      <c r="B10" s="25" t="n">
        <v>49.2</v>
      </c>
      <c r="C10" s="25">
        <f>Table13468111214[[#This Row],[Euro Area PMI]]-B9</f>
        <v/>
      </c>
      <c r="D10" s="11" t="n">
        <v>21.704803</v>
      </c>
      <c r="E10" s="25" t="n"/>
      <c r="F10" s="25" t="n"/>
      <c r="G10" s="56" t="n"/>
    </row>
    <row r="11">
      <c r="A11" s="10" t="n">
        <v>38473</v>
      </c>
      <c r="B11" s="25" t="n">
        <v>48.7</v>
      </c>
      <c r="C11" s="25">
        <f>Table13468111214[[#This Row],[Euro Area PMI]]-B10</f>
        <v/>
      </c>
      <c r="D11" s="11" t="n">
        <v>21.801195</v>
      </c>
      <c r="E11" s="25" t="n"/>
      <c r="F11" s="25" t="n"/>
      <c r="G11" s="56" t="n"/>
    </row>
    <row r="12">
      <c r="A12" s="10" t="n">
        <v>38504</v>
      </c>
      <c r="B12" s="25" t="n">
        <v>49.9</v>
      </c>
      <c r="C12" s="25">
        <f>Table13468111214[[#This Row],[Euro Area PMI]]-B11</f>
        <v/>
      </c>
      <c r="D12" s="11" t="n">
        <v>22.121487</v>
      </c>
      <c r="E12" s="25" t="n"/>
      <c r="F12" s="25" t="n"/>
      <c r="G12" s="56" t="n">
        <v>0.02817202535097429</v>
      </c>
    </row>
    <row r="13">
      <c r="A13" s="10" t="n">
        <v>38534</v>
      </c>
      <c r="B13" s="25" t="n">
        <v>50.8</v>
      </c>
      <c r="C13" s="25">
        <f>Table13468111214[[#This Row],[Euro Area PMI]]-B12</f>
        <v/>
      </c>
      <c r="D13" s="11" t="n">
        <v>23.128986</v>
      </c>
      <c r="E13" s="25" t="n"/>
      <c r="F13" s="25" t="n"/>
      <c r="G13" s="56" t="n"/>
    </row>
    <row r="14">
      <c r="A14" s="10" t="n">
        <v>38565</v>
      </c>
      <c r="B14" s="25" t="n">
        <v>50.4</v>
      </c>
      <c r="C14" s="25">
        <f>Table13468111214[[#This Row],[Euro Area PMI]]-B13</f>
        <v/>
      </c>
      <c r="D14" s="11" t="n">
        <v>23.508352</v>
      </c>
      <c r="E14" s="25" t="n"/>
      <c r="F14" s="25" t="n"/>
      <c r="G14" s="56" t="n"/>
    </row>
    <row r="15">
      <c r="A15" s="10" t="n">
        <v>38596</v>
      </c>
      <c r="B15" s="25" t="n">
        <v>51.7</v>
      </c>
      <c r="C15" s="25">
        <f>Table13468111214[[#This Row],[Euro Area PMI]]-B14</f>
        <v/>
      </c>
      <c r="D15" s="11" t="n">
        <v>23.918814</v>
      </c>
      <c r="E15" s="25" t="n"/>
      <c r="F15" s="25" t="n"/>
      <c r="G15" s="56" t="n">
        <v>0.02911846187636358</v>
      </c>
    </row>
    <row r="16">
      <c r="A16" s="10" t="n">
        <v>38626</v>
      </c>
      <c r="B16" s="25" t="n">
        <v>52.7</v>
      </c>
      <c r="C16" s="25">
        <f>Table13468111214[[#This Row],[Euro Area PMI]]-B15</f>
        <v/>
      </c>
      <c r="D16" s="11" t="n">
        <v>23.01704</v>
      </c>
      <c r="E16" s="25" t="n"/>
      <c r="F16" s="25" t="n"/>
      <c r="G16" s="56" t="n"/>
    </row>
    <row r="17">
      <c r="A17" s="10" t="n">
        <v>38657</v>
      </c>
      <c r="B17" s="25" t="n">
        <v>52.8</v>
      </c>
      <c r="C17" s="25">
        <f>Table13468111214[[#This Row],[Euro Area PMI]]-B16</f>
        <v/>
      </c>
      <c r="D17" s="11" t="n">
        <v>23.439947</v>
      </c>
      <c r="E17" s="25" t="n"/>
      <c r="F17" s="25" t="n"/>
      <c r="G17" s="56" t="n"/>
    </row>
    <row r="18">
      <c r="A18" s="10" t="n">
        <v>38687</v>
      </c>
      <c r="B18" s="25" t="n">
        <v>53.6</v>
      </c>
      <c r="C18" s="25">
        <f>Table13468111214[[#This Row],[Euro Area PMI]]-B17</f>
        <v/>
      </c>
      <c r="D18" s="11" t="n">
        <v>24.145813</v>
      </c>
      <c r="E18" s="25">
        <f>Table13468111214[[#This Row],[Euro Area PMI]]-B6</f>
        <v/>
      </c>
      <c r="F18" s="56">
        <f>(Table13468111214[[#This Row],[EZU]]-D6)/D6</f>
        <v/>
      </c>
      <c r="G18" s="56" t="n">
        <v>0.025258257420125</v>
      </c>
    </row>
    <row r="19">
      <c r="A19" s="10" t="n">
        <v>38718</v>
      </c>
      <c r="B19" s="25" t="n">
        <v>53.5</v>
      </c>
      <c r="C19" s="25">
        <f>Table13468111214[[#This Row],[Euro Area PMI]]-B18</f>
        <v/>
      </c>
      <c r="D19" s="11" t="n">
        <v>26.208597</v>
      </c>
      <c r="E19" s="25">
        <f>Table13468111214[[#This Row],[Euro Area PMI]]-B7</f>
        <v/>
      </c>
      <c r="F19" s="56">
        <f>(Table13468111214[[#This Row],[EZU]]-D7)/D7</f>
        <v/>
      </c>
      <c r="G19" s="56" t="n"/>
    </row>
    <row r="20">
      <c r="A20" s="10" t="n">
        <v>38749</v>
      </c>
      <c r="B20" s="25" t="n">
        <v>54.5</v>
      </c>
      <c r="C20" s="25">
        <f>Table13468111214[[#This Row],[Euro Area PMI]]-B19</f>
        <v/>
      </c>
      <c r="D20" s="11" t="n">
        <v>26.398335</v>
      </c>
      <c r="E20" s="25">
        <f>Table13468111214[[#This Row],[Euro Area PMI]]-B8</f>
        <v/>
      </c>
      <c r="F20" s="56">
        <f>(Table13468111214[[#This Row],[EZU]]-D8)/D8</f>
        <v/>
      </c>
      <c r="G20" s="56" t="n"/>
    </row>
    <row r="21">
      <c r="A21" s="10" t="n">
        <v>38777</v>
      </c>
      <c r="B21" s="25" t="n">
        <v>56.1</v>
      </c>
      <c r="C21" s="25">
        <f>Table13468111214[[#This Row],[Euro Area PMI]]-B20</f>
        <v/>
      </c>
      <c r="D21" s="11" t="n">
        <v>27.558876</v>
      </c>
      <c r="E21" s="25">
        <f>Table13468111214[[#This Row],[Euro Area PMI]]-B9</f>
        <v/>
      </c>
      <c r="F21" s="56">
        <f>(Table13468111214[[#This Row],[EZU]]-D9)/D9</f>
        <v/>
      </c>
      <c r="G21" s="56" t="n">
        <v>0.03643398665829789</v>
      </c>
    </row>
    <row r="22">
      <c r="A22" s="10" t="n">
        <v>38808</v>
      </c>
      <c r="B22" s="25" t="n">
        <v>56.7</v>
      </c>
      <c r="C22" s="25">
        <f>Table13468111214[[#This Row],[Euro Area PMI]]-B21</f>
        <v/>
      </c>
      <c r="D22" s="11" t="n">
        <v>28.792152</v>
      </c>
      <c r="E22" s="25">
        <f>Table13468111214[[#This Row],[Euro Area PMI]]-B10</f>
        <v/>
      </c>
      <c r="F22" s="56">
        <f>(Table13468111214[[#This Row],[EZU]]-D10)/D10</f>
        <v/>
      </c>
      <c r="G22" s="56" t="n"/>
    </row>
    <row r="23">
      <c r="A23" s="10" t="n">
        <v>38838</v>
      </c>
      <c r="B23" s="25" t="n">
        <v>57</v>
      </c>
      <c r="C23" s="25">
        <f>Table13468111214[[#This Row],[Euro Area PMI]]-B22</f>
        <v/>
      </c>
      <c r="D23" s="11" t="n">
        <v>27.767586</v>
      </c>
      <c r="E23" s="25">
        <f>Table13468111214[[#This Row],[Euro Area PMI]]-B11</f>
        <v/>
      </c>
      <c r="F23" s="56">
        <f>(Table13468111214[[#This Row],[EZU]]-D11)/D11</f>
        <v/>
      </c>
      <c r="G23" s="56" t="n"/>
    </row>
    <row r="24">
      <c r="A24" s="10" t="n">
        <v>38869</v>
      </c>
      <c r="B24" s="25" t="n">
        <v>57.7</v>
      </c>
      <c r="C24" s="25">
        <f>Table13468111214[[#This Row],[Euro Area PMI]]-B23</f>
        <v/>
      </c>
      <c r="D24" s="11" t="n">
        <v>27.846636</v>
      </c>
      <c r="E24" s="25">
        <f>Table13468111214[[#This Row],[Euro Area PMI]]-B12</f>
        <v/>
      </c>
      <c r="F24" s="56">
        <f>(Table13468111214[[#This Row],[EZU]]-D12)/D12</f>
        <v/>
      </c>
      <c r="G24" s="56" t="n">
        <v>0.04269136085560676</v>
      </c>
    </row>
    <row r="25">
      <c r="A25" s="10" t="n">
        <v>38899</v>
      </c>
      <c r="B25" s="25" t="n">
        <v>57.4</v>
      </c>
      <c r="C25" s="25">
        <f>Table13468111214[[#This Row],[Euro Area PMI]]-B24</f>
        <v/>
      </c>
      <c r="D25" s="11" t="n">
        <v>28.178682</v>
      </c>
      <c r="E25" s="25">
        <f>Table13468111214[[#This Row],[Euro Area PMI]]-B13</f>
        <v/>
      </c>
      <c r="F25" s="56">
        <f>(Table13468111214[[#This Row],[EZU]]-D13)/D13</f>
        <v/>
      </c>
      <c r="G25" s="56" t="n"/>
    </row>
    <row r="26">
      <c r="A26" s="10" t="n">
        <v>38930</v>
      </c>
      <c r="B26" s="25" t="n">
        <v>56.5</v>
      </c>
      <c r="C26" s="25">
        <f>Table13468111214[[#This Row],[Euro Area PMI]]-B25</f>
        <v/>
      </c>
      <c r="D26" s="11" t="n">
        <v>29.272804</v>
      </c>
      <c r="E26" s="25">
        <f>Table13468111214[[#This Row],[Euro Area PMI]]-B14</f>
        <v/>
      </c>
      <c r="F26" s="56">
        <f>(Table13468111214[[#This Row],[EZU]]-D14)/D14</f>
        <v/>
      </c>
      <c r="G26" s="56" t="n"/>
    </row>
    <row r="27">
      <c r="A27" s="10" t="n">
        <v>38961</v>
      </c>
      <c r="B27" s="25" t="n">
        <v>56.6</v>
      </c>
      <c r="C27" s="25">
        <f>Table13468111214[[#This Row],[Euro Area PMI]]-B26</f>
        <v/>
      </c>
      <c r="D27" s="11" t="n">
        <v>29.785091</v>
      </c>
      <c r="E27" s="25">
        <f>Table13468111214[[#This Row],[Euro Area PMI]]-B15</f>
        <v/>
      </c>
      <c r="F27" s="56">
        <f>(Table13468111214[[#This Row],[EZU]]-D15)/D15</f>
        <v/>
      </c>
      <c r="G27" s="56" t="n">
        <v>0.02602650834018805</v>
      </c>
    </row>
    <row r="28">
      <c r="A28" s="10" t="n">
        <v>38991</v>
      </c>
      <c r="B28" s="25" t="n">
        <v>57</v>
      </c>
      <c r="C28" s="25">
        <f>Table13468111214[[#This Row],[Euro Area PMI]]-B27</f>
        <v/>
      </c>
      <c r="D28" s="11" t="n">
        <v>30.800167</v>
      </c>
      <c r="E28" s="25">
        <f>Table13468111214[[#This Row],[Euro Area PMI]]-B16</f>
        <v/>
      </c>
      <c r="F28" s="56">
        <f>(Table13468111214[[#This Row],[EZU]]-D16)/D16</f>
        <v/>
      </c>
      <c r="G28" s="56" t="n"/>
    </row>
    <row r="29">
      <c r="A29" s="10" t="n">
        <v>39022</v>
      </c>
      <c r="B29" s="25" t="n">
        <v>56.6</v>
      </c>
      <c r="C29" s="25">
        <f>Table13468111214[[#This Row],[Euro Area PMI]]-B28</f>
        <v/>
      </c>
      <c r="D29" s="11" t="n">
        <v>32.223171</v>
      </c>
      <c r="E29" s="25">
        <f>Table13468111214[[#This Row],[Euro Area PMI]]-B17</f>
        <v/>
      </c>
      <c r="F29" s="56">
        <f>(Table13468111214[[#This Row],[EZU]]-D17)/D17</f>
        <v/>
      </c>
      <c r="G29" s="56" t="n"/>
    </row>
    <row r="30">
      <c r="A30" s="10" t="n">
        <v>39052</v>
      </c>
      <c r="B30" s="25" t="n">
        <v>56.5</v>
      </c>
      <c r="C30" s="25">
        <f>Table13468111214[[#This Row],[Euro Area PMI]]-B29</f>
        <v/>
      </c>
      <c r="D30" s="11" t="n">
        <v>32.681694</v>
      </c>
      <c r="E30" s="25">
        <f>Table13468111214[[#This Row],[Euro Area PMI]]-B18</f>
        <v/>
      </c>
      <c r="F30" s="56">
        <f>(Table13468111214[[#This Row],[EZU]]-D18)/D18</f>
        <v/>
      </c>
      <c r="G30" s="56" t="n">
        <v>0.04633985072994085</v>
      </c>
    </row>
    <row r="31">
      <c r="A31" s="10" t="n">
        <v>39083</v>
      </c>
      <c r="B31" s="25" t="n">
        <v>55.5</v>
      </c>
      <c r="C31" s="25">
        <f>Table13468111214[[#This Row],[Euro Area PMI]]-B30</f>
        <v/>
      </c>
      <c r="D31" s="11" t="n">
        <v>33.75349</v>
      </c>
      <c r="E31" s="25">
        <f>Table13468111214[[#This Row],[Euro Area PMI]]-B19</f>
        <v/>
      </c>
      <c r="F31" s="56">
        <f>(Table13468111214[[#This Row],[EZU]]-D19)/D19</f>
        <v/>
      </c>
      <c r="G31" s="56" t="n"/>
    </row>
    <row r="32">
      <c r="A32" s="10" t="n">
        <v>39114</v>
      </c>
      <c r="B32" s="25" t="n">
        <v>55.6</v>
      </c>
      <c r="C32" s="25">
        <f>Table13468111214[[#This Row],[Euro Area PMI]]-B31</f>
        <v/>
      </c>
      <c r="D32" s="11" t="n">
        <v>33.447662</v>
      </c>
      <c r="E32" s="25">
        <f>Table13468111214[[#This Row],[Euro Area PMI]]-B20</f>
        <v/>
      </c>
      <c r="F32" s="56">
        <f>(Table13468111214[[#This Row],[EZU]]-D20)/D20</f>
        <v/>
      </c>
      <c r="G32" s="56" t="n"/>
    </row>
    <row r="33">
      <c r="A33" s="10" t="n">
        <v>39142</v>
      </c>
      <c r="B33" s="25" t="n">
        <v>55.4</v>
      </c>
      <c r="C33" s="25">
        <f>Table13468111214[[#This Row],[Euro Area PMI]]-B32</f>
        <v/>
      </c>
      <c r="D33" s="11" t="n">
        <v>34.83836</v>
      </c>
      <c r="E33" s="25">
        <f>Table13468111214[[#This Row],[Euro Area PMI]]-B21</f>
        <v/>
      </c>
      <c r="F33" s="56">
        <f>(Table13468111214[[#This Row],[EZU]]-D21)/D21</f>
        <v/>
      </c>
      <c r="G33" s="56" t="n">
        <v>0.03049337692017429</v>
      </c>
    </row>
    <row r="34">
      <c r="A34" s="10" t="n">
        <v>39173</v>
      </c>
      <c r="B34" s="25" t="n">
        <v>55.4</v>
      </c>
      <c r="C34" s="25">
        <f>Table13468111214[[#This Row],[Euro Area PMI]]-B33</f>
        <v/>
      </c>
      <c r="D34" s="11" t="n">
        <v>37.020988</v>
      </c>
      <c r="E34" s="25">
        <f>Table13468111214[[#This Row],[Euro Area PMI]]-B22</f>
        <v/>
      </c>
      <c r="F34" s="56">
        <f>(Table13468111214[[#This Row],[EZU]]-D22)/D22</f>
        <v/>
      </c>
      <c r="G34" s="56" t="n"/>
    </row>
    <row r="35">
      <c r="A35" s="10" t="n">
        <v>39203</v>
      </c>
      <c r="B35" s="25" t="n">
        <v>55</v>
      </c>
      <c r="C35" s="25">
        <f>Table13468111214[[#This Row],[Euro Area PMI]]-B34</f>
        <v/>
      </c>
      <c r="D35" s="11" t="n">
        <v>38.421345</v>
      </c>
      <c r="E35" s="25">
        <f>Table13468111214[[#This Row],[Euro Area PMI]]-B23</f>
        <v/>
      </c>
      <c r="F35" s="56">
        <f>(Table13468111214[[#This Row],[EZU]]-D23)/D23</f>
        <v/>
      </c>
      <c r="G35" s="56" t="n"/>
    </row>
    <row r="36">
      <c r="A36" s="10" t="n">
        <v>39234</v>
      </c>
      <c r="B36" s="25" t="n">
        <v>55.6</v>
      </c>
      <c r="C36" s="25">
        <f>Table13468111214[[#This Row],[Euro Area PMI]]-B35</f>
        <v/>
      </c>
      <c r="D36" s="11" t="n">
        <v>37.986759</v>
      </c>
      <c r="E36" s="25">
        <f>Table13468111214[[#This Row],[Euro Area PMI]]-B24</f>
        <v/>
      </c>
      <c r="F36" s="56">
        <f>(Table13468111214[[#This Row],[EZU]]-D24)/D24</f>
        <v/>
      </c>
      <c r="G36" s="56" t="n">
        <v>0.0247749840600775</v>
      </c>
    </row>
    <row r="37">
      <c r="A37" s="10" t="n">
        <v>39264</v>
      </c>
      <c r="B37" s="25" t="n">
        <v>54.9</v>
      </c>
      <c r="C37" s="25">
        <f>Table13468111214[[#This Row],[Euro Area PMI]]-B36</f>
        <v/>
      </c>
      <c r="D37" s="11" t="n">
        <v>36.792416</v>
      </c>
      <c r="E37" s="25">
        <f>Table13468111214[[#This Row],[Euro Area PMI]]-B25</f>
        <v/>
      </c>
      <c r="F37" s="56">
        <f>(Table13468111214[[#This Row],[EZU]]-D25)/D25</f>
        <v/>
      </c>
      <c r="G37" s="56" t="n"/>
    </row>
    <row r="38">
      <c r="A38" s="10" t="n">
        <v>39295</v>
      </c>
      <c r="B38" s="25" t="n">
        <v>54.3</v>
      </c>
      <c r="C38" s="25">
        <f>Table13468111214[[#This Row],[Euro Area PMI]]-B37</f>
        <v/>
      </c>
      <c r="D38" s="11" t="n">
        <v>36.782776</v>
      </c>
      <c r="E38" s="25">
        <f>Table13468111214[[#This Row],[Euro Area PMI]]-B26</f>
        <v/>
      </c>
      <c r="F38" s="56">
        <f>(Table13468111214[[#This Row],[EZU]]-D26)/D26</f>
        <v/>
      </c>
      <c r="G38" s="56" t="n"/>
    </row>
    <row r="39">
      <c r="A39" s="10" t="n">
        <v>39326</v>
      </c>
      <c r="B39" s="25" t="n">
        <v>53.2</v>
      </c>
      <c r="C39" s="25">
        <f>Table13468111214[[#This Row],[Euro Area PMI]]-B38</f>
        <v/>
      </c>
      <c r="D39" s="11" t="n">
        <v>38.920326</v>
      </c>
      <c r="E39" s="25">
        <f>Table13468111214[[#This Row],[Euro Area PMI]]-B27</f>
        <v/>
      </c>
      <c r="F39" s="56">
        <f>(Table13468111214[[#This Row],[EZU]]-D27)/D27</f>
        <v/>
      </c>
      <c r="G39" s="56" t="n">
        <v>0.01995261597458131</v>
      </c>
    </row>
    <row r="40">
      <c r="A40" s="10" t="n">
        <v>39356</v>
      </c>
      <c r="B40" s="25" t="n">
        <v>51.5</v>
      </c>
      <c r="C40" s="25">
        <f>Table13468111214[[#This Row],[Euro Area PMI]]-B39</f>
        <v/>
      </c>
      <c r="D40" s="11" t="n">
        <v>40.848637</v>
      </c>
      <c r="E40" s="25">
        <f>Table13468111214[[#This Row],[Euro Area PMI]]-B28</f>
        <v/>
      </c>
      <c r="F40" s="56">
        <f>(Table13468111214[[#This Row],[EZU]]-D28)/D28</f>
        <v/>
      </c>
      <c r="G40" s="56" t="n"/>
    </row>
    <row r="41">
      <c r="A41" s="10" t="n">
        <v>39387</v>
      </c>
      <c r="B41" s="25" t="n">
        <v>52.8</v>
      </c>
      <c r="C41" s="25">
        <f>Table13468111214[[#This Row],[Euro Area PMI]]-B40</f>
        <v/>
      </c>
      <c r="D41" s="11" t="n">
        <v>39.715481</v>
      </c>
      <c r="E41" s="25">
        <f>Table13468111214[[#This Row],[Euro Area PMI]]-B29</f>
        <v/>
      </c>
      <c r="F41" s="56">
        <f>(Table13468111214[[#This Row],[EZU]]-D29)/D29</f>
        <v/>
      </c>
      <c r="G41" s="56" t="n"/>
    </row>
    <row r="42">
      <c r="A42" s="10" t="n">
        <v>39417</v>
      </c>
      <c r="B42" s="25" t="n">
        <v>52.6</v>
      </c>
      <c r="C42" s="25">
        <f>Table13468111214[[#This Row],[Euro Area PMI]]-B41</f>
        <v/>
      </c>
      <c r="D42" s="11" t="n">
        <v>38.411697</v>
      </c>
      <c r="E42" s="25">
        <f>Table13468111214[[#This Row],[Euro Area PMI]]-B30</f>
        <v/>
      </c>
      <c r="F42" s="56">
        <f>(Table13468111214[[#This Row],[EZU]]-D30)/D30</f>
        <v/>
      </c>
      <c r="G42" s="56" t="n">
        <v>0.02152572881794867</v>
      </c>
    </row>
    <row r="43">
      <c r="A43" s="10" t="n">
        <v>39448</v>
      </c>
      <c r="B43" s="25" t="n">
        <v>52.8</v>
      </c>
      <c r="C43" s="25">
        <f>Table13468111214[[#This Row],[Euro Area PMI]]-B42</f>
        <v/>
      </c>
      <c r="D43" s="11" t="n">
        <v>35.328377</v>
      </c>
      <c r="E43" s="25">
        <f>Table13468111214[[#This Row],[Euro Area PMI]]-B31</f>
        <v/>
      </c>
      <c r="F43" s="56">
        <f>(Table13468111214[[#This Row],[EZU]]-D31)/D31</f>
        <v/>
      </c>
      <c r="G43" s="56" t="n"/>
    </row>
    <row r="44">
      <c r="A44" s="10" t="n">
        <v>39479</v>
      </c>
      <c r="B44" s="25" t="n">
        <v>52.3</v>
      </c>
      <c r="C44" s="25">
        <f>Table13468111214[[#This Row],[Euro Area PMI]]-B43</f>
        <v/>
      </c>
      <c r="D44" s="11" t="n">
        <v>35.037827</v>
      </c>
      <c r="E44" s="25">
        <f>Table13468111214[[#This Row],[Euro Area PMI]]-B32</f>
        <v/>
      </c>
      <c r="F44" s="56">
        <f>(Table13468111214[[#This Row],[EZU]]-D32)/D32</f>
        <v/>
      </c>
      <c r="G44" s="56" t="n"/>
    </row>
    <row r="45">
      <c r="A45" s="10" t="n">
        <v>39508</v>
      </c>
      <c r="B45" s="25" t="n">
        <v>52</v>
      </c>
      <c r="C45" s="25">
        <f>Table13468111214[[#This Row],[Euro Area PMI]]-B44</f>
        <v/>
      </c>
      <c r="D45" s="11" t="n">
        <v>35.922688</v>
      </c>
      <c r="E45" s="25">
        <f>Table13468111214[[#This Row],[Euro Area PMI]]-B33</f>
        <v/>
      </c>
      <c r="F45" s="56">
        <f>(Table13468111214[[#This Row],[EZU]]-D33)/D33</f>
        <v/>
      </c>
      <c r="G45" s="56" t="n">
        <v>0.02140624055348606</v>
      </c>
    </row>
    <row r="46">
      <c r="A46" s="10" t="n">
        <v>39539</v>
      </c>
      <c r="B46" s="25" t="n">
        <v>50.7</v>
      </c>
      <c r="C46" s="25">
        <f>Table13468111214[[#This Row],[Euro Area PMI]]-B45</f>
        <v/>
      </c>
      <c r="D46" s="11" t="n">
        <v>37.355637</v>
      </c>
      <c r="E46" s="25">
        <f>Table13468111214[[#This Row],[Euro Area PMI]]-B34</f>
        <v/>
      </c>
      <c r="F46" s="56">
        <f>(Table13468111214[[#This Row],[EZU]]-D34)/D34</f>
        <v/>
      </c>
      <c r="G46" s="56" t="n"/>
    </row>
    <row r="47">
      <c r="A47" s="10" t="n">
        <v>39569</v>
      </c>
      <c r="B47" s="25" t="n">
        <v>50.6</v>
      </c>
      <c r="C47" s="25">
        <f>Table13468111214[[#This Row],[Euro Area PMI]]-B46</f>
        <v/>
      </c>
      <c r="D47" s="11" t="n">
        <v>37.798065</v>
      </c>
      <c r="E47" s="25">
        <f>Table13468111214[[#This Row],[Euro Area PMI]]-B35</f>
        <v/>
      </c>
      <c r="F47" s="56">
        <f>(Table13468111214[[#This Row],[EZU]]-D35)/D35</f>
        <v/>
      </c>
      <c r="G47" s="56" t="n"/>
    </row>
    <row r="48">
      <c r="A48" s="10" t="n">
        <v>39600</v>
      </c>
      <c r="B48" s="25" t="n">
        <v>49.2</v>
      </c>
      <c r="C48" s="25">
        <f>Table13468111214[[#This Row],[Euro Area PMI]]-B47</f>
        <v/>
      </c>
      <c r="D48" s="11" t="n">
        <v>32.353531</v>
      </c>
      <c r="E48" s="25">
        <f>Table13468111214[[#This Row],[Euro Area PMI]]-B36</f>
        <v/>
      </c>
      <c r="F48" s="56">
        <f>(Table13468111214[[#This Row],[EZU]]-D36)/D36</f>
        <v/>
      </c>
      <c r="G48" s="56" t="n">
        <v>-0.01441173190349565</v>
      </c>
    </row>
    <row r="49">
      <c r="A49" s="10" t="n">
        <v>39630</v>
      </c>
      <c r="B49" s="25" t="n">
        <v>47.4</v>
      </c>
      <c r="C49" s="25">
        <f>Table13468111214[[#This Row],[Euro Area PMI]]-B48</f>
        <v/>
      </c>
      <c r="D49" s="11" t="n">
        <v>32.723587</v>
      </c>
      <c r="E49" s="25">
        <f>Table13468111214[[#This Row],[Euro Area PMI]]-B37</f>
        <v/>
      </c>
      <c r="F49" s="56">
        <f>(Table13468111214[[#This Row],[EZU]]-D37)/D37</f>
        <v/>
      </c>
      <c r="G49" s="56" t="n"/>
    </row>
    <row r="50">
      <c r="A50" s="10" t="n">
        <v>39661</v>
      </c>
      <c r="B50" s="25" t="n">
        <v>47.6</v>
      </c>
      <c r="C50" s="25">
        <f>Table13468111214[[#This Row],[Euro Area PMI]]-B49</f>
        <v/>
      </c>
      <c r="D50" s="11" t="n">
        <v>31.436552</v>
      </c>
      <c r="E50" s="25">
        <f>Table13468111214[[#This Row],[Euro Area PMI]]-B38</f>
        <v/>
      </c>
      <c r="F50" s="56">
        <f>(Table13468111214[[#This Row],[EZU]]-D38)/D38</f>
        <v/>
      </c>
      <c r="G50" s="56" t="n"/>
    </row>
    <row r="51">
      <c r="A51" s="10" t="n">
        <v>39692</v>
      </c>
      <c r="B51" s="25" t="n">
        <v>45</v>
      </c>
      <c r="C51" s="25">
        <f>Table13468111214[[#This Row],[Euro Area PMI]]-B50</f>
        <v/>
      </c>
      <c r="D51" s="11" t="n">
        <v>27.192078</v>
      </c>
      <c r="E51" s="25">
        <f>Table13468111214[[#This Row],[Euro Area PMI]]-B39</f>
        <v/>
      </c>
      <c r="F51" s="56">
        <f>(Table13468111214[[#This Row],[EZU]]-D39)/D39</f>
        <v/>
      </c>
      <c r="G51" s="56" t="n">
        <v>-0.02238680884382227</v>
      </c>
    </row>
    <row r="52">
      <c r="A52" s="10" t="n">
        <v>39722</v>
      </c>
      <c r="B52" s="25" t="n">
        <v>38.9</v>
      </c>
      <c r="C52" s="25">
        <f>Table13468111214[[#This Row],[Euro Area PMI]]-B51</f>
        <v/>
      </c>
      <c r="D52" s="11" t="n">
        <v>20.510433</v>
      </c>
      <c r="E52" s="25">
        <f>Table13468111214[[#This Row],[Euro Area PMI]]-B40</f>
        <v/>
      </c>
      <c r="F52" s="56">
        <f>(Table13468111214[[#This Row],[EZU]]-D40)/D40</f>
        <v/>
      </c>
      <c r="G52" s="56" t="n"/>
    </row>
    <row r="53">
      <c r="A53" s="10" t="n">
        <v>39753</v>
      </c>
      <c r="B53" s="25" t="n">
        <v>35.6</v>
      </c>
      <c r="C53" s="25">
        <f>Table13468111214[[#This Row],[Euro Area PMI]]-B52</f>
        <v/>
      </c>
      <c r="D53" s="11" t="n">
        <v>18.983789</v>
      </c>
      <c r="E53" s="25">
        <f>Table13468111214[[#This Row],[Euro Area PMI]]-B41</f>
        <v/>
      </c>
      <c r="F53" s="56">
        <f>(Table13468111214[[#This Row],[EZU]]-D41)/D41</f>
        <v/>
      </c>
      <c r="G53" s="56" t="n"/>
    </row>
    <row r="54">
      <c r="A54" s="10" t="n">
        <v>39783</v>
      </c>
      <c r="B54" s="25" t="n">
        <v>33.9</v>
      </c>
      <c r="C54" s="25">
        <f>Table13468111214[[#This Row],[Euro Area PMI]]-B53</f>
        <v/>
      </c>
      <c r="D54" s="11" t="n">
        <v>20.95542</v>
      </c>
      <c r="E54" s="25">
        <f>Table13468111214[[#This Row],[Euro Area PMI]]-B42</f>
        <v/>
      </c>
      <c r="F54" s="56">
        <f>(Table13468111214[[#This Row],[EZU]]-D42)/D42</f>
        <v/>
      </c>
      <c r="G54" s="56" t="n">
        <v>-0.06602641913376694</v>
      </c>
    </row>
    <row r="55">
      <c r="A55" s="10" t="n">
        <v>39814</v>
      </c>
      <c r="B55" s="25" t="n">
        <v>34.4</v>
      </c>
      <c r="C55" s="25">
        <f>Table13468111214[[#This Row],[Euro Area PMI]]-B54</f>
        <v/>
      </c>
      <c r="D55" s="11" t="n">
        <v>17.675179</v>
      </c>
      <c r="E55" s="25">
        <f>Table13468111214[[#This Row],[Euro Area PMI]]-B43</f>
        <v/>
      </c>
      <c r="F55" s="56">
        <f>(Table13468111214[[#This Row],[EZU]]-D43)/D43</f>
        <v/>
      </c>
      <c r="G55" s="56" t="n"/>
    </row>
    <row r="56">
      <c r="A56" s="10" t="n">
        <v>39845</v>
      </c>
      <c r="B56" s="25" t="n">
        <v>33.5</v>
      </c>
      <c r="C56" s="25">
        <f>Table13468111214[[#This Row],[Euro Area PMI]]-B55</f>
        <v/>
      </c>
      <c r="D56" s="11" t="n">
        <v>15.541601</v>
      </c>
      <c r="E56" s="25">
        <f>Table13468111214[[#This Row],[Euro Area PMI]]-B44</f>
        <v/>
      </c>
      <c r="F56" s="56">
        <f>(Table13468111214[[#This Row],[EZU]]-D44)/D44</f>
        <v/>
      </c>
      <c r="G56" s="56" t="n"/>
    </row>
    <row r="57">
      <c r="A57" s="10" t="n">
        <v>39873</v>
      </c>
      <c r="B57" s="25" t="n">
        <v>33.9</v>
      </c>
      <c r="C57" s="25">
        <f>Table13468111214[[#This Row],[Euro Area PMI]]-B56</f>
        <v/>
      </c>
      <c r="D57" s="11" t="n">
        <v>17.082518</v>
      </c>
      <c r="E57" s="25">
        <f>Table13468111214[[#This Row],[Euro Area PMI]]-B45</f>
        <v/>
      </c>
      <c r="F57" s="56">
        <f>(Table13468111214[[#This Row],[EZU]]-D45)/D45</f>
        <v/>
      </c>
      <c r="G57" s="56" t="n">
        <v>-0.1142893308666466</v>
      </c>
    </row>
    <row r="58">
      <c r="A58" s="10" t="n">
        <v>39904</v>
      </c>
      <c r="B58" s="25" t="n">
        <v>36.8</v>
      </c>
      <c r="C58" s="25">
        <f>Table13468111214[[#This Row],[Euro Area PMI]]-B57</f>
        <v/>
      </c>
      <c r="D58" s="11" t="n">
        <v>19.58563</v>
      </c>
      <c r="E58" s="25">
        <f>Table13468111214[[#This Row],[Euro Area PMI]]-B46</f>
        <v/>
      </c>
      <c r="F58" s="56">
        <f>(Table13468111214[[#This Row],[EZU]]-D46)/D46</f>
        <v/>
      </c>
      <c r="G58" s="56" t="n"/>
    </row>
    <row r="59">
      <c r="A59" s="10" t="n">
        <v>39934</v>
      </c>
      <c r="B59" s="25" t="n">
        <v>40.7</v>
      </c>
      <c r="C59" s="25">
        <f>Table13468111214[[#This Row],[Euro Area PMI]]-B58</f>
        <v/>
      </c>
      <c r="D59" s="11" t="n">
        <v>22.172407</v>
      </c>
      <c r="E59" s="25">
        <f>Table13468111214[[#This Row],[Euro Area PMI]]-B47</f>
        <v/>
      </c>
      <c r="F59" s="56">
        <f>(Table13468111214[[#This Row],[EZU]]-D47)/D47</f>
        <v/>
      </c>
      <c r="G59" s="56" t="n"/>
    </row>
    <row r="60">
      <c r="A60" s="10" t="n">
        <v>39965</v>
      </c>
      <c r="B60" s="25" t="n">
        <v>42.6</v>
      </c>
      <c r="C60" s="25">
        <f>Table13468111214[[#This Row],[Euro Area PMI]]-B59</f>
        <v/>
      </c>
      <c r="D60" s="11" t="n">
        <v>21.133512</v>
      </c>
      <c r="E60" s="25">
        <f>Table13468111214[[#This Row],[Euro Area PMI]]-B48</f>
        <v/>
      </c>
      <c r="F60" s="56">
        <f>(Table13468111214[[#This Row],[EZU]]-D48)/D48</f>
        <v/>
      </c>
      <c r="G60" s="56" t="n">
        <v>-0.009725130629728795</v>
      </c>
    </row>
    <row r="61">
      <c r="A61" s="10" t="n">
        <v>39995</v>
      </c>
      <c r="B61" s="25" t="n">
        <v>46.3</v>
      </c>
      <c r="C61" s="25">
        <f>Table13468111214[[#This Row],[Euro Area PMI]]-B60</f>
        <v/>
      </c>
      <c r="D61" s="11" t="n">
        <v>24.010015</v>
      </c>
      <c r="E61" s="25">
        <f>Table13468111214[[#This Row],[Euro Area PMI]]-B49</f>
        <v/>
      </c>
      <c r="F61" s="56">
        <f>(Table13468111214[[#This Row],[EZU]]-D49)/D49</f>
        <v/>
      </c>
      <c r="G61" s="56" t="n"/>
    </row>
    <row r="62">
      <c r="A62" s="10" t="n">
        <v>40026</v>
      </c>
      <c r="B62" s="25" t="n">
        <v>48.2</v>
      </c>
      <c r="C62" s="25">
        <f>Table13468111214[[#This Row],[Euro Area PMI]]-B61</f>
        <v/>
      </c>
      <c r="D62" s="11" t="n">
        <v>25.51198</v>
      </c>
      <c r="E62" s="25">
        <f>Table13468111214[[#This Row],[Euro Area PMI]]-B50</f>
        <v/>
      </c>
      <c r="F62" s="56">
        <f>(Table13468111214[[#This Row],[EZU]]-D50)/D50</f>
        <v/>
      </c>
      <c r="G62" s="56" t="n"/>
    </row>
    <row r="63">
      <c r="A63" s="10" t="n">
        <v>40057</v>
      </c>
      <c r="B63" s="25" t="n">
        <v>49.3</v>
      </c>
      <c r="C63" s="25">
        <f>Table13468111214[[#This Row],[Euro Area PMI]]-B62</f>
        <v/>
      </c>
      <c r="D63" s="11" t="n">
        <v>27.185595</v>
      </c>
      <c r="E63" s="25">
        <f>Table13468111214[[#This Row],[Euro Area PMI]]-B51</f>
        <v/>
      </c>
      <c r="F63" s="56">
        <f>(Table13468111214[[#This Row],[EZU]]-D51)/D51</f>
        <v/>
      </c>
      <c r="G63" s="56" t="n">
        <v>0.01355960828136893</v>
      </c>
    </row>
    <row r="64">
      <c r="A64" s="10" t="n">
        <v>40087</v>
      </c>
      <c r="B64" s="25" t="n">
        <v>50.7</v>
      </c>
      <c r="C64" s="25">
        <f>Table13468111214[[#This Row],[Euro Area PMI]]-B63</f>
        <v/>
      </c>
      <c r="D64" s="11" t="n">
        <v>25.941116</v>
      </c>
      <c r="E64" s="25">
        <f>Table13468111214[[#This Row],[Euro Area PMI]]-B52</f>
        <v/>
      </c>
      <c r="F64" s="56">
        <f>(Table13468111214[[#This Row],[EZU]]-D52)/D52</f>
        <v/>
      </c>
      <c r="G64" s="56" t="n"/>
    </row>
    <row r="65">
      <c r="A65" s="10" t="n">
        <v>40118</v>
      </c>
      <c r="B65" s="25" t="n">
        <v>51.2</v>
      </c>
      <c r="C65" s="25">
        <f>Table13468111214[[#This Row],[Euro Area PMI]]-B64</f>
        <v/>
      </c>
      <c r="D65" s="11" t="n">
        <v>27.207064</v>
      </c>
      <c r="E65" s="25">
        <f>Table13468111214[[#This Row],[Euro Area PMI]]-B53</f>
        <v/>
      </c>
      <c r="F65" s="56">
        <f>(Table13468111214[[#This Row],[EZU]]-D53)/D53</f>
        <v/>
      </c>
      <c r="G65" s="56" t="n"/>
    </row>
    <row r="66">
      <c r="A66" s="10" t="n">
        <v>40148</v>
      </c>
      <c r="B66" s="25" t="n">
        <v>51.6</v>
      </c>
      <c r="C66" s="25">
        <f>Table13468111214[[#This Row],[Euro Area PMI]]-B65</f>
        <v/>
      </c>
      <c r="D66" s="11" t="n">
        <v>26.799379</v>
      </c>
      <c r="E66" s="25">
        <f>Table13468111214[[#This Row],[Euro Area PMI]]-B54</f>
        <v/>
      </c>
      <c r="F66" s="56">
        <f>(Table13468111214[[#This Row],[EZU]]-D54)/D54</f>
        <v/>
      </c>
      <c r="G66" s="56" t="n">
        <v>0.02232783134509564</v>
      </c>
    </row>
    <row r="67">
      <c r="A67" s="10" t="n">
        <v>40179</v>
      </c>
      <c r="B67" s="25" t="n">
        <v>52.4</v>
      </c>
      <c r="C67" s="25">
        <f>Table13468111214[[#This Row],[Euro Area PMI]]-B66</f>
        <v/>
      </c>
      <c r="D67" s="11" t="n">
        <v>24.865271</v>
      </c>
      <c r="E67" s="25">
        <f>Table13468111214[[#This Row],[Euro Area PMI]]-B55</f>
        <v/>
      </c>
      <c r="F67" s="56">
        <f>(Table13468111214[[#This Row],[EZU]]-D55)/D55</f>
        <v/>
      </c>
      <c r="G67" s="56" t="n"/>
    </row>
    <row r="68">
      <c r="A68" s="10" t="n">
        <v>40210</v>
      </c>
      <c r="B68" s="25" t="n">
        <v>54.2</v>
      </c>
      <c r="C68" s="25">
        <f>Table13468111214[[#This Row],[Euro Area PMI]]-B67</f>
        <v/>
      </c>
      <c r="D68" s="11" t="n">
        <v>24.122698</v>
      </c>
      <c r="E68" s="25">
        <f>Table13468111214[[#This Row],[Euro Area PMI]]-B56</f>
        <v/>
      </c>
      <c r="F68" s="56">
        <f>(Table13468111214[[#This Row],[EZU]]-D56)/D56</f>
        <v/>
      </c>
      <c r="G68" s="56" t="n"/>
    </row>
    <row r="69">
      <c r="A69" s="10" t="n">
        <v>40238</v>
      </c>
      <c r="B69" s="25" t="n">
        <v>56.6</v>
      </c>
      <c r="C69" s="25">
        <f>Table13468111214[[#This Row],[Euro Area PMI]]-B68</f>
        <v/>
      </c>
      <c r="D69" s="11" t="n">
        <v>25.903421</v>
      </c>
      <c r="E69" s="25">
        <f>Table13468111214[[#This Row],[Euro Area PMI]]-B57</f>
        <v/>
      </c>
      <c r="F69" s="56">
        <f>(Table13468111214[[#This Row],[EZU]]-D57)/D57</f>
        <v/>
      </c>
      <c r="G69" s="56" t="n">
        <v>0.01568008506405594</v>
      </c>
    </row>
    <row r="70">
      <c r="A70" s="10" t="n">
        <v>40269</v>
      </c>
      <c r="B70" s="25" t="n">
        <v>57.6</v>
      </c>
      <c r="C70" s="25">
        <f>Table13468111214[[#This Row],[Euro Area PMI]]-B69</f>
        <v/>
      </c>
      <c r="D70" s="11" t="n">
        <v>24.62015</v>
      </c>
      <c r="E70" s="25">
        <f>Table13468111214[[#This Row],[Euro Area PMI]]-B58</f>
        <v/>
      </c>
      <c r="F70" s="56">
        <f>(Table13468111214[[#This Row],[EZU]]-D58)/D58</f>
        <v/>
      </c>
      <c r="G70" s="56" t="n"/>
    </row>
    <row r="71">
      <c r="A71" s="10" t="n">
        <v>40299</v>
      </c>
      <c r="B71" s="25" t="n">
        <v>55.8</v>
      </c>
      <c r="C71" s="25">
        <f>Table13468111214[[#This Row],[Euro Area PMI]]-B70</f>
        <v/>
      </c>
      <c r="D71" s="11" t="n">
        <v>21.51289</v>
      </c>
      <c r="E71" s="25">
        <f>Table13468111214[[#This Row],[Euro Area PMI]]-B59</f>
        <v/>
      </c>
      <c r="F71" s="56">
        <f>(Table13468111214[[#This Row],[EZU]]-D59)/D59</f>
        <v/>
      </c>
      <c r="G71" s="56" t="n"/>
    </row>
    <row r="72">
      <c r="A72" s="10" t="n">
        <v>40330</v>
      </c>
      <c r="B72" s="25" t="n">
        <v>55.6</v>
      </c>
      <c r="C72" s="25">
        <f>Table13468111214[[#This Row],[Euro Area PMI]]-B71</f>
        <v/>
      </c>
      <c r="D72" s="11" t="n">
        <v>20.58287</v>
      </c>
      <c r="E72" s="25">
        <f>Table13468111214[[#This Row],[Euro Area PMI]]-B60</f>
        <v/>
      </c>
      <c r="F72" s="56">
        <f>(Table13468111214[[#This Row],[EZU]]-D60)/D60</f>
        <v/>
      </c>
      <c r="G72" s="56" t="n">
        <v>0.0373261742491291</v>
      </c>
    </row>
    <row r="73">
      <c r="A73" s="10" t="n">
        <v>40360</v>
      </c>
      <c r="B73" s="25" t="n">
        <v>56.7</v>
      </c>
      <c r="C73" s="25">
        <f>Table13468111214[[#This Row],[Euro Area PMI]]-B72</f>
        <v/>
      </c>
      <c r="D73" s="11" t="n">
        <v>24.168362</v>
      </c>
      <c r="E73" s="25">
        <f>Table13468111214[[#This Row],[Euro Area PMI]]-B61</f>
        <v/>
      </c>
      <c r="F73" s="56">
        <f>(Table13468111214[[#This Row],[EZU]]-D61)/D61</f>
        <v/>
      </c>
      <c r="G73" s="56" t="n"/>
    </row>
    <row r="74">
      <c r="A74" s="10" t="n">
        <v>40391</v>
      </c>
      <c r="B74" s="25" t="n">
        <v>55.1</v>
      </c>
      <c r="C74" s="25">
        <f>Table13468111214[[#This Row],[Euro Area PMI]]-B73</f>
        <v/>
      </c>
      <c r="D74" s="11" t="n">
        <v>22.483053</v>
      </c>
      <c r="E74" s="25">
        <f>Table13468111214[[#This Row],[Euro Area PMI]]-B62</f>
        <v/>
      </c>
      <c r="F74" s="56">
        <f>(Table13468111214[[#This Row],[EZU]]-D62)/D62</f>
        <v/>
      </c>
      <c r="G74" s="56" t="n"/>
    </row>
    <row r="75">
      <c r="A75" s="10" t="n">
        <v>40422</v>
      </c>
      <c r="B75" s="25" t="n">
        <v>53.7</v>
      </c>
      <c r="C75" s="25">
        <f>Table13468111214[[#This Row],[Euro Area PMI]]-B74</f>
        <v/>
      </c>
      <c r="D75" s="11" t="n">
        <v>25.485695</v>
      </c>
      <c r="E75" s="25">
        <f>Table13468111214[[#This Row],[Euro Area PMI]]-B63</f>
        <v/>
      </c>
      <c r="F75" s="56">
        <f>(Table13468111214[[#This Row],[EZU]]-D63)/D63</f>
        <v/>
      </c>
      <c r="G75" s="56" t="n">
        <v>0.01866102414419979</v>
      </c>
    </row>
    <row r="76">
      <c r="A76" s="10" t="n">
        <v>40452</v>
      </c>
      <c r="B76" s="25" t="n">
        <v>54.6</v>
      </c>
      <c r="C76" s="25">
        <f>Table13468111214[[#This Row],[Euro Area PMI]]-B75</f>
        <v/>
      </c>
      <c r="D76" s="11" t="n">
        <v>27.031174</v>
      </c>
      <c r="E76" s="25">
        <f>Table13468111214[[#This Row],[Euro Area PMI]]-B64</f>
        <v/>
      </c>
      <c r="F76" s="56">
        <f>(Table13468111214[[#This Row],[EZU]]-D64)/D64</f>
        <v/>
      </c>
      <c r="G76" s="56" t="n"/>
    </row>
    <row r="77">
      <c r="A77" s="10" t="n">
        <v>40483</v>
      </c>
      <c r="B77" s="25" t="n">
        <v>55.3</v>
      </c>
      <c r="C77" s="25">
        <f>Table13468111214[[#This Row],[Euro Area PMI]]-B76</f>
        <v/>
      </c>
      <c r="D77" s="11" t="n">
        <v>24.035892</v>
      </c>
      <c r="E77" s="25">
        <f>Table13468111214[[#This Row],[Euro Area PMI]]-B65</f>
        <v/>
      </c>
      <c r="F77" s="56">
        <f>(Table13468111214[[#This Row],[EZU]]-D65)/D65</f>
        <v/>
      </c>
      <c r="G77" s="56" t="n"/>
    </row>
    <row r="78">
      <c r="A78" s="10" t="n">
        <v>40513</v>
      </c>
      <c r="B78" s="25" t="n">
        <v>57.1</v>
      </c>
      <c r="C78" s="25">
        <f>Table13468111214[[#This Row],[Euro Area PMI]]-B77</f>
        <v/>
      </c>
      <c r="D78" s="11" t="n">
        <v>25.956701</v>
      </c>
      <c r="E78" s="25">
        <f>Table13468111214[[#This Row],[Euro Area PMI]]-B66</f>
        <v/>
      </c>
      <c r="F78" s="56">
        <f>(Table13468111214[[#This Row],[EZU]]-D66)/D66</f>
        <v/>
      </c>
      <c r="G78" s="56" t="n">
        <v>0.02532020700156812</v>
      </c>
    </row>
    <row r="79">
      <c r="A79" s="10" t="n">
        <v>40544</v>
      </c>
      <c r="B79" s="25" t="n">
        <v>57.3</v>
      </c>
      <c r="C79" s="25">
        <f>Table13468111214[[#This Row],[Euro Area PMI]]-B78</f>
        <v/>
      </c>
      <c r="D79" s="11" t="n">
        <v>27.830259</v>
      </c>
      <c r="E79" s="25">
        <f>Table13468111214[[#This Row],[Euro Area PMI]]-B67</f>
        <v/>
      </c>
      <c r="F79" s="56">
        <f>(Table13468111214[[#This Row],[EZU]]-D67)/D67</f>
        <v/>
      </c>
      <c r="G79" s="56" t="n"/>
    </row>
    <row r="80">
      <c r="A80" s="10" t="n">
        <v>40575</v>
      </c>
      <c r="B80" s="25" t="n">
        <v>59</v>
      </c>
      <c r="C80" s="25">
        <f>Table13468111214[[#This Row],[Euro Area PMI]]-B79</f>
        <v/>
      </c>
      <c r="D80" s="11" t="n">
        <v>28.646399</v>
      </c>
      <c r="E80" s="25">
        <f>Table13468111214[[#This Row],[Euro Area PMI]]-B68</f>
        <v/>
      </c>
      <c r="F80" s="56">
        <f>(Table13468111214[[#This Row],[EZU]]-D68)/D68</f>
        <v/>
      </c>
      <c r="G80" s="56" t="n"/>
    </row>
    <row r="81">
      <c r="A81" s="10" t="n">
        <v>40603</v>
      </c>
      <c r="B81" s="25" t="n">
        <v>57.5</v>
      </c>
      <c r="C81" s="25">
        <f>Table13468111214[[#This Row],[Euro Area PMI]]-B80</f>
        <v/>
      </c>
      <c r="D81" s="11" t="n">
        <v>28.742857</v>
      </c>
      <c r="E81" s="25">
        <f>Table13468111214[[#This Row],[Euro Area PMI]]-B69</f>
        <v/>
      </c>
      <c r="F81" s="56">
        <f>(Table13468111214[[#This Row],[EZU]]-D69)/D69</f>
        <v/>
      </c>
      <c r="G81" s="56" t="n">
        <v>0.03052172878374027</v>
      </c>
    </row>
    <row r="82">
      <c r="A82" s="10" t="n">
        <v>40634</v>
      </c>
      <c r="B82" s="25" t="n">
        <v>58</v>
      </c>
      <c r="C82" s="25">
        <f>Table13468111214[[#This Row],[Euro Area PMI]]-B81</f>
        <v/>
      </c>
      <c r="D82" s="11" t="n">
        <v>31.03546</v>
      </c>
      <c r="E82" s="25">
        <f>Table13468111214[[#This Row],[Euro Area PMI]]-B70</f>
        <v/>
      </c>
      <c r="F82" s="56">
        <f>(Table13468111214[[#This Row],[EZU]]-D70)/D70</f>
        <v/>
      </c>
      <c r="G82" s="56" t="n"/>
    </row>
    <row r="83">
      <c r="A83" s="10" t="n">
        <v>40664</v>
      </c>
      <c r="B83" s="25" t="n">
        <v>54.6</v>
      </c>
      <c r="C83" s="25">
        <f>Table13468111214[[#This Row],[Euro Area PMI]]-B82</f>
        <v/>
      </c>
      <c r="D83" s="11" t="n">
        <v>29.558994</v>
      </c>
      <c r="E83" s="25">
        <f>Table13468111214[[#This Row],[Euro Area PMI]]-B71</f>
        <v/>
      </c>
      <c r="F83" s="56">
        <f>(Table13468111214[[#This Row],[EZU]]-D71)/D71</f>
        <v/>
      </c>
      <c r="G83" s="56" t="n"/>
    </row>
    <row r="84">
      <c r="A84" s="10" t="n">
        <v>40695</v>
      </c>
      <c r="B84" s="25" t="n">
        <v>52</v>
      </c>
      <c r="C84" s="25">
        <f>Table13468111214[[#This Row],[Euro Area PMI]]-B83</f>
        <v/>
      </c>
      <c r="D84" s="11" t="n">
        <v>28.809629</v>
      </c>
      <c r="E84" s="25">
        <f>Table13468111214[[#This Row],[Euro Area PMI]]-B72</f>
        <v/>
      </c>
      <c r="F84" s="56">
        <f>(Table13468111214[[#This Row],[EZU]]-D72)/D72</f>
        <v/>
      </c>
      <c r="G84" s="56" t="n">
        <v>0.0005577566217271901</v>
      </c>
    </row>
    <row r="85">
      <c r="A85" s="10" t="n">
        <v>40725</v>
      </c>
      <c r="B85" s="25" t="n">
        <v>50.4</v>
      </c>
      <c r="C85" s="25">
        <f>Table13468111214[[#This Row],[Euro Area PMI]]-B84</f>
        <v/>
      </c>
      <c r="D85" s="11" t="n">
        <v>27.238226</v>
      </c>
      <c r="E85" s="25">
        <f>Table13468111214[[#This Row],[Euro Area PMI]]-B73</f>
        <v/>
      </c>
      <c r="F85" s="56">
        <f>(Table13468111214[[#This Row],[EZU]]-D73)/D73</f>
        <v/>
      </c>
      <c r="G85" s="56" t="n"/>
    </row>
    <row r="86">
      <c r="A86" s="10" t="n">
        <v>40756</v>
      </c>
      <c r="B86" s="25" t="n">
        <v>49</v>
      </c>
      <c r="C86" s="25">
        <f>Table13468111214[[#This Row],[Euro Area PMI]]-B85</f>
        <v/>
      </c>
      <c r="D86" s="11" t="n">
        <v>23.915012</v>
      </c>
      <c r="E86" s="25">
        <f>Table13468111214[[#This Row],[Euro Area PMI]]-B74</f>
        <v/>
      </c>
      <c r="F86" s="56">
        <f>(Table13468111214[[#This Row],[EZU]]-D74)/D74</f>
        <v/>
      </c>
      <c r="G86" s="56" t="n"/>
    </row>
    <row r="87">
      <c r="A87" s="10" t="n">
        <v>40787</v>
      </c>
      <c r="B87" s="25" t="n">
        <v>48.5</v>
      </c>
      <c r="C87" s="25">
        <f>Table13468111214[[#This Row],[Euro Area PMI]]-B86</f>
        <v/>
      </c>
      <c r="D87" s="11" t="n">
        <v>20.728361</v>
      </c>
      <c r="E87" s="25">
        <f>Table13468111214[[#This Row],[Euro Area PMI]]-B75</f>
        <v/>
      </c>
      <c r="F87" s="56">
        <f>(Table13468111214[[#This Row],[EZU]]-D75)/D75</f>
        <v/>
      </c>
      <c r="G87" s="56" t="n">
        <v>-0.0001687093253858185</v>
      </c>
    </row>
    <row r="88">
      <c r="A88" s="10" t="n">
        <v>40817</v>
      </c>
      <c r="B88" s="25" t="n">
        <v>47.1</v>
      </c>
      <c r="C88" s="25">
        <f>Table13468111214[[#This Row],[Euro Area PMI]]-B87</f>
        <v/>
      </c>
      <c r="D88" s="11" t="n">
        <v>23.345964</v>
      </c>
      <c r="E88" s="25">
        <f>Table13468111214[[#This Row],[Euro Area PMI]]-B76</f>
        <v/>
      </c>
      <c r="F88" s="56">
        <f>(Table13468111214[[#This Row],[EZU]]-D76)/D76</f>
        <v/>
      </c>
      <c r="G88" s="56" t="n"/>
    </row>
    <row r="89">
      <c r="A89" s="10" t="n">
        <v>40848</v>
      </c>
      <c r="B89" s="25" t="n">
        <v>46.4</v>
      </c>
      <c r="C89" s="25">
        <f>Table13468111214[[#This Row],[Euro Area PMI]]-B88</f>
        <v/>
      </c>
      <c r="D89" s="11" t="n">
        <v>22.359623</v>
      </c>
      <c r="E89" s="25">
        <f>Table13468111214[[#This Row],[Euro Area PMI]]-B77</f>
        <v/>
      </c>
      <c r="F89" s="56">
        <f>(Table13468111214[[#This Row],[EZU]]-D77)/D77</f>
        <v/>
      </c>
      <c r="G89" s="56" t="n"/>
    </row>
    <row r="90">
      <c r="A90" s="10" t="n">
        <v>40878</v>
      </c>
      <c r="B90" s="25" t="n">
        <v>46.9</v>
      </c>
      <c r="C90" s="25">
        <f>Table13468111214[[#This Row],[Euro Area PMI]]-B89</f>
        <v/>
      </c>
      <c r="D90" s="11" t="n">
        <v>21.168428</v>
      </c>
      <c r="E90" s="25">
        <f>Table13468111214[[#This Row],[Euro Area PMI]]-B78</f>
        <v/>
      </c>
      <c r="F90" s="56">
        <f>(Table13468111214[[#This Row],[EZU]]-D78)/D78</f>
        <v/>
      </c>
      <c r="G90" s="56" t="n">
        <v>-0.01136381038946943</v>
      </c>
    </row>
    <row r="91">
      <c r="A91" s="10" t="n">
        <v>40909</v>
      </c>
      <c r="B91" s="25" t="n">
        <v>48.8</v>
      </c>
      <c r="C91" s="25">
        <f>Table13468111214[[#This Row],[Euro Area PMI]]-B90</f>
        <v/>
      </c>
      <c r="D91" s="11" t="n">
        <v>22.927597</v>
      </c>
      <c r="E91" s="25">
        <f>Table13468111214[[#This Row],[Euro Area PMI]]-B79</f>
        <v/>
      </c>
      <c r="F91" s="56">
        <f>(Table13468111214[[#This Row],[EZU]]-D79)/D79</f>
        <v/>
      </c>
      <c r="G91" s="56" t="n"/>
    </row>
    <row r="92">
      <c r="A92" s="10" t="n">
        <v>40940</v>
      </c>
      <c r="B92" s="25" t="n">
        <v>49</v>
      </c>
      <c r="C92" s="25">
        <f>Table13468111214[[#This Row],[Euro Area PMI]]-B91</f>
        <v/>
      </c>
      <c r="D92" s="11" t="n">
        <v>24.186426</v>
      </c>
      <c r="E92" s="25">
        <f>Table13468111214[[#This Row],[Euro Area PMI]]-B80</f>
        <v/>
      </c>
      <c r="F92" s="56">
        <f>(Table13468111214[[#This Row],[EZU]]-D80)/D80</f>
        <v/>
      </c>
      <c r="G92" s="56" t="n"/>
    </row>
    <row r="93">
      <c r="A93" s="10" t="n">
        <v>40969</v>
      </c>
      <c r="B93" s="25" t="n">
        <v>47.7</v>
      </c>
      <c r="C93" s="25">
        <f>Table13468111214[[#This Row],[Euro Area PMI]]-B92</f>
        <v/>
      </c>
      <c r="D93" s="11" t="n">
        <v>24.217125</v>
      </c>
      <c r="E93" s="25">
        <f>Table13468111214[[#This Row],[Euro Area PMI]]-B81</f>
        <v/>
      </c>
      <c r="F93" s="56">
        <f>(Table13468111214[[#This Row],[EZU]]-D81)/D81</f>
        <v/>
      </c>
      <c r="G93" s="56" t="n">
        <v>-0.005729169930632771</v>
      </c>
    </row>
    <row r="94">
      <c r="A94" s="10" t="n">
        <v>41000</v>
      </c>
      <c r="B94" s="25" t="n">
        <v>45.9</v>
      </c>
      <c r="C94" s="25">
        <f>Table13468111214[[#This Row],[Euro Area PMI]]-B93</f>
        <v/>
      </c>
      <c r="D94" s="11" t="n">
        <v>22.858515</v>
      </c>
      <c r="E94" s="25">
        <f>Table13468111214[[#This Row],[Euro Area PMI]]-B82</f>
        <v/>
      </c>
      <c r="F94" s="56">
        <f>(Table13468111214[[#This Row],[EZU]]-D82)/D82</f>
        <v/>
      </c>
      <c r="G94" s="56" t="n"/>
    </row>
    <row r="95">
      <c r="A95" s="10" t="n">
        <v>41030</v>
      </c>
      <c r="B95" s="25" t="n">
        <v>45.1</v>
      </c>
      <c r="C95" s="25">
        <f>Table13468111214[[#This Row],[Euro Area PMI]]-B94</f>
        <v/>
      </c>
      <c r="D95" s="11" t="n">
        <v>19.911009</v>
      </c>
      <c r="E95" s="25">
        <f>Table13468111214[[#This Row],[Euro Area PMI]]-B83</f>
        <v/>
      </c>
      <c r="F95" s="56">
        <f>(Table13468111214[[#This Row],[EZU]]-D83)/D83</f>
        <v/>
      </c>
      <c r="G95" s="56" t="n"/>
    </row>
    <row r="96">
      <c r="A96" s="10" t="n">
        <v>41061</v>
      </c>
      <c r="B96" s="25" t="n">
        <v>45.1</v>
      </c>
      <c r="C96" s="25">
        <f>Table13468111214[[#This Row],[Euro Area PMI]]-B95</f>
        <v/>
      </c>
      <c r="D96" s="11" t="n">
        <v>21.070057</v>
      </c>
      <c r="E96" s="25">
        <f>Table13468111214[[#This Row],[Euro Area PMI]]-B84</f>
        <v/>
      </c>
      <c r="F96" s="56">
        <f>(Table13468111214[[#This Row],[EZU]]-D84)/D84</f>
        <v/>
      </c>
      <c r="G96" s="56" t="n">
        <v>-0.01501229875795818</v>
      </c>
    </row>
    <row r="97">
      <c r="A97" s="10" t="n">
        <v>41091</v>
      </c>
      <c r="B97" s="25" t="n">
        <v>44</v>
      </c>
      <c r="C97" s="25">
        <f>Table13468111214[[#This Row],[Euro Area PMI]]-B96</f>
        <v/>
      </c>
      <c r="D97" s="11" t="n">
        <v>21.476416</v>
      </c>
      <c r="E97" s="25">
        <f>Table13468111214[[#This Row],[Euro Area PMI]]-B85</f>
        <v/>
      </c>
      <c r="F97" s="56">
        <f>(Table13468111214[[#This Row],[EZU]]-D85)/D85</f>
        <v/>
      </c>
      <c r="G97" s="56" t="n"/>
    </row>
    <row r="98">
      <c r="A98" s="10" t="n">
        <v>41122</v>
      </c>
      <c r="B98" s="25" t="n">
        <v>45.1</v>
      </c>
      <c r="C98" s="25">
        <f>Table13468111214[[#This Row],[Euro Area PMI]]-B97</f>
        <v/>
      </c>
      <c r="D98" s="11" t="n">
        <v>22.898693</v>
      </c>
      <c r="E98" s="25">
        <f>Table13468111214[[#This Row],[Euro Area PMI]]-B86</f>
        <v/>
      </c>
      <c r="F98" s="56">
        <f>(Table13468111214[[#This Row],[EZU]]-D86)/D86</f>
        <v/>
      </c>
      <c r="G98" s="56" t="n"/>
    </row>
    <row r="99">
      <c r="A99" s="10" t="n">
        <v>41153</v>
      </c>
      <c r="B99" s="25" t="n">
        <v>46.1</v>
      </c>
      <c r="C99" s="25">
        <f>Table13468111214[[#This Row],[Euro Area PMI]]-B98</f>
        <v/>
      </c>
      <c r="D99" s="11" t="n">
        <v>23.74416</v>
      </c>
      <c r="E99" s="25">
        <f>Table13468111214[[#This Row],[Euro Area PMI]]-B87</f>
        <v/>
      </c>
      <c r="F99" s="56">
        <f>(Table13468111214[[#This Row],[EZU]]-D87)/D87</f>
        <v/>
      </c>
      <c r="G99" s="56" t="n">
        <v>-0.004776341047733945</v>
      </c>
    </row>
    <row r="100">
      <c r="A100" s="10" t="n">
        <v>41183</v>
      </c>
      <c r="B100" s="25" t="n">
        <v>45.4</v>
      </c>
      <c r="C100" s="25">
        <f>Table13468111214[[#This Row],[Euro Area PMI]]-B99</f>
        <v/>
      </c>
      <c r="D100" s="11" t="n">
        <v>24.352581</v>
      </c>
      <c r="E100" s="25">
        <f>Table13468111214[[#This Row],[Euro Area PMI]]-B88</f>
        <v/>
      </c>
      <c r="F100" s="56">
        <f>(Table13468111214[[#This Row],[EZU]]-D88)/D88</f>
        <v/>
      </c>
      <c r="G100" s="56" t="n"/>
    </row>
    <row r="101">
      <c r="A101" s="10" t="n">
        <v>41214</v>
      </c>
      <c r="B101" s="25" t="n">
        <v>46.2</v>
      </c>
      <c r="C101" s="25">
        <f>Table13468111214[[#This Row],[Euro Area PMI]]-B100</f>
        <v/>
      </c>
      <c r="D101" s="11" t="n">
        <v>25.182249</v>
      </c>
      <c r="E101" s="25">
        <f>Table13468111214[[#This Row],[Euro Area PMI]]-B89</f>
        <v/>
      </c>
      <c r="F101" s="56">
        <f>(Table13468111214[[#This Row],[EZU]]-D89)/D89</f>
        <v/>
      </c>
      <c r="G101" s="56" t="n"/>
    </row>
    <row r="102">
      <c r="A102" s="10" t="n">
        <v>41244</v>
      </c>
      <c r="B102" s="25" t="n">
        <v>46.1</v>
      </c>
      <c r="C102" s="25">
        <f>Table13468111214[[#This Row],[Euro Area PMI]]-B101</f>
        <v/>
      </c>
      <c r="D102" s="11" t="n">
        <v>26.438593</v>
      </c>
      <c r="E102" s="25">
        <f>Table13468111214[[#This Row],[Euro Area PMI]]-B90</f>
        <v/>
      </c>
      <c r="F102" s="56">
        <f>(Table13468111214[[#This Row],[EZU]]-D90)/D90</f>
        <v/>
      </c>
      <c r="G102" s="56" t="n">
        <v>-0.01643311047580565</v>
      </c>
    </row>
    <row r="103">
      <c r="A103" s="10" t="n">
        <v>41275</v>
      </c>
      <c r="B103" s="25" t="n">
        <v>47.9</v>
      </c>
      <c r="C103" s="25">
        <f>Table13468111214[[#This Row],[Euro Area PMI]]-B102</f>
        <v/>
      </c>
      <c r="D103" s="11" t="n">
        <v>27.536394</v>
      </c>
      <c r="E103" s="25">
        <f>Table13468111214[[#This Row],[Euro Area PMI]]-B91</f>
        <v/>
      </c>
      <c r="F103" s="56">
        <f>(Table13468111214[[#This Row],[EZU]]-D91)/D91</f>
        <v/>
      </c>
      <c r="G103" s="56" t="n"/>
    </row>
    <row r="104">
      <c r="A104" s="10" t="n">
        <v>41306</v>
      </c>
      <c r="B104" s="25" t="n">
        <v>47.9</v>
      </c>
      <c r="C104" s="25">
        <f>Table13468111214[[#This Row],[Euro Area PMI]]-B103</f>
        <v/>
      </c>
      <c r="D104" s="11" t="n">
        <v>26.267437</v>
      </c>
      <c r="E104" s="25">
        <f>Table13468111214[[#This Row],[Euro Area PMI]]-B92</f>
        <v/>
      </c>
      <c r="F104" s="56">
        <f>(Table13468111214[[#This Row],[EZU]]-D92)/D92</f>
        <v/>
      </c>
      <c r="G104" s="56" t="n"/>
    </row>
    <row r="105">
      <c r="A105" s="10" t="n">
        <v>41334</v>
      </c>
      <c r="B105" s="25" t="n">
        <v>46.8</v>
      </c>
      <c r="C105" s="25">
        <f>Table13468111214[[#This Row],[Euro Area PMI]]-B104</f>
        <v/>
      </c>
      <c r="D105" s="11" t="n">
        <v>25.89468</v>
      </c>
      <c r="E105" s="25">
        <f>Table13468111214[[#This Row],[Euro Area PMI]]-B93</f>
        <v/>
      </c>
      <c r="F105" s="56">
        <f>(Table13468111214[[#This Row],[EZU]]-D93)/D93</f>
        <v/>
      </c>
      <c r="G105" s="56" t="n">
        <v>-0.01455867502188102</v>
      </c>
    </row>
    <row r="106">
      <c r="A106" s="10" t="n">
        <v>41365</v>
      </c>
      <c r="B106" s="25" t="n">
        <v>46.7</v>
      </c>
      <c r="C106" s="25">
        <f>Table13468111214[[#This Row],[Euro Area PMI]]-B105</f>
        <v/>
      </c>
      <c r="D106" s="11" t="n">
        <v>27.385702</v>
      </c>
      <c r="E106" s="25">
        <f>Table13468111214[[#This Row],[Euro Area PMI]]-B94</f>
        <v/>
      </c>
      <c r="F106" s="56">
        <f>(Table13468111214[[#This Row],[EZU]]-D94)/D94</f>
        <v/>
      </c>
      <c r="G106" s="56" t="n"/>
    </row>
    <row r="107">
      <c r="A107" s="10" t="n">
        <v>41395</v>
      </c>
      <c r="B107" s="25" t="n">
        <v>48.3</v>
      </c>
      <c r="C107" s="25">
        <f>Table13468111214[[#This Row],[Euro Area PMI]]-B106</f>
        <v/>
      </c>
      <c r="D107" s="11" t="n">
        <v>27.742603</v>
      </c>
      <c r="E107" s="25">
        <f>Table13468111214[[#This Row],[Euro Area PMI]]-B95</f>
        <v/>
      </c>
      <c r="F107" s="56">
        <f>(Table13468111214[[#This Row],[EZU]]-D95)/D95</f>
        <v/>
      </c>
      <c r="G107" s="56" t="n"/>
    </row>
    <row r="108">
      <c r="A108" s="10" t="n">
        <v>41426</v>
      </c>
      <c r="B108" s="25" t="n">
        <v>48.8</v>
      </c>
      <c r="C108" s="25">
        <f>Table13468111214[[#This Row],[Euro Area PMI]]-B107</f>
        <v/>
      </c>
      <c r="D108" s="11" t="n">
        <v>25.759855</v>
      </c>
      <c r="E108" s="25">
        <f>Table13468111214[[#This Row],[Euro Area PMI]]-B96</f>
        <v/>
      </c>
      <c r="F108" s="56">
        <f>(Table13468111214[[#This Row],[EZU]]-D96)/D96</f>
        <v/>
      </c>
      <c r="G108" s="56" t="n">
        <v>0.02020235165063977</v>
      </c>
    </row>
    <row r="109">
      <c r="A109" s="10" t="n">
        <v>41456</v>
      </c>
      <c r="B109" s="25" t="n">
        <v>50.3</v>
      </c>
      <c r="C109" s="25">
        <f>Table13468111214[[#This Row],[Euro Area PMI]]-B108</f>
        <v/>
      </c>
      <c r="D109" s="11" t="n">
        <v>28.698679</v>
      </c>
      <c r="E109" s="25">
        <f>Table13468111214[[#This Row],[Euro Area PMI]]-B97</f>
        <v/>
      </c>
      <c r="F109" s="56">
        <f>(Table13468111214[[#This Row],[EZU]]-D97)/D97</f>
        <v/>
      </c>
      <c r="G109" s="56" t="n"/>
    </row>
    <row r="110">
      <c r="A110" s="10" t="n">
        <v>41487</v>
      </c>
      <c r="B110" s="25" t="n">
        <v>51.4</v>
      </c>
      <c r="C110" s="25">
        <f>Table13468111214[[#This Row],[Euro Area PMI]]-B109</f>
        <v/>
      </c>
      <c r="D110" s="11" t="n">
        <v>28.178654</v>
      </c>
      <c r="E110" s="25">
        <f>Table13468111214[[#This Row],[Euro Area PMI]]-B98</f>
        <v/>
      </c>
      <c r="F110" s="56">
        <f>(Table13468111214[[#This Row],[EZU]]-D98)/D98</f>
        <v/>
      </c>
      <c r="G110" s="56" t="n"/>
    </row>
    <row r="111">
      <c r="A111" s="10" t="n">
        <v>41518</v>
      </c>
      <c r="B111" s="25" t="n">
        <v>51.1</v>
      </c>
      <c r="C111" s="25">
        <f>Table13468111214[[#This Row],[Euro Area PMI]]-B110</f>
        <v/>
      </c>
      <c r="D111" s="11" t="n">
        <v>30.656889</v>
      </c>
      <c r="E111" s="25">
        <f>Table13468111214[[#This Row],[Euro Area PMI]]-B99</f>
        <v/>
      </c>
      <c r="F111" s="56">
        <f>(Table13468111214[[#This Row],[EZU]]-D99)/D99</f>
        <v/>
      </c>
      <c r="G111" s="56" t="n">
        <v>0.01511342849726072</v>
      </c>
    </row>
    <row r="112">
      <c r="A112" s="10" t="n">
        <v>41548</v>
      </c>
      <c r="B112" s="25" t="n">
        <v>51.3</v>
      </c>
      <c r="C112" s="25">
        <f>Table13468111214[[#This Row],[Euro Area PMI]]-B111</f>
        <v/>
      </c>
      <c r="D112" s="11" t="n">
        <v>32.322575</v>
      </c>
      <c r="E112" s="25">
        <f>Table13468111214[[#This Row],[Euro Area PMI]]-B100</f>
        <v/>
      </c>
      <c r="F112" s="56">
        <f>(Table13468111214[[#This Row],[EZU]]-D100)/D100</f>
        <v/>
      </c>
      <c r="G112" s="56" t="n"/>
    </row>
    <row r="113">
      <c r="A113" s="10" t="n">
        <v>41579</v>
      </c>
      <c r="B113" s="25" t="n">
        <v>51.6</v>
      </c>
      <c r="C113" s="25">
        <f>Table13468111214[[#This Row],[Euro Area PMI]]-B112</f>
        <v/>
      </c>
      <c r="D113" s="11" t="n">
        <v>32.793846</v>
      </c>
      <c r="E113" s="25">
        <f>Table13468111214[[#This Row],[Euro Area PMI]]-B101</f>
        <v/>
      </c>
      <c r="F113" s="56">
        <f>(Table13468111214[[#This Row],[EZU]]-D101)/D101</f>
        <v/>
      </c>
      <c r="G113" s="56" t="n"/>
    </row>
    <row r="114">
      <c r="A114" s="10" t="n">
        <v>41609</v>
      </c>
      <c r="B114" s="25" t="n">
        <v>52.7</v>
      </c>
      <c r="C114" s="25">
        <f>Table13468111214[[#This Row],[Euro Area PMI]]-B113</f>
        <v/>
      </c>
      <c r="D114" s="11" t="n">
        <v>33.622631</v>
      </c>
      <c r="E114" s="25">
        <f>Table13468111214[[#This Row],[Euro Area PMI]]-B102</f>
        <v/>
      </c>
      <c r="F114" s="56">
        <f>(Table13468111214[[#This Row],[EZU]]-D102)/D102</f>
        <v/>
      </c>
      <c r="G114" s="56" t="n">
        <v>0.009765358482430431</v>
      </c>
    </row>
    <row r="115">
      <c r="A115" s="10" t="n">
        <v>41640</v>
      </c>
      <c r="B115" s="25" t="n">
        <v>54</v>
      </c>
      <c r="C115" s="25">
        <f>Table13468111214[[#This Row],[Euro Area PMI]]-B114</f>
        <v/>
      </c>
      <c r="D115" s="11" t="n">
        <v>32.011032</v>
      </c>
      <c r="E115" s="25">
        <f>Table13468111214[[#This Row],[Euro Area PMI]]-B103</f>
        <v/>
      </c>
      <c r="F115" s="56">
        <f>(Table13468111214[[#This Row],[EZU]]-D103)/D103</f>
        <v/>
      </c>
      <c r="G115" s="56" t="n"/>
    </row>
    <row r="116">
      <c r="A116" s="10" t="n">
        <v>41671</v>
      </c>
      <c r="B116" s="25" t="n">
        <v>53.2</v>
      </c>
      <c r="C116" s="25">
        <f>Table13468111214[[#This Row],[Euro Area PMI]]-B115</f>
        <v/>
      </c>
      <c r="D116" s="11" t="n">
        <v>34.244541</v>
      </c>
      <c r="E116" s="25">
        <f>Table13468111214[[#This Row],[Euro Area PMI]]-B104</f>
        <v/>
      </c>
      <c r="F116" s="56">
        <f>(Table13468111214[[#This Row],[EZU]]-D104)/D104</f>
        <v/>
      </c>
      <c r="G116" s="56" t="n"/>
    </row>
    <row r="117">
      <c r="A117" s="10" t="n">
        <v>41699</v>
      </c>
      <c r="B117" s="25" t="n">
        <v>53</v>
      </c>
      <c r="C117" s="25">
        <f>Table13468111214[[#This Row],[Euro Area PMI]]-B116</f>
        <v/>
      </c>
      <c r="D117" s="11" t="n">
        <v>34.456486</v>
      </c>
      <c r="E117" s="25">
        <f>Table13468111214[[#This Row],[Euro Area PMI]]-B105</f>
        <v/>
      </c>
      <c r="F117" s="56">
        <f>(Table13468111214[[#This Row],[EZU]]-D105)/D105</f>
        <v/>
      </c>
      <c r="G117" s="56" t="n">
        <v>0.01865311525292235</v>
      </c>
    </row>
    <row r="118">
      <c r="A118" s="10" t="n">
        <v>41730</v>
      </c>
      <c r="B118" s="25" t="n">
        <v>54</v>
      </c>
      <c r="C118" s="25">
        <f>Table13468111214[[#This Row],[Euro Area PMI]]-B117</f>
        <v/>
      </c>
      <c r="D118" s="11" t="n">
        <v>35.092297</v>
      </c>
      <c r="E118" s="25">
        <f>Table13468111214[[#This Row],[Euro Area PMI]]-B106</f>
        <v/>
      </c>
      <c r="F118" s="56">
        <f>(Table13468111214[[#This Row],[EZU]]-D106)/D106</f>
        <v/>
      </c>
      <c r="G118" s="56" t="n"/>
    </row>
    <row r="119">
      <c r="A119" s="10" t="n">
        <v>41760</v>
      </c>
      <c r="B119" s="25" t="n">
        <v>52.2</v>
      </c>
      <c r="C119" s="25">
        <f>Table13468111214[[#This Row],[Euro Area PMI]]-B118</f>
        <v/>
      </c>
      <c r="D119" s="11" t="n">
        <v>35.385757</v>
      </c>
      <c r="E119" s="25">
        <f>Table13468111214[[#This Row],[Euro Area PMI]]-B107</f>
        <v/>
      </c>
      <c r="F119" s="56">
        <f>(Table13468111214[[#This Row],[EZU]]-D107)/D107</f>
        <v/>
      </c>
      <c r="G119" s="56" t="n"/>
    </row>
    <row r="120">
      <c r="A120" s="10" t="n">
        <v>41791</v>
      </c>
      <c r="B120" s="25" t="n">
        <v>51.8</v>
      </c>
      <c r="C120" s="25">
        <f>Table13468111214[[#This Row],[Euro Area PMI]]-B119</f>
        <v/>
      </c>
      <c r="D120" s="11" t="n">
        <v>34.497242</v>
      </c>
      <c r="E120" s="25">
        <f>Table13468111214[[#This Row],[Euro Area PMI]]-B108</f>
        <v/>
      </c>
      <c r="F120" s="56">
        <f>(Table13468111214[[#This Row],[EZU]]-D108)/D108</f>
        <v/>
      </c>
      <c r="G120" s="56" t="n">
        <v>0.006362725500855149</v>
      </c>
    </row>
    <row r="121">
      <c r="A121" s="10" t="n">
        <v>41821</v>
      </c>
      <c r="B121" s="25" t="n">
        <v>51.8</v>
      </c>
      <c r="C121" s="25">
        <f>Table13468111214[[#This Row],[Euro Area PMI]]-B120</f>
        <v/>
      </c>
      <c r="D121" s="11" t="n">
        <v>33.067131</v>
      </c>
      <c r="E121" s="25">
        <f>Table13468111214[[#This Row],[Euro Area PMI]]-B109</f>
        <v/>
      </c>
      <c r="F121" s="56">
        <f>(Table13468111214[[#This Row],[EZU]]-D109)/D109</f>
        <v/>
      </c>
      <c r="G121" s="56" t="n"/>
    </row>
    <row r="122">
      <c r="A122" s="10" t="n">
        <v>41852</v>
      </c>
      <c r="B122" s="25" t="n">
        <v>50.7</v>
      </c>
      <c r="C122" s="25">
        <f>Table13468111214[[#This Row],[Euro Area PMI]]-B121</f>
        <v/>
      </c>
      <c r="D122" s="11" t="n">
        <v>33.125282</v>
      </c>
      <c r="E122" s="25">
        <f>Table13468111214[[#This Row],[Euro Area PMI]]-B110</f>
        <v/>
      </c>
      <c r="F122" s="56">
        <f>(Table13468111214[[#This Row],[EZU]]-D110)/D110</f>
        <v/>
      </c>
      <c r="G122" s="56" t="n"/>
    </row>
    <row r="123">
      <c r="A123" s="10" t="n">
        <v>41883</v>
      </c>
      <c r="B123" s="25" t="n">
        <v>50.3</v>
      </c>
      <c r="C123" s="25">
        <f>Table13468111214[[#This Row],[Euro Area PMI]]-B122</f>
        <v/>
      </c>
      <c r="D123" s="11" t="n">
        <v>31.987041</v>
      </c>
      <c r="E123" s="25">
        <f>Table13468111214[[#This Row],[Euro Area PMI]]-B111</f>
        <v/>
      </c>
      <c r="F123" s="56">
        <f>(Table13468111214[[#This Row],[EZU]]-D111)/D111</f>
        <v/>
      </c>
      <c r="G123" s="56" t="n">
        <v>0.01718213294300308</v>
      </c>
    </row>
    <row r="124">
      <c r="A124" s="10" t="n">
        <v>41913</v>
      </c>
      <c r="B124" s="25" t="n">
        <v>50.6</v>
      </c>
      <c r="C124" s="25">
        <f>Table13468111214[[#This Row],[Euro Area PMI]]-B123</f>
        <v/>
      </c>
      <c r="D124" s="11" t="n">
        <v>31.073126</v>
      </c>
      <c r="E124" s="25">
        <f>Table13468111214[[#This Row],[Euro Area PMI]]-B112</f>
        <v/>
      </c>
      <c r="F124" s="56">
        <f>(Table13468111214[[#This Row],[EZU]]-D112)/D112</f>
        <v/>
      </c>
      <c r="G124" s="56" t="n"/>
    </row>
    <row r="125">
      <c r="A125" s="10" t="n">
        <v>41944</v>
      </c>
      <c r="B125" s="25" t="n">
        <v>50.1</v>
      </c>
      <c r="C125" s="25">
        <f>Table13468111214[[#This Row],[Euro Area PMI]]-B124</f>
        <v/>
      </c>
      <c r="D125" s="11" t="n">
        <v>32.277824</v>
      </c>
      <c r="E125" s="25">
        <f>Table13468111214[[#This Row],[Euro Area PMI]]-B113</f>
        <v/>
      </c>
      <c r="F125" s="56">
        <f>(Table13468111214[[#This Row],[EZU]]-D113)/D113</f>
        <v/>
      </c>
      <c r="G125" s="56" t="n"/>
    </row>
    <row r="126">
      <c r="A126" s="10" t="n">
        <v>41974</v>
      </c>
      <c r="B126" s="25" t="n">
        <v>50.6</v>
      </c>
      <c r="C126" s="25">
        <f>Table13468111214[[#This Row],[Euro Area PMI]]-B125</f>
        <v/>
      </c>
      <c r="D126" s="11" t="n">
        <v>30.184139</v>
      </c>
      <c r="E126" s="25">
        <f>Table13468111214[[#This Row],[Euro Area PMI]]-B114</f>
        <v/>
      </c>
      <c r="F126" s="56">
        <f>(Table13468111214[[#This Row],[EZU]]-D114)/D114</f>
        <v/>
      </c>
      <c r="G126" s="56" t="n">
        <v>0.01920721404559167</v>
      </c>
    </row>
    <row r="127">
      <c r="A127" s="10" t="n">
        <v>42005</v>
      </c>
      <c r="B127" s="25" t="n">
        <v>51</v>
      </c>
      <c r="C127" s="25">
        <f>Table13468111214[[#This Row],[Euro Area PMI]]-B126</f>
        <v/>
      </c>
      <c r="D127" s="11" t="n">
        <v>30.696115</v>
      </c>
      <c r="E127" s="25">
        <f>Table13468111214[[#This Row],[Euro Area PMI]]-B115</f>
        <v/>
      </c>
      <c r="F127" s="56">
        <f>(Table13468111214[[#This Row],[EZU]]-D115)/D115</f>
        <v/>
      </c>
      <c r="G127" s="56" t="n"/>
    </row>
    <row r="128">
      <c r="A128" s="10" t="n">
        <v>42036</v>
      </c>
      <c r="B128" s="25" t="n">
        <v>51</v>
      </c>
      <c r="C128" s="25">
        <f>Table13468111214[[#This Row],[Euro Area PMI]]-B127</f>
        <v/>
      </c>
      <c r="D128" s="11" t="n">
        <v>32.604153</v>
      </c>
      <c r="E128" s="25">
        <f>Table13468111214[[#This Row],[Euro Area PMI]]-B116</f>
        <v/>
      </c>
      <c r="F128" s="56">
        <f>(Table13468111214[[#This Row],[EZU]]-D116)/D116</f>
        <v/>
      </c>
      <c r="G128" s="56" t="n"/>
    </row>
    <row r="129">
      <c r="A129" s="10" t="n">
        <v>42064</v>
      </c>
      <c r="B129" s="25" t="n">
        <v>52.2</v>
      </c>
      <c r="C129" s="25">
        <f>Table13468111214[[#This Row],[Euro Area PMI]]-B128</f>
        <v/>
      </c>
      <c r="D129" s="11" t="n">
        <v>32.28616</v>
      </c>
      <c r="E129" s="25">
        <f>Table13468111214[[#This Row],[Euro Area PMI]]-B117</f>
        <v/>
      </c>
      <c r="F129" s="56">
        <f>(Table13468111214[[#This Row],[EZU]]-D117)/D117</f>
        <v/>
      </c>
      <c r="G129" s="56" t="n">
        <v>0.03042104754318276</v>
      </c>
    </row>
    <row r="130">
      <c r="A130" s="10" t="n">
        <v>42095</v>
      </c>
      <c r="B130" s="25" t="n">
        <v>52</v>
      </c>
      <c r="C130" s="25">
        <f>Table13468111214[[#This Row],[Euro Area PMI]]-B129</f>
        <v/>
      </c>
      <c r="D130" s="11" t="n">
        <v>33.005852</v>
      </c>
      <c r="E130" s="25">
        <f>Table13468111214[[#This Row],[Euro Area PMI]]-B118</f>
        <v/>
      </c>
      <c r="F130" s="56">
        <f>(Table13468111214[[#This Row],[EZU]]-D118)/D118</f>
        <v/>
      </c>
      <c r="G130" s="56" t="n"/>
    </row>
    <row r="131">
      <c r="A131" s="10" t="n">
        <v>42125</v>
      </c>
      <c r="B131" s="25" t="n">
        <v>52.2</v>
      </c>
      <c r="C131" s="25">
        <f>Table13468111214[[#This Row],[Euro Area PMI]]-B130</f>
        <v/>
      </c>
      <c r="D131" s="11" t="n">
        <v>32.796635</v>
      </c>
      <c r="E131" s="25">
        <f>Table13468111214[[#This Row],[Euro Area PMI]]-B119</f>
        <v/>
      </c>
      <c r="F131" s="56">
        <f>(Table13468111214[[#This Row],[EZU]]-D119)/D119</f>
        <v/>
      </c>
      <c r="G131" s="56" t="n"/>
    </row>
    <row r="132">
      <c r="A132" s="10" t="n">
        <v>42156</v>
      </c>
      <c r="B132" s="25" t="n">
        <v>52.5</v>
      </c>
      <c r="C132" s="25">
        <f>Table13468111214[[#This Row],[Euro Area PMI]]-B131</f>
        <v/>
      </c>
      <c r="D132" s="11" t="n">
        <v>31.415812</v>
      </c>
      <c r="E132" s="25">
        <f>Table13468111214[[#This Row],[Euro Area PMI]]-B120</f>
        <v/>
      </c>
      <c r="F132" s="56">
        <f>(Table13468111214[[#This Row],[EZU]]-D120)/D120</f>
        <v/>
      </c>
      <c r="G132" s="56" t="n">
        <v>0.01505190156470881</v>
      </c>
    </row>
    <row r="133">
      <c r="A133" s="10" t="n">
        <v>42186</v>
      </c>
      <c r="B133" s="25" t="n">
        <v>52.4</v>
      </c>
      <c r="C133" s="25">
        <f>Table13468111214[[#This Row],[Euro Area PMI]]-B132</f>
        <v/>
      </c>
      <c r="D133" s="11" t="n">
        <v>32.94659</v>
      </c>
      <c r="E133" s="25">
        <f>Table13468111214[[#This Row],[Euro Area PMI]]-B121</f>
        <v/>
      </c>
      <c r="F133" s="56">
        <f>(Table13468111214[[#This Row],[EZU]]-D121)/D121</f>
        <v/>
      </c>
      <c r="G133" s="56" t="n"/>
    </row>
    <row r="134">
      <c r="A134" s="10" t="n">
        <v>42217</v>
      </c>
      <c r="B134" s="25" t="n">
        <v>52.3</v>
      </c>
      <c r="C134" s="25">
        <f>Table13468111214[[#This Row],[Euro Area PMI]]-B133</f>
        <v/>
      </c>
      <c r="D134" s="11" t="n">
        <v>30.672945</v>
      </c>
      <c r="E134" s="25">
        <f>Table13468111214[[#This Row],[Euro Area PMI]]-B122</f>
        <v/>
      </c>
      <c r="F134" s="56">
        <f>(Table13468111214[[#This Row],[EZU]]-D122)/D122</f>
        <v/>
      </c>
      <c r="G134" s="56" t="n"/>
    </row>
    <row r="135">
      <c r="A135" s="10" t="n">
        <v>42248</v>
      </c>
      <c r="B135" s="25" t="n">
        <v>52</v>
      </c>
      <c r="C135" s="25">
        <f>Table13468111214[[#This Row],[Euro Area PMI]]-B134</f>
        <v/>
      </c>
      <c r="D135" s="11" t="n">
        <v>29.242332</v>
      </c>
      <c r="E135" s="25">
        <f>Table13468111214[[#This Row],[Euro Area PMI]]-B123</f>
        <v/>
      </c>
      <c r="F135" s="56">
        <f>(Table13468111214[[#This Row],[EZU]]-D123)/D123</f>
        <v/>
      </c>
      <c r="G135" s="56" t="n">
        <v>0.01739521472396954</v>
      </c>
    </row>
    <row r="136">
      <c r="A136" s="10" t="n">
        <v>42278</v>
      </c>
      <c r="B136" s="25" t="n">
        <v>52.3</v>
      </c>
      <c r="C136" s="25">
        <f>Table13468111214[[#This Row],[Euro Area PMI]]-B135</f>
        <v/>
      </c>
      <c r="D136" s="11" t="n">
        <v>31.379738</v>
      </c>
      <c r="E136" s="25">
        <f>Table13468111214[[#This Row],[Euro Area PMI]]-B124</f>
        <v/>
      </c>
      <c r="F136" s="56">
        <f>(Table13468111214[[#This Row],[EZU]]-D124)/D124</f>
        <v/>
      </c>
      <c r="G136" s="56" t="n"/>
    </row>
    <row r="137">
      <c r="A137" s="10" t="n">
        <v>42309</v>
      </c>
      <c r="B137" s="25" t="n">
        <v>52.8</v>
      </c>
      <c r="C137" s="25">
        <f>Table13468111214[[#This Row],[Euro Area PMI]]-B136</f>
        <v/>
      </c>
      <c r="D137" s="11" t="n">
        <v>31.132782</v>
      </c>
      <c r="E137" s="25">
        <f>Table13468111214[[#This Row],[Euro Area PMI]]-B125</f>
        <v/>
      </c>
      <c r="F137" s="56">
        <f>(Table13468111214[[#This Row],[EZU]]-D125)/D125</f>
        <v/>
      </c>
      <c r="G137" s="56" t="n"/>
    </row>
    <row r="138">
      <c r="A138" s="10" t="n">
        <v>42339</v>
      </c>
      <c r="B138" s="25" t="n">
        <v>53.2</v>
      </c>
      <c r="C138" s="25">
        <f>Table13468111214[[#This Row],[Euro Area PMI]]-B137</f>
        <v/>
      </c>
      <c r="D138" s="11" t="n">
        <v>29.838419</v>
      </c>
      <c r="E138" s="25">
        <f>Table13468111214[[#This Row],[Euro Area PMI]]-B126</f>
        <v/>
      </c>
      <c r="F138" s="56">
        <f>(Table13468111214[[#This Row],[EZU]]-D126)/D126</f>
        <v/>
      </c>
      <c r="G138" s="56" t="n">
        <v>0.01805468775974384</v>
      </c>
    </row>
    <row r="139">
      <c r="A139" s="10" t="n">
        <v>42370</v>
      </c>
      <c r="B139" s="25" t="n">
        <v>52.3</v>
      </c>
      <c r="C139" s="25">
        <f>Table13468111214[[#This Row],[Euro Area PMI]]-B138</f>
        <v/>
      </c>
      <c r="D139" s="11" t="n">
        <v>28.333885</v>
      </c>
      <c r="E139" s="25">
        <f>Table13468111214[[#This Row],[Euro Area PMI]]-B127</f>
        <v/>
      </c>
      <c r="F139" s="56">
        <f>(Table13468111214[[#This Row],[EZU]]-D127)/D127</f>
        <v/>
      </c>
      <c r="G139" s="56" t="n"/>
    </row>
    <row r="140">
      <c r="A140" s="10" t="n">
        <v>42401</v>
      </c>
      <c r="B140" s="25" t="n">
        <v>51.2</v>
      </c>
      <c r="C140" s="25">
        <f>Table13468111214[[#This Row],[Euro Area PMI]]-B139</f>
        <v/>
      </c>
      <c r="D140" s="11" t="n">
        <v>27.139078</v>
      </c>
      <c r="E140" s="25">
        <f>Table13468111214[[#This Row],[Euro Area PMI]]-B128</f>
        <v/>
      </c>
      <c r="F140" s="56">
        <f>(Table13468111214[[#This Row],[EZU]]-D128)/D128</f>
        <v/>
      </c>
      <c r="G140" s="56" t="n"/>
    </row>
    <row r="141">
      <c r="A141" s="10" t="n">
        <v>42430</v>
      </c>
      <c r="B141" s="25" t="n">
        <v>51.6</v>
      </c>
      <c r="C141" s="25">
        <f>Table13468111214[[#This Row],[Euro Area PMI]]-B140</f>
        <v/>
      </c>
      <c r="D141" s="11" t="n">
        <v>29.349468</v>
      </c>
      <c r="E141" s="25">
        <f>Table13468111214[[#This Row],[Euro Area PMI]]-B129</f>
        <v/>
      </c>
      <c r="F141" s="56">
        <f>(Table13468111214[[#This Row],[EZU]]-D129)/D129</f>
        <v/>
      </c>
      <c r="G141" s="56" t="n">
        <v>0.02544199502036926</v>
      </c>
    </row>
    <row r="142">
      <c r="A142" s="10" t="n">
        <v>42461</v>
      </c>
      <c r="B142" s="25" t="n">
        <v>51.7</v>
      </c>
      <c r="C142" s="25">
        <f>Table13468111214[[#This Row],[Euro Area PMI]]-B141</f>
        <v/>
      </c>
      <c r="D142" s="11" t="n">
        <v>30.100485</v>
      </c>
      <c r="E142" s="25">
        <f>Table13468111214[[#This Row],[Euro Area PMI]]-B130</f>
        <v/>
      </c>
      <c r="F142" s="56">
        <f>(Table13468111214[[#This Row],[EZU]]-D130)/D130</f>
        <v/>
      </c>
      <c r="G142" s="56" t="n"/>
    </row>
    <row r="143">
      <c r="A143" s="10" t="n">
        <v>42491</v>
      </c>
      <c r="B143" s="25" t="n">
        <v>51.5</v>
      </c>
      <c r="C143" s="25">
        <f>Table13468111214[[#This Row],[Euro Area PMI]]-B142</f>
        <v/>
      </c>
      <c r="D143" s="11" t="n">
        <v>29.008095</v>
      </c>
      <c r="E143" s="25">
        <f>Table13468111214[[#This Row],[Euro Area PMI]]-B131</f>
        <v/>
      </c>
      <c r="F143" s="56">
        <f>(Table13468111214[[#This Row],[EZU]]-D131)/D131</f>
        <v/>
      </c>
      <c r="G143" s="56" t="n"/>
    </row>
    <row r="144">
      <c r="A144" s="10" t="n">
        <v>42522</v>
      </c>
      <c r="B144" s="25" t="n">
        <v>52.8</v>
      </c>
      <c r="C144" s="25">
        <f>Table13468111214[[#This Row],[Euro Area PMI]]-B143</f>
        <v/>
      </c>
      <c r="D144" s="11" t="n">
        <v>27.540192</v>
      </c>
      <c r="E144" s="25">
        <f>Table13468111214[[#This Row],[Euro Area PMI]]-B132</f>
        <v/>
      </c>
      <c r="F144" s="56">
        <f>(Table13468111214[[#This Row],[EZU]]-D132)/D132</f>
        <v/>
      </c>
      <c r="G144" s="56" t="n">
        <v>0.01120542011685677</v>
      </c>
    </row>
    <row r="145">
      <c r="A145" s="10" t="n">
        <v>42552</v>
      </c>
      <c r="B145" s="25" t="n">
        <v>52</v>
      </c>
      <c r="C145" s="25">
        <f>Table13468111214[[#This Row],[Euro Area PMI]]-B144</f>
        <v/>
      </c>
      <c r="D145" s="11" t="n">
        <v>29.590155</v>
      </c>
      <c r="E145" s="25">
        <f>Table13468111214[[#This Row],[Euro Area PMI]]-B133</f>
        <v/>
      </c>
      <c r="F145" s="56">
        <f>(Table13468111214[[#This Row],[EZU]]-D133)/D133</f>
        <v/>
      </c>
      <c r="G145" s="56" t="n"/>
    </row>
    <row r="146">
      <c r="A146" s="10" t="n">
        <v>42583</v>
      </c>
      <c r="B146" s="25" t="n">
        <v>51.7</v>
      </c>
      <c r="C146" s="25">
        <f>Table13468111214[[#This Row],[Euro Area PMI]]-B145</f>
        <v/>
      </c>
      <c r="D146" s="11" t="n">
        <v>29.922523</v>
      </c>
      <c r="E146" s="25">
        <f>Table13468111214[[#This Row],[Euro Area PMI]]-B134</f>
        <v/>
      </c>
      <c r="F146" s="56">
        <f>(Table13468111214[[#This Row],[EZU]]-D134)/D134</f>
        <v/>
      </c>
      <c r="G146" s="56" t="n"/>
    </row>
    <row r="147">
      <c r="A147" s="10" t="n">
        <v>42614</v>
      </c>
      <c r="B147" s="25" t="n">
        <v>52.6</v>
      </c>
      <c r="C147" s="25">
        <f>Table13468111214[[#This Row],[Euro Area PMI]]-B146</f>
        <v/>
      </c>
      <c r="D147" s="11" t="n">
        <v>30.167429</v>
      </c>
      <c r="E147" s="25">
        <f>Table13468111214[[#This Row],[Euro Area PMI]]-B135</f>
        <v/>
      </c>
      <c r="F147" s="56">
        <f>(Table13468111214[[#This Row],[EZU]]-D135)/D135</f>
        <v/>
      </c>
      <c r="G147" s="56" t="n">
        <v>0.01522200750080538</v>
      </c>
    </row>
    <row r="148">
      <c r="A148" s="10" t="n">
        <v>42644</v>
      </c>
      <c r="B148" s="25" t="n">
        <v>53.5</v>
      </c>
      <c r="C148" s="25">
        <f>Table13468111214[[#This Row],[Euro Area PMI]]-B147</f>
        <v/>
      </c>
      <c r="D148" s="11" t="n">
        <v>29.8613</v>
      </c>
      <c r="E148" s="25">
        <f>Table13468111214[[#This Row],[Euro Area PMI]]-B136</f>
        <v/>
      </c>
      <c r="F148" s="56">
        <f>(Table13468111214[[#This Row],[EZU]]-D136)/D136</f>
        <v/>
      </c>
      <c r="G148" s="56" t="n"/>
    </row>
    <row r="149">
      <c r="A149" s="10" t="n">
        <v>42675</v>
      </c>
      <c r="B149" s="25" t="n">
        <v>53.7</v>
      </c>
      <c r="C149" s="25">
        <f>Table13468111214[[#This Row],[Euro Area PMI]]-B148</f>
        <v/>
      </c>
      <c r="D149" s="11" t="n">
        <v>28.67174</v>
      </c>
      <c r="E149" s="25">
        <f>Table13468111214[[#This Row],[Euro Area PMI]]-B137</f>
        <v/>
      </c>
      <c r="F149" s="56">
        <f>(Table13468111214[[#This Row],[EZU]]-D137)/D137</f>
        <v/>
      </c>
      <c r="G149" s="56" t="n"/>
    </row>
    <row r="150">
      <c r="A150" s="10" t="n">
        <v>42705</v>
      </c>
      <c r="B150" s="25" t="n">
        <v>54.9</v>
      </c>
      <c r="C150" s="25">
        <f>Table13468111214[[#This Row],[Euro Area PMI]]-B149</f>
        <v/>
      </c>
      <c r="D150" s="11" t="n">
        <v>30.263641</v>
      </c>
      <c r="E150" s="25">
        <f>Table13468111214[[#This Row],[Euro Area PMI]]-B138</f>
        <v/>
      </c>
      <c r="F150" s="56">
        <f>(Table13468111214[[#This Row],[EZU]]-D138)/D138</f>
        <v/>
      </c>
      <c r="G150" s="56" t="n">
        <v>0.03171176605552839</v>
      </c>
    </row>
    <row r="151">
      <c r="A151" s="10" t="n">
        <v>42736</v>
      </c>
      <c r="B151" s="25" t="n">
        <v>55.2</v>
      </c>
      <c r="C151" s="25">
        <f>Table13468111214[[#This Row],[Euro Area PMI]]-B150</f>
        <v/>
      </c>
      <c r="D151" s="11" t="n">
        <v>31.11289</v>
      </c>
      <c r="E151" s="25">
        <f>Table13468111214[[#This Row],[Euro Area PMI]]-B139</f>
        <v/>
      </c>
      <c r="F151" s="56">
        <f>(Table13468111214[[#This Row],[EZU]]-D139)/D139</f>
        <v/>
      </c>
      <c r="G151" s="56" t="n"/>
    </row>
    <row r="152">
      <c r="A152" s="10" t="n">
        <v>42767</v>
      </c>
      <c r="B152" s="25" t="n">
        <v>55.4</v>
      </c>
      <c r="C152" s="25">
        <f>Table13468111214[[#This Row],[Euro Area PMI]]-B151</f>
        <v/>
      </c>
      <c r="D152" s="11" t="n">
        <v>31.174517</v>
      </c>
      <c r="E152" s="25">
        <f>Table13468111214[[#This Row],[Euro Area PMI]]-B140</f>
        <v/>
      </c>
      <c r="F152" s="56">
        <f>(Table13468111214[[#This Row],[EZU]]-D140)/D140</f>
        <v/>
      </c>
      <c r="G152" s="56" t="n"/>
    </row>
    <row r="153">
      <c r="A153" s="10" t="n">
        <v>42795</v>
      </c>
      <c r="B153" s="25" t="n">
        <v>56.2</v>
      </c>
      <c r="C153" s="25">
        <f>Table13468111214[[#This Row],[Euro Area PMI]]-B152</f>
        <v/>
      </c>
      <c r="D153" s="11" t="n">
        <v>33.102562</v>
      </c>
      <c r="E153" s="25">
        <f>Table13468111214[[#This Row],[Euro Area PMI]]-B141</f>
        <v/>
      </c>
      <c r="F153" s="56">
        <f>(Table13468111214[[#This Row],[EZU]]-D141)/D141</f>
        <v/>
      </c>
      <c r="G153" s="56" t="n">
        <v>0.02700031389270174</v>
      </c>
    </row>
    <row r="154">
      <c r="A154" s="10" t="n">
        <v>42826</v>
      </c>
      <c r="B154" s="25" t="n">
        <v>56.7</v>
      </c>
      <c r="C154" s="25">
        <f>Table13468111214[[#This Row],[Euro Area PMI]]-B153</f>
        <v/>
      </c>
      <c r="D154" s="11" t="n">
        <v>34.546398</v>
      </c>
      <c r="E154" s="25">
        <f>Table13468111214[[#This Row],[Euro Area PMI]]-B142</f>
        <v/>
      </c>
      <c r="F154" s="56">
        <f>(Table13468111214[[#This Row],[EZU]]-D142)/D142</f>
        <v/>
      </c>
      <c r="G154" s="56" t="n"/>
    </row>
    <row r="155">
      <c r="A155" s="10" t="n">
        <v>42856</v>
      </c>
      <c r="B155" s="25" t="n">
        <v>57</v>
      </c>
      <c r="C155" s="25">
        <f>Table13468111214[[#This Row],[Euro Area PMI]]-B154</f>
        <v/>
      </c>
      <c r="D155" s="11" t="n">
        <v>36.254353</v>
      </c>
      <c r="E155" s="25">
        <f>Table13468111214[[#This Row],[Euro Area PMI]]-B143</f>
        <v/>
      </c>
      <c r="F155" s="56">
        <f>(Table13468111214[[#This Row],[EZU]]-D143)/D143</f>
        <v/>
      </c>
      <c r="G155" s="56" t="n"/>
    </row>
    <row r="156">
      <c r="A156" s="10" t="n">
        <v>42887</v>
      </c>
      <c r="B156" s="25" t="n">
        <v>57.4</v>
      </c>
      <c r="C156" s="25">
        <f>Table13468111214[[#This Row],[Euro Area PMI]]-B155</f>
        <v/>
      </c>
      <c r="D156" s="11" t="n">
        <v>35.506016</v>
      </c>
      <c r="E156" s="25">
        <f>Table13468111214[[#This Row],[Euro Area PMI]]-B144</f>
        <v/>
      </c>
      <c r="F156" s="56">
        <f>(Table13468111214[[#This Row],[EZU]]-D144)/D144</f>
        <v/>
      </c>
      <c r="G156" s="56" t="n">
        <v>0.02724534287705382</v>
      </c>
    </row>
    <row r="157">
      <c r="A157" s="10" t="n">
        <v>42917</v>
      </c>
      <c r="B157" s="25" t="n">
        <v>56.6</v>
      </c>
      <c r="C157" s="25">
        <f>Table13468111214[[#This Row],[Euro Area PMI]]-B156</f>
        <v/>
      </c>
      <c r="D157" s="11" t="n">
        <v>37.222633</v>
      </c>
      <c r="E157" s="25">
        <f>Table13468111214[[#This Row],[Euro Area PMI]]-B145</f>
        <v/>
      </c>
      <c r="F157" s="56">
        <f>(Table13468111214[[#This Row],[EZU]]-D145)/D145</f>
        <v/>
      </c>
      <c r="G157" s="56" t="n"/>
    </row>
    <row r="158">
      <c r="A158" s="10" t="n">
        <v>42948</v>
      </c>
      <c r="B158" s="25" t="n">
        <v>57.4</v>
      </c>
      <c r="C158" s="25">
        <f>Table13468111214[[#This Row],[Euro Area PMI]]-B157</f>
        <v/>
      </c>
      <c r="D158" s="11" t="n">
        <v>37.401455</v>
      </c>
      <c r="E158" s="25">
        <f>Table13468111214[[#This Row],[Euro Area PMI]]-B146</f>
        <v/>
      </c>
      <c r="F158" s="56">
        <f>(Table13468111214[[#This Row],[EZU]]-D146)/D146</f>
        <v/>
      </c>
      <c r="G158" s="56" t="n"/>
    </row>
    <row r="159">
      <c r="A159" s="10" t="n">
        <v>42979</v>
      </c>
      <c r="B159" s="25" t="n">
        <v>58.1</v>
      </c>
      <c r="C159" s="25">
        <f>Table13468111214[[#This Row],[Euro Area PMI]]-B158</f>
        <v/>
      </c>
      <c r="D159" s="11" t="n">
        <v>38.733711</v>
      </c>
      <c r="E159" s="25">
        <f>Table13468111214[[#This Row],[Euro Area PMI]]-B147</f>
        <v/>
      </c>
      <c r="F159" s="56">
        <f>(Table13468111214[[#This Row],[EZU]]-D147)/D147</f>
        <v/>
      </c>
      <c r="G159" s="56" t="n">
        <v>0.02775129254707842</v>
      </c>
    </row>
    <row r="160">
      <c r="A160" s="10" t="n">
        <v>43009</v>
      </c>
      <c r="B160" s="25" t="n">
        <v>58.5</v>
      </c>
      <c r="C160" s="25">
        <f>Table13468111214[[#This Row],[Euro Area PMI]]-B159</f>
        <v/>
      </c>
      <c r="D160" s="11" t="n">
        <v>39.189716</v>
      </c>
      <c r="E160" s="25">
        <f>Table13468111214[[#This Row],[Euro Area PMI]]-B148</f>
        <v/>
      </c>
      <c r="F160" s="56">
        <f>(Table13468111214[[#This Row],[EZU]]-D148)/D148</f>
        <v/>
      </c>
      <c r="G160" s="56" t="n"/>
    </row>
    <row r="161">
      <c r="A161" s="10" t="n">
        <v>43040</v>
      </c>
      <c r="B161" s="25" t="n">
        <v>60.1</v>
      </c>
      <c r="C161" s="25">
        <f>Table13468111214[[#This Row],[Euro Area PMI]]-B160</f>
        <v/>
      </c>
      <c r="D161" s="11" t="n">
        <v>39.091366</v>
      </c>
      <c r="E161" s="25">
        <f>Table13468111214[[#This Row],[Euro Area PMI]]-B149</f>
        <v/>
      </c>
      <c r="F161" s="56">
        <f>(Table13468111214[[#This Row],[EZU]]-D149)/D149</f>
        <v/>
      </c>
      <c r="G161" s="56" t="n"/>
    </row>
    <row r="162">
      <c r="A162" s="10" t="n">
        <v>43070</v>
      </c>
      <c r="B162" s="25" t="n">
        <v>60.6</v>
      </c>
      <c r="C162" s="25">
        <f>Table13468111214[[#This Row],[Euro Area PMI]]-B161</f>
        <v/>
      </c>
      <c r="D162" s="11" t="n">
        <v>38.787357</v>
      </c>
      <c r="E162" s="25">
        <f>Table13468111214[[#This Row],[Euro Area PMI]]-B150</f>
        <v/>
      </c>
      <c r="F162" s="56">
        <f>(Table13468111214[[#This Row],[EZU]]-D150)/D150</f>
        <v/>
      </c>
      <c r="G162" s="56" t="n">
        <v>0.02936166237860971</v>
      </c>
    </row>
    <row r="163">
      <c r="A163" s="10" t="n">
        <v>43101</v>
      </c>
      <c r="B163" s="25" t="n">
        <v>59.6</v>
      </c>
      <c r="C163" s="25">
        <f>Table13468111214[[#This Row],[Euro Area PMI]]-B162</f>
        <v/>
      </c>
      <c r="D163" s="11" t="n">
        <v>41.687214</v>
      </c>
      <c r="E163" s="25">
        <f>Table13468111214[[#This Row],[Euro Area PMI]]-B151</f>
        <v/>
      </c>
      <c r="F163" s="56">
        <f>(Table13468111214[[#This Row],[EZU]]-D151)/D151</f>
        <v/>
      </c>
      <c r="G163" s="56" t="n"/>
    </row>
    <row r="164">
      <c r="A164" s="10" t="n">
        <v>43132</v>
      </c>
      <c r="B164" s="25" t="n">
        <v>58.6</v>
      </c>
      <c r="C164" s="25">
        <f>Table13468111214[[#This Row],[Euro Area PMI]]-B163</f>
        <v/>
      </c>
      <c r="D164" s="11" t="n">
        <v>39.190655</v>
      </c>
      <c r="E164" s="25">
        <f>Table13468111214[[#This Row],[Euro Area PMI]]-B152</f>
        <v/>
      </c>
      <c r="F164" s="56">
        <f>(Table13468111214[[#This Row],[EZU]]-D152)/D152</f>
        <v/>
      </c>
      <c r="G164" s="56" t="n"/>
    </row>
    <row r="165">
      <c r="A165" s="10" t="n">
        <v>43160</v>
      </c>
      <c r="B165" s="25" t="n">
        <v>56.6</v>
      </c>
      <c r="C165" s="25">
        <f>Table13468111214[[#This Row],[Euro Area PMI]]-B164</f>
        <v/>
      </c>
      <c r="D165" s="11" t="n">
        <v>38.930214</v>
      </c>
      <c r="E165" s="25">
        <f>Table13468111214[[#This Row],[Euro Area PMI]]-B153</f>
        <v/>
      </c>
      <c r="F165" s="56">
        <f>(Table13468111214[[#This Row],[EZU]]-D153)/D153</f>
        <v/>
      </c>
      <c r="G165" s="56" t="n">
        <v>0.01612637514117043</v>
      </c>
    </row>
    <row r="166">
      <c r="A166" s="10" t="n">
        <v>43191</v>
      </c>
      <c r="B166" s="25" t="n">
        <v>56.2</v>
      </c>
      <c r="C166" s="25">
        <f>Table13468111214[[#This Row],[Euro Area PMI]]-B165</f>
        <v/>
      </c>
      <c r="D166" s="11" t="n">
        <v>39.810303</v>
      </c>
      <c r="E166" s="25">
        <f>Table13468111214[[#This Row],[Euro Area PMI]]-B154</f>
        <v/>
      </c>
      <c r="F166" s="56">
        <f>(Table13468111214[[#This Row],[EZU]]-D154)/D154</f>
        <v/>
      </c>
      <c r="G166" s="56" t="n"/>
    </row>
    <row r="167">
      <c r="A167" s="10" t="n">
        <v>43221</v>
      </c>
      <c r="B167" s="25" t="n">
        <v>55.5</v>
      </c>
      <c r="C167" s="25">
        <f>Table13468111214[[#This Row],[Euro Area PMI]]-B166</f>
        <v/>
      </c>
      <c r="D167" s="11" t="n">
        <v>38.382412</v>
      </c>
      <c r="E167" s="25">
        <f>Table13468111214[[#This Row],[Euro Area PMI]]-B155</f>
        <v/>
      </c>
      <c r="F167" s="56">
        <f>(Table13468111214[[#This Row],[EZU]]-D155)/D155</f>
        <v/>
      </c>
      <c r="G167" s="56" t="n"/>
    </row>
    <row r="168">
      <c r="A168" s="10" t="n">
        <v>43252</v>
      </c>
      <c r="B168" s="25" t="n">
        <v>54.9</v>
      </c>
      <c r="C168" s="25">
        <f>Table13468111214[[#This Row],[Euro Area PMI]]-B167</f>
        <v/>
      </c>
      <c r="D168" s="11" t="n">
        <v>36.828796</v>
      </c>
      <c r="E168" s="25">
        <f>Table13468111214[[#This Row],[Euro Area PMI]]-B156</f>
        <v/>
      </c>
      <c r="F168" s="56">
        <f>(Table13468111214[[#This Row],[EZU]]-D156)/D156</f>
        <v/>
      </c>
      <c r="G168" s="56" t="n">
        <v>0.01533629995147701</v>
      </c>
    </row>
    <row r="169">
      <c r="A169" s="10" t="n">
        <v>43282</v>
      </c>
      <c r="B169" s="25" t="n">
        <v>55.1</v>
      </c>
      <c r="C169" s="25">
        <f>Table13468111214[[#This Row],[Euro Area PMI]]-B168</f>
        <v/>
      </c>
      <c r="D169" s="11" t="n">
        <v>39.162891</v>
      </c>
      <c r="E169" s="25">
        <f>Table13468111214[[#This Row],[Euro Area PMI]]-B157</f>
        <v/>
      </c>
      <c r="F169" s="56">
        <f>(Table13468111214[[#This Row],[EZU]]-D157)/D157</f>
        <v/>
      </c>
      <c r="G169" s="56" t="n"/>
    </row>
    <row r="170">
      <c r="A170" s="10" t="n">
        <v>43313</v>
      </c>
      <c r="B170" s="25" t="n">
        <v>54.6</v>
      </c>
      <c r="C170" s="25">
        <f>Table13468111214[[#This Row],[Euro Area PMI]]-B169</f>
        <v/>
      </c>
      <c r="D170" s="11" t="n">
        <v>37.920937</v>
      </c>
      <c r="E170" s="25">
        <f>Table13468111214[[#This Row],[Euro Area PMI]]-B158</f>
        <v/>
      </c>
      <c r="F170" s="56">
        <f>(Table13468111214[[#This Row],[EZU]]-D158)/D158</f>
        <v/>
      </c>
      <c r="G170" s="56" t="n"/>
    </row>
    <row r="171">
      <c r="A171" s="10" t="n">
        <v>43344</v>
      </c>
      <c r="B171" s="25" t="n">
        <v>53.2</v>
      </c>
      <c r="C171" s="25">
        <f>Table13468111214[[#This Row],[Euro Area PMI]]-B170</f>
        <v/>
      </c>
      <c r="D171" s="11" t="n">
        <v>37.727745</v>
      </c>
      <c r="E171" s="25">
        <f>Table13468111214[[#This Row],[Euro Area PMI]]-B159</f>
        <v/>
      </c>
      <c r="F171" s="56">
        <f>(Table13468111214[[#This Row],[EZU]]-D159)/D159</f>
        <v/>
      </c>
      <c r="G171" s="56" t="n">
        <v>0.006866771712166431</v>
      </c>
    </row>
    <row r="172">
      <c r="A172" s="10" t="n">
        <v>43374</v>
      </c>
      <c r="B172" s="25" t="n">
        <v>52</v>
      </c>
      <c r="C172" s="25">
        <f>Table13468111214[[#This Row],[Euro Area PMI]]-B171</f>
        <v/>
      </c>
      <c r="D172" s="11" t="n">
        <v>34.37907</v>
      </c>
      <c r="E172" s="25">
        <f>Table13468111214[[#This Row],[Euro Area PMI]]-B160</f>
        <v/>
      </c>
      <c r="F172" s="56">
        <f>(Table13468111214[[#This Row],[EZU]]-D160)/D160</f>
        <v/>
      </c>
      <c r="G172" s="56" t="n"/>
    </row>
    <row r="173">
      <c r="A173" s="10" t="n">
        <v>43405</v>
      </c>
      <c r="B173" s="25" t="n">
        <v>51.8</v>
      </c>
      <c r="C173" s="25">
        <f>Table13468111214[[#This Row],[Euro Area PMI]]-B172</f>
        <v/>
      </c>
      <c r="D173" s="11" t="n">
        <v>34.259472</v>
      </c>
      <c r="E173" s="25">
        <f>Table13468111214[[#This Row],[Euro Area PMI]]-B161</f>
        <v/>
      </c>
      <c r="F173" s="56">
        <f>(Table13468111214[[#This Row],[EZU]]-D161)/D161</f>
        <v/>
      </c>
      <c r="G173" s="56" t="n"/>
    </row>
    <row r="174">
      <c r="A174" s="10" t="n">
        <v>43435</v>
      </c>
      <c r="B174" s="25" t="n">
        <v>51.4</v>
      </c>
      <c r="C174" s="25">
        <f>Table13468111214[[#This Row],[Euro Area PMI]]-B173</f>
        <v/>
      </c>
      <c r="D174" s="11" t="n">
        <v>32.25396</v>
      </c>
      <c r="E174" s="25">
        <f>Table13468111214[[#This Row],[Euro Area PMI]]-B162</f>
        <v/>
      </c>
      <c r="F174" s="56">
        <f>(Table13468111214[[#This Row],[EZU]]-D162)/D162</f>
        <v/>
      </c>
      <c r="G174" s="56" t="n">
        <v>0.009532769369259064</v>
      </c>
    </row>
    <row r="175">
      <c r="A175" s="10" t="n">
        <v>43466</v>
      </c>
      <c r="B175" s="25" t="n">
        <v>50.5</v>
      </c>
      <c r="C175" s="25">
        <f>Table13468111214[[#This Row],[Euro Area PMI]]-B174</f>
        <v/>
      </c>
      <c r="D175" s="11" t="n">
        <v>34.547413</v>
      </c>
      <c r="E175" s="25">
        <f>Table13468111214[[#This Row],[Euro Area PMI]]-B163</f>
        <v/>
      </c>
      <c r="F175" s="56">
        <f>(Table13468111214[[#This Row],[EZU]]-D163)/D163</f>
        <v/>
      </c>
      <c r="G175" s="56" t="n"/>
    </row>
    <row r="176">
      <c r="A176" s="10" t="n">
        <v>43497</v>
      </c>
      <c r="B176" s="25" t="n">
        <v>49.3</v>
      </c>
      <c r="C176" s="25">
        <f>Table13468111214[[#This Row],[Euro Area PMI]]-B175</f>
        <v/>
      </c>
      <c r="D176" s="11" t="n">
        <v>35.629623</v>
      </c>
      <c r="E176" s="25">
        <f>Table13468111214[[#This Row],[Euro Area PMI]]-B164</f>
        <v/>
      </c>
      <c r="F176" s="56">
        <f>(Table13468111214[[#This Row],[EZU]]-D164)/D164</f>
        <v/>
      </c>
      <c r="G176" s="56" t="n"/>
    </row>
    <row r="177">
      <c r="A177" s="10" t="n">
        <v>43525</v>
      </c>
      <c r="B177" s="25" t="n">
        <v>47.5</v>
      </c>
      <c r="C177" s="25">
        <f>Table13468111214[[#This Row],[Euro Area PMI]]-B176</f>
        <v/>
      </c>
      <c r="D177" s="11" t="n">
        <v>35.703621</v>
      </c>
      <c r="E177" s="25">
        <f>Table13468111214[[#This Row],[Euro Area PMI]]-B165</f>
        <v/>
      </c>
      <c r="F177" s="56">
        <f>(Table13468111214[[#This Row],[EZU]]-D165)/D165</f>
        <v/>
      </c>
      <c r="G177" s="56" t="n">
        <v>0.0180880529414984</v>
      </c>
    </row>
    <row r="178">
      <c r="A178" s="10" t="n">
        <v>43556</v>
      </c>
      <c r="B178" s="25" t="n">
        <v>47.9</v>
      </c>
      <c r="C178" s="25">
        <f>Table13468111214[[#This Row],[Euro Area PMI]]-B177</f>
        <v/>
      </c>
      <c r="D178" s="11" t="n">
        <v>37.4888</v>
      </c>
      <c r="E178" s="25">
        <f>Table13468111214[[#This Row],[Euro Area PMI]]-B166</f>
        <v/>
      </c>
      <c r="F178" s="56">
        <f>(Table13468111214[[#This Row],[EZU]]-D166)/D166</f>
        <v/>
      </c>
      <c r="G178" s="56" t="n"/>
    </row>
    <row r="179">
      <c r="A179" s="10" t="n">
        <v>43586</v>
      </c>
      <c r="B179" s="25" t="n">
        <v>47.7</v>
      </c>
      <c r="C179" s="25">
        <f>Table13468111214[[#This Row],[Euro Area PMI]]-B178</f>
        <v/>
      </c>
      <c r="D179" s="11" t="n">
        <v>35.074642</v>
      </c>
      <c r="E179" s="25">
        <f>Table13468111214[[#This Row],[Euro Area PMI]]-B167</f>
        <v/>
      </c>
      <c r="F179" s="56">
        <f>(Table13468111214[[#This Row],[EZU]]-D167)/D167</f>
        <v/>
      </c>
      <c r="G179" s="56" t="n"/>
    </row>
    <row r="180">
      <c r="A180" s="10" t="n">
        <v>43617</v>
      </c>
      <c r="B180" s="25" t="n">
        <v>47.6</v>
      </c>
      <c r="C180" s="25">
        <f>Table13468111214[[#This Row],[Euro Area PMI]]-B179</f>
        <v/>
      </c>
      <c r="D180" s="11" t="n">
        <v>36.591587</v>
      </c>
      <c r="E180" s="25">
        <f>Table13468111214[[#This Row],[Euro Area PMI]]-B168</f>
        <v/>
      </c>
      <c r="F180" s="56">
        <f>(Table13468111214[[#This Row],[EZU]]-D168)/D168</f>
        <v/>
      </c>
      <c r="G180" s="56" t="n">
        <v>0.007578523033333839</v>
      </c>
    </row>
    <row r="181">
      <c r="A181" s="10" t="n">
        <v>43647</v>
      </c>
      <c r="B181" s="25" t="n">
        <v>46.5</v>
      </c>
      <c r="C181" s="25">
        <f>Table13468111214[[#This Row],[Euro Area PMI]]-B180</f>
        <v/>
      </c>
      <c r="D181" s="11" t="n">
        <v>36.554459</v>
      </c>
      <c r="E181" s="25">
        <f>Table13468111214[[#This Row],[Euro Area PMI]]-B169</f>
        <v/>
      </c>
      <c r="F181" s="56">
        <f>(Table13468111214[[#This Row],[EZU]]-D169)/D169</f>
        <v/>
      </c>
      <c r="G181" s="56" t="n"/>
    </row>
    <row r="182">
      <c r="A182" s="10" t="n">
        <v>43678</v>
      </c>
      <c r="B182" s="25" t="n">
        <v>47</v>
      </c>
      <c r="C182" s="25">
        <f>Table13468111214[[#This Row],[Euro Area PMI]]-B181</f>
        <v/>
      </c>
      <c r="D182" s="11" t="n">
        <v>36.00362</v>
      </c>
      <c r="E182" s="25">
        <f>Table13468111214[[#This Row],[Euro Area PMI]]-B170</f>
        <v/>
      </c>
      <c r="F182" s="56">
        <f>(Table13468111214[[#This Row],[EZU]]-D170)/D170</f>
        <v/>
      </c>
      <c r="G182" s="56" t="n"/>
    </row>
    <row r="183">
      <c r="A183" s="10" t="n">
        <v>43709</v>
      </c>
      <c r="B183" s="25" t="n">
        <v>45.7</v>
      </c>
      <c r="C183" s="25">
        <f>Table13468111214[[#This Row],[Euro Area PMI]]-B182</f>
        <v/>
      </c>
      <c r="D183" s="11" t="n">
        <v>36.934338</v>
      </c>
      <c r="E183" s="25">
        <f>Table13468111214[[#This Row],[Euro Area PMI]]-B171</f>
        <v/>
      </c>
      <c r="F183" s="56">
        <f>(Table13468111214[[#This Row],[EZU]]-D171)/D171</f>
        <v/>
      </c>
      <c r="G183" s="56" t="n"/>
    </row>
    <row r="184">
      <c r="A184" s="10" t="n">
        <v>43739</v>
      </c>
      <c r="B184" s="25" t="n">
        <v>45.9</v>
      </c>
      <c r="C184" s="25">
        <f>Table13468111214[[#This Row],[Euro Area PMI]]-B183</f>
        <v/>
      </c>
      <c r="D184" s="11" t="n">
        <v>38.387398</v>
      </c>
      <c r="E184" s="25">
        <f>Table13468111214[[#This Row],[Euro Area PMI]]-B172</f>
        <v/>
      </c>
      <c r="F184" s="56">
        <f>(Table13468111214[[#This Row],[EZU]]-D172)/D172</f>
        <v/>
      </c>
      <c r="G184" s="56" t="n"/>
    </row>
    <row r="185">
      <c r="A185" s="10" t="n">
        <v>43770</v>
      </c>
      <c r="B185" s="25" t="n">
        <v>46.9</v>
      </c>
      <c r="C185" s="25">
        <f>Table13468111214[[#This Row],[Euro Area PMI]]-B184</f>
        <v/>
      </c>
      <c r="D185" s="11" t="n">
        <v>38.738796</v>
      </c>
      <c r="E185" s="25">
        <f>Table13468111214[[#This Row],[Euro Area PMI]]-B173</f>
        <v/>
      </c>
      <c r="F185" s="56">
        <f>(Table13468111214[[#This Row],[EZU]]-D173)/D173</f>
        <v/>
      </c>
      <c r="G185" s="56" t="n"/>
    </row>
    <row r="186">
      <c r="A186" s="10" t="n">
        <v>43800</v>
      </c>
      <c r="B186" s="25" t="n">
        <v>46.3</v>
      </c>
      <c r="C186" s="25">
        <f>Table13468111214[[#This Row],[Euro Area PMI]]-B185</f>
        <v/>
      </c>
      <c r="D186" s="11" t="n">
        <v>39.81197</v>
      </c>
      <c r="E186" s="25">
        <f>Table13468111214[[#This Row],[Euro Area PMI]]-B174</f>
        <v/>
      </c>
      <c r="F186" s="56">
        <f>(Table13468111214[[#This Row],[EZU]]-D174)/D174</f>
        <v/>
      </c>
      <c r="G186" s="56" t="n"/>
    </row>
    <row r="187">
      <c r="A187" s="10" t="n">
        <v>43831</v>
      </c>
      <c r="B187" s="25" t="n">
        <v>47.9</v>
      </c>
      <c r="C187" s="25">
        <f>Table13468111214[[#This Row],[Euro Area PMI]]-B186</f>
        <v/>
      </c>
      <c r="D187" s="11" t="n">
        <v>38.602436</v>
      </c>
      <c r="E187" s="25">
        <f>Table13468111214[[#This Row],[Euro Area PMI]]-B175</f>
        <v/>
      </c>
      <c r="F187" s="56">
        <f>(Table13468111214[[#This Row],[EZU]]-D175)/D175</f>
        <v/>
      </c>
      <c r="G187" s="56" t="n"/>
    </row>
    <row r="188">
      <c r="A188" s="10" t="n">
        <v>43862</v>
      </c>
      <c r="B188" s="25" t="n">
        <v>49.2</v>
      </c>
      <c r="C188" s="25">
        <f>Table13468111214[[#This Row],[Euro Area PMI]]-B187</f>
        <v/>
      </c>
      <c r="D188" s="11" t="n">
        <v>35.751122</v>
      </c>
      <c r="E188" s="25">
        <f>Table13468111214[[#This Row],[Euro Area PMI]]-B176</f>
        <v/>
      </c>
      <c r="F188" s="56">
        <f>(Table13468111214[[#This Row],[EZU]]-D176)/D176</f>
        <v/>
      </c>
      <c r="G188" s="56" t="n"/>
    </row>
    <row r="189">
      <c r="A189" s="10" t="n">
        <v>43891</v>
      </c>
      <c r="B189" s="25" t="n">
        <v>44.5</v>
      </c>
      <c r="C189" s="25">
        <f>Table13468111214[[#This Row],[Euro Area PMI]]-B188</f>
        <v/>
      </c>
      <c r="D189" s="11" t="n">
        <v>29.094873</v>
      </c>
      <c r="E189" s="25">
        <f>Table13468111214[[#This Row],[Euro Area PMI]]-B177</f>
        <v/>
      </c>
      <c r="F189" s="56">
        <f>(Table13468111214[[#This Row],[EZU]]-D177)/D177</f>
        <v/>
      </c>
      <c r="G189" s="56" t="n"/>
    </row>
    <row r="190">
      <c r="A190" s="10" t="n">
        <v>43922</v>
      </c>
      <c r="B190" s="25" t="n">
        <v>33.4</v>
      </c>
      <c r="C190" s="25">
        <f>Table13468111214[[#This Row],[Euro Area PMI]]-B189</f>
        <v/>
      </c>
      <c r="D190" s="11" t="n">
        <v>30.887672</v>
      </c>
      <c r="E190" s="25">
        <f>Table13468111214[[#This Row],[Euro Area PMI]]-B178</f>
        <v/>
      </c>
      <c r="F190" s="56">
        <f>(Table13468111214[[#This Row],[EZU]]-D178)/D178</f>
        <v/>
      </c>
      <c r="G190" s="56" t="n"/>
    </row>
    <row r="191">
      <c r="A191" s="10" t="n">
        <v>43952</v>
      </c>
      <c r="B191" s="25" t="n">
        <v>39.4</v>
      </c>
      <c r="C191" s="25">
        <f>Table13468111214[[#This Row],[Euro Area PMI]]-B190</f>
        <v/>
      </c>
      <c r="D191" s="11" t="n">
        <v>33.166817</v>
      </c>
      <c r="E191" s="25">
        <f>Table13468111214[[#This Row],[Euro Area PMI]]-B179</f>
        <v/>
      </c>
      <c r="F191" s="56">
        <f>(Table13468111214[[#This Row],[EZU]]-D179)/D179</f>
        <v/>
      </c>
      <c r="G191" s="56" t="n"/>
    </row>
    <row r="192">
      <c r="A192" s="10" t="n">
        <v>43983</v>
      </c>
      <c r="B192" s="25" t="n">
        <v>47.4</v>
      </c>
      <c r="C192" s="25">
        <f>Table13468111214[[#This Row],[Euro Area PMI]]-B191</f>
        <v/>
      </c>
      <c r="D192" s="11" t="n">
        <v>34.787968</v>
      </c>
      <c r="E192" s="25">
        <f>Table13468111214[[#This Row],[Euro Area PMI]]-B180</f>
        <v/>
      </c>
      <c r="F192" s="56">
        <f>(Table13468111214[[#This Row],[EZU]]-D180)/D180</f>
        <v/>
      </c>
      <c r="G192" s="56" t="n"/>
    </row>
    <row r="193">
      <c r="A193" s="10" t="n">
        <v>44013</v>
      </c>
      <c r="B193" s="25" t="n">
        <v>51.8</v>
      </c>
      <c r="C193" s="25">
        <f>Table13468111214[[#This Row],[Euro Area PMI]]-B192</f>
        <v/>
      </c>
      <c r="D193" s="11" t="n">
        <v>36.242023</v>
      </c>
      <c r="E193" s="25">
        <f>Table13468111214[[#This Row],[Euro Area PMI]]-B181</f>
        <v/>
      </c>
      <c r="F193" s="56">
        <f>(Table13468111214[[#This Row],[EZU]]-D181)/D181</f>
        <v/>
      </c>
      <c r="G193" s="56" t="n"/>
    </row>
    <row r="194">
      <c r="A194" s="10" t="n">
        <v>44044</v>
      </c>
      <c r="B194" s="25" t="n">
        <v>51.7</v>
      </c>
      <c r="C194" s="25">
        <f>Table13468111214[[#This Row],[Euro Area PMI]]-B193</f>
        <v/>
      </c>
      <c r="D194" s="11" t="n">
        <v>37.896828</v>
      </c>
      <c r="E194" s="25">
        <f>Table13468111214[[#This Row],[Euro Area PMI]]-B182</f>
        <v/>
      </c>
      <c r="F194" s="56">
        <f>(Table13468111214[[#This Row],[EZU]]-D182)/D182</f>
        <v/>
      </c>
      <c r="G194" s="56" t="n"/>
    </row>
    <row r="195">
      <c r="A195" s="10" t="n">
        <v>44075</v>
      </c>
      <c r="B195" s="25" t="n">
        <v>53.7</v>
      </c>
      <c r="C195" s="25">
        <f>Table13468111214[[#This Row],[Euro Area PMI]]-B194</f>
        <v/>
      </c>
      <c r="D195" s="11" t="n">
        <v>36.482544</v>
      </c>
      <c r="E195" s="25">
        <f>Table13468111214[[#This Row],[Euro Area PMI]]-B183</f>
        <v/>
      </c>
      <c r="F195" s="56">
        <f>(Table13468111214[[#This Row],[EZU]]-D183)/D183</f>
        <v/>
      </c>
      <c r="G195" s="56" t="n"/>
    </row>
    <row r="196">
      <c r="A196" s="10" t="n">
        <v>44105</v>
      </c>
      <c r="B196" s="25" t="n">
        <v>54.8</v>
      </c>
      <c r="C196" s="25">
        <f>Table13468111214[[#This Row],[Euro Area PMI]]-B195</f>
        <v/>
      </c>
      <c r="D196" s="11" t="n">
        <v>34.519878</v>
      </c>
      <c r="E196" s="25">
        <f>Table13468111214[[#This Row],[Euro Area PMI]]-B184</f>
        <v/>
      </c>
      <c r="F196" s="56">
        <f>(Table13468111214[[#This Row],[EZU]]-D184)/D184</f>
        <v/>
      </c>
      <c r="G196" s="56" t="n"/>
    </row>
    <row r="197">
      <c r="A197" s="10" t="n">
        <v>44136</v>
      </c>
      <c r="B197" s="25" t="n">
        <v>53.8</v>
      </c>
      <c r="C197" s="25">
        <f>Table13468111214[[#This Row],[Euro Area PMI]]-B196</f>
        <v/>
      </c>
      <c r="D197" s="11" t="n">
        <v>41.312252</v>
      </c>
      <c r="E197" s="25">
        <f>Table13468111214[[#This Row],[Euro Area PMI]]-B185</f>
        <v/>
      </c>
      <c r="F197" s="56">
        <f>(Table13468111214[[#This Row],[EZU]]-D185)/D185</f>
        <v/>
      </c>
      <c r="G197" s="56" t="n"/>
    </row>
    <row r="198">
      <c r="A198" s="10" t="n">
        <v>44166</v>
      </c>
      <c r="B198" s="25" t="n">
        <v>55.2</v>
      </c>
      <c r="C198" s="25">
        <f>Table13468111214[[#This Row],[Euro Area PMI]]-B197</f>
        <v/>
      </c>
      <c r="D198" s="11" t="n">
        <v>42.409039</v>
      </c>
      <c r="E198" s="25">
        <f>Table13468111214[[#This Row],[Euro Area PMI]]-B186</f>
        <v/>
      </c>
      <c r="F198" s="56">
        <f>(Table13468111214[[#This Row],[EZU]]-D186)/D186</f>
        <v/>
      </c>
      <c r="G198" s="56" t="n"/>
    </row>
    <row r="199">
      <c r="A199" s="10" t="n">
        <v>44197</v>
      </c>
      <c r="B199" s="25" t="n">
        <v>54.8</v>
      </c>
      <c r="C199" s="25">
        <f>Table13468111214[[#This Row],[Euro Area PMI]]-B198</f>
        <v/>
      </c>
      <c r="D199" s="11" t="n">
        <v>42.269043</v>
      </c>
      <c r="E199" s="25">
        <f>Table13468111214[[#This Row],[Euro Area PMI]]-B187</f>
        <v/>
      </c>
      <c r="F199" s="56">
        <f>(Table13468111214[[#This Row],[EZU]]-D187)/D187</f>
        <v/>
      </c>
      <c r="G199" s="56" t="n"/>
    </row>
    <row r="200">
      <c r="A200" s="10" t="n">
        <v>44228</v>
      </c>
      <c r="B200" s="25" t="n">
        <v>57.9</v>
      </c>
      <c r="C200" s="25">
        <f>Table13468111214[[#This Row],[Euro Area PMI]]-B199</f>
        <v/>
      </c>
      <c r="D200" s="11" t="n">
        <v>43.703705</v>
      </c>
      <c r="E200" s="25">
        <f>Table13468111214[[#This Row],[Euro Area PMI]]-B188</f>
        <v/>
      </c>
      <c r="F200" s="56">
        <f>(Table13468111214[[#This Row],[EZU]]-D188)/D188</f>
        <v/>
      </c>
      <c r="G200" s="56" t="n"/>
    </row>
    <row r="201">
      <c r="A201" s="10" t="n">
        <v>44256</v>
      </c>
      <c r="B201" s="25" t="n">
        <v>62.5</v>
      </c>
      <c r="C201" s="25">
        <f>Table13468111214[[#This Row],[Euro Area PMI]]-B200</f>
        <v/>
      </c>
      <c r="D201" s="11" t="n">
        <v>45.314049</v>
      </c>
      <c r="E201" s="25">
        <f>Table13468111214[[#This Row],[Euro Area PMI]]-B189</f>
        <v/>
      </c>
      <c r="F201" s="56">
        <f>(Table13468111214[[#This Row],[EZU]]-D189)/D189</f>
        <v/>
      </c>
      <c r="G201" s="56" t="n"/>
    </row>
    <row r="202">
      <c r="A202" s="10" t="n">
        <v>44287</v>
      </c>
      <c r="B202" s="25" t="n">
        <v>62.9</v>
      </c>
      <c r="C202" s="25">
        <f>Table13468111214[[#This Row],[Euro Area PMI]]-B201</f>
        <v/>
      </c>
      <c r="D202" s="11" t="n">
        <v>47.422134</v>
      </c>
      <c r="E202" s="25">
        <f>Table13468111214[[#This Row],[Euro Area PMI]]-B190</f>
        <v/>
      </c>
      <c r="F202" s="56">
        <f>(Table13468111214[[#This Row],[EZU]]-D190)/D190</f>
        <v/>
      </c>
      <c r="G202" s="56" t="n"/>
    </row>
    <row r="203">
      <c r="A203" s="10" t="n">
        <v>44317</v>
      </c>
      <c r="B203" s="25" t="n">
        <v>63.1</v>
      </c>
      <c r="C203" s="25">
        <f>Table13468111214[[#This Row],[Euro Area PMI]]-B202</f>
        <v/>
      </c>
      <c r="D203" s="11" t="n">
        <v>49.500938</v>
      </c>
      <c r="E203" s="25">
        <f>Table13468111214[[#This Row],[Euro Area PMI]]-B191</f>
        <v/>
      </c>
      <c r="F203" s="56">
        <f>(Table13468111214[[#This Row],[EZU]]-D191)/D191</f>
        <v/>
      </c>
      <c r="G203" s="56" t="n"/>
    </row>
    <row r="204">
      <c r="A204" s="10" t="n">
        <v>44348</v>
      </c>
      <c r="B204" s="25" t="n">
        <v>63.4</v>
      </c>
      <c r="C204" s="25">
        <f>Table13468111214[[#This Row],[Euro Area PMI]]-B203</f>
        <v/>
      </c>
      <c r="D204" s="11" t="n">
        <v>48.163864</v>
      </c>
      <c r="E204" s="25">
        <f>Table13468111214[[#This Row],[Euro Area PMI]]-B192</f>
        <v/>
      </c>
      <c r="F204" s="56">
        <f>(Table13468111214[[#This Row],[EZU]]-D192)/D192</f>
        <v/>
      </c>
      <c r="G204" s="56" t="n"/>
    </row>
    <row r="205">
      <c r="A205" s="10" t="n">
        <v>44378</v>
      </c>
      <c r="B205" s="25" t="n">
        <v>62.8</v>
      </c>
      <c r="C205" s="25">
        <f>Table13468111214[[#This Row],[Euro Area PMI]]-B204</f>
        <v/>
      </c>
      <c r="D205" s="11" t="n">
        <v>49.115421</v>
      </c>
      <c r="E205" s="25">
        <f>Table13468111214[[#This Row],[Euro Area PMI]]-B193</f>
        <v/>
      </c>
      <c r="F205" s="56">
        <f>(Table13468111214[[#This Row],[EZU]]-D193)/D193</f>
        <v/>
      </c>
      <c r="G205" s="56" t="n"/>
    </row>
    <row r="206">
      <c r="A206" s="10" t="n">
        <v>44409</v>
      </c>
      <c r="B206" s="25" t="n">
        <v>61.4</v>
      </c>
      <c r="C206" s="25">
        <f>Table13468111214[[#This Row],[Euro Area PMI]]-B205</f>
        <v/>
      </c>
      <c r="D206" s="11" t="n">
        <v>50.080978</v>
      </c>
      <c r="E206" s="25">
        <f>Table13468111214[[#This Row],[Euro Area PMI]]-B194</f>
        <v/>
      </c>
      <c r="F206" s="56">
        <f>(Table13468111214[[#This Row],[EZU]]-D194)/D194</f>
        <v/>
      </c>
      <c r="G206" s="56" t="n"/>
    </row>
    <row r="207">
      <c r="A207" s="10" t="n">
        <v>44440</v>
      </c>
      <c r="B207" s="25" t="n">
        <v>58.6</v>
      </c>
      <c r="C207" s="25">
        <f>Table13468111214[[#This Row],[Euro Area PMI]]-B206</f>
        <v/>
      </c>
      <c r="D207" s="11" t="n">
        <v>47.410915</v>
      </c>
      <c r="E207" s="25">
        <f>Table13468111214[[#This Row],[Euro Area PMI]]-B195</f>
        <v/>
      </c>
      <c r="F207" s="56">
        <f>(Table13468111214[[#This Row],[EZU]]-D195)/D195</f>
        <v/>
      </c>
      <c r="G207" s="56" t="n"/>
    </row>
    <row r="208">
      <c r="A208" s="10" t="n">
        <v>44470</v>
      </c>
      <c r="B208" s="25" t="n">
        <v>58.3</v>
      </c>
      <c r="C208" s="25">
        <f>Table13468111214[[#This Row],[Euro Area PMI]]-B207</f>
        <v/>
      </c>
      <c r="D208" s="11" t="n">
        <v>49.578495</v>
      </c>
      <c r="E208" s="25">
        <f>Table13468111214[[#This Row],[Euro Area PMI]]-B196</f>
        <v/>
      </c>
      <c r="F208" s="56">
        <f>(Table13468111214[[#This Row],[EZU]]-D196)/D196</f>
        <v/>
      </c>
      <c r="G208" s="56" t="n"/>
    </row>
    <row r="209">
      <c r="A209" s="10" t="n">
        <v>44501</v>
      </c>
      <c r="B209" s="25" t="n">
        <v>58.4</v>
      </c>
      <c r="C209" s="25">
        <f>Table13468111214[[#This Row],[Euro Area PMI]]-B208</f>
        <v/>
      </c>
      <c r="D209" s="11" t="n">
        <v>46.898575</v>
      </c>
      <c r="E209" s="25">
        <f>Table13468111214[[#This Row],[Euro Area PMI]]-B197</f>
        <v/>
      </c>
      <c r="F209" s="56">
        <f>(Table13468111214[[#This Row],[EZU]]-D197)/D197</f>
        <v/>
      </c>
      <c r="G209" s="56" t="n"/>
    </row>
    <row r="210">
      <c r="A210" s="10" t="n">
        <v>44531</v>
      </c>
      <c r="B210" s="25" t="n">
        <v>58</v>
      </c>
      <c r="C210" s="25">
        <f>Table13468111214[[#This Row],[Euro Area PMI]]-B209</f>
        <v/>
      </c>
      <c r="D210" s="11" t="n">
        <v>48.287796</v>
      </c>
      <c r="E210" s="25">
        <f>Table13468111214[[#This Row],[Euro Area PMI]]-B198</f>
        <v/>
      </c>
      <c r="F210" s="56">
        <f>(Table13468111214[[#This Row],[EZU]]-D198)/D198</f>
        <v/>
      </c>
      <c r="G210" s="56" t="n"/>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2"/>
  <sheetViews>
    <sheetView zoomScale="150" zoomScaleNormal="150" workbookViewId="0">
      <pane ySplit="5" topLeftCell="A137"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Japan</t>
        </is>
      </c>
      <c r="K1" s="84" t="inlineStr">
        <is>
          <t xml:space="preserve"> Manufacturing PMI</t>
        </is>
      </c>
    </row>
    <row r="2">
      <c r="A2" s="84" t="inlineStr">
        <is>
          <t>japan</t>
        </is>
      </c>
      <c r="K2" s="84">
        <f>A1&amp;K1</f>
        <v/>
      </c>
    </row>
    <row r="4" ht="16" customHeight="1" s="76" thickBot="1"/>
    <row r="5" ht="16" customHeight="1" s="76" thickBot="1">
      <c r="A5" s="22" t="inlineStr">
        <is>
          <t>Date</t>
        </is>
      </c>
      <c r="B5" s="23" t="inlineStr">
        <is>
          <t>PMI</t>
        </is>
      </c>
      <c r="C5" s="23" t="inlineStr">
        <is>
          <t>mom</t>
        </is>
      </c>
    </row>
    <row r="6">
      <c r="A6" s="18" t="n">
        <v>39479</v>
      </c>
      <c r="B6" s="19" t="n">
        <v>50.8</v>
      </c>
      <c r="C6" s="19" t="n"/>
    </row>
    <row r="7">
      <c r="A7" s="10" t="n">
        <v>39508</v>
      </c>
      <c r="B7" s="25" t="n">
        <v>49.5</v>
      </c>
      <c r="C7" s="25">
        <f>Table1346811121415161718192022[[#This Row],[PMI]]-B6</f>
        <v/>
      </c>
    </row>
    <row r="8">
      <c r="A8" s="10" t="n">
        <v>39539</v>
      </c>
      <c r="B8" s="25" t="n">
        <v>48.6</v>
      </c>
      <c r="C8" s="25">
        <f>Table1346811121415161718192022[[#This Row],[PMI]]-B7</f>
        <v/>
      </c>
    </row>
    <row r="9">
      <c r="A9" s="10" t="n">
        <v>39569</v>
      </c>
      <c r="B9" s="25" t="n">
        <v>47.7</v>
      </c>
      <c r="C9" s="25">
        <f>Table1346811121415161718192022[[#This Row],[PMI]]-B8</f>
        <v/>
      </c>
    </row>
    <row r="10">
      <c r="A10" s="10" t="n">
        <v>39600</v>
      </c>
      <c r="B10" s="25" t="n">
        <v>46.5</v>
      </c>
      <c r="C10" s="25">
        <f>Table1346811121415161718192022[[#This Row],[PMI]]-B9</f>
        <v/>
      </c>
    </row>
    <row r="11">
      <c r="A11" s="10" t="n">
        <v>39630</v>
      </c>
      <c r="B11" s="25" t="n">
        <v>47</v>
      </c>
      <c r="C11" s="25">
        <f>Table1346811121415161718192022[[#This Row],[PMI]]-B10</f>
        <v/>
      </c>
    </row>
    <row r="12">
      <c r="A12" s="10" t="n">
        <v>39661</v>
      </c>
      <c r="B12" s="25" t="n">
        <v>46.9</v>
      </c>
      <c r="C12" s="25">
        <f>Table1346811121415161718192022[[#This Row],[PMI]]-B11</f>
        <v/>
      </c>
    </row>
    <row r="13">
      <c r="A13" s="10" t="n">
        <v>39692</v>
      </c>
      <c r="B13" s="25" t="n">
        <v>44.3</v>
      </c>
      <c r="C13" s="25">
        <f>Table1346811121415161718192022[[#This Row],[PMI]]-B12</f>
        <v/>
      </c>
    </row>
    <row r="14">
      <c r="A14" s="10" t="n">
        <v>39722</v>
      </c>
      <c r="B14" s="25" t="n">
        <v>42.2</v>
      </c>
      <c r="C14" s="25">
        <f>Table1346811121415161718192022[[#This Row],[PMI]]-B13</f>
        <v/>
      </c>
    </row>
    <row r="15">
      <c r="A15" s="10" t="n">
        <v>39753</v>
      </c>
      <c r="B15" s="25" t="n">
        <v>36.7</v>
      </c>
      <c r="C15" s="25">
        <f>Table1346811121415161718192022[[#This Row],[PMI]]-B14</f>
        <v/>
      </c>
    </row>
    <row r="16">
      <c r="A16" s="10" t="n">
        <v>39783</v>
      </c>
      <c r="B16" s="25" t="n">
        <v>30.8</v>
      </c>
      <c r="C16" s="25">
        <f>Table1346811121415161718192022[[#This Row],[PMI]]-B15</f>
        <v/>
      </c>
    </row>
    <row r="17">
      <c r="A17" s="10" t="n">
        <v>39814</v>
      </c>
      <c r="B17" s="25" t="n">
        <v>29.6</v>
      </c>
      <c r="C17" s="25">
        <f>Table1346811121415161718192022[[#This Row],[PMI]]-B16</f>
        <v/>
      </c>
    </row>
    <row r="18">
      <c r="A18" s="10" t="n">
        <v>39845</v>
      </c>
      <c r="B18" s="25" t="n">
        <v>31.6</v>
      </c>
      <c r="C18" s="25">
        <f>Table1346811121415161718192022[[#This Row],[PMI]]-B17</f>
        <v/>
      </c>
    </row>
    <row r="19">
      <c r="A19" s="10" t="n">
        <v>39873</v>
      </c>
      <c r="B19" s="25" t="n">
        <v>33.8</v>
      </c>
      <c r="C19" s="25">
        <f>Table1346811121415161718192022[[#This Row],[PMI]]-B18</f>
        <v/>
      </c>
    </row>
    <row r="20">
      <c r="A20" s="10" t="n">
        <v>39904</v>
      </c>
      <c r="B20" s="25" t="n">
        <v>41.4</v>
      </c>
      <c r="C20" s="25">
        <f>Table1346811121415161718192022[[#This Row],[PMI]]-B19</f>
        <v/>
      </c>
    </row>
    <row r="21">
      <c r="A21" s="10" t="n">
        <v>39934</v>
      </c>
      <c r="B21" s="25" t="n">
        <v>46.6</v>
      </c>
      <c r="C21" s="25">
        <f>Table1346811121415161718192022[[#This Row],[PMI]]-B20</f>
        <v/>
      </c>
    </row>
    <row r="22">
      <c r="A22" s="10" t="n">
        <v>39965</v>
      </c>
      <c r="B22" s="25" t="n">
        <v>48.2</v>
      </c>
      <c r="C22" s="25">
        <f>Table1346811121415161718192022[[#This Row],[PMI]]-B21</f>
        <v/>
      </c>
    </row>
    <row r="23">
      <c r="A23" s="10" t="n">
        <v>39995</v>
      </c>
      <c r="B23" s="25" t="n">
        <v>50.4</v>
      </c>
      <c r="C23" s="25">
        <f>Table1346811121415161718192022[[#This Row],[PMI]]-B22</f>
        <v/>
      </c>
    </row>
    <row r="24">
      <c r="A24" s="10" t="n">
        <v>40026</v>
      </c>
      <c r="B24" s="25" t="n">
        <v>53.6</v>
      </c>
      <c r="C24" s="25">
        <f>Table1346811121415161718192022[[#This Row],[PMI]]-B23</f>
        <v/>
      </c>
    </row>
    <row r="25">
      <c r="A25" s="10" t="n">
        <v>40057</v>
      </c>
      <c r="B25" s="25" t="n">
        <v>54.5</v>
      </c>
      <c r="C25" s="25">
        <f>Table1346811121415161718192022[[#This Row],[PMI]]-B24</f>
        <v/>
      </c>
    </row>
    <row r="26">
      <c r="A26" s="10" t="n">
        <v>40087</v>
      </c>
      <c r="B26" s="25" t="n">
        <v>54.3</v>
      </c>
      <c r="C26" s="25">
        <f>Table1346811121415161718192022[[#This Row],[PMI]]-B25</f>
        <v/>
      </c>
    </row>
    <row r="27">
      <c r="A27" s="10" t="n">
        <v>40118</v>
      </c>
      <c r="B27" s="25" t="n">
        <v>52.3</v>
      </c>
      <c r="C27" s="25">
        <f>Table1346811121415161718192022[[#This Row],[PMI]]-B26</f>
        <v/>
      </c>
    </row>
    <row r="28">
      <c r="A28" s="10" t="n">
        <v>40148</v>
      </c>
      <c r="B28" s="25" t="n">
        <v>53.8</v>
      </c>
      <c r="C28" s="25">
        <f>Table1346811121415161718192022[[#This Row],[PMI]]-B27</f>
        <v/>
      </c>
    </row>
    <row r="29">
      <c r="A29" s="10" t="n">
        <v>40179</v>
      </c>
      <c r="B29" s="25" t="n">
        <v>52.5</v>
      </c>
      <c r="C29" s="25">
        <f>Table1346811121415161718192022[[#This Row],[PMI]]-B28</f>
        <v/>
      </c>
    </row>
    <row r="30">
      <c r="A30" s="10" t="n">
        <v>40210</v>
      </c>
      <c r="B30" s="25" t="n">
        <v>52.5</v>
      </c>
      <c r="C30" s="25">
        <f>Table1346811121415161718192022[[#This Row],[PMI]]-B29</f>
        <v/>
      </c>
    </row>
    <row r="31">
      <c r="A31" s="10" t="n">
        <v>40238</v>
      </c>
      <c r="B31" s="25" t="n">
        <v>52.4</v>
      </c>
      <c r="C31" s="25">
        <f>Table1346811121415161718192022[[#This Row],[PMI]]-B30</f>
        <v/>
      </c>
    </row>
    <row r="32">
      <c r="A32" s="10" t="n">
        <v>40269</v>
      </c>
      <c r="B32" s="25" t="n">
        <v>53.5</v>
      </c>
      <c r="C32" s="25">
        <f>Table1346811121415161718192022[[#This Row],[PMI]]-B31</f>
        <v/>
      </c>
    </row>
    <row r="33">
      <c r="A33" s="10" t="n">
        <v>40299</v>
      </c>
      <c r="B33" s="25" t="n">
        <v>54.7</v>
      </c>
      <c r="C33" s="25">
        <f>Table1346811121415161718192022[[#This Row],[PMI]]-B32</f>
        <v/>
      </c>
    </row>
    <row r="34">
      <c r="A34" s="10" t="n">
        <v>40330</v>
      </c>
      <c r="B34" s="25" t="n">
        <v>53.9</v>
      </c>
      <c r="C34" s="25">
        <f>Table1346811121415161718192022[[#This Row],[PMI]]-B33</f>
        <v/>
      </c>
    </row>
    <row r="35">
      <c r="A35" s="10" t="n">
        <v>40360</v>
      </c>
      <c r="B35" s="25" t="n">
        <v>52.8</v>
      </c>
      <c r="C35" s="25">
        <f>Table1346811121415161718192022[[#This Row],[PMI]]-B34</f>
        <v/>
      </c>
    </row>
    <row r="36">
      <c r="A36" s="10" t="n">
        <v>40391</v>
      </c>
      <c r="B36" s="25" t="n">
        <v>50.1</v>
      </c>
      <c r="C36" s="25">
        <f>Table1346811121415161718192022[[#This Row],[PMI]]-B35</f>
        <v/>
      </c>
    </row>
    <row r="37">
      <c r="A37" s="10" t="n">
        <v>40422</v>
      </c>
      <c r="B37" s="25" t="n">
        <v>49.5</v>
      </c>
      <c r="C37" s="25">
        <f>Table1346811121415161718192022[[#This Row],[PMI]]-B36</f>
        <v/>
      </c>
    </row>
    <row r="38">
      <c r="A38" s="10" t="n">
        <v>40452</v>
      </c>
      <c r="B38" s="25" t="n">
        <v>47.2</v>
      </c>
      <c r="C38" s="25">
        <f>Table1346811121415161718192022[[#This Row],[PMI]]-B37</f>
        <v/>
      </c>
    </row>
    <row r="39">
      <c r="A39" s="10" t="n">
        <v>40483</v>
      </c>
      <c r="B39" s="25" t="n">
        <v>47.3</v>
      </c>
      <c r="C39" s="25">
        <f>Table1346811121415161718192022[[#This Row],[PMI]]-B38</f>
        <v/>
      </c>
    </row>
    <row r="40">
      <c r="A40" s="10" t="n">
        <v>40513</v>
      </c>
      <c r="B40" s="25" t="n">
        <v>48.3</v>
      </c>
      <c r="C40" s="25">
        <f>Table1346811121415161718192022[[#This Row],[PMI]]-B39</f>
        <v/>
      </c>
    </row>
    <row r="41">
      <c r="A41" s="10" t="n">
        <v>40544</v>
      </c>
      <c r="B41" s="25" t="n">
        <v>51.4</v>
      </c>
      <c r="C41" s="25">
        <f>Table1346811121415161718192022[[#This Row],[PMI]]-B40</f>
        <v/>
      </c>
    </row>
    <row r="42">
      <c r="A42" s="10" t="n">
        <v>40575</v>
      </c>
      <c r="B42" s="25" t="n">
        <v>52.9</v>
      </c>
      <c r="C42" s="25">
        <f>Table1346811121415161718192022[[#This Row],[PMI]]-B41</f>
        <v/>
      </c>
    </row>
    <row r="43">
      <c r="A43" s="10" t="n">
        <v>40603</v>
      </c>
      <c r="B43" s="25" t="n">
        <v>46.4</v>
      </c>
      <c r="C43" s="25">
        <f>Table1346811121415161718192022[[#This Row],[PMI]]-B42</f>
        <v/>
      </c>
    </row>
    <row r="44">
      <c r="A44" s="10" t="n">
        <v>40634</v>
      </c>
      <c r="B44" s="25" t="n">
        <v>45.7</v>
      </c>
      <c r="C44" s="25">
        <f>Table1346811121415161718192022[[#This Row],[PMI]]-B43</f>
        <v/>
      </c>
    </row>
    <row r="45">
      <c r="A45" s="10" t="n">
        <v>40664</v>
      </c>
      <c r="B45" s="25" t="n">
        <v>51.3</v>
      </c>
      <c r="C45" s="25">
        <f>Table1346811121415161718192022[[#This Row],[PMI]]-B44</f>
        <v/>
      </c>
    </row>
    <row r="46">
      <c r="A46" s="10" t="n">
        <v>40695</v>
      </c>
      <c r="B46" s="25" t="n">
        <v>50.7</v>
      </c>
      <c r="C46" s="25">
        <f>Table1346811121415161718192022[[#This Row],[PMI]]-B45</f>
        <v/>
      </c>
    </row>
    <row r="47">
      <c r="A47" s="10" t="n">
        <v>40725</v>
      </c>
      <c r="B47" s="25" t="n">
        <v>52.1</v>
      </c>
      <c r="C47" s="25">
        <f>Table1346811121415161718192022[[#This Row],[PMI]]-B46</f>
        <v/>
      </c>
    </row>
    <row r="48">
      <c r="A48" s="10" t="n">
        <v>40756</v>
      </c>
      <c r="B48" s="25" t="n">
        <v>51.9</v>
      </c>
      <c r="C48" s="25">
        <f>Table1346811121415161718192022[[#This Row],[PMI]]-B47</f>
        <v/>
      </c>
    </row>
    <row r="49">
      <c r="A49" s="10" t="n">
        <v>40787</v>
      </c>
      <c r="B49" s="25" t="n">
        <v>49.3</v>
      </c>
      <c r="C49" s="25">
        <f>Table1346811121415161718192022[[#This Row],[PMI]]-B48</f>
        <v/>
      </c>
    </row>
    <row r="50">
      <c r="A50" s="10" t="n">
        <v>40817</v>
      </c>
      <c r="B50" s="25" t="n">
        <v>50.6</v>
      </c>
      <c r="C50" s="25">
        <f>Table1346811121415161718192022[[#This Row],[PMI]]-B49</f>
        <v/>
      </c>
    </row>
    <row r="51">
      <c r="A51" s="10" t="n">
        <v>40848</v>
      </c>
      <c r="B51" s="25" t="n">
        <v>49.1</v>
      </c>
      <c r="C51" s="25">
        <f>Table1346811121415161718192022[[#This Row],[PMI]]-B50</f>
        <v/>
      </c>
    </row>
    <row r="52">
      <c r="A52" s="10" t="n">
        <v>40878</v>
      </c>
      <c r="B52" s="25" t="n">
        <v>50.2</v>
      </c>
      <c r="C52" s="25">
        <f>Table1346811121415161718192022[[#This Row],[PMI]]-B51</f>
        <v/>
      </c>
    </row>
    <row r="53">
      <c r="A53" s="10" t="n">
        <v>40909</v>
      </c>
      <c r="B53" s="25" t="n">
        <v>50.7</v>
      </c>
      <c r="C53" s="25">
        <f>Table1346811121415161718192022[[#This Row],[PMI]]-B52</f>
        <v/>
      </c>
    </row>
    <row r="54">
      <c r="A54" s="10" t="n">
        <v>40940</v>
      </c>
      <c r="B54" s="25" t="n">
        <v>50.5</v>
      </c>
      <c r="C54" s="25">
        <f>Table1346811121415161718192022[[#This Row],[PMI]]-B53</f>
        <v/>
      </c>
    </row>
    <row r="55">
      <c r="A55" s="10" t="n">
        <v>40969</v>
      </c>
      <c r="B55" s="25" t="n">
        <v>51.1</v>
      </c>
      <c r="C55" s="25">
        <f>Table1346811121415161718192022[[#This Row],[PMI]]-B54</f>
        <v/>
      </c>
    </row>
    <row r="56">
      <c r="A56" s="10" t="n">
        <v>41000</v>
      </c>
      <c r="B56" s="25" t="n">
        <v>50.7</v>
      </c>
      <c r="C56" s="25">
        <f>Table1346811121415161718192022[[#This Row],[PMI]]-B55</f>
        <v/>
      </c>
    </row>
    <row r="57">
      <c r="A57" s="10" t="n">
        <v>41030</v>
      </c>
      <c r="B57" s="25" t="n">
        <v>50.7</v>
      </c>
      <c r="C57" s="25">
        <f>Table1346811121415161718192022[[#This Row],[PMI]]-B56</f>
        <v/>
      </c>
    </row>
    <row r="58">
      <c r="A58" s="10" t="n">
        <v>41061</v>
      </c>
      <c r="B58" s="25" t="n">
        <v>52.6</v>
      </c>
      <c r="C58" s="25">
        <f>Table1346811121415161718192022[[#This Row],[PMI]]-B57</f>
        <v/>
      </c>
    </row>
    <row r="59">
      <c r="A59" s="10" t="n">
        <v>41091</v>
      </c>
      <c r="B59" s="25" t="n">
        <v>52</v>
      </c>
      <c r="C59" s="25">
        <f>Table1346811121415161718192022[[#This Row],[PMI]]-B58</f>
        <v/>
      </c>
    </row>
    <row r="60">
      <c r="A60" s="10" t="n">
        <v>41122</v>
      </c>
      <c r="B60" s="25" t="n">
        <v>52.1</v>
      </c>
      <c r="C60" s="25">
        <f>Table1346811121415161718192022[[#This Row],[PMI]]-B59</f>
        <v/>
      </c>
    </row>
    <row r="61">
      <c r="A61" s="10" t="n">
        <v>41153</v>
      </c>
      <c r="B61" s="25" t="n">
        <v>48</v>
      </c>
      <c r="C61" s="25">
        <f>Table1346811121415161718192022[[#This Row],[PMI]]-B60</f>
        <v/>
      </c>
    </row>
    <row r="62">
      <c r="A62" s="10" t="n">
        <v>41183</v>
      </c>
      <c r="B62" s="25" t="n">
        <v>46.9</v>
      </c>
      <c r="C62" s="25">
        <f>Table1346811121415161718192022[[#This Row],[PMI]]-B61</f>
        <v/>
      </c>
    </row>
    <row r="63">
      <c r="A63" s="10" t="n">
        <v>41214</v>
      </c>
      <c r="B63" s="25" t="n">
        <v>46.5</v>
      </c>
      <c r="C63" s="25">
        <f>Table1346811121415161718192022[[#This Row],[PMI]]-B62</f>
        <v/>
      </c>
    </row>
    <row r="64">
      <c r="A64" s="10" t="n">
        <v>41244</v>
      </c>
      <c r="B64" s="25" t="n">
        <v>45</v>
      </c>
      <c r="C64" s="25">
        <f>Table1346811121415161718192022[[#This Row],[PMI]]-B63</f>
        <v/>
      </c>
    </row>
    <row r="65">
      <c r="A65" s="10" t="n">
        <v>41275</v>
      </c>
      <c r="B65" s="25" t="n">
        <v>47.7</v>
      </c>
      <c r="C65" s="25">
        <f>Table1346811121415161718192022[[#This Row],[PMI]]-B64</f>
        <v/>
      </c>
    </row>
    <row r="66">
      <c r="A66" s="10" t="n">
        <v>41306</v>
      </c>
      <c r="B66" s="25" t="n">
        <v>48.5</v>
      </c>
      <c r="C66" s="25">
        <f>Table1346811121415161718192022[[#This Row],[PMI]]-B65</f>
        <v/>
      </c>
    </row>
    <row r="67">
      <c r="A67" s="10" t="n">
        <v>41334</v>
      </c>
      <c r="B67" s="25" t="n">
        <v>50.4</v>
      </c>
      <c r="C67" s="25">
        <f>Table1346811121415161718192022[[#This Row],[PMI]]-B66</f>
        <v/>
      </c>
    </row>
    <row r="68">
      <c r="A68" s="10" t="n">
        <v>41365</v>
      </c>
      <c r="B68" s="25" t="n">
        <v>51.1</v>
      </c>
      <c r="C68" s="25">
        <f>Table1346811121415161718192022[[#This Row],[PMI]]-B67</f>
        <v/>
      </c>
    </row>
    <row r="69">
      <c r="A69" s="10" t="n">
        <v>41395</v>
      </c>
      <c r="B69" s="25" t="n">
        <v>51.5</v>
      </c>
      <c r="C69" s="25">
        <f>Table1346811121415161718192022[[#This Row],[PMI]]-B68</f>
        <v/>
      </c>
    </row>
    <row r="70">
      <c r="A70" s="10" t="n">
        <v>41426</v>
      </c>
      <c r="B70" s="25" t="n">
        <v>52.3</v>
      </c>
      <c r="C70" s="25">
        <f>Table1346811121415161718192022[[#This Row],[PMI]]-B69</f>
        <v/>
      </c>
    </row>
    <row r="71">
      <c r="A71" s="10" t="n">
        <v>41456</v>
      </c>
      <c r="B71" s="25" t="n">
        <v>50.7</v>
      </c>
      <c r="C71" s="25">
        <f>Table1346811121415161718192022[[#This Row],[PMI]]-B70</f>
        <v/>
      </c>
    </row>
    <row r="72">
      <c r="A72" s="10" t="n">
        <v>41487</v>
      </c>
      <c r="B72" s="25" t="n">
        <v>52.2</v>
      </c>
      <c r="C72" s="25">
        <f>Table1346811121415161718192022[[#This Row],[PMI]]-B71</f>
        <v/>
      </c>
    </row>
    <row r="73">
      <c r="A73" s="10" t="n">
        <v>41518</v>
      </c>
      <c r="B73" s="25" t="n">
        <v>52.5</v>
      </c>
      <c r="C73" s="25">
        <f>Table1346811121415161718192022[[#This Row],[PMI]]-B72</f>
        <v/>
      </c>
    </row>
    <row r="74">
      <c r="A74" s="10" t="n">
        <v>41548</v>
      </c>
      <c r="B74" s="25" t="n">
        <v>54.2</v>
      </c>
      <c r="C74" s="25">
        <f>Table1346811121415161718192022[[#This Row],[PMI]]-B73</f>
        <v/>
      </c>
    </row>
    <row r="75">
      <c r="A75" s="10" t="n">
        <v>41579</v>
      </c>
      <c r="B75" s="25" t="n">
        <v>55.1</v>
      </c>
      <c r="C75" s="25">
        <f>Table1346811121415161718192022[[#This Row],[PMI]]-B74</f>
        <v/>
      </c>
    </row>
    <row r="76">
      <c r="A76" s="10" t="n">
        <v>41609</v>
      </c>
      <c r="B76" s="25" t="n">
        <v>55.2</v>
      </c>
      <c r="C76" s="25">
        <f>Table1346811121415161718192022[[#This Row],[PMI]]-B75</f>
        <v/>
      </c>
    </row>
    <row r="77">
      <c r="A77" s="10" t="n">
        <v>41640</v>
      </c>
      <c r="B77" s="25" t="n">
        <v>56.6</v>
      </c>
      <c r="C77" s="25">
        <f>Table1346811121415161718192022[[#This Row],[PMI]]-B76</f>
        <v/>
      </c>
    </row>
    <row r="78">
      <c r="A78" s="10" t="n">
        <v>41671</v>
      </c>
      <c r="B78" s="25" t="n">
        <v>55.5</v>
      </c>
      <c r="C78" s="25">
        <f>Table1346811121415161718192022[[#This Row],[PMI]]-B77</f>
        <v/>
      </c>
    </row>
    <row r="79">
      <c r="A79" s="10" t="n">
        <v>41699</v>
      </c>
      <c r="B79" s="25" t="n">
        <v>53.9</v>
      </c>
      <c r="C79" s="25">
        <f>Table1346811121415161718192022[[#This Row],[PMI]]-B78</f>
        <v/>
      </c>
    </row>
    <row r="80">
      <c r="A80" s="10" t="n">
        <v>41730</v>
      </c>
      <c r="B80" s="25" t="n">
        <v>49.4</v>
      </c>
      <c r="C80" s="25">
        <f>Table1346811121415161718192022[[#This Row],[PMI]]-B79</f>
        <v/>
      </c>
    </row>
    <row r="81">
      <c r="A81" s="10" t="n">
        <v>41760</v>
      </c>
      <c r="B81" s="25" t="n">
        <v>49.9</v>
      </c>
      <c r="C81" s="25">
        <f>Table1346811121415161718192022[[#This Row],[PMI]]-B80</f>
        <v/>
      </c>
    </row>
    <row r="82">
      <c r="A82" s="10" t="n">
        <v>41791</v>
      </c>
      <c r="B82" s="25" t="n">
        <v>51.5</v>
      </c>
      <c r="C82" s="25">
        <f>Table1346811121415161718192022[[#This Row],[PMI]]-B81</f>
        <v/>
      </c>
    </row>
    <row r="83">
      <c r="A83" s="10" t="n">
        <v>41821</v>
      </c>
      <c r="B83" s="25" t="n">
        <v>50.5</v>
      </c>
      <c r="C83" s="25">
        <f>Table1346811121415161718192022[[#This Row],[PMI]]-B82</f>
        <v/>
      </c>
    </row>
    <row r="84">
      <c r="A84" s="10" t="n">
        <v>41852</v>
      </c>
      <c r="B84" s="25" t="n">
        <v>52.2</v>
      </c>
      <c r="C84" s="25">
        <f>Table1346811121415161718192022[[#This Row],[PMI]]-B83</f>
        <v/>
      </c>
    </row>
    <row r="85">
      <c r="A85" s="10" t="n">
        <v>41883</v>
      </c>
      <c r="B85" s="25" t="n">
        <v>51.7</v>
      </c>
      <c r="C85" s="25">
        <f>Table1346811121415161718192022[[#This Row],[PMI]]-B84</f>
        <v/>
      </c>
    </row>
    <row r="86">
      <c r="A86" s="10" t="n">
        <v>41913</v>
      </c>
      <c r="B86" s="25" t="n">
        <v>52.4</v>
      </c>
      <c r="C86" s="25">
        <f>Table1346811121415161718192022[[#This Row],[PMI]]-B85</f>
        <v/>
      </c>
    </row>
    <row r="87">
      <c r="A87" s="10" t="n">
        <v>41944</v>
      </c>
      <c r="B87" s="25" t="n">
        <v>52</v>
      </c>
      <c r="C87" s="25">
        <f>Table1346811121415161718192022[[#This Row],[PMI]]-B86</f>
        <v/>
      </c>
    </row>
    <row r="88">
      <c r="A88" s="10" t="n">
        <v>41974</v>
      </c>
      <c r="B88" s="25" t="n">
        <v>52</v>
      </c>
      <c r="C88" s="25">
        <f>Table1346811121415161718192022[[#This Row],[PMI]]-B87</f>
        <v/>
      </c>
    </row>
    <row r="89">
      <c r="A89" s="10" t="n">
        <v>42005</v>
      </c>
      <c r="B89" s="25" t="n">
        <v>52.2</v>
      </c>
      <c r="C89" s="25">
        <f>Table1346811121415161718192022[[#This Row],[PMI]]-B88</f>
        <v/>
      </c>
    </row>
    <row r="90">
      <c r="A90" s="10" t="n">
        <v>42036</v>
      </c>
      <c r="B90" s="25" t="n">
        <v>51.6</v>
      </c>
      <c r="C90" s="25">
        <f>Table1346811121415161718192022[[#This Row],[PMI]]-B89</f>
        <v/>
      </c>
    </row>
    <row r="91">
      <c r="A91" s="10" t="n">
        <v>42064</v>
      </c>
      <c r="B91" s="25" t="n">
        <v>50.3</v>
      </c>
      <c r="C91" s="25">
        <f>Table1346811121415161718192022[[#This Row],[PMI]]-B90</f>
        <v/>
      </c>
    </row>
    <row r="92">
      <c r="A92" s="10" t="n">
        <v>42095</v>
      </c>
      <c r="B92" s="25" t="n">
        <v>49.9</v>
      </c>
      <c r="C92" s="25">
        <f>Table1346811121415161718192022[[#This Row],[PMI]]-B91</f>
        <v/>
      </c>
    </row>
    <row r="93">
      <c r="A93" s="10" t="n">
        <v>42125</v>
      </c>
      <c r="B93" s="25" t="n">
        <v>50.9</v>
      </c>
      <c r="C93" s="25">
        <f>Table1346811121415161718192022[[#This Row],[PMI]]-B92</f>
        <v/>
      </c>
    </row>
    <row r="94">
      <c r="A94" s="10" t="n">
        <v>42156</v>
      </c>
      <c r="B94" s="25" t="n">
        <v>50.1</v>
      </c>
      <c r="C94" s="25">
        <f>Table1346811121415161718192022[[#This Row],[PMI]]-B93</f>
        <v/>
      </c>
    </row>
    <row r="95">
      <c r="A95" s="10" t="n">
        <v>42186</v>
      </c>
      <c r="B95" s="25" t="n">
        <v>51.2</v>
      </c>
      <c r="C95" s="25">
        <f>Table1346811121415161718192022[[#This Row],[PMI]]-B94</f>
        <v/>
      </c>
    </row>
    <row r="96">
      <c r="A96" s="10" t="n">
        <v>42217</v>
      </c>
      <c r="B96" s="25" t="n">
        <v>51.7</v>
      </c>
      <c r="C96" s="25">
        <f>Table1346811121415161718192022[[#This Row],[PMI]]-B95</f>
        <v/>
      </c>
    </row>
    <row r="97">
      <c r="A97" s="10" t="n">
        <v>42248</v>
      </c>
      <c r="B97" s="25" t="n">
        <v>51</v>
      </c>
      <c r="C97" s="25">
        <f>Table1346811121415161718192022[[#This Row],[PMI]]-B96</f>
        <v/>
      </c>
    </row>
    <row r="98">
      <c r="A98" s="10" t="n">
        <v>42278</v>
      </c>
      <c r="B98" s="25" t="n">
        <v>52.4</v>
      </c>
      <c r="C98" s="25">
        <f>Table1346811121415161718192022[[#This Row],[PMI]]-B97</f>
        <v/>
      </c>
    </row>
    <row r="99">
      <c r="A99" s="10" t="n">
        <v>42309</v>
      </c>
      <c r="B99" s="25" t="n">
        <v>52.6</v>
      </c>
      <c r="C99" s="25">
        <f>Table1346811121415161718192022[[#This Row],[PMI]]-B98</f>
        <v/>
      </c>
    </row>
    <row r="100">
      <c r="A100" s="10" t="n">
        <v>42339</v>
      </c>
      <c r="B100" s="25" t="n">
        <v>52.6</v>
      </c>
      <c r="C100" s="25">
        <f>Table1346811121415161718192022[[#This Row],[PMI]]-B99</f>
        <v/>
      </c>
    </row>
    <row r="101">
      <c r="A101" s="10" t="n">
        <v>42370</v>
      </c>
      <c r="B101" s="25" t="n">
        <v>52.3</v>
      </c>
      <c r="C101" s="25">
        <f>Table1346811121415161718192022[[#This Row],[PMI]]-B100</f>
        <v/>
      </c>
    </row>
    <row r="102">
      <c r="A102" s="10" t="n">
        <v>42401</v>
      </c>
      <c r="B102" s="25" t="n">
        <v>50.1</v>
      </c>
      <c r="C102" s="25">
        <f>Table1346811121415161718192022[[#This Row],[PMI]]-B101</f>
        <v/>
      </c>
    </row>
    <row r="103">
      <c r="A103" s="10" t="n">
        <v>42430</v>
      </c>
      <c r="B103" s="25" t="n">
        <v>49.1</v>
      </c>
      <c r="C103" s="25">
        <f>Table1346811121415161718192022[[#This Row],[PMI]]-B102</f>
        <v/>
      </c>
    </row>
    <row r="104">
      <c r="A104" s="10" t="n">
        <v>42461</v>
      </c>
      <c r="B104" s="25" t="n">
        <v>48.2</v>
      </c>
      <c r="C104" s="25">
        <f>Table1346811121415161718192022[[#This Row],[PMI]]-B103</f>
        <v/>
      </c>
    </row>
    <row r="105">
      <c r="A105" s="10" t="n">
        <v>42491</v>
      </c>
      <c r="B105" s="25" t="n">
        <v>47.7</v>
      </c>
      <c r="C105" s="25">
        <f>Table1346811121415161718192022[[#This Row],[PMI]]-B104</f>
        <v/>
      </c>
    </row>
    <row r="106">
      <c r="A106" s="10" t="n">
        <v>42522</v>
      </c>
      <c r="B106" s="25" t="n">
        <v>48.1</v>
      </c>
      <c r="C106" s="25">
        <f>Table1346811121415161718192022[[#This Row],[PMI]]-B105</f>
        <v/>
      </c>
    </row>
    <row r="107">
      <c r="A107" s="10" t="n">
        <v>42552</v>
      </c>
      <c r="B107" s="25" t="n">
        <v>49.3</v>
      </c>
      <c r="C107" s="25">
        <f>Table1346811121415161718192022[[#This Row],[PMI]]-B106</f>
        <v/>
      </c>
    </row>
    <row r="108">
      <c r="A108" s="10" t="n">
        <v>42583</v>
      </c>
      <c r="B108" s="25" t="n">
        <v>49.5</v>
      </c>
      <c r="C108" s="25">
        <f>Table1346811121415161718192022[[#This Row],[PMI]]-B107</f>
        <v/>
      </c>
    </row>
    <row r="109">
      <c r="A109" s="10" t="n">
        <v>42614</v>
      </c>
      <c r="B109" s="25" t="n">
        <v>50.4</v>
      </c>
      <c r="C109" s="25">
        <f>Table1346811121415161718192022[[#This Row],[PMI]]-B108</f>
        <v/>
      </c>
    </row>
    <row r="110">
      <c r="A110" s="10" t="n">
        <v>42644</v>
      </c>
      <c r="B110" s="25" t="n">
        <v>51.4</v>
      </c>
      <c r="C110" s="25">
        <f>Table1346811121415161718192022[[#This Row],[PMI]]-B109</f>
        <v/>
      </c>
    </row>
    <row r="111">
      <c r="A111" s="10" t="n">
        <v>42675</v>
      </c>
      <c r="B111" s="25" t="n">
        <v>51.3</v>
      </c>
      <c r="C111" s="25">
        <f>Table1346811121415161718192022[[#This Row],[PMI]]-B110</f>
        <v/>
      </c>
    </row>
    <row r="112">
      <c r="A112" s="10" t="n">
        <v>42705</v>
      </c>
      <c r="B112" s="25" t="n">
        <v>52.4</v>
      </c>
      <c r="C112" s="25">
        <f>Table1346811121415161718192022[[#This Row],[PMI]]-B111</f>
        <v/>
      </c>
    </row>
    <row r="113">
      <c r="A113" s="10" t="n">
        <v>42736</v>
      </c>
      <c r="B113" s="25" t="n">
        <v>52.7</v>
      </c>
      <c r="C113" s="25">
        <f>Table1346811121415161718192022[[#This Row],[PMI]]-B112</f>
        <v/>
      </c>
    </row>
    <row r="114">
      <c r="A114" s="10" t="n">
        <v>42767</v>
      </c>
      <c r="B114" s="25" t="n">
        <v>53.3</v>
      </c>
      <c r="C114" s="25">
        <f>Table1346811121415161718192022[[#This Row],[PMI]]-B113</f>
        <v/>
      </c>
    </row>
    <row r="115">
      <c r="A115" s="10" t="n">
        <v>42795</v>
      </c>
      <c r="B115" s="25" t="n">
        <v>52.4</v>
      </c>
      <c r="C115" s="25">
        <f>Table1346811121415161718192022[[#This Row],[PMI]]-B114</f>
        <v/>
      </c>
    </row>
    <row r="116">
      <c r="A116" s="10" t="n">
        <v>42826</v>
      </c>
      <c r="B116" s="25" t="n">
        <v>52.7</v>
      </c>
      <c r="C116" s="25">
        <f>Table1346811121415161718192022[[#This Row],[PMI]]-B115</f>
        <v/>
      </c>
    </row>
    <row r="117">
      <c r="A117" s="10" t="n">
        <v>42856</v>
      </c>
      <c r="B117" s="25" t="n">
        <v>53.1</v>
      </c>
      <c r="C117" s="25">
        <f>Table1346811121415161718192022[[#This Row],[PMI]]-B116</f>
        <v/>
      </c>
    </row>
    <row r="118">
      <c r="A118" s="10" t="n">
        <v>42887</v>
      </c>
      <c r="B118" s="25" t="n">
        <v>52.4</v>
      </c>
      <c r="C118" s="25">
        <f>Table1346811121415161718192022[[#This Row],[PMI]]-B117</f>
        <v/>
      </c>
    </row>
    <row r="119">
      <c r="A119" s="10" t="n">
        <v>42917</v>
      </c>
      <c r="B119" s="25" t="n">
        <v>52.1</v>
      </c>
      <c r="C119" s="25">
        <f>Table1346811121415161718192022[[#This Row],[PMI]]-B118</f>
        <v/>
      </c>
    </row>
    <row r="120">
      <c r="A120" s="10" t="n">
        <v>42948</v>
      </c>
      <c r="B120" s="25" t="n">
        <v>52.2</v>
      </c>
      <c r="C120" s="25">
        <f>Table1346811121415161718192022[[#This Row],[PMI]]-B119</f>
        <v/>
      </c>
    </row>
    <row r="121">
      <c r="A121" s="10" t="n">
        <v>42979</v>
      </c>
      <c r="B121" s="25" t="n">
        <v>52.9</v>
      </c>
      <c r="C121" s="25">
        <f>Table1346811121415161718192022[[#This Row],[PMI]]-B120</f>
        <v/>
      </c>
    </row>
    <row r="122">
      <c r="A122" s="10" t="n">
        <v>43009</v>
      </c>
      <c r="B122" s="25" t="n">
        <v>52.8</v>
      </c>
      <c r="C122" s="25">
        <f>Table1346811121415161718192022[[#This Row],[PMI]]-B121</f>
        <v/>
      </c>
    </row>
    <row r="123">
      <c r="A123" s="10" t="n">
        <v>43040</v>
      </c>
      <c r="B123" s="25" t="n">
        <v>53.6</v>
      </c>
      <c r="C123" s="25">
        <f>Table1346811121415161718192022[[#This Row],[PMI]]-B122</f>
        <v/>
      </c>
    </row>
    <row r="124">
      <c r="A124" s="10" t="n">
        <v>43070</v>
      </c>
      <c r="B124" s="25" t="n">
        <v>54</v>
      </c>
      <c r="C124" s="25">
        <f>Table1346811121415161718192022[[#This Row],[PMI]]-B123</f>
        <v/>
      </c>
    </row>
    <row r="125">
      <c r="A125" s="10" t="n">
        <v>43101</v>
      </c>
      <c r="B125" s="25" t="n">
        <v>54.8</v>
      </c>
      <c r="C125" s="25">
        <f>Table1346811121415161718192022[[#This Row],[PMI]]-B124</f>
        <v/>
      </c>
    </row>
    <row r="126">
      <c r="A126" s="10" t="n">
        <v>43132</v>
      </c>
      <c r="B126" s="25" t="n">
        <v>54.1</v>
      </c>
      <c r="C126" s="25">
        <f>Table1346811121415161718192022[[#This Row],[PMI]]-B125</f>
        <v/>
      </c>
    </row>
    <row r="127">
      <c r="A127" s="10" t="n">
        <v>43160</v>
      </c>
      <c r="B127" s="25" t="n">
        <v>53.2</v>
      </c>
      <c r="C127" s="25">
        <f>Table1346811121415161718192022[[#This Row],[PMI]]-B126</f>
        <v/>
      </c>
    </row>
    <row r="128">
      <c r="A128" s="10" t="n">
        <v>43191</v>
      </c>
      <c r="B128" s="25" t="n">
        <v>53.8</v>
      </c>
      <c r="C128" s="25">
        <f>Table1346811121415161718192022[[#This Row],[PMI]]-B127</f>
        <v/>
      </c>
    </row>
    <row r="129">
      <c r="A129" s="10" t="n">
        <v>43221</v>
      </c>
      <c r="B129" s="25" t="n">
        <v>52.8</v>
      </c>
      <c r="C129" s="25">
        <f>Table1346811121415161718192022[[#This Row],[PMI]]-B128</f>
        <v/>
      </c>
    </row>
    <row r="130">
      <c r="A130" s="10" t="n">
        <v>43252</v>
      </c>
      <c r="B130" s="25" t="n">
        <v>53</v>
      </c>
      <c r="C130" s="25">
        <f>Table1346811121415161718192022[[#This Row],[PMI]]-B129</f>
        <v/>
      </c>
    </row>
    <row r="131">
      <c r="A131" s="10" t="n">
        <v>43282</v>
      </c>
      <c r="B131" s="25" t="n">
        <v>52.3</v>
      </c>
      <c r="C131" s="25">
        <f>Table1346811121415161718192022[[#This Row],[PMI]]-B130</f>
        <v/>
      </c>
    </row>
    <row r="132">
      <c r="A132" s="10" t="n">
        <v>43313</v>
      </c>
      <c r="B132" s="25" t="n">
        <v>52.5</v>
      </c>
      <c r="C132" s="25">
        <f>Table1346811121415161718192022[[#This Row],[PMI]]-B131</f>
        <v/>
      </c>
    </row>
    <row r="133">
      <c r="A133" s="10" t="n">
        <v>43344</v>
      </c>
      <c r="B133" s="25" t="n">
        <v>52.5</v>
      </c>
      <c r="C133" s="25">
        <f>Table1346811121415161718192022[[#This Row],[PMI]]-B132</f>
        <v/>
      </c>
    </row>
    <row r="134">
      <c r="A134" s="10" t="n">
        <v>43374</v>
      </c>
      <c r="B134" s="25" t="n">
        <v>52.9</v>
      </c>
      <c r="C134" s="25">
        <f>Table1346811121415161718192022[[#This Row],[PMI]]-B133</f>
        <v/>
      </c>
    </row>
    <row r="135">
      <c r="A135" s="10" t="n">
        <v>43405</v>
      </c>
      <c r="B135" s="25" t="n">
        <v>52.2</v>
      </c>
      <c r="C135" s="25">
        <f>Table1346811121415161718192022[[#This Row],[PMI]]-B134</f>
        <v/>
      </c>
    </row>
    <row r="136">
      <c r="A136" s="10" t="n">
        <v>43435</v>
      </c>
      <c r="B136" s="25" t="n">
        <v>52.4</v>
      </c>
      <c r="C136" s="25">
        <f>Table1346811121415161718192022[[#This Row],[PMI]]-B135</f>
        <v/>
      </c>
    </row>
    <row r="137">
      <c r="A137" s="10" t="n">
        <v>43466</v>
      </c>
      <c r="B137" s="25" t="n">
        <v>50.3</v>
      </c>
      <c r="C137" s="25">
        <f>Table1346811121415161718192022[[#This Row],[PMI]]-B136</f>
        <v/>
      </c>
    </row>
    <row r="138">
      <c r="A138" s="10" t="n">
        <v>43497</v>
      </c>
      <c r="B138" s="25" t="n">
        <v>48.9</v>
      </c>
      <c r="C138" s="25">
        <f>Table1346811121415161718192022[[#This Row],[PMI]]-B137</f>
        <v/>
      </c>
    </row>
    <row r="139">
      <c r="A139" s="10" t="n">
        <v>43525</v>
      </c>
      <c r="B139" s="25" t="n">
        <v>49.2</v>
      </c>
      <c r="C139" s="25">
        <f>Table1346811121415161718192022[[#This Row],[PMI]]-B138</f>
        <v/>
      </c>
    </row>
    <row r="140">
      <c r="A140" s="10" t="n">
        <v>43556</v>
      </c>
      <c r="B140" s="25" t="n">
        <v>49.5</v>
      </c>
      <c r="C140" s="25">
        <f>Table1346811121415161718192022[[#This Row],[PMI]]-B139</f>
        <v/>
      </c>
    </row>
    <row r="141">
      <c r="A141" s="10" t="n">
        <v>43586</v>
      </c>
      <c r="B141" s="25" t="n">
        <v>49.8</v>
      </c>
      <c r="C141" s="25">
        <f>Table1346811121415161718192022[[#This Row],[PMI]]-B140</f>
        <v/>
      </c>
    </row>
    <row r="142">
      <c r="A142" s="10" t="n">
        <v>43617</v>
      </c>
      <c r="B142" s="25" t="n">
        <v>49.3</v>
      </c>
      <c r="C142" s="25">
        <f>Table1346811121415161718192022[[#This Row],[PMI]]-B141</f>
        <v/>
      </c>
    </row>
    <row r="143">
      <c r="A143" s="10" t="n">
        <v>43647</v>
      </c>
      <c r="B143" s="25" t="n">
        <v>49.4</v>
      </c>
      <c r="C143" s="25">
        <f>Table1346811121415161718192022[[#This Row],[PMI]]-B142</f>
        <v/>
      </c>
    </row>
    <row r="144">
      <c r="A144" s="10" t="n">
        <v>43678</v>
      </c>
      <c r="B144" s="25" t="n">
        <v>49.3</v>
      </c>
      <c r="C144" s="25">
        <f>Table1346811121415161718192022[[#This Row],[PMI]]-B143</f>
        <v/>
      </c>
    </row>
    <row r="145">
      <c r="A145" s="10" t="n">
        <v>43709</v>
      </c>
      <c r="B145" s="25" t="n">
        <v>48.9</v>
      </c>
      <c r="C145" s="25">
        <f>Table1346811121415161718192022[[#This Row],[PMI]]-B144</f>
        <v/>
      </c>
    </row>
    <row r="146">
      <c r="A146" s="10" t="n">
        <v>43739</v>
      </c>
      <c r="B146" s="25" t="n">
        <v>48.4</v>
      </c>
      <c r="C146" s="25">
        <f>Table1346811121415161718192022[[#This Row],[PMI]]-B145</f>
        <v/>
      </c>
    </row>
    <row r="147">
      <c r="A147" s="10" t="n">
        <v>43770</v>
      </c>
      <c r="B147" s="25" t="n">
        <v>48.9</v>
      </c>
      <c r="C147" s="25">
        <f>Table1346811121415161718192022[[#This Row],[PMI]]-B146</f>
        <v/>
      </c>
    </row>
    <row r="148">
      <c r="A148" s="10" t="n">
        <v>43800</v>
      </c>
      <c r="B148" s="25" t="n">
        <v>48.4</v>
      </c>
      <c r="C148" s="25">
        <f>Table1346811121415161718192022[[#This Row],[PMI]]-B147</f>
        <v/>
      </c>
    </row>
    <row r="149">
      <c r="A149" s="10" t="n">
        <v>43831</v>
      </c>
      <c r="B149" s="25" t="n">
        <v>48.8</v>
      </c>
      <c r="C149" s="25">
        <f>Table1346811121415161718192022[[#This Row],[PMI]]-B148</f>
        <v/>
      </c>
    </row>
    <row r="150">
      <c r="A150" s="10" t="n">
        <v>43862</v>
      </c>
      <c r="B150" s="25" t="n">
        <v>47.8</v>
      </c>
      <c r="C150" s="25">
        <f>Table1346811121415161718192022[[#This Row],[PMI]]-B149</f>
        <v/>
      </c>
    </row>
    <row r="151">
      <c r="A151" s="10" t="n">
        <v>43891</v>
      </c>
      <c r="B151" s="25" t="n">
        <v>44.2</v>
      </c>
      <c r="C151" s="25">
        <f>Table1346811121415161718192022[[#This Row],[PMI]]-B150</f>
        <v/>
      </c>
    </row>
    <row r="152">
      <c r="A152" s="10" t="n">
        <v>43922</v>
      </c>
      <c r="B152" s="25" t="n">
        <v>41.9</v>
      </c>
      <c r="C152" s="25">
        <f>Table1346811121415161718192022[[#This Row],[PMI]]-B151</f>
        <v/>
      </c>
    </row>
    <row r="153">
      <c r="A153" s="10" t="n">
        <v>43952</v>
      </c>
      <c r="B153" s="25" t="n">
        <v>38.4</v>
      </c>
      <c r="C153" s="25">
        <f>Table1346811121415161718192022[[#This Row],[PMI]]-B152</f>
        <v/>
      </c>
    </row>
    <row r="154">
      <c r="A154" s="10" t="n">
        <v>43983</v>
      </c>
      <c r="B154" s="25" t="n">
        <v>40.1</v>
      </c>
      <c r="C154" s="25">
        <f>Table1346811121415161718192022[[#This Row],[PMI]]-B153</f>
        <v/>
      </c>
    </row>
    <row r="155">
      <c r="A155" s="10" t="n">
        <v>44013</v>
      </c>
      <c r="B155" s="25" t="n">
        <v>45.2</v>
      </c>
      <c r="C155" s="25">
        <f>Table1346811121415161718192022[[#This Row],[PMI]]-B154</f>
        <v/>
      </c>
    </row>
    <row r="156">
      <c r="A156" s="10" t="n">
        <v>44044</v>
      </c>
      <c r="B156" s="25" t="n">
        <v>47.2</v>
      </c>
      <c r="C156" s="25">
        <f>Table1346811121415161718192022[[#This Row],[PMI]]-B155</f>
        <v/>
      </c>
    </row>
    <row r="157">
      <c r="A157" s="10" t="n">
        <v>44075</v>
      </c>
      <c r="B157" s="25" t="n">
        <v>47.7</v>
      </c>
      <c r="C157" s="25">
        <f>Table1346811121415161718192022[[#This Row],[PMI]]-B156</f>
        <v/>
      </c>
    </row>
    <row r="158">
      <c r="A158" s="10" t="n">
        <v>44105</v>
      </c>
      <c r="B158" s="25" t="n">
        <v>48.7</v>
      </c>
      <c r="C158" s="25">
        <f>Table1346811121415161718192022[[#This Row],[PMI]]-B157</f>
        <v/>
      </c>
    </row>
    <row r="159">
      <c r="A159" s="10" t="n">
        <v>44136</v>
      </c>
      <c r="B159" s="25" t="n">
        <v>49</v>
      </c>
      <c r="C159" s="25">
        <f>Table1346811121415161718192022[[#This Row],[PMI]]-B158</f>
        <v/>
      </c>
    </row>
    <row r="160">
      <c r="A160" s="10" t="n">
        <v>44166</v>
      </c>
      <c r="B160" s="25" t="n">
        <v>50</v>
      </c>
      <c r="C160" s="25">
        <f>Table1346811121415161718192022[[#This Row],[PMI]]-B159</f>
        <v/>
      </c>
    </row>
    <row r="161">
      <c r="A161" s="10" t="n">
        <v>44197</v>
      </c>
      <c r="B161" s="25" t="n">
        <v>49.8</v>
      </c>
      <c r="C161" s="25">
        <f>Table1346811121415161718192022[[#This Row],[PMI]]-B160</f>
        <v/>
      </c>
    </row>
    <row r="162">
      <c r="A162" s="10" t="n">
        <v>44228</v>
      </c>
      <c r="B162" s="25" t="n">
        <v>51.4</v>
      </c>
      <c r="C162" s="25">
        <f>Table1346811121415161718192022[[#This Row],[PMI]]-B161</f>
        <v/>
      </c>
    </row>
    <row r="163">
      <c r="A163" s="10" t="n">
        <v>44256</v>
      </c>
      <c r="B163" s="25" t="n">
        <v>52.7</v>
      </c>
      <c r="C163" s="25">
        <f>Table1346811121415161718192022[[#This Row],[PMI]]-B162</f>
        <v/>
      </c>
    </row>
    <row r="164">
      <c r="A164" s="10" t="n">
        <v>44287</v>
      </c>
      <c r="B164" s="25" t="n">
        <v>53.6</v>
      </c>
      <c r="C164" s="25">
        <f>Table1346811121415161718192022[[#This Row],[PMI]]-B163</f>
        <v/>
      </c>
    </row>
    <row r="165">
      <c r="A165" s="10" t="n">
        <v>44317</v>
      </c>
      <c r="B165" s="25" t="n">
        <v>53</v>
      </c>
      <c r="C165" s="25">
        <f>Table1346811121415161718192022[[#This Row],[PMI]]-B164</f>
        <v/>
      </c>
    </row>
    <row r="166">
      <c r="A166" s="10" t="n">
        <v>44348</v>
      </c>
      <c r="B166" s="25" t="n">
        <v>52.4</v>
      </c>
      <c r="C166" s="25">
        <f>Table1346811121415161718192022[[#This Row],[PMI]]-B165</f>
        <v/>
      </c>
    </row>
    <row r="167">
      <c r="A167" s="10" t="n">
        <v>44378</v>
      </c>
      <c r="B167" s="25" t="n">
        <v>53</v>
      </c>
      <c r="C167" s="25">
        <f>Table1346811121415161718192022[[#This Row],[PMI]]-B166</f>
        <v/>
      </c>
    </row>
    <row r="168">
      <c r="A168" s="10" t="n">
        <v>44409</v>
      </c>
      <c r="B168" s="25" t="n">
        <v>52.7</v>
      </c>
      <c r="C168" s="25">
        <f>Table1346811121415161718192022[[#This Row],[PMI]]-B167</f>
        <v/>
      </c>
    </row>
    <row r="169">
      <c r="A169" s="10" t="n">
        <v>44440</v>
      </c>
      <c r="B169" s="25" t="n">
        <v>51.5</v>
      </c>
      <c r="C169" s="25">
        <f>Table1346811121415161718192022[[#This Row],[PMI]]-B168</f>
        <v/>
      </c>
    </row>
    <row r="170">
      <c r="A170" s="10" t="n">
        <v>44470</v>
      </c>
      <c r="B170" s="25" t="n">
        <v>53.2</v>
      </c>
      <c r="C170" s="25">
        <f>Table1346811121415161718192022[[#This Row],[PMI]]-B169</f>
        <v/>
      </c>
    </row>
    <row r="171">
      <c r="A171" s="10" t="n">
        <v>44501</v>
      </c>
      <c r="B171" s="25" t="n">
        <v>54.5</v>
      </c>
      <c r="C171" s="25">
        <f>Table1346811121415161718192022[[#This Row],[PMI]]-B170</f>
        <v/>
      </c>
    </row>
    <row r="172">
      <c r="A172" s="10" t="n">
        <v>44531</v>
      </c>
      <c r="B172" s="25" t="n">
        <v>54.3</v>
      </c>
      <c r="C172" s="25">
        <f>Table1346811121415161718192022[[#This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3"/>
  <sheetViews>
    <sheetView zoomScale="150" zoomScaleNormal="150" workbookViewId="0">
      <pane ySplit="5" topLeftCell="A134"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Germany</t>
        </is>
      </c>
      <c r="K1" s="84" t="inlineStr">
        <is>
          <t xml:space="preserve"> Manufacturing PMI</t>
        </is>
      </c>
    </row>
    <row r="2">
      <c r="A2" s="84" t="inlineStr">
        <is>
          <t>germany</t>
        </is>
      </c>
      <c r="K2" s="84">
        <f>A1&amp;K1</f>
        <v/>
      </c>
    </row>
    <row r="4" ht="16" customHeight="1" s="76" thickBot="1"/>
    <row r="5" ht="16" customHeight="1" s="76" thickBot="1">
      <c r="A5" s="22" t="inlineStr">
        <is>
          <t>Date</t>
        </is>
      </c>
      <c r="B5" s="23" t="inlineStr">
        <is>
          <t>PMI</t>
        </is>
      </c>
      <c r="C5" s="23" t="inlineStr">
        <is>
          <t>mom</t>
        </is>
      </c>
    </row>
    <row r="6">
      <c r="A6" s="18" t="n">
        <v>39478</v>
      </c>
      <c r="B6" s="19" t="n">
        <v>54.4</v>
      </c>
      <c r="C6" s="19" t="n"/>
    </row>
    <row r="7">
      <c r="A7" s="10" t="n">
        <v>39479</v>
      </c>
      <c r="B7" s="25" t="n">
        <v>54.3</v>
      </c>
      <c r="C7" s="25">
        <f>Table1346811121415[[#This Row],[PMI]]-B6</f>
        <v/>
      </c>
    </row>
    <row r="8">
      <c r="A8" s="10" t="n">
        <v>39508</v>
      </c>
      <c r="B8" s="25" t="n">
        <v>54.9</v>
      </c>
      <c r="C8" s="25">
        <f>Table1346811121415[[#This Row],[PMI]]-B7</f>
        <v/>
      </c>
    </row>
    <row r="9">
      <c r="A9" s="10" t="n">
        <v>39539</v>
      </c>
      <c r="B9" s="25" t="n">
        <v>53.6</v>
      </c>
      <c r="C9" s="25">
        <f>Table1346811121415[[#This Row],[PMI]]-B8</f>
        <v/>
      </c>
    </row>
    <row r="10">
      <c r="A10" s="10" t="n">
        <v>39569</v>
      </c>
      <c r="B10" s="25" t="n">
        <v>53.5</v>
      </c>
      <c r="C10" s="25">
        <f>Table1346811121415[[#This Row],[PMI]]-B9</f>
        <v/>
      </c>
    </row>
    <row r="11">
      <c r="A11" s="10" t="n">
        <v>39600</v>
      </c>
      <c r="B11" s="25" t="n">
        <v>52.3</v>
      </c>
      <c r="C11" s="25">
        <f>Table1346811121415[[#This Row],[PMI]]-B10</f>
        <v/>
      </c>
    </row>
    <row r="12">
      <c r="A12" s="10" t="n">
        <v>39630</v>
      </c>
      <c r="B12" s="25" t="n">
        <v>50.9</v>
      </c>
      <c r="C12" s="25">
        <f>Table1346811121415[[#This Row],[PMI]]-B11</f>
        <v/>
      </c>
    </row>
    <row r="13">
      <c r="A13" s="10" t="n">
        <v>39661</v>
      </c>
      <c r="B13" s="25" t="n">
        <v>49.9</v>
      </c>
      <c r="C13" s="25">
        <f>Table1346811121415[[#This Row],[PMI]]-B12</f>
        <v/>
      </c>
    </row>
    <row r="14">
      <c r="A14" s="10" t="n">
        <v>39692</v>
      </c>
      <c r="B14" s="25" t="n">
        <v>48.1</v>
      </c>
      <c r="C14" s="25">
        <f>Table1346811121415[[#This Row],[PMI]]-B13</f>
        <v/>
      </c>
    </row>
    <row r="15">
      <c r="A15" s="10" t="n">
        <v>39722</v>
      </c>
      <c r="B15" s="25" t="n">
        <v>43.3</v>
      </c>
      <c r="C15" s="25">
        <f>Table1346811121415[[#This Row],[PMI]]-B14</f>
        <v/>
      </c>
    </row>
    <row r="16">
      <c r="A16" s="10" t="n">
        <v>39753</v>
      </c>
      <c r="B16" s="25" t="n">
        <v>36.7</v>
      </c>
      <c r="C16" s="25">
        <f>Table1346811121415[[#This Row],[PMI]]-B15</f>
        <v/>
      </c>
    </row>
    <row r="17">
      <c r="A17" s="10" t="n">
        <v>39783</v>
      </c>
      <c r="B17" s="25" t="n">
        <v>33.5</v>
      </c>
      <c r="C17" s="25">
        <f>Table1346811121415[[#This Row],[PMI]]-B16</f>
        <v/>
      </c>
    </row>
    <row r="18">
      <c r="A18" s="10" t="n">
        <v>39814</v>
      </c>
      <c r="B18" s="25" t="n">
        <v>32</v>
      </c>
      <c r="C18" s="25">
        <f>Table1346811121415[[#This Row],[PMI]]-B17</f>
        <v/>
      </c>
    </row>
    <row r="19">
      <c r="A19" s="10" t="n">
        <v>39845</v>
      </c>
      <c r="B19" s="25" t="n">
        <v>32.2</v>
      </c>
      <c r="C19" s="25">
        <f>Table1346811121415[[#This Row],[PMI]]-B18</f>
        <v/>
      </c>
    </row>
    <row r="20">
      <c r="A20" s="10" t="n">
        <v>39873</v>
      </c>
      <c r="B20" s="25" t="n">
        <v>32.4</v>
      </c>
      <c r="C20" s="25">
        <f>Table1346811121415[[#This Row],[PMI]]-B19</f>
        <v/>
      </c>
    </row>
    <row r="21">
      <c r="A21" s="10" t="n">
        <v>39904</v>
      </c>
      <c r="B21" s="25" t="n">
        <v>35</v>
      </c>
      <c r="C21" s="25">
        <f>Table1346811121415[[#This Row],[PMI]]-B20</f>
        <v/>
      </c>
    </row>
    <row r="22">
      <c r="A22" s="10" t="n">
        <v>39934</v>
      </c>
      <c r="B22" s="25" t="n">
        <v>39.6</v>
      </c>
      <c r="C22" s="25">
        <f>Table1346811121415[[#This Row],[PMI]]-B21</f>
        <v/>
      </c>
    </row>
    <row r="23">
      <c r="A23" s="10" t="n">
        <v>39965</v>
      </c>
      <c r="B23" s="25" t="n">
        <v>40.9</v>
      </c>
      <c r="C23" s="25">
        <f>Table1346811121415[[#This Row],[PMI]]-B22</f>
        <v/>
      </c>
    </row>
    <row r="24">
      <c r="A24" s="10" t="n">
        <v>39995</v>
      </c>
      <c r="B24" s="25" t="n">
        <v>45.2</v>
      </c>
      <c r="C24" s="25">
        <f>Table1346811121415[[#This Row],[PMI]]-B23</f>
        <v/>
      </c>
    </row>
    <row r="25">
      <c r="A25" s="10" t="n">
        <v>40026</v>
      </c>
      <c r="B25" s="25" t="n">
        <v>49</v>
      </c>
      <c r="C25" s="25">
        <f>Table1346811121415[[#This Row],[PMI]]-B24</f>
        <v/>
      </c>
    </row>
    <row r="26">
      <c r="A26" s="10" t="n">
        <v>40057</v>
      </c>
      <c r="B26" s="25" t="n">
        <v>49.6</v>
      </c>
      <c r="C26" s="25">
        <f>Table1346811121415[[#This Row],[PMI]]-B25</f>
        <v/>
      </c>
    </row>
    <row r="27">
      <c r="A27" s="10" t="n">
        <v>40087</v>
      </c>
      <c r="B27" s="25" t="n">
        <v>51.1</v>
      </c>
      <c r="C27" s="25">
        <f>Table1346811121415[[#This Row],[PMI]]-B26</f>
        <v/>
      </c>
    </row>
    <row r="28">
      <c r="A28" s="10" t="n">
        <v>40118</v>
      </c>
      <c r="B28" s="25" t="n">
        <v>52.4</v>
      </c>
      <c r="C28" s="25">
        <f>Table1346811121415[[#This Row],[PMI]]-B27</f>
        <v/>
      </c>
    </row>
    <row r="29">
      <c r="A29" s="10" t="n">
        <v>40148</v>
      </c>
      <c r="B29" s="25" t="n">
        <v>53.1</v>
      </c>
      <c r="C29" s="25">
        <f>Table1346811121415[[#This Row],[PMI]]-B28</f>
        <v/>
      </c>
    </row>
    <row r="30">
      <c r="A30" s="10" t="n">
        <v>40179</v>
      </c>
      <c r="B30" s="25" t="n">
        <v>53.4</v>
      </c>
      <c r="C30" s="25">
        <f>Table1346811121415[[#This Row],[PMI]]-B29</f>
        <v/>
      </c>
    </row>
    <row r="31">
      <c r="A31" s="10" t="n">
        <v>40210</v>
      </c>
      <c r="B31" s="25" t="n">
        <v>57.2</v>
      </c>
      <c r="C31" s="25">
        <f>Table1346811121415[[#This Row],[PMI]]-B30</f>
        <v/>
      </c>
    </row>
    <row r="32">
      <c r="A32" s="10" t="n">
        <v>40238</v>
      </c>
      <c r="B32" s="25" t="n">
        <v>59.6</v>
      </c>
      <c r="C32" s="25">
        <f>Table1346811121415[[#This Row],[PMI]]-B31</f>
        <v/>
      </c>
    </row>
    <row r="33">
      <c r="A33" s="10" t="n">
        <v>40269</v>
      </c>
      <c r="B33" s="25" t="n">
        <v>61.5</v>
      </c>
      <c r="C33" s="25">
        <f>Table1346811121415[[#This Row],[PMI]]-B32</f>
        <v/>
      </c>
    </row>
    <row r="34">
      <c r="A34" s="10" t="n">
        <v>40299</v>
      </c>
      <c r="B34" s="25" t="n">
        <v>58.4</v>
      </c>
      <c r="C34" s="25">
        <f>Table1346811121415[[#This Row],[PMI]]-B33</f>
        <v/>
      </c>
    </row>
    <row r="35">
      <c r="A35" s="10" t="n">
        <v>40330</v>
      </c>
      <c r="B35" s="25" t="n">
        <v>58.1</v>
      </c>
      <c r="C35" s="25">
        <f>Table1346811121415[[#This Row],[PMI]]-B34</f>
        <v/>
      </c>
    </row>
    <row r="36">
      <c r="A36" s="10" t="n">
        <v>40360</v>
      </c>
      <c r="B36" s="25" t="n">
        <v>61.2</v>
      </c>
      <c r="C36" s="25">
        <f>Table1346811121415[[#This Row],[PMI]]-B35</f>
        <v/>
      </c>
    </row>
    <row r="37">
      <c r="A37" s="10" t="n">
        <v>40391</v>
      </c>
      <c r="B37" s="25" t="n">
        <v>58.2</v>
      </c>
      <c r="C37" s="25">
        <f>Table1346811121415[[#This Row],[PMI]]-B36</f>
        <v/>
      </c>
    </row>
    <row r="38">
      <c r="A38" s="10" t="n">
        <v>40422</v>
      </c>
      <c r="B38" s="25" t="n">
        <v>55.3</v>
      </c>
      <c r="C38" s="25">
        <f>Table1346811121415[[#This Row],[PMI]]-B37</f>
        <v/>
      </c>
    </row>
    <row r="39">
      <c r="A39" s="10" t="n">
        <v>40452</v>
      </c>
      <c r="B39" s="25" t="n">
        <v>56.6</v>
      </c>
      <c r="C39" s="25">
        <f>Table1346811121415[[#This Row],[PMI]]-B38</f>
        <v/>
      </c>
    </row>
    <row r="40">
      <c r="A40" s="10" t="n">
        <v>40483</v>
      </c>
      <c r="B40" s="25" t="n">
        <v>58.1</v>
      </c>
      <c r="C40" s="25">
        <f>Table1346811121415[[#This Row],[PMI]]-B39</f>
        <v/>
      </c>
    </row>
    <row r="41">
      <c r="A41" s="10" t="n">
        <v>40513</v>
      </c>
      <c r="B41" s="25" t="n">
        <v>60.9</v>
      </c>
      <c r="C41" s="25">
        <f>Table1346811121415[[#This Row],[PMI]]-B40</f>
        <v/>
      </c>
    </row>
    <row r="42">
      <c r="A42" s="10" t="n">
        <v>40544</v>
      </c>
      <c r="B42" s="25" t="n">
        <v>60.5</v>
      </c>
      <c r="C42" s="25">
        <f>Table1346811121415[[#This Row],[PMI]]-B41</f>
        <v/>
      </c>
    </row>
    <row r="43">
      <c r="A43" s="10" t="n">
        <v>40575</v>
      </c>
      <c r="B43" s="25" t="n">
        <v>62.7</v>
      </c>
      <c r="C43" s="25">
        <f>Table1346811121415[[#This Row],[PMI]]-B42</f>
        <v/>
      </c>
    </row>
    <row r="44">
      <c r="A44" s="10" t="n">
        <v>40603</v>
      </c>
      <c r="B44" s="25" t="n">
        <v>60.9</v>
      </c>
      <c r="C44" s="25">
        <f>Table1346811121415[[#This Row],[PMI]]-B43</f>
        <v/>
      </c>
    </row>
    <row r="45">
      <c r="A45" s="10" t="n">
        <v>40634</v>
      </c>
      <c r="B45" s="25" t="n">
        <v>62</v>
      </c>
      <c r="C45" s="25">
        <f>Table1346811121415[[#This Row],[PMI]]-B44</f>
        <v/>
      </c>
    </row>
    <row r="46">
      <c r="A46" s="10" t="n">
        <v>40664</v>
      </c>
      <c r="B46" s="25" t="n">
        <v>57.7</v>
      </c>
      <c r="C46" s="25">
        <f>Table1346811121415[[#This Row],[PMI]]-B45</f>
        <v/>
      </c>
    </row>
    <row r="47">
      <c r="A47" s="10" t="n">
        <v>40695</v>
      </c>
      <c r="B47" s="25" t="n">
        <v>54.9</v>
      </c>
      <c r="C47" s="25">
        <f>Table1346811121415[[#This Row],[PMI]]-B46</f>
        <v/>
      </c>
    </row>
    <row r="48">
      <c r="A48" s="10" t="n">
        <v>40725</v>
      </c>
      <c r="B48" s="25" t="n">
        <v>52</v>
      </c>
      <c r="C48" s="25">
        <f>Table1346811121415[[#This Row],[PMI]]-B47</f>
        <v/>
      </c>
    </row>
    <row r="49">
      <c r="A49" s="10" t="n">
        <v>40756</v>
      </c>
      <c r="B49" s="25" t="n">
        <v>50.9</v>
      </c>
      <c r="C49" s="25">
        <f>Table1346811121415[[#This Row],[PMI]]-B48</f>
        <v/>
      </c>
    </row>
    <row r="50">
      <c r="A50" s="10" t="n">
        <v>40787</v>
      </c>
      <c r="B50" s="25" t="n">
        <v>50.3</v>
      </c>
      <c r="C50" s="25">
        <f>Table1346811121415[[#This Row],[PMI]]-B49</f>
        <v/>
      </c>
    </row>
    <row r="51">
      <c r="A51" s="10" t="n">
        <v>40817</v>
      </c>
      <c r="B51" s="25" t="n">
        <v>49.1</v>
      </c>
      <c r="C51" s="25">
        <f>Table1346811121415[[#This Row],[PMI]]-B50</f>
        <v/>
      </c>
    </row>
    <row r="52">
      <c r="A52" s="10" t="n">
        <v>40848</v>
      </c>
      <c r="B52" s="25" t="n">
        <v>47.9</v>
      </c>
      <c r="C52" s="25">
        <f>Table1346811121415[[#This Row],[PMI]]-B51</f>
        <v/>
      </c>
    </row>
    <row r="53">
      <c r="A53" s="10" t="n">
        <v>40878</v>
      </c>
      <c r="B53" s="25" t="n">
        <v>48.4</v>
      </c>
      <c r="C53" s="25">
        <f>Table1346811121415[[#This Row],[PMI]]-B52</f>
        <v/>
      </c>
    </row>
    <row r="54">
      <c r="A54" s="10" t="n">
        <v>40909</v>
      </c>
      <c r="B54" s="25" t="n">
        <v>51</v>
      </c>
      <c r="C54" s="25">
        <f>Table1346811121415[[#This Row],[PMI]]-B53</f>
        <v/>
      </c>
    </row>
    <row r="55">
      <c r="A55" s="10" t="n">
        <v>40940</v>
      </c>
      <c r="B55" s="25" t="n">
        <v>50.2</v>
      </c>
      <c r="C55" s="25">
        <f>Table1346811121415[[#This Row],[PMI]]-B54</f>
        <v/>
      </c>
    </row>
    <row r="56">
      <c r="A56" s="10" t="n">
        <v>40969</v>
      </c>
      <c r="B56" s="25" t="n">
        <v>48.4</v>
      </c>
      <c r="C56" s="25">
        <f>Table1346811121415[[#This Row],[PMI]]-B55</f>
        <v/>
      </c>
    </row>
    <row r="57">
      <c r="A57" s="10" t="n">
        <v>41000</v>
      </c>
      <c r="B57" s="25" t="n">
        <v>46.2</v>
      </c>
      <c r="C57" s="25">
        <f>Table1346811121415[[#This Row],[PMI]]-B56</f>
        <v/>
      </c>
    </row>
    <row r="58">
      <c r="A58" s="10" t="n">
        <v>41030</v>
      </c>
      <c r="B58" s="25" t="n">
        <v>45.2</v>
      </c>
      <c r="C58" s="25">
        <f>Table1346811121415[[#This Row],[PMI]]-B57</f>
        <v/>
      </c>
    </row>
    <row r="59">
      <c r="A59" s="10" t="n">
        <v>41061</v>
      </c>
      <c r="B59" s="25" t="n">
        <v>45</v>
      </c>
      <c r="C59" s="25">
        <f>Table1346811121415[[#This Row],[PMI]]-B58</f>
        <v/>
      </c>
    </row>
    <row r="60">
      <c r="A60" s="10" t="n">
        <v>41091</v>
      </c>
      <c r="B60" s="25" t="n">
        <v>43</v>
      </c>
      <c r="C60" s="25">
        <f>Table1346811121415[[#This Row],[PMI]]-B59</f>
        <v/>
      </c>
    </row>
    <row r="61">
      <c r="A61" s="10" t="n">
        <v>41122</v>
      </c>
      <c r="B61" s="25" t="n">
        <v>44.7</v>
      </c>
      <c r="C61" s="25">
        <f>Table1346811121415[[#This Row],[PMI]]-B60</f>
        <v/>
      </c>
    </row>
    <row r="62">
      <c r="A62" s="10" t="n">
        <v>41153</v>
      </c>
      <c r="B62" s="25" t="n">
        <v>47.4</v>
      </c>
      <c r="C62" s="25">
        <f>Table1346811121415[[#This Row],[PMI]]-B61</f>
        <v/>
      </c>
    </row>
    <row r="63">
      <c r="A63" s="10" t="n">
        <v>41183</v>
      </c>
      <c r="B63" s="25" t="n">
        <v>46</v>
      </c>
      <c r="C63" s="25">
        <f>Table1346811121415[[#This Row],[PMI]]-B62</f>
        <v/>
      </c>
    </row>
    <row r="64">
      <c r="A64" s="10" t="n">
        <v>41214</v>
      </c>
      <c r="B64" s="25" t="n">
        <v>46.8</v>
      </c>
      <c r="C64" s="25">
        <f>Table1346811121415[[#This Row],[PMI]]-B63</f>
        <v/>
      </c>
    </row>
    <row r="65">
      <c r="A65" s="10" t="n">
        <v>41244</v>
      </c>
      <c r="B65" s="25" t="n">
        <v>46</v>
      </c>
      <c r="C65" s="25">
        <f>Table1346811121415[[#This Row],[PMI]]-B64</f>
        <v/>
      </c>
    </row>
    <row r="66">
      <c r="A66" s="10" t="n">
        <v>41275</v>
      </c>
      <c r="B66" s="25" t="n">
        <v>49.8</v>
      </c>
      <c r="C66" s="25">
        <f>Table1346811121415[[#This Row],[PMI]]-B65</f>
        <v/>
      </c>
    </row>
    <row r="67">
      <c r="A67" s="10" t="n">
        <v>41306</v>
      </c>
      <c r="B67" s="25" t="n">
        <v>50.3</v>
      </c>
      <c r="C67" s="25">
        <f>Table1346811121415[[#This Row],[PMI]]-B66</f>
        <v/>
      </c>
    </row>
    <row r="68">
      <c r="A68" s="10" t="n">
        <v>41334</v>
      </c>
      <c r="B68" s="25" t="n">
        <v>49</v>
      </c>
      <c r="C68" s="25">
        <f>Table1346811121415[[#This Row],[PMI]]-B67</f>
        <v/>
      </c>
    </row>
    <row r="69">
      <c r="A69" s="10" t="n">
        <v>41365</v>
      </c>
      <c r="B69" s="25" t="n">
        <v>48.1</v>
      </c>
      <c r="C69" s="25">
        <f>Table1346811121415[[#This Row],[PMI]]-B68</f>
        <v/>
      </c>
    </row>
    <row r="70">
      <c r="A70" s="10" t="n">
        <v>41395</v>
      </c>
      <c r="B70" s="25" t="n">
        <v>49.4</v>
      </c>
      <c r="C70" s="25">
        <f>Table1346811121415[[#This Row],[PMI]]-B69</f>
        <v/>
      </c>
    </row>
    <row r="71">
      <c r="A71" s="10" t="n">
        <v>41426</v>
      </c>
      <c r="B71" s="25" t="n">
        <v>48.6</v>
      </c>
      <c r="C71" s="25">
        <f>Table1346811121415[[#This Row],[PMI]]-B70</f>
        <v/>
      </c>
    </row>
    <row r="72">
      <c r="A72" s="10" t="n">
        <v>41456</v>
      </c>
      <c r="B72" s="25" t="n">
        <v>50.7</v>
      </c>
      <c r="C72" s="25">
        <f>Table1346811121415[[#This Row],[PMI]]-B71</f>
        <v/>
      </c>
    </row>
    <row r="73">
      <c r="A73" s="10" t="n">
        <v>41487</v>
      </c>
      <c r="B73" s="25" t="n">
        <v>51.8</v>
      </c>
      <c r="C73" s="25">
        <f>Table1346811121415[[#This Row],[PMI]]-B72</f>
        <v/>
      </c>
    </row>
    <row r="74">
      <c r="A74" s="10" t="n">
        <v>41518</v>
      </c>
      <c r="B74" s="25" t="n">
        <v>51.1</v>
      </c>
      <c r="C74" s="25">
        <f>Table1346811121415[[#This Row],[PMI]]-B73</f>
        <v/>
      </c>
    </row>
    <row r="75">
      <c r="A75" s="10" t="n">
        <v>41548</v>
      </c>
      <c r="B75" s="25" t="n">
        <v>51.7</v>
      </c>
      <c r="C75" s="25">
        <f>Table1346811121415[[#This Row],[PMI]]-B74</f>
        <v/>
      </c>
    </row>
    <row r="76">
      <c r="A76" s="10" t="n">
        <v>41579</v>
      </c>
      <c r="B76" s="25" t="n">
        <v>52.7</v>
      </c>
      <c r="C76" s="25">
        <f>Table1346811121415[[#This Row],[PMI]]-B75</f>
        <v/>
      </c>
    </row>
    <row r="77">
      <c r="A77" s="10" t="n">
        <v>41609</v>
      </c>
      <c r="B77" s="25" t="n">
        <v>54.3</v>
      </c>
      <c r="C77" s="25">
        <f>Table1346811121415[[#This Row],[PMI]]-B76</f>
        <v/>
      </c>
    </row>
    <row r="78">
      <c r="A78" s="10" t="n">
        <v>41640</v>
      </c>
      <c r="B78" s="25" t="n">
        <v>56.6</v>
      </c>
      <c r="C78" s="25">
        <f>Table1346811121415[[#This Row],[PMI]]-B77</f>
        <v/>
      </c>
    </row>
    <row r="79">
      <c r="A79" s="10" t="n">
        <v>41671</v>
      </c>
      <c r="B79" s="25" t="n">
        <v>54.8</v>
      </c>
      <c r="C79" s="25">
        <f>Table1346811121415[[#This Row],[PMI]]-B78</f>
        <v/>
      </c>
    </row>
    <row r="80">
      <c r="A80" s="10" t="n">
        <v>41699</v>
      </c>
      <c r="B80" s="25" t="n">
        <v>53.7</v>
      </c>
      <c r="C80" s="25">
        <f>Table1346811121415[[#This Row],[PMI]]-B79</f>
        <v/>
      </c>
    </row>
    <row r="81">
      <c r="A81" s="10" t="n">
        <v>41730</v>
      </c>
      <c r="B81" s="25" t="n">
        <v>54.1</v>
      </c>
      <c r="C81" s="25">
        <f>Table1346811121415[[#This Row],[PMI]]-B80</f>
        <v/>
      </c>
    </row>
    <row r="82">
      <c r="A82" s="10" t="n">
        <v>41760</v>
      </c>
      <c r="B82" s="25" t="n">
        <v>52.3</v>
      </c>
      <c r="C82" s="25">
        <f>Table1346811121415[[#This Row],[PMI]]-B81</f>
        <v/>
      </c>
    </row>
    <row r="83">
      <c r="A83" s="10" t="n">
        <v>41791</v>
      </c>
      <c r="B83" s="25" t="n">
        <v>52</v>
      </c>
      <c r="C83" s="25">
        <f>Table1346811121415[[#This Row],[PMI]]-B82</f>
        <v/>
      </c>
    </row>
    <row r="84">
      <c r="A84" s="10" t="n">
        <v>41821</v>
      </c>
      <c r="B84" s="25" t="n">
        <v>52.4</v>
      </c>
      <c r="C84" s="25">
        <f>Table1346811121415[[#This Row],[PMI]]-B83</f>
        <v/>
      </c>
    </row>
    <row r="85">
      <c r="A85" s="10" t="n">
        <v>41852</v>
      </c>
      <c r="B85" s="25" t="n">
        <v>51.4</v>
      </c>
      <c r="C85" s="25">
        <f>Table1346811121415[[#This Row],[PMI]]-B84</f>
        <v/>
      </c>
    </row>
    <row r="86">
      <c r="A86" s="10" t="n">
        <v>41883</v>
      </c>
      <c r="B86" s="25" t="n">
        <v>49.9</v>
      </c>
      <c r="C86" s="25">
        <f>Table1346811121415[[#This Row],[PMI]]-B85</f>
        <v/>
      </c>
    </row>
    <row r="87">
      <c r="A87" s="10" t="n">
        <v>41913</v>
      </c>
      <c r="B87" s="25" t="n">
        <v>51.4</v>
      </c>
      <c r="C87" s="25">
        <f>Table1346811121415[[#This Row],[PMI]]-B86</f>
        <v/>
      </c>
    </row>
    <row r="88">
      <c r="A88" s="10" t="n">
        <v>41944</v>
      </c>
      <c r="B88" s="25" t="n">
        <v>49.5</v>
      </c>
      <c r="C88" s="25">
        <f>Table1346811121415[[#This Row],[PMI]]-B87</f>
        <v/>
      </c>
    </row>
    <row r="89">
      <c r="A89" s="10" t="n">
        <v>41974</v>
      </c>
      <c r="B89" s="25" t="n">
        <v>51.2</v>
      </c>
      <c r="C89" s="25">
        <f>Table1346811121415[[#This Row],[PMI]]-B88</f>
        <v/>
      </c>
    </row>
    <row r="90">
      <c r="A90" s="10" t="n">
        <v>42005</v>
      </c>
      <c r="B90" s="25" t="n">
        <v>50.9</v>
      </c>
      <c r="C90" s="25">
        <f>Table1346811121415[[#This Row],[PMI]]-B89</f>
        <v/>
      </c>
    </row>
    <row r="91">
      <c r="A91" s="10" t="n">
        <v>42036</v>
      </c>
      <c r="B91" s="25" t="n">
        <v>51.1</v>
      </c>
      <c r="C91" s="25">
        <f>Table1346811121415[[#This Row],[PMI]]-B90</f>
        <v/>
      </c>
    </row>
    <row r="92">
      <c r="A92" s="10" t="n">
        <v>42064</v>
      </c>
      <c r="B92" s="25" t="n">
        <v>52.8</v>
      </c>
      <c r="C92" s="25">
        <f>Table1346811121415[[#This Row],[PMI]]-B91</f>
        <v/>
      </c>
    </row>
    <row r="93">
      <c r="A93" s="10" t="n">
        <v>42095</v>
      </c>
      <c r="B93" s="25" t="n">
        <v>52.1</v>
      </c>
      <c r="C93" s="25">
        <f>Table1346811121415[[#This Row],[PMI]]-B92</f>
        <v/>
      </c>
    </row>
    <row r="94">
      <c r="A94" s="10" t="n">
        <v>42125</v>
      </c>
      <c r="B94" s="25" t="n">
        <v>51.1</v>
      </c>
      <c r="C94" s="25">
        <f>Table1346811121415[[#This Row],[PMI]]-B93</f>
        <v/>
      </c>
    </row>
    <row r="95">
      <c r="A95" s="10" t="n">
        <v>42156</v>
      </c>
      <c r="B95" s="25" t="n">
        <v>51.9</v>
      </c>
      <c r="C95" s="25">
        <f>Table1346811121415[[#This Row],[PMI]]-B94</f>
        <v/>
      </c>
    </row>
    <row r="96">
      <c r="A96" s="10" t="n">
        <v>42186</v>
      </c>
      <c r="B96" s="25" t="n">
        <v>51.8</v>
      </c>
      <c r="C96" s="25">
        <f>Table1346811121415[[#This Row],[PMI]]-B95</f>
        <v/>
      </c>
    </row>
    <row r="97">
      <c r="A97" s="10" t="n">
        <v>42217</v>
      </c>
      <c r="B97" s="25" t="n">
        <v>53.3</v>
      </c>
      <c r="C97" s="25">
        <f>Table1346811121415[[#This Row],[PMI]]-B96</f>
        <v/>
      </c>
    </row>
    <row r="98">
      <c r="A98" s="10" t="n">
        <v>42248</v>
      </c>
      <c r="B98" s="25" t="n">
        <v>52.3</v>
      </c>
      <c r="C98" s="25">
        <f>Table1346811121415[[#This Row],[PMI]]-B97</f>
        <v/>
      </c>
    </row>
    <row r="99">
      <c r="A99" s="10" t="n">
        <v>42278</v>
      </c>
      <c r="B99" s="25" t="n">
        <v>52.1</v>
      </c>
      <c r="C99" s="25">
        <f>Table1346811121415[[#This Row],[PMI]]-B98</f>
        <v/>
      </c>
    </row>
    <row r="100">
      <c r="A100" s="10" t="n">
        <v>42309</v>
      </c>
      <c r="B100" s="25" t="n">
        <v>52.9</v>
      </c>
      <c r="C100" s="25">
        <f>Table1346811121415[[#This Row],[PMI]]-B99</f>
        <v/>
      </c>
    </row>
    <row r="101">
      <c r="A101" s="10" t="n">
        <v>42339</v>
      </c>
      <c r="B101" s="25" t="n">
        <v>53.2</v>
      </c>
      <c r="C101" s="25">
        <f>Table1346811121415[[#This Row],[PMI]]-B100</f>
        <v/>
      </c>
    </row>
    <row r="102">
      <c r="A102" s="10" t="n">
        <v>42370</v>
      </c>
      <c r="B102" s="25" t="n">
        <v>52.3</v>
      </c>
      <c r="C102" s="25">
        <f>Table1346811121415[[#This Row],[PMI]]-B101</f>
        <v/>
      </c>
    </row>
    <row r="103">
      <c r="A103" s="10" t="n">
        <v>42401</v>
      </c>
      <c r="B103" s="25" t="n">
        <v>50.5</v>
      </c>
      <c r="C103" s="25">
        <f>Table1346811121415[[#This Row],[PMI]]-B102</f>
        <v/>
      </c>
    </row>
    <row r="104">
      <c r="A104" s="10" t="n">
        <v>42430</v>
      </c>
      <c r="B104" s="25" t="n">
        <v>50.7</v>
      </c>
      <c r="C104" s="25">
        <f>Table1346811121415[[#This Row],[PMI]]-B103</f>
        <v/>
      </c>
    </row>
    <row r="105">
      <c r="A105" s="10" t="n">
        <v>42461</v>
      </c>
      <c r="B105" s="25" t="n">
        <v>51.8</v>
      </c>
      <c r="C105" s="25">
        <f>Table1346811121415[[#This Row],[PMI]]-B104</f>
        <v/>
      </c>
    </row>
    <row r="106">
      <c r="A106" s="10" t="n">
        <v>42491</v>
      </c>
      <c r="B106" s="25" t="n">
        <v>52.1</v>
      </c>
      <c r="C106" s="25">
        <f>Table1346811121415[[#This Row],[PMI]]-B105</f>
        <v/>
      </c>
    </row>
    <row r="107">
      <c r="A107" s="10" t="n">
        <v>42522</v>
      </c>
      <c r="B107" s="25" t="n">
        <v>54.5</v>
      </c>
      <c r="C107" s="25">
        <f>Table1346811121415[[#This Row],[PMI]]-B106</f>
        <v/>
      </c>
    </row>
    <row r="108">
      <c r="A108" s="10" t="n">
        <v>42552</v>
      </c>
      <c r="B108" s="25" t="n">
        <v>53.8</v>
      </c>
      <c r="C108" s="25">
        <f>Table1346811121415[[#This Row],[PMI]]-B107</f>
        <v/>
      </c>
    </row>
    <row r="109">
      <c r="A109" s="10" t="n">
        <v>42583</v>
      </c>
      <c r="B109" s="25" t="n">
        <v>53.6</v>
      </c>
      <c r="C109" s="25">
        <f>Table1346811121415[[#This Row],[PMI]]-B108</f>
        <v/>
      </c>
    </row>
    <row r="110">
      <c r="A110" s="10" t="n">
        <v>42614</v>
      </c>
      <c r="B110" s="25" t="n">
        <v>54.3</v>
      </c>
      <c r="C110" s="25">
        <f>Table1346811121415[[#This Row],[PMI]]-B109</f>
        <v/>
      </c>
    </row>
    <row r="111">
      <c r="A111" s="10" t="n">
        <v>42644</v>
      </c>
      <c r="B111" s="25" t="n">
        <v>55</v>
      </c>
      <c r="C111" s="25">
        <f>Table1346811121415[[#This Row],[PMI]]-B110</f>
        <v/>
      </c>
    </row>
    <row r="112">
      <c r="A112" s="10" t="n">
        <v>42675</v>
      </c>
      <c r="B112" s="25" t="n">
        <v>54.3</v>
      </c>
      <c r="C112" s="25">
        <f>Table1346811121415[[#This Row],[PMI]]-B111</f>
        <v/>
      </c>
    </row>
    <row r="113">
      <c r="A113" s="10" t="n">
        <v>42705</v>
      </c>
      <c r="B113" s="25" t="n">
        <v>55.6</v>
      </c>
      <c r="C113" s="25">
        <f>Table1346811121415[[#This Row],[PMI]]-B112</f>
        <v/>
      </c>
    </row>
    <row r="114">
      <c r="A114" s="10" t="n">
        <v>42736</v>
      </c>
      <c r="B114" s="25" t="n">
        <v>56.4</v>
      </c>
      <c r="C114" s="25">
        <f>Table1346811121415[[#This Row],[PMI]]-B113</f>
        <v/>
      </c>
    </row>
    <row r="115">
      <c r="A115" s="10" t="n">
        <v>42767</v>
      </c>
      <c r="B115" s="25" t="n">
        <v>56.8</v>
      </c>
      <c r="C115" s="25">
        <f>Table1346811121415[[#This Row],[PMI]]-B114</f>
        <v/>
      </c>
    </row>
    <row r="116">
      <c r="A116" s="10" t="n">
        <v>42795</v>
      </c>
      <c r="B116" s="25" t="n">
        <v>58.3</v>
      </c>
      <c r="C116" s="25">
        <f>Table1346811121415[[#This Row],[PMI]]-B115</f>
        <v/>
      </c>
    </row>
    <row r="117">
      <c r="A117" s="10" t="n">
        <v>42826</v>
      </c>
      <c r="B117" s="25" t="n">
        <v>58.2</v>
      </c>
      <c r="C117" s="25">
        <f>Table1346811121415[[#This Row],[PMI]]-B116</f>
        <v/>
      </c>
    </row>
    <row r="118">
      <c r="A118" s="10" t="n">
        <v>42856</v>
      </c>
      <c r="B118" s="25" t="n">
        <v>59.5</v>
      </c>
      <c r="C118" s="25">
        <f>Table1346811121415[[#This Row],[PMI]]-B117</f>
        <v/>
      </c>
    </row>
    <row r="119">
      <c r="A119" s="10" t="n">
        <v>42887</v>
      </c>
      <c r="B119" s="25" t="n">
        <v>59.6</v>
      </c>
      <c r="C119" s="25">
        <f>Table1346811121415[[#This Row],[PMI]]-B118</f>
        <v/>
      </c>
    </row>
    <row r="120">
      <c r="A120" s="10" t="n">
        <v>42917</v>
      </c>
      <c r="B120" s="25" t="n">
        <v>58.1</v>
      </c>
      <c r="C120" s="25">
        <f>Table1346811121415[[#This Row],[PMI]]-B119</f>
        <v/>
      </c>
    </row>
    <row r="121">
      <c r="A121" s="10" t="n">
        <v>42948</v>
      </c>
      <c r="B121" s="25" t="n">
        <v>59.3</v>
      </c>
      <c r="C121" s="25">
        <f>Table1346811121415[[#This Row],[PMI]]-B120</f>
        <v/>
      </c>
    </row>
    <row r="122">
      <c r="A122" s="10" t="n">
        <v>42979</v>
      </c>
      <c r="B122" s="25" t="n">
        <v>60.6</v>
      </c>
      <c r="C122" s="25">
        <f>Table1346811121415[[#This Row],[PMI]]-B121</f>
        <v/>
      </c>
    </row>
    <row r="123">
      <c r="A123" s="10" t="n">
        <v>43009</v>
      </c>
      <c r="B123" s="25" t="n">
        <v>60.6</v>
      </c>
      <c r="C123" s="25">
        <f>Table1346811121415[[#This Row],[PMI]]-B122</f>
        <v/>
      </c>
    </row>
    <row r="124">
      <c r="A124" s="10" t="n">
        <v>43040</v>
      </c>
      <c r="B124" s="25" t="n">
        <v>62.5</v>
      </c>
      <c r="C124" s="25">
        <f>Table1346811121415[[#This Row],[PMI]]-B123</f>
        <v/>
      </c>
    </row>
    <row r="125">
      <c r="A125" s="10" t="n">
        <v>43070</v>
      </c>
      <c r="B125" s="25" t="n">
        <v>63.3</v>
      </c>
      <c r="C125" s="25">
        <f>Table1346811121415[[#This Row],[PMI]]-B124</f>
        <v/>
      </c>
    </row>
    <row r="126">
      <c r="A126" s="10" t="n">
        <v>43101</v>
      </c>
      <c r="B126" s="25" t="n">
        <v>61.1</v>
      </c>
      <c r="C126" s="25">
        <f>Table1346811121415[[#This Row],[PMI]]-B125</f>
        <v/>
      </c>
    </row>
    <row r="127">
      <c r="A127" s="10" t="n">
        <v>43132</v>
      </c>
      <c r="B127" s="25" t="n">
        <v>60.6</v>
      </c>
      <c r="C127" s="25">
        <f>Table1346811121415[[#This Row],[PMI]]-B126</f>
        <v/>
      </c>
    </row>
    <row r="128">
      <c r="A128" s="10" t="n">
        <v>43160</v>
      </c>
      <c r="B128" s="25" t="n">
        <v>58.4</v>
      </c>
      <c r="C128" s="25">
        <f>Table1346811121415[[#This Row],[PMI]]-B127</f>
        <v/>
      </c>
    </row>
    <row r="129">
      <c r="A129" s="10" t="n">
        <v>43191</v>
      </c>
      <c r="B129" s="25" t="n">
        <v>58.1</v>
      </c>
      <c r="C129" s="25">
        <f>Table1346811121415[[#This Row],[PMI]]-B128</f>
        <v/>
      </c>
    </row>
    <row r="130">
      <c r="A130" s="10" t="n">
        <v>43221</v>
      </c>
      <c r="B130" s="25" t="n">
        <v>56.9</v>
      </c>
      <c r="C130" s="25">
        <f>Table1346811121415[[#This Row],[PMI]]-B129</f>
        <v/>
      </c>
    </row>
    <row r="131">
      <c r="A131" s="10" t="n">
        <v>43252</v>
      </c>
      <c r="B131" s="25" t="n">
        <v>55.9</v>
      </c>
      <c r="C131" s="25">
        <f>Table1346811121415[[#This Row],[PMI]]-B130</f>
        <v/>
      </c>
    </row>
    <row r="132">
      <c r="A132" s="10" t="n">
        <v>43282</v>
      </c>
      <c r="B132" s="25" t="n">
        <v>56.9</v>
      </c>
      <c r="C132" s="25">
        <f>Table1346811121415[[#This Row],[PMI]]-B131</f>
        <v/>
      </c>
    </row>
    <row r="133">
      <c r="A133" s="10" t="n">
        <v>43313</v>
      </c>
      <c r="B133" s="25" t="n">
        <v>55.9</v>
      </c>
      <c r="C133" s="25">
        <f>Table1346811121415[[#This Row],[PMI]]-B132</f>
        <v/>
      </c>
    </row>
    <row r="134">
      <c r="A134" s="10" t="n">
        <v>43344</v>
      </c>
      <c r="B134" s="25" t="n">
        <v>53.7</v>
      </c>
      <c r="C134" s="25">
        <f>Table1346811121415[[#This Row],[PMI]]-B133</f>
        <v/>
      </c>
    </row>
    <row r="135">
      <c r="A135" s="10" t="n">
        <v>43374</v>
      </c>
      <c r="B135" s="25" t="n">
        <v>52.2</v>
      </c>
      <c r="C135" s="25">
        <f>Table1346811121415[[#This Row],[PMI]]-B134</f>
        <v/>
      </c>
    </row>
    <row r="136">
      <c r="A136" s="10" t="n">
        <v>43405</v>
      </c>
      <c r="B136" s="25" t="n">
        <v>51.8</v>
      </c>
      <c r="C136" s="25">
        <f>Table1346811121415[[#This Row],[PMI]]-B135</f>
        <v/>
      </c>
    </row>
    <row r="137">
      <c r="A137" s="10" t="n">
        <v>43435</v>
      </c>
      <c r="B137" s="25" t="n">
        <v>51.5</v>
      </c>
      <c r="C137" s="25">
        <f>Table1346811121415[[#This Row],[PMI]]-B136</f>
        <v/>
      </c>
    </row>
    <row r="138">
      <c r="A138" s="10" t="n">
        <v>43466</v>
      </c>
      <c r="B138" s="25" t="n">
        <v>49.7</v>
      </c>
      <c r="C138" s="25">
        <f>Table1346811121415[[#This Row],[PMI]]-B137</f>
        <v/>
      </c>
    </row>
    <row r="139">
      <c r="A139" s="10" t="n">
        <v>43497</v>
      </c>
      <c r="B139" s="25" t="n">
        <v>47.6</v>
      </c>
      <c r="C139" s="25">
        <f>Table1346811121415[[#This Row],[PMI]]-B138</f>
        <v/>
      </c>
    </row>
    <row r="140">
      <c r="A140" s="10" t="n">
        <v>43525</v>
      </c>
      <c r="B140" s="25" t="n">
        <v>44.1</v>
      </c>
      <c r="C140" s="25">
        <f>Table1346811121415[[#This Row],[PMI]]-B139</f>
        <v/>
      </c>
    </row>
    <row r="141">
      <c r="A141" s="10" t="n">
        <v>43556</v>
      </c>
      <c r="B141" s="25" t="n">
        <v>44.4</v>
      </c>
      <c r="C141" s="25">
        <f>Table1346811121415[[#This Row],[PMI]]-B140</f>
        <v/>
      </c>
    </row>
    <row r="142">
      <c r="A142" s="10" t="n">
        <v>43586</v>
      </c>
      <c r="B142" s="25" t="n">
        <v>44.3</v>
      </c>
      <c r="C142" s="25">
        <f>Table1346811121415[[#This Row],[PMI]]-B141</f>
        <v/>
      </c>
    </row>
    <row r="143">
      <c r="A143" s="10" t="n">
        <v>43617</v>
      </c>
      <c r="B143" s="25" t="n">
        <v>45</v>
      </c>
      <c r="C143" s="25">
        <f>Table1346811121415[[#This Row],[PMI]]-B142</f>
        <v/>
      </c>
    </row>
    <row r="144">
      <c r="A144" s="10" t="n">
        <v>43647</v>
      </c>
      <c r="B144" s="25" t="n">
        <v>43.2</v>
      </c>
      <c r="C144" s="25">
        <f>Table1346811121415[[#This Row],[PMI]]-B143</f>
        <v/>
      </c>
    </row>
    <row r="145">
      <c r="A145" s="10" t="n">
        <v>43678</v>
      </c>
      <c r="B145" s="25" t="n">
        <v>43.5</v>
      </c>
      <c r="C145" s="25">
        <f>Table1346811121415[[#This Row],[PMI]]-B144</f>
        <v/>
      </c>
    </row>
    <row r="146">
      <c r="A146" s="10" t="n">
        <v>43709</v>
      </c>
      <c r="B146" s="25" t="n">
        <v>41.7</v>
      </c>
      <c r="C146" s="25">
        <f>Table1346811121415[[#This Row],[PMI]]-B145</f>
        <v/>
      </c>
    </row>
    <row r="147">
      <c r="A147" s="10" t="n">
        <v>43739</v>
      </c>
      <c r="B147" s="25" t="n">
        <v>42.1</v>
      </c>
      <c r="C147" s="25">
        <f>Table1346811121415[[#This Row],[PMI]]-B146</f>
        <v/>
      </c>
    </row>
    <row r="148">
      <c r="A148" s="10" t="n">
        <v>43770</v>
      </c>
      <c r="B148" s="25" t="n">
        <v>44.1</v>
      </c>
      <c r="C148" s="25">
        <f>Table1346811121415[[#This Row],[PMI]]-B147</f>
        <v/>
      </c>
    </row>
    <row r="149">
      <c r="A149" s="10" t="n">
        <v>43800</v>
      </c>
      <c r="B149" s="25" t="n">
        <v>43.7</v>
      </c>
      <c r="C149" s="25">
        <f>Table1346811121415[[#This Row],[PMI]]-B148</f>
        <v/>
      </c>
    </row>
    <row r="150">
      <c r="A150" s="10" t="n">
        <v>43831</v>
      </c>
      <c r="B150" s="25" t="n">
        <v>45.3</v>
      </c>
      <c r="C150" s="25">
        <f>Table1346811121415[[#This Row],[PMI]]-B149</f>
        <v/>
      </c>
    </row>
    <row r="151">
      <c r="A151" s="10" t="n">
        <v>43862</v>
      </c>
      <c r="B151" s="25" t="n">
        <v>48</v>
      </c>
      <c r="C151" s="25">
        <f>Table1346811121415[[#This Row],[PMI]]-B150</f>
        <v/>
      </c>
    </row>
    <row r="152">
      <c r="A152" s="10" t="n">
        <v>43891</v>
      </c>
      <c r="B152" s="25" t="n">
        <v>45.4</v>
      </c>
      <c r="C152" s="25">
        <f>Table1346811121415[[#This Row],[PMI]]-B151</f>
        <v/>
      </c>
    </row>
    <row r="153">
      <c r="A153" s="10" t="n">
        <v>43922</v>
      </c>
      <c r="B153" s="25" t="n">
        <v>34.5</v>
      </c>
      <c r="C153" s="25">
        <f>Table1346811121415[[#This Row],[PMI]]-B152</f>
        <v/>
      </c>
    </row>
    <row r="154">
      <c r="A154" s="10" t="n">
        <v>43952</v>
      </c>
      <c r="B154" s="25" t="n">
        <v>36.6</v>
      </c>
      <c r="C154" s="25">
        <f>Table1346811121415[[#This Row],[PMI]]-B153</f>
        <v/>
      </c>
    </row>
    <row r="155">
      <c r="A155" s="10" t="n">
        <v>43983</v>
      </c>
      <c r="B155" s="25" t="n">
        <v>45.2</v>
      </c>
      <c r="C155" s="25">
        <f>Table1346811121415[[#This Row],[PMI]]-B154</f>
        <v/>
      </c>
    </row>
    <row r="156">
      <c r="A156" s="10" t="n">
        <v>44013</v>
      </c>
      <c r="B156" s="25" t="n">
        <v>51</v>
      </c>
      <c r="C156" s="25">
        <f>Table1346811121415[[#This Row],[PMI]]-B155</f>
        <v/>
      </c>
    </row>
    <row r="157">
      <c r="A157" s="10" t="n">
        <v>44044</v>
      </c>
      <c r="B157" s="25" t="n">
        <v>52.2</v>
      </c>
      <c r="C157" s="25">
        <f>Table1346811121415[[#This Row],[PMI]]-B156</f>
        <v/>
      </c>
    </row>
    <row r="158">
      <c r="A158" s="10" t="n">
        <v>44075</v>
      </c>
      <c r="B158" s="25" t="n">
        <v>56.4</v>
      </c>
      <c r="C158" s="25">
        <f>Table1346811121415[[#This Row],[PMI]]-B157</f>
        <v/>
      </c>
    </row>
    <row r="159">
      <c r="A159" s="10" t="n">
        <v>44105</v>
      </c>
      <c r="B159" s="25" t="n">
        <v>58.2</v>
      </c>
      <c r="C159" s="25">
        <f>Table1346811121415[[#This Row],[PMI]]-B158</f>
        <v/>
      </c>
    </row>
    <row r="160">
      <c r="A160" s="10" t="n">
        <v>44136</v>
      </c>
      <c r="B160" s="25" t="n">
        <v>57.8</v>
      </c>
      <c r="C160" s="25">
        <f>Table1346811121415[[#This Row],[PMI]]-B159</f>
        <v/>
      </c>
    </row>
    <row r="161">
      <c r="A161" s="10" t="n">
        <v>44166</v>
      </c>
      <c r="B161" s="25" t="n">
        <v>58.3</v>
      </c>
      <c r="C161" s="25">
        <f>Table1346811121415[[#This Row],[PMI]]-B160</f>
        <v/>
      </c>
    </row>
    <row r="162">
      <c r="A162" s="10" t="n">
        <v>44197</v>
      </c>
      <c r="B162" s="25" t="n">
        <v>57.1</v>
      </c>
      <c r="C162" s="25">
        <f>Table1346811121415[[#This Row],[PMI]]-B161</f>
        <v/>
      </c>
    </row>
    <row r="163">
      <c r="A163" s="10" t="n">
        <v>44228</v>
      </c>
      <c r="B163" s="25" t="n">
        <v>60.7</v>
      </c>
      <c r="C163" s="25">
        <f>Table1346811121415[[#This Row],[PMI]]-B162</f>
        <v/>
      </c>
    </row>
    <row r="164">
      <c r="A164" s="10" t="n">
        <v>44256</v>
      </c>
      <c r="B164" s="25" t="n">
        <v>66.59999999999999</v>
      </c>
      <c r="C164" s="25">
        <f>Table1346811121415[[#This Row],[PMI]]-B163</f>
        <v/>
      </c>
    </row>
    <row r="165">
      <c r="A165" s="10" t="n">
        <v>44287</v>
      </c>
      <c r="B165" s="25" t="n">
        <v>66.2</v>
      </c>
      <c r="C165" s="25">
        <f>Table1346811121415[[#This Row],[PMI]]-B164</f>
        <v/>
      </c>
    </row>
    <row r="166">
      <c r="A166" s="10" t="n">
        <v>44317</v>
      </c>
      <c r="B166" s="25" t="n">
        <v>64.40000000000001</v>
      </c>
      <c r="C166" s="25">
        <f>Table1346811121415[[#This Row],[PMI]]-B165</f>
        <v/>
      </c>
    </row>
    <row r="167">
      <c r="A167" s="10" t="n">
        <v>44348</v>
      </c>
      <c r="B167" s="25" t="n">
        <v>65.09999999999999</v>
      </c>
      <c r="C167" s="25">
        <f>Table1346811121415[[#This Row],[PMI]]-B166</f>
        <v/>
      </c>
    </row>
    <row r="168">
      <c r="A168" s="10" t="n">
        <v>44378</v>
      </c>
      <c r="B168" s="25" t="n">
        <v>65.90000000000001</v>
      </c>
      <c r="C168" s="25">
        <f>Table1346811121415[[#This Row],[PMI]]-B167</f>
        <v/>
      </c>
    </row>
    <row r="169">
      <c r="A169" s="10" t="n">
        <v>44409</v>
      </c>
      <c r="B169" s="25" t="n">
        <v>62.6</v>
      </c>
      <c r="C169" s="25">
        <f>Table1346811121415[[#This Row],[PMI]]-B168</f>
        <v/>
      </c>
    </row>
    <row r="170">
      <c r="A170" s="10" t="n">
        <v>44440</v>
      </c>
      <c r="B170" s="25" t="n">
        <v>58.4</v>
      </c>
      <c r="C170" s="25">
        <f>Table1346811121415[[#This Row],[PMI]]-B169</f>
        <v/>
      </c>
    </row>
    <row r="171">
      <c r="A171" s="10" t="n">
        <v>44470</v>
      </c>
      <c r="B171" s="25" t="n">
        <v>57.8</v>
      </c>
      <c r="C171" s="25">
        <f>Table1346811121415[[#This Row],[PMI]]-B170</f>
        <v/>
      </c>
    </row>
    <row r="172">
      <c r="A172" s="10" t="n">
        <v>44501</v>
      </c>
      <c r="B172" s="25" t="n">
        <v>57.4</v>
      </c>
      <c r="C172" s="25">
        <f>Table1346811121415[[#This Row],[PMI]]-B171</f>
        <v/>
      </c>
    </row>
    <row r="173">
      <c r="A173" s="10" t="n">
        <v>44531</v>
      </c>
      <c r="B173" s="25" t="n">
        <v>57.4</v>
      </c>
      <c r="C173" s="25">
        <f>Table1346811121415[[#This Row],[PMI]]-B172</f>
        <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6"/>
  <sheetViews>
    <sheetView zoomScale="140" zoomScaleNormal="140" workbookViewId="0">
      <pane ySplit="5" topLeftCell="A130"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France</t>
        </is>
      </c>
      <c r="K1" s="84" t="inlineStr">
        <is>
          <t xml:space="preserve"> Manufacturing PMI</t>
        </is>
      </c>
    </row>
    <row r="2">
      <c r="A2" s="84" t="inlineStr">
        <is>
          <t>france</t>
        </is>
      </c>
      <c r="K2" s="84">
        <f>A1&amp;K1</f>
        <v/>
      </c>
    </row>
    <row r="4" ht="16" customHeight="1" s="76" thickBot="1"/>
    <row r="5" ht="16" customHeight="1" s="76" thickBot="1">
      <c r="A5" s="22" t="inlineStr">
        <is>
          <t>Date</t>
        </is>
      </c>
      <c r="B5" s="23" t="inlineStr">
        <is>
          <t>PMI</t>
        </is>
      </c>
      <c r="C5" s="23" t="inlineStr">
        <is>
          <t>mom</t>
        </is>
      </c>
    </row>
    <row r="6">
      <c r="A6" s="18" t="n">
        <v>39661</v>
      </c>
      <c r="B6" s="19" t="n">
        <v>45.1</v>
      </c>
      <c r="C6" s="19" t="n"/>
    </row>
    <row r="7">
      <c r="A7" s="10" t="n">
        <v>39692</v>
      </c>
      <c r="B7" s="25" t="n">
        <v>43.6</v>
      </c>
      <c r="C7" s="25">
        <f>Table134681112141516[[#This Row],[PMI]]-B6</f>
        <v/>
      </c>
    </row>
    <row r="8">
      <c r="A8" s="10" t="n">
        <v>39722</v>
      </c>
      <c r="B8" s="25" t="n">
        <v>40.8</v>
      </c>
      <c r="C8" s="25">
        <f>Table134681112141516[[#This Row],[PMI]]-B7</f>
        <v/>
      </c>
    </row>
    <row r="9">
      <c r="A9" s="10" t="n">
        <v>39753</v>
      </c>
      <c r="B9" s="25" t="n">
        <v>37.9</v>
      </c>
      <c r="C9" s="25">
        <f>Table134681112141516[[#This Row],[PMI]]-B8</f>
        <v/>
      </c>
    </row>
    <row r="10">
      <c r="A10" s="10" t="n">
        <v>39783</v>
      </c>
      <c r="B10" s="25" t="n">
        <v>35.9</v>
      </c>
      <c r="C10" s="25">
        <f>Table134681112141516[[#This Row],[PMI]]-B9</f>
        <v/>
      </c>
    </row>
    <row r="11">
      <c r="A11" s="10" t="n">
        <v>39814</v>
      </c>
      <c r="B11" s="25" t="n">
        <v>38.1</v>
      </c>
      <c r="C11" s="25">
        <f>Table134681112141516[[#This Row],[PMI]]-B10</f>
        <v/>
      </c>
    </row>
    <row r="12">
      <c r="A12" s="10" t="n">
        <v>39845</v>
      </c>
      <c r="B12" s="25" t="n">
        <v>32.3</v>
      </c>
      <c r="C12" s="25">
        <f>Table134681112141516[[#This Row],[PMI]]-B11</f>
        <v/>
      </c>
    </row>
    <row r="13">
      <c r="A13" s="10" t="n">
        <v>39873</v>
      </c>
      <c r="B13" s="25" t="n">
        <v>36.3</v>
      </c>
      <c r="C13" s="25">
        <f>Table134681112141516[[#This Row],[PMI]]-B12</f>
        <v/>
      </c>
    </row>
    <row r="14">
      <c r="A14" s="10" t="n">
        <v>39904</v>
      </c>
      <c r="B14" s="25" t="n">
        <v>40</v>
      </c>
      <c r="C14" s="25">
        <f>Table134681112141516[[#This Row],[PMI]]-B13</f>
        <v/>
      </c>
    </row>
    <row r="15">
      <c r="A15" s="10" t="n">
        <v>39934</v>
      </c>
      <c r="B15" s="25" t="n">
        <v>43.1</v>
      </c>
      <c r="C15" s="25">
        <f>Table134681112141516[[#This Row],[PMI]]-B14</f>
        <v/>
      </c>
    </row>
    <row r="16">
      <c r="A16" s="10" t="n">
        <v>39965</v>
      </c>
      <c r="B16" s="25" t="n">
        <v>45.9</v>
      </c>
      <c r="C16" s="25">
        <f>Table134681112141516[[#This Row],[PMI]]-B15</f>
        <v/>
      </c>
    </row>
    <row r="17">
      <c r="A17" s="10" t="n">
        <v>39995</v>
      </c>
      <c r="B17" s="25" t="n">
        <v>50.2</v>
      </c>
      <c r="C17" s="25">
        <f>Table134681112141516[[#This Row],[PMI]]-B16</f>
        <v/>
      </c>
    </row>
    <row r="18">
      <c r="A18" s="10" t="n">
        <v>40026</v>
      </c>
      <c r="B18" s="25" t="n">
        <v>52.5</v>
      </c>
      <c r="C18" s="25">
        <f>Table134681112141516[[#This Row],[PMI]]-B17</f>
        <v/>
      </c>
    </row>
    <row r="19">
      <c r="A19" s="10" t="n">
        <v>40057</v>
      </c>
      <c r="B19" s="25" t="n">
        <v>53</v>
      </c>
      <c r="C19" s="25">
        <f>Table134681112141516[[#This Row],[PMI]]-B18</f>
        <v/>
      </c>
    </row>
    <row r="20">
      <c r="A20" s="10" t="n">
        <v>40087</v>
      </c>
      <c r="B20" s="25" t="n">
        <v>54.2</v>
      </c>
      <c r="C20" s="25">
        <f>Table134681112141516[[#This Row],[PMI]]-B19</f>
        <v/>
      </c>
    </row>
    <row r="21">
      <c r="A21" s="10" t="n">
        <v>40118</v>
      </c>
      <c r="B21" s="25" t="n">
        <v>54.4</v>
      </c>
      <c r="C21" s="25">
        <f>Table134681112141516[[#This Row],[PMI]]-B20</f>
        <v/>
      </c>
    </row>
    <row r="22">
      <c r="A22" s="10" t="n">
        <v>40148</v>
      </c>
      <c r="B22" s="25" t="n">
        <v>54.7</v>
      </c>
      <c r="C22" s="25">
        <f>Table134681112141516[[#This Row],[PMI]]-B21</f>
        <v/>
      </c>
    </row>
    <row r="23">
      <c r="A23" s="10" t="n">
        <v>40179</v>
      </c>
      <c r="B23" s="25" t="n">
        <v>54.6</v>
      </c>
      <c r="C23" s="25">
        <f>Table134681112141516[[#This Row],[PMI]]-B22</f>
        <v/>
      </c>
    </row>
    <row r="24">
      <c r="A24" s="10" t="n">
        <v>40210</v>
      </c>
      <c r="B24" s="25" t="n">
        <v>56.3</v>
      </c>
      <c r="C24" s="25">
        <f>Table134681112141516[[#This Row],[PMI]]-B23</f>
        <v/>
      </c>
    </row>
    <row r="25">
      <c r="A25" s="10" t="n">
        <v>40238</v>
      </c>
      <c r="B25" s="25" t="n">
        <v>56.7</v>
      </c>
      <c r="C25" s="25">
        <f>Table134681112141516[[#This Row],[PMI]]-B24</f>
        <v/>
      </c>
    </row>
    <row r="26">
      <c r="A26" s="10" t="n">
        <v>40269</v>
      </c>
      <c r="B26" s="25" t="n">
        <v>56.6</v>
      </c>
      <c r="C26" s="25">
        <f>Table134681112141516[[#This Row],[PMI]]-B25</f>
        <v/>
      </c>
    </row>
    <row r="27">
      <c r="A27" s="10" t="n">
        <v>40299</v>
      </c>
      <c r="B27" s="25" t="n">
        <v>55.8</v>
      </c>
      <c r="C27" s="25">
        <f>Table134681112141516[[#This Row],[PMI]]-B26</f>
        <v/>
      </c>
    </row>
    <row r="28">
      <c r="A28" s="10" t="n">
        <v>40330</v>
      </c>
      <c r="B28" s="25" t="n">
        <v>53.7</v>
      </c>
      <c r="C28" s="25">
        <f>Table134681112141516[[#This Row],[PMI]]-B27</f>
        <v/>
      </c>
    </row>
    <row r="29">
      <c r="A29" s="10" t="n">
        <v>40360</v>
      </c>
      <c r="B29" s="25" t="n">
        <v>54.7</v>
      </c>
      <c r="C29" s="25">
        <f>Table134681112141516[[#This Row],[PMI]]-B28</f>
        <v/>
      </c>
    </row>
    <row r="30">
      <c r="A30" s="10" t="n">
        <v>40391</v>
      </c>
      <c r="B30" s="25" t="n">
        <v>55.4</v>
      </c>
      <c r="C30" s="25">
        <f>Table134681112141516[[#This Row],[PMI]]-B29</f>
        <v/>
      </c>
    </row>
    <row r="31">
      <c r="A31" s="10" t="n">
        <v>40422</v>
      </c>
      <c r="B31" s="25" t="n">
        <v>55.2</v>
      </c>
      <c r="C31" s="25">
        <f>Table134681112141516[[#This Row],[PMI]]-B30</f>
        <v/>
      </c>
    </row>
    <row r="32">
      <c r="A32" s="10" t="n">
        <v>40452</v>
      </c>
      <c r="B32" s="25" t="n">
        <v>57.5</v>
      </c>
      <c r="C32" s="25">
        <f>Table134681112141516[[#This Row],[PMI]]-B31</f>
        <v/>
      </c>
    </row>
    <row r="33">
      <c r="A33" s="10" t="n">
        <v>40483</v>
      </c>
      <c r="B33" s="25" t="n">
        <v>56.3</v>
      </c>
      <c r="C33" s="25">
        <f>Table134681112141516[[#This Row],[PMI]]-B32</f>
        <v/>
      </c>
    </row>
    <row r="34">
      <c r="A34" s="10" t="n">
        <v>40513</v>
      </c>
      <c r="B34" s="25" t="n">
        <v>54.3</v>
      </c>
      <c r="C34" s="25">
        <f>Table134681112141516[[#This Row],[PMI]]-B33</f>
        <v/>
      </c>
    </row>
    <row r="35">
      <c r="A35" s="10" t="n">
        <v>40544</v>
      </c>
      <c r="B35" s="25" t="n">
        <v>54.9</v>
      </c>
      <c r="C35" s="25">
        <f>Table134681112141516[[#This Row],[PMI]]-B34</f>
        <v/>
      </c>
    </row>
    <row r="36">
      <c r="A36" s="10" t="n">
        <v>40575</v>
      </c>
      <c r="B36" s="25" t="n">
        <v>56.6</v>
      </c>
      <c r="C36" s="25">
        <f>Table134681112141516[[#This Row],[PMI]]-B35</f>
        <v/>
      </c>
    </row>
    <row r="37">
      <c r="A37" s="10" t="n">
        <v>40603</v>
      </c>
      <c r="B37" s="25" t="n">
        <v>56.9</v>
      </c>
      <c r="C37" s="25">
        <f>Table134681112141516[[#This Row],[PMI]]-B36</f>
        <v/>
      </c>
    </row>
    <row r="38">
      <c r="A38" s="10" t="n">
        <v>40634</v>
      </c>
      <c r="B38" s="25" t="n">
        <v>57.5</v>
      </c>
      <c r="C38" s="25">
        <f>Table134681112141516[[#This Row],[PMI]]-B37</f>
        <v/>
      </c>
    </row>
    <row r="39">
      <c r="A39" s="10" t="n">
        <v>40664</v>
      </c>
      <c r="B39" s="25" t="n">
        <v>54.9</v>
      </c>
      <c r="C39" s="25">
        <f>Table134681112141516[[#This Row],[PMI]]-B38</f>
        <v/>
      </c>
    </row>
    <row r="40">
      <c r="A40" s="10" t="n">
        <v>40695</v>
      </c>
      <c r="B40" s="25" t="n">
        <v>50.1</v>
      </c>
      <c r="C40" s="25">
        <f>Table134681112141516[[#This Row],[PMI]]-B39</f>
        <v/>
      </c>
    </row>
    <row r="41">
      <c r="A41" s="10" t="n">
        <v>40725</v>
      </c>
      <c r="B41" s="25" t="n">
        <v>50.5</v>
      </c>
      <c r="C41" s="25">
        <f>Table134681112141516[[#This Row],[PMI]]-B40</f>
        <v/>
      </c>
    </row>
    <row r="42">
      <c r="A42" s="10" t="n">
        <v>40756</v>
      </c>
      <c r="B42" s="25" t="n">
        <v>49.1</v>
      </c>
      <c r="C42" s="25">
        <f>Table134681112141516[[#This Row],[PMI]]-B41</f>
        <v/>
      </c>
    </row>
    <row r="43">
      <c r="A43" s="10" t="n">
        <v>40787</v>
      </c>
      <c r="B43" s="25" t="n">
        <v>48.2</v>
      </c>
      <c r="C43" s="25">
        <f>Table134681112141516[[#This Row],[PMI]]-B42</f>
        <v/>
      </c>
    </row>
    <row r="44">
      <c r="A44" s="10" t="n">
        <v>40817</v>
      </c>
      <c r="B44" s="25" t="n">
        <v>48.5</v>
      </c>
      <c r="C44" s="25">
        <f>Table134681112141516[[#This Row],[PMI]]-B43</f>
        <v/>
      </c>
    </row>
    <row r="45">
      <c r="A45" s="10" t="n">
        <v>40848</v>
      </c>
      <c r="B45" s="25" t="n">
        <v>47.3</v>
      </c>
      <c r="C45" s="25">
        <f>Table134681112141516[[#This Row],[PMI]]-B44</f>
        <v/>
      </c>
    </row>
    <row r="46">
      <c r="A46" s="10" t="n">
        <v>40878</v>
      </c>
      <c r="B46" s="25" t="n">
        <v>48.9</v>
      </c>
      <c r="C46" s="25">
        <f>Table134681112141516[[#This Row],[PMI]]-B45</f>
        <v/>
      </c>
    </row>
    <row r="47">
      <c r="A47" s="10" t="n">
        <v>40909</v>
      </c>
      <c r="B47" s="25" t="n">
        <v>48.5</v>
      </c>
      <c r="C47" s="25">
        <f>Table134681112141516[[#This Row],[PMI]]-B46</f>
        <v/>
      </c>
    </row>
    <row r="48">
      <c r="A48" s="10" t="n">
        <v>40940</v>
      </c>
      <c r="B48" s="25" t="n">
        <v>50</v>
      </c>
      <c r="C48" s="25">
        <f>Table134681112141516[[#This Row],[PMI]]-B47</f>
        <v/>
      </c>
    </row>
    <row r="49">
      <c r="A49" s="10" t="n">
        <v>40969</v>
      </c>
      <c r="B49" s="25" t="n">
        <v>46.7</v>
      </c>
      <c r="C49" s="25">
        <f>Table134681112141516[[#This Row],[PMI]]-B48</f>
        <v/>
      </c>
    </row>
    <row r="50">
      <c r="A50" s="10" t="n">
        <v>41000</v>
      </c>
      <c r="B50" s="25" t="n">
        <v>46.9</v>
      </c>
      <c r="C50" s="25">
        <f>Table134681112141516[[#This Row],[PMI]]-B49</f>
        <v/>
      </c>
    </row>
    <row r="51">
      <c r="A51" s="10" t="n">
        <v>41030</v>
      </c>
      <c r="B51" s="25" t="n">
        <v>44.7</v>
      </c>
      <c r="C51" s="25">
        <f>Table134681112141516[[#This Row],[PMI]]-B50</f>
        <v/>
      </c>
    </row>
    <row r="52">
      <c r="A52" s="10" t="n">
        <v>41061</v>
      </c>
      <c r="B52" s="25" t="n">
        <v>45.2</v>
      </c>
      <c r="C52" s="25">
        <f>Table134681112141516[[#This Row],[PMI]]-B51</f>
        <v/>
      </c>
    </row>
    <row r="53">
      <c r="A53" s="10" t="n">
        <v>41091</v>
      </c>
      <c r="B53" s="25" t="n">
        <v>43.4</v>
      </c>
      <c r="C53" s="25">
        <f>Table134681112141516[[#This Row],[PMI]]-B52</f>
        <v/>
      </c>
    </row>
    <row r="54">
      <c r="A54" s="10" t="n">
        <v>41122</v>
      </c>
      <c r="B54" s="25" t="n">
        <v>46</v>
      </c>
      <c r="C54" s="25">
        <f>Table134681112141516[[#This Row],[PMI]]-B53</f>
        <v/>
      </c>
    </row>
    <row r="55">
      <c r="A55" s="10" t="n">
        <v>41153</v>
      </c>
      <c r="B55" s="25" t="n">
        <v>42.7</v>
      </c>
      <c r="C55" s="25">
        <f>Table134681112141516[[#This Row],[PMI]]-B54</f>
        <v/>
      </c>
    </row>
    <row r="56">
      <c r="A56" s="10" t="n">
        <v>41183</v>
      </c>
      <c r="B56" s="25" t="n">
        <v>43.7</v>
      </c>
      <c r="C56" s="25">
        <f>Table134681112141516[[#This Row],[PMI]]-B55</f>
        <v/>
      </c>
    </row>
    <row r="57">
      <c r="A57" s="10" t="n">
        <v>41214</v>
      </c>
      <c r="B57" s="25" t="n">
        <v>44.5</v>
      </c>
      <c r="C57" s="25">
        <f>Table134681112141516[[#This Row],[PMI]]-B56</f>
        <v/>
      </c>
    </row>
    <row r="58">
      <c r="A58" s="10" t="n">
        <v>41244</v>
      </c>
      <c r="B58" s="25" t="n">
        <v>44.6</v>
      </c>
      <c r="C58" s="25">
        <f>Table134681112141516[[#This Row],[PMI]]-B57</f>
        <v/>
      </c>
    </row>
    <row r="59">
      <c r="A59" s="10" t="n">
        <v>41275</v>
      </c>
      <c r="B59" s="25" t="n">
        <v>42.9</v>
      </c>
      <c r="C59" s="25">
        <f>Table134681112141516[[#This Row],[PMI]]-B58</f>
        <v/>
      </c>
    </row>
    <row r="60">
      <c r="A60" s="10" t="n">
        <v>41306</v>
      </c>
      <c r="B60" s="25" t="n">
        <v>43.9</v>
      </c>
      <c r="C60" s="25">
        <f>Table134681112141516[[#This Row],[PMI]]-B59</f>
        <v/>
      </c>
    </row>
    <row r="61">
      <c r="A61" s="10" t="n">
        <v>41334</v>
      </c>
      <c r="B61" s="25" t="n">
        <v>44</v>
      </c>
      <c r="C61" s="25">
        <f>Table134681112141516[[#This Row],[PMI]]-B60</f>
        <v/>
      </c>
    </row>
    <row r="62">
      <c r="A62" s="10" t="n">
        <v>41365</v>
      </c>
      <c r="B62" s="25" t="n">
        <v>44.4</v>
      </c>
      <c r="C62" s="25">
        <f>Table134681112141516[[#This Row],[PMI]]-B61</f>
        <v/>
      </c>
    </row>
    <row r="63">
      <c r="A63" s="10" t="n">
        <v>41395</v>
      </c>
      <c r="B63" s="25" t="n">
        <v>46.4</v>
      </c>
      <c r="C63" s="25">
        <f>Table134681112141516[[#This Row],[PMI]]-B62</f>
        <v/>
      </c>
    </row>
    <row r="64">
      <c r="A64" s="10" t="n">
        <v>41426</v>
      </c>
      <c r="B64" s="25" t="n">
        <v>48.4</v>
      </c>
      <c r="C64" s="25">
        <f>Table134681112141516[[#This Row],[PMI]]-B63</f>
        <v/>
      </c>
    </row>
    <row r="65">
      <c r="A65" s="10" t="n">
        <v>41456</v>
      </c>
      <c r="B65" s="25" t="n">
        <v>49.7</v>
      </c>
      <c r="C65" s="25">
        <f>Table134681112141516[[#This Row],[PMI]]-B64</f>
        <v/>
      </c>
    </row>
    <row r="66">
      <c r="A66" s="10" t="n">
        <v>41487</v>
      </c>
      <c r="B66" s="25" t="n">
        <v>49.7</v>
      </c>
      <c r="C66" s="25">
        <f>Table134681112141516[[#This Row],[PMI]]-B65</f>
        <v/>
      </c>
    </row>
    <row r="67">
      <c r="A67" s="10" t="n">
        <v>41518</v>
      </c>
      <c r="B67" s="25" t="n">
        <v>49.8</v>
      </c>
      <c r="C67" s="25">
        <f>Table134681112141516[[#This Row],[PMI]]-B66</f>
        <v/>
      </c>
    </row>
    <row r="68">
      <c r="A68" s="10" t="n">
        <v>41548</v>
      </c>
      <c r="B68" s="25" t="n">
        <v>49.1</v>
      </c>
      <c r="C68" s="25">
        <f>Table134681112141516[[#This Row],[PMI]]-B67</f>
        <v/>
      </c>
    </row>
    <row r="69">
      <c r="A69" s="10" t="n">
        <v>41579</v>
      </c>
      <c r="B69" s="25" t="n">
        <v>48.4</v>
      </c>
      <c r="C69" s="25">
        <f>Table134681112141516[[#This Row],[PMI]]-B68</f>
        <v/>
      </c>
    </row>
    <row r="70">
      <c r="A70" s="10" t="n">
        <v>41609</v>
      </c>
      <c r="B70" s="25" t="n">
        <v>47</v>
      </c>
      <c r="C70" s="25">
        <f>Table134681112141516[[#This Row],[PMI]]-B69</f>
        <v/>
      </c>
    </row>
    <row r="71">
      <c r="A71" s="10" t="n">
        <v>41640</v>
      </c>
      <c r="B71" s="25" t="n">
        <v>49.3</v>
      </c>
      <c r="C71" s="25">
        <f>Table134681112141516[[#This Row],[PMI]]-B70</f>
        <v/>
      </c>
    </row>
    <row r="72">
      <c r="A72" s="10" t="n">
        <v>41671</v>
      </c>
      <c r="B72" s="25" t="n">
        <v>49.7</v>
      </c>
      <c r="C72" s="25">
        <f>Table134681112141516[[#This Row],[PMI]]-B71</f>
        <v/>
      </c>
    </row>
    <row r="73">
      <c r="A73" s="10" t="n">
        <v>41699</v>
      </c>
      <c r="B73" s="25" t="n">
        <v>52.1</v>
      </c>
      <c r="C73" s="25">
        <f>Table134681112141516[[#This Row],[PMI]]-B72</f>
        <v/>
      </c>
    </row>
    <row r="74">
      <c r="A74" s="10" t="n">
        <v>41730</v>
      </c>
      <c r="B74" s="25" t="n">
        <v>51.2</v>
      </c>
      <c r="C74" s="25">
        <f>Table134681112141516[[#This Row],[PMI]]-B73</f>
        <v/>
      </c>
    </row>
    <row r="75">
      <c r="A75" s="10" t="n">
        <v>41760</v>
      </c>
      <c r="B75" s="25" t="n">
        <v>49.6</v>
      </c>
      <c r="C75" s="25">
        <f>Table134681112141516[[#This Row],[PMI]]-B74</f>
        <v/>
      </c>
    </row>
    <row r="76">
      <c r="A76" s="10" t="n">
        <v>41791</v>
      </c>
      <c r="B76" s="25" t="n">
        <v>48.2</v>
      </c>
      <c r="C76" s="25">
        <f>Table134681112141516[[#This Row],[PMI]]-B75</f>
        <v/>
      </c>
    </row>
    <row r="77">
      <c r="A77" s="10" t="n">
        <v>41821</v>
      </c>
      <c r="B77" s="25" t="n">
        <v>47.8</v>
      </c>
      <c r="C77" s="25">
        <f>Table134681112141516[[#This Row],[PMI]]-B76</f>
        <v/>
      </c>
    </row>
    <row r="78">
      <c r="A78" s="10" t="n">
        <v>41852</v>
      </c>
      <c r="B78" s="25" t="n">
        <v>46.9</v>
      </c>
      <c r="C78" s="25">
        <f>Table134681112141516[[#This Row],[PMI]]-B77</f>
        <v/>
      </c>
    </row>
    <row r="79">
      <c r="A79" s="10" t="n">
        <v>41883</v>
      </c>
      <c r="B79" s="25" t="n">
        <v>48.8</v>
      </c>
      <c r="C79" s="25">
        <f>Table134681112141516[[#This Row],[PMI]]-B78</f>
        <v/>
      </c>
    </row>
    <row r="80">
      <c r="A80" s="10" t="n">
        <v>41913</v>
      </c>
      <c r="B80" s="25" t="n">
        <v>48.5</v>
      </c>
      <c r="C80" s="25">
        <f>Table134681112141516[[#This Row],[PMI]]-B79</f>
        <v/>
      </c>
    </row>
    <row r="81">
      <c r="A81" s="10" t="n">
        <v>41944</v>
      </c>
      <c r="B81" s="25" t="n">
        <v>48.4</v>
      </c>
      <c r="C81" s="25">
        <f>Table134681112141516[[#This Row],[PMI]]-B80</f>
        <v/>
      </c>
    </row>
    <row r="82">
      <c r="A82" s="10" t="n">
        <v>41974</v>
      </c>
      <c r="B82" s="25" t="n">
        <v>47.5</v>
      </c>
      <c r="C82" s="25">
        <f>Table134681112141516[[#This Row],[PMI]]-B81</f>
        <v/>
      </c>
    </row>
    <row r="83">
      <c r="A83" s="10" t="n">
        <v>42005</v>
      </c>
      <c r="B83" s="25" t="n">
        <v>49.2</v>
      </c>
      <c r="C83" s="25">
        <f>Table134681112141516[[#This Row],[PMI]]-B82</f>
        <v/>
      </c>
    </row>
    <row r="84">
      <c r="A84" s="10" t="n">
        <v>42036</v>
      </c>
      <c r="B84" s="25" t="n">
        <v>47.6</v>
      </c>
      <c r="C84" s="25">
        <f>Table134681112141516[[#This Row],[PMI]]-B83</f>
        <v/>
      </c>
    </row>
    <row r="85">
      <c r="A85" s="10" t="n">
        <v>42064</v>
      </c>
      <c r="B85" s="25" t="n">
        <v>48.8</v>
      </c>
      <c r="C85" s="25">
        <f>Table134681112141516[[#This Row],[PMI]]-B84</f>
        <v/>
      </c>
    </row>
    <row r="86">
      <c r="A86" s="10" t="n">
        <v>42095</v>
      </c>
      <c r="B86" s="25" t="n">
        <v>48</v>
      </c>
      <c r="C86" s="25">
        <f>Table134681112141516[[#This Row],[PMI]]-B85</f>
        <v/>
      </c>
    </row>
    <row r="87">
      <c r="A87" s="10" t="n">
        <v>42125</v>
      </c>
      <c r="B87" s="25" t="n">
        <v>49.4</v>
      </c>
      <c r="C87" s="25">
        <f>Table134681112141516[[#This Row],[PMI]]-B86</f>
        <v/>
      </c>
    </row>
    <row r="88">
      <c r="A88" s="10" t="n">
        <v>42156</v>
      </c>
      <c r="B88" s="25" t="n">
        <v>50.7</v>
      </c>
      <c r="C88" s="25">
        <f>Table134681112141516[[#This Row],[PMI]]-B87</f>
        <v/>
      </c>
    </row>
    <row r="89">
      <c r="A89" s="10" t="n">
        <v>42186</v>
      </c>
      <c r="B89" s="25" t="n">
        <v>49.6</v>
      </c>
      <c r="C89" s="25">
        <f>Table134681112141516[[#This Row],[PMI]]-B88</f>
        <v/>
      </c>
    </row>
    <row r="90">
      <c r="A90" s="10" t="n">
        <v>42217</v>
      </c>
      <c r="B90" s="25" t="n">
        <v>48.3</v>
      </c>
      <c r="C90" s="25">
        <f>Table134681112141516[[#This Row],[PMI]]-B89</f>
        <v/>
      </c>
    </row>
    <row r="91">
      <c r="A91" s="10" t="n">
        <v>42248</v>
      </c>
      <c r="B91" s="25" t="n">
        <v>50.6</v>
      </c>
      <c r="C91" s="25">
        <f>Table134681112141516[[#This Row],[PMI]]-B90</f>
        <v/>
      </c>
    </row>
    <row r="92">
      <c r="A92" s="10" t="n">
        <v>42278</v>
      </c>
      <c r="B92" s="25" t="n">
        <v>50.6</v>
      </c>
      <c r="C92" s="25">
        <f>Table134681112141516[[#This Row],[PMI]]-B91</f>
        <v/>
      </c>
    </row>
    <row r="93">
      <c r="A93" s="10" t="n">
        <v>42309</v>
      </c>
      <c r="B93" s="25" t="n">
        <v>50.6</v>
      </c>
      <c r="C93" s="25">
        <f>Table134681112141516[[#This Row],[PMI]]-B92</f>
        <v/>
      </c>
    </row>
    <row r="94">
      <c r="A94" s="10" t="n">
        <v>42339</v>
      </c>
      <c r="B94" s="25" t="n">
        <v>51.4</v>
      </c>
      <c r="C94" s="25">
        <f>Table134681112141516[[#This Row],[PMI]]-B93</f>
        <v/>
      </c>
    </row>
    <row r="95">
      <c r="A95" s="10" t="n">
        <v>42370</v>
      </c>
      <c r="B95" s="25" t="n">
        <v>50</v>
      </c>
      <c r="C95" s="25">
        <f>Table134681112141516[[#This Row],[PMI]]-B94</f>
        <v/>
      </c>
    </row>
    <row r="96">
      <c r="A96" s="10" t="n">
        <v>42401</v>
      </c>
      <c r="B96" s="25" t="n">
        <v>50.2</v>
      </c>
      <c r="C96" s="25">
        <f>Table134681112141516[[#This Row],[PMI]]-B95</f>
        <v/>
      </c>
    </row>
    <row r="97">
      <c r="A97" s="10" t="n">
        <v>42430</v>
      </c>
      <c r="B97" s="25" t="n">
        <v>49.6</v>
      </c>
      <c r="C97" s="25">
        <f>Table134681112141516[[#This Row],[PMI]]-B96</f>
        <v/>
      </c>
    </row>
    <row r="98">
      <c r="A98" s="10" t="n">
        <v>42461</v>
      </c>
      <c r="B98" s="25" t="n">
        <v>48</v>
      </c>
      <c r="C98" s="25">
        <f>Table134681112141516[[#This Row],[PMI]]-B97</f>
        <v/>
      </c>
    </row>
    <row r="99">
      <c r="A99" s="10" t="n">
        <v>42491</v>
      </c>
      <c r="B99" s="25" t="n">
        <v>48.4</v>
      </c>
      <c r="C99" s="25">
        <f>Table134681112141516[[#This Row],[PMI]]-B98</f>
        <v/>
      </c>
    </row>
    <row r="100">
      <c r="A100" s="10" t="n">
        <v>42522</v>
      </c>
      <c r="B100" s="25" t="n">
        <v>48.3</v>
      </c>
      <c r="C100" s="25">
        <f>Table134681112141516[[#This Row],[PMI]]-B99</f>
        <v/>
      </c>
    </row>
    <row r="101">
      <c r="A101" s="10" t="n">
        <v>42552</v>
      </c>
      <c r="B101" s="25" t="n">
        <v>48.6</v>
      </c>
      <c r="C101" s="25">
        <f>Table134681112141516[[#This Row],[PMI]]-B100</f>
        <v/>
      </c>
    </row>
    <row r="102">
      <c r="A102" s="10" t="n">
        <v>42583</v>
      </c>
      <c r="B102" s="25" t="n">
        <v>48.3</v>
      </c>
      <c r="C102" s="25">
        <f>Table134681112141516[[#This Row],[PMI]]-B101</f>
        <v/>
      </c>
    </row>
    <row r="103">
      <c r="A103" s="10" t="n">
        <v>42614</v>
      </c>
      <c r="B103" s="25" t="n">
        <v>49.7</v>
      </c>
      <c r="C103" s="25">
        <f>Table134681112141516[[#This Row],[PMI]]-B102</f>
        <v/>
      </c>
    </row>
    <row r="104">
      <c r="A104" s="10" t="n">
        <v>42644</v>
      </c>
      <c r="B104" s="25" t="n">
        <v>51.8</v>
      </c>
      <c r="C104" s="25">
        <f>Table134681112141516[[#This Row],[PMI]]-B103</f>
        <v/>
      </c>
    </row>
    <row r="105">
      <c r="A105" s="10" t="n">
        <v>42675</v>
      </c>
      <c r="B105" s="25" t="n">
        <v>51.7</v>
      </c>
      <c r="C105" s="25">
        <f>Table134681112141516[[#This Row],[PMI]]-B104</f>
        <v/>
      </c>
    </row>
    <row r="106">
      <c r="A106" s="10" t="n">
        <v>42705</v>
      </c>
      <c r="B106" s="25" t="n">
        <v>53.5</v>
      </c>
      <c r="C106" s="25">
        <f>Table134681112141516[[#This Row],[PMI]]-B105</f>
        <v/>
      </c>
    </row>
    <row r="107">
      <c r="A107" s="10" t="n">
        <v>42736</v>
      </c>
      <c r="B107" s="25" t="n">
        <v>53.6</v>
      </c>
      <c r="C107" s="25">
        <f>Table134681112141516[[#This Row],[PMI]]-B106</f>
        <v/>
      </c>
    </row>
    <row r="108">
      <c r="A108" s="10" t="n">
        <v>42767</v>
      </c>
      <c r="B108" s="25" t="n">
        <v>52.2</v>
      </c>
      <c r="C108" s="25">
        <f>Table134681112141516[[#This Row],[PMI]]-B107</f>
        <v/>
      </c>
    </row>
    <row r="109">
      <c r="A109" s="10" t="n">
        <v>42795</v>
      </c>
      <c r="B109" s="25" t="n">
        <v>53.3</v>
      </c>
      <c r="C109" s="25">
        <f>Table134681112141516[[#This Row],[PMI]]-B108</f>
        <v/>
      </c>
    </row>
    <row r="110">
      <c r="A110" s="10" t="n">
        <v>42826</v>
      </c>
      <c r="B110" s="25" t="n">
        <v>55.1</v>
      </c>
      <c r="C110" s="25">
        <f>Table134681112141516[[#This Row],[PMI]]-B109</f>
        <v/>
      </c>
    </row>
    <row r="111">
      <c r="A111" s="10" t="n">
        <v>42856</v>
      </c>
      <c r="B111" s="25" t="n">
        <v>53.8</v>
      </c>
      <c r="C111" s="25">
        <f>Table134681112141516[[#This Row],[PMI]]-B110</f>
        <v/>
      </c>
    </row>
    <row r="112">
      <c r="A112" s="10" t="n">
        <v>42887</v>
      </c>
      <c r="B112" s="25" t="n">
        <v>54.8</v>
      </c>
      <c r="C112" s="25">
        <f>Table134681112141516[[#This Row],[PMI]]-B111</f>
        <v/>
      </c>
    </row>
    <row r="113">
      <c r="A113" s="10" t="n">
        <v>42917</v>
      </c>
      <c r="B113" s="25" t="n">
        <v>54.9</v>
      </c>
      <c r="C113" s="25">
        <f>Table134681112141516[[#This Row],[PMI]]-B112</f>
        <v/>
      </c>
    </row>
    <row r="114">
      <c r="A114" s="10" t="n">
        <v>42948</v>
      </c>
      <c r="B114" s="25" t="n">
        <v>55.8</v>
      </c>
      <c r="C114" s="25">
        <f>Table134681112141516[[#This Row],[PMI]]-B113</f>
        <v/>
      </c>
    </row>
    <row r="115">
      <c r="A115" s="10" t="n">
        <v>42979</v>
      </c>
      <c r="B115" s="25" t="n">
        <v>56.1</v>
      </c>
      <c r="C115" s="25">
        <f>Table134681112141516[[#This Row],[PMI]]-B114</f>
        <v/>
      </c>
    </row>
    <row r="116">
      <c r="A116" s="10" t="n">
        <v>43009</v>
      </c>
      <c r="B116" s="25" t="n">
        <v>56.1</v>
      </c>
      <c r="C116" s="25">
        <f>Table134681112141516[[#This Row],[PMI]]-B115</f>
        <v/>
      </c>
    </row>
    <row r="117">
      <c r="A117" s="10" t="n">
        <v>43040</v>
      </c>
      <c r="B117" s="25" t="n">
        <v>57.7</v>
      </c>
      <c r="C117" s="25">
        <f>Table134681112141516[[#This Row],[PMI]]-B116</f>
        <v/>
      </c>
    </row>
    <row r="118">
      <c r="A118" s="10" t="n">
        <v>43070</v>
      </c>
      <c r="B118" s="25" t="n">
        <v>58.8</v>
      </c>
      <c r="C118" s="25">
        <f>Table134681112141516[[#This Row],[PMI]]-B117</f>
        <v/>
      </c>
    </row>
    <row r="119">
      <c r="A119" s="10" t="n">
        <v>43101</v>
      </c>
      <c r="B119" s="25" t="n">
        <v>58.4</v>
      </c>
      <c r="C119" s="25">
        <f>Table134681112141516[[#This Row],[PMI]]-B118</f>
        <v/>
      </c>
    </row>
    <row r="120">
      <c r="A120" s="10" t="n">
        <v>43132</v>
      </c>
      <c r="B120" s="25" t="n">
        <v>55.9</v>
      </c>
      <c r="C120" s="25">
        <f>Table134681112141516[[#This Row],[PMI]]-B119</f>
        <v/>
      </c>
    </row>
    <row r="121">
      <c r="A121" s="10" t="n">
        <v>43160</v>
      </c>
      <c r="B121" s="25" t="n">
        <v>53.7</v>
      </c>
      <c r="C121" s="25">
        <f>Table134681112141516[[#This Row],[PMI]]-B120</f>
        <v/>
      </c>
    </row>
    <row r="122">
      <c r="A122" s="10" t="n">
        <v>43191</v>
      </c>
      <c r="B122" s="25" t="n">
        <v>53.8</v>
      </c>
      <c r="C122" s="25">
        <f>Table134681112141516[[#This Row],[PMI]]-B121</f>
        <v/>
      </c>
    </row>
    <row r="123">
      <c r="A123" s="10" t="n">
        <v>43221</v>
      </c>
      <c r="B123" s="25" t="n">
        <v>55.1</v>
      </c>
      <c r="C123" s="25">
        <f>Table134681112141516[[#This Row],[PMI]]-B122</f>
        <v/>
      </c>
    </row>
    <row r="124">
      <c r="A124" s="10" t="n">
        <v>43252</v>
      </c>
      <c r="B124" s="25" t="n">
        <v>52.5</v>
      </c>
      <c r="C124" s="25">
        <f>Table134681112141516[[#This Row],[PMI]]-B123</f>
        <v/>
      </c>
    </row>
    <row r="125">
      <c r="A125" s="10" t="n">
        <v>43282</v>
      </c>
      <c r="B125" s="25" t="n">
        <v>53.3</v>
      </c>
      <c r="C125" s="25">
        <f>Table134681112141516[[#This Row],[PMI]]-B124</f>
        <v/>
      </c>
    </row>
    <row r="126">
      <c r="A126" s="10" t="n">
        <v>43313</v>
      </c>
      <c r="B126" s="25" t="n">
        <v>53.5</v>
      </c>
      <c r="C126" s="25">
        <f>Table134681112141516[[#This Row],[PMI]]-B125</f>
        <v/>
      </c>
    </row>
    <row r="127">
      <c r="A127" s="10" t="n">
        <v>43344</v>
      </c>
      <c r="B127" s="25" t="n">
        <v>52.5</v>
      </c>
      <c r="C127" s="25">
        <f>Table134681112141516[[#This Row],[PMI]]-B126</f>
        <v/>
      </c>
    </row>
    <row r="128">
      <c r="A128" s="10" t="n">
        <v>43374</v>
      </c>
      <c r="B128" s="25" t="n">
        <v>51.2</v>
      </c>
      <c r="C128" s="25">
        <f>Table134681112141516[[#This Row],[PMI]]-B127</f>
        <v/>
      </c>
    </row>
    <row r="129">
      <c r="A129" s="10" t="n">
        <v>43405</v>
      </c>
      <c r="B129" s="25" t="n">
        <v>50.8</v>
      </c>
      <c r="C129" s="25">
        <f>Table134681112141516[[#This Row],[PMI]]-B128</f>
        <v/>
      </c>
    </row>
    <row r="130">
      <c r="A130" s="10" t="n">
        <v>43435</v>
      </c>
      <c r="B130" s="25" t="n">
        <v>49.7</v>
      </c>
      <c r="C130" s="25">
        <f>Table134681112141516[[#This Row],[PMI]]-B129</f>
        <v/>
      </c>
    </row>
    <row r="131">
      <c r="A131" s="10" t="n">
        <v>43466</v>
      </c>
      <c r="B131" s="25" t="n">
        <v>51.2</v>
      </c>
      <c r="C131" s="25">
        <f>Table134681112141516[[#This Row],[PMI]]-B130</f>
        <v/>
      </c>
    </row>
    <row r="132">
      <c r="A132" s="10" t="n">
        <v>43497</v>
      </c>
      <c r="B132" s="25" t="n">
        <v>51.5</v>
      </c>
      <c r="C132" s="25">
        <f>Table134681112141516[[#This Row],[PMI]]-B131</f>
        <v/>
      </c>
    </row>
    <row r="133">
      <c r="A133" s="10" t="n">
        <v>43525</v>
      </c>
      <c r="B133" s="25" t="n">
        <v>49.7</v>
      </c>
      <c r="C133" s="25">
        <f>Table134681112141516[[#This Row],[PMI]]-B132</f>
        <v/>
      </c>
    </row>
    <row r="134">
      <c r="A134" s="10" t="n">
        <v>43556</v>
      </c>
      <c r="B134" s="25" t="n">
        <v>50</v>
      </c>
      <c r="C134" s="25">
        <f>Table134681112141516[[#This Row],[PMI]]-B133</f>
        <v/>
      </c>
    </row>
    <row r="135">
      <c r="A135" s="10" t="n">
        <v>43586</v>
      </c>
      <c r="B135" s="25" t="n">
        <v>50.6</v>
      </c>
      <c r="C135" s="25">
        <f>Table134681112141516[[#This Row],[PMI]]-B134</f>
        <v/>
      </c>
    </row>
    <row r="136">
      <c r="A136" s="10" t="n">
        <v>43617</v>
      </c>
      <c r="B136" s="25" t="n">
        <v>51.9</v>
      </c>
      <c r="C136" s="25">
        <f>Table134681112141516[[#This Row],[PMI]]-B135</f>
        <v/>
      </c>
    </row>
    <row r="137">
      <c r="A137" s="10" t="n">
        <v>43647</v>
      </c>
      <c r="B137" s="25" t="n">
        <v>49.7</v>
      </c>
      <c r="C137" s="25">
        <f>Table134681112141516[[#This Row],[PMI]]-B136</f>
        <v/>
      </c>
    </row>
    <row r="138">
      <c r="A138" s="10" t="n">
        <v>43678</v>
      </c>
      <c r="B138" s="25" t="n">
        <v>51.1</v>
      </c>
      <c r="C138" s="25">
        <f>Table134681112141516[[#This Row],[PMI]]-B137</f>
        <v/>
      </c>
    </row>
    <row r="139">
      <c r="A139" s="10" t="n">
        <v>43709</v>
      </c>
      <c r="B139" s="25" t="n">
        <v>50.1</v>
      </c>
      <c r="C139" s="25">
        <f>Table134681112141516[[#This Row],[PMI]]-B138</f>
        <v/>
      </c>
    </row>
    <row r="140">
      <c r="A140" s="10" t="n">
        <v>43739</v>
      </c>
      <c r="B140" s="25" t="n">
        <v>50.7</v>
      </c>
      <c r="C140" s="25">
        <f>Table134681112141516[[#This Row],[PMI]]-B139</f>
        <v/>
      </c>
    </row>
    <row r="141">
      <c r="A141" s="10" t="n">
        <v>43770</v>
      </c>
      <c r="B141" s="25" t="n">
        <v>51.7</v>
      </c>
      <c r="C141" s="25">
        <f>Table134681112141516[[#This Row],[PMI]]-B140</f>
        <v/>
      </c>
    </row>
    <row r="142">
      <c r="A142" s="10" t="n">
        <v>43800</v>
      </c>
      <c r="B142" s="25" t="n">
        <v>50.4</v>
      </c>
      <c r="C142" s="25">
        <f>Table134681112141516[[#This Row],[PMI]]-B141</f>
        <v/>
      </c>
    </row>
    <row r="143">
      <c r="A143" s="10" t="n">
        <v>43831</v>
      </c>
      <c r="B143" s="25" t="n">
        <v>51.1</v>
      </c>
      <c r="C143" s="25">
        <f>Table134681112141516[[#This Row],[PMI]]-B142</f>
        <v/>
      </c>
    </row>
    <row r="144">
      <c r="A144" s="10" t="n">
        <v>43862</v>
      </c>
      <c r="B144" s="25" t="n">
        <v>49.8</v>
      </c>
      <c r="C144" s="25">
        <f>Table134681112141516[[#This Row],[PMI]]-B143</f>
        <v/>
      </c>
    </row>
    <row r="145">
      <c r="A145" s="10" t="n">
        <v>43891</v>
      </c>
      <c r="B145" s="25" t="n">
        <v>43.2</v>
      </c>
      <c r="C145" s="25">
        <f>Table134681112141516[[#This Row],[PMI]]-B144</f>
        <v/>
      </c>
    </row>
    <row r="146">
      <c r="A146" s="10" t="n">
        <v>43922</v>
      </c>
      <c r="B146" s="25" t="n">
        <v>31.5</v>
      </c>
      <c r="C146" s="25">
        <f>Table134681112141516[[#This Row],[PMI]]-B145</f>
        <v/>
      </c>
    </row>
    <row r="147">
      <c r="A147" s="10" t="n">
        <v>43952</v>
      </c>
      <c r="B147" s="25" t="n">
        <v>40.6</v>
      </c>
      <c r="C147" s="25">
        <f>Table134681112141516[[#This Row],[PMI]]-B146</f>
        <v/>
      </c>
    </row>
    <row r="148">
      <c r="A148" s="10" t="n">
        <v>43983</v>
      </c>
      <c r="B148" s="25" t="n">
        <v>52.3</v>
      </c>
      <c r="C148" s="25">
        <f>Table134681112141516[[#This Row],[PMI]]-B147</f>
        <v/>
      </c>
    </row>
    <row r="149">
      <c r="A149" s="10" t="n">
        <v>44013</v>
      </c>
      <c r="B149" s="25" t="n">
        <v>52.4</v>
      </c>
      <c r="C149" s="25">
        <f>Table134681112141516[[#This Row],[PMI]]-B148</f>
        <v/>
      </c>
    </row>
    <row r="150">
      <c r="A150" s="10" t="n">
        <v>44044</v>
      </c>
      <c r="B150" s="25" t="n">
        <v>49.8</v>
      </c>
      <c r="C150" s="25">
        <f>Table134681112141516[[#This Row],[PMI]]-B149</f>
        <v/>
      </c>
    </row>
    <row r="151">
      <c r="A151" s="10" t="n">
        <v>44075</v>
      </c>
      <c r="B151" s="25" t="n">
        <v>51.2</v>
      </c>
      <c r="C151" s="25">
        <f>Table134681112141516[[#This Row],[PMI]]-B150</f>
        <v/>
      </c>
    </row>
    <row r="152">
      <c r="A152" s="10" t="n">
        <v>44105</v>
      </c>
      <c r="B152" s="25" t="n">
        <v>51.3</v>
      </c>
      <c r="C152" s="25">
        <f>Table134681112141516[[#This Row],[PMI]]-B151</f>
        <v/>
      </c>
    </row>
    <row r="153">
      <c r="A153" s="10" t="n">
        <v>44136</v>
      </c>
      <c r="B153" s="25" t="n">
        <v>49.6</v>
      </c>
      <c r="C153" s="25">
        <f>Table134681112141516[[#This Row],[PMI]]-B152</f>
        <v/>
      </c>
    </row>
    <row r="154">
      <c r="A154" s="10" t="n">
        <v>44166</v>
      </c>
      <c r="B154" s="25" t="n">
        <v>51.1</v>
      </c>
      <c r="C154" s="25">
        <f>Table134681112141516[[#This Row],[PMI]]-B153</f>
        <v/>
      </c>
    </row>
    <row r="155">
      <c r="A155" s="10" t="n">
        <v>44197</v>
      </c>
      <c r="B155" s="25" t="n">
        <v>51.6</v>
      </c>
      <c r="C155" s="25">
        <f>Table134681112141516[[#This Row],[PMI]]-B154</f>
        <v/>
      </c>
    </row>
    <row r="156">
      <c r="A156" s="10" t="n">
        <v>44228</v>
      </c>
      <c r="B156" s="25" t="n">
        <v>56.1</v>
      </c>
      <c r="C156" s="25">
        <f>Table134681112141516[[#This Row],[PMI]]-B155</f>
        <v/>
      </c>
    </row>
    <row r="157">
      <c r="A157" s="10" t="n">
        <v>44256</v>
      </c>
      <c r="B157" s="25" t="n">
        <v>59.3</v>
      </c>
      <c r="C157" s="25">
        <f>Table134681112141516[[#This Row],[PMI]]-B156</f>
        <v/>
      </c>
    </row>
    <row r="158">
      <c r="A158" s="10" t="n">
        <v>44287</v>
      </c>
      <c r="B158" s="25" t="n">
        <v>58.9</v>
      </c>
      <c r="C158" s="25">
        <f>Table134681112141516[[#This Row],[PMI]]-B157</f>
        <v/>
      </c>
    </row>
    <row r="159">
      <c r="A159" s="10" t="n">
        <v>44317</v>
      </c>
      <c r="B159" s="25" t="n">
        <v>59.4</v>
      </c>
      <c r="C159" s="25">
        <f>Table134681112141516[[#This Row],[PMI]]-B158</f>
        <v/>
      </c>
    </row>
    <row r="160">
      <c r="A160" s="10" t="n">
        <v>44348</v>
      </c>
      <c r="B160" s="25" t="n">
        <v>59</v>
      </c>
      <c r="C160" s="25">
        <f>Table134681112141516[[#This Row],[PMI]]-B159</f>
        <v/>
      </c>
    </row>
    <row r="161">
      <c r="A161" s="10" t="n">
        <v>44378</v>
      </c>
      <c r="B161" s="25" t="n">
        <v>58</v>
      </c>
      <c r="C161" s="25">
        <f>Table134681112141516[[#This Row],[PMI]]-B160</f>
        <v/>
      </c>
    </row>
    <row r="162">
      <c r="A162" s="10" t="n">
        <v>44409</v>
      </c>
      <c r="B162" s="25" t="n">
        <v>57.5</v>
      </c>
      <c r="C162" s="25">
        <f>Table134681112141516[[#This Row],[PMI]]-B161</f>
        <v/>
      </c>
    </row>
    <row r="163">
      <c r="A163" s="10" t="n">
        <v>44440</v>
      </c>
      <c r="B163" s="25" t="n">
        <v>55</v>
      </c>
      <c r="C163" s="25">
        <f>Table134681112141516[[#This Row],[PMI]]-B162</f>
        <v/>
      </c>
    </row>
    <row r="164">
      <c r="A164" s="10" t="n">
        <v>44470</v>
      </c>
      <c r="B164" s="25" t="n">
        <v>53.6</v>
      </c>
      <c r="C164" s="25">
        <f>Table134681112141516[[#This Row],[PMI]]-B163</f>
        <v/>
      </c>
    </row>
    <row r="165">
      <c r="A165" s="10" t="n">
        <v>44501</v>
      </c>
      <c r="B165" s="25" t="n">
        <v>55.9</v>
      </c>
      <c r="C165" s="25">
        <f>Table134681112141516[[#This Row],[PMI]]-B164</f>
        <v/>
      </c>
    </row>
    <row r="166">
      <c r="A166" s="10" t="n">
        <v>44531</v>
      </c>
      <c r="B166" s="25" t="n">
        <v>55.6</v>
      </c>
      <c r="C166" s="25">
        <f>Table134681112141516[[#This Row],[PMI]]-B165</f>
        <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0"/>
  <sheetViews>
    <sheetView zoomScale="150" zoomScaleNormal="150" workbookViewId="0">
      <pane ySplit="5" topLeftCell="A169" activePane="bottomLeft" state="frozen"/>
      <selection activeCell="P121" sqref="P121"/>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U.K.</t>
        </is>
      </c>
      <c r="K1" s="84" t="inlineStr">
        <is>
          <t xml:space="preserve"> Manufacturing PMI</t>
        </is>
      </c>
    </row>
    <row r="2">
      <c r="A2" s="84" t="inlineStr">
        <is>
          <t>united-kingdom</t>
        </is>
      </c>
      <c r="K2" s="84">
        <f>A1&amp;K1</f>
        <v/>
      </c>
    </row>
    <row r="4" ht="16" customHeight="1" s="76" thickBot="1"/>
    <row r="5" ht="16" customHeight="1" s="76" thickBot="1">
      <c r="A5" s="22" t="inlineStr">
        <is>
          <t>Date</t>
        </is>
      </c>
      <c r="B5" s="23" t="inlineStr">
        <is>
          <t>PMI</t>
        </is>
      </c>
      <c r="C5" s="23" t="inlineStr">
        <is>
          <t>mom</t>
        </is>
      </c>
      <c r="D5" s="27" t="inlineStr">
        <is>
          <t>EWU</t>
        </is>
      </c>
      <c r="E5" s="27" t="inlineStr">
        <is>
          <t>PMI yoy</t>
        </is>
      </c>
      <c r="F5" s="27" t="inlineStr">
        <is>
          <t>EWU yoy</t>
        </is>
      </c>
    </row>
    <row r="6">
      <c r="A6" s="18" t="n">
        <v>38322</v>
      </c>
      <c r="B6" s="19" t="n">
        <v>53.7</v>
      </c>
      <c r="C6" s="19" t="n"/>
      <c r="D6" s="11" t="n">
        <v>18.609272</v>
      </c>
      <c r="E6" s="25" t="n"/>
      <c r="F6" s="25" t="n"/>
    </row>
    <row r="7">
      <c r="A7" s="10" t="n">
        <v>38353</v>
      </c>
      <c r="B7" s="25" t="n">
        <v>51.8</v>
      </c>
      <c r="C7" s="25">
        <f>Table134681112[[#This Row],[PMI]]-B6</f>
        <v/>
      </c>
      <c r="D7" s="11" t="n">
        <v>18.507078</v>
      </c>
      <c r="E7" s="25" t="n"/>
      <c r="F7" s="25" t="n"/>
    </row>
    <row r="8">
      <c r="A8" s="10" t="n">
        <v>38384</v>
      </c>
      <c r="B8" s="25" t="n">
        <v>51.8</v>
      </c>
      <c r="C8" s="25">
        <f>Table134681112[[#This Row],[PMI]]-B7</f>
        <v/>
      </c>
      <c r="D8" s="11" t="n">
        <v>19.482235</v>
      </c>
      <c r="E8" s="25" t="n"/>
      <c r="F8" s="25" t="n"/>
    </row>
    <row r="9">
      <c r="A9" s="10" t="n">
        <v>38412</v>
      </c>
      <c r="B9" s="25" t="n">
        <v>52</v>
      </c>
      <c r="C9" s="25">
        <f>Table134681112[[#This Row],[PMI]]-B8</f>
        <v/>
      </c>
      <c r="D9" s="11" t="n">
        <v>19.010384</v>
      </c>
      <c r="E9" s="25" t="n"/>
      <c r="F9" s="25" t="n"/>
    </row>
    <row r="10">
      <c r="A10" s="10" t="n">
        <v>38443</v>
      </c>
      <c r="B10" s="25" t="n">
        <v>49.5</v>
      </c>
      <c r="C10" s="25">
        <f>Table134681112[[#This Row],[PMI]]-B9</f>
        <v/>
      </c>
      <c r="D10" s="11" t="n">
        <v>18.779703</v>
      </c>
      <c r="E10" s="25" t="n"/>
      <c r="F10" s="25" t="n"/>
    </row>
    <row r="11">
      <c r="A11" s="10" t="n">
        <v>38473</v>
      </c>
      <c r="B11" s="25" t="n">
        <v>47.3</v>
      </c>
      <c r="C11" s="25">
        <f>Table134681112[[#This Row],[PMI]]-B10</f>
        <v/>
      </c>
      <c r="D11" s="11" t="n">
        <v>18.632906</v>
      </c>
      <c r="E11" s="25" t="n"/>
      <c r="F11" s="25" t="n"/>
    </row>
    <row r="12">
      <c r="A12" s="10" t="n">
        <v>38504</v>
      </c>
      <c r="B12" s="25" t="n">
        <v>49.6</v>
      </c>
      <c r="C12" s="25">
        <f>Table134681112[[#This Row],[PMI]]-B11</f>
        <v/>
      </c>
      <c r="D12" s="11" t="n">
        <v>18.842617</v>
      </c>
      <c r="E12" s="25" t="n"/>
      <c r="F12" s="25" t="n"/>
    </row>
    <row r="13">
      <c r="A13" s="10" t="n">
        <v>38534</v>
      </c>
      <c r="B13" s="25" t="n">
        <v>49.2</v>
      </c>
      <c r="C13" s="25">
        <f>Table134681112[[#This Row],[PMI]]-B12</f>
        <v/>
      </c>
      <c r="D13" s="11" t="n">
        <v>18.978931</v>
      </c>
      <c r="E13" s="25" t="n"/>
      <c r="F13" s="25" t="n"/>
    </row>
    <row r="14">
      <c r="A14" s="10" t="n">
        <v>38565</v>
      </c>
      <c r="B14" s="25" t="n">
        <v>50.1</v>
      </c>
      <c r="C14" s="25">
        <f>Table134681112[[#This Row],[PMI]]-B13</f>
        <v/>
      </c>
      <c r="D14" s="11" t="n">
        <v>19.733891</v>
      </c>
      <c r="E14" s="25" t="n"/>
      <c r="F14" s="25" t="n"/>
    </row>
    <row r="15">
      <c r="A15" s="10" t="n">
        <v>38596</v>
      </c>
      <c r="B15" s="25" t="n">
        <v>51.5</v>
      </c>
      <c r="C15" s="25">
        <f>Table134681112[[#This Row],[PMI]]-B14</f>
        <v/>
      </c>
      <c r="D15" s="11" t="n">
        <v>19.880693</v>
      </c>
      <c r="E15" s="25" t="n"/>
      <c r="F15" s="25" t="n"/>
    </row>
    <row r="16">
      <c r="A16" s="10" t="n">
        <v>38626</v>
      </c>
      <c r="B16" s="25" t="n">
        <v>51.7</v>
      </c>
      <c r="C16" s="25">
        <f>Table134681112[[#This Row],[PMI]]-B15</f>
        <v/>
      </c>
      <c r="D16" s="11" t="n">
        <v>19.398354</v>
      </c>
      <c r="E16" s="25" t="n"/>
      <c r="F16" s="25" t="n"/>
    </row>
    <row r="17">
      <c r="A17" s="10" t="n">
        <v>38657</v>
      </c>
      <c r="B17" s="25" t="n">
        <v>51</v>
      </c>
      <c r="C17" s="25">
        <f>Table134681112[[#This Row],[PMI]]-B16</f>
        <v/>
      </c>
      <c r="D17" s="11" t="n">
        <v>19.429813</v>
      </c>
      <c r="E17" s="25" t="n"/>
      <c r="F17" s="25" t="n"/>
    </row>
    <row r="18">
      <c r="A18" s="10" t="n">
        <v>38687</v>
      </c>
      <c r="B18" s="25" t="n">
        <v>51.1</v>
      </c>
      <c r="C18" s="25">
        <f>Table134681112[[#This Row],[PMI]]-B17</f>
        <v/>
      </c>
      <c r="D18" s="11" t="n">
        <v>19.482235</v>
      </c>
      <c r="E18" s="25">
        <f>Table134681112[[#This Row],[PMI]]-B6</f>
        <v/>
      </c>
      <c r="F18" s="56">
        <f>(Table134681112[[#This Row],[EWU]]-D6)/D6</f>
        <v/>
      </c>
    </row>
    <row r="19">
      <c r="A19" s="10" t="n">
        <v>38718</v>
      </c>
      <c r="B19" s="25" t="n">
        <v>51.7</v>
      </c>
      <c r="C19" s="25">
        <f>Table134681112[[#This Row],[PMI]]-B18</f>
        <v/>
      </c>
      <c r="D19" s="11" t="n">
        <v>21.306637</v>
      </c>
      <c r="E19" s="25">
        <f>Table134681112[[#This Row],[PMI]]-B7</f>
        <v/>
      </c>
      <c r="F19" s="56">
        <f>(Table134681112[[#This Row],[EWU]]-D7)/D7</f>
        <v/>
      </c>
    </row>
    <row r="20">
      <c r="A20" s="10" t="n">
        <v>38749</v>
      </c>
      <c r="B20" s="25" t="n">
        <v>51.7</v>
      </c>
      <c r="C20" s="25">
        <f>Table134681112[[#This Row],[PMI]]-B19</f>
        <v/>
      </c>
      <c r="D20" s="11" t="n">
        <v>21.187733</v>
      </c>
      <c r="E20" s="25">
        <f>Table134681112[[#This Row],[PMI]]-B8</f>
        <v/>
      </c>
      <c r="F20" s="56">
        <f>(Table134681112[[#This Row],[EWU]]-D8)/D8</f>
        <v/>
      </c>
    </row>
    <row r="21">
      <c r="A21" s="10" t="n">
        <v>38777</v>
      </c>
      <c r="B21" s="25" t="n">
        <v>50.8</v>
      </c>
      <c r="C21" s="25">
        <f>Table134681112[[#This Row],[PMI]]-B20</f>
        <v/>
      </c>
      <c r="D21" s="11" t="n">
        <v>21.793093</v>
      </c>
      <c r="E21" s="25">
        <f>Table134681112[[#This Row],[PMI]]-B9</f>
        <v/>
      </c>
      <c r="F21" s="56">
        <f>(Table134681112[[#This Row],[EWU]]-D9)/D9</f>
        <v/>
      </c>
    </row>
    <row r="22">
      <c r="A22" s="10" t="n">
        <v>38808</v>
      </c>
      <c r="B22" s="25" t="n">
        <v>54.1</v>
      </c>
      <c r="C22" s="25">
        <f>Table134681112[[#This Row],[PMI]]-B21</f>
        <v/>
      </c>
      <c r="D22" s="11" t="n">
        <v>23.187592</v>
      </c>
      <c r="E22" s="25">
        <f>Table134681112[[#This Row],[PMI]]-B10</f>
        <v/>
      </c>
      <c r="F22" s="56">
        <f>(Table134681112[[#This Row],[EWU]]-D10)/D10</f>
        <v/>
      </c>
    </row>
    <row r="23">
      <c r="A23" s="10" t="n">
        <v>38838</v>
      </c>
      <c r="B23" s="25" t="n">
        <v>53.2</v>
      </c>
      <c r="C23" s="25">
        <f>Table134681112[[#This Row],[PMI]]-B22</f>
        <v/>
      </c>
      <c r="D23" s="11" t="n">
        <v>22.571417</v>
      </c>
      <c r="E23" s="25">
        <f>Table134681112[[#This Row],[PMI]]-B11</f>
        <v/>
      </c>
      <c r="F23" s="56">
        <f>(Table134681112[[#This Row],[EWU]]-D11)/D11</f>
        <v/>
      </c>
    </row>
    <row r="24">
      <c r="A24" s="10" t="n">
        <v>38869</v>
      </c>
      <c r="B24" s="25" t="n">
        <v>55.1</v>
      </c>
      <c r="C24" s="25">
        <f>Table134681112[[#This Row],[PMI]]-B23</f>
        <v/>
      </c>
      <c r="D24" s="11" t="n">
        <v>22.75519</v>
      </c>
      <c r="E24" s="25">
        <f>Table134681112[[#This Row],[PMI]]-B12</f>
        <v/>
      </c>
      <c r="F24" s="56">
        <f>(Table134681112[[#This Row],[EWU]]-D12)/D12</f>
        <v/>
      </c>
    </row>
    <row r="25">
      <c r="A25" s="10" t="n">
        <v>38899</v>
      </c>
      <c r="B25" s="25" t="n">
        <v>53.8</v>
      </c>
      <c r="C25" s="25">
        <f>Table134681112[[#This Row],[PMI]]-B24</f>
        <v/>
      </c>
      <c r="D25" s="11" t="n">
        <v>23.349747</v>
      </c>
      <c r="E25" s="25">
        <f>Table134681112[[#This Row],[PMI]]-B13</f>
        <v/>
      </c>
      <c r="F25" s="56">
        <f>(Table134681112[[#This Row],[EWU]]-D13)/D13</f>
        <v/>
      </c>
    </row>
    <row r="26">
      <c r="A26" s="10" t="n">
        <v>38930</v>
      </c>
      <c r="B26" s="25" t="n">
        <v>53.1</v>
      </c>
      <c r="C26" s="25">
        <f>Table134681112[[#This Row],[PMI]]-B25</f>
        <v/>
      </c>
      <c r="D26" s="11" t="n">
        <v>23.857819</v>
      </c>
      <c r="E26" s="25">
        <f>Table134681112[[#This Row],[PMI]]-B14</f>
        <v/>
      </c>
      <c r="F26" s="56">
        <f>(Table134681112[[#This Row],[EWU]]-D14)/D14</f>
        <v/>
      </c>
    </row>
    <row r="27">
      <c r="A27" s="10" t="n">
        <v>38961</v>
      </c>
      <c r="B27" s="25" t="n">
        <v>54.4</v>
      </c>
      <c r="C27" s="25">
        <f>Table134681112[[#This Row],[PMI]]-B26</f>
        <v/>
      </c>
      <c r="D27" s="11" t="n">
        <v>23.66324</v>
      </c>
      <c r="E27" s="25">
        <f>Table134681112[[#This Row],[PMI]]-B15</f>
        <v/>
      </c>
      <c r="F27" s="56">
        <f>(Table134681112[[#This Row],[EWU]]-D15)/D15</f>
        <v/>
      </c>
    </row>
    <row r="28">
      <c r="A28" s="10" t="n">
        <v>38991</v>
      </c>
      <c r="B28" s="25" t="n">
        <v>53.7</v>
      </c>
      <c r="C28" s="25">
        <f>Table134681112[[#This Row],[PMI]]-B27</f>
        <v/>
      </c>
      <c r="D28" s="11" t="n">
        <v>24.75506</v>
      </c>
      <c r="E28" s="25">
        <f>Table134681112[[#This Row],[PMI]]-B16</f>
        <v/>
      </c>
      <c r="F28" s="56">
        <f>(Table134681112[[#This Row],[EWU]]-D16)/D16</f>
        <v/>
      </c>
    </row>
    <row r="29">
      <c r="A29" s="10" t="n">
        <v>39022</v>
      </c>
      <c r="B29" s="25" t="n">
        <v>53.6</v>
      </c>
      <c r="C29" s="25">
        <f>Table134681112[[#This Row],[PMI]]-B28</f>
        <v/>
      </c>
      <c r="D29" s="11" t="n">
        <v>25.457708</v>
      </c>
      <c r="E29" s="25">
        <f>Table134681112[[#This Row],[PMI]]-B17</f>
        <v/>
      </c>
      <c r="F29" s="56">
        <f>(Table134681112[[#This Row],[EWU]]-D17)/D17</f>
        <v/>
      </c>
    </row>
    <row r="30">
      <c r="A30" s="10" t="n">
        <v>39052</v>
      </c>
      <c r="B30" s="25" t="n">
        <v>51.9</v>
      </c>
      <c r="C30" s="25">
        <f>Table134681112[[#This Row],[PMI]]-B29</f>
        <v/>
      </c>
      <c r="D30" s="11" t="n">
        <v>25.30637</v>
      </c>
      <c r="E30" s="25">
        <f>Table134681112[[#This Row],[PMI]]-B18</f>
        <v/>
      </c>
      <c r="F30" s="56">
        <f>(Table134681112[[#This Row],[EWU]]-D18)/D18</f>
        <v/>
      </c>
    </row>
    <row r="31">
      <c r="A31" s="10" t="n">
        <v>39083</v>
      </c>
      <c r="B31" s="25" t="n">
        <v>52.8</v>
      </c>
      <c r="C31" s="25">
        <f>Table134681112[[#This Row],[PMI]]-B30</f>
        <v/>
      </c>
      <c r="D31" s="11" t="n">
        <v>26.362038</v>
      </c>
      <c r="E31" s="25">
        <f>Table134681112[[#This Row],[PMI]]-B19</f>
        <v/>
      </c>
      <c r="F31" s="56">
        <f>(Table134681112[[#This Row],[EWU]]-D19)/D19</f>
        <v/>
      </c>
    </row>
    <row r="32">
      <c r="A32" s="10" t="n">
        <v>39114</v>
      </c>
      <c r="B32" s="25" t="n">
        <v>55.4</v>
      </c>
      <c r="C32" s="25">
        <f>Table134681112[[#This Row],[PMI]]-B31</f>
        <v/>
      </c>
      <c r="D32" s="11" t="n">
        <v>25.970585</v>
      </c>
      <c r="E32" s="25">
        <f>Table134681112[[#This Row],[PMI]]-B20</f>
        <v/>
      </c>
      <c r="F32" s="56">
        <f>(Table134681112[[#This Row],[EWU]]-D20)/D20</f>
        <v/>
      </c>
    </row>
    <row r="33">
      <c r="A33" s="10" t="n">
        <v>39142</v>
      </c>
      <c r="B33" s="25" t="n">
        <v>54.4</v>
      </c>
      <c r="C33" s="25">
        <f>Table134681112[[#This Row],[PMI]]-B32</f>
        <v/>
      </c>
      <c r="D33" s="11" t="n">
        <v>26.92127</v>
      </c>
      <c r="E33" s="25">
        <f>Table134681112[[#This Row],[PMI]]-B21</f>
        <v/>
      </c>
      <c r="F33" s="56">
        <f>(Table134681112[[#This Row],[EWU]]-D21)/D21</f>
        <v/>
      </c>
    </row>
    <row r="34">
      <c r="A34" s="10" t="n">
        <v>39173</v>
      </c>
      <c r="B34" s="25" t="n">
        <v>53.9</v>
      </c>
      <c r="C34" s="25">
        <f>Table134681112[[#This Row],[PMI]]-B33</f>
        <v/>
      </c>
      <c r="D34" s="11" t="n">
        <v>27.793663</v>
      </c>
      <c r="E34" s="25">
        <f>Table134681112[[#This Row],[PMI]]-B22</f>
        <v/>
      </c>
      <c r="F34" s="56">
        <f>(Table134681112[[#This Row],[EWU]]-D22)/D22</f>
        <v/>
      </c>
    </row>
    <row r="35">
      <c r="A35" s="10" t="n">
        <v>39203</v>
      </c>
      <c r="B35" s="25" t="n">
        <v>54.9</v>
      </c>
      <c r="C35" s="25">
        <f>Table134681112[[#This Row],[PMI]]-B34</f>
        <v/>
      </c>
      <c r="D35" s="11" t="n">
        <v>28.38645</v>
      </c>
      <c r="E35" s="25">
        <f>Table134681112[[#This Row],[PMI]]-B23</f>
        <v/>
      </c>
      <c r="F35" s="56">
        <f>(Table134681112[[#This Row],[EWU]]-D23)/D23</f>
        <v/>
      </c>
    </row>
    <row r="36">
      <c r="A36" s="10" t="n">
        <v>39234</v>
      </c>
      <c r="B36" s="25" t="n">
        <v>54.3</v>
      </c>
      <c r="C36" s="25">
        <f>Table134681112[[#This Row],[PMI]]-B35</f>
        <v/>
      </c>
      <c r="D36" s="11" t="n">
        <v>28.576595</v>
      </c>
      <c r="E36" s="25">
        <f>Table134681112[[#This Row],[PMI]]-B24</f>
        <v/>
      </c>
      <c r="F36" s="56">
        <f>(Table134681112[[#This Row],[EWU]]-D24)/D24</f>
        <v/>
      </c>
    </row>
    <row r="37">
      <c r="A37" s="10" t="n">
        <v>39264</v>
      </c>
      <c r="B37" s="25" t="n">
        <v>55.7</v>
      </c>
      <c r="C37" s="25">
        <f>Table134681112[[#This Row],[PMI]]-B36</f>
        <v/>
      </c>
      <c r="D37" s="11" t="n">
        <v>27.614719</v>
      </c>
      <c r="E37" s="25">
        <f>Table134681112[[#This Row],[PMI]]-B25</f>
        <v/>
      </c>
      <c r="F37" s="56">
        <f>(Table134681112[[#This Row],[EWU]]-D25)/D25</f>
        <v/>
      </c>
    </row>
    <row r="38">
      <c r="A38" s="10" t="n">
        <v>39295</v>
      </c>
      <c r="B38" s="25" t="n">
        <v>56.3</v>
      </c>
      <c r="C38" s="25">
        <f>Table134681112[[#This Row],[PMI]]-B37</f>
        <v/>
      </c>
      <c r="D38" s="11" t="n">
        <v>27.670639</v>
      </c>
      <c r="E38" s="25">
        <f>Table134681112[[#This Row],[PMI]]-B26</f>
        <v/>
      </c>
      <c r="F38" s="56">
        <f>(Table134681112[[#This Row],[EWU]]-D26)/D26</f>
        <v/>
      </c>
    </row>
    <row r="39">
      <c r="A39" s="10" t="n">
        <v>39326</v>
      </c>
      <c r="B39" s="25" t="n">
        <v>55.1</v>
      </c>
      <c r="C39" s="25">
        <f>Table134681112[[#This Row],[PMI]]-B38</f>
        <v/>
      </c>
      <c r="D39" s="11" t="n">
        <v>28.777901</v>
      </c>
      <c r="E39" s="25">
        <f>Table134681112[[#This Row],[PMI]]-B27</f>
        <v/>
      </c>
      <c r="F39" s="56">
        <f>(Table134681112[[#This Row],[EWU]]-D27)/D27</f>
        <v/>
      </c>
    </row>
    <row r="40">
      <c r="A40" s="10" t="n">
        <v>39356</v>
      </c>
      <c r="B40" s="25" t="n">
        <v>52.9</v>
      </c>
      <c r="C40" s="25">
        <f>Table134681112[[#This Row],[PMI]]-B39</f>
        <v/>
      </c>
      <c r="D40" s="11" t="n">
        <v>30.444414</v>
      </c>
      <c r="E40" s="25">
        <f>Table134681112[[#This Row],[PMI]]-B28</f>
        <v/>
      </c>
      <c r="F40" s="56">
        <f>(Table134681112[[#This Row],[EWU]]-D28)/D28</f>
        <v/>
      </c>
    </row>
    <row r="41">
      <c r="A41" s="10" t="n">
        <v>39387</v>
      </c>
      <c r="B41" s="25" t="n">
        <v>54.4</v>
      </c>
      <c r="C41" s="25">
        <f>Table134681112[[#This Row],[PMI]]-B40</f>
        <v/>
      </c>
      <c r="D41" s="11" t="n">
        <v>28.654877</v>
      </c>
      <c r="E41" s="25">
        <f>Table134681112[[#This Row],[PMI]]-B29</f>
        <v/>
      </c>
      <c r="F41" s="56">
        <f>(Table134681112[[#This Row],[EWU]]-D29)/D29</f>
        <v/>
      </c>
    </row>
    <row r="42">
      <c r="A42" s="10" t="n">
        <v>39417</v>
      </c>
      <c r="B42" s="25" t="n">
        <v>52.9</v>
      </c>
      <c r="C42" s="25">
        <f>Table134681112[[#This Row],[PMI]]-B41</f>
        <v/>
      </c>
      <c r="D42" s="11" t="n">
        <v>26.932455</v>
      </c>
      <c r="E42" s="25">
        <f>Table134681112[[#This Row],[PMI]]-B30</f>
        <v/>
      </c>
      <c r="F42" s="56">
        <f>(Table134681112[[#This Row],[EWU]]-D30)/D30</f>
        <v/>
      </c>
    </row>
    <row r="43">
      <c r="A43" s="10" t="n">
        <v>39448</v>
      </c>
      <c r="B43" s="25" t="n">
        <v>50.6</v>
      </c>
      <c r="C43" s="25">
        <f>Table134681112[[#This Row],[PMI]]-B42</f>
        <v/>
      </c>
      <c r="D43" s="11" t="n">
        <v>25.648849</v>
      </c>
      <c r="E43" s="25">
        <f>Table134681112[[#This Row],[PMI]]-B31</f>
        <v/>
      </c>
      <c r="F43" s="56">
        <f>(Table134681112[[#This Row],[EWU]]-D31)/D31</f>
        <v/>
      </c>
    </row>
    <row r="44">
      <c r="A44" s="10" t="n">
        <v>39479</v>
      </c>
      <c r="B44" s="25" t="n">
        <v>51.3</v>
      </c>
      <c r="C44" s="25">
        <f>Table134681112[[#This Row],[PMI]]-B43</f>
        <v/>
      </c>
      <c r="D44" s="11" t="n">
        <v>25.347914</v>
      </c>
      <c r="E44" s="25">
        <f>Table134681112[[#This Row],[PMI]]-B32</f>
        <v/>
      </c>
      <c r="F44" s="56">
        <f>(Table134681112[[#This Row],[EWU]]-D32)/D32</f>
        <v/>
      </c>
    </row>
    <row r="45">
      <c r="A45" s="10" t="n">
        <v>39508</v>
      </c>
      <c r="B45" s="25" t="n">
        <v>51.3</v>
      </c>
      <c r="C45" s="25">
        <f>Table134681112[[#This Row],[PMI]]-B44</f>
        <v/>
      </c>
      <c r="D45" s="11" t="n">
        <v>24.95439</v>
      </c>
      <c r="E45" s="25">
        <f>Table134681112[[#This Row],[PMI]]-B33</f>
        <v/>
      </c>
      <c r="F45" s="56">
        <f>(Table134681112[[#This Row],[EWU]]-D33)/D33</f>
        <v/>
      </c>
    </row>
    <row r="46">
      <c r="A46" s="10" t="n">
        <v>39539</v>
      </c>
      <c r="B46" s="25" t="n">
        <v>51</v>
      </c>
      <c r="C46" s="25">
        <f>Table134681112[[#This Row],[PMI]]-B45</f>
        <v/>
      </c>
      <c r="D46" s="11" t="n">
        <v>26.435904</v>
      </c>
      <c r="E46" s="25">
        <f>Table134681112[[#This Row],[PMI]]-B34</f>
        <v/>
      </c>
      <c r="F46" s="56">
        <f>(Table134681112[[#This Row],[EWU]]-D34)/D34</f>
        <v/>
      </c>
    </row>
    <row r="47">
      <c r="A47" s="10" t="n">
        <v>39569</v>
      </c>
      <c r="B47" s="25" t="n">
        <v>50</v>
      </c>
      <c r="C47" s="25">
        <f>Table134681112[[#This Row],[PMI]]-B46</f>
        <v/>
      </c>
      <c r="D47" s="11" t="n">
        <v>26.378036</v>
      </c>
      <c r="E47" s="25">
        <f>Table134681112[[#This Row],[PMI]]-B35</f>
        <v/>
      </c>
      <c r="F47" s="56">
        <f>(Table134681112[[#This Row],[EWU]]-D35)/D35</f>
        <v/>
      </c>
    </row>
    <row r="48">
      <c r="A48" s="10" t="n">
        <v>39600</v>
      </c>
      <c r="B48" s="25" t="n">
        <v>45.8</v>
      </c>
      <c r="C48" s="25">
        <f>Table134681112[[#This Row],[PMI]]-B47</f>
        <v/>
      </c>
      <c r="D48" s="11" t="n">
        <v>23.982136</v>
      </c>
      <c r="E48" s="25">
        <f>Table134681112[[#This Row],[PMI]]-B36</f>
        <v/>
      </c>
      <c r="F48" s="56">
        <f>(Table134681112[[#This Row],[EWU]]-D36)/D36</f>
        <v/>
      </c>
    </row>
    <row r="49">
      <c r="A49" s="10" t="n">
        <v>39630</v>
      </c>
      <c r="B49" s="25" t="n">
        <v>44.3</v>
      </c>
      <c r="C49" s="25">
        <f>Table134681112[[#This Row],[PMI]]-B48</f>
        <v/>
      </c>
      <c r="D49" s="11" t="n">
        <v>23.523266</v>
      </c>
      <c r="E49" s="25">
        <f>Table134681112[[#This Row],[PMI]]-B37</f>
        <v/>
      </c>
      <c r="F49" s="56">
        <f>(Table134681112[[#This Row],[EWU]]-D37)/D37</f>
        <v/>
      </c>
    </row>
    <row r="50">
      <c r="A50" s="10" t="n">
        <v>39661</v>
      </c>
      <c r="B50" s="25" t="n">
        <v>45.9</v>
      </c>
      <c r="C50" s="25">
        <f>Table134681112[[#This Row],[PMI]]-B49</f>
        <v/>
      </c>
      <c r="D50" s="11" t="n">
        <v>22.730083</v>
      </c>
      <c r="E50" s="25">
        <f>Table134681112[[#This Row],[PMI]]-B38</f>
        <v/>
      </c>
      <c r="F50" s="56">
        <f>(Table134681112[[#This Row],[EWU]]-D38)/D38</f>
        <v/>
      </c>
    </row>
    <row r="51">
      <c r="A51" s="10" t="n">
        <v>39692</v>
      </c>
      <c r="B51" s="25" t="n">
        <v>41</v>
      </c>
      <c r="C51" s="25">
        <f>Table134681112[[#This Row],[PMI]]-B50</f>
        <v/>
      </c>
      <c r="D51" s="11" t="n">
        <v>19.711241</v>
      </c>
      <c r="E51" s="25">
        <f>Table134681112[[#This Row],[PMI]]-B39</f>
        <v/>
      </c>
      <c r="F51" s="56">
        <f>(Table134681112[[#This Row],[EWU]]-D39)/D39</f>
        <v/>
      </c>
    </row>
    <row r="52">
      <c r="A52" s="10" t="n">
        <v>39722</v>
      </c>
      <c r="B52" s="25" t="n">
        <v>41.5</v>
      </c>
      <c r="C52" s="25">
        <f>Table134681112[[#This Row],[PMI]]-B51</f>
        <v/>
      </c>
      <c r="D52" s="11" t="n">
        <v>15.816351</v>
      </c>
      <c r="E52" s="25">
        <f>Table134681112[[#This Row],[PMI]]-B40</f>
        <v/>
      </c>
      <c r="F52" s="56">
        <f>(Table134681112[[#This Row],[EWU]]-D40)/D40</f>
        <v/>
      </c>
    </row>
    <row r="53">
      <c r="A53" s="10" t="n">
        <v>39753</v>
      </c>
      <c r="B53" s="25" t="n">
        <v>34.4</v>
      </c>
      <c r="C53" s="25">
        <f>Table134681112[[#This Row],[PMI]]-B52</f>
        <v/>
      </c>
      <c r="D53" s="11" t="n">
        <v>14.798231</v>
      </c>
      <c r="E53" s="25">
        <f>Table134681112[[#This Row],[PMI]]-B41</f>
        <v/>
      </c>
      <c r="F53" s="56">
        <f>(Table134681112[[#This Row],[EWU]]-D41)/D41</f>
        <v/>
      </c>
    </row>
    <row r="54">
      <c r="A54" s="10" t="n">
        <v>39783</v>
      </c>
      <c r="B54" s="25" t="n">
        <v>34.9</v>
      </c>
      <c r="C54" s="25">
        <f>Table134681112[[#This Row],[PMI]]-B53</f>
        <v/>
      </c>
      <c r="D54" s="11" t="n">
        <v>14.502268</v>
      </c>
      <c r="E54" s="25">
        <f>Table134681112[[#This Row],[PMI]]-B42</f>
        <v/>
      </c>
      <c r="F54" s="56">
        <f>(Table134681112[[#This Row],[EWU]]-D42)/D42</f>
        <v/>
      </c>
    </row>
    <row r="55">
      <c r="A55" s="10" t="n">
        <v>39814</v>
      </c>
      <c r="B55" s="25" t="n">
        <v>35.8</v>
      </c>
      <c r="C55" s="25">
        <f>Table134681112[[#This Row],[PMI]]-B54</f>
        <v/>
      </c>
      <c r="D55" s="11" t="n">
        <v>13.519698</v>
      </c>
      <c r="E55" s="25">
        <f>Table134681112[[#This Row],[PMI]]-B43</f>
        <v/>
      </c>
      <c r="F55" s="56">
        <f>(Table134681112[[#This Row],[EWU]]-D43)/D43</f>
        <v/>
      </c>
    </row>
    <row r="56">
      <c r="A56" s="10" t="n">
        <v>39845</v>
      </c>
      <c r="B56" s="25" t="n">
        <v>34.7</v>
      </c>
      <c r="C56" s="25">
        <f>Table134681112[[#This Row],[PMI]]-B55</f>
        <v/>
      </c>
      <c r="D56" s="11" t="n">
        <v>12.204268</v>
      </c>
      <c r="E56" s="25">
        <f>Table134681112[[#This Row],[PMI]]-B44</f>
        <v/>
      </c>
      <c r="F56" s="56">
        <f>(Table134681112[[#This Row],[EWU]]-D44)/D44</f>
        <v/>
      </c>
    </row>
    <row r="57">
      <c r="A57" s="10" t="n">
        <v>39873</v>
      </c>
      <c r="B57" s="25" t="n">
        <v>39.1</v>
      </c>
      <c r="C57" s="25">
        <f>Table134681112[[#This Row],[PMI]]-B56</f>
        <v/>
      </c>
      <c r="D57" s="11" t="n">
        <v>12.764542</v>
      </c>
      <c r="E57" s="25">
        <f>Table134681112[[#This Row],[PMI]]-B45</f>
        <v/>
      </c>
      <c r="F57" s="56">
        <f>(Table134681112[[#This Row],[EWU]]-D45)/D45</f>
        <v/>
      </c>
    </row>
    <row r="58">
      <c r="A58" s="10" t="n">
        <v>39904</v>
      </c>
      <c r="B58" s="25" t="n">
        <v>42.9</v>
      </c>
      <c r="C58" s="25">
        <f>Table134681112[[#This Row],[PMI]]-B57</f>
        <v/>
      </c>
      <c r="D58" s="11" t="n">
        <v>14.287027</v>
      </c>
      <c r="E58" s="25">
        <f>Table134681112[[#This Row],[PMI]]-B46</f>
        <v/>
      </c>
      <c r="F58" s="56">
        <f>(Table134681112[[#This Row],[EWU]]-D46)/D46</f>
        <v/>
      </c>
    </row>
    <row r="59">
      <c r="A59" s="10" t="n">
        <v>39934</v>
      </c>
      <c r="B59" s="25" t="n">
        <v>45.4</v>
      </c>
      <c r="C59" s="25">
        <f>Table134681112[[#This Row],[PMI]]-B58</f>
        <v/>
      </c>
      <c r="D59" s="11" t="n">
        <v>16.723017</v>
      </c>
      <c r="E59" s="25">
        <f>Table134681112[[#This Row],[PMI]]-B47</f>
        <v/>
      </c>
      <c r="F59" s="56">
        <f>(Table134681112[[#This Row],[EWU]]-D47)/D47</f>
        <v/>
      </c>
    </row>
    <row r="60">
      <c r="A60" s="10" t="n">
        <v>39965</v>
      </c>
      <c r="B60" s="25" t="n">
        <v>47</v>
      </c>
      <c r="C60" s="25">
        <f>Table134681112[[#This Row],[PMI]]-B59</f>
        <v/>
      </c>
      <c r="D60" s="11" t="n">
        <v>16.089655</v>
      </c>
      <c r="E60" s="25">
        <f>Table134681112[[#This Row],[PMI]]-B48</f>
        <v/>
      </c>
      <c r="F60" s="56">
        <f>(Table134681112[[#This Row],[EWU]]-D48)/D48</f>
        <v/>
      </c>
    </row>
    <row r="61">
      <c r="A61" s="10" t="n">
        <v>39995</v>
      </c>
      <c r="B61" s="25" t="n">
        <v>50.8</v>
      </c>
      <c r="C61" s="25">
        <f>Table134681112[[#This Row],[PMI]]-B60</f>
        <v/>
      </c>
      <c r="D61" s="11" t="n">
        <v>17.770754</v>
      </c>
      <c r="E61" s="25">
        <f>Table134681112[[#This Row],[PMI]]-B49</f>
        <v/>
      </c>
      <c r="F61" s="56">
        <f>(Table134681112[[#This Row],[EWU]]-D49)/D49</f>
        <v/>
      </c>
    </row>
    <row r="62">
      <c r="A62" s="10" t="n">
        <v>40026</v>
      </c>
      <c r="B62" s="25" t="n">
        <v>49.7</v>
      </c>
      <c r="C62" s="25">
        <f>Table134681112[[#This Row],[PMI]]-B61</f>
        <v/>
      </c>
      <c r="D62" s="11" t="n">
        <v>18.539619</v>
      </c>
      <c r="E62" s="25">
        <f>Table134681112[[#This Row],[PMI]]-B50</f>
        <v/>
      </c>
      <c r="F62" s="56">
        <f>(Table134681112[[#This Row],[EWU]]-D50)/D50</f>
        <v/>
      </c>
    </row>
    <row r="63">
      <c r="A63" s="10" t="n">
        <v>40057</v>
      </c>
      <c r="B63" s="25" t="n">
        <v>49.5</v>
      </c>
      <c r="C63" s="25">
        <f>Table134681112[[#This Row],[PMI]]-B62</f>
        <v/>
      </c>
      <c r="D63" s="11" t="n">
        <v>19.234083</v>
      </c>
      <c r="E63" s="25">
        <f>Table134681112[[#This Row],[PMI]]-B51</f>
        <v/>
      </c>
      <c r="F63" s="56">
        <f>(Table134681112[[#This Row],[EWU]]-D51)/D51</f>
        <v/>
      </c>
    </row>
    <row r="64">
      <c r="A64" s="10" t="n">
        <v>40087</v>
      </c>
      <c r="B64" s="25" t="n">
        <v>53.7</v>
      </c>
      <c r="C64" s="25">
        <f>Table134681112[[#This Row],[PMI]]-B63</f>
        <v/>
      </c>
      <c r="D64" s="11" t="n">
        <v>19.20928</v>
      </c>
      <c r="E64" s="25">
        <f>Table134681112[[#This Row],[PMI]]-B52</f>
        <v/>
      </c>
      <c r="F64" s="56">
        <f>(Table134681112[[#This Row],[EWU]]-D52)/D52</f>
        <v/>
      </c>
    </row>
    <row r="65">
      <c r="A65" s="10" t="n">
        <v>40118</v>
      </c>
      <c r="B65" s="25" t="n">
        <v>51.8</v>
      </c>
      <c r="C65" s="25">
        <f>Table134681112[[#This Row],[PMI]]-B64</f>
        <v/>
      </c>
      <c r="D65" s="11" t="n">
        <v>20.176565</v>
      </c>
      <c r="E65" s="25">
        <f>Table134681112[[#This Row],[PMI]]-B53</f>
        <v/>
      </c>
      <c r="F65" s="56">
        <f>(Table134681112[[#This Row],[EWU]]-D53)/D53</f>
        <v/>
      </c>
    </row>
    <row r="66">
      <c r="A66" s="10" t="n">
        <v>40148</v>
      </c>
      <c r="B66" s="25" t="n">
        <v>54.1</v>
      </c>
      <c r="C66" s="25">
        <f>Table134681112[[#This Row],[PMI]]-B65</f>
        <v/>
      </c>
      <c r="D66" s="11" t="n">
        <v>20.089762</v>
      </c>
      <c r="E66" s="25">
        <f>Table134681112[[#This Row],[PMI]]-B54</f>
        <v/>
      </c>
      <c r="F66" s="56">
        <f>(Table134681112[[#This Row],[EWU]]-D54)/D54</f>
        <v/>
      </c>
    </row>
    <row r="67">
      <c r="A67" s="10" t="n">
        <v>40179</v>
      </c>
      <c r="B67" s="25" t="n">
        <v>56.7</v>
      </c>
      <c r="C67" s="25">
        <f>Table134681112[[#This Row],[PMI]]-B66</f>
        <v/>
      </c>
      <c r="D67" s="11" t="n">
        <v>19.358707</v>
      </c>
      <c r="E67" s="25">
        <f>Table134681112[[#This Row],[PMI]]-B55</f>
        <v/>
      </c>
      <c r="F67" s="56">
        <f>(Table134681112[[#This Row],[EWU]]-D55)/D55</f>
        <v/>
      </c>
    </row>
    <row r="68">
      <c r="A68" s="10" t="n">
        <v>40210</v>
      </c>
      <c r="B68" s="25" t="n">
        <v>56.6</v>
      </c>
      <c r="C68" s="25">
        <f>Table134681112[[#This Row],[PMI]]-B67</f>
        <v/>
      </c>
      <c r="D68" s="11" t="n">
        <v>19.195612</v>
      </c>
      <c r="E68" s="25">
        <f>Table134681112[[#This Row],[PMI]]-B56</f>
        <v/>
      </c>
      <c r="F68" s="56">
        <f>(Table134681112[[#This Row],[EWU]]-D56)/D56</f>
        <v/>
      </c>
    </row>
    <row r="69">
      <c r="A69" s="10" t="n">
        <v>40238</v>
      </c>
      <c r="B69" s="25" t="n">
        <v>57.2</v>
      </c>
      <c r="C69" s="25">
        <f>Table134681112[[#This Row],[PMI]]-B68</f>
        <v/>
      </c>
      <c r="D69" s="11" t="n">
        <v>20.412584</v>
      </c>
      <c r="E69" s="25">
        <f>Table134681112[[#This Row],[PMI]]-B57</f>
        <v/>
      </c>
      <c r="F69" s="56">
        <f>(Table134681112[[#This Row],[EWU]]-D57)/D57</f>
        <v/>
      </c>
    </row>
    <row r="70">
      <c r="A70" s="10" t="n">
        <v>40269</v>
      </c>
      <c r="B70" s="25" t="n">
        <v>58</v>
      </c>
      <c r="C70" s="25">
        <f>Table134681112[[#This Row],[PMI]]-B69</f>
        <v/>
      </c>
      <c r="D70" s="11" t="n">
        <v>19.973471</v>
      </c>
      <c r="E70" s="25">
        <f>Table134681112[[#This Row],[PMI]]-B58</f>
        <v/>
      </c>
      <c r="F70" s="56">
        <f>(Table134681112[[#This Row],[EWU]]-D58)/D58</f>
        <v/>
      </c>
    </row>
    <row r="71">
      <c r="A71" s="10" t="n">
        <v>40299</v>
      </c>
      <c r="B71" s="25" t="n">
        <v>58</v>
      </c>
      <c r="C71" s="25">
        <f>Table134681112[[#This Row],[PMI]]-B70</f>
        <v/>
      </c>
      <c r="D71" s="11" t="n">
        <v>17.777897</v>
      </c>
      <c r="E71" s="25">
        <f>Table134681112[[#This Row],[PMI]]-B59</f>
        <v/>
      </c>
      <c r="F71" s="56">
        <f>(Table134681112[[#This Row],[EWU]]-D59)/D59</f>
        <v/>
      </c>
    </row>
    <row r="72">
      <c r="A72" s="10" t="n">
        <v>40330</v>
      </c>
      <c r="B72" s="25" t="n">
        <v>57.5</v>
      </c>
      <c r="C72" s="25">
        <f>Table134681112[[#This Row],[PMI]]-B71</f>
        <v/>
      </c>
      <c r="D72" s="11" t="n">
        <v>16.862024</v>
      </c>
      <c r="E72" s="25">
        <f>Table134681112[[#This Row],[PMI]]-B60</f>
        <v/>
      </c>
      <c r="F72" s="56">
        <f>(Table134681112[[#This Row],[EWU]]-D60)/D60</f>
        <v/>
      </c>
    </row>
    <row r="73">
      <c r="A73" s="10" t="n">
        <v>40360</v>
      </c>
      <c r="B73" s="25" t="n">
        <v>57.3</v>
      </c>
      <c r="C73" s="25">
        <f>Table134681112[[#This Row],[PMI]]-B72</f>
        <v/>
      </c>
      <c r="D73" s="11" t="n">
        <v>19.648413</v>
      </c>
      <c r="E73" s="25">
        <f>Table134681112[[#This Row],[PMI]]-B61</f>
        <v/>
      </c>
      <c r="F73" s="56">
        <f>(Table134681112[[#This Row],[EWU]]-D61)/D61</f>
        <v/>
      </c>
    </row>
    <row r="74">
      <c r="A74" s="10" t="n">
        <v>40391</v>
      </c>
      <c r="B74" s="25" t="n">
        <v>54.3</v>
      </c>
      <c r="C74" s="25">
        <f>Table134681112[[#This Row],[PMI]]-B73</f>
        <v/>
      </c>
      <c r="D74" s="11" t="n">
        <v>19.099432</v>
      </c>
      <c r="E74" s="25">
        <f>Table134681112[[#This Row],[PMI]]-B62</f>
        <v/>
      </c>
      <c r="F74" s="56">
        <f>(Table134681112[[#This Row],[EWU]]-D62)/D62</f>
        <v/>
      </c>
    </row>
    <row r="75">
      <c r="A75" s="10" t="n">
        <v>40422</v>
      </c>
      <c r="B75" s="25" t="n">
        <v>53.4</v>
      </c>
      <c r="C75" s="25">
        <f>Table134681112[[#This Row],[PMI]]-B74</f>
        <v/>
      </c>
      <c r="D75" s="11" t="n">
        <v>20.88681</v>
      </c>
      <c r="E75" s="25">
        <f>Table134681112[[#This Row],[PMI]]-B63</f>
        <v/>
      </c>
      <c r="F75" s="56">
        <f>(Table134681112[[#This Row],[EWU]]-D63)/D63</f>
        <v/>
      </c>
    </row>
    <row r="76">
      <c r="A76" s="10" t="n">
        <v>40452</v>
      </c>
      <c r="B76" s="25" t="n">
        <v>54.9</v>
      </c>
      <c r="C76" s="25">
        <f>Table134681112[[#This Row],[PMI]]-B75</f>
        <v/>
      </c>
      <c r="D76" s="11" t="n">
        <v>21.767729</v>
      </c>
      <c r="E76" s="25">
        <f>Table134681112[[#This Row],[PMI]]-B64</f>
        <v/>
      </c>
      <c r="F76" s="56">
        <f>(Table134681112[[#This Row],[EWU]]-D64)/D64</f>
        <v/>
      </c>
    </row>
    <row r="77">
      <c r="A77" s="10" t="n">
        <v>40483</v>
      </c>
      <c r="B77" s="25" t="n">
        <v>58</v>
      </c>
      <c r="C77" s="25">
        <f>Table134681112[[#This Row],[PMI]]-B76</f>
        <v/>
      </c>
      <c r="D77" s="11" t="n">
        <v>20.631474</v>
      </c>
      <c r="E77" s="25">
        <f>Table134681112[[#This Row],[PMI]]-B65</f>
        <v/>
      </c>
      <c r="F77" s="56">
        <f>(Table134681112[[#This Row],[EWU]]-D65)/D65</f>
        <v/>
      </c>
    </row>
    <row r="78">
      <c r="A78" s="10" t="n">
        <v>40513</v>
      </c>
      <c r="B78" s="25" t="n">
        <v>58.3</v>
      </c>
      <c r="C78" s="25">
        <f>Table134681112[[#This Row],[PMI]]-B77</f>
        <v/>
      </c>
      <c r="D78" s="11" t="n">
        <v>22.176281</v>
      </c>
      <c r="E78" s="25">
        <f>Table134681112[[#This Row],[PMI]]-B66</f>
        <v/>
      </c>
      <c r="F78" s="56">
        <f>(Table134681112[[#This Row],[EWU]]-D66)/D66</f>
        <v/>
      </c>
    </row>
    <row r="79">
      <c r="A79" s="10" t="n">
        <v>40544</v>
      </c>
      <c r="B79" s="25" t="n">
        <v>62</v>
      </c>
      <c r="C79" s="25">
        <f>Table134681112[[#This Row],[PMI]]-B78</f>
        <v/>
      </c>
      <c r="D79" s="11" t="n">
        <v>22.644909</v>
      </c>
      <c r="E79" s="25">
        <f>Table134681112[[#This Row],[PMI]]-B67</f>
        <v/>
      </c>
      <c r="F79" s="56">
        <f>(Table134681112[[#This Row],[EWU]]-D67)/D67</f>
        <v/>
      </c>
    </row>
    <row r="80">
      <c r="A80" s="10" t="n">
        <v>40575</v>
      </c>
      <c r="B80" s="25" t="n">
        <v>64.5</v>
      </c>
      <c r="C80" s="25">
        <f>Table134681112[[#This Row],[PMI]]-B79</f>
        <v/>
      </c>
      <c r="D80" s="11" t="n">
        <v>23.676569</v>
      </c>
      <c r="E80" s="25">
        <f>Table134681112[[#This Row],[PMI]]-B68</f>
        <v/>
      </c>
      <c r="F80" s="56">
        <f>(Table134681112[[#This Row],[EWU]]-D68)/D68</f>
        <v/>
      </c>
    </row>
    <row r="81">
      <c r="A81" s="10" t="n">
        <v>40603</v>
      </c>
      <c r="B81" s="25" t="n">
        <v>57.1</v>
      </c>
      <c r="C81" s="25">
        <f>Table134681112[[#This Row],[PMI]]-B80</f>
        <v/>
      </c>
      <c r="D81" s="11" t="n">
        <v>23.096256</v>
      </c>
      <c r="E81" s="25">
        <f>Table134681112[[#This Row],[PMI]]-B69</f>
        <v/>
      </c>
      <c r="F81" s="56">
        <f>(Table134681112[[#This Row],[EWU]]-D69)/D69</f>
        <v/>
      </c>
    </row>
    <row r="82">
      <c r="A82" s="10" t="n">
        <v>40634</v>
      </c>
      <c r="B82" s="25" t="n">
        <v>54.6</v>
      </c>
      <c r="C82" s="25">
        <f>Table134681112[[#This Row],[PMI]]-B81</f>
        <v/>
      </c>
      <c r="D82" s="11" t="n">
        <v>24.643744</v>
      </c>
      <c r="E82" s="25">
        <f>Table134681112[[#This Row],[PMI]]-B70</f>
        <v/>
      </c>
      <c r="F82" s="56">
        <f>(Table134681112[[#This Row],[EWU]]-D70)/D70</f>
        <v/>
      </c>
    </row>
    <row r="83">
      <c r="A83" s="10" t="n">
        <v>40664</v>
      </c>
      <c r="B83" s="25" t="n">
        <v>52.1</v>
      </c>
      <c r="C83" s="25">
        <f>Table134681112[[#This Row],[PMI]]-B82</f>
        <v/>
      </c>
      <c r="D83" s="11" t="n">
        <v>24.063437</v>
      </c>
      <c r="E83" s="25">
        <f>Table134681112[[#This Row],[PMI]]-B71</f>
        <v/>
      </c>
      <c r="F83" s="56">
        <f>(Table134681112[[#This Row],[EWU]]-D71)/D71</f>
        <v/>
      </c>
    </row>
    <row r="84">
      <c r="A84" s="10" t="n">
        <v>40695</v>
      </c>
      <c r="B84" s="25" t="n">
        <v>51.3</v>
      </c>
      <c r="C84" s="25">
        <f>Table134681112[[#This Row],[PMI]]-B83</f>
        <v/>
      </c>
      <c r="D84" s="11" t="n">
        <v>22.967297</v>
      </c>
      <c r="E84" s="25">
        <f>Table134681112[[#This Row],[PMI]]-B72</f>
        <v/>
      </c>
      <c r="F84" s="56">
        <f>(Table134681112[[#This Row],[EWU]]-D72)/D72</f>
        <v/>
      </c>
    </row>
    <row r="85">
      <c r="A85" s="10" t="n">
        <v>40725</v>
      </c>
      <c r="B85" s="25" t="n">
        <v>49.1</v>
      </c>
      <c r="C85" s="25">
        <f>Table134681112[[#This Row],[PMI]]-B84</f>
        <v/>
      </c>
      <c r="D85" s="11" t="n">
        <v>23.272287</v>
      </c>
      <c r="E85" s="25">
        <f>Table134681112[[#This Row],[PMI]]-B73</f>
        <v/>
      </c>
      <c r="F85" s="56">
        <f>(Table134681112[[#This Row],[EWU]]-D73)/D73</f>
        <v/>
      </c>
    </row>
    <row r="86">
      <c r="A86" s="10" t="n">
        <v>40756</v>
      </c>
      <c r="B86" s="25" t="n">
        <v>49</v>
      </c>
      <c r="C86" s="25">
        <f>Table134681112[[#This Row],[PMI]]-B85</f>
        <v/>
      </c>
      <c r="D86" s="11" t="n">
        <v>21.488169</v>
      </c>
      <c r="E86" s="25">
        <f>Table134681112[[#This Row],[PMI]]-B74</f>
        <v/>
      </c>
      <c r="F86" s="56">
        <f>(Table134681112[[#This Row],[EWU]]-D74)/D74</f>
        <v/>
      </c>
    </row>
    <row r="87">
      <c r="A87" s="10" t="n">
        <v>40787</v>
      </c>
      <c r="B87" s="25" t="n">
        <v>51.1</v>
      </c>
      <c r="C87" s="25">
        <f>Table134681112[[#This Row],[PMI]]-B86</f>
        <v/>
      </c>
      <c r="D87" s="11" t="n">
        <v>19.376085</v>
      </c>
      <c r="E87" s="25">
        <f>Table134681112[[#This Row],[PMI]]-B75</f>
        <v/>
      </c>
      <c r="F87" s="56">
        <f>(Table134681112[[#This Row],[EWU]]-D75)/D75</f>
        <v/>
      </c>
    </row>
    <row r="88">
      <c r="A88" s="10" t="n">
        <v>40817</v>
      </c>
      <c r="B88" s="25" t="n">
        <v>47.4</v>
      </c>
      <c r="C88" s="25">
        <f>Table134681112[[#This Row],[PMI]]-B87</f>
        <v/>
      </c>
      <c r="D88" s="11" t="n">
        <v>21.881729</v>
      </c>
      <c r="E88" s="25">
        <f>Table134681112[[#This Row],[PMI]]-B76</f>
        <v/>
      </c>
      <c r="F88" s="56">
        <f>(Table134681112[[#This Row],[EWU]]-D76)/D76</f>
        <v/>
      </c>
    </row>
    <row r="89">
      <c r="A89" s="10" t="n">
        <v>40848</v>
      </c>
      <c r="B89" s="25" t="n">
        <v>47.6</v>
      </c>
      <c r="C89" s="25">
        <f>Table134681112[[#This Row],[PMI]]-B88</f>
        <v/>
      </c>
      <c r="D89" s="11" t="n">
        <v>21.527525</v>
      </c>
      <c r="E89" s="25">
        <f>Table134681112[[#This Row],[PMI]]-B77</f>
        <v/>
      </c>
      <c r="F89" s="56">
        <f>(Table134681112[[#This Row],[EWU]]-D77)/D77</f>
        <v/>
      </c>
    </row>
    <row r="90">
      <c r="A90" s="10" t="n">
        <v>40878</v>
      </c>
      <c r="B90" s="25" t="n">
        <v>49.6</v>
      </c>
      <c r="C90" s="25">
        <f>Table134681112[[#This Row],[PMI]]-B89</f>
        <v/>
      </c>
      <c r="D90" s="11" t="n">
        <v>21.19956</v>
      </c>
      <c r="E90" s="25">
        <f>Table134681112[[#This Row],[PMI]]-B78</f>
        <v/>
      </c>
      <c r="F90" s="56">
        <f>(Table134681112[[#This Row],[EWU]]-D78)/D78</f>
        <v/>
      </c>
    </row>
    <row r="91">
      <c r="A91" s="10" t="n">
        <v>40909</v>
      </c>
      <c r="B91" s="25" t="n">
        <v>50.8</v>
      </c>
      <c r="C91" s="25">
        <f>Table134681112[[#This Row],[PMI]]-B90</f>
        <v/>
      </c>
      <c r="D91" s="11" t="n">
        <v>22.209337</v>
      </c>
      <c r="E91" s="25">
        <f>Table134681112[[#This Row],[PMI]]-B79</f>
        <v/>
      </c>
      <c r="F91" s="56">
        <f>(Table134681112[[#This Row],[EWU]]-D79)/D79</f>
        <v/>
      </c>
    </row>
    <row r="92">
      <c r="A92" s="10" t="n">
        <v>40940</v>
      </c>
      <c r="B92" s="25" t="n">
        <v>51.1</v>
      </c>
      <c r="C92" s="25">
        <f>Table134681112[[#This Row],[PMI]]-B91</f>
        <v/>
      </c>
      <c r="D92" s="11" t="n">
        <v>23.341106</v>
      </c>
      <c r="E92" s="25">
        <f>Table134681112[[#This Row],[PMI]]-B80</f>
        <v/>
      </c>
      <c r="F92" s="56">
        <f>(Table134681112[[#This Row],[EWU]]-D80)/D80</f>
        <v/>
      </c>
    </row>
    <row r="93">
      <c r="A93" s="10" t="n">
        <v>40969</v>
      </c>
      <c r="B93" s="25" t="n">
        <v>52</v>
      </c>
      <c r="C93" s="25">
        <f>Table134681112[[#This Row],[PMI]]-B92</f>
        <v/>
      </c>
      <c r="D93" s="11" t="n">
        <v>23.034859</v>
      </c>
      <c r="E93" s="25">
        <f>Table134681112[[#This Row],[PMI]]-B81</f>
        <v/>
      </c>
      <c r="F93" s="56">
        <f>(Table134681112[[#This Row],[EWU]]-D81)/D81</f>
        <v/>
      </c>
    </row>
    <row r="94">
      <c r="A94" s="10" t="n">
        <v>41000</v>
      </c>
      <c r="B94" s="25" t="n">
        <v>50.2</v>
      </c>
      <c r="C94" s="25">
        <f>Table134681112[[#This Row],[PMI]]-B93</f>
        <v/>
      </c>
      <c r="D94" s="11" t="n">
        <v>23.367737</v>
      </c>
      <c r="E94" s="25">
        <f>Table134681112[[#This Row],[PMI]]-B82</f>
        <v/>
      </c>
      <c r="F94" s="56">
        <f>(Table134681112[[#This Row],[EWU]]-D82)/D82</f>
        <v/>
      </c>
    </row>
    <row r="95">
      <c r="A95" s="10" t="n">
        <v>41030</v>
      </c>
      <c r="B95" s="25" t="n">
        <v>46.8</v>
      </c>
      <c r="C95" s="25">
        <f>Table134681112[[#This Row],[PMI]]-B94</f>
        <v/>
      </c>
      <c r="D95" s="11" t="n">
        <v>20.704746</v>
      </c>
      <c r="E95" s="25">
        <f>Table134681112[[#This Row],[PMI]]-B83</f>
        <v/>
      </c>
      <c r="F95" s="56">
        <f>(Table134681112[[#This Row],[EWU]]-D83)/D83</f>
        <v/>
      </c>
    </row>
    <row r="96">
      <c r="A96" s="10" t="n">
        <v>41061</v>
      </c>
      <c r="B96" s="25" t="n">
        <v>48.8</v>
      </c>
      <c r="C96" s="25">
        <f>Table134681112[[#This Row],[PMI]]-B95</f>
        <v/>
      </c>
      <c r="D96" s="11" t="n">
        <v>21.690054</v>
      </c>
      <c r="E96" s="25">
        <f>Table134681112[[#This Row],[PMI]]-B84</f>
        <v/>
      </c>
      <c r="F96" s="56">
        <f>(Table134681112[[#This Row],[EWU]]-D84)/D84</f>
        <v/>
      </c>
    </row>
    <row r="97">
      <c r="A97" s="10" t="n">
        <v>41091</v>
      </c>
      <c r="B97" s="25" t="n">
        <v>45.5</v>
      </c>
      <c r="C97" s="25">
        <f>Table134681112[[#This Row],[PMI]]-B96</f>
        <v/>
      </c>
      <c r="D97" s="11" t="n">
        <v>22.394911</v>
      </c>
      <c r="E97" s="25">
        <f>Table134681112[[#This Row],[PMI]]-B85</f>
        <v/>
      </c>
      <c r="F97" s="56">
        <f>(Table134681112[[#This Row],[EWU]]-D85)/D85</f>
        <v/>
      </c>
    </row>
    <row r="98">
      <c r="A98" s="10" t="n">
        <v>41122</v>
      </c>
      <c r="B98" s="25" t="n">
        <v>49.1</v>
      </c>
      <c r="C98" s="25">
        <f>Table134681112[[#This Row],[PMI]]-B97</f>
        <v/>
      </c>
      <c r="D98" s="11" t="n">
        <v>23.130957</v>
      </c>
      <c r="E98" s="25">
        <f>Table134681112[[#This Row],[PMI]]-B86</f>
        <v/>
      </c>
      <c r="F98" s="56">
        <f>(Table134681112[[#This Row],[EWU]]-D86)/D86</f>
        <v/>
      </c>
    </row>
    <row r="99">
      <c r="A99" s="10" t="n">
        <v>41153</v>
      </c>
      <c r="B99" s="25" t="n">
        <v>48.2</v>
      </c>
      <c r="C99" s="25">
        <f>Table134681112[[#This Row],[PMI]]-B98</f>
        <v/>
      </c>
      <c r="D99" s="11" t="n">
        <v>23.71707</v>
      </c>
      <c r="E99" s="25">
        <f>Table134681112[[#This Row],[PMI]]-B87</f>
        <v/>
      </c>
      <c r="F99" s="56">
        <f>(Table134681112[[#This Row],[EWU]]-D87)/D87</f>
        <v/>
      </c>
    </row>
    <row r="100">
      <c r="A100" s="10" t="n">
        <v>41183</v>
      </c>
      <c r="B100" s="25" t="n">
        <v>48</v>
      </c>
      <c r="C100" s="25">
        <f>Table134681112[[#This Row],[PMI]]-B99</f>
        <v/>
      </c>
      <c r="D100" s="11" t="n">
        <v>23.826113</v>
      </c>
      <c r="E100" s="25">
        <f>Table134681112[[#This Row],[PMI]]-B88</f>
        <v/>
      </c>
      <c r="F100" s="56">
        <f>(Table134681112[[#This Row],[EWU]]-D88)/D88</f>
        <v/>
      </c>
    </row>
    <row r="101">
      <c r="A101" s="10" t="n">
        <v>41214</v>
      </c>
      <c r="B101" s="25" t="n">
        <v>48.4</v>
      </c>
      <c r="C101" s="25">
        <f>Table134681112[[#This Row],[PMI]]-B100</f>
        <v/>
      </c>
      <c r="D101" s="11" t="n">
        <v>24.098724</v>
      </c>
      <c r="E101" s="25">
        <f>Table134681112[[#This Row],[PMI]]-B89</f>
        <v/>
      </c>
      <c r="F101" s="56">
        <f>(Table134681112[[#This Row],[EWU]]-D89)/D89</f>
        <v/>
      </c>
    </row>
    <row r="102">
      <c r="A102" s="10" t="n">
        <v>41244</v>
      </c>
      <c r="B102" s="25" t="n">
        <v>50.7</v>
      </c>
      <c r="C102" s="25">
        <f>Table134681112[[#This Row],[PMI]]-B101</f>
        <v/>
      </c>
      <c r="D102" s="11" t="n">
        <v>24.453117</v>
      </c>
      <c r="E102" s="25">
        <f>Table134681112[[#This Row],[PMI]]-B90</f>
        <v/>
      </c>
      <c r="F102" s="56">
        <f>(Table134681112[[#This Row],[EWU]]-D90)/D90</f>
        <v/>
      </c>
    </row>
    <row r="103">
      <c r="A103" s="10" t="n">
        <v>41275</v>
      </c>
      <c r="B103" s="25" t="n">
        <v>50.9</v>
      </c>
      <c r="C103" s="25">
        <f>Table134681112[[#This Row],[PMI]]-B102</f>
        <v/>
      </c>
      <c r="D103" s="11" t="n">
        <v>25.53363</v>
      </c>
      <c r="E103" s="25">
        <f>Table134681112[[#This Row],[PMI]]-B91</f>
        <v/>
      </c>
      <c r="F103" s="56">
        <f>(Table134681112[[#This Row],[EWU]]-D91)/D91</f>
        <v/>
      </c>
    </row>
    <row r="104">
      <c r="A104" s="10" t="n">
        <v>41306</v>
      </c>
      <c r="B104" s="25" t="n">
        <v>48.2</v>
      </c>
      <c r="C104" s="25">
        <f>Table134681112[[#This Row],[PMI]]-B103</f>
        <v/>
      </c>
      <c r="D104" s="11" t="n">
        <v>24.842403</v>
      </c>
      <c r="E104" s="25">
        <f>Table134681112[[#This Row],[PMI]]-B92</f>
        <v/>
      </c>
      <c r="F104" s="56">
        <f>(Table134681112[[#This Row],[EWU]]-D92)/D92</f>
        <v/>
      </c>
    </row>
    <row r="105">
      <c r="A105" s="10" t="n">
        <v>41334</v>
      </c>
      <c r="B105" s="25" t="n">
        <v>49.3</v>
      </c>
      <c r="C105" s="25">
        <f>Table134681112[[#This Row],[PMI]]-B104</f>
        <v/>
      </c>
      <c r="D105" s="11" t="n">
        <v>25.257137</v>
      </c>
      <c r="E105" s="25">
        <f>Table134681112[[#This Row],[PMI]]-B93</f>
        <v/>
      </c>
      <c r="F105" s="56">
        <f>(Table134681112[[#This Row],[EWU]]-D93)/D93</f>
        <v/>
      </c>
    </row>
    <row r="106">
      <c r="A106" s="10" t="n">
        <v>41365</v>
      </c>
      <c r="B106" s="25" t="n">
        <v>50.6</v>
      </c>
      <c r="C106" s="25">
        <f>Table134681112[[#This Row],[PMI]]-B105</f>
        <v/>
      </c>
      <c r="D106" s="11" t="n">
        <v>25.976015</v>
      </c>
      <c r="E106" s="25">
        <f>Table134681112[[#This Row],[PMI]]-B94</f>
        <v/>
      </c>
      <c r="F106" s="56">
        <f>(Table134681112[[#This Row],[EWU]]-D94)/D94</f>
        <v/>
      </c>
    </row>
    <row r="107">
      <c r="A107" s="10" t="n">
        <v>41395</v>
      </c>
      <c r="B107" s="25" t="n">
        <v>52.1</v>
      </c>
      <c r="C107" s="25">
        <f>Table134681112[[#This Row],[PMI]]-B106</f>
        <v/>
      </c>
      <c r="D107" s="11" t="n">
        <v>25.94836</v>
      </c>
      <c r="E107" s="25">
        <f>Table134681112[[#This Row],[PMI]]-B95</f>
        <v/>
      </c>
      <c r="F107" s="56">
        <f>(Table134681112[[#This Row],[EWU]]-D95)/D95</f>
        <v/>
      </c>
    </row>
    <row r="108">
      <c r="A108" s="10" t="n">
        <v>41426</v>
      </c>
      <c r="B108" s="25" t="n">
        <v>53</v>
      </c>
      <c r="C108" s="25">
        <f>Table134681112[[#This Row],[PMI]]-B107</f>
        <v/>
      </c>
      <c r="D108" s="11" t="n">
        <v>24.413853</v>
      </c>
      <c r="E108" s="25">
        <f>Table134681112[[#This Row],[PMI]]-B96</f>
        <v/>
      </c>
      <c r="F108" s="56">
        <f>(Table134681112[[#This Row],[EWU]]-D96)/D96</f>
        <v/>
      </c>
    </row>
    <row r="109">
      <c r="A109" s="10" t="n">
        <v>41456</v>
      </c>
      <c r="B109" s="25" t="n">
        <v>54.7</v>
      </c>
      <c r="C109" s="25">
        <f>Table134681112[[#This Row],[PMI]]-B108</f>
        <v/>
      </c>
      <c r="D109" s="11" t="n">
        <v>26.360989</v>
      </c>
      <c r="E109" s="25">
        <f>Table134681112[[#This Row],[PMI]]-B97</f>
        <v/>
      </c>
      <c r="F109" s="56">
        <f>(Table134681112[[#This Row],[EWU]]-D97)/D97</f>
        <v/>
      </c>
    </row>
    <row r="110">
      <c r="A110" s="10" t="n">
        <v>41487</v>
      </c>
      <c r="B110" s="25" t="n">
        <v>57.3</v>
      </c>
      <c r="C110" s="25">
        <f>Table134681112[[#This Row],[PMI]]-B109</f>
        <v/>
      </c>
      <c r="D110" s="11" t="n">
        <v>26.164579</v>
      </c>
      <c r="E110" s="25">
        <f>Table134681112[[#This Row],[PMI]]-B98</f>
        <v/>
      </c>
      <c r="F110" s="56">
        <f>(Table134681112[[#This Row],[EWU]]-D98)/D98</f>
        <v/>
      </c>
    </row>
    <row r="111">
      <c r="A111" s="10" t="n">
        <v>41518</v>
      </c>
      <c r="B111" s="25" t="n">
        <v>56.7</v>
      </c>
      <c r="C111" s="25">
        <f>Table134681112[[#This Row],[PMI]]-B110</f>
        <v/>
      </c>
      <c r="D111" s="11" t="n">
        <v>27.525415</v>
      </c>
      <c r="E111" s="25">
        <f>Table134681112[[#This Row],[PMI]]-B99</f>
        <v/>
      </c>
      <c r="F111" s="56">
        <f>(Table134681112[[#This Row],[EWU]]-D99)/D99</f>
        <v/>
      </c>
    </row>
    <row r="112">
      <c r="A112" s="10" t="n">
        <v>41548</v>
      </c>
      <c r="B112" s="25" t="n">
        <v>56.5</v>
      </c>
      <c r="C112" s="25">
        <f>Table134681112[[#This Row],[PMI]]-B111</f>
        <v/>
      </c>
      <c r="D112" s="11" t="n">
        <v>28.549549</v>
      </c>
      <c r="E112" s="25">
        <f>Table134681112[[#This Row],[PMI]]-B100</f>
        <v/>
      </c>
      <c r="F112" s="56">
        <f>(Table134681112[[#This Row],[EWU]]-D100)/D100</f>
        <v/>
      </c>
    </row>
    <row r="113">
      <c r="A113" s="10" t="n">
        <v>41579</v>
      </c>
      <c r="B113" s="25" t="n">
        <v>58.1</v>
      </c>
      <c r="C113" s="25">
        <f>Table134681112[[#This Row],[PMI]]-B112</f>
        <v/>
      </c>
      <c r="D113" s="11" t="n">
        <v>28.774027</v>
      </c>
      <c r="E113" s="25">
        <f>Table134681112[[#This Row],[PMI]]-B101</f>
        <v/>
      </c>
      <c r="F113" s="56">
        <f>(Table134681112[[#This Row],[EWU]]-D101)/D101</f>
        <v/>
      </c>
    </row>
    <row r="114">
      <c r="A114" s="10" t="n">
        <v>41609</v>
      </c>
      <c r="B114" s="25" t="n">
        <v>57.3</v>
      </c>
      <c r="C114" s="25">
        <f>Table134681112[[#This Row],[PMI]]-B113</f>
        <v/>
      </c>
      <c r="D114" s="11" t="n">
        <v>29.293106</v>
      </c>
      <c r="E114" s="25">
        <f>Table134681112[[#This Row],[PMI]]-B102</f>
        <v/>
      </c>
      <c r="F114" s="56">
        <f>(Table134681112[[#This Row],[EWU]]-D102)/D102</f>
        <v/>
      </c>
    </row>
    <row r="115">
      <c r="A115" s="10" t="n">
        <v>41640</v>
      </c>
      <c r="B115" s="25" t="n">
        <v>56.7</v>
      </c>
      <c r="C115" s="25">
        <f>Table134681112[[#This Row],[PMI]]-B114</f>
        <v/>
      </c>
      <c r="D115" s="11" t="n">
        <v>28.268082</v>
      </c>
      <c r="E115" s="25">
        <f>Table134681112[[#This Row],[PMI]]-B103</f>
        <v/>
      </c>
      <c r="F115" s="56">
        <f>(Table134681112[[#This Row],[EWU]]-D103)/D103</f>
        <v/>
      </c>
    </row>
    <row r="116">
      <c r="A116" s="10" t="n">
        <v>41671</v>
      </c>
      <c r="B116" s="25" t="n">
        <v>56.9</v>
      </c>
      <c r="C116" s="25">
        <f>Table134681112[[#This Row],[PMI]]-B115</f>
        <v/>
      </c>
      <c r="D116" s="11" t="n">
        <v>30.184797</v>
      </c>
      <c r="E116" s="25">
        <f>Table134681112[[#This Row],[PMI]]-B104</f>
        <v/>
      </c>
      <c r="F116" s="56">
        <f>(Table134681112[[#This Row],[EWU]]-D104)/D104</f>
        <v/>
      </c>
    </row>
    <row r="117">
      <c r="A117" s="10" t="n">
        <v>41699</v>
      </c>
      <c r="B117" s="25" t="n">
        <v>55.3</v>
      </c>
      <c r="C117" s="25">
        <f>Table134681112[[#This Row],[PMI]]-B116</f>
        <v/>
      </c>
      <c r="D117" s="11" t="n">
        <v>29.233541</v>
      </c>
      <c r="E117" s="25">
        <f>Table134681112[[#This Row],[PMI]]-B105</f>
        <v/>
      </c>
      <c r="F117" s="56">
        <f>(Table134681112[[#This Row],[EWU]]-D105)/D105</f>
        <v/>
      </c>
    </row>
    <row r="118">
      <c r="A118" s="10" t="n">
        <v>41730</v>
      </c>
      <c r="B118" s="25" t="n">
        <v>57.3</v>
      </c>
      <c r="C118" s="25">
        <f>Table134681112[[#This Row],[PMI]]-B117</f>
        <v/>
      </c>
      <c r="D118" s="11" t="n">
        <v>30.553951</v>
      </c>
      <c r="E118" s="25">
        <f>Table134681112[[#This Row],[PMI]]-B106</f>
        <v/>
      </c>
      <c r="F118" s="56">
        <f>(Table134681112[[#This Row],[EWU]]-D106)/D106</f>
        <v/>
      </c>
    </row>
    <row r="119">
      <c r="A119" s="10" t="n">
        <v>41760</v>
      </c>
      <c r="B119" s="25" t="n">
        <v>57</v>
      </c>
      <c r="C119" s="25">
        <f>Table134681112[[#This Row],[PMI]]-B118</f>
        <v/>
      </c>
      <c r="D119" s="11" t="n">
        <v>30.852104</v>
      </c>
      <c r="E119" s="25">
        <f>Table134681112[[#This Row],[PMI]]-B107</f>
        <v/>
      </c>
      <c r="F119" s="56">
        <f>(Table134681112[[#This Row],[EWU]]-D107)/D107</f>
        <v/>
      </c>
    </row>
    <row r="120">
      <c r="A120" s="10" t="n">
        <v>41791</v>
      </c>
      <c r="B120" s="25" t="n">
        <v>57.5</v>
      </c>
      <c r="C120" s="25">
        <f>Table134681112[[#This Row],[PMI]]-B119</f>
        <v/>
      </c>
      <c r="D120" s="11" t="n">
        <v>29.645281</v>
      </c>
      <c r="E120" s="25">
        <f>Table134681112[[#This Row],[PMI]]-B108</f>
        <v/>
      </c>
      <c r="F120" s="56">
        <f>(Table134681112[[#This Row],[EWU]]-D108)/D108</f>
        <v/>
      </c>
    </row>
    <row r="121">
      <c r="A121" s="10" t="n">
        <v>41821</v>
      </c>
      <c r="B121" s="25" t="n">
        <v>55.4</v>
      </c>
      <c r="C121" s="25">
        <f>Table134681112[[#This Row],[PMI]]-B120</f>
        <v/>
      </c>
      <c r="D121" s="11" t="n">
        <v>30.356291</v>
      </c>
      <c r="E121" s="25">
        <f>Table134681112[[#This Row],[PMI]]-B109</f>
        <v/>
      </c>
      <c r="F121" s="56">
        <f>(Table134681112[[#This Row],[EWU]]-D109)/D109</f>
        <v/>
      </c>
    </row>
    <row r="122">
      <c r="A122" s="10" t="n">
        <v>41852</v>
      </c>
      <c r="B122" s="25" t="n">
        <v>52.5</v>
      </c>
      <c r="C122" s="25">
        <f>Table134681112[[#This Row],[PMI]]-B121</f>
        <v/>
      </c>
      <c r="D122" s="11" t="n">
        <v>30.594606</v>
      </c>
      <c r="E122" s="25">
        <f>Table134681112[[#This Row],[PMI]]-B110</f>
        <v/>
      </c>
      <c r="F122" s="56">
        <f>(Table134681112[[#This Row],[EWU]]-D110)/D110</f>
        <v/>
      </c>
    </row>
    <row r="123">
      <c r="A123" s="10" t="n">
        <v>41883</v>
      </c>
      <c r="B123" s="25" t="n">
        <v>51.6</v>
      </c>
      <c r="C123" s="25">
        <f>Table134681112[[#This Row],[PMI]]-B122</f>
        <v/>
      </c>
      <c r="D123" s="11" t="n">
        <v>28.866774</v>
      </c>
      <c r="E123" s="25">
        <f>Table134681112[[#This Row],[PMI]]-B111</f>
        <v/>
      </c>
      <c r="F123" s="56">
        <f>(Table134681112[[#This Row],[EWU]]-D111)/D111</f>
        <v/>
      </c>
    </row>
    <row r="124">
      <c r="A124" s="10" t="n">
        <v>41913</v>
      </c>
      <c r="B124" s="25" t="n">
        <v>53.2</v>
      </c>
      <c r="C124" s="25">
        <f>Table134681112[[#This Row],[PMI]]-B123</f>
        <v/>
      </c>
      <c r="D124" s="11" t="n">
        <v>28.315653</v>
      </c>
      <c r="E124" s="25">
        <f>Table134681112[[#This Row],[PMI]]-B112</f>
        <v/>
      </c>
      <c r="F124" s="56">
        <f>(Table134681112[[#This Row],[EWU]]-D112)/D112</f>
        <v/>
      </c>
    </row>
    <row r="125">
      <c r="A125" s="10" t="n">
        <v>41944</v>
      </c>
      <c r="B125" s="25" t="n">
        <v>53.5</v>
      </c>
      <c r="C125" s="25">
        <f>Table134681112[[#This Row],[PMI]]-B124</f>
        <v/>
      </c>
      <c r="D125" s="11" t="n">
        <v>28.345448</v>
      </c>
      <c r="E125" s="25">
        <f>Table134681112[[#This Row],[PMI]]-B113</f>
        <v/>
      </c>
      <c r="F125" s="56">
        <f>(Table134681112[[#This Row],[EWU]]-D113)/D113</f>
        <v/>
      </c>
    </row>
    <row r="126">
      <c r="A126" s="10" t="n">
        <v>41974</v>
      </c>
      <c r="B126" s="25" t="n">
        <v>52.5</v>
      </c>
      <c r="C126" s="25">
        <f>Table134681112[[#This Row],[PMI]]-B125</f>
        <v/>
      </c>
      <c r="D126" s="11" t="n">
        <v>26.85593</v>
      </c>
      <c r="E126" s="25">
        <f>Table134681112[[#This Row],[PMI]]-B114</f>
        <v/>
      </c>
      <c r="F126" s="56">
        <f>(Table134681112[[#This Row],[EWU]]-D114)/D114</f>
        <v/>
      </c>
    </row>
    <row r="127">
      <c r="A127" s="10" t="n">
        <v>42005</v>
      </c>
      <c r="B127" s="25" t="n">
        <v>53</v>
      </c>
      <c r="C127" s="25">
        <f>Table134681112[[#This Row],[PMI]]-B126</f>
        <v/>
      </c>
      <c r="D127" s="11" t="n">
        <v>27.40794</v>
      </c>
      <c r="E127" s="25">
        <f>Table134681112[[#This Row],[PMI]]-B115</f>
        <v/>
      </c>
      <c r="F127" s="56">
        <f>(Table134681112[[#This Row],[EWU]]-D115)/D115</f>
        <v/>
      </c>
    </row>
    <row r="128">
      <c r="A128" s="10" t="n">
        <v>42036</v>
      </c>
      <c r="B128" s="25" t="n">
        <v>54.1</v>
      </c>
      <c r="C128" s="25">
        <f>Table134681112[[#This Row],[PMI]]-B127</f>
        <v/>
      </c>
      <c r="D128" s="11" t="n">
        <v>29.018381</v>
      </c>
      <c r="E128" s="25">
        <f>Table134681112[[#This Row],[PMI]]-B116</f>
        <v/>
      </c>
      <c r="F128" s="56">
        <f>(Table134681112[[#This Row],[EWU]]-D116)/D116</f>
        <v/>
      </c>
    </row>
    <row r="129">
      <c r="A129" s="10" t="n">
        <v>42064</v>
      </c>
      <c r="B129" s="25" t="n">
        <v>54.4</v>
      </c>
      <c r="C129" s="25">
        <f>Table134681112[[#This Row],[PMI]]-B128</f>
        <v/>
      </c>
      <c r="D129" s="11" t="n">
        <v>27.362354</v>
      </c>
      <c r="E129" s="25">
        <f>Table134681112[[#This Row],[PMI]]-B117</f>
        <v/>
      </c>
      <c r="F129" s="56">
        <f>(Table134681112[[#This Row],[EWU]]-D117)/D117</f>
        <v/>
      </c>
    </row>
    <row r="130">
      <c r="A130" s="10" t="n">
        <v>42095</v>
      </c>
      <c r="B130" s="25" t="n">
        <v>51.9</v>
      </c>
      <c r="C130" s="25">
        <f>Table134681112[[#This Row],[PMI]]-B129</f>
        <v/>
      </c>
      <c r="D130" s="11" t="n">
        <v>29.185503</v>
      </c>
      <c r="E130" s="25">
        <f>Table134681112[[#This Row],[PMI]]-B118</f>
        <v/>
      </c>
      <c r="F130" s="56">
        <f>(Table134681112[[#This Row],[EWU]]-D118)/D118</f>
        <v/>
      </c>
    </row>
    <row r="131">
      <c r="A131" s="10" t="n">
        <v>42125</v>
      </c>
      <c r="B131" s="25" t="n">
        <v>52.2</v>
      </c>
      <c r="C131" s="25">
        <f>Table134681112[[#This Row],[PMI]]-B130</f>
        <v/>
      </c>
      <c r="D131" s="11" t="n">
        <v>29.367815</v>
      </c>
      <c r="E131" s="25">
        <f>Table134681112[[#This Row],[PMI]]-B119</f>
        <v/>
      </c>
      <c r="F131" s="56">
        <f>(Table134681112[[#This Row],[EWU]]-D119)/D119</f>
        <v/>
      </c>
    </row>
    <row r="132">
      <c r="A132" s="10" t="n">
        <v>42156</v>
      </c>
      <c r="B132" s="25" t="n">
        <v>51.9</v>
      </c>
      <c r="C132" s="25">
        <f>Table134681112[[#This Row],[PMI]]-B131</f>
        <v/>
      </c>
      <c r="D132" s="11" t="n">
        <v>27.726986</v>
      </c>
      <c r="E132" s="25">
        <f>Table134681112[[#This Row],[PMI]]-B120</f>
        <v/>
      </c>
      <c r="F132" s="56">
        <f>(Table134681112[[#This Row],[EWU]]-D120)/D120</f>
        <v/>
      </c>
    </row>
    <row r="133">
      <c r="A133" s="10" t="n">
        <v>42186</v>
      </c>
      <c r="B133" s="25" t="n">
        <v>52.5</v>
      </c>
      <c r="C133" s="25">
        <f>Table134681112[[#This Row],[PMI]]-B132</f>
        <v/>
      </c>
      <c r="D133" s="11" t="n">
        <v>28.681118</v>
      </c>
      <c r="E133" s="25">
        <f>Table134681112[[#This Row],[PMI]]-B121</f>
        <v/>
      </c>
      <c r="F133" s="56">
        <f>(Table134681112[[#This Row],[EWU]]-D121)/D121</f>
        <v/>
      </c>
    </row>
    <row r="134">
      <c r="A134" s="10" t="n">
        <v>42217</v>
      </c>
      <c r="B134" s="25" t="n">
        <v>51.6</v>
      </c>
      <c r="C134" s="25">
        <f>Table134681112[[#This Row],[PMI]]-B133</f>
        <v/>
      </c>
      <c r="D134" s="11" t="n">
        <v>26.391573</v>
      </c>
      <c r="E134" s="25">
        <f>Table134681112[[#This Row],[PMI]]-B122</f>
        <v/>
      </c>
      <c r="F134" s="56">
        <f>(Table134681112[[#This Row],[EWU]]-D122)/D122</f>
        <v/>
      </c>
    </row>
    <row r="135">
      <c r="A135" s="10" t="n">
        <v>42248</v>
      </c>
      <c r="B135" s="25" t="n">
        <v>51.6</v>
      </c>
      <c r="C135" s="25">
        <f>Table134681112[[#This Row],[PMI]]-B134</f>
        <v/>
      </c>
      <c r="D135" s="11" t="n">
        <v>25.355099</v>
      </c>
      <c r="E135" s="25">
        <f>Table134681112[[#This Row],[PMI]]-B123</f>
        <v/>
      </c>
      <c r="F135" s="56">
        <f>(Table134681112[[#This Row],[EWU]]-D123)/D123</f>
        <v/>
      </c>
    </row>
    <row r="136">
      <c r="A136" s="10" t="n">
        <v>42278</v>
      </c>
      <c r="B136" s="25" t="n">
        <v>54.3</v>
      </c>
      <c r="C136" s="25">
        <f>Table134681112[[#This Row],[PMI]]-B135</f>
        <v/>
      </c>
      <c r="D136" s="11" t="n">
        <v>27.025841</v>
      </c>
      <c r="E136" s="25">
        <f>Table134681112[[#This Row],[PMI]]-B124</f>
        <v/>
      </c>
      <c r="F136" s="56">
        <f>(Table134681112[[#This Row],[EWU]]-D124)/D124</f>
        <v/>
      </c>
    </row>
    <row r="137">
      <c r="A137" s="10" t="n">
        <v>42309</v>
      </c>
      <c r="B137" s="25" t="n">
        <v>52.3</v>
      </c>
      <c r="C137" s="25">
        <f>Table134681112[[#This Row],[PMI]]-B136</f>
        <v/>
      </c>
      <c r="D137" s="11" t="n">
        <v>26.577215</v>
      </c>
      <c r="E137" s="25">
        <f>Table134681112[[#This Row],[PMI]]-B125</f>
        <v/>
      </c>
      <c r="F137" s="56">
        <f>(Table134681112[[#This Row],[EWU]]-D125)/D125</f>
        <v/>
      </c>
    </row>
    <row r="138">
      <c r="A138" s="10" t="n">
        <v>42339</v>
      </c>
      <c r="B138" s="25" t="n">
        <v>51</v>
      </c>
      <c r="C138" s="25">
        <f>Table134681112[[#This Row],[PMI]]-B137</f>
        <v/>
      </c>
      <c r="D138" s="11" t="n">
        <v>24.968349</v>
      </c>
      <c r="E138" s="25">
        <f>Table134681112[[#This Row],[PMI]]-B126</f>
        <v/>
      </c>
      <c r="F138" s="56">
        <f>(Table134681112[[#This Row],[EWU]]-D126)/D126</f>
        <v/>
      </c>
    </row>
    <row r="139">
      <c r="A139" s="10" t="n">
        <v>42370</v>
      </c>
      <c r="B139" s="25" t="n">
        <v>52.2</v>
      </c>
      <c r="C139" s="25">
        <f>Table134681112[[#This Row],[PMI]]-B138</f>
        <v/>
      </c>
      <c r="D139" s="11" t="n">
        <v>24.239233</v>
      </c>
      <c r="E139" s="25">
        <f>Table134681112[[#This Row],[PMI]]-B127</f>
        <v/>
      </c>
      <c r="F139" s="56">
        <f>(Table134681112[[#This Row],[EWU]]-D127)/D127</f>
        <v/>
      </c>
    </row>
    <row r="140">
      <c r="A140" s="10" t="n">
        <v>42401</v>
      </c>
      <c r="B140" s="25" t="n">
        <v>50.8</v>
      </c>
      <c r="C140" s="25">
        <f>Table134681112[[#This Row],[PMI]]-B139</f>
        <v/>
      </c>
      <c r="D140" s="11" t="n">
        <v>23.481758</v>
      </c>
      <c r="E140" s="25">
        <f>Table134681112[[#This Row],[PMI]]-B128</f>
        <v/>
      </c>
      <c r="F140" s="56">
        <f>(Table134681112[[#This Row],[EWU]]-D128)/D128</f>
        <v/>
      </c>
    </row>
    <row r="141">
      <c r="A141" s="10" t="n">
        <v>42430</v>
      </c>
      <c r="B141" s="25" t="n">
        <v>51.1</v>
      </c>
      <c r="C141" s="25">
        <f>Table134681112[[#This Row],[PMI]]-B140</f>
        <v/>
      </c>
      <c r="D141" s="11" t="n">
        <v>24.744221</v>
      </c>
      <c r="E141" s="25">
        <f>Table134681112[[#This Row],[PMI]]-B129</f>
        <v/>
      </c>
      <c r="F141" s="56">
        <f>(Table134681112[[#This Row],[EWU]]-D129)/D129</f>
        <v/>
      </c>
    </row>
    <row r="142">
      <c r="A142" s="10" t="n">
        <v>42461</v>
      </c>
      <c r="B142" s="25" t="n">
        <v>50</v>
      </c>
      <c r="C142" s="25">
        <f>Table134681112[[#This Row],[PMI]]-B141</f>
        <v/>
      </c>
      <c r="D142" s="11" t="n">
        <v>25.738405</v>
      </c>
      <c r="E142" s="25">
        <f>Table134681112[[#This Row],[PMI]]-B130</f>
        <v/>
      </c>
      <c r="F142" s="56">
        <f>(Table134681112[[#This Row],[EWU]]-D130)/D130</f>
        <v/>
      </c>
    </row>
    <row r="143">
      <c r="A143" s="10" t="n">
        <v>42491</v>
      </c>
      <c r="B143" s="25" t="n">
        <v>50.7</v>
      </c>
      <c r="C143" s="25">
        <f>Table134681112[[#This Row],[PMI]]-B142</f>
        <v/>
      </c>
      <c r="D143" s="11" t="n">
        <v>25.438572</v>
      </c>
      <c r="E143" s="25">
        <f>Table134681112[[#This Row],[PMI]]-B131</f>
        <v/>
      </c>
      <c r="F143" s="56">
        <f>(Table134681112[[#This Row],[EWU]]-D131)/D131</f>
        <v/>
      </c>
    </row>
    <row r="144">
      <c r="A144" s="10" t="n">
        <v>42522</v>
      </c>
      <c r="B144" s="25" t="n">
        <v>53.2</v>
      </c>
      <c r="C144" s="25">
        <f>Table134681112[[#This Row],[PMI]]-B143</f>
        <v/>
      </c>
      <c r="D144" s="11" t="n">
        <v>24.255013</v>
      </c>
      <c r="E144" s="25">
        <f>Table134681112[[#This Row],[PMI]]-B132</f>
        <v/>
      </c>
      <c r="F144" s="56">
        <f>(Table134681112[[#This Row],[EWU]]-D132)/D132</f>
        <v/>
      </c>
    </row>
    <row r="145">
      <c r="A145" s="10" t="n">
        <v>42552</v>
      </c>
      <c r="B145" s="25" t="n">
        <v>48.5</v>
      </c>
      <c r="C145" s="25">
        <f>Table134681112[[#This Row],[PMI]]-B144</f>
        <v/>
      </c>
      <c r="D145" s="11" t="n">
        <v>25.230652</v>
      </c>
      <c r="E145" s="25">
        <f>Table134681112[[#This Row],[PMI]]-B133</f>
        <v/>
      </c>
      <c r="F145" s="56">
        <f>(Table134681112[[#This Row],[EWU]]-D133)/D133</f>
        <v/>
      </c>
    </row>
    <row r="146">
      <c r="A146" s="10" t="n">
        <v>42583</v>
      </c>
      <c r="B146" s="25" t="n">
        <v>53.2</v>
      </c>
      <c r="C146" s="25">
        <f>Table134681112[[#This Row],[PMI]]-B145</f>
        <v/>
      </c>
      <c r="D146" s="11" t="n">
        <v>25.505602</v>
      </c>
      <c r="E146" s="25">
        <f>Table134681112[[#This Row],[PMI]]-B134</f>
        <v/>
      </c>
      <c r="F146" s="56">
        <f>(Table134681112[[#This Row],[EWU]]-D134)/D134</f>
        <v/>
      </c>
    </row>
    <row r="147">
      <c r="A147" s="10" t="n">
        <v>42614</v>
      </c>
      <c r="B147" s="25" t="n">
        <v>55.6</v>
      </c>
      <c r="C147" s="25">
        <f>Table134681112[[#This Row],[PMI]]-B146</f>
        <v/>
      </c>
      <c r="D147" s="11" t="n">
        <v>25.618811</v>
      </c>
      <c r="E147" s="25">
        <f>Table134681112[[#This Row],[PMI]]-B135</f>
        <v/>
      </c>
      <c r="F147" s="56">
        <f>(Table134681112[[#This Row],[EWU]]-D135)/D135</f>
        <v/>
      </c>
    </row>
    <row r="148">
      <c r="A148" s="10" t="n">
        <v>42644</v>
      </c>
      <c r="B148" s="25" t="n">
        <v>53.8</v>
      </c>
      <c r="C148" s="25">
        <f>Table134681112[[#This Row],[PMI]]-B147</f>
        <v/>
      </c>
      <c r="D148" s="11" t="n">
        <v>24.260242</v>
      </c>
      <c r="E148" s="25">
        <f>Table134681112[[#This Row],[PMI]]-B136</f>
        <v/>
      </c>
      <c r="F148" s="56">
        <f>(Table134681112[[#This Row],[EWU]]-D136)/D136</f>
        <v/>
      </c>
    </row>
    <row r="149">
      <c r="A149" s="10" t="n">
        <v>42675</v>
      </c>
      <c r="B149" s="25" t="n">
        <v>53.2</v>
      </c>
      <c r="C149" s="25">
        <f>Table134681112[[#This Row],[PMI]]-B148</f>
        <v/>
      </c>
      <c r="D149" s="11" t="n">
        <v>24.308758</v>
      </c>
      <c r="E149" s="25">
        <f>Table134681112[[#This Row],[PMI]]-B137</f>
        <v/>
      </c>
      <c r="F149" s="56">
        <f>(Table134681112[[#This Row],[EWU]]-D137)/D137</f>
        <v/>
      </c>
    </row>
    <row r="150">
      <c r="A150" s="10" t="n">
        <v>42705</v>
      </c>
      <c r="B150" s="25" t="n">
        <v>55.6</v>
      </c>
      <c r="C150" s="25">
        <f>Table134681112[[#This Row],[PMI]]-B149</f>
        <v/>
      </c>
      <c r="D150" s="11" t="n">
        <v>24.818224</v>
      </c>
      <c r="E150" s="25">
        <f>Table134681112[[#This Row],[PMI]]-B138</f>
        <v/>
      </c>
      <c r="F150" s="56">
        <f>(Table134681112[[#This Row],[EWU]]-D138)/D138</f>
        <v/>
      </c>
    </row>
    <row r="151">
      <c r="A151" s="10" t="n">
        <v>42736</v>
      </c>
      <c r="B151" s="25" t="n">
        <v>55.2</v>
      </c>
      <c r="C151" s="25">
        <f>Table134681112[[#This Row],[PMI]]-B150</f>
        <v/>
      </c>
      <c r="D151" s="11" t="n">
        <v>25.784966</v>
      </c>
      <c r="E151" s="25">
        <f>Table134681112[[#This Row],[PMI]]-B139</f>
        <v/>
      </c>
      <c r="F151" s="56">
        <f>(Table134681112[[#This Row],[EWU]]-D139)/D139</f>
        <v/>
      </c>
    </row>
    <row r="152">
      <c r="A152" s="10" t="n">
        <v>42767</v>
      </c>
      <c r="B152" s="25" t="n">
        <v>54.5</v>
      </c>
      <c r="C152" s="25">
        <f>Table134681112[[#This Row],[PMI]]-B151</f>
        <v/>
      </c>
      <c r="D152" s="11" t="n">
        <v>26.162106</v>
      </c>
      <c r="E152" s="25">
        <f>Table134681112[[#This Row],[PMI]]-B140</f>
        <v/>
      </c>
      <c r="F152" s="56">
        <f>(Table134681112[[#This Row],[EWU]]-D140)/D140</f>
        <v/>
      </c>
    </row>
    <row r="153">
      <c r="A153" s="10" t="n">
        <v>42795</v>
      </c>
      <c r="B153" s="25" t="n">
        <v>54.1</v>
      </c>
      <c r="C153" s="25">
        <f>Table134681112[[#This Row],[PMI]]-B152</f>
        <v/>
      </c>
      <c r="D153" s="11" t="n">
        <v>26.686821</v>
      </c>
      <c r="E153" s="25">
        <f>Table134681112[[#This Row],[PMI]]-B141</f>
        <v/>
      </c>
      <c r="F153" s="56">
        <f>(Table134681112[[#This Row],[EWU]]-D141)/D141</f>
        <v/>
      </c>
    </row>
    <row r="154">
      <c r="A154" s="10" t="n">
        <v>42826</v>
      </c>
      <c r="B154" s="25" t="n">
        <v>57.8</v>
      </c>
      <c r="C154" s="25">
        <f>Table134681112[[#This Row],[PMI]]-B153</f>
        <v/>
      </c>
      <c r="D154" s="11" t="n">
        <v>27.137749</v>
      </c>
      <c r="E154" s="25">
        <f>Table134681112[[#This Row],[PMI]]-B142</f>
        <v/>
      </c>
      <c r="F154" s="56">
        <f>(Table134681112[[#This Row],[EWU]]-D142)/D142</f>
        <v/>
      </c>
    </row>
    <row r="155">
      <c r="A155" s="10" t="n">
        <v>42856</v>
      </c>
      <c r="B155" s="25" t="n">
        <v>56.6</v>
      </c>
      <c r="C155" s="25">
        <f>Table134681112[[#This Row],[PMI]]-B154</f>
        <v/>
      </c>
      <c r="D155" s="11" t="n">
        <v>28.375755</v>
      </c>
      <c r="E155" s="25">
        <f>Table134681112[[#This Row],[PMI]]-B143</f>
        <v/>
      </c>
      <c r="F155" s="56">
        <f>(Table134681112[[#This Row],[EWU]]-D143)/D143</f>
        <v/>
      </c>
    </row>
    <row r="156">
      <c r="A156" s="10" t="n">
        <v>42887</v>
      </c>
      <c r="B156" s="25" t="n">
        <v>54.4</v>
      </c>
      <c r="C156" s="25">
        <f>Table134681112[[#This Row],[PMI]]-B155</f>
        <v/>
      </c>
      <c r="D156" s="11" t="n">
        <v>27.326324</v>
      </c>
      <c r="E156" s="25">
        <f>Table134681112[[#This Row],[PMI]]-B144</f>
        <v/>
      </c>
      <c r="F156" s="56">
        <f>(Table134681112[[#This Row],[EWU]]-D144)/D144</f>
        <v/>
      </c>
    </row>
    <row r="157">
      <c r="A157" s="10" t="n">
        <v>42917</v>
      </c>
      <c r="B157" s="25" t="n">
        <v>55.3</v>
      </c>
      <c r="C157" s="25">
        <f>Table134681112[[#This Row],[PMI]]-B156</f>
        <v/>
      </c>
      <c r="D157" s="11" t="n">
        <v>28.59103</v>
      </c>
      <c r="E157" s="25">
        <f>Table134681112[[#This Row],[PMI]]-B145</f>
        <v/>
      </c>
      <c r="F157" s="56">
        <f>(Table134681112[[#This Row],[EWU]]-D145)/D145</f>
        <v/>
      </c>
    </row>
    <row r="158">
      <c r="A158" s="10" t="n">
        <v>42948</v>
      </c>
      <c r="B158" s="25" t="n">
        <v>56.8</v>
      </c>
      <c r="C158" s="25">
        <f>Table134681112[[#This Row],[PMI]]-B157</f>
        <v/>
      </c>
      <c r="D158" s="11" t="n">
        <v>28.356411</v>
      </c>
      <c r="E158" s="25">
        <f>Table134681112[[#This Row],[PMI]]-B146</f>
        <v/>
      </c>
      <c r="F158" s="56">
        <f>(Table134681112[[#This Row],[EWU]]-D146)/D146</f>
        <v/>
      </c>
    </row>
    <row r="159">
      <c r="A159" s="10" t="n">
        <v>42979</v>
      </c>
      <c r="B159" s="25" t="n">
        <v>56</v>
      </c>
      <c r="C159" s="25">
        <f>Table134681112[[#This Row],[PMI]]-B158</f>
        <v/>
      </c>
      <c r="D159" s="11" t="n">
        <v>29.202745</v>
      </c>
      <c r="E159" s="25">
        <f>Table134681112[[#This Row],[PMI]]-B147</f>
        <v/>
      </c>
      <c r="F159" s="56">
        <f>(Table134681112[[#This Row],[EWU]]-D147)/D147</f>
        <v/>
      </c>
    </row>
    <row r="160">
      <c r="A160" s="10" t="n">
        <v>43009</v>
      </c>
      <c r="B160" s="25" t="n">
        <v>56.2</v>
      </c>
      <c r="C160" s="25">
        <f>Table134681112[[#This Row],[PMI]]-B159</f>
        <v/>
      </c>
      <c r="D160" s="11" t="n">
        <v>29.37871</v>
      </c>
      <c r="E160" s="25">
        <f>Table134681112[[#This Row],[PMI]]-B148</f>
        <v/>
      </c>
      <c r="F160" s="56">
        <f>(Table134681112[[#This Row],[EWU]]-D148)/D148</f>
        <v/>
      </c>
    </row>
    <row r="161">
      <c r="A161" s="10" t="n">
        <v>43040</v>
      </c>
      <c r="B161" s="25" t="n">
        <v>58.3</v>
      </c>
      <c r="C161" s="25">
        <f>Table134681112[[#This Row],[PMI]]-B160</f>
        <v/>
      </c>
      <c r="D161" s="11" t="n">
        <v>29.345196</v>
      </c>
      <c r="E161" s="25">
        <f>Table134681112[[#This Row],[PMI]]-B149</f>
        <v/>
      </c>
      <c r="F161" s="56">
        <f>(Table134681112[[#This Row],[EWU]]-D149)/D149</f>
        <v/>
      </c>
    </row>
    <row r="162">
      <c r="A162" s="10" t="n">
        <v>43070</v>
      </c>
      <c r="B162" s="25" t="n">
        <v>56</v>
      </c>
      <c r="C162" s="25">
        <f>Table134681112[[#This Row],[PMI]]-B161</f>
        <v/>
      </c>
      <c r="D162" s="11" t="n">
        <v>30.015556</v>
      </c>
      <c r="E162" s="25">
        <f>Table134681112[[#This Row],[PMI]]-B150</f>
        <v/>
      </c>
      <c r="F162" s="56">
        <f>(Table134681112[[#This Row],[EWU]]-D150)/D150</f>
        <v/>
      </c>
    </row>
    <row r="163">
      <c r="A163" s="10" t="n">
        <v>43101</v>
      </c>
      <c r="B163" s="25" t="n">
        <v>55</v>
      </c>
      <c r="C163" s="25">
        <f>Table134681112[[#This Row],[PMI]]-B162</f>
        <v/>
      </c>
      <c r="D163" s="11" t="n">
        <v>31.725664</v>
      </c>
      <c r="E163" s="25">
        <f>Table134681112[[#This Row],[PMI]]-B151</f>
        <v/>
      </c>
      <c r="F163" s="56">
        <f>(Table134681112[[#This Row],[EWU]]-D151)/D151</f>
        <v/>
      </c>
    </row>
    <row r="164">
      <c r="A164" s="10" t="n">
        <v>43132</v>
      </c>
      <c r="B164" s="25" t="n">
        <v>54.9</v>
      </c>
      <c r="C164" s="25">
        <f>Table134681112[[#This Row],[PMI]]-B163</f>
        <v/>
      </c>
      <c r="D164" s="11" t="n">
        <v>29.59981</v>
      </c>
      <c r="E164" s="25">
        <f>Table134681112[[#This Row],[PMI]]-B152</f>
        <v/>
      </c>
      <c r="F164" s="56">
        <f>(Table134681112[[#This Row],[EWU]]-D152)/D152</f>
        <v/>
      </c>
    </row>
    <row r="165">
      <c r="A165" s="10" t="n">
        <v>43160</v>
      </c>
      <c r="B165" s="25" t="n">
        <v>54.9</v>
      </c>
      <c r="C165" s="25">
        <f>Table134681112[[#This Row],[PMI]]-B164</f>
        <v/>
      </c>
      <c r="D165" s="11" t="n">
        <v>29.668108</v>
      </c>
      <c r="E165" s="25">
        <f>Table134681112[[#This Row],[PMI]]-B153</f>
        <v/>
      </c>
      <c r="F165" s="56">
        <f>(Table134681112[[#This Row],[EWU]]-D153)/D153</f>
        <v/>
      </c>
    </row>
    <row r="166">
      <c r="A166" s="10" t="n">
        <v>43191</v>
      </c>
      <c r="B166" s="25" t="n">
        <v>53.9</v>
      </c>
      <c r="C166" s="25">
        <f>Table134681112[[#This Row],[PMI]]-B165</f>
        <v/>
      </c>
      <c r="D166" s="11" t="n">
        <v>30.948746</v>
      </c>
      <c r="E166" s="25">
        <f>Table134681112[[#This Row],[PMI]]-B154</f>
        <v/>
      </c>
      <c r="F166" s="56">
        <f>(Table134681112[[#This Row],[EWU]]-D154)/D154</f>
        <v/>
      </c>
    </row>
    <row r="167">
      <c r="A167" s="10" t="n">
        <v>43221</v>
      </c>
      <c r="B167" s="25" t="n">
        <v>54.4</v>
      </c>
      <c r="C167" s="25">
        <f>Table134681112[[#This Row],[PMI]]-B166</f>
        <v/>
      </c>
      <c r="D167" s="11" t="n">
        <v>30.760918</v>
      </c>
      <c r="E167" s="25">
        <f>Table134681112[[#This Row],[PMI]]-B155</f>
        <v/>
      </c>
      <c r="F167" s="56">
        <f>(Table134681112[[#This Row],[EWU]]-D155)/D155</f>
        <v/>
      </c>
    </row>
    <row r="168">
      <c r="A168" s="10" t="n">
        <v>43252</v>
      </c>
      <c r="B168" s="25" t="n">
        <v>54.4</v>
      </c>
      <c r="C168" s="25">
        <f>Table134681112[[#This Row],[PMI]]-B167</f>
        <v/>
      </c>
      <c r="D168" s="11" t="n">
        <v>29.693722</v>
      </c>
      <c r="E168" s="25">
        <f>Table134681112[[#This Row],[PMI]]-B156</f>
        <v/>
      </c>
      <c r="F168" s="56">
        <f>(Table134681112[[#This Row],[EWU]]-D156)/D156</f>
        <v/>
      </c>
    </row>
    <row r="169">
      <c r="A169" s="10" t="n">
        <v>43282</v>
      </c>
      <c r="B169" s="25" t="n">
        <v>54</v>
      </c>
      <c r="C169" s="25">
        <f>Table134681112[[#This Row],[PMI]]-B168</f>
        <v/>
      </c>
      <c r="D169" s="11" t="n">
        <v>30.683813</v>
      </c>
      <c r="E169" s="25">
        <f>Table134681112[[#This Row],[PMI]]-B157</f>
        <v/>
      </c>
      <c r="F169" s="56">
        <f>(Table134681112[[#This Row],[EWU]]-D157)/D157</f>
        <v/>
      </c>
    </row>
    <row r="170">
      <c r="A170" s="10" t="n">
        <v>43313</v>
      </c>
      <c r="B170" s="25" t="n">
        <v>52.8</v>
      </c>
      <c r="C170" s="25">
        <f>Table134681112[[#This Row],[PMI]]-B169</f>
        <v/>
      </c>
      <c r="D170" s="11" t="n">
        <v>29.337955</v>
      </c>
      <c r="E170" s="25">
        <f>Table134681112[[#This Row],[PMI]]-B158</f>
        <v/>
      </c>
      <c r="F170" s="56">
        <f>(Table134681112[[#This Row],[EWU]]-D158)/D158</f>
        <v/>
      </c>
    </row>
    <row r="171">
      <c r="A171" s="10" t="n">
        <v>43344</v>
      </c>
      <c r="B171" s="25" t="n">
        <v>53.8</v>
      </c>
      <c r="C171" s="25">
        <f>Table134681112[[#This Row],[PMI]]-B170</f>
        <v/>
      </c>
      <c r="D171" s="11" t="n">
        <v>29.818615</v>
      </c>
      <c r="E171" s="25">
        <f>Table134681112[[#This Row],[PMI]]-B159</f>
        <v/>
      </c>
      <c r="F171" s="56">
        <f>(Table134681112[[#This Row],[EWU]]-D159)/D159</f>
        <v/>
      </c>
    </row>
    <row r="172">
      <c r="A172" s="10" t="n">
        <v>43374</v>
      </c>
      <c r="B172" s="25" t="n">
        <v>51.1</v>
      </c>
      <c r="C172" s="25">
        <f>Table134681112[[#This Row],[PMI]]-B171</f>
        <v/>
      </c>
      <c r="D172" s="11" t="n">
        <v>27.799833</v>
      </c>
      <c r="E172" s="25">
        <f>Table134681112[[#This Row],[PMI]]-B160</f>
        <v/>
      </c>
      <c r="F172" s="56">
        <f>(Table134681112[[#This Row],[EWU]]-D160)/D160</f>
        <v/>
      </c>
    </row>
    <row r="173">
      <c r="A173" s="10" t="n">
        <v>43405</v>
      </c>
      <c r="B173" s="25" t="n">
        <v>53.1</v>
      </c>
      <c r="C173" s="25">
        <f>Table134681112[[#This Row],[PMI]]-B172</f>
        <v/>
      </c>
      <c r="D173" s="11" t="n">
        <v>27.467735</v>
      </c>
      <c r="E173" s="25">
        <f>Table134681112[[#This Row],[PMI]]-B161</f>
        <v/>
      </c>
      <c r="F173" s="56">
        <f>(Table134681112[[#This Row],[EWU]]-D161)/D161</f>
        <v/>
      </c>
    </row>
    <row r="174">
      <c r="A174" s="10" t="n">
        <v>43435</v>
      </c>
      <c r="B174" s="25" t="n">
        <v>54.2</v>
      </c>
      <c r="C174" s="25">
        <f>Table134681112[[#This Row],[PMI]]-B173</f>
        <v/>
      </c>
      <c r="D174" s="11" t="n">
        <v>25.649958</v>
      </c>
      <c r="E174" s="25">
        <f>Table134681112[[#This Row],[PMI]]-B162</f>
        <v/>
      </c>
      <c r="F174" s="56">
        <f>(Table134681112[[#This Row],[EWU]]-D162)/D162</f>
        <v/>
      </c>
    </row>
    <row r="175">
      <c r="A175" s="10" t="n">
        <v>43466</v>
      </c>
      <c r="B175" s="25" t="n">
        <v>52.8</v>
      </c>
      <c r="C175" s="25">
        <f>Table134681112[[#This Row],[PMI]]-B174</f>
        <v/>
      </c>
      <c r="D175" s="11" t="n">
        <v>28.12026</v>
      </c>
      <c r="E175" s="25">
        <f>Table134681112[[#This Row],[PMI]]-B163</f>
        <v/>
      </c>
      <c r="F175" s="56">
        <f>(Table134681112[[#This Row],[EWU]]-D163)/D163</f>
        <v/>
      </c>
    </row>
    <row r="176">
      <c r="A176" s="10" t="n">
        <v>43497</v>
      </c>
      <c r="B176" s="25" t="n">
        <v>52</v>
      </c>
      <c r="C176" s="25">
        <f>Table134681112[[#This Row],[PMI]]-B175</f>
        <v/>
      </c>
      <c r="D176" s="11" t="n">
        <v>29.084688</v>
      </c>
      <c r="E176" s="25">
        <f>Table134681112[[#This Row],[PMI]]-B164</f>
        <v/>
      </c>
      <c r="F176" s="56">
        <f>(Table134681112[[#This Row],[EWU]]-D164)/D164</f>
        <v/>
      </c>
    </row>
    <row r="177">
      <c r="A177" s="10" t="n">
        <v>43525</v>
      </c>
      <c r="B177" s="25" t="n">
        <v>55.1</v>
      </c>
      <c r="C177" s="25">
        <f>Table134681112[[#This Row],[PMI]]-B176</f>
        <v/>
      </c>
      <c r="D177" s="11" t="n">
        <v>29.477606</v>
      </c>
      <c r="E177" s="25">
        <f>Table134681112[[#This Row],[PMI]]-B165</f>
        <v/>
      </c>
      <c r="F177" s="56">
        <f>(Table134681112[[#This Row],[EWU]]-D165)/D165</f>
        <v/>
      </c>
    </row>
    <row r="178">
      <c r="A178" s="10" t="n">
        <v>43556</v>
      </c>
      <c r="B178" s="25" t="n">
        <v>53.1</v>
      </c>
      <c r="C178" s="25">
        <f>Table134681112[[#This Row],[PMI]]-B177</f>
        <v/>
      </c>
      <c r="D178" s="11" t="n">
        <v>30.147346</v>
      </c>
      <c r="E178" s="25">
        <f>Table134681112[[#This Row],[PMI]]-B166</f>
        <v/>
      </c>
      <c r="F178" s="56">
        <f>(Table134681112[[#This Row],[EWU]]-D166)/D166</f>
        <v/>
      </c>
    </row>
    <row r="179">
      <c r="A179" s="10" t="n">
        <v>43586</v>
      </c>
      <c r="B179" s="25" t="n">
        <v>49.4</v>
      </c>
      <c r="C179" s="25">
        <f>Table134681112[[#This Row],[PMI]]-B178</f>
        <v/>
      </c>
      <c r="D179" s="11" t="n">
        <v>28.298859</v>
      </c>
      <c r="E179" s="25">
        <f>Table134681112[[#This Row],[PMI]]-B167</f>
        <v/>
      </c>
      <c r="F179" s="56">
        <f>(Table134681112[[#This Row],[EWU]]-D167)/D167</f>
        <v/>
      </c>
    </row>
    <row r="180">
      <c r="A180" s="10" t="n">
        <v>43617</v>
      </c>
      <c r="B180" s="25" t="n">
        <v>48</v>
      </c>
      <c r="C180" s="25">
        <f>Table134681112[[#This Row],[PMI]]-B179</f>
        <v/>
      </c>
      <c r="D180" s="11" t="n">
        <v>28.861443</v>
      </c>
      <c r="E180" s="25">
        <f>Table134681112[[#This Row],[PMI]]-B168</f>
        <v/>
      </c>
      <c r="F180" s="56">
        <f>(Table134681112[[#This Row],[EWU]]-D168)/D168</f>
        <v/>
      </c>
    </row>
    <row r="181">
      <c r="A181" s="10" t="n">
        <v>43647</v>
      </c>
      <c r="B181" s="25" t="n">
        <v>48</v>
      </c>
      <c r="C181" s="25">
        <f>Table134681112[[#This Row],[PMI]]-B180</f>
        <v/>
      </c>
      <c r="D181" s="11" t="n">
        <v>28.885262</v>
      </c>
      <c r="E181" s="25">
        <f>Table134681112[[#This Row],[PMI]]-B169</f>
        <v/>
      </c>
      <c r="F181" s="56">
        <f>(Table134681112[[#This Row],[EWU]]-D169)/D169</f>
        <v/>
      </c>
    </row>
    <row r="182">
      <c r="A182" s="10" t="n">
        <v>43678</v>
      </c>
      <c r="B182" s="25" t="n">
        <v>47.4</v>
      </c>
      <c r="C182" s="25">
        <f>Table134681112[[#This Row],[PMI]]-B181</f>
        <v/>
      </c>
      <c r="D182" s="11" t="n">
        <v>27.786266</v>
      </c>
      <c r="E182" s="25">
        <f>Table134681112[[#This Row],[PMI]]-B170</f>
        <v/>
      </c>
      <c r="F182" s="56">
        <f>(Table134681112[[#This Row],[EWU]]-D170)/D170</f>
        <v/>
      </c>
    </row>
    <row r="183">
      <c r="A183" s="10" t="n">
        <v>43709</v>
      </c>
      <c r="B183" s="25" t="n">
        <v>48.3</v>
      </c>
      <c r="C183" s="25">
        <f>Table134681112[[#This Row],[PMI]]-B182</f>
        <v/>
      </c>
      <c r="D183" s="11" t="n">
        <v>28.784521</v>
      </c>
      <c r="E183" s="25">
        <f>Table134681112[[#This Row],[PMI]]-B171</f>
        <v/>
      </c>
      <c r="F183" s="56">
        <f>(Table134681112[[#This Row],[EWU]]-D171)/D171</f>
        <v/>
      </c>
    </row>
    <row r="184">
      <c r="A184" s="10" t="n">
        <v>43739</v>
      </c>
      <c r="B184" s="25" t="n">
        <v>49.6</v>
      </c>
      <c r="C184" s="25">
        <f>Table134681112[[#This Row],[PMI]]-B183</f>
        <v/>
      </c>
      <c r="D184" s="11" t="n">
        <v>29.791929</v>
      </c>
      <c r="E184" s="25">
        <f>Table134681112[[#This Row],[PMI]]-B172</f>
        <v/>
      </c>
      <c r="F184" s="56">
        <f>(Table134681112[[#This Row],[EWU]]-D172)/D172</f>
        <v/>
      </c>
    </row>
    <row r="185">
      <c r="A185" s="10" t="n">
        <v>43770</v>
      </c>
      <c r="B185" s="25" t="n">
        <v>48.9</v>
      </c>
      <c r="C185" s="25">
        <f>Table134681112[[#This Row],[PMI]]-B184</f>
        <v/>
      </c>
      <c r="D185" s="11" t="n">
        <v>30.158266</v>
      </c>
      <c r="E185" s="25">
        <f>Table134681112[[#This Row],[PMI]]-B173</f>
        <v/>
      </c>
      <c r="F185" s="56">
        <f>(Table134681112[[#This Row],[EWU]]-D173)/D173</f>
        <v/>
      </c>
    </row>
    <row r="186">
      <c r="A186" s="10" t="n">
        <v>43800</v>
      </c>
      <c r="B186" s="25" t="n">
        <v>47.5</v>
      </c>
      <c r="C186" s="25">
        <f>Table134681112[[#This Row],[PMI]]-B185</f>
        <v/>
      </c>
      <c r="D186" s="11" t="n">
        <v>31.229786</v>
      </c>
      <c r="E186" s="25">
        <f>Table134681112[[#This Row],[PMI]]-B174</f>
        <v/>
      </c>
      <c r="F186" s="56">
        <f>(Table134681112[[#This Row],[EWU]]-D174)/D174</f>
        <v/>
      </c>
    </row>
    <row r="187">
      <c r="A187" s="10" t="n">
        <v>43831</v>
      </c>
      <c r="B187" s="25" t="n">
        <v>50</v>
      </c>
      <c r="C187" s="25">
        <f>Table134681112[[#This Row],[PMI]]-B186</f>
        <v/>
      </c>
      <c r="D187" s="11" t="n">
        <v>30.427158</v>
      </c>
      <c r="E187" s="25">
        <f>Table134681112[[#This Row],[PMI]]-B175</f>
        <v/>
      </c>
      <c r="F187" s="56">
        <f>(Table134681112[[#This Row],[EWU]]-D175)/D175</f>
        <v/>
      </c>
    </row>
    <row r="188">
      <c r="A188" s="10" t="n">
        <v>43862</v>
      </c>
      <c r="B188" s="25" t="n">
        <v>51.7</v>
      </c>
      <c r="C188" s="25">
        <f>Table134681112[[#This Row],[PMI]]-B187</f>
        <v/>
      </c>
      <c r="D188" s="11" t="n">
        <v>27.313595</v>
      </c>
      <c r="E188" s="25">
        <f>Table134681112[[#This Row],[PMI]]-B176</f>
        <v/>
      </c>
      <c r="F188" s="56">
        <f>(Table134681112[[#This Row],[EWU]]-D176)/D176</f>
        <v/>
      </c>
    </row>
    <row r="189">
      <c r="A189" s="10" t="n">
        <v>43891</v>
      </c>
      <c r="B189" s="25" t="n">
        <v>47.8</v>
      </c>
      <c r="C189" s="25">
        <f>Table134681112[[#This Row],[PMI]]-B188</f>
        <v/>
      </c>
      <c r="D189" s="11" t="n">
        <v>22.261044</v>
      </c>
      <c r="E189" s="25">
        <f>Table134681112[[#This Row],[PMI]]-B177</f>
        <v/>
      </c>
      <c r="F189" s="56">
        <f>(Table134681112[[#This Row],[EWU]]-D177)/D177</f>
        <v/>
      </c>
    </row>
    <row r="190">
      <c r="A190" s="10" t="n">
        <v>43922</v>
      </c>
      <c r="B190" s="25" t="n">
        <v>32.6</v>
      </c>
      <c r="C190" s="25">
        <f>Table134681112[[#This Row],[PMI]]-B189</f>
        <v/>
      </c>
      <c r="D190" s="11" t="n">
        <v>23.538166</v>
      </c>
      <c r="E190" s="25">
        <f>Table134681112[[#This Row],[PMI]]-B178</f>
        <v/>
      </c>
      <c r="F190" s="56">
        <f>(Table134681112[[#This Row],[EWU]]-D178)/D178</f>
        <v/>
      </c>
    </row>
    <row r="191">
      <c r="A191" s="10" t="n">
        <v>43952</v>
      </c>
      <c r="B191" s="25" t="n">
        <v>40.7</v>
      </c>
      <c r="C191" s="25">
        <f>Table134681112[[#This Row],[PMI]]-B190</f>
        <v/>
      </c>
      <c r="D191" s="11" t="n">
        <v>23.985626</v>
      </c>
      <c r="E191" s="25">
        <f>Table134681112[[#This Row],[PMI]]-B179</f>
        <v/>
      </c>
      <c r="F191" s="56">
        <f>(Table134681112[[#This Row],[EWU]]-D179)/D179</f>
        <v/>
      </c>
    </row>
    <row r="192">
      <c r="A192" s="10" t="n">
        <v>43983</v>
      </c>
      <c r="B192" s="25" t="n">
        <v>50.1</v>
      </c>
      <c r="C192" s="25">
        <f>Table134681112[[#This Row],[PMI]]-B191</f>
        <v/>
      </c>
      <c r="D192" s="11" t="n">
        <v>24.013588</v>
      </c>
      <c r="E192" s="25">
        <f>Table134681112[[#This Row],[PMI]]-B180</f>
        <v/>
      </c>
      <c r="F192" s="56">
        <f>(Table134681112[[#This Row],[EWU]]-D180)/D180</f>
        <v/>
      </c>
    </row>
    <row r="193">
      <c r="A193" s="10" t="n">
        <v>44013</v>
      </c>
      <c r="B193" s="25" t="n">
        <v>53.3</v>
      </c>
      <c r="C193" s="25">
        <f>Table134681112[[#This Row],[PMI]]-B192</f>
        <v/>
      </c>
      <c r="D193" s="11" t="n">
        <v>24.541494</v>
      </c>
      <c r="E193" s="25">
        <f>Table134681112[[#This Row],[PMI]]-B181</f>
        <v/>
      </c>
      <c r="F193" s="56">
        <f>(Table134681112[[#This Row],[EWU]]-D181)/D181</f>
        <v/>
      </c>
    </row>
    <row r="194">
      <c r="A194" s="10" t="n">
        <v>44044</v>
      </c>
      <c r="B194" s="25" t="n">
        <v>55.2</v>
      </c>
      <c r="C194" s="25">
        <f>Table134681112[[#This Row],[PMI]]-B193</f>
        <v/>
      </c>
      <c r="D194" s="11" t="n">
        <v>25.213474</v>
      </c>
      <c r="E194" s="25">
        <f>Table134681112[[#This Row],[PMI]]-B182</f>
        <v/>
      </c>
      <c r="F194" s="56">
        <f>(Table134681112[[#This Row],[EWU]]-D182)/D182</f>
        <v/>
      </c>
    </row>
    <row r="195">
      <c r="A195" s="10" t="n">
        <v>44075</v>
      </c>
      <c r="B195" s="25" t="n">
        <v>54.1</v>
      </c>
      <c r="C195" s="25">
        <f>Table134681112[[#This Row],[PMI]]-B194</f>
        <v/>
      </c>
      <c r="D195" s="11" t="n">
        <v>24.125057</v>
      </c>
      <c r="E195" s="25">
        <f>Table134681112[[#This Row],[PMI]]-B183</f>
        <v/>
      </c>
      <c r="F195" s="56">
        <f>(Table134681112[[#This Row],[EWU]]-D183)/D183</f>
        <v/>
      </c>
    </row>
    <row r="196">
      <c r="A196" s="10" t="n">
        <v>44105</v>
      </c>
      <c r="B196" s="25" t="n">
        <v>53.7</v>
      </c>
      <c r="C196" s="25">
        <f>Table134681112[[#This Row],[PMI]]-B195</f>
        <v/>
      </c>
      <c r="D196" s="11" t="n">
        <v>23.036636</v>
      </c>
      <c r="E196" s="25">
        <f>Table134681112[[#This Row],[PMI]]-B184</f>
        <v/>
      </c>
      <c r="F196" s="56">
        <f>(Table134681112[[#This Row],[EWU]]-D184)/D184</f>
        <v/>
      </c>
    </row>
    <row r="197">
      <c r="A197" s="10" t="n">
        <v>44136</v>
      </c>
      <c r="B197" s="25" t="n">
        <v>55.6</v>
      </c>
      <c r="C197" s="25">
        <f>Table134681112[[#This Row],[PMI]]-B196</f>
        <v/>
      </c>
      <c r="D197" s="11" t="n">
        <v>26.746729</v>
      </c>
      <c r="E197" s="25">
        <f>Table134681112[[#This Row],[PMI]]-B185</f>
        <v/>
      </c>
      <c r="F197" s="56">
        <f>(Table134681112[[#This Row],[EWU]]-D185)/D185</f>
        <v/>
      </c>
    </row>
    <row r="198">
      <c r="A198" s="10" t="n">
        <v>44166</v>
      </c>
      <c r="B198" s="25" t="n">
        <v>57.5</v>
      </c>
      <c r="C198" s="25">
        <f>Table134681112[[#This Row],[PMI]]-B197</f>
        <v/>
      </c>
      <c r="D198" s="11" t="n">
        <v>27.721575</v>
      </c>
      <c r="E198" s="25">
        <f>Table134681112[[#This Row],[PMI]]-B186</f>
        <v/>
      </c>
      <c r="F198" s="56">
        <f>(Table134681112[[#This Row],[EWU]]-D186)/D186</f>
        <v/>
      </c>
    </row>
    <row r="199">
      <c r="A199" s="10" t="n">
        <v>44197</v>
      </c>
      <c r="B199" s="25" t="n">
        <v>54.1</v>
      </c>
      <c r="C199" s="25">
        <f>Table134681112[[#This Row],[PMI]]-B198</f>
        <v/>
      </c>
      <c r="D199" s="11" t="n">
        <v>27.971512</v>
      </c>
      <c r="E199" s="25">
        <f>Table134681112[[#This Row],[PMI]]-B187</f>
        <v/>
      </c>
      <c r="F199" s="56">
        <f>(Table134681112[[#This Row],[EWU]]-D187)/D187</f>
        <v/>
      </c>
    </row>
    <row r="200">
      <c r="A200" s="10" t="n">
        <v>44228</v>
      </c>
      <c r="B200" s="25" t="n">
        <v>55.1</v>
      </c>
      <c r="C200" s="25">
        <f>Table134681112[[#This Row],[PMI]]-B199</f>
        <v/>
      </c>
      <c r="D200" s="11" t="n">
        <v>29.072376</v>
      </c>
      <c r="E200" s="25">
        <f>Table134681112[[#This Row],[PMI]]-B188</f>
        <v/>
      </c>
      <c r="F200" s="56">
        <f>(Table134681112[[#This Row],[EWU]]-D188)/D188</f>
        <v/>
      </c>
    </row>
    <row r="201">
      <c r="A201" s="10" t="n">
        <v>44256</v>
      </c>
      <c r="B201" s="25" t="n">
        <v>58.9</v>
      </c>
      <c r="C201" s="25">
        <f>Table134681112[[#This Row],[PMI]]-B200</f>
        <v/>
      </c>
      <c r="D201" s="11" t="n">
        <v>29.972212</v>
      </c>
      <c r="E201" s="25">
        <f>Table134681112[[#This Row],[PMI]]-B189</f>
        <v/>
      </c>
      <c r="F201" s="56">
        <f>(Table134681112[[#This Row],[EWU]]-D189)/D189</f>
        <v/>
      </c>
    </row>
    <row r="202">
      <c r="A202" s="10" t="n">
        <v>44287</v>
      </c>
      <c r="B202" s="25" t="n">
        <v>60.9</v>
      </c>
      <c r="C202" s="25">
        <f>Table134681112[[#This Row],[PMI]]-B201</f>
        <v/>
      </c>
      <c r="D202" s="11" t="n">
        <v>31.140083</v>
      </c>
      <c r="E202" s="25">
        <f>Table134681112[[#This Row],[PMI]]-B190</f>
        <v/>
      </c>
      <c r="F202" s="56">
        <f>(Table134681112[[#This Row],[EWU]]-D190)/D190</f>
        <v/>
      </c>
    </row>
    <row r="203">
      <c r="A203" s="10" t="n">
        <v>44317</v>
      </c>
      <c r="B203" s="25" t="n">
        <v>65.59999999999999</v>
      </c>
      <c r="C203" s="25">
        <f>Table134681112[[#This Row],[PMI]]-B202</f>
        <v/>
      </c>
      <c r="D203" s="11" t="n">
        <v>32.346252</v>
      </c>
      <c r="E203" s="25">
        <f>Table134681112[[#This Row],[PMI]]-B191</f>
        <v/>
      </c>
      <c r="F203" s="56">
        <f>(Table134681112[[#This Row],[EWU]]-D191)/D191</f>
        <v/>
      </c>
    </row>
    <row r="204">
      <c r="A204" s="10" t="n">
        <v>44348</v>
      </c>
      <c r="B204" s="25" t="n">
        <v>63.9</v>
      </c>
      <c r="C204" s="25">
        <f>Table134681112[[#This Row],[PMI]]-B203</f>
        <v/>
      </c>
      <c r="D204" s="11" t="n">
        <v>31.302822</v>
      </c>
      <c r="E204" s="25">
        <f>Table134681112[[#This Row],[PMI]]-B192</f>
        <v/>
      </c>
      <c r="F204" s="56">
        <f>(Table134681112[[#This Row],[EWU]]-D192)/D192</f>
        <v/>
      </c>
    </row>
    <row r="205">
      <c r="A205" s="10" t="n">
        <v>44378</v>
      </c>
      <c r="B205" s="25" t="n">
        <v>60.4</v>
      </c>
      <c r="C205" s="25">
        <f>Table134681112[[#This Row],[PMI]]-B204</f>
        <v/>
      </c>
      <c r="D205" s="11" t="n">
        <v>31.921154</v>
      </c>
      <c r="E205" s="25">
        <f>Table134681112[[#This Row],[PMI]]-B193</f>
        <v/>
      </c>
      <c r="F205" s="56">
        <f>(Table134681112[[#This Row],[EWU]]-D193)/D193</f>
        <v/>
      </c>
    </row>
    <row r="206">
      <c r="A206" s="10" t="n">
        <v>44409</v>
      </c>
      <c r="B206" s="25" t="n">
        <v>60.3</v>
      </c>
      <c r="C206" s="25">
        <f>Table134681112[[#This Row],[PMI]]-B205</f>
        <v/>
      </c>
      <c r="D206" s="11" t="n">
        <v>32.135323</v>
      </c>
      <c r="E206" s="25">
        <f>Table134681112[[#This Row],[PMI]]-B194</f>
        <v/>
      </c>
      <c r="F206" s="56">
        <f>(Table134681112[[#This Row],[EWU]]-D194)/D194</f>
        <v/>
      </c>
    </row>
    <row r="207">
      <c r="A207" s="10" t="n">
        <v>44440</v>
      </c>
      <c r="B207" s="25" t="n">
        <v>57.1</v>
      </c>
      <c r="C207" s="25">
        <f>Table134681112[[#This Row],[PMI]]-B206</f>
        <v/>
      </c>
      <c r="D207" s="11" t="n">
        <v>31.395462</v>
      </c>
      <c r="E207" s="25">
        <f>Table134681112[[#This Row],[PMI]]-B195</f>
        <v/>
      </c>
      <c r="F207" s="56">
        <f>(Table134681112[[#This Row],[EWU]]-D195)/D195</f>
        <v/>
      </c>
    </row>
    <row r="208">
      <c r="A208" s="10" t="n">
        <v>44470</v>
      </c>
      <c r="B208" s="25" t="n">
        <v>57.8</v>
      </c>
      <c r="C208" s="25">
        <f>Table134681112[[#This Row],[PMI]]-B207</f>
        <v/>
      </c>
      <c r="D208" s="11" t="n">
        <v>32.787571</v>
      </c>
      <c r="E208" s="25">
        <f>Table134681112[[#This Row],[PMI]]-B196</f>
        <v/>
      </c>
      <c r="F208" s="56">
        <f>(Table134681112[[#This Row],[EWU]]-D196)/D196</f>
        <v/>
      </c>
    </row>
    <row r="209">
      <c r="A209" s="10" t="n">
        <v>44501</v>
      </c>
      <c r="B209" s="25" t="n">
        <v>58.1</v>
      </c>
      <c r="C209" s="25">
        <f>Table134681112[[#This Row],[PMI]]-B208</f>
        <v/>
      </c>
      <c r="D209" s="11" t="n">
        <v>31.191027</v>
      </c>
      <c r="E209" s="25">
        <f>Table134681112[[#This Row],[PMI]]-B197</f>
        <v/>
      </c>
      <c r="F209" s="56">
        <f>(Table134681112[[#This Row],[EWU]]-D197)/D197</f>
        <v/>
      </c>
    </row>
    <row r="210">
      <c r="A210" s="10" t="n">
        <v>44531</v>
      </c>
      <c r="B210" s="25" t="n">
        <v>57.9</v>
      </c>
      <c r="C210" s="25">
        <f>Table134681112[[#This Row],[PMI]]-B209</f>
        <v/>
      </c>
      <c r="D210" s="11" t="n">
        <v>32.261879</v>
      </c>
      <c r="E210" s="25">
        <f>Table134681112[[#This Row],[PMI]]-B198</f>
        <v/>
      </c>
      <c r="F210" s="56">
        <f>(Table134681112[[#This Row],[EWU]]-D198)/D198</f>
        <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6"/>
  <sheetViews>
    <sheetView zoomScale="160" zoomScaleNormal="160" workbookViewId="0">
      <pane ySplit="5" topLeftCell="A150" activePane="bottomLeft" state="frozen"/>
      <selection pane="bottomLeft" activeCell="A3" sqref="A3"/>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Italy</t>
        </is>
      </c>
      <c r="K1" s="84" t="inlineStr">
        <is>
          <t xml:space="preserve"> Manufacturing PMI</t>
        </is>
      </c>
    </row>
    <row r="2">
      <c r="A2" s="84" t="inlineStr">
        <is>
          <t>italy</t>
        </is>
      </c>
      <c r="K2" s="84">
        <f>A1&amp;K1</f>
        <v/>
      </c>
    </row>
    <row r="4" ht="16" customHeight="1" s="76" thickBot="1"/>
    <row r="5" ht="16" customHeight="1" s="76" thickBot="1">
      <c r="A5" s="22" t="inlineStr">
        <is>
          <t>Date</t>
        </is>
      </c>
      <c r="B5" s="23" t="inlineStr">
        <is>
          <t>PMI</t>
        </is>
      </c>
      <c r="C5" s="23" t="inlineStr">
        <is>
          <t>mom</t>
        </is>
      </c>
    </row>
    <row r="6">
      <c r="A6" s="18" t="n">
        <v>39052</v>
      </c>
      <c r="B6" s="19" t="n">
        <v>55</v>
      </c>
      <c r="C6" s="19" t="n"/>
    </row>
    <row r="7">
      <c r="A7" s="10" t="n">
        <v>39083</v>
      </c>
      <c r="B7" s="25" t="n">
        <v>53.5</v>
      </c>
      <c r="C7" s="25">
        <f>Table13468111214151617[[#This Row],[PMI]]-B6</f>
        <v/>
      </c>
    </row>
    <row r="8">
      <c r="A8" s="10" t="n">
        <v>39114</v>
      </c>
      <c r="B8" s="25" t="n">
        <v>54.2</v>
      </c>
      <c r="C8" s="25">
        <f>Table13468111214151617[[#This Row],[PMI]]-B7</f>
        <v/>
      </c>
    </row>
    <row r="9">
      <c r="A9" s="10" t="n">
        <v>39142</v>
      </c>
      <c r="B9" s="25" t="n">
        <v>53.8</v>
      </c>
      <c r="C9" s="25">
        <f>Table13468111214151617[[#This Row],[PMI]]-B8</f>
        <v/>
      </c>
    </row>
    <row r="10">
      <c r="A10" s="10" t="n">
        <v>39173</v>
      </c>
      <c r="B10" s="25" t="n">
        <v>53.9</v>
      </c>
      <c r="C10" s="25">
        <f>Table13468111214151617[[#This Row],[PMI]]-B9</f>
        <v/>
      </c>
    </row>
    <row r="11">
      <c r="A11" s="10" t="n">
        <v>39203</v>
      </c>
      <c r="B11" s="25" t="n">
        <v>55</v>
      </c>
      <c r="C11" s="25">
        <f>Table13468111214151617[[#This Row],[PMI]]-B10</f>
        <v/>
      </c>
    </row>
    <row r="12">
      <c r="A12" s="10" t="n">
        <v>39234</v>
      </c>
      <c r="B12" s="25" t="n">
        <v>54</v>
      </c>
      <c r="C12" s="25">
        <f>Table13468111214151617[[#This Row],[PMI]]-B11</f>
        <v/>
      </c>
    </row>
    <row r="13">
      <c r="A13" s="10" t="n">
        <v>39264</v>
      </c>
      <c r="B13" s="25" t="n">
        <v>53.3</v>
      </c>
      <c r="C13" s="25">
        <f>Table13468111214151617[[#This Row],[PMI]]-B12</f>
        <v/>
      </c>
    </row>
    <row r="14">
      <c r="A14" s="10" t="n">
        <v>39295</v>
      </c>
      <c r="B14" s="25" t="n">
        <v>53.6</v>
      </c>
      <c r="C14" s="25">
        <f>Table13468111214151617[[#This Row],[PMI]]-B13</f>
        <v/>
      </c>
    </row>
    <row r="15">
      <c r="A15" s="10" t="n">
        <v>39326</v>
      </c>
      <c r="B15" s="25" t="n">
        <v>52.4</v>
      </c>
      <c r="C15" s="25">
        <f>Table13468111214151617[[#This Row],[PMI]]-B14</f>
        <v/>
      </c>
    </row>
    <row r="16">
      <c r="A16" s="10" t="n">
        <v>39356</v>
      </c>
      <c r="B16" s="25" t="n">
        <v>51.3</v>
      </c>
      <c r="C16" s="25">
        <f>Table13468111214151617[[#This Row],[PMI]]-B15</f>
        <v/>
      </c>
    </row>
    <row r="17">
      <c r="A17" s="10" t="n">
        <v>39387</v>
      </c>
      <c r="B17" s="25" t="n">
        <v>51.3</v>
      </c>
      <c r="C17" s="25">
        <f>Table13468111214151617[[#This Row],[PMI]]-B16</f>
        <v/>
      </c>
    </row>
    <row r="18">
      <c r="A18" s="10" t="n">
        <v>39417</v>
      </c>
      <c r="B18" s="25" t="n">
        <v>50.7</v>
      </c>
      <c r="C18" s="25">
        <f>Table13468111214151617[[#This Row],[PMI]]-B17</f>
        <v/>
      </c>
    </row>
    <row r="19">
      <c r="A19" s="10" t="n">
        <v>39448</v>
      </c>
      <c r="B19" s="25" t="n">
        <v>50.8</v>
      </c>
      <c r="C19" s="25">
        <f>Table13468111214151617[[#This Row],[PMI]]-B18</f>
        <v/>
      </c>
    </row>
    <row r="20">
      <c r="A20" s="10" t="n">
        <v>39479</v>
      </c>
      <c r="B20" s="25" t="n">
        <v>50.6</v>
      </c>
      <c r="C20" s="25">
        <f>Table13468111214151617[[#This Row],[PMI]]-B19</f>
        <v/>
      </c>
    </row>
    <row r="21">
      <c r="A21" s="10" t="n">
        <v>39508</v>
      </c>
      <c r="B21" s="25" t="n">
        <v>49.4</v>
      </c>
      <c r="C21" s="25">
        <f>Table13468111214151617[[#This Row],[PMI]]-B20</f>
        <v/>
      </c>
    </row>
    <row r="22">
      <c r="A22" s="10" t="n">
        <v>39539</v>
      </c>
      <c r="B22" s="25" t="n">
        <v>48.2</v>
      </c>
      <c r="C22" s="25">
        <f>Table13468111214151617[[#This Row],[PMI]]-B21</f>
        <v/>
      </c>
    </row>
    <row r="23">
      <c r="A23" s="10" t="n">
        <v>39569</v>
      </c>
      <c r="B23" s="25" t="n">
        <v>48</v>
      </c>
      <c r="C23" s="25">
        <f>Table13468111214151617[[#This Row],[PMI]]-B22</f>
        <v/>
      </c>
    </row>
    <row r="24">
      <c r="A24" s="10" t="n">
        <v>39600</v>
      </c>
      <c r="B24" s="25" t="n">
        <v>46.9</v>
      </c>
      <c r="C24" s="25">
        <f>Table13468111214151617[[#This Row],[PMI]]-B23</f>
        <v/>
      </c>
    </row>
    <row r="25">
      <c r="A25" s="10" t="n">
        <v>39630</v>
      </c>
      <c r="B25" s="25" t="n">
        <v>45.3</v>
      </c>
      <c r="C25" s="25">
        <f>Table13468111214151617[[#This Row],[PMI]]-B24</f>
        <v/>
      </c>
    </row>
    <row r="26">
      <c r="A26" s="10" t="n">
        <v>39661</v>
      </c>
      <c r="B26" s="25" t="n">
        <v>47.1</v>
      </c>
      <c r="C26" s="25">
        <f>Table13468111214151617[[#This Row],[PMI]]-B25</f>
        <v/>
      </c>
    </row>
    <row r="27">
      <c r="A27" s="10" t="n">
        <v>39692</v>
      </c>
      <c r="B27" s="25" t="n">
        <v>44.4</v>
      </c>
      <c r="C27" s="25">
        <f>Table13468111214151617[[#This Row],[PMI]]-B26</f>
        <v/>
      </c>
    </row>
    <row r="28">
      <c r="A28" s="10" t="n">
        <v>39722</v>
      </c>
      <c r="B28" s="25" t="n">
        <v>39.7</v>
      </c>
      <c r="C28" s="25">
        <f>Table13468111214151617[[#This Row],[PMI]]-B27</f>
        <v/>
      </c>
    </row>
    <row r="29">
      <c r="A29" s="10" t="n">
        <v>39753</v>
      </c>
      <c r="B29" s="25" t="n">
        <v>34.9</v>
      </c>
      <c r="C29" s="25">
        <f>Table13468111214151617[[#This Row],[PMI]]-B28</f>
        <v/>
      </c>
    </row>
    <row r="30">
      <c r="A30" s="10" t="n">
        <v>39783</v>
      </c>
      <c r="B30" s="25" t="n">
        <v>35.5</v>
      </c>
      <c r="C30" s="25">
        <f>Table13468111214151617[[#This Row],[PMI]]-B29</f>
        <v/>
      </c>
    </row>
    <row r="31">
      <c r="A31" s="10" t="n">
        <v>39814</v>
      </c>
      <c r="B31" s="25" t="n">
        <v>36.1</v>
      </c>
      <c r="C31" s="25">
        <f>Table13468111214151617[[#This Row],[PMI]]-B30</f>
        <v/>
      </c>
    </row>
    <row r="32">
      <c r="A32" s="10" t="n">
        <v>39845</v>
      </c>
      <c r="B32" s="25" t="n">
        <v>35</v>
      </c>
      <c r="C32" s="25">
        <f>Table13468111214151617[[#This Row],[PMI]]-B31</f>
        <v/>
      </c>
    </row>
    <row r="33">
      <c r="A33" s="10" t="n">
        <v>39873</v>
      </c>
      <c r="B33" s="25" t="n">
        <v>34.6</v>
      </c>
      <c r="C33" s="25">
        <f>Table13468111214151617[[#This Row],[PMI]]-B32</f>
        <v/>
      </c>
    </row>
    <row r="34">
      <c r="A34" s="10" t="n">
        <v>39904</v>
      </c>
      <c r="B34" s="25" t="n">
        <v>37.2</v>
      </c>
      <c r="C34" s="25">
        <f>Table13468111214151617[[#This Row],[PMI]]-B33</f>
        <v/>
      </c>
    </row>
    <row r="35">
      <c r="A35" s="10" t="n">
        <v>39934</v>
      </c>
      <c r="B35" s="25" t="n">
        <v>41.1</v>
      </c>
      <c r="C35" s="25">
        <f>Table13468111214151617[[#This Row],[PMI]]-B34</f>
        <v/>
      </c>
    </row>
    <row r="36">
      <c r="A36" s="10" t="n">
        <v>39965</v>
      </c>
      <c r="B36" s="25" t="n">
        <v>42.7</v>
      </c>
      <c r="C36" s="25">
        <f>Table13468111214151617[[#This Row],[PMI]]-B35</f>
        <v/>
      </c>
    </row>
    <row r="37">
      <c r="A37" s="10" t="n">
        <v>39995</v>
      </c>
      <c r="B37" s="25" t="n">
        <v>45.4</v>
      </c>
      <c r="C37" s="25">
        <f>Table13468111214151617[[#This Row],[PMI]]-B36</f>
        <v/>
      </c>
    </row>
    <row r="38">
      <c r="A38" s="10" t="n">
        <v>40026</v>
      </c>
      <c r="B38" s="25" t="n">
        <v>44.2</v>
      </c>
      <c r="C38" s="25">
        <f>Table13468111214151617[[#This Row],[PMI]]-B37</f>
        <v/>
      </c>
    </row>
    <row r="39">
      <c r="A39" s="10" t="n">
        <v>40057</v>
      </c>
      <c r="B39" s="25" t="n">
        <v>47.6</v>
      </c>
      <c r="C39" s="25">
        <f>Table13468111214151617[[#This Row],[PMI]]-B38</f>
        <v/>
      </c>
    </row>
    <row r="40">
      <c r="A40" s="10" t="n">
        <v>40087</v>
      </c>
      <c r="B40" s="25" t="n">
        <v>49.2</v>
      </c>
      <c r="C40" s="25">
        <f>Table13468111214151617[[#This Row],[PMI]]-B39</f>
        <v/>
      </c>
    </row>
    <row r="41">
      <c r="A41" s="10" t="n">
        <v>40118</v>
      </c>
      <c r="B41" s="25" t="n">
        <v>50.1</v>
      </c>
      <c r="C41" s="25">
        <f>Table13468111214151617[[#This Row],[PMI]]-B40</f>
        <v/>
      </c>
    </row>
    <row r="42">
      <c r="A42" s="10" t="n">
        <v>40148</v>
      </c>
      <c r="B42" s="25" t="n">
        <v>50.8</v>
      </c>
      <c r="C42" s="25">
        <f>Table13468111214151617[[#This Row],[PMI]]-B41</f>
        <v/>
      </c>
    </row>
    <row r="43">
      <c r="A43" s="10" t="n">
        <v>40179</v>
      </c>
      <c r="B43" s="25" t="n">
        <v>51.7</v>
      </c>
      <c r="C43" s="25">
        <f>Table13468111214151617[[#This Row],[PMI]]-B42</f>
        <v/>
      </c>
    </row>
    <row r="44">
      <c r="A44" s="10" t="n">
        <v>40210</v>
      </c>
      <c r="B44" s="25" t="n">
        <v>51.6</v>
      </c>
      <c r="C44" s="25">
        <f>Table13468111214151617[[#This Row],[PMI]]-B43</f>
        <v/>
      </c>
    </row>
    <row r="45">
      <c r="A45" s="10" t="n">
        <v>40238</v>
      </c>
      <c r="B45" s="25" t="n">
        <v>53.7</v>
      </c>
      <c r="C45" s="25">
        <f>Table13468111214151617[[#This Row],[PMI]]-B44</f>
        <v/>
      </c>
    </row>
    <row r="46">
      <c r="A46" s="10" t="n">
        <v>40269</v>
      </c>
      <c r="B46" s="25" t="n">
        <v>54.3</v>
      </c>
      <c r="C46" s="25">
        <f>Table13468111214151617[[#This Row],[PMI]]-B45</f>
        <v/>
      </c>
    </row>
    <row r="47">
      <c r="A47" s="10" t="n">
        <v>40299</v>
      </c>
      <c r="B47" s="25" t="n">
        <v>54</v>
      </c>
      <c r="C47" s="25">
        <f>Table13468111214151617[[#This Row],[PMI]]-B46</f>
        <v/>
      </c>
    </row>
    <row r="48">
      <c r="A48" s="10" t="n">
        <v>40330</v>
      </c>
      <c r="B48" s="25" t="n">
        <v>54.3</v>
      </c>
      <c r="C48" s="25">
        <f>Table13468111214151617[[#This Row],[PMI]]-B47</f>
        <v/>
      </c>
    </row>
    <row r="49">
      <c r="A49" s="10" t="n">
        <v>40360</v>
      </c>
      <c r="B49" s="25" t="n">
        <v>54.4</v>
      </c>
      <c r="C49" s="25">
        <f>Table13468111214151617[[#This Row],[PMI]]-B48</f>
        <v/>
      </c>
    </row>
    <row r="50">
      <c r="A50" s="10" t="n">
        <v>40391</v>
      </c>
      <c r="B50" s="25" t="n">
        <v>52.8</v>
      </c>
      <c r="C50" s="25">
        <f>Table13468111214151617[[#This Row],[PMI]]-B49</f>
        <v/>
      </c>
    </row>
    <row r="51">
      <c r="A51" s="10" t="n">
        <v>40422</v>
      </c>
      <c r="B51" s="25" t="n">
        <v>52.6</v>
      </c>
      <c r="C51" s="25">
        <f>Table13468111214151617[[#This Row],[PMI]]-B50</f>
        <v/>
      </c>
    </row>
    <row r="52">
      <c r="A52" s="10" t="n">
        <v>40452</v>
      </c>
      <c r="B52" s="25" t="n">
        <v>53</v>
      </c>
      <c r="C52" s="25">
        <f>Table13468111214151617[[#This Row],[PMI]]-B51</f>
        <v/>
      </c>
    </row>
    <row r="53">
      <c r="A53" s="10" t="n">
        <v>40483</v>
      </c>
      <c r="B53" s="25" t="n">
        <v>52</v>
      </c>
      <c r="C53" s="25">
        <f>Table13468111214151617[[#This Row],[PMI]]-B52</f>
        <v/>
      </c>
    </row>
    <row r="54">
      <c r="A54" s="10" t="n">
        <v>40513</v>
      </c>
      <c r="B54" s="25" t="n">
        <v>54.7</v>
      </c>
      <c r="C54" s="25">
        <f>Table13468111214151617[[#This Row],[PMI]]-B53</f>
        <v/>
      </c>
    </row>
    <row r="55">
      <c r="A55" s="10" t="n">
        <v>40544</v>
      </c>
      <c r="B55" s="25" t="n">
        <v>56.6</v>
      </c>
      <c r="C55" s="25">
        <f>Table13468111214151617[[#This Row],[PMI]]-B54</f>
        <v/>
      </c>
    </row>
    <row r="56">
      <c r="A56" s="10" t="n">
        <v>40575</v>
      </c>
      <c r="B56" s="25" t="n">
        <v>59</v>
      </c>
      <c r="C56" s="25">
        <f>Table13468111214151617[[#This Row],[PMI]]-B55</f>
        <v/>
      </c>
    </row>
    <row r="57">
      <c r="A57" s="10" t="n">
        <v>40603</v>
      </c>
      <c r="B57" s="25" t="n">
        <v>56.2</v>
      </c>
      <c r="C57" s="25">
        <f>Table13468111214151617[[#This Row],[PMI]]-B56</f>
        <v/>
      </c>
    </row>
    <row r="58">
      <c r="A58" s="10" t="n">
        <v>40634</v>
      </c>
      <c r="B58" s="25" t="n">
        <v>55.5</v>
      </c>
      <c r="C58" s="25">
        <f>Table13468111214151617[[#This Row],[PMI]]-B57</f>
        <v/>
      </c>
    </row>
    <row r="59">
      <c r="A59" s="10" t="n">
        <v>40664</v>
      </c>
      <c r="B59" s="25" t="n">
        <v>52.8</v>
      </c>
      <c r="C59" s="25">
        <f>Table13468111214151617[[#This Row],[PMI]]-B58</f>
        <v/>
      </c>
    </row>
    <row r="60">
      <c r="A60" s="10" t="n">
        <v>40695</v>
      </c>
      <c r="B60" s="25" t="n">
        <v>49.9</v>
      </c>
      <c r="C60" s="25">
        <f>Table13468111214151617[[#This Row],[PMI]]-B59</f>
        <v/>
      </c>
    </row>
    <row r="61">
      <c r="A61" s="10" t="n">
        <v>40725</v>
      </c>
      <c r="B61" s="25" t="n">
        <v>50.1</v>
      </c>
      <c r="C61" s="25">
        <f>Table13468111214151617[[#This Row],[PMI]]-B60</f>
        <v/>
      </c>
    </row>
    <row r="62">
      <c r="A62" s="10" t="n">
        <v>40756</v>
      </c>
      <c r="B62" s="25" t="n">
        <v>47</v>
      </c>
      <c r="C62" s="25">
        <f>Table13468111214151617[[#This Row],[PMI]]-B61</f>
        <v/>
      </c>
    </row>
    <row r="63">
      <c r="A63" s="10" t="n">
        <v>40787</v>
      </c>
      <c r="B63" s="25" t="n">
        <v>48.3</v>
      </c>
      <c r="C63" s="25">
        <f>Table13468111214151617[[#This Row],[PMI]]-B62</f>
        <v/>
      </c>
    </row>
    <row r="64">
      <c r="A64" s="10" t="n">
        <v>40817</v>
      </c>
      <c r="B64" s="25" t="n">
        <v>43.3</v>
      </c>
      <c r="C64" s="25">
        <f>Table13468111214151617[[#This Row],[PMI]]-B63</f>
        <v/>
      </c>
    </row>
    <row r="65">
      <c r="A65" s="10" t="n">
        <v>40848</v>
      </c>
      <c r="B65" s="25" t="n">
        <v>44</v>
      </c>
      <c r="C65" s="25">
        <f>Table13468111214151617[[#This Row],[PMI]]-B64</f>
        <v/>
      </c>
    </row>
    <row r="66">
      <c r="A66" s="10" t="n">
        <v>40878</v>
      </c>
      <c r="B66" s="25" t="n">
        <v>44.3</v>
      </c>
      <c r="C66" s="25">
        <f>Table13468111214151617[[#This Row],[PMI]]-B65</f>
        <v/>
      </c>
    </row>
    <row r="67">
      <c r="A67" s="10" t="n">
        <v>40909</v>
      </c>
      <c r="B67" s="25" t="n">
        <v>46.8</v>
      </c>
      <c r="C67" s="25">
        <f>Table13468111214151617[[#This Row],[PMI]]-B66</f>
        <v/>
      </c>
    </row>
    <row r="68">
      <c r="A68" s="10" t="n">
        <v>40940</v>
      </c>
      <c r="B68" s="25" t="n">
        <v>47.8</v>
      </c>
      <c r="C68" s="25">
        <f>Table13468111214151617[[#This Row],[PMI]]-B67</f>
        <v/>
      </c>
    </row>
    <row r="69">
      <c r="A69" s="10" t="n">
        <v>40969</v>
      </c>
      <c r="B69" s="25" t="n">
        <v>47.9</v>
      </c>
      <c r="C69" s="25">
        <f>Table13468111214151617[[#This Row],[PMI]]-B68</f>
        <v/>
      </c>
    </row>
    <row r="70">
      <c r="A70" s="10" t="n">
        <v>41000</v>
      </c>
      <c r="B70" s="25" t="n">
        <v>43.8</v>
      </c>
      <c r="C70" s="25">
        <f>Table13468111214151617[[#This Row],[PMI]]-B69</f>
        <v/>
      </c>
    </row>
    <row r="71">
      <c r="A71" s="10" t="n">
        <v>41030</v>
      </c>
      <c r="B71" s="25" t="n">
        <v>44.8</v>
      </c>
      <c r="C71" s="25">
        <f>Table13468111214151617[[#This Row],[PMI]]-B70</f>
        <v/>
      </c>
    </row>
    <row r="72">
      <c r="A72" s="10" t="n">
        <v>41061</v>
      </c>
      <c r="B72" s="25" t="n">
        <v>44.6</v>
      </c>
      <c r="C72" s="25">
        <f>Table13468111214151617[[#This Row],[PMI]]-B71</f>
        <v/>
      </c>
    </row>
    <row r="73">
      <c r="A73" s="10" t="n">
        <v>41091</v>
      </c>
      <c r="B73" s="25" t="n">
        <v>44.3</v>
      </c>
      <c r="C73" s="25">
        <f>Table13468111214151617[[#This Row],[PMI]]-B72</f>
        <v/>
      </c>
    </row>
    <row r="74">
      <c r="A74" s="10" t="n">
        <v>41122</v>
      </c>
      <c r="B74" s="25" t="n">
        <v>43.6</v>
      </c>
      <c r="C74" s="25">
        <f>Table13468111214151617[[#This Row],[PMI]]-B73</f>
        <v/>
      </c>
    </row>
    <row r="75">
      <c r="A75" s="10" t="n">
        <v>41153</v>
      </c>
      <c r="B75" s="25" t="n">
        <v>45.7</v>
      </c>
      <c r="C75" s="25">
        <f>Table13468111214151617[[#This Row],[PMI]]-B74</f>
        <v/>
      </c>
    </row>
    <row r="76">
      <c r="A76" s="10" t="n">
        <v>41183</v>
      </c>
      <c r="B76" s="25" t="n">
        <v>45.5</v>
      </c>
      <c r="C76" s="25">
        <f>Table13468111214151617[[#This Row],[PMI]]-B75</f>
        <v/>
      </c>
    </row>
    <row r="77">
      <c r="A77" s="10" t="n">
        <v>41214</v>
      </c>
      <c r="B77" s="25" t="n">
        <v>45.1</v>
      </c>
      <c r="C77" s="25">
        <f>Table13468111214151617[[#This Row],[PMI]]-B76</f>
        <v/>
      </c>
    </row>
    <row r="78">
      <c r="A78" s="10" t="n">
        <v>41244</v>
      </c>
      <c r="B78" s="25" t="n">
        <v>46.7</v>
      </c>
      <c r="C78" s="25">
        <f>Table13468111214151617[[#This Row],[PMI]]-B77</f>
        <v/>
      </c>
    </row>
    <row r="79">
      <c r="A79" s="10" t="n">
        <v>41275</v>
      </c>
      <c r="B79" s="25" t="n">
        <v>47.8</v>
      </c>
      <c r="C79" s="25">
        <f>Table13468111214151617[[#This Row],[PMI]]-B78</f>
        <v/>
      </c>
    </row>
    <row r="80">
      <c r="A80" s="10" t="n">
        <v>41306</v>
      </c>
      <c r="B80" s="25" t="n">
        <v>45.8</v>
      </c>
      <c r="C80" s="25">
        <f>Table13468111214151617[[#This Row],[PMI]]-B79</f>
        <v/>
      </c>
    </row>
    <row r="81">
      <c r="A81" s="10" t="n">
        <v>41334</v>
      </c>
      <c r="B81" s="25" t="n">
        <v>44.5</v>
      </c>
      <c r="C81" s="25">
        <f>Table13468111214151617[[#This Row],[PMI]]-B80</f>
        <v/>
      </c>
    </row>
    <row r="82">
      <c r="A82" s="10" t="n">
        <v>41365</v>
      </c>
      <c r="B82" s="25" t="n">
        <v>45.5</v>
      </c>
      <c r="C82" s="25">
        <f>Table13468111214151617[[#This Row],[PMI]]-B81</f>
        <v/>
      </c>
    </row>
    <row r="83">
      <c r="A83" s="10" t="n">
        <v>41395</v>
      </c>
      <c r="B83" s="25" t="n">
        <v>47.3</v>
      </c>
      <c r="C83" s="25">
        <f>Table13468111214151617[[#This Row],[PMI]]-B82</f>
        <v/>
      </c>
    </row>
    <row r="84">
      <c r="A84" s="10" t="n">
        <v>41426</v>
      </c>
      <c r="B84" s="25" t="n">
        <v>49.1</v>
      </c>
      <c r="C84" s="25">
        <f>Table13468111214151617[[#This Row],[PMI]]-B83</f>
        <v/>
      </c>
    </row>
    <row r="85">
      <c r="A85" s="10" t="n">
        <v>41456</v>
      </c>
      <c r="B85" s="25" t="n">
        <v>50.4</v>
      </c>
      <c r="C85" s="25">
        <f>Table13468111214151617[[#This Row],[PMI]]-B84</f>
        <v/>
      </c>
    </row>
    <row r="86">
      <c r="A86" s="10" t="n">
        <v>41487</v>
      </c>
      <c r="B86" s="25" t="n">
        <v>51.3</v>
      </c>
      <c r="C86" s="25">
        <f>Table13468111214151617[[#This Row],[PMI]]-B85</f>
        <v/>
      </c>
    </row>
    <row r="87">
      <c r="A87" s="10" t="n">
        <v>41518</v>
      </c>
      <c r="B87" s="25" t="n">
        <v>50.8</v>
      </c>
      <c r="C87" s="25">
        <f>Table13468111214151617[[#This Row],[PMI]]-B86</f>
        <v/>
      </c>
    </row>
    <row r="88">
      <c r="A88" s="10" t="n">
        <v>41548</v>
      </c>
      <c r="B88" s="25" t="n">
        <v>50.7</v>
      </c>
      <c r="C88" s="25">
        <f>Table13468111214151617[[#This Row],[PMI]]-B87</f>
        <v/>
      </c>
    </row>
    <row r="89">
      <c r="A89" s="10" t="n">
        <v>41579</v>
      </c>
      <c r="B89" s="25" t="n">
        <v>51.4</v>
      </c>
      <c r="C89" s="25">
        <f>Table13468111214151617[[#This Row],[PMI]]-B88</f>
        <v/>
      </c>
    </row>
    <row r="90">
      <c r="A90" s="10" t="n">
        <v>41609</v>
      </c>
      <c r="B90" s="25" t="n">
        <v>53.3</v>
      </c>
      <c r="C90" s="25">
        <f>Table13468111214151617[[#This Row],[PMI]]-B89</f>
        <v/>
      </c>
    </row>
    <row r="91">
      <c r="A91" s="10" t="n">
        <v>41640</v>
      </c>
      <c r="B91" s="25" t="n">
        <v>53.1</v>
      </c>
      <c r="C91" s="25">
        <f>Table13468111214151617[[#This Row],[PMI]]-B90</f>
        <v/>
      </c>
    </row>
    <row r="92">
      <c r="A92" s="10" t="n">
        <v>41671</v>
      </c>
      <c r="B92" s="25" t="n">
        <v>52.3</v>
      </c>
      <c r="C92" s="25">
        <f>Table13468111214151617[[#This Row],[PMI]]-B91</f>
        <v/>
      </c>
    </row>
    <row r="93">
      <c r="A93" s="10" t="n">
        <v>41699</v>
      </c>
      <c r="B93" s="25" t="n">
        <v>52.4</v>
      </c>
      <c r="C93" s="25">
        <f>Table13468111214151617[[#This Row],[PMI]]-B92</f>
        <v/>
      </c>
    </row>
    <row r="94">
      <c r="A94" s="10" t="n">
        <v>41730</v>
      </c>
      <c r="B94" s="25" t="n">
        <v>54</v>
      </c>
      <c r="C94" s="25">
        <f>Table13468111214151617[[#This Row],[PMI]]-B93</f>
        <v/>
      </c>
    </row>
    <row r="95">
      <c r="A95" s="10" t="n">
        <v>41760</v>
      </c>
      <c r="B95" s="25" t="n">
        <v>53.2</v>
      </c>
      <c r="C95" s="25">
        <f>Table13468111214151617[[#This Row],[PMI]]-B94</f>
        <v/>
      </c>
    </row>
    <row r="96">
      <c r="A96" s="10" t="n">
        <v>41791</v>
      </c>
      <c r="B96" s="25" t="n">
        <v>52.6</v>
      </c>
      <c r="C96" s="25">
        <f>Table13468111214151617[[#This Row],[PMI]]-B95</f>
        <v/>
      </c>
    </row>
    <row r="97">
      <c r="A97" s="10" t="n">
        <v>41821</v>
      </c>
      <c r="B97" s="25" t="n">
        <v>51.9</v>
      </c>
      <c r="C97" s="25">
        <f>Table13468111214151617[[#This Row],[PMI]]-B96</f>
        <v/>
      </c>
    </row>
    <row r="98">
      <c r="A98" s="10" t="n">
        <v>41852</v>
      </c>
      <c r="B98" s="25" t="n">
        <v>49.8</v>
      </c>
      <c r="C98" s="25">
        <f>Table13468111214151617[[#This Row],[PMI]]-B97</f>
        <v/>
      </c>
    </row>
    <row r="99">
      <c r="A99" s="10" t="n">
        <v>41883</v>
      </c>
      <c r="B99" s="25" t="n">
        <v>50.7</v>
      </c>
      <c r="C99" s="25">
        <f>Table13468111214151617[[#This Row],[PMI]]-B98</f>
        <v/>
      </c>
    </row>
    <row r="100">
      <c r="A100" s="10" t="n">
        <v>41913</v>
      </c>
      <c r="B100" s="25" t="n">
        <v>49</v>
      </c>
      <c r="C100" s="25">
        <f>Table13468111214151617[[#This Row],[PMI]]-B99</f>
        <v/>
      </c>
    </row>
    <row r="101">
      <c r="A101" s="10" t="n">
        <v>41944</v>
      </c>
      <c r="B101" s="25" t="n">
        <v>49</v>
      </c>
      <c r="C101" s="25">
        <f>Table13468111214151617[[#This Row],[PMI]]-B100</f>
        <v/>
      </c>
    </row>
    <row r="102">
      <c r="A102" s="10" t="n">
        <v>41974</v>
      </c>
      <c r="B102" s="25" t="n">
        <v>48.4</v>
      </c>
      <c r="C102" s="25">
        <f>Table13468111214151617[[#This Row],[PMI]]-B101</f>
        <v/>
      </c>
    </row>
    <row r="103">
      <c r="A103" s="10" t="n">
        <v>42005</v>
      </c>
      <c r="B103" s="25" t="n">
        <v>49.9</v>
      </c>
      <c r="C103" s="25">
        <f>Table13468111214151617[[#This Row],[PMI]]-B102</f>
        <v/>
      </c>
    </row>
    <row r="104">
      <c r="A104" s="10" t="n">
        <v>42036</v>
      </c>
      <c r="B104" s="25" t="n">
        <v>51.9</v>
      </c>
      <c r="C104" s="25">
        <f>Table13468111214151617[[#This Row],[PMI]]-B103</f>
        <v/>
      </c>
    </row>
    <row r="105">
      <c r="A105" s="10" t="n">
        <v>42064</v>
      </c>
      <c r="B105" s="25" t="n">
        <v>53.3</v>
      </c>
      <c r="C105" s="25">
        <f>Table13468111214151617[[#This Row],[PMI]]-B104</f>
        <v/>
      </c>
    </row>
    <row r="106">
      <c r="A106" s="10" t="n">
        <v>42095</v>
      </c>
      <c r="B106" s="25" t="n">
        <v>53.8</v>
      </c>
      <c r="C106" s="25">
        <f>Table13468111214151617[[#This Row],[PMI]]-B105</f>
        <v/>
      </c>
    </row>
    <row r="107">
      <c r="A107" s="10" t="n">
        <v>42125</v>
      </c>
      <c r="B107" s="25" t="n">
        <v>54.8</v>
      </c>
      <c r="C107" s="25">
        <f>Table13468111214151617[[#This Row],[PMI]]-B106</f>
        <v/>
      </c>
    </row>
    <row r="108">
      <c r="A108" s="10" t="n">
        <v>42156</v>
      </c>
      <c r="B108" s="25" t="n">
        <v>54.1</v>
      </c>
      <c r="C108" s="25">
        <f>Table13468111214151617[[#This Row],[PMI]]-B107</f>
        <v/>
      </c>
    </row>
    <row r="109">
      <c r="A109" s="10" t="n">
        <v>42186</v>
      </c>
      <c r="B109" s="25" t="n">
        <v>55.3</v>
      </c>
      <c r="C109" s="25">
        <f>Table13468111214151617[[#This Row],[PMI]]-B108</f>
        <v/>
      </c>
    </row>
    <row r="110">
      <c r="A110" s="10" t="n">
        <v>42217</v>
      </c>
      <c r="B110" s="25" t="n">
        <v>53.8</v>
      </c>
      <c r="C110" s="25">
        <f>Table13468111214151617[[#This Row],[PMI]]-B109</f>
        <v/>
      </c>
    </row>
    <row r="111">
      <c r="A111" s="10" t="n">
        <v>42248</v>
      </c>
      <c r="B111" s="25" t="n">
        <v>52.7</v>
      </c>
      <c r="C111" s="25">
        <f>Table13468111214151617[[#This Row],[PMI]]-B110</f>
        <v/>
      </c>
    </row>
    <row r="112">
      <c r="A112" s="10" t="n">
        <v>42278</v>
      </c>
      <c r="B112" s="25" t="n">
        <v>54.1</v>
      </c>
      <c r="C112" s="25">
        <f>Table13468111214151617[[#This Row],[PMI]]-B111</f>
        <v/>
      </c>
    </row>
    <row r="113">
      <c r="A113" s="10" t="n">
        <v>42309</v>
      </c>
      <c r="B113" s="25" t="n">
        <v>54.9</v>
      </c>
      <c r="C113" s="25">
        <f>Table13468111214151617[[#This Row],[PMI]]-B112</f>
        <v/>
      </c>
    </row>
    <row r="114">
      <c r="A114" s="10" t="n">
        <v>42339</v>
      </c>
      <c r="B114" s="25" t="n">
        <v>55.6</v>
      </c>
      <c r="C114" s="25">
        <f>Table13468111214151617[[#This Row],[PMI]]-B113</f>
        <v/>
      </c>
    </row>
    <row r="115">
      <c r="A115" s="10" t="n">
        <v>42370</v>
      </c>
      <c r="B115" s="25" t="n">
        <v>53.2</v>
      </c>
      <c r="C115" s="25">
        <f>Table13468111214151617[[#This Row],[PMI]]-B114</f>
        <v/>
      </c>
    </row>
    <row r="116">
      <c r="A116" s="10" t="n">
        <v>42401</v>
      </c>
      <c r="B116" s="25" t="n">
        <v>52.2</v>
      </c>
      <c r="C116" s="25">
        <f>Table13468111214151617[[#This Row],[PMI]]-B115</f>
        <v/>
      </c>
    </row>
    <row r="117">
      <c r="A117" s="10" t="n">
        <v>42430</v>
      </c>
      <c r="B117" s="25" t="n">
        <v>53.5</v>
      </c>
      <c r="C117" s="25">
        <f>Table13468111214151617[[#This Row],[PMI]]-B116</f>
        <v/>
      </c>
    </row>
    <row r="118">
      <c r="A118" s="10" t="n">
        <v>42461</v>
      </c>
      <c r="B118" s="25" t="n">
        <v>53.9</v>
      </c>
      <c r="C118" s="25">
        <f>Table13468111214151617[[#This Row],[PMI]]-B117</f>
        <v/>
      </c>
    </row>
    <row r="119">
      <c r="A119" s="10" t="n">
        <v>42491</v>
      </c>
      <c r="B119" s="25" t="n">
        <v>52.4</v>
      </c>
      <c r="C119" s="25">
        <f>Table13468111214151617[[#This Row],[PMI]]-B118</f>
        <v/>
      </c>
    </row>
    <row r="120">
      <c r="A120" s="10" t="n">
        <v>42522</v>
      </c>
      <c r="B120" s="25" t="n">
        <v>53.5</v>
      </c>
      <c r="C120" s="25">
        <f>Table13468111214151617[[#This Row],[PMI]]-B119</f>
        <v/>
      </c>
    </row>
    <row r="121">
      <c r="A121" s="10" t="n">
        <v>42552</v>
      </c>
      <c r="B121" s="25" t="n">
        <v>51.2</v>
      </c>
      <c r="C121" s="25">
        <f>Table13468111214151617[[#This Row],[PMI]]-B120</f>
        <v/>
      </c>
    </row>
    <row r="122">
      <c r="A122" s="10" t="n">
        <v>42583</v>
      </c>
      <c r="B122" s="25" t="n">
        <v>49.8</v>
      </c>
      <c r="C122" s="25">
        <f>Table13468111214151617[[#This Row],[PMI]]-B121</f>
        <v/>
      </c>
    </row>
    <row r="123">
      <c r="A123" s="10" t="n">
        <v>42614</v>
      </c>
      <c r="B123" s="25" t="n">
        <v>51</v>
      </c>
      <c r="C123" s="25">
        <f>Table13468111214151617[[#This Row],[PMI]]-B122</f>
        <v/>
      </c>
    </row>
    <row r="124">
      <c r="A124" s="10" t="n">
        <v>42644</v>
      </c>
      <c r="B124" s="25" t="n">
        <v>50.9</v>
      </c>
      <c r="C124" s="25">
        <f>Table13468111214151617[[#This Row],[PMI]]-B123</f>
        <v/>
      </c>
    </row>
    <row r="125">
      <c r="A125" s="10" t="n">
        <v>42675</v>
      </c>
      <c r="B125" s="25" t="n">
        <v>52.2</v>
      </c>
      <c r="C125" s="25">
        <f>Table13468111214151617[[#This Row],[PMI]]-B124</f>
        <v/>
      </c>
    </row>
    <row r="126">
      <c r="A126" s="10" t="n">
        <v>42705</v>
      </c>
      <c r="B126" s="25" t="n">
        <v>53.2</v>
      </c>
      <c r="C126" s="25">
        <f>Table13468111214151617[[#This Row],[PMI]]-B125</f>
        <v/>
      </c>
    </row>
    <row r="127">
      <c r="A127" s="10" t="n">
        <v>42736</v>
      </c>
      <c r="B127" s="25" t="n">
        <v>53</v>
      </c>
      <c r="C127" s="25">
        <f>Table13468111214151617[[#This Row],[PMI]]-B126</f>
        <v/>
      </c>
    </row>
    <row r="128">
      <c r="A128" s="10" t="n">
        <v>42767</v>
      </c>
      <c r="B128" s="25" t="n">
        <v>55</v>
      </c>
      <c r="C128" s="25">
        <f>Table13468111214151617[[#This Row],[PMI]]-B127</f>
        <v/>
      </c>
    </row>
    <row r="129">
      <c r="A129" s="10" t="n">
        <v>42795</v>
      </c>
      <c r="B129" s="25" t="n">
        <v>55.7</v>
      </c>
      <c r="C129" s="25">
        <f>Table13468111214151617[[#This Row],[PMI]]-B128</f>
        <v/>
      </c>
    </row>
    <row r="130">
      <c r="A130" s="10" t="n">
        <v>42826</v>
      </c>
      <c r="B130" s="25" t="n">
        <v>56.2</v>
      </c>
      <c r="C130" s="25">
        <f>Table13468111214151617[[#This Row],[PMI]]-B129</f>
        <v/>
      </c>
    </row>
    <row r="131">
      <c r="A131" s="10" t="n">
        <v>42856</v>
      </c>
      <c r="B131" s="25" t="n">
        <v>55.1</v>
      </c>
      <c r="C131" s="25">
        <f>Table13468111214151617[[#This Row],[PMI]]-B130</f>
        <v/>
      </c>
    </row>
    <row r="132">
      <c r="A132" s="10" t="n">
        <v>42887</v>
      </c>
      <c r="B132" s="25" t="n">
        <v>55.2</v>
      </c>
      <c r="C132" s="25">
        <f>Table13468111214151617[[#This Row],[PMI]]-B131</f>
        <v/>
      </c>
    </row>
    <row r="133">
      <c r="A133" s="10" t="n">
        <v>42917</v>
      </c>
      <c r="B133" s="25" t="n">
        <v>55.1</v>
      </c>
      <c r="C133" s="25">
        <f>Table13468111214151617[[#This Row],[PMI]]-B132</f>
        <v/>
      </c>
    </row>
    <row r="134">
      <c r="A134" s="10" t="n">
        <v>42948</v>
      </c>
      <c r="B134" s="25" t="n">
        <v>56.3</v>
      </c>
      <c r="C134" s="25">
        <f>Table13468111214151617[[#This Row],[PMI]]-B133</f>
        <v/>
      </c>
    </row>
    <row r="135">
      <c r="A135" s="10" t="n">
        <v>42979</v>
      </c>
      <c r="B135" s="25" t="n">
        <v>56.3</v>
      </c>
      <c r="C135" s="25">
        <f>Table13468111214151617[[#This Row],[PMI]]-B134</f>
        <v/>
      </c>
    </row>
    <row r="136">
      <c r="A136" s="10" t="n">
        <v>43009</v>
      </c>
      <c r="B136" s="25" t="n">
        <v>57.8</v>
      </c>
      <c r="C136" s="25">
        <f>Table13468111214151617[[#This Row],[PMI]]-B135</f>
        <v/>
      </c>
    </row>
    <row r="137">
      <c r="A137" s="10" t="n">
        <v>43040</v>
      </c>
      <c r="B137" s="25" t="n">
        <v>58.3</v>
      </c>
      <c r="C137" s="25">
        <f>Table13468111214151617[[#This Row],[PMI]]-B136</f>
        <v/>
      </c>
    </row>
    <row r="138">
      <c r="A138" s="10" t="n">
        <v>43070</v>
      </c>
      <c r="B138" s="25" t="n">
        <v>57.4</v>
      </c>
      <c r="C138" s="25">
        <f>Table13468111214151617[[#This Row],[PMI]]-B137</f>
        <v/>
      </c>
    </row>
    <row r="139">
      <c r="A139" s="10" t="n">
        <v>43101</v>
      </c>
      <c r="B139" s="25" t="n">
        <v>59</v>
      </c>
      <c r="C139" s="25">
        <f>Table13468111214151617[[#This Row],[PMI]]-B138</f>
        <v/>
      </c>
    </row>
    <row r="140">
      <c r="A140" s="10" t="n">
        <v>43132</v>
      </c>
      <c r="B140" s="25" t="n">
        <v>56.8</v>
      </c>
      <c r="C140" s="25">
        <f>Table13468111214151617[[#This Row],[PMI]]-B139</f>
        <v/>
      </c>
    </row>
    <row r="141">
      <c r="A141" s="10" t="n">
        <v>43160</v>
      </c>
      <c r="B141" s="25" t="n">
        <v>55.1</v>
      </c>
      <c r="C141" s="25">
        <f>Table13468111214151617[[#This Row],[PMI]]-B140</f>
        <v/>
      </c>
    </row>
    <row r="142">
      <c r="A142" s="10" t="n">
        <v>43191</v>
      </c>
      <c r="B142" s="25" t="n">
        <v>53.5</v>
      </c>
      <c r="C142" s="25">
        <f>Table13468111214151617[[#This Row],[PMI]]-B141</f>
        <v/>
      </c>
    </row>
    <row r="143">
      <c r="A143" s="10" t="n">
        <v>43221</v>
      </c>
      <c r="B143" s="25" t="n">
        <v>52.7</v>
      </c>
      <c r="C143" s="25">
        <f>Table13468111214151617[[#This Row],[PMI]]-B142</f>
        <v/>
      </c>
    </row>
    <row r="144">
      <c r="A144" s="10" t="n">
        <v>43252</v>
      </c>
      <c r="B144" s="25" t="n">
        <v>53.3</v>
      </c>
      <c r="C144" s="25">
        <f>Table13468111214151617[[#This Row],[PMI]]-B143</f>
        <v/>
      </c>
    </row>
    <row r="145">
      <c r="A145" s="10" t="n">
        <v>43282</v>
      </c>
      <c r="B145" s="25" t="n">
        <v>51.5</v>
      </c>
      <c r="C145" s="25">
        <f>Table13468111214151617[[#This Row],[PMI]]-B144</f>
        <v/>
      </c>
    </row>
    <row r="146">
      <c r="A146" s="10" t="n">
        <v>43313</v>
      </c>
      <c r="B146" s="25" t="n">
        <v>50.1</v>
      </c>
      <c r="C146" s="25">
        <f>Table13468111214151617[[#This Row],[PMI]]-B145</f>
        <v/>
      </c>
    </row>
    <row r="147">
      <c r="A147" s="10" t="n">
        <v>43344</v>
      </c>
      <c r="B147" s="25" t="n">
        <v>50</v>
      </c>
      <c r="C147" s="25">
        <f>Table13468111214151617[[#This Row],[PMI]]-B146</f>
        <v/>
      </c>
    </row>
    <row r="148">
      <c r="A148" s="10" t="n">
        <v>43374</v>
      </c>
      <c r="B148" s="25" t="n">
        <v>49.2</v>
      </c>
      <c r="C148" s="25">
        <f>Table13468111214151617[[#This Row],[PMI]]-B147</f>
        <v/>
      </c>
    </row>
    <row r="149">
      <c r="A149" s="10" t="n">
        <v>43405</v>
      </c>
      <c r="B149" s="25" t="n">
        <v>48.6</v>
      </c>
      <c r="C149" s="25">
        <f>Table13468111214151617[[#This Row],[PMI]]-B148</f>
        <v/>
      </c>
    </row>
    <row r="150">
      <c r="A150" s="10" t="n">
        <v>43435</v>
      </c>
      <c r="B150" s="25" t="n">
        <v>49.2</v>
      </c>
      <c r="C150" s="25">
        <f>Table13468111214151617[[#This Row],[PMI]]-B149</f>
        <v/>
      </c>
    </row>
    <row r="151">
      <c r="A151" s="10" t="n">
        <v>43466</v>
      </c>
      <c r="B151" s="25" t="n">
        <v>47.8</v>
      </c>
      <c r="C151" s="25">
        <f>Table13468111214151617[[#This Row],[PMI]]-B150</f>
        <v/>
      </c>
    </row>
    <row r="152">
      <c r="A152" s="10" t="n">
        <v>43497</v>
      </c>
      <c r="B152" s="25" t="n">
        <v>47.7</v>
      </c>
      <c r="C152" s="25">
        <f>Table13468111214151617[[#This Row],[PMI]]-B151</f>
        <v/>
      </c>
    </row>
    <row r="153">
      <c r="A153" s="10" t="n">
        <v>43525</v>
      </c>
      <c r="B153" s="25" t="n">
        <v>47.4</v>
      </c>
      <c r="C153" s="25">
        <f>Table13468111214151617[[#This Row],[PMI]]-B152</f>
        <v/>
      </c>
    </row>
    <row r="154">
      <c r="A154" s="10" t="n">
        <v>43556</v>
      </c>
      <c r="B154" s="25" t="n">
        <v>49.1</v>
      </c>
      <c r="C154" s="25">
        <f>Table13468111214151617[[#This Row],[PMI]]-B153</f>
        <v/>
      </c>
    </row>
    <row r="155">
      <c r="A155" s="10" t="n">
        <v>43586</v>
      </c>
      <c r="B155" s="25" t="n">
        <v>49.7</v>
      </c>
      <c r="C155" s="25">
        <f>Table13468111214151617[[#This Row],[PMI]]-B154</f>
        <v/>
      </c>
    </row>
    <row r="156">
      <c r="A156" s="10" t="n">
        <v>43617</v>
      </c>
      <c r="B156" s="25" t="n">
        <v>48.4</v>
      </c>
      <c r="C156" s="25">
        <f>Table13468111214151617[[#This Row],[PMI]]-B155</f>
        <v/>
      </c>
    </row>
    <row r="157">
      <c r="A157" s="10" t="n">
        <v>43647</v>
      </c>
      <c r="B157" s="25" t="n">
        <v>48.5</v>
      </c>
      <c r="C157" s="25">
        <f>Table13468111214151617[[#This Row],[PMI]]-B156</f>
        <v/>
      </c>
    </row>
    <row r="158">
      <c r="A158" s="10" t="n">
        <v>43678</v>
      </c>
      <c r="B158" s="25" t="n">
        <v>48.7</v>
      </c>
      <c r="C158" s="25">
        <f>Table13468111214151617[[#This Row],[PMI]]-B157</f>
        <v/>
      </c>
    </row>
    <row r="159">
      <c r="A159" s="10" t="n">
        <v>43709</v>
      </c>
      <c r="B159" s="25" t="n">
        <v>47.8</v>
      </c>
      <c r="C159" s="25">
        <f>Table13468111214151617[[#This Row],[PMI]]-B158</f>
        <v/>
      </c>
    </row>
    <row r="160">
      <c r="A160" s="10" t="n">
        <v>43739</v>
      </c>
      <c r="B160" s="25" t="n">
        <v>47.7</v>
      </c>
      <c r="C160" s="25">
        <f>Table13468111214151617[[#This Row],[PMI]]-B159</f>
        <v/>
      </c>
    </row>
    <row r="161">
      <c r="A161" s="10" t="n">
        <v>43770</v>
      </c>
      <c r="B161" s="25" t="n">
        <v>47.6</v>
      </c>
      <c r="C161" s="25">
        <f>Table13468111214151617[[#This Row],[PMI]]-B160</f>
        <v/>
      </c>
    </row>
    <row r="162">
      <c r="A162" s="10" t="n">
        <v>43800</v>
      </c>
      <c r="B162" s="25" t="n">
        <v>46.2</v>
      </c>
      <c r="C162" s="25">
        <f>Table13468111214151617[[#This Row],[PMI]]-B161</f>
        <v/>
      </c>
    </row>
    <row r="163">
      <c r="A163" s="10" t="n">
        <v>43831</v>
      </c>
      <c r="B163" s="25" t="n">
        <v>48.9</v>
      </c>
      <c r="C163" s="25">
        <f>Table13468111214151617[[#This Row],[PMI]]-B162</f>
        <v/>
      </c>
    </row>
    <row r="164">
      <c r="A164" s="10" t="n">
        <v>43862</v>
      </c>
      <c r="B164" s="25" t="n">
        <v>48.7</v>
      </c>
      <c r="C164" s="25">
        <f>Table13468111214151617[[#This Row],[PMI]]-B163</f>
        <v/>
      </c>
    </row>
    <row r="165">
      <c r="A165" s="10" t="n">
        <v>43891</v>
      </c>
      <c r="B165" s="25" t="n">
        <v>40.3</v>
      </c>
      <c r="C165" s="25">
        <f>Table13468111214151617[[#This Row],[PMI]]-B164</f>
        <v/>
      </c>
    </row>
    <row r="166">
      <c r="A166" s="10" t="n">
        <v>43922</v>
      </c>
      <c r="B166" s="25" t="n">
        <v>31.1</v>
      </c>
      <c r="C166" s="25">
        <f>Table13468111214151617[[#This Row],[PMI]]-B165</f>
        <v/>
      </c>
    </row>
    <row r="167">
      <c r="A167" s="10" t="n">
        <v>43952</v>
      </c>
      <c r="B167" s="25" t="n">
        <v>45.4</v>
      </c>
      <c r="C167" s="25">
        <f>Table13468111214151617[[#This Row],[PMI]]-B166</f>
        <v/>
      </c>
    </row>
    <row r="168">
      <c r="A168" s="10" t="n">
        <v>43983</v>
      </c>
      <c r="B168" s="25" t="n">
        <v>47.5</v>
      </c>
      <c r="C168" s="25">
        <f>Table13468111214151617[[#This Row],[PMI]]-B167</f>
        <v/>
      </c>
    </row>
    <row r="169">
      <c r="A169" s="10" t="n">
        <v>44013</v>
      </c>
      <c r="B169" s="25" t="n">
        <v>51.9</v>
      </c>
      <c r="C169" s="25">
        <f>Table13468111214151617[[#This Row],[PMI]]-B168</f>
        <v/>
      </c>
    </row>
    <row r="170">
      <c r="A170" s="10" t="n">
        <v>44044</v>
      </c>
      <c r="B170" s="25" t="n">
        <v>53.1</v>
      </c>
      <c r="C170" s="25">
        <f>Table13468111214151617[[#This Row],[PMI]]-B169</f>
        <v/>
      </c>
    </row>
    <row r="171">
      <c r="A171" s="10" t="n">
        <v>44075</v>
      </c>
      <c r="B171" s="25" t="n">
        <v>53.2</v>
      </c>
      <c r="C171" s="25">
        <f>Table13468111214151617[[#This Row],[PMI]]-B170</f>
        <v/>
      </c>
    </row>
    <row r="172">
      <c r="A172" s="10" t="n">
        <v>44105</v>
      </c>
      <c r="B172" s="25" t="n">
        <v>53.8</v>
      </c>
      <c r="C172" s="25">
        <f>Table13468111214151617[[#This Row],[PMI]]-B171</f>
        <v/>
      </c>
    </row>
    <row r="173">
      <c r="A173" s="10" t="n">
        <v>44136</v>
      </c>
      <c r="B173" s="25" t="n">
        <v>51.5</v>
      </c>
      <c r="C173" s="25">
        <f>Table13468111214151617[[#This Row],[PMI]]-B172</f>
        <v/>
      </c>
    </row>
    <row r="174">
      <c r="A174" s="10" t="n">
        <v>44166</v>
      </c>
      <c r="B174" s="25" t="n">
        <v>52.8</v>
      </c>
      <c r="C174" s="25">
        <f>Table13468111214151617[[#This Row],[PMI]]-B173</f>
        <v/>
      </c>
    </row>
    <row r="175">
      <c r="A175" s="10" t="n">
        <v>44197</v>
      </c>
      <c r="B175" s="25" t="n">
        <v>55.1</v>
      </c>
      <c r="C175" s="25">
        <f>Table13468111214151617[[#This Row],[PMI]]-B174</f>
        <v/>
      </c>
    </row>
    <row r="176">
      <c r="A176" s="10" t="n">
        <v>44228</v>
      </c>
      <c r="B176" s="25" t="n">
        <v>56.9</v>
      </c>
      <c r="C176" s="25">
        <f>Table13468111214151617[[#This Row],[PMI]]-B175</f>
        <v/>
      </c>
    </row>
    <row r="177">
      <c r="A177" s="10" t="n">
        <v>44256</v>
      </c>
      <c r="B177" s="25" t="n">
        <v>59.8</v>
      </c>
      <c r="C177" s="25">
        <f>Table13468111214151617[[#This Row],[PMI]]-B176</f>
        <v/>
      </c>
    </row>
    <row r="178">
      <c r="A178" s="10" t="n">
        <v>44287</v>
      </c>
      <c r="B178" s="25" t="n">
        <v>60.7</v>
      </c>
      <c r="C178" s="25">
        <f>Table13468111214151617[[#This Row],[PMI]]-B177</f>
        <v/>
      </c>
    </row>
    <row r="179">
      <c r="A179" s="10" t="n">
        <v>44317</v>
      </c>
      <c r="B179" s="25" t="n">
        <v>62.3</v>
      </c>
      <c r="C179" s="25">
        <f>Table13468111214151617[[#This Row],[PMI]]-B178</f>
        <v/>
      </c>
    </row>
    <row r="180">
      <c r="A180" s="10" t="n">
        <v>44348</v>
      </c>
      <c r="B180" s="25" t="n">
        <v>62.2</v>
      </c>
      <c r="C180" s="25">
        <f>Table13468111214151617[[#This Row],[PMI]]-B179</f>
        <v/>
      </c>
    </row>
    <row r="181">
      <c r="A181" s="10" t="n">
        <v>44378</v>
      </c>
      <c r="B181" s="25" t="n">
        <v>60.3</v>
      </c>
      <c r="C181" s="25">
        <f>Table13468111214151617[[#This Row],[PMI]]-B180</f>
        <v/>
      </c>
    </row>
    <row r="182">
      <c r="A182" s="10" t="n">
        <v>44409</v>
      </c>
      <c r="B182" s="25" t="n">
        <v>60.9</v>
      </c>
      <c r="C182" s="25">
        <f>Table13468111214151617[[#This Row],[PMI]]-B181</f>
        <v/>
      </c>
    </row>
    <row r="183">
      <c r="A183" s="10" t="n">
        <v>44440</v>
      </c>
      <c r="B183" s="25" t="n">
        <v>59.7</v>
      </c>
      <c r="C183" s="25">
        <f>Table13468111214151617[[#This Row],[PMI]]-B182</f>
        <v/>
      </c>
    </row>
    <row r="184">
      <c r="A184" s="10" t="n">
        <v>44470</v>
      </c>
      <c r="B184" s="25" t="n">
        <v>61.1</v>
      </c>
      <c r="C184" s="25">
        <f>Table13468111214151617[[#This Row],[PMI]]-B183</f>
        <v/>
      </c>
    </row>
    <row r="185">
      <c r="A185" s="10" t="n">
        <v>44501</v>
      </c>
      <c r="B185" s="25" t="n">
        <v>62.8</v>
      </c>
      <c r="C185" s="25">
        <f>Table13468111214151617[[#This Row],[PMI]]-B184</f>
        <v/>
      </c>
    </row>
    <row r="186">
      <c r="A186" s="10" t="n">
        <v>44531</v>
      </c>
      <c r="B186" s="25" t="n">
        <v>62</v>
      </c>
      <c r="C186" s="25">
        <f>Table13468111214151617[[#This Row],[PMI]]-B185</f>
        <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6"/>
  <sheetViews>
    <sheetView zoomScale="150" zoomScaleNormal="150" workbookViewId="0">
      <pane ySplit="5" topLeftCell="A148"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Spain</t>
        </is>
      </c>
      <c r="K1" s="84" t="inlineStr">
        <is>
          <t xml:space="preserve"> Manufacturing PMI</t>
        </is>
      </c>
    </row>
    <row r="2">
      <c r="A2" s="84" t="inlineStr">
        <is>
          <t>spain</t>
        </is>
      </c>
      <c r="K2" s="84">
        <f>A1&amp;K1</f>
        <v/>
      </c>
    </row>
    <row r="4" ht="16" customHeight="1" s="76" thickBot="1"/>
    <row r="5" ht="16" customHeight="1" s="76" thickBot="1">
      <c r="A5" s="22" t="inlineStr">
        <is>
          <t>Date</t>
        </is>
      </c>
      <c r="B5" s="23" t="inlineStr">
        <is>
          <t>PMI</t>
        </is>
      </c>
      <c r="C5" s="23" t="inlineStr">
        <is>
          <t>mom</t>
        </is>
      </c>
    </row>
    <row r="6">
      <c r="A6" s="18" t="n">
        <v>39052</v>
      </c>
      <c r="B6" s="19" t="n">
        <v>57.2</v>
      </c>
      <c r="C6" s="19" t="n"/>
    </row>
    <row r="7">
      <c r="A7" s="10" t="n">
        <v>39083</v>
      </c>
      <c r="B7" s="25" t="n">
        <v>56.2</v>
      </c>
      <c r="C7" s="25">
        <f>Table1346811121415161718[[#This Row],[PMI]]-B6</f>
        <v/>
      </c>
    </row>
    <row r="8">
      <c r="A8" s="10" t="n">
        <v>39114</v>
      </c>
      <c r="B8" s="25" t="n">
        <v>56.2</v>
      </c>
      <c r="C8" s="25">
        <f>Table1346811121415161718[[#This Row],[PMI]]-B7</f>
        <v/>
      </c>
    </row>
    <row r="9">
      <c r="A9" s="10" t="n">
        <v>39142</v>
      </c>
      <c r="B9" s="25" t="n">
        <v>55.4</v>
      </c>
      <c r="C9" s="25">
        <f>Table1346811121415161718[[#This Row],[PMI]]-B8</f>
        <v/>
      </c>
    </row>
    <row r="10">
      <c r="A10" s="10" t="n">
        <v>39173</v>
      </c>
      <c r="B10" s="25" t="n">
        <v>56</v>
      </c>
      <c r="C10" s="25">
        <f>Table1346811121415161718[[#This Row],[PMI]]-B9</f>
        <v/>
      </c>
    </row>
    <row r="11">
      <c r="A11" s="10" t="n">
        <v>39203</v>
      </c>
      <c r="B11" s="25" t="n">
        <v>53.3</v>
      </c>
      <c r="C11" s="25">
        <f>Table1346811121415161718[[#This Row],[PMI]]-B10</f>
        <v/>
      </c>
    </row>
    <row r="12">
      <c r="A12" s="10" t="n">
        <v>39234</v>
      </c>
      <c r="B12" s="25" t="n">
        <v>55.1</v>
      </c>
      <c r="C12" s="25">
        <f>Table1346811121415161718[[#This Row],[PMI]]-B11</f>
        <v/>
      </c>
    </row>
    <row r="13">
      <c r="A13" s="10" t="n">
        <v>39264</v>
      </c>
      <c r="B13" s="25" t="n">
        <v>53.2</v>
      </c>
      <c r="C13" s="25">
        <f>Table1346811121415161718[[#This Row],[PMI]]-B12</f>
        <v/>
      </c>
    </row>
    <row r="14">
      <c r="A14" s="10" t="n">
        <v>39295</v>
      </c>
      <c r="B14" s="25" t="n">
        <v>52.2</v>
      </c>
      <c r="C14" s="25">
        <f>Table1346811121415161718[[#This Row],[PMI]]-B13</f>
        <v/>
      </c>
    </row>
    <row r="15">
      <c r="A15" s="10" t="n">
        <v>39326</v>
      </c>
      <c r="B15" s="25" t="n">
        <v>50.8</v>
      </c>
      <c r="C15" s="25">
        <f>Table1346811121415161718[[#This Row],[PMI]]-B14</f>
        <v/>
      </c>
    </row>
    <row r="16">
      <c r="A16" s="10" t="n">
        <v>39356</v>
      </c>
      <c r="B16" s="25" t="n">
        <v>49.6</v>
      </c>
      <c r="C16" s="25">
        <f>Table1346811121415161718[[#This Row],[PMI]]-B15</f>
        <v/>
      </c>
    </row>
    <row r="17">
      <c r="A17" s="10" t="n">
        <v>39387</v>
      </c>
      <c r="B17" s="25" t="n">
        <v>50.7</v>
      </c>
      <c r="C17" s="25">
        <f>Table1346811121415161718[[#This Row],[PMI]]-B16</f>
        <v/>
      </c>
    </row>
    <row r="18">
      <c r="A18" s="10" t="n">
        <v>39417</v>
      </c>
      <c r="B18" s="25" t="n">
        <v>49.5</v>
      </c>
      <c r="C18" s="25">
        <f>Table1346811121415161718[[#This Row],[PMI]]-B17</f>
        <v/>
      </c>
    </row>
    <row r="19">
      <c r="A19" s="10" t="n">
        <v>39448</v>
      </c>
      <c r="B19" s="25" t="n">
        <v>49.8</v>
      </c>
      <c r="C19" s="25">
        <f>Table1346811121415161718[[#This Row],[PMI]]-B18</f>
        <v/>
      </c>
    </row>
    <row r="20">
      <c r="A20" s="10" t="n">
        <v>39479</v>
      </c>
      <c r="B20" s="25" t="n">
        <v>46.7</v>
      </c>
      <c r="C20" s="25">
        <f>Table1346811121415161718[[#This Row],[PMI]]-B19</f>
        <v/>
      </c>
    </row>
    <row r="21">
      <c r="A21" s="10" t="n">
        <v>39508</v>
      </c>
      <c r="B21" s="25" t="n">
        <v>46.4</v>
      </c>
      <c r="C21" s="25">
        <f>Table1346811121415161718[[#This Row],[PMI]]-B20</f>
        <v/>
      </c>
    </row>
    <row r="22">
      <c r="A22" s="10" t="n">
        <v>39539</v>
      </c>
      <c r="B22" s="25" t="n">
        <v>45.2</v>
      </c>
      <c r="C22" s="25">
        <f>Table1346811121415161718[[#This Row],[PMI]]-B21</f>
        <v/>
      </c>
    </row>
    <row r="23">
      <c r="A23" s="10" t="n">
        <v>39569</v>
      </c>
      <c r="B23" s="25" t="n">
        <v>43.8</v>
      </c>
      <c r="C23" s="25">
        <f>Table1346811121415161718[[#This Row],[PMI]]-B22</f>
        <v/>
      </c>
    </row>
    <row r="24">
      <c r="A24" s="10" t="n">
        <v>39600</v>
      </c>
      <c r="B24" s="25" t="n">
        <v>40.6</v>
      </c>
      <c r="C24" s="25">
        <f>Table1346811121415161718[[#This Row],[PMI]]-B23</f>
        <v/>
      </c>
    </row>
    <row r="25">
      <c r="A25" s="10" t="n">
        <v>39630</v>
      </c>
      <c r="B25" s="25" t="n">
        <v>39.2</v>
      </c>
      <c r="C25" s="25">
        <f>Table1346811121415161718[[#This Row],[PMI]]-B24</f>
        <v/>
      </c>
    </row>
    <row r="26">
      <c r="A26" s="10" t="n">
        <v>39661</v>
      </c>
      <c r="B26" s="25" t="n">
        <v>42.4</v>
      </c>
      <c r="C26" s="25">
        <f>Table1346811121415161718[[#This Row],[PMI]]-B25</f>
        <v/>
      </c>
    </row>
    <row r="27">
      <c r="A27" s="10" t="n">
        <v>39692</v>
      </c>
      <c r="B27" s="25" t="n">
        <v>38.3</v>
      </c>
      <c r="C27" s="25">
        <f>Table1346811121415161718[[#This Row],[PMI]]-B26</f>
        <v/>
      </c>
    </row>
    <row r="28">
      <c r="A28" s="10" t="n">
        <v>39722</v>
      </c>
      <c r="B28" s="25" t="n">
        <v>34.6</v>
      </c>
      <c r="C28" s="25">
        <f>Table1346811121415161718[[#This Row],[PMI]]-B27</f>
        <v/>
      </c>
    </row>
    <row r="29">
      <c r="A29" s="10" t="n">
        <v>39753</v>
      </c>
      <c r="B29" s="25" t="n">
        <v>29.4</v>
      </c>
      <c r="C29" s="25">
        <f>Table1346811121415161718[[#This Row],[PMI]]-B28</f>
        <v/>
      </c>
    </row>
    <row r="30">
      <c r="A30" s="10" t="n">
        <v>39783</v>
      </c>
      <c r="B30" s="25" t="n">
        <v>28.5</v>
      </c>
      <c r="C30" s="25">
        <f>Table1346811121415161718[[#This Row],[PMI]]-B29</f>
        <v/>
      </c>
    </row>
    <row r="31">
      <c r="A31" s="10" t="n">
        <v>39814</v>
      </c>
      <c r="B31" s="25" t="n">
        <v>31.5</v>
      </c>
      <c r="C31" s="25">
        <f>Table1346811121415161718[[#This Row],[PMI]]-B30</f>
        <v/>
      </c>
    </row>
    <row r="32">
      <c r="A32" s="10" t="n">
        <v>39845</v>
      </c>
      <c r="B32" s="25" t="n">
        <v>31.8</v>
      </c>
      <c r="C32" s="25">
        <f>Table1346811121415161718[[#This Row],[PMI]]-B31</f>
        <v/>
      </c>
    </row>
    <row r="33">
      <c r="A33" s="10" t="n">
        <v>39873</v>
      </c>
      <c r="B33" s="25" t="n">
        <v>32.9</v>
      </c>
      <c r="C33" s="25">
        <f>Table1346811121415161718[[#This Row],[PMI]]-B32</f>
        <v/>
      </c>
    </row>
    <row r="34">
      <c r="A34" s="10" t="n">
        <v>39904</v>
      </c>
      <c r="B34" s="25" t="n">
        <v>34.6</v>
      </c>
      <c r="C34" s="25">
        <f>Table1346811121415161718[[#This Row],[PMI]]-B33</f>
        <v/>
      </c>
    </row>
    <row r="35">
      <c r="A35" s="10" t="n">
        <v>39934</v>
      </c>
      <c r="B35" s="25" t="n">
        <v>39.8</v>
      </c>
      <c r="C35" s="25">
        <f>Table1346811121415161718[[#This Row],[PMI]]-B34</f>
        <v/>
      </c>
    </row>
    <row r="36">
      <c r="A36" s="10" t="n">
        <v>39965</v>
      </c>
      <c r="B36" s="25" t="n">
        <v>42.8</v>
      </c>
      <c r="C36" s="25">
        <f>Table1346811121415161718[[#This Row],[PMI]]-B35</f>
        <v/>
      </c>
    </row>
    <row r="37">
      <c r="A37" s="10" t="n">
        <v>39995</v>
      </c>
      <c r="B37" s="25" t="n">
        <v>47.3</v>
      </c>
      <c r="C37" s="25">
        <f>Table1346811121415161718[[#This Row],[PMI]]-B36</f>
        <v/>
      </c>
    </row>
    <row r="38">
      <c r="A38" s="10" t="n">
        <v>40026</v>
      </c>
      <c r="B38" s="25" t="n">
        <v>47.2</v>
      </c>
      <c r="C38" s="25">
        <f>Table1346811121415161718[[#This Row],[PMI]]-B37</f>
        <v/>
      </c>
    </row>
    <row r="39">
      <c r="A39" s="10" t="n">
        <v>40057</v>
      </c>
      <c r="B39" s="25" t="n">
        <v>45.8</v>
      </c>
      <c r="C39" s="25">
        <f>Table1346811121415161718[[#This Row],[PMI]]-B38</f>
        <v/>
      </c>
    </row>
    <row r="40">
      <c r="A40" s="10" t="n">
        <v>40087</v>
      </c>
      <c r="B40" s="25" t="n">
        <v>46.3</v>
      </c>
      <c r="C40" s="25">
        <f>Table1346811121415161718[[#This Row],[PMI]]-B39</f>
        <v/>
      </c>
    </row>
    <row r="41">
      <c r="A41" s="10" t="n">
        <v>40118</v>
      </c>
      <c r="B41" s="25" t="n">
        <v>45.3</v>
      </c>
      <c r="C41" s="25">
        <f>Table1346811121415161718[[#This Row],[PMI]]-B40</f>
        <v/>
      </c>
    </row>
    <row r="42">
      <c r="A42" s="10" t="n">
        <v>40148</v>
      </c>
      <c r="B42" s="25" t="n">
        <v>45.2</v>
      </c>
      <c r="C42" s="25">
        <f>Table1346811121415161718[[#This Row],[PMI]]-B41</f>
        <v/>
      </c>
    </row>
    <row r="43">
      <c r="A43" s="10" t="n">
        <v>40179</v>
      </c>
      <c r="B43" s="25" t="n">
        <v>45.3</v>
      </c>
      <c r="C43" s="25">
        <f>Table1346811121415161718[[#This Row],[PMI]]-B42</f>
        <v/>
      </c>
    </row>
    <row r="44">
      <c r="A44" s="10" t="n">
        <v>40210</v>
      </c>
      <c r="B44" s="25" t="n">
        <v>49.1</v>
      </c>
      <c r="C44" s="25">
        <f>Table1346811121415161718[[#This Row],[PMI]]-B43</f>
        <v/>
      </c>
    </row>
    <row r="45">
      <c r="A45" s="10" t="n">
        <v>40238</v>
      </c>
      <c r="B45" s="25" t="n">
        <v>51.8</v>
      </c>
      <c r="C45" s="25">
        <f>Table1346811121415161718[[#This Row],[PMI]]-B44</f>
        <v/>
      </c>
    </row>
    <row r="46">
      <c r="A46" s="10" t="n">
        <v>40269</v>
      </c>
      <c r="B46" s="25" t="n">
        <v>53.3</v>
      </c>
      <c r="C46" s="25">
        <f>Table1346811121415161718[[#This Row],[PMI]]-B45</f>
        <v/>
      </c>
    </row>
    <row r="47">
      <c r="A47" s="10" t="n">
        <v>40299</v>
      </c>
      <c r="B47" s="25" t="n">
        <v>51.5</v>
      </c>
      <c r="C47" s="25">
        <f>Table1346811121415161718[[#This Row],[PMI]]-B46</f>
        <v/>
      </c>
    </row>
    <row r="48">
      <c r="A48" s="10" t="n">
        <v>40330</v>
      </c>
      <c r="B48" s="25" t="n">
        <v>51.2</v>
      </c>
      <c r="C48" s="25">
        <f>Table1346811121415161718[[#This Row],[PMI]]-B47</f>
        <v/>
      </c>
    </row>
    <row r="49">
      <c r="A49" s="10" t="n">
        <v>40360</v>
      </c>
      <c r="B49" s="25" t="n">
        <v>51.6</v>
      </c>
      <c r="C49" s="25">
        <f>Table1346811121415161718[[#This Row],[PMI]]-B48</f>
        <v/>
      </c>
    </row>
    <row r="50">
      <c r="A50" s="10" t="n">
        <v>40391</v>
      </c>
      <c r="B50" s="25" t="n">
        <v>51.2</v>
      </c>
      <c r="C50" s="25">
        <f>Table1346811121415161718[[#This Row],[PMI]]-B49</f>
        <v/>
      </c>
    </row>
    <row r="51">
      <c r="A51" s="10" t="n">
        <v>40422</v>
      </c>
      <c r="B51" s="25" t="n">
        <v>49.6</v>
      </c>
      <c r="C51" s="25">
        <f>Table1346811121415161718[[#This Row],[PMI]]-B50</f>
        <v/>
      </c>
    </row>
    <row r="52">
      <c r="A52" s="10" t="n">
        <v>40452</v>
      </c>
      <c r="B52" s="25" t="n">
        <v>51.2</v>
      </c>
      <c r="C52" s="25">
        <f>Table1346811121415161718[[#This Row],[PMI]]-B51</f>
        <v/>
      </c>
    </row>
    <row r="53">
      <c r="A53" s="10" t="n">
        <v>40483</v>
      </c>
      <c r="B53" s="25" t="n">
        <v>50</v>
      </c>
      <c r="C53" s="25">
        <f>Table1346811121415161718[[#This Row],[PMI]]-B52</f>
        <v/>
      </c>
    </row>
    <row r="54">
      <c r="A54" s="10" t="n">
        <v>40513</v>
      </c>
      <c r="B54" s="25" t="n">
        <v>51.5</v>
      </c>
      <c r="C54" s="25">
        <f>Table1346811121415161718[[#This Row],[PMI]]-B53</f>
        <v/>
      </c>
    </row>
    <row r="55">
      <c r="A55" s="10" t="n">
        <v>40544</v>
      </c>
      <c r="B55" s="25" t="n">
        <v>52</v>
      </c>
      <c r="C55" s="25">
        <f>Table1346811121415161718[[#This Row],[PMI]]-B54</f>
        <v/>
      </c>
    </row>
    <row r="56">
      <c r="A56" s="10" t="n">
        <v>40575</v>
      </c>
      <c r="B56" s="25" t="n">
        <v>52.1</v>
      </c>
      <c r="C56" s="25">
        <f>Table1346811121415161718[[#This Row],[PMI]]-B55</f>
        <v/>
      </c>
    </row>
    <row r="57">
      <c r="A57" s="10" t="n">
        <v>40603</v>
      </c>
      <c r="B57" s="25" t="n">
        <v>51.6</v>
      </c>
      <c r="C57" s="25">
        <f>Table1346811121415161718[[#This Row],[PMI]]-B56</f>
        <v/>
      </c>
    </row>
    <row r="58">
      <c r="A58" s="10" t="n">
        <v>40634</v>
      </c>
      <c r="B58" s="25" t="n">
        <v>50.6</v>
      </c>
      <c r="C58" s="25">
        <f>Table1346811121415161718[[#This Row],[PMI]]-B57</f>
        <v/>
      </c>
    </row>
    <row r="59">
      <c r="A59" s="10" t="n">
        <v>40664</v>
      </c>
      <c r="B59" s="25" t="n">
        <v>48.2</v>
      </c>
      <c r="C59" s="25">
        <f>Table1346811121415161718[[#This Row],[PMI]]-B58</f>
        <v/>
      </c>
    </row>
    <row r="60">
      <c r="A60" s="10" t="n">
        <v>40695</v>
      </c>
      <c r="B60" s="25" t="n">
        <v>47.3</v>
      </c>
      <c r="C60" s="25">
        <f>Table1346811121415161718[[#This Row],[PMI]]-B59</f>
        <v/>
      </c>
    </row>
    <row r="61">
      <c r="A61" s="10" t="n">
        <v>40725</v>
      </c>
      <c r="B61" s="25" t="n">
        <v>45.6</v>
      </c>
      <c r="C61" s="25">
        <f>Table1346811121415161718[[#This Row],[PMI]]-B60</f>
        <v/>
      </c>
    </row>
    <row r="62">
      <c r="A62" s="10" t="n">
        <v>40756</v>
      </c>
      <c r="B62" s="25" t="n">
        <v>45.3</v>
      </c>
      <c r="C62" s="25">
        <f>Table1346811121415161718[[#This Row],[PMI]]-B61</f>
        <v/>
      </c>
    </row>
    <row r="63">
      <c r="A63" s="10" t="n">
        <v>40787</v>
      </c>
      <c r="B63" s="25" t="n">
        <v>43.7</v>
      </c>
      <c r="C63" s="25">
        <f>Table1346811121415161718[[#This Row],[PMI]]-B62</f>
        <v/>
      </c>
    </row>
    <row r="64">
      <c r="A64" s="10" t="n">
        <v>40817</v>
      </c>
      <c r="B64" s="25" t="n">
        <v>43.9</v>
      </c>
      <c r="C64" s="25">
        <f>Table1346811121415161718[[#This Row],[PMI]]-B63</f>
        <v/>
      </c>
    </row>
    <row r="65">
      <c r="A65" s="10" t="n">
        <v>40848</v>
      </c>
      <c r="B65" s="25" t="n">
        <v>43.8</v>
      </c>
      <c r="C65" s="25">
        <f>Table1346811121415161718[[#This Row],[PMI]]-B64</f>
        <v/>
      </c>
    </row>
    <row r="66">
      <c r="A66" s="10" t="n">
        <v>40878</v>
      </c>
      <c r="B66" s="25" t="n">
        <v>43.7</v>
      </c>
      <c r="C66" s="25">
        <f>Table1346811121415161718[[#This Row],[PMI]]-B65</f>
        <v/>
      </c>
    </row>
    <row r="67">
      <c r="A67" s="10" t="n">
        <v>40909</v>
      </c>
      <c r="B67" s="25" t="n">
        <v>45.1</v>
      </c>
      <c r="C67" s="25">
        <f>Table1346811121415161718[[#This Row],[PMI]]-B66</f>
        <v/>
      </c>
    </row>
    <row r="68">
      <c r="A68" s="10" t="n">
        <v>40940</v>
      </c>
      <c r="B68" s="25" t="n">
        <v>45</v>
      </c>
      <c r="C68" s="25">
        <f>Table1346811121415161718[[#This Row],[PMI]]-B67</f>
        <v/>
      </c>
    </row>
    <row r="69">
      <c r="A69" s="10" t="n">
        <v>40969</v>
      </c>
      <c r="B69" s="25" t="n">
        <v>44.5</v>
      </c>
      <c r="C69" s="25">
        <f>Table1346811121415161718[[#This Row],[PMI]]-B68</f>
        <v/>
      </c>
    </row>
    <row r="70">
      <c r="A70" s="10" t="n">
        <v>41000</v>
      </c>
      <c r="B70" s="25" t="n">
        <v>43.5</v>
      </c>
      <c r="C70" s="25">
        <f>Table1346811121415161718[[#This Row],[PMI]]-B69</f>
        <v/>
      </c>
    </row>
    <row r="71">
      <c r="A71" s="10" t="n">
        <v>41030</v>
      </c>
      <c r="B71" s="25" t="n">
        <v>42</v>
      </c>
      <c r="C71" s="25">
        <f>Table1346811121415161718[[#This Row],[PMI]]-B70</f>
        <v/>
      </c>
    </row>
    <row r="72">
      <c r="A72" s="10" t="n">
        <v>41061</v>
      </c>
      <c r="B72" s="25" t="n">
        <v>41.1</v>
      </c>
      <c r="C72" s="25">
        <f>Table1346811121415161718[[#This Row],[PMI]]-B71</f>
        <v/>
      </c>
    </row>
    <row r="73">
      <c r="A73" s="10" t="n">
        <v>41091</v>
      </c>
      <c r="B73" s="25" t="n">
        <v>42.3</v>
      </c>
      <c r="C73" s="25">
        <f>Table1346811121415161718[[#This Row],[PMI]]-B72</f>
        <v/>
      </c>
    </row>
    <row r="74">
      <c r="A74" s="10" t="n">
        <v>41122</v>
      </c>
      <c r="B74" s="25" t="n">
        <v>44</v>
      </c>
      <c r="C74" s="25">
        <f>Table1346811121415161718[[#This Row],[PMI]]-B73</f>
        <v/>
      </c>
    </row>
    <row r="75">
      <c r="A75" s="10" t="n">
        <v>41153</v>
      </c>
      <c r="B75" s="25" t="n">
        <v>44.5</v>
      </c>
      <c r="C75" s="25">
        <f>Table1346811121415161718[[#This Row],[PMI]]-B74</f>
        <v/>
      </c>
    </row>
    <row r="76">
      <c r="A76" s="10" t="n">
        <v>41183</v>
      </c>
      <c r="B76" s="25" t="n">
        <v>43.5</v>
      </c>
      <c r="C76" s="25">
        <f>Table1346811121415161718[[#This Row],[PMI]]-B75</f>
        <v/>
      </c>
    </row>
    <row r="77">
      <c r="A77" s="10" t="n">
        <v>41214</v>
      </c>
      <c r="B77" s="25" t="n">
        <v>45.3</v>
      </c>
      <c r="C77" s="25">
        <f>Table1346811121415161718[[#This Row],[PMI]]-B76</f>
        <v/>
      </c>
    </row>
    <row r="78">
      <c r="A78" s="10" t="n">
        <v>41244</v>
      </c>
      <c r="B78" s="25" t="n">
        <v>44.6</v>
      </c>
      <c r="C78" s="25">
        <f>Table1346811121415161718[[#This Row],[PMI]]-B77</f>
        <v/>
      </c>
    </row>
    <row r="79">
      <c r="A79" s="10" t="n">
        <v>41275</v>
      </c>
      <c r="B79" s="25" t="n">
        <v>46.1</v>
      </c>
      <c r="C79" s="25">
        <f>Table1346811121415161718[[#This Row],[PMI]]-B78</f>
        <v/>
      </c>
    </row>
    <row r="80">
      <c r="A80" s="10" t="n">
        <v>41306</v>
      </c>
      <c r="B80" s="25" t="n">
        <v>46.8</v>
      </c>
      <c r="C80" s="25">
        <f>Table1346811121415161718[[#This Row],[PMI]]-B79</f>
        <v/>
      </c>
    </row>
    <row r="81">
      <c r="A81" s="10" t="n">
        <v>41334</v>
      </c>
      <c r="B81" s="25" t="n">
        <v>44.2</v>
      </c>
      <c r="C81" s="25">
        <f>Table1346811121415161718[[#This Row],[PMI]]-B80</f>
        <v/>
      </c>
    </row>
    <row r="82">
      <c r="A82" s="10" t="n">
        <v>41365</v>
      </c>
      <c r="B82" s="25" t="n">
        <v>44.7</v>
      </c>
      <c r="C82" s="25">
        <f>Table1346811121415161718[[#This Row],[PMI]]-B81</f>
        <v/>
      </c>
    </row>
    <row r="83">
      <c r="A83" s="10" t="n">
        <v>41395</v>
      </c>
      <c r="B83" s="25" t="n">
        <v>48.1</v>
      </c>
      <c r="C83" s="25">
        <f>Table1346811121415161718[[#This Row],[PMI]]-B82</f>
        <v/>
      </c>
    </row>
    <row r="84">
      <c r="A84" s="10" t="n">
        <v>41426</v>
      </c>
      <c r="B84" s="25" t="n">
        <v>50</v>
      </c>
      <c r="C84" s="25">
        <f>Table1346811121415161718[[#This Row],[PMI]]-B83</f>
        <v/>
      </c>
    </row>
    <row r="85">
      <c r="A85" s="10" t="n">
        <v>41456</v>
      </c>
      <c r="B85" s="25" t="n">
        <v>49.8</v>
      </c>
      <c r="C85" s="25">
        <f>Table1346811121415161718[[#This Row],[PMI]]-B84</f>
        <v/>
      </c>
    </row>
    <row r="86">
      <c r="A86" s="10" t="n">
        <v>41487</v>
      </c>
      <c r="B86" s="25" t="n">
        <v>51.1</v>
      </c>
      <c r="C86" s="25">
        <f>Table1346811121415161718[[#This Row],[PMI]]-B85</f>
        <v/>
      </c>
    </row>
    <row r="87">
      <c r="A87" s="10" t="n">
        <v>41518</v>
      </c>
      <c r="B87" s="25" t="n">
        <v>50.7</v>
      </c>
      <c r="C87" s="25">
        <f>Table1346811121415161718[[#This Row],[PMI]]-B86</f>
        <v/>
      </c>
    </row>
    <row r="88">
      <c r="A88" s="10" t="n">
        <v>41548</v>
      </c>
      <c r="B88" s="25" t="n">
        <v>50.9</v>
      </c>
      <c r="C88" s="25">
        <f>Table1346811121415161718[[#This Row],[PMI]]-B87</f>
        <v/>
      </c>
    </row>
    <row r="89">
      <c r="A89" s="10" t="n">
        <v>41579</v>
      </c>
      <c r="B89" s="25" t="n">
        <v>48.6</v>
      </c>
      <c r="C89" s="25">
        <f>Table1346811121415161718[[#This Row],[PMI]]-B88</f>
        <v/>
      </c>
    </row>
    <row r="90">
      <c r="A90" s="10" t="n">
        <v>41609</v>
      </c>
      <c r="B90" s="25" t="n">
        <v>50.8</v>
      </c>
      <c r="C90" s="25">
        <f>Table1346811121415161718[[#This Row],[PMI]]-B89</f>
        <v/>
      </c>
    </row>
    <row r="91">
      <c r="A91" s="10" t="n">
        <v>41640</v>
      </c>
      <c r="B91" s="25" t="n">
        <v>52.2</v>
      </c>
      <c r="C91" s="25">
        <f>Table1346811121415161718[[#This Row],[PMI]]-B90</f>
        <v/>
      </c>
    </row>
    <row r="92">
      <c r="A92" s="10" t="n">
        <v>41671</v>
      </c>
      <c r="B92" s="25" t="n">
        <v>52.5</v>
      </c>
      <c r="C92" s="25">
        <f>Table1346811121415161718[[#This Row],[PMI]]-B91</f>
        <v/>
      </c>
    </row>
    <row r="93">
      <c r="A93" s="10" t="n">
        <v>41699</v>
      </c>
      <c r="B93" s="25" t="n">
        <v>52.8</v>
      </c>
      <c r="C93" s="25">
        <f>Table1346811121415161718[[#This Row],[PMI]]-B92</f>
        <v/>
      </c>
    </row>
    <row r="94">
      <c r="A94" s="10" t="n">
        <v>41730</v>
      </c>
      <c r="B94" s="25" t="n">
        <v>52.7</v>
      </c>
      <c r="C94" s="25">
        <f>Table1346811121415161718[[#This Row],[PMI]]-B93</f>
        <v/>
      </c>
    </row>
    <row r="95">
      <c r="A95" s="10" t="n">
        <v>41760</v>
      </c>
      <c r="B95" s="25" t="n">
        <v>52.9</v>
      </c>
      <c r="C95" s="25">
        <f>Table1346811121415161718[[#This Row],[PMI]]-B94</f>
        <v/>
      </c>
    </row>
    <row r="96">
      <c r="A96" s="10" t="n">
        <v>41791</v>
      </c>
      <c r="B96" s="25" t="n">
        <v>54.6</v>
      </c>
      <c r="C96" s="25">
        <f>Table1346811121415161718[[#This Row],[PMI]]-B95</f>
        <v/>
      </c>
    </row>
    <row r="97">
      <c r="A97" s="10" t="n">
        <v>41821</v>
      </c>
      <c r="B97" s="25" t="n">
        <v>53.9</v>
      </c>
      <c r="C97" s="25">
        <f>Table1346811121415161718[[#This Row],[PMI]]-B96</f>
        <v/>
      </c>
    </row>
    <row r="98">
      <c r="A98" s="10" t="n">
        <v>41852</v>
      </c>
      <c r="B98" s="25" t="n">
        <v>52.8</v>
      </c>
      <c r="C98" s="25">
        <f>Table1346811121415161718[[#This Row],[PMI]]-B97</f>
        <v/>
      </c>
    </row>
    <row r="99">
      <c r="A99" s="10" t="n">
        <v>41883</v>
      </c>
      <c r="B99" s="25" t="n">
        <v>52.6</v>
      </c>
      <c r="C99" s="25">
        <f>Table1346811121415161718[[#This Row],[PMI]]-B98</f>
        <v/>
      </c>
    </row>
    <row r="100">
      <c r="A100" s="10" t="n">
        <v>41913</v>
      </c>
      <c r="B100" s="25" t="n">
        <v>52.6</v>
      </c>
      <c r="C100" s="25">
        <f>Table1346811121415161718[[#This Row],[PMI]]-B99</f>
        <v/>
      </c>
    </row>
    <row r="101">
      <c r="A101" s="10" t="n">
        <v>41944</v>
      </c>
      <c r="B101" s="25" t="n">
        <v>54.7</v>
      </c>
      <c r="C101" s="25">
        <f>Table1346811121415161718[[#This Row],[PMI]]-B100</f>
        <v/>
      </c>
    </row>
    <row r="102">
      <c r="A102" s="10" t="n">
        <v>41974</v>
      </c>
      <c r="B102" s="25" t="n">
        <v>53.8</v>
      </c>
      <c r="C102" s="25">
        <f>Table1346811121415161718[[#This Row],[PMI]]-B101</f>
        <v/>
      </c>
    </row>
    <row r="103">
      <c r="A103" s="10" t="n">
        <v>42005</v>
      </c>
      <c r="B103" s="25" t="n">
        <v>54.7</v>
      </c>
      <c r="C103" s="25">
        <f>Table1346811121415161718[[#This Row],[PMI]]-B102</f>
        <v/>
      </c>
    </row>
    <row r="104">
      <c r="A104" s="10" t="n">
        <v>42036</v>
      </c>
      <c r="B104" s="25" t="n">
        <v>54.2</v>
      </c>
      <c r="C104" s="25">
        <f>Table1346811121415161718[[#This Row],[PMI]]-B103</f>
        <v/>
      </c>
    </row>
    <row r="105">
      <c r="A105" s="10" t="n">
        <v>42064</v>
      </c>
      <c r="B105" s="25" t="n">
        <v>54.3</v>
      </c>
      <c r="C105" s="25">
        <f>Table1346811121415161718[[#This Row],[PMI]]-B104</f>
        <v/>
      </c>
    </row>
    <row r="106">
      <c r="A106" s="10" t="n">
        <v>42095</v>
      </c>
      <c r="B106" s="25" t="n">
        <v>54.2</v>
      </c>
      <c r="C106" s="25">
        <f>Table1346811121415161718[[#This Row],[PMI]]-B105</f>
        <v/>
      </c>
    </row>
    <row r="107">
      <c r="A107" s="10" t="n">
        <v>42125</v>
      </c>
      <c r="B107" s="25" t="n">
        <v>55.8</v>
      </c>
      <c r="C107" s="25">
        <f>Table1346811121415161718[[#This Row],[PMI]]-B106</f>
        <v/>
      </c>
    </row>
    <row r="108">
      <c r="A108" s="10" t="n">
        <v>42156</v>
      </c>
      <c r="B108" s="25" t="n">
        <v>54.5</v>
      </c>
      <c r="C108" s="25">
        <f>Table1346811121415161718[[#This Row],[PMI]]-B107</f>
        <v/>
      </c>
    </row>
    <row r="109">
      <c r="A109" s="10" t="n">
        <v>42186</v>
      </c>
      <c r="B109" s="25" t="n">
        <v>53.6</v>
      </c>
      <c r="C109" s="25">
        <f>Table1346811121415161718[[#This Row],[PMI]]-B108</f>
        <v/>
      </c>
    </row>
    <row r="110">
      <c r="A110" s="10" t="n">
        <v>42217</v>
      </c>
      <c r="B110" s="25" t="n">
        <v>53.2</v>
      </c>
      <c r="C110" s="25">
        <f>Table1346811121415161718[[#This Row],[PMI]]-B109</f>
        <v/>
      </c>
    </row>
    <row r="111">
      <c r="A111" s="10" t="n">
        <v>42248</v>
      </c>
      <c r="B111" s="25" t="n">
        <v>51.7</v>
      </c>
      <c r="C111" s="25">
        <f>Table1346811121415161718[[#This Row],[PMI]]-B110</f>
        <v/>
      </c>
    </row>
    <row r="112">
      <c r="A112" s="10" t="n">
        <v>42278</v>
      </c>
      <c r="B112" s="25" t="n">
        <v>51.3</v>
      </c>
      <c r="C112" s="25">
        <f>Table1346811121415161718[[#This Row],[PMI]]-B111</f>
        <v/>
      </c>
    </row>
    <row r="113">
      <c r="A113" s="10" t="n">
        <v>42309</v>
      </c>
      <c r="B113" s="25" t="n">
        <v>53.1</v>
      </c>
      <c r="C113" s="25">
        <f>Table1346811121415161718[[#This Row],[PMI]]-B112</f>
        <v/>
      </c>
    </row>
    <row r="114">
      <c r="A114" s="10" t="n">
        <v>42339</v>
      </c>
      <c r="B114" s="25" t="n">
        <v>53</v>
      </c>
      <c r="C114" s="25">
        <f>Table1346811121415161718[[#This Row],[PMI]]-B113</f>
        <v/>
      </c>
    </row>
    <row r="115">
      <c r="A115" s="10" t="n">
        <v>42370</v>
      </c>
      <c r="B115" s="25" t="n">
        <v>55.4</v>
      </c>
      <c r="C115" s="25">
        <f>Table1346811121415161718[[#This Row],[PMI]]-B114</f>
        <v/>
      </c>
    </row>
    <row r="116">
      <c r="A116" s="10" t="n">
        <v>42401</v>
      </c>
      <c r="B116" s="25" t="n">
        <v>54.1</v>
      </c>
      <c r="C116" s="25">
        <f>Table1346811121415161718[[#This Row],[PMI]]-B115</f>
        <v/>
      </c>
    </row>
    <row r="117">
      <c r="A117" s="10" t="n">
        <v>42430</v>
      </c>
      <c r="B117" s="25" t="n">
        <v>53.4</v>
      </c>
      <c r="C117" s="25">
        <f>Table1346811121415161718[[#This Row],[PMI]]-B116</f>
        <v/>
      </c>
    </row>
    <row r="118">
      <c r="A118" s="10" t="n">
        <v>42461</v>
      </c>
      <c r="B118" s="25" t="n">
        <v>53.5</v>
      </c>
      <c r="C118" s="25">
        <f>Table1346811121415161718[[#This Row],[PMI]]-B117</f>
        <v/>
      </c>
    </row>
    <row r="119">
      <c r="A119" s="10" t="n">
        <v>42491</v>
      </c>
      <c r="B119" s="25" t="n">
        <v>51.8</v>
      </c>
      <c r="C119" s="25">
        <f>Table1346811121415161718[[#This Row],[PMI]]-B118</f>
        <v/>
      </c>
    </row>
    <row r="120">
      <c r="A120" s="10" t="n">
        <v>42522</v>
      </c>
      <c r="B120" s="25" t="n">
        <v>52.2</v>
      </c>
      <c r="C120" s="25">
        <f>Table1346811121415161718[[#This Row],[PMI]]-B119</f>
        <v/>
      </c>
    </row>
    <row r="121">
      <c r="A121" s="10" t="n">
        <v>42552</v>
      </c>
      <c r="B121" s="25" t="n">
        <v>51</v>
      </c>
      <c r="C121" s="25">
        <f>Table1346811121415161718[[#This Row],[PMI]]-B120</f>
        <v/>
      </c>
    </row>
    <row r="122">
      <c r="A122" s="10" t="n">
        <v>42583</v>
      </c>
      <c r="B122" s="25" t="n">
        <v>51</v>
      </c>
      <c r="C122" s="25">
        <f>Table1346811121415161718[[#This Row],[PMI]]-B121</f>
        <v/>
      </c>
    </row>
    <row r="123">
      <c r="A123" s="10" t="n">
        <v>42614</v>
      </c>
      <c r="B123" s="25" t="n">
        <v>52.3</v>
      </c>
      <c r="C123" s="25">
        <f>Table1346811121415161718[[#This Row],[PMI]]-B122</f>
        <v/>
      </c>
    </row>
    <row r="124">
      <c r="A124" s="10" t="n">
        <v>42644</v>
      </c>
      <c r="B124" s="25" t="n">
        <v>53.3</v>
      </c>
      <c r="C124" s="25">
        <f>Table1346811121415161718[[#This Row],[PMI]]-B123</f>
        <v/>
      </c>
    </row>
    <row r="125">
      <c r="A125" s="10" t="n">
        <v>42675</v>
      </c>
      <c r="B125" s="25" t="n">
        <v>54.5</v>
      </c>
      <c r="C125" s="25">
        <f>Table1346811121415161718[[#This Row],[PMI]]-B124</f>
        <v/>
      </c>
    </row>
    <row r="126">
      <c r="A126" s="10" t="n">
        <v>42705</v>
      </c>
      <c r="B126" s="25" t="n">
        <v>55.3</v>
      </c>
      <c r="C126" s="25">
        <f>Table1346811121415161718[[#This Row],[PMI]]-B125</f>
        <v/>
      </c>
    </row>
    <row r="127">
      <c r="A127" s="10" t="n">
        <v>42736</v>
      </c>
      <c r="B127" s="25" t="n">
        <v>55.6</v>
      </c>
      <c r="C127" s="25">
        <f>Table1346811121415161718[[#This Row],[PMI]]-B126</f>
        <v/>
      </c>
    </row>
    <row r="128">
      <c r="A128" s="10" t="n">
        <v>42767</v>
      </c>
      <c r="B128" s="25" t="n">
        <v>54.8</v>
      </c>
      <c r="C128" s="25">
        <f>Table1346811121415161718[[#This Row],[PMI]]-B127</f>
        <v/>
      </c>
    </row>
    <row r="129">
      <c r="A129" s="10" t="n">
        <v>42795</v>
      </c>
      <c r="B129" s="25" t="n">
        <v>53.9</v>
      </c>
      <c r="C129" s="25">
        <f>Table1346811121415161718[[#This Row],[PMI]]-B128</f>
        <v/>
      </c>
    </row>
    <row r="130">
      <c r="A130" s="10" t="n">
        <v>42826</v>
      </c>
      <c r="B130" s="25" t="n">
        <v>54.5</v>
      </c>
      <c r="C130" s="25">
        <f>Table1346811121415161718[[#This Row],[PMI]]-B129</f>
        <v/>
      </c>
    </row>
    <row r="131">
      <c r="A131" s="10" t="n">
        <v>42856</v>
      </c>
      <c r="B131" s="25" t="n">
        <v>55.4</v>
      </c>
      <c r="C131" s="25">
        <f>Table1346811121415161718[[#This Row],[PMI]]-B130</f>
        <v/>
      </c>
    </row>
    <row r="132">
      <c r="A132" s="10" t="n">
        <v>42887</v>
      </c>
      <c r="B132" s="25" t="n">
        <v>54.7</v>
      </c>
      <c r="C132" s="25">
        <f>Table1346811121415161718[[#This Row],[PMI]]-B131</f>
        <v/>
      </c>
    </row>
    <row r="133">
      <c r="A133" s="10" t="n">
        <v>42917</v>
      </c>
      <c r="B133" s="25" t="n">
        <v>54</v>
      </c>
      <c r="C133" s="25">
        <f>Table1346811121415161718[[#This Row],[PMI]]-B132</f>
        <v/>
      </c>
    </row>
    <row r="134">
      <c r="A134" s="10" t="n">
        <v>42948</v>
      </c>
      <c r="B134" s="25" t="n">
        <v>52.4</v>
      </c>
      <c r="C134" s="25">
        <f>Table1346811121415161718[[#This Row],[PMI]]-B133</f>
        <v/>
      </c>
    </row>
    <row r="135">
      <c r="A135" s="10" t="n">
        <v>42979</v>
      </c>
      <c r="B135" s="25" t="n">
        <v>54.3</v>
      </c>
      <c r="C135" s="25">
        <f>Table1346811121415161718[[#This Row],[PMI]]-B134</f>
        <v/>
      </c>
    </row>
    <row r="136">
      <c r="A136" s="10" t="n">
        <v>43009</v>
      </c>
      <c r="B136" s="25" t="n">
        <v>55.8</v>
      </c>
      <c r="C136" s="25">
        <f>Table1346811121415161718[[#This Row],[PMI]]-B135</f>
        <v/>
      </c>
    </row>
    <row r="137">
      <c r="A137" s="10" t="n">
        <v>43040</v>
      </c>
      <c r="B137" s="25" t="n">
        <v>56.1</v>
      </c>
      <c r="C137" s="25">
        <f>Table1346811121415161718[[#This Row],[PMI]]-B136</f>
        <v/>
      </c>
    </row>
    <row r="138">
      <c r="A138" s="10" t="n">
        <v>43070</v>
      </c>
      <c r="B138" s="25" t="n">
        <v>55.8</v>
      </c>
      <c r="C138" s="25">
        <f>Table1346811121415161718[[#This Row],[PMI]]-B137</f>
        <v/>
      </c>
    </row>
    <row r="139">
      <c r="A139" s="10" t="n">
        <v>43101</v>
      </c>
      <c r="B139" s="25" t="n">
        <v>55.2</v>
      </c>
      <c r="C139" s="25">
        <f>Table1346811121415161718[[#This Row],[PMI]]-B138</f>
        <v/>
      </c>
    </row>
    <row r="140">
      <c r="A140" s="10" t="n">
        <v>43132</v>
      </c>
      <c r="B140" s="25" t="n">
        <v>56</v>
      </c>
      <c r="C140" s="25">
        <f>Table1346811121415161718[[#This Row],[PMI]]-B139</f>
        <v/>
      </c>
    </row>
    <row r="141">
      <c r="A141" s="10" t="n">
        <v>43160</v>
      </c>
      <c r="B141" s="25" t="n">
        <v>54.8</v>
      </c>
      <c r="C141" s="25">
        <f>Table1346811121415161718[[#This Row],[PMI]]-B140</f>
        <v/>
      </c>
    </row>
    <row r="142">
      <c r="A142" s="10" t="n">
        <v>43191</v>
      </c>
      <c r="B142" s="25" t="n">
        <v>54.4</v>
      </c>
      <c r="C142" s="25">
        <f>Table1346811121415161718[[#This Row],[PMI]]-B141</f>
        <v/>
      </c>
    </row>
    <row r="143">
      <c r="A143" s="10" t="n">
        <v>43221</v>
      </c>
      <c r="B143" s="25" t="n">
        <v>53.4</v>
      </c>
      <c r="C143" s="25">
        <f>Table1346811121415161718[[#This Row],[PMI]]-B142</f>
        <v/>
      </c>
    </row>
    <row r="144">
      <c r="A144" s="10" t="n">
        <v>43252</v>
      </c>
      <c r="B144" s="25" t="n">
        <v>53.4</v>
      </c>
      <c r="C144" s="25">
        <f>Table1346811121415161718[[#This Row],[PMI]]-B143</f>
        <v/>
      </c>
    </row>
    <row r="145">
      <c r="A145" s="10" t="n">
        <v>43282</v>
      </c>
      <c r="B145" s="25" t="n">
        <v>52.9</v>
      </c>
      <c r="C145" s="25">
        <f>Table1346811121415161718[[#This Row],[PMI]]-B144</f>
        <v/>
      </c>
    </row>
    <row r="146">
      <c r="A146" s="10" t="n">
        <v>43313</v>
      </c>
      <c r="B146" s="25" t="n">
        <v>53</v>
      </c>
      <c r="C146" s="25">
        <f>Table1346811121415161718[[#This Row],[PMI]]-B145</f>
        <v/>
      </c>
    </row>
    <row r="147">
      <c r="A147" s="10" t="n">
        <v>43344</v>
      </c>
      <c r="B147" s="25" t="n">
        <v>51.4</v>
      </c>
      <c r="C147" s="25">
        <f>Table1346811121415161718[[#This Row],[PMI]]-B146</f>
        <v/>
      </c>
    </row>
    <row r="148">
      <c r="A148" s="10" t="n">
        <v>43374</v>
      </c>
      <c r="B148" s="25" t="n">
        <v>51.8</v>
      </c>
      <c r="C148" s="25">
        <f>Table1346811121415161718[[#This Row],[PMI]]-B147</f>
        <v/>
      </c>
    </row>
    <row r="149">
      <c r="A149" s="10" t="n">
        <v>43405</v>
      </c>
      <c r="B149" s="25" t="n">
        <v>52.6</v>
      </c>
      <c r="C149" s="25">
        <f>Table1346811121415161718[[#This Row],[PMI]]-B148</f>
        <v/>
      </c>
    </row>
    <row r="150">
      <c r="A150" s="10" t="n">
        <v>43435</v>
      </c>
      <c r="B150" s="25" t="n">
        <v>51.1</v>
      </c>
      <c r="C150" s="25">
        <f>Table1346811121415161718[[#This Row],[PMI]]-B149</f>
        <v/>
      </c>
    </row>
    <row r="151">
      <c r="A151" s="10" t="n">
        <v>43466</v>
      </c>
      <c r="B151" s="25" t="n">
        <v>52.4</v>
      </c>
      <c r="C151" s="25">
        <f>Table1346811121415161718[[#This Row],[PMI]]-B150</f>
        <v/>
      </c>
    </row>
    <row r="152">
      <c r="A152" s="10" t="n">
        <v>43497</v>
      </c>
      <c r="B152" s="25" t="n">
        <v>49.9</v>
      </c>
      <c r="C152" s="25">
        <f>Table1346811121415161718[[#This Row],[PMI]]-B151</f>
        <v/>
      </c>
    </row>
    <row r="153">
      <c r="A153" s="10" t="n">
        <v>43525</v>
      </c>
      <c r="B153" s="25" t="n">
        <v>50.9</v>
      </c>
      <c r="C153" s="25">
        <f>Table1346811121415161718[[#This Row],[PMI]]-B152</f>
        <v/>
      </c>
    </row>
    <row r="154">
      <c r="A154" s="10" t="n">
        <v>43556</v>
      </c>
      <c r="B154" s="25" t="n">
        <v>51.8</v>
      </c>
      <c r="C154" s="25">
        <f>Table1346811121415161718[[#This Row],[PMI]]-B153</f>
        <v/>
      </c>
    </row>
    <row r="155">
      <c r="A155" s="10" t="n">
        <v>43586</v>
      </c>
      <c r="B155" s="25" t="n">
        <v>50.1</v>
      </c>
      <c r="C155" s="25">
        <f>Table1346811121415161718[[#This Row],[PMI]]-B154</f>
        <v/>
      </c>
    </row>
    <row r="156">
      <c r="A156" s="10" t="n">
        <v>43617</v>
      </c>
      <c r="B156" s="25" t="n">
        <v>47.9</v>
      </c>
      <c r="C156" s="25">
        <f>Table1346811121415161718[[#This Row],[PMI]]-B155</f>
        <v/>
      </c>
    </row>
    <row r="157">
      <c r="A157" s="10" t="n">
        <v>43647</v>
      </c>
      <c r="B157" s="25" t="n">
        <v>48.2</v>
      </c>
      <c r="C157" s="25">
        <f>Table1346811121415161718[[#This Row],[PMI]]-B156</f>
        <v/>
      </c>
    </row>
    <row r="158">
      <c r="A158" s="10" t="n">
        <v>43678</v>
      </c>
      <c r="B158" s="25" t="n">
        <v>48.8</v>
      </c>
      <c r="C158" s="25">
        <f>Table1346811121415161718[[#This Row],[PMI]]-B157</f>
        <v/>
      </c>
    </row>
    <row r="159">
      <c r="A159" s="10" t="n">
        <v>43709</v>
      </c>
      <c r="B159" s="25" t="n">
        <v>47.7</v>
      </c>
      <c r="C159" s="25">
        <f>Table1346811121415161718[[#This Row],[PMI]]-B158</f>
        <v/>
      </c>
    </row>
    <row r="160">
      <c r="A160" s="10" t="n">
        <v>43739</v>
      </c>
      <c r="B160" s="25" t="n">
        <v>46.8</v>
      </c>
      <c r="C160" s="25">
        <f>Table1346811121415161718[[#This Row],[PMI]]-B159</f>
        <v/>
      </c>
    </row>
    <row r="161">
      <c r="A161" s="10" t="n">
        <v>43770</v>
      </c>
      <c r="B161" s="25" t="n">
        <v>47.5</v>
      </c>
      <c r="C161" s="25">
        <f>Table1346811121415161718[[#This Row],[PMI]]-B160</f>
        <v/>
      </c>
    </row>
    <row r="162">
      <c r="A162" s="10" t="n">
        <v>43800</v>
      </c>
      <c r="B162" s="25" t="n">
        <v>47.4</v>
      </c>
      <c r="C162" s="25">
        <f>Table1346811121415161718[[#This Row],[PMI]]-B161</f>
        <v/>
      </c>
    </row>
    <row r="163">
      <c r="A163" s="10" t="n">
        <v>43831</v>
      </c>
      <c r="B163" s="25" t="n">
        <v>48.5</v>
      </c>
      <c r="C163" s="25">
        <f>Table1346811121415161718[[#This Row],[PMI]]-B162</f>
        <v/>
      </c>
    </row>
    <row r="164">
      <c r="A164" s="10" t="n">
        <v>43862</v>
      </c>
      <c r="B164" s="25" t="n">
        <v>50.4</v>
      </c>
      <c r="C164" s="25">
        <f>Table1346811121415161718[[#This Row],[PMI]]-B163</f>
        <v/>
      </c>
    </row>
    <row r="165">
      <c r="A165" s="10" t="n">
        <v>43891</v>
      </c>
      <c r="B165" s="25" t="n">
        <v>45.7</v>
      </c>
      <c r="C165" s="25">
        <f>Table1346811121415161718[[#This Row],[PMI]]-B164</f>
        <v/>
      </c>
    </row>
    <row r="166">
      <c r="A166" s="10" t="n">
        <v>43922</v>
      </c>
      <c r="B166" s="25" t="n">
        <v>30.8</v>
      </c>
      <c r="C166" s="25">
        <f>Table1346811121415161718[[#This Row],[PMI]]-B165</f>
        <v/>
      </c>
    </row>
    <row r="167">
      <c r="A167" s="10" t="n">
        <v>43952</v>
      </c>
      <c r="B167" s="25" t="n">
        <v>38.3</v>
      </c>
      <c r="C167" s="25">
        <f>Table1346811121415161718[[#This Row],[PMI]]-B166</f>
        <v/>
      </c>
    </row>
    <row r="168">
      <c r="A168" s="10" t="n">
        <v>43983</v>
      </c>
      <c r="B168" s="25" t="n">
        <v>49</v>
      </c>
      <c r="C168" s="25">
        <f>Table1346811121415161718[[#This Row],[PMI]]-B167</f>
        <v/>
      </c>
    </row>
    <row r="169">
      <c r="A169" s="10" t="n">
        <v>44013</v>
      </c>
      <c r="B169" s="25" t="n">
        <v>53.5</v>
      </c>
      <c r="C169" s="25">
        <f>Table1346811121415161718[[#This Row],[PMI]]-B168</f>
        <v/>
      </c>
    </row>
    <row r="170">
      <c r="A170" s="10" t="n">
        <v>44044</v>
      </c>
      <c r="B170" s="25" t="n">
        <v>49.9</v>
      </c>
      <c r="C170" s="25">
        <f>Table1346811121415161718[[#This Row],[PMI]]-B169</f>
        <v/>
      </c>
    </row>
    <row r="171">
      <c r="A171" s="10" t="n">
        <v>44075</v>
      </c>
      <c r="B171" s="25" t="n">
        <v>50.8</v>
      </c>
      <c r="C171" s="25">
        <f>Table1346811121415161718[[#This Row],[PMI]]-B170</f>
        <v/>
      </c>
    </row>
    <row r="172">
      <c r="A172" s="10" t="n">
        <v>44105</v>
      </c>
      <c r="B172" s="25" t="n">
        <v>52.5</v>
      </c>
      <c r="C172" s="25">
        <f>Table1346811121415161718[[#This Row],[PMI]]-B171</f>
        <v/>
      </c>
    </row>
    <row r="173">
      <c r="A173" s="10" t="n">
        <v>44136</v>
      </c>
      <c r="B173" s="25" t="n">
        <v>49.8</v>
      </c>
      <c r="C173" s="25">
        <f>Table1346811121415161718[[#This Row],[PMI]]-B172</f>
        <v/>
      </c>
    </row>
    <row r="174">
      <c r="A174" s="10" t="n">
        <v>44166</v>
      </c>
      <c r="B174" s="25" t="n">
        <v>51</v>
      </c>
      <c r="C174" s="25">
        <f>Table1346811121415161718[[#This Row],[PMI]]-B173</f>
        <v/>
      </c>
    </row>
    <row r="175">
      <c r="A175" s="10" t="n">
        <v>44197</v>
      </c>
      <c r="B175" s="25" t="n">
        <v>49.3</v>
      </c>
      <c r="C175" s="25">
        <f>Table1346811121415161718[[#This Row],[PMI]]-B174</f>
        <v/>
      </c>
    </row>
    <row r="176">
      <c r="A176" s="10" t="n">
        <v>44228</v>
      </c>
      <c r="B176" s="25" t="n">
        <v>52.9</v>
      </c>
      <c r="C176" s="25">
        <f>Table1346811121415161718[[#This Row],[PMI]]-B175</f>
        <v/>
      </c>
    </row>
    <row r="177">
      <c r="A177" s="10" t="n">
        <v>44256</v>
      </c>
      <c r="B177" s="25" t="n">
        <v>56.9</v>
      </c>
      <c r="C177" s="25">
        <f>Table1346811121415161718[[#This Row],[PMI]]-B176</f>
        <v/>
      </c>
    </row>
    <row r="178">
      <c r="A178" s="10" t="n">
        <v>44287</v>
      </c>
      <c r="B178" s="25" t="n">
        <v>57.7</v>
      </c>
      <c r="C178" s="25">
        <f>Table1346811121415161718[[#This Row],[PMI]]-B177</f>
        <v/>
      </c>
    </row>
    <row r="179">
      <c r="A179" s="10" t="n">
        <v>44317</v>
      </c>
      <c r="B179" s="25" t="n">
        <v>59.4</v>
      </c>
      <c r="C179" s="25">
        <f>Table1346811121415161718[[#This Row],[PMI]]-B178</f>
        <v/>
      </c>
    </row>
    <row r="180">
      <c r="A180" s="10" t="n">
        <v>44348</v>
      </c>
      <c r="B180" s="25" t="n">
        <v>60.4</v>
      </c>
      <c r="C180" s="25">
        <f>Table1346811121415161718[[#This Row],[PMI]]-B179</f>
        <v/>
      </c>
    </row>
    <row r="181">
      <c r="A181" s="10" t="n">
        <v>44378</v>
      </c>
      <c r="B181" s="25" t="n">
        <v>59</v>
      </c>
      <c r="C181" s="25">
        <f>Table1346811121415161718[[#This Row],[PMI]]-B180</f>
        <v/>
      </c>
    </row>
    <row r="182">
      <c r="A182" s="10" t="n">
        <v>44409</v>
      </c>
      <c r="B182" s="25" t="n">
        <v>59.5</v>
      </c>
      <c r="C182" s="25">
        <f>Table1346811121415161718[[#This Row],[PMI]]-B181</f>
        <v/>
      </c>
    </row>
    <row r="183">
      <c r="A183" s="10" t="n">
        <v>44440</v>
      </c>
      <c r="B183" s="25" t="n">
        <v>58.1</v>
      </c>
      <c r="C183" s="25">
        <f>Table1346811121415161718[[#This Row],[PMI]]-B182</f>
        <v/>
      </c>
    </row>
    <row r="184">
      <c r="A184" s="10" t="n">
        <v>44470</v>
      </c>
      <c r="B184" s="25" t="n">
        <v>57.4</v>
      </c>
      <c r="C184" s="25">
        <f>Table1346811121415161718[[#This Row],[PMI]]-B183</f>
        <v/>
      </c>
    </row>
    <row r="185">
      <c r="A185" s="10" t="n">
        <v>44501</v>
      </c>
      <c r="B185" s="25" t="n">
        <v>57.1</v>
      </c>
      <c r="C185" s="25">
        <f>Table1346811121415161718[[#This Row],[PMI]]-B184</f>
        <v/>
      </c>
    </row>
    <row r="186">
      <c r="A186" s="10" t="n">
        <v>44531</v>
      </c>
      <c r="B186" s="25" t="n">
        <v>56.2</v>
      </c>
      <c r="C186" s="25">
        <f>Table1346811121415161718[[#This Row],[PMI]]-B185</f>
        <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0"/>
  <sheetViews>
    <sheetView zoomScale="150" zoomScaleNormal="150" workbookViewId="0">
      <pane ySplit="5" topLeftCell="A109"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Brazil</t>
        </is>
      </c>
      <c r="K1" s="84" t="inlineStr">
        <is>
          <t xml:space="preserve"> Manufacturing PMI</t>
        </is>
      </c>
    </row>
    <row r="2">
      <c r="A2" s="84" t="inlineStr">
        <is>
          <t>brazil</t>
        </is>
      </c>
      <c r="K2" s="84">
        <f>A1&amp;K1</f>
        <v/>
      </c>
    </row>
    <row r="4" ht="16" customHeight="1" s="76" thickBot="1"/>
    <row r="5" ht="16" customHeight="1" s="76" thickBot="1">
      <c r="A5" s="22" t="inlineStr">
        <is>
          <t>Date</t>
        </is>
      </c>
      <c r="B5" s="23" t="inlineStr">
        <is>
          <t>PMI</t>
        </is>
      </c>
      <c r="C5" s="23" t="inlineStr">
        <is>
          <t>mom</t>
        </is>
      </c>
    </row>
    <row r="6">
      <c r="A6" s="18" t="n">
        <v>40452</v>
      </c>
      <c r="B6" s="19" t="n">
        <v>49.5</v>
      </c>
      <c r="C6" s="19" t="n"/>
    </row>
    <row r="7">
      <c r="A7" s="10" t="n">
        <v>40483</v>
      </c>
      <c r="B7" s="25" t="n">
        <v>49.9</v>
      </c>
      <c r="C7" s="25">
        <f>Table134681112141516171819202223[[#This Row],[PMI]]-B6</f>
        <v/>
      </c>
    </row>
    <row r="8">
      <c r="A8" s="10" t="n">
        <v>40513</v>
      </c>
      <c r="B8" s="25" t="n">
        <v>52.4</v>
      </c>
      <c r="C8" s="25">
        <f>Table134681112141516171819202223[[#This Row],[PMI]]-B7</f>
        <v/>
      </c>
    </row>
    <row r="9">
      <c r="A9" s="10" t="n">
        <v>40544</v>
      </c>
      <c r="B9" s="25" t="n">
        <v>53.1</v>
      </c>
      <c r="C9" s="25">
        <f>Table134681112141516171819202223[[#This Row],[PMI]]-B8</f>
        <v/>
      </c>
    </row>
    <row r="10">
      <c r="A10" s="10" t="n">
        <v>40575</v>
      </c>
      <c r="B10" s="25" t="n">
        <v>54.6</v>
      </c>
      <c r="C10" s="25">
        <f>Table134681112141516171819202223[[#This Row],[PMI]]-B9</f>
        <v/>
      </c>
    </row>
    <row r="11">
      <c r="A11" s="10" t="n">
        <v>40603</v>
      </c>
      <c r="B11" s="25" t="n">
        <v>53.2</v>
      </c>
      <c r="C11" s="25">
        <f>Table134681112141516171819202223[[#This Row],[PMI]]-B10</f>
        <v/>
      </c>
    </row>
    <row r="12">
      <c r="A12" s="10" t="n">
        <v>40634</v>
      </c>
      <c r="B12" s="25" t="n">
        <v>52.5</v>
      </c>
      <c r="C12" s="25">
        <f>Table134681112141516171819202223[[#This Row],[PMI]]-B11</f>
        <v/>
      </c>
    </row>
    <row r="13">
      <c r="A13" s="10" t="n">
        <v>40664</v>
      </c>
      <c r="B13" s="25" t="n">
        <v>53</v>
      </c>
      <c r="C13" s="25">
        <f>Table134681112141516171819202223[[#This Row],[PMI]]-B12</f>
        <v/>
      </c>
    </row>
    <row r="14">
      <c r="A14" s="10" t="n">
        <v>40695</v>
      </c>
      <c r="B14" s="25" t="n">
        <v>49</v>
      </c>
      <c r="C14" s="25">
        <f>Table134681112141516171819202223[[#This Row],[PMI]]-B13</f>
        <v/>
      </c>
    </row>
    <row r="15">
      <c r="A15" s="10" t="n">
        <v>40725</v>
      </c>
      <c r="B15" s="25" t="n">
        <v>47.8</v>
      </c>
      <c r="C15" s="25">
        <f>Table134681112141516171819202223[[#This Row],[PMI]]-B14</f>
        <v/>
      </c>
    </row>
    <row r="16">
      <c r="A16" s="10" t="n">
        <v>40756</v>
      </c>
      <c r="B16" s="25" t="n">
        <v>46</v>
      </c>
      <c r="C16" s="25">
        <f>Table134681112141516171819202223[[#This Row],[PMI]]-B15</f>
        <v/>
      </c>
    </row>
    <row r="17">
      <c r="A17" s="10" t="n">
        <v>40787</v>
      </c>
      <c r="B17" s="25" t="n">
        <v>45.5</v>
      </c>
      <c r="C17" s="25">
        <f>Table134681112141516171819202223[[#This Row],[PMI]]-B16</f>
        <v/>
      </c>
    </row>
    <row r="18">
      <c r="A18" s="10" t="n">
        <v>40817</v>
      </c>
      <c r="B18" s="25" t="n">
        <v>46.5</v>
      </c>
      <c r="C18" s="25">
        <f>Table134681112141516171819202223[[#This Row],[PMI]]-B17</f>
        <v/>
      </c>
    </row>
    <row r="19">
      <c r="A19" s="10" t="n">
        <v>40848</v>
      </c>
      <c r="B19" s="25" t="n">
        <v>48.7</v>
      </c>
      <c r="C19" s="25">
        <f>Table134681112141516171819202223[[#This Row],[PMI]]-B18</f>
        <v/>
      </c>
    </row>
    <row r="20">
      <c r="A20" s="10" t="n">
        <v>40878</v>
      </c>
      <c r="B20" s="25" t="n">
        <v>49.3</v>
      </c>
      <c r="C20" s="25">
        <f>Table134681112141516171819202223[[#This Row],[PMI]]-B19</f>
        <v/>
      </c>
    </row>
    <row r="21">
      <c r="A21" s="10" t="n">
        <v>40909</v>
      </c>
      <c r="B21" s="25" t="n">
        <v>50.6</v>
      </c>
      <c r="C21" s="25">
        <f>Table134681112141516171819202223[[#This Row],[PMI]]-B20</f>
        <v/>
      </c>
    </row>
    <row r="22">
      <c r="A22" s="10" t="n">
        <v>40940</v>
      </c>
      <c r="B22" s="25" t="n">
        <v>51.4</v>
      </c>
      <c r="C22" s="25">
        <f>Table134681112141516171819202223[[#This Row],[PMI]]-B21</f>
        <v/>
      </c>
    </row>
    <row r="23">
      <c r="A23" s="10" t="n">
        <v>40969</v>
      </c>
      <c r="B23" s="25" t="n">
        <v>51.1</v>
      </c>
      <c r="C23" s="25">
        <f>Table134681112141516171819202223[[#This Row],[PMI]]-B22</f>
        <v/>
      </c>
    </row>
    <row r="24">
      <c r="A24" s="10" t="n">
        <v>41000</v>
      </c>
      <c r="B24" s="25" t="n">
        <v>49.3</v>
      </c>
      <c r="C24" s="25">
        <f>Table134681112141516171819202223[[#This Row],[PMI]]-B23</f>
        <v/>
      </c>
    </row>
    <row r="25">
      <c r="A25" s="10" t="n">
        <v>41030</v>
      </c>
      <c r="B25" s="25" t="n">
        <v>49.3</v>
      </c>
      <c r="C25" s="25">
        <f>Table134681112141516171819202223[[#This Row],[PMI]]-B24</f>
        <v/>
      </c>
    </row>
    <row r="26">
      <c r="A26" s="10" t="n">
        <v>41061</v>
      </c>
      <c r="B26" s="25" t="n">
        <v>48.5</v>
      </c>
      <c r="C26" s="25">
        <f>Table134681112141516171819202223[[#This Row],[PMI]]-B25</f>
        <v/>
      </c>
    </row>
    <row r="27">
      <c r="A27" s="10" t="n">
        <v>41091</v>
      </c>
      <c r="B27" s="25" t="n">
        <v>48.7</v>
      </c>
      <c r="C27" s="25">
        <f>Table134681112141516171819202223[[#This Row],[PMI]]-B26</f>
        <v/>
      </c>
    </row>
    <row r="28">
      <c r="A28" s="10" t="n">
        <v>41122</v>
      </c>
      <c r="B28" s="25" t="n">
        <v>49.3</v>
      </c>
      <c r="C28" s="25">
        <f>Table134681112141516171819202223[[#This Row],[PMI]]-B27</f>
        <v/>
      </c>
    </row>
    <row r="29">
      <c r="A29" s="10" t="n">
        <v>41153</v>
      </c>
      <c r="B29" s="25" t="n">
        <v>49.8</v>
      </c>
      <c r="C29" s="25">
        <f>Table134681112141516171819202223[[#This Row],[PMI]]-B28</f>
        <v/>
      </c>
    </row>
    <row r="30">
      <c r="A30" s="10" t="n">
        <v>41183</v>
      </c>
      <c r="B30" s="25" t="n">
        <v>50.2</v>
      </c>
      <c r="C30" s="25">
        <f>Table134681112141516171819202223[[#This Row],[PMI]]-B29</f>
        <v/>
      </c>
    </row>
    <row r="31">
      <c r="A31" s="10" t="n">
        <v>41214</v>
      </c>
      <c r="B31" s="25" t="n">
        <v>52.2</v>
      </c>
      <c r="C31" s="25">
        <f>Table134681112141516171819202223[[#This Row],[PMI]]-B30</f>
        <v/>
      </c>
    </row>
    <row r="32">
      <c r="A32" s="10" t="n">
        <v>41244</v>
      </c>
      <c r="B32" s="25" t="n">
        <v>51.1</v>
      </c>
      <c r="C32" s="25">
        <f>Table134681112141516171819202223[[#This Row],[PMI]]-B31</f>
        <v/>
      </c>
    </row>
    <row r="33">
      <c r="A33" s="10" t="n">
        <v>41275</v>
      </c>
      <c r="B33" s="25" t="n">
        <v>53.2</v>
      </c>
      <c r="C33" s="25">
        <f>Table134681112141516171819202223[[#This Row],[PMI]]-B32</f>
        <v/>
      </c>
    </row>
    <row r="34">
      <c r="A34" s="10" t="n">
        <v>41306</v>
      </c>
      <c r="B34" s="25" t="n">
        <v>52.5</v>
      </c>
      <c r="C34" s="25">
        <f>Table134681112141516171819202223[[#This Row],[PMI]]-B33</f>
        <v/>
      </c>
    </row>
    <row r="35">
      <c r="A35" s="10" t="n">
        <v>41334</v>
      </c>
      <c r="B35" s="25" t="n">
        <v>51.8</v>
      </c>
      <c r="C35" s="25">
        <f>Table134681112141516171819202223[[#This Row],[PMI]]-B34</f>
        <v/>
      </c>
    </row>
    <row r="36">
      <c r="A36" s="10" t="n">
        <v>41365</v>
      </c>
      <c r="B36" s="25" t="n">
        <v>50.8</v>
      </c>
      <c r="C36" s="25">
        <f>Table134681112141516171819202223[[#This Row],[PMI]]-B35</f>
        <v/>
      </c>
    </row>
    <row r="37">
      <c r="A37" s="10" t="n">
        <v>41395</v>
      </c>
      <c r="B37" s="25" t="n">
        <v>50.4</v>
      </c>
      <c r="C37" s="25">
        <f>Table134681112141516171819202223[[#This Row],[PMI]]-B36</f>
        <v/>
      </c>
    </row>
    <row r="38">
      <c r="A38" s="10" t="n">
        <v>41426</v>
      </c>
      <c r="B38" s="25" t="n">
        <v>50.4</v>
      </c>
      <c r="C38" s="25">
        <f>Table134681112141516171819202223[[#This Row],[PMI]]-B37</f>
        <v/>
      </c>
    </row>
    <row r="39">
      <c r="A39" s="10" t="n">
        <v>41456</v>
      </c>
      <c r="B39" s="25" t="n">
        <v>48.5</v>
      </c>
      <c r="C39" s="25">
        <f>Table134681112141516171819202223[[#This Row],[PMI]]-B38</f>
        <v/>
      </c>
    </row>
    <row r="40">
      <c r="A40" s="10" t="n">
        <v>41487</v>
      </c>
      <c r="B40" s="25" t="n">
        <v>49.4</v>
      </c>
      <c r="C40" s="25">
        <f>Table134681112141516171819202223[[#This Row],[PMI]]-B39</f>
        <v/>
      </c>
    </row>
    <row r="41">
      <c r="A41" s="10" t="n">
        <v>41518</v>
      </c>
      <c r="B41" s="25" t="n">
        <v>49.9</v>
      </c>
      <c r="C41" s="25">
        <f>Table134681112141516171819202223[[#This Row],[PMI]]-B40</f>
        <v/>
      </c>
    </row>
    <row r="42">
      <c r="A42" s="10" t="n">
        <v>41548</v>
      </c>
      <c r="B42" s="25" t="n">
        <v>50.2</v>
      </c>
      <c r="C42" s="25">
        <f>Table134681112141516171819202223[[#This Row],[PMI]]-B41</f>
        <v/>
      </c>
    </row>
    <row r="43">
      <c r="A43" s="10" t="n">
        <v>41579</v>
      </c>
      <c r="B43" s="25" t="n">
        <v>49.7</v>
      </c>
      <c r="C43" s="25">
        <f>Table134681112141516171819202223[[#This Row],[PMI]]-B42</f>
        <v/>
      </c>
    </row>
    <row r="44">
      <c r="A44" s="10" t="n">
        <v>41609</v>
      </c>
      <c r="B44" s="25" t="n">
        <v>50.5</v>
      </c>
      <c r="C44" s="25">
        <f>Table134681112141516171819202223[[#This Row],[PMI]]-B43</f>
        <v/>
      </c>
    </row>
    <row r="45">
      <c r="A45" s="10" t="n">
        <v>41640</v>
      </c>
      <c r="B45" s="25" t="n">
        <v>51.7</v>
      </c>
      <c r="C45" s="25">
        <f>Table134681112141516171819202223[[#This Row],[PMI]]-B44</f>
        <v/>
      </c>
    </row>
    <row r="46">
      <c r="A46" s="10" t="n">
        <v>41671</v>
      </c>
      <c r="B46" s="25" t="n">
        <v>50.4</v>
      </c>
      <c r="C46" s="25">
        <f>Table134681112141516171819202223[[#This Row],[PMI]]-B45</f>
        <v/>
      </c>
    </row>
    <row r="47">
      <c r="A47" s="10" t="n">
        <v>41699</v>
      </c>
      <c r="B47" s="25" t="n">
        <v>50.6</v>
      </c>
      <c r="C47" s="25">
        <f>Table134681112141516171819202223[[#This Row],[PMI]]-B46</f>
        <v/>
      </c>
    </row>
    <row r="48">
      <c r="A48" s="10" t="n">
        <v>41730</v>
      </c>
      <c r="B48" s="25" t="n">
        <v>49.3</v>
      </c>
      <c r="C48" s="25">
        <f>Table134681112141516171819202223[[#This Row],[PMI]]-B47</f>
        <v/>
      </c>
    </row>
    <row r="49">
      <c r="A49" s="10" t="n">
        <v>41760</v>
      </c>
      <c r="B49" s="25" t="n">
        <v>48.8</v>
      </c>
      <c r="C49" s="25">
        <f>Table134681112141516171819202223[[#This Row],[PMI]]-B48</f>
        <v/>
      </c>
    </row>
    <row r="50">
      <c r="A50" s="10" t="n">
        <v>41791</v>
      </c>
      <c r="B50" s="25" t="n">
        <v>48.7</v>
      </c>
      <c r="C50" s="25">
        <f>Table134681112141516171819202223[[#This Row],[PMI]]-B49</f>
        <v/>
      </c>
    </row>
    <row r="51">
      <c r="A51" s="10" t="n">
        <v>41821</v>
      </c>
      <c r="B51" s="25" t="n">
        <v>49.1</v>
      </c>
      <c r="C51" s="25">
        <f>Table134681112141516171819202223[[#This Row],[PMI]]-B50</f>
        <v/>
      </c>
    </row>
    <row r="52">
      <c r="A52" s="10" t="n">
        <v>41852</v>
      </c>
      <c r="B52" s="25" t="n">
        <v>50.2</v>
      </c>
      <c r="C52" s="25">
        <f>Table134681112141516171819202223[[#This Row],[PMI]]-B51</f>
        <v/>
      </c>
    </row>
    <row r="53">
      <c r="A53" s="10" t="n">
        <v>41883</v>
      </c>
      <c r="B53" s="25" t="n">
        <v>49.3</v>
      </c>
      <c r="C53" s="25">
        <f>Table134681112141516171819202223[[#This Row],[PMI]]-B52</f>
        <v/>
      </c>
    </row>
    <row r="54">
      <c r="A54" s="10" t="n">
        <v>41913</v>
      </c>
      <c r="B54" s="25" t="n">
        <v>49.1</v>
      </c>
      <c r="C54" s="25">
        <f>Table134681112141516171819202223[[#This Row],[PMI]]-B53</f>
        <v/>
      </c>
    </row>
    <row r="55">
      <c r="A55" s="10" t="n">
        <v>41944</v>
      </c>
      <c r="B55" s="25" t="n">
        <v>48.7</v>
      </c>
      <c r="C55" s="25">
        <f>Table134681112141516171819202223[[#This Row],[PMI]]-B54</f>
        <v/>
      </c>
    </row>
    <row r="56">
      <c r="A56" s="10" t="n">
        <v>41974</v>
      </c>
      <c r="B56" s="25" t="n">
        <v>50.2</v>
      </c>
      <c r="C56" s="25">
        <f>Table134681112141516171819202223[[#This Row],[PMI]]-B55</f>
        <v/>
      </c>
    </row>
    <row r="57">
      <c r="A57" s="10" t="n">
        <v>42005</v>
      </c>
      <c r="B57" s="25" t="n">
        <v>50.7</v>
      </c>
      <c r="C57" s="25">
        <f>Table134681112141516171819202223[[#This Row],[PMI]]-B56</f>
        <v/>
      </c>
    </row>
    <row r="58">
      <c r="A58" s="10" t="n">
        <v>42036</v>
      </c>
      <c r="B58" s="25" t="n">
        <v>49.6</v>
      </c>
      <c r="C58" s="25">
        <f>Table134681112141516171819202223[[#This Row],[PMI]]-B57</f>
        <v/>
      </c>
    </row>
    <row r="59">
      <c r="A59" s="10" t="n">
        <v>42064</v>
      </c>
      <c r="B59" s="25" t="n">
        <v>46.2</v>
      </c>
      <c r="C59" s="25">
        <f>Table134681112141516171819202223[[#This Row],[PMI]]-B58</f>
        <v/>
      </c>
    </row>
    <row r="60">
      <c r="A60" s="10" t="n">
        <v>42095</v>
      </c>
      <c r="B60" s="25" t="n">
        <v>46</v>
      </c>
      <c r="C60" s="25">
        <f>Table134681112141516171819202223[[#This Row],[PMI]]-B59</f>
        <v/>
      </c>
    </row>
    <row r="61">
      <c r="A61" s="10" t="n">
        <v>42125</v>
      </c>
      <c r="B61" s="25" t="n">
        <v>45.9</v>
      </c>
      <c r="C61" s="25">
        <f>Table134681112141516171819202223[[#This Row],[PMI]]-B60</f>
        <v/>
      </c>
    </row>
    <row r="62">
      <c r="A62" s="10" t="n">
        <v>42156</v>
      </c>
      <c r="B62" s="25" t="n">
        <v>46.5</v>
      </c>
      <c r="C62" s="25">
        <f>Table134681112141516171819202223[[#This Row],[PMI]]-B61</f>
        <v/>
      </c>
    </row>
    <row r="63">
      <c r="A63" s="10" t="n">
        <v>42186</v>
      </c>
      <c r="B63" s="25" t="n">
        <v>47.2</v>
      </c>
      <c r="C63" s="25">
        <f>Table134681112141516171819202223[[#This Row],[PMI]]-B62</f>
        <v/>
      </c>
    </row>
    <row r="64">
      <c r="A64" s="10" t="n">
        <v>42217</v>
      </c>
      <c r="B64" s="25" t="n">
        <v>45.8</v>
      </c>
      <c r="C64" s="25">
        <f>Table134681112141516171819202223[[#This Row],[PMI]]-B63</f>
        <v/>
      </c>
    </row>
    <row r="65">
      <c r="A65" s="10" t="n">
        <v>42248</v>
      </c>
      <c r="B65" s="25" t="n">
        <v>47</v>
      </c>
      <c r="C65" s="25">
        <f>Table134681112141516171819202223[[#This Row],[PMI]]-B64</f>
        <v/>
      </c>
    </row>
    <row r="66">
      <c r="A66" s="10" t="n">
        <v>42278</v>
      </c>
      <c r="B66" s="25" t="n">
        <v>44.1</v>
      </c>
      <c r="C66" s="25">
        <f>Table134681112141516171819202223[[#This Row],[PMI]]-B65</f>
        <v/>
      </c>
    </row>
    <row r="67">
      <c r="A67" s="10" t="n">
        <v>42309</v>
      </c>
      <c r="B67" s="25" t="n">
        <v>43.8</v>
      </c>
      <c r="C67" s="25">
        <f>Table134681112141516171819202223[[#This Row],[PMI]]-B66</f>
        <v/>
      </c>
    </row>
    <row r="68">
      <c r="A68" s="10" t="n">
        <v>42339</v>
      </c>
      <c r="B68" s="25" t="n">
        <v>45.6</v>
      </c>
      <c r="C68" s="25">
        <f>Table134681112141516171819202223[[#This Row],[PMI]]-B67</f>
        <v/>
      </c>
    </row>
    <row r="69">
      <c r="A69" s="10" t="n">
        <v>42370</v>
      </c>
      <c r="B69" s="25" t="n">
        <v>47.4</v>
      </c>
      <c r="C69" s="25">
        <f>Table134681112141516171819202223[[#This Row],[PMI]]-B68</f>
        <v/>
      </c>
    </row>
    <row r="70">
      <c r="A70" s="10" t="n">
        <v>42401</v>
      </c>
      <c r="B70" s="25" t="n">
        <v>44.5</v>
      </c>
      <c r="C70" s="25">
        <f>Table134681112141516171819202223[[#This Row],[PMI]]-B69</f>
        <v/>
      </c>
    </row>
    <row r="71">
      <c r="A71" s="10" t="n">
        <v>42430</v>
      </c>
      <c r="B71" s="25" t="n">
        <v>46</v>
      </c>
      <c r="C71" s="25">
        <f>Table134681112141516171819202223[[#This Row],[PMI]]-B70</f>
        <v/>
      </c>
    </row>
    <row r="72">
      <c r="A72" s="10" t="n">
        <v>42461</v>
      </c>
      <c r="B72" s="25" t="n">
        <v>42.6</v>
      </c>
      <c r="C72" s="25">
        <f>Table134681112141516171819202223[[#This Row],[PMI]]-B71</f>
        <v/>
      </c>
    </row>
    <row r="73">
      <c r="A73" s="10" t="n">
        <v>42491</v>
      </c>
      <c r="B73" s="25" t="n">
        <v>41.6</v>
      </c>
      <c r="C73" s="25">
        <f>Table134681112141516171819202223[[#This Row],[PMI]]-B72</f>
        <v/>
      </c>
    </row>
    <row r="74">
      <c r="A74" s="10" t="n">
        <v>42522</v>
      </c>
      <c r="B74" s="25" t="n">
        <v>43.2</v>
      </c>
      <c r="C74" s="25">
        <f>Table134681112141516171819202223[[#This Row],[PMI]]-B73</f>
        <v/>
      </c>
    </row>
    <row r="75">
      <c r="A75" s="10" t="n">
        <v>42552</v>
      </c>
      <c r="B75" s="25" t="n">
        <v>46</v>
      </c>
      <c r="C75" s="25">
        <f>Table134681112141516171819202223[[#This Row],[PMI]]-B74</f>
        <v/>
      </c>
    </row>
    <row r="76">
      <c r="A76" s="10" t="n">
        <v>42583</v>
      </c>
      <c r="B76" s="25" t="n">
        <v>45.7</v>
      </c>
      <c r="C76" s="25">
        <f>Table134681112141516171819202223[[#This Row],[PMI]]-B75</f>
        <v/>
      </c>
    </row>
    <row r="77">
      <c r="A77" s="10" t="n">
        <v>42614</v>
      </c>
      <c r="B77" s="25" t="n">
        <v>46</v>
      </c>
      <c r="C77" s="25">
        <f>Table134681112141516171819202223[[#This Row],[PMI]]-B76</f>
        <v/>
      </c>
    </row>
    <row r="78">
      <c r="A78" s="10" t="n">
        <v>42644</v>
      </c>
      <c r="B78" s="25" t="n">
        <v>46.3</v>
      </c>
      <c r="C78" s="25">
        <f>Table134681112141516171819202223[[#This Row],[PMI]]-B77</f>
        <v/>
      </c>
    </row>
    <row r="79">
      <c r="A79" s="10" t="n">
        <v>42675</v>
      </c>
      <c r="B79" s="25" t="n">
        <v>46.2</v>
      </c>
      <c r="C79" s="25">
        <f>Table134681112141516171819202223[[#This Row],[PMI]]-B78</f>
        <v/>
      </c>
    </row>
    <row r="80">
      <c r="A80" s="10" t="n">
        <v>42705</v>
      </c>
      <c r="B80" s="25" t="n">
        <v>45.2</v>
      </c>
      <c r="C80" s="25">
        <f>Table134681112141516171819202223[[#This Row],[PMI]]-B79</f>
        <v/>
      </c>
    </row>
    <row r="81">
      <c r="A81" s="10" t="n">
        <v>42736</v>
      </c>
      <c r="B81" s="25" t="n">
        <v>44</v>
      </c>
      <c r="C81" s="25">
        <f>Table134681112141516171819202223[[#This Row],[PMI]]-B80</f>
        <v/>
      </c>
    </row>
    <row r="82">
      <c r="A82" s="10" t="n">
        <v>42767</v>
      </c>
      <c r="B82" s="25" t="n">
        <v>46.9</v>
      </c>
      <c r="C82" s="25">
        <f>Table134681112141516171819202223[[#This Row],[PMI]]-B81</f>
        <v/>
      </c>
    </row>
    <row r="83">
      <c r="A83" s="10" t="n">
        <v>42795</v>
      </c>
      <c r="B83" s="25" t="n">
        <v>49.6</v>
      </c>
      <c r="C83" s="25">
        <f>Table134681112141516171819202223[[#This Row],[PMI]]-B82</f>
        <v/>
      </c>
    </row>
    <row r="84">
      <c r="A84" s="10" t="n">
        <v>42826</v>
      </c>
      <c r="B84" s="25" t="n">
        <v>50.1</v>
      </c>
      <c r="C84" s="25">
        <f>Table134681112141516171819202223[[#This Row],[PMI]]-B83</f>
        <v/>
      </c>
    </row>
    <row r="85">
      <c r="A85" s="10" t="n">
        <v>42856</v>
      </c>
      <c r="B85" s="25" t="n">
        <v>52</v>
      </c>
      <c r="C85" s="25">
        <f>Table134681112141516171819202223[[#This Row],[PMI]]-B84</f>
        <v/>
      </c>
    </row>
    <row r="86">
      <c r="A86" s="10" t="n">
        <v>42887</v>
      </c>
      <c r="B86" s="25" t="n">
        <v>50.5</v>
      </c>
      <c r="C86" s="25">
        <f>Table134681112141516171819202223[[#This Row],[PMI]]-B85</f>
        <v/>
      </c>
    </row>
    <row r="87">
      <c r="A87" s="10" t="n">
        <v>42917</v>
      </c>
      <c r="B87" s="25" t="n">
        <v>50</v>
      </c>
      <c r="C87" s="25">
        <f>Table134681112141516171819202223[[#This Row],[PMI]]-B86</f>
        <v/>
      </c>
    </row>
    <row r="88">
      <c r="A88" s="10" t="n">
        <v>42948</v>
      </c>
      <c r="B88" s="25" t="n">
        <v>50.9</v>
      </c>
      <c r="C88" s="25">
        <f>Table134681112141516171819202223[[#This Row],[PMI]]-B87</f>
        <v/>
      </c>
    </row>
    <row r="89">
      <c r="A89" s="10" t="n">
        <v>42979</v>
      </c>
      <c r="B89" s="25" t="n">
        <v>50.9</v>
      </c>
      <c r="C89" s="25">
        <f>Table134681112141516171819202223[[#This Row],[PMI]]-B88</f>
        <v/>
      </c>
    </row>
    <row r="90">
      <c r="A90" s="10" t="n">
        <v>43009</v>
      </c>
      <c r="B90" s="25" t="n">
        <v>51.2</v>
      </c>
      <c r="C90" s="25">
        <f>Table134681112141516171819202223[[#This Row],[PMI]]-B89</f>
        <v/>
      </c>
    </row>
    <row r="91">
      <c r="A91" s="10" t="n">
        <v>43040</v>
      </c>
      <c r="B91" s="25" t="n">
        <v>53.5</v>
      </c>
      <c r="C91" s="25">
        <f>Table134681112141516171819202223[[#This Row],[PMI]]-B90</f>
        <v/>
      </c>
    </row>
    <row r="92">
      <c r="A92" s="10" t="n">
        <v>43070</v>
      </c>
      <c r="B92" s="25" t="n">
        <v>52.4</v>
      </c>
      <c r="C92" s="25">
        <f>Table134681112141516171819202223[[#This Row],[PMI]]-B91</f>
        <v/>
      </c>
    </row>
    <row r="93">
      <c r="A93" s="10" t="n">
        <v>43101</v>
      </c>
      <c r="B93" s="25" t="n">
        <v>51.2</v>
      </c>
      <c r="C93" s="25">
        <f>Table134681112141516171819202223[[#This Row],[PMI]]-B92</f>
        <v/>
      </c>
    </row>
    <row r="94">
      <c r="A94" s="10" t="n">
        <v>43132</v>
      </c>
      <c r="B94" s="25" t="n">
        <v>53.2</v>
      </c>
      <c r="C94" s="25">
        <f>Table134681112141516171819202223[[#This Row],[PMI]]-B93</f>
        <v/>
      </c>
    </row>
    <row r="95">
      <c r="A95" s="10" t="n">
        <v>43160</v>
      </c>
      <c r="B95" s="25" t="n">
        <v>53.4</v>
      </c>
      <c r="C95" s="25">
        <f>Table134681112141516171819202223[[#This Row],[PMI]]-B94</f>
        <v/>
      </c>
    </row>
    <row r="96">
      <c r="A96" s="10" t="n">
        <v>43191</v>
      </c>
      <c r="B96" s="25" t="n">
        <v>52.3</v>
      </c>
      <c r="C96" s="25">
        <f>Table134681112141516171819202223[[#This Row],[PMI]]-B95</f>
        <v/>
      </c>
    </row>
    <row r="97">
      <c r="A97" s="10" t="n">
        <v>43221</v>
      </c>
      <c r="B97" s="25" t="n">
        <v>50.7</v>
      </c>
      <c r="C97" s="25">
        <f>Table134681112141516171819202223[[#This Row],[PMI]]-B96</f>
        <v/>
      </c>
    </row>
    <row r="98">
      <c r="A98" s="10" t="n">
        <v>43252</v>
      </c>
      <c r="B98" s="25" t="n">
        <v>49.8</v>
      </c>
      <c r="C98" s="25">
        <f>Table134681112141516171819202223[[#This Row],[PMI]]-B97</f>
        <v/>
      </c>
    </row>
    <row r="99">
      <c r="A99" s="10" t="n">
        <v>43282</v>
      </c>
      <c r="B99" s="25" t="n">
        <v>50.5</v>
      </c>
      <c r="C99" s="25">
        <f>Table134681112141516171819202223[[#This Row],[PMI]]-B98</f>
        <v/>
      </c>
    </row>
    <row r="100">
      <c r="A100" s="10" t="n">
        <v>43313</v>
      </c>
      <c r="B100" s="25" t="n">
        <v>51.1</v>
      </c>
      <c r="C100" s="25">
        <f>Table134681112141516171819202223[[#This Row],[PMI]]-B99</f>
        <v/>
      </c>
    </row>
    <row r="101">
      <c r="A101" s="10" t="n">
        <v>43344</v>
      </c>
      <c r="B101" s="25" t="n">
        <v>50.9</v>
      </c>
      <c r="C101" s="25">
        <f>Table134681112141516171819202223[[#This Row],[PMI]]-B100</f>
        <v/>
      </c>
    </row>
    <row r="102">
      <c r="A102" s="10" t="n">
        <v>43374</v>
      </c>
      <c r="B102" s="25" t="n">
        <v>51.1</v>
      </c>
      <c r="C102" s="25">
        <f>Table134681112141516171819202223[[#This Row],[PMI]]-B101</f>
        <v/>
      </c>
    </row>
    <row r="103">
      <c r="A103" s="10" t="n">
        <v>43405</v>
      </c>
      <c r="B103" s="25" t="n">
        <v>52.7</v>
      </c>
      <c r="C103" s="25">
        <f>Table134681112141516171819202223[[#This Row],[PMI]]-B102</f>
        <v/>
      </c>
    </row>
    <row r="104">
      <c r="A104" s="10" t="n">
        <v>43435</v>
      </c>
      <c r="B104" s="25" t="n">
        <v>52.6</v>
      </c>
      <c r="C104" s="25">
        <f>Table134681112141516171819202223[[#This Row],[PMI]]-B103</f>
        <v/>
      </c>
    </row>
    <row r="105">
      <c r="A105" s="10" t="n">
        <v>43466</v>
      </c>
      <c r="B105" s="25" t="n">
        <v>52.7</v>
      </c>
      <c r="C105" s="25">
        <f>Table134681112141516171819202223[[#This Row],[PMI]]-B104</f>
        <v/>
      </c>
    </row>
    <row r="106">
      <c r="A106" s="10" t="n">
        <v>43497</v>
      </c>
      <c r="B106" s="25" t="n">
        <v>53.4</v>
      </c>
      <c r="C106" s="25">
        <f>Table134681112141516171819202223[[#This Row],[PMI]]-B105</f>
        <v/>
      </c>
    </row>
    <row r="107">
      <c r="A107" s="10" t="n">
        <v>43525</v>
      </c>
      <c r="B107" s="25" t="n">
        <v>52.8</v>
      </c>
      <c r="C107" s="25">
        <f>Table134681112141516171819202223[[#This Row],[PMI]]-B106</f>
        <v/>
      </c>
    </row>
    <row r="108">
      <c r="A108" s="10" t="n">
        <v>43556</v>
      </c>
      <c r="B108" s="25" t="n">
        <v>51.5</v>
      </c>
      <c r="C108" s="25">
        <f>Table134681112141516171819202223[[#This Row],[PMI]]-B107</f>
        <v/>
      </c>
    </row>
    <row r="109">
      <c r="A109" s="10" t="n">
        <v>43586</v>
      </c>
      <c r="B109" s="25" t="n">
        <v>50.2</v>
      </c>
      <c r="C109" s="25">
        <f>Table134681112141516171819202223[[#This Row],[PMI]]-B108</f>
        <v/>
      </c>
    </row>
    <row r="110">
      <c r="A110" s="10" t="n">
        <v>43617</v>
      </c>
      <c r="B110" s="25" t="n">
        <v>51</v>
      </c>
      <c r="C110" s="25">
        <f>Table134681112141516171819202223[[#This Row],[PMI]]-B109</f>
        <v/>
      </c>
    </row>
    <row r="111">
      <c r="A111" s="10" t="n">
        <v>43647</v>
      </c>
      <c r="B111" s="25" t="n">
        <v>49.9</v>
      </c>
      <c r="C111" s="25">
        <f>Table134681112141516171819202223[[#This Row],[PMI]]-B110</f>
        <v/>
      </c>
    </row>
    <row r="112">
      <c r="A112" s="10" t="n">
        <v>43678</v>
      </c>
      <c r="B112" s="25" t="n">
        <v>52.5</v>
      </c>
      <c r="C112" s="25">
        <f>Table134681112141516171819202223[[#This Row],[PMI]]-B111</f>
        <v/>
      </c>
    </row>
    <row r="113">
      <c r="A113" s="10" t="n">
        <v>43709</v>
      </c>
      <c r="B113" s="25" t="n">
        <v>53.4</v>
      </c>
      <c r="C113" s="25">
        <f>Table134681112141516171819202223[[#This Row],[PMI]]-B112</f>
        <v/>
      </c>
    </row>
    <row r="114">
      <c r="A114" s="10" t="n">
        <v>43739</v>
      </c>
      <c r="B114" s="25" t="n">
        <v>52.2</v>
      </c>
      <c r="C114" s="25">
        <f>Table134681112141516171819202223[[#This Row],[PMI]]-B113</f>
        <v/>
      </c>
    </row>
    <row r="115">
      <c r="A115" s="10" t="n">
        <v>43770</v>
      </c>
      <c r="B115" s="25" t="n">
        <v>52.9</v>
      </c>
      <c r="C115" s="25">
        <f>Table134681112141516171819202223[[#This Row],[PMI]]-B114</f>
        <v/>
      </c>
    </row>
    <row r="116">
      <c r="A116" s="10" t="n">
        <v>43800</v>
      </c>
      <c r="B116" s="25" t="n">
        <v>50.2</v>
      </c>
      <c r="C116" s="25">
        <f>Table134681112141516171819202223[[#This Row],[PMI]]-B115</f>
        <v/>
      </c>
    </row>
    <row r="117">
      <c r="A117" s="10" t="n">
        <v>43831</v>
      </c>
      <c r="B117" s="25" t="n">
        <v>51</v>
      </c>
      <c r="C117" s="25">
        <f>Table134681112141516171819202223[[#This Row],[PMI]]-B116</f>
        <v/>
      </c>
    </row>
    <row r="118">
      <c r="A118" s="10" t="n">
        <v>43862</v>
      </c>
      <c r="B118" s="25" t="n">
        <v>52.3</v>
      </c>
      <c r="C118" s="25">
        <f>Table134681112141516171819202223[[#This Row],[PMI]]-B117</f>
        <v/>
      </c>
    </row>
    <row r="119">
      <c r="A119" s="10" t="n">
        <v>43891</v>
      </c>
      <c r="B119" s="25" t="n">
        <v>48.4</v>
      </c>
      <c r="C119" s="25">
        <f>Table134681112141516171819202223[[#This Row],[PMI]]-B118</f>
        <v/>
      </c>
    </row>
    <row r="120">
      <c r="A120" s="10" t="n">
        <v>43922</v>
      </c>
      <c r="B120" s="25" t="n">
        <v>36</v>
      </c>
      <c r="C120" s="25">
        <f>Table134681112141516171819202223[[#This Row],[PMI]]-B119</f>
        <v/>
      </c>
    </row>
    <row r="121">
      <c r="A121" s="10" t="n">
        <v>43952</v>
      </c>
      <c r="B121" s="25" t="n">
        <v>38.3</v>
      </c>
      <c r="C121" s="25">
        <f>Table134681112141516171819202223[[#This Row],[PMI]]-B120</f>
        <v/>
      </c>
    </row>
    <row r="122">
      <c r="A122" s="10" t="n">
        <v>43983</v>
      </c>
      <c r="B122" s="25" t="n">
        <v>51.6</v>
      </c>
      <c r="C122" s="25">
        <f>Table134681112141516171819202223[[#This Row],[PMI]]-B121</f>
        <v/>
      </c>
    </row>
    <row r="123">
      <c r="A123" s="10" t="n">
        <v>44013</v>
      </c>
      <c r="B123" s="25" t="n">
        <v>58.2</v>
      </c>
      <c r="C123" s="25">
        <f>Table134681112141516171819202223[[#This Row],[PMI]]-B122</f>
        <v/>
      </c>
    </row>
    <row r="124">
      <c r="A124" s="10" t="n">
        <v>44044</v>
      </c>
      <c r="B124" s="25" t="n">
        <v>64.7</v>
      </c>
      <c r="C124" s="25">
        <f>Table134681112141516171819202223[[#This Row],[PMI]]-B123</f>
        <v/>
      </c>
    </row>
    <row r="125">
      <c r="A125" s="10" t="n">
        <v>44075</v>
      </c>
      <c r="B125" s="25" t="n">
        <v>64.90000000000001</v>
      </c>
      <c r="C125" s="25">
        <f>Table134681112141516171819202223[[#This Row],[PMI]]-B124</f>
        <v/>
      </c>
    </row>
    <row r="126">
      <c r="A126" s="10" t="n">
        <v>44105</v>
      </c>
      <c r="B126" s="25" t="n">
        <v>66.7</v>
      </c>
      <c r="C126" s="25">
        <f>Table134681112141516171819202223[[#This Row],[PMI]]-B125</f>
        <v/>
      </c>
    </row>
    <row r="127">
      <c r="A127" s="10" t="n">
        <v>44136</v>
      </c>
      <c r="B127" s="25" t="n">
        <v>64</v>
      </c>
      <c r="C127" s="25">
        <f>Table134681112141516171819202223[[#This Row],[PMI]]-B126</f>
        <v/>
      </c>
    </row>
    <row r="128">
      <c r="A128" s="10" t="n">
        <v>44166</v>
      </c>
      <c r="B128" s="25" t="n">
        <v>61.5</v>
      </c>
      <c r="C128" s="25">
        <f>Table134681112141516171819202223[[#This Row],[PMI]]-B127</f>
        <v/>
      </c>
    </row>
    <row r="129">
      <c r="A129" s="10" t="n">
        <v>44197</v>
      </c>
      <c r="B129" s="25" t="n">
        <v>56.5</v>
      </c>
      <c r="C129" s="25">
        <f>Table134681112141516171819202223[[#This Row],[PMI]]-B128</f>
        <v/>
      </c>
    </row>
    <row r="130">
      <c r="A130" s="10" t="n">
        <v>44228</v>
      </c>
      <c r="B130" s="25" t="n">
        <v>58.4</v>
      </c>
      <c r="C130" s="25">
        <f>Table134681112141516171819202223[[#This Row],[PMI]]-B129</f>
        <v/>
      </c>
    </row>
    <row r="131">
      <c r="A131" s="10" t="n">
        <v>44256</v>
      </c>
      <c r="B131" s="25" t="n">
        <v>52.8</v>
      </c>
      <c r="C131" s="25">
        <f>Table134681112141516171819202223[[#This Row],[PMI]]-B130</f>
        <v/>
      </c>
    </row>
    <row r="132">
      <c r="A132" s="10" t="n">
        <v>44287</v>
      </c>
      <c r="B132" s="25" t="n">
        <v>52.3</v>
      </c>
      <c r="C132" s="25">
        <f>Table134681112141516171819202223[[#This Row],[PMI]]-B131</f>
        <v/>
      </c>
    </row>
    <row r="133">
      <c r="A133" s="10" t="n">
        <v>44317</v>
      </c>
      <c r="B133" s="25" t="n">
        <v>53.7</v>
      </c>
      <c r="C133" s="25">
        <f>Table134681112141516171819202223[[#This Row],[PMI]]-B132</f>
        <v/>
      </c>
    </row>
    <row r="134">
      <c r="A134" s="10" t="n">
        <v>44348</v>
      </c>
      <c r="B134" s="25" t="n">
        <v>56.4</v>
      </c>
      <c r="C134" s="25">
        <f>Table134681112141516171819202223[[#This Row],[PMI]]-B133</f>
        <v/>
      </c>
    </row>
    <row r="135">
      <c r="A135" s="10" t="n">
        <v>44378</v>
      </c>
      <c r="B135" s="25" t="n">
        <v>56.7</v>
      </c>
      <c r="C135" s="25">
        <f>Table134681112141516171819202223[[#This Row],[PMI]]-B134</f>
        <v/>
      </c>
    </row>
    <row r="136">
      <c r="A136" s="10" t="n">
        <v>44409</v>
      </c>
      <c r="B136" s="25" t="n">
        <v>53.6</v>
      </c>
      <c r="C136" s="25">
        <f>Table134681112141516171819202223[[#This Row],[PMI]]-B135</f>
        <v/>
      </c>
    </row>
    <row r="137">
      <c r="A137" s="10" t="n">
        <v>44440</v>
      </c>
      <c r="B137" s="25" t="n">
        <v>54.4</v>
      </c>
      <c r="C137" s="25">
        <f>Table134681112141516171819202223[[#This Row],[PMI]]-B136</f>
        <v/>
      </c>
    </row>
    <row r="138">
      <c r="A138" s="10" t="n">
        <v>44470</v>
      </c>
      <c r="B138" s="25" t="n">
        <v>51.7</v>
      </c>
      <c r="C138" s="25">
        <f>Table134681112141516171819202223[[#This Row],[PMI]]-B137</f>
        <v/>
      </c>
    </row>
    <row r="139">
      <c r="A139" s="10" t="n">
        <v>44501</v>
      </c>
      <c r="B139" s="25" t="n">
        <v>49.8</v>
      </c>
      <c r="C139" s="25">
        <f>Table134681112141516171819202223[[#This Row],[PMI]]-B138</f>
        <v/>
      </c>
    </row>
    <row r="140">
      <c r="A140" s="10" t="n">
        <v>44531</v>
      </c>
      <c r="B140" s="25" t="n">
        <v>49.8</v>
      </c>
      <c r="C140" s="25">
        <f>Table134681112141516171819202223[[#This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4"/>
  <sheetViews>
    <sheetView zoomScale="130" zoomScaleNormal="130" workbookViewId="0">
      <pane ySplit="5" topLeftCell="A90"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Mexico</t>
        </is>
      </c>
      <c r="K1" s="84" t="inlineStr">
        <is>
          <t xml:space="preserve"> Manufacturing PMI</t>
        </is>
      </c>
    </row>
    <row r="2">
      <c r="A2" s="84" t="inlineStr">
        <is>
          <t>mexico</t>
        </is>
      </c>
      <c r="K2" s="84">
        <f>A1&amp;K1</f>
        <v/>
      </c>
    </row>
    <row r="4" ht="16" customHeight="1" s="76" thickBot="1"/>
    <row r="5" ht="16" customHeight="1" s="76" thickBot="1">
      <c r="A5" s="22" t="inlineStr">
        <is>
          <t>Date</t>
        </is>
      </c>
      <c r="B5" s="23" t="inlineStr">
        <is>
          <t>PMI</t>
        </is>
      </c>
      <c r="C5" s="23" t="inlineStr">
        <is>
          <t>mom</t>
        </is>
      </c>
    </row>
    <row r="6">
      <c r="A6" s="18" t="n">
        <v>40634</v>
      </c>
      <c r="B6" s="19" t="n">
        <v>56.1</v>
      </c>
      <c r="C6" s="19" t="n"/>
    </row>
    <row r="7">
      <c r="A7" s="10" t="n">
        <v>40664</v>
      </c>
      <c r="B7" s="25" t="n">
        <v>54.5</v>
      </c>
      <c r="C7" s="25">
        <f>Table13468111214151617181920222526[[#This Row],[PMI]]-B6</f>
        <v/>
      </c>
    </row>
    <row r="8">
      <c r="A8" s="10" t="n">
        <v>40695</v>
      </c>
      <c r="B8" s="25" t="n">
        <v>55.1</v>
      </c>
      <c r="C8" s="25">
        <f>Table13468111214151617181920222526[[#This Row],[PMI]]-B7</f>
        <v/>
      </c>
    </row>
    <row r="9">
      <c r="A9" s="10" t="n">
        <v>40725</v>
      </c>
      <c r="B9" s="25" t="n">
        <v>54.8</v>
      </c>
      <c r="C9" s="25">
        <f>Table13468111214151617181920222526[[#This Row],[PMI]]-B8</f>
        <v/>
      </c>
    </row>
    <row r="10">
      <c r="A10" s="10" t="n">
        <v>40756</v>
      </c>
      <c r="B10" s="25" t="n">
        <v>51.7</v>
      </c>
      <c r="C10" s="25">
        <f>Table13468111214151617181920222526[[#This Row],[PMI]]-B9</f>
        <v/>
      </c>
    </row>
    <row r="11">
      <c r="A11" s="10" t="n">
        <v>40787</v>
      </c>
      <c r="B11" s="25" t="n">
        <v>53.2</v>
      </c>
      <c r="C11" s="25">
        <f>Table13468111214151617181920222526[[#This Row],[PMI]]-B10</f>
        <v/>
      </c>
    </row>
    <row r="12">
      <c r="A12" s="10" t="n">
        <v>40817</v>
      </c>
      <c r="B12" s="25" t="n">
        <v>54.8</v>
      </c>
      <c r="C12" s="25">
        <f>Table13468111214151617181920222526[[#This Row],[PMI]]-B11</f>
        <v/>
      </c>
    </row>
    <row r="13">
      <c r="A13" s="10" t="n">
        <v>40848</v>
      </c>
      <c r="B13" s="25" t="n">
        <v>53.9</v>
      </c>
      <c r="C13" s="25">
        <f>Table13468111214151617181920222526[[#This Row],[PMI]]-B12</f>
        <v/>
      </c>
    </row>
    <row r="14">
      <c r="A14" s="10" t="n">
        <v>40878</v>
      </c>
      <c r="B14" s="25" t="n">
        <v>53.1</v>
      </c>
      <c r="C14" s="25">
        <f>Table13468111214151617181920222526[[#This Row],[PMI]]-B13</f>
        <v/>
      </c>
    </row>
    <row r="15">
      <c r="A15" s="10" t="n">
        <v>40909</v>
      </c>
      <c r="B15" s="25" t="n">
        <v>52.2</v>
      </c>
      <c r="C15" s="25">
        <f>Table13468111214151617181920222526[[#This Row],[PMI]]-B14</f>
        <v/>
      </c>
    </row>
    <row r="16">
      <c r="A16" s="10" t="n">
        <v>40940</v>
      </c>
      <c r="B16" s="25" t="n">
        <v>53.7</v>
      </c>
      <c r="C16" s="25">
        <f>Table13468111214151617181920222526[[#This Row],[PMI]]-B15</f>
        <v/>
      </c>
    </row>
    <row r="17">
      <c r="A17" s="10" t="n">
        <v>40969</v>
      </c>
      <c r="B17" s="25" t="n">
        <v>53.8</v>
      </c>
      <c r="C17" s="25">
        <f>Table13468111214151617181920222526[[#This Row],[PMI]]-B16</f>
        <v/>
      </c>
    </row>
    <row r="18">
      <c r="A18" s="10" t="n">
        <v>41000</v>
      </c>
      <c r="B18" s="25" t="n">
        <v>56.3</v>
      </c>
      <c r="C18" s="25">
        <f>Table13468111214151617181920222526[[#This Row],[PMI]]-B17</f>
        <v/>
      </c>
    </row>
    <row r="19">
      <c r="A19" s="10" t="n">
        <v>41030</v>
      </c>
      <c r="B19" s="25" t="n">
        <v>55.2</v>
      </c>
      <c r="C19" s="25">
        <f>Table13468111214151617181920222526[[#This Row],[PMI]]-B18</f>
        <v/>
      </c>
    </row>
    <row r="20">
      <c r="A20" s="10" t="n">
        <v>41061</v>
      </c>
      <c r="B20" s="25" t="n">
        <v>55.9</v>
      </c>
      <c r="C20" s="25">
        <f>Table13468111214151617181920222526[[#This Row],[PMI]]-B19</f>
        <v/>
      </c>
    </row>
    <row r="21">
      <c r="A21" s="10" t="n">
        <v>41091</v>
      </c>
      <c r="B21" s="25" t="n">
        <v>55.2</v>
      </c>
      <c r="C21" s="25">
        <f>Table13468111214151617181920222526[[#This Row],[PMI]]-B20</f>
        <v/>
      </c>
    </row>
    <row r="22">
      <c r="A22" s="10" t="n">
        <v>41122</v>
      </c>
      <c r="B22" s="25" t="n">
        <v>55.1</v>
      </c>
      <c r="C22" s="25">
        <f>Table13468111214151617181920222526[[#This Row],[PMI]]-B21</f>
        <v/>
      </c>
    </row>
    <row r="23">
      <c r="A23" s="10" t="n">
        <v>41153</v>
      </c>
      <c r="B23" s="25" t="n">
        <v>54.4</v>
      </c>
      <c r="C23" s="25">
        <f>Table13468111214151617181920222526[[#This Row],[PMI]]-B22</f>
        <v/>
      </c>
    </row>
    <row r="24">
      <c r="A24" s="10" t="n">
        <v>41183</v>
      </c>
      <c r="B24" s="25" t="n">
        <v>55.5</v>
      </c>
      <c r="C24" s="25">
        <f>Table13468111214151617181920222526[[#This Row],[PMI]]-B23</f>
        <v/>
      </c>
    </row>
    <row r="25">
      <c r="A25" s="10" t="n">
        <v>41214</v>
      </c>
      <c r="B25" s="25" t="n">
        <v>55.6</v>
      </c>
      <c r="C25" s="25">
        <f>Table13468111214151617181920222526[[#This Row],[PMI]]-B24</f>
        <v/>
      </c>
    </row>
    <row r="26">
      <c r="A26" s="10" t="n">
        <v>41244</v>
      </c>
      <c r="B26" s="25" t="n">
        <v>57.1</v>
      </c>
      <c r="C26" s="25">
        <f>Table13468111214151617181920222526[[#This Row],[PMI]]-B25</f>
        <v/>
      </c>
    </row>
    <row r="27">
      <c r="A27" s="10" t="n">
        <v>41275</v>
      </c>
      <c r="B27" s="25" t="n">
        <v>55</v>
      </c>
      <c r="C27" s="25">
        <f>Table13468111214151617181920222526[[#This Row],[PMI]]-B26</f>
        <v/>
      </c>
    </row>
    <row r="28">
      <c r="A28" s="10" t="n">
        <v>41306</v>
      </c>
      <c r="B28" s="25" t="n">
        <v>53.4</v>
      </c>
      <c r="C28" s="25">
        <f>Table13468111214151617181920222526[[#This Row],[PMI]]-B27</f>
        <v/>
      </c>
    </row>
    <row r="29">
      <c r="A29" s="10" t="n">
        <v>41334</v>
      </c>
      <c r="B29" s="25" t="n">
        <v>52.2</v>
      </c>
      <c r="C29" s="25">
        <f>Table13468111214151617181920222526[[#This Row],[PMI]]-B28</f>
        <v/>
      </c>
    </row>
    <row r="30">
      <c r="A30" s="10" t="n">
        <v>41365</v>
      </c>
      <c r="B30" s="25" t="n">
        <v>51.7</v>
      </c>
      <c r="C30" s="25">
        <f>Table13468111214151617181920222526[[#This Row],[PMI]]-B29</f>
        <v/>
      </c>
    </row>
    <row r="31">
      <c r="A31" s="10" t="n">
        <v>41395</v>
      </c>
      <c r="B31" s="25" t="n">
        <v>51.8</v>
      </c>
      <c r="C31" s="25">
        <f>Table13468111214151617181920222526[[#This Row],[PMI]]-B30</f>
        <v/>
      </c>
    </row>
    <row r="32">
      <c r="A32" s="10" t="n">
        <v>41426</v>
      </c>
      <c r="B32" s="25" t="n">
        <v>51.3</v>
      </c>
      <c r="C32" s="25">
        <f>Table13468111214151617181920222526[[#This Row],[PMI]]-B31</f>
        <v/>
      </c>
    </row>
    <row r="33">
      <c r="A33" s="10" t="n">
        <v>41456</v>
      </c>
      <c r="B33" s="25" t="n">
        <v>49.7</v>
      </c>
      <c r="C33" s="25">
        <f>Table13468111214151617181920222526[[#This Row],[PMI]]-B32</f>
        <v/>
      </c>
    </row>
    <row r="34">
      <c r="A34" s="10" t="n">
        <v>41487</v>
      </c>
      <c r="B34" s="25" t="n">
        <v>50.8</v>
      </c>
      <c r="C34" s="25">
        <f>Table13468111214151617181920222526[[#This Row],[PMI]]-B33</f>
        <v/>
      </c>
    </row>
    <row r="35">
      <c r="A35" s="10" t="n">
        <v>41518</v>
      </c>
      <c r="B35" s="25" t="n">
        <v>50</v>
      </c>
      <c r="C35" s="25">
        <f>Table13468111214151617181920222526[[#This Row],[PMI]]-B34</f>
        <v/>
      </c>
    </row>
    <row r="36">
      <c r="A36" s="10" t="n">
        <v>41548</v>
      </c>
      <c r="B36" s="25" t="n">
        <v>50.2</v>
      </c>
      <c r="C36" s="25">
        <f>Table13468111214151617181920222526[[#This Row],[PMI]]-B35</f>
        <v/>
      </c>
    </row>
    <row r="37">
      <c r="A37" s="10" t="n">
        <v>41579</v>
      </c>
      <c r="B37" s="25" t="n">
        <v>51.9</v>
      </c>
      <c r="C37" s="25">
        <f>Table13468111214151617181920222526[[#This Row],[PMI]]-B36</f>
        <v/>
      </c>
    </row>
    <row r="38">
      <c r="A38" s="10" t="n">
        <v>41609</v>
      </c>
      <c r="B38" s="25" t="n">
        <v>52.6</v>
      </c>
      <c r="C38" s="25">
        <f>Table13468111214151617181920222526[[#This Row],[PMI]]-B37</f>
        <v/>
      </c>
    </row>
    <row r="39">
      <c r="A39" s="10" t="n">
        <v>41640</v>
      </c>
      <c r="B39" s="25" t="n">
        <v>54</v>
      </c>
      <c r="C39" s="25">
        <f>Table13468111214151617181920222526[[#This Row],[PMI]]-B38</f>
        <v/>
      </c>
    </row>
    <row r="40">
      <c r="A40" s="10" t="n">
        <v>41671</v>
      </c>
      <c r="B40" s="25" t="n">
        <v>52</v>
      </c>
      <c r="C40" s="25">
        <f>Table13468111214151617181920222526[[#This Row],[PMI]]-B39</f>
        <v/>
      </c>
    </row>
    <row r="41">
      <c r="A41" s="10" t="n">
        <v>41699</v>
      </c>
      <c r="B41" s="25" t="n">
        <v>51.7</v>
      </c>
      <c r="C41" s="25">
        <f>Table13468111214151617181920222526[[#This Row],[PMI]]-B40</f>
        <v/>
      </c>
    </row>
    <row r="42">
      <c r="A42" s="10" t="n">
        <v>41730</v>
      </c>
      <c r="B42" s="25" t="n">
        <v>51.8</v>
      </c>
      <c r="C42" s="25">
        <f>Table13468111214151617181920222526[[#This Row],[PMI]]-B41</f>
        <v/>
      </c>
    </row>
    <row r="43">
      <c r="A43" s="10" t="n">
        <v>41760</v>
      </c>
      <c r="B43" s="25" t="n">
        <v>51.9</v>
      </c>
      <c r="C43" s="25">
        <f>Table13468111214151617181920222526[[#This Row],[PMI]]-B42</f>
        <v/>
      </c>
    </row>
    <row r="44">
      <c r="A44" s="10" t="n">
        <v>41791</v>
      </c>
      <c r="B44" s="25" t="n">
        <v>51.8</v>
      </c>
      <c r="C44" s="25">
        <f>Table13468111214151617181920222526[[#This Row],[PMI]]-B43</f>
        <v/>
      </c>
    </row>
    <row r="45">
      <c r="A45" s="10" t="n">
        <v>41821</v>
      </c>
      <c r="B45" s="25" t="n">
        <v>51.5</v>
      </c>
      <c r="C45" s="25">
        <f>Table13468111214151617181920222526[[#This Row],[PMI]]-B44</f>
        <v/>
      </c>
    </row>
    <row r="46">
      <c r="A46" s="10" t="n">
        <v>41852</v>
      </c>
      <c r="B46" s="25" t="n">
        <v>52.1</v>
      </c>
      <c r="C46" s="25">
        <f>Table13468111214151617181920222526[[#This Row],[PMI]]-B45</f>
        <v/>
      </c>
    </row>
    <row r="47">
      <c r="A47" s="10" t="n">
        <v>41883</v>
      </c>
      <c r="B47" s="25" t="n">
        <v>52.6</v>
      </c>
      <c r="C47" s="25">
        <f>Table13468111214151617181920222526[[#This Row],[PMI]]-B46</f>
        <v/>
      </c>
    </row>
    <row r="48">
      <c r="A48" s="10" t="n">
        <v>41913</v>
      </c>
      <c r="B48" s="25" t="n">
        <v>53.3</v>
      </c>
      <c r="C48" s="25">
        <f>Table13468111214151617181920222526[[#This Row],[PMI]]-B47</f>
        <v/>
      </c>
    </row>
    <row r="49">
      <c r="A49" s="10" t="n">
        <v>41944</v>
      </c>
      <c r="B49" s="25" t="n">
        <v>54.3</v>
      </c>
      <c r="C49" s="25">
        <f>Table13468111214151617181920222526[[#This Row],[PMI]]-B48</f>
        <v/>
      </c>
    </row>
    <row r="50">
      <c r="A50" s="10" t="n">
        <v>41974</v>
      </c>
      <c r="B50" s="25" t="n">
        <v>55.3</v>
      </c>
      <c r="C50" s="25">
        <f>Table13468111214151617181920222526[[#This Row],[PMI]]-B49</f>
        <v/>
      </c>
    </row>
    <row r="51">
      <c r="A51" s="10" t="n">
        <v>42005</v>
      </c>
      <c r="B51" s="25" t="n">
        <v>55.6</v>
      </c>
      <c r="C51" s="25">
        <f>Table13468111214151617181920222526[[#This Row],[PMI]]-B50</f>
        <v/>
      </c>
    </row>
    <row r="52">
      <c r="A52" s="10" t="n">
        <v>42036</v>
      </c>
      <c r="B52" s="25" t="n">
        <v>54.4</v>
      </c>
      <c r="C52" s="25">
        <f>Table13468111214151617181920222526[[#This Row],[PMI]]-B51</f>
        <v/>
      </c>
    </row>
    <row r="53">
      <c r="A53" s="10" t="n">
        <v>42064</v>
      </c>
      <c r="B53" s="25" t="n">
        <v>53.8</v>
      </c>
      <c r="C53" s="25">
        <f>Table13468111214151617181920222526[[#This Row],[PMI]]-B52</f>
        <v/>
      </c>
    </row>
    <row r="54">
      <c r="A54" s="10" t="n">
        <v>42095</v>
      </c>
      <c r="B54" s="25" t="n">
        <v>53.8</v>
      </c>
      <c r="C54" s="25">
        <f>Table13468111214151617181920222526[[#This Row],[PMI]]-B53</f>
        <v/>
      </c>
    </row>
    <row r="55">
      <c r="A55" s="10" t="n">
        <v>42125</v>
      </c>
      <c r="B55" s="25" t="n">
        <v>53.3</v>
      </c>
      <c r="C55" s="25">
        <f>Table13468111214151617181920222526[[#This Row],[PMI]]-B54</f>
        <v/>
      </c>
    </row>
    <row r="56">
      <c r="A56" s="10" t="n">
        <v>42156</v>
      </c>
      <c r="B56" s="25" t="n">
        <v>52</v>
      </c>
      <c r="C56" s="25">
        <f>Table13468111214151617181920222526[[#This Row],[PMI]]-B55</f>
        <v/>
      </c>
    </row>
    <row r="57">
      <c r="A57" s="10" t="n">
        <v>42186</v>
      </c>
      <c r="B57" s="25" t="n">
        <v>52.9</v>
      </c>
      <c r="C57" s="25">
        <f>Table13468111214151617181920222526[[#This Row],[PMI]]-B56</f>
        <v/>
      </c>
    </row>
    <row r="58">
      <c r="A58" s="10" t="n">
        <v>42217</v>
      </c>
      <c r="B58" s="25" t="n">
        <v>52.4</v>
      </c>
      <c r="C58" s="25">
        <f>Table13468111214151617181920222526[[#This Row],[PMI]]-B57</f>
        <v/>
      </c>
    </row>
    <row r="59">
      <c r="A59" s="10" t="n">
        <v>42248</v>
      </c>
      <c r="B59" s="25" t="n">
        <v>52.1</v>
      </c>
      <c r="C59" s="25">
        <f>Table13468111214151617181920222526[[#This Row],[PMI]]-B58</f>
        <v/>
      </c>
    </row>
    <row r="60">
      <c r="A60" s="10" t="n">
        <v>42278</v>
      </c>
      <c r="B60" s="25" t="n">
        <v>53</v>
      </c>
      <c r="C60" s="25">
        <f>Table13468111214151617181920222526[[#This Row],[PMI]]-B59</f>
        <v/>
      </c>
    </row>
    <row r="61">
      <c r="A61" s="10" t="n">
        <v>42309</v>
      </c>
      <c r="B61" s="25" t="n">
        <v>53</v>
      </c>
      <c r="C61" s="25">
        <f>Table13468111214151617181920222526[[#This Row],[PMI]]-B60</f>
        <v/>
      </c>
    </row>
    <row r="62">
      <c r="A62" s="10" t="n">
        <v>42339</v>
      </c>
      <c r="B62" s="25" t="n">
        <v>52.4</v>
      </c>
      <c r="C62" s="25">
        <f>Table13468111214151617181920222526[[#This Row],[PMI]]-B61</f>
        <v/>
      </c>
    </row>
    <row r="63">
      <c r="A63" s="10" t="n">
        <v>42370</v>
      </c>
      <c r="B63" s="25" t="n">
        <v>52.2</v>
      </c>
      <c r="C63" s="25">
        <f>Table13468111214151617181920222526[[#This Row],[PMI]]-B62</f>
        <v/>
      </c>
    </row>
    <row r="64">
      <c r="A64" s="10" t="n">
        <v>42401</v>
      </c>
      <c r="B64" s="25" t="n">
        <v>53.1</v>
      </c>
      <c r="C64" s="25">
        <f>Table13468111214151617181920222526[[#This Row],[PMI]]-B63</f>
        <v/>
      </c>
    </row>
    <row r="65">
      <c r="A65" s="10" t="n">
        <v>42430</v>
      </c>
      <c r="B65" s="25" t="n">
        <v>53.2</v>
      </c>
      <c r="C65" s="25">
        <f>Table13468111214151617181920222526[[#This Row],[PMI]]-B64</f>
        <v/>
      </c>
    </row>
    <row r="66">
      <c r="A66" s="10" t="n">
        <v>42461</v>
      </c>
      <c r="B66" s="25" t="n">
        <v>52.4</v>
      </c>
      <c r="C66" s="25">
        <f>Table13468111214151617181920222526[[#This Row],[PMI]]-B65</f>
        <v/>
      </c>
    </row>
    <row r="67">
      <c r="A67" s="10" t="n">
        <v>42491</v>
      </c>
      <c r="B67" s="25" t="n">
        <v>53.6</v>
      </c>
      <c r="C67" s="25">
        <f>Table13468111214151617181920222526[[#This Row],[PMI]]-B66</f>
        <v/>
      </c>
    </row>
    <row r="68">
      <c r="A68" s="10" t="n">
        <v>42522</v>
      </c>
      <c r="B68" s="25" t="n">
        <v>51.1</v>
      </c>
      <c r="C68" s="25">
        <f>Table13468111214151617181920222526[[#This Row],[PMI]]-B67</f>
        <v/>
      </c>
    </row>
    <row r="69">
      <c r="A69" s="10" t="n">
        <v>42552</v>
      </c>
      <c r="B69" s="25" t="n">
        <v>50.6</v>
      </c>
      <c r="C69" s="25">
        <f>Table13468111214151617181920222526[[#This Row],[PMI]]-B68</f>
        <v/>
      </c>
    </row>
    <row r="70">
      <c r="A70" s="10" t="n">
        <v>42583</v>
      </c>
      <c r="B70" s="25" t="n">
        <v>50.9</v>
      </c>
      <c r="C70" s="25">
        <f>Table13468111214151617181920222526[[#This Row],[PMI]]-B69</f>
        <v/>
      </c>
    </row>
    <row r="71">
      <c r="A71" s="10" t="n">
        <v>42614</v>
      </c>
      <c r="B71" s="25" t="n">
        <v>51.9</v>
      </c>
      <c r="C71" s="25">
        <f>Table13468111214151617181920222526[[#This Row],[PMI]]-B70</f>
        <v/>
      </c>
    </row>
    <row r="72">
      <c r="A72" s="10" t="n">
        <v>42644</v>
      </c>
      <c r="B72" s="25" t="n">
        <v>51.8</v>
      </c>
      <c r="C72" s="25">
        <f>Table13468111214151617181920222526[[#This Row],[PMI]]-B71</f>
        <v/>
      </c>
    </row>
    <row r="73">
      <c r="A73" s="10" t="n">
        <v>42675</v>
      </c>
      <c r="B73" s="25" t="n">
        <v>51.1</v>
      </c>
      <c r="C73" s="25">
        <f>Table13468111214151617181920222526[[#This Row],[PMI]]-B72</f>
        <v/>
      </c>
    </row>
    <row r="74">
      <c r="A74" s="10" t="n">
        <v>42705</v>
      </c>
      <c r="B74" s="25" t="n">
        <v>50.2</v>
      </c>
      <c r="C74" s="25">
        <f>Table13468111214151617181920222526[[#This Row],[PMI]]-B73</f>
        <v/>
      </c>
    </row>
    <row r="75">
      <c r="A75" s="10" t="n">
        <v>42736</v>
      </c>
      <c r="B75" s="25" t="n">
        <v>50.8</v>
      </c>
      <c r="C75" s="25">
        <f>Table13468111214151617181920222526[[#This Row],[PMI]]-B74</f>
        <v/>
      </c>
    </row>
    <row r="76">
      <c r="A76" s="10" t="n">
        <v>42767</v>
      </c>
      <c r="B76" s="25" t="n">
        <v>50.6</v>
      </c>
      <c r="C76" s="25">
        <f>Table13468111214151617181920222526[[#This Row],[PMI]]-B75</f>
        <v/>
      </c>
    </row>
    <row r="77">
      <c r="A77" s="10" t="n">
        <v>42795</v>
      </c>
      <c r="B77" s="25" t="n">
        <v>51.5</v>
      </c>
      <c r="C77" s="25">
        <f>Table13468111214151617181920222526[[#This Row],[PMI]]-B76</f>
        <v/>
      </c>
    </row>
    <row r="78">
      <c r="A78" s="10" t="n">
        <v>42826</v>
      </c>
      <c r="B78" s="25" t="n">
        <v>50.7</v>
      </c>
      <c r="C78" s="25">
        <f>Table13468111214151617181920222526[[#This Row],[PMI]]-B77</f>
        <v/>
      </c>
    </row>
    <row r="79">
      <c r="A79" s="10" t="n">
        <v>42856</v>
      </c>
      <c r="B79" s="25" t="n">
        <v>51.2</v>
      </c>
      <c r="C79" s="25">
        <f>Table13468111214151617181920222526[[#This Row],[PMI]]-B78</f>
        <v/>
      </c>
    </row>
    <row r="80">
      <c r="A80" s="10" t="n">
        <v>42887</v>
      </c>
      <c r="B80" s="25" t="n">
        <v>52.3</v>
      </c>
      <c r="C80" s="25">
        <f>Table13468111214151617181920222526[[#This Row],[PMI]]-B79</f>
        <v/>
      </c>
    </row>
    <row r="81">
      <c r="A81" s="10" t="n">
        <v>42917</v>
      </c>
      <c r="B81" s="25" t="n">
        <v>51.2</v>
      </c>
      <c r="C81" s="25">
        <f>Table13468111214151617181920222526[[#This Row],[PMI]]-B80</f>
        <v/>
      </c>
    </row>
    <row r="82">
      <c r="A82" s="10" t="n">
        <v>42948</v>
      </c>
      <c r="B82" s="25" t="n">
        <v>52.2</v>
      </c>
      <c r="C82" s="25">
        <f>Table13468111214151617181920222526[[#This Row],[PMI]]-B81</f>
        <v/>
      </c>
    </row>
    <row r="83">
      <c r="A83" s="10" t="n">
        <v>42979</v>
      </c>
      <c r="B83" s="25" t="n">
        <v>52.8</v>
      </c>
      <c r="C83" s="25">
        <f>Table13468111214151617181920222526[[#This Row],[PMI]]-B82</f>
        <v/>
      </c>
    </row>
    <row r="84">
      <c r="A84" s="10" t="n">
        <v>43009</v>
      </c>
      <c r="B84" s="25" t="n">
        <v>49.2</v>
      </c>
      <c r="C84" s="25">
        <f>Table13468111214151617181920222526[[#This Row],[PMI]]-B83</f>
        <v/>
      </c>
    </row>
    <row r="85">
      <c r="A85" s="10" t="n">
        <v>43040</v>
      </c>
      <c r="B85" s="25" t="n">
        <v>52.4</v>
      </c>
      <c r="C85" s="25">
        <f>Table13468111214151617181920222526[[#This Row],[PMI]]-B84</f>
        <v/>
      </c>
    </row>
    <row r="86">
      <c r="A86" s="10" t="n">
        <v>43070</v>
      </c>
      <c r="B86" s="25" t="n">
        <v>51.7</v>
      </c>
      <c r="C86" s="25">
        <f>Table13468111214151617181920222526[[#This Row],[PMI]]-B85</f>
        <v/>
      </c>
    </row>
    <row r="87">
      <c r="A87" s="10" t="n">
        <v>43101</v>
      </c>
      <c r="B87" s="25" t="n">
        <v>52.6</v>
      </c>
      <c r="C87" s="25">
        <f>Table13468111214151617181920222526[[#This Row],[PMI]]-B86</f>
        <v/>
      </c>
    </row>
    <row r="88">
      <c r="A88" s="10" t="n">
        <v>43132</v>
      </c>
      <c r="B88" s="25" t="n">
        <v>51.6</v>
      </c>
      <c r="C88" s="25">
        <f>Table13468111214151617181920222526[[#This Row],[PMI]]-B87</f>
        <v/>
      </c>
    </row>
    <row r="89">
      <c r="A89" s="10" t="n">
        <v>43160</v>
      </c>
      <c r="B89" s="25" t="n">
        <v>52.4</v>
      </c>
      <c r="C89" s="25">
        <f>Table13468111214151617181920222526[[#This Row],[PMI]]-B88</f>
        <v/>
      </c>
    </row>
    <row r="90">
      <c r="A90" s="10" t="n">
        <v>43191</v>
      </c>
      <c r="B90" s="25" t="n">
        <v>51.6</v>
      </c>
      <c r="C90" s="25">
        <f>Table13468111214151617181920222526[[#This Row],[PMI]]-B89</f>
        <v/>
      </c>
    </row>
    <row r="91">
      <c r="A91" s="10" t="n">
        <v>43221</v>
      </c>
      <c r="B91" s="25" t="n">
        <v>51</v>
      </c>
      <c r="C91" s="25">
        <f>Table13468111214151617181920222526[[#This Row],[PMI]]-B90</f>
        <v/>
      </c>
    </row>
    <row r="92">
      <c r="A92" s="10" t="n">
        <v>43252</v>
      </c>
      <c r="B92" s="25" t="n">
        <v>52.1</v>
      </c>
      <c r="C92" s="25">
        <f>Table13468111214151617181920222526[[#This Row],[PMI]]-B91</f>
        <v/>
      </c>
    </row>
    <row r="93">
      <c r="A93" s="10" t="n">
        <v>43282</v>
      </c>
      <c r="B93" s="25" t="n">
        <v>52.1</v>
      </c>
      <c r="C93" s="25">
        <f>Table13468111214151617181920222526[[#This Row],[PMI]]-B92</f>
        <v/>
      </c>
    </row>
    <row r="94">
      <c r="A94" s="10" t="n">
        <v>43313</v>
      </c>
      <c r="B94" s="25" t="n">
        <v>50.7</v>
      </c>
      <c r="C94" s="25">
        <f>Table13468111214151617181920222526[[#This Row],[PMI]]-B93</f>
        <v/>
      </c>
    </row>
    <row r="95">
      <c r="A95" s="10" t="n">
        <v>43344</v>
      </c>
      <c r="B95" s="25" t="n">
        <v>51.7</v>
      </c>
      <c r="C95" s="25">
        <f>Table13468111214151617181920222526[[#This Row],[PMI]]-B94</f>
        <v/>
      </c>
    </row>
    <row r="96">
      <c r="A96" s="10" t="n">
        <v>43374</v>
      </c>
      <c r="B96" s="25" t="n">
        <v>50.7</v>
      </c>
      <c r="C96" s="25">
        <f>Table13468111214151617181920222526[[#This Row],[PMI]]-B95</f>
        <v/>
      </c>
    </row>
    <row r="97">
      <c r="A97" s="10" t="n">
        <v>43405</v>
      </c>
      <c r="B97" s="25" t="n">
        <v>49.7</v>
      </c>
      <c r="C97" s="25">
        <f>Table13468111214151617181920222526[[#This Row],[PMI]]-B96</f>
        <v/>
      </c>
    </row>
    <row r="98">
      <c r="A98" s="10" t="n">
        <v>43435</v>
      </c>
      <c r="B98" s="25" t="n">
        <v>49.7</v>
      </c>
      <c r="C98" s="25">
        <f>Table13468111214151617181920222526[[#This Row],[PMI]]-B97</f>
        <v/>
      </c>
    </row>
    <row r="99">
      <c r="A99" s="10" t="n">
        <v>43466</v>
      </c>
      <c r="B99" s="25" t="n">
        <v>50.9</v>
      </c>
      <c r="C99" s="25">
        <f>Table13468111214151617181920222526[[#This Row],[PMI]]-B98</f>
        <v/>
      </c>
    </row>
    <row r="100">
      <c r="A100" s="10" t="n">
        <v>43497</v>
      </c>
      <c r="B100" s="25" t="n">
        <v>52.6</v>
      </c>
      <c r="C100" s="25">
        <f>Table13468111214151617181920222526[[#This Row],[PMI]]-B99</f>
        <v/>
      </c>
    </row>
    <row r="101">
      <c r="A101" s="10" t="n">
        <v>43525</v>
      </c>
      <c r="B101" s="25" t="n">
        <v>49.8</v>
      </c>
      <c r="C101" s="25">
        <f>Table13468111214151617181920222526[[#This Row],[PMI]]-B100</f>
        <v/>
      </c>
    </row>
    <row r="102">
      <c r="A102" s="10" t="n">
        <v>43556</v>
      </c>
      <c r="B102" s="25" t="n">
        <v>50.1</v>
      </c>
      <c r="C102" s="25">
        <f>Table13468111214151617181920222526[[#This Row],[PMI]]-B101</f>
        <v/>
      </c>
    </row>
    <row r="103">
      <c r="A103" s="10" t="n">
        <v>43586</v>
      </c>
      <c r="B103" s="25" t="n">
        <v>50</v>
      </c>
      <c r="C103" s="25">
        <f>Table13468111214151617181920222526[[#This Row],[PMI]]-B102</f>
        <v/>
      </c>
    </row>
    <row r="104">
      <c r="A104" s="10" t="n">
        <v>43617</v>
      </c>
      <c r="B104" s="25" t="n">
        <v>49.2</v>
      </c>
      <c r="C104" s="25">
        <f>Table13468111214151617181920222526[[#This Row],[PMI]]-B103</f>
        <v/>
      </c>
    </row>
    <row r="105">
      <c r="A105" s="10" t="n">
        <v>43647</v>
      </c>
      <c r="B105" s="25" t="n">
        <v>49.8</v>
      </c>
      <c r="C105" s="25">
        <f>Table13468111214151617181920222526[[#This Row],[PMI]]-B104</f>
        <v/>
      </c>
    </row>
    <row r="106">
      <c r="A106" s="10" t="n">
        <v>43678</v>
      </c>
      <c r="B106" s="25" t="n">
        <v>49</v>
      </c>
      <c r="C106" s="25">
        <f>Table13468111214151617181920222526[[#This Row],[PMI]]-B105</f>
        <v/>
      </c>
    </row>
    <row r="107">
      <c r="A107" s="10" t="n">
        <v>43709</v>
      </c>
      <c r="B107" s="25" t="n">
        <v>49.1</v>
      </c>
      <c r="C107" s="25">
        <f>Table13468111214151617181920222526[[#This Row],[PMI]]-B106</f>
        <v/>
      </c>
    </row>
    <row r="108">
      <c r="A108" s="10" t="n">
        <v>43739</v>
      </c>
      <c r="B108" s="25" t="n">
        <v>50.4</v>
      </c>
      <c r="C108" s="25">
        <f>Table13468111214151617181920222526[[#This Row],[PMI]]-B107</f>
        <v/>
      </c>
    </row>
    <row r="109">
      <c r="A109" s="10" t="n">
        <v>43770</v>
      </c>
      <c r="B109" s="25" t="n">
        <v>48</v>
      </c>
      <c r="C109" s="25">
        <f>Table13468111214151617181920222526[[#This Row],[PMI]]-B108</f>
        <v/>
      </c>
    </row>
    <row r="110">
      <c r="A110" s="10" t="n">
        <v>43800</v>
      </c>
      <c r="B110" s="25" t="n">
        <v>47.1</v>
      </c>
      <c r="C110" s="25">
        <f>Table13468111214151617181920222526[[#This Row],[PMI]]-B109</f>
        <v/>
      </c>
    </row>
    <row r="111">
      <c r="A111" s="10" t="n">
        <v>43831</v>
      </c>
      <c r="B111" s="25" t="n">
        <v>49</v>
      </c>
      <c r="C111" s="25">
        <f>Table13468111214151617181920222526[[#This Row],[PMI]]-B110</f>
        <v/>
      </c>
    </row>
    <row r="112">
      <c r="A112" s="10" t="n">
        <v>43862</v>
      </c>
      <c r="B112" s="25" t="n">
        <v>50</v>
      </c>
      <c r="C112" s="25">
        <f>Table13468111214151617181920222526[[#This Row],[PMI]]-B111</f>
        <v/>
      </c>
    </row>
    <row r="113">
      <c r="A113" s="10" t="n">
        <v>43891</v>
      </c>
      <c r="B113" s="25" t="n">
        <v>46.9</v>
      </c>
      <c r="C113" s="25">
        <f>Table13468111214151617181920222526[[#This Row],[PMI]]-B112</f>
        <v/>
      </c>
    </row>
    <row r="114">
      <c r="A114" s="10" t="n">
        <v>43922</v>
      </c>
      <c r="B114" s="25" t="n">
        <v>35</v>
      </c>
      <c r="C114" s="25">
        <f>Table13468111214151617181920222526[[#This Row],[PMI]]-B113</f>
        <v/>
      </c>
    </row>
    <row r="115">
      <c r="A115" s="10" t="n">
        <v>43952</v>
      </c>
      <c r="B115" s="25" t="n">
        <v>38.3</v>
      </c>
      <c r="C115" s="25">
        <f>Table13468111214151617181920222526[[#This Row],[PMI]]-B114</f>
        <v/>
      </c>
    </row>
    <row r="116">
      <c r="A116" s="10" t="n">
        <v>43983</v>
      </c>
      <c r="B116" s="25" t="n">
        <v>38.6</v>
      </c>
      <c r="C116" s="25">
        <f>Table13468111214151617181920222526[[#This Row],[PMI]]-B115</f>
        <v/>
      </c>
    </row>
    <row r="117">
      <c r="A117" s="10" t="n">
        <v>44013</v>
      </c>
      <c r="B117" s="25" t="n">
        <v>40.4</v>
      </c>
      <c r="C117" s="25">
        <f>Table13468111214151617181920222526[[#This Row],[PMI]]-B116</f>
        <v/>
      </c>
    </row>
    <row r="118">
      <c r="A118" s="10" t="n">
        <v>44044</v>
      </c>
      <c r="B118" s="25" t="n">
        <v>41.3</v>
      </c>
      <c r="C118" s="25">
        <f>Table13468111214151617181920222526[[#This Row],[PMI]]-B117</f>
        <v/>
      </c>
    </row>
    <row r="119">
      <c r="A119" s="10" t="n">
        <v>44075</v>
      </c>
      <c r="B119" s="25" t="n">
        <v>42.1</v>
      </c>
      <c r="C119" s="25">
        <f>Table13468111214151617181920222526[[#This Row],[PMI]]-B118</f>
        <v/>
      </c>
    </row>
    <row r="120">
      <c r="A120" s="10" t="n">
        <v>44105</v>
      </c>
      <c r="B120" s="25" t="n">
        <v>43.6</v>
      </c>
      <c r="C120" s="25">
        <f>Table13468111214151617181920222526[[#This Row],[PMI]]-B119</f>
        <v/>
      </c>
    </row>
    <row r="121">
      <c r="A121" s="10" t="n">
        <v>44136</v>
      </c>
      <c r="B121" s="25" t="n">
        <v>43.7</v>
      </c>
      <c r="C121" s="25">
        <f>Table13468111214151617181920222526[[#This Row],[PMI]]-B120</f>
        <v/>
      </c>
    </row>
    <row r="122">
      <c r="A122" s="10" t="n">
        <v>44166</v>
      </c>
      <c r="B122" s="25" t="n">
        <v>42.4</v>
      </c>
      <c r="C122" s="25">
        <f>Table13468111214151617181920222526[[#This Row],[PMI]]-B121</f>
        <v/>
      </c>
    </row>
    <row r="123">
      <c r="A123" s="10" t="n">
        <v>44197</v>
      </c>
      <c r="B123" s="25" t="n">
        <v>43</v>
      </c>
      <c r="C123" s="25">
        <f>Table13468111214151617181920222526[[#This Row],[PMI]]-B122</f>
        <v/>
      </c>
    </row>
    <row r="124">
      <c r="A124" s="10" t="n">
        <v>44228</v>
      </c>
      <c r="B124" s="25" t="n">
        <v>44.2</v>
      </c>
      <c r="C124" s="25">
        <f>Table13468111214151617181920222526[[#This Row],[PMI]]-B123</f>
        <v/>
      </c>
    </row>
    <row r="125">
      <c r="A125" s="10" t="n">
        <v>44256</v>
      </c>
      <c r="B125" s="25" t="n">
        <v>45.6</v>
      </c>
      <c r="C125" s="25">
        <f>Table13468111214151617181920222526[[#This Row],[PMI]]-B124</f>
        <v/>
      </c>
    </row>
    <row r="126">
      <c r="A126" s="10" t="n">
        <v>44287</v>
      </c>
      <c r="B126" s="25" t="n">
        <v>48.4</v>
      </c>
      <c r="C126" s="25">
        <f>Table13468111214151617181920222526[[#This Row],[PMI]]-B125</f>
        <v/>
      </c>
    </row>
    <row r="127">
      <c r="A127" s="10" t="n">
        <v>44317</v>
      </c>
      <c r="B127" s="25" t="n">
        <v>47.6</v>
      </c>
      <c r="C127" s="25">
        <f>Table13468111214151617181920222526[[#This Row],[PMI]]-B126</f>
        <v/>
      </c>
    </row>
    <row r="128">
      <c r="A128" s="10" t="n">
        <v>44348</v>
      </c>
      <c r="B128" s="25" t="n">
        <v>48.8</v>
      </c>
      <c r="C128" s="25">
        <f>Table13468111214151617181920222526[[#This Row],[PMI]]-B127</f>
        <v/>
      </c>
    </row>
    <row r="129">
      <c r="A129" s="10" t="n">
        <v>44378</v>
      </c>
      <c r="B129" s="25" t="n">
        <v>49.6</v>
      </c>
      <c r="C129" s="25">
        <f>Table13468111214151617181920222526[[#This Row],[PMI]]-B128</f>
        <v/>
      </c>
    </row>
    <row r="130">
      <c r="A130" s="10" t="n">
        <v>44409</v>
      </c>
      <c r="B130" s="25" t="n">
        <v>47.1</v>
      </c>
      <c r="C130" s="25">
        <f>Table13468111214151617181920222526[[#This Row],[PMI]]-B129</f>
        <v/>
      </c>
    </row>
    <row r="131">
      <c r="A131" s="10" t="n">
        <v>44440</v>
      </c>
      <c r="B131" s="25" t="n">
        <v>48.6</v>
      </c>
      <c r="C131" s="25">
        <f>Table13468111214151617181920222526[[#This Row],[PMI]]-B130</f>
        <v/>
      </c>
    </row>
    <row r="132">
      <c r="A132" s="10" t="n">
        <v>44470</v>
      </c>
      <c r="B132" s="25" t="n">
        <v>49.3</v>
      </c>
      <c r="C132" s="25">
        <f>Table13468111214151617181920222526[[#This Row],[PMI]]-B131</f>
        <v/>
      </c>
    </row>
    <row r="133">
      <c r="A133" s="10" t="n">
        <v>44501</v>
      </c>
      <c r="B133" s="25" t="n">
        <v>49.4</v>
      </c>
      <c r="C133" s="25">
        <f>Table13468111214151617181920222526[[#This Row],[PMI]]-B132</f>
        <v/>
      </c>
    </row>
    <row r="134">
      <c r="A134" s="10" t="n">
        <v>44531</v>
      </c>
      <c r="B134" s="25" t="n">
        <v>49.4</v>
      </c>
      <c r="C134" s="25">
        <f>Table13468111214151617181920222526[[#This Row],[PMI]]-B133</f>
        <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0"/>
  <sheetViews>
    <sheetView zoomScale="150" zoomScaleNormal="150" workbookViewId="0">
      <pane ySplit="5" topLeftCell="A101"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Russia</t>
        </is>
      </c>
      <c r="K1" s="84" t="inlineStr">
        <is>
          <t xml:space="preserve"> Manufacturing PMI</t>
        </is>
      </c>
    </row>
    <row r="2">
      <c r="A2" s="84" t="inlineStr">
        <is>
          <t>russia</t>
        </is>
      </c>
      <c r="K2" s="84">
        <f>A1&amp;K1</f>
        <v/>
      </c>
    </row>
    <row r="4" ht="16" customHeight="1" s="76" thickBot="1"/>
    <row r="5" ht="16" customHeight="1" s="76" thickBot="1">
      <c r="A5" s="22" t="inlineStr">
        <is>
          <t>Date</t>
        </is>
      </c>
      <c r="B5" s="23" t="inlineStr">
        <is>
          <t>PMI</t>
        </is>
      </c>
      <c r="C5" s="23" t="inlineStr">
        <is>
          <t>mom</t>
        </is>
      </c>
    </row>
    <row r="6">
      <c r="A6" s="18" t="n">
        <v>40452</v>
      </c>
      <c r="B6" s="19" t="n">
        <v>51.8</v>
      </c>
      <c r="C6" s="19" t="n"/>
    </row>
    <row r="7">
      <c r="A7" s="10" t="n">
        <v>40483</v>
      </c>
      <c r="B7" s="25" t="n">
        <v>51.1</v>
      </c>
      <c r="C7" s="25">
        <f>Table134681112141516171819202225[[#This Row],[PMI]]-B6</f>
        <v/>
      </c>
    </row>
    <row r="8">
      <c r="A8" s="10" t="n">
        <v>40513</v>
      </c>
      <c r="B8" s="25" t="n">
        <v>53.5</v>
      </c>
      <c r="C8" s="25">
        <f>Table134681112141516171819202225[[#This Row],[PMI]]-B7</f>
        <v/>
      </c>
    </row>
    <row r="9">
      <c r="A9" s="10" t="n">
        <v>40544</v>
      </c>
      <c r="B9" s="25" t="n">
        <v>53.5</v>
      </c>
      <c r="C9" s="25">
        <f>Table134681112141516171819202225[[#This Row],[PMI]]-B8</f>
        <v/>
      </c>
    </row>
    <row r="10">
      <c r="A10" s="10" t="n">
        <v>40575</v>
      </c>
      <c r="B10" s="25" t="n">
        <v>56.4</v>
      </c>
      <c r="C10" s="25">
        <f>Table134681112141516171819202225[[#This Row],[PMI]]-B9</f>
        <v/>
      </c>
    </row>
    <row r="11">
      <c r="A11" s="10" t="n">
        <v>40603</v>
      </c>
      <c r="B11" s="25" t="n">
        <v>55.1</v>
      </c>
      <c r="C11" s="25">
        <f>Table134681112141516171819202225[[#This Row],[PMI]]-B10</f>
        <v/>
      </c>
    </row>
    <row r="12">
      <c r="A12" s="10" t="n">
        <v>40634</v>
      </c>
      <c r="B12" s="25" t="n">
        <v>52.1</v>
      </c>
      <c r="C12" s="25">
        <f>Table134681112141516171819202225[[#This Row],[PMI]]-B11</f>
        <v/>
      </c>
    </row>
    <row r="13">
      <c r="A13" s="10" t="n">
        <v>40664</v>
      </c>
      <c r="B13" s="25" t="n">
        <v>50.9</v>
      </c>
      <c r="C13" s="25">
        <f>Table134681112141516171819202225[[#This Row],[PMI]]-B12</f>
        <v/>
      </c>
    </row>
    <row r="14">
      <c r="A14" s="10" t="n">
        <v>40695</v>
      </c>
      <c r="B14" s="25" t="n">
        <v>50.6</v>
      </c>
      <c r="C14" s="25">
        <f>Table134681112141516171819202225[[#This Row],[PMI]]-B13</f>
        <v/>
      </c>
    </row>
    <row r="15">
      <c r="A15" s="10" t="n">
        <v>40725</v>
      </c>
      <c r="B15" s="25" t="n">
        <v>49.8</v>
      </c>
      <c r="C15" s="25">
        <f>Table134681112141516171819202225[[#This Row],[PMI]]-B14</f>
        <v/>
      </c>
    </row>
    <row r="16">
      <c r="A16" s="10" t="n">
        <v>40756</v>
      </c>
      <c r="B16" s="25" t="n">
        <v>49.9</v>
      </c>
      <c r="C16" s="25">
        <f>Table134681112141516171819202225[[#This Row],[PMI]]-B15</f>
        <v/>
      </c>
    </row>
    <row r="17">
      <c r="A17" s="10" t="n">
        <v>40787</v>
      </c>
      <c r="B17" s="25" t="n">
        <v>50</v>
      </c>
      <c r="C17" s="25">
        <f>Table134681112141516171819202225[[#This Row],[PMI]]-B16</f>
        <v/>
      </c>
    </row>
    <row r="18">
      <c r="A18" s="10" t="n">
        <v>40817</v>
      </c>
      <c r="B18" s="25" t="n">
        <v>50.4</v>
      </c>
      <c r="C18" s="25">
        <f>Table134681112141516171819202225[[#This Row],[PMI]]-B17</f>
        <v/>
      </c>
    </row>
    <row r="19">
      <c r="A19" s="10" t="n">
        <v>40848</v>
      </c>
      <c r="B19" s="25" t="n">
        <v>52.6</v>
      </c>
      <c r="C19" s="25">
        <f>Table134681112141516171819202225[[#This Row],[PMI]]-B18</f>
        <v/>
      </c>
    </row>
    <row r="20">
      <c r="A20" s="10" t="n">
        <v>40878</v>
      </c>
      <c r="B20" s="25" t="n">
        <v>51.6</v>
      </c>
      <c r="C20" s="25">
        <f>Table134681112141516171819202225[[#This Row],[PMI]]-B19</f>
        <v/>
      </c>
    </row>
    <row r="21">
      <c r="A21" s="10" t="n">
        <v>40909</v>
      </c>
      <c r="B21" s="25" t="n">
        <v>50.8</v>
      </c>
      <c r="C21" s="25">
        <f>Table134681112141516171819202225[[#This Row],[PMI]]-B20</f>
        <v/>
      </c>
    </row>
    <row r="22">
      <c r="A22" s="10" t="n">
        <v>40940</v>
      </c>
      <c r="B22" s="25" t="n">
        <v>50.7</v>
      </c>
      <c r="C22" s="25">
        <f>Table134681112141516171819202225[[#This Row],[PMI]]-B21</f>
        <v/>
      </c>
    </row>
    <row r="23">
      <c r="A23" s="10" t="n">
        <v>40969</v>
      </c>
      <c r="B23" s="25" t="n">
        <v>50.8</v>
      </c>
      <c r="C23" s="25">
        <f>Table134681112141516171819202225[[#This Row],[PMI]]-B22</f>
        <v/>
      </c>
    </row>
    <row r="24">
      <c r="A24" s="10" t="n">
        <v>41000</v>
      </c>
      <c r="B24" s="25" t="n">
        <v>52.9</v>
      </c>
      <c r="C24" s="25">
        <f>Table134681112141516171819202225[[#This Row],[PMI]]-B23</f>
        <v/>
      </c>
    </row>
    <row r="25">
      <c r="A25" s="10" t="n">
        <v>41030</v>
      </c>
      <c r="B25" s="25" t="n">
        <v>53.2</v>
      </c>
      <c r="C25" s="25">
        <f>Table134681112141516171819202225[[#This Row],[PMI]]-B24</f>
        <v/>
      </c>
    </row>
    <row r="26">
      <c r="A26" s="10" t="n">
        <v>41061</v>
      </c>
      <c r="B26" s="25" t="n">
        <v>51</v>
      </c>
      <c r="C26" s="25">
        <f>Table134681112141516171819202225[[#This Row],[PMI]]-B25</f>
        <v/>
      </c>
    </row>
    <row r="27">
      <c r="A27" s="10" t="n">
        <v>41091</v>
      </c>
      <c r="B27" s="25" t="n">
        <v>52</v>
      </c>
      <c r="C27" s="25">
        <f>Table134681112141516171819202225[[#This Row],[PMI]]-B26</f>
        <v/>
      </c>
    </row>
    <row r="28">
      <c r="A28" s="10" t="n">
        <v>41122</v>
      </c>
      <c r="B28" s="25" t="n">
        <v>51</v>
      </c>
      <c r="C28" s="25">
        <f>Table134681112141516171819202225[[#This Row],[PMI]]-B27</f>
        <v/>
      </c>
    </row>
    <row r="29">
      <c r="A29" s="10" t="n">
        <v>41153</v>
      </c>
      <c r="B29" s="25" t="n">
        <v>52.4</v>
      </c>
      <c r="C29" s="25">
        <f>Table134681112141516171819202225[[#This Row],[PMI]]-B28</f>
        <v/>
      </c>
    </row>
    <row r="30">
      <c r="A30" s="10" t="n">
        <v>41183</v>
      </c>
      <c r="B30" s="25" t="n">
        <v>52.9</v>
      </c>
      <c r="C30" s="25">
        <f>Table134681112141516171819202225[[#This Row],[PMI]]-B29</f>
        <v/>
      </c>
    </row>
    <row r="31">
      <c r="A31" s="10" t="n">
        <v>41214</v>
      </c>
      <c r="B31" s="25" t="n">
        <v>52.2</v>
      </c>
      <c r="C31" s="25">
        <f>Table134681112141516171819202225[[#This Row],[PMI]]-B30</f>
        <v/>
      </c>
    </row>
    <row r="32">
      <c r="A32" s="10" t="n">
        <v>41244</v>
      </c>
      <c r="B32" s="25" t="n">
        <v>50</v>
      </c>
      <c r="C32" s="25">
        <f>Table134681112141516171819202225[[#This Row],[PMI]]-B31</f>
        <v/>
      </c>
    </row>
    <row r="33">
      <c r="A33" s="10" t="n">
        <v>41275</v>
      </c>
      <c r="B33" s="25" t="n">
        <v>52</v>
      </c>
      <c r="C33" s="25">
        <f>Table134681112141516171819202225[[#This Row],[PMI]]-B32</f>
        <v/>
      </c>
    </row>
    <row r="34">
      <c r="A34" s="10" t="n">
        <v>41306</v>
      </c>
      <c r="B34" s="25" t="n">
        <v>52</v>
      </c>
      <c r="C34" s="25">
        <f>Table134681112141516171819202225[[#This Row],[PMI]]-B33</f>
        <v/>
      </c>
    </row>
    <row r="35">
      <c r="A35" s="10" t="n">
        <v>41334</v>
      </c>
      <c r="B35" s="25" t="n">
        <v>50.8</v>
      </c>
      <c r="C35" s="25">
        <f>Table134681112141516171819202225[[#This Row],[PMI]]-B34</f>
        <v/>
      </c>
    </row>
    <row r="36">
      <c r="A36" s="10" t="n">
        <v>41365</v>
      </c>
      <c r="B36" s="25" t="n">
        <v>50.6</v>
      </c>
      <c r="C36" s="25">
        <f>Table134681112141516171819202225[[#This Row],[PMI]]-B35</f>
        <v/>
      </c>
    </row>
    <row r="37">
      <c r="A37" s="10" t="n">
        <v>41395</v>
      </c>
      <c r="B37" s="25" t="n">
        <v>50.4</v>
      </c>
      <c r="C37" s="25">
        <f>Table134681112141516171819202225[[#This Row],[PMI]]-B36</f>
        <v/>
      </c>
    </row>
    <row r="38">
      <c r="A38" s="10" t="n">
        <v>41426</v>
      </c>
      <c r="B38" s="25" t="n">
        <v>51.7</v>
      </c>
      <c r="C38" s="25">
        <f>Table134681112141516171819202225[[#This Row],[PMI]]-B37</f>
        <v/>
      </c>
    </row>
    <row r="39">
      <c r="A39" s="10" t="n">
        <v>41456</v>
      </c>
      <c r="B39" s="25" t="n">
        <v>49.2</v>
      </c>
      <c r="C39" s="25">
        <f>Table134681112141516171819202225[[#This Row],[PMI]]-B38</f>
        <v/>
      </c>
    </row>
    <row r="40">
      <c r="A40" s="10" t="n">
        <v>41487</v>
      </c>
      <c r="B40" s="25" t="n">
        <v>49.4</v>
      </c>
      <c r="C40" s="25">
        <f>Table134681112141516171819202225[[#This Row],[PMI]]-B39</f>
        <v/>
      </c>
    </row>
    <row r="41">
      <c r="A41" s="10" t="n">
        <v>41518</v>
      </c>
      <c r="B41" s="25" t="n">
        <v>49.4</v>
      </c>
      <c r="C41" s="25">
        <f>Table134681112141516171819202225[[#This Row],[PMI]]-B40</f>
        <v/>
      </c>
    </row>
    <row r="42">
      <c r="A42" s="10" t="n">
        <v>41548</v>
      </c>
      <c r="B42" s="25" t="n">
        <v>51.8</v>
      </c>
      <c r="C42" s="25">
        <f>Table134681112141516171819202225[[#This Row],[PMI]]-B41</f>
        <v/>
      </c>
    </row>
    <row r="43">
      <c r="A43" s="10" t="n">
        <v>41579</v>
      </c>
      <c r="B43" s="25" t="n">
        <v>49.4</v>
      </c>
      <c r="C43" s="25">
        <f>Table134681112141516171819202225[[#This Row],[PMI]]-B42</f>
        <v/>
      </c>
    </row>
    <row r="44">
      <c r="A44" s="10" t="n">
        <v>41609</v>
      </c>
      <c r="B44" s="25" t="n">
        <v>48.8</v>
      </c>
      <c r="C44" s="25">
        <f>Table134681112141516171819202225[[#This Row],[PMI]]-B43</f>
        <v/>
      </c>
    </row>
    <row r="45">
      <c r="A45" s="10" t="n">
        <v>41640</v>
      </c>
      <c r="B45" s="25" t="n">
        <v>48</v>
      </c>
      <c r="C45" s="25">
        <f>Table134681112141516171819202225[[#This Row],[PMI]]-B44</f>
        <v/>
      </c>
    </row>
    <row r="46">
      <c r="A46" s="10" t="n">
        <v>41671</v>
      </c>
      <c r="B46" s="25" t="n">
        <v>48.5</v>
      </c>
      <c r="C46" s="25">
        <f>Table134681112141516171819202225[[#This Row],[PMI]]-B45</f>
        <v/>
      </c>
    </row>
    <row r="47">
      <c r="A47" s="10" t="n">
        <v>41699</v>
      </c>
      <c r="B47" s="25" t="n">
        <v>48.3</v>
      </c>
      <c r="C47" s="25">
        <f>Table134681112141516171819202225[[#This Row],[PMI]]-B46</f>
        <v/>
      </c>
    </row>
    <row r="48">
      <c r="A48" s="10" t="n">
        <v>41730</v>
      </c>
      <c r="B48" s="25" t="n">
        <v>48.5</v>
      </c>
      <c r="C48" s="25">
        <f>Table134681112141516171819202225[[#This Row],[PMI]]-B47</f>
        <v/>
      </c>
    </row>
    <row r="49">
      <c r="A49" s="10" t="n">
        <v>41760</v>
      </c>
      <c r="B49" s="25" t="n">
        <v>48.9</v>
      </c>
      <c r="C49" s="25">
        <f>Table134681112141516171819202225[[#This Row],[PMI]]-B48</f>
        <v/>
      </c>
    </row>
    <row r="50">
      <c r="A50" s="10" t="n">
        <v>41791</v>
      </c>
      <c r="B50" s="25" t="n">
        <v>49.1</v>
      </c>
      <c r="C50" s="25">
        <f>Table134681112141516171819202225[[#This Row],[PMI]]-B49</f>
        <v/>
      </c>
    </row>
    <row r="51">
      <c r="A51" s="10" t="n">
        <v>41821</v>
      </c>
      <c r="B51" s="25" t="n">
        <v>51</v>
      </c>
      <c r="C51" s="25">
        <f>Table134681112141516171819202225[[#This Row],[PMI]]-B50</f>
        <v/>
      </c>
    </row>
    <row r="52">
      <c r="A52" s="10" t="n">
        <v>41852</v>
      </c>
      <c r="B52" s="25" t="n">
        <v>51</v>
      </c>
      <c r="C52" s="25">
        <f>Table134681112141516171819202225[[#This Row],[PMI]]-B51</f>
        <v/>
      </c>
    </row>
    <row r="53">
      <c r="A53" s="10" t="n">
        <v>41883</v>
      </c>
      <c r="B53" s="25" t="n">
        <v>50.4</v>
      </c>
      <c r="C53" s="25">
        <f>Table134681112141516171819202225[[#This Row],[PMI]]-B52</f>
        <v/>
      </c>
    </row>
    <row r="54">
      <c r="A54" s="10" t="n">
        <v>41913</v>
      </c>
      <c r="B54" s="25" t="n">
        <v>50.3</v>
      </c>
      <c r="C54" s="25">
        <f>Table134681112141516171819202225[[#This Row],[PMI]]-B53</f>
        <v/>
      </c>
    </row>
    <row r="55">
      <c r="A55" s="10" t="n">
        <v>41944</v>
      </c>
      <c r="B55" s="25" t="n">
        <v>51.7</v>
      </c>
      <c r="C55" s="25">
        <f>Table134681112141516171819202225[[#This Row],[PMI]]-B54</f>
        <v/>
      </c>
    </row>
    <row r="56">
      <c r="A56" s="10" t="n">
        <v>41974</v>
      </c>
      <c r="B56" s="25" t="n">
        <v>48.9</v>
      </c>
      <c r="C56" s="25">
        <f>Table134681112141516171819202225[[#This Row],[PMI]]-B55</f>
        <v/>
      </c>
    </row>
    <row r="57">
      <c r="A57" s="10" t="n">
        <v>42005</v>
      </c>
      <c r="B57" s="25" t="n">
        <v>47.6</v>
      </c>
      <c r="C57" s="25">
        <f>Table134681112141516171819202225[[#This Row],[PMI]]-B56</f>
        <v/>
      </c>
    </row>
    <row r="58">
      <c r="A58" s="10" t="n">
        <v>42036</v>
      </c>
      <c r="B58" s="25" t="n">
        <v>49.7</v>
      </c>
      <c r="C58" s="25">
        <f>Table134681112141516171819202225[[#This Row],[PMI]]-B57</f>
        <v/>
      </c>
    </row>
    <row r="59">
      <c r="A59" s="10" t="n">
        <v>42064</v>
      </c>
      <c r="B59" s="25" t="n">
        <v>48.1</v>
      </c>
      <c r="C59" s="25">
        <f>Table134681112141516171819202225[[#This Row],[PMI]]-B58</f>
        <v/>
      </c>
    </row>
    <row r="60">
      <c r="A60" s="10" t="n">
        <v>42095</v>
      </c>
      <c r="B60" s="25" t="n">
        <v>48.9</v>
      </c>
      <c r="C60" s="25">
        <f>Table134681112141516171819202225[[#This Row],[PMI]]-B59</f>
        <v/>
      </c>
    </row>
    <row r="61">
      <c r="A61" s="10" t="n">
        <v>42125</v>
      </c>
      <c r="B61" s="25" t="n">
        <v>47.6</v>
      </c>
      <c r="C61" s="25">
        <f>Table134681112141516171819202225[[#This Row],[PMI]]-B60</f>
        <v/>
      </c>
    </row>
    <row r="62">
      <c r="A62" s="10" t="n">
        <v>42156</v>
      </c>
      <c r="B62" s="25" t="n">
        <v>48.7</v>
      </c>
      <c r="C62" s="25">
        <f>Table134681112141516171819202225[[#This Row],[PMI]]-B61</f>
        <v/>
      </c>
    </row>
    <row r="63">
      <c r="A63" s="10" t="n">
        <v>42186</v>
      </c>
      <c r="B63" s="25" t="n">
        <v>48.3</v>
      </c>
      <c r="C63" s="25">
        <f>Table134681112141516171819202225[[#This Row],[PMI]]-B62</f>
        <v/>
      </c>
    </row>
    <row r="64">
      <c r="A64" s="10" t="n">
        <v>42217</v>
      </c>
      <c r="B64" s="25" t="n">
        <v>47.9</v>
      </c>
      <c r="C64" s="25">
        <f>Table134681112141516171819202225[[#This Row],[PMI]]-B63</f>
        <v/>
      </c>
    </row>
    <row r="65">
      <c r="A65" s="10" t="n">
        <v>42248</v>
      </c>
      <c r="B65" s="25" t="n">
        <v>49.1</v>
      </c>
      <c r="C65" s="25">
        <f>Table134681112141516171819202225[[#This Row],[PMI]]-B64</f>
        <v/>
      </c>
    </row>
    <row r="66">
      <c r="A66" s="10" t="n">
        <v>42278</v>
      </c>
      <c r="B66" s="25" t="n">
        <v>50.2</v>
      </c>
      <c r="C66" s="25">
        <f>Table134681112141516171819202225[[#This Row],[PMI]]-B65</f>
        <v/>
      </c>
    </row>
    <row r="67">
      <c r="A67" s="10" t="n">
        <v>42309</v>
      </c>
      <c r="B67" s="25" t="n">
        <v>50.1</v>
      </c>
      <c r="C67" s="25">
        <f>Table134681112141516171819202225[[#This Row],[PMI]]-B66</f>
        <v/>
      </c>
    </row>
    <row r="68">
      <c r="A68" s="10" t="n">
        <v>42339</v>
      </c>
      <c r="B68" s="25" t="n">
        <v>48.7</v>
      </c>
      <c r="C68" s="25">
        <f>Table134681112141516171819202225[[#This Row],[PMI]]-B67</f>
        <v/>
      </c>
    </row>
    <row r="69">
      <c r="A69" s="10" t="n">
        <v>42370</v>
      </c>
      <c r="B69" s="25" t="n">
        <v>49.8</v>
      </c>
      <c r="C69" s="25">
        <f>Table134681112141516171819202225[[#This Row],[PMI]]-B68</f>
        <v/>
      </c>
    </row>
    <row r="70">
      <c r="A70" s="10" t="n">
        <v>42401</v>
      </c>
      <c r="B70" s="25" t="n">
        <v>49.3</v>
      </c>
      <c r="C70" s="25">
        <f>Table134681112141516171819202225[[#This Row],[PMI]]-B69</f>
        <v/>
      </c>
    </row>
    <row r="71">
      <c r="A71" s="10" t="n">
        <v>42430</v>
      </c>
      <c r="B71" s="25" t="n">
        <v>48.3</v>
      </c>
      <c r="C71" s="25">
        <f>Table134681112141516171819202225[[#This Row],[PMI]]-B70</f>
        <v/>
      </c>
    </row>
    <row r="72">
      <c r="A72" s="10" t="n">
        <v>42461</v>
      </c>
      <c r="B72" s="25" t="n">
        <v>48</v>
      </c>
      <c r="C72" s="25">
        <f>Table134681112141516171819202225[[#This Row],[PMI]]-B71</f>
        <v/>
      </c>
    </row>
    <row r="73">
      <c r="A73" s="10" t="n">
        <v>42491</v>
      </c>
      <c r="B73" s="25" t="n">
        <v>49.6</v>
      </c>
      <c r="C73" s="25">
        <f>Table134681112141516171819202225[[#This Row],[PMI]]-B72</f>
        <v/>
      </c>
    </row>
    <row r="74">
      <c r="A74" s="10" t="n">
        <v>42522</v>
      </c>
      <c r="B74" s="25" t="n">
        <v>51.5</v>
      </c>
      <c r="C74" s="25">
        <f>Table134681112141516171819202225[[#This Row],[PMI]]-B73</f>
        <v/>
      </c>
    </row>
    <row r="75">
      <c r="A75" s="10" t="n">
        <v>42552</v>
      </c>
      <c r="B75" s="25" t="n">
        <v>49.5</v>
      </c>
      <c r="C75" s="25">
        <f>Table134681112141516171819202225[[#This Row],[PMI]]-B74</f>
        <v/>
      </c>
    </row>
    <row r="76">
      <c r="A76" s="10" t="n">
        <v>42583</v>
      </c>
      <c r="B76" s="25" t="n">
        <v>50.8</v>
      </c>
      <c r="C76" s="25">
        <f>Table134681112141516171819202225[[#This Row],[PMI]]-B75</f>
        <v/>
      </c>
    </row>
    <row r="77">
      <c r="A77" s="10" t="n">
        <v>42614</v>
      </c>
      <c r="B77" s="25" t="n">
        <v>51.1</v>
      </c>
      <c r="C77" s="25">
        <f>Table134681112141516171819202225[[#This Row],[PMI]]-B76</f>
        <v/>
      </c>
    </row>
    <row r="78">
      <c r="A78" s="10" t="n">
        <v>42644</v>
      </c>
      <c r="B78" s="25" t="n">
        <v>52.4</v>
      </c>
      <c r="C78" s="25">
        <f>Table134681112141516171819202225[[#This Row],[PMI]]-B77</f>
        <v/>
      </c>
    </row>
    <row r="79">
      <c r="A79" s="10" t="n">
        <v>42675</v>
      </c>
      <c r="B79" s="25" t="n">
        <v>53.6</v>
      </c>
      <c r="C79" s="25">
        <f>Table134681112141516171819202225[[#This Row],[PMI]]-B78</f>
        <v/>
      </c>
    </row>
    <row r="80">
      <c r="A80" s="10" t="n">
        <v>42705</v>
      </c>
      <c r="B80" s="25" t="n">
        <v>53.7</v>
      </c>
      <c r="C80" s="25">
        <f>Table134681112141516171819202225[[#This Row],[PMI]]-B79</f>
        <v/>
      </c>
    </row>
    <row r="81">
      <c r="A81" s="10" t="n">
        <v>42736</v>
      </c>
      <c r="B81" s="25" t="n">
        <v>54.7</v>
      </c>
      <c r="C81" s="25">
        <f>Table134681112141516171819202225[[#This Row],[PMI]]-B80</f>
        <v/>
      </c>
    </row>
    <row r="82">
      <c r="A82" s="10" t="n">
        <v>42767</v>
      </c>
      <c r="B82" s="25" t="n">
        <v>52.5</v>
      </c>
      <c r="C82" s="25">
        <f>Table134681112141516171819202225[[#This Row],[PMI]]-B81</f>
        <v/>
      </c>
    </row>
    <row r="83">
      <c r="A83" s="10" t="n">
        <v>42795</v>
      </c>
      <c r="B83" s="25" t="n">
        <v>52.4</v>
      </c>
      <c r="C83" s="25">
        <f>Table134681112141516171819202225[[#This Row],[PMI]]-B82</f>
        <v/>
      </c>
    </row>
    <row r="84">
      <c r="A84" s="10" t="n">
        <v>42826</v>
      </c>
      <c r="B84" s="25" t="n">
        <v>50.8</v>
      </c>
      <c r="C84" s="25">
        <f>Table134681112141516171819202225[[#This Row],[PMI]]-B83</f>
        <v/>
      </c>
    </row>
    <row r="85">
      <c r="A85" s="10" t="n">
        <v>42856</v>
      </c>
      <c r="B85" s="25" t="n">
        <v>52.4</v>
      </c>
      <c r="C85" s="25">
        <f>Table134681112141516171819202225[[#This Row],[PMI]]-B84</f>
        <v/>
      </c>
    </row>
    <row r="86">
      <c r="A86" s="10" t="n">
        <v>42887</v>
      </c>
      <c r="B86" s="25" t="n">
        <v>50.3</v>
      </c>
      <c r="C86" s="25">
        <f>Table134681112141516171819202225[[#This Row],[PMI]]-B85</f>
        <v/>
      </c>
    </row>
    <row r="87">
      <c r="A87" s="10" t="n">
        <v>42917</v>
      </c>
      <c r="B87" s="25" t="n">
        <v>52.7</v>
      </c>
      <c r="C87" s="25">
        <f>Table134681112141516171819202225[[#This Row],[PMI]]-B86</f>
        <v/>
      </c>
    </row>
    <row r="88">
      <c r="A88" s="10" t="n">
        <v>42948</v>
      </c>
      <c r="B88" s="25" t="n">
        <v>51.6</v>
      </c>
      <c r="C88" s="25">
        <f>Table134681112141516171819202225[[#This Row],[PMI]]-B87</f>
        <v/>
      </c>
    </row>
    <row r="89">
      <c r="A89" s="10" t="n">
        <v>42979</v>
      </c>
      <c r="B89" s="25" t="n">
        <v>51.9</v>
      </c>
      <c r="C89" s="25">
        <f>Table134681112141516171819202225[[#This Row],[PMI]]-B88</f>
        <v/>
      </c>
    </row>
    <row r="90">
      <c r="A90" s="10" t="n">
        <v>43009</v>
      </c>
      <c r="B90" s="25" t="n">
        <v>51.1</v>
      </c>
      <c r="C90" s="25">
        <f>Table134681112141516171819202225[[#This Row],[PMI]]-B89</f>
        <v/>
      </c>
    </row>
    <row r="91">
      <c r="A91" s="10" t="n">
        <v>43040</v>
      </c>
      <c r="B91" s="25" t="n">
        <v>51.5</v>
      </c>
      <c r="C91" s="25">
        <f>Table134681112141516171819202225[[#This Row],[PMI]]-B90</f>
        <v/>
      </c>
    </row>
    <row r="92">
      <c r="A92" s="10" t="n">
        <v>43070</v>
      </c>
      <c r="B92" s="25" t="n">
        <v>52</v>
      </c>
      <c r="C92" s="25">
        <f>Table134681112141516171819202225[[#This Row],[PMI]]-B91</f>
        <v/>
      </c>
    </row>
    <row r="93">
      <c r="A93" s="10" t="n">
        <v>43101</v>
      </c>
      <c r="B93" s="25" t="n">
        <v>52.1</v>
      </c>
      <c r="C93" s="25">
        <f>Table134681112141516171819202225[[#This Row],[PMI]]-B92</f>
        <v/>
      </c>
    </row>
    <row r="94">
      <c r="A94" s="10" t="n">
        <v>43132</v>
      </c>
      <c r="B94" s="25" t="n">
        <v>50.2</v>
      </c>
      <c r="C94" s="25">
        <f>Table134681112141516171819202225[[#This Row],[PMI]]-B93</f>
        <v/>
      </c>
    </row>
    <row r="95">
      <c r="A95" s="10" t="n">
        <v>43160</v>
      </c>
      <c r="B95" s="25" t="n">
        <v>50.6</v>
      </c>
      <c r="C95" s="25">
        <f>Table134681112141516171819202225[[#This Row],[PMI]]-B94</f>
        <v/>
      </c>
    </row>
    <row r="96">
      <c r="A96" s="10" t="n">
        <v>43191</v>
      </c>
      <c r="B96" s="25" t="n">
        <v>51.3</v>
      </c>
      <c r="C96" s="25">
        <f>Table134681112141516171819202225[[#This Row],[PMI]]-B95</f>
        <v/>
      </c>
    </row>
    <row r="97">
      <c r="A97" s="10" t="n">
        <v>43221</v>
      </c>
      <c r="B97" s="25" t="n">
        <v>49.8</v>
      </c>
      <c r="C97" s="25">
        <f>Table134681112141516171819202225[[#This Row],[PMI]]-B96</f>
        <v/>
      </c>
    </row>
    <row r="98">
      <c r="A98" s="10" t="n">
        <v>43252</v>
      </c>
      <c r="B98" s="25" t="n">
        <v>49.5</v>
      </c>
      <c r="C98" s="25">
        <f>Table134681112141516171819202225[[#This Row],[PMI]]-B97</f>
        <v/>
      </c>
    </row>
    <row r="99">
      <c r="A99" s="10" t="n">
        <v>43282</v>
      </c>
      <c r="B99" s="25" t="n">
        <v>48.1</v>
      </c>
      <c r="C99" s="25">
        <f>Table134681112141516171819202225[[#This Row],[PMI]]-B98</f>
        <v/>
      </c>
    </row>
    <row r="100">
      <c r="A100" s="10" t="n">
        <v>43313</v>
      </c>
      <c r="B100" s="25" t="n">
        <v>48.9</v>
      </c>
      <c r="C100" s="25">
        <f>Table134681112141516171819202225[[#This Row],[PMI]]-B99</f>
        <v/>
      </c>
    </row>
    <row r="101">
      <c r="A101" s="10" t="n">
        <v>43344</v>
      </c>
      <c r="B101" s="25" t="n">
        <v>50</v>
      </c>
      <c r="C101" s="25">
        <f>Table134681112141516171819202225[[#This Row],[PMI]]-B100</f>
        <v/>
      </c>
    </row>
    <row r="102">
      <c r="A102" s="10" t="n">
        <v>43374</v>
      </c>
      <c r="B102" s="25" t="n">
        <v>51.3</v>
      </c>
      <c r="C102" s="25">
        <f>Table134681112141516171819202225[[#This Row],[PMI]]-B101</f>
        <v/>
      </c>
    </row>
    <row r="103">
      <c r="A103" s="10" t="n">
        <v>43405</v>
      </c>
      <c r="B103" s="25" t="n">
        <v>52.6</v>
      </c>
      <c r="C103" s="25">
        <f>Table134681112141516171819202225[[#This Row],[PMI]]-B102</f>
        <v/>
      </c>
    </row>
    <row r="104">
      <c r="A104" s="10" t="n">
        <v>43435</v>
      </c>
      <c r="B104" s="25" t="n">
        <v>51.7</v>
      </c>
      <c r="C104" s="25">
        <f>Table134681112141516171819202225[[#This Row],[PMI]]-B103</f>
        <v/>
      </c>
    </row>
    <row r="105">
      <c r="A105" s="10" t="n">
        <v>43466</v>
      </c>
      <c r="B105" s="25" t="n">
        <v>50.9</v>
      </c>
      <c r="C105" s="25">
        <f>Table134681112141516171819202225[[#This Row],[PMI]]-B104</f>
        <v/>
      </c>
    </row>
    <row r="106">
      <c r="A106" s="10" t="n">
        <v>43497</v>
      </c>
      <c r="B106" s="25" t="n">
        <v>50.1</v>
      </c>
      <c r="C106" s="25">
        <f>Table134681112141516171819202225[[#This Row],[PMI]]-B105</f>
        <v/>
      </c>
    </row>
    <row r="107">
      <c r="A107" s="10" t="n">
        <v>43525</v>
      </c>
      <c r="B107" s="25" t="n">
        <v>52.8</v>
      </c>
      <c r="C107" s="25">
        <f>Table134681112141516171819202225[[#This Row],[PMI]]-B106</f>
        <v/>
      </c>
    </row>
    <row r="108">
      <c r="A108" s="10" t="n">
        <v>43556</v>
      </c>
      <c r="B108" s="25" t="n">
        <v>51.8</v>
      </c>
      <c r="C108" s="25">
        <f>Table134681112141516171819202225[[#This Row],[PMI]]-B107</f>
        <v/>
      </c>
    </row>
    <row r="109">
      <c r="A109" s="10" t="n">
        <v>43586</v>
      </c>
      <c r="B109" s="25" t="n">
        <v>49.8</v>
      </c>
      <c r="C109" s="25">
        <f>Table134681112141516171819202225[[#This Row],[PMI]]-B108</f>
        <v/>
      </c>
    </row>
    <row r="110">
      <c r="A110" s="10" t="n">
        <v>43617</v>
      </c>
      <c r="B110" s="25" t="n">
        <v>48.6</v>
      </c>
      <c r="C110" s="25">
        <f>Table134681112141516171819202225[[#This Row],[PMI]]-B109</f>
        <v/>
      </c>
    </row>
    <row r="111">
      <c r="A111" s="10" t="n">
        <v>43647</v>
      </c>
      <c r="B111" s="25" t="n">
        <v>49.3</v>
      </c>
      <c r="C111" s="25">
        <f>Table134681112141516171819202225[[#This Row],[PMI]]-B110</f>
        <v/>
      </c>
    </row>
    <row r="112">
      <c r="A112" s="10" t="n">
        <v>43678</v>
      </c>
      <c r="B112" s="25" t="n">
        <v>49.1</v>
      </c>
      <c r="C112" s="25">
        <f>Table134681112141516171819202225[[#This Row],[PMI]]-B111</f>
        <v/>
      </c>
    </row>
    <row r="113">
      <c r="A113" s="10" t="n">
        <v>43709</v>
      </c>
      <c r="B113" s="25" t="n">
        <v>46.3</v>
      </c>
      <c r="C113" s="25">
        <f>Table134681112141516171819202225[[#This Row],[PMI]]-B112</f>
        <v/>
      </c>
    </row>
    <row r="114">
      <c r="A114" s="10" t="n">
        <v>43739</v>
      </c>
      <c r="B114" s="25" t="n">
        <v>47.2</v>
      </c>
      <c r="C114" s="25">
        <f>Table134681112141516171819202225[[#This Row],[PMI]]-B113</f>
        <v/>
      </c>
    </row>
    <row r="115">
      <c r="A115" s="10" t="n">
        <v>43770</v>
      </c>
      <c r="B115" s="25" t="n">
        <v>45.6</v>
      </c>
      <c r="C115" s="25">
        <f>Table134681112141516171819202225[[#This Row],[PMI]]-B114</f>
        <v/>
      </c>
    </row>
    <row r="116">
      <c r="A116" s="10" t="n">
        <v>43800</v>
      </c>
      <c r="B116" s="25" t="n">
        <v>47.5</v>
      </c>
      <c r="C116" s="25">
        <f>Table134681112141516171819202225[[#This Row],[PMI]]-B115</f>
        <v/>
      </c>
    </row>
    <row r="117">
      <c r="A117" s="10" t="n">
        <v>43831</v>
      </c>
      <c r="B117" s="25" t="n">
        <v>47.9</v>
      </c>
      <c r="C117" s="25">
        <f>Table134681112141516171819202225[[#This Row],[PMI]]-B116</f>
        <v/>
      </c>
    </row>
    <row r="118">
      <c r="A118" s="10" t="n">
        <v>43862</v>
      </c>
      <c r="B118" s="25" t="n">
        <v>48.2</v>
      </c>
      <c r="C118" s="25">
        <f>Table134681112141516171819202225[[#This Row],[PMI]]-B117</f>
        <v/>
      </c>
    </row>
    <row r="119">
      <c r="A119" s="10" t="n">
        <v>43891</v>
      </c>
      <c r="B119" s="25" t="n">
        <v>47.5</v>
      </c>
      <c r="C119" s="25">
        <f>Table134681112141516171819202225[[#This Row],[PMI]]-B118</f>
        <v/>
      </c>
    </row>
    <row r="120">
      <c r="A120" s="10" t="n">
        <v>43922</v>
      </c>
      <c r="B120" s="25" t="n">
        <v>31.3</v>
      </c>
      <c r="C120" s="25">
        <f>Table134681112141516171819202225[[#This Row],[PMI]]-B119</f>
        <v/>
      </c>
    </row>
    <row r="121">
      <c r="A121" s="10" t="n">
        <v>43952</v>
      </c>
      <c r="B121" s="25" t="n">
        <v>36.2</v>
      </c>
      <c r="C121" s="25">
        <f>Table134681112141516171819202225[[#This Row],[PMI]]-B120</f>
        <v/>
      </c>
    </row>
    <row r="122">
      <c r="A122" s="10" t="n">
        <v>43983</v>
      </c>
      <c r="B122" s="25" t="n">
        <v>49.4</v>
      </c>
      <c r="C122" s="25">
        <f>Table134681112141516171819202225[[#This Row],[PMI]]-B121</f>
        <v/>
      </c>
    </row>
    <row r="123">
      <c r="A123" s="10" t="n">
        <v>44013</v>
      </c>
      <c r="B123" s="25" t="n">
        <v>48.4</v>
      </c>
      <c r="C123" s="25">
        <f>Table134681112141516171819202225[[#This Row],[PMI]]-B122</f>
        <v/>
      </c>
    </row>
    <row r="124">
      <c r="A124" s="10" t="n">
        <v>44044</v>
      </c>
      <c r="B124" s="25" t="n">
        <v>51.1</v>
      </c>
      <c r="C124" s="25">
        <f>Table134681112141516171819202225[[#This Row],[PMI]]-B123</f>
        <v/>
      </c>
    </row>
    <row r="125">
      <c r="A125" s="10" t="n">
        <v>44075</v>
      </c>
      <c r="B125" s="25" t="n">
        <v>48.9</v>
      </c>
      <c r="C125" s="25">
        <f>Table134681112141516171819202225[[#This Row],[PMI]]-B124</f>
        <v/>
      </c>
    </row>
    <row r="126">
      <c r="A126" s="10" t="n">
        <v>44105</v>
      </c>
      <c r="B126" s="25" t="n">
        <v>46.9</v>
      </c>
      <c r="C126" s="25">
        <f>Table134681112141516171819202225[[#This Row],[PMI]]-B125</f>
        <v/>
      </c>
    </row>
    <row r="127">
      <c r="A127" s="10" t="n">
        <v>44136</v>
      </c>
      <c r="B127" s="25" t="n">
        <v>46.3</v>
      </c>
      <c r="C127" s="25">
        <f>Table134681112141516171819202225[[#This Row],[PMI]]-B126</f>
        <v/>
      </c>
    </row>
    <row r="128">
      <c r="A128" s="10" t="n">
        <v>44166</v>
      </c>
      <c r="B128" s="25" t="n">
        <v>49.7</v>
      </c>
      <c r="C128" s="25">
        <f>Table134681112141516171819202225[[#This Row],[PMI]]-B127</f>
        <v/>
      </c>
    </row>
    <row r="129">
      <c r="A129" s="10" t="n">
        <v>44197</v>
      </c>
      <c r="B129" s="25" t="n">
        <v>50.9</v>
      </c>
      <c r="C129" s="25">
        <f>Table134681112141516171819202225[[#This Row],[PMI]]-B128</f>
        <v/>
      </c>
    </row>
    <row r="130">
      <c r="A130" s="10" t="n">
        <v>44228</v>
      </c>
      <c r="B130" s="25" t="n">
        <v>51.5</v>
      </c>
      <c r="C130" s="25">
        <f>Table134681112141516171819202225[[#This Row],[PMI]]-B129</f>
        <v/>
      </c>
    </row>
    <row r="131">
      <c r="A131" s="10" t="n">
        <v>44256</v>
      </c>
      <c r="B131" s="25" t="n">
        <v>51.1</v>
      </c>
      <c r="C131" s="25">
        <f>Table134681112141516171819202225[[#This Row],[PMI]]-B130</f>
        <v/>
      </c>
    </row>
    <row r="132">
      <c r="A132" s="10" t="n">
        <v>44287</v>
      </c>
      <c r="B132" s="25" t="n">
        <v>50.4</v>
      </c>
      <c r="C132" s="25">
        <f>Table134681112141516171819202225[[#This Row],[PMI]]-B131</f>
        <v/>
      </c>
    </row>
    <row r="133">
      <c r="A133" s="10" t="n">
        <v>44317</v>
      </c>
      <c r="B133" s="25" t="n">
        <v>51.9</v>
      </c>
      <c r="C133" s="25">
        <f>Table134681112141516171819202225[[#This Row],[PMI]]-B132</f>
        <v/>
      </c>
    </row>
    <row r="134">
      <c r="A134" s="10" t="n">
        <v>44348</v>
      </c>
      <c r="B134" s="25" t="n">
        <v>49.2</v>
      </c>
      <c r="C134" s="25">
        <f>Table134681112141516171819202225[[#This Row],[PMI]]-B133</f>
        <v/>
      </c>
    </row>
    <row r="135">
      <c r="A135" s="10" t="n">
        <v>44378</v>
      </c>
      <c r="B135" s="25" t="n">
        <v>47.5</v>
      </c>
      <c r="C135" s="25">
        <f>Table134681112141516171819202225[[#This Row],[PMI]]-B134</f>
        <v/>
      </c>
    </row>
    <row r="136">
      <c r="A136" s="10" t="n">
        <v>44409</v>
      </c>
      <c r="B136" s="25" t="n">
        <v>46.5</v>
      </c>
      <c r="C136" s="25">
        <f>Table134681112141516171819202225[[#This Row],[PMI]]-B135</f>
        <v/>
      </c>
    </row>
    <row r="137">
      <c r="A137" s="10" t="n">
        <v>44440</v>
      </c>
      <c r="B137" s="25" t="n">
        <v>49.8</v>
      </c>
      <c r="C137" s="25">
        <f>Table134681112141516171819202225[[#This Row],[PMI]]-B136</f>
        <v/>
      </c>
    </row>
    <row r="138">
      <c r="A138" s="10" t="n">
        <v>44470</v>
      </c>
      <c r="B138" s="25" t="n">
        <v>51.6</v>
      </c>
      <c r="C138" s="25">
        <f>Table134681112141516171819202225[[#This Row],[PMI]]-B137</f>
        <v/>
      </c>
    </row>
    <row r="139">
      <c r="A139" s="10" t="n">
        <v>44501</v>
      </c>
      <c r="B139" s="25" t="n">
        <v>51.7</v>
      </c>
      <c r="C139" s="25">
        <f>Table134681112141516171819202225[[#This Row],[PMI]]-B138</f>
        <v/>
      </c>
    </row>
    <row r="140">
      <c r="A140" s="10" t="n">
        <v>44531</v>
      </c>
      <c r="B140" s="25" t="n">
        <v>51.6</v>
      </c>
      <c r="C140" s="25">
        <f>Table134681112141516171819202225[[#This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0"/>
  <sheetViews>
    <sheetView zoomScale="160" zoomScaleNormal="160" workbookViewId="0">
      <pane ySplit="5" topLeftCell="A103"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India</t>
        </is>
      </c>
      <c r="K1" s="84" t="inlineStr">
        <is>
          <t xml:space="preserve"> Manufacturing PMI</t>
        </is>
      </c>
    </row>
    <row r="2">
      <c r="A2" s="84" t="inlineStr">
        <is>
          <t>india</t>
        </is>
      </c>
      <c r="K2" s="84">
        <f>A1&amp;K1</f>
        <v/>
      </c>
    </row>
    <row r="4" ht="16" customHeight="1" s="76" thickBot="1"/>
    <row r="5" ht="16" customHeight="1" s="76" thickBot="1">
      <c r="A5" s="22" t="inlineStr">
        <is>
          <t>Date</t>
        </is>
      </c>
      <c r="B5" s="23" t="inlineStr">
        <is>
          <t>PMI</t>
        </is>
      </c>
      <c r="C5" s="23" t="inlineStr">
        <is>
          <t>mom</t>
        </is>
      </c>
    </row>
    <row r="6">
      <c r="A6" s="18" t="n">
        <v>40452</v>
      </c>
      <c r="B6" s="19" t="n">
        <v>57.2</v>
      </c>
      <c r="C6" s="19" t="n"/>
    </row>
    <row r="7">
      <c r="A7" s="10" t="n">
        <v>40483</v>
      </c>
      <c r="B7" s="25" t="n">
        <v>58.4</v>
      </c>
      <c r="C7" s="25">
        <f>Table13468111214151617181920222324[[#This Row],[PMI]]-B6</f>
        <v/>
      </c>
    </row>
    <row r="8">
      <c r="A8" s="10" t="n">
        <v>40513</v>
      </c>
      <c r="B8" s="25" t="n">
        <v>56.7</v>
      </c>
      <c r="C8" s="25">
        <f>Table13468111214151617181920222324[[#This Row],[PMI]]-B7</f>
        <v/>
      </c>
    </row>
    <row r="9">
      <c r="A9" s="10" t="n">
        <v>40544</v>
      </c>
      <c r="B9" s="25" t="n">
        <v>56.8</v>
      </c>
      <c r="C9" s="25">
        <f>Table13468111214151617181920222324[[#This Row],[PMI]]-B8</f>
        <v/>
      </c>
    </row>
    <row r="10">
      <c r="A10" s="10" t="n">
        <v>40575</v>
      </c>
      <c r="B10" s="25" t="n">
        <v>57.9</v>
      </c>
      <c r="C10" s="25">
        <f>Table13468111214151617181920222324[[#This Row],[PMI]]-B9</f>
        <v/>
      </c>
    </row>
    <row r="11">
      <c r="A11" s="10" t="n">
        <v>40603</v>
      </c>
      <c r="B11" s="25" t="n">
        <v>57.9</v>
      </c>
      <c r="C11" s="25">
        <f>Table13468111214151617181920222324[[#This Row],[PMI]]-B10</f>
        <v/>
      </c>
    </row>
    <row r="12">
      <c r="A12" s="10" t="n">
        <v>40634</v>
      </c>
      <c r="B12" s="25" t="n">
        <v>58</v>
      </c>
      <c r="C12" s="25">
        <f>Table13468111214151617181920222324[[#This Row],[PMI]]-B11</f>
        <v/>
      </c>
    </row>
    <row r="13">
      <c r="A13" s="10" t="n">
        <v>40664</v>
      </c>
      <c r="B13" s="25" t="n">
        <v>57.5</v>
      </c>
      <c r="C13" s="25">
        <f>Table13468111214151617181920222324[[#This Row],[PMI]]-B12</f>
        <v/>
      </c>
    </row>
    <row r="14">
      <c r="A14" s="10" t="n">
        <v>40695</v>
      </c>
      <c r="B14" s="25" t="n">
        <v>55.3</v>
      </c>
      <c r="C14" s="25">
        <f>Table13468111214151617181920222324[[#This Row],[PMI]]-B13</f>
        <v/>
      </c>
    </row>
    <row r="15">
      <c r="A15" s="10" t="n">
        <v>40725</v>
      </c>
      <c r="B15" s="25" t="n">
        <v>56.3</v>
      </c>
      <c r="C15" s="25">
        <f>Table13468111214151617181920222324[[#This Row],[PMI]]-B14</f>
        <v/>
      </c>
    </row>
    <row r="16">
      <c r="A16" s="10" t="n">
        <v>40756</v>
      </c>
      <c r="B16" s="25" t="n">
        <v>52.6</v>
      </c>
      <c r="C16" s="25">
        <f>Table13468111214151617181920222324[[#This Row],[PMI]]-B15</f>
        <v/>
      </c>
    </row>
    <row r="17">
      <c r="A17" s="10" t="n">
        <v>40787</v>
      </c>
      <c r="B17" s="25" t="n">
        <v>50.4</v>
      </c>
      <c r="C17" s="25">
        <f>Table13468111214151617181920222324[[#This Row],[PMI]]-B16</f>
        <v/>
      </c>
    </row>
    <row r="18">
      <c r="A18" s="10" t="n">
        <v>40817</v>
      </c>
      <c r="B18" s="25" t="n">
        <v>51</v>
      </c>
      <c r="C18" s="25">
        <f>Table13468111214151617181920222324[[#This Row],[PMI]]-B17</f>
        <v/>
      </c>
    </row>
    <row r="19">
      <c r="A19" s="10" t="n">
        <v>40848</v>
      </c>
      <c r="B19" s="25" t="n">
        <v>52</v>
      </c>
      <c r="C19" s="25">
        <f>Table13468111214151617181920222324[[#This Row],[PMI]]-B18</f>
        <v/>
      </c>
    </row>
    <row r="20">
      <c r="A20" s="10" t="n">
        <v>40878</v>
      </c>
      <c r="B20" s="25" t="n">
        <v>57</v>
      </c>
      <c r="C20" s="25">
        <f>Table13468111214151617181920222324[[#This Row],[PMI]]-B19</f>
        <v/>
      </c>
    </row>
    <row r="21">
      <c r="A21" s="10" t="n">
        <v>40909</v>
      </c>
      <c r="B21" s="25" t="n">
        <v>57.5</v>
      </c>
      <c r="C21" s="25">
        <f>Table13468111214151617181920222324[[#This Row],[PMI]]-B20</f>
        <v/>
      </c>
    </row>
    <row r="22">
      <c r="A22" s="10" t="n">
        <v>40940</v>
      </c>
      <c r="B22" s="25" t="n">
        <v>56.6</v>
      </c>
      <c r="C22" s="25">
        <f>Table13468111214151617181920222324[[#This Row],[PMI]]-B21</f>
        <v/>
      </c>
    </row>
    <row r="23">
      <c r="A23" s="10" t="n">
        <v>40969</v>
      </c>
      <c r="B23" s="25" t="n">
        <v>54.7</v>
      </c>
      <c r="C23" s="25">
        <f>Table13468111214151617181920222324[[#This Row],[PMI]]-B22</f>
        <v/>
      </c>
    </row>
    <row r="24">
      <c r="A24" s="10" t="n">
        <v>41000</v>
      </c>
      <c r="B24" s="25" t="n">
        <v>54.9</v>
      </c>
      <c r="C24" s="25">
        <f>Table13468111214151617181920222324[[#This Row],[PMI]]-B23</f>
        <v/>
      </c>
    </row>
    <row r="25">
      <c r="A25" s="10" t="n">
        <v>41030</v>
      </c>
      <c r="B25" s="25" t="n">
        <v>54.8</v>
      </c>
      <c r="C25" s="25">
        <f>Table13468111214151617181920222324[[#This Row],[PMI]]-B24</f>
        <v/>
      </c>
    </row>
    <row r="26">
      <c r="A26" s="10" t="n">
        <v>41061</v>
      </c>
      <c r="B26" s="25" t="n">
        <v>55</v>
      </c>
      <c r="C26" s="25">
        <f>Table13468111214151617181920222324[[#This Row],[PMI]]-B25</f>
        <v/>
      </c>
    </row>
    <row r="27">
      <c r="A27" s="10" t="n">
        <v>41091</v>
      </c>
      <c r="B27" s="25" t="n">
        <v>52.9</v>
      </c>
      <c r="C27" s="25">
        <f>Table13468111214151617181920222324[[#This Row],[PMI]]-B26</f>
        <v/>
      </c>
    </row>
    <row r="28">
      <c r="A28" s="10" t="n">
        <v>41122</v>
      </c>
      <c r="B28" s="25" t="n">
        <v>52.8</v>
      </c>
      <c r="C28" s="25">
        <f>Table13468111214151617181920222324[[#This Row],[PMI]]-B27</f>
        <v/>
      </c>
    </row>
    <row r="29">
      <c r="A29" s="10" t="n">
        <v>41153</v>
      </c>
      <c r="B29" s="25" t="n">
        <v>52.8</v>
      </c>
      <c r="C29" s="25">
        <f>Table13468111214151617181920222324[[#This Row],[PMI]]-B28</f>
        <v/>
      </c>
    </row>
    <row r="30">
      <c r="A30" s="10" t="n">
        <v>41183</v>
      </c>
      <c r="B30" s="25" t="n">
        <v>52.9</v>
      </c>
      <c r="C30" s="25">
        <f>Table13468111214151617181920222324[[#This Row],[PMI]]-B29</f>
        <v/>
      </c>
    </row>
    <row r="31">
      <c r="A31" s="10" t="n">
        <v>41214</v>
      </c>
      <c r="B31" s="25" t="n">
        <v>53.7</v>
      </c>
      <c r="C31" s="25">
        <f>Table13468111214151617181920222324[[#This Row],[PMI]]-B30</f>
        <v/>
      </c>
    </row>
    <row r="32">
      <c r="A32" s="10" t="n">
        <v>41244</v>
      </c>
      <c r="B32" s="25" t="n">
        <v>54.7</v>
      </c>
      <c r="C32" s="25">
        <f>Table13468111214151617181920222324[[#This Row],[PMI]]-B31</f>
        <v/>
      </c>
    </row>
    <row r="33">
      <c r="A33" s="10" t="n">
        <v>41275</v>
      </c>
      <c r="B33" s="25" t="n">
        <v>53.2</v>
      </c>
      <c r="C33" s="25">
        <f>Table13468111214151617181920222324[[#This Row],[PMI]]-B32</f>
        <v/>
      </c>
    </row>
    <row r="34">
      <c r="A34" s="10" t="n">
        <v>41306</v>
      </c>
      <c r="B34" s="25" t="n">
        <v>54.2</v>
      </c>
      <c r="C34" s="25">
        <f>Table13468111214151617181920222324[[#This Row],[PMI]]-B33</f>
        <v/>
      </c>
    </row>
    <row r="35">
      <c r="A35" s="10" t="n">
        <v>41334</v>
      </c>
      <c r="B35" s="25" t="n">
        <v>52</v>
      </c>
      <c r="C35" s="25">
        <f>Table13468111214151617181920222324[[#This Row],[PMI]]-B34</f>
        <v/>
      </c>
    </row>
    <row r="36">
      <c r="A36" s="10" t="n">
        <v>41365</v>
      </c>
      <c r="B36" s="25" t="n">
        <v>51</v>
      </c>
      <c r="C36" s="25">
        <f>Table13468111214151617181920222324[[#This Row],[PMI]]-B35</f>
        <v/>
      </c>
    </row>
    <row r="37">
      <c r="A37" s="10" t="n">
        <v>41395</v>
      </c>
      <c r="B37" s="25" t="n">
        <v>50.1</v>
      </c>
      <c r="C37" s="25">
        <f>Table13468111214151617181920222324[[#This Row],[PMI]]-B36</f>
        <v/>
      </c>
    </row>
    <row r="38">
      <c r="A38" s="10" t="n">
        <v>41426</v>
      </c>
      <c r="B38" s="25" t="n">
        <v>50.3</v>
      </c>
      <c r="C38" s="25">
        <f>Table13468111214151617181920222324[[#This Row],[PMI]]-B37</f>
        <v/>
      </c>
    </row>
    <row r="39">
      <c r="A39" s="10" t="n">
        <v>41456</v>
      </c>
      <c r="B39" s="25" t="n">
        <v>50.1</v>
      </c>
      <c r="C39" s="25">
        <f>Table13468111214151617181920222324[[#This Row],[PMI]]-B38</f>
        <v/>
      </c>
    </row>
    <row r="40">
      <c r="A40" s="10" t="n">
        <v>41487</v>
      </c>
      <c r="B40" s="25" t="n">
        <v>48.5</v>
      </c>
      <c r="C40" s="25">
        <f>Table13468111214151617181920222324[[#This Row],[PMI]]-B39</f>
        <v/>
      </c>
    </row>
    <row r="41">
      <c r="A41" s="10" t="n">
        <v>41518</v>
      </c>
      <c r="B41" s="25" t="n">
        <v>49.6</v>
      </c>
      <c r="C41" s="25">
        <f>Table13468111214151617181920222324[[#This Row],[PMI]]-B40</f>
        <v/>
      </c>
    </row>
    <row r="42">
      <c r="A42" s="10" t="n">
        <v>41548</v>
      </c>
      <c r="B42" s="25" t="n">
        <v>49.6</v>
      </c>
      <c r="C42" s="25">
        <f>Table13468111214151617181920222324[[#This Row],[PMI]]-B41</f>
        <v/>
      </c>
    </row>
    <row r="43">
      <c r="A43" s="10" t="n">
        <v>41579</v>
      </c>
      <c r="B43" s="25" t="n">
        <v>51.3</v>
      </c>
      <c r="C43" s="25">
        <f>Table13468111214151617181920222324[[#This Row],[PMI]]-B42</f>
        <v/>
      </c>
    </row>
    <row r="44">
      <c r="A44" s="10" t="n">
        <v>41609</v>
      </c>
      <c r="B44" s="25" t="n">
        <v>50.7</v>
      </c>
      <c r="C44" s="25">
        <f>Table13468111214151617181920222324[[#This Row],[PMI]]-B43</f>
        <v/>
      </c>
    </row>
    <row r="45">
      <c r="A45" s="10" t="n">
        <v>41640</v>
      </c>
      <c r="B45" s="25" t="n">
        <v>51.4</v>
      </c>
      <c r="C45" s="25">
        <f>Table13468111214151617181920222324[[#This Row],[PMI]]-B44</f>
        <v/>
      </c>
    </row>
    <row r="46">
      <c r="A46" s="10" t="n">
        <v>41671</v>
      </c>
      <c r="B46" s="25" t="n">
        <v>52.5</v>
      </c>
      <c r="C46" s="25">
        <f>Table13468111214151617181920222324[[#This Row],[PMI]]-B45</f>
        <v/>
      </c>
    </row>
    <row r="47">
      <c r="A47" s="10" t="n">
        <v>41699</v>
      </c>
      <c r="B47" s="25" t="n">
        <v>51.3</v>
      </c>
      <c r="C47" s="25">
        <f>Table13468111214151617181920222324[[#This Row],[PMI]]-B46</f>
        <v/>
      </c>
    </row>
    <row r="48">
      <c r="A48" s="10" t="n">
        <v>41730</v>
      </c>
      <c r="B48" s="25" t="n">
        <v>51.3</v>
      </c>
      <c r="C48" s="25">
        <f>Table13468111214151617181920222324[[#This Row],[PMI]]-B47</f>
        <v/>
      </c>
    </row>
    <row r="49">
      <c r="A49" s="10" t="n">
        <v>41760</v>
      </c>
      <c r="B49" s="25" t="n">
        <v>51.4</v>
      </c>
      <c r="C49" s="25">
        <f>Table13468111214151617181920222324[[#This Row],[PMI]]-B48</f>
        <v/>
      </c>
    </row>
    <row r="50">
      <c r="A50" s="10" t="n">
        <v>41791</v>
      </c>
      <c r="B50" s="25" t="n">
        <v>51.5</v>
      </c>
      <c r="C50" s="25">
        <f>Table13468111214151617181920222324[[#This Row],[PMI]]-B49</f>
        <v/>
      </c>
    </row>
    <row r="51">
      <c r="A51" s="10" t="n">
        <v>41821</v>
      </c>
      <c r="B51" s="25" t="n">
        <v>53</v>
      </c>
      <c r="C51" s="25">
        <f>Table13468111214151617181920222324[[#This Row],[PMI]]-B50</f>
        <v/>
      </c>
    </row>
    <row r="52">
      <c r="A52" s="10" t="n">
        <v>41852</v>
      </c>
      <c r="B52" s="25" t="n">
        <v>52.4</v>
      </c>
      <c r="C52" s="25">
        <f>Table13468111214151617181920222324[[#This Row],[PMI]]-B51</f>
        <v/>
      </c>
    </row>
    <row r="53">
      <c r="A53" s="10" t="n">
        <v>41883</v>
      </c>
      <c r="B53" s="25" t="n">
        <v>51</v>
      </c>
      <c r="C53" s="25">
        <f>Table13468111214151617181920222324[[#This Row],[PMI]]-B52</f>
        <v/>
      </c>
    </row>
    <row r="54">
      <c r="A54" s="10" t="n">
        <v>41913</v>
      </c>
      <c r="B54" s="25" t="n">
        <v>51.6</v>
      </c>
      <c r="C54" s="25">
        <f>Table13468111214151617181920222324[[#This Row],[PMI]]-B53</f>
        <v/>
      </c>
    </row>
    <row r="55">
      <c r="A55" s="10" t="n">
        <v>41944</v>
      </c>
      <c r="B55" s="25" t="n">
        <v>53.3</v>
      </c>
      <c r="C55" s="25">
        <f>Table13468111214151617181920222324[[#This Row],[PMI]]-B54</f>
        <v/>
      </c>
    </row>
    <row r="56">
      <c r="A56" s="10" t="n">
        <v>41974</v>
      </c>
      <c r="B56" s="25" t="n">
        <v>54.5</v>
      </c>
      <c r="C56" s="25">
        <f>Table13468111214151617181920222324[[#This Row],[PMI]]-B55</f>
        <v/>
      </c>
    </row>
    <row r="57">
      <c r="A57" s="10" t="n">
        <v>42005</v>
      </c>
      <c r="B57" s="25" t="n">
        <v>52.9</v>
      </c>
      <c r="C57" s="25">
        <f>Table13468111214151617181920222324[[#This Row],[PMI]]-B56</f>
        <v/>
      </c>
    </row>
    <row r="58">
      <c r="A58" s="10" t="n">
        <v>42036</v>
      </c>
      <c r="B58" s="25" t="n">
        <v>51.2</v>
      </c>
      <c r="C58" s="25">
        <f>Table13468111214151617181920222324[[#This Row],[PMI]]-B57</f>
        <v/>
      </c>
    </row>
    <row r="59">
      <c r="A59" s="10" t="n">
        <v>42064</v>
      </c>
      <c r="B59" s="25" t="n">
        <v>52.1</v>
      </c>
      <c r="C59" s="25">
        <f>Table13468111214151617181920222324[[#This Row],[PMI]]-B58</f>
        <v/>
      </c>
    </row>
    <row r="60">
      <c r="A60" s="10" t="n">
        <v>42095</v>
      </c>
      <c r="B60" s="25" t="n">
        <v>51.3</v>
      </c>
      <c r="C60" s="25">
        <f>Table13468111214151617181920222324[[#This Row],[PMI]]-B59</f>
        <v/>
      </c>
    </row>
    <row r="61">
      <c r="A61" s="10" t="n">
        <v>42125</v>
      </c>
      <c r="B61" s="25" t="n">
        <v>52.6</v>
      </c>
      <c r="C61" s="25">
        <f>Table13468111214151617181920222324[[#This Row],[PMI]]-B60</f>
        <v/>
      </c>
    </row>
    <row r="62">
      <c r="A62" s="10" t="n">
        <v>42156</v>
      </c>
      <c r="B62" s="25" t="n">
        <v>51.3</v>
      </c>
      <c r="C62" s="25">
        <f>Table13468111214151617181920222324[[#This Row],[PMI]]-B61</f>
        <v/>
      </c>
    </row>
    <row r="63">
      <c r="A63" s="10" t="n">
        <v>42186</v>
      </c>
      <c r="B63" s="25" t="n">
        <v>52.7</v>
      </c>
      <c r="C63" s="25">
        <f>Table13468111214151617181920222324[[#This Row],[PMI]]-B62</f>
        <v/>
      </c>
    </row>
    <row r="64">
      <c r="A64" s="10" t="n">
        <v>42217</v>
      </c>
      <c r="B64" s="25" t="n">
        <v>52.3</v>
      </c>
      <c r="C64" s="25">
        <f>Table13468111214151617181920222324[[#This Row],[PMI]]-B63</f>
        <v/>
      </c>
    </row>
    <row r="65">
      <c r="A65" s="10" t="n">
        <v>42248</v>
      </c>
      <c r="B65" s="25" t="n">
        <v>51.2</v>
      </c>
      <c r="C65" s="25">
        <f>Table13468111214151617181920222324[[#This Row],[PMI]]-B64</f>
        <v/>
      </c>
    </row>
    <row r="66">
      <c r="A66" s="10" t="n">
        <v>42278</v>
      </c>
      <c r="B66" s="25" t="n">
        <v>50.7</v>
      </c>
      <c r="C66" s="25">
        <f>Table13468111214151617181920222324[[#This Row],[PMI]]-B65</f>
        <v/>
      </c>
    </row>
    <row r="67">
      <c r="A67" s="10" t="n">
        <v>42309</v>
      </c>
      <c r="B67" s="25" t="n">
        <v>50.3</v>
      </c>
      <c r="C67" s="25">
        <f>Table13468111214151617181920222324[[#This Row],[PMI]]-B66</f>
        <v/>
      </c>
    </row>
    <row r="68">
      <c r="A68" s="10" t="n">
        <v>42339</v>
      </c>
      <c r="B68" s="25" t="n">
        <v>49.1</v>
      </c>
      <c r="C68" s="25">
        <f>Table13468111214151617181920222324[[#This Row],[PMI]]-B67</f>
        <v/>
      </c>
    </row>
    <row r="69">
      <c r="A69" s="10" t="n">
        <v>42370</v>
      </c>
      <c r="B69" s="25" t="n">
        <v>51.1</v>
      </c>
      <c r="C69" s="25">
        <f>Table13468111214151617181920222324[[#This Row],[PMI]]-B68</f>
        <v/>
      </c>
    </row>
    <row r="70">
      <c r="A70" s="10" t="n">
        <v>42401</v>
      </c>
      <c r="B70" s="25" t="n">
        <v>51.1</v>
      </c>
      <c r="C70" s="25">
        <f>Table13468111214151617181920222324[[#This Row],[PMI]]-B69</f>
        <v/>
      </c>
    </row>
    <row r="71">
      <c r="A71" s="10" t="n">
        <v>42430</v>
      </c>
      <c r="B71" s="25" t="n">
        <v>52.4</v>
      </c>
      <c r="C71" s="25">
        <f>Table13468111214151617181920222324[[#This Row],[PMI]]-B70</f>
        <v/>
      </c>
    </row>
    <row r="72">
      <c r="A72" s="10" t="n">
        <v>42461</v>
      </c>
      <c r="B72" s="25" t="n">
        <v>50.5</v>
      </c>
      <c r="C72" s="25">
        <f>Table13468111214151617181920222324[[#This Row],[PMI]]-B71</f>
        <v/>
      </c>
    </row>
    <row r="73">
      <c r="A73" s="10" t="n">
        <v>42491</v>
      </c>
      <c r="B73" s="25" t="n">
        <v>50.7</v>
      </c>
      <c r="C73" s="25">
        <f>Table13468111214151617181920222324[[#This Row],[PMI]]-B72</f>
        <v/>
      </c>
    </row>
    <row r="74">
      <c r="A74" s="10" t="n">
        <v>42522</v>
      </c>
      <c r="B74" s="25" t="n">
        <v>51.7</v>
      </c>
      <c r="C74" s="25">
        <f>Table13468111214151617181920222324[[#This Row],[PMI]]-B73</f>
        <v/>
      </c>
    </row>
    <row r="75">
      <c r="A75" s="10" t="n">
        <v>42552</v>
      </c>
      <c r="B75" s="25" t="n">
        <v>51.8</v>
      </c>
      <c r="C75" s="25">
        <f>Table13468111214151617181920222324[[#This Row],[PMI]]-B74</f>
        <v/>
      </c>
    </row>
    <row r="76">
      <c r="A76" s="10" t="n">
        <v>42583</v>
      </c>
      <c r="B76" s="25" t="n">
        <v>52.6</v>
      </c>
      <c r="C76" s="25">
        <f>Table13468111214151617181920222324[[#This Row],[PMI]]-B75</f>
        <v/>
      </c>
    </row>
    <row r="77">
      <c r="A77" s="10" t="n">
        <v>42614</v>
      </c>
      <c r="B77" s="25" t="n">
        <v>52.1</v>
      </c>
      <c r="C77" s="25">
        <f>Table13468111214151617181920222324[[#This Row],[PMI]]-B76</f>
        <v/>
      </c>
    </row>
    <row r="78">
      <c r="A78" s="10" t="n">
        <v>42644</v>
      </c>
      <c r="B78" s="25" t="n">
        <v>54.4</v>
      </c>
      <c r="C78" s="25">
        <f>Table13468111214151617181920222324[[#This Row],[PMI]]-B77</f>
        <v/>
      </c>
    </row>
    <row r="79">
      <c r="A79" s="10" t="n">
        <v>42675</v>
      </c>
      <c r="B79" s="25" t="n">
        <v>52.3</v>
      </c>
      <c r="C79" s="25">
        <f>Table13468111214151617181920222324[[#This Row],[PMI]]-B78</f>
        <v/>
      </c>
    </row>
    <row r="80">
      <c r="A80" s="10" t="n">
        <v>42705</v>
      </c>
      <c r="B80" s="25" t="n">
        <v>49.6</v>
      </c>
      <c r="C80" s="25">
        <f>Table13468111214151617181920222324[[#This Row],[PMI]]-B79</f>
        <v/>
      </c>
    </row>
    <row r="81">
      <c r="A81" s="10" t="n">
        <v>42736</v>
      </c>
      <c r="B81" s="25" t="n">
        <v>50.4</v>
      </c>
      <c r="C81" s="25">
        <f>Table13468111214151617181920222324[[#This Row],[PMI]]-B80</f>
        <v/>
      </c>
    </row>
    <row r="82">
      <c r="A82" s="10" t="n">
        <v>42767</v>
      </c>
      <c r="B82" s="25" t="n">
        <v>50.7</v>
      </c>
      <c r="C82" s="25">
        <f>Table13468111214151617181920222324[[#This Row],[PMI]]-B81</f>
        <v/>
      </c>
    </row>
    <row r="83">
      <c r="A83" s="10" t="n">
        <v>42795</v>
      </c>
      <c r="B83" s="25" t="n">
        <v>52.5</v>
      </c>
      <c r="C83" s="25">
        <f>Table13468111214151617181920222324[[#This Row],[PMI]]-B82</f>
        <v/>
      </c>
    </row>
    <row r="84">
      <c r="A84" s="10" t="n">
        <v>42826</v>
      </c>
      <c r="B84" s="25" t="n">
        <v>52.5</v>
      </c>
      <c r="C84" s="25">
        <f>Table13468111214151617181920222324[[#This Row],[PMI]]-B83</f>
        <v/>
      </c>
    </row>
    <row r="85">
      <c r="A85" s="10" t="n">
        <v>42856</v>
      </c>
      <c r="B85" s="25" t="n">
        <v>51.6</v>
      </c>
      <c r="C85" s="25">
        <f>Table13468111214151617181920222324[[#This Row],[PMI]]-B84</f>
        <v/>
      </c>
    </row>
    <row r="86">
      <c r="A86" s="10" t="n">
        <v>42887</v>
      </c>
      <c r="B86" s="25" t="n">
        <v>50.9</v>
      </c>
      <c r="C86" s="25">
        <f>Table13468111214151617181920222324[[#This Row],[PMI]]-B85</f>
        <v/>
      </c>
    </row>
    <row r="87">
      <c r="A87" s="10" t="n">
        <v>42917</v>
      </c>
      <c r="B87" s="25" t="n">
        <v>47.9</v>
      </c>
      <c r="C87" s="25">
        <f>Table13468111214151617181920222324[[#This Row],[PMI]]-B86</f>
        <v/>
      </c>
    </row>
    <row r="88">
      <c r="A88" s="10" t="n">
        <v>42948</v>
      </c>
      <c r="B88" s="25" t="n">
        <v>51.2</v>
      </c>
      <c r="C88" s="25">
        <f>Table13468111214151617181920222324[[#This Row],[PMI]]-B87</f>
        <v/>
      </c>
    </row>
    <row r="89">
      <c r="A89" s="10" t="n">
        <v>42979</v>
      </c>
      <c r="B89" s="25" t="n">
        <v>51.2</v>
      </c>
      <c r="C89" s="25">
        <f>Table13468111214151617181920222324[[#This Row],[PMI]]-B88</f>
        <v/>
      </c>
    </row>
    <row r="90">
      <c r="A90" s="10" t="n">
        <v>43009</v>
      </c>
      <c r="B90" s="25" t="n">
        <v>50.3</v>
      </c>
      <c r="C90" s="25">
        <f>Table13468111214151617181920222324[[#This Row],[PMI]]-B89</f>
        <v/>
      </c>
    </row>
    <row r="91">
      <c r="A91" s="10" t="n">
        <v>43040</v>
      </c>
      <c r="B91" s="25" t="n">
        <v>52.6</v>
      </c>
      <c r="C91" s="25">
        <f>Table13468111214151617181920222324[[#This Row],[PMI]]-B90</f>
        <v/>
      </c>
    </row>
    <row r="92">
      <c r="A92" s="10" t="n">
        <v>43070</v>
      </c>
      <c r="B92" s="25" t="n">
        <v>54.7</v>
      </c>
      <c r="C92" s="25">
        <f>Table13468111214151617181920222324[[#This Row],[PMI]]-B91</f>
        <v/>
      </c>
    </row>
    <row r="93">
      <c r="A93" s="10" t="n">
        <v>43101</v>
      </c>
      <c r="B93" s="25" t="n">
        <v>52.4</v>
      </c>
      <c r="C93" s="25">
        <f>Table13468111214151617181920222324[[#This Row],[PMI]]-B92</f>
        <v/>
      </c>
    </row>
    <row r="94">
      <c r="A94" s="10" t="n">
        <v>43132</v>
      </c>
      <c r="B94" s="25" t="n">
        <v>52.1</v>
      </c>
      <c r="C94" s="25">
        <f>Table13468111214151617181920222324[[#This Row],[PMI]]-B93</f>
        <v/>
      </c>
    </row>
    <row r="95">
      <c r="A95" s="10" t="n">
        <v>43160</v>
      </c>
      <c r="B95" s="25" t="n">
        <v>51</v>
      </c>
      <c r="C95" s="25">
        <f>Table13468111214151617181920222324[[#This Row],[PMI]]-B94</f>
        <v/>
      </c>
    </row>
    <row r="96">
      <c r="A96" s="10" t="n">
        <v>43191</v>
      </c>
      <c r="B96" s="25" t="n">
        <v>51.6</v>
      </c>
      <c r="C96" s="25">
        <f>Table13468111214151617181920222324[[#This Row],[PMI]]-B95</f>
        <v/>
      </c>
    </row>
    <row r="97">
      <c r="A97" s="10" t="n">
        <v>43221</v>
      </c>
      <c r="B97" s="25" t="n">
        <v>51.2</v>
      </c>
      <c r="C97" s="25">
        <f>Table13468111214151617181920222324[[#This Row],[PMI]]-B96</f>
        <v/>
      </c>
    </row>
    <row r="98">
      <c r="A98" s="10" t="n">
        <v>43252</v>
      </c>
      <c r="B98" s="25" t="n">
        <v>53.1</v>
      </c>
      <c r="C98" s="25">
        <f>Table13468111214151617181920222324[[#This Row],[PMI]]-B97</f>
        <v/>
      </c>
    </row>
    <row r="99">
      <c r="A99" s="10" t="n">
        <v>43282</v>
      </c>
      <c r="B99" s="25" t="n">
        <v>52.3</v>
      </c>
      <c r="C99" s="25">
        <f>Table13468111214151617181920222324[[#This Row],[PMI]]-B98</f>
        <v/>
      </c>
    </row>
    <row r="100">
      <c r="A100" s="10" t="n">
        <v>43313</v>
      </c>
      <c r="B100" s="25" t="n">
        <v>51.7</v>
      </c>
      <c r="C100" s="25">
        <f>Table13468111214151617181920222324[[#This Row],[PMI]]-B99</f>
        <v/>
      </c>
    </row>
    <row r="101">
      <c r="A101" s="10" t="n">
        <v>43344</v>
      </c>
      <c r="B101" s="25" t="n">
        <v>52.2</v>
      </c>
      <c r="C101" s="25">
        <f>Table13468111214151617181920222324[[#This Row],[PMI]]-B100</f>
        <v/>
      </c>
    </row>
    <row r="102">
      <c r="A102" s="10" t="n">
        <v>43374</v>
      </c>
      <c r="B102" s="25" t="n">
        <v>53.1</v>
      </c>
      <c r="C102" s="25">
        <f>Table13468111214151617181920222324[[#This Row],[PMI]]-B101</f>
        <v/>
      </c>
    </row>
    <row r="103">
      <c r="A103" s="10" t="n">
        <v>43405</v>
      </c>
      <c r="B103" s="25" t="n">
        <v>54</v>
      </c>
      <c r="C103" s="25">
        <f>Table13468111214151617181920222324[[#This Row],[PMI]]-B102</f>
        <v/>
      </c>
    </row>
    <row r="104">
      <c r="A104" s="10" t="n">
        <v>43435</v>
      </c>
      <c r="B104" s="25" t="n">
        <v>53.2</v>
      </c>
      <c r="C104" s="25">
        <f>Table13468111214151617181920222324[[#This Row],[PMI]]-B103</f>
        <v/>
      </c>
    </row>
    <row r="105">
      <c r="A105" s="10" t="n">
        <v>43466</v>
      </c>
      <c r="B105" s="25" t="n">
        <v>53.9</v>
      </c>
      <c r="C105" s="25">
        <f>Table13468111214151617181920222324[[#This Row],[PMI]]-B104</f>
        <v/>
      </c>
    </row>
    <row r="106">
      <c r="A106" s="10" t="n">
        <v>43497</v>
      </c>
      <c r="B106" s="25" t="n">
        <v>54.3</v>
      </c>
      <c r="C106" s="25">
        <f>Table13468111214151617181920222324[[#This Row],[PMI]]-B105</f>
        <v/>
      </c>
    </row>
    <row r="107">
      <c r="A107" s="10" t="n">
        <v>43525</v>
      </c>
      <c r="B107" s="25" t="n">
        <v>52.6</v>
      </c>
      <c r="C107" s="25">
        <f>Table13468111214151617181920222324[[#This Row],[PMI]]-B106</f>
        <v/>
      </c>
    </row>
    <row r="108">
      <c r="A108" s="10" t="n">
        <v>43556</v>
      </c>
      <c r="B108" s="25" t="n">
        <v>51.8</v>
      </c>
      <c r="C108" s="25">
        <f>Table13468111214151617181920222324[[#This Row],[PMI]]-B107</f>
        <v/>
      </c>
    </row>
    <row r="109">
      <c r="A109" s="10" t="n">
        <v>43586</v>
      </c>
      <c r="B109" s="25" t="n">
        <v>52.7</v>
      </c>
      <c r="C109" s="25">
        <f>Table13468111214151617181920222324[[#This Row],[PMI]]-B108</f>
        <v/>
      </c>
    </row>
    <row r="110">
      <c r="A110" s="10" t="n">
        <v>43617</v>
      </c>
      <c r="B110" s="25" t="n">
        <v>52.1</v>
      </c>
      <c r="C110" s="25">
        <f>Table13468111214151617181920222324[[#This Row],[PMI]]-B109</f>
        <v/>
      </c>
    </row>
    <row r="111">
      <c r="A111" s="10" t="n">
        <v>43647</v>
      </c>
      <c r="B111" s="25" t="n">
        <v>52.5</v>
      </c>
      <c r="C111" s="25">
        <f>Table13468111214151617181920222324[[#This Row],[PMI]]-B110</f>
        <v/>
      </c>
    </row>
    <row r="112">
      <c r="A112" s="10" t="n">
        <v>43678</v>
      </c>
      <c r="B112" s="25" t="n">
        <v>51.4</v>
      </c>
      <c r="C112" s="25">
        <f>Table13468111214151617181920222324[[#This Row],[PMI]]-B111</f>
        <v/>
      </c>
    </row>
    <row r="113">
      <c r="A113" s="10" t="n">
        <v>43709</v>
      </c>
      <c r="B113" s="25" t="n">
        <v>51.4</v>
      </c>
      <c r="C113" s="25">
        <f>Table13468111214151617181920222324[[#This Row],[PMI]]-B112</f>
        <v/>
      </c>
    </row>
    <row r="114">
      <c r="A114" s="10" t="n">
        <v>43739</v>
      </c>
      <c r="B114" s="25" t="n">
        <v>50.6</v>
      </c>
      <c r="C114" s="25">
        <f>Table13468111214151617181920222324[[#This Row],[PMI]]-B113</f>
        <v/>
      </c>
    </row>
    <row r="115">
      <c r="A115" s="10" t="n">
        <v>43770</v>
      </c>
      <c r="B115" s="25" t="n">
        <v>51.2</v>
      </c>
      <c r="C115" s="25">
        <f>Table13468111214151617181920222324[[#This Row],[PMI]]-B114</f>
        <v/>
      </c>
    </row>
    <row r="116">
      <c r="A116" s="10" t="n">
        <v>43800</v>
      </c>
      <c r="B116" s="25" t="n">
        <v>52.7</v>
      </c>
      <c r="C116" s="25">
        <f>Table13468111214151617181920222324[[#This Row],[PMI]]-B115</f>
        <v/>
      </c>
    </row>
    <row r="117">
      <c r="A117" s="10" t="n">
        <v>43831</v>
      </c>
      <c r="B117" s="25" t="n">
        <v>55.3</v>
      </c>
      <c r="C117" s="25">
        <f>Table13468111214151617181920222324[[#This Row],[PMI]]-B116</f>
        <v/>
      </c>
    </row>
    <row r="118">
      <c r="A118" s="10" t="n">
        <v>43862</v>
      </c>
      <c r="B118" s="25" t="n">
        <v>54.5</v>
      </c>
      <c r="C118" s="25">
        <f>Table13468111214151617181920222324[[#This Row],[PMI]]-B117</f>
        <v/>
      </c>
    </row>
    <row r="119">
      <c r="A119" s="10" t="n">
        <v>43891</v>
      </c>
      <c r="B119" s="25" t="n">
        <v>51.8</v>
      </c>
      <c r="C119" s="25">
        <f>Table13468111214151617181920222324[[#This Row],[PMI]]-B118</f>
        <v/>
      </c>
    </row>
    <row r="120">
      <c r="A120" s="10" t="n">
        <v>43922</v>
      </c>
      <c r="B120" s="25" t="n">
        <v>27.4</v>
      </c>
      <c r="C120" s="25">
        <f>Table13468111214151617181920222324[[#This Row],[PMI]]-B119</f>
        <v/>
      </c>
    </row>
    <row r="121">
      <c r="A121" s="10" t="n">
        <v>43952</v>
      </c>
      <c r="B121" s="25" t="n">
        <v>30.8</v>
      </c>
      <c r="C121" s="25">
        <f>Table13468111214151617181920222324[[#This Row],[PMI]]-B120</f>
        <v/>
      </c>
    </row>
    <row r="122">
      <c r="A122" s="10" t="n">
        <v>43983</v>
      </c>
      <c r="B122" s="25" t="n">
        <v>47.2</v>
      </c>
      <c r="C122" s="25">
        <f>Table13468111214151617181920222324[[#This Row],[PMI]]-B121</f>
        <v/>
      </c>
    </row>
    <row r="123">
      <c r="A123" s="10" t="n">
        <v>44013</v>
      </c>
      <c r="B123" s="25" t="n">
        <v>46</v>
      </c>
      <c r="C123" s="25">
        <f>Table13468111214151617181920222324[[#This Row],[PMI]]-B122</f>
        <v/>
      </c>
    </row>
    <row r="124">
      <c r="A124" s="10" t="n">
        <v>44044</v>
      </c>
      <c r="B124" s="25" t="n">
        <v>52</v>
      </c>
      <c r="C124" s="25">
        <f>Table13468111214151617181920222324[[#This Row],[PMI]]-B123</f>
        <v/>
      </c>
    </row>
    <row r="125">
      <c r="A125" s="10" t="n">
        <v>44075</v>
      </c>
      <c r="B125" s="25" t="n">
        <v>56.8</v>
      </c>
      <c r="C125" s="25">
        <f>Table13468111214151617181920222324[[#This Row],[PMI]]-B124</f>
        <v/>
      </c>
    </row>
    <row r="126">
      <c r="A126" s="10" t="n">
        <v>44105</v>
      </c>
      <c r="B126" s="25" t="n">
        <v>58.9</v>
      </c>
      <c r="C126" s="25">
        <f>Table13468111214151617181920222324[[#This Row],[PMI]]-B125</f>
        <v/>
      </c>
    </row>
    <row r="127">
      <c r="A127" s="10" t="n">
        <v>44136</v>
      </c>
      <c r="B127" s="25" t="n">
        <v>56.3</v>
      </c>
      <c r="C127" s="25">
        <f>Table13468111214151617181920222324[[#This Row],[PMI]]-B126</f>
        <v/>
      </c>
    </row>
    <row r="128">
      <c r="A128" s="10" t="n">
        <v>44166</v>
      </c>
      <c r="B128" s="25" t="n">
        <v>56.4</v>
      </c>
      <c r="C128" s="25">
        <f>Table13468111214151617181920222324[[#This Row],[PMI]]-B127</f>
        <v/>
      </c>
    </row>
    <row r="129">
      <c r="A129" s="10" t="n">
        <v>44197</v>
      </c>
      <c r="B129" s="25" t="n">
        <v>57.7</v>
      </c>
      <c r="C129" s="25">
        <f>Table13468111214151617181920222324[[#This Row],[PMI]]-B128</f>
        <v/>
      </c>
    </row>
    <row r="130">
      <c r="A130" s="10" t="n">
        <v>44228</v>
      </c>
      <c r="B130" s="25" t="n">
        <v>57.5</v>
      </c>
      <c r="C130" s="25">
        <f>Table13468111214151617181920222324[[#This Row],[PMI]]-B129</f>
        <v/>
      </c>
    </row>
    <row r="131">
      <c r="A131" s="10" t="n">
        <v>44256</v>
      </c>
      <c r="B131" s="25" t="n">
        <v>55.4</v>
      </c>
      <c r="C131" s="25">
        <f>Table13468111214151617181920222324[[#This Row],[PMI]]-B130</f>
        <v/>
      </c>
    </row>
    <row r="132">
      <c r="A132" s="10" t="n">
        <v>44287</v>
      </c>
      <c r="B132" s="25" t="n">
        <v>55.5</v>
      </c>
      <c r="C132" s="25">
        <f>Table13468111214151617181920222324[[#This Row],[PMI]]-B131</f>
        <v/>
      </c>
    </row>
    <row r="133">
      <c r="A133" s="10" t="n">
        <v>44317</v>
      </c>
      <c r="B133" s="25" t="n">
        <v>50.8</v>
      </c>
      <c r="C133" s="25">
        <f>Table13468111214151617181920222324[[#This Row],[PMI]]-B132</f>
        <v/>
      </c>
    </row>
    <row r="134">
      <c r="A134" s="10" t="n">
        <v>44348</v>
      </c>
      <c r="B134" s="25" t="n">
        <v>48.1</v>
      </c>
      <c r="C134" s="25">
        <f>Table13468111214151617181920222324[[#This Row],[PMI]]-B133</f>
        <v/>
      </c>
    </row>
    <row r="135">
      <c r="A135" s="10" t="n">
        <v>44378</v>
      </c>
      <c r="B135" s="25" t="n">
        <v>55.3</v>
      </c>
      <c r="C135" s="25">
        <f>Table13468111214151617181920222324[[#This Row],[PMI]]-B134</f>
        <v/>
      </c>
    </row>
    <row r="136">
      <c r="A136" s="10" t="n">
        <v>44409</v>
      </c>
      <c r="B136" s="25" t="n">
        <v>52.3</v>
      </c>
      <c r="C136" s="25">
        <f>Table13468111214151617181920222324[[#This Row],[PMI]]-B135</f>
        <v/>
      </c>
    </row>
    <row r="137">
      <c r="A137" s="10" t="n">
        <v>44440</v>
      </c>
      <c r="B137" s="25" t="n">
        <v>53.7</v>
      </c>
      <c r="C137" s="25">
        <f>Table13468111214151617181920222324[[#This Row],[PMI]]-B136</f>
        <v/>
      </c>
    </row>
    <row r="138">
      <c r="A138" s="10" t="n">
        <v>44470</v>
      </c>
      <c r="B138" s="25" t="n">
        <v>55.9</v>
      </c>
      <c r="C138" s="25">
        <f>Table13468111214151617181920222324[[#This Row],[PMI]]-B137</f>
        <v/>
      </c>
    </row>
    <row r="139">
      <c r="A139" s="10" t="n">
        <v>44501</v>
      </c>
      <c r="B139" s="25" t="n">
        <v>57.6</v>
      </c>
      <c r="C139" s="25">
        <f>Table13468111214151617181920222324[[#This Row],[PMI]]-B138</f>
        <v/>
      </c>
    </row>
    <row r="140">
      <c r="A140" s="10" t="n">
        <v>44531</v>
      </c>
      <c r="B140" s="25" t="n">
        <v>55.5</v>
      </c>
      <c r="C140" s="25">
        <f>Table13468111214151617181920222324[[#This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4"/>
  <sheetViews>
    <sheetView zoomScale="160" zoomScaleNormal="160" workbookViewId="0">
      <pane ySplit="5" topLeftCell="A95" activePane="bottomLeft" state="frozen"/>
      <selection pane="bottomLeft" activeCell="R126" sqref="R126"/>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Canada</t>
        </is>
      </c>
      <c r="K1" s="84" t="inlineStr">
        <is>
          <t xml:space="preserve"> Manufacturing PMI</t>
        </is>
      </c>
    </row>
    <row r="2">
      <c r="A2" s="84" t="inlineStr">
        <is>
          <t>canada</t>
        </is>
      </c>
      <c r="K2" s="84">
        <f>A1&amp;K1</f>
        <v/>
      </c>
    </row>
    <row r="4" ht="16" customHeight="1" s="76" thickBot="1"/>
    <row r="5" ht="16" customHeight="1" s="76" thickBot="1">
      <c r="A5" s="22" t="inlineStr">
        <is>
          <t>Date</t>
        </is>
      </c>
      <c r="B5" s="23" t="inlineStr">
        <is>
          <t>PMI</t>
        </is>
      </c>
      <c r="C5" s="23" t="inlineStr">
        <is>
          <t>mom</t>
        </is>
      </c>
    </row>
    <row r="6">
      <c r="A6" s="18" t="n">
        <v>40634</v>
      </c>
      <c r="B6" s="19" t="n">
        <v>56.3</v>
      </c>
      <c r="C6" s="19" t="n"/>
    </row>
    <row r="7">
      <c r="A7" s="10" t="n">
        <v>40664</v>
      </c>
      <c r="B7" s="25" t="n">
        <v>54.8</v>
      </c>
      <c r="C7" s="25">
        <f>Table13468[[#This Row],[PMI]]-B6</f>
        <v/>
      </c>
    </row>
    <row r="8">
      <c r="A8" s="10" t="n">
        <v>40695</v>
      </c>
      <c r="B8" s="25" t="n">
        <v>52.8</v>
      </c>
      <c r="C8" s="25">
        <f>Table13468[[#This Row],[PMI]]-B7</f>
        <v/>
      </c>
    </row>
    <row r="9">
      <c r="A9" s="10" t="n">
        <v>40725</v>
      </c>
      <c r="B9" s="25" t="n">
        <v>53.1</v>
      </c>
      <c r="C9" s="25">
        <f>Table13468[[#This Row],[PMI]]-B8</f>
        <v/>
      </c>
    </row>
    <row r="10">
      <c r="A10" s="10" t="n">
        <v>40756</v>
      </c>
      <c r="B10" s="25" t="n">
        <v>54.9</v>
      </c>
      <c r="C10" s="25">
        <f>Table13468[[#This Row],[PMI]]-B9</f>
        <v/>
      </c>
    </row>
    <row r="11">
      <c r="A11" s="10" t="n">
        <v>40787</v>
      </c>
      <c r="B11" s="25" t="n">
        <v>55</v>
      </c>
      <c r="C11" s="25">
        <f>Table13468[[#This Row],[PMI]]-B10</f>
        <v/>
      </c>
    </row>
    <row r="12">
      <c r="A12" s="10" t="n">
        <v>40817</v>
      </c>
      <c r="B12" s="25" t="n">
        <v>53.7</v>
      </c>
      <c r="C12" s="25">
        <f>Table13468[[#This Row],[PMI]]-B11</f>
        <v/>
      </c>
    </row>
    <row r="13">
      <c r="A13" s="10" t="n">
        <v>40848</v>
      </c>
      <c r="B13" s="25" t="n">
        <v>53.3</v>
      </c>
      <c r="C13" s="25">
        <f>Table13468[[#This Row],[PMI]]-B12</f>
        <v/>
      </c>
    </row>
    <row r="14">
      <c r="A14" s="10" t="n">
        <v>40878</v>
      </c>
      <c r="B14" s="25" t="n">
        <v>54</v>
      </c>
      <c r="C14" s="25">
        <f>Table13468[[#This Row],[PMI]]-B13</f>
        <v/>
      </c>
    </row>
    <row r="15">
      <c r="A15" s="10" t="n">
        <v>40909</v>
      </c>
      <c r="B15" s="25" t="n">
        <v>50.6</v>
      </c>
      <c r="C15" s="25">
        <f>Table13468[[#This Row],[PMI]]-B14</f>
        <v/>
      </c>
    </row>
    <row r="16">
      <c r="A16" s="10" t="n">
        <v>40940</v>
      </c>
      <c r="B16" s="25" t="n">
        <v>51.8</v>
      </c>
      <c r="C16" s="25">
        <f>Table13468[[#This Row],[PMI]]-B15</f>
        <v/>
      </c>
    </row>
    <row r="17">
      <c r="A17" s="10" t="n">
        <v>40969</v>
      </c>
      <c r="B17" s="25" t="n">
        <v>52.4</v>
      </c>
      <c r="C17" s="25">
        <f>Table13468[[#This Row],[PMI]]-B16</f>
        <v/>
      </c>
    </row>
    <row r="18">
      <c r="A18" s="10" t="n">
        <v>41000</v>
      </c>
      <c r="B18" s="25" t="n">
        <v>53.3</v>
      </c>
      <c r="C18" s="25">
        <f>Table13468[[#This Row],[PMI]]-B17</f>
        <v/>
      </c>
    </row>
    <row r="19">
      <c r="A19" s="10" t="n">
        <v>41030</v>
      </c>
      <c r="B19" s="25" t="n">
        <v>54.7</v>
      </c>
      <c r="C19" s="25">
        <f>Table13468[[#This Row],[PMI]]-B18</f>
        <v/>
      </c>
    </row>
    <row r="20">
      <c r="A20" s="10" t="n">
        <v>41061</v>
      </c>
      <c r="B20" s="25" t="n">
        <v>54.8</v>
      </c>
      <c r="C20" s="25">
        <f>Table13468[[#This Row],[PMI]]-B19</f>
        <v/>
      </c>
    </row>
    <row r="21">
      <c r="A21" s="10" t="n">
        <v>41091</v>
      </c>
      <c r="B21" s="25" t="n">
        <v>53</v>
      </c>
      <c r="C21" s="25">
        <f>Table13468[[#This Row],[PMI]]-B20</f>
        <v/>
      </c>
    </row>
    <row r="22">
      <c r="A22" s="10" t="n">
        <v>41122</v>
      </c>
      <c r="B22" s="25" t="n">
        <v>53</v>
      </c>
      <c r="C22" s="25">
        <f>Table13468[[#This Row],[PMI]]-B21</f>
        <v/>
      </c>
    </row>
    <row r="23">
      <c r="A23" s="10" t="n">
        <v>41153</v>
      </c>
      <c r="B23" s="25" t="n">
        <v>52.4</v>
      </c>
      <c r="C23" s="25">
        <f>Table13468[[#This Row],[PMI]]-B22</f>
        <v/>
      </c>
    </row>
    <row r="24">
      <c r="A24" s="10" t="n">
        <v>41183</v>
      </c>
      <c r="B24" s="25" t="n">
        <v>51.4</v>
      </c>
      <c r="C24" s="25">
        <f>Table13468[[#This Row],[PMI]]-B23</f>
        <v/>
      </c>
    </row>
    <row r="25">
      <c r="A25" s="10" t="n">
        <v>41214</v>
      </c>
      <c r="B25" s="25" t="n">
        <v>50.4</v>
      </c>
      <c r="C25" s="25">
        <f>Table13468[[#This Row],[PMI]]-B24</f>
        <v/>
      </c>
    </row>
    <row r="26">
      <c r="A26" s="10" t="n">
        <v>41244</v>
      </c>
      <c r="B26" s="25" t="n">
        <v>50.4</v>
      </c>
      <c r="C26" s="25">
        <f>Table13468[[#This Row],[PMI]]-B25</f>
        <v/>
      </c>
    </row>
    <row r="27">
      <c r="A27" s="10" t="n">
        <v>41275</v>
      </c>
      <c r="B27" s="25" t="n">
        <v>50.5</v>
      </c>
      <c r="C27" s="25">
        <f>Table13468[[#This Row],[PMI]]-B26</f>
        <v/>
      </c>
    </row>
    <row r="28">
      <c r="A28" s="10" t="n">
        <v>41306</v>
      </c>
      <c r="B28" s="25" t="n">
        <v>51.7</v>
      </c>
      <c r="C28" s="25">
        <f>Table13468[[#This Row],[PMI]]-B27</f>
        <v/>
      </c>
    </row>
    <row r="29">
      <c r="A29" s="10" t="n">
        <v>41334</v>
      </c>
      <c r="B29" s="25" t="n">
        <v>49.3</v>
      </c>
      <c r="C29" s="25">
        <f>Table13468[[#This Row],[PMI]]-B28</f>
        <v/>
      </c>
    </row>
    <row r="30">
      <c r="A30" s="10" t="n">
        <v>41365</v>
      </c>
      <c r="B30" s="25" t="n">
        <v>50.1</v>
      </c>
      <c r="C30" s="25">
        <f>Table13468[[#This Row],[PMI]]-B29</f>
        <v/>
      </c>
    </row>
    <row r="31">
      <c r="A31" s="10" t="n">
        <v>41395</v>
      </c>
      <c r="B31" s="25" t="n">
        <v>53.2</v>
      </c>
      <c r="C31" s="25">
        <f>Table13468[[#This Row],[PMI]]-B30</f>
        <v/>
      </c>
    </row>
    <row r="32">
      <c r="A32" s="10" t="n">
        <v>41426</v>
      </c>
      <c r="B32" s="25" t="n">
        <v>52.4</v>
      </c>
      <c r="C32" s="25">
        <f>Table13468[[#This Row],[PMI]]-B31</f>
        <v/>
      </c>
    </row>
    <row r="33">
      <c r="A33" s="10" t="n">
        <v>41456</v>
      </c>
      <c r="B33" s="25" t="n">
        <v>52</v>
      </c>
      <c r="C33" s="25">
        <f>Table13468[[#This Row],[PMI]]-B32</f>
        <v/>
      </c>
    </row>
    <row r="34">
      <c r="A34" s="10" t="n">
        <v>41487</v>
      </c>
      <c r="B34" s="25" t="n">
        <v>52.1</v>
      </c>
      <c r="C34" s="25">
        <f>Table13468[[#This Row],[PMI]]-B33</f>
        <v/>
      </c>
    </row>
    <row r="35">
      <c r="A35" s="10" t="n">
        <v>41518</v>
      </c>
      <c r="B35" s="25" t="n">
        <v>54.2</v>
      </c>
      <c r="C35" s="25">
        <f>Table13468[[#This Row],[PMI]]-B34</f>
        <v/>
      </c>
    </row>
    <row r="36">
      <c r="A36" s="10" t="n">
        <v>41548</v>
      </c>
      <c r="B36" s="25" t="n">
        <v>55.6</v>
      </c>
      <c r="C36" s="25">
        <f>Table13468[[#This Row],[PMI]]-B35</f>
        <v/>
      </c>
    </row>
    <row r="37">
      <c r="A37" s="10" t="n">
        <v>41579</v>
      </c>
      <c r="B37" s="25" t="n">
        <v>55.3</v>
      </c>
      <c r="C37" s="25">
        <f>Table13468[[#This Row],[PMI]]-B36</f>
        <v/>
      </c>
    </row>
    <row r="38">
      <c r="A38" s="10" t="n">
        <v>41609</v>
      </c>
      <c r="B38" s="25" t="n">
        <v>53.5</v>
      </c>
      <c r="C38" s="25">
        <f>Table13468[[#This Row],[PMI]]-B37</f>
        <v/>
      </c>
    </row>
    <row r="39">
      <c r="A39" s="10" t="n">
        <v>41640</v>
      </c>
      <c r="B39" s="25" t="n">
        <v>51.7</v>
      </c>
      <c r="C39" s="25">
        <f>Table13468[[#This Row],[PMI]]-B38</f>
        <v/>
      </c>
    </row>
    <row r="40">
      <c r="A40" s="10" t="n">
        <v>41671</v>
      </c>
      <c r="B40" s="25" t="n">
        <v>52.9</v>
      </c>
      <c r="C40" s="25">
        <f>Table13468[[#This Row],[PMI]]-B39</f>
        <v/>
      </c>
    </row>
    <row r="41">
      <c r="A41" s="10" t="n">
        <v>41699</v>
      </c>
      <c r="B41" s="25" t="n">
        <v>53.3</v>
      </c>
      <c r="C41" s="25">
        <f>Table13468[[#This Row],[PMI]]-B40</f>
        <v/>
      </c>
    </row>
    <row r="42">
      <c r="A42" s="10" t="n">
        <v>41730</v>
      </c>
      <c r="B42" s="25" t="n">
        <v>52.9</v>
      </c>
      <c r="C42" s="25">
        <f>Table13468[[#This Row],[PMI]]-B41</f>
        <v/>
      </c>
    </row>
    <row r="43">
      <c r="A43" s="10" t="n">
        <v>41760</v>
      </c>
      <c r="B43" s="25" t="n">
        <v>52.2</v>
      </c>
      <c r="C43" s="25">
        <f>Table13468[[#This Row],[PMI]]-B42</f>
        <v/>
      </c>
    </row>
    <row r="44">
      <c r="A44" s="10" t="n">
        <v>41791</v>
      </c>
      <c r="B44" s="25" t="n">
        <v>53.5</v>
      </c>
      <c r="C44" s="25">
        <f>Table13468[[#This Row],[PMI]]-B43</f>
        <v/>
      </c>
    </row>
    <row r="45">
      <c r="A45" s="10" t="n">
        <v>41821</v>
      </c>
      <c r="B45" s="25" t="n">
        <v>54.3</v>
      </c>
      <c r="C45" s="25">
        <f>Table13468[[#This Row],[PMI]]-B44</f>
        <v/>
      </c>
    </row>
    <row r="46">
      <c r="A46" s="10" t="n">
        <v>41852</v>
      </c>
      <c r="B46" s="25" t="n">
        <v>54.8</v>
      </c>
      <c r="C46" s="25">
        <f>Table13468[[#This Row],[PMI]]-B45</f>
        <v/>
      </c>
    </row>
    <row r="47">
      <c r="A47" s="10" t="n">
        <v>41883</v>
      </c>
      <c r="B47" s="25" t="n">
        <v>53.5</v>
      </c>
      <c r="C47" s="25">
        <f>Table13468[[#This Row],[PMI]]-B46</f>
        <v/>
      </c>
    </row>
    <row r="48">
      <c r="A48" s="10" t="n">
        <v>41913</v>
      </c>
      <c r="B48" s="25" t="n">
        <v>55.3</v>
      </c>
      <c r="C48" s="25">
        <f>Table13468[[#This Row],[PMI]]-B47</f>
        <v/>
      </c>
    </row>
    <row r="49">
      <c r="A49" s="10" t="n">
        <v>41944</v>
      </c>
      <c r="B49" s="25" t="n">
        <v>55.3</v>
      </c>
      <c r="C49" s="25">
        <f>Table13468[[#This Row],[PMI]]-B48</f>
        <v/>
      </c>
    </row>
    <row r="50">
      <c r="A50" s="10" t="n">
        <v>41974</v>
      </c>
      <c r="B50" s="25" t="n">
        <v>53.9</v>
      </c>
      <c r="C50" s="25">
        <f>Table13468[[#This Row],[PMI]]-B49</f>
        <v/>
      </c>
    </row>
    <row r="51">
      <c r="A51" s="10" t="n">
        <v>42005</v>
      </c>
      <c r="B51" s="25" t="n">
        <v>51</v>
      </c>
      <c r="C51" s="25">
        <f>Table13468[[#This Row],[PMI]]-B50</f>
        <v/>
      </c>
    </row>
    <row r="52">
      <c r="A52" s="10" t="n">
        <v>42036</v>
      </c>
      <c r="B52" s="25" t="n">
        <v>48.7</v>
      </c>
      <c r="C52" s="25">
        <f>Table13468[[#This Row],[PMI]]-B51</f>
        <v/>
      </c>
    </row>
    <row r="53">
      <c r="A53" s="10" t="n">
        <v>42064</v>
      </c>
      <c r="B53" s="25" t="n">
        <v>48.9</v>
      </c>
      <c r="C53" s="25">
        <f>Table13468[[#This Row],[PMI]]-B52</f>
        <v/>
      </c>
    </row>
    <row r="54">
      <c r="A54" s="10" t="n">
        <v>42095</v>
      </c>
      <c r="B54" s="25" t="n">
        <v>49</v>
      </c>
      <c r="C54" s="25">
        <f>Table13468[[#This Row],[PMI]]-B53</f>
        <v/>
      </c>
    </row>
    <row r="55">
      <c r="A55" s="10" t="n">
        <v>42125</v>
      </c>
      <c r="B55" s="25" t="n">
        <v>49.8</v>
      </c>
      <c r="C55" s="25">
        <f>Table13468[[#This Row],[PMI]]-B54</f>
        <v/>
      </c>
    </row>
    <row r="56">
      <c r="A56" s="10" t="n">
        <v>42156</v>
      </c>
      <c r="B56" s="25" t="n">
        <v>51.3</v>
      </c>
      <c r="C56" s="25">
        <f>Table13468[[#This Row],[PMI]]-B55</f>
        <v/>
      </c>
    </row>
    <row r="57">
      <c r="A57" s="10" t="n">
        <v>42186</v>
      </c>
      <c r="B57" s="25" t="n">
        <v>50.8</v>
      </c>
      <c r="C57" s="25">
        <f>Table13468[[#This Row],[PMI]]-B56</f>
        <v/>
      </c>
    </row>
    <row r="58">
      <c r="A58" s="10" t="n">
        <v>42217</v>
      </c>
      <c r="B58" s="25" t="n">
        <v>49.4</v>
      </c>
      <c r="C58" s="25">
        <f>Table13468[[#This Row],[PMI]]-B57</f>
        <v/>
      </c>
    </row>
    <row r="59">
      <c r="A59" s="10" t="n">
        <v>42248</v>
      </c>
      <c r="B59" s="25" t="n">
        <v>48.6</v>
      </c>
      <c r="C59" s="25">
        <f>Table13468[[#This Row],[PMI]]-B58</f>
        <v/>
      </c>
    </row>
    <row r="60">
      <c r="A60" s="10" t="n">
        <v>42278</v>
      </c>
      <c r="B60" s="25" t="n">
        <v>48</v>
      </c>
      <c r="C60" s="25">
        <f>Table13468[[#This Row],[PMI]]-B59</f>
        <v/>
      </c>
    </row>
    <row r="61">
      <c r="A61" s="10" t="n">
        <v>42309</v>
      </c>
      <c r="B61" s="25" t="n">
        <v>48.6</v>
      </c>
      <c r="C61" s="25">
        <f>Table13468[[#This Row],[PMI]]-B60</f>
        <v/>
      </c>
    </row>
    <row r="62">
      <c r="A62" s="10" t="n">
        <v>42339</v>
      </c>
      <c r="B62" s="25" t="n">
        <v>47.5</v>
      </c>
      <c r="C62" s="25">
        <f>Table13468[[#This Row],[PMI]]-B61</f>
        <v/>
      </c>
    </row>
    <row r="63">
      <c r="A63" s="10" t="n">
        <v>42370</v>
      </c>
      <c r="B63" s="25" t="n">
        <v>49.3</v>
      </c>
      <c r="C63" s="25">
        <f>Table13468[[#This Row],[PMI]]-B62</f>
        <v/>
      </c>
    </row>
    <row r="64">
      <c r="A64" s="10" t="n">
        <v>42401</v>
      </c>
      <c r="B64" s="25" t="n">
        <v>49.4</v>
      </c>
      <c r="C64" s="25">
        <f>Table13468[[#This Row],[PMI]]-B63</f>
        <v/>
      </c>
    </row>
    <row r="65">
      <c r="A65" s="10" t="n">
        <v>42430</v>
      </c>
      <c r="B65" s="25" t="n">
        <v>51.5</v>
      </c>
      <c r="C65" s="25">
        <f>Table13468[[#This Row],[PMI]]-B64</f>
        <v/>
      </c>
    </row>
    <row r="66">
      <c r="A66" s="10" t="n">
        <v>42461</v>
      </c>
      <c r="B66" s="25" t="n">
        <v>52.2</v>
      </c>
      <c r="C66" s="25">
        <f>Table13468[[#This Row],[PMI]]-B65</f>
        <v/>
      </c>
    </row>
    <row r="67">
      <c r="A67" s="10" t="n">
        <v>42491</v>
      </c>
      <c r="B67" s="25" t="n">
        <v>52.1</v>
      </c>
      <c r="C67" s="25">
        <f>Table13468[[#This Row],[PMI]]-B66</f>
        <v/>
      </c>
    </row>
    <row r="68">
      <c r="A68" s="10" t="n">
        <v>42522</v>
      </c>
      <c r="B68" s="25" t="n">
        <v>51.8</v>
      </c>
      <c r="C68" s="25">
        <f>Table13468[[#This Row],[PMI]]-B67</f>
        <v/>
      </c>
    </row>
    <row r="69">
      <c r="A69" s="10" t="n">
        <v>42552</v>
      </c>
      <c r="B69" s="25" t="n">
        <v>51.9</v>
      </c>
      <c r="C69" s="25">
        <f>Table13468[[#This Row],[PMI]]-B68</f>
        <v/>
      </c>
    </row>
    <row r="70">
      <c r="A70" s="10" t="n">
        <v>42583</v>
      </c>
      <c r="B70" s="25" t="n">
        <v>51.1</v>
      </c>
      <c r="C70" s="25">
        <f>Table13468[[#This Row],[PMI]]-B69</f>
        <v/>
      </c>
    </row>
    <row r="71">
      <c r="A71" s="10" t="n">
        <v>42614</v>
      </c>
      <c r="B71" s="25" t="n">
        <v>50.3</v>
      </c>
      <c r="C71" s="25">
        <f>Table13468[[#This Row],[PMI]]-B70</f>
        <v/>
      </c>
    </row>
    <row r="72">
      <c r="A72" s="10" t="n">
        <v>42644</v>
      </c>
      <c r="B72" s="25" t="n">
        <v>51.1</v>
      </c>
      <c r="C72" s="25">
        <f>Table13468[[#This Row],[PMI]]-B71</f>
        <v/>
      </c>
    </row>
    <row r="73">
      <c r="A73" s="10" t="n">
        <v>42675</v>
      </c>
      <c r="B73" s="25" t="n">
        <v>51.5</v>
      </c>
      <c r="C73" s="25">
        <f>Table13468[[#This Row],[PMI]]-B72</f>
        <v/>
      </c>
    </row>
    <row r="74">
      <c r="A74" s="10" t="n">
        <v>42705</v>
      </c>
      <c r="B74" s="25" t="n">
        <v>51.8</v>
      </c>
      <c r="C74" s="25">
        <f>Table13468[[#This Row],[PMI]]-B73</f>
        <v/>
      </c>
    </row>
    <row r="75">
      <c r="A75" s="10" t="n">
        <v>42736</v>
      </c>
      <c r="B75" s="25" t="n">
        <v>53.5</v>
      </c>
      <c r="C75" s="25">
        <f>Table13468[[#This Row],[PMI]]-B74</f>
        <v/>
      </c>
    </row>
    <row r="76">
      <c r="A76" s="10" t="n">
        <v>42767</v>
      </c>
      <c r="B76" s="25" t="n">
        <v>54.7</v>
      </c>
      <c r="C76" s="25">
        <f>Table13468[[#This Row],[PMI]]-B75</f>
        <v/>
      </c>
    </row>
    <row r="77">
      <c r="A77" s="10" t="n">
        <v>42795</v>
      </c>
      <c r="B77" s="25" t="n">
        <v>55.5</v>
      </c>
      <c r="C77" s="25">
        <f>Table13468[[#This Row],[PMI]]-B76</f>
        <v/>
      </c>
    </row>
    <row r="78">
      <c r="A78" s="10" t="n">
        <v>42826</v>
      </c>
      <c r="B78" s="25" t="n">
        <v>55.9</v>
      </c>
      <c r="C78" s="25">
        <f>Table13468[[#This Row],[PMI]]-B77</f>
        <v/>
      </c>
    </row>
    <row r="79">
      <c r="A79" s="10" t="n">
        <v>42856</v>
      </c>
      <c r="B79" s="25" t="n">
        <v>55.1</v>
      </c>
      <c r="C79" s="25">
        <f>Table13468[[#This Row],[PMI]]-B78</f>
        <v/>
      </c>
    </row>
    <row r="80">
      <c r="A80" s="10" t="n">
        <v>42887</v>
      </c>
      <c r="B80" s="25" t="n">
        <v>54.7</v>
      </c>
      <c r="C80" s="25">
        <f>Table13468[[#This Row],[PMI]]-B79</f>
        <v/>
      </c>
    </row>
    <row r="81">
      <c r="A81" s="10" t="n">
        <v>42917</v>
      </c>
      <c r="B81" s="25" t="n">
        <v>55.5</v>
      </c>
      <c r="C81" s="25">
        <f>Table13468[[#This Row],[PMI]]-B80</f>
        <v/>
      </c>
    </row>
    <row r="82">
      <c r="A82" s="10" t="n">
        <v>42948</v>
      </c>
      <c r="B82" s="25" t="n">
        <v>54.6</v>
      </c>
      <c r="C82" s="25">
        <f>Table13468[[#This Row],[PMI]]-B81</f>
        <v/>
      </c>
    </row>
    <row r="83">
      <c r="A83" s="10" t="n">
        <v>42979</v>
      </c>
      <c r="B83" s="25" t="n">
        <v>55</v>
      </c>
      <c r="C83" s="25">
        <f>Table13468[[#This Row],[PMI]]-B82</f>
        <v/>
      </c>
    </row>
    <row r="84">
      <c r="A84" s="10" t="n">
        <v>43009</v>
      </c>
      <c r="B84" s="25" t="n">
        <v>54.3</v>
      </c>
      <c r="C84" s="25">
        <f>Table13468[[#This Row],[PMI]]-B83</f>
        <v/>
      </c>
    </row>
    <row r="85">
      <c r="A85" s="10" t="n">
        <v>43040</v>
      </c>
      <c r="B85" s="25" t="n">
        <v>54.4</v>
      </c>
      <c r="C85" s="25">
        <f>Table13468[[#This Row],[PMI]]-B84</f>
        <v/>
      </c>
    </row>
    <row r="86">
      <c r="A86" s="10" t="n">
        <v>43070</v>
      </c>
      <c r="B86" s="25" t="n">
        <v>54.7</v>
      </c>
      <c r="C86" s="25">
        <f>Table13468[[#This Row],[PMI]]-B85</f>
        <v/>
      </c>
    </row>
    <row r="87">
      <c r="A87" s="10" t="n">
        <v>43101</v>
      </c>
      <c r="B87" s="25" t="n">
        <v>55.9</v>
      </c>
      <c r="C87" s="25">
        <f>Table13468[[#This Row],[PMI]]-B86</f>
        <v/>
      </c>
    </row>
    <row r="88">
      <c r="A88" s="10" t="n">
        <v>43132</v>
      </c>
      <c r="B88" s="25" t="n">
        <v>55.6</v>
      </c>
      <c r="C88" s="25">
        <f>Table13468[[#This Row],[PMI]]-B87</f>
        <v/>
      </c>
    </row>
    <row r="89">
      <c r="A89" s="10" t="n">
        <v>43160</v>
      </c>
      <c r="B89" s="25" t="n">
        <v>55.7</v>
      </c>
      <c r="C89" s="25">
        <f>Table13468[[#This Row],[PMI]]-B88</f>
        <v/>
      </c>
    </row>
    <row r="90">
      <c r="A90" s="10" t="n">
        <v>43191</v>
      </c>
      <c r="B90" s="25" t="n">
        <v>55.5</v>
      </c>
      <c r="C90" s="25">
        <f>Table13468[[#This Row],[PMI]]-B89</f>
        <v/>
      </c>
    </row>
    <row r="91">
      <c r="A91" s="10" t="n">
        <v>43221</v>
      </c>
      <c r="B91" s="25" t="n">
        <v>56.2</v>
      </c>
      <c r="C91" s="25">
        <f>Table13468[[#This Row],[PMI]]-B90</f>
        <v/>
      </c>
    </row>
    <row r="92">
      <c r="A92" s="10" t="n">
        <v>43252</v>
      </c>
      <c r="B92" s="25" t="n">
        <v>57.1</v>
      </c>
      <c r="C92" s="25">
        <f>Table13468[[#This Row],[PMI]]-B91</f>
        <v/>
      </c>
    </row>
    <row r="93">
      <c r="A93" s="10" t="n">
        <v>43282</v>
      </c>
      <c r="B93" s="25" t="n">
        <v>56.9</v>
      </c>
      <c r="C93" s="25">
        <f>Table13468[[#This Row],[PMI]]-B92</f>
        <v/>
      </c>
    </row>
    <row r="94">
      <c r="A94" s="10" t="n">
        <v>43313</v>
      </c>
      <c r="B94" s="25" t="n">
        <v>56.8</v>
      </c>
      <c r="C94" s="25">
        <f>Table13468[[#This Row],[PMI]]-B93</f>
        <v/>
      </c>
    </row>
    <row r="95">
      <c r="A95" s="10" t="n">
        <v>43344</v>
      </c>
      <c r="B95" s="25" t="n">
        <v>54.8</v>
      </c>
      <c r="C95" s="25">
        <f>Table13468[[#This Row],[PMI]]-B94</f>
        <v/>
      </c>
    </row>
    <row r="96">
      <c r="A96" s="10" t="n">
        <v>43374</v>
      </c>
      <c r="B96" s="25" t="n">
        <v>53.9</v>
      </c>
      <c r="C96" s="25">
        <f>Table13468[[#This Row],[PMI]]-B95</f>
        <v/>
      </c>
    </row>
    <row r="97">
      <c r="A97" s="10" t="n">
        <v>43405</v>
      </c>
      <c r="B97" s="25" t="n">
        <v>54.9</v>
      </c>
      <c r="C97" s="25">
        <f>Table13468[[#This Row],[PMI]]-B96</f>
        <v/>
      </c>
    </row>
    <row r="98">
      <c r="A98" s="10" t="n">
        <v>43435</v>
      </c>
      <c r="B98" s="25" t="n">
        <v>53.6</v>
      </c>
      <c r="C98" s="25">
        <f>Table13468[[#This Row],[PMI]]-B97</f>
        <v/>
      </c>
    </row>
    <row r="99">
      <c r="A99" s="10" t="n">
        <v>43466</v>
      </c>
      <c r="B99" s="25" t="n">
        <v>53</v>
      </c>
      <c r="C99" s="25">
        <f>Table13468[[#This Row],[PMI]]-B98</f>
        <v/>
      </c>
    </row>
    <row r="100">
      <c r="A100" s="10" t="n">
        <v>43497</v>
      </c>
      <c r="B100" s="25" t="n">
        <v>52.6</v>
      </c>
      <c r="C100" s="25">
        <f>Table13468[[#This Row],[PMI]]-B99</f>
        <v/>
      </c>
    </row>
    <row r="101">
      <c r="A101" s="10" t="n">
        <v>43525</v>
      </c>
      <c r="B101" s="25" t="n">
        <v>50.5</v>
      </c>
      <c r="C101" s="25">
        <f>Table13468[[#This Row],[PMI]]-B100</f>
        <v/>
      </c>
    </row>
    <row r="102">
      <c r="A102" s="10" t="n">
        <v>43556</v>
      </c>
      <c r="B102" s="25" t="n">
        <v>49.7</v>
      </c>
      <c r="C102" s="25">
        <f>Table13468[[#This Row],[PMI]]-B101</f>
        <v/>
      </c>
    </row>
    <row r="103">
      <c r="A103" s="10" t="n">
        <v>43586</v>
      </c>
      <c r="B103" s="25" t="n">
        <v>49.1</v>
      </c>
      <c r="C103" s="25">
        <f>Table13468[[#This Row],[PMI]]-B102</f>
        <v/>
      </c>
    </row>
    <row r="104">
      <c r="A104" s="10" t="n">
        <v>43617</v>
      </c>
      <c r="B104" s="25" t="n">
        <v>49.2</v>
      </c>
      <c r="C104" s="25">
        <f>Table13468[[#This Row],[PMI]]-B103</f>
        <v/>
      </c>
    </row>
    <row r="105">
      <c r="A105" s="10" t="n">
        <v>43647</v>
      </c>
      <c r="B105" s="25" t="n">
        <v>50.2</v>
      </c>
      <c r="C105" s="25">
        <f>Table13468[[#This Row],[PMI]]-B104</f>
        <v/>
      </c>
    </row>
    <row r="106">
      <c r="A106" s="10" t="n">
        <v>43678</v>
      </c>
      <c r="B106" s="25" t="n">
        <v>49.1</v>
      </c>
      <c r="C106" s="25">
        <f>Table13468[[#This Row],[PMI]]-B105</f>
        <v/>
      </c>
    </row>
    <row r="107">
      <c r="A107" s="10" t="n">
        <v>43709</v>
      </c>
      <c r="B107" s="25" t="n">
        <v>51</v>
      </c>
      <c r="C107" s="25">
        <f>Table13468[[#This Row],[PMI]]-B106</f>
        <v/>
      </c>
    </row>
    <row r="108">
      <c r="A108" s="10" t="n">
        <v>43739</v>
      </c>
      <c r="B108" s="25" t="n">
        <v>51.2</v>
      </c>
      <c r="C108" s="25">
        <f>Table13468[[#This Row],[PMI]]-B107</f>
        <v/>
      </c>
    </row>
    <row r="109">
      <c r="A109" s="10" t="n">
        <v>43770</v>
      </c>
      <c r="B109" s="25" t="n">
        <v>51.4</v>
      </c>
      <c r="C109" s="25">
        <f>Table13468[[#This Row],[PMI]]-B108</f>
        <v/>
      </c>
    </row>
    <row r="110">
      <c r="A110" s="10" t="n">
        <v>43800</v>
      </c>
      <c r="B110" s="25" t="n">
        <v>50.4</v>
      </c>
      <c r="C110" s="25">
        <f>Table13468[[#This Row],[PMI]]-B109</f>
        <v/>
      </c>
    </row>
    <row r="111">
      <c r="A111" s="10" t="n">
        <v>43831</v>
      </c>
      <c r="B111" s="25" t="n">
        <v>50.6</v>
      </c>
      <c r="C111" s="25">
        <f>Table13468[[#This Row],[PMI]]-B110</f>
        <v/>
      </c>
    </row>
    <row r="112">
      <c r="A112" s="10" t="n">
        <v>43862</v>
      </c>
      <c r="B112" s="25" t="n">
        <v>51.8</v>
      </c>
      <c r="C112" s="25">
        <f>Table13468[[#This Row],[PMI]]-B111</f>
        <v/>
      </c>
    </row>
    <row r="113">
      <c r="A113" s="10" t="n">
        <v>43891</v>
      </c>
      <c r="B113" s="25" t="n">
        <v>46.1</v>
      </c>
      <c r="C113" s="25">
        <f>Table13468[[#This Row],[PMI]]-B112</f>
        <v/>
      </c>
    </row>
    <row r="114">
      <c r="A114" s="10" t="n">
        <v>43922</v>
      </c>
      <c r="B114" s="25" t="n">
        <v>33</v>
      </c>
      <c r="C114" s="25">
        <f>Table13468[[#This Row],[PMI]]-B113</f>
        <v/>
      </c>
    </row>
    <row r="115">
      <c r="A115" s="10" t="n">
        <v>43952</v>
      </c>
      <c r="B115" s="25" t="n">
        <v>40.6</v>
      </c>
      <c r="C115" s="25">
        <f>Table13468[[#This Row],[PMI]]-B114</f>
        <v/>
      </c>
    </row>
    <row r="116">
      <c r="A116" s="10" t="n">
        <v>43983</v>
      </c>
      <c r="B116" s="25" t="n">
        <v>47.8</v>
      </c>
      <c r="C116" s="25">
        <f>Table13468[[#This Row],[PMI]]-B115</f>
        <v/>
      </c>
    </row>
    <row r="117">
      <c r="A117" s="10" t="n">
        <v>44013</v>
      </c>
      <c r="B117" s="25" t="n">
        <v>52.9</v>
      </c>
      <c r="C117" s="25">
        <f>Table13468[[#This Row],[PMI]]-B116</f>
        <v/>
      </c>
    </row>
    <row r="118">
      <c r="A118" s="10" t="n">
        <v>44044</v>
      </c>
      <c r="B118" s="25" t="n">
        <v>55.1</v>
      </c>
      <c r="C118" s="25">
        <f>Table13468[[#This Row],[PMI]]-B117</f>
        <v/>
      </c>
    </row>
    <row r="119">
      <c r="A119" s="10" t="n">
        <v>44075</v>
      </c>
      <c r="B119" s="25" t="n">
        <v>56</v>
      </c>
      <c r="C119" s="25">
        <f>Table13468[[#This Row],[PMI]]-B118</f>
        <v/>
      </c>
    </row>
    <row r="120">
      <c r="A120" s="10" t="n">
        <v>44105</v>
      </c>
      <c r="B120" s="25" t="n">
        <v>55.5</v>
      </c>
      <c r="C120" s="25">
        <f>Table13468[[#This Row],[PMI]]-B119</f>
        <v/>
      </c>
    </row>
    <row r="121">
      <c r="A121" s="10" t="n">
        <v>44136</v>
      </c>
      <c r="B121" s="25" t="n">
        <v>55.8</v>
      </c>
      <c r="C121" s="25">
        <f>Table13468[[#This Row],[PMI]]-B120</f>
        <v/>
      </c>
    </row>
    <row r="122">
      <c r="A122" s="10" t="n">
        <v>44166</v>
      </c>
      <c r="B122" s="25" t="n">
        <v>57.9</v>
      </c>
      <c r="C122" s="25">
        <f>Table13468[[#This Row],[PMI]]-B121</f>
        <v/>
      </c>
    </row>
    <row r="123">
      <c r="A123" s="10" t="n">
        <v>44197</v>
      </c>
      <c r="B123" s="25" t="n">
        <v>54.4</v>
      </c>
      <c r="C123" s="25">
        <f>Table13468[[#This Row],[PMI]]-B122</f>
        <v/>
      </c>
    </row>
    <row r="124">
      <c r="A124" s="10" t="n">
        <v>44228</v>
      </c>
      <c r="B124" s="25" t="n">
        <v>54.8</v>
      </c>
      <c r="C124" s="25">
        <f>Table13468[[#This Row],[PMI]]-B123</f>
        <v/>
      </c>
    </row>
    <row r="125">
      <c r="A125" s="10" t="n">
        <v>44256</v>
      </c>
      <c r="B125" s="25" t="n">
        <v>58.5</v>
      </c>
      <c r="C125" s="25">
        <f>Table13468[[#This Row],[PMI]]-B124</f>
        <v/>
      </c>
    </row>
    <row r="126">
      <c r="A126" s="10" t="n">
        <v>44287</v>
      </c>
      <c r="B126" s="25" t="n">
        <v>57.2</v>
      </c>
      <c r="C126" s="25">
        <f>Table13468[[#This Row],[PMI]]-B125</f>
        <v/>
      </c>
    </row>
    <row r="127">
      <c r="A127" s="10" t="n">
        <v>44317</v>
      </c>
      <c r="B127" s="25" t="n">
        <v>57</v>
      </c>
      <c r="C127" s="25">
        <f>Table13468[[#This Row],[PMI]]-B126</f>
        <v/>
      </c>
    </row>
    <row r="128">
      <c r="A128" s="10" t="n">
        <v>44348</v>
      </c>
      <c r="B128" s="25" t="n">
        <v>56.5</v>
      </c>
      <c r="C128" s="25">
        <f>Table13468[[#This Row],[PMI]]-B127</f>
        <v/>
      </c>
    </row>
    <row r="129">
      <c r="A129" s="10" t="n">
        <v>44378</v>
      </c>
      <c r="B129" s="25" t="n">
        <v>56.2</v>
      </c>
      <c r="C129" s="25">
        <f>Table13468[[#This Row],[PMI]]-B128</f>
        <v/>
      </c>
    </row>
    <row r="130">
      <c r="A130" s="10" t="n">
        <v>44409</v>
      </c>
      <c r="B130" s="25" t="n">
        <v>57.2</v>
      </c>
      <c r="C130" s="25">
        <f>Table13468[[#This Row],[PMI]]-B129</f>
        <v/>
      </c>
    </row>
    <row r="131">
      <c r="A131" s="10" t="n">
        <v>44440</v>
      </c>
      <c r="B131" s="25" t="n">
        <v>57</v>
      </c>
      <c r="C131" s="25">
        <f>Table13468[[#This Row],[PMI]]-B130</f>
        <v/>
      </c>
    </row>
    <row r="132">
      <c r="A132" s="10" t="n">
        <v>44470</v>
      </c>
      <c r="B132" s="25" t="n">
        <v>57.7</v>
      </c>
      <c r="C132" s="25">
        <f>Table13468[[#This Row],[PMI]]-B131</f>
        <v/>
      </c>
    </row>
    <row r="133">
      <c r="A133" s="10" t="n">
        <v>44501</v>
      </c>
      <c r="B133" s="25" t="n">
        <v>57.2</v>
      </c>
      <c r="C133" s="25">
        <f>Table13468[[#This Row],[PMI]]-B132</f>
        <v/>
      </c>
    </row>
    <row r="134">
      <c r="A134" s="10" t="n">
        <v>44531</v>
      </c>
      <c r="B134" s="25" t="n">
        <v>55.5</v>
      </c>
      <c r="C134" s="25">
        <f>Table13468[[#This Row],[PMI]]-B133</f>
        <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68"/>
  <sheetViews>
    <sheetView zoomScale="160" zoomScaleNormal="160" workbookViewId="0">
      <pane ySplit="5" topLeftCell="A129" activePane="bottomLeft" state="frozen"/>
      <selection pane="bottomLeft" activeCell="A169" sqref="A169"/>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Australia</t>
        </is>
      </c>
      <c r="K1" s="84" t="inlineStr">
        <is>
          <t xml:space="preserve"> Manufacturing PMI</t>
        </is>
      </c>
    </row>
    <row r="2">
      <c r="A2" s="84" t="inlineStr">
        <is>
          <t>australia</t>
        </is>
      </c>
      <c r="K2" s="84">
        <f>A1&amp;K1</f>
        <v/>
      </c>
    </row>
    <row r="4" ht="16" customHeight="1" s="76" thickBot="1"/>
    <row r="5" ht="16" customHeight="1" s="76" thickBot="1">
      <c r="A5" s="22" t="inlineStr">
        <is>
          <t>Date</t>
        </is>
      </c>
      <c r="B5" s="23" t="inlineStr">
        <is>
          <t>PMI</t>
        </is>
      </c>
      <c r="C5" s="23" t="inlineStr">
        <is>
          <t>mom</t>
        </is>
      </c>
    </row>
    <row r="6">
      <c r="A6" s="18" t="n">
        <v>39569</v>
      </c>
      <c r="B6" s="19" t="n">
        <v>51.4</v>
      </c>
      <c r="C6" s="19" t="n"/>
    </row>
    <row r="7">
      <c r="A7" s="10" t="n">
        <v>39600</v>
      </c>
      <c r="B7" s="25" t="n">
        <v>51.2</v>
      </c>
      <c r="C7" s="25">
        <f>Table1346811121415161718192022252627[[#This Row],[PMI]]-B6</f>
        <v/>
      </c>
    </row>
    <row r="8">
      <c r="A8" s="10" t="n">
        <v>39630</v>
      </c>
      <c r="B8" s="25" t="n">
        <v>52.7</v>
      </c>
      <c r="C8" s="25">
        <f>Table1346811121415161718192022252627[[#This Row],[PMI]]-B7</f>
        <v/>
      </c>
    </row>
    <row r="9">
      <c r="A9" s="10" t="n">
        <v>39661</v>
      </c>
      <c r="B9" s="25" t="n">
        <v>51.2</v>
      </c>
      <c r="C9" s="25">
        <f>Table1346811121415161718192022252627[[#This Row],[PMI]]-B8</f>
        <v/>
      </c>
    </row>
    <row r="10">
      <c r="A10" s="10" t="n">
        <v>39692</v>
      </c>
      <c r="B10" s="25" t="n">
        <v>47</v>
      </c>
      <c r="C10" s="25">
        <f>Table1346811121415161718192022252627[[#This Row],[PMI]]-B9</f>
        <v/>
      </c>
    </row>
    <row r="11">
      <c r="A11" s="10" t="n">
        <v>39722</v>
      </c>
      <c r="B11" s="25" t="n">
        <v>46.9</v>
      </c>
      <c r="C11" s="25">
        <f>Table1346811121415161718192022252627[[#This Row],[PMI]]-B10</f>
        <v/>
      </c>
    </row>
    <row r="12">
      <c r="A12" s="10" t="n">
        <v>39753</v>
      </c>
      <c r="B12" s="25" t="n">
        <v>40.4</v>
      </c>
      <c r="C12" s="25">
        <f>Table1346811121415161718192022252627[[#This Row],[PMI]]-B11</f>
        <v/>
      </c>
    </row>
    <row r="13">
      <c r="A13" s="10" t="n">
        <v>39783</v>
      </c>
      <c r="B13" s="25" t="n">
        <v>33.7</v>
      </c>
      <c r="C13" s="25">
        <f>Table1346811121415161718192022252627[[#This Row],[PMI]]-B12</f>
        <v/>
      </c>
    </row>
    <row r="14">
      <c r="A14" s="10" t="n">
        <v>39814</v>
      </c>
      <c r="B14" s="25" t="n">
        <v>36.6</v>
      </c>
      <c r="C14" s="25">
        <f>Table1346811121415161718192022252627[[#This Row],[PMI]]-B13</f>
        <v/>
      </c>
    </row>
    <row r="15">
      <c r="A15" s="10" t="n">
        <v>39845</v>
      </c>
      <c r="B15" s="25" t="n">
        <v>31.7</v>
      </c>
      <c r="C15" s="25">
        <f>Table1346811121415161718192022252627[[#This Row],[PMI]]-B14</f>
        <v/>
      </c>
    </row>
    <row r="16">
      <c r="A16" s="10" t="n">
        <v>39873</v>
      </c>
      <c r="B16" s="25" t="n">
        <v>33.4</v>
      </c>
      <c r="C16" s="25">
        <f>Table1346811121415161718192022252627[[#This Row],[PMI]]-B15</f>
        <v/>
      </c>
    </row>
    <row r="17">
      <c r="A17" s="10" t="n">
        <v>39904</v>
      </c>
      <c r="B17" s="25" t="n">
        <v>30.1</v>
      </c>
      <c r="C17" s="25">
        <f>Table1346811121415161718192022252627[[#This Row],[PMI]]-B16</f>
        <v/>
      </c>
    </row>
    <row r="18">
      <c r="A18" s="10" t="n">
        <v>39934</v>
      </c>
      <c r="B18" s="25" t="n">
        <v>37.5</v>
      </c>
      <c r="C18" s="25">
        <f>Table1346811121415161718192022252627[[#This Row],[PMI]]-B17</f>
        <v/>
      </c>
    </row>
    <row r="19">
      <c r="A19" s="10" t="n">
        <v>39965</v>
      </c>
      <c r="B19" s="25" t="n">
        <v>38.4</v>
      </c>
      <c r="C19" s="25">
        <f>Table1346811121415161718192022252627[[#This Row],[PMI]]-B18</f>
        <v/>
      </c>
    </row>
    <row r="20">
      <c r="A20" s="10" t="n">
        <v>39995</v>
      </c>
      <c r="B20" s="25" t="n">
        <v>44.5</v>
      </c>
      <c r="C20" s="25">
        <f>Table1346811121415161718192022252627[[#This Row],[PMI]]-B19</f>
        <v/>
      </c>
    </row>
    <row r="21">
      <c r="A21" s="10" t="n">
        <v>40026</v>
      </c>
      <c r="B21" s="25" t="n">
        <v>51.7</v>
      </c>
      <c r="C21" s="25">
        <f>Table1346811121415161718192022252627[[#This Row],[PMI]]-B20</f>
        <v/>
      </c>
    </row>
    <row r="22">
      <c r="A22" s="10" t="n">
        <v>40057</v>
      </c>
      <c r="B22" s="25" t="n">
        <v>52</v>
      </c>
      <c r="C22" s="25">
        <f>Table1346811121415161718192022252627[[#This Row],[PMI]]-B21</f>
        <v/>
      </c>
    </row>
    <row r="23">
      <c r="A23" s="10" t="n">
        <v>40087</v>
      </c>
      <c r="B23" s="25" t="n">
        <v>51.7</v>
      </c>
      <c r="C23" s="25">
        <f>Table1346811121415161718192022252627[[#This Row],[PMI]]-B22</f>
        <v/>
      </c>
    </row>
    <row r="24">
      <c r="A24" s="10" t="n">
        <v>40118</v>
      </c>
      <c r="B24" s="25" t="n">
        <v>51.2</v>
      </c>
      <c r="C24" s="25">
        <f>Table1346811121415161718192022252627[[#This Row],[PMI]]-B23</f>
        <v/>
      </c>
    </row>
    <row r="25">
      <c r="A25" s="10" t="n">
        <v>40148</v>
      </c>
      <c r="B25" s="25" t="n">
        <v>48.5</v>
      </c>
      <c r="C25" s="25">
        <f>Table1346811121415161718192022252627[[#This Row],[PMI]]-B24</f>
        <v/>
      </c>
    </row>
    <row r="26">
      <c r="A26" s="10" t="n">
        <v>40179</v>
      </c>
      <c r="B26" s="25" t="n">
        <v>51</v>
      </c>
      <c r="C26" s="25">
        <f>Table1346811121415161718192022252627[[#This Row],[PMI]]-B25</f>
        <v/>
      </c>
    </row>
    <row r="27">
      <c r="A27" s="10" t="n">
        <v>40210</v>
      </c>
      <c r="B27" s="25" t="n">
        <v>53.8</v>
      </c>
      <c r="C27" s="25">
        <f>Table1346811121415161718192022252627[[#This Row],[PMI]]-B26</f>
        <v/>
      </c>
    </row>
    <row r="28">
      <c r="A28" s="10" t="n">
        <v>40238</v>
      </c>
      <c r="B28" s="25" t="n">
        <v>50.2</v>
      </c>
      <c r="C28" s="25">
        <f>Table1346811121415161718192022252627[[#This Row],[PMI]]-B27</f>
        <v/>
      </c>
    </row>
    <row r="29">
      <c r="A29" s="10" t="n">
        <v>40269</v>
      </c>
      <c r="B29" s="25" t="n">
        <v>59.8</v>
      </c>
      <c r="C29" s="25">
        <f>Table1346811121415161718192022252627[[#This Row],[PMI]]-B28</f>
        <v/>
      </c>
    </row>
    <row r="30">
      <c r="A30" s="10" t="n">
        <v>40299</v>
      </c>
      <c r="B30" s="25" t="n">
        <v>56.3</v>
      </c>
      <c r="C30" s="25">
        <f>Table1346811121415161718192022252627[[#This Row],[PMI]]-B29</f>
        <v/>
      </c>
    </row>
    <row r="31">
      <c r="A31" s="10" t="n">
        <v>40330</v>
      </c>
      <c r="B31" s="25" t="n">
        <v>52.9</v>
      </c>
      <c r="C31" s="25">
        <f>Table1346811121415161718192022252627[[#This Row],[PMI]]-B30</f>
        <v/>
      </c>
    </row>
    <row r="32">
      <c r="A32" s="10" t="n">
        <v>40360</v>
      </c>
      <c r="B32" s="25" t="n">
        <v>54.4</v>
      </c>
      <c r="C32" s="25">
        <f>Table1346811121415161718192022252627[[#This Row],[PMI]]-B31</f>
        <v/>
      </c>
    </row>
    <row r="33">
      <c r="A33" s="10" t="n">
        <v>40391</v>
      </c>
      <c r="B33" s="25" t="n">
        <v>51.7</v>
      </c>
      <c r="C33" s="25">
        <f>Table1346811121415161718192022252627[[#This Row],[PMI]]-B32</f>
        <v/>
      </c>
    </row>
    <row r="34">
      <c r="A34" s="10" t="n">
        <v>40422</v>
      </c>
      <c r="B34" s="25" t="n">
        <v>47.3</v>
      </c>
      <c r="C34" s="25">
        <f>Table1346811121415161718192022252627[[#This Row],[PMI]]-B33</f>
        <v/>
      </c>
    </row>
    <row r="35">
      <c r="A35" s="10" t="n">
        <v>40452</v>
      </c>
      <c r="B35" s="25" t="n">
        <v>49.4</v>
      </c>
      <c r="C35" s="25">
        <f>Table1346811121415161718192022252627[[#This Row],[PMI]]-B34</f>
        <v/>
      </c>
    </row>
    <row r="36">
      <c r="A36" s="10" t="n">
        <v>40483</v>
      </c>
      <c r="B36" s="25" t="n">
        <v>47.6</v>
      </c>
      <c r="C36" s="25">
        <f>Table1346811121415161718192022252627[[#This Row],[PMI]]-B35</f>
        <v/>
      </c>
    </row>
    <row r="37">
      <c r="A37" s="10" t="n">
        <v>40513</v>
      </c>
      <c r="B37" s="25" t="n">
        <v>46.3</v>
      </c>
      <c r="C37" s="25">
        <f>Table1346811121415161718192022252627[[#This Row],[PMI]]-B36</f>
        <v/>
      </c>
    </row>
    <row r="38">
      <c r="A38" s="10" t="n">
        <v>40544</v>
      </c>
      <c r="B38" s="25" t="n">
        <v>46.7</v>
      </c>
      <c r="C38" s="25">
        <f>Table1346811121415161718192022252627[[#This Row],[PMI]]-B37</f>
        <v/>
      </c>
    </row>
    <row r="39">
      <c r="A39" s="10" t="n">
        <v>40575</v>
      </c>
      <c r="B39" s="25" t="n">
        <v>51.1</v>
      </c>
      <c r="C39" s="25">
        <f>Table1346811121415161718192022252627[[#This Row],[PMI]]-B38</f>
        <v/>
      </c>
    </row>
    <row r="40">
      <c r="A40" s="10" t="n">
        <v>40603</v>
      </c>
      <c r="B40" s="25" t="n">
        <v>47.9</v>
      </c>
      <c r="C40" s="25">
        <f>Table1346811121415161718192022252627[[#This Row],[PMI]]-B39</f>
        <v/>
      </c>
    </row>
    <row r="41">
      <c r="A41" s="10" t="n">
        <v>40634</v>
      </c>
      <c r="B41" s="25" t="n">
        <v>48.4</v>
      </c>
      <c r="C41" s="25">
        <f>Table1346811121415161718192022252627[[#This Row],[PMI]]-B40</f>
        <v/>
      </c>
    </row>
    <row r="42">
      <c r="A42" s="10" t="n">
        <v>40664</v>
      </c>
      <c r="B42" s="25" t="n">
        <v>47.7</v>
      </c>
      <c r="C42" s="25">
        <f>Table1346811121415161718192022252627[[#This Row],[PMI]]-B41</f>
        <v/>
      </c>
    </row>
    <row r="43">
      <c r="A43" s="10" t="n">
        <v>40695</v>
      </c>
      <c r="B43" s="25" t="n">
        <v>52.9</v>
      </c>
      <c r="C43" s="25">
        <f>Table1346811121415161718192022252627[[#This Row],[PMI]]-B42</f>
        <v/>
      </c>
    </row>
    <row r="44">
      <c r="A44" s="10" t="n">
        <v>40725</v>
      </c>
      <c r="B44" s="25" t="n">
        <v>43.4</v>
      </c>
      <c r="C44" s="25">
        <f>Table1346811121415161718192022252627[[#This Row],[PMI]]-B43</f>
        <v/>
      </c>
    </row>
    <row r="45">
      <c r="A45" s="10" t="n">
        <v>40756</v>
      </c>
      <c r="B45" s="25" t="n">
        <v>43.3</v>
      </c>
      <c r="C45" s="25">
        <f>Table1346811121415161718192022252627[[#This Row],[PMI]]-B44</f>
        <v/>
      </c>
    </row>
    <row r="46">
      <c r="A46" s="10" t="n">
        <v>40787</v>
      </c>
      <c r="B46" s="25" t="n">
        <v>42.3</v>
      </c>
      <c r="C46" s="25">
        <f>Table1346811121415161718192022252627[[#This Row],[PMI]]-B45</f>
        <v/>
      </c>
    </row>
    <row r="47">
      <c r="A47" s="10" t="n">
        <v>40817</v>
      </c>
      <c r="B47" s="25" t="n">
        <v>47.4</v>
      </c>
      <c r="C47" s="25">
        <f>Table1346811121415161718192022252627[[#This Row],[PMI]]-B46</f>
        <v/>
      </c>
    </row>
    <row r="48">
      <c r="A48" s="10" t="n">
        <v>40848</v>
      </c>
      <c r="B48" s="25" t="n">
        <v>47.8</v>
      </c>
      <c r="C48" s="25">
        <f>Table1346811121415161718192022252627[[#This Row],[PMI]]-B47</f>
        <v/>
      </c>
    </row>
    <row r="49">
      <c r="A49" s="10" t="n">
        <v>40878</v>
      </c>
      <c r="B49" s="25" t="n">
        <v>50.2</v>
      </c>
      <c r="C49" s="25">
        <f>Table1346811121415161718192022252627[[#This Row],[PMI]]-B48</f>
        <v/>
      </c>
    </row>
    <row r="50">
      <c r="A50" s="10" t="n">
        <v>40909</v>
      </c>
      <c r="B50" s="25" t="n">
        <v>51.6</v>
      </c>
      <c r="C50" s="25">
        <f>Table1346811121415161718192022252627[[#This Row],[PMI]]-B49</f>
        <v/>
      </c>
    </row>
    <row r="51">
      <c r="A51" s="10" t="n">
        <v>40940</v>
      </c>
      <c r="B51" s="25" t="n">
        <v>51.3</v>
      </c>
      <c r="C51" s="25">
        <f>Table1346811121415161718192022252627[[#This Row],[PMI]]-B50</f>
        <v/>
      </c>
    </row>
    <row r="52">
      <c r="A52" s="10" t="n">
        <v>40969</v>
      </c>
      <c r="B52" s="25" t="n">
        <v>49.5</v>
      </c>
      <c r="C52" s="25">
        <f>Table1346811121415161718192022252627[[#This Row],[PMI]]-B51</f>
        <v/>
      </c>
    </row>
    <row r="53">
      <c r="A53" s="10" t="n">
        <v>41000</v>
      </c>
      <c r="B53" s="25" t="n">
        <v>43.9</v>
      </c>
      <c r="C53" s="25">
        <f>Table1346811121415161718192022252627[[#This Row],[PMI]]-B52</f>
        <v/>
      </c>
    </row>
    <row r="54">
      <c r="A54" s="10" t="n">
        <v>41030</v>
      </c>
      <c r="B54" s="25" t="n">
        <v>42.4</v>
      </c>
      <c r="C54" s="25">
        <f>Table1346811121415161718192022252627[[#This Row],[PMI]]-B53</f>
        <v/>
      </c>
    </row>
    <row r="55">
      <c r="A55" s="10" t="n">
        <v>41061</v>
      </c>
      <c r="B55" s="25" t="n">
        <v>47.2</v>
      </c>
      <c r="C55" s="25">
        <f>Table1346811121415161718192022252627[[#This Row],[PMI]]-B54</f>
        <v/>
      </c>
    </row>
    <row r="56">
      <c r="A56" s="10" t="n">
        <v>41091</v>
      </c>
      <c r="B56" s="25" t="n">
        <v>40.3</v>
      </c>
      <c r="C56" s="25">
        <f>Table1346811121415161718192022252627[[#This Row],[PMI]]-B55</f>
        <v/>
      </c>
    </row>
    <row r="57">
      <c r="A57" s="10" t="n">
        <v>41122</v>
      </c>
      <c r="B57" s="25" t="n">
        <v>45.3</v>
      </c>
      <c r="C57" s="25">
        <f>Table1346811121415161718192022252627[[#This Row],[PMI]]-B56</f>
        <v/>
      </c>
    </row>
    <row r="58">
      <c r="A58" s="10" t="n">
        <v>41153</v>
      </c>
      <c r="B58" s="25" t="n">
        <v>44.1</v>
      </c>
      <c r="C58" s="25">
        <f>Table1346811121415161718192022252627[[#This Row],[PMI]]-B57</f>
        <v/>
      </c>
    </row>
    <row r="59">
      <c r="A59" s="10" t="n">
        <v>41183</v>
      </c>
      <c r="B59" s="25" t="n">
        <v>45.2</v>
      </c>
      <c r="C59" s="25">
        <f>Table1346811121415161718192022252627[[#This Row],[PMI]]-B58</f>
        <v/>
      </c>
    </row>
    <row r="60">
      <c r="A60" s="10" t="n">
        <v>41214</v>
      </c>
      <c r="B60" s="25" t="n">
        <v>43.6</v>
      </c>
      <c r="C60" s="25">
        <f>Table1346811121415161718192022252627[[#This Row],[PMI]]-B59</f>
        <v/>
      </c>
    </row>
    <row r="61">
      <c r="A61" s="10" t="n">
        <v>41244</v>
      </c>
      <c r="B61" s="25" t="n">
        <v>44.3</v>
      </c>
      <c r="C61" s="25">
        <f>Table1346811121415161718192022252627[[#This Row],[PMI]]-B60</f>
        <v/>
      </c>
    </row>
    <row r="62">
      <c r="A62" s="10" t="n">
        <v>41275</v>
      </c>
      <c r="B62" s="25" t="n">
        <v>40.2</v>
      </c>
      <c r="C62" s="25">
        <f>Table1346811121415161718192022252627[[#This Row],[PMI]]-B61</f>
        <v/>
      </c>
    </row>
    <row r="63">
      <c r="A63" s="10" t="n">
        <v>41306</v>
      </c>
      <c r="B63" s="25" t="n">
        <v>45.6</v>
      </c>
      <c r="C63" s="25">
        <f>Table1346811121415161718192022252627[[#This Row],[PMI]]-B62</f>
        <v/>
      </c>
    </row>
    <row r="64">
      <c r="A64" s="10" t="n">
        <v>41334</v>
      </c>
      <c r="B64" s="25" t="n">
        <v>44.4</v>
      </c>
      <c r="C64" s="25">
        <f>Table1346811121415161718192022252627[[#This Row],[PMI]]-B63</f>
        <v/>
      </c>
    </row>
    <row r="65">
      <c r="A65" s="10" t="n">
        <v>41365</v>
      </c>
      <c r="B65" s="25" t="n">
        <v>36.7</v>
      </c>
      <c r="C65" s="25">
        <f>Table1346811121415161718192022252627[[#This Row],[PMI]]-B64</f>
        <v/>
      </c>
    </row>
    <row r="66">
      <c r="A66" s="10" t="n">
        <v>41395</v>
      </c>
      <c r="B66" s="25" t="n">
        <v>43.8</v>
      </c>
      <c r="C66" s="25">
        <f>Table1346811121415161718192022252627[[#This Row],[PMI]]-B65</f>
        <v/>
      </c>
    </row>
    <row r="67">
      <c r="A67" s="10" t="n">
        <v>41426</v>
      </c>
      <c r="B67" s="25" t="n">
        <v>49.6</v>
      </c>
      <c r="C67" s="25">
        <f>Table1346811121415161718192022252627[[#This Row],[PMI]]-B66</f>
        <v/>
      </c>
    </row>
    <row r="68">
      <c r="A68" s="10" t="n">
        <v>41456</v>
      </c>
      <c r="B68" s="25" t="n">
        <v>42</v>
      </c>
      <c r="C68" s="25">
        <f>Table1346811121415161718192022252627[[#This Row],[PMI]]-B67</f>
        <v/>
      </c>
    </row>
    <row r="69">
      <c r="A69" s="10" t="n">
        <v>41487</v>
      </c>
      <c r="B69" s="25" t="n">
        <v>46.4</v>
      </c>
      <c r="C69" s="25">
        <f>Table1346811121415161718192022252627[[#This Row],[PMI]]-B68</f>
        <v/>
      </c>
    </row>
    <row r="70">
      <c r="A70" s="10" t="n">
        <v>41518</v>
      </c>
      <c r="B70" s="25" t="n">
        <v>51.7</v>
      </c>
      <c r="C70" s="25">
        <f>Table1346811121415161718192022252627[[#This Row],[PMI]]-B69</f>
        <v/>
      </c>
    </row>
    <row r="71">
      <c r="A71" s="10" t="n">
        <v>41548</v>
      </c>
      <c r="B71" s="25" t="n">
        <v>53.2</v>
      </c>
      <c r="C71" s="25">
        <f>Table1346811121415161718192022252627[[#This Row],[PMI]]-B70</f>
        <v/>
      </c>
    </row>
    <row r="72">
      <c r="A72" s="10" t="n">
        <v>41579</v>
      </c>
      <c r="B72" s="25" t="n">
        <v>47.7</v>
      </c>
      <c r="C72" s="25">
        <f>Table1346811121415161718192022252627[[#This Row],[PMI]]-B71</f>
        <v/>
      </c>
    </row>
    <row r="73">
      <c r="A73" s="10" t="n">
        <v>41609</v>
      </c>
      <c r="B73" s="25" t="n">
        <v>47.6</v>
      </c>
      <c r="C73" s="25">
        <f>Table1346811121415161718192022252627[[#This Row],[PMI]]-B72</f>
        <v/>
      </c>
    </row>
    <row r="74">
      <c r="A74" s="10" t="n">
        <v>41640</v>
      </c>
      <c r="B74" s="25" t="n">
        <v>46.7</v>
      </c>
      <c r="C74" s="25">
        <f>Table1346811121415161718192022252627[[#This Row],[PMI]]-B73</f>
        <v/>
      </c>
    </row>
    <row r="75">
      <c r="A75" s="10" t="n">
        <v>41671</v>
      </c>
      <c r="B75" s="25" t="n">
        <v>48.6</v>
      </c>
      <c r="C75" s="25">
        <f>Table1346811121415161718192022252627[[#This Row],[PMI]]-B74</f>
        <v/>
      </c>
    </row>
    <row r="76">
      <c r="A76" s="10" t="n">
        <v>41699</v>
      </c>
      <c r="B76" s="25" t="n">
        <v>49.7</v>
      </c>
      <c r="C76" s="25">
        <f>Table1346811121415161718192022252627[[#This Row],[PMI]]-B75</f>
        <v/>
      </c>
    </row>
    <row r="77">
      <c r="A77" s="10" t="n">
        <v>41730</v>
      </c>
      <c r="B77" s="25" t="n">
        <v>44.8</v>
      </c>
      <c r="C77" s="25">
        <f>Table1346811121415161718192022252627[[#This Row],[PMI]]-B76</f>
        <v/>
      </c>
    </row>
    <row r="78">
      <c r="A78" s="10" t="n">
        <v>41760</v>
      </c>
      <c r="B78" s="25" t="n">
        <v>49.2</v>
      </c>
      <c r="C78" s="25">
        <f>Table1346811121415161718192022252627[[#This Row],[PMI]]-B77</f>
        <v/>
      </c>
    </row>
    <row r="79">
      <c r="A79" s="10" t="n">
        <v>41791</v>
      </c>
      <c r="B79" s="25" t="n">
        <v>48.9</v>
      </c>
      <c r="C79" s="25">
        <f>Table1346811121415161718192022252627[[#This Row],[PMI]]-B78</f>
        <v/>
      </c>
    </row>
    <row r="80">
      <c r="A80" s="10" t="n">
        <v>41821</v>
      </c>
      <c r="B80" s="25" t="n">
        <v>50.7</v>
      </c>
      <c r="C80" s="25">
        <f>Table1346811121415161718192022252627[[#This Row],[PMI]]-B79</f>
        <v/>
      </c>
    </row>
    <row r="81">
      <c r="A81" s="10" t="n">
        <v>41852</v>
      </c>
      <c r="B81" s="25" t="n">
        <v>47.3</v>
      </c>
      <c r="C81" s="25">
        <f>Table1346811121415161718192022252627[[#This Row],[PMI]]-B80</f>
        <v/>
      </c>
    </row>
    <row r="82">
      <c r="A82" s="10" t="n">
        <v>41883</v>
      </c>
      <c r="B82" s="25" t="n">
        <v>46.5</v>
      </c>
      <c r="C82" s="25">
        <f>Table1346811121415161718192022252627[[#This Row],[PMI]]-B81</f>
        <v/>
      </c>
    </row>
    <row r="83">
      <c r="A83" s="10" t="n">
        <v>41913</v>
      </c>
      <c r="B83" s="25" t="n">
        <v>49.42</v>
      </c>
      <c r="C83" s="25">
        <f>Table1346811121415161718192022252627[[#This Row],[PMI]]-B82</f>
        <v/>
      </c>
    </row>
    <row r="84">
      <c r="A84" s="10" t="n">
        <v>41944</v>
      </c>
      <c r="B84" s="25" t="n">
        <v>50.1</v>
      </c>
      <c r="C84" s="25">
        <f>Table1346811121415161718192022252627[[#This Row],[PMI]]-B83</f>
        <v/>
      </c>
    </row>
    <row r="85">
      <c r="A85" s="10" t="n">
        <v>41974</v>
      </c>
      <c r="B85" s="25" t="n">
        <v>46.9</v>
      </c>
      <c r="C85" s="25">
        <f>Table1346811121415161718192022252627[[#This Row],[PMI]]-B84</f>
        <v/>
      </c>
    </row>
    <row r="86">
      <c r="A86" s="10" t="n">
        <v>42005</v>
      </c>
      <c r="B86" s="25" t="n">
        <v>49</v>
      </c>
      <c r="C86" s="25">
        <f>Table1346811121415161718192022252627[[#This Row],[PMI]]-B85</f>
        <v/>
      </c>
    </row>
    <row r="87">
      <c r="A87" s="10" t="n">
        <v>42036</v>
      </c>
      <c r="B87" s="25" t="n">
        <v>45.4</v>
      </c>
      <c r="C87" s="25">
        <f>Table1346811121415161718192022252627[[#This Row],[PMI]]-B86</f>
        <v/>
      </c>
    </row>
    <row r="88">
      <c r="A88" s="10" t="n">
        <v>42064</v>
      </c>
      <c r="B88" s="25" t="n">
        <v>46.3</v>
      </c>
      <c r="C88" s="25">
        <f>Table1346811121415161718192022252627[[#This Row],[PMI]]-B87</f>
        <v/>
      </c>
    </row>
    <row r="89">
      <c r="A89" s="10" t="n">
        <v>42095</v>
      </c>
      <c r="B89" s="25" t="n">
        <v>48</v>
      </c>
      <c r="C89" s="25">
        <f>Table1346811121415161718192022252627[[#This Row],[PMI]]-B88</f>
        <v/>
      </c>
    </row>
    <row r="90">
      <c r="A90" s="10" t="n">
        <v>42125</v>
      </c>
      <c r="B90" s="25" t="n">
        <v>52.29</v>
      </c>
      <c r="C90" s="25">
        <f>Table1346811121415161718192022252627[[#This Row],[PMI]]-B89</f>
        <v/>
      </c>
    </row>
    <row r="91">
      <c r="A91" s="10" t="n">
        <v>42156</v>
      </c>
      <c r="B91" s="25" t="n">
        <v>44.2</v>
      </c>
      <c r="C91" s="25">
        <f>Table1346811121415161718192022252627[[#This Row],[PMI]]-B90</f>
        <v/>
      </c>
    </row>
    <row r="92">
      <c r="A92" s="10" t="n">
        <v>42186</v>
      </c>
      <c r="B92" s="25" t="n">
        <v>50.4</v>
      </c>
      <c r="C92" s="25">
        <f>Table1346811121415161718192022252627[[#This Row],[PMI]]-B91</f>
        <v/>
      </c>
    </row>
    <row r="93">
      <c r="A93" s="10" t="n">
        <v>42217</v>
      </c>
      <c r="B93" s="25" t="n">
        <v>51.7</v>
      </c>
      <c r="C93" s="25">
        <f>Table1346811121415161718192022252627[[#This Row],[PMI]]-B92</f>
        <v/>
      </c>
    </row>
    <row r="94">
      <c r="A94" s="10" t="n">
        <v>42248</v>
      </c>
      <c r="B94" s="25" t="n">
        <v>52.1</v>
      </c>
      <c r="C94" s="25">
        <f>Table1346811121415161718192022252627[[#This Row],[PMI]]-B93</f>
        <v/>
      </c>
    </row>
    <row r="95">
      <c r="A95" s="10" t="n">
        <v>42278</v>
      </c>
      <c r="B95" s="25" t="n">
        <v>50.2</v>
      </c>
      <c r="C95" s="25">
        <f>Table1346811121415161718192022252627[[#This Row],[PMI]]-B94</f>
        <v/>
      </c>
    </row>
    <row r="96">
      <c r="A96" s="10" t="n">
        <v>42309</v>
      </c>
      <c r="B96" s="25" t="n">
        <v>52.5</v>
      </c>
      <c r="C96" s="25">
        <f>Table1346811121415161718192022252627[[#This Row],[PMI]]-B95</f>
        <v/>
      </c>
    </row>
    <row r="97">
      <c r="A97" s="10" t="n">
        <v>42339</v>
      </c>
      <c r="B97" s="25" t="n">
        <v>51.9</v>
      </c>
      <c r="C97" s="25">
        <f>Table1346811121415161718192022252627[[#This Row],[PMI]]-B96</f>
        <v/>
      </c>
    </row>
    <row r="98">
      <c r="A98" s="10" t="n">
        <v>42370</v>
      </c>
      <c r="B98" s="25" t="n">
        <v>51.5</v>
      </c>
      <c r="C98" s="25">
        <f>Table1346811121415161718192022252627[[#This Row],[PMI]]-B97</f>
        <v/>
      </c>
    </row>
    <row r="99">
      <c r="A99" s="10" t="n">
        <v>42401</v>
      </c>
      <c r="B99" s="25" t="n">
        <v>53.5</v>
      </c>
      <c r="C99" s="25">
        <f>Table1346811121415161718192022252627[[#This Row],[PMI]]-B98</f>
        <v/>
      </c>
    </row>
    <row r="100">
      <c r="A100" s="10" t="n">
        <v>42430</v>
      </c>
      <c r="B100" s="25" t="n">
        <v>58.1</v>
      </c>
      <c r="C100" s="25">
        <f>Table1346811121415161718192022252627[[#This Row],[PMI]]-B99</f>
        <v/>
      </c>
    </row>
    <row r="101">
      <c r="A101" s="10" t="n">
        <v>42461</v>
      </c>
      <c r="B101" s="25" t="n">
        <v>53.4</v>
      </c>
      <c r="C101" s="25">
        <f>Table1346811121415161718192022252627[[#This Row],[PMI]]-B100</f>
        <v/>
      </c>
    </row>
    <row r="102">
      <c r="A102" s="10" t="n">
        <v>42491</v>
      </c>
      <c r="B102" s="25" t="n">
        <v>51</v>
      </c>
      <c r="C102" s="25">
        <f>Table1346811121415161718192022252627[[#This Row],[PMI]]-B101</f>
        <v/>
      </c>
    </row>
    <row r="103">
      <c r="A103" s="10" t="n">
        <v>42522</v>
      </c>
      <c r="B103" s="25" t="n">
        <v>51.8</v>
      </c>
      <c r="C103" s="25">
        <f>Table1346811121415161718192022252627[[#This Row],[PMI]]-B102</f>
        <v/>
      </c>
    </row>
    <row r="104">
      <c r="A104" s="10" t="n">
        <v>42552</v>
      </c>
      <c r="B104" s="25" t="n">
        <v>56.4</v>
      </c>
      <c r="C104" s="25">
        <f>Table1346811121415161718192022252627[[#This Row],[PMI]]-B103</f>
        <v/>
      </c>
    </row>
    <row r="105">
      <c r="A105" s="10" t="n">
        <v>42583</v>
      </c>
      <c r="B105" s="25" t="n">
        <v>46.9</v>
      </c>
      <c r="C105" s="25">
        <f>Table1346811121415161718192022252627[[#This Row],[PMI]]-B104</f>
        <v/>
      </c>
    </row>
    <row r="106">
      <c r="A106" s="10" t="n">
        <v>42614</v>
      </c>
      <c r="B106" s="25" t="n">
        <v>49.8</v>
      </c>
      <c r="C106" s="25">
        <f>Table1346811121415161718192022252627[[#This Row],[PMI]]-B105</f>
        <v/>
      </c>
    </row>
    <row r="107">
      <c r="A107" s="10" t="n">
        <v>42644</v>
      </c>
      <c r="B107" s="25" t="n">
        <v>50.9</v>
      </c>
      <c r="C107" s="25">
        <f>Table1346811121415161718192022252627[[#This Row],[PMI]]-B106</f>
        <v/>
      </c>
    </row>
    <row r="108">
      <c r="A108" s="10" t="n">
        <v>42675</v>
      </c>
      <c r="B108" s="25" t="n">
        <v>54.2</v>
      </c>
      <c r="C108" s="25">
        <f>Table1346811121415161718192022252627[[#This Row],[PMI]]-B107</f>
        <v/>
      </c>
    </row>
    <row r="109">
      <c r="A109" s="10" t="n">
        <v>42705</v>
      </c>
      <c r="B109" s="25" t="n">
        <v>55.4</v>
      </c>
      <c r="C109" s="25">
        <f>Table1346811121415161718192022252627[[#This Row],[PMI]]-B108</f>
        <v/>
      </c>
    </row>
    <row r="110">
      <c r="A110" s="10" t="n">
        <v>42736</v>
      </c>
      <c r="B110" s="25" t="n">
        <v>51.2</v>
      </c>
      <c r="C110" s="25">
        <f>Table1346811121415161718192022252627[[#This Row],[PMI]]-B109</f>
        <v/>
      </c>
    </row>
    <row r="111">
      <c r="A111" s="10" t="n">
        <v>42767</v>
      </c>
      <c r="B111" s="25" t="n">
        <v>59.3</v>
      </c>
      <c r="C111" s="25">
        <f>Table1346811121415161718192022252627[[#This Row],[PMI]]-B110</f>
        <v/>
      </c>
    </row>
    <row r="112">
      <c r="A112" s="10" t="n">
        <v>42795</v>
      </c>
      <c r="B112" s="25" t="n">
        <v>57.5</v>
      </c>
      <c r="C112" s="25">
        <f>Table1346811121415161718192022252627[[#This Row],[PMI]]-B111</f>
        <v/>
      </c>
    </row>
    <row r="113">
      <c r="A113" s="10" t="n">
        <v>42826</v>
      </c>
      <c r="B113" s="25" t="n">
        <v>59.2</v>
      </c>
      <c r="C113" s="25">
        <f>Table1346811121415161718192022252627[[#This Row],[PMI]]-B112</f>
        <v/>
      </c>
    </row>
    <row r="114">
      <c r="A114" s="10" t="n">
        <v>42856</v>
      </c>
      <c r="B114" s="25" t="n">
        <v>54.8</v>
      </c>
      <c r="C114" s="25">
        <f>Table1346811121415161718192022252627[[#This Row],[PMI]]-B113</f>
        <v/>
      </c>
    </row>
    <row r="115">
      <c r="A115" s="10" t="n">
        <v>42887</v>
      </c>
      <c r="B115" s="25" t="n">
        <v>55</v>
      </c>
      <c r="C115" s="25">
        <f>Table1346811121415161718192022252627[[#This Row],[PMI]]-B114</f>
        <v/>
      </c>
    </row>
    <row r="116">
      <c r="A116" s="10" t="n">
        <v>42917</v>
      </c>
      <c r="B116" s="25" t="n">
        <v>56</v>
      </c>
      <c r="C116" s="25">
        <f>Table1346811121415161718192022252627[[#This Row],[PMI]]-B115</f>
        <v/>
      </c>
    </row>
    <row r="117">
      <c r="A117" s="10" t="n">
        <v>42948</v>
      </c>
      <c r="B117" s="25" t="n">
        <v>59.8</v>
      </c>
      <c r="C117" s="25">
        <f>Table1346811121415161718192022252627[[#This Row],[PMI]]-B116</f>
        <v/>
      </c>
    </row>
    <row r="118">
      <c r="A118" s="10" t="n">
        <v>42979</v>
      </c>
      <c r="B118" s="25" t="n">
        <v>54.2</v>
      </c>
      <c r="C118" s="25">
        <f>Table1346811121415161718192022252627[[#This Row],[PMI]]-B117</f>
        <v/>
      </c>
    </row>
    <row r="119">
      <c r="A119" s="10" t="n">
        <v>43009</v>
      </c>
      <c r="B119" s="25" t="n">
        <v>51.1</v>
      </c>
      <c r="C119" s="25">
        <f>Table1346811121415161718192022252627[[#This Row],[PMI]]-B118</f>
        <v/>
      </c>
    </row>
    <row r="120">
      <c r="A120" s="10" t="n">
        <v>43040</v>
      </c>
      <c r="B120" s="25" t="n">
        <v>57.3</v>
      </c>
      <c r="C120" s="25">
        <f>Table1346811121415161718192022252627[[#This Row],[PMI]]-B119</f>
        <v/>
      </c>
    </row>
    <row r="121">
      <c r="A121" s="10" t="n">
        <v>43070</v>
      </c>
      <c r="B121" s="25" t="n">
        <v>56.2</v>
      </c>
      <c r="C121" s="25">
        <f>Table1346811121415161718192022252627[[#This Row],[PMI]]-B120</f>
        <v/>
      </c>
    </row>
    <row r="122">
      <c r="A122" s="10" t="n">
        <v>43101</v>
      </c>
      <c r="B122" s="25" t="n">
        <v>58.7</v>
      </c>
      <c r="C122" s="25">
        <f>Table1346811121415161718192022252627[[#This Row],[PMI]]-B121</f>
        <v/>
      </c>
    </row>
    <row r="123">
      <c r="A123" s="10" t="n">
        <v>43132</v>
      </c>
      <c r="B123" s="25" t="n">
        <v>57.5</v>
      </c>
      <c r="C123" s="25">
        <f>Table1346811121415161718192022252627[[#This Row],[PMI]]-B122</f>
        <v/>
      </c>
    </row>
    <row r="124">
      <c r="A124" s="10" t="n">
        <v>43160</v>
      </c>
      <c r="B124" s="25" t="n">
        <v>63.1</v>
      </c>
      <c r="C124" s="25">
        <f>Table1346811121415161718192022252627[[#This Row],[PMI]]-B123</f>
        <v/>
      </c>
    </row>
    <row r="125">
      <c r="A125" s="10" t="n">
        <v>43191</v>
      </c>
      <c r="B125" s="25" t="n">
        <v>58.3</v>
      </c>
      <c r="C125" s="25">
        <f>Table1346811121415161718192022252627[[#This Row],[PMI]]-B124</f>
        <v/>
      </c>
    </row>
    <row r="126">
      <c r="A126" s="10" t="n">
        <v>43221</v>
      </c>
      <c r="B126" s="25" t="n">
        <v>57.5</v>
      </c>
      <c r="C126" s="25">
        <f>Table1346811121415161718192022252627[[#This Row],[PMI]]-B125</f>
        <v/>
      </c>
    </row>
    <row r="127">
      <c r="A127" s="10" t="n">
        <v>43252</v>
      </c>
      <c r="B127" s="25" t="n">
        <v>57.4</v>
      </c>
      <c r="C127" s="25">
        <f>Table1346811121415161718192022252627[[#This Row],[PMI]]-B126</f>
        <v/>
      </c>
    </row>
    <row r="128">
      <c r="A128" s="10" t="n">
        <v>43282</v>
      </c>
      <c r="B128" s="25" t="n">
        <v>52</v>
      </c>
      <c r="C128" s="25">
        <f>Table1346811121415161718192022252627[[#This Row],[PMI]]-B127</f>
        <v/>
      </c>
    </row>
    <row r="129">
      <c r="A129" s="10" t="n">
        <v>43313</v>
      </c>
      <c r="B129" s="25" t="n">
        <v>56.7</v>
      </c>
      <c r="C129" s="25">
        <f>Table1346811121415161718192022252627[[#This Row],[PMI]]-B128</f>
        <v/>
      </c>
    </row>
    <row r="130">
      <c r="A130" s="10" t="n">
        <v>43344</v>
      </c>
      <c r="B130" s="25" t="n">
        <v>59</v>
      </c>
      <c r="C130" s="25">
        <f>Table1346811121415161718192022252627[[#This Row],[PMI]]-B129</f>
        <v/>
      </c>
    </row>
    <row r="131">
      <c r="A131" s="10" t="n">
        <v>43374</v>
      </c>
      <c r="B131" s="25" t="n">
        <v>58.3</v>
      </c>
      <c r="C131" s="25">
        <f>Table1346811121415161718192022252627[[#This Row],[PMI]]-B130</f>
        <v/>
      </c>
    </row>
    <row r="132">
      <c r="A132" s="10" t="n">
        <v>43405</v>
      </c>
      <c r="B132" s="25" t="n">
        <v>51.3</v>
      </c>
      <c r="C132" s="25">
        <f>Table1346811121415161718192022252627[[#This Row],[PMI]]-B131</f>
        <v/>
      </c>
    </row>
    <row r="133">
      <c r="A133" s="10" t="n">
        <v>43435</v>
      </c>
      <c r="B133" s="25" t="n">
        <v>49.5</v>
      </c>
      <c r="C133" s="25">
        <f>Table1346811121415161718192022252627[[#This Row],[PMI]]-B132</f>
        <v/>
      </c>
    </row>
    <row r="134">
      <c r="A134" s="10" t="n">
        <v>43466</v>
      </c>
      <c r="B134" s="25" t="n">
        <v>52.5</v>
      </c>
      <c r="C134" s="25">
        <f>Table1346811121415161718192022252627[[#This Row],[PMI]]-B133</f>
        <v/>
      </c>
    </row>
    <row r="135">
      <c r="A135" s="10" t="n">
        <v>43497</v>
      </c>
      <c r="B135" s="25" t="n">
        <v>54</v>
      </c>
      <c r="C135" s="25">
        <f>Table1346811121415161718192022252627[[#This Row],[PMI]]-B134</f>
        <v/>
      </c>
    </row>
    <row r="136">
      <c r="A136" s="10" t="n">
        <v>43525</v>
      </c>
      <c r="B136" s="25" t="n">
        <v>51</v>
      </c>
      <c r="C136" s="25">
        <f>Table1346811121415161718192022252627[[#This Row],[PMI]]-B135</f>
        <v/>
      </c>
    </row>
    <row r="137">
      <c r="A137" s="10" t="n">
        <v>43556</v>
      </c>
      <c r="B137" s="25" t="n">
        <v>54.8</v>
      </c>
      <c r="C137" s="25">
        <f>Table1346811121415161718192022252627[[#This Row],[PMI]]-B136</f>
        <v/>
      </c>
    </row>
    <row r="138">
      <c r="A138" s="10" t="n">
        <v>43586</v>
      </c>
      <c r="B138" s="25" t="n">
        <v>52.7</v>
      </c>
      <c r="C138" s="25">
        <f>Table1346811121415161718192022252627[[#This Row],[PMI]]-B137</f>
        <v/>
      </c>
    </row>
    <row r="139">
      <c r="A139" s="10" t="n">
        <v>43617</v>
      </c>
      <c r="B139" s="25" t="n">
        <v>49.4</v>
      </c>
      <c r="C139" s="25">
        <f>Table1346811121415161718192022252627[[#This Row],[PMI]]-B138</f>
        <v/>
      </c>
    </row>
    <row r="140">
      <c r="A140" s="10" t="n">
        <v>43647</v>
      </c>
      <c r="B140" s="25" t="n">
        <v>51.3</v>
      </c>
      <c r="C140" s="25">
        <f>Table1346811121415161718192022252627[[#This Row],[PMI]]-B139</f>
        <v/>
      </c>
    </row>
    <row r="141">
      <c r="A141" s="10" t="n">
        <v>43678</v>
      </c>
      <c r="B141" s="25" t="n">
        <v>53.1</v>
      </c>
      <c r="C141" s="25">
        <f>Table1346811121415161718192022252627[[#This Row],[PMI]]-B140</f>
        <v/>
      </c>
    </row>
    <row r="142">
      <c r="A142" s="10" t="n">
        <v>43709</v>
      </c>
      <c r="B142" s="25" t="n">
        <v>54.7</v>
      </c>
      <c r="C142" s="25">
        <f>Table1346811121415161718192022252627[[#This Row],[PMI]]-B141</f>
        <v/>
      </c>
    </row>
    <row r="143">
      <c r="A143" s="10" t="n">
        <v>43739</v>
      </c>
      <c r="B143" s="25" t="n">
        <v>51.6</v>
      </c>
      <c r="C143" s="25">
        <f>Table1346811121415161718192022252627[[#This Row],[PMI]]-B142</f>
        <v/>
      </c>
    </row>
    <row r="144">
      <c r="A144" s="10" t="n">
        <v>43770</v>
      </c>
      <c r="B144" s="25" t="n">
        <v>48.1</v>
      </c>
      <c r="C144" s="25">
        <f>Table1346811121415161718192022252627[[#This Row],[PMI]]-B143</f>
        <v/>
      </c>
    </row>
    <row r="145">
      <c r="A145" s="10" t="n">
        <v>43800</v>
      </c>
      <c r="B145" s="25" t="n">
        <v>48.3</v>
      </c>
      <c r="C145" s="25">
        <f>Table1346811121415161718192022252627[[#This Row],[PMI]]-B144</f>
        <v/>
      </c>
    </row>
    <row r="146">
      <c r="A146" s="10" t="n">
        <v>43831</v>
      </c>
      <c r="B146" s="25" t="n">
        <v>45.4</v>
      </c>
      <c r="C146" s="25">
        <f>Table1346811121415161718192022252627[[#This Row],[PMI]]-B145</f>
        <v/>
      </c>
    </row>
    <row r="147">
      <c r="A147" s="10" t="n">
        <v>43862</v>
      </c>
      <c r="B147" s="25" t="n">
        <v>44.3</v>
      </c>
      <c r="C147" s="25">
        <f>Table1346811121415161718192022252627[[#This Row],[PMI]]-B146</f>
        <v/>
      </c>
    </row>
    <row r="148">
      <c r="A148" s="10" t="n">
        <v>43891</v>
      </c>
      <c r="B148" s="25" t="n">
        <v>53.7</v>
      </c>
      <c r="C148" s="25">
        <f>Table1346811121415161718192022252627[[#This Row],[PMI]]-B147</f>
        <v/>
      </c>
    </row>
    <row r="149">
      <c r="A149" s="10" t="n">
        <v>43922</v>
      </c>
      <c r="B149" s="25" t="n">
        <v>35.8</v>
      </c>
      <c r="C149" s="25">
        <f>Table1346811121415161718192022252627[[#This Row],[PMI]]-B148</f>
        <v/>
      </c>
    </row>
    <row r="150">
      <c r="A150" s="10" t="n">
        <v>43952</v>
      </c>
      <c r="B150" s="25" t="n">
        <v>41.6</v>
      </c>
      <c r="C150" s="25">
        <f>Table1346811121415161718192022252627[[#This Row],[PMI]]-B149</f>
        <v/>
      </c>
    </row>
    <row r="151">
      <c r="A151" s="10" t="n">
        <v>43983</v>
      </c>
      <c r="B151" s="25" t="n">
        <v>51.5</v>
      </c>
      <c r="C151" s="25">
        <f>Table1346811121415161718192022252627[[#This Row],[PMI]]-B150</f>
        <v/>
      </c>
    </row>
    <row r="152">
      <c r="A152" s="10" t="n">
        <v>44013</v>
      </c>
      <c r="B152" s="25" t="n">
        <v>53.5</v>
      </c>
      <c r="C152" s="25">
        <f>Table1346811121415161718192022252627[[#This Row],[PMI]]-B151</f>
        <v/>
      </c>
    </row>
    <row r="153">
      <c r="A153" s="10" t="n">
        <v>44044</v>
      </c>
      <c r="B153" s="25" t="n">
        <v>49.3</v>
      </c>
      <c r="C153" s="25">
        <f>Table1346811121415161718192022252627[[#This Row],[PMI]]-B152</f>
        <v/>
      </c>
    </row>
    <row r="154">
      <c r="A154" s="10" t="n">
        <v>44075</v>
      </c>
      <c r="B154" s="25" t="n">
        <v>46.7</v>
      </c>
      <c r="C154" s="25">
        <f>Table1346811121415161718192022252627[[#This Row],[PMI]]-B153</f>
        <v/>
      </c>
    </row>
    <row r="155">
      <c r="A155" s="10" t="n">
        <v>44105</v>
      </c>
      <c r="B155" s="25" t="n">
        <v>56.3</v>
      </c>
      <c r="C155" s="25">
        <f>Table1346811121415161718192022252627[[#This Row],[PMI]]-B154</f>
        <v/>
      </c>
    </row>
    <row r="156">
      <c r="A156" s="10" t="n">
        <v>44136</v>
      </c>
      <c r="B156" s="25" t="n">
        <v>52.1</v>
      </c>
      <c r="C156" s="25">
        <f>Table1346811121415161718192022252627[[#This Row],[PMI]]-B155</f>
        <v/>
      </c>
    </row>
    <row r="157">
      <c r="A157" s="10" t="n">
        <v>44166</v>
      </c>
      <c r="B157" s="25" t="n">
        <v>55.3</v>
      </c>
      <c r="C157" s="25">
        <f>Table1346811121415161718192022252627[[#This Row],[PMI]]-B156</f>
        <v/>
      </c>
    </row>
    <row r="158">
      <c r="A158" s="10" t="n">
        <v>44197</v>
      </c>
      <c r="B158" s="25" t="n">
        <v>55.3</v>
      </c>
      <c r="C158" s="25">
        <f>Table1346811121415161718192022252627[[#This Row],[PMI]]-B157</f>
        <v/>
      </c>
    </row>
    <row r="159">
      <c r="A159" s="10" t="n">
        <v>44228</v>
      </c>
      <c r="B159" s="25" t="n">
        <v>58.8</v>
      </c>
      <c r="C159" s="25">
        <f>Table1346811121415161718192022252627[[#This Row],[PMI]]-B158</f>
        <v/>
      </c>
    </row>
    <row r="160">
      <c r="A160" s="10" t="n">
        <v>44256</v>
      </c>
      <c r="B160" s="25" t="n">
        <v>59.9</v>
      </c>
      <c r="C160" s="25">
        <f>Table1346811121415161718192022252627[[#This Row],[PMI]]-B159</f>
        <v/>
      </c>
    </row>
    <row r="161">
      <c r="A161" s="10" t="n">
        <v>44287</v>
      </c>
      <c r="B161" s="25" t="n">
        <v>61.7</v>
      </c>
      <c r="C161" s="25">
        <f>Table1346811121415161718192022252627[[#This Row],[PMI]]-B160</f>
        <v/>
      </c>
    </row>
    <row r="162">
      <c r="A162" s="10" t="n">
        <v>44317</v>
      </c>
      <c r="B162" s="25" t="n">
        <v>61.8</v>
      </c>
      <c r="C162" s="25">
        <f>Table1346811121415161718192022252627[[#This Row],[PMI]]-B161</f>
        <v/>
      </c>
    </row>
    <row r="163">
      <c r="A163" s="10" t="n">
        <v>44348</v>
      </c>
      <c r="B163" s="25" t="n">
        <v>63.2</v>
      </c>
      <c r="C163" s="25">
        <f>Table1346811121415161718192022252627[[#This Row],[PMI]]-B162</f>
        <v/>
      </c>
    </row>
    <row r="164">
      <c r="A164" s="10" t="n">
        <v>44378</v>
      </c>
      <c r="B164" s="25" t="n">
        <v>60.8</v>
      </c>
      <c r="C164" s="25">
        <f>Table1346811121415161718192022252627[[#This Row],[PMI]]-B163</f>
        <v/>
      </c>
    </row>
    <row r="165">
      <c r="A165" s="10" t="n">
        <v>44409</v>
      </c>
      <c r="B165" s="25" t="n">
        <v>51.6</v>
      </c>
      <c r="C165" s="25">
        <f>Table1346811121415161718192022252627[[#This Row],[PMI]]-B164</f>
        <v/>
      </c>
    </row>
    <row r="166">
      <c r="A166" s="10" t="n">
        <v>44440</v>
      </c>
      <c r="B166" s="25" t="n">
        <v>51.2</v>
      </c>
      <c r="C166" s="25">
        <f>Table1346811121415161718192022252627[[#This Row],[PMI]]-B165</f>
        <v/>
      </c>
    </row>
    <row r="167">
      <c r="A167" s="10" t="n">
        <v>44470</v>
      </c>
      <c r="B167" s="25" t="n">
        <v>50.4</v>
      </c>
      <c r="C167" s="25">
        <f>Table1346811121415161718192022252627[[#This Row],[PMI]]-B166</f>
        <v/>
      </c>
    </row>
    <row r="168">
      <c r="A168" s="10" t="n">
        <v>44501</v>
      </c>
      <c r="B168" s="25" t="n">
        <v>54.8</v>
      </c>
      <c r="C168" s="25">
        <f>Table1346811121415161718192022252627[[#This Row],[PMI]]-B167</f>
        <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4"/>
  <sheetViews>
    <sheetView zoomScale="170" zoomScaleNormal="170" workbookViewId="0">
      <pane ySplit="5" topLeftCell="A100" activePane="bottomLeft" state="frozen"/>
      <selection pane="bottomLeft" activeCell="P109" sqref="P109"/>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Indonesia</t>
        </is>
      </c>
      <c r="K1" s="84" t="inlineStr">
        <is>
          <t xml:space="preserve"> Manufacturing PMI</t>
        </is>
      </c>
    </row>
    <row r="2">
      <c r="A2" s="84" t="inlineStr">
        <is>
          <t>indonesia</t>
        </is>
      </c>
      <c r="K2" s="84">
        <f>A1&amp;K1</f>
        <v/>
      </c>
    </row>
    <row r="4" ht="16" customHeight="1" s="76" thickBot="1"/>
    <row r="5" ht="16" customHeight="1" s="76" thickBot="1">
      <c r="A5" s="22" t="inlineStr">
        <is>
          <t>Date</t>
        </is>
      </c>
      <c r="B5" s="23" t="inlineStr">
        <is>
          <t>PMI</t>
        </is>
      </c>
      <c r="C5" s="23" t="inlineStr">
        <is>
          <t>mom</t>
        </is>
      </c>
    </row>
    <row r="6">
      <c r="A6" s="18" t="n">
        <v>40634</v>
      </c>
      <c r="B6" s="19" t="n">
        <v>48.1</v>
      </c>
      <c r="C6" s="19" t="n"/>
    </row>
    <row r="7">
      <c r="A7" s="10" t="n">
        <v>40664</v>
      </c>
      <c r="B7" s="25" t="n">
        <v>48</v>
      </c>
      <c r="C7" s="25">
        <f>Table13468111214151617181920222530[[#This Row],[PMI]]-B6</f>
        <v/>
      </c>
    </row>
    <row r="8">
      <c r="A8" s="10" t="n">
        <v>40695</v>
      </c>
      <c r="B8" s="25" t="n">
        <v>50.5</v>
      </c>
      <c r="C8" s="25">
        <f>Table13468111214151617181920222530[[#This Row],[PMI]]-B7</f>
        <v/>
      </c>
    </row>
    <row r="9">
      <c r="A9" s="10" t="n">
        <v>40725</v>
      </c>
      <c r="B9" s="25" t="n">
        <v>51</v>
      </c>
      <c r="C9" s="25">
        <f>Table13468111214151617181920222530[[#This Row],[PMI]]-B8</f>
        <v/>
      </c>
    </row>
    <row r="10">
      <c r="A10" s="10" t="n">
        <v>40756</v>
      </c>
      <c r="B10" s="25" t="n">
        <v>50.9</v>
      </c>
      <c r="C10" s="25">
        <f>Table13468111214151617181920222530[[#This Row],[PMI]]-B9</f>
        <v/>
      </c>
    </row>
    <row r="11">
      <c r="A11" s="10" t="n">
        <v>40787</v>
      </c>
      <c r="B11" s="25" t="n">
        <v>49.8</v>
      </c>
      <c r="C11" s="25">
        <f>Table13468111214151617181920222530[[#This Row],[PMI]]-B10</f>
        <v/>
      </c>
    </row>
    <row r="12">
      <c r="A12" s="10" t="n">
        <v>40817</v>
      </c>
      <c r="B12" s="25" t="n">
        <v>51.3</v>
      </c>
      <c r="C12" s="25">
        <f>Table13468111214151617181920222530[[#This Row],[PMI]]-B11</f>
        <v/>
      </c>
    </row>
    <row r="13">
      <c r="A13" s="10" t="n">
        <v>40848</v>
      </c>
      <c r="B13" s="25" t="n">
        <v>50.1</v>
      </c>
      <c r="C13" s="25">
        <f>Table13468111214151617181920222530[[#This Row],[PMI]]-B12</f>
        <v/>
      </c>
    </row>
    <row r="14">
      <c r="A14" s="10" t="n">
        <v>40878</v>
      </c>
      <c r="B14" s="25" t="n">
        <v>48.1</v>
      </c>
      <c r="C14" s="25">
        <f>Table13468111214151617181920222530[[#This Row],[PMI]]-B13</f>
        <v/>
      </c>
    </row>
    <row r="15">
      <c r="A15" s="10" t="n">
        <v>40909</v>
      </c>
      <c r="B15" s="25" t="n">
        <v>48.5</v>
      </c>
      <c r="C15" s="25">
        <f>Table13468111214151617181920222530[[#This Row],[PMI]]-B14</f>
        <v/>
      </c>
    </row>
    <row r="16">
      <c r="A16" s="10" t="n">
        <v>40940</v>
      </c>
      <c r="B16" s="25" t="n">
        <v>50.6</v>
      </c>
      <c r="C16" s="25">
        <f>Table13468111214151617181920222530[[#This Row],[PMI]]-B15</f>
        <v/>
      </c>
    </row>
    <row r="17">
      <c r="A17" s="10" t="n">
        <v>40969</v>
      </c>
      <c r="B17" s="25" t="n">
        <v>50.8</v>
      </c>
      <c r="C17" s="25">
        <f>Table13468111214151617181920222530[[#This Row],[PMI]]-B16</f>
        <v/>
      </c>
    </row>
    <row r="18">
      <c r="A18" s="10" t="n">
        <v>41000</v>
      </c>
      <c r="B18" s="25" t="n">
        <v>50.5</v>
      </c>
      <c r="C18" s="25">
        <f>Table13468111214151617181920222530[[#This Row],[PMI]]-B17</f>
        <v/>
      </c>
    </row>
    <row r="19">
      <c r="A19" s="10" t="n">
        <v>41030</v>
      </c>
      <c r="B19" s="25" t="n">
        <v>48.1</v>
      </c>
      <c r="C19" s="25">
        <f>Table13468111214151617181920222530[[#This Row],[PMI]]-B18</f>
        <v/>
      </c>
    </row>
    <row r="20">
      <c r="A20" s="10" t="n">
        <v>41061</v>
      </c>
      <c r="B20" s="25" t="n">
        <v>50.2</v>
      </c>
      <c r="C20" s="25">
        <f>Table13468111214151617181920222530[[#This Row],[PMI]]-B19</f>
        <v/>
      </c>
    </row>
    <row r="21">
      <c r="A21" s="10" t="n">
        <v>41091</v>
      </c>
      <c r="B21" s="25" t="n">
        <v>51.3</v>
      </c>
      <c r="C21" s="25">
        <f>Table13468111214151617181920222530[[#This Row],[PMI]]-B20</f>
        <v/>
      </c>
    </row>
    <row r="22">
      <c r="A22" s="10" t="n">
        <v>41122</v>
      </c>
      <c r="B22" s="25" t="n">
        <v>51.4</v>
      </c>
      <c r="C22" s="25">
        <f>Table13468111214151617181920222530[[#This Row],[PMI]]-B21</f>
        <v/>
      </c>
    </row>
    <row r="23">
      <c r="A23" s="10" t="n">
        <v>41153</v>
      </c>
      <c r="B23" s="25" t="n">
        <v>51.6</v>
      </c>
      <c r="C23" s="25">
        <f>Table13468111214151617181920222530[[#This Row],[PMI]]-B22</f>
        <v/>
      </c>
    </row>
    <row r="24">
      <c r="A24" s="10" t="n">
        <v>41183</v>
      </c>
      <c r="B24" s="25" t="n">
        <v>50.5</v>
      </c>
      <c r="C24" s="25">
        <f>Table13468111214151617181920222530[[#This Row],[PMI]]-B23</f>
        <v/>
      </c>
    </row>
    <row r="25">
      <c r="A25" s="10" t="n">
        <v>41214</v>
      </c>
      <c r="B25" s="25" t="n">
        <v>51.9</v>
      </c>
      <c r="C25" s="25">
        <f>Table13468111214151617181920222530[[#This Row],[PMI]]-B24</f>
        <v/>
      </c>
    </row>
    <row r="26">
      <c r="A26" s="10" t="n">
        <v>41244</v>
      </c>
      <c r="B26" s="25" t="n">
        <v>51.5</v>
      </c>
      <c r="C26" s="25">
        <f>Table13468111214151617181920222530[[#This Row],[PMI]]-B25</f>
        <v/>
      </c>
    </row>
    <row r="27">
      <c r="A27" s="10" t="n">
        <v>41275</v>
      </c>
      <c r="B27" s="25" t="n">
        <v>49.7</v>
      </c>
      <c r="C27" s="25">
        <f>Table13468111214151617181920222530[[#This Row],[PMI]]-B26</f>
        <v/>
      </c>
    </row>
    <row r="28">
      <c r="A28" s="10" t="n">
        <v>41306</v>
      </c>
      <c r="B28" s="25" t="n">
        <v>50.5</v>
      </c>
      <c r="C28" s="25">
        <f>Table13468111214151617181920222530[[#This Row],[PMI]]-B27</f>
        <v/>
      </c>
    </row>
    <row r="29">
      <c r="A29" s="10" t="n">
        <v>41334</v>
      </c>
      <c r="B29" s="25" t="n">
        <v>51.3</v>
      </c>
      <c r="C29" s="25">
        <f>Table13468111214151617181920222530[[#This Row],[PMI]]-B28</f>
        <v/>
      </c>
    </row>
    <row r="30">
      <c r="A30" s="10" t="n">
        <v>41365</v>
      </c>
      <c r="B30" s="25" t="n">
        <v>51.7</v>
      </c>
      <c r="C30" s="25">
        <f>Table13468111214151617181920222530[[#This Row],[PMI]]-B29</f>
        <v/>
      </c>
    </row>
    <row r="31">
      <c r="A31" s="10" t="n">
        <v>41395</v>
      </c>
      <c r="B31" s="25" t="n">
        <v>51.6</v>
      </c>
      <c r="C31" s="25">
        <f>Table13468111214151617181920222530[[#This Row],[PMI]]-B30</f>
        <v/>
      </c>
    </row>
    <row r="32">
      <c r="A32" s="10" t="n">
        <v>41426</v>
      </c>
      <c r="B32" s="25" t="n">
        <v>51</v>
      </c>
      <c r="C32" s="25">
        <f>Table13468111214151617181920222530[[#This Row],[PMI]]-B31</f>
        <v/>
      </c>
    </row>
    <row r="33">
      <c r="A33" s="10" t="n">
        <v>41456</v>
      </c>
      <c r="B33" s="25" t="n">
        <v>50.7</v>
      </c>
      <c r="C33" s="25">
        <f>Table13468111214151617181920222530[[#This Row],[PMI]]-B32</f>
        <v/>
      </c>
    </row>
    <row r="34">
      <c r="A34" s="10" t="n">
        <v>41487</v>
      </c>
      <c r="B34" s="25" t="n">
        <v>48.5</v>
      </c>
      <c r="C34" s="25">
        <f>Table13468111214151617181920222530[[#This Row],[PMI]]-B33</f>
        <v/>
      </c>
    </row>
    <row r="35">
      <c r="A35" s="10" t="n">
        <v>41518</v>
      </c>
      <c r="B35" s="25" t="n">
        <v>50.2</v>
      </c>
      <c r="C35" s="25">
        <f>Table13468111214151617181920222530[[#This Row],[PMI]]-B34</f>
        <v/>
      </c>
    </row>
    <row r="36">
      <c r="A36" s="10" t="n">
        <v>41548</v>
      </c>
      <c r="B36" s="25" t="n">
        <v>50.9</v>
      </c>
      <c r="C36" s="25">
        <f>Table13468111214151617181920222530[[#This Row],[PMI]]-B35</f>
        <v/>
      </c>
    </row>
    <row r="37">
      <c r="A37" s="10" t="n">
        <v>41579</v>
      </c>
      <c r="B37" s="25" t="n">
        <v>50.3</v>
      </c>
      <c r="C37" s="25">
        <f>Table13468111214151617181920222530[[#This Row],[PMI]]-B36</f>
        <v/>
      </c>
    </row>
    <row r="38">
      <c r="A38" s="10" t="n">
        <v>41609</v>
      </c>
      <c r="B38" s="25" t="n">
        <v>50.9</v>
      </c>
      <c r="C38" s="25">
        <f>Table13468111214151617181920222530[[#This Row],[PMI]]-B37</f>
        <v/>
      </c>
    </row>
    <row r="39">
      <c r="A39" s="10" t="n">
        <v>41640</v>
      </c>
      <c r="B39" s="25" t="n">
        <v>51</v>
      </c>
      <c r="C39" s="25">
        <f>Table13468111214151617181920222530[[#This Row],[PMI]]-B38</f>
        <v/>
      </c>
    </row>
    <row r="40">
      <c r="A40" s="10" t="n">
        <v>41671</v>
      </c>
      <c r="B40" s="25" t="n">
        <v>50.5</v>
      </c>
      <c r="C40" s="25">
        <f>Table13468111214151617181920222530[[#This Row],[PMI]]-B39</f>
        <v/>
      </c>
    </row>
    <row r="41">
      <c r="A41" s="10" t="n">
        <v>41699</v>
      </c>
      <c r="B41" s="25" t="n">
        <v>50.1</v>
      </c>
      <c r="C41" s="25">
        <f>Table13468111214151617181920222530[[#This Row],[PMI]]-B40</f>
        <v/>
      </c>
    </row>
    <row r="42">
      <c r="A42" s="10" t="n">
        <v>41730</v>
      </c>
      <c r="B42" s="25" t="n">
        <v>51.1</v>
      </c>
      <c r="C42" s="25">
        <f>Table13468111214151617181920222530[[#This Row],[PMI]]-B41</f>
        <v/>
      </c>
    </row>
    <row r="43">
      <c r="A43" s="10" t="n">
        <v>41760</v>
      </c>
      <c r="B43" s="25" t="n">
        <v>52.4</v>
      </c>
      <c r="C43" s="25">
        <f>Table13468111214151617181920222530[[#This Row],[PMI]]-B42</f>
        <v/>
      </c>
    </row>
    <row r="44">
      <c r="A44" s="10" t="n">
        <v>41791</v>
      </c>
      <c r="B44" s="25" t="n">
        <v>52.7</v>
      </c>
      <c r="C44" s="25">
        <f>Table13468111214151617181920222530[[#This Row],[PMI]]-B43</f>
        <v/>
      </c>
    </row>
    <row r="45">
      <c r="A45" s="10" t="n">
        <v>41821</v>
      </c>
      <c r="B45" s="25" t="n">
        <v>52.4</v>
      </c>
      <c r="C45" s="25">
        <f>Table13468111214151617181920222530[[#This Row],[PMI]]-B44</f>
        <v/>
      </c>
    </row>
    <row r="46">
      <c r="A46" s="10" t="n">
        <v>41852</v>
      </c>
      <c r="B46" s="25" t="n">
        <v>49.5</v>
      </c>
      <c r="C46" s="25">
        <f>Table13468111214151617181920222530[[#This Row],[PMI]]-B45</f>
        <v/>
      </c>
    </row>
    <row r="47">
      <c r="A47" s="10" t="n">
        <v>41883</v>
      </c>
      <c r="B47" s="25" t="n">
        <v>50.7</v>
      </c>
      <c r="C47" s="25">
        <f>Table13468111214151617181920222530[[#This Row],[PMI]]-B46</f>
        <v/>
      </c>
    </row>
    <row r="48">
      <c r="A48" s="10" t="n">
        <v>41913</v>
      </c>
      <c r="B48" s="25" t="n">
        <v>49.2</v>
      </c>
      <c r="C48" s="25">
        <f>Table13468111214151617181920222530[[#This Row],[PMI]]-B47</f>
        <v/>
      </c>
    </row>
    <row r="49">
      <c r="A49" s="10" t="n">
        <v>41944</v>
      </c>
      <c r="B49" s="25" t="n">
        <v>48</v>
      </c>
      <c r="C49" s="25">
        <f>Table13468111214151617181920222530[[#This Row],[PMI]]-B48</f>
        <v/>
      </c>
    </row>
    <row r="50">
      <c r="A50" s="10" t="n">
        <v>41974</v>
      </c>
      <c r="B50" s="25" t="n">
        <v>47.6</v>
      </c>
      <c r="C50" s="25">
        <f>Table13468111214151617181920222530[[#This Row],[PMI]]-B49</f>
        <v/>
      </c>
    </row>
    <row r="51">
      <c r="A51" s="10" t="n">
        <v>42005</v>
      </c>
      <c r="B51" s="25" t="n">
        <v>48.5</v>
      </c>
      <c r="C51" s="25">
        <f>Table13468111214151617181920222530[[#This Row],[PMI]]-B50</f>
        <v/>
      </c>
    </row>
    <row r="52">
      <c r="A52" s="10" t="n">
        <v>42036</v>
      </c>
      <c r="B52" s="25" t="n">
        <v>47.5</v>
      </c>
      <c r="C52" s="25">
        <f>Table13468111214151617181920222530[[#This Row],[PMI]]-B51</f>
        <v/>
      </c>
    </row>
    <row r="53">
      <c r="A53" s="10" t="n">
        <v>42064</v>
      </c>
      <c r="B53" s="25" t="n">
        <v>46.4</v>
      </c>
      <c r="C53" s="25">
        <f>Table13468111214151617181920222530[[#This Row],[PMI]]-B52</f>
        <v/>
      </c>
    </row>
    <row r="54">
      <c r="A54" s="10" t="n">
        <v>42095</v>
      </c>
      <c r="B54" s="25" t="n">
        <v>46.7</v>
      </c>
      <c r="C54" s="25">
        <f>Table13468111214151617181920222530[[#This Row],[PMI]]-B53</f>
        <v/>
      </c>
    </row>
    <row r="55">
      <c r="A55" s="10" t="n">
        <v>42125</v>
      </c>
      <c r="B55" s="25" t="n">
        <v>47.1</v>
      </c>
      <c r="C55" s="25">
        <f>Table13468111214151617181920222530[[#This Row],[PMI]]-B54</f>
        <v/>
      </c>
    </row>
    <row r="56">
      <c r="A56" s="10" t="n">
        <v>42156</v>
      </c>
      <c r="B56" s="25" t="n">
        <v>47.8</v>
      </c>
      <c r="C56" s="25">
        <f>Table13468111214151617181920222530[[#This Row],[PMI]]-B55</f>
        <v/>
      </c>
    </row>
    <row r="57">
      <c r="A57" s="10" t="n">
        <v>42186</v>
      </c>
      <c r="B57" s="25" t="n">
        <v>47.3</v>
      </c>
      <c r="C57" s="25">
        <f>Table13468111214151617181920222530[[#This Row],[PMI]]-B56</f>
        <v/>
      </c>
    </row>
    <row r="58">
      <c r="A58" s="10" t="n">
        <v>42217</v>
      </c>
      <c r="B58" s="25" t="n">
        <v>48.4</v>
      </c>
      <c r="C58" s="25">
        <f>Table13468111214151617181920222530[[#This Row],[PMI]]-B57</f>
        <v/>
      </c>
    </row>
    <row r="59">
      <c r="A59" s="10" t="n">
        <v>42248</v>
      </c>
      <c r="B59" s="25" t="n">
        <v>47.4</v>
      </c>
      <c r="C59" s="25">
        <f>Table13468111214151617181920222530[[#This Row],[PMI]]-B58</f>
        <v/>
      </c>
    </row>
    <row r="60">
      <c r="A60" s="10" t="n">
        <v>42278</v>
      </c>
      <c r="B60" s="25" t="n">
        <v>47.8</v>
      </c>
      <c r="C60" s="25">
        <f>Table13468111214151617181920222530[[#This Row],[PMI]]-B59</f>
        <v/>
      </c>
    </row>
    <row r="61">
      <c r="A61" s="10" t="n">
        <v>42309</v>
      </c>
      <c r="B61" s="25" t="n">
        <v>46.9</v>
      </c>
      <c r="C61" s="25">
        <f>Table13468111214151617181920222530[[#This Row],[PMI]]-B60</f>
        <v/>
      </c>
    </row>
    <row r="62">
      <c r="A62" s="10" t="n">
        <v>42339</v>
      </c>
      <c r="B62" s="25" t="n">
        <v>47.8</v>
      </c>
      <c r="C62" s="25">
        <f>Table13468111214151617181920222530[[#This Row],[PMI]]-B61</f>
        <v/>
      </c>
    </row>
    <row r="63">
      <c r="A63" s="10" t="n">
        <v>42370</v>
      </c>
      <c r="B63" s="25" t="n">
        <v>48.9</v>
      </c>
      <c r="C63" s="25">
        <f>Table13468111214151617181920222530[[#This Row],[PMI]]-B62</f>
        <v/>
      </c>
    </row>
    <row r="64">
      <c r="A64" s="10" t="n">
        <v>42401</v>
      </c>
      <c r="B64" s="25" t="n">
        <v>48.7</v>
      </c>
      <c r="C64" s="25">
        <f>Table13468111214151617181920222530[[#This Row],[PMI]]-B63</f>
        <v/>
      </c>
    </row>
    <row r="65">
      <c r="A65" s="10" t="n">
        <v>42430</v>
      </c>
      <c r="B65" s="25" t="n">
        <v>50.6</v>
      </c>
      <c r="C65" s="25">
        <f>Table13468111214151617181920222530[[#This Row],[PMI]]-B64</f>
        <v/>
      </c>
    </row>
    <row r="66">
      <c r="A66" s="10" t="n">
        <v>42461</v>
      </c>
      <c r="B66" s="25" t="n">
        <v>50.9</v>
      </c>
      <c r="C66" s="25">
        <f>Table13468111214151617181920222530[[#This Row],[PMI]]-B65</f>
        <v/>
      </c>
    </row>
    <row r="67">
      <c r="A67" s="10" t="n">
        <v>42491</v>
      </c>
      <c r="B67" s="25" t="n">
        <v>50.6</v>
      </c>
      <c r="C67" s="25">
        <f>Table13468111214151617181920222530[[#This Row],[PMI]]-B66</f>
        <v/>
      </c>
    </row>
    <row r="68">
      <c r="A68" s="10" t="n">
        <v>42522</v>
      </c>
      <c r="B68" s="25" t="n">
        <v>51.9</v>
      </c>
      <c r="C68" s="25">
        <f>Table13468111214151617181920222530[[#This Row],[PMI]]-B67</f>
        <v/>
      </c>
    </row>
    <row r="69">
      <c r="A69" s="10" t="n">
        <v>42552</v>
      </c>
      <c r="B69" s="25" t="n">
        <v>48.4</v>
      </c>
      <c r="C69" s="25">
        <f>Table13468111214151617181920222530[[#This Row],[PMI]]-B68</f>
        <v/>
      </c>
    </row>
    <row r="70">
      <c r="A70" s="10" t="n">
        <v>42583</v>
      </c>
      <c r="B70" s="25" t="n">
        <v>50.4</v>
      </c>
      <c r="C70" s="25">
        <f>Table13468111214151617181920222530[[#This Row],[PMI]]-B69</f>
        <v/>
      </c>
    </row>
    <row r="71">
      <c r="A71" s="10" t="n">
        <v>42614</v>
      </c>
      <c r="B71" s="25" t="n">
        <v>50.9</v>
      </c>
      <c r="C71" s="25">
        <f>Table13468111214151617181920222530[[#This Row],[PMI]]-B70</f>
        <v/>
      </c>
    </row>
    <row r="72">
      <c r="A72" s="10" t="n">
        <v>42644</v>
      </c>
      <c r="B72" s="25" t="n">
        <v>48.7</v>
      </c>
      <c r="C72" s="25">
        <f>Table13468111214151617181920222530[[#This Row],[PMI]]-B71</f>
        <v/>
      </c>
    </row>
    <row r="73">
      <c r="A73" s="10" t="n">
        <v>42675</v>
      </c>
      <c r="B73" s="25" t="n">
        <v>49.7</v>
      </c>
      <c r="C73" s="25">
        <f>Table13468111214151617181920222530[[#This Row],[PMI]]-B72</f>
        <v/>
      </c>
    </row>
    <row r="74">
      <c r="A74" s="10" t="n">
        <v>42705</v>
      </c>
      <c r="B74" s="25" t="n">
        <v>49</v>
      </c>
      <c r="C74" s="25">
        <f>Table13468111214151617181920222530[[#This Row],[PMI]]-B73</f>
        <v/>
      </c>
    </row>
    <row r="75">
      <c r="A75" s="10" t="n">
        <v>42736</v>
      </c>
      <c r="B75" s="25" t="n">
        <v>50.4</v>
      </c>
      <c r="C75" s="25">
        <f>Table13468111214151617181920222530[[#This Row],[PMI]]-B74</f>
        <v/>
      </c>
    </row>
    <row r="76">
      <c r="A76" s="10" t="n">
        <v>42767</v>
      </c>
      <c r="B76" s="25" t="n">
        <v>49.3</v>
      </c>
      <c r="C76" s="25">
        <f>Table13468111214151617181920222530[[#This Row],[PMI]]-B75</f>
        <v/>
      </c>
    </row>
    <row r="77">
      <c r="A77" s="10" t="n">
        <v>42795</v>
      </c>
      <c r="B77" s="25" t="n">
        <v>50.5</v>
      </c>
      <c r="C77" s="25">
        <f>Table13468111214151617181920222530[[#This Row],[PMI]]-B76</f>
        <v/>
      </c>
    </row>
    <row r="78">
      <c r="A78" s="10" t="n">
        <v>42826</v>
      </c>
      <c r="B78" s="25" t="n">
        <v>51.2</v>
      </c>
      <c r="C78" s="25">
        <f>Table13468111214151617181920222530[[#This Row],[PMI]]-B77</f>
        <v/>
      </c>
    </row>
    <row r="79">
      <c r="A79" s="10" t="n">
        <v>42856</v>
      </c>
      <c r="B79" s="25" t="n">
        <v>50.6</v>
      </c>
      <c r="C79" s="25">
        <f>Table13468111214151617181920222530[[#This Row],[PMI]]-B78</f>
        <v/>
      </c>
    </row>
    <row r="80">
      <c r="A80" s="10" t="n">
        <v>42887</v>
      </c>
      <c r="B80" s="25" t="n">
        <v>49.5</v>
      </c>
      <c r="C80" s="25">
        <f>Table13468111214151617181920222530[[#This Row],[PMI]]-B79</f>
        <v/>
      </c>
    </row>
    <row r="81">
      <c r="A81" s="10" t="n">
        <v>42917</v>
      </c>
      <c r="B81" s="25" t="n">
        <v>48.6</v>
      </c>
      <c r="C81" s="25">
        <f>Table13468111214151617181920222530[[#This Row],[PMI]]-B80</f>
        <v/>
      </c>
    </row>
    <row r="82">
      <c r="A82" s="10" t="n">
        <v>42948</v>
      </c>
      <c r="B82" s="25" t="n">
        <v>50.7</v>
      </c>
      <c r="C82" s="25">
        <f>Table13468111214151617181920222530[[#This Row],[PMI]]-B81</f>
        <v/>
      </c>
    </row>
    <row r="83">
      <c r="A83" s="10" t="n">
        <v>42979</v>
      </c>
      <c r="B83" s="25" t="n">
        <v>50.4</v>
      </c>
      <c r="C83" s="25">
        <f>Table13468111214151617181920222530[[#This Row],[PMI]]-B82</f>
        <v/>
      </c>
    </row>
    <row r="84">
      <c r="A84" s="10" t="n">
        <v>43009</v>
      </c>
      <c r="B84" s="25" t="n">
        <v>50.1</v>
      </c>
      <c r="C84" s="25">
        <f>Table13468111214151617181920222530[[#This Row],[PMI]]-B83</f>
        <v/>
      </c>
    </row>
    <row r="85">
      <c r="A85" s="10" t="n">
        <v>43040</v>
      </c>
      <c r="B85" s="25" t="n">
        <v>50.4</v>
      </c>
      <c r="C85" s="25">
        <f>Table13468111214151617181920222530[[#This Row],[PMI]]-B84</f>
        <v/>
      </c>
    </row>
    <row r="86">
      <c r="A86" s="10" t="n">
        <v>43070</v>
      </c>
      <c r="B86" s="25" t="n">
        <v>49.3</v>
      </c>
      <c r="C86" s="25">
        <f>Table13468111214151617181920222530[[#This Row],[PMI]]-B85</f>
        <v/>
      </c>
    </row>
    <row r="87">
      <c r="A87" s="10" t="n">
        <v>43101</v>
      </c>
      <c r="B87" s="25" t="n">
        <v>49.9</v>
      </c>
      <c r="C87" s="25">
        <f>Table13468111214151617181920222530[[#This Row],[PMI]]-B86</f>
        <v/>
      </c>
    </row>
    <row r="88">
      <c r="A88" s="10" t="n">
        <v>43132</v>
      </c>
      <c r="B88" s="25" t="n">
        <v>51.4</v>
      </c>
      <c r="C88" s="25">
        <f>Table13468111214151617181920222530[[#This Row],[PMI]]-B87</f>
        <v/>
      </c>
    </row>
    <row r="89">
      <c r="A89" s="10" t="n">
        <v>43160</v>
      </c>
      <c r="B89" s="25" t="n">
        <v>50.7</v>
      </c>
      <c r="C89" s="25">
        <f>Table13468111214151617181920222530[[#This Row],[PMI]]-B88</f>
        <v/>
      </c>
    </row>
    <row r="90">
      <c r="A90" s="10" t="n">
        <v>43191</v>
      </c>
      <c r="B90" s="25" t="n">
        <v>51.6</v>
      </c>
      <c r="C90" s="25">
        <f>Table13468111214151617181920222530[[#This Row],[PMI]]-B89</f>
        <v/>
      </c>
    </row>
    <row r="91">
      <c r="A91" s="10" t="n">
        <v>43221</v>
      </c>
      <c r="B91" s="25" t="n">
        <v>51.7</v>
      </c>
      <c r="C91" s="25">
        <f>Table13468111214151617181920222530[[#This Row],[PMI]]-B90</f>
        <v/>
      </c>
    </row>
    <row r="92">
      <c r="A92" s="10" t="n">
        <v>43252</v>
      </c>
      <c r="B92" s="25" t="n">
        <v>50.3</v>
      </c>
      <c r="C92" s="25">
        <f>Table13468111214151617181920222530[[#This Row],[PMI]]-B91</f>
        <v/>
      </c>
    </row>
    <row r="93">
      <c r="A93" s="10" t="n">
        <v>43282</v>
      </c>
      <c r="B93" s="25" t="n">
        <v>50.5</v>
      </c>
      <c r="C93" s="25">
        <f>Table13468111214151617181920222530[[#This Row],[PMI]]-B92</f>
        <v/>
      </c>
    </row>
    <row r="94">
      <c r="A94" s="10" t="n">
        <v>43313</v>
      </c>
      <c r="B94" s="25" t="n">
        <v>51.9</v>
      </c>
      <c r="C94" s="25">
        <f>Table13468111214151617181920222530[[#This Row],[PMI]]-B93</f>
        <v/>
      </c>
    </row>
    <row r="95">
      <c r="A95" s="10" t="n">
        <v>43344</v>
      </c>
      <c r="B95" s="25" t="n">
        <v>50.7</v>
      </c>
      <c r="C95" s="25">
        <f>Table13468111214151617181920222530[[#This Row],[PMI]]-B94</f>
        <v/>
      </c>
    </row>
    <row r="96">
      <c r="A96" s="10" t="n">
        <v>43374</v>
      </c>
      <c r="B96" s="25" t="n">
        <v>50.5</v>
      </c>
      <c r="C96" s="25">
        <f>Table13468111214151617181920222530[[#This Row],[PMI]]-B95</f>
        <v/>
      </c>
    </row>
    <row r="97">
      <c r="A97" s="10" t="n">
        <v>43405</v>
      </c>
      <c r="B97" s="25" t="n">
        <v>50.4</v>
      </c>
      <c r="C97" s="25">
        <f>Table13468111214151617181920222530[[#This Row],[PMI]]-B96</f>
        <v/>
      </c>
    </row>
    <row r="98">
      <c r="A98" s="10" t="n">
        <v>43435</v>
      </c>
      <c r="B98" s="25" t="n">
        <v>51.2</v>
      </c>
      <c r="C98" s="25">
        <f>Table13468111214151617181920222530[[#This Row],[PMI]]-B97</f>
        <v/>
      </c>
    </row>
    <row r="99">
      <c r="A99" s="10" t="n">
        <v>43466</v>
      </c>
      <c r="B99" s="25" t="n">
        <v>49.9</v>
      </c>
      <c r="C99" s="25">
        <f>Table13468111214151617181920222530[[#This Row],[PMI]]-B98</f>
        <v/>
      </c>
    </row>
    <row r="100">
      <c r="A100" s="10" t="n">
        <v>43497</v>
      </c>
      <c r="B100" s="25" t="n">
        <v>50.1</v>
      </c>
      <c r="C100" s="25">
        <f>Table13468111214151617181920222530[[#This Row],[PMI]]-B99</f>
        <v/>
      </c>
    </row>
    <row r="101">
      <c r="A101" s="10" t="n">
        <v>43525</v>
      </c>
      <c r="B101" s="25" t="n">
        <v>51.2</v>
      </c>
      <c r="C101" s="25">
        <f>Table13468111214151617181920222530[[#This Row],[PMI]]-B100</f>
        <v/>
      </c>
    </row>
    <row r="102">
      <c r="A102" s="10" t="n">
        <v>43556</v>
      </c>
      <c r="B102" s="25" t="n">
        <v>50.4</v>
      </c>
      <c r="C102" s="25">
        <f>Table13468111214151617181920222530[[#This Row],[PMI]]-B101</f>
        <v/>
      </c>
    </row>
    <row r="103">
      <c r="A103" s="10" t="n">
        <v>43586</v>
      </c>
      <c r="B103" s="25" t="n">
        <v>51.6</v>
      </c>
      <c r="C103" s="25">
        <f>Table13468111214151617181920222530[[#This Row],[PMI]]-B102</f>
        <v/>
      </c>
    </row>
    <row r="104">
      <c r="A104" s="10" t="n">
        <v>43617</v>
      </c>
      <c r="B104" s="25" t="n">
        <v>50.6</v>
      </c>
      <c r="C104" s="25">
        <f>Table13468111214151617181920222530[[#This Row],[PMI]]-B103</f>
        <v/>
      </c>
    </row>
    <row r="105">
      <c r="A105" s="10" t="n">
        <v>43647</v>
      </c>
      <c r="B105" s="25" t="n">
        <v>49.6</v>
      </c>
      <c r="C105" s="25">
        <f>Table13468111214151617181920222530[[#This Row],[PMI]]-B104</f>
        <v/>
      </c>
    </row>
    <row r="106">
      <c r="A106" s="10" t="n">
        <v>43678</v>
      </c>
      <c r="B106" s="25" t="n">
        <v>49</v>
      </c>
      <c r="C106" s="25">
        <f>Table13468111214151617181920222530[[#This Row],[PMI]]-B105</f>
        <v/>
      </c>
    </row>
    <row r="107">
      <c r="A107" s="10" t="n">
        <v>43709</v>
      </c>
      <c r="B107" s="25" t="n">
        <v>49.1</v>
      </c>
      <c r="C107" s="25">
        <f>Table13468111214151617181920222530[[#This Row],[PMI]]-B106</f>
        <v/>
      </c>
    </row>
    <row r="108">
      <c r="A108" s="10" t="n">
        <v>43739</v>
      </c>
      <c r="B108" s="25" t="n">
        <v>47.7</v>
      </c>
      <c r="C108" s="25">
        <f>Table13468111214151617181920222530[[#This Row],[PMI]]-B107</f>
        <v/>
      </c>
    </row>
    <row r="109">
      <c r="A109" s="10" t="n">
        <v>43770</v>
      </c>
      <c r="B109" s="25" t="n">
        <v>48.2</v>
      </c>
      <c r="C109" s="25">
        <f>Table13468111214151617181920222530[[#This Row],[PMI]]-B108</f>
        <v/>
      </c>
    </row>
    <row r="110">
      <c r="A110" s="10" t="n">
        <v>43800</v>
      </c>
      <c r="B110" s="25" t="n">
        <v>49.5</v>
      </c>
      <c r="C110" s="25">
        <f>Table13468111214151617181920222530[[#This Row],[PMI]]-B109</f>
        <v/>
      </c>
    </row>
    <row r="111">
      <c r="A111" s="10" t="n">
        <v>43831</v>
      </c>
      <c r="B111" s="25" t="n">
        <v>49.3</v>
      </c>
      <c r="C111" s="25">
        <f>Table13468111214151617181920222530[[#This Row],[PMI]]-B110</f>
        <v/>
      </c>
    </row>
    <row r="112">
      <c r="A112" s="10" t="n">
        <v>43862</v>
      </c>
      <c r="B112" s="25" t="n">
        <v>51.9</v>
      </c>
      <c r="C112" s="25">
        <f>Table13468111214151617181920222530[[#This Row],[PMI]]-B111</f>
        <v/>
      </c>
    </row>
    <row r="113">
      <c r="A113" s="10" t="n">
        <v>43891</v>
      </c>
      <c r="B113" s="25" t="n">
        <v>45.3</v>
      </c>
      <c r="C113" s="25">
        <f>Table13468111214151617181920222530[[#This Row],[PMI]]-B112</f>
        <v/>
      </c>
    </row>
    <row r="114">
      <c r="A114" s="10" t="n">
        <v>43922</v>
      </c>
      <c r="B114" s="25" t="n">
        <v>27.5</v>
      </c>
      <c r="C114" s="25">
        <f>Table13468111214151617181920222530[[#This Row],[PMI]]-B113</f>
        <v/>
      </c>
    </row>
    <row r="115">
      <c r="A115" s="10" t="n">
        <v>43952</v>
      </c>
      <c r="B115" s="25" t="n">
        <v>28.6</v>
      </c>
      <c r="C115" s="25">
        <f>Table13468111214151617181920222530[[#This Row],[PMI]]-B114</f>
        <v/>
      </c>
    </row>
    <row r="116">
      <c r="A116" s="10" t="n">
        <v>43983</v>
      </c>
      <c r="B116" s="25" t="n">
        <v>39.1</v>
      </c>
      <c r="C116" s="25">
        <f>Table13468111214151617181920222530[[#This Row],[PMI]]-B115</f>
        <v/>
      </c>
    </row>
    <row r="117">
      <c r="A117" s="10" t="n">
        <v>44013</v>
      </c>
      <c r="B117" s="25" t="n">
        <v>46.9</v>
      </c>
      <c r="C117" s="25">
        <f>Table13468111214151617181920222530[[#This Row],[PMI]]-B116</f>
        <v/>
      </c>
    </row>
    <row r="118">
      <c r="A118" s="10" t="n">
        <v>44044</v>
      </c>
      <c r="B118" s="25" t="n">
        <v>50.8</v>
      </c>
      <c r="C118" s="25">
        <f>Table13468111214151617181920222530[[#This Row],[PMI]]-B117</f>
        <v/>
      </c>
    </row>
    <row r="119">
      <c r="A119" s="10" t="n">
        <v>44075</v>
      </c>
      <c r="B119" s="25" t="n">
        <v>47.2</v>
      </c>
      <c r="C119" s="25">
        <f>Table13468111214151617181920222530[[#This Row],[PMI]]-B118</f>
        <v/>
      </c>
    </row>
    <row r="120">
      <c r="A120" s="10" t="n">
        <v>44105</v>
      </c>
      <c r="B120" s="25" t="n">
        <v>47.8</v>
      </c>
      <c r="C120" s="25">
        <f>Table13468111214151617181920222530[[#This Row],[PMI]]-B119</f>
        <v/>
      </c>
    </row>
    <row r="121">
      <c r="A121" s="10" t="n">
        <v>44136</v>
      </c>
      <c r="B121" s="25" t="n">
        <v>50.6</v>
      </c>
      <c r="C121" s="25">
        <f>Table13468111214151617181920222530[[#This Row],[PMI]]-B120</f>
        <v/>
      </c>
    </row>
    <row r="122">
      <c r="A122" s="10" t="n">
        <v>44166</v>
      </c>
      <c r="B122" s="25" t="n">
        <v>51.3</v>
      </c>
      <c r="C122" s="25">
        <f>Table13468111214151617181920222530[[#This Row],[PMI]]-B121</f>
        <v/>
      </c>
    </row>
    <row r="123">
      <c r="A123" s="10" t="n">
        <v>44197</v>
      </c>
      <c r="B123" s="25" t="n">
        <v>52.2</v>
      </c>
      <c r="C123" s="25">
        <f>Table13468111214151617181920222530[[#This Row],[PMI]]-B122</f>
        <v/>
      </c>
    </row>
    <row r="124">
      <c r="A124" s="10" t="n">
        <v>44228</v>
      </c>
      <c r="B124" s="25" t="n">
        <v>50.9</v>
      </c>
      <c r="C124" s="25">
        <f>Table13468111214151617181920222530[[#This Row],[PMI]]-B123</f>
        <v/>
      </c>
    </row>
    <row r="125">
      <c r="A125" s="10" t="n">
        <v>44256</v>
      </c>
      <c r="B125" s="25" t="n">
        <v>53.2</v>
      </c>
      <c r="C125" s="25">
        <f>Table13468111214151617181920222530[[#This Row],[PMI]]-B124</f>
        <v/>
      </c>
    </row>
    <row r="126">
      <c r="A126" s="10" t="n">
        <v>44287</v>
      </c>
      <c r="B126" s="25" t="n">
        <v>54.6</v>
      </c>
      <c r="C126" s="25">
        <f>Table13468111214151617181920222530[[#This Row],[PMI]]-B125</f>
        <v/>
      </c>
    </row>
    <row r="127">
      <c r="A127" s="10" t="n">
        <v>44317</v>
      </c>
      <c r="B127" s="25" t="n">
        <v>55.3</v>
      </c>
      <c r="C127" s="25">
        <f>Table13468111214151617181920222530[[#This Row],[PMI]]-B126</f>
        <v/>
      </c>
    </row>
    <row r="128">
      <c r="A128" s="10" t="n">
        <v>44348</v>
      </c>
      <c r="B128" s="25" t="n">
        <v>53.5</v>
      </c>
      <c r="C128" s="25">
        <f>Table13468111214151617181920222530[[#This Row],[PMI]]-B127</f>
        <v/>
      </c>
    </row>
    <row r="129">
      <c r="A129" s="10" t="n">
        <v>44378</v>
      </c>
      <c r="B129" s="25" t="n">
        <v>40.1</v>
      </c>
      <c r="C129" s="25">
        <f>Table13468111214151617181920222530[[#This Row],[PMI]]-B128</f>
        <v/>
      </c>
    </row>
    <row r="130">
      <c r="A130" s="10" t="n">
        <v>44409</v>
      </c>
      <c r="B130" s="25" t="n">
        <v>43.7</v>
      </c>
      <c r="C130" s="25">
        <f>Table13468111214151617181920222530[[#This Row],[PMI]]-B129</f>
        <v/>
      </c>
    </row>
    <row r="131">
      <c r="A131" s="10" t="n">
        <v>44440</v>
      </c>
      <c r="B131" s="25" t="n">
        <v>52.2</v>
      </c>
      <c r="C131" s="25">
        <f>Table13468111214151617181920222530[[#This Row],[PMI]]-B130</f>
        <v/>
      </c>
    </row>
    <row r="132">
      <c r="A132" s="10" t="n">
        <v>44470</v>
      </c>
      <c r="B132" s="25" t="n">
        <v>57.2</v>
      </c>
      <c r="C132" s="25">
        <f>Table13468111214151617181920222530[[#This Row],[PMI]]-B131</f>
        <v/>
      </c>
    </row>
    <row r="133">
      <c r="A133" s="10" t="n">
        <v>44501</v>
      </c>
      <c r="B133" s="25" t="n">
        <v>53.9</v>
      </c>
      <c r="C133" s="25">
        <f>Table13468111214151617181920222530[[#This Row],[PMI]]-B132</f>
        <v/>
      </c>
    </row>
    <row r="134">
      <c r="A134" s="10" t="n">
        <v>44531</v>
      </c>
      <c r="B134" s="25" t="n">
        <v>53.5</v>
      </c>
      <c r="C134" s="25">
        <f>Table13468111214151617181920222530[[#This Row],[PMI]]-B133</f>
        <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38"/>
  <sheetViews>
    <sheetView zoomScale="160" zoomScaleNormal="160" workbookViewId="0">
      <pane ySplit="5" topLeftCell="A98" activePane="bottomLeft" state="frozen"/>
      <selection pane="bottomLeft" activeCell="U128" sqref="U128"/>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South Korea</t>
        </is>
      </c>
      <c r="K1" s="84" t="inlineStr">
        <is>
          <t xml:space="preserve"> Manufacturing PMI</t>
        </is>
      </c>
    </row>
    <row r="2">
      <c r="A2" s="84" t="inlineStr">
        <is>
          <t>south-korea</t>
        </is>
      </c>
      <c r="K2" s="84">
        <f>A1&amp;K1</f>
        <v/>
      </c>
    </row>
    <row r="4" ht="16" customHeight="1" s="76" thickBot="1"/>
    <row r="5" ht="16" customHeight="1" s="76" thickBot="1">
      <c r="A5" s="22" t="inlineStr">
        <is>
          <t>Date</t>
        </is>
      </c>
      <c r="B5" s="23" t="inlineStr">
        <is>
          <t>PMI</t>
        </is>
      </c>
      <c r="C5" s="23" t="inlineStr">
        <is>
          <t>mom</t>
        </is>
      </c>
    </row>
    <row r="6">
      <c r="A6" s="18" t="n">
        <v>40513</v>
      </c>
      <c r="B6" s="19" t="n">
        <v>53.9</v>
      </c>
      <c r="C6" s="19" t="n"/>
    </row>
    <row r="7">
      <c r="A7" s="10" t="n">
        <v>40544</v>
      </c>
      <c r="B7" s="25" t="n">
        <v>53.5</v>
      </c>
      <c r="C7" s="25">
        <f>Table1346811121415161718192022252629[[#This Row],[PMI]]-B6</f>
        <v/>
      </c>
    </row>
    <row r="8">
      <c r="A8" s="10" t="n">
        <v>40575</v>
      </c>
      <c r="B8" s="25" t="n">
        <v>53.4</v>
      </c>
      <c r="C8" s="25">
        <f>Table1346811121415161718192022252629[[#This Row],[PMI]]-B7</f>
        <v/>
      </c>
    </row>
    <row r="9">
      <c r="A9" s="10" t="n">
        <v>40603</v>
      </c>
      <c r="B9" s="25" t="n">
        <v>52.8</v>
      </c>
      <c r="C9" s="25">
        <f>Table1346811121415161718192022252629[[#This Row],[PMI]]-B8</f>
        <v/>
      </c>
    </row>
    <row r="10">
      <c r="A10" s="10" t="n">
        <v>40634</v>
      </c>
      <c r="B10" s="25" t="n">
        <v>51.7</v>
      </c>
      <c r="C10" s="25">
        <f>Table1346811121415161718192022252629[[#This Row],[PMI]]-B9</f>
        <v/>
      </c>
    </row>
    <row r="11">
      <c r="A11" s="10" t="n">
        <v>40664</v>
      </c>
      <c r="B11" s="25" t="n">
        <v>51.2</v>
      </c>
      <c r="C11" s="25">
        <f>Table1346811121415161718192022252629[[#This Row],[PMI]]-B10</f>
        <v/>
      </c>
    </row>
    <row r="12">
      <c r="A12" s="10" t="n">
        <v>40695</v>
      </c>
      <c r="B12" s="25" t="n">
        <v>51.2</v>
      </c>
      <c r="C12" s="25">
        <f>Table1346811121415161718192022252629[[#This Row],[PMI]]-B11</f>
        <v/>
      </c>
    </row>
    <row r="13">
      <c r="A13" s="10" t="n">
        <v>40725</v>
      </c>
      <c r="B13" s="25" t="n">
        <v>51.1</v>
      </c>
      <c r="C13" s="25">
        <f>Table1346811121415161718192022252629[[#This Row],[PMI]]-B12</f>
        <v/>
      </c>
    </row>
    <row r="14">
      <c r="A14" s="10" t="n">
        <v>40756</v>
      </c>
      <c r="B14" s="25" t="n">
        <v>51.3</v>
      </c>
      <c r="C14" s="25">
        <f>Table1346811121415161718192022252629[[#This Row],[PMI]]-B13</f>
        <v/>
      </c>
    </row>
    <row r="15">
      <c r="A15" s="10" t="n">
        <v>40787</v>
      </c>
      <c r="B15" s="25" t="n">
        <v>49.7</v>
      </c>
      <c r="C15" s="25">
        <f>Table1346811121415161718192022252629[[#This Row],[PMI]]-B14</f>
        <v/>
      </c>
    </row>
    <row r="16">
      <c r="A16" s="10" t="n">
        <v>40817</v>
      </c>
      <c r="B16" s="25" t="n">
        <v>47.4</v>
      </c>
      <c r="C16" s="25">
        <f>Table1346811121415161718192022252629[[#This Row],[PMI]]-B15</f>
        <v/>
      </c>
    </row>
    <row r="17">
      <c r="A17" s="10" t="n">
        <v>40848</v>
      </c>
      <c r="B17" s="25" t="n">
        <v>48</v>
      </c>
      <c r="C17" s="25">
        <f>Table1346811121415161718192022252629[[#This Row],[PMI]]-B16</f>
        <v/>
      </c>
    </row>
    <row r="18">
      <c r="A18" s="10" t="n">
        <v>40878</v>
      </c>
      <c r="B18" s="25" t="n">
        <v>47.1</v>
      </c>
      <c r="C18" s="25">
        <f>Table1346811121415161718192022252629[[#This Row],[PMI]]-B17</f>
        <v/>
      </c>
    </row>
    <row r="19">
      <c r="A19" s="10" t="n">
        <v>40909</v>
      </c>
      <c r="B19" s="25" t="n">
        <v>49.2</v>
      </c>
      <c r="C19" s="25">
        <f>Table1346811121415161718192022252629[[#This Row],[PMI]]-B18</f>
        <v/>
      </c>
    </row>
    <row r="20">
      <c r="A20" s="10" t="n">
        <v>40940</v>
      </c>
      <c r="B20" s="25" t="n">
        <v>50.7</v>
      </c>
      <c r="C20" s="25">
        <f>Table1346811121415161718192022252629[[#This Row],[PMI]]-B19</f>
        <v/>
      </c>
    </row>
    <row r="21">
      <c r="A21" s="10" t="n">
        <v>40969</v>
      </c>
      <c r="B21" s="25" t="n">
        <v>52</v>
      </c>
      <c r="C21" s="25">
        <f>Table1346811121415161718192022252629[[#This Row],[PMI]]-B20</f>
        <v/>
      </c>
    </row>
    <row r="22">
      <c r="A22" s="10" t="n">
        <v>41000</v>
      </c>
      <c r="B22" s="25" t="n">
        <v>51.9</v>
      </c>
      <c r="C22" s="25">
        <f>Table1346811121415161718192022252629[[#This Row],[PMI]]-B21</f>
        <v/>
      </c>
    </row>
    <row r="23">
      <c r="A23" s="10" t="n">
        <v>41030</v>
      </c>
      <c r="B23" s="25" t="n">
        <v>51</v>
      </c>
      <c r="C23" s="25">
        <f>Table1346811121415161718192022252629[[#This Row],[PMI]]-B22</f>
        <v/>
      </c>
    </row>
    <row r="24">
      <c r="A24" s="10" t="n">
        <v>41061</v>
      </c>
      <c r="B24" s="25" t="n">
        <v>49.4</v>
      </c>
      <c r="C24" s="25">
        <f>Table1346811121415161718192022252629[[#This Row],[PMI]]-B23</f>
        <v/>
      </c>
    </row>
    <row r="25">
      <c r="A25" s="10" t="n">
        <v>41091</v>
      </c>
      <c r="B25" s="25" t="n">
        <v>47.2</v>
      </c>
      <c r="C25" s="25">
        <f>Table1346811121415161718192022252629[[#This Row],[PMI]]-B24</f>
        <v/>
      </c>
    </row>
    <row r="26">
      <c r="A26" s="10" t="n">
        <v>41122</v>
      </c>
      <c r="B26" s="25" t="n">
        <v>47.5</v>
      </c>
      <c r="C26" s="25">
        <f>Table1346811121415161718192022252629[[#This Row],[PMI]]-B25</f>
        <v/>
      </c>
    </row>
    <row r="27">
      <c r="A27" s="10" t="n">
        <v>41153</v>
      </c>
      <c r="B27" s="25" t="n">
        <v>45.7</v>
      </c>
      <c r="C27" s="25">
        <f>Table1346811121415161718192022252629[[#This Row],[PMI]]-B26</f>
        <v/>
      </c>
    </row>
    <row r="28">
      <c r="A28" s="10" t="n">
        <v>41183</v>
      </c>
      <c r="B28" s="25" t="n">
        <v>47.4</v>
      </c>
      <c r="C28" s="25">
        <f>Table1346811121415161718192022252629[[#This Row],[PMI]]-B27</f>
        <v/>
      </c>
    </row>
    <row r="29">
      <c r="A29" s="10" t="n">
        <v>41214</v>
      </c>
      <c r="B29" s="25" t="n">
        <v>48.2</v>
      </c>
      <c r="C29" s="25">
        <f>Table1346811121415161718192022252629[[#This Row],[PMI]]-B28</f>
        <v/>
      </c>
    </row>
    <row r="30">
      <c r="A30" s="10" t="n">
        <v>41244</v>
      </c>
      <c r="B30" s="25" t="n">
        <v>50.1</v>
      </c>
      <c r="C30" s="25">
        <f>Table1346811121415161718192022252629[[#This Row],[PMI]]-B29</f>
        <v/>
      </c>
    </row>
    <row r="31">
      <c r="A31" s="10" t="n">
        <v>41275</v>
      </c>
      <c r="B31" s="25" t="n">
        <v>49.9</v>
      </c>
      <c r="C31" s="25">
        <f>Table1346811121415161718192022252629[[#This Row],[PMI]]-B30</f>
        <v/>
      </c>
    </row>
    <row r="32">
      <c r="A32" s="10" t="n">
        <v>41306</v>
      </c>
      <c r="B32" s="25" t="n">
        <v>50.9</v>
      </c>
      <c r="C32" s="25">
        <f>Table1346811121415161718192022252629[[#This Row],[PMI]]-B31</f>
        <v/>
      </c>
    </row>
    <row r="33">
      <c r="A33" s="10" t="n">
        <v>41334</v>
      </c>
      <c r="B33" s="25" t="n">
        <v>52</v>
      </c>
      <c r="C33" s="25">
        <f>Table1346811121415161718192022252629[[#This Row],[PMI]]-B32</f>
        <v/>
      </c>
    </row>
    <row r="34">
      <c r="A34" s="10" t="n">
        <v>41365</v>
      </c>
      <c r="B34" s="25" t="n">
        <v>52.6</v>
      </c>
      <c r="C34" s="25">
        <f>Table1346811121415161718192022252629[[#This Row],[PMI]]-B33</f>
        <v/>
      </c>
    </row>
    <row r="35">
      <c r="A35" s="10" t="n">
        <v>41395</v>
      </c>
      <c r="B35" s="25" t="n">
        <v>51.1</v>
      </c>
      <c r="C35" s="25">
        <f>Table1346811121415161718192022252629[[#This Row],[PMI]]-B34</f>
        <v/>
      </c>
    </row>
    <row r="36">
      <c r="A36" s="10" t="n">
        <v>41426</v>
      </c>
      <c r="B36" s="25" t="n">
        <v>49.4</v>
      </c>
      <c r="C36" s="25">
        <f>Table1346811121415161718192022252629[[#This Row],[PMI]]-B35</f>
        <v/>
      </c>
    </row>
    <row r="37">
      <c r="A37" s="10" t="n">
        <v>41456</v>
      </c>
      <c r="B37" s="25" t="n">
        <v>47.2</v>
      </c>
      <c r="C37" s="25">
        <f>Table1346811121415161718192022252629[[#This Row],[PMI]]-B36</f>
        <v/>
      </c>
    </row>
    <row r="38">
      <c r="A38" s="10" t="n">
        <v>41487</v>
      </c>
      <c r="B38" s="25" t="n">
        <v>47.5</v>
      </c>
      <c r="C38" s="25">
        <f>Table1346811121415161718192022252629[[#This Row],[PMI]]-B37</f>
        <v/>
      </c>
    </row>
    <row r="39">
      <c r="A39" s="10" t="n">
        <v>41518</v>
      </c>
      <c r="B39" s="25" t="n">
        <v>49.7</v>
      </c>
      <c r="C39" s="25">
        <f>Table1346811121415161718192022252629[[#This Row],[PMI]]-B38</f>
        <v/>
      </c>
    </row>
    <row r="40">
      <c r="A40" s="10" t="n">
        <v>41548</v>
      </c>
      <c r="B40" s="25" t="n">
        <v>50.2</v>
      </c>
      <c r="C40" s="25">
        <f>Table1346811121415161718192022252629[[#This Row],[PMI]]-B39</f>
        <v/>
      </c>
    </row>
    <row r="41">
      <c r="A41" s="10" t="n">
        <v>41579</v>
      </c>
      <c r="B41" s="25" t="n">
        <v>50.4</v>
      </c>
      <c r="C41" s="25">
        <f>Table1346811121415161718192022252629[[#This Row],[PMI]]-B40</f>
        <v/>
      </c>
    </row>
    <row r="42">
      <c r="A42" s="10" t="n">
        <v>41609</v>
      </c>
      <c r="B42" s="25" t="n">
        <v>50.8</v>
      </c>
      <c r="C42" s="25">
        <f>Table1346811121415161718192022252629[[#This Row],[PMI]]-B41</f>
        <v/>
      </c>
    </row>
    <row r="43">
      <c r="A43" s="10" t="n">
        <v>41640</v>
      </c>
      <c r="B43" s="25" t="n">
        <v>50.9</v>
      </c>
      <c r="C43" s="25">
        <f>Table1346811121415161718192022252629[[#This Row],[PMI]]-B42</f>
        <v/>
      </c>
    </row>
    <row r="44">
      <c r="A44" s="10" t="n">
        <v>41671</v>
      </c>
      <c r="B44" s="25" t="n">
        <v>49.8</v>
      </c>
      <c r="C44" s="25">
        <f>Table1346811121415161718192022252629[[#This Row],[PMI]]-B43</f>
        <v/>
      </c>
    </row>
    <row r="45">
      <c r="A45" s="10" t="n">
        <v>41699</v>
      </c>
      <c r="B45" s="25" t="n">
        <v>50.4</v>
      </c>
      <c r="C45" s="25">
        <f>Table1346811121415161718192022252629[[#This Row],[PMI]]-B44</f>
        <v/>
      </c>
    </row>
    <row r="46">
      <c r="A46" s="10" t="n">
        <v>41730</v>
      </c>
      <c r="B46" s="25" t="n">
        <v>50.2</v>
      </c>
      <c r="C46" s="25">
        <f>Table1346811121415161718192022252629[[#This Row],[PMI]]-B45</f>
        <v/>
      </c>
    </row>
    <row r="47">
      <c r="A47" s="10" t="n">
        <v>41760</v>
      </c>
      <c r="B47" s="25" t="n">
        <v>49.5</v>
      </c>
      <c r="C47" s="25">
        <f>Table1346811121415161718192022252629[[#This Row],[PMI]]-B46</f>
        <v/>
      </c>
    </row>
    <row r="48">
      <c r="A48" s="10" t="n">
        <v>41791</v>
      </c>
      <c r="B48" s="25" t="n">
        <v>48.4</v>
      </c>
      <c r="C48" s="25">
        <f>Table1346811121415161718192022252629[[#This Row],[PMI]]-B47</f>
        <v/>
      </c>
    </row>
    <row r="49">
      <c r="A49" s="10" t="n">
        <v>41821</v>
      </c>
      <c r="B49" s="25" t="n">
        <v>48.5066666666667</v>
      </c>
      <c r="C49" s="25">
        <f>Table1346811121415161718192022252629[[#This Row],[PMI]]-B48</f>
        <v/>
      </c>
    </row>
    <row r="50">
      <c r="A50" s="10" t="n">
        <v>41852</v>
      </c>
      <c r="B50" s="25" t="n">
        <v>50.3</v>
      </c>
      <c r="C50" s="25">
        <f>Table1346811121415161718192022252629[[#This Row],[PMI]]-B49</f>
        <v/>
      </c>
    </row>
    <row r="51">
      <c r="A51" s="10" t="n">
        <v>41883</v>
      </c>
      <c r="B51" s="25" t="n">
        <v>48.8</v>
      </c>
      <c r="C51" s="25">
        <f>Table1346811121415161718192022252629[[#This Row],[PMI]]-B50</f>
        <v/>
      </c>
    </row>
    <row r="52">
      <c r="A52" s="10" t="n">
        <v>41913</v>
      </c>
      <c r="B52" s="25" t="n">
        <v>48.7</v>
      </c>
      <c r="C52" s="25">
        <f>Table1346811121415161718192022252629[[#This Row],[PMI]]-B51</f>
        <v/>
      </c>
    </row>
    <row r="53">
      <c r="A53" s="10" t="n">
        <v>41944</v>
      </c>
      <c r="B53" s="25" t="n">
        <v>49</v>
      </c>
      <c r="C53" s="25">
        <f>Table1346811121415161718192022252629[[#This Row],[PMI]]-B52</f>
        <v/>
      </c>
    </row>
    <row r="54">
      <c r="A54" s="10" t="n">
        <v>41974</v>
      </c>
      <c r="B54" s="25" t="n">
        <v>49.9</v>
      </c>
      <c r="C54" s="25">
        <f>Table1346811121415161718192022252629[[#This Row],[PMI]]-B53</f>
        <v/>
      </c>
    </row>
    <row r="55">
      <c r="A55" s="10" t="n">
        <v>42005</v>
      </c>
      <c r="B55" s="25" t="n">
        <v>51.1</v>
      </c>
      <c r="C55" s="25">
        <f>Table1346811121415161718192022252629[[#This Row],[PMI]]-B54</f>
        <v/>
      </c>
    </row>
    <row r="56">
      <c r="A56" s="10" t="n">
        <v>42036</v>
      </c>
      <c r="B56" s="25" t="n">
        <v>51.1</v>
      </c>
      <c r="C56" s="25">
        <f>Table1346811121415161718192022252629[[#This Row],[PMI]]-B55</f>
        <v/>
      </c>
    </row>
    <row r="57">
      <c r="A57" s="10" t="n">
        <v>42064</v>
      </c>
      <c r="B57" s="25" t="n">
        <v>49.2</v>
      </c>
      <c r="C57" s="25">
        <f>Table1346811121415161718192022252629[[#This Row],[PMI]]-B56</f>
        <v/>
      </c>
    </row>
    <row r="58">
      <c r="A58" s="10" t="n">
        <v>42095</v>
      </c>
      <c r="B58" s="25" t="n">
        <v>48.8</v>
      </c>
      <c r="C58" s="25">
        <f>Table1346811121415161718192022252629[[#This Row],[PMI]]-B57</f>
        <v/>
      </c>
    </row>
    <row r="59">
      <c r="A59" s="10" t="n">
        <v>42125</v>
      </c>
      <c r="B59" s="25" t="n">
        <v>47.8</v>
      </c>
      <c r="C59" s="25">
        <f>Table1346811121415161718192022252629[[#This Row],[PMI]]-B58</f>
        <v/>
      </c>
    </row>
    <row r="60">
      <c r="A60" s="10" t="n">
        <v>42156</v>
      </c>
      <c r="B60" s="25" t="n">
        <v>46.1</v>
      </c>
      <c r="C60" s="25">
        <f>Table1346811121415161718192022252629[[#This Row],[PMI]]-B59</f>
        <v/>
      </c>
    </row>
    <row r="61">
      <c r="A61" s="10" t="n">
        <v>42186</v>
      </c>
      <c r="B61" s="25" t="n">
        <v>47.6</v>
      </c>
      <c r="C61" s="25">
        <f>Table1346811121415161718192022252629[[#This Row],[PMI]]-B60</f>
        <v/>
      </c>
    </row>
    <row r="62">
      <c r="A62" s="10" t="n">
        <v>42217</v>
      </c>
      <c r="B62" s="25" t="n">
        <v>47.9</v>
      </c>
      <c r="C62" s="25">
        <f>Table1346811121415161718192022252629[[#This Row],[PMI]]-B61</f>
        <v/>
      </c>
    </row>
    <row r="63">
      <c r="A63" s="10" t="n">
        <v>42248</v>
      </c>
      <c r="B63" s="25" t="n">
        <v>49.2</v>
      </c>
      <c r="C63" s="25">
        <f>Table1346811121415161718192022252629[[#This Row],[PMI]]-B62</f>
        <v/>
      </c>
    </row>
    <row r="64">
      <c r="A64" s="10" t="n">
        <v>42278</v>
      </c>
      <c r="B64" s="25" t="n">
        <v>49.1</v>
      </c>
      <c r="C64" s="25">
        <f>Table1346811121415161718192022252629[[#This Row],[PMI]]-B63</f>
        <v/>
      </c>
    </row>
    <row r="65">
      <c r="A65" s="10" t="n">
        <v>42309</v>
      </c>
      <c r="B65" s="25" t="n">
        <v>49.1</v>
      </c>
      <c r="C65" s="25">
        <f>Table1346811121415161718192022252629[[#This Row],[PMI]]-B64</f>
        <v/>
      </c>
    </row>
    <row r="66">
      <c r="A66" s="10" t="n">
        <v>42339</v>
      </c>
      <c r="B66" s="25" t="n">
        <v>50.7</v>
      </c>
      <c r="C66" s="25">
        <f>Table1346811121415161718192022252629[[#This Row],[PMI]]-B65</f>
        <v/>
      </c>
    </row>
    <row r="67">
      <c r="A67" s="10" t="n">
        <v>42370</v>
      </c>
      <c r="B67" s="25" t="n">
        <v>49.5</v>
      </c>
      <c r="C67" s="25">
        <f>Table1346811121415161718192022252629[[#This Row],[PMI]]-B66</f>
        <v/>
      </c>
    </row>
    <row r="68">
      <c r="A68" s="10" t="n">
        <v>42401</v>
      </c>
      <c r="B68" s="25" t="n">
        <v>48.7</v>
      </c>
      <c r="C68" s="25">
        <f>Table1346811121415161718192022252629[[#This Row],[PMI]]-B67</f>
        <v/>
      </c>
    </row>
    <row r="69">
      <c r="A69" s="10" t="n">
        <v>42430</v>
      </c>
      <c r="B69" s="25" t="n">
        <v>49.5</v>
      </c>
      <c r="C69" s="25">
        <f>Table1346811121415161718192022252629[[#This Row],[PMI]]-B68</f>
        <v/>
      </c>
    </row>
    <row r="70">
      <c r="A70" s="10" t="n">
        <v>42461</v>
      </c>
      <c r="B70" s="25" t="n">
        <v>50</v>
      </c>
      <c r="C70" s="25">
        <f>Table1346811121415161718192022252629[[#This Row],[PMI]]-B69</f>
        <v/>
      </c>
    </row>
    <row r="71">
      <c r="A71" s="10" t="n">
        <v>42491</v>
      </c>
      <c r="B71" s="25" t="n">
        <v>50.1</v>
      </c>
      <c r="C71" s="25">
        <f>Table1346811121415161718192022252629[[#This Row],[PMI]]-B70</f>
        <v/>
      </c>
    </row>
    <row r="72">
      <c r="A72" s="10" t="n">
        <v>42522</v>
      </c>
      <c r="B72" s="25" t="n">
        <v>50.5</v>
      </c>
      <c r="C72" s="25">
        <f>Table1346811121415161718192022252629[[#This Row],[PMI]]-B71</f>
        <v/>
      </c>
    </row>
    <row r="73">
      <c r="A73" s="10" t="n">
        <v>42552</v>
      </c>
      <c r="B73" s="25" t="n">
        <v>50.1</v>
      </c>
      <c r="C73" s="25">
        <f>Table1346811121415161718192022252629[[#This Row],[PMI]]-B72</f>
        <v/>
      </c>
    </row>
    <row r="74">
      <c r="A74" s="10" t="n">
        <v>42583</v>
      </c>
      <c r="B74" s="25" t="n">
        <v>48.6</v>
      </c>
      <c r="C74" s="25">
        <f>Table1346811121415161718192022252629[[#This Row],[PMI]]-B73</f>
        <v/>
      </c>
    </row>
    <row r="75">
      <c r="A75" s="10" t="n">
        <v>42614</v>
      </c>
      <c r="B75" s="25" t="n">
        <v>47.6</v>
      </c>
      <c r="C75" s="25">
        <f>Table1346811121415161718192022252629[[#This Row],[PMI]]-B74</f>
        <v/>
      </c>
    </row>
    <row r="76">
      <c r="A76" s="10" t="n">
        <v>42644</v>
      </c>
      <c r="B76" s="25" t="n">
        <v>48</v>
      </c>
      <c r="C76" s="25">
        <f>Table1346811121415161718192022252629[[#This Row],[PMI]]-B75</f>
        <v/>
      </c>
    </row>
    <row r="77">
      <c r="A77" s="10" t="n">
        <v>42675</v>
      </c>
      <c r="B77" s="25" t="n">
        <v>48</v>
      </c>
      <c r="C77" s="25">
        <f>Table1346811121415161718192022252629[[#This Row],[PMI]]-B76</f>
        <v/>
      </c>
    </row>
    <row r="78">
      <c r="A78" s="10" t="n">
        <v>42705</v>
      </c>
      <c r="B78" s="25" t="n">
        <v>49.4</v>
      </c>
      <c r="C78" s="25">
        <f>Table1346811121415161718192022252629[[#This Row],[PMI]]-B77</f>
        <v/>
      </c>
    </row>
    <row r="79">
      <c r="A79" s="10" t="n">
        <v>42736</v>
      </c>
      <c r="B79" s="25" t="n">
        <v>49</v>
      </c>
      <c r="C79" s="25">
        <f>Table1346811121415161718192022252629[[#This Row],[PMI]]-B78</f>
        <v/>
      </c>
    </row>
    <row r="80">
      <c r="A80" s="10" t="n">
        <v>42767</v>
      </c>
      <c r="B80" s="25" t="n">
        <v>49.2</v>
      </c>
      <c r="C80" s="25">
        <f>Table1346811121415161718192022252629[[#This Row],[PMI]]-B79</f>
        <v/>
      </c>
    </row>
    <row r="81">
      <c r="A81" s="10" t="n">
        <v>42795</v>
      </c>
      <c r="B81" s="25" t="n">
        <v>48.4</v>
      </c>
      <c r="C81" s="25">
        <f>Table1346811121415161718192022252629[[#This Row],[PMI]]-B80</f>
        <v/>
      </c>
    </row>
    <row r="82">
      <c r="A82" s="10" t="n">
        <v>42826</v>
      </c>
      <c r="B82" s="25" t="n">
        <v>49.4</v>
      </c>
      <c r="C82" s="25">
        <f>Table1346811121415161718192022252629[[#This Row],[PMI]]-B81</f>
        <v/>
      </c>
    </row>
    <row r="83">
      <c r="A83" s="10" t="n">
        <v>42856</v>
      </c>
      <c r="B83" s="25" t="n">
        <v>49.2</v>
      </c>
      <c r="C83" s="25">
        <f>Table1346811121415161718192022252629[[#This Row],[PMI]]-B82</f>
        <v/>
      </c>
    </row>
    <row r="84">
      <c r="A84" s="10" t="n">
        <v>42887</v>
      </c>
      <c r="B84" s="25" t="n">
        <v>50.1</v>
      </c>
      <c r="C84" s="25">
        <f>Table1346811121415161718192022252629[[#This Row],[PMI]]-B83</f>
        <v/>
      </c>
    </row>
    <row r="85">
      <c r="A85" s="10" t="n">
        <v>42917</v>
      </c>
      <c r="B85" s="25" t="n">
        <v>49.1</v>
      </c>
      <c r="C85" s="25">
        <f>Table1346811121415161718192022252629[[#This Row],[PMI]]-B84</f>
        <v/>
      </c>
    </row>
    <row r="86">
      <c r="A86" s="10" t="n">
        <v>42948</v>
      </c>
      <c r="B86" s="25" t="n">
        <v>49.9</v>
      </c>
      <c r="C86" s="25">
        <f>Table1346811121415161718192022252629[[#This Row],[PMI]]-B85</f>
        <v/>
      </c>
    </row>
    <row r="87">
      <c r="A87" s="10" t="n">
        <v>42979</v>
      </c>
      <c r="B87" s="25" t="n">
        <v>50.6</v>
      </c>
      <c r="C87" s="25">
        <f>Table1346811121415161718192022252629[[#This Row],[PMI]]-B86</f>
        <v/>
      </c>
    </row>
    <row r="88">
      <c r="A88" s="10" t="n">
        <v>43009</v>
      </c>
      <c r="B88" s="25" t="n">
        <v>50.2</v>
      </c>
      <c r="C88" s="25">
        <f>Table1346811121415161718192022252629[[#This Row],[PMI]]-B87</f>
        <v/>
      </c>
    </row>
    <row r="89">
      <c r="A89" s="10" t="n">
        <v>43040</v>
      </c>
      <c r="B89" s="25" t="n">
        <v>51.2</v>
      </c>
      <c r="C89" s="25">
        <f>Table1346811121415161718192022252629[[#This Row],[PMI]]-B88</f>
        <v/>
      </c>
    </row>
    <row r="90">
      <c r="A90" s="10" t="n">
        <v>43070</v>
      </c>
      <c r="B90" s="25" t="n">
        <v>49.9</v>
      </c>
      <c r="C90" s="25">
        <f>Table1346811121415161718192022252629[[#This Row],[PMI]]-B89</f>
        <v/>
      </c>
    </row>
    <row r="91">
      <c r="A91" s="10" t="n">
        <v>43101</v>
      </c>
      <c r="B91" s="25" t="n">
        <v>50.7</v>
      </c>
      <c r="C91" s="25">
        <f>Table1346811121415161718192022252629[[#This Row],[PMI]]-B90</f>
        <v/>
      </c>
    </row>
    <row r="92">
      <c r="A92" s="10" t="n">
        <v>43132</v>
      </c>
      <c r="B92" s="25" t="n">
        <v>50.3</v>
      </c>
      <c r="C92" s="25">
        <f>Table1346811121415161718192022252629[[#This Row],[PMI]]-B91</f>
        <v/>
      </c>
    </row>
    <row r="93">
      <c r="A93" s="10" t="n">
        <v>43160</v>
      </c>
      <c r="B93" s="25" t="n">
        <v>49.1</v>
      </c>
      <c r="C93" s="25">
        <f>Table1346811121415161718192022252629[[#This Row],[PMI]]-B92</f>
        <v/>
      </c>
    </row>
    <row r="94">
      <c r="A94" s="10" t="n">
        <v>43191</v>
      </c>
      <c r="B94" s="25" t="n">
        <v>48.4</v>
      </c>
      <c r="C94" s="25">
        <f>Table1346811121415161718192022252629[[#This Row],[PMI]]-B93</f>
        <v/>
      </c>
    </row>
    <row r="95">
      <c r="A95" s="10" t="n">
        <v>43221</v>
      </c>
      <c r="B95" s="25" t="n">
        <v>48.9</v>
      </c>
      <c r="C95" s="25">
        <f>Table1346811121415161718192022252629[[#This Row],[PMI]]-B94</f>
        <v/>
      </c>
    </row>
    <row r="96">
      <c r="A96" s="10" t="n">
        <v>43252</v>
      </c>
      <c r="B96" s="25" t="n">
        <v>49.8</v>
      </c>
      <c r="C96" s="25">
        <f>Table1346811121415161718192022252629[[#This Row],[PMI]]-B95</f>
        <v/>
      </c>
    </row>
    <row r="97">
      <c r="A97" s="10" t="n">
        <v>43282</v>
      </c>
      <c r="B97" s="25" t="n">
        <v>48.3</v>
      </c>
      <c r="C97" s="25">
        <f>Table1346811121415161718192022252629[[#This Row],[PMI]]-B96</f>
        <v/>
      </c>
    </row>
    <row r="98">
      <c r="A98" s="10" t="n">
        <v>43313</v>
      </c>
      <c r="B98" s="25" t="n">
        <v>49.9</v>
      </c>
      <c r="C98" s="25">
        <f>Table1346811121415161718192022252629[[#This Row],[PMI]]-B97</f>
        <v/>
      </c>
    </row>
    <row r="99">
      <c r="A99" s="10" t="n">
        <v>43344</v>
      </c>
      <c r="B99" s="25" t="n">
        <v>51.3</v>
      </c>
      <c r="C99" s="25">
        <f>Table1346811121415161718192022252629[[#This Row],[PMI]]-B98</f>
        <v/>
      </c>
    </row>
    <row r="100">
      <c r="A100" s="10" t="n">
        <v>43374</v>
      </c>
      <c r="B100" s="25" t="n">
        <v>51</v>
      </c>
      <c r="C100" s="25">
        <f>Table1346811121415161718192022252629[[#This Row],[PMI]]-B99</f>
        <v/>
      </c>
    </row>
    <row r="101">
      <c r="A101" s="10" t="n">
        <v>43405</v>
      </c>
      <c r="B101" s="25" t="n">
        <v>48.6</v>
      </c>
      <c r="C101" s="25">
        <f>Table1346811121415161718192022252629[[#This Row],[PMI]]-B100</f>
        <v/>
      </c>
    </row>
    <row r="102">
      <c r="A102" s="10" t="n">
        <v>43435</v>
      </c>
      <c r="B102" s="25" t="n">
        <v>49.8</v>
      </c>
      <c r="C102" s="25">
        <f>Table1346811121415161718192022252629[[#This Row],[PMI]]-B101</f>
        <v/>
      </c>
    </row>
    <row r="103">
      <c r="A103" s="10" t="n">
        <v>43466</v>
      </c>
      <c r="B103" s="25" t="n">
        <v>48.3</v>
      </c>
      <c r="C103" s="25">
        <f>Table1346811121415161718192022252629[[#This Row],[PMI]]-B102</f>
        <v/>
      </c>
    </row>
    <row r="104">
      <c r="A104" s="10" t="n">
        <v>43497</v>
      </c>
      <c r="B104" s="25" t="n">
        <v>47.2</v>
      </c>
      <c r="C104" s="25">
        <f>Table1346811121415161718192022252629[[#This Row],[PMI]]-B103</f>
        <v/>
      </c>
    </row>
    <row r="105">
      <c r="A105" s="10" t="n">
        <v>43525</v>
      </c>
      <c r="B105" s="25" t="n">
        <v>48.8</v>
      </c>
      <c r="C105" s="25">
        <f>Table1346811121415161718192022252629[[#This Row],[PMI]]-B104</f>
        <v/>
      </c>
    </row>
    <row r="106">
      <c r="A106" s="10" t="n">
        <v>43556</v>
      </c>
      <c r="B106" s="25" t="n">
        <v>50.2</v>
      </c>
      <c r="C106" s="25">
        <f>Table1346811121415161718192022252629[[#This Row],[PMI]]-B105</f>
        <v/>
      </c>
    </row>
    <row r="107">
      <c r="A107" s="10" t="n">
        <v>43586</v>
      </c>
      <c r="B107" s="25" t="n">
        <v>48.4</v>
      </c>
      <c r="C107" s="25">
        <f>Table1346811121415161718192022252629[[#This Row],[PMI]]-B106</f>
        <v/>
      </c>
    </row>
    <row r="108">
      <c r="A108" s="10" t="n">
        <v>43617</v>
      </c>
      <c r="B108" s="25" t="n">
        <v>47.5</v>
      </c>
      <c r="C108" s="25">
        <f>Table1346811121415161718192022252629[[#This Row],[PMI]]-B107</f>
        <v/>
      </c>
    </row>
    <row r="109">
      <c r="A109" s="10" t="n">
        <v>43647</v>
      </c>
      <c r="B109" s="25" t="n">
        <v>47.3</v>
      </c>
      <c r="C109" s="25">
        <f>Table1346811121415161718192022252629[[#This Row],[PMI]]-B108</f>
        <v/>
      </c>
    </row>
    <row r="110">
      <c r="A110" s="10" t="n">
        <v>43678</v>
      </c>
      <c r="B110" s="25" t="n">
        <v>49</v>
      </c>
      <c r="C110" s="25">
        <f>Table1346811121415161718192022252629[[#This Row],[PMI]]-B109</f>
        <v/>
      </c>
    </row>
    <row r="111">
      <c r="A111" s="10" t="n">
        <v>43709</v>
      </c>
      <c r="B111" s="25" t="n">
        <v>48</v>
      </c>
      <c r="C111" s="25">
        <f>Table1346811121415161718192022252629[[#This Row],[PMI]]-B110</f>
        <v/>
      </c>
    </row>
    <row r="112">
      <c r="A112" s="10" t="n">
        <v>43739</v>
      </c>
      <c r="B112" s="25" t="n">
        <v>48.4</v>
      </c>
      <c r="C112" s="25">
        <f>Table1346811121415161718192022252629[[#This Row],[PMI]]-B111</f>
        <v/>
      </c>
    </row>
    <row r="113">
      <c r="A113" s="10" t="n">
        <v>43770</v>
      </c>
      <c r="B113" s="25" t="n">
        <v>49.4</v>
      </c>
      <c r="C113" s="25">
        <f>Table1346811121415161718192022252629[[#This Row],[PMI]]-B112</f>
        <v/>
      </c>
    </row>
    <row r="114">
      <c r="A114" s="10" t="n">
        <v>43800</v>
      </c>
      <c r="B114" s="25" t="n">
        <v>50.1</v>
      </c>
      <c r="C114" s="25">
        <f>Table1346811121415161718192022252629[[#This Row],[PMI]]-B113</f>
        <v/>
      </c>
    </row>
    <row r="115">
      <c r="A115" s="10" t="n">
        <v>43831</v>
      </c>
      <c r="B115" s="25" t="n">
        <v>49.8</v>
      </c>
      <c r="C115" s="25">
        <f>Table1346811121415161718192022252629[[#This Row],[PMI]]-B114</f>
        <v/>
      </c>
    </row>
    <row r="116">
      <c r="A116" s="10" t="n">
        <v>43862</v>
      </c>
      <c r="B116" s="25" t="n">
        <v>48.7</v>
      </c>
      <c r="C116" s="25">
        <f>Table1346811121415161718192022252629[[#This Row],[PMI]]-B115</f>
        <v/>
      </c>
    </row>
    <row r="117">
      <c r="A117" s="10" t="n">
        <v>43891</v>
      </c>
      <c r="B117" s="25" t="n">
        <v>44.2</v>
      </c>
      <c r="C117" s="25">
        <f>Table1346811121415161718192022252629[[#This Row],[PMI]]-B116</f>
        <v/>
      </c>
    </row>
    <row r="118">
      <c r="A118" s="10" t="n">
        <v>43922</v>
      </c>
      <c r="B118" s="25" t="n">
        <v>41.6</v>
      </c>
      <c r="C118" s="25">
        <f>Table1346811121415161718192022252629[[#This Row],[PMI]]-B117</f>
        <v/>
      </c>
    </row>
    <row r="119">
      <c r="A119" s="10" t="n">
        <v>43952</v>
      </c>
      <c r="B119" s="25" t="n">
        <v>41.3</v>
      </c>
      <c r="C119" s="25">
        <f>Table1346811121415161718192022252629[[#This Row],[PMI]]-B118</f>
        <v/>
      </c>
    </row>
    <row r="120">
      <c r="A120" s="10" t="n">
        <v>43983</v>
      </c>
      <c r="B120" s="25" t="n">
        <v>43.4</v>
      </c>
      <c r="C120" s="25">
        <f>Table1346811121415161718192022252629[[#This Row],[PMI]]-B119</f>
        <v/>
      </c>
    </row>
    <row r="121">
      <c r="A121" s="10" t="n">
        <v>44013</v>
      </c>
      <c r="B121" s="25" t="n">
        <v>46.9</v>
      </c>
      <c r="C121" s="25">
        <f>Table1346811121415161718192022252629[[#This Row],[PMI]]-B120</f>
        <v/>
      </c>
    </row>
    <row r="122">
      <c r="A122" s="10" t="n">
        <v>44044</v>
      </c>
      <c r="B122" s="25" t="n">
        <v>48.5</v>
      </c>
      <c r="C122" s="25">
        <f>Table1346811121415161718192022252629[[#This Row],[PMI]]-B121</f>
        <v/>
      </c>
    </row>
    <row r="123">
      <c r="A123" s="10" t="n">
        <v>44075</v>
      </c>
      <c r="B123" s="25" t="n">
        <v>49.8</v>
      </c>
      <c r="C123" s="25">
        <f>Table1346811121415161718192022252629[[#This Row],[PMI]]-B122</f>
        <v/>
      </c>
    </row>
    <row r="124">
      <c r="A124" s="10" t="n">
        <v>44105</v>
      </c>
      <c r="B124" s="25" t="n">
        <v>51.2</v>
      </c>
      <c r="C124" s="25">
        <f>Table1346811121415161718192022252629[[#This Row],[PMI]]-B123</f>
        <v/>
      </c>
    </row>
    <row r="125">
      <c r="A125" s="10" t="n">
        <v>44136</v>
      </c>
      <c r="B125" s="25" t="n">
        <v>52.9</v>
      </c>
      <c r="C125" s="25">
        <f>Table1346811121415161718192022252629[[#This Row],[PMI]]-B124</f>
        <v/>
      </c>
    </row>
    <row r="126">
      <c r="A126" s="10" t="n">
        <v>44166</v>
      </c>
      <c r="B126" s="25" t="n">
        <v>52.9</v>
      </c>
      <c r="C126" s="25">
        <f>Table1346811121415161718192022252629[[#This Row],[PMI]]-B125</f>
        <v/>
      </c>
    </row>
    <row r="127">
      <c r="A127" s="10" t="n">
        <v>44197</v>
      </c>
      <c r="B127" s="25" t="n">
        <v>53.2</v>
      </c>
      <c r="C127" s="25">
        <f>Table1346811121415161718192022252629[[#This Row],[PMI]]-B126</f>
        <v/>
      </c>
    </row>
    <row r="128">
      <c r="A128" s="10" t="n">
        <v>44228</v>
      </c>
      <c r="B128" s="25" t="n">
        <v>55.3</v>
      </c>
      <c r="C128" s="25">
        <f>Table1346811121415161718192022252629[[#This Row],[PMI]]-B127</f>
        <v/>
      </c>
    </row>
    <row r="129">
      <c r="A129" s="10" t="n">
        <v>44256</v>
      </c>
      <c r="B129" s="25" t="n">
        <v>55.3</v>
      </c>
      <c r="C129" s="25">
        <f>Table1346811121415161718192022252629[[#This Row],[PMI]]-B128</f>
        <v/>
      </c>
    </row>
    <row r="130">
      <c r="A130" s="10" t="n">
        <v>44287</v>
      </c>
      <c r="B130" s="25" t="n">
        <v>54.6</v>
      </c>
      <c r="C130" s="25">
        <f>Table1346811121415161718192022252629[[#This Row],[PMI]]-B129</f>
        <v/>
      </c>
    </row>
    <row r="131">
      <c r="A131" s="10" t="n">
        <v>44317</v>
      </c>
      <c r="B131" s="25" t="n">
        <v>53.7</v>
      </c>
      <c r="C131" s="25">
        <f>Table1346811121415161718192022252629[[#This Row],[PMI]]-B130</f>
        <v/>
      </c>
    </row>
    <row r="132">
      <c r="A132" s="10" t="n">
        <v>44348</v>
      </c>
      <c r="B132" s="25" t="n">
        <v>53.9</v>
      </c>
      <c r="C132" s="25">
        <f>Table1346811121415161718192022252629[[#This Row],[PMI]]-B131</f>
        <v/>
      </c>
    </row>
    <row r="133">
      <c r="A133" s="10" t="n">
        <v>44378</v>
      </c>
      <c r="B133" s="25" t="n">
        <v>53</v>
      </c>
      <c r="C133" s="25">
        <f>Table1346811121415161718192022252629[[#This Row],[PMI]]-B132</f>
        <v/>
      </c>
    </row>
    <row r="134">
      <c r="A134" s="10" t="n">
        <v>44409</v>
      </c>
      <c r="B134" s="25" t="n">
        <v>51.2</v>
      </c>
      <c r="C134" s="25">
        <f>Table1346811121415161718192022252629[[#This Row],[PMI]]-B133</f>
        <v/>
      </c>
    </row>
    <row r="135">
      <c r="A135" s="10" t="n">
        <v>44440</v>
      </c>
      <c r="B135" s="25" t="n">
        <v>52.4</v>
      </c>
      <c r="C135" s="25">
        <f>Table1346811121415161718192022252629[[#This Row],[PMI]]-B134</f>
        <v/>
      </c>
    </row>
    <row r="136">
      <c r="A136" s="10" t="n">
        <v>44470</v>
      </c>
      <c r="B136" s="25" t="n">
        <v>50.2</v>
      </c>
      <c r="C136" s="25">
        <f>Table1346811121415161718192022252629[[#This Row],[PMI]]-B135</f>
        <v/>
      </c>
    </row>
    <row r="137">
      <c r="A137" s="10" t="n">
        <v>44501</v>
      </c>
      <c r="B137" s="25" t="n">
        <v>50.9</v>
      </c>
      <c r="C137" s="25">
        <f>Table1346811121415161718192022252629[[#This Row],[PMI]]-B136</f>
        <v/>
      </c>
    </row>
    <row r="138">
      <c r="A138" s="10" t="n">
        <v>44531</v>
      </c>
      <c r="B138" s="25" t="n">
        <v>51.9</v>
      </c>
      <c r="C138" s="25">
        <f>Table1346811121415161718192022252629[[#This Row],[PMI]]-B137</f>
        <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0"/>
  <sheetViews>
    <sheetView zoomScale="170" zoomScaleNormal="170" workbookViewId="0">
      <pane ySplit="5" topLeftCell="A105" activePane="bottomLeft" state="frozen"/>
      <selection pane="bottomLeft" activeCell="A141" sqref="A141"/>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Taiwan</t>
        </is>
      </c>
      <c r="K1" s="84" t="inlineStr">
        <is>
          <t xml:space="preserve"> Manufacturing PMI</t>
        </is>
      </c>
    </row>
    <row r="2">
      <c r="A2" s="84" t="inlineStr">
        <is>
          <t>taiwan</t>
        </is>
      </c>
      <c r="K2" s="84">
        <f>A1&amp;K1</f>
        <v/>
      </c>
    </row>
    <row r="4" ht="16" customHeight="1" s="76" thickBot="1"/>
    <row r="5" ht="16" customHeight="1" s="76" thickBot="1">
      <c r="A5" s="22" t="inlineStr">
        <is>
          <t>Date</t>
        </is>
      </c>
      <c r="B5" s="23" t="inlineStr">
        <is>
          <t>PMI</t>
        </is>
      </c>
      <c r="C5" s="23" t="inlineStr">
        <is>
          <t>mom</t>
        </is>
      </c>
    </row>
    <row r="6">
      <c r="A6" s="18" t="n">
        <v>40452</v>
      </c>
      <c r="B6" s="19" t="n">
        <v>48.6</v>
      </c>
      <c r="C6" s="19" t="n"/>
    </row>
    <row r="7">
      <c r="A7" s="10" t="n">
        <v>40483</v>
      </c>
      <c r="B7" s="25" t="n">
        <v>51.7</v>
      </c>
      <c r="C7" s="25">
        <f>Table1346811121415161718192022253033[[#This Row],[PMI]]-B6</f>
        <v/>
      </c>
    </row>
    <row r="8">
      <c r="A8" s="10" t="n">
        <v>40513</v>
      </c>
      <c r="B8" s="25" t="n">
        <v>51.7</v>
      </c>
      <c r="C8" s="25">
        <f>Table1346811121415161718192022253033[[#This Row],[PMI]]-B7</f>
        <v/>
      </c>
    </row>
    <row r="9">
      <c r="A9" s="10" t="n">
        <v>40544</v>
      </c>
      <c r="B9" s="25" t="n">
        <v>54.6</v>
      </c>
      <c r="C9" s="25">
        <f>Table1346811121415161718192022253033[[#This Row],[PMI]]-B8</f>
        <v/>
      </c>
    </row>
    <row r="10">
      <c r="A10" s="10" t="n">
        <v>40575</v>
      </c>
      <c r="B10" s="25" t="n">
        <v>55.8</v>
      </c>
      <c r="C10" s="25">
        <f>Table1346811121415161718192022253033[[#This Row],[PMI]]-B9</f>
        <v/>
      </c>
    </row>
    <row r="11">
      <c r="A11" s="10" t="n">
        <v>40603</v>
      </c>
      <c r="B11" s="25" t="n">
        <v>55.6</v>
      </c>
      <c r="C11" s="25">
        <f>Table1346811121415161718192022253033[[#This Row],[PMI]]-B10</f>
        <v/>
      </c>
    </row>
    <row r="12">
      <c r="A12" s="10" t="n">
        <v>40634</v>
      </c>
      <c r="B12" s="25" t="n">
        <v>58.2</v>
      </c>
      <c r="C12" s="25">
        <f>Table1346811121415161718192022253033[[#This Row],[PMI]]-B11</f>
        <v/>
      </c>
    </row>
    <row r="13">
      <c r="A13" s="10" t="n">
        <v>40664</v>
      </c>
      <c r="B13" s="25" t="n">
        <v>54.9</v>
      </c>
      <c r="C13" s="25">
        <f>Table1346811121415161718192022253033[[#This Row],[PMI]]-B12</f>
        <v/>
      </c>
    </row>
    <row r="14">
      <c r="A14" s="10" t="n">
        <v>40695</v>
      </c>
      <c r="B14" s="25" t="n">
        <v>49.9</v>
      </c>
      <c r="C14" s="25">
        <f>Table1346811121415161718192022253033[[#This Row],[PMI]]-B13</f>
        <v/>
      </c>
    </row>
    <row r="15">
      <c r="A15" s="10" t="n">
        <v>40725</v>
      </c>
      <c r="B15" s="25" t="n">
        <v>46.1</v>
      </c>
      <c r="C15" s="25">
        <f>Table1346811121415161718192022253033[[#This Row],[PMI]]-B14</f>
        <v/>
      </c>
    </row>
    <row r="16">
      <c r="A16" s="10" t="n">
        <v>40756</v>
      </c>
      <c r="B16" s="25" t="n">
        <v>45.2</v>
      </c>
      <c r="C16" s="25">
        <f>Table1346811121415161718192022253033[[#This Row],[PMI]]-B15</f>
        <v/>
      </c>
    </row>
    <row r="17">
      <c r="A17" s="10" t="n">
        <v>40787</v>
      </c>
      <c r="B17" s="25" t="n">
        <v>44.5</v>
      </c>
      <c r="C17" s="25">
        <f>Table1346811121415161718192022253033[[#This Row],[PMI]]-B16</f>
        <v/>
      </c>
    </row>
    <row r="18">
      <c r="A18" s="10" t="n">
        <v>40817</v>
      </c>
      <c r="B18" s="25" t="n">
        <v>48</v>
      </c>
      <c r="C18" s="25">
        <f>Table1346811121415161718192022253033[[#This Row],[PMI]]-B17</f>
        <v/>
      </c>
    </row>
    <row r="19">
      <c r="A19" s="10" t="n">
        <v>40848</v>
      </c>
      <c r="B19" s="25" t="n">
        <v>47.1</v>
      </c>
      <c r="C19" s="25">
        <f>Table1346811121415161718192022253033[[#This Row],[PMI]]-B18</f>
        <v/>
      </c>
    </row>
    <row r="20">
      <c r="A20" s="10" t="n">
        <v>40878</v>
      </c>
      <c r="B20" s="25" t="n">
        <v>47.1</v>
      </c>
      <c r="C20" s="25">
        <f>Table1346811121415161718192022253033[[#This Row],[PMI]]-B19</f>
        <v/>
      </c>
    </row>
    <row r="21">
      <c r="A21" s="10" t="n">
        <v>40909</v>
      </c>
      <c r="B21" s="25" t="n">
        <v>47.1</v>
      </c>
      <c r="C21" s="25">
        <f>Table1346811121415161718192022253033[[#This Row],[PMI]]-B20</f>
        <v/>
      </c>
    </row>
    <row r="22">
      <c r="A22" s="10" t="n">
        <v>40940</v>
      </c>
      <c r="B22" s="25" t="n">
        <v>48.9</v>
      </c>
      <c r="C22" s="25">
        <f>Table1346811121415161718192022253033[[#This Row],[PMI]]-B21</f>
        <v/>
      </c>
    </row>
    <row r="23">
      <c r="A23" s="10" t="n">
        <v>40969</v>
      </c>
      <c r="B23" s="25" t="n">
        <v>52.7</v>
      </c>
      <c r="C23" s="25">
        <f>Table1346811121415161718192022253033[[#This Row],[PMI]]-B22</f>
        <v/>
      </c>
    </row>
    <row r="24">
      <c r="A24" s="10" t="n">
        <v>41000</v>
      </c>
      <c r="B24" s="25" t="n">
        <v>54.1</v>
      </c>
      <c r="C24" s="25">
        <f>Table1346811121415161718192022253033[[#This Row],[PMI]]-B23</f>
        <v/>
      </c>
    </row>
    <row r="25">
      <c r="A25" s="10" t="n">
        <v>41030</v>
      </c>
      <c r="B25" s="25" t="n">
        <v>51.2</v>
      </c>
      <c r="C25" s="25">
        <f>Table1346811121415161718192022253033[[#This Row],[PMI]]-B24</f>
        <v/>
      </c>
    </row>
    <row r="26">
      <c r="A26" s="10" t="n">
        <v>41061</v>
      </c>
      <c r="B26" s="25" t="n">
        <v>50.5</v>
      </c>
      <c r="C26" s="25">
        <f>Table1346811121415161718192022253033[[#This Row],[PMI]]-B25</f>
        <v/>
      </c>
    </row>
    <row r="27">
      <c r="A27" s="10" t="n">
        <v>41091</v>
      </c>
      <c r="B27" s="25" t="n">
        <v>49.2</v>
      </c>
      <c r="C27" s="25">
        <f>Table1346811121415161718192022253033[[#This Row],[PMI]]-B26</f>
        <v/>
      </c>
    </row>
    <row r="28">
      <c r="A28" s="10" t="n">
        <v>41122</v>
      </c>
      <c r="B28" s="25" t="n">
        <v>47.5</v>
      </c>
      <c r="C28" s="25">
        <f>Table1346811121415161718192022253033[[#This Row],[PMI]]-B27</f>
        <v/>
      </c>
    </row>
    <row r="29">
      <c r="A29" s="10" t="n">
        <v>41153</v>
      </c>
      <c r="B29" s="25" t="n">
        <v>46.1</v>
      </c>
      <c r="C29" s="25">
        <f>Table1346811121415161718192022253033[[#This Row],[PMI]]-B28</f>
        <v/>
      </c>
    </row>
    <row r="30">
      <c r="A30" s="10" t="n">
        <v>41183</v>
      </c>
      <c r="B30" s="25" t="n">
        <v>45.6</v>
      </c>
      <c r="C30" s="25">
        <f>Table1346811121415161718192022253033[[#This Row],[PMI]]-B29</f>
        <v/>
      </c>
    </row>
    <row r="31">
      <c r="A31" s="10" t="n">
        <v>41214</v>
      </c>
      <c r="B31" s="25" t="n">
        <v>47.8</v>
      </c>
      <c r="C31" s="25">
        <f>Table1346811121415161718192022253033[[#This Row],[PMI]]-B30</f>
        <v/>
      </c>
    </row>
    <row r="32">
      <c r="A32" s="10" t="n">
        <v>41244</v>
      </c>
      <c r="B32" s="25" t="n">
        <v>47.4</v>
      </c>
      <c r="C32" s="25">
        <f>Table1346811121415161718192022253033[[#This Row],[PMI]]-B31</f>
        <v/>
      </c>
    </row>
    <row r="33">
      <c r="A33" s="10" t="n">
        <v>41275</v>
      </c>
      <c r="B33" s="25" t="n">
        <v>51.5</v>
      </c>
      <c r="C33" s="25">
        <f>Table1346811121415161718192022253033[[#This Row],[PMI]]-B32</f>
        <v/>
      </c>
    </row>
    <row r="34">
      <c r="A34" s="10" t="n">
        <v>41306</v>
      </c>
      <c r="B34" s="25" t="n">
        <v>51.5</v>
      </c>
      <c r="C34" s="25">
        <f>Table1346811121415161718192022253033[[#This Row],[PMI]]-B33</f>
        <v/>
      </c>
    </row>
    <row r="35">
      <c r="A35" s="10" t="n">
        <v>41334</v>
      </c>
      <c r="B35" s="25" t="n">
        <v>50.2</v>
      </c>
      <c r="C35" s="25">
        <f>Table1346811121415161718192022253033[[#This Row],[PMI]]-B34</f>
        <v/>
      </c>
    </row>
    <row r="36">
      <c r="A36" s="10" t="n">
        <v>41365</v>
      </c>
      <c r="B36" s="25" t="n">
        <v>51.2</v>
      </c>
      <c r="C36" s="25">
        <f>Table1346811121415161718192022253033[[#This Row],[PMI]]-B35</f>
        <v/>
      </c>
    </row>
    <row r="37">
      <c r="A37" s="10" t="n">
        <v>41395</v>
      </c>
      <c r="B37" s="25" t="n">
        <v>50.7</v>
      </c>
      <c r="C37" s="25">
        <f>Table1346811121415161718192022253033[[#This Row],[PMI]]-B36</f>
        <v/>
      </c>
    </row>
    <row r="38">
      <c r="A38" s="10" t="n">
        <v>41426</v>
      </c>
      <c r="B38" s="25" t="n">
        <v>47.1</v>
      </c>
      <c r="C38" s="25">
        <f>Table1346811121415161718192022253033[[#This Row],[PMI]]-B37</f>
        <v/>
      </c>
    </row>
    <row r="39">
      <c r="A39" s="10" t="n">
        <v>41456</v>
      </c>
      <c r="B39" s="25" t="n">
        <v>49.5</v>
      </c>
      <c r="C39" s="25">
        <f>Table1346811121415161718192022253033[[#This Row],[PMI]]-B38</f>
        <v/>
      </c>
    </row>
    <row r="40">
      <c r="A40" s="10" t="n">
        <v>41487</v>
      </c>
      <c r="B40" s="25" t="n">
        <v>48.6</v>
      </c>
      <c r="C40" s="25">
        <f>Table1346811121415161718192022253033[[#This Row],[PMI]]-B39</f>
        <v/>
      </c>
    </row>
    <row r="41">
      <c r="A41" s="10" t="n">
        <v>41518</v>
      </c>
      <c r="B41" s="25" t="n">
        <v>50</v>
      </c>
      <c r="C41" s="25">
        <f>Table1346811121415161718192022253033[[#This Row],[PMI]]-B40</f>
        <v/>
      </c>
    </row>
    <row r="42">
      <c r="A42" s="10" t="n">
        <v>41548</v>
      </c>
      <c r="B42" s="25" t="n">
        <v>52</v>
      </c>
      <c r="C42" s="25">
        <f>Table1346811121415161718192022253033[[#This Row],[PMI]]-B41</f>
        <v/>
      </c>
    </row>
    <row r="43">
      <c r="A43" s="10" t="n">
        <v>41579</v>
      </c>
      <c r="B43" s="25" t="n">
        <v>53</v>
      </c>
      <c r="C43" s="25">
        <f>Table1346811121415161718192022253033[[#This Row],[PMI]]-B42</f>
        <v/>
      </c>
    </row>
    <row r="44">
      <c r="A44" s="10" t="n">
        <v>41609</v>
      </c>
      <c r="B44" s="25" t="n">
        <v>53.4</v>
      </c>
      <c r="C44" s="25">
        <f>Table1346811121415161718192022253033[[#This Row],[PMI]]-B43</f>
        <v/>
      </c>
    </row>
    <row r="45">
      <c r="A45" s="10" t="n">
        <v>41640</v>
      </c>
      <c r="B45" s="25" t="n">
        <v>55.5</v>
      </c>
      <c r="C45" s="25">
        <f>Table1346811121415161718192022253033[[#This Row],[PMI]]-B44</f>
        <v/>
      </c>
    </row>
    <row r="46">
      <c r="A46" s="10" t="n">
        <v>41671</v>
      </c>
      <c r="B46" s="25" t="n">
        <v>54.7</v>
      </c>
      <c r="C46" s="25">
        <f>Table1346811121415161718192022253033[[#This Row],[PMI]]-B45</f>
        <v/>
      </c>
    </row>
    <row r="47">
      <c r="A47" s="10" t="n">
        <v>41699</v>
      </c>
      <c r="B47" s="25" t="n">
        <v>52.7</v>
      </c>
      <c r="C47" s="25">
        <f>Table1346811121415161718192022253033[[#This Row],[PMI]]-B46</f>
        <v/>
      </c>
    </row>
    <row r="48">
      <c r="A48" s="10" t="n">
        <v>41730</v>
      </c>
      <c r="B48" s="25" t="n">
        <v>52.3</v>
      </c>
      <c r="C48" s="25">
        <f>Table1346811121415161718192022253033[[#This Row],[PMI]]-B47</f>
        <v/>
      </c>
    </row>
    <row r="49">
      <c r="A49" s="10" t="n">
        <v>41760</v>
      </c>
      <c r="B49" s="25" t="n">
        <v>52.4</v>
      </c>
      <c r="C49" s="25">
        <f>Table1346811121415161718192022253033[[#This Row],[PMI]]-B48</f>
        <v/>
      </c>
    </row>
    <row r="50">
      <c r="A50" s="10" t="n">
        <v>41791</v>
      </c>
      <c r="B50" s="25" t="n">
        <v>54</v>
      </c>
      <c r="C50" s="25">
        <f>Table1346811121415161718192022253033[[#This Row],[PMI]]-B49</f>
        <v/>
      </c>
    </row>
    <row r="51">
      <c r="A51" s="10" t="n">
        <v>41821</v>
      </c>
      <c r="B51" s="25" t="n">
        <v>55.8</v>
      </c>
      <c r="C51" s="25">
        <f>Table1346811121415161718192022253033[[#This Row],[PMI]]-B50</f>
        <v/>
      </c>
    </row>
    <row r="52">
      <c r="A52" s="10" t="n">
        <v>41852</v>
      </c>
      <c r="B52" s="25" t="n">
        <v>56.1</v>
      </c>
      <c r="C52" s="25">
        <f>Table1346811121415161718192022253033[[#This Row],[PMI]]-B51</f>
        <v/>
      </c>
    </row>
    <row r="53">
      <c r="A53" s="10" t="n">
        <v>41883</v>
      </c>
      <c r="B53" s="25" t="n">
        <v>53.3</v>
      </c>
      <c r="C53" s="25">
        <f>Table1346811121415161718192022253033[[#This Row],[PMI]]-B52</f>
        <v/>
      </c>
    </row>
    <row r="54">
      <c r="A54" s="10" t="n">
        <v>41913</v>
      </c>
      <c r="B54" s="25" t="n">
        <v>52</v>
      </c>
      <c r="C54" s="25">
        <f>Table1346811121415161718192022253033[[#This Row],[PMI]]-B53</f>
        <v/>
      </c>
    </row>
    <row r="55">
      <c r="A55" s="10" t="n">
        <v>41944</v>
      </c>
      <c r="B55" s="25" t="n">
        <v>51.4</v>
      </c>
      <c r="C55" s="25">
        <f>Table1346811121415161718192022253033[[#This Row],[PMI]]-B54</f>
        <v/>
      </c>
    </row>
    <row r="56">
      <c r="A56" s="10" t="n">
        <v>41974</v>
      </c>
      <c r="B56" s="25" t="n">
        <v>50</v>
      </c>
      <c r="C56" s="25">
        <f>Table1346811121415161718192022253033[[#This Row],[PMI]]-B55</f>
        <v/>
      </c>
    </row>
    <row r="57">
      <c r="A57" s="10" t="n">
        <v>42005</v>
      </c>
      <c r="B57" s="25" t="n">
        <v>51.7</v>
      </c>
      <c r="C57" s="25">
        <f>Table1346811121415161718192022253033[[#This Row],[PMI]]-B56</f>
        <v/>
      </c>
    </row>
    <row r="58">
      <c r="A58" s="10" t="n">
        <v>42036</v>
      </c>
      <c r="B58" s="25" t="n">
        <v>52.1</v>
      </c>
      <c r="C58" s="25">
        <f>Table1346811121415161718192022253033[[#This Row],[PMI]]-B57</f>
        <v/>
      </c>
    </row>
    <row r="59">
      <c r="A59" s="10" t="n">
        <v>42064</v>
      </c>
      <c r="B59" s="25" t="n">
        <v>51</v>
      </c>
      <c r="C59" s="25">
        <f>Table1346811121415161718192022253033[[#This Row],[PMI]]-B58</f>
        <v/>
      </c>
    </row>
    <row r="60">
      <c r="A60" s="10" t="n">
        <v>42095</v>
      </c>
      <c r="B60" s="25" t="n">
        <v>49.2</v>
      </c>
      <c r="C60" s="25">
        <f>Table1346811121415161718192022253033[[#This Row],[PMI]]-B59</f>
        <v/>
      </c>
    </row>
    <row r="61">
      <c r="A61" s="10" t="n">
        <v>42125</v>
      </c>
      <c r="B61" s="25" t="n">
        <v>49.3</v>
      </c>
      <c r="C61" s="25">
        <f>Table1346811121415161718192022253033[[#This Row],[PMI]]-B60</f>
        <v/>
      </c>
    </row>
    <row r="62">
      <c r="A62" s="10" t="n">
        <v>42156</v>
      </c>
      <c r="B62" s="25" t="n">
        <v>46.3</v>
      </c>
      <c r="C62" s="25">
        <f>Table1346811121415161718192022253033[[#This Row],[PMI]]-B61</f>
        <v/>
      </c>
    </row>
    <row r="63">
      <c r="A63" s="10" t="n">
        <v>42186</v>
      </c>
      <c r="B63" s="25" t="n">
        <v>47.1</v>
      </c>
      <c r="C63" s="25">
        <f>Table1346811121415161718192022253033[[#This Row],[PMI]]-B62</f>
        <v/>
      </c>
    </row>
    <row r="64">
      <c r="A64" s="10" t="n">
        <v>42217</v>
      </c>
      <c r="B64" s="25" t="n">
        <v>46.1</v>
      </c>
      <c r="C64" s="25">
        <f>Table1346811121415161718192022253033[[#This Row],[PMI]]-B63</f>
        <v/>
      </c>
    </row>
    <row r="65">
      <c r="A65" s="10" t="n">
        <v>42248</v>
      </c>
      <c r="B65" s="25" t="n">
        <v>46.9</v>
      </c>
      <c r="C65" s="25">
        <f>Table1346811121415161718192022253033[[#This Row],[PMI]]-B64</f>
        <v/>
      </c>
    </row>
    <row r="66">
      <c r="A66" s="10" t="n">
        <v>42278</v>
      </c>
      <c r="B66" s="25" t="n">
        <v>47.8</v>
      </c>
      <c r="C66" s="25">
        <f>Table1346811121415161718192022253033[[#This Row],[PMI]]-B65</f>
        <v/>
      </c>
    </row>
    <row r="67">
      <c r="A67" s="10" t="n">
        <v>42309</v>
      </c>
      <c r="B67" s="25" t="n">
        <v>49.5</v>
      </c>
      <c r="C67" s="25">
        <f>Table1346811121415161718192022253033[[#This Row],[PMI]]-B66</f>
        <v/>
      </c>
    </row>
    <row r="68">
      <c r="A68" s="10" t="n">
        <v>42339</v>
      </c>
      <c r="B68" s="25" t="n">
        <v>51.7</v>
      </c>
      <c r="C68" s="25">
        <f>Table1346811121415161718192022253033[[#This Row],[PMI]]-B67</f>
        <v/>
      </c>
    </row>
    <row r="69">
      <c r="A69" s="10" t="n">
        <v>42370</v>
      </c>
      <c r="B69" s="25" t="n">
        <v>50.6</v>
      </c>
      <c r="C69" s="25">
        <f>Table1346811121415161718192022253033[[#This Row],[PMI]]-B68</f>
        <v/>
      </c>
    </row>
    <row r="70">
      <c r="A70" s="10" t="n">
        <v>42401</v>
      </c>
      <c r="B70" s="25" t="n">
        <v>49.4</v>
      </c>
      <c r="C70" s="25">
        <f>Table1346811121415161718192022253033[[#This Row],[PMI]]-B69</f>
        <v/>
      </c>
    </row>
    <row r="71">
      <c r="A71" s="10" t="n">
        <v>42430</v>
      </c>
      <c r="B71" s="25" t="n">
        <v>51.1</v>
      </c>
      <c r="C71" s="25">
        <f>Table1346811121415161718192022253033[[#This Row],[PMI]]-B70</f>
        <v/>
      </c>
    </row>
    <row r="72">
      <c r="A72" s="10" t="n">
        <v>42461</v>
      </c>
      <c r="B72" s="25" t="n">
        <v>49.7</v>
      </c>
      <c r="C72" s="25">
        <f>Table1346811121415161718192022253033[[#This Row],[PMI]]-B71</f>
        <v/>
      </c>
    </row>
    <row r="73">
      <c r="A73" s="10" t="n">
        <v>42491</v>
      </c>
      <c r="B73" s="25" t="n">
        <v>48.5</v>
      </c>
      <c r="C73" s="25">
        <f>Table1346811121415161718192022253033[[#This Row],[PMI]]-B72</f>
        <v/>
      </c>
    </row>
    <row r="74">
      <c r="A74" s="10" t="n">
        <v>42522</v>
      </c>
      <c r="B74" s="25" t="n">
        <v>50.5</v>
      </c>
      <c r="C74" s="25">
        <f>Table1346811121415161718192022253033[[#This Row],[PMI]]-B73</f>
        <v/>
      </c>
    </row>
    <row r="75">
      <c r="A75" s="10" t="n">
        <v>42552</v>
      </c>
      <c r="B75" s="25" t="n">
        <v>51</v>
      </c>
      <c r="C75" s="25">
        <f>Table1346811121415161718192022253033[[#This Row],[PMI]]-B74</f>
        <v/>
      </c>
    </row>
    <row r="76">
      <c r="A76" s="10" t="n">
        <v>42583</v>
      </c>
      <c r="B76" s="25" t="n">
        <v>51.8</v>
      </c>
      <c r="C76" s="25">
        <f>Table1346811121415161718192022253033[[#This Row],[PMI]]-B75</f>
        <v/>
      </c>
    </row>
    <row r="77">
      <c r="A77" s="10" t="n">
        <v>42614</v>
      </c>
      <c r="B77" s="25" t="n">
        <v>52.2</v>
      </c>
      <c r="C77" s="25">
        <f>Table1346811121415161718192022253033[[#This Row],[PMI]]-B76</f>
        <v/>
      </c>
    </row>
    <row r="78">
      <c r="A78" s="10" t="n">
        <v>42644</v>
      </c>
      <c r="B78" s="25" t="n">
        <v>52.7</v>
      </c>
      <c r="C78" s="25">
        <f>Table1346811121415161718192022253033[[#This Row],[PMI]]-B77</f>
        <v/>
      </c>
    </row>
    <row r="79">
      <c r="A79" s="10" t="n">
        <v>42675</v>
      </c>
      <c r="B79" s="25" t="n">
        <v>54.7</v>
      </c>
      <c r="C79" s="25">
        <f>Table1346811121415161718192022253033[[#This Row],[PMI]]-B78</f>
        <v/>
      </c>
    </row>
    <row r="80">
      <c r="A80" s="10" t="n">
        <v>42705</v>
      </c>
      <c r="B80" s="25" t="n">
        <v>56.2</v>
      </c>
      <c r="C80" s="25">
        <f>Table1346811121415161718192022253033[[#This Row],[PMI]]-B79</f>
        <v/>
      </c>
    </row>
    <row r="81">
      <c r="A81" s="10" t="n">
        <v>42736</v>
      </c>
      <c r="B81" s="25" t="n">
        <v>55.6</v>
      </c>
      <c r="C81" s="25">
        <f>Table1346811121415161718192022253033[[#This Row],[PMI]]-B80</f>
        <v/>
      </c>
    </row>
    <row r="82">
      <c r="A82" s="10" t="n">
        <v>42767</v>
      </c>
      <c r="B82" s="25" t="n">
        <v>54.5</v>
      </c>
      <c r="C82" s="25">
        <f>Table1346811121415161718192022253033[[#This Row],[PMI]]-B81</f>
        <v/>
      </c>
    </row>
    <row r="83">
      <c r="A83" s="10" t="n">
        <v>42795</v>
      </c>
      <c r="B83" s="25" t="n">
        <v>56.2</v>
      </c>
      <c r="C83" s="25">
        <f>Table1346811121415161718192022253033[[#This Row],[PMI]]-B82</f>
        <v/>
      </c>
    </row>
    <row r="84">
      <c r="A84" s="10" t="n">
        <v>42826</v>
      </c>
      <c r="B84" s="25" t="n">
        <v>54.4</v>
      </c>
      <c r="C84" s="25">
        <f>Table1346811121415161718192022253033[[#This Row],[PMI]]-B83</f>
        <v/>
      </c>
    </row>
    <row r="85">
      <c r="A85" s="10" t="n">
        <v>42856</v>
      </c>
      <c r="B85" s="25" t="n">
        <v>53.1</v>
      </c>
      <c r="C85" s="25">
        <f>Table1346811121415161718192022253033[[#This Row],[PMI]]-B84</f>
        <v/>
      </c>
    </row>
    <row r="86">
      <c r="A86" s="10" t="n">
        <v>42887</v>
      </c>
      <c r="B86" s="25" t="n">
        <v>53.3</v>
      </c>
      <c r="C86" s="25">
        <f>Table1346811121415161718192022253033[[#This Row],[PMI]]-B85</f>
        <v/>
      </c>
    </row>
    <row r="87">
      <c r="A87" s="10" t="n">
        <v>42917</v>
      </c>
      <c r="B87" s="25" t="n">
        <v>53.6</v>
      </c>
      <c r="C87" s="25">
        <f>Table1346811121415161718192022253033[[#This Row],[PMI]]-B86</f>
        <v/>
      </c>
    </row>
    <row r="88">
      <c r="A88" s="10" t="n">
        <v>42948</v>
      </c>
      <c r="B88" s="25" t="n">
        <v>54.3</v>
      </c>
      <c r="C88" s="25">
        <f>Table1346811121415161718192022253033[[#This Row],[PMI]]-B87</f>
        <v/>
      </c>
    </row>
    <row r="89">
      <c r="A89" s="10" t="n">
        <v>42979</v>
      </c>
      <c r="B89" s="25" t="n">
        <v>54.2</v>
      </c>
      <c r="C89" s="25">
        <f>Table1346811121415161718192022253033[[#This Row],[PMI]]-B88</f>
        <v/>
      </c>
    </row>
    <row r="90">
      <c r="A90" s="10" t="n">
        <v>43009</v>
      </c>
      <c r="B90" s="25" t="n">
        <v>53.6</v>
      </c>
      <c r="C90" s="25">
        <f>Table1346811121415161718192022253033[[#This Row],[PMI]]-B89</f>
        <v/>
      </c>
    </row>
    <row r="91">
      <c r="A91" s="10" t="n">
        <v>43040</v>
      </c>
      <c r="B91" s="25" t="n">
        <v>56.3</v>
      </c>
      <c r="C91" s="25">
        <f>Table1346811121415161718192022253033[[#This Row],[PMI]]-B90</f>
        <v/>
      </c>
    </row>
    <row r="92">
      <c r="A92" s="10" t="n">
        <v>43070</v>
      </c>
      <c r="B92" s="25" t="n">
        <v>56.6</v>
      </c>
      <c r="C92" s="25">
        <f>Table1346811121415161718192022253033[[#This Row],[PMI]]-B91</f>
        <v/>
      </c>
    </row>
    <row r="93">
      <c r="A93" s="10" t="n">
        <v>43101</v>
      </c>
      <c r="B93" s="25" t="n">
        <v>56.9</v>
      </c>
      <c r="C93" s="25">
        <f>Table1346811121415161718192022253033[[#This Row],[PMI]]-B92</f>
        <v/>
      </c>
    </row>
    <row r="94">
      <c r="A94" s="10" t="n">
        <v>43132</v>
      </c>
      <c r="B94" s="25" t="n">
        <v>56</v>
      </c>
      <c r="C94" s="25">
        <f>Table1346811121415161718192022253033[[#This Row],[PMI]]-B93</f>
        <v/>
      </c>
    </row>
    <row r="95">
      <c r="A95" s="10" t="n">
        <v>43160</v>
      </c>
      <c r="B95" s="25" t="n">
        <v>55.3</v>
      </c>
      <c r="C95" s="25">
        <f>Table1346811121415161718192022253033[[#This Row],[PMI]]-B94</f>
        <v/>
      </c>
    </row>
    <row r="96">
      <c r="A96" s="10" t="n">
        <v>43191</v>
      </c>
      <c r="B96" s="25" t="n">
        <v>54.8</v>
      </c>
      <c r="C96" s="25">
        <f>Table1346811121415161718192022253033[[#This Row],[PMI]]-B95</f>
        <v/>
      </c>
    </row>
    <row r="97">
      <c r="A97" s="10" t="n">
        <v>43221</v>
      </c>
      <c r="B97" s="25" t="n">
        <v>53.4</v>
      </c>
      <c r="C97" s="25">
        <f>Table1346811121415161718192022253033[[#This Row],[PMI]]-B96</f>
        <v/>
      </c>
    </row>
    <row r="98">
      <c r="A98" s="10" t="n">
        <v>43252</v>
      </c>
      <c r="B98" s="25" t="n">
        <v>54.5</v>
      </c>
      <c r="C98" s="25">
        <f>Table1346811121415161718192022253033[[#This Row],[PMI]]-B97</f>
        <v/>
      </c>
    </row>
    <row r="99">
      <c r="A99" s="10" t="n">
        <v>43282</v>
      </c>
      <c r="B99" s="25" t="n">
        <v>53.1</v>
      </c>
      <c r="C99" s="25">
        <f>Table1346811121415161718192022253033[[#This Row],[PMI]]-B98</f>
        <v/>
      </c>
    </row>
    <row r="100">
      <c r="A100" s="10" t="n">
        <v>43313</v>
      </c>
      <c r="B100" s="25" t="n">
        <v>53</v>
      </c>
      <c r="C100" s="25">
        <f>Table1346811121415161718192022253033[[#This Row],[PMI]]-B99</f>
        <v/>
      </c>
    </row>
    <row r="101">
      <c r="A101" s="10" t="n">
        <v>43344</v>
      </c>
      <c r="B101" s="25" t="n">
        <v>50.8</v>
      </c>
      <c r="C101" s="25">
        <f>Table1346811121415161718192022253033[[#This Row],[PMI]]-B100</f>
        <v/>
      </c>
    </row>
    <row r="102">
      <c r="A102" s="10" t="n">
        <v>43374</v>
      </c>
      <c r="B102" s="25" t="n">
        <v>48.7</v>
      </c>
      <c r="C102" s="25">
        <f>Table1346811121415161718192022253033[[#This Row],[PMI]]-B101</f>
        <v/>
      </c>
    </row>
    <row r="103">
      <c r="A103" s="10" t="n">
        <v>43405</v>
      </c>
      <c r="B103" s="25" t="n">
        <v>48.4</v>
      </c>
      <c r="C103" s="25">
        <f>Table1346811121415161718192022253033[[#This Row],[PMI]]-B102</f>
        <v/>
      </c>
    </row>
    <row r="104">
      <c r="A104" s="10" t="n">
        <v>43435</v>
      </c>
      <c r="B104" s="25" t="n">
        <v>47.7</v>
      </c>
      <c r="C104" s="25">
        <f>Table1346811121415161718192022253033[[#This Row],[PMI]]-B103</f>
        <v/>
      </c>
    </row>
    <row r="105">
      <c r="A105" s="10" t="n">
        <v>43466</v>
      </c>
      <c r="B105" s="25" t="n">
        <v>47.5</v>
      </c>
      <c r="C105" s="25">
        <f>Table1346811121415161718192022253033[[#This Row],[PMI]]-B104</f>
        <v/>
      </c>
    </row>
    <row r="106">
      <c r="A106" s="10" t="n">
        <v>43497</v>
      </c>
      <c r="B106" s="25" t="n">
        <v>46.3</v>
      </c>
      <c r="C106" s="25">
        <f>Table1346811121415161718192022253033[[#This Row],[PMI]]-B105</f>
        <v/>
      </c>
    </row>
    <row r="107">
      <c r="A107" s="10" t="n">
        <v>43525</v>
      </c>
      <c r="B107" s="25" t="n">
        <v>49</v>
      </c>
      <c r="C107" s="25">
        <f>Table1346811121415161718192022253033[[#This Row],[PMI]]-B106</f>
        <v/>
      </c>
    </row>
    <row r="108">
      <c r="A108" s="10" t="n">
        <v>43556</v>
      </c>
      <c r="B108" s="25" t="n">
        <v>48.2</v>
      </c>
      <c r="C108" s="25">
        <f>Table1346811121415161718192022253033[[#This Row],[PMI]]-B107</f>
        <v/>
      </c>
    </row>
    <row r="109">
      <c r="A109" s="10" t="n">
        <v>43586</v>
      </c>
      <c r="B109" s="25" t="n">
        <v>48.4</v>
      </c>
      <c r="C109" s="25">
        <f>Table1346811121415161718192022253033[[#This Row],[PMI]]-B108</f>
        <v/>
      </c>
    </row>
    <row r="110">
      <c r="A110" s="10" t="n">
        <v>43617</v>
      </c>
      <c r="B110" s="25" t="n">
        <v>45.5</v>
      </c>
      <c r="C110" s="25">
        <f>Table1346811121415161718192022253033[[#This Row],[PMI]]-B109</f>
        <v/>
      </c>
    </row>
    <row r="111">
      <c r="A111" s="10" t="n">
        <v>43647</v>
      </c>
      <c r="B111" s="25" t="n">
        <v>48.1</v>
      </c>
      <c r="C111" s="25">
        <f>Table1346811121415161718192022253033[[#This Row],[PMI]]-B110</f>
        <v/>
      </c>
    </row>
    <row r="112">
      <c r="A112" s="10" t="n">
        <v>43678</v>
      </c>
      <c r="B112" s="25" t="n">
        <v>47.9</v>
      </c>
      <c r="C112" s="25">
        <f>Table1346811121415161718192022253033[[#This Row],[PMI]]-B111</f>
        <v/>
      </c>
    </row>
    <row r="113">
      <c r="A113" s="10" t="n">
        <v>43709</v>
      </c>
      <c r="B113" s="25" t="n">
        <v>50</v>
      </c>
      <c r="C113" s="25">
        <f>Table1346811121415161718192022253033[[#This Row],[PMI]]-B112</f>
        <v/>
      </c>
    </row>
    <row r="114">
      <c r="A114" s="10" t="n">
        <v>43739</v>
      </c>
      <c r="B114" s="25" t="n">
        <v>49.8</v>
      </c>
      <c r="C114" s="25">
        <f>Table1346811121415161718192022253033[[#This Row],[PMI]]-B113</f>
        <v/>
      </c>
    </row>
    <row r="115">
      <c r="A115" s="10" t="n">
        <v>43770</v>
      </c>
      <c r="B115" s="25" t="n">
        <v>49.8</v>
      </c>
      <c r="C115" s="25">
        <f>Table1346811121415161718192022253033[[#This Row],[PMI]]-B114</f>
        <v/>
      </c>
    </row>
    <row r="116">
      <c r="A116" s="10" t="n">
        <v>43800</v>
      </c>
      <c r="B116" s="25" t="n">
        <v>50.8</v>
      </c>
      <c r="C116" s="25">
        <f>Table1346811121415161718192022253033[[#This Row],[PMI]]-B115</f>
        <v/>
      </c>
    </row>
    <row r="117">
      <c r="A117" s="10" t="n">
        <v>43831</v>
      </c>
      <c r="B117" s="25" t="n">
        <v>51.8</v>
      </c>
      <c r="C117" s="25">
        <f>Table1346811121415161718192022253033[[#This Row],[PMI]]-B116</f>
        <v/>
      </c>
    </row>
    <row r="118">
      <c r="A118" s="10" t="n">
        <v>43862</v>
      </c>
      <c r="B118" s="25" t="n">
        <v>49.9</v>
      </c>
      <c r="C118" s="25">
        <f>Table1346811121415161718192022253033[[#This Row],[PMI]]-B117</f>
        <v/>
      </c>
    </row>
    <row r="119">
      <c r="A119" s="10" t="n">
        <v>43891</v>
      </c>
      <c r="B119" s="25" t="n">
        <v>50.4</v>
      </c>
      <c r="C119" s="25">
        <f>Table1346811121415161718192022253033[[#This Row],[PMI]]-B118</f>
        <v/>
      </c>
    </row>
    <row r="120">
      <c r="A120" s="10" t="n">
        <v>43922</v>
      </c>
      <c r="B120" s="25" t="n">
        <v>42.2</v>
      </c>
      <c r="C120" s="25">
        <f>Table1346811121415161718192022253033[[#This Row],[PMI]]-B119</f>
        <v/>
      </c>
    </row>
    <row r="121">
      <c r="A121" s="10" t="n">
        <v>43952</v>
      </c>
      <c r="B121" s="25" t="n">
        <v>41.9</v>
      </c>
      <c r="C121" s="25">
        <f>Table1346811121415161718192022253033[[#This Row],[PMI]]-B120</f>
        <v/>
      </c>
    </row>
    <row r="122">
      <c r="A122" s="10" t="n">
        <v>43983</v>
      </c>
      <c r="B122" s="25" t="n">
        <v>46.2</v>
      </c>
      <c r="C122" s="25">
        <f>Table1346811121415161718192022253033[[#This Row],[PMI]]-B121</f>
        <v/>
      </c>
    </row>
    <row r="123">
      <c r="A123" s="10" t="n">
        <v>44013</v>
      </c>
      <c r="B123" s="25" t="n">
        <v>50.6</v>
      </c>
      <c r="C123" s="25">
        <f>Table1346811121415161718192022253033[[#This Row],[PMI]]-B122</f>
        <v/>
      </c>
    </row>
    <row r="124">
      <c r="A124" s="10" t="n">
        <v>44044</v>
      </c>
      <c r="B124" s="25" t="n">
        <v>52.2</v>
      </c>
      <c r="C124" s="25">
        <f>Table1346811121415161718192022253033[[#This Row],[PMI]]-B123</f>
        <v/>
      </c>
    </row>
    <row r="125">
      <c r="A125" s="10" t="n">
        <v>44075</v>
      </c>
      <c r="B125" s="25" t="n">
        <v>55.2</v>
      </c>
      <c r="C125" s="25">
        <f>Table1346811121415161718192022253033[[#This Row],[PMI]]-B124</f>
        <v/>
      </c>
    </row>
    <row r="126">
      <c r="A126" s="10" t="n">
        <v>44105</v>
      </c>
      <c r="B126" s="25" t="n">
        <v>55.1</v>
      </c>
      <c r="C126" s="25">
        <f>Table1346811121415161718192022253033[[#This Row],[PMI]]-B125</f>
        <v/>
      </c>
    </row>
    <row r="127">
      <c r="A127" s="10" t="n">
        <v>44136</v>
      </c>
      <c r="B127" s="25" t="n">
        <v>56.9</v>
      </c>
      <c r="C127" s="25">
        <f>Table1346811121415161718192022253033[[#This Row],[PMI]]-B126</f>
        <v/>
      </c>
    </row>
    <row r="128">
      <c r="A128" s="10" t="n">
        <v>44166</v>
      </c>
      <c r="B128" s="25" t="n">
        <v>59.4</v>
      </c>
      <c r="C128" s="25">
        <f>Table1346811121415161718192022253033[[#This Row],[PMI]]-B127</f>
        <v/>
      </c>
    </row>
    <row r="129">
      <c r="A129" s="10" t="n">
        <v>44197</v>
      </c>
      <c r="B129" s="25" t="n">
        <v>60.2</v>
      </c>
      <c r="C129" s="25">
        <f>Table1346811121415161718192022253033[[#This Row],[PMI]]-B128</f>
        <v/>
      </c>
    </row>
    <row r="130">
      <c r="A130" s="10" t="n">
        <v>44228</v>
      </c>
      <c r="B130" s="25" t="n">
        <v>60.4</v>
      </c>
      <c r="C130" s="25">
        <f>Table1346811121415161718192022253033[[#This Row],[PMI]]-B129</f>
        <v/>
      </c>
    </row>
    <row r="131">
      <c r="A131" s="10" t="n">
        <v>44256</v>
      </c>
      <c r="B131" s="25" t="n">
        <v>60.8</v>
      </c>
      <c r="C131" s="25">
        <f>Table1346811121415161718192022253033[[#This Row],[PMI]]-B130</f>
        <v/>
      </c>
    </row>
    <row r="132">
      <c r="A132" s="10" t="n">
        <v>44287</v>
      </c>
      <c r="B132" s="25" t="n">
        <v>62.4</v>
      </c>
      <c r="C132" s="25">
        <f>Table1346811121415161718192022253033[[#This Row],[PMI]]-B131</f>
        <v/>
      </c>
    </row>
    <row r="133">
      <c r="A133" s="10" t="n">
        <v>44317</v>
      </c>
      <c r="B133" s="25" t="n">
        <v>62</v>
      </c>
      <c r="C133" s="25">
        <f>Table1346811121415161718192022253033[[#This Row],[PMI]]-B132</f>
        <v/>
      </c>
    </row>
    <row r="134">
      <c r="A134" s="10" t="n">
        <v>44348</v>
      </c>
      <c r="B134" s="25" t="n">
        <v>57.6</v>
      </c>
      <c r="C134" s="25">
        <f>Table1346811121415161718192022253033[[#This Row],[PMI]]-B133</f>
        <v/>
      </c>
    </row>
    <row r="135">
      <c r="A135" s="10" t="n">
        <v>44378</v>
      </c>
      <c r="B135" s="25" t="n">
        <v>59.7</v>
      </c>
      <c r="C135" s="25">
        <f>Table1346811121415161718192022253033[[#This Row],[PMI]]-B134</f>
        <v/>
      </c>
    </row>
    <row r="136">
      <c r="A136" s="10" t="n">
        <v>44409</v>
      </c>
      <c r="B136" s="25" t="n">
        <v>58.5</v>
      </c>
      <c r="C136" s="25">
        <f>Table1346811121415161718192022253033[[#This Row],[PMI]]-B135</f>
        <v/>
      </c>
    </row>
    <row r="137">
      <c r="A137" s="10" t="n">
        <v>44440</v>
      </c>
      <c r="B137" s="25" t="n">
        <v>54.7</v>
      </c>
      <c r="C137" s="25">
        <f>Table1346811121415161718192022253033[[#This Row],[PMI]]-B136</f>
        <v/>
      </c>
    </row>
    <row r="138">
      <c r="A138" s="10" t="n">
        <v>44470</v>
      </c>
      <c r="B138" s="25" t="n">
        <v>55.2</v>
      </c>
      <c r="C138" s="25">
        <f>Table1346811121415161718192022253033[[#This Row],[PMI]]-B137</f>
        <v/>
      </c>
    </row>
    <row r="139">
      <c r="A139" s="10" t="n">
        <v>44501</v>
      </c>
      <c r="B139" s="25" t="n">
        <v>54.9</v>
      </c>
      <c r="C139" s="25">
        <f>Table1346811121415161718192022253033[[#This Row],[PMI]]-B138</f>
        <v/>
      </c>
    </row>
    <row r="140">
      <c r="A140" s="10" t="n">
        <v>44531</v>
      </c>
      <c r="B140" s="25" t="n">
        <v>55.5</v>
      </c>
      <c r="C140" s="25">
        <f>Table1346811121415161718192022253033[[#This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0"/>
  <sheetViews>
    <sheetView zoomScale="160" zoomScaleNormal="160" workbookViewId="0">
      <pane ySplit="5" topLeftCell="A100" activePane="bottomLeft" state="frozen"/>
      <selection pane="bottomLeft" activeCell="X122" sqref="X122"/>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Greece</t>
        </is>
      </c>
      <c r="K1" s="84" t="inlineStr">
        <is>
          <t xml:space="preserve"> Manufacturing PMI</t>
        </is>
      </c>
    </row>
    <row r="2">
      <c r="A2" s="84" t="inlineStr">
        <is>
          <t>greece</t>
        </is>
      </c>
      <c r="K2" s="84">
        <f>A1&amp;K1</f>
        <v/>
      </c>
    </row>
    <row r="4" ht="16" customHeight="1" s="76" thickBot="1"/>
    <row r="5" ht="16" customHeight="1" s="76" thickBot="1">
      <c r="A5" s="22" t="inlineStr">
        <is>
          <t>Date</t>
        </is>
      </c>
      <c r="B5" s="23" t="inlineStr">
        <is>
          <t>PMI</t>
        </is>
      </c>
      <c r="C5" s="23" t="inlineStr">
        <is>
          <t>mom</t>
        </is>
      </c>
    </row>
    <row r="6">
      <c r="A6" s="18" t="n">
        <v>40482</v>
      </c>
      <c r="B6" s="19" t="n">
        <v>43.6</v>
      </c>
      <c r="C6" s="19" t="n"/>
    </row>
    <row r="7">
      <c r="A7" s="10" t="n">
        <v>40483</v>
      </c>
      <c r="B7" s="25" t="n">
        <v>43.9</v>
      </c>
      <c r="C7" s="25">
        <f>Table134681112141516171819[[#This Row],[PMI]]-B6</f>
        <v/>
      </c>
    </row>
    <row r="8">
      <c r="A8" s="10" t="n">
        <v>40513</v>
      </c>
      <c r="B8" s="25" t="n">
        <v>43.1</v>
      </c>
      <c r="C8" s="25">
        <f>Table134681112141516171819[[#This Row],[PMI]]-B7</f>
        <v/>
      </c>
    </row>
    <row r="9">
      <c r="A9" s="10" t="n">
        <v>40544</v>
      </c>
      <c r="B9" s="25" t="n">
        <v>42.8</v>
      </c>
      <c r="C9" s="25">
        <f>Table134681112141516171819[[#This Row],[PMI]]-B8</f>
        <v/>
      </c>
    </row>
    <row r="10">
      <c r="A10" s="10" t="n">
        <v>40575</v>
      </c>
      <c r="B10" s="25" t="n">
        <v>43.8</v>
      </c>
      <c r="C10" s="25">
        <f>Table134681112141516171819[[#This Row],[PMI]]-B9</f>
        <v/>
      </c>
    </row>
    <row r="11">
      <c r="A11" s="10" t="n">
        <v>40603</v>
      </c>
      <c r="B11" s="25" t="n">
        <v>45.4</v>
      </c>
      <c r="C11" s="25">
        <f>Table134681112141516171819[[#This Row],[PMI]]-B10</f>
        <v/>
      </c>
    </row>
    <row r="12">
      <c r="A12" s="10" t="n">
        <v>40634</v>
      </c>
      <c r="B12" s="25" t="n">
        <v>46.8</v>
      </c>
      <c r="C12" s="25">
        <f>Table134681112141516171819[[#This Row],[PMI]]-B11</f>
        <v/>
      </c>
    </row>
    <row r="13">
      <c r="A13" s="10" t="n">
        <v>40664</v>
      </c>
      <c r="B13" s="25" t="n">
        <v>44.5</v>
      </c>
      <c r="C13" s="25">
        <f>Table134681112141516171819[[#This Row],[PMI]]-B12</f>
        <v/>
      </c>
    </row>
    <row r="14">
      <c r="A14" s="10" t="n">
        <v>40695</v>
      </c>
      <c r="B14" s="25" t="n">
        <v>45.5</v>
      </c>
      <c r="C14" s="25">
        <f>Table134681112141516171819[[#This Row],[PMI]]-B13</f>
        <v/>
      </c>
    </row>
    <row r="15">
      <c r="A15" s="10" t="n">
        <v>40725</v>
      </c>
      <c r="B15" s="25" t="n">
        <v>45.2</v>
      </c>
      <c r="C15" s="25">
        <f>Table134681112141516171819[[#This Row],[PMI]]-B14</f>
        <v/>
      </c>
    </row>
    <row r="16">
      <c r="A16" s="10" t="n">
        <v>40756</v>
      </c>
      <c r="B16" s="25" t="n">
        <v>43.3</v>
      </c>
      <c r="C16" s="25">
        <f>Table134681112141516171819[[#This Row],[PMI]]-B15</f>
        <v/>
      </c>
    </row>
    <row r="17">
      <c r="A17" s="10" t="n">
        <v>40787</v>
      </c>
      <c r="B17" s="25" t="n">
        <v>43.2</v>
      </c>
      <c r="C17" s="25">
        <f>Table134681112141516171819[[#This Row],[PMI]]-B16</f>
        <v/>
      </c>
    </row>
    <row r="18">
      <c r="A18" s="10" t="n">
        <v>40817</v>
      </c>
      <c r="B18" s="25" t="n">
        <v>40.5</v>
      </c>
      <c r="C18" s="25">
        <f>Table134681112141516171819[[#This Row],[PMI]]-B17</f>
        <v/>
      </c>
    </row>
    <row r="19">
      <c r="A19" s="10" t="n">
        <v>40848</v>
      </c>
      <c r="B19" s="25" t="n">
        <v>40.9</v>
      </c>
      <c r="C19" s="25">
        <f>Table134681112141516171819[[#This Row],[PMI]]-B18</f>
        <v/>
      </c>
    </row>
    <row r="20">
      <c r="A20" s="10" t="n">
        <v>40878</v>
      </c>
      <c r="B20" s="25" t="n">
        <v>42</v>
      </c>
      <c r="C20" s="25">
        <f>Table134681112141516171819[[#This Row],[PMI]]-B19</f>
        <v/>
      </c>
    </row>
    <row r="21">
      <c r="A21" s="10" t="n">
        <v>40909</v>
      </c>
      <c r="B21" s="25" t="n">
        <v>41</v>
      </c>
      <c r="C21" s="25">
        <f>Table134681112141516171819[[#This Row],[PMI]]-B20</f>
        <v/>
      </c>
    </row>
    <row r="22">
      <c r="A22" s="10" t="n">
        <v>40940</v>
      </c>
      <c r="B22" s="25" t="n">
        <v>37.7</v>
      </c>
      <c r="C22" s="25">
        <f>Table134681112141516171819[[#This Row],[PMI]]-B21</f>
        <v/>
      </c>
    </row>
    <row r="23">
      <c r="A23" s="10" t="n">
        <v>40969</v>
      </c>
      <c r="B23" s="25" t="n">
        <v>41.3</v>
      </c>
      <c r="C23" s="25">
        <f>Table134681112141516171819[[#This Row],[PMI]]-B22</f>
        <v/>
      </c>
    </row>
    <row r="24">
      <c r="A24" s="10" t="n">
        <v>41000</v>
      </c>
      <c r="B24" s="25" t="n">
        <v>40.7</v>
      </c>
      <c r="C24" s="25">
        <f>Table134681112141516171819[[#This Row],[PMI]]-B23</f>
        <v/>
      </c>
    </row>
    <row r="25">
      <c r="A25" s="10" t="n">
        <v>41030</v>
      </c>
      <c r="B25" s="25" t="n">
        <v>43.1</v>
      </c>
      <c r="C25" s="25">
        <f>Table134681112141516171819[[#This Row],[PMI]]-B24</f>
        <v/>
      </c>
    </row>
    <row r="26">
      <c r="A26" s="10" t="n">
        <v>41061</v>
      </c>
      <c r="B26" s="25" t="n">
        <v>40.1</v>
      </c>
      <c r="C26" s="25">
        <f>Table134681112141516171819[[#This Row],[PMI]]-B25</f>
        <v/>
      </c>
    </row>
    <row r="27">
      <c r="A27" s="10" t="n">
        <v>41091</v>
      </c>
      <c r="B27" s="25" t="n">
        <v>41.9</v>
      </c>
      <c r="C27" s="25">
        <f>Table134681112141516171819[[#This Row],[PMI]]-B26</f>
        <v/>
      </c>
    </row>
    <row r="28">
      <c r="A28" s="10" t="n">
        <v>41122</v>
      </c>
      <c r="B28" s="25" t="n">
        <v>42.1</v>
      </c>
      <c r="C28" s="25">
        <f>Table134681112141516171819[[#This Row],[PMI]]-B27</f>
        <v/>
      </c>
    </row>
    <row r="29">
      <c r="A29" s="10" t="n">
        <v>41153</v>
      </c>
      <c r="B29" s="25" t="n">
        <v>42.2</v>
      </c>
      <c r="C29" s="25">
        <f>Table134681112141516171819[[#This Row],[PMI]]-B28</f>
        <v/>
      </c>
    </row>
    <row r="30">
      <c r="A30" s="10" t="n">
        <v>41183</v>
      </c>
      <c r="B30" s="25" t="n">
        <v>41</v>
      </c>
      <c r="C30" s="25">
        <f>Table134681112141516171819[[#This Row],[PMI]]-B29</f>
        <v/>
      </c>
    </row>
    <row r="31">
      <c r="A31" s="10" t="n">
        <v>41214</v>
      </c>
      <c r="B31" s="25" t="n">
        <v>41.8</v>
      </c>
      <c r="C31" s="25">
        <f>Table134681112141516171819[[#This Row],[PMI]]-B30</f>
        <v/>
      </c>
    </row>
    <row r="32">
      <c r="A32" s="10" t="n">
        <v>41244</v>
      </c>
      <c r="B32" s="25" t="n">
        <v>41.4</v>
      </c>
      <c r="C32" s="25">
        <f>Table134681112141516171819[[#This Row],[PMI]]-B31</f>
        <v/>
      </c>
    </row>
    <row r="33">
      <c r="A33" s="10" t="n">
        <v>41275</v>
      </c>
      <c r="B33" s="25" t="n">
        <v>41.7</v>
      </c>
      <c r="C33" s="25">
        <f>Table134681112141516171819[[#This Row],[PMI]]-B32</f>
        <v/>
      </c>
    </row>
    <row r="34">
      <c r="A34" s="10" t="n">
        <v>41306</v>
      </c>
      <c r="B34" s="25" t="n">
        <v>43</v>
      </c>
      <c r="C34" s="25">
        <f>Table134681112141516171819[[#This Row],[PMI]]-B33</f>
        <v/>
      </c>
    </row>
    <row r="35">
      <c r="A35" s="10" t="n">
        <v>41334</v>
      </c>
      <c r="B35" s="25" t="n">
        <v>42.1</v>
      </c>
      <c r="C35" s="25">
        <f>Table134681112141516171819[[#This Row],[PMI]]-B34</f>
        <v/>
      </c>
    </row>
    <row r="36">
      <c r="A36" s="10" t="n">
        <v>41365</v>
      </c>
      <c r="B36" s="25" t="n">
        <v>45</v>
      </c>
      <c r="C36" s="25">
        <f>Table134681112141516171819[[#This Row],[PMI]]-B35</f>
        <v/>
      </c>
    </row>
    <row r="37">
      <c r="A37" s="10" t="n">
        <v>41395</v>
      </c>
      <c r="B37" s="25" t="n">
        <v>45.3</v>
      </c>
      <c r="C37" s="25">
        <f>Table134681112141516171819[[#This Row],[PMI]]-B36</f>
        <v/>
      </c>
    </row>
    <row r="38">
      <c r="A38" s="10" t="n">
        <v>41426</v>
      </c>
      <c r="B38" s="25" t="n">
        <v>45.4</v>
      </c>
      <c r="C38" s="25">
        <f>Table134681112141516171819[[#This Row],[PMI]]-B37</f>
        <v/>
      </c>
    </row>
    <row r="39">
      <c r="A39" s="10" t="n">
        <v>41456</v>
      </c>
      <c r="B39" s="25" t="n">
        <v>47</v>
      </c>
      <c r="C39" s="25">
        <f>Table134681112141516171819[[#This Row],[PMI]]-B38</f>
        <v/>
      </c>
    </row>
    <row r="40">
      <c r="A40" s="10" t="n">
        <v>41487</v>
      </c>
      <c r="B40" s="25" t="n">
        <v>48.7</v>
      </c>
      <c r="C40" s="25">
        <f>Table134681112141516171819[[#This Row],[PMI]]-B39</f>
        <v/>
      </c>
    </row>
    <row r="41">
      <c r="A41" s="10" t="n">
        <v>41518</v>
      </c>
      <c r="B41" s="25" t="n">
        <v>47.5</v>
      </c>
      <c r="C41" s="25">
        <f>Table134681112141516171819[[#This Row],[PMI]]-B40</f>
        <v/>
      </c>
    </row>
    <row r="42">
      <c r="A42" s="10" t="n">
        <v>41548</v>
      </c>
      <c r="B42" s="25" t="n">
        <v>47.3</v>
      </c>
      <c r="C42" s="25">
        <f>Table134681112141516171819[[#This Row],[PMI]]-B41</f>
        <v/>
      </c>
    </row>
    <row r="43">
      <c r="A43" s="10" t="n">
        <v>41579</v>
      </c>
      <c r="B43" s="25" t="n">
        <v>49.2</v>
      </c>
      <c r="C43" s="25">
        <f>Table134681112141516171819[[#This Row],[PMI]]-B42</f>
        <v/>
      </c>
    </row>
    <row r="44">
      <c r="A44" s="10" t="n">
        <v>41609</v>
      </c>
      <c r="B44" s="25" t="n">
        <v>49.6</v>
      </c>
      <c r="C44" s="25">
        <f>Table134681112141516171819[[#This Row],[PMI]]-B43</f>
        <v/>
      </c>
    </row>
    <row r="45">
      <c r="A45" s="10" t="n">
        <v>41640</v>
      </c>
      <c r="B45" s="25" t="n">
        <v>51.2</v>
      </c>
      <c r="C45" s="25">
        <f>Table134681112141516171819[[#This Row],[PMI]]-B44</f>
        <v/>
      </c>
    </row>
    <row r="46">
      <c r="A46" s="10" t="n">
        <v>41671</v>
      </c>
      <c r="B46" s="25" t="n">
        <v>51.3</v>
      </c>
      <c r="C46" s="25">
        <f>Table134681112141516171819[[#This Row],[PMI]]-B45</f>
        <v/>
      </c>
    </row>
    <row r="47">
      <c r="A47" s="10" t="n">
        <v>41699</v>
      </c>
      <c r="B47" s="25" t="n">
        <v>49.7</v>
      </c>
      <c r="C47" s="25">
        <f>Table134681112141516171819[[#This Row],[PMI]]-B46</f>
        <v/>
      </c>
    </row>
    <row r="48">
      <c r="A48" s="10" t="n">
        <v>41730</v>
      </c>
      <c r="B48" s="25" t="n">
        <v>51.1</v>
      </c>
      <c r="C48" s="25">
        <f>Table134681112141516171819[[#This Row],[PMI]]-B47</f>
        <v/>
      </c>
    </row>
    <row r="49">
      <c r="A49" s="10" t="n">
        <v>41760</v>
      </c>
      <c r="B49" s="25" t="n">
        <v>51</v>
      </c>
      <c r="C49" s="25">
        <f>Table134681112141516171819[[#This Row],[PMI]]-B48</f>
        <v/>
      </c>
    </row>
    <row r="50">
      <c r="A50" s="10" t="n">
        <v>41791</v>
      </c>
      <c r="B50" s="25" t="n">
        <v>49.4</v>
      </c>
      <c r="C50" s="25">
        <f>Table134681112141516171819[[#This Row],[PMI]]-B49</f>
        <v/>
      </c>
    </row>
    <row r="51">
      <c r="A51" s="10" t="n">
        <v>41821</v>
      </c>
      <c r="B51" s="25" t="n">
        <v>48.7</v>
      </c>
      <c r="C51" s="25">
        <f>Table134681112141516171819[[#This Row],[PMI]]-B50</f>
        <v/>
      </c>
    </row>
    <row r="52">
      <c r="A52" s="10" t="n">
        <v>41852</v>
      </c>
      <c r="B52" s="25" t="n">
        <v>50.1</v>
      </c>
      <c r="C52" s="25">
        <f>Table134681112141516171819[[#This Row],[PMI]]-B51</f>
        <v/>
      </c>
    </row>
    <row r="53">
      <c r="A53" s="10" t="n">
        <v>41883</v>
      </c>
      <c r="B53" s="25" t="n">
        <v>48.4</v>
      </c>
      <c r="C53" s="25">
        <f>Table134681112141516171819[[#This Row],[PMI]]-B52</f>
        <v/>
      </c>
    </row>
    <row r="54">
      <c r="A54" s="10" t="n">
        <v>41913</v>
      </c>
      <c r="B54" s="25" t="n">
        <v>48.8</v>
      </c>
      <c r="C54" s="25">
        <f>Table134681112141516171819[[#This Row],[PMI]]-B53</f>
        <v/>
      </c>
    </row>
    <row r="55">
      <c r="A55" s="10" t="n">
        <v>41944</v>
      </c>
      <c r="B55" s="25" t="n">
        <v>49.1</v>
      </c>
      <c r="C55" s="25">
        <f>Table134681112141516171819[[#This Row],[PMI]]-B54</f>
        <v/>
      </c>
    </row>
    <row r="56">
      <c r="A56" s="10" t="n">
        <v>41974</v>
      </c>
      <c r="B56" s="25" t="n">
        <v>49.4</v>
      </c>
      <c r="C56" s="25">
        <f>Table134681112141516171819[[#This Row],[PMI]]-B55</f>
        <v/>
      </c>
    </row>
    <row r="57">
      <c r="A57" s="10" t="n">
        <v>42005</v>
      </c>
      <c r="B57" s="25" t="n">
        <v>48.3</v>
      </c>
      <c r="C57" s="25">
        <f>Table134681112141516171819[[#This Row],[PMI]]-B56</f>
        <v/>
      </c>
    </row>
    <row r="58">
      <c r="A58" s="10" t="n">
        <v>42036</v>
      </c>
      <c r="B58" s="25" t="n">
        <v>48.4</v>
      </c>
      <c r="C58" s="25">
        <f>Table134681112141516171819[[#This Row],[PMI]]-B57</f>
        <v/>
      </c>
    </row>
    <row r="59">
      <c r="A59" s="10" t="n">
        <v>42064</v>
      </c>
      <c r="B59" s="25" t="n">
        <v>48.9</v>
      </c>
      <c r="C59" s="25">
        <f>Table134681112141516171819[[#This Row],[PMI]]-B58</f>
        <v/>
      </c>
    </row>
    <row r="60">
      <c r="A60" s="10" t="n">
        <v>42095</v>
      </c>
      <c r="B60" s="25" t="n">
        <v>46.5</v>
      </c>
      <c r="C60" s="25">
        <f>Table134681112141516171819[[#This Row],[PMI]]-B59</f>
        <v/>
      </c>
    </row>
    <row r="61">
      <c r="A61" s="10" t="n">
        <v>42125</v>
      </c>
      <c r="B61" s="25" t="n">
        <v>48</v>
      </c>
      <c r="C61" s="25">
        <f>Table134681112141516171819[[#This Row],[PMI]]-B60</f>
        <v/>
      </c>
    </row>
    <row r="62">
      <c r="A62" s="10" t="n">
        <v>42156</v>
      </c>
      <c r="B62" s="25" t="n">
        <v>46.9</v>
      </c>
      <c r="C62" s="25">
        <f>Table134681112141516171819[[#This Row],[PMI]]-B61</f>
        <v/>
      </c>
    </row>
    <row r="63">
      <c r="A63" s="10" t="n">
        <v>42186</v>
      </c>
      <c r="B63" s="25" t="n">
        <v>30.2</v>
      </c>
      <c r="C63" s="25">
        <f>Table134681112141516171819[[#This Row],[PMI]]-B62</f>
        <v/>
      </c>
    </row>
    <row r="64">
      <c r="A64" s="10" t="n">
        <v>42217</v>
      </c>
      <c r="B64" s="25" t="n">
        <v>39.1</v>
      </c>
      <c r="C64" s="25">
        <f>Table134681112141516171819[[#This Row],[PMI]]-B63</f>
        <v/>
      </c>
    </row>
    <row r="65">
      <c r="A65" s="10" t="n">
        <v>42248</v>
      </c>
      <c r="B65" s="25" t="n">
        <v>43.3</v>
      </c>
      <c r="C65" s="25">
        <f>Table134681112141516171819[[#This Row],[PMI]]-B64</f>
        <v/>
      </c>
    </row>
    <row r="66">
      <c r="A66" s="10" t="n">
        <v>42278</v>
      </c>
      <c r="B66" s="25" t="n">
        <v>47.3</v>
      </c>
      <c r="C66" s="25">
        <f>Table134681112141516171819[[#This Row],[PMI]]-B65</f>
        <v/>
      </c>
    </row>
    <row r="67">
      <c r="A67" s="10" t="n">
        <v>42309</v>
      </c>
      <c r="B67" s="25" t="n">
        <v>48.1</v>
      </c>
      <c r="C67" s="25">
        <f>Table134681112141516171819[[#This Row],[PMI]]-B66</f>
        <v/>
      </c>
    </row>
    <row r="68">
      <c r="A68" s="10" t="n">
        <v>42339</v>
      </c>
      <c r="B68" s="25" t="n">
        <v>50.2</v>
      </c>
      <c r="C68" s="25">
        <f>Table134681112141516171819[[#This Row],[PMI]]-B67</f>
        <v/>
      </c>
    </row>
    <row r="69">
      <c r="A69" s="10" t="n">
        <v>42370</v>
      </c>
      <c r="B69" s="25" t="n">
        <v>50</v>
      </c>
      <c r="C69" s="25">
        <f>Table134681112141516171819[[#This Row],[PMI]]-B68</f>
        <v/>
      </c>
    </row>
    <row r="70">
      <c r="A70" s="10" t="n">
        <v>42401</v>
      </c>
      <c r="B70" s="25" t="n">
        <v>48.4</v>
      </c>
      <c r="C70" s="25">
        <f>Table134681112141516171819[[#This Row],[PMI]]-B69</f>
        <v/>
      </c>
    </row>
    <row r="71">
      <c r="A71" s="10" t="n">
        <v>42430</v>
      </c>
      <c r="B71" s="25" t="n">
        <v>49</v>
      </c>
      <c r="C71" s="25">
        <f>Table134681112141516171819[[#This Row],[PMI]]-B70</f>
        <v/>
      </c>
    </row>
    <row r="72">
      <c r="A72" s="10" t="n">
        <v>42461</v>
      </c>
      <c r="B72" s="25" t="n">
        <v>49.7</v>
      </c>
      <c r="C72" s="25">
        <f>Table134681112141516171819[[#This Row],[PMI]]-B71</f>
        <v/>
      </c>
    </row>
    <row r="73">
      <c r="A73" s="10" t="n">
        <v>42491</v>
      </c>
      <c r="B73" s="25" t="n">
        <v>48.4</v>
      </c>
      <c r="C73" s="25">
        <f>Table134681112141516171819[[#This Row],[PMI]]-B72</f>
        <v/>
      </c>
    </row>
    <row r="74">
      <c r="A74" s="10" t="n">
        <v>42522</v>
      </c>
      <c r="B74" s="25" t="n">
        <v>50.4</v>
      </c>
      <c r="C74" s="25">
        <f>Table134681112141516171819[[#This Row],[PMI]]-B73</f>
        <v/>
      </c>
    </row>
    <row r="75">
      <c r="A75" s="10" t="n">
        <v>42552</v>
      </c>
      <c r="B75" s="25" t="n">
        <v>48.7</v>
      </c>
      <c r="C75" s="25">
        <f>Table134681112141516171819[[#This Row],[PMI]]-B74</f>
        <v/>
      </c>
    </row>
    <row r="76">
      <c r="A76" s="10" t="n">
        <v>42583</v>
      </c>
      <c r="B76" s="25" t="n">
        <v>50.4</v>
      </c>
      <c r="C76" s="25">
        <f>Table134681112141516171819[[#This Row],[PMI]]-B75</f>
        <v/>
      </c>
    </row>
    <row r="77">
      <c r="A77" s="10" t="n">
        <v>42614</v>
      </c>
      <c r="B77" s="25" t="n">
        <v>49.2</v>
      </c>
      <c r="C77" s="25">
        <f>Table134681112141516171819[[#This Row],[PMI]]-B76</f>
        <v/>
      </c>
    </row>
    <row r="78">
      <c r="A78" s="10" t="n">
        <v>42644</v>
      </c>
      <c r="B78" s="25" t="n">
        <v>48.6</v>
      </c>
      <c r="C78" s="25">
        <f>Table134681112141516171819[[#This Row],[PMI]]-B77</f>
        <v/>
      </c>
    </row>
    <row r="79">
      <c r="A79" s="10" t="n">
        <v>42675</v>
      </c>
      <c r="B79" s="25" t="n">
        <v>48.3</v>
      </c>
      <c r="C79" s="25">
        <f>Table134681112141516171819[[#This Row],[PMI]]-B78</f>
        <v/>
      </c>
    </row>
    <row r="80">
      <c r="A80" s="10" t="n">
        <v>42705</v>
      </c>
      <c r="B80" s="25" t="n">
        <v>49.3</v>
      </c>
      <c r="C80" s="25">
        <f>Table134681112141516171819[[#This Row],[PMI]]-B79</f>
        <v/>
      </c>
    </row>
    <row r="81">
      <c r="A81" s="10" t="n">
        <v>42736</v>
      </c>
      <c r="B81" s="25" t="n">
        <v>46.6</v>
      </c>
      <c r="C81" s="25">
        <f>Table134681112141516171819[[#This Row],[PMI]]-B80</f>
        <v/>
      </c>
    </row>
    <row r="82">
      <c r="A82" s="10" t="n">
        <v>42767</v>
      </c>
      <c r="B82" s="25" t="n">
        <v>47.7</v>
      </c>
      <c r="C82" s="25">
        <f>Table134681112141516171819[[#This Row],[PMI]]-B81</f>
        <v/>
      </c>
    </row>
    <row r="83">
      <c r="A83" s="10" t="n">
        <v>42795</v>
      </c>
      <c r="B83" s="25" t="n">
        <v>46.7</v>
      </c>
      <c r="C83" s="25">
        <f>Table134681112141516171819[[#This Row],[PMI]]-B82</f>
        <v/>
      </c>
    </row>
    <row r="84">
      <c r="A84" s="10" t="n">
        <v>42826</v>
      </c>
      <c r="B84" s="25" t="n">
        <v>48.2</v>
      </c>
      <c r="C84" s="25">
        <f>Table134681112141516171819[[#This Row],[PMI]]-B83</f>
        <v/>
      </c>
    </row>
    <row r="85">
      <c r="A85" s="10" t="n">
        <v>42856</v>
      </c>
      <c r="B85" s="25" t="n">
        <v>49.6</v>
      </c>
      <c r="C85" s="25">
        <f>Table134681112141516171819[[#This Row],[PMI]]-B84</f>
        <v/>
      </c>
    </row>
    <row r="86">
      <c r="A86" s="10" t="n">
        <v>42887</v>
      </c>
      <c r="B86" s="25" t="n">
        <v>50.5</v>
      </c>
      <c r="C86" s="25">
        <f>Table134681112141516171819[[#This Row],[PMI]]-B85</f>
        <v/>
      </c>
    </row>
    <row r="87">
      <c r="A87" s="10" t="n">
        <v>42917</v>
      </c>
      <c r="B87" s="25" t="n">
        <v>50.5</v>
      </c>
      <c r="C87" s="25">
        <f>Table134681112141516171819[[#This Row],[PMI]]-B86</f>
        <v/>
      </c>
    </row>
    <row r="88">
      <c r="A88" s="10" t="n">
        <v>42948</v>
      </c>
      <c r="B88" s="25" t="n">
        <v>52.2</v>
      </c>
      <c r="C88" s="25">
        <f>Table134681112141516171819[[#This Row],[PMI]]-B87</f>
        <v/>
      </c>
    </row>
    <row r="89">
      <c r="A89" s="10" t="n">
        <v>42979</v>
      </c>
      <c r="B89" s="25" t="n">
        <v>52.8</v>
      </c>
      <c r="C89" s="25">
        <f>Table134681112141516171819[[#This Row],[PMI]]-B88</f>
        <v/>
      </c>
    </row>
    <row r="90">
      <c r="A90" s="10" t="n">
        <v>43009</v>
      </c>
      <c r="B90" s="25" t="n">
        <v>52.1</v>
      </c>
      <c r="C90" s="25">
        <f>Table134681112141516171819[[#This Row],[PMI]]-B89</f>
        <v/>
      </c>
    </row>
    <row r="91">
      <c r="A91" s="10" t="n">
        <v>43040</v>
      </c>
      <c r="B91" s="25" t="n">
        <v>52.2</v>
      </c>
      <c r="C91" s="25">
        <f>Table134681112141516171819[[#This Row],[PMI]]-B90</f>
        <v/>
      </c>
    </row>
    <row r="92">
      <c r="A92" s="10" t="n">
        <v>43070</v>
      </c>
      <c r="B92" s="25" t="n">
        <v>53.1</v>
      </c>
      <c r="C92" s="25">
        <f>Table134681112141516171819[[#This Row],[PMI]]-B91</f>
        <v/>
      </c>
    </row>
    <row r="93">
      <c r="A93" s="10" t="n">
        <v>43101</v>
      </c>
      <c r="B93" s="25" t="n">
        <v>55.2</v>
      </c>
      <c r="C93" s="25">
        <f>Table134681112141516171819[[#This Row],[PMI]]-B92</f>
        <v/>
      </c>
    </row>
    <row r="94">
      <c r="A94" s="10" t="n">
        <v>43132</v>
      </c>
      <c r="B94" s="25" t="n">
        <v>56.1</v>
      </c>
      <c r="C94" s="25">
        <f>Table134681112141516171819[[#This Row],[PMI]]-B93</f>
        <v/>
      </c>
    </row>
    <row r="95">
      <c r="A95" s="10" t="n">
        <v>43160</v>
      </c>
      <c r="B95" s="25" t="n">
        <v>55</v>
      </c>
      <c r="C95" s="25">
        <f>Table134681112141516171819[[#This Row],[PMI]]-B94</f>
        <v/>
      </c>
    </row>
    <row r="96">
      <c r="A96" s="10" t="n">
        <v>43191</v>
      </c>
      <c r="B96" s="25" t="n">
        <v>52.9</v>
      </c>
      <c r="C96" s="25">
        <f>Table134681112141516171819[[#This Row],[PMI]]-B95</f>
        <v/>
      </c>
    </row>
    <row r="97">
      <c r="A97" s="10" t="n">
        <v>43221</v>
      </c>
      <c r="B97" s="25" t="n">
        <v>54.2</v>
      </c>
      <c r="C97" s="25">
        <f>Table134681112141516171819[[#This Row],[PMI]]-B96</f>
        <v/>
      </c>
    </row>
    <row r="98">
      <c r="A98" s="10" t="n">
        <v>43252</v>
      </c>
      <c r="B98" s="25" t="n">
        <v>53.5</v>
      </c>
      <c r="C98" s="25">
        <f>Table134681112141516171819[[#This Row],[PMI]]-B97</f>
        <v/>
      </c>
    </row>
    <row r="99">
      <c r="A99" s="10" t="n">
        <v>43282</v>
      </c>
      <c r="B99" s="25" t="n">
        <v>53.5</v>
      </c>
      <c r="C99" s="25">
        <f>Table134681112141516171819[[#This Row],[PMI]]-B98</f>
        <v/>
      </c>
    </row>
    <row r="100">
      <c r="A100" s="10" t="n">
        <v>43313</v>
      </c>
      <c r="B100" s="25" t="n">
        <v>53.9</v>
      </c>
      <c r="C100" s="25">
        <f>Table134681112141516171819[[#This Row],[PMI]]-B99</f>
        <v/>
      </c>
    </row>
    <row r="101">
      <c r="A101" s="10" t="n">
        <v>43344</v>
      </c>
      <c r="B101" s="25" t="n">
        <v>53.6</v>
      </c>
      <c r="C101" s="25">
        <f>Table134681112141516171819[[#This Row],[PMI]]-B100</f>
        <v/>
      </c>
    </row>
    <row r="102">
      <c r="A102" s="10" t="n">
        <v>43374</v>
      </c>
      <c r="B102" s="25" t="n">
        <v>53.1</v>
      </c>
      <c r="C102" s="25">
        <f>Table134681112141516171819[[#This Row],[PMI]]-B101</f>
        <v/>
      </c>
    </row>
    <row r="103">
      <c r="A103" s="10" t="n">
        <v>43405</v>
      </c>
      <c r="B103" s="25" t="n">
        <v>54</v>
      </c>
      <c r="C103" s="25">
        <f>Table134681112141516171819[[#This Row],[PMI]]-B102</f>
        <v/>
      </c>
    </row>
    <row r="104">
      <c r="A104" s="10" t="n">
        <v>43435</v>
      </c>
      <c r="B104" s="25" t="n">
        <v>53.8</v>
      </c>
      <c r="C104" s="25">
        <f>Table134681112141516171819[[#This Row],[PMI]]-B103</f>
        <v/>
      </c>
    </row>
    <row r="105">
      <c r="A105" s="10" t="n">
        <v>43466</v>
      </c>
      <c r="B105" s="25" t="n">
        <v>53.7</v>
      </c>
      <c r="C105" s="25">
        <f>Table134681112141516171819[[#This Row],[PMI]]-B104</f>
        <v/>
      </c>
    </row>
    <row r="106">
      <c r="A106" s="10" t="n">
        <v>43497</v>
      </c>
      <c r="B106" s="25" t="n">
        <v>54.2</v>
      </c>
      <c r="C106" s="25">
        <f>Table134681112141516171819[[#This Row],[PMI]]-B105</f>
        <v/>
      </c>
    </row>
    <row r="107">
      <c r="A107" s="10" t="n">
        <v>43525</v>
      </c>
      <c r="B107" s="25" t="n">
        <v>54.7</v>
      </c>
      <c r="C107" s="25">
        <f>Table134681112141516171819[[#This Row],[PMI]]-B106</f>
        <v/>
      </c>
    </row>
    <row r="108">
      <c r="A108" s="10" t="n">
        <v>43556</v>
      </c>
      <c r="B108" s="25" t="n">
        <v>56.6</v>
      </c>
      <c r="C108" s="25">
        <f>Table134681112141516171819[[#This Row],[PMI]]-B107</f>
        <v/>
      </c>
    </row>
    <row r="109">
      <c r="A109" s="10" t="n">
        <v>43586</v>
      </c>
      <c r="B109" s="25" t="n">
        <v>54.2</v>
      </c>
      <c r="C109" s="25">
        <f>Table134681112141516171819[[#This Row],[PMI]]-B108</f>
        <v/>
      </c>
    </row>
    <row r="110">
      <c r="A110" s="10" t="n">
        <v>43617</v>
      </c>
      <c r="B110" s="25" t="n">
        <v>52.4</v>
      </c>
      <c r="C110" s="25">
        <f>Table134681112141516171819[[#This Row],[PMI]]-B109</f>
        <v/>
      </c>
    </row>
    <row r="111">
      <c r="A111" s="10" t="n">
        <v>43647</v>
      </c>
      <c r="B111" s="25" t="n">
        <v>54.6</v>
      </c>
      <c r="C111" s="25">
        <f>Table134681112141516171819[[#This Row],[PMI]]-B110</f>
        <v/>
      </c>
    </row>
    <row r="112">
      <c r="A112" s="10" t="n">
        <v>43678</v>
      </c>
      <c r="B112" s="25" t="n">
        <v>54.9</v>
      </c>
      <c r="C112" s="25">
        <f>Table134681112141516171819[[#This Row],[PMI]]-B111</f>
        <v/>
      </c>
    </row>
    <row r="113">
      <c r="A113" s="10" t="n">
        <v>43709</v>
      </c>
      <c r="B113" s="25" t="n">
        <v>53.6</v>
      </c>
      <c r="C113" s="25">
        <f>Table134681112141516171819[[#This Row],[PMI]]-B112</f>
        <v/>
      </c>
    </row>
    <row r="114">
      <c r="A114" s="10" t="n">
        <v>43739</v>
      </c>
      <c r="B114" s="25" t="n">
        <v>53.5</v>
      </c>
      <c r="C114" s="25">
        <f>Table134681112141516171819[[#This Row],[PMI]]-B113</f>
        <v/>
      </c>
    </row>
    <row r="115">
      <c r="A115" s="10" t="n">
        <v>43770</v>
      </c>
      <c r="B115" s="25" t="n">
        <v>54.1</v>
      </c>
      <c r="C115" s="25">
        <f>Table134681112141516171819[[#This Row],[PMI]]-B114</f>
        <v/>
      </c>
    </row>
    <row r="116">
      <c r="A116" s="10" t="n">
        <v>43800</v>
      </c>
      <c r="B116" s="25" t="n">
        <v>53.9</v>
      </c>
      <c r="C116" s="25">
        <f>Table134681112141516171819[[#This Row],[PMI]]-B115</f>
        <v/>
      </c>
    </row>
    <row r="117">
      <c r="A117" s="10" t="n">
        <v>43831</v>
      </c>
      <c r="B117" s="25" t="n">
        <v>54.4</v>
      </c>
      <c r="C117" s="25">
        <f>Table134681112141516171819[[#This Row],[PMI]]-B116</f>
        <v/>
      </c>
    </row>
    <row r="118">
      <c r="A118" s="10" t="n">
        <v>43862</v>
      </c>
      <c r="B118" s="25" t="n">
        <v>56.2</v>
      </c>
      <c r="C118" s="25">
        <f>Table134681112141516171819[[#This Row],[PMI]]-B117</f>
        <v/>
      </c>
    </row>
    <row r="119">
      <c r="A119" s="10" t="n">
        <v>43891</v>
      </c>
      <c r="B119" s="25" t="n">
        <v>42.5</v>
      </c>
      <c r="C119" s="25">
        <f>Table134681112141516171819[[#This Row],[PMI]]-B118</f>
        <v/>
      </c>
    </row>
    <row r="120">
      <c r="A120" s="10" t="n">
        <v>43922</v>
      </c>
      <c r="B120" s="25" t="n">
        <v>29.5</v>
      </c>
      <c r="C120" s="25">
        <f>Table134681112141516171819[[#This Row],[PMI]]-B119</f>
        <v/>
      </c>
    </row>
    <row r="121">
      <c r="A121" s="10" t="n">
        <v>43952</v>
      </c>
      <c r="B121" s="25" t="n">
        <v>41.1</v>
      </c>
      <c r="C121" s="25">
        <f>Table134681112141516171819[[#This Row],[PMI]]-B120</f>
        <v/>
      </c>
    </row>
    <row r="122">
      <c r="A122" s="10" t="n">
        <v>43983</v>
      </c>
      <c r="B122" s="25" t="n">
        <v>49.4</v>
      </c>
      <c r="C122" s="25">
        <f>Table134681112141516171819[[#This Row],[PMI]]-B121</f>
        <v/>
      </c>
    </row>
    <row r="123">
      <c r="A123" s="10" t="n">
        <v>44013</v>
      </c>
      <c r="B123" s="25" t="n">
        <v>48.6</v>
      </c>
      <c r="C123" s="25">
        <f>Table134681112141516171819[[#This Row],[PMI]]-B122</f>
        <v/>
      </c>
    </row>
    <row r="124">
      <c r="A124" s="10" t="n">
        <v>44044</v>
      </c>
      <c r="B124" s="25" t="n">
        <v>49.4</v>
      </c>
      <c r="C124" s="25">
        <f>Table134681112141516171819[[#This Row],[PMI]]-B123</f>
        <v/>
      </c>
    </row>
    <row r="125">
      <c r="A125" s="10" t="n">
        <v>44075</v>
      </c>
      <c r="B125" s="25" t="n">
        <v>50</v>
      </c>
      <c r="C125" s="25">
        <f>Table134681112141516171819[[#This Row],[PMI]]-B124</f>
        <v/>
      </c>
    </row>
    <row r="126">
      <c r="A126" s="10" t="n">
        <v>44105</v>
      </c>
      <c r="B126" s="25" t="n">
        <v>48.7</v>
      </c>
      <c r="C126" s="25">
        <f>Table134681112141516171819[[#This Row],[PMI]]-B125</f>
        <v/>
      </c>
    </row>
    <row r="127">
      <c r="A127" s="10" t="n">
        <v>44136</v>
      </c>
      <c r="B127" s="25" t="n">
        <v>42.3</v>
      </c>
      <c r="C127" s="25">
        <f>Table134681112141516171819[[#This Row],[PMI]]-B126</f>
        <v/>
      </c>
    </row>
    <row r="128">
      <c r="A128" s="10" t="n">
        <v>44166</v>
      </c>
      <c r="B128" s="25" t="n">
        <v>46.9</v>
      </c>
      <c r="C128" s="25">
        <f>Table134681112141516171819[[#This Row],[PMI]]-B127</f>
        <v/>
      </c>
    </row>
    <row r="129">
      <c r="A129" s="10" t="n">
        <v>44197</v>
      </c>
      <c r="B129" s="25" t="n">
        <v>50</v>
      </c>
      <c r="C129" s="25">
        <f>Table134681112141516171819[[#This Row],[PMI]]-B128</f>
        <v/>
      </c>
    </row>
    <row r="130">
      <c r="A130" s="10" t="n">
        <v>44228</v>
      </c>
      <c r="B130" s="25" t="n">
        <v>49.4</v>
      </c>
      <c r="C130" s="25">
        <f>Table134681112141516171819[[#This Row],[PMI]]-B129</f>
        <v/>
      </c>
    </row>
    <row r="131">
      <c r="A131" s="10" t="n">
        <v>44256</v>
      </c>
      <c r="B131" s="25" t="n">
        <v>51.8</v>
      </c>
      <c r="C131" s="25">
        <f>Table134681112141516171819[[#This Row],[PMI]]-B130</f>
        <v/>
      </c>
    </row>
    <row r="132">
      <c r="A132" s="10" t="n">
        <v>44287</v>
      </c>
      <c r="B132" s="25" t="n">
        <v>54.4</v>
      </c>
      <c r="C132" s="25">
        <f>Table134681112141516171819[[#This Row],[PMI]]-B131</f>
        <v/>
      </c>
    </row>
    <row r="133">
      <c r="A133" s="10" t="n">
        <v>44317</v>
      </c>
      <c r="B133" s="25" t="n">
        <v>58</v>
      </c>
      <c r="C133" s="25">
        <f>Table134681112141516171819[[#This Row],[PMI]]-B132</f>
        <v/>
      </c>
    </row>
    <row r="134">
      <c r="A134" s="10" t="n">
        <v>44348</v>
      </c>
      <c r="B134" s="25" t="n">
        <v>58.6</v>
      </c>
      <c r="C134" s="25">
        <f>Table134681112141516171819[[#This Row],[PMI]]-B133</f>
        <v/>
      </c>
    </row>
    <row r="135">
      <c r="A135" s="10" t="n">
        <v>44378</v>
      </c>
      <c r="B135" s="25" t="n">
        <v>57.4</v>
      </c>
      <c r="C135" s="25">
        <f>Table134681112141516171819[[#This Row],[PMI]]-B134</f>
        <v/>
      </c>
    </row>
    <row r="136">
      <c r="A136" s="10" t="n">
        <v>44409</v>
      </c>
      <c r="B136" s="25" t="n">
        <v>59.3</v>
      </c>
      <c r="C136" s="25">
        <f>Table134681112141516171819[[#This Row],[PMI]]-B135</f>
        <v/>
      </c>
    </row>
    <row r="137">
      <c r="A137" s="10" t="n">
        <v>44440</v>
      </c>
      <c r="B137" s="25" t="n">
        <v>58.4</v>
      </c>
      <c r="C137" s="25">
        <f>Table134681112141516171819[[#This Row],[PMI]]-B136</f>
        <v/>
      </c>
    </row>
    <row r="138">
      <c r="A138" s="10" t="n">
        <v>44470</v>
      </c>
      <c r="B138" s="25" t="n">
        <v>58.9</v>
      </c>
      <c r="C138" s="25">
        <f>Table134681112141516171819[[#This Row],[PMI]]-B137</f>
        <v/>
      </c>
    </row>
    <row r="139">
      <c r="A139" s="10" t="n">
        <v>44501</v>
      </c>
      <c r="B139" s="25" t="n">
        <v>58.8</v>
      </c>
      <c r="C139" s="25">
        <f>Table134681112141516171819[[#This Row],[PMI]]-B138</f>
        <v/>
      </c>
    </row>
    <row r="140">
      <c r="A140" s="10" t="n">
        <v>44531</v>
      </c>
      <c r="B140" s="25" t="n">
        <v>59</v>
      </c>
      <c r="C140" s="25">
        <f>Table134681112141516171819[[#This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0"/>
  <sheetViews>
    <sheetView zoomScale="180" zoomScaleNormal="180" workbookViewId="0">
      <pane ySplit="5" topLeftCell="A107" activePane="bottomLeft" state="frozen"/>
      <selection pane="bottomLeft" activeCell="S128" sqref="S128"/>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Ireland</t>
        </is>
      </c>
      <c r="K1" s="84" t="inlineStr">
        <is>
          <t xml:space="preserve"> Manufacturing PMI</t>
        </is>
      </c>
    </row>
    <row r="2">
      <c r="A2" s="84" t="inlineStr">
        <is>
          <t>ireland</t>
        </is>
      </c>
      <c r="K2" s="84">
        <f>A1&amp;K1</f>
        <v/>
      </c>
    </row>
    <row r="4" ht="16" customHeight="1" s="76" thickBot="1"/>
    <row r="5" ht="16" customHeight="1" s="76" thickBot="1">
      <c r="A5" s="22" t="inlineStr">
        <is>
          <t>Date</t>
        </is>
      </c>
      <c r="B5" s="23" t="inlineStr">
        <is>
          <t>PMI</t>
        </is>
      </c>
      <c r="C5" s="23" t="inlineStr">
        <is>
          <t>mom</t>
        </is>
      </c>
    </row>
    <row r="6">
      <c r="A6" s="18" t="n">
        <v>40452</v>
      </c>
      <c r="B6" s="19" t="n">
        <v>50.9</v>
      </c>
      <c r="C6" s="19" t="n"/>
    </row>
    <row r="7">
      <c r="A7" s="10" t="n">
        <v>40483</v>
      </c>
      <c r="B7" s="25" t="n">
        <v>51.2</v>
      </c>
      <c r="C7" s="25">
        <f>Table13468111214151617181920[[#This Row],[PMI]]-B6</f>
        <v/>
      </c>
    </row>
    <row r="8">
      <c r="A8" s="10" t="n">
        <v>40513</v>
      </c>
      <c r="B8" s="25" t="n">
        <v>52.2</v>
      </c>
      <c r="C8" s="25">
        <f>Table13468111214151617181920[[#This Row],[PMI]]-B7</f>
        <v/>
      </c>
    </row>
    <row r="9">
      <c r="A9" s="10" t="n">
        <v>40544</v>
      </c>
      <c r="B9" s="25" t="n">
        <v>55.8</v>
      </c>
      <c r="C9" s="25">
        <f>Table13468111214151617181920[[#This Row],[PMI]]-B8</f>
        <v/>
      </c>
    </row>
    <row r="10">
      <c r="A10" s="10" t="n">
        <v>40575</v>
      </c>
      <c r="B10" s="25" t="n">
        <v>56.7</v>
      </c>
      <c r="C10" s="25">
        <f>Table13468111214151617181920[[#This Row],[PMI]]-B9</f>
        <v/>
      </c>
    </row>
    <row r="11">
      <c r="A11" s="10" t="n">
        <v>40603</v>
      </c>
      <c r="B11" s="25" t="n">
        <v>55.7</v>
      </c>
      <c r="C11" s="25">
        <f>Table13468111214151617181920[[#This Row],[PMI]]-B10</f>
        <v/>
      </c>
    </row>
    <row r="12">
      <c r="A12" s="10" t="n">
        <v>40634</v>
      </c>
      <c r="B12" s="25" t="n">
        <v>56</v>
      </c>
      <c r="C12" s="25">
        <f>Table13468111214151617181920[[#This Row],[PMI]]-B11</f>
        <v/>
      </c>
    </row>
    <row r="13">
      <c r="A13" s="10" t="n">
        <v>40664</v>
      </c>
      <c r="B13" s="25" t="n">
        <v>51.8</v>
      </c>
      <c r="C13" s="25">
        <f>Table13468111214151617181920[[#This Row],[PMI]]-B12</f>
        <v/>
      </c>
    </row>
    <row r="14">
      <c r="A14" s="10" t="n">
        <v>40695</v>
      </c>
      <c r="B14" s="25" t="n">
        <v>49.8</v>
      </c>
      <c r="C14" s="25">
        <f>Table13468111214151617181920[[#This Row],[PMI]]-B13</f>
        <v/>
      </c>
    </row>
    <row r="15">
      <c r="A15" s="10" t="n">
        <v>40725</v>
      </c>
      <c r="B15" s="25" t="n">
        <v>48.2</v>
      </c>
      <c r="C15" s="25">
        <f>Table13468111214151617181920[[#This Row],[PMI]]-B14</f>
        <v/>
      </c>
    </row>
    <row r="16">
      <c r="A16" s="10" t="n">
        <v>40756</v>
      </c>
      <c r="B16" s="25" t="n">
        <v>49.7</v>
      </c>
      <c r="C16" s="25">
        <f>Table13468111214151617181920[[#This Row],[PMI]]-B15</f>
        <v/>
      </c>
    </row>
    <row r="17">
      <c r="A17" s="10" t="n">
        <v>40787</v>
      </c>
      <c r="B17" s="25" t="n">
        <v>47.3</v>
      </c>
      <c r="C17" s="25">
        <f>Table13468111214151617181920[[#This Row],[PMI]]-B16</f>
        <v/>
      </c>
    </row>
    <row r="18">
      <c r="A18" s="10" t="n">
        <v>40817</v>
      </c>
      <c r="B18" s="25" t="n">
        <v>50.1</v>
      </c>
      <c r="C18" s="25">
        <f>Table13468111214151617181920[[#This Row],[PMI]]-B17</f>
        <v/>
      </c>
    </row>
    <row r="19">
      <c r="A19" s="10" t="n">
        <v>40848</v>
      </c>
      <c r="B19" s="25" t="n">
        <v>48.5</v>
      </c>
      <c r="C19" s="25">
        <f>Table13468111214151617181920[[#This Row],[PMI]]-B18</f>
        <v/>
      </c>
    </row>
    <row r="20">
      <c r="A20" s="10" t="n">
        <v>40878</v>
      </c>
      <c r="B20" s="25" t="n">
        <v>49.8</v>
      </c>
      <c r="C20" s="25">
        <f>Table13468111214151617181920[[#This Row],[PMI]]-B19</f>
        <v/>
      </c>
    </row>
    <row r="21">
      <c r="A21" s="10" t="n">
        <v>40909</v>
      </c>
      <c r="B21" s="25" t="n">
        <v>49.3</v>
      </c>
      <c r="C21" s="25">
        <f>Table13468111214151617181920[[#This Row],[PMI]]-B20</f>
        <v/>
      </c>
    </row>
    <row r="22">
      <c r="A22" s="10" t="n">
        <v>40940</v>
      </c>
      <c r="B22" s="25" t="n">
        <v>49.7</v>
      </c>
      <c r="C22" s="25">
        <f>Table13468111214151617181920[[#This Row],[PMI]]-B21</f>
        <v/>
      </c>
    </row>
    <row r="23">
      <c r="A23" s="10" t="n">
        <v>40969</v>
      </c>
      <c r="B23" s="25" t="n">
        <v>51.5</v>
      </c>
      <c r="C23" s="25">
        <f>Table13468111214151617181920[[#This Row],[PMI]]-B22</f>
        <v/>
      </c>
    </row>
    <row r="24">
      <c r="A24" s="10" t="n">
        <v>41000</v>
      </c>
      <c r="B24" s="25" t="n">
        <v>50.1</v>
      </c>
      <c r="C24" s="25">
        <f>Table13468111214151617181920[[#This Row],[PMI]]-B23</f>
        <v/>
      </c>
    </row>
    <row r="25">
      <c r="A25" s="10" t="n">
        <v>41030</v>
      </c>
      <c r="B25" s="25" t="n">
        <v>51.2</v>
      </c>
      <c r="C25" s="25">
        <f>Table13468111214151617181920[[#This Row],[PMI]]-B24</f>
        <v/>
      </c>
    </row>
    <row r="26">
      <c r="A26" s="10" t="n">
        <v>41061</v>
      </c>
      <c r="B26" s="25" t="n">
        <v>53.1</v>
      </c>
      <c r="C26" s="25">
        <f>Table13468111214151617181920[[#This Row],[PMI]]-B25</f>
        <v/>
      </c>
    </row>
    <row r="27">
      <c r="A27" s="10" t="n">
        <v>41091</v>
      </c>
      <c r="B27" s="25" t="n">
        <v>53.9</v>
      </c>
      <c r="C27" s="25">
        <f>Table13468111214151617181920[[#This Row],[PMI]]-B26</f>
        <v/>
      </c>
    </row>
    <row r="28">
      <c r="A28" s="10" t="n">
        <v>41122</v>
      </c>
      <c r="B28" s="25" t="n">
        <v>50.9</v>
      </c>
      <c r="C28" s="25">
        <f>Table13468111214151617181920[[#This Row],[PMI]]-B27</f>
        <v/>
      </c>
    </row>
    <row r="29">
      <c r="A29" s="10" t="n">
        <v>41153</v>
      </c>
      <c r="B29" s="25" t="n">
        <v>51.8</v>
      </c>
      <c r="C29" s="25">
        <f>Table13468111214151617181920[[#This Row],[PMI]]-B28</f>
        <v/>
      </c>
    </row>
    <row r="30">
      <c r="A30" s="10" t="n">
        <v>41183</v>
      </c>
      <c r="B30" s="25" t="n">
        <v>52.1</v>
      </c>
      <c r="C30" s="25">
        <f>Table13468111214151617181920[[#This Row],[PMI]]-B29</f>
        <v/>
      </c>
    </row>
    <row r="31">
      <c r="A31" s="10" t="n">
        <v>41214</v>
      </c>
      <c r="B31" s="25" t="n">
        <v>52.4</v>
      </c>
      <c r="C31" s="25">
        <f>Table13468111214151617181920[[#This Row],[PMI]]-B30</f>
        <v/>
      </c>
    </row>
    <row r="32">
      <c r="A32" s="10" t="n">
        <v>41244</v>
      </c>
      <c r="B32" s="25" t="n">
        <v>51.4</v>
      </c>
      <c r="C32" s="25">
        <f>Table13468111214151617181920[[#This Row],[PMI]]-B31</f>
        <v/>
      </c>
    </row>
    <row r="33">
      <c r="A33" s="10" t="n">
        <v>41275</v>
      </c>
      <c r="B33" s="25" t="n">
        <v>50.3</v>
      </c>
      <c r="C33" s="25">
        <f>Table13468111214151617181920[[#This Row],[PMI]]-B32</f>
        <v/>
      </c>
    </row>
    <row r="34">
      <c r="A34" s="10" t="n">
        <v>41306</v>
      </c>
      <c r="B34" s="25" t="n">
        <v>51.5</v>
      </c>
      <c r="C34" s="25">
        <f>Table13468111214151617181920[[#This Row],[PMI]]-B33</f>
        <v/>
      </c>
    </row>
    <row r="35">
      <c r="A35" s="10" t="n">
        <v>41334</v>
      </c>
      <c r="B35" s="25" t="n">
        <v>48.6</v>
      </c>
      <c r="C35" s="25">
        <f>Table13468111214151617181920[[#This Row],[PMI]]-B34</f>
        <v/>
      </c>
    </row>
    <row r="36">
      <c r="A36" s="10" t="n">
        <v>41365</v>
      </c>
      <c r="B36" s="25" t="n">
        <v>48</v>
      </c>
      <c r="C36" s="25">
        <f>Table13468111214151617181920[[#This Row],[PMI]]-B35</f>
        <v/>
      </c>
    </row>
    <row r="37">
      <c r="A37" s="10" t="n">
        <v>41395</v>
      </c>
      <c r="B37" s="25" t="n">
        <v>49.7</v>
      </c>
      <c r="C37" s="25">
        <f>Table13468111214151617181920[[#This Row],[PMI]]-B36</f>
        <v/>
      </c>
    </row>
    <row r="38">
      <c r="A38" s="10" t="n">
        <v>41426</v>
      </c>
      <c r="B38" s="25" t="n">
        <v>50.3</v>
      </c>
      <c r="C38" s="25">
        <f>Table13468111214151617181920[[#This Row],[PMI]]-B37</f>
        <v/>
      </c>
    </row>
    <row r="39">
      <c r="A39" s="10" t="n">
        <v>41456</v>
      </c>
      <c r="B39" s="25" t="n">
        <v>51</v>
      </c>
      <c r="C39" s="25">
        <f>Table13468111214151617181920[[#This Row],[PMI]]-B38</f>
        <v/>
      </c>
    </row>
    <row r="40">
      <c r="A40" s="10" t="n">
        <v>41487</v>
      </c>
      <c r="B40" s="25" t="n">
        <v>52</v>
      </c>
      <c r="C40" s="25">
        <f>Table13468111214151617181920[[#This Row],[PMI]]-B39</f>
        <v/>
      </c>
    </row>
    <row r="41">
      <c r="A41" s="10" t="n">
        <v>41518</v>
      </c>
      <c r="B41" s="25" t="n">
        <v>52.7</v>
      </c>
      <c r="C41" s="25">
        <f>Table13468111214151617181920[[#This Row],[PMI]]-B40</f>
        <v/>
      </c>
    </row>
    <row r="42">
      <c r="A42" s="10" t="n">
        <v>41548</v>
      </c>
      <c r="B42" s="25" t="n">
        <v>54.9</v>
      </c>
      <c r="C42" s="25">
        <f>Table13468111214151617181920[[#This Row],[PMI]]-B41</f>
        <v/>
      </c>
    </row>
    <row r="43">
      <c r="A43" s="10" t="n">
        <v>41579</v>
      </c>
      <c r="B43" s="25" t="n">
        <v>52.4</v>
      </c>
      <c r="C43" s="25">
        <f>Table13468111214151617181920[[#This Row],[PMI]]-B42</f>
        <v/>
      </c>
    </row>
    <row r="44">
      <c r="A44" s="10" t="n">
        <v>41609</v>
      </c>
      <c r="B44" s="25" t="n">
        <v>53.5</v>
      </c>
      <c r="C44" s="25">
        <f>Table13468111214151617181920[[#This Row],[PMI]]-B43</f>
        <v/>
      </c>
    </row>
    <row r="45">
      <c r="A45" s="10" t="n">
        <v>41640</v>
      </c>
      <c r="B45" s="25" t="n">
        <v>52.8</v>
      </c>
      <c r="C45" s="25">
        <f>Table13468111214151617181920[[#This Row],[PMI]]-B44</f>
        <v/>
      </c>
    </row>
    <row r="46">
      <c r="A46" s="10" t="n">
        <v>41671</v>
      </c>
      <c r="B46" s="25" t="n">
        <v>52.9</v>
      </c>
      <c r="C46" s="25">
        <f>Table13468111214151617181920[[#This Row],[PMI]]-B45</f>
        <v/>
      </c>
    </row>
    <row r="47">
      <c r="A47" s="10" t="n">
        <v>41699</v>
      </c>
      <c r="B47" s="25" t="n">
        <v>55.5</v>
      </c>
      <c r="C47" s="25">
        <f>Table13468111214151617181920[[#This Row],[PMI]]-B46</f>
        <v/>
      </c>
    </row>
    <row r="48">
      <c r="A48" s="10" t="n">
        <v>41730</v>
      </c>
      <c r="B48" s="25" t="n">
        <v>56.1</v>
      </c>
      <c r="C48" s="25">
        <f>Table13468111214151617181920[[#This Row],[PMI]]-B47</f>
        <v/>
      </c>
    </row>
    <row r="49">
      <c r="A49" s="10" t="n">
        <v>41760</v>
      </c>
      <c r="B49" s="25" t="n">
        <v>55</v>
      </c>
      <c r="C49" s="25">
        <f>Table13468111214151617181920[[#This Row],[PMI]]-B48</f>
        <v/>
      </c>
    </row>
    <row r="50">
      <c r="A50" s="10" t="n">
        <v>41791</v>
      </c>
      <c r="B50" s="25" t="n">
        <v>55.3</v>
      </c>
      <c r="C50" s="25">
        <f>Table13468111214151617181920[[#This Row],[PMI]]-B49</f>
        <v/>
      </c>
    </row>
    <row r="51">
      <c r="A51" s="10" t="n">
        <v>41821</v>
      </c>
      <c r="B51" s="25" t="n">
        <v>55.4</v>
      </c>
      <c r="C51" s="25">
        <f>Table13468111214151617181920[[#This Row],[PMI]]-B50</f>
        <v/>
      </c>
    </row>
    <row r="52">
      <c r="A52" s="10" t="n">
        <v>41852</v>
      </c>
      <c r="B52" s="25" t="n">
        <v>57.3</v>
      </c>
      <c r="C52" s="25">
        <f>Table13468111214151617181920[[#This Row],[PMI]]-B51</f>
        <v/>
      </c>
    </row>
    <row r="53">
      <c r="A53" s="10" t="n">
        <v>41883</v>
      </c>
      <c r="B53" s="25" t="n">
        <v>55.7</v>
      </c>
      <c r="C53" s="25">
        <f>Table13468111214151617181920[[#This Row],[PMI]]-B52</f>
        <v/>
      </c>
    </row>
    <row r="54">
      <c r="A54" s="10" t="n">
        <v>41913</v>
      </c>
      <c r="B54" s="25" t="n">
        <v>56.6</v>
      </c>
      <c r="C54" s="25">
        <f>Table13468111214151617181920[[#This Row],[PMI]]-B53</f>
        <v/>
      </c>
    </row>
    <row r="55">
      <c r="A55" s="10" t="n">
        <v>41944</v>
      </c>
      <c r="B55" s="25" t="n">
        <v>56.2</v>
      </c>
      <c r="C55" s="25">
        <f>Table13468111214151617181920[[#This Row],[PMI]]-B54</f>
        <v/>
      </c>
    </row>
    <row r="56">
      <c r="A56" s="10" t="n">
        <v>41974</v>
      </c>
      <c r="B56" s="25" t="n">
        <v>56.9</v>
      </c>
      <c r="C56" s="25">
        <f>Table13468111214151617181920[[#This Row],[PMI]]-B55</f>
        <v/>
      </c>
    </row>
    <row r="57">
      <c r="A57" s="10" t="n">
        <v>42005</v>
      </c>
      <c r="B57" s="25" t="n">
        <v>55.1</v>
      </c>
      <c r="C57" s="25">
        <f>Table13468111214151617181920[[#This Row],[PMI]]-B56</f>
        <v/>
      </c>
    </row>
    <row r="58">
      <c r="A58" s="10" t="n">
        <v>42036</v>
      </c>
      <c r="B58" s="25" t="n">
        <v>57.5</v>
      </c>
      <c r="C58" s="25">
        <f>Table13468111214151617181920[[#This Row],[PMI]]-B57</f>
        <v/>
      </c>
    </row>
    <row r="59">
      <c r="A59" s="10" t="n">
        <v>42064</v>
      </c>
      <c r="B59" s="25" t="n">
        <v>56.8</v>
      </c>
      <c r="C59" s="25">
        <f>Table13468111214151617181920[[#This Row],[PMI]]-B58</f>
        <v/>
      </c>
    </row>
    <row r="60">
      <c r="A60" s="10" t="n">
        <v>42095</v>
      </c>
      <c r="B60" s="25" t="n">
        <v>55.8</v>
      </c>
      <c r="C60" s="25">
        <f>Table13468111214151617181920[[#This Row],[PMI]]-B59</f>
        <v/>
      </c>
    </row>
    <row r="61">
      <c r="A61" s="10" t="n">
        <v>42125</v>
      </c>
      <c r="B61" s="25" t="n">
        <v>57.1</v>
      </c>
      <c r="C61" s="25">
        <f>Table13468111214151617181920[[#This Row],[PMI]]-B60</f>
        <v/>
      </c>
    </row>
    <row r="62">
      <c r="A62" s="10" t="n">
        <v>42156</v>
      </c>
      <c r="B62" s="25" t="n">
        <v>54.6</v>
      </c>
      <c r="C62" s="25">
        <f>Table13468111214151617181920[[#This Row],[PMI]]-B61</f>
        <v/>
      </c>
    </row>
    <row r="63">
      <c r="A63" s="10" t="n">
        <v>42186</v>
      </c>
      <c r="B63" s="25" t="n">
        <v>56.7</v>
      </c>
      <c r="C63" s="25">
        <f>Table13468111214151617181920[[#This Row],[PMI]]-B62</f>
        <v/>
      </c>
    </row>
    <row r="64">
      <c r="A64" s="10" t="n">
        <v>42217</v>
      </c>
      <c r="B64" s="25" t="n">
        <v>53.6</v>
      </c>
      <c r="C64" s="25">
        <f>Table13468111214151617181920[[#This Row],[PMI]]-B63</f>
        <v/>
      </c>
    </row>
    <row r="65">
      <c r="A65" s="10" t="n">
        <v>42248</v>
      </c>
      <c r="B65" s="25" t="n">
        <v>53.8</v>
      </c>
      <c r="C65" s="25">
        <f>Table13468111214151617181920[[#This Row],[PMI]]-B64</f>
        <v/>
      </c>
    </row>
    <row r="66">
      <c r="A66" s="10" t="n">
        <v>42278</v>
      </c>
      <c r="B66" s="25" t="n">
        <v>53.6</v>
      </c>
      <c r="C66" s="25">
        <f>Table13468111214151617181920[[#This Row],[PMI]]-B65</f>
        <v/>
      </c>
    </row>
    <row r="67">
      <c r="A67" s="10" t="n">
        <v>42309</v>
      </c>
      <c r="B67" s="25" t="n">
        <v>53.3</v>
      </c>
      <c r="C67" s="25">
        <f>Table13468111214151617181920[[#This Row],[PMI]]-B66</f>
        <v/>
      </c>
    </row>
    <row r="68">
      <c r="A68" s="10" t="n">
        <v>42339</v>
      </c>
      <c r="B68" s="25" t="n">
        <v>54.2</v>
      </c>
      <c r="C68" s="25">
        <f>Table13468111214151617181920[[#This Row],[PMI]]-B67</f>
        <v/>
      </c>
    </row>
    <row r="69">
      <c r="A69" s="10" t="n">
        <v>42370</v>
      </c>
      <c r="B69" s="25" t="n">
        <v>54.3</v>
      </c>
      <c r="C69" s="25">
        <f>Table13468111214151617181920[[#This Row],[PMI]]-B68</f>
        <v/>
      </c>
    </row>
    <row r="70">
      <c r="A70" s="10" t="n">
        <v>42401</v>
      </c>
      <c r="B70" s="25" t="n">
        <v>52.9</v>
      </c>
      <c r="C70" s="25">
        <f>Table13468111214151617181920[[#This Row],[PMI]]-B69</f>
        <v/>
      </c>
    </row>
    <row r="71">
      <c r="A71" s="10" t="n">
        <v>42430</v>
      </c>
      <c r="B71" s="25" t="n">
        <v>54.9</v>
      </c>
      <c r="C71" s="25">
        <f>Table13468111214151617181920[[#This Row],[PMI]]-B70</f>
        <v/>
      </c>
    </row>
    <row r="72">
      <c r="A72" s="10" t="n">
        <v>42461</v>
      </c>
      <c r="B72" s="25" t="n">
        <v>52.6</v>
      </c>
      <c r="C72" s="25">
        <f>Table13468111214151617181920[[#This Row],[PMI]]-B71</f>
        <v/>
      </c>
    </row>
    <row r="73">
      <c r="A73" s="10" t="n">
        <v>42491</v>
      </c>
      <c r="B73" s="25" t="n">
        <v>51.5</v>
      </c>
      <c r="C73" s="25">
        <f>Table13468111214151617181920[[#This Row],[PMI]]-B72</f>
        <v/>
      </c>
    </row>
    <row r="74">
      <c r="A74" s="10" t="n">
        <v>42522</v>
      </c>
      <c r="B74" s="25" t="n">
        <v>53</v>
      </c>
      <c r="C74" s="25">
        <f>Table13468111214151617181920[[#This Row],[PMI]]-B73</f>
        <v/>
      </c>
    </row>
    <row r="75">
      <c r="A75" s="10" t="n">
        <v>42552</v>
      </c>
      <c r="B75" s="25" t="n">
        <v>50.2</v>
      </c>
      <c r="C75" s="25">
        <f>Table13468111214151617181920[[#This Row],[PMI]]-B74</f>
        <v/>
      </c>
    </row>
    <row r="76">
      <c r="A76" s="10" t="n">
        <v>42583</v>
      </c>
      <c r="B76" s="25" t="n">
        <v>51.7</v>
      </c>
      <c r="C76" s="25">
        <f>Table13468111214151617181920[[#This Row],[PMI]]-B75</f>
        <v/>
      </c>
    </row>
    <row r="77">
      <c r="A77" s="10" t="n">
        <v>42614</v>
      </c>
      <c r="B77" s="25" t="n">
        <v>51.3</v>
      </c>
      <c r="C77" s="25">
        <f>Table13468111214151617181920[[#This Row],[PMI]]-B76</f>
        <v/>
      </c>
    </row>
    <row r="78">
      <c r="A78" s="10" t="n">
        <v>42644</v>
      </c>
      <c r="B78" s="25" t="n">
        <v>52.1</v>
      </c>
      <c r="C78" s="25">
        <f>Table13468111214151617181920[[#This Row],[PMI]]-B77</f>
        <v/>
      </c>
    </row>
    <row r="79">
      <c r="A79" s="10" t="n">
        <v>42675</v>
      </c>
      <c r="B79" s="25" t="n">
        <v>53.7</v>
      </c>
      <c r="C79" s="25">
        <f>Table13468111214151617181920[[#This Row],[PMI]]-B78</f>
        <v/>
      </c>
    </row>
    <row r="80">
      <c r="A80" s="10" t="n">
        <v>42705</v>
      </c>
      <c r="B80" s="25" t="n">
        <v>55.7</v>
      </c>
      <c r="C80" s="25">
        <f>Table13468111214151617181920[[#This Row],[PMI]]-B79</f>
        <v/>
      </c>
    </row>
    <row r="81">
      <c r="A81" s="10" t="n">
        <v>42736</v>
      </c>
      <c r="B81" s="25" t="n">
        <v>55.5</v>
      </c>
      <c r="C81" s="25">
        <f>Table13468111214151617181920[[#This Row],[PMI]]-B80</f>
        <v/>
      </c>
    </row>
    <row r="82">
      <c r="A82" s="10" t="n">
        <v>42767</v>
      </c>
      <c r="B82" s="25" t="n">
        <v>53.8</v>
      </c>
      <c r="C82" s="25">
        <f>Table13468111214151617181920[[#This Row],[PMI]]-B81</f>
        <v/>
      </c>
    </row>
    <row r="83">
      <c r="A83" s="10" t="n">
        <v>42795</v>
      </c>
      <c r="B83" s="25" t="n">
        <v>53.6</v>
      </c>
      <c r="C83" s="25">
        <f>Table13468111214151617181920[[#This Row],[PMI]]-B82</f>
        <v/>
      </c>
    </row>
    <row r="84">
      <c r="A84" s="10" t="n">
        <v>42826</v>
      </c>
      <c r="B84" s="25" t="n">
        <v>55</v>
      </c>
      <c r="C84" s="25">
        <f>Table13468111214151617181920[[#This Row],[PMI]]-B83</f>
        <v/>
      </c>
    </row>
    <row r="85">
      <c r="A85" s="10" t="n">
        <v>42856</v>
      </c>
      <c r="B85" s="25" t="n">
        <v>55.9</v>
      </c>
      <c r="C85" s="25">
        <f>Table13468111214151617181920[[#This Row],[PMI]]-B84</f>
        <v/>
      </c>
    </row>
    <row r="86">
      <c r="A86" s="10" t="n">
        <v>42887</v>
      </c>
      <c r="B86" s="25" t="n">
        <v>56</v>
      </c>
      <c r="C86" s="25">
        <f>Table13468111214151617181920[[#This Row],[PMI]]-B85</f>
        <v/>
      </c>
    </row>
    <row r="87">
      <c r="A87" s="10" t="n">
        <v>42917</v>
      </c>
      <c r="B87" s="25" t="n">
        <v>54.6</v>
      </c>
      <c r="C87" s="25">
        <f>Table13468111214151617181920[[#This Row],[PMI]]-B86</f>
        <v/>
      </c>
    </row>
    <row r="88">
      <c r="A88" s="10" t="n">
        <v>42948</v>
      </c>
      <c r="B88" s="25" t="n">
        <v>56.1</v>
      </c>
      <c r="C88" s="25">
        <f>Table13468111214151617181920[[#This Row],[PMI]]-B87</f>
        <v/>
      </c>
    </row>
    <row r="89">
      <c r="A89" s="10" t="n">
        <v>42979</v>
      </c>
      <c r="B89" s="25" t="n">
        <v>55.4</v>
      </c>
      <c r="C89" s="25">
        <f>Table13468111214151617181920[[#This Row],[PMI]]-B88</f>
        <v/>
      </c>
    </row>
    <row r="90">
      <c r="A90" s="10" t="n">
        <v>43009</v>
      </c>
      <c r="B90" s="25" t="n">
        <v>54.4</v>
      </c>
      <c r="C90" s="25">
        <f>Table13468111214151617181920[[#This Row],[PMI]]-B89</f>
        <v/>
      </c>
    </row>
    <row r="91">
      <c r="A91" s="10" t="n">
        <v>43040</v>
      </c>
      <c r="B91" s="25" t="n">
        <v>58.1</v>
      </c>
      <c r="C91" s="25">
        <f>Table13468111214151617181920[[#This Row],[PMI]]-B90</f>
        <v/>
      </c>
    </row>
    <row r="92">
      <c r="A92" s="10" t="n">
        <v>43070</v>
      </c>
      <c r="B92" s="25" t="n">
        <v>59.1</v>
      </c>
      <c r="C92" s="25">
        <f>Table13468111214151617181920[[#This Row],[PMI]]-B91</f>
        <v/>
      </c>
    </row>
    <row r="93">
      <c r="A93" s="10" t="n">
        <v>43101</v>
      </c>
      <c r="B93" s="25" t="n">
        <v>57.6</v>
      </c>
      <c r="C93" s="25">
        <f>Table13468111214151617181920[[#This Row],[PMI]]-B92</f>
        <v/>
      </c>
    </row>
    <row r="94">
      <c r="A94" s="10" t="n">
        <v>43132</v>
      </c>
      <c r="B94" s="25" t="n">
        <v>56.2</v>
      </c>
      <c r="C94" s="25">
        <f>Table13468111214151617181920[[#This Row],[PMI]]-B93</f>
        <v/>
      </c>
    </row>
    <row r="95">
      <c r="A95" s="10" t="n">
        <v>43160</v>
      </c>
      <c r="B95" s="25" t="n">
        <v>54.1</v>
      </c>
      <c r="C95" s="25">
        <f>Table13468111214151617181920[[#This Row],[PMI]]-B94</f>
        <v/>
      </c>
    </row>
    <row r="96">
      <c r="A96" s="10" t="n">
        <v>43191</v>
      </c>
      <c r="B96" s="25" t="n">
        <v>55.3</v>
      </c>
      <c r="C96" s="25">
        <f>Table13468111214151617181920[[#This Row],[PMI]]-B95</f>
        <v/>
      </c>
    </row>
    <row r="97">
      <c r="A97" s="10" t="n">
        <v>43221</v>
      </c>
      <c r="B97" s="25" t="n">
        <v>55.4</v>
      </c>
      <c r="C97" s="25">
        <f>Table13468111214151617181920[[#This Row],[PMI]]-B96</f>
        <v/>
      </c>
    </row>
    <row r="98">
      <c r="A98" s="10" t="n">
        <v>43252</v>
      </c>
      <c r="B98" s="25" t="n">
        <v>56.6</v>
      </c>
      <c r="C98" s="25">
        <f>Table13468111214151617181920[[#This Row],[PMI]]-B97</f>
        <v/>
      </c>
    </row>
    <row r="99">
      <c r="A99" s="10" t="n">
        <v>43282</v>
      </c>
      <c r="B99" s="25" t="n">
        <v>56.3</v>
      </c>
      <c r="C99" s="25">
        <f>Table13468111214151617181920[[#This Row],[PMI]]-B98</f>
        <v/>
      </c>
    </row>
    <row r="100">
      <c r="A100" s="10" t="n">
        <v>43313</v>
      </c>
      <c r="B100" s="25" t="n">
        <v>57.5</v>
      </c>
      <c r="C100" s="25">
        <f>Table13468111214151617181920[[#This Row],[PMI]]-B99</f>
        <v/>
      </c>
    </row>
    <row r="101">
      <c r="A101" s="10" t="n">
        <v>43344</v>
      </c>
      <c r="B101" s="25" t="n">
        <v>56.3</v>
      </c>
      <c r="C101" s="25">
        <f>Table13468111214151617181920[[#This Row],[PMI]]-B100</f>
        <v/>
      </c>
    </row>
    <row r="102">
      <c r="A102" s="10" t="n">
        <v>43374</v>
      </c>
      <c r="B102" s="25" t="n">
        <v>54.9</v>
      </c>
      <c r="C102" s="25">
        <f>Table13468111214151617181920[[#This Row],[PMI]]-B101</f>
        <v/>
      </c>
    </row>
    <row r="103">
      <c r="A103" s="10" t="n">
        <v>43405</v>
      </c>
      <c r="B103" s="25" t="n">
        <v>55.4</v>
      </c>
      <c r="C103" s="25">
        <f>Table13468111214151617181920[[#This Row],[PMI]]-B102</f>
        <v/>
      </c>
    </row>
    <row r="104">
      <c r="A104" s="10" t="n">
        <v>43435</v>
      </c>
      <c r="B104" s="25" t="n">
        <v>54.5</v>
      </c>
      <c r="C104" s="25">
        <f>Table13468111214151617181920[[#This Row],[PMI]]-B103</f>
        <v/>
      </c>
    </row>
    <row r="105">
      <c r="A105" s="10" t="n">
        <v>43466</v>
      </c>
      <c r="B105" s="25" t="n">
        <v>52.6</v>
      </c>
      <c r="C105" s="25">
        <f>Table13468111214151617181920[[#This Row],[PMI]]-B104</f>
        <v/>
      </c>
    </row>
    <row r="106">
      <c r="A106" s="10" t="n">
        <v>43497</v>
      </c>
      <c r="B106" s="25" t="n">
        <v>54</v>
      </c>
      <c r="C106" s="25">
        <f>Table13468111214151617181920[[#This Row],[PMI]]-B105</f>
        <v/>
      </c>
    </row>
    <row r="107">
      <c r="A107" s="10" t="n">
        <v>43525</v>
      </c>
      <c r="B107" s="25" t="n">
        <v>53.9</v>
      </c>
      <c r="C107" s="25">
        <f>Table13468111214151617181920[[#This Row],[PMI]]-B106</f>
        <v/>
      </c>
    </row>
    <row r="108">
      <c r="A108" s="10" t="n">
        <v>43556</v>
      </c>
      <c r="B108" s="25" t="n">
        <v>52.5</v>
      </c>
      <c r="C108" s="25">
        <f>Table13468111214151617181920[[#This Row],[PMI]]-B107</f>
        <v/>
      </c>
    </row>
    <row r="109">
      <c r="A109" s="10" t="n">
        <v>43586</v>
      </c>
      <c r="B109" s="25" t="n">
        <v>50.4</v>
      </c>
      <c r="C109" s="25">
        <f>Table13468111214151617181920[[#This Row],[PMI]]-B108</f>
        <v/>
      </c>
    </row>
    <row r="110">
      <c r="A110" s="10" t="n">
        <v>43617</v>
      </c>
      <c r="B110" s="25" t="n">
        <v>49.8</v>
      </c>
      <c r="C110" s="25">
        <f>Table13468111214151617181920[[#This Row],[PMI]]-B109</f>
        <v/>
      </c>
    </row>
    <row r="111">
      <c r="A111" s="10" t="n">
        <v>43647</v>
      </c>
      <c r="B111" s="25" t="n">
        <v>48.7</v>
      </c>
      <c r="C111" s="25">
        <f>Table13468111214151617181920[[#This Row],[PMI]]-B110</f>
        <v/>
      </c>
    </row>
    <row r="112">
      <c r="A112" s="10" t="n">
        <v>43678</v>
      </c>
      <c r="B112" s="25" t="n">
        <v>48.6</v>
      </c>
      <c r="C112" s="25">
        <f>Table13468111214151617181920[[#This Row],[PMI]]-B111</f>
        <v/>
      </c>
    </row>
    <row r="113">
      <c r="A113" s="10" t="n">
        <v>43709</v>
      </c>
      <c r="B113" s="25" t="n">
        <v>48.7</v>
      </c>
      <c r="C113" s="25">
        <f>Table13468111214151617181920[[#This Row],[PMI]]-B112</f>
        <v/>
      </c>
    </row>
    <row r="114">
      <c r="A114" s="10" t="n">
        <v>43739</v>
      </c>
      <c r="B114" s="25" t="n">
        <v>50.7</v>
      </c>
      <c r="C114" s="25">
        <f>Table13468111214151617181920[[#This Row],[PMI]]-B113</f>
        <v/>
      </c>
    </row>
    <row r="115">
      <c r="A115" s="10" t="n">
        <v>43770</v>
      </c>
      <c r="B115" s="25" t="n">
        <v>49.7</v>
      </c>
      <c r="C115" s="25">
        <f>Table13468111214151617181920[[#This Row],[PMI]]-B114</f>
        <v/>
      </c>
    </row>
    <row r="116">
      <c r="A116" s="10" t="n">
        <v>43800</v>
      </c>
      <c r="B116" s="25" t="n">
        <v>49.5</v>
      </c>
      <c r="C116" s="25">
        <f>Table13468111214151617181920[[#This Row],[PMI]]-B115</f>
        <v/>
      </c>
    </row>
    <row r="117">
      <c r="A117" s="10" t="n">
        <v>43831</v>
      </c>
      <c r="B117" s="25" t="n">
        <v>51.4</v>
      </c>
      <c r="C117" s="25">
        <f>Table13468111214151617181920[[#This Row],[PMI]]-B116</f>
        <v/>
      </c>
    </row>
    <row r="118">
      <c r="A118" s="10" t="n">
        <v>43862</v>
      </c>
      <c r="B118" s="25" t="n">
        <v>51.2</v>
      </c>
      <c r="C118" s="25">
        <f>Table13468111214151617181920[[#This Row],[PMI]]-B117</f>
        <v/>
      </c>
    </row>
    <row r="119">
      <c r="A119" s="10" t="n">
        <v>43891</v>
      </c>
      <c r="B119" s="25" t="n">
        <v>45.1</v>
      </c>
      <c r="C119" s="25">
        <f>Table13468111214151617181920[[#This Row],[PMI]]-B118</f>
        <v/>
      </c>
    </row>
    <row r="120">
      <c r="A120" s="10" t="n">
        <v>43922</v>
      </c>
      <c r="B120" s="25" t="n">
        <v>36</v>
      </c>
      <c r="C120" s="25">
        <f>Table13468111214151617181920[[#This Row],[PMI]]-B119</f>
        <v/>
      </c>
    </row>
    <row r="121">
      <c r="A121" s="10" t="n">
        <v>43952</v>
      </c>
      <c r="B121" s="25" t="n">
        <v>39.2</v>
      </c>
      <c r="C121" s="25">
        <f>Table13468111214151617181920[[#This Row],[PMI]]-B120</f>
        <v/>
      </c>
    </row>
    <row r="122">
      <c r="A122" s="10" t="n">
        <v>43983</v>
      </c>
      <c r="B122" s="25" t="n">
        <v>51</v>
      </c>
      <c r="C122" s="25">
        <f>Table13468111214151617181920[[#This Row],[PMI]]-B121</f>
        <v/>
      </c>
    </row>
    <row r="123">
      <c r="A123" s="10" t="n">
        <v>44013</v>
      </c>
      <c r="B123" s="25" t="n">
        <v>57.3</v>
      </c>
      <c r="C123" s="25">
        <f>Table13468111214151617181920[[#This Row],[PMI]]-B122</f>
        <v/>
      </c>
    </row>
    <row r="124">
      <c r="A124" s="10" t="n">
        <v>44044</v>
      </c>
      <c r="B124" s="25" t="n">
        <v>52.3</v>
      </c>
      <c r="C124" s="25">
        <f>Table13468111214151617181920[[#This Row],[PMI]]-B123</f>
        <v/>
      </c>
    </row>
    <row r="125">
      <c r="A125" s="10" t="n">
        <v>44075</v>
      </c>
      <c r="B125" s="25" t="n">
        <v>50</v>
      </c>
      <c r="C125" s="25">
        <f>Table13468111214151617181920[[#This Row],[PMI]]-B124</f>
        <v/>
      </c>
    </row>
    <row r="126">
      <c r="A126" s="10" t="n">
        <v>44105</v>
      </c>
      <c r="B126" s="25" t="n">
        <v>50.3</v>
      </c>
      <c r="C126" s="25">
        <f>Table13468111214151617181920[[#This Row],[PMI]]-B125</f>
        <v/>
      </c>
    </row>
    <row r="127">
      <c r="A127" s="10" t="n">
        <v>44136</v>
      </c>
      <c r="B127" s="25" t="n">
        <v>52.2</v>
      </c>
      <c r="C127" s="25">
        <f>Table13468111214151617181920[[#This Row],[PMI]]-B126</f>
        <v/>
      </c>
    </row>
    <row r="128">
      <c r="A128" s="10" t="n">
        <v>44166</v>
      </c>
      <c r="B128" s="25" t="n">
        <v>57.2</v>
      </c>
      <c r="C128" s="25">
        <f>Table13468111214151617181920[[#This Row],[PMI]]-B127</f>
        <v/>
      </c>
    </row>
    <row r="129">
      <c r="A129" s="10" t="n">
        <v>44197</v>
      </c>
      <c r="B129" s="25" t="n">
        <v>51.8</v>
      </c>
      <c r="C129" s="25">
        <f>Table13468111214151617181920[[#This Row],[PMI]]-B128</f>
        <v/>
      </c>
    </row>
    <row r="130">
      <c r="A130" s="10" t="n">
        <v>44228</v>
      </c>
      <c r="B130" s="25" t="n">
        <v>52</v>
      </c>
      <c r="C130" s="25">
        <f>Table13468111214151617181920[[#This Row],[PMI]]-B129</f>
        <v/>
      </c>
    </row>
    <row r="131">
      <c r="A131" s="10" t="n">
        <v>44256</v>
      </c>
      <c r="B131" s="25" t="n">
        <v>57.1</v>
      </c>
      <c r="C131" s="25">
        <f>Table13468111214151617181920[[#This Row],[PMI]]-B130</f>
        <v/>
      </c>
    </row>
    <row r="132">
      <c r="A132" s="10" t="n">
        <v>44287</v>
      </c>
      <c r="B132" s="25" t="n">
        <v>60.8</v>
      </c>
      <c r="C132" s="25">
        <f>Table13468111214151617181920[[#This Row],[PMI]]-B131</f>
        <v/>
      </c>
    </row>
    <row r="133">
      <c r="A133" s="10" t="n">
        <v>44317</v>
      </c>
      <c r="B133" s="25" t="n">
        <v>64.09999999999999</v>
      </c>
      <c r="C133" s="25">
        <f>Table13468111214151617181920[[#This Row],[PMI]]-B132</f>
        <v/>
      </c>
    </row>
    <row r="134">
      <c r="A134" s="10" t="n">
        <v>44348</v>
      </c>
      <c r="B134" s="25" t="n">
        <v>64</v>
      </c>
      <c r="C134" s="25">
        <f>Table13468111214151617181920[[#This Row],[PMI]]-B133</f>
        <v/>
      </c>
    </row>
    <row r="135">
      <c r="A135" s="10" t="n">
        <v>44378</v>
      </c>
      <c r="B135" s="25" t="n">
        <v>63.3</v>
      </c>
      <c r="C135" s="25">
        <f>Table13468111214151617181920[[#This Row],[PMI]]-B134</f>
        <v/>
      </c>
    </row>
    <row r="136">
      <c r="A136" s="10" t="n">
        <v>44409</v>
      </c>
      <c r="B136" s="25" t="n">
        <v>62.8</v>
      </c>
      <c r="C136" s="25">
        <f>Table13468111214151617181920[[#This Row],[PMI]]-B135</f>
        <v/>
      </c>
    </row>
    <row r="137">
      <c r="A137" s="10" t="n">
        <v>44440</v>
      </c>
      <c r="B137" s="25" t="n">
        <v>60.3</v>
      </c>
      <c r="C137" s="25">
        <f>Table13468111214151617181920[[#This Row],[PMI]]-B136</f>
        <v/>
      </c>
    </row>
    <row r="138">
      <c r="A138" s="10" t="n">
        <v>44470</v>
      </c>
      <c r="B138" s="25" t="n">
        <v>62.1</v>
      </c>
      <c r="C138" s="25">
        <f>Table13468111214151617181920[[#This Row],[PMI]]-B137</f>
        <v/>
      </c>
    </row>
    <row r="139">
      <c r="A139" s="10" t="n">
        <v>44501</v>
      </c>
      <c r="B139" s="25" t="n">
        <v>59.9</v>
      </c>
      <c r="C139" s="25">
        <f>Table13468111214151617181920[[#This Row],[PMI]]-B138</f>
        <v/>
      </c>
    </row>
    <row r="140">
      <c r="A140" s="10" t="n">
        <v>44531</v>
      </c>
      <c r="B140" s="25" t="n">
        <v>58.3</v>
      </c>
      <c r="C140" s="25">
        <f>Table13468111214151617181920[[#This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0"/>
  <sheetViews>
    <sheetView zoomScale="170" zoomScaleNormal="170" workbookViewId="0">
      <pane ySplit="5" topLeftCell="A106" activePane="bottomLeft" state="frozen"/>
      <selection pane="bottomLeft" activeCell="A142" sqref="A142"/>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Turkey</t>
        </is>
      </c>
      <c r="K1" s="84" t="inlineStr">
        <is>
          <t xml:space="preserve"> Manufacturing PMI</t>
        </is>
      </c>
    </row>
    <row r="2">
      <c r="A2" s="84" t="inlineStr">
        <is>
          <t>turkey</t>
        </is>
      </c>
      <c r="K2" s="84">
        <f>A1&amp;K1</f>
        <v/>
      </c>
    </row>
    <row r="4" ht="16" customHeight="1" s="76" thickBot="1"/>
    <row r="5" ht="16" customHeight="1" s="76" thickBot="1">
      <c r="A5" s="22" t="inlineStr">
        <is>
          <t>Date</t>
        </is>
      </c>
      <c r="B5" s="23" t="inlineStr">
        <is>
          <t>PMI</t>
        </is>
      </c>
      <c r="C5" s="23" t="inlineStr">
        <is>
          <t>mom</t>
        </is>
      </c>
    </row>
    <row r="6">
      <c r="A6" s="18" t="n">
        <v>40452</v>
      </c>
      <c r="B6" s="19" t="n">
        <v>54.3</v>
      </c>
      <c r="C6" s="19" t="n"/>
    </row>
    <row r="7">
      <c r="A7" s="10" t="n">
        <v>40483</v>
      </c>
      <c r="B7" s="25" t="n">
        <v>56.4</v>
      </c>
      <c r="C7" s="25">
        <f>Table134681112141516171819202225303334[[#This Row],[PMI]]-B6</f>
        <v/>
      </c>
    </row>
    <row r="8">
      <c r="A8" s="10" t="n">
        <v>40513</v>
      </c>
      <c r="B8" s="25" t="n">
        <v>56.4</v>
      </c>
      <c r="C8" s="25">
        <f>Table134681112141516171819202225303334[[#This Row],[PMI]]-B7</f>
        <v/>
      </c>
    </row>
    <row r="9">
      <c r="A9" s="10" t="n">
        <v>40544</v>
      </c>
      <c r="B9" s="25" t="n">
        <v>57.2</v>
      </c>
      <c r="C9" s="25">
        <f>Table134681112141516171819202225303334[[#This Row],[PMI]]-B8</f>
        <v/>
      </c>
    </row>
    <row r="10">
      <c r="A10" s="10" t="n">
        <v>40575</v>
      </c>
      <c r="B10" s="25" t="n">
        <v>58.5</v>
      </c>
      <c r="C10" s="25">
        <f>Table134681112141516171819202225303334[[#This Row],[PMI]]-B9</f>
        <v/>
      </c>
    </row>
    <row r="11">
      <c r="A11" s="10" t="n">
        <v>40603</v>
      </c>
      <c r="B11" s="25" t="n">
        <v>56.1</v>
      </c>
      <c r="C11" s="25">
        <f>Table134681112141516171819202225303334[[#This Row],[PMI]]-B10</f>
        <v/>
      </c>
    </row>
    <row r="12">
      <c r="A12" s="10" t="n">
        <v>40634</v>
      </c>
      <c r="B12" s="25" t="n">
        <v>52.7</v>
      </c>
      <c r="C12" s="25">
        <f>Table134681112141516171819202225303334[[#This Row],[PMI]]-B11</f>
        <v/>
      </c>
    </row>
    <row r="13">
      <c r="A13" s="10" t="n">
        <v>40664</v>
      </c>
      <c r="B13" s="25" t="n">
        <v>50.6</v>
      </c>
      <c r="C13" s="25">
        <f>Table134681112141516171819202225303334[[#This Row],[PMI]]-B12</f>
        <v/>
      </c>
    </row>
    <row r="14">
      <c r="A14" s="10" t="n">
        <v>40695</v>
      </c>
      <c r="B14" s="25" t="n">
        <v>52.3</v>
      </c>
      <c r="C14" s="25">
        <f>Table134681112141516171819202225303334[[#This Row],[PMI]]-B13</f>
        <v/>
      </c>
    </row>
    <row r="15">
      <c r="A15" s="10" t="n">
        <v>40725</v>
      </c>
      <c r="B15" s="25" t="n">
        <v>52.3</v>
      </c>
      <c r="C15" s="25">
        <f>Table134681112141516171819202225303334[[#This Row],[PMI]]-B14</f>
        <v/>
      </c>
    </row>
    <row r="16">
      <c r="A16" s="10" t="n">
        <v>40756</v>
      </c>
      <c r="B16" s="25" t="n">
        <v>49.8</v>
      </c>
      <c r="C16" s="25">
        <f>Table134681112141516171819202225303334[[#This Row],[PMI]]-B15</f>
        <v/>
      </c>
    </row>
    <row r="17">
      <c r="A17" s="10" t="n">
        <v>40787</v>
      </c>
      <c r="B17" s="25" t="n">
        <v>51.5</v>
      </c>
      <c r="C17" s="25">
        <f>Table134681112141516171819202225303334[[#This Row],[PMI]]-B16</f>
        <v/>
      </c>
    </row>
    <row r="18">
      <c r="A18" s="10" t="n">
        <v>40817</v>
      </c>
      <c r="B18" s="25" t="n">
        <v>53.3</v>
      </c>
      <c r="C18" s="25">
        <f>Table134681112141516171819202225303334[[#This Row],[PMI]]-B17</f>
        <v/>
      </c>
    </row>
    <row r="19">
      <c r="A19" s="10" t="n">
        <v>40848</v>
      </c>
      <c r="B19" s="25" t="n">
        <v>52.3</v>
      </c>
      <c r="C19" s="25">
        <f>Table134681112141516171819202225303334[[#This Row],[PMI]]-B18</f>
        <v/>
      </c>
    </row>
    <row r="20">
      <c r="A20" s="10" t="n">
        <v>40878</v>
      </c>
      <c r="B20" s="25" t="n">
        <v>52</v>
      </c>
      <c r="C20" s="25">
        <f>Table134681112141516171819202225303334[[#This Row],[PMI]]-B19</f>
        <v/>
      </c>
    </row>
    <row r="21">
      <c r="A21" s="10" t="n">
        <v>40909</v>
      </c>
      <c r="B21" s="25" t="n">
        <v>51.7</v>
      </c>
      <c r="C21" s="25">
        <f>Table134681112141516171819202225303334[[#This Row],[PMI]]-B20</f>
        <v/>
      </c>
    </row>
    <row r="22">
      <c r="A22" s="10" t="n">
        <v>40940</v>
      </c>
      <c r="B22" s="25" t="n">
        <v>49.6</v>
      </c>
      <c r="C22" s="25">
        <f>Table134681112141516171819202225303334[[#This Row],[PMI]]-B21</f>
        <v/>
      </c>
    </row>
    <row r="23">
      <c r="A23" s="10" t="n">
        <v>40969</v>
      </c>
      <c r="B23" s="25" t="n">
        <v>49.6</v>
      </c>
      <c r="C23" s="25">
        <f>Table134681112141516171819202225303334[[#This Row],[PMI]]-B22</f>
        <v/>
      </c>
    </row>
    <row r="24">
      <c r="A24" s="10" t="n">
        <v>41000</v>
      </c>
      <c r="B24" s="25" t="n">
        <v>52.3</v>
      </c>
      <c r="C24" s="25">
        <f>Table134681112141516171819202225303334[[#This Row],[PMI]]-B23</f>
        <v/>
      </c>
    </row>
    <row r="25">
      <c r="A25" s="10" t="n">
        <v>41030</v>
      </c>
      <c r="B25" s="25" t="n">
        <v>50.2</v>
      </c>
      <c r="C25" s="25">
        <f>Table134681112141516171819202225303334[[#This Row],[PMI]]-B24</f>
        <v/>
      </c>
    </row>
    <row r="26">
      <c r="A26" s="10" t="n">
        <v>41061</v>
      </c>
      <c r="B26" s="25" t="n">
        <v>51.4</v>
      </c>
      <c r="C26" s="25">
        <f>Table134681112141516171819202225303334[[#This Row],[PMI]]-B25</f>
        <v/>
      </c>
    </row>
    <row r="27">
      <c r="A27" s="10" t="n">
        <v>41091</v>
      </c>
      <c r="B27" s="25" t="n">
        <v>49.4</v>
      </c>
      <c r="C27" s="25">
        <f>Table134681112141516171819202225303334[[#This Row],[PMI]]-B26</f>
        <v/>
      </c>
    </row>
    <row r="28">
      <c r="A28" s="10" t="n">
        <v>41122</v>
      </c>
      <c r="B28" s="25" t="n">
        <v>50</v>
      </c>
      <c r="C28" s="25">
        <f>Table134681112141516171819202225303334[[#This Row],[PMI]]-B27</f>
        <v/>
      </c>
    </row>
    <row r="29">
      <c r="A29" s="10" t="n">
        <v>41153</v>
      </c>
      <c r="B29" s="25" t="n">
        <v>52.2</v>
      </c>
      <c r="C29" s="25">
        <f>Table134681112141516171819202225303334[[#This Row],[PMI]]-B28</f>
        <v/>
      </c>
    </row>
    <row r="30">
      <c r="A30" s="10" t="n">
        <v>41183</v>
      </c>
      <c r="B30" s="25" t="n">
        <v>52.5</v>
      </c>
      <c r="C30" s="25">
        <f>Table134681112141516171819202225303334[[#This Row],[PMI]]-B29</f>
        <v/>
      </c>
    </row>
    <row r="31">
      <c r="A31" s="10" t="n">
        <v>41214</v>
      </c>
      <c r="B31" s="25" t="n">
        <v>51.6</v>
      </c>
      <c r="C31" s="25">
        <f>Table134681112141516171819202225303334[[#This Row],[PMI]]-B30</f>
        <v/>
      </c>
    </row>
    <row r="32">
      <c r="A32" s="10" t="n">
        <v>41244</v>
      </c>
      <c r="B32" s="25" t="n">
        <v>53.1</v>
      </c>
      <c r="C32" s="25">
        <f>Table134681112141516171819202225303334[[#This Row],[PMI]]-B31</f>
        <v/>
      </c>
    </row>
    <row r="33">
      <c r="A33" s="10" t="n">
        <v>41275</v>
      </c>
      <c r="B33" s="25" t="n">
        <v>54</v>
      </c>
      <c r="C33" s="25">
        <f>Table134681112141516171819202225303334[[#This Row],[PMI]]-B32</f>
        <v/>
      </c>
    </row>
    <row r="34">
      <c r="A34" s="10" t="n">
        <v>41306</v>
      </c>
      <c r="B34" s="25" t="n">
        <v>53.5</v>
      </c>
      <c r="C34" s="25">
        <f>Table134681112141516171819202225303334[[#This Row],[PMI]]-B33</f>
        <v/>
      </c>
    </row>
    <row r="35">
      <c r="A35" s="10" t="n">
        <v>41334</v>
      </c>
      <c r="B35" s="25" t="n">
        <v>52.3</v>
      </c>
      <c r="C35" s="25">
        <f>Table134681112141516171819202225303334[[#This Row],[PMI]]-B34</f>
        <v/>
      </c>
    </row>
    <row r="36">
      <c r="A36" s="10" t="n">
        <v>41365</v>
      </c>
      <c r="B36" s="25" t="n">
        <v>51.3</v>
      </c>
      <c r="C36" s="25">
        <f>Table134681112141516171819202225303334[[#This Row],[PMI]]-B35</f>
        <v/>
      </c>
    </row>
    <row r="37">
      <c r="A37" s="10" t="n">
        <v>41395</v>
      </c>
      <c r="B37" s="25" t="n">
        <v>51.1</v>
      </c>
      <c r="C37" s="25">
        <f>Table134681112141516171819202225303334[[#This Row],[PMI]]-B36</f>
        <v/>
      </c>
    </row>
    <row r="38">
      <c r="A38" s="10" t="n">
        <v>41426</v>
      </c>
      <c r="B38" s="25" t="n">
        <v>51.2</v>
      </c>
      <c r="C38" s="25">
        <f>Table134681112141516171819202225303334[[#This Row],[PMI]]-B37</f>
        <v/>
      </c>
    </row>
    <row r="39">
      <c r="A39" s="10" t="n">
        <v>41456</v>
      </c>
      <c r="B39" s="25" t="n">
        <v>49.8</v>
      </c>
      <c r="C39" s="25">
        <f>Table134681112141516171819202225303334[[#This Row],[PMI]]-B38</f>
        <v/>
      </c>
    </row>
    <row r="40">
      <c r="A40" s="10" t="n">
        <v>41487</v>
      </c>
      <c r="B40" s="25" t="n">
        <v>50.9</v>
      </c>
      <c r="C40" s="25">
        <f>Table134681112141516171819202225303334[[#This Row],[PMI]]-B39</f>
        <v/>
      </c>
    </row>
    <row r="41">
      <c r="A41" s="10" t="n">
        <v>41518</v>
      </c>
      <c r="B41" s="25" t="n">
        <v>54</v>
      </c>
      <c r="C41" s="25">
        <f>Table134681112141516171819202225303334[[#This Row],[PMI]]-B40</f>
        <v/>
      </c>
    </row>
    <row r="42">
      <c r="A42" s="10" t="n">
        <v>41548</v>
      </c>
      <c r="B42" s="25" t="n">
        <v>53.3</v>
      </c>
      <c r="C42" s="25">
        <f>Table134681112141516171819202225303334[[#This Row],[PMI]]-B41</f>
        <v/>
      </c>
    </row>
    <row r="43">
      <c r="A43" s="10" t="n">
        <v>41579</v>
      </c>
      <c r="B43" s="25" t="n">
        <v>55</v>
      </c>
      <c r="C43" s="25">
        <f>Table134681112141516171819202225303334[[#This Row],[PMI]]-B42</f>
        <v/>
      </c>
    </row>
    <row r="44">
      <c r="A44" s="10" t="n">
        <v>41609</v>
      </c>
      <c r="B44" s="25" t="n">
        <v>53.5</v>
      </c>
      <c r="C44" s="25">
        <f>Table134681112141516171819202225303334[[#This Row],[PMI]]-B43</f>
        <v/>
      </c>
    </row>
    <row r="45">
      <c r="A45" s="10" t="n">
        <v>41640</v>
      </c>
      <c r="B45" s="25" t="n">
        <v>52.7</v>
      </c>
      <c r="C45" s="25">
        <f>Table134681112141516171819202225303334[[#This Row],[PMI]]-B44</f>
        <v/>
      </c>
    </row>
    <row r="46">
      <c r="A46" s="10" t="n">
        <v>41671</v>
      </c>
      <c r="B46" s="25" t="n">
        <v>53.4</v>
      </c>
      <c r="C46" s="25">
        <f>Table134681112141516171819202225303334[[#This Row],[PMI]]-B45</f>
        <v/>
      </c>
    </row>
    <row r="47">
      <c r="A47" s="10" t="n">
        <v>41699</v>
      </c>
      <c r="B47" s="25" t="n">
        <v>51.7</v>
      </c>
      <c r="C47" s="25">
        <f>Table134681112141516171819202225303334[[#This Row],[PMI]]-B46</f>
        <v/>
      </c>
    </row>
    <row r="48">
      <c r="A48" s="10" t="n">
        <v>41730</v>
      </c>
      <c r="B48" s="25" t="n">
        <v>51.1</v>
      </c>
      <c r="C48" s="25">
        <f>Table134681112141516171819202225303334[[#This Row],[PMI]]-B47</f>
        <v/>
      </c>
    </row>
    <row r="49">
      <c r="A49" s="10" t="n">
        <v>41760</v>
      </c>
      <c r="B49" s="25" t="n">
        <v>50.1</v>
      </c>
      <c r="C49" s="25">
        <f>Table134681112141516171819202225303334[[#This Row],[PMI]]-B48</f>
        <v/>
      </c>
    </row>
    <row r="50">
      <c r="A50" s="10" t="n">
        <v>41791</v>
      </c>
      <c r="B50" s="25" t="n">
        <v>48.8</v>
      </c>
      <c r="C50" s="25">
        <f>Table134681112141516171819202225303334[[#This Row],[PMI]]-B49</f>
        <v/>
      </c>
    </row>
    <row r="51">
      <c r="A51" s="10" t="n">
        <v>41821</v>
      </c>
      <c r="B51" s="25" t="n">
        <v>48.5</v>
      </c>
      <c r="C51" s="25">
        <f>Table134681112141516171819202225303334[[#This Row],[PMI]]-B50</f>
        <v/>
      </c>
    </row>
    <row r="52">
      <c r="A52" s="10" t="n">
        <v>41852</v>
      </c>
      <c r="B52" s="25" t="n">
        <v>50</v>
      </c>
      <c r="C52" s="25">
        <f>Table134681112141516171819202225303334[[#This Row],[PMI]]-B51</f>
        <v/>
      </c>
    </row>
    <row r="53">
      <c r="A53" s="10" t="n">
        <v>41883</v>
      </c>
      <c r="B53" s="25" t="n">
        <v>50.4</v>
      </c>
      <c r="C53" s="25">
        <f>Table134681112141516171819202225303334[[#This Row],[PMI]]-B52</f>
        <v/>
      </c>
    </row>
    <row r="54">
      <c r="A54" s="10" t="n">
        <v>41913</v>
      </c>
      <c r="B54" s="25" t="n">
        <v>51.5</v>
      </c>
      <c r="C54" s="25">
        <f>Table134681112141516171819202225303334[[#This Row],[PMI]]-B53</f>
        <v/>
      </c>
    </row>
    <row r="55">
      <c r="A55" s="10" t="n">
        <v>41944</v>
      </c>
      <c r="B55" s="25" t="n">
        <v>52.2</v>
      </c>
      <c r="C55" s="25">
        <f>Table134681112141516171819202225303334[[#This Row],[PMI]]-B54</f>
        <v/>
      </c>
    </row>
    <row r="56">
      <c r="A56" s="10" t="n">
        <v>41974</v>
      </c>
      <c r="B56" s="25" t="n">
        <v>51.4</v>
      </c>
      <c r="C56" s="25">
        <f>Table134681112141516171819202225303334[[#This Row],[PMI]]-B55</f>
        <v/>
      </c>
    </row>
    <row r="57">
      <c r="A57" s="10" t="n">
        <v>42005</v>
      </c>
      <c r="B57" s="25" t="n">
        <v>49.8</v>
      </c>
      <c r="C57" s="25">
        <f>Table134681112141516171819202225303334[[#This Row],[PMI]]-B56</f>
        <v/>
      </c>
    </row>
    <row r="58">
      <c r="A58" s="10" t="n">
        <v>42036</v>
      </c>
      <c r="B58" s="25" t="n">
        <v>49.6</v>
      </c>
      <c r="C58" s="25">
        <f>Table134681112141516171819202225303334[[#This Row],[PMI]]-B57</f>
        <v/>
      </c>
    </row>
    <row r="59">
      <c r="A59" s="10" t="n">
        <v>42064</v>
      </c>
      <c r="B59" s="25" t="n">
        <v>48</v>
      </c>
      <c r="C59" s="25">
        <f>Table134681112141516171819202225303334[[#This Row],[PMI]]-B58</f>
        <v/>
      </c>
    </row>
    <row r="60">
      <c r="A60" s="10" t="n">
        <v>42095</v>
      </c>
      <c r="B60" s="25" t="n">
        <v>48.5</v>
      </c>
      <c r="C60" s="25">
        <f>Table134681112141516171819202225303334[[#This Row],[PMI]]-B59</f>
        <v/>
      </c>
    </row>
    <row r="61">
      <c r="A61" s="10" t="n">
        <v>42125</v>
      </c>
      <c r="B61" s="25" t="n">
        <v>50.2</v>
      </c>
      <c r="C61" s="25">
        <f>Table134681112141516171819202225303334[[#This Row],[PMI]]-B60</f>
        <v/>
      </c>
    </row>
    <row r="62">
      <c r="A62" s="10" t="n">
        <v>42156</v>
      </c>
      <c r="B62" s="25" t="n">
        <v>49</v>
      </c>
      <c r="C62" s="25">
        <f>Table134681112141516171819202225303334[[#This Row],[PMI]]-B61</f>
        <v/>
      </c>
    </row>
    <row r="63">
      <c r="A63" s="10" t="n">
        <v>42186</v>
      </c>
      <c r="B63" s="25" t="n">
        <v>50.1</v>
      </c>
      <c r="C63" s="25">
        <f>Table134681112141516171819202225303334[[#This Row],[PMI]]-B62</f>
        <v/>
      </c>
    </row>
    <row r="64">
      <c r="A64" s="10" t="n">
        <v>42217</v>
      </c>
      <c r="B64" s="25" t="n">
        <v>49.3</v>
      </c>
      <c r="C64" s="25">
        <f>Table134681112141516171819202225303334[[#This Row],[PMI]]-B63</f>
        <v/>
      </c>
    </row>
    <row r="65">
      <c r="A65" s="10" t="n">
        <v>42248</v>
      </c>
      <c r="B65" s="25" t="n">
        <v>48.8</v>
      </c>
      <c r="C65" s="25">
        <f>Table134681112141516171819202225303334[[#This Row],[PMI]]-B64</f>
        <v/>
      </c>
    </row>
    <row r="66">
      <c r="A66" s="10" t="n">
        <v>42278</v>
      </c>
      <c r="B66" s="25" t="n">
        <v>49.5</v>
      </c>
      <c r="C66" s="25">
        <f>Table134681112141516171819202225303334[[#This Row],[PMI]]-B65</f>
        <v/>
      </c>
    </row>
    <row r="67">
      <c r="A67" s="10" t="n">
        <v>42309</v>
      </c>
      <c r="B67" s="25" t="n">
        <v>50.9</v>
      </c>
      <c r="C67" s="25">
        <f>Table134681112141516171819202225303334[[#This Row],[PMI]]-B66</f>
        <v/>
      </c>
    </row>
    <row r="68">
      <c r="A68" s="10" t="n">
        <v>42339</v>
      </c>
      <c r="B68" s="25" t="n">
        <v>52.2</v>
      </c>
      <c r="C68" s="25">
        <f>Table134681112141516171819202225303334[[#This Row],[PMI]]-B67</f>
        <v/>
      </c>
    </row>
    <row r="69">
      <c r="A69" s="10" t="n">
        <v>42370</v>
      </c>
      <c r="B69" s="25" t="n">
        <v>50.9</v>
      </c>
      <c r="C69" s="25">
        <f>Table134681112141516171819202225303334[[#This Row],[PMI]]-B68</f>
        <v/>
      </c>
    </row>
    <row r="70">
      <c r="A70" s="10" t="n">
        <v>42401</v>
      </c>
      <c r="B70" s="25" t="n">
        <v>50.3</v>
      </c>
      <c r="C70" s="25">
        <f>Table134681112141516171819202225303334[[#This Row],[PMI]]-B69</f>
        <v/>
      </c>
    </row>
    <row r="71">
      <c r="A71" s="10" t="n">
        <v>42430</v>
      </c>
      <c r="B71" s="25" t="n">
        <v>49.2</v>
      </c>
      <c r="C71" s="25">
        <f>Table134681112141516171819202225303334[[#This Row],[PMI]]-B70</f>
        <v/>
      </c>
    </row>
    <row r="72">
      <c r="A72" s="10" t="n">
        <v>42461</v>
      </c>
      <c r="B72" s="25" t="n">
        <v>48.9</v>
      </c>
      <c r="C72" s="25">
        <f>Table134681112141516171819202225303334[[#This Row],[PMI]]-B71</f>
        <v/>
      </c>
    </row>
    <row r="73">
      <c r="A73" s="10" t="n">
        <v>42491</v>
      </c>
      <c r="B73" s="25" t="n">
        <v>49.4</v>
      </c>
      <c r="C73" s="25">
        <f>Table134681112141516171819202225303334[[#This Row],[PMI]]-B72</f>
        <v/>
      </c>
    </row>
    <row r="74">
      <c r="A74" s="10" t="n">
        <v>42522</v>
      </c>
      <c r="B74" s="25" t="n">
        <v>47.4</v>
      </c>
      <c r="C74" s="25">
        <f>Table134681112141516171819202225303334[[#This Row],[PMI]]-B73</f>
        <v/>
      </c>
    </row>
    <row r="75">
      <c r="A75" s="10" t="n">
        <v>42552</v>
      </c>
      <c r="B75" s="25" t="n">
        <v>47.6</v>
      </c>
      <c r="C75" s="25">
        <f>Table134681112141516171819202225303334[[#This Row],[PMI]]-B74</f>
        <v/>
      </c>
    </row>
    <row r="76">
      <c r="A76" s="10" t="n">
        <v>42583</v>
      </c>
      <c r="B76" s="25" t="n">
        <v>47</v>
      </c>
      <c r="C76" s="25">
        <f>Table134681112141516171819202225303334[[#This Row],[PMI]]-B75</f>
        <v/>
      </c>
    </row>
    <row r="77">
      <c r="A77" s="10" t="n">
        <v>42614</v>
      </c>
      <c r="B77" s="25" t="n">
        <v>48.3</v>
      </c>
      <c r="C77" s="25">
        <f>Table134681112141516171819202225303334[[#This Row],[PMI]]-B76</f>
        <v/>
      </c>
    </row>
    <row r="78">
      <c r="A78" s="10" t="n">
        <v>42644</v>
      </c>
      <c r="B78" s="25" t="n">
        <v>49.8</v>
      </c>
      <c r="C78" s="25">
        <f>Table134681112141516171819202225303334[[#This Row],[PMI]]-B77</f>
        <v/>
      </c>
    </row>
    <row r="79">
      <c r="A79" s="10" t="n">
        <v>42675</v>
      </c>
      <c r="B79" s="25" t="n">
        <v>48.8</v>
      </c>
      <c r="C79" s="25">
        <f>Table134681112141516171819202225303334[[#This Row],[PMI]]-B78</f>
        <v/>
      </c>
    </row>
    <row r="80">
      <c r="A80" s="10" t="n">
        <v>42705</v>
      </c>
      <c r="B80" s="25" t="n">
        <v>47.7</v>
      </c>
      <c r="C80" s="25">
        <f>Table134681112141516171819202225303334[[#This Row],[PMI]]-B79</f>
        <v/>
      </c>
    </row>
    <row r="81">
      <c r="A81" s="10" t="n">
        <v>42736</v>
      </c>
      <c r="B81" s="25" t="n">
        <v>48.7</v>
      </c>
      <c r="C81" s="25">
        <f>Table134681112141516171819202225303334[[#This Row],[PMI]]-B80</f>
        <v/>
      </c>
    </row>
    <row r="82">
      <c r="A82" s="10" t="n">
        <v>42767</v>
      </c>
      <c r="B82" s="25" t="n">
        <v>49.7</v>
      </c>
      <c r="C82" s="25">
        <f>Table134681112141516171819202225303334[[#This Row],[PMI]]-B81</f>
        <v/>
      </c>
    </row>
    <row r="83">
      <c r="A83" s="10" t="n">
        <v>42795</v>
      </c>
      <c r="B83" s="25" t="n">
        <v>52.3</v>
      </c>
      <c r="C83" s="25">
        <f>Table134681112141516171819202225303334[[#This Row],[PMI]]-B82</f>
        <v/>
      </c>
    </row>
    <row r="84">
      <c r="A84" s="10" t="n">
        <v>42826</v>
      </c>
      <c r="B84" s="25" t="n">
        <v>51.7</v>
      </c>
      <c r="C84" s="25">
        <f>Table134681112141516171819202225303334[[#This Row],[PMI]]-B83</f>
        <v/>
      </c>
    </row>
    <row r="85">
      <c r="A85" s="10" t="n">
        <v>42856</v>
      </c>
      <c r="B85" s="25" t="n">
        <v>53.5</v>
      </c>
      <c r="C85" s="25">
        <f>Table134681112141516171819202225303334[[#This Row],[PMI]]-B84</f>
        <v/>
      </c>
    </row>
    <row r="86">
      <c r="A86" s="10" t="n">
        <v>42887</v>
      </c>
      <c r="B86" s="25" t="n">
        <v>54.7</v>
      </c>
      <c r="C86" s="25">
        <f>Table134681112141516171819202225303334[[#This Row],[PMI]]-B85</f>
        <v/>
      </c>
    </row>
    <row r="87">
      <c r="A87" s="10" t="n">
        <v>42917</v>
      </c>
      <c r="B87" s="25" t="n">
        <v>53.6</v>
      </c>
      <c r="C87" s="25">
        <f>Table134681112141516171819202225303334[[#This Row],[PMI]]-B86</f>
        <v/>
      </c>
    </row>
    <row r="88">
      <c r="A88" s="10" t="n">
        <v>42948</v>
      </c>
      <c r="B88" s="25" t="n">
        <v>55.3</v>
      </c>
      <c r="C88" s="25">
        <f>Table134681112141516171819202225303334[[#This Row],[PMI]]-B87</f>
        <v/>
      </c>
    </row>
    <row r="89">
      <c r="A89" s="10" t="n">
        <v>42979</v>
      </c>
      <c r="B89" s="25" t="n">
        <v>53.5</v>
      </c>
      <c r="C89" s="25">
        <f>Table134681112141516171819202225303334[[#This Row],[PMI]]-B88</f>
        <v/>
      </c>
    </row>
    <row r="90">
      <c r="A90" s="10" t="n">
        <v>43009</v>
      </c>
      <c r="B90" s="25" t="n">
        <v>52.8</v>
      </c>
      <c r="C90" s="25">
        <f>Table134681112141516171819202225303334[[#This Row],[PMI]]-B89</f>
        <v/>
      </c>
    </row>
    <row r="91">
      <c r="A91" s="10" t="n">
        <v>43040</v>
      </c>
      <c r="B91" s="25" t="n">
        <v>52.9</v>
      </c>
      <c r="C91" s="25">
        <f>Table134681112141516171819202225303334[[#This Row],[PMI]]-B90</f>
        <v/>
      </c>
    </row>
    <row r="92">
      <c r="A92" s="10" t="n">
        <v>43070</v>
      </c>
      <c r="B92" s="25" t="n">
        <v>54.9</v>
      </c>
      <c r="C92" s="25">
        <f>Table134681112141516171819202225303334[[#This Row],[PMI]]-B91</f>
        <v/>
      </c>
    </row>
    <row r="93">
      <c r="A93" s="10" t="n">
        <v>43101</v>
      </c>
      <c r="B93" s="25" t="n">
        <v>55.7</v>
      </c>
      <c r="C93" s="25">
        <f>Table134681112141516171819202225303334[[#This Row],[PMI]]-B92</f>
        <v/>
      </c>
    </row>
    <row r="94">
      <c r="A94" s="10" t="n">
        <v>43132</v>
      </c>
      <c r="B94" s="25" t="n">
        <v>55.6</v>
      </c>
      <c r="C94" s="25">
        <f>Table134681112141516171819202225303334[[#This Row],[PMI]]-B93</f>
        <v/>
      </c>
    </row>
    <row r="95">
      <c r="A95" s="10" t="n">
        <v>43160</v>
      </c>
      <c r="B95" s="25" t="n">
        <v>51.8</v>
      </c>
      <c r="C95" s="25">
        <f>Table134681112141516171819202225303334[[#This Row],[PMI]]-B94</f>
        <v/>
      </c>
    </row>
    <row r="96">
      <c r="A96" s="10" t="n">
        <v>43191</v>
      </c>
      <c r="B96" s="25" t="n">
        <v>48.9</v>
      </c>
      <c r="C96" s="25">
        <f>Table134681112141516171819202225303334[[#This Row],[PMI]]-B95</f>
        <v/>
      </c>
    </row>
    <row r="97">
      <c r="A97" s="10" t="n">
        <v>43221</v>
      </c>
      <c r="B97" s="25" t="n">
        <v>46.4</v>
      </c>
      <c r="C97" s="25">
        <f>Table134681112141516171819202225303334[[#This Row],[PMI]]-B96</f>
        <v/>
      </c>
    </row>
    <row r="98">
      <c r="A98" s="10" t="n">
        <v>43252</v>
      </c>
      <c r="B98" s="25" t="n">
        <v>46.8</v>
      </c>
      <c r="C98" s="25">
        <f>Table134681112141516171819202225303334[[#This Row],[PMI]]-B97</f>
        <v/>
      </c>
    </row>
    <row r="99">
      <c r="A99" s="10" t="n">
        <v>43282</v>
      </c>
      <c r="B99" s="25" t="n">
        <v>49</v>
      </c>
      <c r="C99" s="25">
        <f>Table134681112141516171819202225303334[[#This Row],[PMI]]-B98</f>
        <v/>
      </c>
    </row>
    <row r="100">
      <c r="A100" s="10" t="n">
        <v>43313</v>
      </c>
      <c r="B100" s="25" t="n">
        <v>46.4</v>
      </c>
      <c r="C100" s="25">
        <f>Table134681112141516171819202225303334[[#This Row],[PMI]]-B99</f>
        <v/>
      </c>
    </row>
    <row r="101">
      <c r="A101" s="10" t="n">
        <v>43344</v>
      </c>
      <c r="B101" s="25" t="n">
        <v>42.7</v>
      </c>
      <c r="C101" s="25">
        <f>Table134681112141516171819202225303334[[#This Row],[PMI]]-B100</f>
        <v/>
      </c>
    </row>
    <row r="102">
      <c r="A102" s="10" t="n">
        <v>43374</v>
      </c>
      <c r="B102" s="25" t="n">
        <v>44.3</v>
      </c>
      <c r="C102" s="25">
        <f>Table134681112141516171819202225303334[[#This Row],[PMI]]-B101</f>
        <v/>
      </c>
    </row>
    <row r="103">
      <c r="A103" s="10" t="n">
        <v>43405</v>
      </c>
      <c r="B103" s="25" t="n">
        <v>44.7</v>
      </c>
      <c r="C103" s="25">
        <f>Table134681112141516171819202225303334[[#This Row],[PMI]]-B102</f>
        <v/>
      </c>
    </row>
    <row r="104">
      <c r="A104" s="10" t="n">
        <v>43435</v>
      </c>
      <c r="B104" s="25" t="n">
        <v>44.2</v>
      </c>
      <c r="C104" s="25">
        <f>Table134681112141516171819202225303334[[#This Row],[PMI]]-B103</f>
        <v/>
      </c>
    </row>
    <row r="105">
      <c r="A105" s="10" t="n">
        <v>43466</v>
      </c>
      <c r="B105" s="25" t="n">
        <v>44.2</v>
      </c>
      <c r="C105" s="25">
        <f>Table134681112141516171819202225303334[[#This Row],[PMI]]-B104</f>
        <v/>
      </c>
    </row>
    <row r="106">
      <c r="A106" s="10" t="n">
        <v>43497</v>
      </c>
      <c r="B106" s="25" t="n">
        <v>46.4</v>
      </c>
      <c r="C106" s="25">
        <f>Table134681112141516171819202225303334[[#This Row],[PMI]]-B105</f>
        <v/>
      </c>
    </row>
    <row r="107">
      <c r="A107" s="10" t="n">
        <v>43525</v>
      </c>
      <c r="B107" s="25" t="n">
        <v>47.2</v>
      </c>
      <c r="C107" s="25">
        <f>Table134681112141516171819202225303334[[#This Row],[PMI]]-B106</f>
        <v/>
      </c>
    </row>
    <row r="108">
      <c r="A108" s="10" t="n">
        <v>43556</v>
      </c>
      <c r="B108" s="25" t="n">
        <v>46.8</v>
      </c>
      <c r="C108" s="25">
        <f>Table134681112141516171819202225303334[[#This Row],[PMI]]-B107</f>
        <v/>
      </c>
    </row>
    <row r="109">
      <c r="A109" s="10" t="n">
        <v>43586</v>
      </c>
      <c r="B109" s="25" t="n">
        <v>45.3</v>
      </c>
      <c r="C109" s="25">
        <f>Table134681112141516171819202225303334[[#This Row],[PMI]]-B108</f>
        <v/>
      </c>
    </row>
    <row r="110">
      <c r="A110" s="10" t="n">
        <v>43617</v>
      </c>
      <c r="B110" s="25" t="n">
        <v>47.9</v>
      </c>
      <c r="C110" s="25">
        <f>Table134681112141516171819202225303334[[#This Row],[PMI]]-B109</f>
        <v/>
      </c>
    </row>
    <row r="111">
      <c r="A111" s="10" t="n">
        <v>43647</v>
      </c>
      <c r="B111" s="25" t="n">
        <v>46.7</v>
      </c>
      <c r="C111" s="25">
        <f>Table134681112141516171819202225303334[[#This Row],[PMI]]-B110</f>
        <v/>
      </c>
    </row>
    <row r="112">
      <c r="A112" s="10" t="n">
        <v>43678</v>
      </c>
      <c r="B112" s="25" t="n">
        <v>48</v>
      </c>
      <c r="C112" s="25">
        <f>Table134681112141516171819202225303334[[#This Row],[PMI]]-B111</f>
        <v/>
      </c>
    </row>
    <row r="113">
      <c r="A113" s="10" t="n">
        <v>43709</v>
      </c>
      <c r="B113" s="25" t="n">
        <v>50</v>
      </c>
      <c r="C113" s="25">
        <f>Table134681112141516171819202225303334[[#This Row],[PMI]]-B112</f>
        <v/>
      </c>
    </row>
    <row r="114">
      <c r="A114" s="10" t="n">
        <v>43739</v>
      </c>
      <c r="B114" s="25" t="n">
        <v>49</v>
      </c>
      <c r="C114" s="25">
        <f>Table134681112141516171819202225303334[[#This Row],[PMI]]-B113</f>
        <v/>
      </c>
    </row>
    <row r="115">
      <c r="A115" s="10" t="n">
        <v>43770</v>
      </c>
      <c r="B115" s="25" t="n">
        <v>49.5</v>
      </c>
      <c r="C115" s="25">
        <f>Table134681112141516171819202225303334[[#This Row],[PMI]]-B114</f>
        <v/>
      </c>
    </row>
    <row r="116">
      <c r="A116" s="10" t="n">
        <v>43800</v>
      </c>
      <c r="B116" s="25" t="n">
        <v>49.5</v>
      </c>
      <c r="C116" s="25">
        <f>Table134681112141516171819202225303334[[#This Row],[PMI]]-B115</f>
        <v/>
      </c>
    </row>
    <row r="117">
      <c r="A117" s="10" t="n">
        <v>43831</v>
      </c>
      <c r="B117" s="25" t="n">
        <v>51.3</v>
      </c>
      <c r="C117" s="25">
        <f>Table134681112141516171819202225303334[[#This Row],[PMI]]-B116</f>
        <v/>
      </c>
    </row>
    <row r="118">
      <c r="A118" s="10" t="n">
        <v>43862</v>
      </c>
      <c r="B118" s="25" t="n">
        <v>52.4</v>
      </c>
      <c r="C118" s="25">
        <f>Table134681112141516171819202225303334[[#This Row],[PMI]]-B117</f>
        <v/>
      </c>
    </row>
    <row r="119">
      <c r="A119" s="10" t="n">
        <v>43891</v>
      </c>
      <c r="B119" s="25" t="n">
        <v>48.1</v>
      </c>
      <c r="C119" s="25">
        <f>Table134681112141516171819202225303334[[#This Row],[PMI]]-B118</f>
        <v/>
      </c>
    </row>
    <row r="120">
      <c r="A120" s="10" t="n">
        <v>43922</v>
      </c>
      <c r="B120" s="25" t="n">
        <v>33.4</v>
      </c>
      <c r="C120" s="25">
        <f>Table134681112141516171819202225303334[[#This Row],[PMI]]-B119</f>
        <v/>
      </c>
    </row>
    <row r="121">
      <c r="A121" s="10" t="n">
        <v>43952</v>
      </c>
      <c r="B121" s="25" t="n">
        <v>40.9</v>
      </c>
      <c r="C121" s="25">
        <f>Table134681112141516171819202225303334[[#This Row],[PMI]]-B120</f>
        <v/>
      </c>
    </row>
    <row r="122">
      <c r="A122" s="10" t="n">
        <v>43983</v>
      </c>
      <c r="B122" s="25" t="n">
        <v>53.9</v>
      </c>
      <c r="C122" s="25">
        <f>Table134681112141516171819202225303334[[#This Row],[PMI]]-B121</f>
        <v/>
      </c>
    </row>
    <row r="123">
      <c r="A123" s="10" t="n">
        <v>44013</v>
      </c>
      <c r="B123" s="25" t="n">
        <v>56.9</v>
      </c>
      <c r="C123" s="25">
        <f>Table134681112141516171819202225303334[[#This Row],[PMI]]-B122</f>
        <v/>
      </c>
    </row>
    <row r="124">
      <c r="A124" s="10" t="n">
        <v>44044</v>
      </c>
      <c r="B124" s="25" t="n">
        <v>54.3</v>
      </c>
      <c r="C124" s="25">
        <f>Table134681112141516171819202225303334[[#This Row],[PMI]]-B123</f>
        <v/>
      </c>
    </row>
    <row r="125">
      <c r="A125" s="10" t="n">
        <v>44075</v>
      </c>
      <c r="B125" s="25" t="n">
        <v>52.8</v>
      </c>
      <c r="C125" s="25">
        <f>Table134681112141516171819202225303334[[#This Row],[PMI]]-B124</f>
        <v/>
      </c>
    </row>
    <row r="126">
      <c r="A126" s="10" t="n">
        <v>44105</v>
      </c>
      <c r="B126" s="25" t="n">
        <v>53.9</v>
      </c>
      <c r="C126" s="25">
        <f>Table134681112141516171819202225303334[[#This Row],[PMI]]-B125</f>
        <v/>
      </c>
    </row>
    <row r="127">
      <c r="A127" s="10" t="n">
        <v>44136</v>
      </c>
      <c r="B127" s="25" t="n">
        <v>51.4</v>
      </c>
      <c r="C127" s="25">
        <f>Table134681112141516171819202225303334[[#This Row],[PMI]]-B126</f>
        <v/>
      </c>
    </row>
    <row r="128">
      <c r="A128" s="10" t="n">
        <v>44166</v>
      </c>
      <c r="B128" s="25" t="n">
        <v>50.8</v>
      </c>
      <c r="C128" s="25">
        <f>Table134681112141516171819202225303334[[#This Row],[PMI]]-B127</f>
        <v/>
      </c>
    </row>
    <row r="129">
      <c r="A129" s="10" t="n">
        <v>44197</v>
      </c>
      <c r="B129" s="25" t="n">
        <v>54.4</v>
      </c>
      <c r="C129" s="25">
        <f>Table134681112141516171819202225303334[[#This Row],[PMI]]-B128</f>
        <v/>
      </c>
    </row>
    <row r="130">
      <c r="A130" s="10" t="n">
        <v>44228</v>
      </c>
      <c r="B130" s="25" t="n">
        <v>51.7</v>
      </c>
      <c r="C130" s="25">
        <f>Table134681112141516171819202225303334[[#This Row],[PMI]]-B129</f>
        <v/>
      </c>
    </row>
    <row r="131">
      <c r="A131" s="10" t="n">
        <v>44256</v>
      </c>
      <c r="B131" s="25" t="n">
        <v>52.6</v>
      </c>
      <c r="C131" s="25">
        <f>Table134681112141516171819202225303334[[#This Row],[PMI]]-B130</f>
        <v/>
      </c>
    </row>
    <row r="132">
      <c r="A132" s="10" t="n">
        <v>44287</v>
      </c>
      <c r="B132" s="25" t="n">
        <v>50.4</v>
      </c>
      <c r="C132" s="25">
        <f>Table134681112141516171819202225303334[[#This Row],[PMI]]-B131</f>
        <v/>
      </c>
    </row>
    <row r="133">
      <c r="A133" s="10" t="n">
        <v>44317</v>
      </c>
      <c r="B133" s="25" t="n">
        <v>49.3</v>
      </c>
      <c r="C133" s="25">
        <f>Table134681112141516171819202225303334[[#This Row],[PMI]]-B132</f>
        <v/>
      </c>
    </row>
    <row r="134">
      <c r="A134" s="10" t="n">
        <v>44348</v>
      </c>
      <c r="B134" s="25" t="n">
        <v>51.3</v>
      </c>
      <c r="C134" s="25">
        <f>Table134681112141516171819202225303334[[#This Row],[PMI]]-B133</f>
        <v/>
      </c>
    </row>
    <row r="135">
      <c r="A135" s="10" t="n">
        <v>44378</v>
      </c>
      <c r="B135" s="25" t="n">
        <v>54</v>
      </c>
      <c r="C135" s="25">
        <f>Table134681112141516171819202225303334[[#This Row],[PMI]]-B134</f>
        <v/>
      </c>
    </row>
    <row r="136">
      <c r="A136" s="10" t="n">
        <v>44409</v>
      </c>
      <c r="B136" s="25" t="n">
        <v>54.1</v>
      </c>
      <c r="C136" s="25">
        <f>Table134681112141516171819202225303334[[#This Row],[PMI]]-B135</f>
        <v/>
      </c>
    </row>
    <row r="137">
      <c r="A137" s="10" t="n">
        <v>44440</v>
      </c>
      <c r="B137" s="25" t="n">
        <v>52.5</v>
      </c>
      <c r="C137" s="25">
        <f>Table134681112141516171819202225303334[[#This Row],[PMI]]-B136</f>
        <v/>
      </c>
    </row>
    <row r="138">
      <c r="A138" s="10" t="n">
        <v>44470</v>
      </c>
      <c r="B138" s="25" t="n">
        <v>51.2</v>
      </c>
      <c r="C138" s="25">
        <f>Table134681112141516171819202225303334[[#This Row],[PMI]]-B137</f>
        <v/>
      </c>
    </row>
    <row r="139">
      <c r="A139" s="10" t="n">
        <v>44501</v>
      </c>
      <c r="B139" s="25" t="n">
        <v>52</v>
      </c>
      <c r="C139" s="25">
        <f>Table134681112141516171819202225303334[[#This Row],[PMI]]-B138</f>
        <v/>
      </c>
    </row>
    <row r="140">
      <c r="A140" s="10" t="n">
        <v>44531</v>
      </c>
      <c r="B140" s="25" t="n">
        <v>52.1</v>
      </c>
      <c r="C140" s="25">
        <f>Table134681112141516171819202225303334[[#This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0"/>
  <sheetViews>
    <sheetView zoomScale="160" zoomScaleNormal="160" workbookViewId="0">
      <pane ySplit="5" topLeftCell="A101" activePane="bottomLeft" state="frozen"/>
      <selection pane="bottomLeft" activeCell="A141" sqref="A141"/>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Czech Republic</t>
        </is>
      </c>
      <c r="K1" s="84" t="inlineStr">
        <is>
          <t xml:space="preserve"> Manufacturing PMI</t>
        </is>
      </c>
    </row>
    <row r="2">
      <c r="A2" s="84" t="inlineStr">
        <is>
          <t>czech-republic</t>
        </is>
      </c>
      <c r="K2" s="84">
        <f>A1&amp;K1</f>
        <v/>
      </c>
    </row>
    <row r="4" ht="16" customHeight="1" s="76" thickBot="1"/>
    <row r="5" ht="16" customHeight="1" s="76" thickBot="1">
      <c r="A5" s="22" t="inlineStr">
        <is>
          <t>Date</t>
        </is>
      </c>
      <c r="B5" s="23" t="inlineStr">
        <is>
          <t>PMI</t>
        </is>
      </c>
      <c r="C5" s="23" t="inlineStr">
        <is>
          <t>mom</t>
        </is>
      </c>
    </row>
    <row r="6">
      <c r="A6" s="18" t="n">
        <v>40452</v>
      </c>
      <c r="B6" s="19" t="n">
        <v>57.2</v>
      </c>
      <c r="C6" s="19" t="n"/>
    </row>
    <row r="7">
      <c r="A7" s="10" t="n">
        <v>40483</v>
      </c>
      <c r="B7" s="25" t="n">
        <v>57.3</v>
      </c>
      <c r="C7" s="25">
        <f>Table13468111214151617181920222530333435[[#This Row],[PMI]]-B6</f>
        <v/>
      </c>
    </row>
    <row r="8">
      <c r="A8" s="10" t="n">
        <v>40513</v>
      </c>
      <c r="B8" s="25" t="n">
        <v>58.4</v>
      </c>
      <c r="C8" s="25">
        <f>Table13468111214151617181920222530333435[[#This Row],[PMI]]-B7</f>
        <v/>
      </c>
    </row>
    <row r="9">
      <c r="A9" s="10" t="n">
        <v>40544</v>
      </c>
      <c r="B9" s="25" t="n">
        <v>60.5</v>
      </c>
      <c r="C9" s="25">
        <f>Table13468111214151617181920222530333435[[#This Row],[PMI]]-B8</f>
        <v/>
      </c>
    </row>
    <row r="10">
      <c r="A10" s="10" t="n">
        <v>40575</v>
      </c>
      <c r="B10" s="25" t="n">
        <v>59.8</v>
      </c>
      <c r="C10" s="25">
        <f>Table13468111214151617181920222530333435[[#This Row],[PMI]]-B9</f>
        <v/>
      </c>
    </row>
    <row r="11">
      <c r="A11" s="10" t="n">
        <v>40603</v>
      </c>
      <c r="B11" s="25" t="n">
        <v>58.6</v>
      </c>
      <c r="C11" s="25">
        <f>Table13468111214151617181920222530333435[[#This Row],[PMI]]-B10</f>
        <v/>
      </c>
    </row>
    <row r="12">
      <c r="A12" s="10" t="n">
        <v>40634</v>
      </c>
      <c r="B12" s="25" t="n">
        <v>59</v>
      </c>
      <c r="C12" s="25">
        <f>Table13468111214151617181920222530333435[[#This Row],[PMI]]-B11</f>
        <v/>
      </c>
    </row>
    <row r="13">
      <c r="A13" s="10" t="n">
        <v>40664</v>
      </c>
      <c r="B13" s="25" t="n">
        <v>55.9</v>
      </c>
      <c r="C13" s="25">
        <f>Table13468111214151617181920222530333435[[#This Row],[PMI]]-B12</f>
        <v/>
      </c>
    </row>
    <row r="14">
      <c r="A14" s="10" t="n">
        <v>40695</v>
      </c>
      <c r="B14" s="25" t="n">
        <v>55.1</v>
      </c>
      <c r="C14" s="25">
        <f>Table13468111214151617181920222530333435[[#This Row],[PMI]]-B13</f>
        <v/>
      </c>
    </row>
    <row r="15">
      <c r="A15" s="10" t="n">
        <v>40725</v>
      </c>
      <c r="B15" s="25" t="n">
        <v>53.4</v>
      </c>
      <c r="C15" s="25">
        <f>Table13468111214151617181920222530333435[[#This Row],[PMI]]-B14</f>
        <v/>
      </c>
    </row>
    <row r="16">
      <c r="A16" s="10" t="n">
        <v>40756</v>
      </c>
      <c r="B16" s="25" t="n">
        <v>53.4</v>
      </c>
      <c r="C16" s="25">
        <f>Table13468111214151617181920222530333435[[#This Row],[PMI]]-B15</f>
        <v/>
      </c>
    </row>
    <row r="17">
      <c r="A17" s="10" t="n">
        <v>40787</v>
      </c>
      <c r="B17" s="25" t="n">
        <v>52.3</v>
      </c>
      <c r="C17" s="25">
        <f>Table13468111214151617181920222530333435[[#This Row],[PMI]]-B16</f>
        <v/>
      </c>
    </row>
    <row r="18">
      <c r="A18" s="10" t="n">
        <v>40817</v>
      </c>
      <c r="B18" s="25" t="n">
        <v>51.7</v>
      </c>
      <c r="C18" s="25">
        <f>Table13468111214151617181920222530333435[[#This Row],[PMI]]-B17</f>
        <v/>
      </c>
    </row>
    <row r="19">
      <c r="A19" s="10" t="n">
        <v>40848</v>
      </c>
      <c r="B19" s="25" t="n">
        <v>48.6</v>
      </c>
      <c r="C19" s="25">
        <f>Table13468111214151617181920222530333435[[#This Row],[PMI]]-B18</f>
        <v/>
      </c>
    </row>
    <row r="20">
      <c r="A20" s="10" t="n">
        <v>40878</v>
      </c>
      <c r="B20" s="25" t="n">
        <v>49.2</v>
      </c>
      <c r="C20" s="25">
        <f>Table13468111214151617181920222530333435[[#This Row],[PMI]]-B19</f>
        <v/>
      </c>
    </row>
    <row r="21">
      <c r="A21" s="10" t="n">
        <v>40909</v>
      </c>
      <c r="B21" s="25" t="n">
        <v>48.8</v>
      </c>
      <c r="C21" s="25">
        <f>Table13468111214151617181920222530333435[[#This Row],[PMI]]-B20</f>
        <v/>
      </c>
    </row>
    <row r="22">
      <c r="A22" s="10" t="n">
        <v>40940</v>
      </c>
      <c r="B22" s="25" t="n">
        <v>50.5</v>
      </c>
      <c r="C22" s="25">
        <f>Table13468111214151617181920222530333435[[#This Row],[PMI]]-B21</f>
        <v/>
      </c>
    </row>
    <row r="23">
      <c r="A23" s="10" t="n">
        <v>40969</v>
      </c>
      <c r="B23" s="25" t="n">
        <v>52.1</v>
      </c>
      <c r="C23" s="25">
        <f>Table13468111214151617181920222530333435[[#This Row],[PMI]]-B22</f>
        <v/>
      </c>
    </row>
    <row r="24">
      <c r="A24" s="10" t="n">
        <v>41000</v>
      </c>
      <c r="B24" s="25" t="n">
        <v>49.7</v>
      </c>
      <c r="C24" s="25">
        <f>Table13468111214151617181920222530333435[[#This Row],[PMI]]-B23</f>
        <v/>
      </c>
    </row>
    <row r="25">
      <c r="A25" s="10" t="n">
        <v>41030</v>
      </c>
      <c r="B25" s="25" t="n">
        <v>47.6</v>
      </c>
      <c r="C25" s="25">
        <f>Table13468111214151617181920222530333435[[#This Row],[PMI]]-B24</f>
        <v/>
      </c>
    </row>
    <row r="26">
      <c r="A26" s="10" t="n">
        <v>41061</v>
      </c>
      <c r="B26" s="25" t="n">
        <v>49.4</v>
      </c>
      <c r="C26" s="25">
        <f>Table13468111214151617181920222530333435[[#This Row],[PMI]]-B25</f>
        <v/>
      </c>
    </row>
    <row r="27">
      <c r="A27" s="10" t="n">
        <v>41091</v>
      </c>
      <c r="B27" s="25" t="n">
        <v>49.5</v>
      </c>
      <c r="C27" s="25">
        <f>Table13468111214151617181920222530333435[[#This Row],[PMI]]-B26</f>
        <v/>
      </c>
    </row>
    <row r="28">
      <c r="A28" s="10" t="n">
        <v>41122</v>
      </c>
      <c r="B28" s="25" t="n">
        <v>48.7</v>
      </c>
      <c r="C28" s="25">
        <f>Table13468111214151617181920222530333435[[#This Row],[PMI]]-B27</f>
        <v/>
      </c>
    </row>
    <row r="29">
      <c r="A29" s="10" t="n">
        <v>41153</v>
      </c>
      <c r="B29" s="25" t="n">
        <v>48</v>
      </c>
      <c r="C29" s="25">
        <f>Table13468111214151617181920222530333435[[#This Row],[PMI]]-B28</f>
        <v/>
      </c>
    </row>
    <row r="30">
      <c r="A30" s="10" t="n">
        <v>41183</v>
      </c>
      <c r="B30" s="25" t="n">
        <v>47.2</v>
      </c>
      <c r="C30" s="25">
        <f>Table13468111214151617181920222530333435[[#This Row],[PMI]]-B29</f>
        <v/>
      </c>
    </row>
    <row r="31">
      <c r="A31" s="10" t="n">
        <v>41214</v>
      </c>
      <c r="B31" s="25" t="n">
        <v>48.2</v>
      </c>
      <c r="C31" s="25">
        <f>Table13468111214151617181920222530333435[[#This Row],[PMI]]-B30</f>
        <v/>
      </c>
    </row>
    <row r="32">
      <c r="A32" s="10" t="n">
        <v>41244</v>
      </c>
      <c r="B32" s="25" t="n">
        <v>46</v>
      </c>
      <c r="C32" s="25">
        <f>Table13468111214151617181920222530333435[[#This Row],[PMI]]-B31</f>
        <v/>
      </c>
    </row>
    <row r="33">
      <c r="A33" s="10" t="n">
        <v>41275</v>
      </c>
      <c r="B33" s="25" t="n">
        <v>48.3</v>
      </c>
      <c r="C33" s="25">
        <f>Table13468111214151617181920222530333435[[#This Row],[PMI]]-B32</f>
        <v/>
      </c>
    </row>
    <row r="34">
      <c r="A34" s="10" t="n">
        <v>41306</v>
      </c>
      <c r="B34" s="25" t="n">
        <v>49.9</v>
      </c>
      <c r="C34" s="25">
        <f>Table13468111214151617181920222530333435[[#This Row],[PMI]]-B33</f>
        <v/>
      </c>
    </row>
    <row r="35">
      <c r="A35" s="10" t="n">
        <v>41334</v>
      </c>
      <c r="B35" s="25" t="n">
        <v>49.1</v>
      </c>
      <c r="C35" s="25">
        <f>Table13468111214151617181920222530333435[[#This Row],[PMI]]-B34</f>
        <v/>
      </c>
    </row>
    <row r="36">
      <c r="A36" s="10" t="n">
        <v>41365</v>
      </c>
      <c r="B36" s="25" t="n">
        <v>49.5</v>
      </c>
      <c r="C36" s="25">
        <f>Table13468111214151617181920222530333435[[#This Row],[PMI]]-B35</f>
        <v/>
      </c>
    </row>
    <row r="37">
      <c r="A37" s="10" t="n">
        <v>41395</v>
      </c>
      <c r="B37" s="25" t="n">
        <v>50.1</v>
      </c>
      <c r="C37" s="25">
        <f>Table13468111214151617181920222530333435[[#This Row],[PMI]]-B36</f>
        <v/>
      </c>
    </row>
    <row r="38">
      <c r="A38" s="10" t="n">
        <v>41426</v>
      </c>
      <c r="B38" s="25" t="n">
        <v>51</v>
      </c>
      <c r="C38" s="25">
        <f>Table13468111214151617181920222530333435[[#This Row],[PMI]]-B37</f>
        <v/>
      </c>
    </row>
    <row r="39">
      <c r="A39" s="10" t="n">
        <v>41456</v>
      </c>
      <c r="B39" s="25" t="n">
        <v>52</v>
      </c>
      <c r="C39" s="25">
        <f>Table13468111214151617181920222530333435[[#This Row],[PMI]]-B38</f>
        <v/>
      </c>
    </row>
    <row r="40">
      <c r="A40" s="10" t="n">
        <v>41487</v>
      </c>
      <c r="B40" s="25" t="n">
        <v>53.9</v>
      </c>
      <c r="C40" s="25">
        <f>Table13468111214151617181920222530333435[[#This Row],[PMI]]-B39</f>
        <v/>
      </c>
    </row>
    <row r="41">
      <c r="A41" s="10" t="n">
        <v>41518</v>
      </c>
      <c r="B41" s="25" t="n">
        <v>53.4</v>
      </c>
      <c r="C41" s="25">
        <f>Table13468111214151617181920222530333435[[#This Row],[PMI]]-B40</f>
        <v/>
      </c>
    </row>
    <row r="42">
      <c r="A42" s="10" t="n">
        <v>41548</v>
      </c>
      <c r="B42" s="25" t="n">
        <v>54.5</v>
      </c>
      <c r="C42" s="25">
        <f>Table13468111214151617181920222530333435[[#This Row],[PMI]]-B41</f>
        <v/>
      </c>
    </row>
    <row r="43">
      <c r="A43" s="10" t="n">
        <v>41579</v>
      </c>
      <c r="B43" s="25" t="n">
        <v>55.4</v>
      </c>
      <c r="C43" s="25">
        <f>Table13468111214151617181920222530333435[[#This Row],[PMI]]-B42</f>
        <v/>
      </c>
    </row>
    <row r="44">
      <c r="A44" s="10" t="n">
        <v>41609</v>
      </c>
      <c r="B44" s="25" t="n">
        <v>54.9</v>
      </c>
      <c r="C44" s="25">
        <f>Table13468111214151617181920222530333435[[#This Row],[PMI]]-B43</f>
        <v/>
      </c>
    </row>
    <row r="45">
      <c r="A45" s="10" t="n">
        <v>41640</v>
      </c>
      <c r="B45" s="25" t="n">
        <v>55.9</v>
      </c>
      <c r="C45" s="25">
        <f>Table13468111214151617181920222530333435[[#This Row],[PMI]]-B44</f>
        <v/>
      </c>
    </row>
    <row r="46">
      <c r="A46" s="10" t="n">
        <v>41671</v>
      </c>
      <c r="B46" s="25" t="n">
        <v>56.5</v>
      </c>
      <c r="C46" s="25">
        <f>Table13468111214151617181920222530333435[[#This Row],[PMI]]-B45</f>
        <v/>
      </c>
    </row>
    <row r="47">
      <c r="A47" s="10" t="n">
        <v>41699</v>
      </c>
      <c r="B47" s="25" t="n">
        <v>55.5</v>
      </c>
      <c r="C47" s="25">
        <f>Table13468111214151617181920222530333435[[#This Row],[PMI]]-B46</f>
        <v/>
      </c>
    </row>
    <row r="48">
      <c r="A48" s="10" t="n">
        <v>41730</v>
      </c>
      <c r="B48" s="25" t="n">
        <v>56.5</v>
      </c>
      <c r="C48" s="25">
        <f>Table13468111214151617181920222530333435[[#This Row],[PMI]]-B47</f>
        <v/>
      </c>
    </row>
    <row r="49">
      <c r="A49" s="10" t="n">
        <v>41760</v>
      </c>
      <c r="B49" s="25" t="n">
        <v>57.3</v>
      </c>
      <c r="C49" s="25">
        <f>Table13468111214151617181920222530333435[[#This Row],[PMI]]-B48</f>
        <v/>
      </c>
    </row>
    <row r="50">
      <c r="A50" s="10" t="n">
        <v>41791</v>
      </c>
      <c r="B50" s="25" t="n">
        <v>54.7</v>
      </c>
      <c r="C50" s="25">
        <f>Table13468111214151617181920222530333435[[#This Row],[PMI]]-B49</f>
        <v/>
      </c>
    </row>
    <row r="51">
      <c r="A51" s="10" t="n">
        <v>41821</v>
      </c>
      <c r="B51" s="25" t="n">
        <v>56.4638888888889</v>
      </c>
      <c r="C51" s="25">
        <f>Table13468111214151617181920222530333435[[#This Row],[PMI]]-B50</f>
        <v/>
      </c>
    </row>
    <row r="52">
      <c r="A52" s="10" t="n">
        <v>41852</v>
      </c>
      <c r="B52" s="25" t="n">
        <v>54.3</v>
      </c>
      <c r="C52" s="25">
        <f>Table13468111214151617181920222530333435[[#This Row],[PMI]]-B51</f>
        <v/>
      </c>
    </row>
    <row r="53">
      <c r="A53" s="10" t="n">
        <v>41883</v>
      </c>
      <c r="B53" s="25" t="n">
        <v>55.6</v>
      </c>
      <c r="C53" s="25">
        <f>Table13468111214151617181920222530333435[[#This Row],[PMI]]-B52</f>
        <v/>
      </c>
    </row>
    <row r="54">
      <c r="A54" s="10" t="n">
        <v>41913</v>
      </c>
      <c r="B54" s="25" t="n">
        <v>54.4</v>
      </c>
      <c r="C54" s="25">
        <f>Table13468111214151617181920222530333435[[#This Row],[PMI]]-B53</f>
        <v/>
      </c>
    </row>
    <row r="55">
      <c r="A55" s="10" t="n">
        <v>41944</v>
      </c>
      <c r="B55" s="25" t="n">
        <v>55.6</v>
      </c>
      <c r="C55" s="25">
        <f>Table13468111214151617181920222530333435[[#This Row],[PMI]]-B54</f>
        <v/>
      </c>
    </row>
    <row r="56">
      <c r="A56" s="10" t="n">
        <v>41974</v>
      </c>
      <c r="B56" s="25" t="n">
        <v>53.3</v>
      </c>
      <c r="C56" s="25">
        <f>Table13468111214151617181920222530333435[[#This Row],[PMI]]-B55</f>
        <v/>
      </c>
    </row>
    <row r="57">
      <c r="A57" s="10" t="n">
        <v>42005</v>
      </c>
      <c r="B57" s="25" t="n">
        <v>56.1</v>
      </c>
      <c r="C57" s="25">
        <f>Table13468111214151617181920222530333435[[#This Row],[PMI]]-B56</f>
        <v/>
      </c>
    </row>
    <row r="58">
      <c r="A58" s="10" t="n">
        <v>42036</v>
      </c>
      <c r="B58" s="25" t="n">
        <v>55.6</v>
      </c>
      <c r="C58" s="25">
        <f>Table13468111214151617181920222530333435[[#This Row],[PMI]]-B57</f>
        <v/>
      </c>
    </row>
    <row r="59">
      <c r="A59" s="10" t="n">
        <v>42064</v>
      </c>
      <c r="B59" s="25" t="n">
        <v>56.1</v>
      </c>
      <c r="C59" s="25">
        <f>Table13468111214151617181920222530333435[[#This Row],[PMI]]-B58</f>
        <v/>
      </c>
    </row>
    <row r="60">
      <c r="A60" s="10" t="n">
        <v>42095</v>
      </c>
      <c r="B60" s="25" t="n">
        <v>54.7</v>
      </c>
      <c r="C60" s="25">
        <f>Table13468111214151617181920222530333435[[#This Row],[PMI]]-B59</f>
        <v/>
      </c>
    </row>
    <row r="61">
      <c r="A61" s="10" t="n">
        <v>42125</v>
      </c>
      <c r="B61" s="25" t="n">
        <v>55.5</v>
      </c>
      <c r="C61" s="25">
        <f>Table13468111214151617181920222530333435[[#This Row],[PMI]]-B60</f>
        <v/>
      </c>
    </row>
    <row r="62">
      <c r="A62" s="10" t="n">
        <v>42156</v>
      </c>
      <c r="B62" s="25" t="n">
        <v>56.9</v>
      </c>
      <c r="C62" s="25">
        <f>Table13468111214151617181920222530333435[[#This Row],[PMI]]-B61</f>
        <v/>
      </c>
    </row>
    <row r="63">
      <c r="A63" s="10" t="n">
        <v>42186</v>
      </c>
      <c r="B63" s="25" t="n">
        <v>57.5</v>
      </c>
      <c r="C63" s="25">
        <f>Table13468111214151617181920222530333435[[#This Row],[PMI]]-B62</f>
        <v/>
      </c>
    </row>
    <row r="64">
      <c r="A64" s="10" t="n">
        <v>42217</v>
      </c>
      <c r="B64" s="25" t="n">
        <v>56.6</v>
      </c>
      <c r="C64" s="25">
        <f>Table13468111214151617181920222530333435[[#This Row],[PMI]]-B63</f>
        <v/>
      </c>
    </row>
    <row r="65">
      <c r="A65" s="10" t="n">
        <v>42248</v>
      </c>
      <c r="B65" s="25" t="n">
        <v>55.5</v>
      </c>
      <c r="C65" s="25">
        <f>Table13468111214151617181920222530333435[[#This Row],[PMI]]-B64</f>
        <v/>
      </c>
    </row>
    <row r="66">
      <c r="A66" s="10" t="n">
        <v>42278</v>
      </c>
      <c r="B66" s="25" t="n">
        <v>54</v>
      </c>
      <c r="C66" s="25">
        <f>Table13468111214151617181920222530333435[[#This Row],[PMI]]-B65</f>
        <v/>
      </c>
    </row>
    <row r="67">
      <c r="A67" s="10" t="n">
        <v>42309</v>
      </c>
      <c r="B67" s="25" t="n">
        <v>54.2</v>
      </c>
      <c r="C67" s="25">
        <f>Table13468111214151617181920222530333435[[#This Row],[PMI]]-B66</f>
        <v/>
      </c>
    </row>
    <row r="68">
      <c r="A68" s="10" t="n">
        <v>42339</v>
      </c>
      <c r="B68" s="25" t="n">
        <v>55.6</v>
      </c>
      <c r="C68" s="25">
        <f>Table13468111214151617181920222530333435[[#This Row],[PMI]]-B67</f>
        <v/>
      </c>
    </row>
    <row r="69">
      <c r="A69" s="10" t="n">
        <v>42370</v>
      </c>
      <c r="B69" s="25" t="n">
        <v>56.9</v>
      </c>
      <c r="C69" s="25">
        <f>Table13468111214151617181920222530333435[[#This Row],[PMI]]-B68</f>
        <v/>
      </c>
    </row>
    <row r="70">
      <c r="A70" s="10" t="n">
        <v>42401</v>
      </c>
      <c r="B70" s="25" t="n">
        <v>55.5</v>
      </c>
      <c r="C70" s="25">
        <f>Table13468111214151617181920222530333435[[#This Row],[PMI]]-B69</f>
        <v/>
      </c>
    </row>
    <row r="71">
      <c r="A71" s="10" t="n">
        <v>42430</v>
      </c>
      <c r="B71" s="25" t="n">
        <v>54.3</v>
      </c>
      <c r="C71" s="25">
        <f>Table13468111214151617181920222530333435[[#This Row],[PMI]]-B70</f>
        <v/>
      </c>
    </row>
    <row r="72">
      <c r="A72" s="10" t="n">
        <v>42461</v>
      </c>
      <c r="B72" s="25" t="n">
        <v>53.6</v>
      </c>
      <c r="C72" s="25">
        <f>Table13468111214151617181920222530333435[[#This Row],[PMI]]-B71</f>
        <v/>
      </c>
    </row>
    <row r="73">
      <c r="A73" s="10" t="n">
        <v>42491</v>
      </c>
      <c r="B73" s="25" t="n">
        <v>53.3</v>
      </c>
      <c r="C73" s="25">
        <f>Table13468111214151617181920222530333435[[#This Row],[PMI]]-B72</f>
        <v/>
      </c>
    </row>
    <row r="74">
      <c r="A74" s="10" t="n">
        <v>42522</v>
      </c>
      <c r="B74" s="25" t="n">
        <v>51.8</v>
      </c>
      <c r="C74" s="25">
        <f>Table13468111214151617181920222530333435[[#This Row],[PMI]]-B73</f>
        <v/>
      </c>
    </row>
    <row r="75">
      <c r="A75" s="10" t="n">
        <v>42552</v>
      </c>
      <c r="B75" s="25" t="n">
        <v>49.3</v>
      </c>
      <c r="C75" s="25">
        <f>Table13468111214151617181920222530333435[[#This Row],[PMI]]-B74</f>
        <v/>
      </c>
    </row>
    <row r="76">
      <c r="A76" s="10" t="n">
        <v>42583</v>
      </c>
      <c r="B76" s="25" t="n">
        <v>50.1</v>
      </c>
      <c r="C76" s="25">
        <f>Table13468111214151617181920222530333435[[#This Row],[PMI]]-B75</f>
        <v/>
      </c>
    </row>
    <row r="77">
      <c r="A77" s="10" t="n">
        <v>42614</v>
      </c>
      <c r="B77" s="25" t="n">
        <v>52</v>
      </c>
      <c r="C77" s="25">
        <f>Table13468111214151617181920222530333435[[#This Row],[PMI]]-B76</f>
        <v/>
      </c>
    </row>
    <row r="78">
      <c r="A78" s="10" t="n">
        <v>42644</v>
      </c>
      <c r="B78" s="25" t="n">
        <v>53.3</v>
      </c>
      <c r="C78" s="25">
        <f>Table13468111214151617181920222530333435[[#This Row],[PMI]]-B77</f>
        <v/>
      </c>
    </row>
    <row r="79">
      <c r="A79" s="10" t="n">
        <v>42675</v>
      </c>
      <c r="B79" s="25" t="n">
        <v>52.2</v>
      </c>
      <c r="C79" s="25">
        <f>Table13468111214151617181920222530333435[[#This Row],[PMI]]-B78</f>
        <v/>
      </c>
    </row>
    <row r="80">
      <c r="A80" s="10" t="n">
        <v>42705</v>
      </c>
      <c r="B80" s="25" t="n">
        <v>53.8</v>
      </c>
      <c r="C80" s="25">
        <f>Table13468111214151617181920222530333435[[#This Row],[PMI]]-B79</f>
        <v/>
      </c>
    </row>
    <row r="81">
      <c r="A81" s="10" t="n">
        <v>42736</v>
      </c>
      <c r="B81" s="25" t="n">
        <v>55.7</v>
      </c>
      <c r="C81" s="25">
        <f>Table13468111214151617181920222530333435[[#This Row],[PMI]]-B80</f>
        <v/>
      </c>
    </row>
    <row r="82">
      <c r="A82" s="10" t="n">
        <v>42767</v>
      </c>
      <c r="B82" s="25" t="n">
        <v>57.6</v>
      </c>
      <c r="C82" s="25">
        <f>Table13468111214151617181920222530333435[[#This Row],[PMI]]-B81</f>
        <v/>
      </c>
    </row>
    <row r="83">
      <c r="A83" s="10" t="n">
        <v>42795</v>
      </c>
      <c r="B83" s="25" t="n">
        <v>57.5</v>
      </c>
      <c r="C83" s="25">
        <f>Table13468111214151617181920222530333435[[#This Row],[PMI]]-B82</f>
        <v/>
      </c>
    </row>
    <row r="84">
      <c r="A84" s="10" t="n">
        <v>42826</v>
      </c>
      <c r="B84" s="25" t="n">
        <v>57.5</v>
      </c>
      <c r="C84" s="25">
        <f>Table13468111214151617181920222530333435[[#This Row],[PMI]]-B83</f>
        <v/>
      </c>
    </row>
    <row r="85">
      <c r="A85" s="10" t="n">
        <v>42856</v>
      </c>
      <c r="B85" s="25" t="n">
        <v>56.4</v>
      </c>
      <c r="C85" s="25">
        <f>Table13468111214151617181920222530333435[[#This Row],[PMI]]-B84</f>
        <v/>
      </c>
    </row>
    <row r="86">
      <c r="A86" s="10" t="n">
        <v>42887</v>
      </c>
      <c r="B86" s="25" t="n">
        <v>56.4</v>
      </c>
      <c r="C86" s="25">
        <f>Table13468111214151617181920222530333435[[#This Row],[PMI]]-B85</f>
        <v/>
      </c>
    </row>
    <row r="87">
      <c r="A87" s="10" t="n">
        <v>42917</v>
      </c>
      <c r="B87" s="25" t="n">
        <v>55.3</v>
      </c>
      <c r="C87" s="25">
        <f>Table13468111214151617181920222530333435[[#This Row],[PMI]]-B86</f>
        <v/>
      </c>
    </row>
    <row r="88">
      <c r="A88" s="10" t="n">
        <v>42948</v>
      </c>
      <c r="B88" s="25" t="n">
        <v>54.9</v>
      </c>
      <c r="C88" s="25">
        <f>Table13468111214151617181920222530333435[[#This Row],[PMI]]-B87</f>
        <v/>
      </c>
    </row>
    <row r="89">
      <c r="A89" s="10" t="n">
        <v>42979</v>
      </c>
      <c r="B89" s="25" t="n">
        <v>56.6</v>
      </c>
      <c r="C89" s="25">
        <f>Table13468111214151617181920222530333435[[#This Row],[PMI]]-B88</f>
        <v/>
      </c>
    </row>
    <row r="90">
      <c r="A90" s="10" t="n">
        <v>43009</v>
      </c>
      <c r="B90" s="25" t="n">
        <v>58.5</v>
      </c>
      <c r="C90" s="25">
        <f>Table13468111214151617181920222530333435[[#This Row],[PMI]]-B89</f>
        <v/>
      </c>
    </row>
    <row r="91">
      <c r="A91" s="10" t="n">
        <v>43040</v>
      </c>
      <c r="B91" s="25" t="n">
        <v>58.7</v>
      </c>
      <c r="C91" s="25">
        <f>Table13468111214151617181920222530333435[[#This Row],[PMI]]-B90</f>
        <v/>
      </c>
    </row>
    <row r="92">
      <c r="A92" s="10" t="n">
        <v>43070</v>
      </c>
      <c r="B92" s="25" t="n">
        <v>59.8</v>
      </c>
      <c r="C92" s="25">
        <f>Table13468111214151617181920222530333435[[#This Row],[PMI]]-B91</f>
        <v/>
      </c>
    </row>
    <row r="93">
      <c r="A93" s="10" t="n">
        <v>43101</v>
      </c>
      <c r="B93" s="25" t="n">
        <v>59.8</v>
      </c>
      <c r="C93" s="25">
        <f>Table13468111214151617181920222530333435[[#This Row],[PMI]]-B92</f>
        <v/>
      </c>
    </row>
    <row r="94">
      <c r="A94" s="10" t="n">
        <v>43132</v>
      </c>
      <c r="B94" s="25" t="n">
        <v>58.8</v>
      </c>
      <c r="C94" s="25">
        <f>Table13468111214151617181920222530333435[[#This Row],[PMI]]-B93</f>
        <v/>
      </c>
    </row>
    <row r="95">
      <c r="A95" s="10" t="n">
        <v>43160</v>
      </c>
      <c r="B95" s="25" t="n">
        <v>57.3</v>
      </c>
      <c r="C95" s="25">
        <f>Table13468111214151617181920222530333435[[#This Row],[PMI]]-B94</f>
        <v/>
      </c>
    </row>
    <row r="96">
      <c r="A96" s="10" t="n">
        <v>43191</v>
      </c>
      <c r="B96" s="25" t="n">
        <v>57.2</v>
      </c>
      <c r="C96" s="25">
        <f>Table13468111214151617181920222530333435[[#This Row],[PMI]]-B95</f>
        <v/>
      </c>
    </row>
    <row r="97">
      <c r="A97" s="10" t="n">
        <v>43221</v>
      </c>
      <c r="B97" s="25" t="n">
        <v>56.5</v>
      </c>
      <c r="C97" s="25">
        <f>Table13468111214151617181920222530333435[[#This Row],[PMI]]-B96</f>
        <v/>
      </c>
    </row>
    <row r="98">
      <c r="A98" s="10" t="n">
        <v>43252</v>
      </c>
      <c r="B98" s="25" t="n">
        <v>56.8</v>
      </c>
      <c r="C98" s="25">
        <f>Table13468111214151617181920222530333435[[#This Row],[PMI]]-B97</f>
        <v/>
      </c>
    </row>
    <row r="99">
      <c r="A99" s="10" t="n">
        <v>43282</v>
      </c>
      <c r="B99" s="25" t="n">
        <v>55.4</v>
      </c>
      <c r="C99" s="25">
        <f>Table13468111214151617181920222530333435[[#This Row],[PMI]]-B98</f>
        <v/>
      </c>
    </row>
    <row r="100">
      <c r="A100" s="10" t="n">
        <v>43313</v>
      </c>
      <c r="B100" s="25" t="n">
        <v>54.9</v>
      </c>
      <c r="C100" s="25">
        <f>Table13468111214151617181920222530333435[[#This Row],[PMI]]-B99</f>
        <v/>
      </c>
    </row>
    <row r="101">
      <c r="A101" s="10" t="n">
        <v>43344</v>
      </c>
      <c r="B101" s="25" t="n">
        <v>53.4</v>
      </c>
      <c r="C101" s="25">
        <f>Table13468111214151617181920222530333435[[#This Row],[PMI]]-B100</f>
        <v/>
      </c>
    </row>
    <row r="102">
      <c r="A102" s="10" t="n">
        <v>43374</v>
      </c>
      <c r="B102" s="25" t="n">
        <v>52.5</v>
      </c>
      <c r="C102" s="25">
        <f>Table13468111214151617181920222530333435[[#This Row],[PMI]]-B101</f>
        <v/>
      </c>
    </row>
    <row r="103">
      <c r="A103" s="10" t="n">
        <v>43405</v>
      </c>
      <c r="B103" s="25" t="n">
        <v>51.8</v>
      </c>
      <c r="C103" s="25">
        <f>Table13468111214151617181920222530333435[[#This Row],[PMI]]-B102</f>
        <v/>
      </c>
    </row>
    <row r="104">
      <c r="A104" s="10" t="n">
        <v>43435</v>
      </c>
      <c r="B104" s="25" t="n">
        <v>49.7</v>
      </c>
      <c r="C104" s="25">
        <f>Table13468111214151617181920222530333435[[#This Row],[PMI]]-B103</f>
        <v/>
      </c>
    </row>
    <row r="105">
      <c r="A105" s="10" t="n">
        <v>43466</v>
      </c>
      <c r="B105" s="25" t="n">
        <v>49</v>
      </c>
      <c r="C105" s="25">
        <f>Table13468111214151617181920222530333435[[#This Row],[PMI]]-B104</f>
        <v/>
      </c>
    </row>
    <row r="106">
      <c r="A106" s="10" t="n">
        <v>43497</v>
      </c>
      <c r="B106" s="25" t="n">
        <v>48.6</v>
      </c>
      <c r="C106" s="25">
        <f>Table13468111214151617181920222530333435[[#This Row],[PMI]]-B105</f>
        <v/>
      </c>
    </row>
    <row r="107">
      <c r="A107" s="10" t="n">
        <v>43525</v>
      </c>
      <c r="B107" s="25" t="n">
        <v>47.3</v>
      </c>
      <c r="C107" s="25">
        <f>Table13468111214151617181920222530333435[[#This Row],[PMI]]-B106</f>
        <v/>
      </c>
    </row>
    <row r="108">
      <c r="A108" s="10" t="n">
        <v>43556</v>
      </c>
      <c r="B108" s="25" t="n">
        <v>46.6</v>
      </c>
      <c r="C108" s="25">
        <f>Table13468111214151617181920222530333435[[#This Row],[PMI]]-B107</f>
        <v/>
      </c>
    </row>
    <row r="109">
      <c r="A109" s="10" t="n">
        <v>43586</v>
      </c>
      <c r="B109" s="25" t="n">
        <v>46.6</v>
      </c>
      <c r="C109" s="25">
        <f>Table13468111214151617181920222530333435[[#This Row],[PMI]]-B108</f>
        <v/>
      </c>
    </row>
    <row r="110">
      <c r="A110" s="10" t="n">
        <v>43617</v>
      </c>
      <c r="B110" s="25" t="n">
        <v>45.9</v>
      </c>
      <c r="C110" s="25">
        <f>Table13468111214151617181920222530333435[[#This Row],[PMI]]-B109</f>
        <v/>
      </c>
    </row>
    <row r="111">
      <c r="A111" s="10" t="n">
        <v>43647</v>
      </c>
      <c r="B111" s="25" t="n">
        <v>43.1</v>
      </c>
      <c r="C111" s="25">
        <f>Table13468111214151617181920222530333435[[#This Row],[PMI]]-B110</f>
        <v/>
      </c>
    </row>
    <row r="112">
      <c r="A112" s="10" t="n">
        <v>43678</v>
      </c>
      <c r="B112" s="25" t="n">
        <v>44.9</v>
      </c>
      <c r="C112" s="25">
        <f>Table13468111214151617181920222530333435[[#This Row],[PMI]]-B111</f>
        <v/>
      </c>
    </row>
    <row r="113">
      <c r="A113" s="10" t="n">
        <v>43709</v>
      </c>
      <c r="B113" s="25" t="n">
        <v>44.9</v>
      </c>
      <c r="C113" s="25">
        <f>Table13468111214151617181920222530333435[[#This Row],[PMI]]-B112</f>
        <v/>
      </c>
    </row>
    <row r="114">
      <c r="A114" s="10" t="n">
        <v>43739</v>
      </c>
      <c r="B114" s="25" t="n">
        <v>45</v>
      </c>
      <c r="C114" s="25">
        <f>Table13468111214151617181920222530333435[[#This Row],[PMI]]-B113</f>
        <v/>
      </c>
    </row>
    <row r="115">
      <c r="A115" s="10" t="n">
        <v>43770</v>
      </c>
      <c r="B115" s="25" t="n">
        <v>43.5</v>
      </c>
      <c r="C115" s="25">
        <f>Table13468111214151617181920222530333435[[#This Row],[PMI]]-B114</f>
        <v/>
      </c>
    </row>
    <row r="116">
      <c r="A116" s="10" t="n">
        <v>43800</v>
      </c>
      <c r="B116" s="25" t="n">
        <v>43.6</v>
      </c>
      <c r="C116" s="25">
        <f>Table13468111214151617181920222530333435[[#This Row],[PMI]]-B115</f>
        <v/>
      </c>
    </row>
    <row r="117">
      <c r="A117" s="10" t="n">
        <v>43831</v>
      </c>
      <c r="B117" s="25" t="n">
        <v>45.2</v>
      </c>
      <c r="C117" s="25">
        <f>Table13468111214151617181920222530333435[[#This Row],[PMI]]-B116</f>
        <v/>
      </c>
    </row>
    <row r="118">
      <c r="A118" s="10" t="n">
        <v>43862</v>
      </c>
      <c r="B118" s="25" t="n">
        <v>46.5</v>
      </c>
      <c r="C118" s="25">
        <f>Table13468111214151617181920222530333435[[#This Row],[PMI]]-B117</f>
        <v/>
      </c>
    </row>
    <row r="119">
      <c r="A119" s="10" t="n">
        <v>43891</v>
      </c>
      <c r="B119" s="25" t="n">
        <v>41.3</v>
      </c>
      <c r="C119" s="25">
        <f>Table13468111214151617181920222530333435[[#This Row],[PMI]]-B118</f>
        <v/>
      </c>
    </row>
    <row r="120">
      <c r="A120" s="10" t="n">
        <v>43922</v>
      </c>
      <c r="B120" s="25" t="n">
        <v>35.1</v>
      </c>
      <c r="C120" s="25">
        <f>Table13468111214151617181920222530333435[[#This Row],[PMI]]-B119</f>
        <v/>
      </c>
    </row>
    <row r="121">
      <c r="A121" s="10" t="n">
        <v>43952</v>
      </c>
      <c r="B121" s="25" t="n">
        <v>39.6</v>
      </c>
      <c r="C121" s="25">
        <f>Table13468111214151617181920222530333435[[#This Row],[PMI]]-B120</f>
        <v/>
      </c>
    </row>
    <row r="122">
      <c r="A122" s="10" t="n">
        <v>43983</v>
      </c>
      <c r="B122" s="25" t="n">
        <v>44.9</v>
      </c>
      <c r="C122" s="25">
        <f>Table13468111214151617181920222530333435[[#This Row],[PMI]]-B121</f>
        <v/>
      </c>
    </row>
    <row r="123">
      <c r="A123" s="10" t="n">
        <v>44013</v>
      </c>
      <c r="B123" s="25" t="n">
        <v>47</v>
      </c>
      <c r="C123" s="25">
        <f>Table13468111214151617181920222530333435[[#This Row],[PMI]]-B122</f>
        <v/>
      </c>
    </row>
    <row r="124">
      <c r="A124" s="10" t="n">
        <v>44044</v>
      </c>
      <c r="B124" s="25" t="n">
        <v>49.1</v>
      </c>
      <c r="C124" s="25">
        <f>Table13468111214151617181920222530333435[[#This Row],[PMI]]-B123</f>
        <v/>
      </c>
    </row>
    <row r="125">
      <c r="A125" s="10" t="n">
        <v>44075</v>
      </c>
      <c r="B125" s="25" t="n">
        <v>50.7</v>
      </c>
      <c r="C125" s="25">
        <f>Table13468111214151617181920222530333435[[#This Row],[PMI]]-B124</f>
        <v/>
      </c>
    </row>
    <row r="126">
      <c r="A126" s="10" t="n">
        <v>44105</v>
      </c>
      <c r="B126" s="25" t="n">
        <v>51.9</v>
      </c>
      <c r="C126" s="25">
        <f>Table13468111214151617181920222530333435[[#This Row],[PMI]]-B125</f>
        <v/>
      </c>
    </row>
    <row r="127">
      <c r="A127" s="10" t="n">
        <v>44136</v>
      </c>
      <c r="B127" s="25" t="n">
        <v>53.9</v>
      </c>
      <c r="C127" s="25">
        <f>Table13468111214151617181920222530333435[[#This Row],[PMI]]-B126</f>
        <v/>
      </c>
    </row>
    <row r="128">
      <c r="A128" s="10" t="n">
        <v>44166</v>
      </c>
      <c r="B128" s="25" t="n">
        <v>57</v>
      </c>
      <c r="C128" s="25">
        <f>Table13468111214151617181920222530333435[[#This Row],[PMI]]-B127</f>
        <v/>
      </c>
    </row>
    <row r="129">
      <c r="A129" s="10" t="n">
        <v>44197</v>
      </c>
      <c r="B129" s="25" t="n">
        <v>57</v>
      </c>
      <c r="C129" s="25">
        <f>Table13468111214151617181920222530333435[[#This Row],[PMI]]-B128</f>
        <v/>
      </c>
    </row>
    <row r="130">
      <c r="A130" s="10" t="n">
        <v>44228</v>
      </c>
      <c r="B130" s="25" t="n">
        <v>56.5</v>
      </c>
      <c r="C130" s="25">
        <f>Table13468111214151617181920222530333435[[#This Row],[PMI]]-B129</f>
        <v/>
      </c>
    </row>
    <row r="131">
      <c r="A131" s="10" t="n">
        <v>44256</v>
      </c>
      <c r="B131" s="25" t="n">
        <v>58</v>
      </c>
      <c r="C131" s="25">
        <f>Table13468111214151617181920222530333435[[#This Row],[PMI]]-B130</f>
        <v/>
      </c>
    </row>
    <row r="132">
      <c r="A132" s="10" t="n">
        <v>44287</v>
      </c>
      <c r="B132" s="25" t="n">
        <v>58.9</v>
      </c>
      <c r="C132" s="25">
        <f>Table13468111214151617181920222530333435[[#This Row],[PMI]]-B131</f>
        <v/>
      </c>
    </row>
    <row r="133">
      <c r="A133" s="10" t="n">
        <v>44317</v>
      </c>
      <c r="B133" s="25" t="n">
        <v>61.8</v>
      </c>
      <c r="C133" s="25">
        <f>Table13468111214151617181920222530333435[[#This Row],[PMI]]-B132</f>
        <v/>
      </c>
    </row>
    <row r="134">
      <c r="A134" s="10" t="n">
        <v>44348</v>
      </c>
      <c r="B134" s="25" t="n">
        <v>62.7</v>
      </c>
      <c r="C134" s="25">
        <f>Table13468111214151617181920222530333435[[#This Row],[PMI]]-B133</f>
        <v/>
      </c>
    </row>
    <row r="135">
      <c r="A135" s="10" t="n">
        <v>44378</v>
      </c>
      <c r="B135" s="25" t="n">
        <v>62</v>
      </c>
      <c r="C135" s="25">
        <f>Table13468111214151617181920222530333435[[#This Row],[PMI]]-B134</f>
        <v/>
      </c>
    </row>
    <row r="136">
      <c r="A136" s="10" t="n">
        <v>44409</v>
      </c>
      <c r="B136" s="25" t="n">
        <v>61</v>
      </c>
      <c r="C136" s="25">
        <f>Table13468111214151617181920222530333435[[#This Row],[PMI]]-B135</f>
        <v/>
      </c>
    </row>
    <row r="137">
      <c r="A137" s="10" t="n">
        <v>44440</v>
      </c>
      <c r="B137" s="25" t="n">
        <v>58</v>
      </c>
      <c r="C137" s="25">
        <f>Table13468111214151617181920222530333435[[#This Row],[PMI]]-B136</f>
        <v/>
      </c>
    </row>
    <row r="138">
      <c r="A138" s="10" t="n">
        <v>44470</v>
      </c>
      <c r="B138" s="25" t="n">
        <v>55.1</v>
      </c>
      <c r="C138" s="25">
        <f>Table13468111214151617181920222530333435[[#This Row],[PMI]]-B137</f>
        <v/>
      </c>
    </row>
    <row r="139">
      <c r="A139" s="10" t="n">
        <v>44501</v>
      </c>
      <c r="B139" s="25" t="n">
        <v>57.1</v>
      </c>
      <c r="C139" s="25">
        <f>Table13468111214151617181920222530333435[[#This Row],[PMI]]-B138</f>
        <v/>
      </c>
    </row>
    <row r="140">
      <c r="A140" s="10" t="n">
        <v>44531</v>
      </c>
      <c r="B140" s="25" t="n">
        <v>59.1</v>
      </c>
      <c r="C140" s="25">
        <f>Table13468111214151617181920222530333435[[#This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0"/>
  <sheetViews>
    <sheetView zoomScale="160" zoomScaleNormal="160" workbookViewId="0">
      <pane ySplit="5" topLeftCell="A105" activePane="bottomLeft" state="frozen"/>
      <selection pane="bottomLeft" activeCell="S125" sqref="S125"/>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Poland</t>
        </is>
      </c>
      <c r="K1" s="84" t="inlineStr">
        <is>
          <t xml:space="preserve"> Manufacturing PMI</t>
        </is>
      </c>
    </row>
    <row r="2">
      <c r="A2" s="84" t="inlineStr">
        <is>
          <t>poland</t>
        </is>
      </c>
      <c r="K2" s="84">
        <f>A1&amp;K1</f>
        <v/>
      </c>
    </row>
    <row r="4" ht="16" customHeight="1" s="76" thickBot="1"/>
    <row r="5" ht="16" customHeight="1" s="76" thickBot="1">
      <c r="A5" s="22" t="inlineStr">
        <is>
          <t>Date</t>
        </is>
      </c>
      <c r="B5" s="23" t="inlineStr">
        <is>
          <t>PMI</t>
        </is>
      </c>
      <c r="C5" s="23" t="inlineStr">
        <is>
          <t>mom</t>
        </is>
      </c>
    </row>
    <row r="6">
      <c r="A6" s="18" t="n">
        <v>40452</v>
      </c>
      <c r="B6" s="19" t="n">
        <v>55.6</v>
      </c>
      <c r="C6" s="19" t="n"/>
    </row>
    <row r="7">
      <c r="A7" s="10" t="n">
        <v>40483</v>
      </c>
      <c r="B7" s="25" t="n">
        <v>55.9</v>
      </c>
      <c r="C7" s="25">
        <f>Table1346811121415161718192022253033343536[[#This Row],[PMI]]-B6</f>
        <v/>
      </c>
    </row>
    <row r="8">
      <c r="A8" s="10" t="n">
        <v>40513</v>
      </c>
      <c r="B8" s="25" t="n">
        <v>56.3</v>
      </c>
      <c r="C8" s="25">
        <f>Table1346811121415161718192022253033343536[[#This Row],[PMI]]-B7</f>
        <v/>
      </c>
    </row>
    <row r="9">
      <c r="A9" s="10" t="n">
        <v>40544</v>
      </c>
      <c r="B9" s="25" t="n">
        <v>55.6</v>
      </c>
      <c r="C9" s="25">
        <f>Table1346811121415161718192022253033343536[[#This Row],[PMI]]-B8</f>
        <v/>
      </c>
    </row>
    <row r="10">
      <c r="A10" s="10" t="n">
        <v>40575</v>
      </c>
      <c r="B10" s="25" t="n">
        <v>53.8</v>
      </c>
      <c r="C10" s="25">
        <f>Table1346811121415161718192022253033343536[[#This Row],[PMI]]-B9</f>
        <v/>
      </c>
    </row>
    <row r="11">
      <c r="A11" s="10" t="n">
        <v>40603</v>
      </c>
      <c r="B11" s="25" t="n">
        <v>54.8</v>
      </c>
      <c r="C11" s="25">
        <f>Table1346811121415161718192022253033343536[[#This Row],[PMI]]-B10</f>
        <v/>
      </c>
    </row>
    <row r="12">
      <c r="A12" s="10" t="n">
        <v>40634</v>
      </c>
      <c r="B12" s="25" t="n">
        <v>54.4</v>
      </c>
      <c r="C12" s="25">
        <f>Table1346811121415161718192022253033343536[[#This Row],[PMI]]-B11</f>
        <v/>
      </c>
    </row>
    <row r="13">
      <c r="A13" s="10" t="n">
        <v>40664</v>
      </c>
      <c r="B13" s="25" t="n">
        <v>52.6</v>
      </c>
      <c r="C13" s="25">
        <f>Table1346811121415161718192022253033343536[[#This Row],[PMI]]-B12</f>
        <v/>
      </c>
    </row>
    <row r="14">
      <c r="A14" s="10" t="n">
        <v>40695</v>
      </c>
      <c r="B14" s="25" t="n">
        <v>51.2</v>
      </c>
      <c r="C14" s="25">
        <f>Table1346811121415161718192022253033343536[[#This Row],[PMI]]-B13</f>
        <v/>
      </c>
    </row>
    <row r="15">
      <c r="A15" s="10" t="n">
        <v>40725</v>
      </c>
      <c r="B15" s="25" t="n">
        <v>52.9</v>
      </c>
      <c r="C15" s="25">
        <f>Table1346811121415161718192022253033343536[[#This Row],[PMI]]-B14</f>
        <v/>
      </c>
    </row>
    <row r="16">
      <c r="A16" s="10" t="n">
        <v>40756</v>
      </c>
      <c r="B16" s="25" t="n">
        <v>51.8</v>
      </c>
      <c r="C16" s="25">
        <f>Table1346811121415161718192022253033343536[[#This Row],[PMI]]-B15</f>
        <v/>
      </c>
    </row>
    <row r="17">
      <c r="A17" s="10" t="n">
        <v>40787</v>
      </c>
      <c r="B17" s="25" t="n">
        <v>50.2</v>
      </c>
      <c r="C17" s="25">
        <f>Table1346811121415161718192022253033343536[[#This Row],[PMI]]-B16</f>
        <v/>
      </c>
    </row>
    <row r="18">
      <c r="A18" s="10" t="n">
        <v>40817</v>
      </c>
      <c r="B18" s="25" t="n">
        <v>51.7</v>
      </c>
      <c r="C18" s="25">
        <f>Table1346811121415161718192022253033343536[[#This Row],[PMI]]-B17</f>
        <v/>
      </c>
    </row>
    <row r="19">
      <c r="A19" s="10" t="n">
        <v>40848</v>
      </c>
      <c r="B19" s="25" t="n">
        <v>49.5</v>
      </c>
      <c r="C19" s="25">
        <f>Table1346811121415161718192022253033343536[[#This Row],[PMI]]-B18</f>
        <v/>
      </c>
    </row>
    <row r="20">
      <c r="A20" s="10" t="n">
        <v>40878</v>
      </c>
      <c r="B20" s="25" t="n">
        <v>48.8</v>
      </c>
      <c r="C20" s="25">
        <f>Table1346811121415161718192022253033343536[[#This Row],[PMI]]-B19</f>
        <v/>
      </c>
    </row>
    <row r="21">
      <c r="A21" s="10" t="n">
        <v>40909</v>
      </c>
      <c r="B21" s="25" t="n">
        <v>52.2</v>
      </c>
      <c r="C21" s="25">
        <f>Table1346811121415161718192022253033343536[[#This Row],[PMI]]-B20</f>
        <v/>
      </c>
    </row>
    <row r="22">
      <c r="A22" s="10" t="n">
        <v>40940</v>
      </c>
      <c r="B22" s="25" t="n">
        <v>50</v>
      </c>
      <c r="C22" s="25">
        <f>Table1346811121415161718192022253033343536[[#This Row],[PMI]]-B21</f>
        <v/>
      </c>
    </row>
    <row r="23">
      <c r="A23" s="10" t="n">
        <v>40969</v>
      </c>
      <c r="B23" s="25" t="n">
        <v>50.1</v>
      </c>
      <c r="C23" s="25">
        <f>Table1346811121415161718192022253033343536[[#This Row],[PMI]]-B22</f>
        <v/>
      </c>
    </row>
    <row r="24">
      <c r="A24" s="10" t="n">
        <v>41000</v>
      </c>
      <c r="B24" s="25" t="n">
        <v>49.2</v>
      </c>
      <c r="C24" s="25">
        <f>Table1346811121415161718192022253033343536[[#This Row],[PMI]]-B23</f>
        <v/>
      </c>
    </row>
    <row r="25">
      <c r="A25" s="10" t="n">
        <v>41030</v>
      </c>
      <c r="B25" s="25" t="n">
        <v>48.9</v>
      </c>
      <c r="C25" s="25">
        <f>Table1346811121415161718192022253033343536[[#This Row],[PMI]]-B24</f>
        <v/>
      </c>
    </row>
    <row r="26">
      <c r="A26" s="10" t="n">
        <v>41061</v>
      </c>
      <c r="B26" s="25" t="n">
        <v>48</v>
      </c>
      <c r="C26" s="25">
        <f>Table1346811121415161718192022253033343536[[#This Row],[PMI]]-B25</f>
        <v/>
      </c>
    </row>
    <row r="27">
      <c r="A27" s="10" t="n">
        <v>41091</v>
      </c>
      <c r="B27" s="25" t="n">
        <v>49.7</v>
      </c>
      <c r="C27" s="25">
        <f>Table1346811121415161718192022253033343536[[#This Row],[PMI]]-B26</f>
        <v/>
      </c>
    </row>
    <row r="28">
      <c r="A28" s="10" t="n">
        <v>41122</v>
      </c>
      <c r="B28" s="25" t="n">
        <v>48.3</v>
      </c>
      <c r="C28" s="25">
        <f>Table1346811121415161718192022253033343536[[#This Row],[PMI]]-B27</f>
        <v/>
      </c>
    </row>
    <row r="29">
      <c r="A29" s="10" t="n">
        <v>41153</v>
      </c>
      <c r="B29" s="25" t="n">
        <v>47</v>
      </c>
      <c r="C29" s="25">
        <f>Table1346811121415161718192022253033343536[[#This Row],[PMI]]-B28</f>
        <v/>
      </c>
    </row>
    <row r="30">
      <c r="A30" s="10" t="n">
        <v>41183</v>
      </c>
      <c r="B30" s="25" t="n">
        <v>47.3</v>
      </c>
      <c r="C30" s="25">
        <f>Table1346811121415161718192022253033343536[[#This Row],[PMI]]-B29</f>
        <v/>
      </c>
    </row>
    <row r="31">
      <c r="A31" s="10" t="n">
        <v>41214</v>
      </c>
      <c r="B31" s="25" t="n">
        <v>48.2</v>
      </c>
      <c r="C31" s="25">
        <f>Table1346811121415161718192022253033343536[[#This Row],[PMI]]-B30</f>
        <v/>
      </c>
    </row>
    <row r="32">
      <c r="A32" s="10" t="n">
        <v>41244</v>
      </c>
      <c r="B32" s="25" t="n">
        <v>48.3</v>
      </c>
      <c r="C32" s="25">
        <f>Table1346811121415161718192022253033343536[[#This Row],[PMI]]-B31</f>
        <v/>
      </c>
    </row>
    <row r="33">
      <c r="A33" s="10" t="n">
        <v>41275</v>
      </c>
      <c r="B33" s="25" t="n">
        <v>48.6</v>
      </c>
      <c r="C33" s="25">
        <f>Table1346811121415161718192022253033343536[[#This Row],[PMI]]-B32</f>
        <v/>
      </c>
    </row>
    <row r="34">
      <c r="A34" s="10" t="n">
        <v>41306</v>
      </c>
      <c r="B34" s="25" t="n">
        <v>48.9</v>
      </c>
      <c r="C34" s="25">
        <f>Table1346811121415161718192022253033343536[[#This Row],[PMI]]-B33</f>
        <v/>
      </c>
    </row>
    <row r="35">
      <c r="A35" s="10" t="n">
        <v>41334</v>
      </c>
      <c r="B35" s="25" t="n">
        <v>48</v>
      </c>
      <c r="C35" s="25">
        <f>Table1346811121415161718192022253033343536[[#This Row],[PMI]]-B34</f>
        <v/>
      </c>
    </row>
    <row r="36">
      <c r="A36" s="10" t="n">
        <v>41365</v>
      </c>
      <c r="B36" s="25" t="n">
        <v>48</v>
      </c>
      <c r="C36" s="25">
        <f>Table1346811121415161718192022253033343536[[#This Row],[PMI]]-B35</f>
        <v/>
      </c>
    </row>
    <row r="37">
      <c r="A37" s="10" t="n">
        <v>41395</v>
      </c>
      <c r="B37" s="25" t="n">
        <v>46.9</v>
      </c>
      <c r="C37" s="25">
        <f>Table1346811121415161718192022253033343536[[#This Row],[PMI]]-B36</f>
        <v/>
      </c>
    </row>
    <row r="38">
      <c r="A38" s="10" t="n">
        <v>41426</v>
      </c>
      <c r="B38" s="25" t="n">
        <v>48</v>
      </c>
      <c r="C38" s="25">
        <f>Table1346811121415161718192022253033343536[[#This Row],[PMI]]-B37</f>
        <v/>
      </c>
    </row>
    <row r="39">
      <c r="A39" s="10" t="n">
        <v>41456</v>
      </c>
      <c r="B39" s="25" t="n">
        <v>49.3</v>
      </c>
      <c r="C39" s="25">
        <f>Table1346811121415161718192022253033343536[[#This Row],[PMI]]-B38</f>
        <v/>
      </c>
    </row>
    <row r="40">
      <c r="A40" s="10" t="n">
        <v>41487</v>
      </c>
      <c r="B40" s="25" t="n">
        <v>51.1</v>
      </c>
      <c r="C40" s="25">
        <f>Table1346811121415161718192022253033343536[[#This Row],[PMI]]-B39</f>
        <v/>
      </c>
    </row>
    <row r="41">
      <c r="A41" s="10" t="n">
        <v>41518</v>
      </c>
      <c r="B41" s="25" t="n">
        <v>52.6</v>
      </c>
      <c r="C41" s="25">
        <f>Table1346811121415161718192022253033343536[[#This Row],[PMI]]-B40</f>
        <v/>
      </c>
    </row>
    <row r="42">
      <c r="A42" s="10" t="n">
        <v>41548</v>
      </c>
      <c r="B42" s="25" t="n">
        <v>53.4</v>
      </c>
      <c r="C42" s="25">
        <f>Table1346811121415161718192022253033343536[[#This Row],[PMI]]-B41</f>
        <v/>
      </c>
    </row>
    <row r="43">
      <c r="A43" s="10" t="n">
        <v>41579</v>
      </c>
      <c r="B43" s="25" t="n">
        <v>54.4</v>
      </c>
      <c r="C43" s="25">
        <f>Table1346811121415161718192022253033343536[[#This Row],[PMI]]-B42</f>
        <v/>
      </c>
    </row>
    <row r="44">
      <c r="A44" s="10" t="n">
        <v>41609</v>
      </c>
      <c r="B44" s="25" t="n">
        <v>53.2</v>
      </c>
      <c r="C44" s="25">
        <f>Table1346811121415161718192022253033343536[[#This Row],[PMI]]-B43</f>
        <v/>
      </c>
    </row>
    <row r="45">
      <c r="A45" s="10" t="n">
        <v>41640</v>
      </c>
      <c r="B45" s="25" t="n">
        <v>55.4</v>
      </c>
      <c r="C45" s="25">
        <f>Table1346811121415161718192022253033343536[[#This Row],[PMI]]-B44</f>
        <v/>
      </c>
    </row>
    <row r="46">
      <c r="A46" s="10" t="n">
        <v>41671</v>
      </c>
      <c r="B46" s="25" t="n">
        <v>55.9</v>
      </c>
      <c r="C46" s="25">
        <f>Table1346811121415161718192022253033343536[[#This Row],[PMI]]-B45</f>
        <v/>
      </c>
    </row>
    <row r="47">
      <c r="A47" s="10" t="n">
        <v>41699</v>
      </c>
      <c r="B47" s="25" t="n">
        <v>54</v>
      </c>
      <c r="C47" s="25">
        <f>Table1346811121415161718192022253033343536[[#This Row],[PMI]]-B46</f>
        <v/>
      </c>
    </row>
    <row r="48">
      <c r="A48" s="10" t="n">
        <v>41730</v>
      </c>
      <c r="B48" s="25" t="n">
        <v>51.1</v>
      </c>
      <c r="C48" s="25">
        <f>Table1346811121415161718192022253033343536[[#This Row],[PMI]]-B47</f>
        <v/>
      </c>
    </row>
    <row r="49">
      <c r="A49" s="10" t="n">
        <v>41760</v>
      </c>
      <c r="B49" s="25" t="n">
        <v>50.8</v>
      </c>
      <c r="C49" s="25">
        <f>Table1346811121415161718192022253033343536[[#This Row],[PMI]]-B48</f>
        <v/>
      </c>
    </row>
    <row r="50">
      <c r="A50" s="10" t="n">
        <v>41791</v>
      </c>
      <c r="B50" s="25" t="n">
        <v>50.3</v>
      </c>
      <c r="C50" s="25">
        <f>Table1346811121415161718192022253033343536[[#This Row],[PMI]]-B49</f>
        <v/>
      </c>
    </row>
    <row r="51">
      <c r="A51" s="10" t="n">
        <v>41821</v>
      </c>
      <c r="B51" s="25" t="n">
        <v>49.4</v>
      </c>
      <c r="C51" s="25">
        <f>Table1346811121415161718192022253033343536[[#This Row],[PMI]]-B50</f>
        <v/>
      </c>
    </row>
    <row r="52">
      <c r="A52" s="10" t="n">
        <v>41852</v>
      </c>
      <c r="B52" s="25" t="n">
        <v>49</v>
      </c>
      <c r="C52" s="25">
        <f>Table1346811121415161718192022253033343536[[#This Row],[PMI]]-B51</f>
        <v/>
      </c>
    </row>
    <row r="53">
      <c r="A53" s="10" t="n">
        <v>41883</v>
      </c>
      <c r="B53" s="25" t="n">
        <v>49.5</v>
      </c>
      <c r="C53" s="25">
        <f>Table1346811121415161718192022253033343536[[#This Row],[PMI]]-B52</f>
        <v/>
      </c>
    </row>
    <row r="54">
      <c r="A54" s="10" t="n">
        <v>41913</v>
      </c>
      <c r="B54" s="25" t="n">
        <v>51.2</v>
      </c>
      <c r="C54" s="25">
        <f>Table1346811121415161718192022253033343536[[#This Row],[PMI]]-B53</f>
        <v/>
      </c>
    </row>
    <row r="55">
      <c r="A55" s="10" t="n">
        <v>41944</v>
      </c>
      <c r="B55" s="25" t="n">
        <v>53.2</v>
      </c>
      <c r="C55" s="25">
        <f>Table1346811121415161718192022253033343536[[#This Row],[PMI]]-B54</f>
        <v/>
      </c>
    </row>
    <row r="56">
      <c r="A56" s="10" t="n">
        <v>41974</v>
      </c>
      <c r="B56" s="25" t="n">
        <v>52.8</v>
      </c>
      <c r="C56" s="25">
        <f>Table1346811121415161718192022253033343536[[#This Row],[PMI]]-B55</f>
        <v/>
      </c>
    </row>
    <row r="57">
      <c r="A57" s="10" t="n">
        <v>42005</v>
      </c>
      <c r="B57" s="25" t="n">
        <v>55.2</v>
      </c>
      <c r="C57" s="25">
        <f>Table1346811121415161718192022253033343536[[#This Row],[PMI]]-B56</f>
        <v/>
      </c>
    </row>
    <row r="58">
      <c r="A58" s="10" t="n">
        <v>42036</v>
      </c>
      <c r="B58" s="25" t="n">
        <v>55.1</v>
      </c>
      <c r="C58" s="25">
        <f>Table1346811121415161718192022253033343536[[#This Row],[PMI]]-B57</f>
        <v/>
      </c>
    </row>
    <row r="59">
      <c r="A59" s="10" t="n">
        <v>42064</v>
      </c>
      <c r="B59" s="25" t="n">
        <v>54.8</v>
      </c>
      <c r="C59" s="25">
        <f>Table1346811121415161718192022253033343536[[#This Row],[PMI]]-B58</f>
        <v/>
      </c>
    </row>
    <row r="60">
      <c r="A60" s="10" t="n">
        <v>42095</v>
      </c>
      <c r="B60" s="25" t="n">
        <v>54</v>
      </c>
      <c r="C60" s="25">
        <f>Table1346811121415161718192022253033343536[[#This Row],[PMI]]-B59</f>
        <v/>
      </c>
    </row>
    <row r="61">
      <c r="A61" s="10" t="n">
        <v>42125</v>
      </c>
      <c r="B61" s="25" t="n">
        <v>52.4</v>
      </c>
      <c r="C61" s="25">
        <f>Table1346811121415161718192022253033343536[[#This Row],[PMI]]-B60</f>
        <v/>
      </c>
    </row>
    <row r="62">
      <c r="A62" s="10" t="n">
        <v>42156</v>
      </c>
      <c r="B62" s="25" t="n">
        <v>54.3</v>
      </c>
      <c r="C62" s="25">
        <f>Table1346811121415161718192022253033343536[[#This Row],[PMI]]-B61</f>
        <v/>
      </c>
    </row>
    <row r="63">
      <c r="A63" s="10" t="n">
        <v>42186</v>
      </c>
      <c r="B63" s="25" t="n">
        <v>54.5</v>
      </c>
      <c r="C63" s="25">
        <f>Table1346811121415161718192022253033343536[[#This Row],[PMI]]-B62</f>
        <v/>
      </c>
    </row>
    <row r="64">
      <c r="A64" s="10" t="n">
        <v>42217</v>
      </c>
      <c r="B64" s="25" t="n">
        <v>51.1</v>
      </c>
      <c r="C64" s="25">
        <f>Table1346811121415161718192022253033343536[[#This Row],[PMI]]-B63</f>
        <v/>
      </c>
    </row>
    <row r="65">
      <c r="A65" s="10" t="n">
        <v>42248</v>
      </c>
      <c r="B65" s="25" t="n">
        <v>50.9</v>
      </c>
      <c r="C65" s="25">
        <f>Table1346811121415161718192022253033343536[[#This Row],[PMI]]-B64</f>
        <v/>
      </c>
    </row>
    <row r="66">
      <c r="A66" s="10" t="n">
        <v>42278</v>
      </c>
      <c r="B66" s="25" t="n">
        <v>52.2</v>
      </c>
      <c r="C66" s="25">
        <f>Table1346811121415161718192022253033343536[[#This Row],[PMI]]-B65</f>
        <v/>
      </c>
    </row>
    <row r="67">
      <c r="A67" s="10" t="n">
        <v>42309</v>
      </c>
      <c r="B67" s="25" t="n">
        <v>52.1</v>
      </c>
      <c r="C67" s="25">
        <f>Table1346811121415161718192022253033343536[[#This Row],[PMI]]-B66</f>
        <v/>
      </c>
    </row>
    <row r="68">
      <c r="A68" s="10" t="n">
        <v>42339</v>
      </c>
      <c r="B68" s="25" t="n">
        <v>52.1</v>
      </c>
      <c r="C68" s="25">
        <f>Table1346811121415161718192022253033343536[[#This Row],[PMI]]-B67</f>
        <v/>
      </c>
    </row>
    <row r="69">
      <c r="A69" s="10" t="n">
        <v>42370</v>
      </c>
      <c r="B69" s="25" t="n">
        <v>50.9</v>
      </c>
      <c r="C69" s="25">
        <f>Table1346811121415161718192022253033343536[[#This Row],[PMI]]-B68</f>
        <v/>
      </c>
    </row>
    <row r="70">
      <c r="A70" s="10" t="n">
        <v>42401</v>
      </c>
      <c r="B70" s="25" t="n">
        <v>52.8</v>
      </c>
      <c r="C70" s="25">
        <f>Table1346811121415161718192022253033343536[[#This Row],[PMI]]-B69</f>
        <v/>
      </c>
    </row>
    <row r="71">
      <c r="A71" s="10" t="n">
        <v>42430</v>
      </c>
      <c r="B71" s="25" t="n">
        <v>53.8</v>
      </c>
      <c r="C71" s="25">
        <f>Table1346811121415161718192022253033343536[[#This Row],[PMI]]-B70</f>
        <v/>
      </c>
    </row>
    <row r="72">
      <c r="A72" s="10" t="n">
        <v>42461</v>
      </c>
      <c r="B72" s="25" t="n">
        <v>51</v>
      </c>
      <c r="C72" s="25">
        <f>Table1346811121415161718192022253033343536[[#This Row],[PMI]]-B71</f>
        <v/>
      </c>
    </row>
    <row r="73">
      <c r="A73" s="10" t="n">
        <v>42491</v>
      </c>
      <c r="B73" s="25" t="n">
        <v>52.1</v>
      </c>
      <c r="C73" s="25">
        <f>Table1346811121415161718192022253033343536[[#This Row],[PMI]]-B72</f>
        <v/>
      </c>
    </row>
    <row r="74">
      <c r="A74" s="10" t="n">
        <v>42522</v>
      </c>
      <c r="B74" s="25" t="n">
        <v>51.8</v>
      </c>
      <c r="C74" s="25">
        <f>Table1346811121415161718192022253033343536[[#This Row],[PMI]]-B73</f>
        <v/>
      </c>
    </row>
    <row r="75">
      <c r="A75" s="10" t="n">
        <v>42552</v>
      </c>
      <c r="B75" s="25" t="n">
        <v>50.3</v>
      </c>
      <c r="C75" s="25">
        <f>Table1346811121415161718192022253033343536[[#This Row],[PMI]]-B74</f>
        <v/>
      </c>
    </row>
    <row r="76">
      <c r="A76" s="10" t="n">
        <v>42583</v>
      </c>
      <c r="B76" s="25" t="n">
        <v>51.5</v>
      </c>
      <c r="C76" s="25">
        <f>Table1346811121415161718192022253033343536[[#This Row],[PMI]]-B75</f>
        <v/>
      </c>
    </row>
    <row r="77">
      <c r="A77" s="10" t="n">
        <v>42614</v>
      </c>
      <c r="B77" s="25" t="n">
        <v>52.2</v>
      </c>
      <c r="C77" s="25">
        <f>Table1346811121415161718192022253033343536[[#This Row],[PMI]]-B76</f>
        <v/>
      </c>
    </row>
    <row r="78">
      <c r="A78" s="10" t="n">
        <v>42644</v>
      </c>
      <c r="B78" s="25" t="n">
        <v>50.2</v>
      </c>
      <c r="C78" s="25">
        <f>Table1346811121415161718192022253033343536[[#This Row],[PMI]]-B77</f>
        <v/>
      </c>
    </row>
    <row r="79">
      <c r="A79" s="10" t="n">
        <v>42675</v>
      </c>
      <c r="B79" s="25" t="n">
        <v>51.9</v>
      </c>
      <c r="C79" s="25">
        <f>Table1346811121415161718192022253033343536[[#This Row],[PMI]]-B78</f>
        <v/>
      </c>
    </row>
    <row r="80">
      <c r="A80" s="10" t="n">
        <v>42705</v>
      </c>
      <c r="B80" s="25" t="n">
        <v>54.3</v>
      </c>
      <c r="C80" s="25">
        <f>Table1346811121415161718192022253033343536[[#This Row],[PMI]]-B79</f>
        <v/>
      </c>
    </row>
    <row r="81">
      <c r="A81" s="10" t="n">
        <v>42736</v>
      </c>
      <c r="B81" s="25" t="n">
        <v>54.8</v>
      </c>
      <c r="C81" s="25">
        <f>Table1346811121415161718192022253033343536[[#This Row],[PMI]]-B80</f>
        <v/>
      </c>
    </row>
    <row r="82">
      <c r="A82" s="10" t="n">
        <v>42767</v>
      </c>
      <c r="B82" s="25" t="n">
        <v>54.2</v>
      </c>
      <c r="C82" s="25">
        <f>Table1346811121415161718192022253033343536[[#This Row],[PMI]]-B81</f>
        <v/>
      </c>
    </row>
    <row r="83">
      <c r="A83" s="10" t="n">
        <v>42795</v>
      </c>
      <c r="B83" s="25" t="n">
        <v>53.5</v>
      </c>
      <c r="C83" s="25">
        <f>Table1346811121415161718192022253033343536[[#This Row],[PMI]]-B82</f>
        <v/>
      </c>
    </row>
    <row r="84">
      <c r="A84" s="10" t="n">
        <v>42826</v>
      </c>
      <c r="B84" s="25" t="n">
        <v>54.1</v>
      </c>
      <c r="C84" s="25">
        <f>Table1346811121415161718192022253033343536[[#This Row],[PMI]]-B83</f>
        <v/>
      </c>
    </row>
    <row r="85">
      <c r="A85" s="10" t="n">
        <v>42856</v>
      </c>
      <c r="B85" s="25" t="n">
        <v>52.7</v>
      </c>
      <c r="C85" s="25">
        <f>Table1346811121415161718192022253033343536[[#This Row],[PMI]]-B84</f>
        <v/>
      </c>
    </row>
    <row r="86">
      <c r="A86" s="10" t="n">
        <v>42887</v>
      </c>
      <c r="B86" s="25" t="n">
        <v>53.1</v>
      </c>
      <c r="C86" s="25">
        <f>Table1346811121415161718192022253033343536[[#This Row],[PMI]]-B85</f>
        <v/>
      </c>
    </row>
    <row r="87">
      <c r="A87" s="10" t="n">
        <v>42917</v>
      </c>
      <c r="B87" s="25" t="n">
        <v>52.3</v>
      </c>
      <c r="C87" s="25">
        <f>Table1346811121415161718192022253033343536[[#This Row],[PMI]]-B86</f>
        <v/>
      </c>
    </row>
    <row r="88">
      <c r="A88" s="10" t="n">
        <v>42948</v>
      </c>
      <c r="B88" s="25" t="n">
        <v>52.5</v>
      </c>
      <c r="C88" s="25">
        <f>Table1346811121415161718192022253033343536[[#This Row],[PMI]]-B87</f>
        <v/>
      </c>
    </row>
    <row r="89">
      <c r="A89" s="10" t="n">
        <v>42979</v>
      </c>
      <c r="B89" s="25" t="n">
        <v>53.7</v>
      </c>
      <c r="C89" s="25">
        <f>Table1346811121415161718192022253033343536[[#This Row],[PMI]]-B88</f>
        <v/>
      </c>
    </row>
    <row r="90">
      <c r="A90" s="10" t="n">
        <v>43009</v>
      </c>
      <c r="B90" s="25" t="n">
        <v>53.4</v>
      </c>
      <c r="C90" s="25">
        <f>Table1346811121415161718192022253033343536[[#This Row],[PMI]]-B89</f>
        <v/>
      </c>
    </row>
    <row r="91">
      <c r="A91" s="10" t="n">
        <v>43040</v>
      </c>
      <c r="B91" s="25" t="n">
        <v>54.2</v>
      </c>
      <c r="C91" s="25">
        <f>Table1346811121415161718192022253033343536[[#This Row],[PMI]]-B90</f>
        <v/>
      </c>
    </row>
    <row r="92">
      <c r="A92" s="10" t="n">
        <v>43070</v>
      </c>
      <c r="B92" s="25" t="n">
        <v>55</v>
      </c>
      <c r="C92" s="25">
        <f>Table1346811121415161718192022253033343536[[#This Row],[PMI]]-B91</f>
        <v/>
      </c>
    </row>
    <row r="93">
      <c r="A93" s="10" t="n">
        <v>43101</v>
      </c>
      <c r="B93" s="25" t="n">
        <v>54.6</v>
      </c>
      <c r="C93" s="25">
        <f>Table1346811121415161718192022253033343536[[#This Row],[PMI]]-B92</f>
        <v/>
      </c>
    </row>
    <row r="94">
      <c r="A94" s="10" t="n">
        <v>43132</v>
      </c>
      <c r="B94" s="25" t="n">
        <v>53.7</v>
      </c>
      <c r="C94" s="25">
        <f>Table1346811121415161718192022253033343536[[#This Row],[PMI]]-B93</f>
        <v/>
      </c>
    </row>
    <row r="95">
      <c r="A95" s="10" t="n">
        <v>43160</v>
      </c>
      <c r="B95" s="25" t="n">
        <v>53.7</v>
      </c>
      <c r="C95" s="25">
        <f>Table1346811121415161718192022253033343536[[#This Row],[PMI]]-B94</f>
        <v/>
      </c>
    </row>
    <row r="96">
      <c r="A96" s="10" t="n">
        <v>43191</v>
      </c>
      <c r="B96" s="25" t="n">
        <v>53.9</v>
      </c>
      <c r="C96" s="25">
        <f>Table1346811121415161718192022253033343536[[#This Row],[PMI]]-B95</f>
        <v/>
      </c>
    </row>
    <row r="97">
      <c r="A97" s="10" t="n">
        <v>43221</v>
      </c>
      <c r="B97" s="25" t="n">
        <v>53.3</v>
      </c>
      <c r="C97" s="25">
        <f>Table1346811121415161718192022253033343536[[#This Row],[PMI]]-B96</f>
        <v/>
      </c>
    </row>
    <row r="98">
      <c r="A98" s="10" t="n">
        <v>43252</v>
      </c>
      <c r="B98" s="25" t="n">
        <v>54.2</v>
      </c>
      <c r="C98" s="25">
        <f>Table1346811121415161718192022253033343536[[#This Row],[PMI]]-B97</f>
        <v/>
      </c>
    </row>
    <row r="99">
      <c r="A99" s="10" t="n">
        <v>43282</v>
      </c>
      <c r="B99" s="25" t="n">
        <v>52.9</v>
      </c>
      <c r="C99" s="25">
        <f>Table1346811121415161718192022253033343536[[#This Row],[PMI]]-B98</f>
        <v/>
      </c>
    </row>
    <row r="100">
      <c r="A100" s="10" t="n">
        <v>43313</v>
      </c>
      <c r="B100" s="25" t="n">
        <v>51.4</v>
      </c>
      <c r="C100" s="25">
        <f>Table1346811121415161718192022253033343536[[#This Row],[PMI]]-B99</f>
        <v/>
      </c>
    </row>
    <row r="101">
      <c r="A101" s="10" t="n">
        <v>43344</v>
      </c>
      <c r="B101" s="25" t="n">
        <v>50.5</v>
      </c>
      <c r="C101" s="25">
        <f>Table1346811121415161718192022253033343536[[#This Row],[PMI]]-B100</f>
        <v/>
      </c>
    </row>
    <row r="102">
      <c r="A102" s="10" t="n">
        <v>43374</v>
      </c>
      <c r="B102" s="25" t="n">
        <v>50.4</v>
      </c>
      <c r="C102" s="25">
        <f>Table1346811121415161718192022253033343536[[#This Row],[PMI]]-B101</f>
        <v/>
      </c>
    </row>
    <row r="103">
      <c r="A103" s="10" t="n">
        <v>43405</v>
      </c>
      <c r="B103" s="25" t="n">
        <v>49.5</v>
      </c>
      <c r="C103" s="25">
        <f>Table1346811121415161718192022253033343536[[#This Row],[PMI]]-B102</f>
        <v/>
      </c>
    </row>
    <row r="104">
      <c r="A104" s="10" t="n">
        <v>43435</v>
      </c>
      <c r="B104" s="25" t="n">
        <v>47.6</v>
      </c>
      <c r="C104" s="25">
        <f>Table1346811121415161718192022253033343536[[#This Row],[PMI]]-B103</f>
        <v/>
      </c>
    </row>
    <row r="105">
      <c r="A105" s="10" t="n">
        <v>43466</v>
      </c>
      <c r="B105" s="25" t="n">
        <v>48.2</v>
      </c>
      <c r="C105" s="25">
        <f>Table1346811121415161718192022253033343536[[#This Row],[PMI]]-B104</f>
        <v/>
      </c>
    </row>
    <row r="106">
      <c r="A106" s="10" t="n">
        <v>43497</v>
      </c>
      <c r="B106" s="25" t="n">
        <v>47.6</v>
      </c>
      <c r="C106" s="25">
        <f>Table1346811121415161718192022253033343536[[#This Row],[PMI]]-B105</f>
        <v/>
      </c>
    </row>
    <row r="107">
      <c r="A107" s="10" t="n">
        <v>43525</v>
      </c>
      <c r="B107" s="25" t="n">
        <v>48.7</v>
      </c>
      <c r="C107" s="25">
        <f>Table1346811121415161718192022253033343536[[#This Row],[PMI]]-B106</f>
        <v/>
      </c>
    </row>
    <row r="108">
      <c r="A108" s="10" t="n">
        <v>43556</v>
      </c>
      <c r="B108" s="25" t="n">
        <v>49</v>
      </c>
      <c r="C108" s="25">
        <f>Table1346811121415161718192022253033343536[[#This Row],[PMI]]-B107</f>
        <v/>
      </c>
    </row>
    <row r="109">
      <c r="A109" s="10" t="n">
        <v>43586</v>
      </c>
      <c r="B109" s="25" t="n">
        <v>48.8</v>
      </c>
      <c r="C109" s="25">
        <f>Table1346811121415161718192022253033343536[[#This Row],[PMI]]-B108</f>
        <v/>
      </c>
    </row>
    <row r="110">
      <c r="A110" s="10" t="n">
        <v>43617</v>
      </c>
      <c r="B110" s="25" t="n">
        <v>48.4</v>
      </c>
      <c r="C110" s="25">
        <f>Table1346811121415161718192022253033343536[[#This Row],[PMI]]-B109</f>
        <v/>
      </c>
    </row>
    <row r="111">
      <c r="A111" s="10" t="n">
        <v>43647</v>
      </c>
      <c r="B111" s="25" t="n">
        <v>47.4</v>
      </c>
      <c r="C111" s="25">
        <f>Table1346811121415161718192022253033343536[[#This Row],[PMI]]-B110</f>
        <v/>
      </c>
    </row>
    <row r="112">
      <c r="A112" s="10" t="n">
        <v>43678</v>
      </c>
      <c r="B112" s="25" t="n">
        <v>48.8</v>
      </c>
      <c r="C112" s="25">
        <f>Table1346811121415161718192022253033343536[[#This Row],[PMI]]-B111</f>
        <v/>
      </c>
    </row>
    <row r="113">
      <c r="A113" s="10" t="n">
        <v>43709</v>
      </c>
      <c r="B113" s="25" t="n">
        <v>47.8</v>
      </c>
      <c r="C113" s="25">
        <f>Table1346811121415161718192022253033343536[[#This Row],[PMI]]-B112</f>
        <v/>
      </c>
    </row>
    <row r="114">
      <c r="A114" s="10" t="n">
        <v>43739</v>
      </c>
      <c r="B114" s="25" t="n">
        <v>45.6</v>
      </c>
      <c r="C114" s="25">
        <f>Table1346811121415161718192022253033343536[[#This Row],[PMI]]-B113</f>
        <v/>
      </c>
    </row>
    <row r="115">
      <c r="A115" s="10" t="n">
        <v>43770</v>
      </c>
      <c r="B115" s="25" t="n">
        <v>46.7</v>
      </c>
      <c r="C115" s="25">
        <f>Table1346811121415161718192022253033343536[[#This Row],[PMI]]-B114</f>
        <v/>
      </c>
    </row>
    <row r="116">
      <c r="A116" s="10" t="n">
        <v>43800</v>
      </c>
      <c r="B116" s="25" t="n">
        <v>48</v>
      </c>
      <c r="C116" s="25">
        <f>Table1346811121415161718192022253033343536[[#This Row],[PMI]]-B115</f>
        <v/>
      </c>
    </row>
    <row r="117">
      <c r="A117" s="10" t="n">
        <v>43831</v>
      </c>
      <c r="B117" s="25" t="n">
        <v>47.4</v>
      </c>
      <c r="C117" s="25">
        <f>Table1346811121415161718192022253033343536[[#This Row],[PMI]]-B116</f>
        <v/>
      </c>
    </row>
    <row r="118">
      <c r="A118" s="10" t="n">
        <v>43862</v>
      </c>
      <c r="B118" s="25" t="n">
        <v>48.2</v>
      </c>
      <c r="C118" s="25">
        <f>Table1346811121415161718192022253033343536[[#This Row],[PMI]]-B117</f>
        <v/>
      </c>
    </row>
    <row r="119">
      <c r="A119" s="10" t="n">
        <v>43891</v>
      </c>
      <c r="B119" s="25" t="n">
        <v>42.4</v>
      </c>
      <c r="C119" s="25">
        <f>Table1346811121415161718192022253033343536[[#This Row],[PMI]]-B118</f>
        <v/>
      </c>
    </row>
    <row r="120">
      <c r="A120" s="10" t="n">
        <v>43922</v>
      </c>
      <c r="B120" s="25" t="n">
        <v>31.9</v>
      </c>
      <c r="C120" s="25">
        <f>Table1346811121415161718192022253033343536[[#This Row],[PMI]]-B119</f>
        <v/>
      </c>
    </row>
    <row r="121">
      <c r="A121" s="10" t="n">
        <v>43952</v>
      </c>
      <c r="B121" s="25" t="n">
        <v>40.6</v>
      </c>
      <c r="C121" s="25">
        <f>Table1346811121415161718192022253033343536[[#This Row],[PMI]]-B120</f>
        <v/>
      </c>
    </row>
    <row r="122">
      <c r="A122" s="10" t="n">
        <v>43983</v>
      </c>
      <c r="B122" s="25" t="n">
        <v>47.2</v>
      </c>
      <c r="C122" s="25">
        <f>Table1346811121415161718192022253033343536[[#This Row],[PMI]]-B121</f>
        <v/>
      </c>
    </row>
    <row r="123">
      <c r="A123" s="10" t="n">
        <v>44013</v>
      </c>
      <c r="B123" s="25" t="n">
        <v>52.8</v>
      </c>
      <c r="C123" s="25">
        <f>Table1346811121415161718192022253033343536[[#This Row],[PMI]]-B122</f>
        <v/>
      </c>
    </row>
    <row r="124">
      <c r="A124" s="10" t="n">
        <v>44044</v>
      </c>
      <c r="B124" s="25" t="n">
        <v>50.6</v>
      </c>
      <c r="C124" s="25">
        <f>Table1346811121415161718192022253033343536[[#This Row],[PMI]]-B123</f>
        <v/>
      </c>
    </row>
    <row r="125">
      <c r="A125" s="10" t="n">
        <v>44075</v>
      </c>
      <c r="B125" s="25" t="n">
        <v>50.8</v>
      </c>
      <c r="C125" s="25">
        <f>Table1346811121415161718192022253033343536[[#This Row],[PMI]]-B124</f>
        <v/>
      </c>
    </row>
    <row r="126">
      <c r="A126" s="10" t="n">
        <v>44105</v>
      </c>
      <c r="B126" s="25" t="n">
        <v>50.8</v>
      </c>
      <c r="C126" s="25">
        <f>Table1346811121415161718192022253033343536[[#This Row],[PMI]]-B125</f>
        <v/>
      </c>
    </row>
    <row r="127">
      <c r="A127" s="10" t="n">
        <v>44136</v>
      </c>
      <c r="B127" s="25" t="n">
        <v>50.8</v>
      </c>
      <c r="C127" s="25">
        <f>Table1346811121415161718192022253033343536[[#This Row],[PMI]]-B126</f>
        <v/>
      </c>
    </row>
    <row r="128">
      <c r="A128" s="10" t="n">
        <v>44166</v>
      </c>
      <c r="B128" s="25" t="n">
        <v>51.7</v>
      </c>
      <c r="C128" s="25">
        <f>Table1346811121415161718192022253033343536[[#This Row],[PMI]]-B127</f>
        <v/>
      </c>
    </row>
    <row r="129">
      <c r="A129" s="10" t="n">
        <v>44197</v>
      </c>
      <c r="B129" s="25" t="n">
        <v>51.9</v>
      </c>
      <c r="C129" s="25">
        <f>Table1346811121415161718192022253033343536[[#This Row],[PMI]]-B128</f>
        <v/>
      </c>
    </row>
    <row r="130">
      <c r="A130" s="10" t="n">
        <v>44228</v>
      </c>
      <c r="B130" s="25" t="n">
        <v>53.4</v>
      </c>
      <c r="C130" s="25">
        <f>Table1346811121415161718192022253033343536[[#This Row],[PMI]]-B129</f>
        <v/>
      </c>
    </row>
    <row r="131">
      <c r="A131" s="10" t="n">
        <v>44256</v>
      </c>
      <c r="B131" s="25" t="n">
        <v>54.3</v>
      </c>
      <c r="C131" s="25">
        <f>Table1346811121415161718192022253033343536[[#This Row],[PMI]]-B130</f>
        <v/>
      </c>
    </row>
    <row r="132">
      <c r="A132" s="10" t="n">
        <v>44287</v>
      </c>
      <c r="B132" s="25" t="n">
        <v>53.7</v>
      </c>
      <c r="C132" s="25">
        <f>Table1346811121415161718192022253033343536[[#This Row],[PMI]]-B131</f>
        <v/>
      </c>
    </row>
    <row r="133">
      <c r="A133" s="10" t="n">
        <v>44317</v>
      </c>
      <c r="B133" s="25" t="n">
        <v>57.2</v>
      </c>
      <c r="C133" s="25">
        <f>Table1346811121415161718192022253033343536[[#This Row],[PMI]]-B132</f>
        <v/>
      </c>
    </row>
    <row r="134">
      <c r="A134" s="10" t="n">
        <v>44348</v>
      </c>
      <c r="B134" s="25" t="n">
        <v>59.4</v>
      </c>
      <c r="C134" s="25">
        <f>Table1346811121415161718192022253033343536[[#This Row],[PMI]]-B133</f>
        <v/>
      </c>
    </row>
    <row r="135">
      <c r="A135" s="10" t="n">
        <v>44378</v>
      </c>
      <c r="B135" s="25" t="n">
        <v>57.6</v>
      </c>
      <c r="C135" s="25">
        <f>Table1346811121415161718192022253033343536[[#This Row],[PMI]]-B134</f>
        <v/>
      </c>
    </row>
    <row r="136">
      <c r="A136" s="10" t="n">
        <v>44409</v>
      </c>
      <c r="B136" s="25" t="n">
        <v>56</v>
      </c>
      <c r="C136" s="25">
        <f>Table1346811121415161718192022253033343536[[#This Row],[PMI]]-B135</f>
        <v/>
      </c>
    </row>
    <row r="137">
      <c r="A137" s="10" t="n">
        <v>44440</v>
      </c>
      <c r="B137" s="25" t="n">
        <v>53.4</v>
      </c>
      <c r="C137" s="25">
        <f>Table1346811121415161718192022253033343536[[#This Row],[PMI]]-B136</f>
        <v/>
      </c>
    </row>
    <row r="138">
      <c r="A138" s="10" t="n">
        <v>44470</v>
      </c>
      <c r="B138" s="25" t="n">
        <v>53.8</v>
      </c>
      <c r="C138" s="25">
        <f>Table1346811121415161718192022253033343536[[#This Row],[PMI]]-B137</f>
        <v/>
      </c>
    </row>
    <row r="139">
      <c r="A139" s="10" t="n">
        <v>44501</v>
      </c>
      <c r="B139" s="25" t="n">
        <v>54.4</v>
      </c>
      <c r="C139" s="25">
        <f>Table1346811121415161718192022253033343536[[#This Row],[PMI]]-B138</f>
        <v/>
      </c>
    </row>
    <row r="140">
      <c r="A140" s="10" t="n">
        <v>44531</v>
      </c>
      <c r="B140" s="25" t="n">
        <v>56.1</v>
      </c>
      <c r="C140" s="25">
        <f>Table1346811121415161718192022253033343536[[#This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1"/>
  <sheetViews>
    <sheetView zoomScale="160" zoomScaleNormal="160" workbookViewId="0">
      <pane ySplit="5" topLeftCell="A303" activePane="bottomLeft" state="frozen"/>
      <selection pane="bottomLeft" activeCell="T321" sqref="T321"/>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Denmark</t>
        </is>
      </c>
      <c r="K1" s="84" t="inlineStr">
        <is>
          <t xml:space="preserve"> Manufacturing PMI</t>
        </is>
      </c>
    </row>
    <row r="2">
      <c r="A2" s="84" t="inlineStr">
        <is>
          <t>denmark</t>
        </is>
      </c>
      <c r="K2" s="84">
        <f>A1&amp;K1</f>
        <v/>
      </c>
    </row>
    <row r="4" ht="16" customHeight="1" s="76" thickBot="1"/>
    <row r="5" ht="16" customHeight="1" s="76" thickBot="1">
      <c r="A5" s="22" t="inlineStr">
        <is>
          <t>Date</t>
        </is>
      </c>
      <c r="B5" s="23" t="inlineStr">
        <is>
          <t>PMI</t>
        </is>
      </c>
      <c r="C5" s="23" t="inlineStr">
        <is>
          <t>mom</t>
        </is>
      </c>
    </row>
    <row r="6">
      <c r="A6" s="18" t="n">
        <v>34335</v>
      </c>
      <c r="B6" s="19" t="n">
        <v>62.8</v>
      </c>
      <c r="C6" s="19" t="n"/>
    </row>
    <row r="7">
      <c r="A7" s="10" t="n">
        <v>34366</v>
      </c>
      <c r="B7" s="25" t="n">
        <v>67.53</v>
      </c>
      <c r="C7" s="25">
        <f>Table13[[#This Row],[PMI]]-B6</f>
        <v/>
      </c>
    </row>
    <row r="8">
      <c r="A8" s="10" t="n">
        <v>34394</v>
      </c>
      <c r="B8" s="25" t="n">
        <v>61.89</v>
      </c>
      <c r="C8" s="25">
        <f>Table13[[#This Row],[PMI]]-B7</f>
        <v/>
      </c>
    </row>
    <row r="9">
      <c r="A9" s="10" t="n">
        <v>34425</v>
      </c>
      <c r="B9" s="25" t="n">
        <v>60.57</v>
      </c>
      <c r="C9" s="25">
        <f>Table13[[#This Row],[PMI]]-B8</f>
        <v/>
      </c>
    </row>
    <row r="10">
      <c r="A10" s="10" t="n">
        <v>34455</v>
      </c>
      <c r="B10" s="25" t="n">
        <v>63.1</v>
      </c>
      <c r="C10" s="25">
        <f>Table13[[#This Row],[PMI]]-B9</f>
        <v/>
      </c>
    </row>
    <row r="11">
      <c r="A11" s="10" t="n">
        <v>34486</v>
      </c>
      <c r="B11" s="25" t="n">
        <v>62.94</v>
      </c>
      <c r="C11" s="25">
        <f>Table13[[#This Row],[PMI]]-B10</f>
        <v/>
      </c>
    </row>
    <row r="12">
      <c r="A12" s="10" t="n">
        <v>34516</v>
      </c>
      <c r="B12" s="25" t="n">
        <v>63.1</v>
      </c>
      <c r="C12" s="25">
        <f>Table13[[#This Row],[PMI]]-B11</f>
        <v/>
      </c>
    </row>
    <row r="13">
      <c r="A13" s="10" t="n">
        <v>34547</v>
      </c>
      <c r="B13" s="25" t="n">
        <v>59.49</v>
      </c>
      <c r="C13" s="25">
        <f>Table13[[#This Row],[PMI]]-B12</f>
        <v/>
      </c>
    </row>
    <row r="14">
      <c r="A14" s="10" t="n">
        <v>34578</v>
      </c>
      <c r="B14" s="25" t="n">
        <v>59.36</v>
      </c>
      <c r="C14" s="25">
        <f>Table13[[#This Row],[PMI]]-B13</f>
        <v/>
      </c>
    </row>
    <row r="15">
      <c r="A15" s="10" t="n">
        <v>34608</v>
      </c>
      <c r="B15" s="25" t="n">
        <v>61.33</v>
      </c>
      <c r="C15" s="25">
        <f>Table13[[#This Row],[PMI]]-B14</f>
        <v/>
      </c>
    </row>
    <row r="16">
      <c r="A16" s="10" t="n">
        <v>34639</v>
      </c>
      <c r="B16" s="25" t="n">
        <v>60.53</v>
      </c>
      <c r="C16" s="25">
        <f>Table13[[#This Row],[PMI]]-B15</f>
        <v/>
      </c>
    </row>
    <row r="17">
      <c r="A17" s="10" t="n">
        <v>34669</v>
      </c>
      <c r="B17" s="25" t="n">
        <v>62.29</v>
      </c>
      <c r="C17" s="25">
        <f>Table13[[#This Row],[PMI]]-B16</f>
        <v/>
      </c>
    </row>
    <row r="18">
      <c r="A18" s="10" t="n">
        <v>34700</v>
      </c>
      <c r="B18" s="25" t="n">
        <v>62.95</v>
      </c>
      <c r="C18" s="25">
        <f>Table13[[#This Row],[PMI]]-B17</f>
        <v/>
      </c>
    </row>
    <row r="19">
      <c r="A19" s="10" t="n">
        <v>34731</v>
      </c>
      <c r="B19" s="25" t="n">
        <v>63.78</v>
      </c>
      <c r="C19" s="25">
        <f>Table13[[#This Row],[PMI]]-B18</f>
        <v/>
      </c>
    </row>
    <row r="20">
      <c r="A20" s="10" t="n">
        <v>34759</v>
      </c>
      <c r="B20" s="25" t="n">
        <v>61.91</v>
      </c>
      <c r="C20" s="25">
        <f>Table13[[#This Row],[PMI]]-B19</f>
        <v/>
      </c>
    </row>
    <row r="21">
      <c r="A21" s="10" t="n">
        <v>34790</v>
      </c>
      <c r="B21" s="25" t="n">
        <v>59.68</v>
      </c>
      <c r="C21" s="25">
        <f>Table13[[#This Row],[PMI]]-B20</f>
        <v/>
      </c>
    </row>
    <row r="22">
      <c r="A22" s="10" t="n">
        <v>34820</v>
      </c>
      <c r="B22" s="25" t="n">
        <v>58.91</v>
      </c>
      <c r="C22" s="25">
        <f>Table13[[#This Row],[PMI]]-B21</f>
        <v/>
      </c>
    </row>
    <row r="23">
      <c r="A23" s="10" t="n">
        <v>34851</v>
      </c>
      <c r="B23" s="25" t="n">
        <v>58.16</v>
      </c>
      <c r="C23" s="25">
        <f>Table13[[#This Row],[PMI]]-B22</f>
        <v/>
      </c>
    </row>
    <row r="24">
      <c r="A24" s="10" t="n">
        <v>34881</v>
      </c>
      <c r="B24" s="25" t="n">
        <v>65.40000000000001</v>
      </c>
      <c r="C24" s="25">
        <f>Table13[[#This Row],[PMI]]-B23</f>
        <v/>
      </c>
    </row>
    <row r="25">
      <c r="A25" s="10" t="n">
        <v>34912</v>
      </c>
      <c r="B25" s="25" t="n">
        <v>56.52</v>
      </c>
      <c r="C25" s="25">
        <f>Table13[[#This Row],[PMI]]-B24</f>
        <v/>
      </c>
    </row>
    <row r="26">
      <c r="A26" s="10" t="n">
        <v>34943</v>
      </c>
      <c r="B26" s="25" t="n">
        <v>55.66</v>
      </c>
      <c r="C26" s="25">
        <f>Table13[[#This Row],[PMI]]-B25</f>
        <v/>
      </c>
    </row>
    <row r="27">
      <c r="A27" s="10" t="n">
        <v>34973</v>
      </c>
      <c r="B27" s="25" t="n">
        <v>53.13</v>
      </c>
      <c r="C27" s="25">
        <f>Table13[[#This Row],[PMI]]-B26</f>
        <v/>
      </c>
    </row>
    <row r="28">
      <c r="A28" s="10" t="n">
        <v>35004</v>
      </c>
      <c r="B28" s="25" t="n">
        <v>55.08</v>
      </c>
      <c r="C28" s="25">
        <f>Table13[[#This Row],[PMI]]-B27</f>
        <v/>
      </c>
    </row>
    <row r="29">
      <c r="A29" s="10" t="n">
        <v>35034</v>
      </c>
      <c r="B29" s="25" t="n">
        <v>54.03</v>
      </c>
      <c r="C29" s="25">
        <f>Table13[[#This Row],[PMI]]-B28</f>
        <v/>
      </c>
    </row>
    <row r="30">
      <c r="A30" s="10" t="n">
        <v>35065</v>
      </c>
      <c r="B30" s="25" t="n">
        <v>50.16</v>
      </c>
      <c r="C30" s="25">
        <f>Table13[[#This Row],[PMI]]-B29</f>
        <v/>
      </c>
    </row>
    <row r="31">
      <c r="A31" s="10" t="n">
        <v>35096</v>
      </c>
      <c r="B31" s="25" t="n">
        <v>46.38</v>
      </c>
      <c r="C31" s="25">
        <f>Table13[[#This Row],[PMI]]-B30</f>
        <v/>
      </c>
    </row>
    <row r="32">
      <c r="A32" s="10" t="n">
        <v>35125</v>
      </c>
      <c r="B32" s="25" t="n">
        <v>52.65</v>
      </c>
      <c r="C32" s="25">
        <f>Table13[[#This Row],[PMI]]-B31</f>
        <v/>
      </c>
    </row>
    <row r="33">
      <c r="A33" s="10" t="n">
        <v>35156</v>
      </c>
      <c r="B33" s="25" t="n">
        <v>54.64</v>
      </c>
      <c r="C33" s="25">
        <f>Table13[[#This Row],[PMI]]-B32</f>
        <v/>
      </c>
    </row>
    <row r="34">
      <c r="A34" s="10" t="n">
        <v>35186</v>
      </c>
      <c r="B34" s="25" t="n">
        <v>48.99</v>
      </c>
      <c r="C34" s="25">
        <f>Table13[[#This Row],[PMI]]-B33</f>
        <v/>
      </c>
    </row>
    <row r="35">
      <c r="A35" s="10" t="n">
        <v>35217</v>
      </c>
      <c r="B35" s="25" t="n">
        <v>50.64</v>
      </c>
      <c r="C35" s="25">
        <f>Table13[[#This Row],[PMI]]-B34</f>
        <v/>
      </c>
    </row>
    <row r="36">
      <c r="A36" s="10" t="n">
        <v>35247</v>
      </c>
      <c r="B36" s="25" t="n">
        <v>54.72</v>
      </c>
      <c r="C36" s="25">
        <f>Table13[[#This Row],[PMI]]-B35</f>
        <v/>
      </c>
    </row>
    <row r="37">
      <c r="A37" s="10" t="n">
        <v>35278</v>
      </c>
      <c r="B37" s="25" t="n">
        <v>56.46</v>
      </c>
      <c r="C37" s="25">
        <f>Table13[[#This Row],[PMI]]-B36</f>
        <v/>
      </c>
    </row>
    <row r="38">
      <c r="A38" s="10" t="n">
        <v>35309</v>
      </c>
      <c r="B38" s="25" t="n">
        <v>59.28</v>
      </c>
      <c r="C38" s="25">
        <f>Table13[[#This Row],[PMI]]-B37</f>
        <v/>
      </c>
    </row>
    <row r="39">
      <c r="A39" s="10" t="n">
        <v>35339</v>
      </c>
      <c r="B39" s="25" t="n">
        <v>57.49</v>
      </c>
      <c r="C39" s="25">
        <f>Table13[[#This Row],[PMI]]-B38</f>
        <v/>
      </c>
    </row>
    <row r="40">
      <c r="A40" s="10" t="n">
        <v>35370</v>
      </c>
      <c r="B40" s="25" t="n">
        <v>61.57</v>
      </c>
      <c r="C40" s="25">
        <f>Table13[[#This Row],[PMI]]-B39</f>
        <v/>
      </c>
    </row>
    <row r="41">
      <c r="A41" s="10" t="n">
        <v>35400</v>
      </c>
      <c r="B41" s="25" t="n">
        <v>60.71</v>
      </c>
      <c r="C41" s="25">
        <f>Table13[[#This Row],[PMI]]-B40</f>
        <v/>
      </c>
    </row>
    <row r="42">
      <c r="A42" s="10" t="n">
        <v>35431</v>
      </c>
      <c r="B42" s="25" t="n">
        <v>62.72</v>
      </c>
      <c r="C42" s="25">
        <f>Table13[[#This Row],[PMI]]-B41</f>
        <v/>
      </c>
    </row>
    <row r="43">
      <c r="A43" s="10" t="n">
        <v>35462</v>
      </c>
      <c r="B43" s="25" t="n">
        <v>57.65</v>
      </c>
      <c r="C43" s="25">
        <f>Table13[[#This Row],[PMI]]-B42</f>
        <v/>
      </c>
    </row>
    <row r="44">
      <c r="A44" s="10" t="n">
        <v>35490</v>
      </c>
      <c r="B44" s="25" t="n">
        <v>60.39</v>
      </c>
      <c r="C44" s="25">
        <f>Table13[[#This Row],[PMI]]-B43</f>
        <v/>
      </c>
    </row>
    <row r="45">
      <c r="A45" s="10" t="n">
        <v>35521</v>
      </c>
      <c r="B45" s="25" t="n">
        <v>60.87</v>
      </c>
      <c r="C45" s="25">
        <f>Table13[[#This Row],[PMI]]-B44</f>
        <v/>
      </c>
    </row>
    <row r="46">
      <c r="A46" s="10" t="n">
        <v>35551</v>
      </c>
      <c r="B46" s="25" t="n">
        <v>64.19</v>
      </c>
      <c r="C46" s="25">
        <f>Table13[[#This Row],[PMI]]-B45</f>
        <v/>
      </c>
    </row>
    <row r="47">
      <c r="A47" s="10" t="n">
        <v>35582</v>
      </c>
      <c r="B47" s="25" t="n">
        <v>63.39</v>
      </c>
      <c r="C47" s="25">
        <f>Table13[[#This Row],[PMI]]-B46</f>
        <v/>
      </c>
    </row>
    <row r="48">
      <c r="A48" s="10" t="n">
        <v>35612</v>
      </c>
      <c r="B48" s="25" t="n">
        <v>54.92</v>
      </c>
      <c r="C48" s="25">
        <f>Table13[[#This Row],[PMI]]-B47</f>
        <v/>
      </c>
    </row>
    <row r="49">
      <c r="A49" s="10" t="n">
        <v>35643</v>
      </c>
      <c r="B49" s="25" t="n">
        <v>61.25</v>
      </c>
      <c r="C49" s="25">
        <f>Table13[[#This Row],[PMI]]-B48</f>
        <v/>
      </c>
    </row>
    <row r="50">
      <c r="A50" s="10" t="n">
        <v>35674</v>
      </c>
      <c r="B50" s="25" t="n">
        <v>61.84</v>
      </c>
      <c r="C50" s="25">
        <f>Table13[[#This Row],[PMI]]-B49</f>
        <v/>
      </c>
    </row>
    <row r="51">
      <c r="A51" s="10" t="n">
        <v>35704</v>
      </c>
      <c r="B51" s="25" t="n">
        <v>58.84</v>
      </c>
      <c r="C51" s="25">
        <f>Table13[[#This Row],[PMI]]-B50</f>
        <v/>
      </c>
    </row>
    <row r="52">
      <c r="A52" s="10" t="n">
        <v>35735</v>
      </c>
      <c r="B52" s="25" t="n">
        <v>56.3</v>
      </c>
      <c r="C52" s="25">
        <f>Table13[[#This Row],[PMI]]-B51</f>
        <v/>
      </c>
    </row>
    <row r="53">
      <c r="A53" s="10" t="n">
        <v>35765</v>
      </c>
      <c r="B53" s="25" t="n">
        <v>56.74</v>
      </c>
      <c r="C53" s="25">
        <f>Table13[[#This Row],[PMI]]-B52</f>
        <v/>
      </c>
    </row>
    <row r="54">
      <c r="A54" s="10" t="n">
        <v>35796</v>
      </c>
      <c r="B54" s="25" t="n">
        <v>55.77</v>
      </c>
      <c r="C54" s="25">
        <f>Table13[[#This Row],[PMI]]-B53</f>
        <v/>
      </c>
    </row>
    <row r="55">
      <c r="A55" s="10" t="n">
        <v>35827</v>
      </c>
      <c r="B55" s="25" t="n">
        <v>55.65</v>
      </c>
      <c r="C55" s="25">
        <f>Table13[[#This Row],[PMI]]-B54</f>
        <v/>
      </c>
    </row>
    <row r="56">
      <c r="A56" s="10" t="n">
        <v>35855</v>
      </c>
      <c r="B56" s="25" t="n">
        <v>58.86</v>
      </c>
      <c r="C56" s="25">
        <f>Table13[[#This Row],[PMI]]-B55</f>
        <v/>
      </c>
    </row>
    <row r="57">
      <c r="A57" s="10" t="n">
        <v>35886</v>
      </c>
      <c r="B57" s="25" t="n">
        <v>58.81</v>
      </c>
      <c r="C57" s="25">
        <f>Table13[[#This Row],[PMI]]-B56</f>
        <v/>
      </c>
    </row>
    <row r="58">
      <c r="A58" s="10" t="n">
        <v>35916</v>
      </c>
      <c r="B58" s="25" t="n">
        <v>60.33</v>
      </c>
      <c r="C58" s="25">
        <f>Table13[[#This Row],[PMI]]-B57</f>
        <v/>
      </c>
    </row>
    <row r="59">
      <c r="A59" s="10" t="n">
        <v>35947</v>
      </c>
      <c r="B59" s="25" t="n">
        <v>57.46</v>
      </c>
      <c r="C59" s="25">
        <f>Table13[[#This Row],[PMI]]-B58</f>
        <v/>
      </c>
    </row>
    <row r="60">
      <c r="A60" s="10" t="n">
        <v>35977</v>
      </c>
      <c r="B60" s="25" t="n">
        <v>50.71</v>
      </c>
      <c r="C60" s="25">
        <f>Table13[[#This Row],[PMI]]-B59</f>
        <v/>
      </c>
    </row>
    <row r="61">
      <c r="A61" s="10" t="n">
        <v>36008</v>
      </c>
      <c r="B61" s="25" t="n">
        <v>62.84</v>
      </c>
      <c r="C61" s="25">
        <f>Table13[[#This Row],[PMI]]-B60</f>
        <v/>
      </c>
    </row>
    <row r="62">
      <c r="A62" s="10" t="n">
        <v>36039</v>
      </c>
      <c r="B62" s="25" t="n">
        <v>51.54</v>
      </c>
      <c r="C62" s="25">
        <f>Table13[[#This Row],[PMI]]-B61</f>
        <v/>
      </c>
    </row>
    <row r="63">
      <c r="A63" s="10" t="n">
        <v>36069</v>
      </c>
      <c r="B63" s="25" t="n">
        <v>54.96</v>
      </c>
      <c r="C63" s="25">
        <f>Table13[[#This Row],[PMI]]-B62</f>
        <v/>
      </c>
    </row>
    <row r="64">
      <c r="A64" s="10" t="n">
        <v>36100</v>
      </c>
      <c r="B64" s="25" t="n">
        <v>48.18</v>
      </c>
      <c r="C64" s="25">
        <f>Table13[[#This Row],[PMI]]-B63</f>
        <v/>
      </c>
    </row>
    <row r="65">
      <c r="A65" s="10" t="n">
        <v>36130</v>
      </c>
      <c r="B65" s="25" t="n">
        <v>49.94</v>
      </c>
      <c r="C65" s="25">
        <f>Table13[[#This Row],[PMI]]-B64</f>
        <v/>
      </c>
    </row>
    <row r="66">
      <c r="A66" s="10" t="n">
        <v>36161</v>
      </c>
      <c r="B66" s="25" t="n">
        <v>53.69</v>
      </c>
      <c r="C66" s="25">
        <f>Table13[[#This Row],[PMI]]-B65</f>
        <v/>
      </c>
    </row>
    <row r="67">
      <c r="A67" s="10" t="n">
        <v>36192</v>
      </c>
      <c r="B67" s="25" t="n">
        <v>55.51</v>
      </c>
      <c r="C67" s="25">
        <f>Table13[[#This Row],[PMI]]-B66</f>
        <v/>
      </c>
    </row>
    <row r="68">
      <c r="A68" s="10" t="n">
        <v>36220</v>
      </c>
      <c r="B68" s="25" t="n">
        <v>45.32</v>
      </c>
      <c r="C68" s="25">
        <f>Table13[[#This Row],[PMI]]-B67</f>
        <v/>
      </c>
    </row>
    <row r="69">
      <c r="A69" s="10" t="n">
        <v>36251</v>
      </c>
      <c r="B69" s="25" t="n">
        <v>50.98</v>
      </c>
      <c r="C69" s="25">
        <f>Table13[[#This Row],[PMI]]-B68</f>
        <v/>
      </c>
    </row>
    <row r="70">
      <c r="A70" s="10" t="n">
        <v>36281</v>
      </c>
      <c r="B70" s="25" t="n">
        <v>48.33</v>
      </c>
      <c r="C70" s="25">
        <f>Table13[[#This Row],[PMI]]-B69</f>
        <v/>
      </c>
    </row>
    <row r="71">
      <c r="A71" s="10" t="n">
        <v>36312</v>
      </c>
      <c r="B71" s="25" t="n">
        <v>51.51</v>
      </c>
      <c r="C71" s="25">
        <f>Table13[[#This Row],[PMI]]-B70</f>
        <v/>
      </c>
    </row>
    <row r="72">
      <c r="A72" s="10" t="n">
        <v>36342</v>
      </c>
      <c r="B72" s="25" t="n">
        <v>53.07</v>
      </c>
      <c r="C72" s="25">
        <f>Table13[[#This Row],[PMI]]-B71</f>
        <v/>
      </c>
    </row>
    <row r="73">
      <c r="A73" s="10" t="n">
        <v>36373</v>
      </c>
      <c r="B73" s="25" t="n">
        <v>49.58</v>
      </c>
      <c r="C73" s="25">
        <f>Table13[[#This Row],[PMI]]-B72</f>
        <v/>
      </c>
    </row>
    <row r="74">
      <c r="A74" s="10" t="n">
        <v>36404</v>
      </c>
      <c r="B74" s="25" t="n">
        <v>52.05</v>
      </c>
      <c r="C74" s="25">
        <f>Table13[[#This Row],[PMI]]-B73</f>
        <v/>
      </c>
    </row>
    <row r="75">
      <c r="A75" s="10" t="n">
        <v>36434</v>
      </c>
      <c r="B75" s="25" t="n">
        <v>69.79000000000001</v>
      </c>
      <c r="C75" s="25">
        <f>Table13[[#This Row],[PMI]]-B74</f>
        <v/>
      </c>
    </row>
    <row r="76">
      <c r="A76" s="10" t="n">
        <v>36465</v>
      </c>
      <c r="B76" s="25" t="n">
        <v>64.63</v>
      </c>
      <c r="C76" s="25">
        <f>Table13[[#This Row],[PMI]]-B75</f>
        <v/>
      </c>
    </row>
    <row r="77">
      <c r="A77" s="10" t="n">
        <v>36495</v>
      </c>
      <c r="B77" s="25" t="n">
        <v>46.56</v>
      </c>
      <c r="C77" s="25">
        <f>Table13[[#This Row],[PMI]]-B76</f>
        <v/>
      </c>
    </row>
    <row r="78">
      <c r="A78" s="10" t="n">
        <v>36526</v>
      </c>
      <c r="B78" s="25" t="n">
        <v>56.5</v>
      </c>
      <c r="C78" s="25">
        <f>Table13[[#This Row],[PMI]]-B77</f>
        <v/>
      </c>
    </row>
    <row r="79">
      <c r="A79" s="10" t="n">
        <v>36557</v>
      </c>
      <c r="B79" s="25" t="n">
        <v>60.09</v>
      </c>
      <c r="C79" s="25">
        <f>Table13[[#This Row],[PMI]]-B78</f>
        <v/>
      </c>
    </row>
    <row r="80">
      <c r="A80" s="10" t="n">
        <v>36586</v>
      </c>
      <c r="B80" s="25" t="n">
        <v>58.03</v>
      </c>
      <c r="C80" s="25">
        <f>Table13[[#This Row],[PMI]]-B79</f>
        <v/>
      </c>
    </row>
    <row r="81">
      <c r="A81" s="10" t="n">
        <v>36617</v>
      </c>
      <c r="B81" s="25" t="n">
        <v>54.9</v>
      </c>
      <c r="C81" s="25">
        <f>Table13[[#This Row],[PMI]]-B80</f>
        <v/>
      </c>
    </row>
    <row r="82">
      <c r="A82" s="10" t="n">
        <v>36647</v>
      </c>
      <c r="B82" s="25" t="n">
        <v>55.18</v>
      </c>
      <c r="C82" s="25">
        <f>Table13[[#This Row],[PMI]]-B81</f>
        <v/>
      </c>
    </row>
    <row r="83">
      <c r="A83" s="10" t="n">
        <v>36678</v>
      </c>
      <c r="B83" s="25" t="n">
        <v>53.67</v>
      </c>
      <c r="C83" s="25">
        <f>Table13[[#This Row],[PMI]]-B82</f>
        <v/>
      </c>
    </row>
    <row r="84">
      <c r="A84" s="10" t="n">
        <v>36708</v>
      </c>
      <c r="B84" s="25" t="n">
        <v>64.06999999999999</v>
      </c>
      <c r="C84" s="25">
        <f>Table13[[#This Row],[PMI]]-B83</f>
        <v/>
      </c>
    </row>
    <row r="85">
      <c r="A85" s="10" t="n">
        <v>36739</v>
      </c>
      <c r="B85" s="25" t="n">
        <v>56.81</v>
      </c>
      <c r="C85" s="25">
        <f>Table13[[#This Row],[PMI]]-B84</f>
        <v/>
      </c>
    </row>
    <row r="86">
      <c r="A86" s="10" t="n">
        <v>36770</v>
      </c>
      <c r="B86" s="25" t="n">
        <v>56.21</v>
      </c>
      <c r="C86" s="25">
        <f>Table13[[#This Row],[PMI]]-B85</f>
        <v/>
      </c>
    </row>
    <row r="87">
      <c r="A87" s="10" t="n">
        <v>36800</v>
      </c>
      <c r="B87" s="25" t="n">
        <v>59.71</v>
      </c>
      <c r="C87" s="25">
        <f>Table13[[#This Row],[PMI]]-B86</f>
        <v/>
      </c>
    </row>
    <row r="88">
      <c r="A88" s="10" t="n">
        <v>36831</v>
      </c>
      <c r="B88" s="25" t="n">
        <v>54.29</v>
      </c>
      <c r="C88" s="25">
        <f>Table13[[#This Row],[PMI]]-B87</f>
        <v/>
      </c>
    </row>
    <row r="89">
      <c r="A89" s="10" t="n">
        <v>36861</v>
      </c>
      <c r="B89" s="25" t="n">
        <v>55.54</v>
      </c>
      <c r="C89" s="25">
        <f>Table13[[#This Row],[PMI]]-B88</f>
        <v/>
      </c>
    </row>
    <row r="90">
      <c r="A90" s="10" t="n">
        <v>36892</v>
      </c>
      <c r="B90" s="25" t="n">
        <v>52.88</v>
      </c>
      <c r="C90" s="25">
        <f>Table13[[#This Row],[PMI]]-B89</f>
        <v/>
      </c>
    </row>
    <row r="91">
      <c r="A91" s="10" t="n">
        <v>36923</v>
      </c>
      <c r="B91" s="25" t="n">
        <v>51.59</v>
      </c>
      <c r="C91" s="25">
        <f>Table13[[#This Row],[PMI]]-B90</f>
        <v/>
      </c>
    </row>
    <row r="92">
      <c r="A92" s="10" t="n">
        <v>36951</v>
      </c>
      <c r="B92" s="25" t="n">
        <v>52.49</v>
      </c>
      <c r="C92" s="25">
        <f>Table13[[#This Row],[PMI]]-B91</f>
        <v/>
      </c>
    </row>
    <row r="93">
      <c r="A93" s="10" t="n">
        <v>36982</v>
      </c>
      <c r="B93" s="25" t="n">
        <v>49.61</v>
      </c>
      <c r="C93" s="25">
        <f>Table13[[#This Row],[PMI]]-B92</f>
        <v/>
      </c>
    </row>
    <row r="94">
      <c r="A94" s="10" t="n">
        <v>37012</v>
      </c>
      <c r="B94" s="25" t="n">
        <v>52.89</v>
      </c>
      <c r="C94" s="25">
        <f>Table13[[#This Row],[PMI]]-B93</f>
        <v/>
      </c>
    </row>
    <row r="95">
      <c r="A95" s="10" t="n">
        <v>37043</v>
      </c>
      <c r="B95" s="25" t="n">
        <v>53.97</v>
      </c>
      <c r="C95" s="25">
        <f>Table13[[#This Row],[PMI]]-B94</f>
        <v/>
      </c>
    </row>
    <row r="96">
      <c r="A96" s="10" t="n">
        <v>37073</v>
      </c>
      <c r="B96" s="25" t="n">
        <v>50.42</v>
      </c>
      <c r="C96" s="25">
        <f>Table13[[#This Row],[PMI]]-B95</f>
        <v/>
      </c>
    </row>
    <row r="97">
      <c r="A97" s="10" t="n">
        <v>37104</v>
      </c>
      <c r="B97" s="25" t="n">
        <v>53.21</v>
      </c>
      <c r="C97" s="25">
        <f>Table13[[#This Row],[PMI]]-B96</f>
        <v/>
      </c>
    </row>
    <row r="98">
      <c r="A98" s="10" t="n">
        <v>37135</v>
      </c>
      <c r="B98" s="25" t="n">
        <v>47.75</v>
      </c>
      <c r="C98" s="25">
        <f>Table13[[#This Row],[PMI]]-B97</f>
        <v/>
      </c>
    </row>
    <row r="99">
      <c r="A99" s="10" t="n">
        <v>37165</v>
      </c>
      <c r="B99" s="25" t="n">
        <v>46.09</v>
      </c>
      <c r="C99" s="25">
        <f>Table13[[#This Row],[PMI]]-B98</f>
        <v/>
      </c>
    </row>
    <row r="100">
      <c r="A100" s="10" t="n">
        <v>37196</v>
      </c>
      <c r="B100" s="25" t="n">
        <v>50.81</v>
      </c>
      <c r="C100" s="25">
        <f>Table13[[#This Row],[PMI]]-B99</f>
        <v/>
      </c>
    </row>
    <row r="101">
      <c r="A101" s="10" t="n">
        <v>37226</v>
      </c>
      <c r="B101" s="25" t="n">
        <v>46.1</v>
      </c>
      <c r="C101" s="25">
        <f>Table13[[#This Row],[PMI]]-B100</f>
        <v/>
      </c>
    </row>
    <row r="102">
      <c r="A102" s="10" t="n">
        <v>37257</v>
      </c>
      <c r="B102" s="25" t="n">
        <v>52.42</v>
      </c>
      <c r="C102" s="25">
        <f>Table13[[#This Row],[PMI]]-B101</f>
        <v/>
      </c>
    </row>
    <row r="103">
      <c r="A103" s="10" t="n">
        <v>37288</v>
      </c>
      <c r="B103" s="25" t="n">
        <v>53.28</v>
      </c>
      <c r="C103" s="25">
        <f>Table13[[#This Row],[PMI]]-B102</f>
        <v/>
      </c>
    </row>
    <row r="104">
      <c r="A104" s="10" t="n">
        <v>37316</v>
      </c>
      <c r="B104" s="25" t="n">
        <v>53.02</v>
      </c>
      <c r="C104" s="25">
        <f>Table13[[#This Row],[PMI]]-B103</f>
        <v/>
      </c>
    </row>
    <row r="105">
      <c r="A105" s="10" t="n">
        <v>37347</v>
      </c>
      <c r="B105" s="25" t="n">
        <v>55.71</v>
      </c>
      <c r="C105" s="25">
        <f>Table13[[#This Row],[PMI]]-B104</f>
        <v/>
      </c>
    </row>
    <row r="106">
      <c r="A106" s="10" t="n">
        <v>37377</v>
      </c>
      <c r="B106" s="25" t="n">
        <v>52.26</v>
      </c>
      <c r="C106" s="25">
        <f>Table13[[#This Row],[PMI]]-B105</f>
        <v/>
      </c>
    </row>
    <row r="107">
      <c r="A107" s="10" t="n">
        <v>37408</v>
      </c>
      <c r="B107" s="25" t="n">
        <v>53.98</v>
      </c>
      <c r="C107" s="25">
        <f>Table13[[#This Row],[PMI]]-B106</f>
        <v/>
      </c>
    </row>
    <row r="108">
      <c r="A108" s="10" t="n">
        <v>37438</v>
      </c>
      <c r="B108" s="25" t="n">
        <v>54.33</v>
      </c>
      <c r="C108" s="25">
        <f>Table13[[#This Row],[PMI]]-B107</f>
        <v/>
      </c>
    </row>
    <row r="109">
      <c r="A109" s="10" t="n">
        <v>37469</v>
      </c>
      <c r="B109" s="25" t="n">
        <v>53.11</v>
      </c>
      <c r="C109" s="25">
        <f>Table13[[#This Row],[PMI]]-B108</f>
        <v/>
      </c>
    </row>
    <row r="110">
      <c r="A110" s="10" t="n">
        <v>37500</v>
      </c>
      <c r="B110" s="25" t="n">
        <v>52.08</v>
      </c>
      <c r="C110" s="25">
        <f>Table13[[#This Row],[PMI]]-B109</f>
        <v/>
      </c>
    </row>
    <row r="111">
      <c r="A111" s="10" t="n">
        <v>37530</v>
      </c>
      <c r="B111" s="25" t="n">
        <v>47.57</v>
      </c>
      <c r="C111" s="25">
        <f>Table13[[#This Row],[PMI]]-B110</f>
        <v/>
      </c>
    </row>
    <row r="112">
      <c r="A112" s="14" t="n">
        <v>37561</v>
      </c>
      <c r="B112" s="15" t="n">
        <v>47.96</v>
      </c>
      <c r="C112" s="15">
        <f>Table13[[#This Row],[PMI]]-B111</f>
        <v/>
      </c>
    </row>
    <row r="113">
      <c r="A113" s="10" t="n">
        <v>37591</v>
      </c>
      <c r="B113" s="25" t="n">
        <v>48.71</v>
      </c>
      <c r="C113" s="25">
        <f>Table13[[#This Row],[PMI]]-B112</f>
        <v/>
      </c>
    </row>
    <row r="114">
      <c r="A114" s="10" t="n">
        <v>37622</v>
      </c>
      <c r="B114" s="25" t="n">
        <v>46.3</v>
      </c>
      <c r="C114" s="25">
        <f>Table13[[#This Row],[PMI]]-B113</f>
        <v/>
      </c>
    </row>
    <row r="115">
      <c r="A115" s="10" t="n">
        <v>37653</v>
      </c>
      <c r="B115" s="25" t="n">
        <v>46.27</v>
      </c>
      <c r="C115" s="25">
        <f>Table13[[#This Row],[PMI]]-B114</f>
        <v/>
      </c>
    </row>
    <row r="116">
      <c r="A116" s="10" t="n">
        <v>37681</v>
      </c>
      <c r="B116" s="25" t="n">
        <v>49.92</v>
      </c>
      <c r="C116" s="25">
        <f>Table13[[#This Row],[PMI]]-B115</f>
        <v/>
      </c>
    </row>
    <row r="117">
      <c r="A117" s="10" t="n">
        <v>37712</v>
      </c>
      <c r="B117" s="25" t="n">
        <v>52.91</v>
      </c>
      <c r="C117" s="25">
        <f>Table13[[#This Row],[PMI]]-B116</f>
        <v/>
      </c>
    </row>
    <row r="118">
      <c r="A118" s="10" t="n">
        <v>37742</v>
      </c>
      <c r="B118" s="25" t="n">
        <v>50.11</v>
      </c>
      <c r="C118" s="25">
        <f>Table13[[#This Row],[PMI]]-B117</f>
        <v/>
      </c>
    </row>
    <row r="119">
      <c r="A119" s="10" t="n">
        <v>37773</v>
      </c>
      <c r="B119" s="25" t="n">
        <v>47.14</v>
      </c>
      <c r="C119" s="25">
        <f>Table13[[#This Row],[PMI]]-B118</f>
        <v/>
      </c>
    </row>
    <row r="120">
      <c r="A120" s="10" t="n">
        <v>37803</v>
      </c>
      <c r="B120" s="25" t="n">
        <v>49.65</v>
      </c>
      <c r="C120" s="25">
        <f>Table13[[#This Row],[PMI]]-B119</f>
        <v/>
      </c>
    </row>
    <row r="121">
      <c r="A121" s="10" t="n">
        <v>37834</v>
      </c>
      <c r="B121" s="25" t="n">
        <v>49.78</v>
      </c>
      <c r="C121" s="25">
        <f>Table13[[#This Row],[PMI]]-B120</f>
        <v/>
      </c>
    </row>
    <row r="122">
      <c r="A122" s="10" t="n">
        <v>37865</v>
      </c>
      <c r="B122" s="25" t="n">
        <v>59.65</v>
      </c>
      <c r="C122" s="25">
        <f>Table13[[#This Row],[PMI]]-B121</f>
        <v/>
      </c>
    </row>
    <row r="123">
      <c r="A123" s="10" t="n">
        <v>37895</v>
      </c>
      <c r="B123" s="25" t="n">
        <v>54.14</v>
      </c>
      <c r="C123" s="25">
        <f>Table13[[#This Row],[PMI]]-B122</f>
        <v/>
      </c>
    </row>
    <row r="124">
      <c r="A124" s="10" t="n">
        <v>37926</v>
      </c>
      <c r="B124" s="25" t="n">
        <v>57.7</v>
      </c>
      <c r="C124" s="25">
        <f>Table13[[#This Row],[PMI]]-B123</f>
        <v/>
      </c>
    </row>
    <row r="125">
      <c r="A125" s="10" t="n">
        <v>37956</v>
      </c>
      <c r="B125" s="25" t="n">
        <v>60.4</v>
      </c>
      <c r="C125" s="25">
        <f>Table13[[#This Row],[PMI]]-B124</f>
        <v/>
      </c>
    </row>
    <row r="126">
      <c r="A126" s="10" t="n">
        <v>37987</v>
      </c>
      <c r="B126" s="25" t="n">
        <v>46.37</v>
      </c>
      <c r="C126" s="25">
        <f>Table13[[#This Row],[PMI]]-B125</f>
        <v/>
      </c>
    </row>
    <row r="127">
      <c r="A127" s="10" t="n">
        <v>38018</v>
      </c>
      <c r="B127" s="25" t="n">
        <v>56.97</v>
      </c>
      <c r="C127" s="25">
        <f>Table13[[#This Row],[PMI]]-B126</f>
        <v/>
      </c>
    </row>
    <row r="128">
      <c r="A128" s="10" t="n">
        <v>38047</v>
      </c>
      <c r="B128" s="25" t="n">
        <v>58.99</v>
      </c>
      <c r="C128" s="25">
        <f>Table13[[#This Row],[PMI]]-B127</f>
        <v/>
      </c>
    </row>
    <row r="129">
      <c r="A129" s="10" t="n">
        <v>38078</v>
      </c>
      <c r="B129" s="25" t="n">
        <v>59.16</v>
      </c>
      <c r="C129" s="25">
        <f>Table13[[#This Row],[PMI]]-B128</f>
        <v/>
      </c>
    </row>
    <row r="130">
      <c r="A130" s="10" t="n">
        <v>38108</v>
      </c>
      <c r="B130" s="25" t="n">
        <v>61.27</v>
      </c>
      <c r="C130" s="25">
        <f>Table13[[#This Row],[PMI]]-B129</f>
        <v/>
      </c>
    </row>
    <row r="131">
      <c r="A131" s="10" t="n">
        <v>38139</v>
      </c>
      <c r="B131" s="25" t="n">
        <v>51.93</v>
      </c>
      <c r="C131" s="25">
        <f>Table13[[#This Row],[PMI]]-B130</f>
        <v/>
      </c>
    </row>
    <row r="132">
      <c r="A132" s="10" t="n">
        <v>38169</v>
      </c>
      <c r="B132" s="25" t="n">
        <v>56.18</v>
      </c>
      <c r="C132" s="25">
        <f>Table13[[#This Row],[PMI]]-B131</f>
        <v/>
      </c>
    </row>
    <row r="133">
      <c r="A133" s="10" t="n">
        <v>38200</v>
      </c>
      <c r="B133" s="25" t="n">
        <v>62.38</v>
      </c>
      <c r="C133" s="25">
        <f>Table13[[#This Row],[PMI]]-B132</f>
        <v/>
      </c>
    </row>
    <row r="134">
      <c r="A134" s="10" t="n">
        <v>38231</v>
      </c>
      <c r="B134" s="25" t="n">
        <v>57.36</v>
      </c>
      <c r="C134" s="25">
        <f>Table13[[#This Row],[PMI]]-B133</f>
        <v/>
      </c>
    </row>
    <row r="135">
      <c r="A135" s="10" t="n">
        <v>38261</v>
      </c>
      <c r="B135" s="25" t="n">
        <v>56.87</v>
      </c>
      <c r="C135" s="25">
        <f>Table13[[#This Row],[PMI]]-B134</f>
        <v/>
      </c>
    </row>
    <row r="136">
      <c r="A136" s="10" t="n">
        <v>38292</v>
      </c>
      <c r="B136" s="25" t="n">
        <v>54.39</v>
      </c>
      <c r="C136" s="25">
        <f>Table13[[#This Row],[PMI]]-B135</f>
        <v/>
      </c>
    </row>
    <row r="137">
      <c r="A137" s="10" t="n">
        <v>38322</v>
      </c>
      <c r="B137" s="25" t="n">
        <v>57.58</v>
      </c>
      <c r="C137" s="25">
        <f>Table13[[#This Row],[PMI]]-B136</f>
        <v/>
      </c>
    </row>
    <row r="138">
      <c r="A138" s="10" t="n">
        <v>38353</v>
      </c>
      <c r="B138" s="25" t="n">
        <v>59.37</v>
      </c>
      <c r="C138" s="25">
        <f>Table13[[#This Row],[PMI]]-B137</f>
        <v/>
      </c>
    </row>
    <row r="139">
      <c r="A139" s="10" t="n">
        <v>38384</v>
      </c>
      <c r="B139" s="25" t="n">
        <v>55.3</v>
      </c>
      <c r="C139" s="25">
        <f>Table13[[#This Row],[PMI]]-B138</f>
        <v/>
      </c>
    </row>
    <row r="140">
      <c r="A140" s="10" t="n">
        <v>38412</v>
      </c>
      <c r="B140" s="25" t="n">
        <v>56.66</v>
      </c>
      <c r="C140" s="25">
        <f>Table13[[#This Row],[PMI]]-B139</f>
        <v/>
      </c>
    </row>
    <row r="141">
      <c r="A141" s="10" t="n">
        <v>38443</v>
      </c>
      <c r="B141" s="25" t="n">
        <v>52.88</v>
      </c>
      <c r="C141" s="25">
        <f>Table13[[#This Row],[PMI]]-B140</f>
        <v/>
      </c>
    </row>
    <row r="142">
      <c r="A142" s="10" t="n">
        <v>38473</v>
      </c>
      <c r="B142" s="25" t="n">
        <v>53.51</v>
      </c>
      <c r="C142" s="25">
        <f>Table13[[#This Row],[PMI]]-B141</f>
        <v/>
      </c>
    </row>
    <row r="143">
      <c r="A143" s="10" t="n">
        <v>38504</v>
      </c>
      <c r="B143" s="25" t="n">
        <v>58.58</v>
      </c>
      <c r="C143" s="25">
        <f>Table13[[#This Row],[PMI]]-B142</f>
        <v/>
      </c>
    </row>
    <row r="144">
      <c r="A144" s="10" t="n">
        <v>38534</v>
      </c>
      <c r="B144" s="25" t="n">
        <v>56.43</v>
      </c>
      <c r="C144" s="25">
        <f>Table13[[#This Row],[PMI]]-B143</f>
        <v/>
      </c>
    </row>
    <row r="145">
      <c r="A145" s="10" t="n">
        <v>38565</v>
      </c>
      <c r="B145" s="25" t="n">
        <v>56.34</v>
      </c>
      <c r="C145" s="25">
        <f>Table13[[#This Row],[PMI]]-B144</f>
        <v/>
      </c>
    </row>
    <row r="146">
      <c r="A146" s="10" t="n">
        <v>38596</v>
      </c>
      <c r="B146" s="25" t="n">
        <v>61.16</v>
      </c>
      <c r="C146" s="25">
        <f>Table13[[#This Row],[PMI]]-B145</f>
        <v/>
      </c>
    </row>
    <row r="147">
      <c r="A147" s="10" t="n">
        <v>38626</v>
      </c>
      <c r="B147" s="25" t="n">
        <v>68.93000000000001</v>
      </c>
      <c r="C147" s="25">
        <f>Table13[[#This Row],[PMI]]-B146</f>
        <v/>
      </c>
    </row>
    <row r="148">
      <c r="A148" s="10" t="n">
        <v>38657</v>
      </c>
      <c r="B148" s="25" t="n">
        <v>57.53</v>
      </c>
      <c r="C148" s="25">
        <f>Table13[[#This Row],[PMI]]-B147</f>
        <v/>
      </c>
    </row>
    <row r="149">
      <c r="A149" s="10" t="n">
        <v>38687</v>
      </c>
      <c r="B149" s="25" t="n">
        <v>59.8</v>
      </c>
      <c r="C149" s="25">
        <f>Table13[[#This Row],[PMI]]-B148</f>
        <v/>
      </c>
    </row>
    <row r="150">
      <c r="A150" s="10" t="n">
        <v>38718</v>
      </c>
      <c r="B150" s="25" t="n">
        <v>58.97</v>
      </c>
      <c r="C150" s="25">
        <f>Table13[[#This Row],[PMI]]-B149</f>
        <v/>
      </c>
    </row>
    <row r="151">
      <c r="A151" s="10" t="n">
        <v>38749</v>
      </c>
      <c r="B151" s="25" t="n">
        <v>60.32</v>
      </c>
      <c r="C151" s="25">
        <f>Table13[[#This Row],[PMI]]-B150</f>
        <v/>
      </c>
    </row>
    <row r="152">
      <c r="A152" s="10" t="n">
        <v>38777</v>
      </c>
      <c r="B152" s="25" t="n">
        <v>52.93</v>
      </c>
      <c r="C152" s="25">
        <f>Table13[[#This Row],[PMI]]-B151</f>
        <v/>
      </c>
    </row>
    <row r="153">
      <c r="A153" s="10" t="n">
        <v>38808</v>
      </c>
      <c r="B153" s="25" t="n">
        <v>55.97</v>
      </c>
      <c r="C153" s="25">
        <f>Table13[[#This Row],[PMI]]-B152</f>
        <v/>
      </c>
    </row>
    <row r="154">
      <c r="A154" s="10" t="n">
        <v>38838</v>
      </c>
      <c r="B154" s="25" t="n">
        <v>56.87</v>
      </c>
      <c r="C154" s="25">
        <f>Table13[[#This Row],[PMI]]-B153</f>
        <v/>
      </c>
    </row>
    <row r="155">
      <c r="A155" s="10" t="n">
        <v>38869</v>
      </c>
      <c r="B155" s="25" t="n">
        <v>56.69</v>
      </c>
      <c r="C155" s="25">
        <f>Table13[[#This Row],[PMI]]-B154</f>
        <v/>
      </c>
    </row>
    <row r="156">
      <c r="A156" s="10" t="n">
        <v>38899</v>
      </c>
      <c r="B156" s="25" t="n">
        <v>58.32</v>
      </c>
      <c r="C156" s="25">
        <f>Table13[[#This Row],[PMI]]-B155</f>
        <v/>
      </c>
    </row>
    <row r="157">
      <c r="A157" s="10" t="n">
        <v>38930</v>
      </c>
      <c r="B157" s="25" t="n">
        <v>63.49</v>
      </c>
      <c r="C157" s="25">
        <f>Table13[[#This Row],[PMI]]-B156</f>
        <v/>
      </c>
    </row>
    <row r="158">
      <c r="A158" s="10" t="n">
        <v>38961</v>
      </c>
      <c r="B158" s="25" t="n">
        <v>62.87</v>
      </c>
      <c r="C158" s="25">
        <f>Table13[[#This Row],[PMI]]-B157</f>
        <v/>
      </c>
    </row>
    <row r="159">
      <c r="A159" s="10" t="n">
        <v>38991</v>
      </c>
      <c r="B159" s="25" t="n">
        <v>62.65</v>
      </c>
      <c r="C159" s="25">
        <f>Table13[[#This Row],[PMI]]-B158</f>
        <v/>
      </c>
    </row>
    <row r="160">
      <c r="A160" s="10" t="n">
        <v>39022</v>
      </c>
      <c r="B160" s="25" t="n">
        <v>66.77</v>
      </c>
      <c r="C160" s="25">
        <f>Table13[[#This Row],[PMI]]-B159</f>
        <v/>
      </c>
    </row>
    <row r="161">
      <c r="A161" s="10" t="n">
        <v>39052</v>
      </c>
      <c r="B161" s="25" t="n">
        <v>62.5</v>
      </c>
      <c r="C161" s="25">
        <f>Table13[[#This Row],[PMI]]-B160</f>
        <v/>
      </c>
    </row>
    <row r="162">
      <c r="A162" s="10" t="n">
        <v>39083</v>
      </c>
      <c r="B162" s="25" t="n">
        <v>55.72</v>
      </c>
      <c r="C162" s="25">
        <f>Table13[[#This Row],[PMI]]-B161</f>
        <v/>
      </c>
    </row>
    <row r="163">
      <c r="A163" s="10" t="n">
        <v>39114</v>
      </c>
      <c r="B163" s="25" t="n">
        <v>60.51</v>
      </c>
      <c r="C163" s="25">
        <f>Table13[[#This Row],[PMI]]-B162</f>
        <v/>
      </c>
    </row>
    <row r="164">
      <c r="A164" s="10" t="n">
        <v>39142</v>
      </c>
      <c r="B164" s="25" t="n">
        <v>65.52</v>
      </c>
      <c r="C164" s="25">
        <f>Table13[[#This Row],[PMI]]-B163</f>
        <v/>
      </c>
    </row>
    <row r="165">
      <c r="A165" s="10" t="n">
        <v>39173</v>
      </c>
      <c r="B165" s="25" t="n">
        <v>63.43</v>
      </c>
      <c r="C165" s="25">
        <f>Table13[[#This Row],[PMI]]-B164</f>
        <v/>
      </c>
    </row>
    <row r="166">
      <c r="A166" s="10" t="n">
        <v>39203</v>
      </c>
      <c r="B166" s="25" t="n">
        <v>62.81</v>
      </c>
      <c r="C166" s="25">
        <f>Table13[[#This Row],[PMI]]-B165</f>
        <v/>
      </c>
    </row>
    <row r="167">
      <c r="A167" s="10" t="n">
        <v>39234</v>
      </c>
      <c r="B167" s="25" t="n">
        <v>59.06</v>
      </c>
      <c r="C167" s="25">
        <f>Table13[[#This Row],[PMI]]-B166</f>
        <v/>
      </c>
    </row>
    <row r="168">
      <c r="A168" s="10" t="n">
        <v>39264</v>
      </c>
      <c r="B168" s="25" t="n">
        <v>63.94</v>
      </c>
      <c r="C168" s="25">
        <f>Table13[[#This Row],[PMI]]-B167</f>
        <v/>
      </c>
    </row>
    <row r="169">
      <c r="A169" s="10" t="n">
        <v>39295</v>
      </c>
      <c r="B169" s="25" t="n">
        <v>55.08</v>
      </c>
      <c r="C169" s="25">
        <f>Table13[[#This Row],[PMI]]-B168</f>
        <v/>
      </c>
    </row>
    <row r="170">
      <c r="A170" s="10" t="n">
        <v>39326</v>
      </c>
      <c r="B170" s="25" t="n">
        <v>57.16</v>
      </c>
      <c r="C170" s="25">
        <f>Table13[[#This Row],[PMI]]-B169</f>
        <v/>
      </c>
    </row>
    <row r="171">
      <c r="A171" s="10" t="n">
        <v>39356</v>
      </c>
      <c r="B171" s="25" t="n">
        <v>59.94</v>
      </c>
      <c r="C171" s="25">
        <f>Table13[[#This Row],[PMI]]-B170</f>
        <v/>
      </c>
    </row>
    <row r="172">
      <c r="A172" s="10" t="n">
        <v>39387</v>
      </c>
      <c r="B172" s="25" t="n">
        <v>57.03</v>
      </c>
      <c r="C172" s="25">
        <f>Table13[[#This Row],[PMI]]-B171</f>
        <v/>
      </c>
    </row>
    <row r="173">
      <c r="A173" s="10" t="n">
        <v>39417</v>
      </c>
      <c r="B173" s="25" t="n">
        <v>55.62</v>
      </c>
      <c r="C173" s="25">
        <f>Table13[[#This Row],[PMI]]-B172</f>
        <v/>
      </c>
    </row>
    <row r="174">
      <c r="A174" s="10" t="n">
        <v>39448</v>
      </c>
      <c r="B174" s="25" t="n">
        <v>56.34</v>
      </c>
      <c r="C174" s="25">
        <f>Table13[[#This Row],[PMI]]-B173</f>
        <v/>
      </c>
    </row>
    <row r="175">
      <c r="A175" s="10" t="n">
        <v>39479</v>
      </c>
      <c r="B175" s="25" t="n">
        <v>64.81999999999999</v>
      </c>
      <c r="C175" s="25">
        <f>Table13[[#This Row],[PMI]]-B174</f>
        <v/>
      </c>
    </row>
    <row r="176">
      <c r="A176" s="10" t="n">
        <v>39508</v>
      </c>
      <c r="B176" s="25" t="n">
        <v>57.03</v>
      </c>
      <c r="C176" s="25">
        <f>Table13[[#This Row],[PMI]]-B175</f>
        <v/>
      </c>
    </row>
    <row r="177">
      <c r="A177" s="10" t="n">
        <v>39539</v>
      </c>
      <c r="B177" s="25" t="n">
        <v>44.91</v>
      </c>
      <c r="C177" s="25">
        <f>Table13[[#This Row],[PMI]]-B176</f>
        <v/>
      </c>
    </row>
    <row r="178">
      <c r="A178" s="10" t="n">
        <v>39569</v>
      </c>
      <c r="B178" s="25" t="n">
        <v>66.78</v>
      </c>
      <c r="C178" s="25">
        <f>Table13[[#This Row],[PMI]]-B177</f>
        <v/>
      </c>
    </row>
    <row r="179">
      <c r="A179" s="10" t="n">
        <v>39600</v>
      </c>
      <c r="B179" s="25" t="n">
        <v>62.6</v>
      </c>
      <c r="C179" s="25">
        <f>Table13[[#This Row],[PMI]]-B178</f>
        <v/>
      </c>
    </row>
    <row r="180">
      <c r="A180" s="10" t="n">
        <v>39630</v>
      </c>
      <c r="B180" s="25" t="n">
        <v>38.91</v>
      </c>
      <c r="C180" s="25">
        <f>Table13[[#This Row],[PMI]]-B179</f>
        <v/>
      </c>
    </row>
    <row r="181">
      <c r="A181" s="10" t="n">
        <v>39661</v>
      </c>
      <c r="B181" s="25" t="n">
        <v>48.73</v>
      </c>
      <c r="C181" s="25">
        <f>Table13[[#This Row],[PMI]]-B180</f>
        <v/>
      </c>
    </row>
    <row r="182">
      <c r="A182" s="10" t="n">
        <v>39692</v>
      </c>
      <c r="B182" s="25" t="n">
        <v>52.91</v>
      </c>
      <c r="C182" s="25">
        <f>Table13[[#This Row],[PMI]]-B181</f>
        <v/>
      </c>
    </row>
    <row r="183">
      <c r="A183" s="10" t="n">
        <v>39722</v>
      </c>
      <c r="B183" s="25" t="n">
        <v>40.79</v>
      </c>
      <c r="C183" s="25">
        <f>Table13[[#This Row],[PMI]]-B182</f>
        <v/>
      </c>
    </row>
    <row r="184">
      <c r="A184" s="10" t="n">
        <v>39753</v>
      </c>
      <c r="B184" s="25" t="n">
        <v>45.47</v>
      </c>
      <c r="C184" s="25">
        <f>Table13[[#This Row],[PMI]]-B183</f>
        <v/>
      </c>
    </row>
    <row r="185">
      <c r="A185" s="10" t="n">
        <v>39783</v>
      </c>
      <c r="B185" s="25" t="n">
        <v>40.3</v>
      </c>
      <c r="C185" s="25">
        <f>Table13[[#This Row],[PMI]]-B184</f>
        <v/>
      </c>
    </row>
    <row r="186">
      <c r="A186" s="10" t="n">
        <v>39814</v>
      </c>
      <c r="B186" s="25" t="n">
        <v>25.32</v>
      </c>
      <c r="C186" s="25">
        <f>Table13[[#This Row],[PMI]]-B185</f>
        <v/>
      </c>
    </row>
    <row r="187">
      <c r="A187" s="10" t="n">
        <v>39845</v>
      </c>
      <c r="B187" s="25" t="n">
        <v>25.02</v>
      </c>
      <c r="C187" s="25">
        <f>Table13[[#This Row],[PMI]]-B186</f>
        <v/>
      </c>
    </row>
    <row r="188">
      <c r="A188" s="10" t="n">
        <v>39873</v>
      </c>
      <c r="B188" s="25" t="n">
        <v>30.56</v>
      </c>
      <c r="C188" s="25">
        <f>Table13[[#This Row],[PMI]]-B187</f>
        <v/>
      </c>
    </row>
    <row r="189">
      <c r="A189" s="10" t="n">
        <v>39904</v>
      </c>
      <c r="B189" s="25" t="n">
        <v>34.45</v>
      </c>
      <c r="C189" s="25">
        <f>Table13[[#This Row],[PMI]]-B188</f>
        <v/>
      </c>
    </row>
    <row r="190">
      <c r="A190" s="10" t="n">
        <v>39934</v>
      </c>
      <c r="B190" s="25" t="n">
        <v>27.75</v>
      </c>
      <c r="C190" s="25">
        <f>Table13[[#This Row],[PMI]]-B189</f>
        <v/>
      </c>
    </row>
    <row r="191">
      <c r="A191" s="10" t="n">
        <v>39965</v>
      </c>
      <c r="B191" s="25" t="n">
        <v>42</v>
      </c>
      <c r="C191" s="25">
        <f>Table13[[#This Row],[PMI]]-B190</f>
        <v/>
      </c>
    </row>
    <row r="192">
      <c r="A192" s="10" t="n">
        <v>39995</v>
      </c>
      <c r="B192" s="25" t="n">
        <v>47.7</v>
      </c>
      <c r="C192" s="25">
        <f>Table13[[#This Row],[PMI]]-B191</f>
        <v/>
      </c>
    </row>
    <row r="193">
      <c r="A193" s="10" t="n">
        <v>40026</v>
      </c>
      <c r="B193" s="25" t="n">
        <v>42.59</v>
      </c>
      <c r="C193" s="25">
        <f>Table13[[#This Row],[PMI]]-B192</f>
        <v/>
      </c>
    </row>
    <row r="194">
      <c r="A194" s="10" t="n">
        <v>40057</v>
      </c>
      <c r="B194" s="25" t="n">
        <v>42.73</v>
      </c>
      <c r="C194" s="25">
        <f>Table13[[#This Row],[PMI]]-B193</f>
        <v/>
      </c>
    </row>
    <row r="195">
      <c r="A195" s="10" t="n">
        <v>40087</v>
      </c>
      <c r="B195" s="25" t="n">
        <v>49.89</v>
      </c>
      <c r="C195" s="25">
        <f>Table13[[#This Row],[PMI]]-B194</f>
        <v/>
      </c>
    </row>
    <row r="196">
      <c r="A196" s="10" t="n">
        <v>40118</v>
      </c>
      <c r="B196" s="25" t="n">
        <v>50.67</v>
      </c>
      <c r="C196" s="25">
        <f>Table13[[#This Row],[PMI]]-B195</f>
        <v/>
      </c>
    </row>
    <row r="197">
      <c r="A197" s="10" t="n">
        <v>40148</v>
      </c>
      <c r="B197" s="25" t="n">
        <v>49.48</v>
      </c>
      <c r="C197" s="25">
        <f>Table13[[#This Row],[PMI]]-B196</f>
        <v/>
      </c>
    </row>
    <row r="198">
      <c r="A198" s="10" t="n">
        <v>40179</v>
      </c>
      <c r="B198" s="25" t="n">
        <v>50.96</v>
      </c>
      <c r="C198" s="25">
        <f>Table13[[#This Row],[PMI]]-B197</f>
        <v/>
      </c>
    </row>
    <row r="199">
      <c r="A199" s="10" t="n">
        <v>40210</v>
      </c>
      <c r="B199" s="25" t="n">
        <v>48.93</v>
      </c>
      <c r="C199" s="25">
        <f>Table13[[#This Row],[PMI]]-B198</f>
        <v/>
      </c>
    </row>
    <row r="200">
      <c r="A200" s="10" t="n">
        <v>40238</v>
      </c>
      <c r="B200" s="25" t="n">
        <v>51.66</v>
      </c>
      <c r="C200" s="25">
        <f>Table13[[#This Row],[PMI]]-B199</f>
        <v/>
      </c>
    </row>
    <row r="201">
      <c r="A201" s="10" t="n">
        <v>40269</v>
      </c>
      <c r="B201" s="25" t="n">
        <v>49.02</v>
      </c>
      <c r="C201" s="25">
        <f>Table13[[#This Row],[PMI]]-B200</f>
        <v/>
      </c>
    </row>
    <row r="202">
      <c r="A202" s="10" t="n">
        <v>40299</v>
      </c>
      <c r="B202" s="25" t="n">
        <v>51.33</v>
      </c>
      <c r="C202" s="25">
        <f>Table13[[#This Row],[PMI]]-B201</f>
        <v/>
      </c>
    </row>
    <row r="203">
      <c r="A203" s="10" t="n">
        <v>40330</v>
      </c>
      <c r="B203" s="25" t="n">
        <v>50.2</v>
      </c>
      <c r="C203" s="25">
        <f>Table13[[#This Row],[PMI]]-B202</f>
        <v/>
      </c>
    </row>
    <row r="204">
      <c r="A204" s="10" t="n">
        <v>40360</v>
      </c>
      <c r="B204" s="25" t="n">
        <v>54.3</v>
      </c>
      <c r="C204" s="25">
        <f>Table13[[#This Row],[PMI]]-B203</f>
        <v/>
      </c>
    </row>
    <row r="205">
      <c r="A205" s="10" t="n">
        <v>40391</v>
      </c>
      <c r="B205" s="25" t="n">
        <v>54.73</v>
      </c>
      <c r="C205" s="25">
        <f>Table13[[#This Row],[PMI]]-B204</f>
        <v/>
      </c>
    </row>
    <row r="206">
      <c r="A206" s="10" t="n">
        <v>40422</v>
      </c>
      <c r="B206" s="25" t="n">
        <v>56.27</v>
      </c>
      <c r="C206" s="25">
        <f>Table13[[#This Row],[PMI]]-B205</f>
        <v/>
      </c>
    </row>
    <row r="207">
      <c r="A207" s="10" t="n">
        <v>40452</v>
      </c>
      <c r="B207" s="25" t="n">
        <v>56.89</v>
      </c>
      <c r="C207" s="25">
        <f>Table13[[#This Row],[PMI]]-B206</f>
        <v/>
      </c>
    </row>
    <row r="208">
      <c r="A208" s="10" t="n">
        <v>40483</v>
      </c>
      <c r="B208" s="25" t="n">
        <v>55.8</v>
      </c>
      <c r="C208" s="25">
        <f>Table13[[#This Row],[PMI]]-B207</f>
        <v/>
      </c>
    </row>
    <row r="209">
      <c r="A209" s="10" t="n">
        <v>40513</v>
      </c>
      <c r="B209" s="25" t="n">
        <v>62.4</v>
      </c>
      <c r="C209" s="25">
        <f>Table13[[#This Row],[PMI]]-B208</f>
        <v/>
      </c>
    </row>
    <row r="210">
      <c r="A210" s="10" t="n">
        <v>40544</v>
      </c>
      <c r="B210" s="25" t="n">
        <v>57.21</v>
      </c>
      <c r="C210" s="25">
        <f>Table13[[#This Row],[PMI]]-B209</f>
        <v/>
      </c>
    </row>
    <row r="211">
      <c r="A211" s="10" t="n">
        <v>40575</v>
      </c>
      <c r="B211" s="25" t="n">
        <v>60.78</v>
      </c>
      <c r="C211" s="25">
        <f>Table13[[#This Row],[PMI]]-B210</f>
        <v/>
      </c>
    </row>
    <row r="212">
      <c r="A212" s="10" t="n">
        <v>40603</v>
      </c>
      <c r="B212" s="25" t="n">
        <v>62.07</v>
      </c>
      <c r="C212" s="25">
        <f>Table13[[#This Row],[PMI]]-B211</f>
        <v/>
      </c>
    </row>
    <row r="213">
      <c r="A213" s="10" t="n">
        <v>40634</v>
      </c>
      <c r="B213" s="25" t="n">
        <v>63.05</v>
      </c>
      <c r="C213" s="25">
        <f>Table13[[#This Row],[PMI]]-B212</f>
        <v/>
      </c>
    </row>
    <row r="214">
      <c r="A214" s="10" t="n">
        <v>40664</v>
      </c>
      <c r="B214" s="25" t="n">
        <v>58.59</v>
      </c>
      <c r="C214" s="25">
        <f>Table13[[#This Row],[PMI]]-B213</f>
        <v/>
      </c>
    </row>
    <row r="215">
      <c r="A215" s="10" t="n">
        <v>40695</v>
      </c>
      <c r="B215" s="25" t="n">
        <v>58.05</v>
      </c>
      <c r="C215" s="25">
        <f>Table13[[#This Row],[PMI]]-B214</f>
        <v/>
      </c>
    </row>
    <row r="216">
      <c r="A216" s="10" t="n">
        <v>40725</v>
      </c>
      <c r="B216" s="25" t="n">
        <v>58.37</v>
      </c>
      <c r="C216" s="25">
        <f>Table13[[#This Row],[PMI]]-B215</f>
        <v/>
      </c>
    </row>
    <row r="217">
      <c r="A217" s="10" t="n">
        <v>40756</v>
      </c>
      <c r="B217" s="25" t="n">
        <v>55.07</v>
      </c>
      <c r="C217" s="25">
        <f>Table13[[#This Row],[PMI]]-B216</f>
        <v/>
      </c>
    </row>
    <row r="218">
      <c r="A218" s="10" t="n">
        <v>40787</v>
      </c>
      <c r="B218" s="25" t="n">
        <v>64.40000000000001</v>
      </c>
      <c r="C218" s="25">
        <f>Table13[[#This Row],[PMI]]-B217</f>
        <v/>
      </c>
    </row>
    <row r="219">
      <c r="A219" s="10" t="n">
        <v>40817</v>
      </c>
      <c r="B219" s="25" t="n">
        <v>43.91</v>
      </c>
      <c r="C219" s="25">
        <f>Table13[[#This Row],[PMI]]-B218</f>
        <v/>
      </c>
    </row>
    <row r="220">
      <c r="A220" s="10" t="n">
        <v>40848</v>
      </c>
      <c r="B220" s="25" t="n">
        <v>47.79</v>
      </c>
      <c r="C220" s="25">
        <f>Table13[[#This Row],[PMI]]-B219</f>
        <v/>
      </c>
    </row>
    <row r="221">
      <c r="A221" s="10" t="n">
        <v>40878</v>
      </c>
      <c r="B221" s="25" t="n">
        <v>58.44</v>
      </c>
      <c r="C221" s="25">
        <f>Table13[[#This Row],[PMI]]-B220</f>
        <v/>
      </c>
    </row>
    <row r="222">
      <c r="A222" s="10" t="n">
        <v>40909</v>
      </c>
      <c r="B222" s="25" t="n">
        <v>52.12</v>
      </c>
      <c r="C222" s="25">
        <f>Table13[[#This Row],[PMI]]-B221</f>
        <v/>
      </c>
    </row>
    <row r="223">
      <c r="A223" s="10" t="n">
        <v>40940</v>
      </c>
      <c r="B223" s="25" t="n">
        <v>53.88</v>
      </c>
      <c r="C223" s="25">
        <f>Table13[[#This Row],[PMI]]-B222</f>
        <v/>
      </c>
    </row>
    <row r="224">
      <c r="A224" s="10" t="n">
        <v>40969</v>
      </c>
      <c r="B224" s="25" t="n">
        <v>50.34</v>
      </c>
      <c r="C224" s="25">
        <f>Table13[[#This Row],[PMI]]-B223</f>
        <v/>
      </c>
    </row>
    <row r="225">
      <c r="A225" s="10" t="n">
        <v>41000</v>
      </c>
      <c r="B225" s="25" t="n">
        <v>63.6</v>
      </c>
      <c r="C225" s="25">
        <f>Table13[[#This Row],[PMI]]-B224</f>
        <v/>
      </c>
    </row>
    <row r="226">
      <c r="A226" s="10" t="n">
        <v>41030</v>
      </c>
      <c r="B226" s="25" t="n">
        <v>51.42</v>
      </c>
      <c r="C226" s="25">
        <f>Table13[[#This Row],[PMI]]-B225</f>
        <v/>
      </c>
    </row>
    <row r="227">
      <c r="A227" s="10" t="n">
        <v>41061</v>
      </c>
      <c r="B227" s="25" t="n">
        <v>52.69</v>
      </c>
      <c r="C227" s="25">
        <f>Table13[[#This Row],[PMI]]-B226</f>
        <v/>
      </c>
    </row>
    <row r="228">
      <c r="A228" s="10" t="n">
        <v>41091</v>
      </c>
      <c r="B228" s="25" t="n">
        <v>47.21</v>
      </c>
      <c r="C228" s="25">
        <f>Table13[[#This Row],[PMI]]-B227</f>
        <v/>
      </c>
    </row>
    <row r="229">
      <c r="A229" s="10" t="n">
        <v>41122</v>
      </c>
      <c r="B229" s="25" t="n">
        <v>51.06</v>
      </c>
      <c r="C229" s="25">
        <f>Table13[[#This Row],[PMI]]-B228</f>
        <v/>
      </c>
    </row>
    <row r="230">
      <c r="A230" s="10" t="n">
        <v>41153</v>
      </c>
      <c r="B230" s="25" t="n">
        <v>52.09</v>
      </c>
      <c r="C230" s="25">
        <f>Table13[[#This Row],[PMI]]-B229</f>
        <v/>
      </c>
    </row>
    <row r="231">
      <c r="A231" s="10" t="n">
        <v>41183</v>
      </c>
      <c r="B231" s="25" t="n">
        <v>57.41</v>
      </c>
      <c r="C231" s="25">
        <f>Table13[[#This Row],[PMI]]-B230</f>
        <v/>
      </c>
    </row>
    <row r="232">
      <c r="A232" s="10" t="n">
        <v>41214</v>
      </c>
      <c r="B232" s="25" t="n">
        <v>56.29</v>
      </c>
      <c r="C232" s="25">
        <f>Table13[[#This Row],[PMI]]-B231</f>
        <v/>
      </c>
    </row>
    <row r="233">
      <c r="A233" s="10" t="n">
        <v>41244</v>
      </c>
      <c r="B233" s="25" t="n">
        <v>57.62</v>
      </c>
      <c r="C233" s="25">
        <f>Table13[[#This Row],[PMI]]-B232</f>
        <v/>
      </c>
    </row>
    <row r="234">
      <c r="A234" s="10" t="n">
        <v>41275</v>
      </c>
      <c r="B234" s="25" t="n">
        <v>55.27</v>
      </c>
      <c r="C234" s="25">
        <f>Table13[[#This Row],[PMI]]-B233</f>
        <v/>
      </c>
    </row>
    <row r="235">
      <c r="A235" s="10" t="n">
        <v>41306</v>
      </c>
      <c r="B235" s="25" t="n">
        <v>61.23</v>
      </c>
      <c r="C235" s="25">
        <f>Table13[[#This Row],[PMI]]-B234</f>
        <v/>
      </c>
    </row>
    <row r="236">
      <c r="A236" s="10" t="n">
        <v>41334</v>
      </c>
      <c r="B236" s="25" t="n">
        <v>49.81</v>
      </c>
      <c r="C236" s="25">
        <f>Table13[[#This Row],[PMI]]-B235</f>
        <v/>
      </c>
    </row>
    <row r="237">
      <c r="A237" s="10" t="n">
        <v>41365</v>
      </c>
      <c r="B237" s="25" t="n">
        <v>49.29</v>
      </c>
      <c r="C237" s="25">
        <f>Table13[[#This Row],[PMI]]-B236</f>
        <v/>
      </c>
    </row>
    <row r="238">
      <c r="A238" s="10" t="n">
        <v>41395</v>
      </c>
      <c r="B238" s="25" t="n">
        <v>54.75</v>
      </c>
      <c r="C238" s="25">
        <f>Table13[[#This Row],[PMI]]-B237</f>
        <v/>
      </c>
    </row>
    <row r="239">
      <c r="A239" s="10" t="n">
        <v>41426</v>
      </c>
      <c r="B239" s="25" t="n">
        <v>57.73</v>
      </c>
      <c r="C239" s="25">
        <f>Table13[[#This Row],[PMI]]-B238</f>
        <v/>
      </c>
    </row>
    <row r="240">
      <c r="A240" s="10" t="n">
        <v>41456</v>
      </c>
      <c r="B240" s="25" t="n">
        <v>59.18</v>
      </c>
      <c r="C240" s="25">
        <f>Table13[[#This Row],[PMI]]-B239</f>
        <v/>
      </c>
    </row>
    <row r="241">
      <c r="A241" s="10" t="n">
        <v>41487</v>
      </c>
      <c r="B241" s="25" t="n">
        <v>60.29</v>
      </c>
      <c r="C241" s="25">
        <f>Table13[[#This Row],[PMI]]-B240</f>
        <v/>
      </c>
    </row>
    <row r="242">
      <c r="A242" s="10" t="n">
        <v>41518</v>
      </c>
      <c r="B242" s="25" t="n">
        <v>55.74</v>
      </c>
      <c r="C242" s="25">
        <f>Table13[[#This Row],[PMI]]-B241</f>
        <v/>
      </c>
    </row>
    <row r="243">
      <c r="A243" s="10" t="n">
        <v>41548</v>
      </c>
      <c r="B243" s="25" t="n">
        <v>55.71</v>
      </c>
      <c r="C243" s="25">
        <f>Table13[[#This Row],[PMI]]-B242</f>
        <v/>
      </c>
    </row>
    <row r="244">
      <c r="A244" s="10" t="n">
        <v>41579</v>
      </c>
      <c r="B244" s="25" t="n">
        <v>57.85</v>
      </c>
      <c r="C244" s="25">
        <f>Table13[[#This Row],[PMI]]-B243</f>
        <v/>
      </c>
    </row>
    <row r="245">
      <c r="A245" s="10" t="n">
        <v>41609</v>
      </c>
      <c r="B245" s="25" t="n">
        <v>53.45</v>
      </c>
      <c r="C245" s="25">
        <f>Table13[[#This Row],[PMI]]-B244</f>
        <v/>
      </c>
    </row>
    <row r="246">
      <c r="A246" s="10" t="n">
        <v>41640</v>
      </c>
      <c r="B246" s="25" t="n">
        <v>55.6</v>
      </c>
      <c r="C246" s="25">
        <f>Table13[[#This Row],[PMI]]-B245</f>
        <v/>
      </c>
    </row>
    <row r="247">
      <c r="A247" s="10" t="n">
        <v>41671</v>
      </c>
      <c r="B247" s="25" t="n">
        <v>56.77</v>
      </c>
      <c r="C247" s="25">
        <f>Table13[[#This Row],[PMI]]-B246</f>
        <v/>
      </c>
    </row>
    <row r="248">
      <c r="A248" s="10" t="n">
        <v>41699</v>
      </c>
      <c r="B248" s="25" t="n">
        <v>60.3</v>
      </c>
      <c r="C248" s="25">
        <f>Table13[[#This Row],[PMI]]-B247</f>
        <v/>
      </c>
    </row>
    <row r="249">
      <c r="A249" s="10" t="n">
        <v>41730</v>
      </c>
      <c r="B249" s="25" t="n">
        <v>60.5</v>
      </c>
      <c r="C249" s="25">
        <f>Table13[[#This Row],[PMI]]-B248</f>
        <v/>
      </c>
    </row>
    <row r="250">
      <c r="A250" s="10" t="n">
        <v>41760</v>
      </c>
      <c r="B250" s="25" t="n">
        <v>58.71</v>
      </c>
      <c r="C250" s="25">
        <f>Table13[[#This Row],[PMI]]-B249</f>
        <v/>
      </c>
    </row>
    <row r="251">
      <c r="A251" s="10" t="n">
        <v>41791</v>
      </c>
      <c r="B251" s="25" t="n">
        <v>51.76</v>
      </c>
      <c r="C251" s="25">
        <f>Table13[[#This Row],[PMI]]-B250</f>
        <v/>
      </c>
    </row>
    <row r="252">
      <c r="A252" s="10" t="n">
        <v>41821</v>
      </c>
      <c r="B252" s="25" t="n">
        <v>49.75</v>
      </c>
      <c r="C252" s="25">
        <f>Table13[[#This Row],[PMI]]-B251</f>
        <v/>
      </c>
    </row>
    <row r="253">
      <c r="A253" s="10" t="n">
        <v>41852</v>
      </c>
      <c r="B253" s="25" t="n">
        <v>48.13</v>
      </c>
      <c r="C253" s="25">
        <f>Table13[[#This Row],[PMI]]-B252</f>
        <v/>
      </c>
    </row>
    <row r="254">
      <c r="A254" s="10" t="n">
        <v>41883</v>
      </c>
      <c r="B254" s="25" t="n">
        <v>51.33</v>
      </c>
      <c r="C254" s="25">
        <f>Table13[[#This Row],[PMI]]-B253</f>
        <v/>
      </c>
    </row>
    <row r="255">
      <c r="A255" s="10" t="n">
        <v>41913</v>
      </c>
      <c r="B255" s="25" t="n">
        <v>54.04</v>
      </c>
      <c r="C255" s="25">
        <f>Table13[[#This Row],[PMI]]-B254</f>
        <v/>
      </c>
    </row>
    <row r="256">
      <c r="A256" s="10" t="n">
        <v>41944</v>
      </c>
      <c r="B256" s="25" t="n">
        <v>51.5</v>
      </c>
      <c r="C256" s="25">
        <f>Table13[[#This Row],[PMI]]-B255</f>
        <v/>
      </c>
    </row>
    <row r="257">
      <c r="A257" s="10" t="n">
        <v>41974</v>
      </c>
      <c r="B257" s="25" t="n">
        <v>53.85</v>
      </c>
      <c r="C257" s="25">
        <f>Table13[[#This Row],[PMI]]-B256</f>
        <v/>
      </c>
    </row>
    <row r="258">
      <c r="A258" s="10" t="n">
        <v>42005</v>
      </c>
      <c r="B258" s="25" t="n">
        <v>55.25</v>
      </c>
      <c r="C258" s="25">
        <f>Table13[[#This Row],[PMI]]-B257</f>
        <v/>
      </c>
    </row>
    <row r="259">
      <c r="A259" s="10" t="n">
        <v>42036</v>
      </c>
      <c r="B259" s="25" t="n">
        <v>57.96</v>
      </c>
      <c r="C259" s="25">
        <f>Table13[[#This Row],[PMI]]-B258</f>
        <v/>
      </c>
    </row>
    <row r="260">
      <c r="A260" s="10" t="n">
        <v>42064</v>
      </c>
      <c r="B260" s="25" t="n">
        <v>58.54</v>
      </c>
      <c r="C260" s="25">
        <f>Table13[[#This Row],[PMI]]-B259</f>
        <v/>
      </c>
    </row>
    <row r="261">
      <c r="A261" s="10" t="n">
        <v>42095</v>
      </c>
      <c r="B261" s="25" t="n">
        <v>53.3</v>
      </c>
      <c r="C261" s="25">
        <f>Table13[[#This Row],[PMI]]-B260</f>
        <v/>
      </c>
    </row>
    <row r="262">
      <c r="A262" s="10" t="n">
        <v>42125</v>
      </c>
      <c r="B262" s="25" t="n">
        <v>52.73</v>
      </c>
      <c r="C262" s="25">
        <f>Table13[[#This Row],[PMI]]-B261</f>
        <v/>
      </c>
    </row>
    <row r="263">
      <c r="A263" s="10" t="n">
        <v>42156</v>
      </c>
      <c r="B263" s="25" t="n">
        <v>54.46</v>
      </c>
      <c r="C263" s="25">
        <f>Table13[[#This Row],[PMI]]-B262</f>
        <v/>
      </c>
    </row>
    <row r="264">
      <c r="A264" s="10" t="n">
        <v>42186</v>
      </c>
      <c r="B264" s="25" t="n">
        <v>52.31</v>
      </c>
      <c r="C264" s="25">
        <f>Table13[[#This Row],[PMI]]-B263</f>
        <v/>
      </c>
    </row>
    <row r="265">
      <c r="A265" s="10" t="n">
        <v>42217</v>
      </c>
      <c r="B265" s="25" t="n">
        <v>62.51</v>
      </c>
      <c r="C265" s="25">
        <f>Table13[[#This Row],[PMI]]-B264</f>
        <v/>
      </c>
    </row>
    <row r="266">
      <c r="A266" s="10" t="n">
        <v>42248</v>
      </c>
      <c r="B266" s="25" t="n">
        <v>69.37</v>
      </c>
      <c r="C266" s="25">
        <f>Table13[[#This Row],[PMI]]-B265</f>
        <v/>
      </c>
    </row>
    <row r="267">
      <c r="A267" s="10" t="n">
        <v>42278</v>
      </c>
      <c r="B267" s="25" t="n">
        <v>55.62</v>
      </c>
      <c r="C267" s="25">
        <f>Table13[[#This Row],[PMI]]-B266</f>
        <v/>
      </c>
    </row>
    <row r="268">
      <c r="A268" s="10" t="n">
        <v>42309</v>
      </c>
      <c r="B268" s="25" t="n">
        <v>61.47</v>
      </c>
      <c r="C268" s="25">
        <f>Table13[[#This Row],[PMI]]-B267</f>
        <v/>
      </c>
    </row>
    <row r="269">
      <c r="A269" s="10" t="n">
        <v>42339</v>
      </c>
      <c r="B269" s="25" t="n">
        <v>54.76</v>
      </c>
      <c r="C269" s="25">
        <f>Table13[[#This Row],[PMI]]-B268</f>
        <v/>
      </c>
    </row>
    <row r="270">
      <c r="A270" s="10" t="n">
        <v>42370</v>
      </c>
      <c r="B270" s="25" t="n">
        <v>54.46</v>
      </c>
      <c r="C270" s="25">
        <f>Table13[[#This Row],[PMI]]-B269</f>
        <v/>
      </c>
    </row>
    <row r="271">
      <c r="A271" s="10" t="n">
        <v>42401</v>
      </c>
      <c r="B271" s="25" t="n">
        <v>50.93</v>
      </c>
      <c r="C271" s="25">
        <f>Table13[[#This Row],[PMI]]-B270</f>
        <v/>
      </c>
    </row>
    <row r="272">
      <c r="A272" s="10" t="n">
        <v>42430</v>
      </c>
      <c r="B272" s="25" t="n">
        <v>55.11</v>
      </c>
      <c r="C272" s="25">
        <f>Table13[[#This Row],[PMI]]-B271</f>
        <v/>
      </c>
    </row>
    <row r="273">
      <c r="A273" s="10" t="n">
        <v>42461</v>
      </c>
      <c r="B273" s="25" t="n">
        <v>63.28</v>
      </c>
      <c r="C273" s="25">
        <f>Table13[[#This Row],[PMI]]-B272</f>
        <v/>
      </c>
    </row>
    <row r="274">
      <c r="A274" s="10" t="n">
        <v>42491</v>
      </c>
      <c r="B274" s="25" t="n">
        <v>61.65</v>
      </c>
      <c r="C274" s="25">
        <f>Table13[[#This Row],[PMI]]-B273</f>
        <v/>
      </c>
    </row>
    <row r="275">
      <c r="A275" s="10" t="n">
        <v>42522</v>
      </c>
      <c r="B275" s="25" t="n">
        <v>59.75</v>
      </c>
      <c r="C275" s="25">
        <f>Table13[[#This Row],[PMI]]-B274</f>
        <v/>
      </c>
    </row>
    <row r="276">
      <c r="A276" s="10" t="n">
        <v>42552</v>
      </c>
      <c r="B276" s="25" t="n">
        <v>59.53</v>
      </c>
      <c r="C276" s="25">
        <f>Table13[[#This Row],[PMI]]-B275</f>
        <v/>
      </c>
    </row>
    <row r="277">
      <c r="A277" s="10" t="n">
        <v>42583</v>
      </c>
      <c r="B277" s="25" t="n">
        <v>53.62</v>
      </c>
      <c r="C277" s="25">
        <f>Table13[[#This Row],[PMI]]-B276</f>
        <v/>
      </c>
    </row>
    <row r="278">
      <c r="A278" s="10" t="n">
        <v>42614</v>
      </c>
      <c r="B278" s="25" t="n">
        <v>58.98</v>
      </c>
      <c r="C278" s="25">
        <f>Table13[[#This Row],[PMI]]-B277</f>
        <v/>
      </c>
    </row>
    <row r="279">
      <c r="A279" s="10" t="n">
        <v>42644</v>
      </c>
      <c r="B279" s="25" t="n">
        <v>57.31</v>
      </c>
      <c r="C279" s="25">
        <f>Table13[[#This Row],[PMI]]-B278</f>
        <v/>
      </c>
    </row>
    <row r="280">
      <c r="A280" s="10" t="n">
        <v>42675</v>
      </c>
      <c r="B280" s="25" t="n">
        <v>57.22</v>
      </c>
      <c r="C280" s="25">
        <f>Table13[[#This Row],[PMI]]-B279</f>
        <v/>
      </c>
    </row>
    <row r="281">
      <c r="A281" s="10" t="n">
        <v>42705</v>
      </c>
      <c r="B281" s="25" t="n">
        <v>62.52</v>
      </c>
      <c r="C281" s="25">
        <f>Table13[[#This Row],[PMI]]-B280</f>
        <v/>
      </c>
    </row>
    <row r="282">
      <c r="A282" s="10" t="n">
        <v>42736</v>
      </c>
      <c r="B282" s="25" t="n">
        <v>57.57</v>
      </c>
      <c r="C282" s="25">
        <f>Table13[[#This Row],[PMI]]-B281</f>
        <v/>
      </c>
    </row>
    <row r="283">
      <c r="A283" s="10" t="n">
        <v>42767</v>
      </c>
      <c r="B283" s="25" t="n">
        <v>56.51</v>
      </c>
      <c r="C283" s="25">
        <f>Table13[[#This Row],[PMI]]-B282</f>
        <v/>
      </c>
    </row>
    <row r="284">
      <c r="A284" s="10" t="n">
        <v>42795</v>
      </c>
      <c r="B284" s="25" t="n">
        <v>56.62</v>
      </c>
      <c r="C284" s="25">
        <f>Table13[[#This Row],[PMI]]-B283</f>
        <v/>
      </c>
    </row>
    <row r="285">
      <c r="A285" s="10" t="n">
        <v>42826</v>
      </c>
      <c r="B285" s="25" t="n">
        <v>49.11</v>
      </c>
      <c r="C285" s="25">
        <f>Table13[[#This Row],[PMI]]-B284</f>
        <v/>
      </c>
    </row>
    <row r="286">
      <c r="A286" s="10" t="n">
        <v>42856</v>
      </c>
      <c r="B286" s="25" t="n">
        <v>57.99</v>
      </c>
      <c r="C286" s="25">
        <f>Table13[[#This Row],[PMI]]-B285</f>
        <v/>
      </c>
    </row>
    <row r="287">
      <c r="A287" s="10" t="n">
        <v>42887</v>
      </c>
      <c r="B287" s="25" t="n">
        <v>63.61</v>
      </c>
      <c r="C287" s="25">
        <f>Table13[[#This Row],[PMI]]-B286</f>
        <v/>
      </c>
    </row>
    <row r="288">
      <c r="A288" s="10" t="n">
        <v>42917</v>
      </c>
      <c r="B288" s="25" t="n">
        <v>63.72</v>
      </c>
      <c r="C288" s="25">
        <f>Table13[[#This Row],[PMI]]-B287</f>
        <v/>
      </c>
    </row>
    <row r="289">
      <c r="A289" s="10" t="n">
        <v>42948</v>
      </c>
      <c r="B289" s="25" t="n">
        <v>60.57</v>
      </c>
      <c r="C289" s="25">
        <f>Table13[[#This Row],[PMI]]-B288</f>
        <v/>
      </c>
    </row>
    <row r="290">
      <c r="A290" s="10" t="n">
        <v>42979</v>
      </c>
      <c r="B290" s="25" t="n">
        <v>61.78</v>
      </c>
      <c r="C290" s="25">
        <f>Table13[[#This Row],[PMI]]-B289</f>
        <v/>
      </c>
    </row>
    <row r="291">
      <c r="A291" s="10" t="n">
        <v>43009</v>
      </c>
      <c r="B291" s="25" t="n">
        <v>58.57</v>
      </c>
      <c r="C291" s="25">
        <f>Table13[[#This Row],[PMI]]-B290</f>
        <v/>
      </c>
    </row>
    <row r="292">
      <c r="A292" s="10" t="n">
        <v>43040</v>
      </c>
      <c r="B292" s="25" t="n">
        <v>58.31</v>
      </c>
      <c r="C292" s="25">
        <f>Table13[[#This Row],[PMI]]-B291</f>
        <v/>
      </c>
    </row>
    <row r="293">
      <c r="A293" s="10" t="n">
        <v>43070</v>
      </c>
      <c r="B293" s="25" t="n">
        <v>61.04</v>
      </c>
      <c r="C293" s="25">
        <f>Table13[[#This Row],[PMI]]-B292</f>
        <v/>
      </c>
    </row>
    <row r="294">
      <c r="A294" s="10" t="n">
        <v>43101</v>
      </c>
      <c r="B294" s="25" t="n">
        <v>66.65000000000001</v>
      </c>
      <c r="C294" s="25">
        <f>Table13[[#This Row],[PMI]]-B293</f>
        <v/>
      </c>
    </row>
    <row r="295">
      <c r="A295" s="10" t="n">
        <v>43132</v>
      </c>
      <c r="B295" s="25" t="n">
        <v>70.75</v>
      </c>
      <c r="C295" s="25">
        <f>Table13[[#This Row],[PMI]]-B294</f>
        <v/>
      </c>
    </row>
    <row r="296">
      <c r="A296" s="10" t="n">
        <v>43160</v>
      </c>
      <c r="B296" s="25" t="n">
        <v>61.05</v>
      </c>
      <c r="C296" s="25">
        <f>Table13[[#This Row],[PMI]]-B295</f>
        <v/>
      </c>
    </row>
    <row r="297">
      <c r="A297" s="10" t="n">
        <v>43191</v>
      </c>
      <c r="B297" s="25" t="n">
        <v>54.24</v>
      </c>
      <c r="C297" s="25">
        <f>Table13[[#This Row],[PMI]]-B296</f>
        <v/>
      </c>
    </row>
    <row r="298">
      <c r="A298" s="10" t="n">
        <v>43221</v>
      </c>
      <c r="B298" s="25" t="n">
        <v>47.78</v>
      </c>
      <c r="C298" s="25">
        <f>Table13[[#This Row],[PMI]]-B297</f>
        <v/>
      </c>
    </row>
    <row r="299">
      <c r="A299" s="10" t="n">
        <v>43252</v>
      </c>
      <c r="B299" s="25" t="n">
        <v>49.8</v>
      </c>
      <c r="C299" s="25">
        <f>Table13[[#This Row],[PMI]]-B298</f>
        <v/>
      </c>
    </row>
    <row r="300">
      <c r="A300" s="10" t="n">
        <v>43282</v>
      </c>
      <c r="B300" s="25" t="n">
        <v>55.7</v>
      </c>
      <c r="C300" s="25">
        <f>Table13[[#This Row],[PMI]]-B299</f>
        <v/>
      </c>
    </row>
    <row r="301">
      <c r="A301" s="10" t="n">
        <v>43313</v>
      </c>
      <c r="B301" s="25" t="n">
        <v>59.15</v>
      </c>
      <c r="C301" s="25">
        <f>Table13[[#This Row],[PMI]]-B300</f>
        <v/>
      </c>
    </row>
    <row r="302">
      <c r="A302" s="10" t="n">
        <v>43344</v>
      </c>
      <c r="B302" s="25" t="n">
        <v>53.7</v>
      </c>
      <c r="C302" s="25">
        <f>Table13[[#This Row],[PMI]]-B301</f>
        <v/>
      </c>
    </row>
    <row r="303">
      <c r="A303" s="10" t="n">
        <v>43374</v>
      </c>
      <c r="B303" s="25" t="n">
        <v>66.8</v>
      </c>
      <c r="C303" s="25">
        <f>Table13[[#This Row],[PMI]]-B302</f>
        <v/>
      </c>
    </row>
    <row r="304">
      <c r="A304" s="10" t="n">
        <v>43405</v>
      </c>
      <c r="B304" s="25" t="n">
        <v>58.2</v>
      </c>
      <c r="C304" s="25">
        <f>Table13[[#This Row],[PMI]]-B303</f>
        <v/>
      </c>
    </row>
    <row r="305">
      <c r="A305" s="10" t="n">
        <v>43435</v>
      </c>
      <c r="B305" s="25" t="n">
        <v>57.5</v>
      </c>
      <c r="C305" s="25">
        <f>Table13[[#This Row],[PMI]]-B304</f>
        <v/>
      </c>
    </row>
    <row r="306">
      <c r="A306" s="10" t="n">
        <v>43466</v>
      </c>
      <c r="B306" s="25" t="n">
        <v>51.1</v>
      </c>
      <c r="C306" s="25">
        <f>Table13[[#This Row],[PMI]]-B305</f>
        <v/>
      </c>
    </row>
    <row r="307">
      <c r="A307" s="10" t="n">
        <v>43497</v>
      </c>
      <c r="B307" s="25" t="n">
        <v>61.6</v>
      </c>
      <c r="C307" s="25">
        <f>Table13[[#This Row],[PMI]]-B306</f>
        <v/>
      </c>
    </row>
    <row r="308">
      <c r="A308" s="10" t="n">
        <v>43525</v>
      </c>
      <c r="B308" s="25" t="n">
        <v>56.6</v>
      </c>
      <c r="C308" s="25">
        <f>Table13[[#This Row],[PMI]]-B307</f>
        <v/>
      </c>
    </row>
    <row r="309">
      <c r="A309" s="10" t="n">
        <v>43556</v>
      </c>
      <c r="B309" s="25" t="n">
        <v>59.6</v>
      </c>
      <c r="C309" s="25">
        <f>Table13[[#This Row],[PMI]]-B308</f>
        <v/>
      </c>
    </row>
    <row r="310">
      <c r="A310" s="10" t="n">
        <v>43586</v>
      </c>
      <c r="B310" s="25" t="n">
        <v>47.6</v>
      </c>
      <c r="C310" s="25">
        <f>Table13[[#This Row],[PMI]]-B309</f>
        <v/>
      </c>
    </row>
    <row r="311">
      <c r="A311" s="10" t="n">
        <v>43617</v>
      </c>
      <c r="B311" s="25" t="n">
        <v>45</v>
      </c>
      <c r="C311" s="25">
        <f>Table13[[#This Row],[PMI]]-B310</f>
        <v/>
      </c>
    </row>
    <row r="312">
      <c r="A312" s="10" t="n">
        <v>43647</v>
      </c>
      <c r="B312" s="25" t="n">
        <v>49.5</v>
      </c>
      <c r="C312" s="25">
        <f>Table13[[#This Row],[PMI]]-B311</f>
        <v/>
      </c>
    </row>
    <row r="313">
      <c r="A313" s="10" t="n">
        <v>43678</v>
      </c>
      <c r="B313" s="25" t="n">
        <v>48.7</v>
      </c>
      <c r="C313" s="25">
        <f>Table13[[#This Row],[PMI]]-B312</f>
        <v/>
      </c>
    </row>
    <row r="314">
      <c r="A314" s="10" t="n">
        <v>43709</v>
      </c>
      <c r="B314" s="25" t="n">
        <v>50.2</v>
      </c>
      <c r="C314" s="25">
        <f>Table13[[#This Row],[PMI]]-B313</f>
        <v/>
      </c>
    </row>
    <row r="315">
      <c r="A315" s="10" t="n">
        <v>43739</v>
      </c>
      <c r="B315" s="25" t="n">
        <v>49.5</v>
      </c>
      <c r="C315" s="25">
        <f>Table13[[#This Row],[PMI]]-B314</f>
        <v/>
      </c>
    </row>
    <row r="316">
      <c r="A316" s="10" t="n">
        <v>43770</v>
      </c>
      <c r="B316" s="25" t="n">
        <v>53</v>
      </c>
      <c r="C316" s="25">
        <f>Table13[[#This Row],[PMI]]-B315</f>
        <v/>
      </c>
    </row>
    <row r="317">
      <c r="A317" s="10" t="n">
        <v>43800</v>
      </c>
      <c r="B317" s="25" t="n">
        <v>50.7</v>
      </c>
      <c r="C317" s="25">
        <f>Table13[[#This Row],[PMI]]-B316</f>
        <v/>
      </c>
    </row>
    <row r="318">
      <c r="A318" s="10" t="n">
        <v>43831</v>
      </c>
      <c r="B318" s="25" t="n">
        <v>53.2</v>
      </c>
      <c r="C318" s="25">
        <f>Table13[[#This Row],[PMI]]-B317</f>
        <v/>
      </c>
    </row>
    <row r="319">
      <c r="A319" s="10" t="n">
        <v>43862</v>
      </c>
      <c r="B319" s="25" t="n">
        <v>49.2</v>
      </c>
      <c r="C319" s="25">
        <f>Table13[[#This Row],[PMI]]-B318</f>
        <v/>
      </c>
    </row>
    <row r="320">
      <c r="A320" s="10" t="n">
        <v>43891</v>
      </c>
      <c r="B320" s="25" t="n">
        <v>46.8</v>
      </c>
      <c r="C320" s="25">
        <f>Table13[[#This Row],[PMI]]-B319</f>
        <v/>
      </c>
    </row>
    <row r="321">
      <c r="A321" s="10" t="n">
        <v>43922</v>
      </c>
      <c r="B321" s="25" t="n">
        <v>38.6</v>
      </c>
      <c r="C321" s="25">
        <f>Table13[[#This Row],[PMI]]-B320</f>
        <v/>
      </c>
    </row>
    <row r="322">
      <c r="A322" s="10" t="n">
        <v>43952</v>
      </c>
      <c r="B322" s="25" t="n">
        <v>54</v>
      </c>
      <c r="C322" s="25">
        <f>Table13[[#This Row],[PMI]]-B321</f>
        <v/>
      </c>
    </row>
    <row r="323">
      <c r="A323" s="10" t="n">
        <v>43983</v>
      </c>
      <c r="B323" s="25" t="n">
        <v>52.2</v>
      </c>
      <c r="C323" s="25">
        <f>Table13[[#This Row],[PMI]]-B322</f>
        <v/>
      </c>
    </row>
    <row r="324">
      <c r="A324" s="10" t="n">
        <v>44013</v>
      </c>
      <c r="B324" s="25" t="n">
        <v>57.4</v>
      </c>
      <c r="C324" s="25">
        <f>Table13[[#This Row],[PMI]]-B323</f>
        <v/>
      </c>
    </row>
    <row r="325">
      <c r="A325" s="10" t="n">
        <v>44044</v>
      </c>
      <c r="B325" s="25" t="n">
        <v>52.3</v>
      </c>
      <c r="C325" s="25">
        <f>Table13[[#This Row],[PMI]]-B324</f>
        <v/>
      </c>
    </row>
    <row r="326">
      <c r="A326" s="10" t="n">
        <v>44075</v>
      </c>
      <c r="B326" s="25" t="n">
        <v>54.4</v>
      </c>
      <c r="C326" s="25">
        <f>Table13[[#This Row],[PMI]]-B325</f>
        <v/>
      </c>
    </row>
    <row r="327">
      <c r="A327" s="10" t="n">
        <v>44105</v>
      </c>
      <c r="B327" s="25" t="n">
        <v>61.8</v>
      </c>
      <c r="C327" s="25">
        <f>Table13[[#This Row],[PMI]]-B326</f>
        <v/>
      </c>
    </row>
    <row r="328">
      <c r="A328" s="10" t="n">
        <v>44136</v>
      </c>
      <c r="B328" s="25" t="n">
        <v>47.7</v>
      </c>
      <c r="C328" s="25">
        <f>Table13[[#This Row],[PMI]]-B327</f>
        <v/>
      </c>
    </row>
    <row r="329">
      <c r="A329" s="10" t="n">
        <v>44166</v>
      </c>
      <c r="B329" s="25" t="n">
        <v>41.9</v>
      </c>
      <c r="C329" s="25">
        <f>Table13[[#This Row],[PMI]]-B328</f>
        <v/>
      </c>
    </row>
    <row r="330">
      <c r="A330" s="10" t="n">
        <v>44197</v>
      </c>
      <c r="B330" s="25" t="n">
        <v>42.1</v>
      </c>
      <c r="C330" s="25">
        <f>Table13[[#This Row],[PMI]]-B329</f>
        <v/>
      </c>
    </row>
    <row r="331">
      <c r="A331" s="10" t="n">
        <v>44228</v>
      </c>
      <c r="B331" s="25" t="n">
        <v>40.8</v>
      </c>
      <c r="C331" s="25">
        <f>Table13[[#This Row],[PMI]]-B330</f>
        <v/>
      </c>
    </row>
    <row r="332">
      <c r="A332" s="10" t="n">
        <v>44256</v>
      </c>
      <c r="B332" s="25" t="n">
        <v>67.59999999999999</v>
      </c>
      <c r="C332" s="25">
        <f>Table13[[#This Row],[PMI]]-B331</f>
        <v/>
      </c>
    </row>
    <row r="333">
      <c r="A333" s="10" t="n">
        <v>44287</v>
      </c>
      <c r="B333" s="25" t="n">
        <v>72</v>
      </c>
      <c r="C333" s="25">
        <f>Table13[[#This Row],[PMI]]-B332</f>
        <v/>
      </c>
    </row>
    <row r="334">
      <c r="A334" s="10" t="n">
        <v>44317</v>
      </c>
      <c r="B334" s="25" t="n">
        <v>67.7</v>
      </c>
      <c r="C334" s="25">
        <f>Table13[[#This Row],[PMI]]-B333</f>
        <v/>
      </c>
    </row>
    <row r="335">
      <c r="A335" s="10" t="n">
        <v>44348</v>
      </c>
      <c r="B335" s="25" t="n">
        <v>62.1</v>
      </c>
      <c r="C335" s="25">
        <f>Table13[[#This Row],[PMI]]-B334</f>
        <v/>
      </c>
    </row>
    <row r="336">
      <c r="A336" s="10" t="n">
        <v>44378</v>
      </c>
      <c r="B336" s="25" t="n">
        <v>69.8</v>
      </c>
      <c r="C336" s="25">
        <f>Table13[[#This Row],[PMI]]-B335</f>
        <v/>
      </c>
    </row>
    <row r="337">
      <c r="A337" s="10" t="n">
        <v>44409</v>
      </c>
      <c r="B337" s="25" t="n">
        <v>67.3</v>
      </c>
      <c r="C337" s="25">
        <f>Table13[[#This Row],[PMI]]-B336</f>
        <v/>
      </c>
    </row>
    <row r="338">
      <c r="A338" s="10" t="n">
        <v>44440</v>
      </c>
      <c r="B338" s="25" t="n">
        <v>65.2</v>
      </c>
      <c r="C338" s="25">
        <f>Table13[[#This Row],[PMI]]-B337</f>
        <v/>
      </c>
    </row>
    <row r="339">
      <c r="A339" s="10" t="n">
        <v>44470</v>
      </c>
      <c r="B339" s="25" t="n">
        <v>71.90000000000001</v>
      </c>
      <c r="C339" s="25">
        <f>Table13[[#This Row],[PMI]]-B338</f>
        <v/>
      </c>
    </row>
    <row r="340">
      <c r="A340" s="10" t="n">
        <v>44501</v>
      </c>
      <c r="B340" s="25" t="n">
        <v>68.2</v>
      </c>
      <c r="C340" s="25">
        <f>Table13[[#This Row],[PMI]]-B339</f>
        <v/>
      </c>
    </row>
    <row r="341">
      <c r="A341" s="10" t="n">
        <v>44531</v>
      </c>
      <c r="B341" s="25" t="n">
        <v>64.40000000000001</v>
      </c>
      <c r="C341" s="25">
        <f>Table13[[#This Row],[PMI]]-B340</f>
        <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19"/>
  <sheetViews>
    <sheetView zoomScale="160" zoomScaleNormal="160" workbookViewId="0">
      <pane ySplit="5" topLeftCell="A83" activePane="bottomLeft" state="frozen"/>
      <selection activeCell="P121" sqref="P121"/>
      <selection pane="bottomLeft" activeCell="P121" sqref="P121"/>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Vietnam</t>
        </is>
      </c>
      <c r="K1" s="84" t="inlineStr">
        <is>
          <t xml:space="preserve"> Manufacturing PMI</t>
        </is>
      </c>
    </row>
    <row r="2">
      <c r="A2" s="84" t="inlineStr">
        <is>
          <t>vietnam</t>
        </is>
      </c>
      <c r="K2" s="84">
        <f>A1&amp;K1</f>
        <v/>
      </c>
    </row>
    <row r="4" ht="16" customHeight="1" s="76" thickBot="1"/>
    <row r="5" ht="16" customHeight="1" s="76" thickBot="1">
      <c r="A5" s="22" t="inlineStr">
        <is>
          <t>Date</t>
        </is>
      </c>
      <c r="B5" s="23" t="inlineStr">
        <is>
          <t>PMI</t>
        </is>
      </c>
      <c r="C5" s="23" t="inlineStr">
        <is>
          <t>mom</t>
        </is>
      </c>
    </row>
    <row r="6">
      <c r="A6" s="18" t="n">
        <v>41091</v>
      </c>
      <c r="B6" s="19" t="n">
        <v>43.6</v>
      </c>
      <c r="C6" s="19" t="n"/>
    </row>
    <row r="7">
      <c r="A7" s="10" t="n">
        <v>41122</v>
      </c>
      <c r="B7" s="25" t="n">
        <v>47.9</v>
      </c>
      <c r="C7" s="25">
        <f>Table134[[#This Row],[PMI]]-B6</f>
        <v/>
      </c>
    </row>
    <row r="8">
      <c r="A8" s="10" t="n">
        <v>41153</v>
      </c>
      <c r="B8" s="25" t="n">
        <v>49.2</v>
      </c>
      <c r="C8" s="25">
        <f>Table134[[#This Row],[PMI]]-B7</f>
        <v/>
      </c>
    </row>
    <row r="9">
      <c r="A9" s="10" t="n">
        <v>41183</v>
      </c>
      <c r="B9" s="25" t="n">
        <v>48.7</v>
      </c>
      <c r="C9" s="25">
        <f>Table134[[#This Row],[PMI]]-B8</f>
        <v/>
      </c>
    </row>
    <row r="10">
      <c r="A10" s="10" t="n">
        <v>41214</v>
      </c>
      <c r="B10" s="25" t="n">
        <v>50.5</v>
      </c>
      <c r="C10" s="25">
        <f>Table134[[#This Row],[PMI]]-B9</f>
        <v/>
      </c>
    </row>
    <row r="11">
      <c r="A11" s="10" t="n">
        <v>41244</v>
      </c>
      <c r="B11" s="25" t="n">
        <v>49.3</v>
      </c>
      <c r="C11" s="25">
        <f>Table134[[#This Row],[PMI]]-B10</f>
        <v/>
      </c>
    </row>
    <row r="12">
      <c r="A12" s="10" t="n">
        <v>41275</v>
      </c>
      <c r="B12" s="25" t="n">
        <v>50.1</v>
      </c>
      <c r="C12" s="25">
        <f>Table134[[#This Row],[PMI]]-B11</f>
        <v/>
      </c>
    </row>
    <row r="13">
      <c r="A13" s="10" t="n">
        <v>41306</v>
      </c>
      <c r="B13" s="25" t="n">
        <v>48.3</v>
      </c>
      <c r="C13" s="25">
        <f>Table134[[#This Row],[PMI]]-B12</f>
        <v/>
      </c>
    </row>
    <row r="14">
      <c r="A14" s="10" t="n">
        <v>41334</v>
      </c>
      <c r="B14" s="25" t="n">
        <v>48.8</v>
      </c>
      <c r="C14" s="25">
        <f>Table134[[#This Row],[PMI]]-B13</f>
        <v/>
      </c>
    </row>
    <row r="15">
      <c r="A15" s="10" t="n">
        <v>41365</v>
      </c>
      <c r="B15" s="25" t="n">
        <v>51</v>
      </c>
      <c r="C15" s="25">
        <f>Table134[[#This Row],[PMI]]-B14</f>
        <v/>
      </c>
    </row>
    <row r="16">
      <c r="A16" s="10" t="n">
        <v>41395</v>
      </c>
      <c r="B16" s="25" t="n">
        <v>48.8</v>
      </c>
      <c r="C16" s="25">
        <f>Table134[[#This Row],[PMI]]-B15</f>
        <v/>
      </c>
    </row>
    <row r="17">
      <c r="A17" s="10" t="n">
        <v>41426</v>
      </c>
      <c r="B17" s="25" t="n">
        <v>51</v>
      </c>
      <c r="C17" s="25">
        <f>Table134[[#This Row],[PMI]]-B16</f>
        <v/>
      </c>
    </row>
    <row r="18">
      <c r="A18" s="10" t="n">
        <v>41456</v>
      </c>
      <c r="B18" s="25" t="n">
        <v>46.4</v>
      </c>
      <c r="C18" s="25">
        <f>Table134[[#This Row],[PMI]]-B17</f>
        <v/>
      </c>
    </row>
    <row r="19">
      <c r="A19" s="10" t="n">
        <v>41487</v>
      </c>
      <c r="B19" s="25" t="n">
        <v>48.5</v>
      </c>
      <c r="C19" s="25">
        <f>Table134[[#This Row],[PMI]]-B18</f>
        <v/>
      </c>
    </row>
    <row r="20">
      <c r="A20" s="10" t="n">
        <v>41518</v>
      </c>
      <c r="B20" s="25" t="n">
        <v>51.5</v>
      </c>
      <c r="C20" s="25">
        <f>Table134[[#This Row],[PMI]]-B19</f>
        <v/>
      </c>
    </row>
    <row r="21">
      <c r="A21" s="10" t="n">
        <v>41548</v>
      </c>
      <c r="B21" s="25" t="n">
        <v>51.5</v>
      </c>
      <c r="C21" s="25">
        <f>Table134[[#This Row],[PMI]]-B20</f>
        <v/>
      </c>
    </row>
    <row r="22">
      <c r="A22" s="10" t="n">
        <v>41579</v>
      </c>
      <c r="B22" s="25" t="n">
        <v>50.3</v>
      </c>
      <c r="C22" s="25">
        <f>Table134[[#This Row],[PMI]]-B21</f>
        <v/>
      </c>
    </row>
    <row r="23">
      <c r="A23" s="10" t="n">
        <v>41609</v>
      </c>
      <c r="B23" s="25" t="n">
        <v>51.8</v>
      </c>
      <c r="C23" s="25">
        <f>Table134[[#This Row],[PMI]]-B22</f>
        <v/>
      </c>
    </row>
    <row r="24">
      <c r="A24" s="10" t="n">
        <v>41640</v>
      </c>
      <c r="B24" s="25" t="n">
        <v>52.1</v>
      </c>
      <c r="C24" s="25">
        <f>Table134[[#This Row],[PMI]]-B23</f>
        <v/>
      </c>
    </row>
    <row r="25">
      <c r="A25" s="10" t="n">
        <v>41671</v>
      </c>
      <c r="B25" s="25" t="n">
        <v>51</v>
      </c>
      <c r="C25" s="25">
        <f>Table134[[#This Row],[PMI]]-B24</f>
        <v/>
      </c>
    </row>
    <row r="26">
      <c r="A26" s="10" t="n">
        <v>41699</v>
      </c>
      <c r="B26" s="25" t="n">
        <v>51.3</v>
      </c>
      <c r="C26" s="25">
        <f>Table134[[#This Row],[PMI]]-B25</f>
        <v/>
      </c>
    </row>
    <row r="27">
      <c r="A27" s="10" t="n">
        <v>41730</v>
      </c>
      <c r="B27" s="25" t="n">
        <v>53.1</v>
      </c>
      <c r="C27" s="25">
        <f>Table134[[#This Row],[PMI]]-B26</f>
        <v/>
      </c>
    </row>
    <row r="28">
      <c r="A28" s="10" t="n">
        <v>41760</v>
      </c>
      <c r="B28" s="25" t="n">
        <v>52.5</v>
      </c>
      <c r="C28" s="25">
        <f>Table134[[#This Row],[PMI]]-B27</f>
        <v/>
      </c>
    </row>
    <row r="29">
      <c r="A29" s="10" t="n">
        <v>41791</v>
      </c>
      <c r="B29" s="25" t="n">
        <v>52.3</v>
      </c>
      <c r="C29" s="25">
        <f>Table134[[#This Row],[PMI]]-B28</f>
        <v/>
      </c>
    </row>
    <row r="30">
      <c r="A30" s="10" t="n">
        <v>41821</v>
      </c>
      <c r="B30" s="25" t="n">
        <v>51.7</v>
      </c>
      <c r="C30" s="25">
        <f>Table134[[#This Row],[PMI]]-B29</f>
        <v/>
      </c>
    </row>
    <row r="31">
      <c r="A31" s="10" t="n">
        <v>41852</v>
      </c>
      <c r="B31" s="25" t="n">
        <v>50.3</v>
      </c>
      <c r="C31" s="25">
        <f>Table134[[#This Row],[PMI]]-B30</f>
        <v/>
      </c>
    </row>
    <row r="32">
      <c r="A32" s="10" t="n">
        <v>41883</v>
      </c>
      <c r="B32" s="25" t="n">
        <v>51.7</v>
      </c>
      <c r="C32" s="25">
        <f>Table134[[#This Row],[PMI]]-B31</f>
        <v/>
      </c>
    </row>
    <row r="33">
      <c r="A33" s="10" t="n">
        <v>41913</v>
      </c>
      <c r="B33" s="25" t="n">
        <v>51</v>
      </c>
      <c r="C33" s="25">
        <f>Table134[[#This Row],[PMI]]-B32</f>
        <v/>
      </c>
    </row>
    <row r="34">
      <c r="A34" s="10" t="n">
        <v>41944</v>
      </c>
      <c r="B34" s="25" t="n">
        <v>52.7</v>
      </c>
      <c r="C34" s="25">
        <f>Table134[[#This Row],[PMI]]-B33</f>
        <v/>
      </c>
    </row>
    <row r="35">
      <c r="A35" s="10" t="n">
        <v>41974</v>
      </c>
      <c r="B35" s="25" t="n">
        <v>51.5</v>
      </c>
      <c r="C35" s="25">
        <f>Table134[[#This Row],[PMI]]-B34</f>
        <v/>
      </c>
    </row>
    <row r="36">
      <c r="A36" s="10" t="n">
        <v>42005</v>
      </c>
      <c r="B36" s="25" t="n">
        <v>51.5</v>
      </c>
      <c r="C36" s="25">
        <f>Table134[[#This Row],[PMI]]-B35</f>
        <v/>
      </c>
    </row>
    <row r="37">
      <c r="A37" s="10" t="n">
        <v>42036</v>
      </c>
      <c r="B37" s="25" t="n">
        <v>51.7</v>
      </c>
      <c r="C37" s="25">
        <f>Table134[[#This Row],[PMI]]-B36</f>
        <v/>
      </c>
    </row>
    <row r="38">
      <c r="A38" s="10" t="n">
        <v>42064</v>
      </c>
      <c r="B38" s="25" t="n">
        <v>50.7</v>
      </c>
      <c r="C38" s="25">
        <f>Table134[[#This Row],[PMI]]-B37</f>
        <v/>
      </c>
    </row>
    <row r="39">
      <c r="A39" s="10" t="n">
        <v>42095</v>
      </c>
      <c r="B39" s="25" t="n">
        <v>53.5</v>
      </c>
      <c r="C39" s="25">
        <f>Table134[[#This Row],[PMI]]-B38</f>
        <v/>
      </c>
    </row>
    <row r="40">
      <c r="A40" s="10" t="n">
        <v>42125</v>
      </c>
      <c r="B40" s="25" t="n">
        <v>54.8</v>
      </c>
      <c r="C40" s="25">
        <f>Table134[[#This Row],[PMI]]-B39</f>
        <v/>
      </c>
    </row>
    <row r="41">
      <c r="A41" s="10" t="n">
        <v>42156</v>
      </c>
      <c r="B41" s="25" t="n">
        <v>52.2</v>
      </c>
      <c r="C41" s="25">
        <f>Table134[[#This Row],[PMI]]-B40</f>
        <v/>
      </c>
    </row>
    <row r="42">
      <c r="A42" s="10" t="n">
        <v>42186</v>
      </c>
      <c r="B42" s="25" t="n">
        <v>52.6</v>
      </c>
      <c r="C42" s="25">
        <f>Table134[[#This Row],[PMI]]-B41</f>
        <v/>
      </c>
    </row>
    <row r="43">
      <c r="A43" s="10" t="n">
        <v>42217</v>
      </c>
      <c r="B43" s="25" t="n">
        <v>51.3</v>
      </c>
      <c r="C43" s="25">
        <f>Table134[[#This Row],[PMI]]-B42</f>
        <v/>
      </c>
    </row>
    <row r="44">
      <c r="A44" s="10" t="n">
        <v>42248</v>
      </c>
      <c r="B44" s="25" t="n">
        <v>49.5</v>
      </c>
      <c r="C44" s="25">
        <f>Table134[[#This Row],[PMI]]-B43</f>
        <v/>
      </c>
    </row>
    <row r="45">
      <c r="A45" s="10" t="n">
        <v>42278</v>
      </c>
      <c r="B45" s="25" t="n">
        <v>50.1</v>
      </c>
      <c r="C45" s="25">
        <f>Table134[[#This Row],[PMI]]-B44</f>
        <v/>
      </c>
    </row>
    <row r="46">
      <c r="A46" s="10" t="n">
        <v>42309</v>
      </c>
      <c r="B46" s="25" t="n">
        <v>49.4</v>
      </c>
      <c r="C46" s="25">
        <f>Table134[[#This Row],[PMI]]-B45</f>
        <v/>
      </c>
    </row>
    <row r="47">
      <c r="A47" s="10" t="n">
        <v>42339</v>
      </c>
      <c r="B47" s="25" t="n">
        <v>51.3</v>
      </c>
      <c r="C47" s="25">
        <f>Table134[[#This Row],[PMI]]-B46</f>
        <v/>
      </c>
    </row>
    <row r="48">
      <c r="A48" s="10" t="n">
        <v>42370</v>
      </c>
      <c r="B48" s="25" t="n">
        <v>51.5</v>
      </c>
      <c r="C48" s="25">
        <f>Table134[[#This Row],[PMI]]-B47</f>
        <v/>
      </c>
    </row>
    <row r="49">
      <c r="A49" s="10" t="n">
        <v>42401</v>
      </c>
      <c r="B49" s="25" t="n">
        <v>50.3</v>
      </c>
      <c r="C49" s="25">
        <f>Table134[[#This Row],[PMI]]-B48</f>
        <v/>
      </c>
    </row>
    <row r="50">
      <c r="A50" s="10" t="n">
        <v>42430</v>
      </c>
      <c r="B50" s="25" t="n">
        <v>50.7</v>
      </c>
      <c r="C50" s="25">
        <f>Table134[[#This Row],[PMI]]-B49</f>
        <v/>
      </c>
    </row>
    <row r="51">
      <c r="A51" s="10" t="n">
        <v>42461</v>
      </c>
      <c r="B51" s="25" t="n">
        <v>52.3</v>
      </c>
      <c r="C51" s="25">
        <f>Table134[[#This Row],[PMI]]-B50</f>
        <v/>
      </c>
    </row>
    <row r="52">
      <c r="A52" s="10" t="n">
        <v>42491</v>
      </c>
      <c r="B52" s="25" t="n">
        <v>52.7</v>
      </c>
      <c r="C52" s="25">
        <f>Table134[[#This Row],[PMI]]-B51</f>
        <v/>
      </c>
    </row>
    <row r="53">
      <c r="A53" s="10" t="n">
        <v>42522</v>
      </c>
      <c r="B53" s="25" t="n">
        <v>52.6</v>
      </c>
      <c r="C53" s="25">
        <f>Table134[[#This Row],[PMI]]-B52</f>
        <v/>
      </c>
    </row>
    <row r="54">
      <c r="A54" s="10" t="n">
        <v>42552</v>
      </c>
      <c r="B54" s="25" t="n">
        <v>51.9</v>
      </c>
      <c r="C54" s="25">
        <f>Table134[[#This Row],[PMI]]-B53</f>
        <v/>
      </c>
    </row>
    <row r="55">
      <c r="A55" s="10" t="n">
        <v>42583</v>
      </c>
      <c r="B55" s="25" t="n">
        <v>52.2</v>
      </c>
      <c r="C55" s="25">
        <f>Table134[[#This Row],[PMI]]-B54</f>
        <v/>
      </c>
    </row>
    <row r="56">
      <c r="A56" s="10" t="n">
        <v>42614</v>
      </c>
      <c r="B56" s="25" t="n">
        <v>52.9</v>
      </c>
      <c r="C56" s="25">
        <f>Table134[[#This Row],[PMI]]-B55</f>
        <v/>
      </c>
    </row>
    <row r="57">
      <c r="A57" s="10" t="n">
        <v>42644</v>
      </c>
      <c r="B57" s="25" t="n">
        <v>51.7</v>
      </c>
      <c r="C57" s="25">
        <f>Table134[[#This Row],[PMI]]-B56</f>
        <v/>
      </c>
    </row>
    <row r="58">
      <c r="A58" s="10" t="n">
        <v>42675</v>
      </c>
      <c r="B58" s="25" t="n">
        <v>54</v>
      </c>
      <c r="C58" s="25">
        <f>Table134[[#This Row],[PMI]]-B57</f>
        <v/>
      </c>
    </row>
    <row r="59">
      <c r="A59" s="10" t="n">
        <v>42705</v>
      </c>
      <c r="B59" s="25" t="n">
        <v>52.4</v>
      </c>
      <c r="C59" s="25">
        <f>Table134[[#This Row],[PMI]]-B58</f>
        <v/>
      </c>
    </row>
    <row r="60">
      <c r="A60" s="10" t="n">
        <v>42736</v>
      </c>
      <c r="B60" s="25" t="n">
        <v>51.9</v>
      </c>
      <c r="C60" s="25">
        <f>Table134[[#This Row],[PMI]]-B59</f>
        <v/>
      </c>
    </row>
    <row r="61">
      <c r="A61" s="10" t="n">
        <v>42767</v>
      </c>
      <c r="B61" s="25" t="n">
        <v>54.2</v>
      </c>
      <c r="C61" s="25">
        <f>Table134[[#This Row],[PMI]]-B60</f>
        <v/>
      </c>
    </row>
    <row r="62">
      <c r="A62" s="10" t="n">
        <v>42795</v>
      </c>
      <c r="B62" s="25" t="n">
        <v>54.6</v>
      </c>
      <c r="C62" s="25">
        <f>Table134[[#This Row],[PMI]]-B61</f>
        <v/>
      </c>
    </row>
    <row r="63">
      <c r="A63" s="10" t="n">
        <v>42826</v>
      </c>
      <c r="B63" s="25" t="n">
        <v>54.1</v>
      </c>
      <c r="C63" s="25">
        <f>Table134[[#This Row],[PMI]]-B62</f>
        <v/>
      </c>
    </row>
    <row r="64">
      <c r="A64" s="10" t="n">
        <v>42856</v>
      </c>
      <c r="B64" s="25" t="n">
        <v>51.6</v>
      </c>
      <c r="C64" s="25">
        <f>Table134[[#This Row],[PMI]]-B63</f>
        <v/>
      </c>
    </row>
    <row r="65">
      <c r="A65" s="10" t="n">
        <v>42887</v>
      </c>
      <c r="B65" s="25" t="n">
        <v>52.5</v>
      </c>
      <c r="C65" s="25">
        <f>Table134[[#This Row],[PMI]]-B64</f>
        <v/>
      </c>
    </row>
    <row r="66">
      <c r="A66" s="10" t="n">
        <v>42917</v>
      </c>
      <c r="B66" s="25" t="n">
        <v>51.7</v>
      </c>
      <c r="C66" s="25">
        <f>Table134[[#This Row],[PMI]]-B65</f>
        <v/>
      </c>
    </row>
    <row r="67">
      <c r="A67" s="10" t="n">
        <v>42948</v>
      </c>
      <c r="B67" s="25" t="n">
        <v>51.8</v>
      </c>
      <c r="C67" s="25">
        <f>Table134[[#This Row],[PMI]]-B66</f>
        <v/>
      </c>
    </row>
    <row r="68">
      <c r="A68" s="10" t="n">
        <v>42979</v>
      </c>
      <c r="B68" s="25" t="n">
        <v>53.3</v>
      </c>
      <c r="C68" s="25">
        <f>Table134[[#This Row],[PMI]]-B67</f>
        <v/>
      </c>
    </row>
    <row r="69">
      <c r="A69" s="10" t="n">
        <v>43009</v>
      </c>
      <c r="B69" s="25" t="n">
        <v>51.6</v>
      </c>
      <c r="C69" s="25">
        <f>Table134[[#This Row],[PMI]]-B68</f>
        <v/>
      </c>
    </row>
    <row r="70">
      <c r="A70" s="10" t="n">
        <v>43040</v>
      </c>
      <c r="B70" s="25" t="n">
        <v>51.4</v>
      </c>
      <c r="C70" s="25">
        <f>Table134[[#This Row],[PMI]]-B69</f>
        <v/>
      </c>
    </row>
    <row r="71">
      <c r="A71" s="10" t="n">
        <v>43070</v>
      </c>
      <c r="B71" s="25" t="n">
        <v>52.5</v>
      </c>
      <c r="C71" s="25">
        <f>Table134[[#This Row],[PMI]]-B70</f>
        <v/>
      </c>
    </row>
    <row r="72">
      <c r="A72" s="10" t="n">
        <v>43101</v>
      </c>
      <c r="B72" s="25" t="n">
        <v>53.4</v>
      </c>
      <c r="C72" s="25">
        <f>Table134[[#This Row],[PMI]]-B71</f>
        <v/>
      </c>
    </row>
    <row r="73">
      <c r="A73" s="10" t="n">
        <v>43132</v>
      </c>
      <c r="B73" s="25" t="n">
        <v>53.5</v>
      </c>
      <c r="C73" s="25">
        <f>Table134[[#This Row],[PMI]]-B72</f>
        <v/>
      </c>
    </row>
    <row r="74">
      <c r="A74" s="10" t="n">
        <v>43160</v>
      </c>
      <c r="B74" s="25" t="n">
        <v>51.6</v>
      </c>
      <c r="C74" s="25">
        <f>Table134[[#This Row],[PMI]]-B73</f>
        <v/>
      </c>
    </row>
    <row r="75">
      <c r="A75" s="10" t="n">
        <v>43191</v>
      </c>
      <c r="B75" s="25" t="n">
        <v>52.9</v>
      </c>
      <c r="C75" s="25">
        <f>Table134[[#This Row],[PMI]]-B74</f>
        <v/>
      </c>
    </row>
    <row r="76">
      <c r="A76" s="10" t="n">
        <v>43221</v>
      </c>
      <c r="B76" s="25" t="n">
        <v>53.9</v>
      </c>
      <c r="C76" s="25">
        <f>Table134[[#This Row],[PMI]]-B75</f>
        <v/>
      </c>
    </row>
    <row r="77">
      <c r="A77" s="10" t="n">
        <v>43252</v>
      </c>
      <c r="B77" s="25" t="n">
        <v>55.7</v>
      </c>
      <c r="C77" s="25">
        <f>Table134[[#This Row],[PMI]]-B76</f>
        <v/>
      </c>
    </row>
    <row r="78">
      <c r="A78" s="10" t="n">
        <v>43282</v>
      </c>
      <c r="B78" s="25" t="n">
        <v>54.9</v>
      </c>
      <c r="C78" s="25">
        <f>Table134[[#This Row],[PMI]]-B77</f>
        <v/>
      </c>
    </row>
    <row r="79">
      <c r="A79" s="10" t="n">
        <v>43313</v>
      </c>
      <c r="B79" s="25" t="n">
        <v>53.7</v>
      </c>
      <c r="C79" s="25">
        <f>Table134[[#This Row],[PMI]]-B78</f>
        <v/>
      </c>
    </row>
    <row r="80">
      <c r="A80" s="10" t="n">
        <v>43344</v>
      </c>
      <c r="B80" s="25" t="n">
        <v>51.5</v>
      </c>
      <c r="C80" s="25">
        <f>Table134[[#This Row],[PMI]]-B79</f>
        <v/>
      </c>
    </row>
    <row r="81">
      <c r="A81" s="10" t="n">
        <v>43374</v>
      </c>
      <c r="B81" s="25" t="n">
        <v>53.9</v>
      </c>
      <c r="C81" s="25">
        <f>Table134[[#This Row],[PMI]]-B80</f>
        <v/>
      </c>
    </row>
    <row r="82">
      <c r="A82" s="10" t="n">
        <v>43405</v>
      </c>
      <c r="B82" s="25" t="n">
        <v>56.5</v>
      </c>
      <c r="C82" s="25">
        <f>Table134[[#This Row],[PMI]]-B81</f>
        <v/>
      </c>
    </row>
    <row r="83">
      <c r="A83" s="10" t="n">
        <v>43435</v>
      </c>
      <c r="B83" s="25" t="n">
        <v>53.8</v>
      </c>
      <c r="C83" s="25">
        <f>Table134[[#This Row],[PMI]]-B82</f>
        <v/>
      </c>
    </row>
    <row r="84">
      <c r="A84" s="10" t="n">
        <v>43466</v>
      </c>
      <c r="B84" s="25" t="n">
        <v>51.9</v>
      </c>
      <c r="C84" s="25">
        <f>Table134[[#This Row],[PMI]]-B83</f>
        <v/>
      </c>
    </row>
    <row r="85">
      <c r="A85" s="10" t="n">
        <v>43497</v>
      </c>
      <c r="B85" s="25" t="n">
        <v>51.2</v>
      </c>
      <c r="C85" s="25">
        <f>Table134[[#This Row],[PMI]]-B84</f>
        <v/>
      </c>
    </row>
    <row r="86">
      <c r="A86" s="10" t="n">
        <v>43525</v>
      </c>
      <c r="B86" s="25" t="n">
        <v>51.9</v>
      </c>
      <c r="C86" s="25">
        <f>Table134[[#This Row],[PMI]]-B85</f>
        <v/>
      </c>
    </row>
    <row r="87">
      <c r="A87" s="10" t="n">
        <v>43556</v>
      </c>
      <c r="B87" s="25" t="n">
        <v>52.5</v>
      </c>
      <c r="C87" s="25">
        <f>Table134[[#This Row],[PMI]]-B86</f>
        <v/>
      </c>
    </row>
    <row r="88">
      <c r="A88" s="10" t="n">
        <v>43586</v>
      </c>
      <c r="B88" s="25" t="n">
        <v>52</v>
      </c>
      <c r="C88" s="25">
        <f>Table134[[#This Row],[PMI]]-B87</f>
        <v/>
      </c>
    </row>
    <row r="89">
      <c r="A89" s="10" t="n">
        <v>43617</v>
      </c>
      <c r="B89" s="25" t="n">
        <v>52.5</v>
      </c>
      <c r="C89" s="25">
        <f>Table134[[#This Row],[PMI]]-B88</f>
        <v/>
      </c>
    </row>
    <row r="90">
      <c r="A90" s="10" t="n">
        <v>43647</v>
      </c>
      <c r="B90" s="25" t="n">
        <v>52.6</v>
      </c>
      <c r="C90" s="25">
        <f>Table134[[#This Row],[PMI]]-B89</f>
        <v/>
      </c>
    </row>
    <row r="91">
      <c r="A91" s="10" t="n">
        <v>43678</v>
      </c>
      <c r="B91" s="25" t="n">
        <v>51.4</v>
      </c>
      <c r="C91" s="25">
        <f>Table134[[#This Row],[PMI]]-B90</f>
        <v/>
      </c>
    </row>
    <row r="92">
      <c r="A92" s="10" t="n">
        <v>43709</v>
      </c>
      <c r="B92" s="25" t="n">
        <v>50.5</v>
      </c>
      <c r="C92" s="25">
        <f>Table134[[#This Row],[PMI]]-B91</f>
        <v/>
      </c>
    </row>
    <row r="93">
      <c r="A93" s="10" t="n">
        <v>43739</v>
      </c>
      <c r="B93" s="25" t="n">
        <v>50</v>
      </c>
      <c r="C93" s="25">
        <f>Table134[[#This Row],[PMI]]-B92</f>
        <v/>
      </c>
    </row>
    <row r="94">
      <c r="A94" s="10" t="n">
        <v>43770</v>
      </c>
      <c r="B94" s="25" t="n">
        <v>51</v>
      </c>
      <c r="C94" s="25">
        <f>Table134[[#This Row],[PMI]]-B93</f>
        <v/>
      </c>
    </row>
    <row r="95">
      <c r="A95" s="10" t="n">
        <v>43800</v>
      </c>
      <c r="B95" s="25" t="n">
        <v>50.8</v>
      </c>
      <c r="C95" s="25">
        <f>Table134[[#This Row],[PMI]]-B94</f>
        <v/>
      </c>
    </row>
    <row r="96">
      <c r="A96" s="10" t="n">
        <v>43831</v>
      </c>
      <c r="B96" s="25" t="n">
        <v>50.6</v>
      </c>
      <c r="C96" s="25">
        <f>Table134[[#This Row],[PMI]]-B95</f>
        <v/>
      </c>
    </row>
    <row r="97">
      <c r="A97" s="10" t="n">
        <v>43862</v>
      </c>
      <c r="B97" s="25" t="n">
        <v>49</v>
      </c>
      <c r="C97" s="25">
        <f>Table134[[#This Row],[PMI]]-B96</f>
        <v/>
      </c>
    </row>
    <row r="98">
      <c r="A98" s="10" t="n">
        <v>43891</v>
      </c>
      <c r="B98" s="25" t="n">
        <v>41.9</v>
      </c>
      <c r="C98" s="25">
        <f>Table134[[#This Row],[PMI]]-B97</f>
        <v/>
      </c>
    </row>
    <row r="99">
      <c r="A99" s="10" t="n">
        <v>43922</v>
      </c>
      <c r="B99" s="25" t="n">
        <v>32.7</v>
      </c>
      <c r="C99" s="25">
        <f>Table134[[#This Row],[PMI]]-B98</f>
        <v/>
      </c>
    </row>
    <row r="100">
      <c r="A100" s="10" t="n">
        <v>43952</v>
      </c>
      <c r="B100" s="25" t="n">
        <v>42.7</v>
      </c>
      <c r="C100" s="25">
        <f>Table134[[#This Row],[PMI]]-B99</f>
        <v/>
      </c>
    </row>
    <row r="101">
      <c r="A101" s="10" t="n">
        <v>43983</v>
      </c>
      <c r="B101" s="25" t="n">
        <v>51.1</v>
      </c>
      <c r="C101" s="25">
        <f>Table134[[#This Row],[PMI]]-B100</f>
        <v/>
      </c>
    </row>
    <row r="102">
      <c r="A102" s="10" t="n">
        <v>44013</v>
      </c>
      <c r="B102" s="25" t="n">
        <v>47.6</v>
      </c>
      <c r="C102" s="25">
        <f>Table134[[#This Row],[PMI]]-B101</f>
        <v/>
      </c>
    </row>
    <row r="103">
      <c r="A103" s="10" t="n">
        <v>44044</v>
      </c>
      <c r="B103" s="25" t="n">
        <v>45.7</v>
      </c>
      <c r="C103" s="25">
        <f>Table134[[#This Row],[PMI]]-B102</f>
        <v/>
      </c>
    </row>
    <row r="104">
      <c r="A104" s="10" t="n">
        <v>44075</v>
      </c>
      <c r="B104" s="25" t="n">
        <v>52.2</v>
      </c>
      <c r="C104" s="25">
        <f>Table134[[#This Row],[PMI]]-B103</f>
        <v/>
      </c>
    </row>
    <row r="105">
      <c r="A105" s="10" t="n">
        <v>44105</v>
      </c>
      <c r="B105" s="25" t="n">
        <v>51.8</v>
      </c>
      <c r="C105" s="25">
        <f>Table134[[#This Row],[PMI]]-B104</f>
        <v/>
      </c>
    </row>
    <row r="106">
      <c r="A106" s="10" t="n">
        <v>44136</v>
      </c>
      <c r="B106" s="25" t="n">
        <v>49.9</v>
      </c>
      <c r="C106" s="25">
        <f>Table134[[#This Row],[PMI]]-B105</f>
        <v/>
      </c>
    </row>
    <row r="107">
      <c r="A107" s="10" t="n">
        <v>44166</v>
      </c>
      <c r="B107" s="25" t="n">
        <v>51.7</v>
      </c>
      <c r="C107" s="25">
        <f>Table134[[#This Row],[PMI]]-B106</f>
        <v/>
      </c>
    </row>
    <row r="108">
      <c r="A108" s="10" t="n">
        <v>44197</v>
      </c>
      <c r="B108" s="25" t="n">
        <v>51.3</v>
      </c>
      <c r="C108" s="25">
        <f>Table134[[#This Row],[PMI]]-B107</f>
        <v/>
      </c>
    </row>
    <row r="109">
      <c r="A109" s="10" t="n">
        <v>44228</v>
      </c>
      <c r="B109" s="25" t="n">
        <v>51.6</v>
      </c>
      <c r="C109" s="25">
        <f>Table134[[#This Row],[PMI]]-B108</f>
        <v/>
      </c>
    </row>
    <row r="110">
      <c r="A110" s="10" t="n">
        <v>44256</v>
      </c>
      <c r="B110" s="25" t="n">
        <v>53.6</v>
      </c>
      <c r="C110" s="25">
        <f>Table134[[#This Row],[PMI]]-B109</f>
        <v/>
      </c>
    </row>
    <row r="111">
      <c r="A111" s="10" t="n">
        <v>44287</v>
      </c>
      <c r="B111" s="25" t="n">
        <v>54.7</v>
      </c>
      <c r="C111" s="25">
        <f>Table134[[#This Row],[PMI]]-B110</f>
        <v/>
      </c>
    </row>
    <row r="112">
      <c r="A112" s="10" t="n">
        <v>44317</v>
      </c>
      <c r="B112" s="25" t="n">
        <v>53.1</v>
      </c>
      <c r="C112" s="25">
        <f>Table134[[#This Row],[PMI]]-B111</f>
        <v/>
      </c>
    </row>
    <row r="113">
      <c r="A113" s="10" t="n">
        <v>44348</v>
      </c>
      <c r="B113" s="25" t="n">
        <v>44.1</v>
      </c>
      <c r="C113" s="25">
        <f>Table134[[#This Row],[PMI]]-B112</f>
        <v/>
      </c>
    </row>
    <row r="114">
      <c r="A114" s="10" t="n">
        <v>44378</v>
      </c>
      <c r="B114" s="25" t="n">
        <v>45.1</v>
      </c>
      <c r="C114" s="25">
        <f>Table134[[#This Row],[PMI]]-B113</f>
        <v/>
      </c>
    </row>
    <row r="115">
      <c r="A115" s="10" t="n">
        <v>44409</v>
      </c>
      <c r="B115" s="25" t="n">
        <v>40.2</v>
      </c>
      <c r="C115" s="25">
        <f>Table134[[#This Row],[PMI]]-B114</f>
        <v/>
      </c>
    </row>
    <row r="116">
      <c r="A116" s="10" t="n">
        <v>44440</v>
      </c>
      <c r="B116" s="25" t="n">
        <v>40.2</v>
      </c>
      <c r="C116" s="25">
        <f>Table134[[#This Row],[PMI]]-B115</f>
        <v/>
      </c>
    </row>
    <row r="117">
      <c r="A117" s="10" t="n">
        <v>44470</v>
      </c>
      <c r="B117" s="25" t="n">
        <v>52.1</v>
      </c>
      <c r="C117" s="25">
        <f>Table134[[#This Row],[PMI]]-B116</f>
        <v/>
      </c>
    </row>
    <row r="118">
      <c r="A118" s="10" t="n">
        <v>44501</v>
      </c>
      <c r="B118" s="25" t="n">
        <v>52.2</v>
      </c>
      <c r="C118" s="25">
        <f>Table134[[#This Row],[PMI]]-B117</f>
        <v/>
      </c>
    </row>
    <row r="119">
      <c r="A119" s="10" t="n">
        <v>44531</v>
      </c>
      <c r="B119" s="25" t="n">
        <v>52.5</v>
      </c>
      <c r="C119" s="25">
        <f>Table134[[#This Row],[PMI]]-B118</f>
        <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1"/>
  <sheetViews>
    <sheetView zoomScale="170" zoomScaleNormal="170" workbookViewId="0">
      <pane ySplit="5" topLeftCell="A35" activePane="bottomLeft" state="frozen"/>
      <selection pane="bottomLeft" activeCell="A72" sqref="A72"/>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Thailand</t>
        </is>
      </c>
      <c r="K1" s="84" t="inlineStr">
        <is>
          <t xml:space="preserve"> Manufacturing PMI</t>
        </is>
      </c>
    </row>
    <row r="2">
      <c r="A2" s="84" t="inlineStr">
        <is>
          <t>thailand</t>
        </is>
      </c>
      <c r="K2" s="84">
        <f>A1&amp;K1</f>
        <v/>
      </c>
    </row>
    <row r="4" ht="16" customHeight="1" s="76" thickBot="1"/>
    <row r="5" ht="16" customHeight="1" s="76" thickBot="1">
      <c r="A5" s="22" t="inlineStr">
        <is>
          <t>Date</t>
        </is>
      </c>
      <c r="B5" s="23" t="inlineStr">
        <is>
          <t>PMI</t>
        </is>
      </c>
      <c r="C5" s="23" t="inlineStr">
        <is>
          <t>mom</t>
        </is>
      </c>
    </row>
    <row r="6">
      <c r="A6" s="18" t="n">
        <v>42552</v>
      </c>
      <c r="B6" s="19" t="n">
        <v>49.3</v>
      </c>
      <c r="C6" s="19" t="n"/>
    </row>
    <row r="7">
      <c r="A7" s="10" t="n">
        <v>42583</v>
      </c>
      <c r="B7" s="25" t="n">
        <v>49.8</v>
      </c>
      <c r="C7" s="25">
        <f>Table1345[[#This Row],[PMI]]-B6</f>
        <v/>
      </c>
    </row>
    <row r="8">
      <c r="A8" s="10" t="n">
        <v>42614</v>
      </c>
      <c r="B8" s="25" t="n">
        <v>48.8</v>
      </c>
      <c r="C8" s="25">
        <f>Table1345[[#This Row],[PMI]]-B7</f>
        <v/>
      </c>
    </row>
    <row r="9">
      <c r="A9" s="10" t="n">
        <v>42644</v>
      </c>
      <c r="B9" s="25" t="n">
        <v>48.8</v>
      </c>
      <c r="C9" s="25">
        <f>Table1345[[#This Row],[PMI]]-B8</f>
        <v/>
      </c>
    </row>
    <row r="10">
      <c r="A10" s="10" t="n">
        <v>42675</v>
      </c>
      <c r="B10" s="25" t="n">
        <v>48.2</v>
      </c>
      <c r="C10" s="25">
        <f>Table1345[[#This Row],[PMI]]-B9</f>
        <v/>
      </c>
    </row>
    <row r="11">
      <c r="A11" s="10" t="n">
        <v>42705</v>
      </c>
      <c r="B11" s="25" t="n">
        <v>50.6</v>
      </c>
      <c r="C11" s="25">
        <f>Table1345[[#This Row],[PMI]]-B10</f>
        <v/>
      </c>
    </row>
    <row r="12">
      <c r="A12" s="10" t="n">
        <v>42736</v>
      </c>
      <c r="B12" s="25" t="n">
        <v>50.6</v>
      </c>
      <c r="C12" s="25">
        <f>Table1345[[#This Row],[PMI]]-B11</f>
        <v/>
      </c>
    </row>
    <row r="13">
      <c r="A13" s="10" t="n">
        <v>42767</v>
      </c>
      <c r="B13" s="25" t="n">
        <v>50.6</v>
      </c>
      <c r="C13" s="25">
        <f>Table1345[[#This Row],[PMI]]-B12</f>
        <v/>
      </c>
    </row>
    <row r="14">
      <c r="A14" s="10" t="n">
        <v>42795</v>
      </c>
      <c r="B14" s="25" t="n">
        <v>50.2</v>
      </c>
      <c r="C14" s="25">
        <f>Table1345[[#This Row],[PMI]]-B13</f>
        <v/>
      </c>
    </row>
    <row r="15">
      <c r="A15" s="10" t="n">
        <v>42826</v>
      </c>
      <c r="B15" s="25" t="n">
        <v>49.8</v>
      </c>
      <c r="C15" s="25">
        <f>Table1345[[#This Row],[PMI]]-B14</f>
        <v/>
      </c>
    </row>
    <row r="16">
      <c r="A16" s="10" t="n">
        <v>42856</v>
      </c>
      <c r="B16" s="25" t="n">
        <v>49.7</v>
      </c>
      <c r="C16" s="25">
        <f>Table1345[[#This Row],[PMI]]-B15</f>
        <v/>
      </c>
    </row>
    <row r="17">
      <c r="A17" s="10" t="n">
        <v>42887</v>
      </c>
      <c r="B17" s="25" t="n">
        <v>50.4</v>
      </c>
      <c r="C17" s="25">
        <f>Table1345[[#This Row],[PMI]]-B16</f>
        <v/>
      </c>
    </row>
    <row r="18">
      <c r="A18" s="10" t="n">
        <v>42917</v>
      </c>
      <c r="B18" s="25" t="n">
        <v>49.6</v>
      </c>
      <c r="C18" s="25">
        <f>Table1345[[#This Row],[PMI]]-B17</f>
        <v/>
      </c>
    </row>
    <row r="19">
      <c r="A19" s="10" t="n">
        <v>42948</v>
      </c>
      <c r="B19" s="25" t="n">
        <v>49.5</v>
      </c>
      <c r="C19" s="25">
        <f>Table1345[[#This Row],[PMI]]-B18</f>
        <v/>
      </c>
    </row>
    <row r="20">
      <c r="A20" s="10" t="n">
        <v>42979</v>
      </c>
      <c r="B20" s="25" t="n">
        <v>50.3</v>
      </c>
      <c r="C20" s="25">
        <f>Table1345[[#This Row],[PMI]]-B19</f>
        <v/>
      </c>
    </row>
    <row r="21">
      <c r="A21" s="10" t="n">
        <v>43009</v>
      </c>
      <c r="B21" s="25" t="n">
        <v>49.8</v>
      </c>
      <c r="C21" s="25">
        <f>Table1345[[#This Row],[PMI]]-B20</f>
        <v/>
      </c>
    </row>
    <row r="22">
      <c r="A22" s="10" t="n">
        <v>43040</v>
      </c>
      <c r="B22" s="25" t="n">
        <v>50</v>
      </c>
      <c r="C22" s="25">
        <f>Table1345[[#This Row],[PMI]]-B21</f>
        <v/>
      </c>
    </row>
    <row r="23">
      <c r="A23" s="10" t="n">
        <v>43070</v>
      </c>
      <c r="B23" s="25" t="n">
        <v>50.4</v>
      </c>
      <c r="C23" s="25">
        <f>Table1345[[#This Row],[PMI]]-B22</f>
        <v/>
      </c>
    </row>
    <row r="24">
      <c r="A24" s="10" t="n">
        <v>43101</v>
      </c>
      <c r="B24" s="25" t="n">
        <v>50.6</v>
      </c>
      <c r="C24" s="25">
        <f>Table1345[[#This Row],[PMI]]-B23</f>
        <v/>
      </c>
    </row>
    <row r="25">
      <c r="A25" s="10" t="n">
        <v>43132</v>
      </c>
      <c r="B25" s="25" t="n">
        <v>50.9</v>
      </c>
      <c r="C25" s="25">
        <f>Table1345[[#This Row],[PMI]]-B24</f>
        <v/>
      </c>
    </row>
    <row r="26">
      <c r="A26" s="10" t="n">
        <v>43160</v>
      </c>
      <c r="B26" s="25" t="n">
        <v>49.1</v>
      </c>
      <c r="C26" s="25">
        <f>Table1345[[#This Row],[PMI]]-B25</f>
        <v/>
      </c>
    </row>
    <row r="27">
      <c r="A27" s="10" t="n">
        <v>43191</v>
      </c>
      <c r="B27" s="25" t="n">
        <v>49.5</v>
      </c>
      <c r="C27" s="25">
        <f>Table1345[[#This Row],[PMI]]-B26</f>
        <v/>
      </c>
    </row>
    <row r="28">
      <c r="A28" s="10" t="n">
        <v>43221</v>
      </c>
      <c r="B28" s="25" t="n">
        <v>51.1</v>
      </c>
      <c r="C28" s="25">
        <f>Table1345[[#This Row],[PMI]]-B27</f>
        <v/>
      </c>
    </row>
    <row r="29">
      <c r="A29" s="10" t="n">
        <v>43252</v>
      </c>
      <c r="B29" s="25" t="n">
        <v>50.2</v>
      </c>
      <c r="C29" s="25">
        <f>Table1345[[#This Row],[PMI]]-B28</f>
        <v/>
      </c>
    </row>
    <row r="30">
      <c r="A30" s="10" t="n">
        <v>43282</v>
      </c>
      <c r="B30" s="25" t="n">
        <v>50.1</v>
      </c>
      <c r="C30" s="25">
        <f>Table1345[[#This Row],[PMI]]-B29</f>
        <v/>
      </c>
    </row>
    <row r="31">
      <c r="A31" s="10" t="n">
        <v>43313</v>
      </c>
      <c r="B31" s="25" t="n">
        <v>49.9</v>
      </c>
      <c r="C31" s="25">
        <f>Table1345[[#This Row],[PMI]]-B30</f>
        <v/>
      </c>
    </row>
    <row r="32">
      <c r="A32" s="10" t="n">
        <v>43344</v>
      </c>
      <c r="B32" s="25" t="n">
        <v>50</v>
      </c>
      <c r="C32" s="25">
        <f>Table1345[[#This Row],[PMI]]-B31</f>
        <v/>
      </c>
    </row>
    <row r="33">
      <c r="A33" s="10" t="n">
        <v>43374</v>
      </c>
      <c r="B33" s="25" t="n">
        <v>48.9</v>
      </c>
      <c r="C33" s="25">
        <f>Table1345[[#This Row],[PMI]]-B32</f>
        <v/>
      </c>
    </row>
    <row r="34">
      <c r="A34" s="10" t="n">
        <v>43405</v>
      </c>
      <c r="B34" s="25" t="n">
        <v>49.8</v>
      </c>
      <c r="C34" s="25">
        <f>Table1345[[#This Row],[PMI]]-B33</f>
        <v/>
      </c>
    </row>
    <row r="35">
      <c r="A35" s="10" t="n">
        <v>43435</v>
      </c>
      <c r="B35" s="25" t="n">
        <v>50.3</v>
      </c>
      <c r="C35" s="25">
        <f>Table1345[[#This Row],[PMI]]-B34</f>
        <v/>
      </c>
    </row>
    <row r="36">
      <c r="A36" s="10" t="n">
        <v>43466</v>
      </c>
      <c r="B36" s="25" t="n">
        <v>50.2</v>
      </c>
      <c r="C36" s="25">
        <f>Table1345[[#This Row],[PMI]]-B35</f>
        <v/>
      </c>
    </row>
    <row r="37">
      <c r="A37" s="10" t="n">
        <v>43497</v>
      </c>
      <c r="B37" s="25" t="n">
        <v>49.9</v>
      </c>
      <c r="C37" s="25">
        <f>Table1345[[#This Row],[PMI]]-B36</f>
        <v/>
      </c>
    </row>
    <row r="38">
      <c r="A38" s="10" t="n">
        <v>43525</v>
      </c>
      <c r="B38" s="25" t="n">
        <v>50.3</v>
      </c>
      <c r="C38" s="25">
        <f>Table1345[[#This Row],[PMI]]-B37</f>
        <v/>
      </c>
    </row>
    <row r="39">
      <c r="A39" s="10" t="n">
        <v>43556</v>
      </c>
      <c r="B39" s="25" t="n">
        <v>51</v>
      </c>
      <c r="C39" s="25">
        <f>Table1345[[#This Row],[PMI]]-B38</f>
        <v/>
      </c>
    </row>
    <row r="40">
      <c r="A40" s="10" t="n">
        <v>43586</v>
      </c>
      <c r="B40" s="25" t="n">
        <v>50.7</v>
      </c>
      <c r="C40" s="25">
        <f>Table1345[[#This Row],[PMI]]-B39</f>
        <v/>
      </c>
    </row>
    <row r="41">
      <c r="A41" s="10" t="n">
        <v>43617</v>
      </c>
      <c r="B41" s="25" t="n">
        <v>50.6</v>
      </c>
      <c r="C41" s="25">
        <f>Table1345[[#This Row],[PMI]]-B40</f>
        <v/>
      </c>
    </row>
    <row r="42">
      <c r="A42" s="10" t="n">
        <v>43647</v>
      </c>
      <c r="B42" s="25" t="n">
        <v>50.3</v>
      </c>
      <c r="C42" s="25">
        <f>Table1345[[#This Row],[PMI]]-B41</f>
        <v/>
      </c>
    </row>
    <row r="43">
      <c r="A43" s="10" t="n">
        <v>43678</v>
      </c>
      <c r="B43" s="25" t="n">
        <v>50</v>
      </c>
      <c r="C43" s="25">
        <f>Table1345[[#This Row],[PMI]]-B42</f>
        <v/>
      </c>
    </row>
    <row r="44">
      <c r="A44" s="10" t="n">
        <v>43709</v>
      </c>
      <c r="B44" s="25" t="n">
        <v>50.6</v>
      </c>
      <c r="C44" s="25">
        <f>Table1345[[#This Row],[PMI]]-B43</f>
        <v/>
      </c>
    </row>
    <row r="45">
      <c r="A45" s="10" t="n">
        <v>43739</v>
      </c>
      <c r="B45" s="25" t="n">
        <v>50</v>
      </c>
      <c r="C45" s="25">
        <f>Table1345[[#This Row],[PMI]]-B44</f>
        <v/>
      </c>
    </row>
    <row r="46">
      <c r="A46" s="10" t="n">
        <v>43770</v>
      </c>
      <c r="B46" s="25" t="n">
        <v>49.3</v>
      </c>
      <c r="C46" s="25">
        <f>Table1345[[#This Row],[PMI]]-B45</f>
        <v/>
      </c>
    </row>
    <row r="47">
      <c r="A47" s="10" t="n">
        <v>43800</v>
      </c>
      <c r="B47" s="25" t="n">
        <v>50.1</v>
      </c>
      <c r="C47" s="25">
        <f>Table1345[[#This Row],[PMI]]-B46</f>
        <v/>
      </c>
    </row>
    <row r="48">
      <c r="A48" s="10" t="n">
        <v>43831</v>
      </c>
      <c r="B48" s="25" t="n">
        <v>49.9</v>
      </c>
      <c r="C48" s="25">
        <f>Table1345[[#This Row],[PMI]]-B47</f>
        <v/>
      </c>
    </row>
    <row r="49">
      <c r="A49" s="10" t="n">
        <v>43862</v>
      </c>
      <c r="B49" s="25" t="n">
        <v>49.5</v>
      </c>
      <c r="C49" s="25">
        <f>Table1345[[#This Row],[PMI]]-B48</f>
        <v/>
      </c>
    </row>
    <row r="50">
      <c r="A50" s="10" t="n">
        <v>43891</v>
      </c>
      <c r="B50" s="25" t="n">
        <v>46.7</v>
      </c>
      <c r="C50" s="25">
        <f>Table1345[[#This Row],[PMI]]-B49</f>
        <v/>
      </c>
    </row>
    <row r="51">
      <c r="A51" s="10" t="n">
        <v>43922</v>
      </c>
      <c r="B51" s="25" t="n">
        <v>36.8</v>
      </c>
      <c r="C51" s="25">
        <f>Table1345[[#This Row],[PMI]]-B50</f>
        <v/>
      </c>
    </row>
    <row r="52">
      <c r="A52" s="10" t="n">
        <v>43952</v>
      </c>
      <c r="B52" s="25" t="n">
        <v>41.6</v>
      </c>
      <c r="C52" s="25">
        <f>Table1345[[#This Row],[PMI]]-B51</f>
        <v/>
      </c>
    </row>
    <row r="53">
      <c r="A53" s="10" t="n">
        <v>43983</v>
      </c>
      <c r="B53" s="25" t="n">
        <v>43.5</v>
      </c>
      <c r="C53" s="25">
        <f>Table1345[[#This Row],[PMI]]-B52</f>
        <v/>
      </c>
    </row>
    <row r="54">
      <c r="A54" s="10" t="n">
        <v>44013</v>
      </c>
      <c r="B54" s="25" t="n">
        <v>45.9</v>
      </c>
      <c r="C54" s="25">
        <f>Table1345[[#This Row],[PMI]]-B53</f>
        <v/>
      </c>
    </row>
    <row r="55">
      <c r="A55" s="10" t="n">
        <v>44044</v>
      </c>
      <c r="B55" s="25" t="n">
        <v>49.7</v>
      </c>
      <c r="C55" s="25">
        <f>Table1345[[#This Row],[PMI]]-B54</f>
        <v/>
      </c>
    </row>
    <row r="56">
      <c r="A56" s="10" t="n">
        <v>44075</v>
      </c>
      <c r="B56" s="25" t="n">
        <v>49.9</v>
      </c>
      <c r="C56" s="25">
        <f>Table1345[[#This Row],[PMI]]-B55</f>
        <v/>
      </c>
    </row>
    <row r="57">
      <c r="A57" s="10" t="n">
        <v>44105</v>
      </c>
      <c r="B57" s="25" t="n">
        <v>50.8</v>
      </c>
      <c r="C57" s="25">
        <f>Table1345[[#This Row],[PMI]]-B56</f>
        <v/>
      </c>
    </row>
    <row r="58">
      <c r="A58" s="10" t="n">
        <v>44136</v>
      </c>
      <c r="B58" s="25" t="n">
        <v>50.4</v>
      </c>
      <c r="C58" s="25">
        <f>Table1345[[#This Row],[PMI]]-B57</f>
        <v/>
      </c>
    </row>
    <row r="59">
      <c r="A59" s="10" t="n">
        <v>44166</v>
      </c>
      <c r="B59" s="25" t="n">
        <v>50.8</v>
      </c>
      <c r="C59" s="25">
        <f>Table1345[[#This Row],[PMI]]-B58</f>
        <v/>
      </c>
    </row>
    <row r="60">
      <c r="A60" s="10" t="n">
        <v>44197</v>
      </c>
      <c r="B60" s="25" t="n">
        <v>49</v>
      </c>
      <c r="C60" s="25">
        <f>Table1345[[#This Row],[PMI]]-B59</f>
        <v/>
      </c>
    </row>
    <row r="61">
      <c r="A61" s="10" t="n">
        <v>44228</v>
      </c>
      <c r="B61" s="25" t="n">
        <v>47.2</v>
      </c>
      <c r="C61" s="25">
        <f>Table1345[[#This Row],[PMI]]-B60</f>
        <v/>
      </c>
    </row>
    <row r="62">
      <c r="A62" s="10" t="n">
        <v>44256</v>
      </c>
      <c r="B62" s="25" t="n">
        <v>48.8</v>
      </c>
      <c r="C62" s="25">
        <f>Table1345[[#This Row],[PMI]]-B61</f>
        <v/>
      </c>
    </row>
    <row r="63">
      <c r="A63" s="10" t="n">
        <v>44287</v>
      </c>
      <c r="B63" s="25" t="n">
        <v>50.7</v>
      </c>
      <c r="C63" s="25">
        <f>Table1345[[#This Row],[PMI]]-B62</f>
        <v/>
      </c>
    </row>
    <row r="64">
      <c r="A64" s="10" t="n">
        <v>44317</v>
      </c>
      <c r="B64" s="25" t="n">
        <v>47.8</v>
      </c>
      <c r="C64" s="25">
        <f>Table1345[[#This Row],[PMI]]-B63</f>
        <v/>
      </c>
    </row>
    <row r="65">
      <c r="A65" s="10" t="n">
        <v>44348</v>
      </c>
      <c r="B65" s="25" t="n">
        <v>49.5</v>
      </c>
      <c r="C65" s="25">
        <f>Table1345[[#This Row],[PMI]]-B64</f>
        <v/>
      </c>
    </row>
    <row r="66">
      <c r="A66" s="10" t="n">
        <v>44378</v>
      </c>
      <c r="B66" s="25" t="n">
        <v>48.7</v>
      </c>
      <c r="C66" s="25">
        <f>Table1345[[#This Row],[PMI]]-B65</f>
        <v/>
      </c>
    </row>
    <row r="67">
      <c r="A67" s="10" t="n">
        <v>44409</v>
      </c>
      <c r="B67" s="25" t="n">
        <v>48.3</v>
      </c>
      <c r="C67" s="25">
        <f>Table1345[[#This Row],[PMI]]-B66</f>
        <v/>
      </c>
    </row>
    <row r="68">
      <c r="A68" s="10" t="n">
        <v>44440</v>
      </c>
      <c r="B68" s="25" t="n">
        <v>48.9</v>
      </c>
      <c r="C68" s="25">
        <f>Table1345[[#This Row],[PMI]]-B67</f>
        <v/>
      </c>
    </row>
    <row r="69">
      <c r="A69" s="10" t="n">
        <v>44470</v>
      </c>
      <c r="B69" s="25" t="n">
        <v>50.9</v>
      </c>
      <c r="C69" s="25">
        <f>Table1345[[#This Row],[PMI]]-B68</f>
        <v/>
      </c>
    </row>
    <row r="70">
      <c r="A70" s="10" t="n">
        <v>44501</v>
      </c>
      <c r="B70" s="25" t="n">
        <v>50.6</v>
      </c>
      <c r="C70" s="25">
        <f>Table1345[[#This Row],[PMI]]-B69</f>
        <v/>
      </c>
    </row>
    <row r="71">
      <c r="A71" s="10" t="n">
        <v>44531</v>
      </c>
      <c r="B71" s="25" t="n">
        <v>49.5</v>
      </c>
      <c r="C71" s="25">
        <f>Table1345[[#This Row],[PMI]]-B70</f>
        <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68"/>
  <sheetViews>
    <sheetView zoomScale="160" zoomScaleNormal="160" workbookViewId="0">
      <pane ySplit="5" topLeftCell="A231" activePane="bottomLeft" state="frozen"/>
      <selection pane="bottomLeft" activeCell="A269" sqref="A269"/>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South Africa</t>
        </is>
      </c>
      <c r="K1" s="84" t="inlineStr">
        <is>
          <t xml:space="preserve"> Manufacturing PMI</t>
        </is>
      </c>
    </row>
    <row r="2">
      <c r="A2" s="84" t="inlineStr">
        <is>
          <t>south-africa</t>
        </is>
      </c>
      <c r="K2" s="84">
        <f>A1&amp;K1</f>
        <v/>
      </c>
    </row>
    <row r="4" ht="16" customHeight="1" s="76" thickBot="1"/>
    <row r="5" ht="16" customHeight="1" s="76" thickBot="1">
      <c r="A5" s="22" t="inlineStr">
        <is>
          <t>Date</t>
        </is>
      </c>
      <c r="B5" s="23" t="inlineStr">
        <is>
          <t>PMI</t>
        </is>
      </c>
      <c r="C5" s="23" t="inlineStr">
        <is>
          <t>mom</t>
        </is>
      </c>
    </row>
    <row r="6">
      <c r="A6" s="18" t="n">
        <v>36526</v>
      </c>
      <c r="B6" s="19" t="n">
        <v>56.66</v>
      </c>
      <c r="C6" s="19" t="n"/>
    </row>
    <row r="7">
      <c r="A7" s="10" t="n">
        <v>36557</v>
      </c>
      <c r="B7" s="25" t="n">
        <v>57.26</v>
      </c>
      <c r="C7" s="25">
        <f>Table1346[[#This Row],[PMI]]-B6</f>
        <v/>
      </c>
    </row>
    <row r="8">
      <c r="A8" s="10" t="n">
        <v>36586</v>
      </c>
      <c r="B8" s="25" t="n">
        <v>49.83</v>
      </c>
      <c r="C8" s="25">
        <f>Table1346[[#This Row],[PMI]]-B7</f>
        <v/>
      </c>
    </row>
    <row r="9">
      <c r="A9" s="10" t="n">
        <v>36617</v>
      </c>
      <c r="B9" s="25" t="n">
        <v>52.72</v>
      </c>
      <c r="C9" s="25">
        <f>Table1346[[#This Row],[PMI]]-B8</f>
        <v/>
      </c>
    </row>
    <row r="10">
      <c r="A10" s="10" t="n">
        <v>36647</v>
      </c>
      <c r="B10" s="25" t="n">
        <v>50.05</v>
      </c>
      <c r="C10" s="25">
        <f>Table1346[[#This Row],[PMI]]-B9</f>
        <v/>
      </c>
    </row>
    <row r="11">
      <c r="A11" s="10" t="n">
        <v>36678</v>
      </c>
      <c r="B11" s="25" t="n">
        <v>49.65</v>
      </c>
      <c r="C11" s="25">
        <f>Table1346[[#This Row],[PMI]]-B10</f>
        <v/>
      </c>
    </row>
    <row r="12">
      <c r="A12" s="10" t="n">
        <v>36708</v>
      </c>
      <c r="B12" s="25" t="n">
        <v>49.18</v>
      </c>
      <c r="C12" s="25">
        <f>Table1346[[#This Row],[PMI]]-B11</f>
        <v/>
      </c>
    </row>
    <row r="13">
      <c r="A13" s="10" t="n">
        <v>36739</v>
      </c>
      <c r="B13" s="25" t="n">
        <v>51.48</v>
      </c>
      <c r="C13" s="25">
        <f>Table1346[[#This Row],[PMI]]-B12</f>
        <v/>
      </c>
    </row>
    <row r="14">
      <c r="A14" s="10" t="n">
        <v>36770</v>
      </c>
      <c r="B14" s="25" t="n">
        <v>53.75</v>
      </c>
      <c r="C14" s="25">
        <f>Table1346[[#This Row],[PMI]]-B13</f>
        <v/>
      </c>
    </row>
    <row r="15">
      <c r="A15" s="10" t="n">
        <v>36800</v>
      </c>
      <c r="B15" s="25" t="n">
        <v>56.34</v>
      </c>
      <c r="C15" s="25">
        <f>Table1346[[#This Row],[PMI]]-B14</f>
        <v/>
      </c>
    </row>
    <row r="16">
      <c r="A16" s="10" t="n">
        <v>36831</v>
      </c>
      <c r="B16" s="25" t="n">
        <v>51.73</v>
      </c>
      <c r="C16" s="25">
        <f>Table1346[[#This Row],[PMI]]-B15</f>
        <v/>
      </c>
    </row>
    <row r="17">
      <c r="A17" s="10" t="n">
        <v>36861</v>
      </c>
      <c r="B17" s="25" t="n">
        <v>50.48</v>
      </c>
      <c r="C17" s="25">
        <f>Table1346[[#This Row],[PMI]]-B16</f>
        <v/>
      </c>
    </row>
    <row r="18">
      <c r="A18" s="10" t="n">
        <v>36892</v>
      </c>
      <c r="B18" s="25" t="n">
        <v>49.29</v>
      </c>
      <c r="C18" s="25">
        <f>Table1346[[#This Row],[PMI]]-B17</f>
        <v/>
      </c>
    </row>
    <row r="19">
      <c r="A19" s="10" t="n">
        <v>36923</v>
      </c>
      <c r="B19" s="25" t="n">
        <v>53.48</v>
      </c>
      <c r="C19" s="25">
        <f>Table1346[[#This Row],[PMI]]-B18</f>
        <v/>
      </c>
    </row>
    <row r="20">
      <c r="A20" s="10" t="n">
        <v>36951</v>
      </c>
      <c r="B20" s="25" t="n">
        <v>53.61</v>
      </c>
      <c r="C20" s="25">
        <f>Table1346[[#This Row],[PMI]]-B19</f>
        <v/>
      </c>
    </row>
    <row r="21">
      <c r="A21" s="10" t="n">
        <v>36982</v>
      </c>
      <c r="B21" s="25" t="n">
        <v>52.38</v>
      </c>
      <c r="C21" s="25">
        <f>Table1346[[#This Row],[PMI]]-B20</f>
        <v/>
      </c>
    </row>
    <row r="22">
      <c r="A22" s="10" t="n">
        <v>37012</v>
      </c>
      <c r="B22" s="25" t="n">
        <v>55.01</v>
      </c>
      <c r="C22" s="25">
        <f>Table1346[[#This Row],[PMI]]-B21</f>
        <v/>
      </c>
    </row>
    <row r="23">
      <c r="A23" s="10" t="n">
        <v>37043</v>
      </c>
      <c r="B23" s="25" t="n">
        <v>56.17</v>
      </c>
      <c r="C23" s="25">
        <f>Table1346[[#This Row],[PMI]]-B22</f>
        <v/>
      </c>
    </row>
    <row r="24">
      <c r="A24" s="10" t="n">
        <v>37073</v>
      </c>
      <c r="B24" s="25" t="n">
        <v>51.34</v>
      </c>
      <c r="C24" s="25">
        <f>Table1346[[#This Row],[PMI]]-B23</f>
        <v/>
      </c>
    </row>
    <row r="25">
      <c r="A25" s="10" t="n">
        <v>37104</v>
      </c>
      <c r="B25" s="25" t="n">
        <v>51.22</v>
      </c>
      <c r="C25" s="25">
        <f>Table1346[[#This Row],[PMI]]-B24</f>
        <v/>
      </c>
    </row>
    <row r="26">
      <c r="A26" s="10" t="n">
        <v>37135</v>
      </c>
      <c r="B26" s="25" t="n">
        <v>48.76</v>
      </c>
      <c r="C26" s="25">
        <f>Table1346[[#This Row],[PMI]]-B25</f>
        <v/>
      </c>
    </row>
    <row r="27">
      <c r="A27" s="10" t="n">
        <v>37165</v>
      </c>
      <c r="B27" s="25" t="n">
        <v>50.25</v>
      </c>
      <c r="C27" s="25">
        <f>Table1346[[#This Row],[PMI]]-B26</f>
        <v/>
      </c>
    </row>
    <row r="28">
      <c r="A28" s="10" t="n">
        <v>37196</v>
      </c>
      <c r="B28" s="25" t="n">
        <v>54.35</v>
      </c>
      <c r="C28" s="25">
        <f>Table1346[[#This Row],[PMI]]-B27</f>
        <v/>
      </c>
    </row>
    <row r="29">
      <c r="A29" s="10" t="n">
        <v>37226</v>
      </c>
      <c r="B29" s="25" t="n">
        <v>55.35</v>
      </c>
      <c r="C29" s="25">
        <f>Table1346[[#This Row],[PMI]]-B28</f>
        <v/>
      </c>
    </row>
    <row r="30">
      <c r="A30" s="10" t="n">
        <v>37257</v>
      </c>
      <c r="B30" s="25" t="n">
        <v>55.53</v>
      </c>
      <c r="C30" s="25">
        <f>Table1346[[#This Row],[PMI]]-B29</f>
        <v/>
      </c>
    </row>
    <row r="31">
      <c r="A31" s="10" t="n">
        <v>37288</v>
      </c>
      <c r="B31" s="25" t="n">
        <v>53.87</v>
      </c>
      <c r="C31" s="25">
        <f>Table1346[[#This Row],[PMI]]-B30</f>
        <v/>
      </c>
    </row>
    <row r="32">
      <c r="A32" s="10" t="n">
        <v>37316</v>
      </c>
      <c r="B32" s="25" t="n">
        <v>53.63</v>
      </c>
      <c r="C32" s="25">
        <f>Table1346[[#This Row],[PMI]]-B31</f>
        <v/>
      </c>
    </row>
    <row r="33">
      <c r="A33" s="10" t="n">
        <v>37347</v>
      </c>
      <c r="B33" s="25" t="n">
        <v>60.87</v>
      </c>
      <c r="C33" s="25">
        <f>Table1346[[#This Row],[PMI]]-B32</f>
        <v/>
      </c>
    </row>
    <row r="34">
      <c r="A34" s="10" t="n">
        <v>37377</v>
      </c>
      <c r="B34" s="25" t="n">
        <v>58.74</v>
      </c>
      <c r="C34" s="25">
        <f>Table1346[[#This Row],[PMI]]-B33</f>
        <v/>
      </c>
    </row>
    <row r="35">
      <c r="A35" s="10" t="n">
        <v>37408</v>
      </c>
      <c r="B35" s="25" t="n">
        <v>56.43</v>
      </c>
      <c r="C35" s="25">
        <f>Table1346[[#This Row],[PMI]]-B34</f>
        <v/>
      </c>
    </row>
    <row r="36">
      <c r="A36" s="10" t="n">
        <v>37438</v>
      </c>
      <c r="B36" s="25" t="n">
        <v>54.63</v>
      </c>
      <c r="C36" s="25">
        <f>Table1346[[#This Row],[PMI]]-B35</f>
        <v/>
      </c>
    </row>
    <row r="37">
      <c r="A37" s="10" t="n">
        <v>37469</v>
      </c>
      <c r="B37" s="25" t="n">
        <v>55.58</v>
      </c>
      <c r="C37" s="25">
        <f>Table1346[[#This Row],[PMI]]-B36</f>
        <v/>
      </c>
    </row>
    <row r="38">
      <c r="A38" s="10" t="n">
        <v>37500</v>
      </c>
      <c r="B38" s="25" t="n">
        <v>57.74</v>
      </c>
      <c r="C38" s="25">
        <f>Table1346[[#This Row],[PMI]]-B37</f>
        <v/>
      </c>
    </row>
    <row r="39">
      <c r="A39" s="10" t="n">
        <v>37530</v>
      </c>
      <c r="B39" s="25" t="n">
        <v>56.38</v>
      </c>
      <c r="C39" s="25">
        <f>Table1346[[#This Row],[PMI]]-B38</f>
        <v/>
      </c>
    </row>
    <row r="40">
      <c r="A40" s="10" t="n">
        <v>37561</v>
      </c>
      <c r="B40" s="25" t="n">
        <v>54.54</v>
      </c>
      <c r="C40" s="25">
        <f>Table1346[[#This Row],[PMI]]-B39</f>
        <v/>
      </c>
    </row>
    <row r="41">
      <c r="A41" s="10" t="n">
        <v>37591</v>
      </c>
      <c r="B41" s="25" t="n">
        <v>55.28</v>
      </c>
      <c r="C41" s="25">
        <f>Table1346[[#This Row],[PMI]]-B40</f>
        <v/>
      </c>
    </row>
    <row r="42">
      <c r="A42" s="10" t="n">
        <v>37622</v>
      </c>
      <c r="B42" s="25" t="n">
        <v>56.84</v>
      </c>
      <c r="C42" s="25">
        <f>Table1346[[#This Row],[PMI]]-B41</f>
        <v/>
      </c>
    </row>
    <row r="43">
      <c r="A43" s="10" t="n">
        <v>37653</v>
      </c>
      <c r="B43" s="25" t="n">
        <v>52.39</v>
      </c>
      <c r="C43" s="25">
        <f>Table1346[[#This Row],[PMI]]-B42</f>
        <v/>
      </c>
    </row>
    <row r="44">
      <c r="A44" s="10" t="n">
        <v>37681</v>
      </c>
      <c r="B44" s="25" t="n">
        <v>49.15</v>
      </c>
      <c r="C44" s="25">
        <f>Table1346[[#This Row],[PMI]]-B43</f>
        <v/>
      </c>
    </row>
    <row r="45">
      <c r="A45" s="10" t="n">
        <v>37712</v>
      </c>
      <c r="B45" s="25" t="n">
        <v>48.99</v>
      </c>
      <c r="C45" s="25">
        <f>Table1346[[#This Row],[PMI]]-B44</f>
        <v/>
      </c>
    </row>
    <row r="46">
      <c r="A46" s="10" t="n">
        <v>37742</v>
      </c>
      <c r="B46" s="25" t="n">
        <v>46.13</v>
      </c>
      <c r="C46" s="25">
        <f>Table1346[[#This Row],[PMI]]-B45</f>
        <v/>
      </c>
    </row>
    <row r="47">
      <c r="A47" s="10" t="n">
        <v>37773</v>
      </c>
      <c r="B47" s="25" t="n">
        <v>45.22</v>
      </c>
      <c r="C47" s="25">
        <f>Table1346[[#This Row],[PMI]]-B46</f>
        <v/>
      </c>
    </row>
    <row r="48">
      <c r="A48" s="10" t="n">
        <v>37803</v>
      </c>
      <c r="B48" s="25" t="n">
        <v>47.89</v>
      </c>
      <c r="C48" s="25">
        <f>Table1346[[#This Row],[PMI]]-B47</f>
        <v/>
      </c>
    </row>
    <row r="49">
      <c r="A49" s="10" t="n">
        <v>37834</v>
      </c>
      <c r="B49" s="25" t="n">
        <v>48.44</v>
      </c>
      <c r="C49" s="25">
        <f>Table1346[[#This Row],[PMI]]-B48</f>
        <v/>
      </c>
    </row>
    <row r="50">
      <c r="A50" s="10" t="n">
        <v>37865</v>
      </c>
      <c r="B50" s="25" t="n">
        <v>45.46</v>
      </c>
      <c r="C50" s="25">
        <f>Table1346[[#This Row],[PMI]]-B49</f>
        <v/>
      </c>
    </row>
    <row r="51">
      <c r="A51" s="10" t="n">
        <v>37895</v>
      </c>
      <c r="B51" s="25" t="n">
        <v>47.73</v>
      </c>
      <c r="C51" s="25">
        <f>Table1346[[#This Row],[PMI]]-B50</f>
        <v/>
      </c>
    </row>
    <row r="52">
      <c r="A52" s="10" t="n">
        <v>37926</v>
      </c>
      <c r="B52" s="25" t="n">
        <v>53.1</v>
      </c>
      <c r="C52" s="25">
        <f>Table1346[[#This Row],[PMI]]-B51</f>
        <v/>
      </c>
    </row>
    <row r="53">
      <c r="A53" s="10" t="n">
        <v>37956</v>
      </c>
      <c r="B53" s="25" t="n">
        <v>51.55</v>
      </c>
      <c r="C53" s="25">
        <f>Table1346[[#This Row],[PMI]]-B52</f>
        <v/>
      </c>
    </row>
    <row r="54">
      <c r="A54" s="10" t="n">
        <v>37987</v>
      </c>
      <c r="B54" s="25" t="n">
        <v>54.61</v>
      </c>
      <c r="C54" s="25">
        <f>Table1346[[#This Row],[PMI]]-B53</f>
        <v/>
      </c>
    </row>
    <row r="55">
      <c r="A55" s="10" t="n">
        <v>38018</v>
      </c>
      <c r="B55" s="25" t="n">
        <v>54.29</v>
      </c>
      <c r="C55" s="25">
        <f>Table1346[[#This Row],[PMI]]-B54</f>
        <v/>
      </c>
    </row>
    <row r="56">
      <c r="A56" s="10" t="n">
        <v>38047</v>
      </c>
      <c r="B56" s="25" t="n">
        <v>55.84</v>
      </c>
      <c r="C56" s="25">
        <f>Table1346[[#This Row],[PMI]]-B55</f>
        <v/>
      </c>
    </row>
    <row r="57">
      <c r="A57" s="10" t="n">
        <v>38078</v>
      </c>
      <c r="B57" s="25" t="n">
        <v>56.95</v>
      </c>
      <c r="C57" s="25">
        <f>Table1346[[#This Row],[PMI]]-B56</f>
        <v/>
      </c>
    </row>
    <row r="58">
      <c r="A58" s="10" t="n">
        <v>38108</v>
      </c>
      <c r="B58" s="25" t="n">
        <v>56.6</v>
      </c>
      <c r="C58" s="25">
        <f>Table1346[[#This Row],[PMI]]-B57</f>
        <v/>
      </c>
    </row>
    <row r="59">
      <c r="A59" s="10" t="n">
        <v>38139</v>
      </c>
      <c r="B59" s="25" t="n">
        <v>56.83</v>
      </c>
      <c r="C59" s="25">
        <f>Table1346[[#This Row],[PMI]]-B58</f>
        <v/>
      </c>
    </row>
    <row r="60">
      <c r="A60" s="10" t="n">
        <v>38169</v>
      </c>
      <c r="B60" s="25" t="n">
        <v>55.54</v>
      </c>
      <c r="C60" s="25">
        <f>Table1346[[#This Row],[PMI]]-B59</f>
        <v/>
      </c>
    </row>
    <row r="61">
      <c r="A61" s="10" t="n">
        <v>38200</v>
      </c>
      <c r="B61" s="25" t="n">
        <v>57.5</v>
      </c>
      <c r="C61" s="25">
        <f>Table1346[[#This Row],[PMI]]-B60</f>
        <v/>
      </c>
    </row>
    <row r="62">
      <c r="A62" s="10" t="n">
        <v>38231</v>
      </c>
      <c r="B62" s="25" t="n">
        <v>57.5</v>
      </c>
      <c r="C62" s="25">
        <f>Table1346[[#This Row],[PMI]]-B61</f>
        <v/>
      </c>
    </row>
    <row r="63">
      <c r="A63" s="10" t="n">
        <v>38261</v>
      </c>
      <c r="B63" s="25" t="n">
        <v>55.37</v>
      </c>
      <c r="C63" s="25">
        <f>Table1346[[#This Row],[PMI]]-B62</f>
        <v/>
      </c>
    </row>
    <row r="64">
      <c r="A64" s="10" t="n">
        <v>38292</v>
      </c>
      <c r="B64" s="25" t="n">
        <v>54.08</v>
      </c>
      <c r="C64" s="25">
        <f>Table1346[[#This Row],[PMI]]-B63</f>
        <v/>
      </c>
    </row>
    <row r="65">
      <c r="A65" s="10" t="n">
        <v>38322</v>
      </c>
      <c r="B65" s="25" t="n">
        <v>54.34</v>
      </c>
      <c r="C65" s="25">
        <f>Table1346[[#This Row],[PMI]]-B64</f>
        <v/>
      </c>
    </row>
    <row r="66">
      <c r="A66" s="10" t="n">
        <v>38353</v>
      </c>
      <c r="B66" s="25" t="n">
        <v>51.54</v>
      </c>
      <c r="C66" s="25">
        <f>Table1346[[#This Row],[PMI]]-B65</f>
        <v/>
      </c>
    </row>
    <row r="67">
      <c r="A67" s="10" t="n">
        <v>38384</v>
      </c>
      <c r="B67" s="25" t="n">
        <v>55.55</v>
      </c>
      <c r="C67" s="25">
        <f>Table1346[[#This Row],[PMI]]-B66</f>
        <v/>
      </c>
    </row>
    <row r="68">
      <c r="A68" s="10" t="n">
        <v>38412</v>
      </c>
      <c r="B68" s="25" t="n">
        <v>57.65</v>
      </c>
      <c r="C68" s="25">
        <f>Table1346[[#This Row],[PMI]]-B67</f>
        <v/>
      </c>
    </row>
    <row r="69">
      <c r="A69" s="10" t="n">
        <v>38443</v>
      </c>
      <c r="B69" s="25" t="n">
        <v>54.64</v>
      </c>
      <c r="C69" s="25">
        <f>Table1346[[#This Row],[PMI]]-B68</f>
        <v/>
      </c>
    </row>
    <row r="70">
      <c r="A70" s="10" t="n">
        <v>38473</v>
      </c>
      <c r="B70" s="25" t="n">
        <v>53.75</v>
      </c>
      <c r="C70" s="25">
        <f>Table1346[[#This Row],[PMI]]-B69</f>
        <v/>
      </c>
    </row>
    <row r="71">
      <c r="A71" s="10" t="n">
        <v>38504</v>
      </c>
      <c r="B71" s="25" t="n">
        <v>57.12</v>
      </c>
      <c r="C71" s="25">
        <f>Table1346[[#This Row],[PMI]]-B70</f>
        <v/>
      </c>
    </row>
    <row r="72">
      <c r="A72" s="10" t="n">
        <v>38534</v>
      </c>
      <c r="B72" s="25" t="n">
        <v>57.43</v>
      </c>
      <c r="C72" s="25">
        <f>Table1346[[#This Row],[PMI]]-B71</f>
        <v/>
      </c>
    </row>
    <row r="73">
      <c r="A73" s="10" t="n">
        <v>38565</v>
      </c>
      <c r="B73" s="25" t="n">
        <v>55.2</v>
      </c>
      <c r="C73" s="25">
        <f>Table1346[[#This Row],[PMI]]-B72</f>
        <v/>
      </c>
    </row>
    <row r="74">
      <c r="A74" s="10" t="n">
        <v>38596</v>
      </c>
      <c r="B74" s="25" t="n">
        <v>54.96</v>
      </c>
      <c r="C74" s="25">
        <f>Table1346[[#This Row],[PMI]]-B73</f>
        <v/>
      </c>
    </row>
    <row r="75">
      <c r="A75" s="10" t="n">
        <v>38626</v>
      </c>
      <c r="B75" s="25" t="n">
        <v>52.77</v>
      </c>
      <c r="C75" s="25">
        <f>Table1346[[#This Row],[PMI]]-B74</f>
        <v/>
      </c>
    </row>
    <row r="76">
      <c r="A76" s="10" t="n">
        <v>38657</v>
      </c>
      <c r="B76" s="25" t="n">
        <v>52.02</v>
      </c>
      <c r="C76" s="25">
        <f>Table1346[[#This Row],[PMI]]-B75</f>
        <v/>
      </c>
    </row>
    <row r="77">
      <c r="A77" s="10" t="n">
        <v>38687</v>
      </c>
      <c r="B77" s="25" t="n">
        <v>53.31</v>
      </c>
      <c r="C77" s="25">
        <f>Table1346[[#This Row],[PMI]]-B76</f>
        <v/>
      </c>
    </row>
    <row r="78">
      <c r="A78" s="10" t="n">
        <v>38718</v>
      </c>
      <c r="B78" s="25" t="n">
        <v>49.78</v>
      </c>
      <c r="C78" s="25">
        <f>Table1346[[#This Row],[PMI]]-B77</f>
        <v/>
      </c>
    </row>
    <row r="79">
      <c r="A79" s="10" t="n">
        <v>38749</v>
      </c>
      <c r="B79" s="25" t="n">
        <v>50.11</v>
      </c>
      <c r="C79" s="25">
        <f>Table1346[[#This Row],[PMI]]-B78</f>
        <v/>
      </c>
    </row>
    <row r="80">
      <c r="A80" s="10" t="n">
        <v>38777</v>
      </c>
      <c r="B80" s="25" t="n">
        <v>52.17</v>
      </c>
      <c r="C80" s="25">
        <f>Table1346[[#This Row],[PMI]]-B79</f>
        <v/>
      </c>
    </row>
    <row r="81">
      <c r="A81" s="10" t="n">
        <v>38808</v>
      </c>
      <c r="B81" s="25" t="n">
        <v>54.63</v>
      </c>
      <c r="C81" s="25">
        <f>Table1346[[#This Row],[PMI]]-B80</f>
        <v/>
      </c>
    </row>
    <row r="82">
      <c r="A82" s="10" t="n">
        <v>38838</v>
      </c>
      <c r="B82" s="25" t="n">
        <v>57</v>
      </c>
      <c r="C82" s="25">
        <f>Table1346[[#This Row],[PMI]]-B81</f>
        <v/>
      </c>
    </row>
    <row r="83">
      <c r="A83" s="10" t="n">
        <v>38869</v>
      </c>
      <c r="B83" s="25" t="n">
        <v>58.8</v>
      </c>
      <c r="C83" s="25">
        <f>Table1346[[#This Row],[PMI]]-B82</f>
        <v/>
      </c>
    </row>
    <row r="84">
      <c r="A84" s="10" t="n">
        <v>38899</v>
      </c>
      <c r="B84" s="25" t="n">
        <v>60.27</v>
      </c>
      <c r="C84" s="25">
        <f>Table1346[[#This Row],[PMI]]-B83</f>
        <v/>
      </c>
    </row>
    <row r="85">
      <c r="A85" s="10" t="n">
        <v>38930</v>
      </c>
      <c r="B85" s="25" t="n">
        <v>58.68</v>
      </c>
      <c r="C85" s="25">
        <f>Table1346[[#This Row],[PMI]]-B84</f>
        <v/>
      </c>
    </row>
    <row r="86">
      <c r="A86" s="10" t="n">
        <v>38961</v>
      </c>
      <c r="B86" s="25" t="n">
        <v>56.6</v>
      </c>
      <c r="C86" s="25">
        <f>Table1346[[#This Row],[PMI]]-B85</f>
        <v/>
      </c>
    </row>
    <row r="87">
      <c r="A87" s="10" t="n">
        <v>38991</v>
      </c>
      <c r="B87" s="25" t="n">
        <v>56.73</v>
      </c>
      <c r="C87" s="25">
        <f>Table1346[[#This Row],[PMI]]-B86</f>
        <v/>
      </c>
    </row>
    <row r="88">
      <c r="A88" s="10" t="n">
        <v>39022</v>
      </c>
      <c r="B88" s="25" t="n">
        <v>56.34</v>
      </c>
      <c r="C88" s="25">
        <f>Table1346[[#This Row],[PMI]]-B87</f>
        <v/>
      </c>
    </row>
    <row r="89">
      <c r="A89" s="10" t="n">
        <v>39052</v>
      </c>
      <c r="B89" s="25" t="n">
        <v>55.49</v>
      </c>
      <c r="C89" s="25">
        <f>Table1346[[#This Row],[PMI]]-B88</f>
        <v/>
      </c>
    </row>
    <row r="90">
      <c r="A90" s="10" t="n">
        <v>39083</v>
      </c>
      <c r="B90" s="25" t="n">
        <v>57.79</v>
      </c>
      <c r="C90" s="25">
        <f>Table1346[[#This Row],[PMI]]-B89</f>
        <v/>
      </c>
    </row>
    <row r="91">
      <c r="A91" s="10" t="n">
        <v>39114</v>
      </c>
      <c r="B91" s="25" t="n">
        <v>60.18</v>
      </c>
      <c r="C91" s="25">
        <f>Table1346[[#This Row],[PMI]]-B90</f>
        <v/>
      </c>
    </row>
    <row r="92">
      <c r="A92" s="10" t="n">
        <v>39142</v>
      </c>
      <c r="B92" s="25" t="n">
        <v>60.35</v>
      </c>
      <c r="C92" s="25">
        <f>Table1346[[#This Row],[PMI]]-B91</f>
        <v/>
      </c>
    </row>
    <row r="93">
      <c r="A93" s="10" t="n">
        <v>39173</v>
      </c>
      <c r="B93" s="25" t="n">
        <v>57.89</v>
      </c>
      <c r="C93" s="25">
        <f>Table1346[[#This Row],[PMI]]-B92</f>
        <v/>
      </c>
    </row>
    <row r="94">
      <c r="A94" s="10" t="n">
        <v>39203</v>
      </c>
      <c r="B94" s="25" t="n">
        <v>56.91</v>
      </c>
      <c r="C94" s="25">
        <f>Table1346[[#This Row],[PMI]]-B93</f>
        <v/>
      </c>
    </row>
    <row r="95">
      <c r="A95" s="10" t="n">
        <v>39234</v>
      </c>
      <c r="B95" s="25" t="n">
        <v>56.33</v>
      </c>
      <c r="C95" s="25">
        <f>Table1346[[#This Row],[PMI]]-B94</f>
        <v/>
      </c>
    </row>
    <row r="96">
      <c r="A96" s="10" t="n">
        <v>39264</v>
      </c>
      <c r="B96" s="25" t="n">
        <v>57.52</v>
      </c>
      <c r="C96" s="25">
        <f>Table1346[[#This Row],[PMI]]-B95</f>
        <v/>
      </c>
    </row>
    <row r="97">
      <c r="A97" s="10" t="n">
        <v>39295</v>
      </c>
      <c r="B97" s="25" t="n">
        <v>54.42</v>
      </c>
      <c r="C97" s="25">
        <f>Table1346[[#This Row],[PMI]]-B96</f>
        <v/>
      </c>
    </row>
    <row r="98">
      <c r="A98" s="10" t="n">
        <v>39326</v>
      </c>
      <c r="B98" s="25" t="n">
        <v>51.63</v>
      </c>
      <c r="C98" s="25">
        <f>Table1346[[#This Row],[PMI]]-B97</f>
        <v/>
      </c>
    </row>
    <row r="99">
      <c r="A99" s="10" t="n">
        <v>39356</v>
      </c>
      <c r="B99" s="25" t="n">
        <v>54.4</v>
      </c>
      <c r="C99" s="25">
        <f>Table1346[[#This Row],[PMI]]-B98</f>
        <v/>
      </c>
    </row>
    <row r="100">
      <c r="A100" s="10" t="n">
        <v>39387</v>
      </c>
      <c r="B100" s="25" t="n">
        <v>53.96</v>
      </c>
      <c r="C100" s="25">
        <f>Table1346[[#This Row],[PMI]]-B99</f>
        <v/>
      </c>
    </row>
    <row r="101">
      <c r="A101" s="10" t="n">
        <v>39417</v>
      </c>
      <c r="B101" s="25" t="n">
        <v>53.23</v>
      </c>
      <c r="C101" s="25">
        <f>Table1346[[#This Row],[PMI]]-B100</f>
        <v/>
      </c>
    </row>
    <row r="102">
      <c r="A102" s="10" t="n">
        <v>39448</v>
      </c>
      <c r="B102" s="25" t="n">
        <v>51.3</v>
      </c>
      <c r="C102" s="25">
        <f>Table1346[[#This Row],[PMI]]-B101</f>
        <v/>
      </c>
    </row>
    <row r="103">
      <c r="A103" s="10" t="n">
        <v>39479</v>
      </c>
      <c r="B103" s="25" t="n">
        <v>45.75</v>
      </c>
      <c r="C103" s="25">
        <f>Table1346[[#This Row],[PMI]]-B102</f>
        <v/>
      </c>
    </row>
    <row r="104">
      <c r="A104" s="10" t="n">
        <v>39508</v>
      </c>
      <c r="B104" s="25" t="n">
        <v>44.21</v>
      </c>
      <c r="C104" s="25">
        <f>Table1346[[#This Row],[PMI]]-B103</f>
        <v/>
      </c>
    </row>
    <row r="105">
      <c r="A105" s="10" t="n">
        <v>39539</v>
      </c>
      <c r="B105" s="25" t="n">
        <v>53.72</v>
      </c>
      <c r="C105" s="25">
        <f>Table1346[[#This Row],[PMI]]-B104</f>
        <v/>
      </c>
    </row>
    <row r="106">
      <c r="A106" s="10" t="n">
        <v>39569</v>
      </c>
      <c r="B106" s="25" t="n">
        <v>48.8</v>
      </c>
      <c r="C106" s="25">
        <f>Table1346[[#This Row],[PMI]]-B105</f>
        <v/>
      </c>
    </row>
    <row r="107">
      <c r="A107" s="10" t="n">
        <v>39600</v>
      </c>
      <c r="B107" s="25" t="n">
        <v>45.37</v>
      </c>
      <c r="C107" s="25">
        <f>Table1346[[#This Row],[PMI]]-B106</f>
        <v/>
      </c>
    </row>
    <row r="108">
      <c r="A108" s="10" t="n">
        <v>39630</v>
      </c>
      <c r="B108" s="25" t="n">
        <v>44.8</v>
      </c>
      <c r="C108" s="25">
        <f>Table1346[[#This Row],[PMI]]-B107</f>
        <v/>
      </c>
    </row>
    <row r="109">
      <c r="A109" s="10" t="n">
        <v>39661</v>
      </c>
      <c r="B109" s="25" t="n">
        <v>48.3</v>
      </c>
      <c r="C109" s="25">
        <f>Table1346[[#This Row],[PMI]]-B108</f>
        <v/>
      </c>
    </row>
    <row r="110">
      <c r="A110" s="10" t="n">
        <v>39692</v>
      </c>
      <c r="B110" s="25" t="n">
        <v>47.07</v>
      </c>
      <c r="C110" s="25">
        <f>Table1346[[#This Row],[PMI]]-B109</f>
        <v/>
      </c>
    </row>
    <row r="111">
      <c r="A111" s="10" t="n">
        <v>39722</v>
      </c>
      <c r="B111" s="25" t="n">
        <v>45.16</v>
      </c>
      <c r="C111" s="25">
        <f>Table1346[[#This Row],[PMI]]-B110</f>
        <v/>
      </c>
    </row>
    <row r="112">
      <c r="A112" s="10" t="n">
        <v>39753</v>
      </c>
      <c r="B112" s="25" t="n">
        <v>38.97</v>
      </c>
      <c r="C112" s="25">
        <f>Table1346[[#This Row],[PMI]]-B111</f>
        <v/>
      </c>
    </row>
    <row r="113">
      <c r="A113" s="10" t="n">
        <v>39783</v>
      </c>
      <c r="B113" s="25" t="n">
        <v>40.24</v>
      </c>
      <c r="C113" s="25">
        <f>Table1346[[#This Row],[PMI]]-B112</f>
        <v/>
      </c>
    </row>
    <row r="114">
      <c r="A114" s="10" t="n">
        <v>39814</v>
      </c>
      <c r="B114" s="25" t="n">
        <v>39.9</v>
      </c>
      <c r="C114" s="25">
        <f>Table1346[[#This Row],[PMI]]-B113</f>
        <v/>
      </c>
    </row>
    <row r="115">
      <c r="A115" s="10" t="n">
        <v>39845</v>
      </c>
      <c r="B115" s="25" t="n">
        <v>37.59</v>
      </c>
      <c r="C115" s="25">
        <f>Table1346[[#This Row],[PMI]]-B114</f>
        <v/>
      </c>
    </row>
    <row r="116">
      <c r="A116" s="10" t="n">
        <v>39873</v>
      </c>
      <c r="B116" s="25" t="n">
        <v>35.76</v>
      </c>
      <c r="C116" s="25">
        <f>Table1346[[#This Row],[PMI]]-B115</f>
        <v/>
      </c>
    </row>
    <row r="117">
      <c r="A117" s="10" t="n">
        <v>39904</v>
      </c>
      <c r="B117" s="25" t="n">
        <v>35.09</v>
      </c>
      <c r="C117" s="25">
        <f>Table1346[[#This Row],[PMI]]-B116</f>
        <v/>
      </c>
    </row>
    <row r="118">
      <c r="A118" s="10" t="n">
        <v>39934</v>
      </c>
      <c r="B118" s="25" t="n">
        <v>37.52</v>
      </c>
      <c r="C118" s="25">
        <f>Table1346[[#This Row],[PMI]]-B117</f>
        <v/>
      </c>
    </row>
    <row r="119">
      <c r="A119" s="10" t="n">
        <v>39965</v>
      </c>
      <c r="B119" s="25" t="n">
        <v>39.7</v>
      </c>
      <c r="C119" s="25">
        <f>Table1346[[#This Row],[PMI]]-B118</f>
        <v/>
      </c>
    </row>
    <row r="120">
      <c r="A120" s="10" t="n">
        <v>39995</v>
      </c>
      <c r="B120" s="25" t="n">
        <v>39.43</v>
      </c>
      <c r="C120" s="25">
        <f>Table1346[[#This Row],[PMI]]-B119</f>
        <v/>
      </c>
    </row>
    <row r="121">
      <c r="A121" s="10" t="n">
        <v>40026</v>
      </c>
      <c r="B121" s="25" t="n">
        <v>40.66</v>
      </c>
      <c r="C121" s="25">
        <f>Table1346[[#This Row],[PMI]]-B120</f>
        <v/>
      </c>
    </row>
    <row r="122">
      <c r="A122" s="10" t="n">
        <v>40057</v>
      </c>
      <c r="B122" s="25" t="n">
        <v>47.46</v>
      </c>
      <c r="C122" s="25">
        <f>Table1346[[#This Row],[PMI]]-B121</f>
        <v/>
      </c>
    </row>
    <row r="123">
      <c r="A123" s="10" t="n">
        <v>40087</v>
      </c>
      <c r="B123" s="25" t="n">
        <v>47.74</v>
      </c>
      <c r="C123" s="25">
        <f>Table1346[[#This Row],[PMI]]-B122</f>
        <v/>
      </c>
    </row>
    <row r="124">
      <c r="A124" s="10" t="n">
        <v>40118</v>
      </c>
      <c r="B124" s="25" t="n">
        <v>49.48</v>
      </c>
      <c r="C124" s="25">
        <f>Table1346[[#This Row],[PMI]]-B123</f>
        <v/>
      </c>
    </row>
    <row r="125">
      <c r="A125" s="10" t="n">
        <v>40148</v>
      </c>
      <c r="B125" s="25" t="n">
        <v>52.58</v>
      </c>
      <c r="C125" s="25">
        <f>Table1346[[#This Row],[PMI]]-B124</f>
        <v/>
      </c>
    </row>
    <row r="126">
      <c r="A126" s="10" t="n">
        <v>40179</v>
      </c>
      <c r="B126" s="25" t="n">
        <v>52.14</v>
      </c>
      <c r="C126" s="25">
        <f>Table1346[[#This Row],[PMI]]-B125</f>
        <v/>
      </c>
    </row>
    <row r="127">
      <c r="A127" s="10" t="n">
        <v>40210</v>
      </c>
      <c r="B127" s="25" t="n">
        <v>55.72</v>
      </c>
      <c r="C127" s="25">
        <f>Table1346[[#This Row],[PMI]]-B126</f>
        <v/>
      </c>
    </row>
    <row r="128">
      <c r="A128" s="10" t="n">
        <v>40238</v>
      </c>
      <c r="B128" s="25" t="n">
        <v>53.65</v>
      </c>
      <c r="C128" s="25">
        <f>Table1346[[#This Row],[PMI]]-B127</f>
        <v/>
      </c>
    </row>
    <row r="129">
      <c r="A129" s="10" t="n">
        <v>40269</v>
      </c>
      <c r="B129" s="25" t="n">
        <v>53.24</v>
      </c>
      <c r="C129" s="25">
        <f>Table1346[[#This Row],[PMI]]-B128</f>
        <v/>
      </c>
    </row>
    <row r="130">
      <c r="A130" s="10" t="n">
        <v>40299</v>
      </c>
      <c r="B130" s="25" t="n">
        <v>51.19</v>
      </c>
      <c r="C130" s="25">
        <f>Table1346[[#This Row],[PMI]]-B129</f>
        <v/>
      </c>
    </row>
    <row r="131">
      <c r="A131" s="10" t="n">
        <v>40330</v>
      </c>
      <c r="B131" s="25" t="n">
        <v>50.84</v>
      </c>
      <c r="C131" s="25">
        <f>Table1346[[#This Row],[PMI]]-B130</f>
        <v/>
      </c>
    </row>
    <row r="132">
      <c r="A132" s="10" t="n">
        <v>40360</v>
      </c>
      <c r="B132" s="25" t="n">
        <v>52.65</v>
      </c>
      <c r="C132" s="25">
        <f>Table1346[[#This Row],[PMI]]-B131</f>
        <v/>
      </c>
    </row>
    <row r="133">
      <c r="A133" s="10" t="n">
        <v>40391</v>
      </c>
      <c r="B133" s="25" t="n">
        <v>51.95</v>
      </c>
      <c r="C133" s="25">
        <f>Table1346[[#This Row],[PMI]]-B132</f>
        <v/>
      </c>
    </row>
    <row r="134">
      <c r="A134" s="10" t="n">
        <v>40422</v>
      </c>
      <c r="B134" s="25" t="n">
        <v>50.14</v>
      </c>
      <c r="C134" s="25">
        <f>Table1346[[#This Row],[PMI]]-B133</f>
        <v/>
      </c>
    </row>
    <row r="135">
      <c r="A135" s="10" t="n">
        <v>40452</v>
      </c>
      <c r="B135" s="25" t="n">
        <v>51.35</v>
      </c>
      <c r="C135" s="25">
        <f>Table1346[[#This Row],[PMI]]-B134</f>
        <v/>
      </c>
    </row>
    <row r="136">
      <c r="A136" s="10" t="n">
        <v>40483</v>
      </c>
      <c r="B136" s="25" t="n">
        <v>52.54</v>
      </c>
      <c r="C136" s="25">
        <f>Table1346[[#This Row],[PMI]]-B135</f>
        <v/>
      </c>
    </row>
    <row r="137">
      <c r="A137" s="10" t="n">
        <v>40513</v>
      </c>
      <c r="B137" s="25" t="n">
        <v>52.81</v>
      </c>
      <c r="C137" s="25">
        <f>Table1346[[#This Row],[PMI]]-B136</f>
        <v/>
      </c>
    </row>
    <row r="138">
      <c r="A138" s="10" t="n">
        <v>40544</v>
      </c>
      <c r="B138" s="25" t="n">
        <v>53.56</v>
      </c>
      <c r="C138" s="25">
        <f>Table1346[[#This Row],[PMI]]-B137</f>
        <v/>
      </c>
    </row>
    <row r="139">
      <c r="A139" s="10" t="n">
        <v>40575</v>
      </c>
      <c r="B139" s="25" t="n">
        <v>51.49</v>
      </c>
      <c r="C139" s="25">
        <f>Table1346[[#This Row],[PMI]]-B138</f>
        <v/>
      </c>
    </row>
    <row r="140">
      <c r="A140" s="10" t="n">
        <v>40603</v>
      </c>
      <c r="B140" s="25" t="n">
        <v>54.71</v>
      </c>
      <c r="C140" s="25">
        <f>Table1346[[#This Row],[PMI]]-B139</f>
        <v/>
      </c>
    </row>
    <row r="141">
      <c r="A141" s="10" t="n">
        <v>40634</v>
      </c>
      <c r="B141" s="25" t="n">
        <v>54.16</v>
      </c>
      <c r="C141" s="25">
        <f>Table1346[[#This Row],[PMI]]-B140</f>
        <v/>
      </c>
    </row>
    <row r="142">
      <c r="A142" s="10" t="n">
        <v>40664</v>
      </c>
      <c r="B142" s="25" t="n">
        <v>54.1</v>
      </c>
      <c r="C142" s="25">
        <f>Table1346[[#This Row],[PMI]]-B141</f>
        <v/>
      </c>
    </row>
    <row r="143">
      <c r="A143" s="10" t="n">
        <v>40695</v>
      </c>
      <c r="B143" s="25" t="n">
        <v>55.16</v>
      </c>
      <c r="C143" s="25">
        <f>Table1346[[#This Row],[PMI]]-B142</f>
        <v/>
      </c>
    </row>
    <row r="144">
      <c r="A144" s="10" t="n">
        <v>40725</v>
      </c>
      <c r="B144" s="25" t="n">
        <v>46.16</v>
      </c>
      <c r="C144" s="25">
        <f>Table1346[[#This Row],[PMI]]-B143</f>
        <v/>
      </c>
    </row>
    <row r="145">
      <c r="A145" s="10" t="n">
        <v>40756</v>
      </c>
      <c r="B145" s="25" t="n">
        <v>47.73</v>
      </c>
      <c r="C145" s="25">
        <f>Table1346[[#This Row],[PMI]]-B144</f>
        <v/>
      </c>
    </row>
    <row r="146">
      <c r="A146" s="10" t="n">
        <v>40787</v>
      </c>
      <c r="B146" s="25" t="n">
        <v>52.45</v>
      </c>
      <c r="C146" s="25">
        <f>Table1346[[#This Row],[PMI]]-B145</f>
        <v/>
      </c>
    </row>
    <row r="147">
      <c r="A147" s="10" t="n">
        <v>40817</v>
      </c>
      <c r="B147" s="25" t="n">
        <v>52.18</v>
      </c>
      <c r="C147" s="25">
        <f>Table1346[[#This Row],[PMI]]-B146</f>
        <v/>
      </c>
    </row>
    <row r="148">
      <c r="A148" s="10" t="n">
        <v>40848</v>
      </c>
      <c r="B148" s="25" t="n">
        <v>51.66</v>
      </c>
      <c r="C148" s="25">
        <f>Table1346[[#This Row],[PMI]]-B147</f>
        <v/>
      </c>
    </row>
    <row r="149">
      <c r="A149" s="10" t="n">
        <v>40878</v>
      </c>
      <c r="B149" s="25" t="n">
        <v>51.4</v>
      </c>
      <c r="C149" s="25">
        <f>Table1346[[#This Row],[PMI]]-B148</f>
        <v/>
      </c>
    </row>
    <row r="150">
      <c r="A150" s="10" t="n">
        <v>40909</v>
      </c>
      <c r="B150" s="25" t="n">
        <v>52.94</v>
      </c>
      <c r="C150" s="25">
        <f>Table1346[[#This Row],[PMI]]-B149</f>
        <v/>
      </c>
    </row>
    <row r="151">
      <c r="A151" s="10" t="n">
        <v>40940</v>
      </c>
      <c r="B151" s="25" t="n">
        <v>53.51</v>
      </c>
      <c r="C151" s="25">
        <f>Table1346[[#This Row],[PMI]]-B150</f>
        <v/>
      </c>
    </row>
    <row r="152">
      <c r="A152" s="10" t="n">
        <v>40969</v>
      </c>
      <c r="B152" s="25" t="n">
        <v>53.51</v>
      </c>
      <c r="C152" s="25">
        <f>Table1346[[#This Row],[PMI]]-B151</f>
        <v/>
      </c>
    </row>
    <row r="153">
      <c r="A153" s="10" t="n">
        <v>41000</v>
      </c>
      <c r="B153" s="25" t="n">
        <v>52.19</v>
      </c>
      <c r="C153" s="25">
        <f>Table1346[[#This Row],[PMI]]-B152</f>
        <v/>
      </c>
    </row>
    <row r="154">
      <c r="A154" s="10" t="n">
        <v>41030</v>
      </c>
      <c r="B154" s="25" t="n">
        <v>52.57</v>
      </c>
      <c r="C154" s="25">
        <f>Table1346[[#This Row],[PMI]]-B153</f>
        <v/>
      </c>
    </row>
    <row r="155">
      <c r="A155" s="10" t="n">
        <v>41061</v>
      </c>
      <c r="B155" s="25" t="n">
        <v>49.09</v>
      </c>
      <c r="C155" s="25">
        <f>Table1346[[#This Row],[PMI]]-B154</f>
        <v/>
      </c>
    </row>
    <row r="156">
      <c r="A156" s="10" t="n">
        <v>41091</v>
      </c>
      <c r="B156" s="25" t="n">
        <v>51.13</v>
      </c>
      <c r="C156" s="25">
        <f>Table1346[[#This Row],[PMI]]-B155</f>
        <v/>
      </c>
    </row>
    <row r="157">
      <c r="A157" s="10" t="n">
        <v>41122</v>
      </c>
      <c r="B157" s="25" t="n">
        <v>49.56</v>
      </c>
      <c r="C157" s="25">
        <f>Table1346[[#This Row],[PMI]]-B156</f>
        <v/>
      </c>
    </row>
    <row r="158">
      <c r="A158" s="10" t="n">
        <v>41153</v>
      </c>
      <c r="B158" s="25" t="n">
        <v>48.42</v>
      </c>
      <c r="C158" s="25">
        <f>Table1346[[#This Row],[PMI]]-B157</f>
        <v/>
      </c>
    </row>
    <row r="159">
      <c r="A159" s="10" t="n">
        <v>41183</v>
      </c>
      <c r="B159" s="25" t="n">
        <v>48.23</v>
      </c>
      <c r="C159" s="25">
        <f>Table1346[[#This Row],[PMI]]-B158</f>
        <v/>
      </c>
    </row>
    <row r="160">
      <c r="A160" s="10" t="n">
        <v>41214</v>
      </c>
      <c r="B160" s="25" t="n">
        <v>49.15</v>
      </c>
      <c r="C160" s="25">
        <f>Table1346[[#This Row],[PMI]]-B159</f>
        <v/>
      </c>
    </row>
    <row r="161">
      <c r="A161" s="10" t="n">
        <v>41244</v>
      </c>
      <c r="B161" s="25" t="n">
        <v>48.92</v>
      </c>
      <c r="C161" s="25">
        <f>Table1346[[#This Row],[PMI]]-B160</f>
        <v/>
      </c>
    </row>
    <row r="162">
      <c r="A162" s="10" t="n">
        <v>41275</v>
      </c>
      <c r="B162" s="25" t="n">
        <v>49.08</v>
      </c>
      <c r="C162" s="25">
        <f>Table1346[[#This Row],[PMI]]-B161</f>
        <v/>
      </c>
    </row>
    <row r="163">
      <c r="A163" s="10" t="n">
        <v>41306</v>
      </c>
      <c r="B163" s="25" t="n">
        <v>51.42</v>
      </c>
      <c r="C163" s="25">
        <f>Table1346[[#This Row],[PMI]]-B162</f>
        <v/>
      </c>
    </row>
    <row r="164">
      <c r="A164" s="10" t="n">
        <v>41334</v>
      </c>
      <c r="B164" s="25" t="n">
        <v>49.04</v>
      </c>
      <c r="C164" s="25">
        <f>Table1346[[#This Row],[PMI]]-B163</f>
        <v/>
      </c>
    </row>
    <row r="165">
      <c r="A165" s="10" t="n">
        <v>41365</v>
      </c>
      <c r="B165" s="25" t="n">
        <v>49.8</v>
      </c>
      <c r="C165" s="25">
        <f>Table1346[[#This Row],[PMI]]-B164</f>
        <v/>
      </c>
    </row>
    <row r="166">
      <c r="A166" s="10" t="n">
        <v>41395</v>
      </c>
      <c r="B166" s="25" t="n">
        <v>50.21</v>
      </c>
      <c r="C166" s="25">
        <f>Table1346[[#This Row],[PMI]]-B165</f>
        <v/>
      </c>
    </row>
    <row r="167">
      <c r="A167" s="10" t="n">
        <v>41426</v>
      </c>
      <c r="B167" s="25" t="n">
        <v>51.96</v>
      </c>
      <c r="C167" s="25">
        <f>Table1346[[#This Row],[PMI]]-B166</f>
        <v/>
      </c>
    </row>
    <row r="168">
      <c r="A168" s="10" t="n">
        <v>41456</v>
      </c>
      <c r="B168" s="25" t="n">
        <v>52.15</v>
      </c>
      <c r="C168" s="25">
        <f>Table1346[[#This Row],[PMI]]-B167</f>
        <v/>
      </c>
    </row>
    <row r="169">
      <c r="A169" s="10" t="n">
        <v>41487</v>
      </c>
      <c r="B169" s="25" t="n">
        <v>55.26</v>
      </c>
      <c r="C169" s="25">
        <f>Table1346[[#This Row],[PMI]]-B168</f>
        <v/>
      </c>
    </row>
    <row r="170">
      <c r="A170" s="10" t="n">
        <v>41518</v>
      </c>
      <c r="B170" s="25" t="n">
        <v>49.43</v>
      </c>
      <c r="C170" s="25">
        <f>Table1346[[#This Row],[PMI]]-B169</f>
        <v/>
      </c>
    </row>
    <row r="171">
      <c r="A171" s="10" t="n">
        <v>41548</v>
      </c>
      <c r="B171" s="25" t="n">
        <v>51.43</v>
      </c>
      <c r="C171" s="25">
        <f>Table1346[[#This Row],[PMI]]-B170</f>
        <v/>
      </c>
    </row>
    <row r="172">
      <c r="A172" s="10" t="n">
        <v>41579</v>
      </c>
      <c r="B172" s="25" t="n">
        <v>52</v>
      </c>
      <c r="C172" s="25">
        <f>Table1346[[#This Row],[PMI]]-B171</f>
        <v/>
      </c>
    </row>
    <row r="173">
      <c r="A173" s="10" t="n">
        <v>41609</v>
      </c>
      <c r="B173" s="25" t="n">
        <v>51</v>
      </c>
      <c r="C173" s="25">
        <f>Table1346[[#This Row],[PMI]]-B172</f>
        <v/>
      </c>
    </row>
    <row r="174">
      <c r="A174" s="10" t="n">
        <v>41640</v>
      </c>
      <c r="B174" s="25" t="n">
        <v>49.96</v>
      </c>
      <c r="C174" s="25">
        <f>Table1346[[#This Row],[PMI]]-B173</f>
        <v/>
      </c>
    </row>
    <row r="175">
      <c r="A175" s="10" t="n">
        <v>41671</v>
      </c>
      <c r="B175" s="25" t="n">
        <v>50.69</v>
      </c>
      <c r="C175" s="25">
        <f>Table1346[[#This Row],[PMI]]-B174</f>
        <v/>
      </c>
    </row>
    <row r="176">
      <c r="A176" s="10" t="n">
        <v>41699</v>
      </c>
      <c r="B176" s="25" t="n">
        <v>50.29</v>
      </c>
      <c r="C176" s="25">
        <f>Table1346[[#This Row],[PMI]]-B175</f>
        <v/>
      </c>
    </row>
    <row r="177">
      <c r="A177" s="10" t="n">
        <v>41730</v>
      </c>
      <c r="B177" s="25" t="n">
        <v>47.3</v>
      </c>
      <c r="C177" s="25">
        <f>Table1346[[#This Row],[PMI]]-B176</f>
        <v/>
      </c>
    </row>
    <row r="178">
      <c r="A178" s="10" t="n">
        <v>41760</v>
      </c>
      <c r="B178" s="25" t="n">
        <v>44.41</v>
      </c>
      <c r="C178" s="25">
        <f>Table1346[[#This Row],[PMI]]-B177</f>
        <v/>
      </c>
    </row>
    <row r="179">
      <c r="A179" s="10" t="n">
        <v>41791</v>
      </c>
      <c r="B179" s="25" t="n">
        <v>46.59</v>
      </c>
      <c r="C179" s="25">
        <f>Table1346[[#This Row],[PMI]]-B178</f>
        <v/>
      </c>
    </row>
    <row r="180">
      <c r="A180" s="10" t="n">
        <v>41821</v>
      </c>
      <c r="B180" s="25" t="n">
        <v>45.45</v>
      </c>
      <c r="C180" s="25">
        <f>Table1346[[#This Row],[PMI]]-B179</f>
        <v/>
      </c>
    </row>
    <row r="181">
      <c r="A181" s="10" t="n">
        <v>41852</v>
      </c>
      <c r="B181" s="25" t="n">
        <v>49</v>
      </c>
      <c r="C181" s="25">
        <f>Table1346[[#This Row],[PMI]]-B180</f>
        <v/>
      </c>
    </row>
    <row r="182">
      <c r="A182" s="10" t="n">
        <v>41883</v>
      </c>
      <c r="B182" s="25" t="n">
        <v>50.35</v>
      </c>
      <c r="C182" s="25">
        <f>Table1346[[#This Row],[PMI]]-B181</f>
        <v/>
      </c>
    </row>
    <row r="183">
      <c r="A183" s="10" t="n">
        <v>41913</v>
      </c>
      <c r="B183" s="25" t="n">
        <v>50.13</v>
      </c>
      <c r="C183" s="25">
        <f>Table1346[[#This Row],[PMI]]-B182</f>
        <v/>
      </c>
    </row>
    <row r="184">
      <c r="A184" s="10" t="n">
        <v>41944</v>
      </c>
      <c r="B184" s="25" t="n">
        <v>53.12</v>
      </c>
      <c r="C184" s="25">
        <f>Table1346[[#This Row],[PMI]]-B183</f>
        <v/>
      </c>
    </row>
    <row r="185">
      <c r="A185" s="10" t="n">
        <v>41974</v>
      </c>
      <c r="B185" s="25" t="n">
        <v>51.1</v>
      </c>
      <c r="C185" s="25">
        <f>Table1346[[#This Row],[PMI]]-B184</f>
        <v/>
      </c>
    </row>
    <row r="186">
      <c r="A186" s="10" t="n">
        <v>42005</v>
      </c>
      <c r="B186" s="25" t="n">
        <v>53.24</v>
      </c>
      <c r="C186" s="25">
        <f>Table1346[[#This Row],[PMI]]-B185</f>
        <v/>
      </c>
    </row>
    <row r="187">
      <c r="A187" s="10" t="n">
        <v>42036</v>
      </c>
      <c r="B187" s="25" t="n">
        <v>47.66</v>
      </c>
      <c r="C187" s="25">
        <f>Table1346[[#This Row],[PMI]]-B186</f>
        <v/>
      </c>
    </row>
    <row r="188">
      <c r="A188" s="10" t="n">
        <v>42064</v>
      </c>
      <c r="B188" s="25" t="n">
        <v>47.88</v>
      </c>
      <c r="C188" s="25">
        <f>Table1346[[#This Row],[PMI]]-B187</f>
        <v/>
      </c>
    </row>
    <row r="189">
      <c r="A189" s="10" t="n">
        <v>42095</v>
      </c>
      <c r="B189" s="25" t="n">
        <v>44.92</v>
      </c>
      <c r="C189" s="25">
        <f>Table1346[[#This Row],[PMI]]-B188</f>
        <v/>
      </c>
    </row>
    <row r="190">
      <c r="A190" s="10" t="n">
        <v>42125</v>
      </c>
      <c r="B190" s="25" t="n">
        <v>50.52</v>
      </c>
      <c r="C190" s="25">
        <f>Table1346[[#This Row],[PMI]]-B189</f>
        <v/>
      </c>
    </row>
    <row r="191">
      <c r="A191" s="10" t="n">
        <v>42156</v>
      </c>
      <c r="B191" s="25" t="n">
        <v>50.31</v>
      </c>
      <c r="C191" s="25">
        <f>Table1346[[#This Row],[PMI]]-B190</f>
        <v/>
      </c>
    </row>
    <row r="192">
      <c r="A192" s="10" t="n">
        <v>42186</v>
      </c>
      <c r="B192" s="25" t="n">
        <v>50.25</v>
      </c>
      <c r="C192" s="25">
        <f>Table1346[[#This Row],[PMI]]-B191</f>
        <v/>
      </c>
    </row>
    <row r="193">
      <c r="A193" s="10" t="n">
        <v>42217</v>
      </c>
      <c r="B193" s="25" t="n">
        <v>50.52</v>
      </c>
      <c r="C193" s="25">
        <f>Table1346[[#This Row],[PMI]]-B192</f>
        <v/>
      </c>
    </row>
    <row r="194">
      <c r="A194" s="10" t="n">
        <v>42248</v>
      </c>
      <c r="B194" s="25" t="n">
        <v>50.14</v>
      </c>
      <c r="C194" s="25">
        <f>Table1346[[#This Row],[PMI]]-B193</f>
        <v/>
      </c>
    </row>
    <row r="195">
      <c r="A195" s="10" t="n">
        <v>42278</v>
      </c>
      <c r="B195" s="25" t="n">
        <v>48.74</v>
      </c>
      <c r="C195" s="25">
        <f>Table1346[[#This Row],[PMI]]-B194</f>
        <v/>
      </c>
    </row>
    <row r="196">
      <c r="A196" s="10" t="n">
        <v>42309</v>
      </c>
      <c r="B196" s="25" t="n">
        <v>44.73</v>
      </c>
      <c r="C196" s="25">
        <f>Table1346[[#This Row],[PMI]]-B195</f>
        <v/>
      </c>
    </row>
    <row r="197">
      <c r="A197" s="10" t="n">
        <v>42339</v>
      </c>
      <c r="B197" s="25" t="n">
        <v>47.2</v>
      </c>
      <c r="C197" s="25">
        <f>Table1346[[#This Row],[PMI]]-B196</f>
        <v/>
      </c>
    </row>
    <row r="198">
      <c r="A198" s="10" t="n">
        <v>42370</v>
      </c>
      <c r="B198" s="25" t="n">
        <v>43.27</v>
      </c>
      <c r="C198" s="25">
        <f>Table1346[[#This Row],[PMI]]-B197</f>
        <v/>
      </c>
    </row>
    <row r="199">
      <c r="A199" s="10" t="n">
        <v>42401</v>
      </c>
      <c r="B199" s="25" t="n">
        <v>46.84</v>
      </c>
      <c r="C199" s="25">
        <f>Table1346[[#This Row],[PMI]]-B198</f>
        <v/>
      </c>
    </row>
    <row r="200">
      <c r="A200" s="10" t="n">
        <v>42430</v>
      </c>
      <c r="B200" s="25" t="n">
        <v>49.54</v>
      </c>
      <c r="C200" s="25">
        <f>Table1346[[#This Row],[PMI]]-B199</f>
        <v/>
      </c>
    </row>
    <row r="201">
      <c r="A201" s="10" t="n">
        <v>42461</v>
      </c>
      <c r="B201" s="25" t="n">
        <v>53.33</v>
      </c>
      <c r="C201" s="25">
        <f>Table1346[[#This Row],[PMI]]-B200</f>
        <v/>
      </c>
    </row>
    <row r="202">
      <c r="A202" s="10" t="n">
        <v>42491</v>
      </c>
      <c r="B202" s="25" t="n">
        <v>50.72</v>
      </c>
      <c r="C202" s="25">
        <f>Table1346[[#This Row],[PMI]]-B201</f>
        <v/>
      </c>
    </row>
    <row r="203">
      <c r="A203" s="10" t="n">
        <v>42522</v>
      </c>
      <c r="B203" s="25" t="n">
        <v>52.14</v>
      </c>
      <c r="C203" s="25">
        <f>Table1346[[#This Row],[PMI]]-B202</f>
        <v/>
      </c>
    </row>
    <row r="204">
      <c r="A204" s="10" t="n">
        <v>42552</v>
      </c>
      <c r="B204" s="25" t="n">
        <v>51.25</v>
      </c>
      <c r="C204" s="25">
        <f>Table1346[[#This Row],[PMI]]-B203</f>
        <v/>
      </c>
    </row>
    <row r="205">
      <c r="A205" s="10" t="n">
        <v>42583</v>
      </c>
      <c r="B205" s="25" t="n">
        <v>47.94</v>
      </c>
      <c r="C205" s="25">
        <f>Table1346[[#This Row],[PMI]]-B204</f>
        <v/>
      </c>
    </row>
    <row r="206">
      <c r="A206" s="10" t="n">
        <v>42614</v>
      </c>
      <c r="B206" s="25" t="n">
        <v>49.85</v>
      </c>
      <c r="C206" s="25">
        <f>Table1346[[#This Row],[PMI]]-B205</f>
        <v/>
      </c>
    </row>
    <row r="207">
      <c r="A207" s="10" t="n">
        <v>42644</v>
      </c>
      <c r="B207" s="25" t="n">
        <v>46.47</v>
      </c>
      <c r="C207" s="25">
        <f>Table1346[[#This Row],[PMI]]-B206</f>
        <v/>
      </c>
    </row>
    <row r="208">
      <c r="A208" s="10" t="n">
        <v>42675</v>
      </c>
      <c r="B208" s="25" t="n">
        <v>49.22</v>
      </c>
      <c r="C208" s="25">
        <f>Table1346[[#This Row],[PMI]]-B207</f>
        <v/>
      </c>
    </row>
    <row r="209">
      <c r="A209" s="10" t="n">
        <v>42705</v>
      </c>
      <c r="B209" s="25" t="n">
        <v>48.56</v>
      </c>
      <c r="C209" s="25">
        <f>Table1346[[#This Row],[PMI]]-B208</f>
        <v/>
      </c>
    </row>
    <row r="210">
      <c r="A210" s="10" t="n">
        <v>42736</v>
      </c>
      <c r="B210" s="25" t="n">
        <v>50.08</v>
      </c>
      <c r="C210" s="25">
        <f>Table1346[[#This Row],[PMI]]-B209</f>
        <v/>
      </c>
    </row>
    <row r="211">
      <c r="A211" s="10" t="n">
        <v>42767</v>
      </c>
      <c r="B211" s="25" t="n">
        <v>51.22</v>
      </c>
      <c r="C211" s="25">
        <f>Table1346[[#This Row],[PMI]]-B210</f>
        <v/>
      </c>
    </row>
    <row r="212">
      <c r="A212" s="10" t="n">
        <v>42795</v>
      </c>
      <c r="B212" s="25" t="n">
        <v>50.81</v>
      </c>
      <c r="C212" s="25">
        <f>Table1346[[#This Row],[PMI]]-B211</f>
        <v/>
      </c>
    </row>
    <row r="213">
      <c r="A213" s="10" t="n">
        <v>42826</v>
      </c>
      <c r="B213" s="25" t="n">
        <v>43.53</v>
      </c>
      <c r="C213" s="25">
        <f>Table1346[[#This Row],[PMI]]-B212</f>
        <v/>
      </c>
    </row>
    <row r="214">
      <c r="A214" s="10" t="n">
        <v>42856</v>
      </c>
      <c r="B214" s="25" t="n">
        <v>50.11</v>
      </c>
      <c r="C214" s="25">
        <f>Table1346[[#This Row],[PMI]]-B213</f>
        <v/>
      </c>
    </row>
    <row r="215">
      <c r="A215" s="10" t="n">
        <v>42887</v>
      </c>
      <c r="B215" s="25" t="n">
        <v>45.98</v>
      </c>
      <c r="C215" s="25">
        <f>Table1346[[#This Row],[PMI]]-B214</f>
        <v/>
      </c>
    </row>
    <row r="216">
      <c r="A216" s="10" t="n">
        <v>42917</v>
      </c>
      <c r="B216" s="25" t="n">
        <v>42.1</v>
      </c>
      <c r="C216" s="25">
        <f>Table1346[[#This Row],[PMI]]-B215</f>
        <v/>
      </c>
    </row>
    <row r="217">
      <c r="A217" s="10" t="n">
        <v>42948</v>
      </c>
      <c r="B217" s="25" t="n">
        <v>46.1</v>
      </c>
      <c r="C217" s="25">
        <f>Table1346[[#This Row],[PMI]]-B216</f>
        <v/>
      </c>
    </row>
    <row r="218">
      <c r="A218" s="10" t="n">
        <v>42979</v>
      </c>
      <c r="B218" s="25" t="n">
        <v>46.4</v>
      </c>
      <c r="C218" s="25">
        <f>Table1346[[#This Row],[PMI]]-B217</f>
        <v/>
      </c>
    </row>
    <row r="219">
      <c r="A219" s="10" t="n">
        <v>43009</v>
      </c>
      <c r="B219" s="25" t="n">
        <v>48.4</v>
      </c>
      <c r="C219" s="25">
        <f>Table1346[[#This Row],[PMI]]-B218</f>
        <v/>
      </c>
    </row>
    <row r="220">
      <c r="A220" s="10" t="n">
        <v>43040</v>
      </c>
      <c r="B220" s="25" t="n">
        <v>48.9</v>
      </c>
      <c r="C220" s="25">
        <f>Table1346[[#This Row],[PMI]]-B219</f>
        <v/>
      </c>
    </row>
    <row r="221">
      <c r="A221" s="10" t="n">
        <v>43070</v>
      </c>
      <c r="B221" s="25" t="n">
        <v>45.9</v>
      </c>
      <c r="C221" s="25">
        <f>Table1346[[#This Row],[PMI]]-B220</f>
        <v/>
      </c>
    </row>
    <row r="222">
      <c r="A222" s="10" t="n">
        <v>43101</v>
      </c>
      <c r="B222" s="25" t="n">
        <v>49.2</v>
      </c>
      <c r="C222" s="25">
        <f>Table1346[[#This Row],[PMI]]-B221</f>
        <v/>
      </c>
    </row>
    <row r="223">
      <c r="A223" s="10" t="n">
        <v>43132</v>
      </c>
      <c r="B223" s="25" t="n">
        <v>50</v>
      </c>
      <c r="C223" s="25">
        <f>Table1346[[#This Row],[PMI]]-B222</f>
        <v/>
      </c>
    </row>
    <row r="224">
      <c r="A224" s="10" t="n">
        <v>43160</v>
      </c>
      <c r="B224" s="25" t="n">
        <v>46.7</v>
      </c>
      <c r="C224" s="25">
        <f>Table1346[[#This Row],[PMI]]-B223</f>
        <v/>
      </c>
    </row>
    <row r="225">
      <c r="A225" s="10" t="n">
        <v>43191</v>
      </c>
      <c r="B225" s="25" t="n">
        <v>49.1</v>
      </c>
      <c r="C225" s="25">
        <f>Table1346[[#This Row],[PMI]]-B224</f>
        <v/>
      </c>
    </row>
    <row r="226">
      <c r="A226" s="10" t="n">
        <v>43221</v>
      </c>
      <c r="B226" s="25" t="n">
        <v>49.4</v>
      </c>
      <c r="C226" s="25">
        <f>Table1346[[#This Row],[PMI]]-B225</f>
        <v/>
      </c>
    </row>
    <row r="227">
      <c r="A227" s="10" t="n">
        <v>43252</v>
      </c>
      <c r="B227" s="25" t="n">
        <v>48</v>
      </c>
      <c r="C227" s="25">
        <f>Table1346[[#This Row],[PMI]]-B226</f>
        <v/>
      </c>
    </row>
    <row r="228">
      <c r="A228" s="10" t="n">
        <v>43282</v>
      </c>
      <c r="B228" s="25" t="n">
        <v>49.9</v>
      </c>
      <c r="C228" s="25">
        <f>Table1346[[#This Row],[PMI]]-B227</f>
        <v/>
      </c>
    </row>
    <row r="229">
      <c r="A229" s="10" t="n">
        <v>43313</v>
      </c>
      <c r="B229" s="25" t="n">
        <v>45.2</v>
      </c>
      <c r="C229" s="25">
        <f>Table1346[[#This Row],[PMI]]-B228</f>
        <v/>
      </c>
    </row>
    <row r="230">
      <c r="A230" s="10" t="n">
        <v>43344</v>
      </c>
      <c r="B230" s="25" t="n">
        <v>44.5</v>
      </c>
      <c r="C230" s="25">
        <f>Table1346[[#This Row],[PMI]]-B229</f>
        <v/>
      </c>
    </row>
    <row r="231">
      <c r="A231" s="10" t="n">
        <v>43374</v>
      </c>
      <c r="B231" s="25" t="n">
        <v>42.4</v>
      </c>
      <c r="C231" s="25">
        <f>Table1346[[#This Row],[PMI]]-B230</f>
        <v/>
      </c>
    </row>
    <row r="232">
      <c r="A232" s="10" t="n">
        <v>43405</v>
      </c>
      <c r="B232" s="25" t="n">
        <v>49.5</v>
      </c>
      <c r="C232" s="25">
        <f>Table1346[[#This Row],[PMI]]-B231</f>
        <v/>
      </c>
    </row>
    <row r="233">
      <c r="A233" s="10" t="n">
        <v>43435</v>
      </c>
      <c r="B233" s="25" t="n">
        <v>50.7</v>
      </c>
      <c r="C233" s="25">
        <f>Table1346[[#This Row],[PMI]]-B232</f>
        <v/>
      </c>
    </row>
    <row r="234">
      <c r="A234" s="10" t="n">
        <v>43466</v>
      </c>
      <c r="B234" s="25" t="n">
        <v>49.9</v>
      </c>
      <c r="C234" s="25">
        <f>Table1346[[#This Row],[PMI]]-B233</f>
        <v/>
      </c>
    </row>
    <row r="235">
      <c r="A235" s="10" t="n">
        <v>43497</v>
      </c>
      <c r="B235" s="25" t="n">
        <v>46.2</v>
      </c>
      <c r="C235" s="25">
        <f>Table1346[[#This Row],[PMI]]-B234</f>
        <v/>
      </c>
    </row>
    <row r="236">
      <c r="A236" s="10" t="n">
        <v>43525</v>
      </c>
      <c r="B236" s="25" t="n">
        <v>45</v>
      </c>
      <c r="C236" s="25">
        <f>Table1346[[#This Row],[PMI]]-B235</f>
        <v/>
      </c>
    </row>
    <row r="237">
      <c r="A237" s="10" t="n">
        <v>43556</v>
      </c>
      <c r="B237" s="25" t="n">
        <v>47.2</v>
      </c>
      <c r="C237" s="25">
        <f>Table1346[[#This Row],[PMI]]-B236</f>
        <v/>
      </c>
    </row>
    <row r="238">
      <c r="A238" s="10" t="n">
        <v>43586</v>
      </c>
      <c r="B238" s="25" t="n">
        <v>45.4</v>
      </c>
      <c r="C238" s="25">
        <f>Table1346[[#This Row],[PMI]]-B237</f>
        <v/>
      </c>
    </row>
    <row r="239">
      <c r="A239" s="10" t="n">
        <v>43617</v>
      </c>
      <c r="B239" s="25" t="n">
        <v>46.2</v>
      </c>
      <c r="C239" s="25">
        <f>Table1346[[#This Row],[PMI]]-B238</f>
        <v/>
      </c>
    </row>
    <row r="240">
      <c r="A240" s="10" t="n">
        <v>43647</v>
      </c>
      <c r="B240" s="25" t="n">
        <v>52.1</v>
      </c>
      <c r="C240" s="25">
        <f>Table1346[[#This Row],[PMI]]-B239</f>
        <v/>
      </c>
    </row>
    <row r="241">
      <c r="A241" s="10" t="n">
        <v>43678</v>
      </c>
      <c r="B241" s="25" t="n">
        <v>45.7</v>
      </c>
      <c r="C241" s="25">
        <f>Table1346[[#This Row],[PMI]]-B240</f>
        <v/>
      </c>
    </row>
    <row r="242">
      <c r="A242" s="10" t="n">
        <v>43709</v>
      </c>
      <c r="B242" s="25" t="n">
        <v>41.6</v>
      </c>
      <c r="C242" s="25">
        <f>Table1346[[#This Row],[PMI]]-B241</f>
        <v/>
      </c>
    </row>
    <row r="243">
      <c r="A243" s="10" t="n">
        <v>43739</v>
      </c>
      <c r="B243" s="25" t="n">
        <v>48.1</v>
      </c>
      <c r="C243" s="25">
        <f>Table1346[[#This Row],[PMI]]-B242</f>
        <v/>
      </c>
    </row>
    <row r="244">
      <c r="A244" s="10" t="n">
        <v>43770</v>
      </c>
      <c r="B244" s="25" t="n">
        <v>47.7</v>
      </c>
      <c r="C244" s="25">
        <f>Table1346[[#This Row],[PMI]]-B243</f>
        <v/>
      </c>
    </row>
    <row r="245">
      <c r="A245" s="10" t="n">
        <v>43800</v>
      </c>
      <c r="B245" s="25" t="n">
        <v>47.1</v>
      </c>
      <c r="C245" s="25">
        <f>Table1346[[#This Row],[PMI]]-B244</f>
        <v/>
      </c>
    </row>
    <row r="246">
      <c r="A246" s="10" t="n">
        <v>43831</v>
      </c>
      <c r="B246" s="25" t="n">
        <v>45.2</v>
      </c>
      <c r="C246" s="25">
        <f>Table1346[[#This Row],[PMI]]-B245</f>
        <v/>
      </c>
    </row>
    <row r="247">
      <c r="A247" s="10" t="n">
        <v>43862</v>
      </c>
      <c r="B247" s="25" t="n">
        <v>44.3</v>
      </c>
      <c r="C247" s="25">
        <f>Table1346[[#This Row],[PMI]]-B246</f>
        <v/>
      </c>
    </row>
    <row r="248">
      <c r="A248" s="10" t="n">
        <v>43891</v>
      </c>
      <c r="B248" s="25" t="n">
        <v>48.1</v>
      </c>
      <c r="C248" s="25">
        <f>Table1346[[#This Row],[PMI]]-B247</f>
        <v/>
      </c>
    </row>
    <row r="249">
      <c r="A249" s="10" t="n">
        <v>43922</v>
      </c>
      <c r="B249" s="25" t="n">
        <v>46.1</v>
      </c>
      <c r="C249" s="25">
        <f>Table1346[[#This Row],[PMI]]-B248</f>
        <v/>
      </c>
    </row>
    <row r="250">
      <c r="A250" s="10" t="n">
        <v>43952</v>
      </c>
      <c r="B250" s="25" t="n">
        <v>50.2</v>
      </c>
      <c r="C250" s="25">
        <f>Table1346[[#This Row],[PMI]]-B249</f>
        <v/>
      </c>
    </row>
    <row r="251">
      <c r="A251" s="10" t="n">
        <v>43983</v>
      </c>
      <c r="B251" s="25" t="n">
        <v>53.9</v>
      </c>
      <c r="C251" s="25">
        <f>Table1346[[#This Row],[PMI]]-B250</f>
        <v/>
      </c>
    </row>
    <row r="252">
      <c r="A252" s="10" t="n">
        <v>44013</v>
      </c>
      <c r="B252" s="25" t="n">
        <v>51.2</v>
      </c>
      <c r="C252" s="25">
        <f>Table1346[[#This Row],[PMI]]-B251</f>
        <v/>
      </c>
    </row>
    <row r="253">
      <c r="A253" s="10" t="n">
        <v>44044</v>
      </c>
      <c r="B253" s="25" t="n">
        <v>57.3</v>
      </c>
      <c r="C253" s="25">
        <f>Table1346[[#This Row],[PMI]]-B252</f>
        <v/>
      </c>
    </row>
    <row r="254">
      <c r="A254" s="10" t="n">
        <v>44075</v>
      </c>
      <c r="B254" s="25" t="n">
        <v>58.3</v>
      </c>
      <c r="C254" s="25">
        <f>Table1346[[#This Row],[PMI]]-B253</f>
        <v/>
      </c>
    </row>
    <row r="255">
      <c r="A255" s="10" t="n">
        <v>44105</v>
      </c>
      <c r="B255" s="25" t="n">
        <v>60.9</v>
      </c>
      <c r="C255" s="25">
        <f>Table1346[[#This Row],[PMI]]-B254</f>
        <v/>
      </c>
    </row>
    <row r="256">
      <c r="A256" s="10" t="n">
        <v>44136</v>
      </c>
      <c r="B256" s="25" t="n">
        <v>52.6</v>
      </c>
      <c r="C256" s="25">
        <f>Table1346[[#This Row],[PMI]]-B255</f>
        <v/>
      </c>
    </row>
    <row r="257">
      <c r="A257" s="10" t="n">
        <v>44166</v>
      </c>
      <c r="B257" s="25" t="n">
        <v>50.3</v>
      </c>
      <c r="C257" s="25">
        <f>Table1346[[#This Row],[PMI]]-B256</f>
        <v/>
      </c>
    </row>
    <row r="258">
      <c r="A258" s="10" t="n">
        <v>44197</v>
      </c>
      <c r="B258" s="25" t="n">
        <v>50.3</v>
      </c>
      <c r="C258" s="25">
        <f>Table1346[[#This Row],[PMI]]-B257</f>
        <v/>
      </c>
    </row>
    <row r="259">
      <c r="A259" s="10" t="n">
        <v>44228</v>
      </c>
      <c r="B259" s="25" t="n">
        <v>53</v>
      </c>
      <c r="C259" s="25">
        <f>Table1346[[#This Row],[PMI]]-B258</f>
        <v/>
      </c>
    </row>
    <row r="260">
      <c r="A260" s="10" t="n">
        <v>44256</v>
      </c>
      <c r="B260" s="25" t="n">
        <v>57.4</v>
      </c>
      <c r="C260" s="25">
        <f>Table1346[[#This Row],[PMI]]-B259</f>
        <v/>
      </c>
    </row>
    <row r="261">
      <c r="A261" s="10" t="n">
        <v>44287</v>
      </c>
      <c r="B261" s="25" t="n">
        <v>56.2</v>
      </c>
      <c r="C261" s="25">
        <f>Table1346[[#This Row],[PMI]]-B260</f>
        <v/>
      </c>
    </row>
    <row r="262">
      <c r="A262" s="10" t="n">
        <v>44317</v>
      </c>
      <c r="B262" s="25" t="n">
        <v>57.8</v>
      </c>
      <c r="C262" s="25">
        <f>Table1346[[#This Row],[PMI]]-B261</f>
        <v/>
      </c>
    </row>
    <row r="263">
      <c r="A263" s="10" t="n">
        <v>44348</v>
      </c>
      <c r="B263" s="25" t="n">
        <v>57.4</v>
      </c>
      <c r="C263" s="25">
        <f>Table1346[[#This Row],[PMI]]-B262</f>
        <v/>
      </c>
    </row>
    <row r="264">
      <c r="A264" s="10" t="n">
        <v>44378</v>
      </c>
      <c r="B264" s="25" t="n">
        <v>43.5</v>
      </c>
      <c r="C264" s="25">
        <f>Table1346[[#This Row],[PMI]]-B263</f>
        <v/>
      </c>
    </row>
    <row r="265">
      <c r="A265" s="10" t="n">
        <v>44409</v>
      </c>
      <c r="B265" s="25" t="n">
        <v>57.9</v>
      </c>
      <c r="C265" s="25">
        <f>Table1346[[#This Row],[PMI]]-B264</f>
        <v/>
      </c>
    </row>
    <row r="266">
      <c r="A266" s="10" t="n">
        <v>44440</v>
      </c>
      <c r="B266" s="25" t="n">
        <v>54.7</v>
      </c>
      <c r="C266" s="25">
        <f>Table1346[[#This Row],[PMI]]-B265</f>
        <v/>
      </c>
    </row>
    <row r="267">
      <c r="A267" s="10" t="n">
        <v>44470</v>
      </c>
      <c r="B267" s="25" t="n">
        <v>53.6</v>
      </c>
      <c r="C267" s="25">
        <f>Table1346[[#This Row],[PMI]]-B266</f>
        <v/>
      </c>
    </row>
    <row r="268">
      <c r="A268" s="10" t="n">
        <v>44501</v>
      </c>
      <c r="B268" s="25" t="n">
        <v>57.2</v>
      </c>
      <c r="C268" s="25">
        <f>Table1346[[#This Row],[PMI]]-B267</f>
        <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19"/>
  <sheetViews>
    <sheetView zoomScale="160" zoomScaleNormal="160" workbookViewId="0">
      <pane ySplit="5" topLeftCell="A81" activePane="bottomLeft" state="frozen"/>
      <selection pane="bottomLeft" activeCell="U94" sqref="U94"/>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Hong-Kong</t>
        </is>
      </c>
      <c r="K1" s="84" t="inlineStr">
        <is>
          <t xml:space="preserve"> Manufacturing PMI</t>
        </is>
      </c>
    </row>
    <row r="2">
      <c r="A2" s="84" t="inlineStr">
        <is>
          <t>hong-kong</t>
        </is>
      </c>
      <c r="K2" s="84">
        <f>A1&amp;K1</f>
        <v/>
      </c>
    </row>
    <row r="4" ht="16" customHeight="1" s="76" thickBot="1"/>
    <row r="5" ht="16" customHeight="1" s="76" thickBot="1">
      <c r="A5" s="22" t="inlineStr">
        <is>
          <t>Date</t>
        </is>
      </c>
      <c r="B5" s="23" t="inlineStr">
        <is>
          <t>PMI</t>
        </is>
      </c>
      <c r="C5" s="23" t="inlineStr">
        <is>
          <t>mom</t>
        </is>
      </c>
    </row>
    <row r="6">
      <c r="A6" s="18" t="n">
        <v>41061</v>
      </c>
      <c r="B6" s="19" t="n">
        <v>49.8</v>
      </c>
      <c r="C6" s="19" t="n"/>
    </row>
    <row r="7">
      <c r="A7" s="10" t="n">
        <v>41091</v>
      </c>
      <c r="B7" s="25" t="n">
        <v>50.3</v>
      </c>
      <c r="C7" s="25">
        <f>Table13467[[#This Row],[PMI]]-B6</f>
        <v/>
      </c>
    </row>
    <row r="8">
      <c r="A8" s="10" t="n">
        <v>41122</v>
      </c>
      <c r="B8" s="25" t="n">
        <v>50.5</v>
      </c>
      <c r="C8" s="25">
        <f>Table13467[[#This Row],[PMI]]-B7</f>
        <v/>
      </c>
    </row>
    <row r="9">
      <c r="A9" s="10" t="n">
        <v>41153</v>
      </c>
      <c r="B9" s="25" t="n">
        <v>49.6</v>
      </c>
      <c r="C9" s="25">
        <f>Table13467[[#This Row],[PMI]]-B8</f>
        <v/>
      </c>
    </row>
    <row r="10">
      <c r="A10" s="10" t="n">
        <v>41183</v>
      </c>
      <c r="B10" s="25" t="n">
        <v>50.5</v>
      </c>
      <c r="C10" s="25">
        <f>Table13467[[#This Row],[PMI]]-B9</f>
        <v/>
      </c>
    </row>
    <row r="11">
      <c r="A11" s="10" t="n">
        <v>41214</v>
      </c>
      <c r="B11" s="25" t="n">
        <v>52.2</v>
      </c>
      <c r="C11" s="25">
        <f>Table13467[[#This Row],[PMI]]-B10</f>
        <v/>
      </c>
    </row>
    <row r="12">
      <c r="A12" s="10" t="n">
        <v>41244</v>
      </c>
      <c r="B12" s="25" t="n">
        <v>51.7</v>
      </c>
      <c r="C12" s="25">
        <f>Table13467[[#This Row],[PMI]]-B11</f>
        <v/>
      </c>
    </row>
    <row r="13">
      <c r="A13" s="10" t="n">
        <v>41275</v>
      </c>
      <c r="B13" s="25" t="n">
        <v>52.5</v>
      </c>
      <c r="C13" s="25">
        <f>Table13467[[#This Row],[PMI]]-B12</f>
        <v/>
      </c>
    </row>
    <row r="14">
      <c r="A14" s="10" t="n">
        <v>41306</v>
      </c>
      <c r="B14" s="25" t="n">
        <v>51.2</v>
      </c>
      <c r="C14" s="25">
        <f>Table13467[[#This Row],[PMI]]-B13</f>
        <v/>
      </c>
    </row>
    <row r="15">
      <c r="A15" s="10" t="n">
        <v>41334</v>
      </c>
      <c r="B15" s="25" t="n">
        <v>50.5</v>
      </c>
      <c r="C15" s="25">
        <f>Table13467[[#This Row],[PMI]]-B14</f>
        <v/>
      </c>
    </row>
    <row r="16">
      <c r="A16" s="10" t="n">
        <v>41365</v>
      </c>
      <c r="B16" s="25" t="n">
        <v>49.9</v>
      </c>
      <c r="C16" s="25">
        <f>Table13467[[#This Row],[PMI]]-B15</f>
        <v/>
      </c>
    </row>
    <row r="17">
      <c r="A17" s="10" t="n">
        <v>41395</v>
      </c>
      <c r="B17" s="25" t="n">
        <v>49.8</v>
      </c>
      <c r="C17" s="25">
        <f>Table13467[[#This Row],[PMI]]-B16</f>
        <v/>
      </c>
    </row>
    <row r="18">
      <c r="A18" s="10" t="n">
        <v>41426</v>
      </c>
      <c r="B18" s="25" t="n">
        <v>48.7</v>
      </c>
      <c r="C18" s="25">
        <f>Table13467[[#This Row],[PMI]]-B17</f>
        <v/>
      </c>
    </row>
    <row r="19">
      <c r="A19" s="10" t="n">
        <v>41456</v>
      </c>
      <c r="B19" s="25" t="n">
        <v>49.7</v>
      </c>
      <c r="C19" s="25">
        <f>Table13467[[#This Row],[PMI]]-B18</f>
        <v/>
      </c>
    </row>
    <row r="20">
      <c r="A20" s="10" t="n">
        <v>41487</v>
      </c>
      <c r="B20" s="25" t="n">
        <v>49.7</v>
      </c>
      <c r="C20" s="25">
        <f>Table13467[[#This Row],[PMI]]-B19</f>
        <v/>
      </c>
    </row>
    <row r="21">
      <c r="A21" s="10" t="n">
        <v>41518</v>
      </c>
      <c r="B21" s="25" t="n">
        <v>50</v>
      </c>
      <c r="C21" s="25">
        <f>Table13467[[#This Row],[PMI]]-B20</f>
        <v/>
      </c>
    </row>
    <row r="22">
      <c r="A22" s="10" t="n">
        <v>41548</v>
      </c>
      <c r="B22" s="25" t="n">
        <v>50.1</v>
      </c>
      <c r="C22" s="25">
        <f>Table13467[[#This Row],[PMI]]-B21</f>
        <v/>
      </c>
    </row>
    <row r="23">
      <c r="A23" s="10" t="n">
        <v>41579</v>
      </c>
      <c r="B23" s="25" t="n">
        <v>52.1</v>
      </c>
      <c r="C23" s="25">
        <f>Table13467[[#This Row],[PMI]]-B22</f>
        <v/>
      </c>
    </row>
    <row r="24">
      <c r="A24" s="10" t="n">
        <v>41609</v>
      </c>
      <c r="B24" s="25" t="n">
        <v>51.2</v>
      </c>
      <c r="C24" s="25">
        <f>Table13467[[#This Row],[PMI]]-B23</f>
        <v/>
      </c>
    </row>
    <row r="25">
      <c r="A25" s="10" t="n">
        <v>41640</v>
      </c>
      <c r="B25" s="25" t="n">
        <v>52.7</v>
      </c>
      <c r="C25" s="25">
        <f>Table13467[[#This Row],[PMI]]-B24</f>
        <v/>
      </c>
    </row>
    <row r="26">
      <c r="A26" s="10" t="n">
        <v>41671</v>
      </c>
      <c r="B26" s="25" t="n">
        <v>53.3</v>
      </c>
      <c r="C26" s="25">
        <f>Table13467[[#This Row],[PMI]]-B25</f>
        <v/>
      </c>
    </row>
    <row r="27">
      <c r="A27" s="10" t="n">
        <v>41699</v>
      </c>
      <c r="B27" s="25" t="n">
        <v>49.9</v>
      </c>
      <c r="C27" s="25">
        <f>Table13467[[#This Row],[PMI]]-B26</f>
        <v/>
      </c>
    </row>
    <row r="28">
      <c r="A28" s="10" t="n">
        <v>41730</v>
      </c>
      <c r="B28" s="25" t="n">
        <v>49.7</v>
      </c>
      <c r="C28" s="25">
        <f>Table13467[[#This Row],[PMI]]-B27</f>
        <v/>
      </c>
    </row>
    <row r="29">
      <c r="A29" s="10" t="n">
        <v>41760</v>
      </c>
      <c r="B29" s="25" t="n">
        <v>49.1</v>
      </c>
      <c r="C29" s="25">
        <f>Table13467[[#This Row],[PMI]]-B28</f>
        <v/>
      </c>
    </row>
    <row r="30">
      <c r="A30" s="10" t="n">
        <v>41791</v>
      </c>
      <c r="B30" s="25" t="n">
        <v>50.1</v>
      </c>
      <c r="C30" s="25">
        <f>Table13467[[#This Row],[PMI]]-B29</f>
        <v/>
      </c>
    </row>
    <row r="31">
      <c r="A31" s="10" t="n">
        <v>41821</v>
      </c>
      <c r="B31" s="25" t="n">
        <v>50.4</v>
      </c>
      <c r="C31" s="25">
        <f>Table13467[[#This Row],[PMI]]-B30</f>
        <v/>
      </c>
    </row>
    <row r="32">
      <c r="A32" s="10" t="n">
        <v>41852</v>
      </c>
      <c r="B32" s="25" t="n">
        <v>49.6</v>
      </c>
      <c r="C32" s="25">
        <f>Table13467[[#This Row],[PMI]]-B31</f>
        <v/>
      </c>
    </row>
    <row r="33">
      <c r="A33" s="10" t="n">
        <v>41883</v>
      </c>
      <c r="B33" s="25" t="n">
        <v>49.8</v>
      </c>
      <c r="C33" s="25">
        <f>Table13467[[#This Row],[PMI]]-B32</f>
        <v/>
      </c>
    </row>
    <row r="34">
      <c r="A34" s="10" t="n">
        <v>41913</v>
      </c>
      <c r="B34" s="25" t="n">
        <v>47.7</v>
      </c>
      <c r="C34" s="25">
        <f>Table13467[[#This Row],[PMI]]-B33</f>
        <v/>
      </c>
    </row>
    <row r="35">
      <c r="A35" s="10" t="n">
        <v>41944</v>
      </c>
      <c r="B35" s="25" t="n">
        <v>48.8</v>
      </c>
      <c r="C35" s="25">
        <f>Table13467[[#This Row],[PMI]]-B34</f>
        <v/>
      </c>
    </row>
    <row r="36">
      <c r="A36" s="10" t="n">
        <v>41974</v>
      </c>
      <c r="B36" s="25" t="n">
        <v>50.3</v>
      </c>
      <c r="C36" s="25">
        <f>Table13467[[#This Row],[PMI]]-B35</f>
        <v/>
      </c>
    </row>
    <row r="37">
      <c r="A37" s="10" t="n">
        <v>42005</v>
      </c>
      <c r="B37" s="25" t="n">
        <v>49.4</v>
      </c>
      <c r="C37" s="25">
        <f>Table13467[[#This Row],[PMI]]-B36</f>
        <v/>
      </c>
    </row>
    <row r="38">
      <c r="A38" s="10" t="n">
        <v>42036</v>
      </c>
      <c r="B38" s="25" t="n">
        <v>50.7</v>
      </c>
      <c r="C38" s="25">
        <f>Table13467[[#This Row],[PMI]]-B37</f>
        <v/>
      </c>
    </row>
    <row r="39">
      <c r="A39" s="10" t="n">
        <v>42064</v>
      </c>
      <c r="B39" s="25" t="n">
        <v>49.6</v>
      </c>
      <c r="C39" s="25">
        <f>Table13467[[#This Row],[PMI]]-B38</f>
        <v/>
      </c>
    </row>
    <row r="40">
      <c r="A40" s="10" t="n">
        <v>42095</v>
      </c>
      <c r="B40" s="25" t="n">
        <v>48.6</v>
      </c>
      <c r="C40" s="25">
        <f>Table13467[[#This Row],[PMI]]-B39</f>
        <v/>
      </c>
    </row>
    <row r="41">
      <c r="A41" s="10" t="n">
        <v>42125</v>
      </c>
      <c r="B41" s="25" t="n">
        <v>47.6</v>
      </c>
      <c r="C41" s="25">
        <f>Table13467[[#This Row],[PMI]]-B40</f>
        <v/>
      </c>
    </row>
    <row r="42">
      <c r="A42" s="10" t="n">
        <v>42156</v>
      </c>
      <c r="B42" s="25" t="n">
        <v>49.2</v>
      </c>
      <c r="C42" s="25">
        <f>Table13467[[#This Row],[PMI]]-B41</f>
        <v/>
      </c>
    </row>
    <row r="43">
      <c r="A43" s="10" t="n">
        <v>42186</v>
      </c>
      <c r="B43" s="25" t="n">
        <v>48.2</v>
      </c>
      <c r="C43" s="25">
        <f>Table13467[[#This Row],[PMI]]-B42</f>
        <v/>
      </c>
    </row>
    <row r="44">
      <c r="A44" s="10" t="n">
        <v>42217</v>
      </c>
      <c r="B44" s="25" t="n">
        <v>44.4</v>
      </c>
      <c r="C44" s="25">
        <f>Table13467[[#This Row],[PMI]]-B43</f>
        <v/>
      </c>
    </row>
    <row r="45">
      <c r="A45" s="10" t="n">
        <v>42248</v>
      </c>
      <c r="B45" s="25" t="n">
        <v>45.7</v>
      </c>
      <c r="C45" s="25">
        <f>Table13467[[#This Row],[PMI]]-B44</f>
        <v/>
      </c>
    </row>
    <row r="46">
      <c r="A46" s="10" t="n">
        <v>42278</v>
      </c>
      <c r="B46" s="25" t="n">
        <v>46.6</v>
      </c>
      <c r="C46" s="25">
        <f>Table13467[[#This Row],[PMI]]-B45</f>
        <v/>
      </c>
    </row>
    <row r="47">
      <c r="A47" s="10" t="n">
        <v>42309</v>
      </c>
      <c r="B47" s="25" t="n">
        <v>46.6</v>
      </c>
      <c r="C47" s="25">
        <f>Table13467[[#This Row],[PMI]]-B46</f>
        <v/>
      </c>
    </row>
    <row r="48">
      <c r="A48" s="10" t="n">
        <v>42339</v>
      </c>
      <c r="B48" s="25" t="n">
        <v>46.4</v>
      </c>
      <c r="C48" s="25">
        <f>Table13467[[#This Row],[PMI]]-B47</f>
        <v/>
      </c>
    </row>
    <row r="49">
      <c r="A49" s="10" t="n">
        <v>42370</v>
      </c>
      <c r="B49" s="25" t="n">
        <v>46.1</v>
      </c>
      <c r="C49" s="25">
        <f>Table13467[[#This Row],[PMI]]-B48</f>
        <v/>
      </c>
    </row>
    <row r="50">
      <c r="A50" s="10" t="n">
        <v>42401</v>
      </c>
      <c r="B50" s="25" t="n">
        <v>46.4</v>
      </c>
      <c r="C50" s="25">
        <f>Table13467[[#This Row],[PMI]]-B49</f>
        <v/>
      </c>
    </row>
    <row r="51">
      <c r="A51" s="10" t="n">
        <v>42430</v>
      </c>
      <c r="B51" s="25" t="n">
        <v>45.5</v>
      </c>
      <c r="C51" s="25">
        <f>Table13467[[#This Row],[PMI]]-B50</f>
        <v/>
      </c>
    </row>
    <row r="52">
      <c r="A52" s="10" t="n">
        <v>42461</v>
      </c>
      <c r="B52" s="25" t="n">
        <v>45.3</v>
      </c>
      <c r="C52" s="25">
        <f>Table13467[[#This Row],[PMI]]-B51</f>
        <v/>
      </c>
    </row>
    <row r="53">
      <c r="A53" s="10" t="n">
        <v>42491</v>
      </c>
      <c r="B53" s="25" t="n">
        <v>47.2</v>
      </c>
      <c r="C53" s="25">
        <f>Table13467[[#This Row],[PMI]]-B52</f>
        <v/>
      </c>
    </row>
    <row r="54">
      <c r="A54" s="10" t="n">
        <v>42522</v>
      </c>
      <c r="B54" s="25" t="n">
        <v>45.4</v>
      </c>
      <c r="C54" s="25">
        <f>Table13467[[#This Row],[PMI]]-B53</f>
        <v/>
      </c>
    </row>
    <row r="55">
      <c r="A55" s="10" t="n">
        <v>42552</v>
      </c>
      <c r="B55" s="25" t="n">
        <v>47.2</v>
      </c>
      <c r="C55" s="25">
        <f>Table13467[[#This Row],[PMI]]-B54</f>
        <v/>
      </c>
    </row>
    <row r="56">
      <c r="A56" s="10" t="n">
        <v>42583</v>
      </c>
      <c r="B56" s="25" t="n">
        <v>49</v>
      </c>
      <c r="C56" s="25">
        <f>Table13467[[#This Row],[PMI]]-B55</f>
        <v/>
      </c>
    </row>
    <row r="57">
      <c r="A57" s="10" t="n">
        <v>42614</v>
      </c>
      <c r="B57" s="25" t="n">
        <v>49.3</v>
      </c>
      <c r="C57" s="25">
        <f>Table13467[[#This Row],[PMI]]-B56</f>
        <v/>
      </c>
    </row>
    <row r="58">
      <c r="A58" s="10" t="n">
        <v>42644</v>
      </c>
      <c r="B58" s="25" t="n">
        <v>48.2</v>
      </c>
      <c r="C58" s="25">
        <f>Table13467[[#This Row],[PMI]]-B57</f>
        <v/>
      </c>
    </row>
    <row r="59">
      <c r="A59" s="10" t="n">
        <v>42675</v>
      </c>
      <c r="B59" s="25" t="n">
        <v>49.5</v>
      </c>
      <c r="C59" s="25">
        <f>Table13467[[#This Row],[PMI]]-B58</f>
        <v/>
      </c>
    </row>
    <row r="60">
      <c r="A60" s="10" t="n">
        <v>42705</v>
      </c>
      <c r="B60" s="25" t="n">
        <v>50.3</v>
      </c>
      <c r="C60" s="25">
        <f>Table13467[[#This Row],[PMI]]-B59</f>
        <v/>
      </c>
    </row>
    <row r="61">
      <c r="A61" s="10" t="n">
        <v>42736</v>
      </c>
      <c r="B61" s="25" t="n">
        <v>49.9</v>
      </c>
      <c r="C61" s="25">
        <f>Table13467[[#This Row],[PMI]]-B60</f>
        <v/>
      </c>
    </row>
    <row r="62">
      <c r="A62" s="10" t="n">
        <v>42767</v>
      </c>
      <c r="B62" s="25" t="n">
        <v>49.6</v>
      </c>
      <c r="C62" s="25">
        <f>Table13467[[#This Row],[PMI]]-B61</f>
        <v/>
      </c>
    </row>
    <row r="63">
      <c r="A63" s="10" t="n">
        <v>42795</v>
      </c>
      <c r="B63" s="25" t="n">
        <v>49.9</v>
      </c>
      <c r="C63" s="25">
        <f>Table13467[[#This Row],[PMI]]-B62</f>
        <v/>
      </c>
    </row>
    <row r="64">
      <c r="A64" s="10" t="n">
        <v>42826</v>
      </c>
      <c r="B64" s="25" t="n">
        <v>51.1</v>
      </c>
      <c r="C64" s="25">
        <f>Table13467[[#This Row],[PMI]]-B63</f>
        <v/>
      </c>
    </row>
    <row r="65">
      <c r="A65" s="10" t="n">
        <v>42856</v>
      </c>
      <c r="B65" s="25" t="n">
        <v>50.5</v>
      </c>
      <c r="C65" s="25">
        <f>Table13467[[#This Row],[PMI]]-B64</f>
        <v/>
      </c>
    </row>
    <row r="66">
      <c r="A66" s="10" t="n">
        <v>42887</v>
      </c>
      <c r="B66" s="25" t="n">
        <v>51.1</v>
      </c>
      <c r="C66" s="25">
        <f>Table13467[[#This Row],[PMI]]-B65</f>
        <v/>
      </c>
    </row>
    <row r="67">
      <c r="A67" s="10" t="n">
        <v>42917</v>
      </c>
      <c r="B67" s="25" t="n">
        <v>51.3</v>
      </c>
      <c r="C67" s="25">
        <f>Table13467[[#This Row],[PMI]]-B66</f>
        <v/>
      </c>
    </row>
    <row r="68">
      <c r="A68" s="10" t="n">
        <v>42948</v>
      </c>
      <c r="B68" s="25" t="n">
        <v>49.7</v>
      </c>
      <c r="C68" s="25">
        <f>Table13467[[#This Row],[PMI]]-B67</f>
        <v/>
      </c>
    </row>
    <row r="69">
      <c r="A69" s="10" t="n">
        <v>42979</v>
      </c>
      <c r="B69" s="25" t="n">
        <v>51.2</v>
      </c>
      <c r="C69" s="25">
        <f>Table13467[[#This Row],[PMI]]-B68</f>
        <v/>
      </c>
    </row>
    <row r="70">
      <c r="A70" s="10" t="n">
        <v>43009</v>
      </c>
      <c r="B70" s="25" t="n">
        <v>50.3</v>
      </c>
      <c r="C70" s="25">
        <f>Table13467[[#This Row],[PMI]]-B69</f>
        <v/>
      </c>
    </row>
    <row r="71">
      <c r="A71" s="10" t="n">
        <v>43040</v>
      </c>
      <c r="B71" s="25" t="n">
        <v>50.7</v>
      </c>
      <c r="C71" s="25">
        <f>Table13467[[#This Row],[PMI]]-B70</f>
        <v/>
      </c>
    </row>
    <row r="72">
      <c r="A72" s="10" t="n">
        <v>43070</v>
      </c>
      <c r="B72" s="25" t="n">
        <v>51.5</v>
      </c>
      <c r="C72" s="25">
        <f>Table13467[[#This Row],[PMI]]-B71</f>
        <v/>
      </c>
    </row>
    <row r="73">
      <c r="A73" s="10" t="n">
        <v>43101</v>
      </c>
      <c r="B73" s="25" t="n">
        <v>51.1</v>
      </c>
      <c r="C73" s="25">
        <f>Table13467[[#This Row],[PMI]]-B72</f>
        <v/>
      </c>
    </row>
    <row r="74">
      <c r="A74" s="10" t="n">
        <v>43132</v>
      </c>
      <c r="B74" s="25" t="n">
        <v>51.7</v>
      </c>
      <c r="C74" s="25">
        <f>Table13467[[#This Row],[PMI]]-B73</f>
        <v/>
      </c>
    </row>
    <row r="75">
      <c r="A75" s="10" t="n">
        <v>43160</v>
      </c>
      <c r="B75" s="25" t="n">
        <v>50.6</v>
      </c>
      <c r="C75" s="25">
        <f>Table13467[[#This Row],[PMI]]-B74</f>
        <v/>
      </c>
    </row>
    <row r="76">
      <c r="A76" s="10" t="n">
        <v>43191</v>
      </c>
      <c r="B76" s="25" t="n">
        <v>49.1</v>
      </c>
      <c r="C76" s="25">
        <f>Table13467[[#This Row],[PMI]]-B75</f>
        <v/>
      </c>
    </row>
    <row r="77">
      <c r="A77" s="10" t="n">
        <v>43221</v>
      </c>
      <c r="B77" s="25" t="n">
        <v>47.8</v>
      </c>
      <c r="C77" s="25">
        <f>Table13467[[#This Row],[PMI]]-B76</f>
        <v/>
      </c>
    </row>
    <row r="78">
      <c r="A78" s="10" t="n">
        <v>43252</v>
      </c>
      <c r="B78" s="25" t="n">
        <v>47.7</v>
      </c>
      <c r="C78" s="25">
        <f>Table13467[[#This Row],[PMI]]-B77</f>
        <v/>
      </c>
    </row>
    <row r="79">
      <c r="A79" s="10" t="n">
        <v>43282</v>
      </c>
      <c r="B79" s="25" t="n">
        <v>48.2</v>
      </c>
      <c r="C79" s="25">
        <f>Table13467[[#This Row],[PMI]]-B78</f>
        <v/>
      </c>
    </row>
    <row r="80">
      <c r="A80" s="10" t="n">
        <v>43313</v>
      </c>
      <c r="B80" s="25" t="n">
        <v>48.5</v>
      </c>
      <c r="C80" s="25">
        <f>Table13467[[#This Row],[PMI]]-B79</f>
        <v/>
      </c>
    </row>
    <row r="81">
      <c r="A81" s="10" t="n">
        <v>43344</v>
      </c>
      <c r="B81" s="25" t="n">
        <v>47.9</v>
      </c>
      <c r="C81" s="25">
        <f>Table13467[[#This Row],[PMI]]-B80</f>
        <v/>
      </c>
    </row>
    <row r="82">
      <c r="A82" s="10" t="n">
        <v>43374</v>
      </c>
      <c r="B82" s="25" t="n">
        <v>48.6</v>
      </c>
      <c r="C82" s="25">
        <f>Table13467[[#This Row],[PMI]]-B81</f>
        <v/>
      </c>
    </row>
    <row r="83">
      <c r="A83" s="10" t="n">
        <v>43405</v>
      </c>
      <c r="B83" s="25" t="n">
        <v>47.1</v>
      </c>
      <c r="C83" s="25">
        <f>Table13467[[#This Row],[PMI]]-B82</f>
        <v/>
      </c>
    </row>
    <row r="84">
      <c r="A84" s="10" t="n">
        <v>43435</v>
      </c>
      <c r="B84" s="25" t="n">
        <v>48</v>
      </c>
      <c r="C84" s="25">
        <f>Table13467[[#This Row],[PMI]]-B83</f>
        <v/>
      </c>
    </row>
    <row r="85">
      <c r="A85" s="10" t="n">
        <v>43466</v>
      </c>
      <c r="B85" s="25" t="n">
        <v>48.2</v>
      </c>
      <c r="C85" s="25">
        <f>Table13467[[#This Row],[PMI]]-B84</f>
        <v/>
      </c>
    </row>
    <row r="86">
      <c r="A86" s="10" t="n">
        <v>43497</v>
      </c>
      <c r="B86" s="25" t="n">
        <v>48.4</v>
      </c>
      <c r="C86" s="25">
        <f>Table13467[[#This Row],[PMI]]-B85</f>
        <v/>
      </c>
    </row>
    <row r="87">
      <c r="A87" s="10" t="n">
        <v>43525</v>
      </c>
      <c r="B87" s="25" t="n">
        <v>48</v>
      </c>
      <c r="C87" s="25">
        <f>Table13467[[#This Row],[PMI]]-B86</f>
        <v/>
      </c>
    </row>
    <row r="88">
      <c r="A88" s="10" t="n">
        <v>43556</v>
      </c>
      <c r="B88" s="25" t="n">
        <v>48.4</v>
      </c>
      <c r="C88" s="25">
        <f>Table13467[[#This Row],[PMI]]-B87</f>
        <v/>
      </c>
    </row>
    <row r="89">
      <c r="A89" s="10" t="n">
        <v>43586</v>
      </c>
      <c r="B89" s="25" t="n">
        <v>46.9</v>
      </c>
      <c r="C89" s="25">
        <f>Table13467[[#This Row],[PMI]]-B88</f>
        <v/>
      </c>
    </row>
    <row r="90">
      <c r="A90" s="10" t="n">
        <v>43617</v>
      </c>
      <c r="B90" s="25" t="n">
        <v>47.9</v>
      </c>
      <c r="C90" s="25">
        <f>Table13467[[#This Row],[PMI]]-B89</f>
        <v/>
      </c>
    </row>
    <row r="91">
      <c r="A91" s="10" t="n">
        <v>43647</v>
      </c>
      <c r="B91" s="25" t="n">
        <v>43.8</v>
      </c>
      <c r="C91" s="25">
        <f>Table13467[[#This Row],[PMI]]-B90</f>
        <v/>
      </c>
    </row>
    <row r="92">
      <c r="A92" s="10" t="n">
        <v>43678</v>
      </c>
      <c r="B92" s="25" t="n">
        <v>40.8</v>
      </c>
      <c r="C92" s="25">
        <f>Table13467[[#This Row],[PMI]]-B91</f>
        <v/>
      </c>
    </row>
    <row r="93">
      <c r="A93" s="10" t="n">
        <v>43709</v>
      </c>
      <c r="B93" s="25" t="n">
        <v>41.5</v>
      </c>
      <c r="C93" s="25">
        <f>Table13467[[#This Row],[PMI]]-B92</f>
        <v/>
      </c>
    </row>
    <row r="94">
      <c r="A94" s="10" t="n">
        <v>43739</v>
      </c>
      <c r="B94" s="25" t="n">
        <v>39.3</v>
      </c>
      <c r="C94" s="25">
        <f>Table13467[[#This Row],[PMI]]-B93</f>
        <v/>
      </c>
    </row>
    <row r="95">
      <c r="A95" s="10" t="n">
        <v>43770</v>
      </c>
      <c r="B95" s="25" t="n">
        <v>38.5</v>
      </c>
      <c r="C95" s="25">
        <f>Table13467[[#This Row],[PMI]]-B94</f>
        <v/>
      </c>
    </row>
    <row r="96">
      <c r="A96" s="10" t="n">
        <v>43800</v>
      </c>
      <c r="B96" s="25" t="n">
        <v>42.1</v>
      </c>
      <c r="C96" s="25">
        <f>Table13467[[#This Row],[PMI]]-B95</f>
        <v/>
      </c>
    </row>
    <row r="97">
      <c r="A97" s="10" t="n">
        <v>43831</v>
      </c>
      <c r="B97" s="25" t="n">
        <v>46.8</v>
      </c>
      <c r="C97" s="25">
        <f>Table13467[[#This Row],[PMI]]-B96</f>
        <v/>
      </c>
    </row>
    <row r="98">
      <c r="A98" s="10" t="n">
        <v>43862</v>
      </c>
      <c r="B98" s="25" t="n">
        <v>33.1</v>
      </c>
      <c r="C98" s="25">
        <f>Table13467[[#This Row],[PMI]]-B97</f>
        <v/>
      </c>
    </row>
    <row r="99">
      <c r="A99" s="10" t="n">
        <v>43891</v>
      </c>
      <c r="B99" s="25" t="n">
        <v>34.9</v>
      </c>
      <c r="C99" s="25">
        <f>Table13467[[#This Row],[PMI]]-B98</f>
        <v/>
      </c>
    </row>
    <row r="100">
      <c r="A100" s="10" t="n">
        <v>43922</v>
      </c>
      <c r="B100" s="25" t="n">
        <v>36.9</v>
      </c>
      <c r="C100" s="25">
        <f>Table13467[[#This Row],[PMI]]-B99</f>
        <v/>
      </c>
    </row>
    <row r="101">
      <c r="A101" s="10" t="n">
        <v>43952</v>
      </c>
      <c r="B101" s="25" t="n">
        <v>43.9</v>
      </c>
      <c r="C101" s="25">
        <f>Table13467[[#This Row],[PMI]]-B100</f>
        <v/>
      </c>
    </row>
    <row r="102">
      <c r="A102" s="10" t="n">
        <v>43983</v>
      </c>
      <c r="B102" s="25" t="n">
        <v>49.6</v>
      </c>
      <c r="C102" s="25">
        <f>Table13467[[#This Row],[PMI]]-B101</f>
        <v/>
      </c>
    </row>
    <row r="103">
      <c r="A103" s="10" t="n">
        <v>44013</v>
      </c>
      <c r="B103" s="25" t="n">
        <v>44.5</v>
      </c>
      <c r="C103" s="25">
        <f>Table13467[[#This Row],[PMI]]-B102</f>
        <v/>
      </c>
    </row>
    <row r="104">
      <c r="A104" s="10" t="n">
        <v>44044</v>
      </c>
      <c r="B104" s="25" t="n">
        <v>44</v>
      </c>
      <c r="C104" s="25">
        <f>Table13467[[#This Row],[PMI]]-B103</f>
        <v/>
      </c>
    </row>
    <row r="105">
      <c r="A105" s="10" t="n">
        <v>44075</v>
      </c>
      <c r="B105" s="25" t="n">
        <v>47.7</v>
      </c>
      <c r="C105" s="25">
        <f>Table13467[[#This Row],[PMI]]-B104</f>
        <v/>
      </c>
    </row>
    <row r="106">
      <c r="A106" s="10" t="n">
        <v>44105</v>
      </c>
      <c r="B106" s="25" t="n">
        <v>49.8</v>
      </c>
      <c r="C106" s="25">
        <f>Table13467[[#This Row],[PMI]]-B105</f>
        <v/>
      </c>
    </row>
    <row r="107">
      <c r="A107" s="10" t="n">
        <v>44136</v>
      </c>
      <c r="B107" s="25" t="n">
        <v>50.1</v>
      </c>
      <c r="C107" s="25">
        <f>Table13467[[#This Row],[PMI]]-B106</f>
        <v/>
      </c>
    </row>
    <row r="108">
      <c r="A108" s="10" t="n">
        <v>44166</v>
      </c>
      <c r="B108" s="25" t="n">
        <v>43.5</v>
      </c>
      <c r="C108" s="25">
        <f>Table13467[[#This Row],[PMI]]-B107</f>
        <v/>
      </c>
    </row>
    <row r="109">
      <c r="A109" s="10" t="n">
        <v>44197</v>
      </c>
      <c r="B109" s="25" t="n">
        <v>47.8</v>
      </c>
      <c r="C109" s="25">
        <f>Table13467[[#This Row],[PMI]]-B108</f>
        <v/>
      </c>
    </row>
    <row r="110">
      <c r="A110" s="10" t="n">
        <v>44228</v>
      </c>
      <c r="B110" s="25" t="n">
        <v>50.2</v>
      </c>
      <c r="C110" s="25">
        <f>Table13467[[#This Row],[PMI]]-B109</f>
        <v/>
      </c>
    </row>
    <row r="111">
      <c r="A111" s="10" t="n">
        <v>44256</v>
      </c>
      <c r="B111" s="25" t="n">
        <v>50.5</v>
      </c>
      <c r="C111" s="25">
        <f>Table13467[[#This Row],[PMI]]-B110</f>
        <v/>
      </c>
    </row>
    <row r="112">
      <c r="A112" s="10" t="n">
        <v>44287</v>
      </c>
      <c r="B112" s="25" t="n">
        <v>50.3</v>
      </c>
      <c r="C112" s="25">
        <f>Table13467[[#This Row],[PMI]]-B111</f>
        <v/>
      </c>
    </row>
    <row r="113">
      <c r="A113" s="10" t="n">
        <v>44317</v>
      </c>
      <c r="B113" s="25" t="n">
        <v>52.5</v>
      </c>
      <c r="C113" s="25">
        <f>Table13467[[#This Row],[PMI]]-B112</f>
        <v/>
      </c>
    </row>
    <row r="114">
      <c r="A114" s="10" t="n">
        <v>44348</v>
      </c>
      <c r="B114" s="25" t="n">
        <v>51.4</v>
      </c>
      <c r="C114" s="25">
        <f>Table13467[[#This Row],[PMI]]-B113</f>
        <v/>
      </c>
    </row>
    <row r="115">
      <c r="A115" s="10" t="n">
        <v>44378</v>
      </c>
      <c r="B115" s="25" t="n">
        <v>51.3</v>
      </c>
      <c r="C115" s="25">
        <f>Table13467[[#This Row],[PMI]]-B114</f>
        <v/>
      </c>
    </row>
    <row r="116">
      <c r="A116" s="10" t="n">
        <v>44409</v>
      </c>
      <c r="B116" s="25" t="n">
        <v>53.3</v>
      </c>
      <c r="C116" s="25">
        <f>Table13467[[#This Row],[PMI]]-B115</f>
        <v/>
      </c>
    </row>
    <row r="117">
      <c r="A117" s="10" t="n">
        <v>44440</v>
      </c>
      <c r="B117" s="25" t="n">
        <v>51.7</v>
      </c>
      <c r="C117" s="25">
        <f>Table13467[[#This Row],[PMI]]-B116</f>
        <v/>
      </c>
    </row>
    <row r="118">
      <c r="A118" s="10" t="n">
        <v>44470</v>
      </c>
      <c r="B118" s="25" t="n">
        <v>50.8</v>
      </c>
      <c r="C118" s="25">
        <f>Table13467[[#This Row],[PMI]]-B117</f>
        <v/>
      </c>
    </row>
    <row r="119">
      <c r="A119" s="10" t="n">
        <v>44501</v>
      </c>
      <c r="B119" s="25" t="n">
        <v>52.6</v>
      </c>
      <c r="C119" s="25">
        <f>Table13467[[#This Row],[PMI]]-B118</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6"/>
  <sheetViews>
    <sheetView zoomScale="160" zoomScaleNormal="160" workbookViewId="0">
      <pane ySplit="5" topLeftCell="A45" activePane="bottomLeft" state="frozen"/>
      <selection pane="bottomLeft" activeCell="A88" sqref="A88"/>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Saudi Arabia</t>
        </is>
      </c>
      <c r="K1" s="84" t="inlineStr">
        <is>
          <t xml:space="preserve"> Manufacturing PMI</t>
        </is>
      </c>
    </row>
    <row r="2">
      <c r="A2" s="84" t="inlineStr">
        <is>
          <t>saudi-arabia</t>
        </is>
      </c>
      <c r="K2" s="84">
        <f>A1&amp;K1</f>
        <v/>
      </c>
    </row>
    <row r="4" ht="16" customHeight="1" s="76" thickBot="1"/>
    <row r="5" ht="16" customHeight="1" s="76" thickBot="1">
      <c r="A5" s="22" t="inlineStr">
        <is>
          <t>Date</t>
        </is>
      </c>
      <c r="B5" s="23" t="inlineStr">
        <is>
          <t>PMI</t>
        </is>
      </c>
      <c r="C5" s="23" t="inlineStr">
        <is>
          <t>mom</t>
        </is>
      </c>
    </row>
    <row r="6">
      <c r="A6" s="18" t="n">
        <v>42095</v>
      </c>
      <c r="B6" s="19" t="n">
        <v>60.1</v>
      </c>
      <c r="C6" s="19" t="n"/>
    </row>
    <row r="7">
      <c r="A7" s="10" t="n">
        <v>42125</v>
      </c>
      <c r="B7" s="25" t="n">
        <v>57</v>
      </c>
      <c r="C7" s="25">
        <f>Table134689[[#This Row],[PMI]]-B6</f>
        <v/>
      </c>
    </row>
    <row r="8">
      <c r="A8" s="10" t="n">
        <v>42156</v>
      </c>
      <c r="B8" s="25" t="n">
        <v>56.1</v>
      </c>
      <c r="C8" s="25">
        <f>Table134689[[#This Row],[PMI]]-B7</f>
        <v/>
      </c>
    </row>
    <row r="9">
      <c r="A9" s="10" t="n">
        <v>42186</v>
      </c>
      <c r="B9" s="25" t="n">
        <v>57.7</v>
      </c>
      <c r="C9" s="25">
        <f>Table134689[[#This Row],[PMI]]-B8</f>
        <v/>
      </c>
    </row>
    <row r="10">
      <c r="A10" s="10" t="n">
        <v>42217</v>
      </c>
      <c r="B10" s="25" t="n">
        <v>58.7</v>
      </c>
      <c r="C10" s="25">
        <f>Table134689[[#This Row],[PMI]]-B9</f>
        <v/>
      </c>
    </row>
    <row r="11">
      <c r="A11" s="10" t="n">
        <v>42248</v>
      </c>
      <c r="B11" s="25" t="n">
        <v>56.5</v>
      </c>
      <c r="C11" s="25">
        <f>Table134689[[#This Row],[PMI]]-B10</f>
        <v/>
      </c>
    </row>
    <row r="12">
      <c r="A12" s="10" t="n">
        <v>42278</v>
      </c>
      <c r="B12" s="25" t="n">
        <v>55.7</v>
      </c>
      <c r="C12" s="25">
        <f>Table134689[[#This Row],[PMI]]-B11</f>
        <v/>
      </c>
    </row>
    <row r="13">
      <c r="A13" s="10" t="n">
        <v>42309</v>
      </c>
      <c r="B13" s="25" t="n">
        <v>56.3</v>
      </c>
      <c r="C13" s="25">
        <f>Table134689[[#This Row],[PMI]]-B12</f>
        <v/>
      </c>
    </row>
    <row r="14">
      <c r="A14" s="10" t="n">
        <v>42339</v>
      </c>
      <c r="B14" s="25" t="n">
        <v>54.4</v>
      </c>
      <c r="C14" s="25">
        <f>Table134689[[#This Row],[PMI]]-B13</f>
        <v/>
      </c>
    </row>
    <row r="15">
      <c r="A15" s="10" t="n">
        <v>42370</v>
      </c>
      <c r="B15" s="25" t="n">
        <v>53.9</v>
      </c>
      <c r="C15" s="25">
        <f>Table134689[[#This Row],[PMI]]-B14</f>
        <v/>
      </c>
    </row>
    <row r="16">
      <c r="A16" s="10" t="n">
        <v>42401</v>
      </c>
      <c r="B16" s="25" t="n">
        <v>54.4</v>
      </c>
      <c r="C16" s="25">
        <f>Table134689[[#This Row],[PMI]]-B15</f>
        <v/>
      </c>
    </row>
    <row r="17">
      <c r="A17" s="10" t="n">
        <v>42430</v>
      </c>
      <c r="B17" s="25" t="n">
        <v>54.5</v>
      </c>
      <c r="C17" s="25">
        <f>Table134689[[#This Row],[PMI]]-B16</f>
        <v/>
      </c>
    </row>
    <row r="18">
      <c r="A18" s="10" t="n">
        <v>42461</v>
      </c>
      <c r="B18" s="25" t="n">
        <v>54.2</v>
      </c>
      <c r="C18" s="25">
        <f>Table134689[[#This Row],[PMI]]-B17</f>
        <v/>
      </c>
    </row>
    <row r="19">
      <c r="A19" s="10" t="n">
        <v>42491</v>
      </c>
      <c r="B19" s="25" t="n">
        <v>54.8</v>
      </c>
      <c r="C19" s="25">
        <f>Table134689[[#This Row],[PMI]]-B18</f>
        <v/>
      </c>
    </row>
    <row r="20">
      <c r="A20" s="10" t="n">
        <v>42522</v>
      </c>
      <c r="B20" s="25" t="n">
        <v>54.4</v>
      </c>
      <c r="C20" s="25">
        <f>Table134689[[#This Row],[PMI]]-B19</f>
        <v/>
      </c>
    </row>
    <row r="21">
      <c r="A21" s="10" t="n">
        <v>42552</v>
      </c>
      <c r="B21" s="25" t="n">
        <v>56</v>
      </c>
      <c r="C21" s="25">
        <f>Table134689[[#This Row],[PMI]]-B20</f>
        <v/>
      </c>
    </row>
    <row r="22">
      <c r="A22" s="10" t="n">
        <v>42583</v>
      </c>
      <c r="B22" s="25" t="n">
        <v>56.6</v>
      </c>
      <c r="C22" s="25">
        <f>Table134689[[#This Row],[PMI]]-B21</f>
        <v/>
      </c>
    </row>
    <row r="23">
      <c r="A23" s="10" t="n">
        <v>42614</v>
      </c>
      <c r="B23" s="25" t="n">
        <v>55.3</v>
      </c>
      <c r="C23" s="25">
        <f>Table134689[[#This Row],[PMI]]-B22</f>
        <v/>
      </c>
    </row>
    <row r="24">
      <c r="A24" s="10" t="n">
        <v>42644</v>
      </c>
      <c r="B24" s="25" t="n">
        <v>53.2</v>
      </c>
      <c r="C24" s="25">
        <f>Table134689[[#This Row],[PMI]]-B23</f>
        <v/>
      </c>
    </row>
    <row r="25">
      <c r="A25" s="10" t="n">
        <v>42675</v>
      </c>
      <c r="B25" s="25" t="n">
        <v>55</v>
      </c>
      <c r="C25" s="25">
        <f>Table134689[[#This Row],[PMI]]-B24</f>
        <v/>
      </c>
    </row>
    <row r="26">
      <c r="A26" s="10" t="n">
        <v>42705</v>
      </c>
      <c r="B26" s="25" t="n">
        <v>55.5</v>
      </c>
      <c r="C26" s="25">
        <f>Table134689[[#This Row],[PMI]]-B25</f>
        <v/>
      </c>
    </row>
    <row r="27">
      <c r="A27" s="10" t="n">
        <v>42736</v>
      </c>
      <c r="B27" s="25" t="n">
        <v>56.7</v>
      </c>
      <c r="C27" s="25">
        <f>Table134689[[#This Row],[PMI]]-B26</f>
        <v/>
      </c>
    </row>
    <row r="28">
      <c r="A28" s="10" t="n">
        <v>42767</v>
      </c>
      <c r="B28" s="25" t="n">
        <v>57</v>
      </c>
      <c r="C28" s="25">
        <f>Table134689[[#This Row],[PMI]]-B27</f>
        <v/>
      </c>
    </row>
    <row r="29">
      <c r="A29" s="10" t="n">
        <v>42795</v>
      </c>
      <c r="B29" s="25" t="n">
        <v>56.4</v>
      </c>
      <c r="C29" s="25">
        <f>Table134689[[#This Row],[PMI]]-B28</f>
        <v/>
      </c>
    </row>
    <row r="30">
      <c r="A30" s="10" t="n">
        <v>42826</v>
      </c>
      <c r="B30" s="25" t="n">
        <v>56.5</v>
      </c>
      <c r="C30" s="25">
        <f>Table134689[[#This Row],[PMI]]-B29</f>
        <v/>
      </c>
    </row>
    <row r="31">
      <c r="A31" s="10" t="n">
        <v>42856</v>
      </c>
      <c r="B31" s="25" t="n">
        <v>55.3</v>
      </c>
      <c r="C31" s="25">
        <f>Table134689[[#This Row],[PMI]]-B30</f>
        <v/>
      </c>
    </row>
    <row r="32">
      <c r="A32" s="10" t="n">
        <v>42887</v>
      </c>
      <c r="B32" s="25" t="n">
        <v>54.3</v>
      </c>
      <c r="C32" s="25">
        <f>Table134689[[#This Row],[PMI]]-B31</f>
        <v/>
      </c>
    </row>
    <row r="33">
      <c r="A33" s="10" t="n">
        <v>42917</v>
      </c>
      <c r="B33" s="25" t="n">
        <v>55.7</v>
      </c>
      <c r="C33" s="25">
        <f>Table134689[[#This Row],[PMI]]-B32</f>
        <v/>
      </c>
    </row>
    <row r="34">
      <c r="A34" s="10" t="n">
        <v>42948</v>
      </c>
      <c r="B34" s="25" t="n">
        <v>55.8</v>
      </c>
      <c r="C34" s="25">
        <f>Table134689[[#This Row],[PMI]]-B33</f>
        <v/>
      </c>
    </row>
    <row r="35">
      <c r="A35" s="10" t="n">
        <v>42979</v>
      </c>
      <c r="B35" s="25" t="n">
        <v>55.5</v>
      </c>
      <c r="C35" s="25">
        <f>Table134689[[#This Row],[PMI]]-B34</f>
        <v/>
      </c>
    </row>
    <row r="36">
      <c r="A36" s="10" t="n">
        <v>43009</v>
      </c>
      <c r="B36" s="25" t="n">
        <v>55.6</v>
      </c>
      <c r="C36" s="25">
        <f>Table134689[[#This Row],[PMI]]-B35</f>
        <v/>
      </c>
    </row>
    <row r="37">
      <c r="A37" s="10" t="n">
        <v>43040</v>
      </c>
      <c r="B37" s="25" t="n">
        <v>57.5</v>
      </c>
      <c r="C37" s="25">
        <f>Table134689[[#This Row],[PMI]]-B36</f>
        <v/>
      </c>
    </row>
    <row r="38">
      <c r="A38" s="10" t="n">
        <v>43070</v>
      </c>
      <c r="B38" s="25" t="n">
        <v>57.3</v>
      </c>
      <c r="C38" s="25">
        <f>Table134689[[#This Row],[PMI]]-B37</f>
        <v/>
      </c>
    </row>
    <row r="39">
      <c r="A39" s="10" t="n">
        <v>43101</v>
      </c>
      <c r="B39" s="25" t="n">
        <v>53</v>
      </c>
      <c r="C39" s="25">
        <f>Table134689[[#This Row],[PMI]]-B38</f>
        <v/>
      </c>
    </row>
    <row r="40">
      <c r="A40" s="10" t="n">
        <v>43132</v>
      </c>
      <c r="B40" s="25" t="n">
        <v>53.2</v>
      </c>
      <c r="C40" s="25">
        <f>Table134689[[#This Row],[PMI]]-B39</f>
        <v/>
      </c>
    </row>
    <row r="41">
      <c r="A41" s="10" t="n">
        <v>43160</v>
      </c>
      <c r="B41" s="25" t="n">
        <v>52.8</v>
      </c>
      <c r="C41" s="25">
        <f>Table134689[[#This Row],[PMI]]-B40</f>
        <v/>
      </c>
    </row>
    <row r="42">
      <c r="A42" s="10" t="n">
        <v>43191</v>
      </c>
      <c r="B42" s="25" t="n">
        <v>51.4</v>
      </c>
      <c r="C42" s="25">
        <f>Table134689[[#This Row],[PMI]]-B41</f>
        <v/>
      </c>
    </row>
    <row r="43">
      <c r="A43" s="10" t="n">
        <v>43221</v>
      </c>
      <c r="B43" s="25" t="n">
        <v>53.2</v>
      </c>
      <c r="C43" s="25">
        <f>Table134689[[#This Row],[PMI]]-B42</f>
        <v/>
      </c>
    </row>
    <row r="44">
      <c r="A44" s="10" t="n">
        <v>43252</v>
      </c>
      <c r="B44" s="25" t="n">
        <v>55</v>
      </c>
      <c r="C44" s="25">
        <f>Table134689[[#This Row],[PMI]]-B43</f>
        <v/>
      </c>
    </row>
    <row r="45">
      <c r="A45" s="10" t="n">
        <v>43282</v>
      </c>
      <c r="B45" s="25" t="n">
        <v>54.9</v>
      </c>
      <c r="C45" s="25">
        <f>Table134689[[#This Row],[PMI]]-B44</f>
        <v/>
      </c>
    </row>
    <row r="46">
      <c r="A46" s="10" t="n">
        <v>43313</v>
      </c>
      <c r="B46" s="25" t="n">
        <v>55.1</v>
      </c>
      <c r="C46" s="25">
        <f>Table134689[[#This Row],[PMI]]-B45</f>
        <v/>
      </c>
    </row>
    <row r="47">
      <c r="A47" s="10" t="n">
        <v>43344</v>
      </c>
      <c r="B47" s="25" t="n">
        <v>53.4</v>
      </c>
      <c r="C47" s="25">
        <f>Table134689[[#This Row],[PMI]]-B46</f>
        <v/>
      </c>
    </row>
    <row r="48">
      <c r="A48" s="10" t="n">
        <v>43374</v>
      </c>
      <c r="B48" s="25" t="n">
        <v>53.8</v>
      </c>
      <c r="C48" s="25">
        <f>Table134689[[#This Row],[PMI]]-B47</f>
        <v/>
      </c>
    </row>
    <row r="49">
      <c r="A49" s="10" t="n">
        <v>43405</v>
      </c>
      <c r="B49" s="25" t="n">
        <v>55.2</v>
      </c>
      <c r="C49" s="25">
        <f>Table134689[[#This Row],[PMI]]-B48</f>
        <v/>
      </c>
    </row>
    <row r="50">
      <c r="A50" s="10" t="n">
        <v>43435</v>
      </c>
      <c r="B50" s="25" t="n">
        <v>54.5</v>
      </c>
      <c r="C50" s="25">
        <f>Table134689[[#This Row],[PMI]]-B49</f>
        <v/>
      </c>
    </row>
    <row r="51">
      <c r="A51" s="10" t="n">
        <v>43466</v>
      </c>
      <c r="B51" s="25" t="n">
        <v>56.2</v>
      </c>
      <c r="C51" s="25">
        <f>Table134689[[#This Row],[PMI]]-B50</f>
        <v/>
      </c>
    </row>
    <row r="52">
      <c r="A52" s="10" t="n">
        <v>43497</v>
      </c>
      <c r="B52" s="25" t="n">
        <v>56.6</v>
      </c>
      <c r="C52" s="25">
        <f>Table134689[[#This Row],[PMI]]-B51</f>
        <v/>
      </c>
    </row>
    <row r="53">
      <c r="A53" s="10" t="n">
        <v>43525</v>
      </c>
      <c r="B53" s="25" t="n">
        <v>56.8</v>
      </c>
      <c r="C53" s="25">
        <f>Table134689[[#This Row],[PMI]]-B52</f>
        <v/>
      </c>
    </row>
    <row r="54">
      <c r="A54" s="10" t="n">
        <v>43556</v>
      </c>
      <c r="B54" s="25" t="n">
        <v>57.3</v>
      </c>
      <c r="C54" s="25">
        <f>Table134689[[#This Row],[PMI]]-B53</f>
        <v/>
      </c>
    </row>
    <row r="55">
      <c r="A55" s="10" t="n">
        <v>43586</v>
      </c>
      <c r="B55" s="25" t="n">
        <v>57.3</v>
      </c>
      <c r="C55" s="25">
        <f>Table134689[[#This Row],[PMI]]-B54</f>
        <v/>
      </c>
    </row>
    <row r="56">
      <c r="A56" s="10" t="n">
        <v>43617</v>
      </c>
      <c r="B56" s="25" t="n">
        <v>57.4</v>
      </c>
      <c r="C56" s="25">
        <f>Table134689[[#This Row],[PMI]]-B55</f>
        <v/>
      </c>
    </row>
    <row r="57">
      <c r="A57" s="10" t="n">
        <v>43647</v>
      </c>
      <c r="B57" s="25" t="n">
        <v>56.6</v>
      </c>
      <c r="C57" s="25">
        <f>Table134689[[#This Row],[PMI]]-B56</f>
        <v/>
      </c>
    </row>
    <row r="58">
      <c r="A58" s="10" t="n">
        <v>43678</v>
      </c>
      <c r="B58" s="25" t="n">
        <v>57</v>
      </c>
      <c r="C58" s="25">
        <f>Table134689[[#This Row],[PMI]]-B57</f>
        <v/>
      </c>
    </row>
    <row r="59">
      <c r="A59" s="10" t="n">
        <v>43709</v>
      </c>
      <c r="B59" s="25" t="n">
        <v>57.3</v>
      </c>
      <c r="C59" s="25">
        <f>Table134689[[#This Row],[PMI]]-B58</f>
        <v/>
      </c>
    </row>
    <row r="60">
      <c r="A60" s="10" t="n">
        <v>43739</v>
      </c>
      <c r="B60" s="25" t="n">
        <v>57.8</v>
      </c>
      <c r="C60" s="25">
        <f>Table134689[[#This Row],[PMI]]-B59</f>
        <v/>
      </c>
    </row>
    <row r="61">
      <c r="A61" s="10" t="n">
        <v>43770</v>
      </c>
      <c r="B61" s="25" t="n">
        <v>58.3</v>
      </c>
      <c r="C61" s="25">
        <f>Table134689[[#This Row],[PMI]]-B60</f>
        <v/>
      </c>
    </row>
    <row r="62">
      <c r="A62" s="10" t="n">
        <v>43800</v>
      </c>
      <c r="B62" s="25" t="n">
        <v>56.9</v>
      </c>
      <c r="C62" s="25">
        <f>Table134689[[#This Row],[PMI]]-B61</f>
        <v/>
      </c>
    </row>
    <row r="63">
      <c r="A63" s="10" t="n">
        <v>43831</v>
      </c>
      <c r="B63" s="25" t="n">
        <v>54.9</v>
      </c>
      <c r="C63" s="25">
        <f>Table134689[[#This Row],[PMI]]-B62</f>
        <v/>
      </c>
    </row>
    <row r="64">
      <c r="A64" s="10" t="n">
        <v>43862</v>
      </c>
      <c r="B64" s="25" t="n">
        <v>52.5</v>
      </c>
      <c r="C64" s="25">
        <f>Table134689[[#This Row],[PMI]]-B63</f>
        <v/>
      </c>
    </row>
    <row r="65">
      <c r="A65" s="10" t="n">
        <v>43891</v>
      </c>
      <c r="B65" s="25" t="n">
        <v>42.4</v>
      </c>
      <c r="C65" s="25">
        <f>Table134689[[#This Row],[PMI]]-B64</f>
        <v/>
      </c>
    </row>
    <row r="66">
      <c r="A66" s="10" t="n">
        <v>43922</v>
      </c>
      <c r="B66" s="25" t="n">
        <v>44.4</v>
      </c>
      <c r="C66" s="25">
        <f>Table134689[[#This Row],[PMI]]-B65</f>
        <v/>
      </c>
    </row>
    <row r="67">
      <c r="A67" s="10" t="n">
        <v>43952</v>
      </c>
      <c r="B67" s="25" t="n">
        <v>48.1</v>
      </c>
      <c r="C67" s="25">
        <f>Table134689[[#This Row],[PMI]]-B66</f>
        <v/>
      </c>
    </row>
    <row r="68">
      <c r="A68" s="10" t="n">
        <v>43983</v>
      </c>
      <c r="B68" s="25" t="n">
        <v>47.7</v>
      </c>
      <c r="C68" s="25">
        <f>Table134689[[#This Row],[PMI]]-B67</f>
        <v/>
      </c>
    </row>
    <row r="69">
      <c r="A69" s="10" t="n">
        <v>44013</v>
      </c>
      <c r="B69" s="25" t="n">
        <v>48.8</v>
      </c>
      <c r="C69" s="25">
        <f>Table134689[[#This Row],[PMI]]-B68</f>
        <v/>
      </c>
    </row>
    <row r="70">
      <c r="A70" s="10" t="n">
        <v>44044</v>
      </c>
      <c r="B70" s="25" t="n">
        <v>50</v>
      </c>
      <c r="C70" s="25">
        <f>Table134689[[#This Row],[PMI]]-B69</f>
        <v/>
      </c>
    </row>
    <row r="71">
      <c r="A71" s="10" t="n">
        <v>44075</v>
      </c>
      <c r="B71" s="25" t="n">
        <v>50.7</v>
      </c>
      <c r="C71" s="25">
        <f>Table134689[[#This Row],[PMI]]-B70</f>
        <v/>
      </c>
    </row>
    <row r="72">
      <c r="A72" s="10" t="n">
        <v>44105</v>
      </c>
      <c r="B72" s="25" t="n">
        <v>51</v>
      </c>
      <c r="C72" s="25">
        <f>Table134689[[#This Row],[PMI]]-B71</f>
        <v/>
      </c>
    </row>
    <row r="73">
      <c r="A73" s="10" t="n">
        <v>44136</v>
      </c>
      <c r="B73" s="25" t="n">
        <v>54.7</v>
      </c>
      <c r="C73" s="25">
        <f>Table134689[[#This Row],[PMI]]-B72</f>
        <v/>
      </c>
    </row>
    <row r="74">
      <c r="A74" s="10" t="n">
        <v>44166</v>
      </c>
      <c r="B74" s="25" t="n">
        <v>57</v>
      </c>
      <c r="C74" s="25">
        <f>Table134689[[#This Row],[PMI]]-B73</f>
        <v/>
      </c>
    </row>
    <row r="75">
      <c r="A75" s="10" t="n">
        <v>44197</v>
      </c>
      <c r="B75" s="25" t="n">
        <v>57.1</v>
      </c>
      <c r="C75" s="25">
        <f>Table134689[[#This Row],[PMI]]-B74</f>
        <v/>
      </c>
    </row>
    <row r="76">
      <c r="A76" s="10" t="n">
        <v>44228</v>
      </c>
      <c r="B76" s="25" t="n">
        <v>53.9</v>
      </c>
      <c r="C76" s="25">
        <f>Table134689[[#This Row],[PMI]]-B75</f>
        <v/>
      </c>
    </row>
    <row r="77">
      <c r="A77" s="10" t="n">
        <v>44256</v>
      </c>
      <c r="B77" s="25" t="n">
        <v>53.3</v>
      </c>
      <c r="C77" s="25">
        <f>Table134689[[#This Row],[PMI]]-B76</f>
        <v/>
      </c>
    </row>
    <row r="78">
      <c r="A78" s="10" t="n">
        <v>44287</v>
      </c>
      <c r="B78" s="25" t="n">
        <v>55.2</v>
      </c>
      <c r="C78" s="25">
        <f>Table134689[[#This Row],[PMI]]-B77</f>
        <v/>
      </c>
    </row>
    <row r="79">
      <c r="A79" s="10" t="n">
        <v>44317</v>
      </c>
      <c r="B79" s="25" t="n">
        <v>56.4</v>
      </c>
      <c r="C79" s="25">
        <f>Table134689[[#This Row],[PMI]]-B78</f>
        <v/>
      </c>
    </row>
    <row r="80">
      <c r="A80" s="10" t="n">
        <v>44348</v>
      </c>
      <c r="B80" s="25" t="n">
        <v>56.4</v>
      </c>
      <c r="C80" s="25">
        <f>Table134689[[#This Row],[PMI]]-B79</f>
        <v/>
      </c>
    </row>
    <row r="81">
      <c r="A81" s="10" t="n">
        <v>44378</v>
      </c>
      <c r="B81" s="25" t="n">
        <v>55.8</v>
      </c>
      <c r="C81" s="25">
        <f>Table134689[[#This Row],[PMI]]-B80</f>
        <v/>
      </c>
    </row>
    <row r="82">
      <c r="A82" s="10" t="n">
        <v>44409</v>
      </c>
      <c r="B82" s="25" t="n">
        <v>54.1</v>
      </c>
      <c r="C82" s="25">
        <f>Table134689[[#This Row],[PMI]]-B81</f>
        <v/>
      </c>
    </row>
    <row r="83">
      <c r="A83" s="10" t="n">
        <v>44440</v>
      </c>
      <c r="B83" s="25" t="n">
        <v>58.6</v>
      </c>
      <c r="C83" s="25">
        <f>Table134689[[#This Row],[PMI]]-B82</f>
        <v/>
      </c>
    </row>
    <row r="84">
      <c r="A84" s="10" t="n">
        <v>44470</v>
      </c>
      <c r="B84" s="25" t="n">
        <v>57.7</v>
      </c>
      <c r="C84" s="25">
        <f>Table134689[[#This Row],[PMI]]-B83</f>
        <v/>
      </c>
    </row>
    <row r="85">
      <c r="A85" s="10" t="n">
        <v>44501</v>
      </c>
      <c r="B85" s="25" t="n">
        <v>56.9</v>
      </c>
      <c r="C85" s="25">
        <f>Table134689[[#This Row],[PMI]]-B84</f>
        <v/>
      </c>
    </row>
    <row r="86">
      <c r="A86" s="10" t="n">
        <v>44531</v>
      </c>
      <c r="B86" s="25" t="n">
        <v>53.9</v>
      </c>
      <c r="C86" s="25">
        <f>Table134689[[#This Row],[PMI]]-B85</f>
        <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37"/>
  <sheetViews>
    <sheetView zoomScale="160" zoomScaleNormal="160" workbookViewId="0">
      <pane ySplit="5" topLeftCell="A198" activePane="bottomLeft" state="frozen"/>
      <selection pane="bottomLeft" activeCell="R219" sqref="R219"/>
    </sheetView>
  </sheetViews>
  <sheetFormatPr baseColWidth="10" defaultColWidth="9.1640625" defaultRowHeight="15"/>
  <cols>
    <col width="13.5" customWidth="1" style="84" min="1" max="1"/>
    <col width="11.33203125" customWidth="1" style="84" min="2" max="2"/>
    <col width="9.1640625" customWidth="1" style="84" min="3" max="13"/>
    <col width="9.1640625" customWidth="1" style="84" min="14" max="16384"/>
  </cols>
  <sheetData>
    <row r="1">
      <c r="A1" s="84" t="inlineStr">
        <is>
          <t>New Zealand</t>
        </is>
      </c>
      <c r="K1" s="84" t="inlineStr">
        <is>
          <t xml:space="preserve"> Manufacturing PMI</t>
        </is>
      </c>
    </row>
    <row r="2">
      <c r="A2" s="84" t="inlineStr">
        <is>
          <t>new-zealand</t>
        </is>
      </c>
      <c r="K2" s="84">
        <f>A1&amp;K1</f>
        <v/>
      </c>
    </row>
    <row r="4" ht="16" customHeight="1" s="76" thickBot="1"/>
    <row r="5" ht="16" customHeight="1" s="76" thickBot="1">
      <c r="A5" s="22" t="inlineStr">
        <is>
          <t>Date</t>
        </is>
      </c>
      <c r="B5" s="23" t="inlineStr">
        <is>
          <t>PMI</t>
        </is>
      </c>
      <c r="C5" s="23" t="inlineStr">
        <is>
          <t>mom</t>
        </is>
      </c>
    </row>
    <row r="6">
      <c r="A6" s="18" t="n">
        <v>37469</v>
      </c>
      <c r="B6" s="20" t="n">
        <v>56.907262129678</v>
      </c>
      <c r="C6" s="19" t="n"/>
    </row>
    <row r="7">
      <c r="A7" s="10" t="n">
        <v>37500</v>
      </c>
      <c r="B7" s="11" t="n">
        <v>58.5589449632434</v>
      </c>
      <c r="C7" s="28">
        <f>Table1346811121415161718192022253032[[#This Row],[PMI]]-B6</f>
        <v/>
      </c>
    </row>
    <row r="8">
      <c r="A8" s="10" t="n">
        <v>37530</v>
      </c>
      <c r="B8" s="11" t="n">
        <v>57.9466923988663</v>
      </c>
      <c r="C8" s="28">
        <f>Table1346811121415161718192022253032[[#This Row],[PMI]]-B7</f>
        <v/>
      </c>
    </row>
    <row r="9">
      <c r="A9" s="10" t="n">
        <v>37561</v>
      </c>
      <c r="B9" s="11" t="n">
        <v>57.0457520757297</v>
      </c>
      <c r="C9" s="28">
        <f>Table1346811121415161718192022253032[[#This Row],[PMI]]-B8</f>
        <v/>
      </c>
    </row>
    <row r="10">
      <c r="A10" s="10" t="n">
        <v>37591</v>
      </c>
      <c r="B10" s="11" t="n">
        <v>57.1628551423891</v>
      </c>
      <c r="C10" s="28">
        <f>Table1346811121415161718192022253032[[#This Row],[PMI]]-B9</f>
        <v/>
      </c>
    </row>
    <row r="11">
      <c r="A11" s="10" t="n">
        <v>37622</v>
      </c>
      <c r="B11" s="11" t="n">
        <v>56.0373126472842</v>
      </c>
      <c r="C11" s="28">
        <f>Table1346811121415161718192022253032[[#This Row],[PMI]]-B10</f>
        <v/>
      </c>
    </row>
    <row r="12">
      <c r="A12" s="10" t="n">
        <v>37653</v>
      </c>
      <c r="B12" s="11" t="n">
        <v>54.4537214107044</v>
      </c>
      <c r="C12" s="28">
        <f>Table1346811121415161718192022253032[[#This Row],[PMI]]-B11</f>
        <v/>
      </c>
    </row>
    <row r="13">
      <c r="A13" s="10" t="n">
        <v>37681</v>
      </c>
      <c r="B13" s="11" t="n">
        <v>52.8036302096001</v>
      </c>
      <c r="C13" s="28">
        <f>Table1346811121415161718192022253032[[#This Row],[PMI]]-B12</f>
        <v/>
      </c>
    </row>
    <row r="14">
      <c r="A14" s="10" t="n">
        <v>37712</v>
      </c>
      <c r="B14" s="11" t="n">
        <v>53.3207423548318</v>
      </c>
      <c r="C14" s="28">
        <f>Table1346811121415161718192022253032[[#This Row],[PMI]]-B13</f>
        <v/>
      </c>
    </row>
    <row r="15">
      <c r="A15" s="10" t="n">
        <v>37742</v>
      </c>
      <c r="B15" s="11" t="n">
        <v>51.8564124097293</v>
      </c>
      <c r="C15" s="28">
        <f>Table1346811121415161718192022253032[[#This Row],[PMI]]-B14</f>
        <v/>
      </c>
    </row>
    <row r="16">
      <c r="A16" s="10" t="n">
        <v>37773</v>
      </c>
      <c r="B16" s="11" t="n">
        <v>53.4376487626112</v>
      </c>
      <c r="C16" s="28">
        <f>Table1346811121415161718192022253032[[#This Row],[PMI]]-B15</f>
        <v/>
      </c>
    </row>
    <row r="17">
      <c r="A17" s="10" t="n">
        <v>37803</v>
      </c>
      <c r="B17" s="11" t="n">
        <v>53.0699070792162</v>
      </c>
      <c r="C17" s="28">
        <f>Table1346811121415161718192022253032[[#This Row],[PMI]]-B16</f>
        <v/>
      </c>
    </row>
    <row r="18">
      <c r="A18" s="10" t="n">
        <v>37834</v>
      </c>
      <c r="B18" s="11" t="n">
        <v>50.5682358998851</v>
      </c>
      <c r="C18" s="28">
        <f>Table1346811121415161718192022253032[[#This Row],[PMI]]-B17</f>
        <v/>
      </c>
    </row>
    <row r="19">
      <c r="A19" s="10" t="n">
        <v>37865</v>
      </c>
      <c r="B19" s="11" t="n">
        <v>57.8430291760094</v>
      </c>
      <c r="C19" s="28">
        <f>Table1346811121415161718192022253032[[#This Row],[PMI]]-B18</f>
        <v/>
      </c>
    </row>
    <row r="20">
      <c r="A20" s="10" t="n">
        <v>37895</v>
      </c>
      <c r="B20" s="11" t="n">
        <v>60.8664062994677</v>
      </c>
      <c r="C20" s="28">
        <f>Table1346811121415161718192022253032[[#This Row],[PMI]]-B19</f>
        <v/>
      </c>
    </row>
    <row r="21">
      <c r="A21" s="10" t="n">
        <v>37926</v>
      </c>
      <c r="B21" s="11" t="n">
        <v>56.3868823573509</v>
      </c>
      <c r="C21" s="28">
        <f>Table1346811121415161718192022253032[[#This Row],[PMI]]-B20</f>
        <v/>
      </c>
    </row>
    <row r="22">
      <c r="A22" s="10" t="n">
        <v>37956</v>
      </c>
      <c r="B22" s="11" t="n">
        <v>54.8457516440857</v>
      </c>
      <c r="C22" s="28">
        <f>Table1346811121415161718192022253032[[#This Row],[PMI]]-B21</f>
        <v/>
      </c>
    </row>
    <row r="23">
      <c r="A23" s="10" t="n">
        <v>37987</v>
      </c>
      <c r="B23" s="11" t="n">
        <v>55.7939197179694</v>
      </c>
      <c r="C23" s="28">
        <f>Table1346811121415161718192022253032[[#This Row],[PMI]]-B22</f>
        <v/>
      </c>
    </row>
    <row r="24">
      <c r="A24" s="10" t="n">
        <v>38018</v>
      </c>
      <c r="B24" s="11" t="n">
        <v>56.8004721684877</v>
      </c>
      <c r="C24" s="28">
        <f>Table1346811121415161718192022253032[[#This Row],[PMI]]-B23</f>
        <v/>
      </c>
    </row>
    <row r="25">
      <c r="A25" s="10" t="n">
        <v>38047</v>
      </c>
      <c r="B25" s="11" t="n">
        <v>59.0129037737941</v>
      </c>
      <c r="C25" s="28">
        <f>Table1346811121415161718192022253032[[#This Row],[PMI]]-B24</f>
        <v/>
      </c>
    </row>
    <row r="26">
      <c r="A26" s="10" t="n">
        <v>38078</v>
      </c>
      <c r="B26" s="11" t="n">
        <v>58.7416869677263</v>
      </c>
      <c r="C26" s="28">
        <f>Table1346811121415161718192022253032[[#This Row],[PMI]]-B25</f>
        <v/>
      </c>
    </row>
    <row r="27">
      <c r="A27" s="10" t="n">
        <v>38108</v>
      </c>
      <c r="B27" s="11" t="n">
        <v>56.1940744843941</v>
      </c>
      <c r="C27" s="28">
        <f>Table1346811121415161718192022253032[[#This Row],[PMI]]-B26</f>
        <v/>
      </c>
    </row>
    <row r="28">
      <c r="A28" s="10" t="n">
        <v>38139</v>
      </c>
      <c r="B28" s="11" t="n">
        <v>62.7727740280589</v>
      </c>
      <c r="C28" s="28">
        <f>Table1346811121415161718192022253032[[#This Row],[PMI]]-B27</f>
        <v/>
      </c>
    </row>
    <row r="29">
      <c r="A29" s="10" t="n">
        <v>38169</v>
      </c>
      <c r="B29" s="11" t="n">
        <v>58.7710208740845</v>
      </c>
      <c r="C29" s="28">
        <f>Table1346811121415161718192022253032[[#This Row],[PMI]]-B28</f>
        <v/>
      </c>
    </row>
    <row r="30">
      <c r="A30" s="10" t="n">
        <v>38200</v>
      </c>
      <c r="B30" s="11" t="n">
        <v>57.4270852912371</v>
      </c>
      <c r="C30" s="28">
        <f>Table1346811121415161718192022253032[[#This Row],[PMI]]-B29</f>
        <v/>
      </c>
    </row>
    <row r="31">
      <c r="A31" s="10" t="n">
        <v>38231</v>
      </c>
      <c r="B31" s="11" t="n">
        <v>55.0493220788692</v>
      </c>
      <c r="C31" s="28">
        <f>Table1346811121415161718192022253032[[#This Row],[PMI]]-B30</f>
        <v/>
      </c>
    </row>
    <row r="32">
      <c r="A32" s="10" t="n">
        <v>38261</v>
      </c>
      <c r="B32" s="11" t="n">
        <v>52.9171551177009</v>
      </c>
      <c r="C32" s="28">
        <f>Table1346811121415161718192022253032[[#This Row],[PMI]]-B31</f>
        <v/>
      </c>
    </row>
    <row r="33">
      <c r="A33" s="10" t="n">
        <v>38292</v>
      </c>
      <c r="B33" s="11" t="n">
        <v>57.8669354166724</v>
      </c>
      <c r="C33" s="28">
        <f>Table1346811121415161718192022253032[[#This Row],[PMI]]-B32</f>
        <v/>
      </c>
    </row>
    <row r="34">
      <c r="A34" s="10" t="n">
        <v>38322</v>
      </c>
      <c r="B34" s="11" t="n">
        <v>58.9814226071519</v>
      </c>
      <c r="C34" s="28">
        <f>Table1346811121415161718192022253032[[#This Row],[PMI]]-B33</f>
        <v/>
      </c>
    </row>
    <row r="35">
      <c r="A35" s="10" t="n">
        <v>38353</v>
      </c>
      <c r="B35" s="11" t="n">
        <v>57.034440617634</v>
      </c>
      <c r="C35" s="28">
        <f>Table1346811121415161718192022253032[[#This Row],[PMI]]-B34</f>
        <v/>
      </c>
    </row>
    <row r="36">
      <c r="A36" s="10" t="n">
        <v>38384</v>
      </c>
      <c r="B36" s="11" t="n">
        <v>56.2559835845108</v>
      </c>
      <c r="C36" s="28">
        <f>Table1346811121415161718192022253032[[#This Row],[PMI]]-B35</f>
        <v/>
      </c>
    </row>
    <row r="37">
      <c r="A37" s="10" t="n">
        <v>38412</v>
      </c>
      <c r="B37" s="11" t="n">
        <v>51.639603525794</v>
      </c>
      <c r="C37" s="28">
        <f>Table1346811121415161718192022253032[[#This Row],[PMI]]-B36</f>
        <v/>
      </c>
    </row>
    <row r="38">
      <c r="A38" s="10" t="n">
        <v>38443</v>
      </c>
      <c r="B38" s="11" t="n">
        <v>51.5818588801095</v>
      </c>
      <c r="C38" s="28">
        <f>Table1346811121415161718192022253032[[#This Row],[PMI]]-B37</f>
        <v/>
      </c>
    </row>
    <row r="39">
      <c r="A39" s="10" t="n">
        <v>38473</v>
      </c>
      <c r="B39" s="11" t="n">
        <v>51.2975424148141</v>
      </c>
      <c r="C39" s="28">
        <f>Table1346811121415161718192022253032[[#This Row],[PMI]]-B38</f>
        <v/>
      </c>
    </row>
    <row r="40">
      <c r="A40" s="10" t="n">
        <v>38504</v>
      </c>
      <c r="B40" s="11" t="n">
        <v>52.9270116328412</v>
      </c>
      <c r="C40" s="28">
        <f>Table1346811121415161718192022253032[[#This Row],[PMI]]-B39</f>
        <v/>
      </c>
    </row>
    <row r="41">
      <c r="A41" s="10" t="n">
        <v>38534</v>
      </c>
      <c r="B41" s="11" t="n">
        <v>49.2378624062758</v>
      </c>
      <c r="C41" s="28">
        <f>Table1346811121415161718192022253032[[#This Row],[PMI]]-B40</f>
        <v/>
      </c>
    </row>
    <row r="42">
      <c r="A42" s="10" t="n">
        <v>38565</v>
      </c>
      <c r="B42" s="11" t="n">
        <v>51.8116698565872</v>
      </c>
      <c r="C42" s="28">
        <f>Table1346811121415161718192022253032[[#This Row],[PMI]]-B41</f>
        <v/>
      </c>
    </row>
    <row r="43">
      <c r="A43" s="10" t="n">
        <v>38596</v>
      </c>
      <c r="B43" s="11" t="n">
        <v>50.5719307328397</v>
      </c>
      <c r="C43" s="28">
        <f>Table1346811121415161718192022253032[[#This Row],[PMI]]-B42</f>
        <v/>
      </c>
    </row>
    <row r="44">
      <c r="A44" s="10" t="n">
        <v>38626</v>
      </c>
      <c r="B44" s="11" t="n">
        <v>45.8954807328845</v>
      </c>
      <c r="C44" s="28">
        <f>Table1346811121415161718192022253032[[#This Row],[PMI]]-B43</f>
        <v/>
      </c>
    </row>
    <row r="45">
      <c r="A45" s="10" t="n">
        <v>38657</v>
      </c>
      <c r="B45" s="11" t="n">
        <v>44.2705995249608</v>
      </c>
      <c r="C45" s="28">
        <f>Table1346811121415161718192022253032[[#This Row],[PMI]]-B44</f>
        <v/>
      </c>
    </row>
    <row r="46">
      <c r="A46" s="10" t="n">
        <v>38687</v>
      </c>
      <c r="B46" s="11" t="n">
        <v>48.4790254674981</v>
      </c>
      <c r="C46" s="28">
        <f>Table1346811121415161718192022253032[[#This Row],[PMI]]-B45</f>
        <v/>
      </c>
    </row>
    <row r="47">
      <c r="A47" s="10" t="n">
        <v>38718</v>
      </c>
      <c r="B47" s="11" t="n">
        <v>48.5853450687797</v>
      </c>
      <c r="C47" s="28">
        <f>Table1346811121415161718192022253032[[#This Row],[PMI]]-B46</f>
        <v/>
      </c>
    </row>
    <row r="48">
      <c r="A48" s="10" t="n">
        <v>38749</v>
      </c>
      <c r="B48" s="11" t="n">
        <v>52.1905524192794</v>
      </c>
      <c r="C48" s="28">
        <f>Table1346811121415161718192022253032[[#This Row],[PMI]]-B47</f>
        <v/>
      </c>
    </row>
    <row r="49">
      <c r="A49" s="10" t="n">
        <v>38777</v>
      </c>
      <c r="B49" s="11" t="n">
        <v>53.5430588149714</v>
      </c>
      <c r="C49" s="28">
        <f>Table1346811121415161718192022253032[[#This Row],[PMI]]-B48</f>
        <v/>
      </c>
    </row>
    <row r="50">
      <c r="A50" s="10" t="n">
        <v>38808</v>
      </c>
      <c r="B50" s="11" t="n">
        <v>52.0142512588664</v>
      </c>
      <c r="C50" s="28">
        <f>Table1346811121415161718192022253032[[#This Row],[PMI]]-B49</f>
        <v/>
      </c>
    </row>
    <row r="51">
      <c r="A51" s="10" t="n">
        <v>38838</v>
      </c>
      <c r="B51" s="11" t="n">
        <v>57.2024324538472</v>
      </c>
      <c r="C51" s="28">
        <f>Table1346811121415161718192022253032[[#This Row],[PMI]]-B50</f>
        <v/>
      </c>
    </row>
    <row r="52">
      <c r="A52" s="10" t="n">
        <v>38869</v>
      </c>
      <c r="B52" s="11" t="n">
        <v>53.8447374020008</v>
      </c>
      <c r="C52" s="28">
        <f>Table1346811121415161718192022253032[[#This Row],[PMI]]-B51</f>
        <v/>
      </c>
    </row>
    <row r="53">
      <c r="A53" s="10" t="n">
        <v>38899</v>
      </c>
      <c r="B53" s="11" t="n">
        <v>53.378118046287</v>
      </c>
      <c r="C53" s="28">
        <f>Table1346811121415161718192022253032[[#This Row],[PMI]]-B52</f>
        <v/>
      </c>
    </row>
    <row r="54">
      <c r="A54" s="10" t="n">
        <v>38930</v>
      </c>
      <c r="B54" s="11" t="n">
        <v>52.4970992830634</v>
      </c>
      <c r="C54" s="28">
        <f>Table1346811121415161718192022253032[[#This Row],[PMI]]-B53</f>
        <v/>
      </c>
    </row>
    <row r="55">
      <c r="A55" s="10" t="n">
        <v>38961</v>
      </c>
      <c r="B55" s="11" t="n">
        <v>51.2626591513288</v>
      </c>
      <c r="C55" s="28">
        <f>Table1346811121415161718192022253032[[#This Row],[PMI]]-B54</f>
        <v/>
      </c>
    </row>
    <row r="56">
      <c r="A56" s="10" t="n">
        <v>38991</v>
      </c>
      <c r="B56" s="11" t="n">
        <v>56.5320799903232</v>
      </c>
      <c r="C56" s="28">
        <f>Table1346811121415161718192022253032[[#This Row],[PMI]]-B55</f>
        <v/>
      </c>
    </row>
    <row r="57">
      <c r="A57" s="10" t="n">
        <v>39022</v>
      </c>
      <c r="B57" s="11" t="n">
        <v>54.8195852581759</v>
      </c>
      <c r="C57" s="28">
        <f>Table1346811121415161718192022253032[[#This Row],[PMI]]-B56</f>
        <v/>
      </c>
    </row>
    <row r="58">
      <c r="A58" s="10" t="n">
        <v>39052</v>
      </c>
      <c r="B58" s="11" t="n">
        <v>54.2386669238499</v>
      </c>
      <c r="C58" s="28">
        <f>Table1346811121415161718192022253032[[#This Row],[PMI]]-B57</f>
        <v/>
      </c>
    </row>
    <row r="59">
      <c r="A59" s="10" t="n">
        <v>39083</v>
      </c>
      <c r="B59" s="11" t="n">
        <v>56.0360313510977</v>
      </c>
      <c r="C59" s="28">
        <f>Table1346811121415161718192022253032[[#This Row],[PMI]]-B58</f>
        <v/>
      </c>
    </row>
    <row r="60">
      <c r="A60" s="10" t="n">
        <v>39114</v>
      </c>
      <c r="B60" s="11" t="n">
        <v>54.7427757055842</v>
      </c>
      <c r="C60" s="28">
        <f>Table1346811121415161718192022253032[[#This Row],[PMI]]-B59</f>
        <v/>
      </c>
    </row>
    <row r="61">
      <c r="A61" s="10" t="n">
        <v>39142</v>
      </c>
      <c r="B61" s="11" t="n">
        <v>57.5702506990957</v>
      </c>
      <c r="C61" s="28">
        <f>Table1346811121415161718192022253032[[#This Row],[PMI]]-B60</f>
        <v/>
      </c>
    </row>
    <row r="62">
      <c r="A62" s="10" t="n">
        <v>39173</v>
      </c>
      <c r="B62" s="11" t="n">
        <v>53.2606163112084</v>
      </c>
      <c r="C62" s="28">
        <f>Table1346811121415161718192022253032[[#This Row],[PMI]]-B61</f>
        <v/>
      </c>
    </row>
    <row r="63">
      <c r="A63" s="10" t="n">
        <v>39203</v>
      </c>
      <c r="B63" s="11" t="n">
        <v>55.407160874264</v>
      </c>
      <c r="C63" s="28">
        <f>Table1346811121415161718192022253032[[#This Row],[PMI]]-B62</f>
        <v/>
      </c>
    </row>
    <row r="64">
      <c r="A64" s="10" t="n">
        <v>39234</v>
      </c>
      <c r="B64" s="11" t="n">
        <v>51.416409801705</v>
      </c>
      <c r="C64" s="28">
        <f>Table1346811121415161718192022253032[[#This Row],[PMI]]-B63</f>
        <v/>
      </c>
    </row>
    <row r="65">
      <c r="A65" s="10" t="n">
        <v>39264</v>
      </c>
      <c r="B65" s="11" t="n">
        <v>54.021529677242</v>
      </c>
      <c r="C65" s="28">
        <f>Table1346811121415161718192022253032[[#This Row],[PMI]]-B64</f>
        <v/>
      </c>
    </row>
    <row r="66">
      <c r="A66" s="10" t="n">
        <v>39295</v>
      </c>
      <c r="B66" s="11" t="n">
        <v>56.5988110506082</v>
      </c>
      <c r="C66" s="28">
        <f>Table1346811121415161718192022253032[[#This Row],[PMI]]-B65</f>
        <v/>
      </c>
    </row>
    <row r="67">
      <c r="A67" s="10" t="n">
        <v>39326</v>
      </c>
      <c r="B67" s="11" t="n">
        <v>54.2282350566784</v>
      </c>
      <c r="C67" s="28">
        <f>Table1346811121415161718192022253032[[#This Row],[PMI]]-B66</f>
        <v/>
      </c>
    </row>
    <row r="68">
      <c r="A68" s="10" t="n">
        <v>39356</v>
      </c>
      <c r="B68" s="11" t="n">
        <v>57.4337841735763</v>
      </c>
      <c r="C68" s="28">
        <f>Table1346811121415161718192022253032[[#This Row],[PMI]]-B67</f>
        <v/>
      </c>
    </row>
    <row r="69">
      <c r="A69" s="10" t="n">
        <v>39387</v>
      </c>
      <c r="B69" s="11" t="n">
        <v>57.1557244653067</v>
      </c>
      <c r="C69" s="28">
        <f>Table1346811121415161718192022253032[[#This Row],[PMI]]-B68</f>
        <v/>
      </c>
    </row>
    <row r="70">
      <c r="A70" s="10" t="n">
        <v>39417</v>
      </c>
      <c r="B70" s="11" t="n">
        <v>53.1534995907173</v>
      </c>
      <c r="C70" s="28">
        <f>Table1346811121415161718192022253032[[#This Row],[PMI]]-B69</f>
        <v/>
      </c>
    </row>
    <row r="71">
      <c r="A71" s="10" t="n">
        <v>39448</v>
      </c>
      <c r="B71" s="11" t="n">
        <v>53.0808173064804</v>
      </c>
      <c r="C71" s="28">
        <f>Table1346811121415161718192022253032[[#This Row],[PMI]]-B70</f>
        <v/>
      </c>
    </row>
    <row r="72">
      <c r="A72" s="10" t="n">
        <v>39479</v>
      </c>
      <c r="B72" s="11" t="n">
        <v>52.5683619019129</v>
      </c>
      <c r="C72" s="28">
        <f>Table1346811121415161718192022253032[[#This Row],[PMI]]-B71</f>
        <v/>
      </c>
    </row>
    <row r="73">
      <c r="A73" s="10" t="n">
        <v>39508</v>
      </c>
      <c r="B73" s="11" t="n">
        <v>48.1140014100388</v>
      </c>
      <c r="C73" s="28">
        <f>Table1346811121415161718192022253032[[#This Row],[PMI]]-B72</f>
        <v/>
      </c>
    </row>
    <row r="74">
      <c r="A74" s="10" t="n">
        <v>39539</v>
      </c>
      <c r="B74" s="11" t="n">
        <v>50.3796200413739</v>
      </c>
      <c r="C74" s="28">
        <f>Table1346811121415161718192022253032[[#This Row],[PMI]]-B73</f>
        <v/>
      </c>
    </row>
    <row r="75">
      <c r="A75" s="10" t="n">
        <v>39569</v>
      </c>
      <c r="B75" s="11" t="n">
        <v>48.2548671052373</v>
      </c>
      <c r="C75" s="28">
        <f>Table1346811121415161718192022253032[[#This Row],[PMI]]-B74</f>
        <v/>
      </c>
    </row>
    <row r="76">
      <c r="A76" s="10" t="n">
        <v>39600</v>
      </c>
      <c r="B76" s="11" t="n">
        <v>44.324455950641</v>
      </c>
      <c r="C76" s="28">
        <f>Table1346811121415161718192022253032[[#This Row],[PMI]]-B75</f>
        <v/>
      </c>
    </row>
    <row r="77">
      <c r="A77" s="10" t="n">
        <v>39630</v>
      </c>
      <c r="B77" s="11" t="n">
        <v>48.1735627816922</v>
      </c>
      <c r="C77" s="28">
        <f>Table1346811121415161718192022253032[[#This Row],[PMI]]-B76</f>
        <v/>
      </c>
    </row>
    <row r="78">
      <c r="A78" s="10" t="n">
        <v>39661</v>
      </c>
      <c r="B78" s="11" t="n">
        <v>46.0942129342399</v>
      </c>
      <c r="C78" s="28">
        <f>Table1346811121415161718192022253032[[#This Row],[PMI]]-B77</f>
        <v/>
      </c>
    </row>
    <row r="79">
      <c r="A79" s="10" t="n">
        <v>39692</v>
      </c>
      <c r="B79" s="11" t="n">
        <v>46.8163025345749</v>
      </c>
      <c r="C79" s="28">
        <f>Table1346811121415161718192022253032[[#This Row],[PMI]]-B78</f>
        <v/>
      </c>
    </row>
    <row r="80">
      <c r="A80" s="10" t="n">
        <v>39722</v>
      </c>
      <c r="B80" s="11" t="n">
        <v>44.0456686433936</v>
      </c>
      <c r="C80" s="28">
        <f>Table1346811121415161718192022253032[[#This Row],[PMI]]-B79</f>
        <v/>
      </c>
    </row>
    <row r="81">
      <c r="A81" s="10" t="n">
        <v>39753</v>
      </c>
      <c r="B81" s="11" t="n">
        <v>36.0837961755269</v>
      </c>
      <c r="C81" s="28">
        <f>Table1346811121415161718192022253032[[#This Row],[PMI]]-B80</f>
        <v/>
      </c>
    </row>
    <row r="82">
      <c r="A82" s="10" t="n">
        <v>39783</v>
      </c>
      <c r="B82" s="11" t="n">
        <v>42.4353982409497</v>
      </c>
      <c r="C82" s="28">
        <f>Table1346811121415161718192022253032[[#This Row],[PMI]]-B81</f>
        <v/>
      </c>
    </row>
    <row r="83">
      <c r="A83" s="10" t="n">
        <v>39814</v>
      </c>
      <c r="B83" s="11" t="n">
        <v>42.236706316595</v>
      </c>
      <c r="C83" s="28">
        <f>Table1346811121415161718192022253032[[#This Row],[PMI]]-B82</f>
        <v/>
      </c>
    </row>
    <row r="84">
      <c r="A84" s="10" t="n">
        <v>39845</v>
      </c>
      <c r="B84" s="11" t="n">
        <v>38.9363837498537</v>
      </c>
      <c r="C84" s="28">
        <f>Table1346811121415161718192022253032[[#This Row],[PMI]]-B83</f>
        <v/>
      </c>
    </row>
    <row r="85">
      <c r="A85" s="10" t="n">
        <v>39873</v>
      </c>
      <c r="B85" s="11" t="n">
        <v>41.5630783373374</v>
      </c>
      <c r="C85" s="28">
        <f>Table1346811121415161718192022253032[[#This Row],[PMI]]-B84</f>
        <v/>
      </c>
    </row>
    <row r="86">
      <c r="A86" s="10" t="n">
        <v>39904</v>
      </c>
      <c r="B86" s="11" t="n">
        <v>43.3482954319385</v>
      </c>
      <c r="C86" s="28">
        <f>Table1346811121415161718192022253032[[#This Row],[PMI]]-B85</f>
        <v/>
      </c>
    </row>
    <row r="87">
      <c r="A87" s="10" t="n">
        <v>39934</v>
      </c>
      <c r="B87" s="11" t="n">
        <v>41.8747224523421</v>
      </c>
      <c r="C87" s="28">
        <f>Table1346811121415161718192022253032[[#This Row],[PMI]]-B86</f>
        <v/>
      </c>
    </row>
    <row r="88">
      <c r="A88" s="10" t="n">
        <v>39965</v>
      </c>
      <c r="B88" s="11" t="n">
        <v>45.5610293561352</v>
      </c>
      <c r="C88" s="28">
        <f>Table1346811121415161718192022253032[[#This Row],[PMI]]-B87</f>
        <v/>
      </c>
    </row>
    <row r="89">
      <c r="A89" s="10" t="n">
        <v>39995</v>
      </c>
      <c r="B89" s="11" t="n">
        <v>49.7341834054072</v>
      </c>
      <c r="C89" s="28">
        <f>Table1346811121415161718192022253032[[#This Row],[PMI]]-B88</f>
        <v/>
      </c>
    </row>
    <row r="90">
      <c r="A90" s="10" t="n">
        <v>40026</v>
      </c>
      <c r="B90" s="11" t="n">
        <v>49.6423502738644</v>
      </c>
      <c r="C90" s="28">
        <f>Table1346811121415161718192022253032[[#This Row],[PMI]]-B89</f>
        <v/>
      </c>
    </row>
    <row r="91">
      <c r="A91" s="10" t="n">
        <v>40057</v>
      </c>
      <c r="B91" s="11" t="n">
        <v>52.6800292705146</v>
      </c>
      <c r="C91" s="28">
        <f>Table1346811121415161718192022253032[[#This Row],[PMI]]-B90</f>
        <v/>
      </c>
    </row>
    <row r="92">
      <c r="A92" s="10" t="n">
        <v>40087</v>
      </c>
      <c r="B92" s="11" t="n">
        <v>51.7262292777555</v>
      </c>
      <c r="C92" s="28">
        <f>Table1346811121415161718192022253032[[#This Row],[PMI]]-B91</f>
        <v/>
      </c>
    </row>
    <row r="93">
      <c r="A93" s="10" t="n">
        <v>40118</v>
      </c>
      <c r="B93" s="11" t="n">
        <v>53.3261982858724</v>
      </c>
      <c r="C93" s="28">
        <f>Table1346811121415161718192022253032[[#This Row],[PMI]]-B92</f>
        <v/>
      </c>
    </row>
    <row r="94">
      <c r="A94" s="10" t="n">
        <v>40148</v>
      </c>
      <c r="B94" s="11" t="n">
        <v>53.1454156225943</v>
      </c>
      <c r="C94" s="28">
        <f>Table1346811121415161718192022253032[[#This Row],[PMI]]-B93</f>
        <v/>
      </c>
    </row>
    <row r="95">
      <c r="A95" s="10" t="n">
        <v>40179</v>
      </c>
      <c r="B95" s="11" t="n">
        <v>51.8236410678467</v>
      </c>
      <c r="C95" s="28">
        <f>Table1346811121415161718192022253032[[#This Row],[PMI]]-B94</f>
        <v/>
      </c>
    </row>
    <row r="96">
      <c r="A96" s="10" t="n">
        <v>40210</v>
      </c>
      <c r="B96" s="11" t="n">
        <v>52.5334134474359</v>
      </c>
      <c r="C96" s="28">
        <f>Table1346811121415161718192022253032[[#This Row],[PMI]]-B95</f>
        <v/>
      </c>
    </row>
    <row r="97">
      <c r="A97" s="10" t="n">
        <v>40238</v>
      </c>
      <c r="B97" s="11" t="n">
        <v>55.832523203119</v>
      </c>
      <c r="C97" s="28">
        <f>Table1346811121415161718192022253032[[#This Row],[PMI]]-B96</f>
        <v/>
      </c>
    </row>
    <row r="98">
      <c r="A98" s="10" t="n">
        <v>40269</v>
      </c>
      <c r="B98" s="11" t="n">
        <v>58.4019949666218</v>
      </c>
      <c r="C98" s="28">
        <f>Table1346811121415161718192022253032[[#This Row],[PMI]]-B97</f>
        <v/>
      </c>
    </row>
    <row r="99">
      <c r="A99" s="10" t="n">
        <v>40299</v>
      </c>
      <c r="B99" s="11" t="n">
        <v>51.8006228698843</v>
      </c>
      <c r="C99" s="28">
        <f>Table1346811121415161718192022253032[[#This Row],[PMI]]-B98</f>
        <v/>
      </c>
    </row>
    <row r="100">
      <c r="A100" s="10" t="n">
        <v>40330</v>
      </c>
      <c r="B100" s="11" t="n">
        <v>54.8859164581427</v>
      </c>
      <c r="C100" s="28">
        <f>Table1346811121415161718192022253032[[#This Row],[PMI]]-B99</f>
        <v/>
      </c>
    </row>
    <row r="101">
      <c r="A101" s="10" t="n">
        <v>40360</v>
      </c>
      <c r="B101" s="11" t="n">
        <v>50.2569438138579</v>
      </c>
      <c r="C101" s="28">
        <f>Table1346811121415161718192022253032[[#This Row],[PMI]]-B100</f>
        <v/>
      </c>
    </row>
    <row r="102">
      <c r="A102" s="10" t="n">
        <v>40391</v>
      </c>
      <c r="B102" s="11" t="n">
        <v>50.2889133409545</v>
      </c>
      <c r="C102" s="28">
        <f>Table1346811121415161718192022253032[[#This Row],[PMI]]-B101</f>
        <v/>
      </c>
    </row>
    <row r="103">
      <c r="A103" s="10" t="n">
        <v>40422</v>
      </c>
      <c r="B103" s="11" t="n">
        <v>50.9892799734238</v>
      </c>
      <c r="C103" s="28">
        <f>Table1346811121415161718192022253032[[#This Row],[PMI]]-B102</f>
        <v/>
      </c>
    </row>
    <row r="104">
      <c r="A104" s="10" t="n">
        <v>40452</v>
      </c>
      <c r="B104" s="11" t="n">
        <v>51.4252261099097</v>
      </c>
      <c r="C104" s="28">
        <f>Table1346811121415161718192022253032[[#This Row],[PMI]]-B103</f>
        <v/>
      </c>
    </row>
    <row r="105">
      <c r="A105" s="10" t="n">
        <v>40483</v>
      </c>
      <c r="B105" s="11" t="n">
        <v>54.9544836853158</v>
      </c>
      <c r="C105" s="28">
        <f>Table1346811121415161718192022253032[[#This Row],[PMI]]-B104</f>
        <v/>
      </c>
    </row>
    <row r="106">
      <c r="A106" s="10" t="n">
        <v>40513</v>
      </c>
      <c r="B106" s="11" t="n">
        <v>53.2138368223341</v>
      </c>
      <c r="C106" s="28">
        <f>Table1346811121415161718192022253032[[#This Row],[PMI]]-B105</f>
        <v/>
      </c>
    </row>
    <row r="107">
      <c r="A107" s="10" t="n">
        <v>40544</v>
      </c>
      <c r="B107" s="11" t="n">
        <v>52.9414187104486</v>
      </c>
      <c r="C107" s="28">
        <f>Table1346811121415161718192022253032[[#This Row],[PMI]]-B106</f>
        <v/>
      </c>
    </row>
    <row r="108">
      <c r="A108" s="10" t="n">
        <v>40575</v>
      </c>
      <c r="B108" s="11" t="n">
        <v>51.2961480601499</v>
      </c>
      <c r="C108" s="28">
        <f>Table1346811121415161718192022253032[[#This Row],[PMI]]-B107</f>
        <v/>
      </c>
    </row>
    <row r="109">
      <c r="A109" s="10" t="n">
        <v>40603</v>
      </c>
      <c r="B109" s="11" t="n">
        <v>49.030116711296</v>
      </c>
      <c r="C109" s="28">
        <f>Table1346811121415161718192022253032[[#This Row],[PMI]]-B108</f>
        <v/>
      </c>
    </row>
    <row r="110">
      <c r="A110" s="10" t="n">
        <v>40634</v>
      </c>
      <c r="B110" s="11" t="n">
        <v>53.0485447056205</v>
      </c>
      <c r="C110" s="28">
        <f>Table1346811121415161718192022253032[[#This Row],[PMI]]-B109</f>
        <v/>
      </c>
    </row>
    <row r="111">
      <c r="A111" s="10" t="n">
        <v>40664</v>
      </c>
      <c r="B111" s="11" t="n">
        <v>52.8901271533159</v>
      </c>
      <c r="C111" s="28">
        <f>Table1346811121415161718192022253032[[#This Row],[PMI]]-B110</f>
        <v/>
      </c>
    </row>
    <row r="112">
      <c r="A112" s="10" t="n">
        <v>40695</v>
      </c>
      <c r="B112" s="11" t="n">
        <v>54.2766863057518</v>
      </c>
      <c r="C112" s="28">
        <f>Table1346811121415161718192022253032[[#This Row],[PMI]]-B111</f>
        <v/>
      </c>
    </row>
    <row r="113">
      <c r="A113" s="10" t="n">
        <v>40725</v>
      </c>
      <c r="B113" s="11" t="n">
        <v>52.9147851310544</v>
      </c>
      <c r="C113" s="28">
        <f>Table1346811121415161718192022253032[[#This Row],[PMI]]-B112</f>
        <v/>
      </c>
    </row>
    <row r="114">
      <c r="A114" s="10" t="n">
        <v>40756</v>
      </c>
      <c r="B114" s="11" t="n">
        <v>53.2760228348821</v>
      </c>
      <c r="C114" s="28">
        <f>Table1346811121415161718192022253032[[#This Row],[PMI]]-B113</f>
        <v/>
      </c>
    </row>
    <row r="115">
      <c r="A115" s="10" t="n">
        <v>40787</v>
      </c>
      <c r="B115" s="11" t="n">
        <v>51.1649272067922</v>
      </c>
      <c r="C115" s="28">
        <f>Table1346811121415161718192022253032[[#This Row],[PMI]]-B114</f>
        <v/>
      </c>
    </row>
    <row r="116">
      <c r="A116" s="10" t="n">
        <v>40817</v>
      </c>
      <c r="B116" s="11" t="n">
        <v>47.0556250366551</v>
      </c>
      <c r="C116" s="28">
        <f>Table1346811121415161718192022253032[[#This Row],[PMI]]-B115</f>
        <v/>
      </c>
    </row>
    <row r="117">
      <c r="A117" s="10" t="n">
        <v>40848</v>
      </c>
      <c r="B117" s="11" t="n">
        <v>47.8189290340678</v>
      </c>
      <c r="C117" s="28">
        <f>Table1346811121415161718192022253032[[#This Row],[PMI]]-B116</f>
        <v/>
      </c>
    </row>
    <row r="118">
      <c r="A118" s="10" t="n">
        <v>40878</v>
      </c>
      <c r="B118" s="11" t="n">
        <v>52.0794686386442</v>
      </c>
      <c r="C118" s="28">
        <f>Table1346811121415161718192022253032[[#This Row],[PMI]]-B117</f>
        <v/>
      </c>
    </row>
    <row r="119">
      <c r="A119" s="10" t="n">
        <v>40909</v>
      </c>
      <c r="B119" s="11" t="n">
        <v>50.6209489737154</v>
      </c>
      <c r="C119" s="28">
        <f>Table1346811121415161718192022253032[[#This Row],[PMI]]-B118</f>
        <v/>
      </c>
    </row>
    <row r="120">
      <c r="A120" s="10" t="n">
        <v>40940</v>
      </c>
      <c r="B120" s="11" t="n">
        <v>55.9368080680046</v>
      </c>
      <c r="C120" s="28">
        <f>Table1346811121415161718192022253032[[#This Row],[PMI]]-B119</f>
        <v/>
      </c>
    </row>
    <row r="121">
      <c r="A121" s="10" t="n">
        <v>40969</v>
      </c>
      <c r="B121" s="11" t="n">
        <v>53.627871720274</v>
      </c>
      <c r="C121" s="28">
        <f>Table1346811121415161718192022253032[[#This Row],[PMI]]-B120</f>
        <v/>
      </c>
    </row>
    <row r="122">
      <c r="A122" s="10" t="n">
        <v>41000</v>
      </c>
      <c r="B122" s="11" t="n">
        <v>48.5125048508928</v>
      </c>
      <c r="C122" s="28">
        <f>Table1346811121415161718192022253032[[#This Row],[PMI]]-B121</f>
        <v/>
      </c>
    </row>
    <row r="123">
      <c r="A123" s="10" t="n">
        <v>41030</v>
      </c>
      <c r="B123" s="11" t="n">
        <v>54.1857897882967</v>
      </c>
      <c r="C123" s="28">
        <f>Table1346811121415161718192022253032[[#This Row],[PMI]]-B122</f>
        <v/>
      </c>
    </row>
    <row r="124">
      <c r="A124" s="10" t="n">
        <v>41061</v>
      </c>
      <c r="B124" s="11" t="n">
        <v>50.472370512699</v>
      </c>
      <c r="C124" s="28">
        <f>Table1346811121415161718192022253032[[#This Row],[PMI]]-B123</f>
        <v/>
      </c>
    </row>
    <row r="125">
      <c r="A125" s="10" t="n">
        <v>41091</v>
      </c>
      <c r="B125" s="11" t="n">
        <v>49.6009354328354</v>
      </c>
      <c r="C125" s="28">
        <f>Table1346811121415161718192022253032[[#This Row],[PMI]]-B124</f>
        <v/>
      </c>
    </row>
    <row r="126">
      <c r="A126" s="10" t="n">
        <v>41122</v>
      </c>
      <c r="B126" s="11" t="n">
        <v>47.4290948312378</v>
      </c>
      <c r="C126" s="28">
        <f>Table1346811121415161718192022253032[[#This Row],[PMI]]-B125</f>
        <v/>
      </c>
    </row>
    <row r="127">
      <c r="A127" s="10" t="n">
        <v>41153</v>
      </c>
      <c r="B127" s="11" t="n">
        <v>48.4487093394229</v>
      </c>
      <c r="C127" s="28">
        <f>Table1346811121415161718192022253032[[#This Row],[PMI]]-B126</f>
        <v/>
      </c>
    </row>
    <row r="128">
      <c r="A128" s="10" t="n">
        <v>41183</v>
      </c>
      <c r="B128" s="11" t="n">
        <v>51.3162739387645</v>
      </c>
      <c r="C128" s="28">
        <f>Table1346811121415161718192022253032[[#This Row],[PMI]]-B127</f>
        <v/>
      </c>
    </row>
    <row r="129">
      <c r="A129" s="10" t="n">
        <v>41214</v>
      </c>
      <c r="B129" s="11" t="n">
        <v>50.8031709504404</v>
      </c>
      <c r="C129" s="28">
        <f>Table1346811121415161718192022253032[[#This Row],[PMI]]-B128</f>
        <v/>
      </c>
    </row>
    <row r="130">
      <c r="A130" s="10" t="n">
        <v>41244</v>
      </c>
      <c r="B130" s="11" t="n">
        <v>50.1760982117169</v>
      </c>
      <c r="C130" s="28">
        <f>Table1346811121415161718192022253032[[#This Row],[PMI]]-B129</f>
        <v/>
      </c>
    </row>
    <row r="131">
      <c r="A131" s="10" t="n">
        <v>41275</v>
      </c>
      <c r="B131" s="11" t="n">
        <v>55.6506802235411</v>
      </c>
      <c r="C131" s="28">
        <f>Table1346811121415161718192022253032[[#This Row],[PMI]]-B130</f>
        <v/>
      </c>
    </row>
    <row r="132">
      <c r="A132" s="10" t="n">
        <v>41306</v>
      </c>
      <c r="B132" s="11" t="n">
        <v>55.2103499826913</v>
      </c>
      <c r="C132" s="28">
        <f>Table1346811121415161718192022253032[[#This Row],[PMI]]-B131</f>
        <v/>
      </c>
    </row>
    <row r="133">
      <c r="A133" s="10" t="n">
        <v>41334</v>
      </c>
      <c r="B133" s="11" t="n">
        <v>52.7071688076255</v>
      </c>
      <c r="C133" s="28">
        <f>Table1346811121415161718192022253032[[#This Row],[PMI]]-B132</f>
        <v/>
      </c>
    </row>
    <row r="134">
      <c r="A134" s="10" t="n">
        <v>41365</v>
      </c>
      <c r="B134" s="11" t="n">
        <v>56.1208592612442</v>
      </c>
      <c r="C134" s="28">
        <f>Table1346811121415161718192022253032[[#This Row],[PMI]]-B133</f>
        <v/>
      </c>
    </row>
    <row r="135">
      <c r="A135" s="10" t="n">
        <v>41395</v>
      </c>
      <c r="B135" s="11" t="n">
        <v>59.0737508404527</v>
      </c>
      <c r="C135" s="28">
        <f>Table1346811121415161718192022253032[[#This Row],[PMI]]-B134</f>
        <v/>
      </c>
    </row>
    <row r="136">
      <c r="A136" s="10" t="n">
        <v>41426</v>
      </c>
      <c r="B136" s="11" t="n">
        <v>55.0752933288219</v>
      </c>
      <c r="C136" s="28">
        <f>Table1346811121415161718192022253032[[#This Row],[PMI]]-B135</f>
        <v/>
      </c>
    </row>
    <row r="137">
      <c r="A137" s="10" t="n">
        <v>41456</v>
      </c>
      <c r="B137" s="11" t="n">
        <v>60.2613920323612</v>
      </c>
      <c r="C137" s="28">
        <f>Table1346811121415161718192022253032[[#This Row],[PMI]]-B136</f>
        <v/>
      </c>
    </row>
    <row r="138">
      <c r="A138" s="10" t="n">
        <v>41487</v>
      </c>
      <c r="B138" s="11" t="n">
        <v>56.7231859878615</v>
      </c>
      <c r="C138" s="28">
        <f>Table1346811121415161718192022253032[[#This Row],[PMI]]-B137</f>
        <v/>
      </c>
    </row>
    <row r="139">
      <c r="A139" s="10" t="n">
        <v>41518</v>
      </c>
      <c r="B139" s="11" t="n">
        <v>52.7868939881118</v>
      </c>
      <c r="C139" s="28">
        <f>Table1346811121415161718192022253032[[#This Row],[PMI]]-B138</f>
        <v/>
      </c>
    </row>
    <row r="140">
      <c r="A140" s="10" t="n">
        <v>41548</v>
      </c>
      <c r="B140" s="11" t="n">
        <v>55.4918511261242</v>
      </c>
      <c r="C140" s="28">
        <f>Table1346811121415161718192022253032[[#This Row],[PMI]]-B139</f>
        <v/>
      </c>
    </row>
    <row r="141">
      <c r="A141" s="10" t="n">
        <v>41579</v>
      </c>
      <c r="B141" s="11" t="n">
        <v>57.3899226525149</v>
      </c>
      <c r="C141" s="28">
        <f>Table1346811121415161718192022253032[[#This Row],[PMI]]-B140</f>
        <v/>
      </c>
    </row>
    <row r="142">
      <c r="A142" s="10" t="n">
        <v>41609</v>
      </c>
      <c r="B142" s="11" t="n">
        <v>55.7245210774209</v>
      </c>
      <c r="C142" s="28">
        <f>Table1346811121415161718192022253032[[#This Row],[PMI]]-B141</f>
        <v/>
      </c>
    </row>
    <row r="143">
      <c r="A143" s="10" t="n">
        <v>41640</v>
      </c>
      <c r="B143" s="11" t="n">
        <v>57.1972119095941</v>
      </c>
      <c r="C143" s="28">
        <f>Table1346811121415161718192022253032[[#This Row],[PMI]]-B142</f>
        <v/>
      </c>
    </row>
    <row r="144">
      <c r="A144" s="10" t="n">
        <v>41671</v>
      </c>
      <c r="B144" s="11" t="n">
        <v>56.0261272877251</v>
      </c>
      <c r="C144" s="28">
        <f>Table1346811121415161718192022253032[[#This Row],[PMI]]-B143</f>
        <v/>
      </c>
    </row>
    <row r="145">
      <c r="A145" s="10" t="n">
        <v>41699</v>
      </c>
      <c r="B145" s="11" t="n">
        <v>57.9512438717493</v>
      </c>
      <c r="C145" s="28">
        <f>Table1346811121415161718192022253032[[#This Row],[PMI]]-B144</f>
        <v/>
      </c>
    </row>
    <row r="146">
      <c r="A146" s="10" t="n">
        <v>41730</v>
      </c>
      <c r="B146" s="11" t="n">
        <v>55.4325461314546</v>
      </c>
      <c r="C146" s="28">
        <f>Table1346811121415161718192022253032[[#This Row],[PMI]]-B145</f>
        <v/>
      </c>
    </row>
    <row r="147">
      <c r="A147" s="10" t="n">
        <v>41760</v>
      </c>
      <c r="B147" s="11" t="n">
        <v>53.9562293982542</v>
      </c>
      <c r="C147" s="28">
        <f>Table1346811121415161718192022253032[[#This Row],[PMI]]-B146</f>
        <v/>
      </c>
    </row>
    <row r="148">
      <c r="A148" s="10" t="n">
        <v>41791</v>
      </c>
      <c r="B148" s="11" t="n">
        <v>53.3320549988047</v>
      </c>
      <c r="C148" s="28">
        <f>Table1346811121415161718192022253032[[#This Row],[PMI]]-B147</f>
        <v/>
      </c>
    </row>
    <row r="149">
      <c r="A149" s="10" t="n">
        <v>41821</v>
      </c>
      <c r="B149" s="11" t="n">
        <v>54.7532486987351</v>
      </c>
      <c r="C149" s="28">
        <f>Table1346811121415161718192022253032[[#This Row],[PMI]]-B148</f>
        <v/>
      </c>
    </row>
    <row r="150">
      <c r="A150" s="10" t="n">
        <v>41852</v>
      </c>
      <c r="B150" s="11" t="n">
        <v>56.3908671788302</v>
      </c>
      <c r="C150" s="28">
        <f>Table1346811121415161718192022253032[[#This Row],[PMI]]-B149</f>
        <v/>
      </c>
    </row>
    <row r="151">
      <c r="A151" s="10" t="n">
        <v>41883</v>
      </c>
      <c r="B151" s="11" t="n">
        <v>57.2985417258584</v>
      </c>
      <c r="C151" s="28">
        <f>Table1346811121415161718192022253032[[#This Row],[PMI]]-B150</f>
        <v/>
      </c>
    </row>
    <row r="152">
      <c r="A152" s="10" t="n">
        <v>41913</v>
      </c>
      <c r="B152" s="11" t="n">
        <v>58.5179627874654</v>
      </c>
      <c r="C152" s="28">
        <f>Table1346811121415161718192022253032[[#This Row],[PMI]]-B151</f>
        <v/>
      </c>
    </row>
    <row r="153">
      <c r="A153" s="10" t="n">
        <v>41944</v>
      </c>
      <c r="B153" s="11" t="n">
        <v>54.6177249057541</v>
      </c>
      <c r="C153" s="28">
        <f>Table1346811121415161718192022253032[[#This Row],[PMI]]-B152</f>
        <v/>
      </c>
    </row>
    <row r="154">
      <c r="A154" s="10" t="n">
        <v>41974</v>
      </c>
      <c r="B154" s="11" t="n">
        <v>56.6517514841744</v>
      </c>
      <c r="C154" s="28">
        <f>Table1346811121415161718192022253032[[#This Row],[PMI]]-B153</f>
        <v/>
      </c>
    </row>
    <row r="155">
      <c r="A155" s="10" t="n">
        <v>42005</v>
      </c>
      <c r="B155" s="11" t="n">
        <v>51.5607487261562</v>
      </c>
      <c r="C155" s="28">
        <f>Table1346811121415161718192022253032[[#This Row],[PMI]]-B154</f>
        <v/>
      </c>
    </row>
    <row r="156">
      <c r="A156" s="10" t="n">
        <v>42036</v>
      </c>
      <c r="B156" s="11" t="n">
        <v>56.6859926423443</v>
      </c>
      <c r="C156" s="28">
        <f>Table1346811121415161718192022253032[[#This Row],[PMI]]-B155</f>
        <v/>
      </c>
    </row>
    <row r="157">
      <c r="A157" s="10" t="n">
        <v>42064</v>
      </c>
      <c r="B157" s="11" t="n">
        <v>54.7822942728314</v>
      </c>
      <c r="C157" s="28">
        <f>Table1346811121415161718192022253032[[#This Row],[PMI]]-B156</f>
        <v/>
      </c>
    </row>
    <row r="158">
      <c r="A158" s="10" t="n">
        <v>42095</v>
      </c>
      <c r="B158" s="11" t="n">
        <v>52.3374487038734</v>
      </c>
      <c r="C158" s="28">
        <f>Table1346811121415161718192022253032[[#This Row],[PMI]]-B157</f>
        <v/>
      </c>
    </row>
    <row r="159">
      <c r="A159" s="10" t="n">
        <v>42125</v>
      </c>
      <c r="B159" s="11" t="n">
        <v>51.4456692441713</v>
      </c>
      <c r="C159" s="28">
        <f>Table1346811121415161718192022253032[[#This Row],[PMI]]-B158</f>
        <v/>
      </c>
    </row>
    <row r="160">
      <c r="A160" s="10" t="n">
        <v>42156</v>
      </c>
      <c r="B160" s="11" t="n">
        <v>55.1807836368314</v>
      </c>
      <c r="C160" s="28">
        <f>Table1346811121415161718192022253032[[#This Row],[PMI]]-B159</f>
        <v/>
      </c>
    </row>
    <row r="161">
      <c r="A161" s="10" t="n">
        <v>42186</v>
      </c>
      <c r="B161" s="11" t="n">
        <v>54.3814448281616</v>
      </c>
      <c r="C161" s="28">
        <f>Table1346811121415161718192022253032[[#This Row],[PMI]]-B160</f>
        <v/>
      </c>
    </row>
    <row r="162">
      <c r="A162" s="10" t="n">
        <v>42217</v>
      </c>
      <c r="B162" s="11" t="n">
        <v>54.8707969074682</v>
      </c>
      <c r="C162" s="28">
        <f>Table1346811121415161718192022253032[[#This Row],[PMI]]-B161</f>
        <v/>
      </c>
    </row>
    <row r="163">
      <c r="A163" s="10" t="n">
        <v>42248</v>
      </c>
      <c r="B163" s="11" t="n">
        <v>54.0967098657682</v>
      </c>
      <c r="C163" s="28">
        <f>Table1346811121415161718192022253032[[#This Row],[PMI]]-B162</f>
        <v/>
      </c>
    </row>
    <row r="164">
      <c r="A164" s="10" t="n">
        <v>42278</v>
      </c>
      <c r="B164" s="11" t="n">
        <v>53.1406959969631</v>
      </c>
      <c r="C164" s="28">
        <f>Table1346811121415161718192022253032[[#This Row],[PMI]]-B163</f>
        <v/>
      </c>
    </row>
    <row r="165">
      <c r="A165" s="10" t="n">
        <v>42309</v>
      </c>
      <c r="B165" s="11" t="n">
        <v>55.0326358859927</v>
      </c>
      <c r="C165" s="28">
        <f>Table1346811121415161718192022253032[[#This Row],[PMI]]-B164</f>
        <v/>
      </c>
    </row>
    <row r="166">
      <c r="A166" s="10" t="n">
        <v>42339</v>
      </c>
      <c r="B166" s="11" t="n">
        <v>56.9856027270748</v>
      </c>
      <c r="C166" s="28">
        <f>Table1346811121415161718192022253032[[#This Row],[PMI]]-B165</f>
        <v/>
      </c>
    </row>
    <row r="167">
      <c r="A167" s="10" t="n">
        <v>42370</v>
      </c>
      <c r="B167" s="11" t="n">
        <v>59.789243036005</v>
      </c>
      <c r="C167" s="28">
        <f>Table1346811121415161718192022253032[[#This Row],[PMI]]-B166</f>
        <v/>
      </c>
    </row>
    <row r="168">
      <c r="A168" s="10" t="n">
        <v>42401</v>
      </c>
      <c r="B168" s="11" t="n">
        <v>56.0789103941194</v>
      </c>
      <c r="C168" s="28">
        <f>Table1346811121415161718192022253032[[#This Row],[PMI]]-B167</f>
        <v/>
      </c>
    </row>
    <row r="169">
      <c r="A169" s="10" t="n">
        <v>42430</v>
      </c>
      <c r="B169" s="11" t="n">
        <v>54.1786540644768</v>
      </c>
      <c r="C169" s="28">
        <f>Table1346811121415161718192022253032[[#This Row],[PMI]]-B168</f>
        <v/>
      </c>
    </row>
    <row r="170">
      <c r="A170" s="10" t="n">
        <v>42461</v>
      </c>
      <c r="B170" s="11" t="n">
        <v>56.5463209703122</v>
      </c>
      <c r="C170" s="28">
        <f>Table1346811121415161718192022253032[[#This Row],[PMI]]-B169</f>
        <v/>
      </c>
    </row>
    <row r="171">
      <c r="A171" s="10" t="n">
        <v>42491</v>
      </c>
      <c r="B171" s="11" t="n">
        <v>56.3274783477963</v>
      </c>
      <c r="C171" s="28">
        <f>Table1346811121415161718192022253032[[#This Row],[PMI]]-B170</f>
        <v/>
      </c>
    </row>
    <row r="172">
      <c r="A172" s="10" t="n">
        <v>42522</v>
      </c>
      <c r="B172" s="11" t="n">
        <v>57.5597930084429</v>
      </c>
      <c r="C172" s="28">
        <f>Table1346811121415161718192022253032[[#This Row],[PMI]]-B171</f>
        <v/>
      </c>
    </row>
    <row r="173">
      <c r="A173" s="10" t="n">
        <v>42552</v>
      </c>
      <c r="B173" s="11" t="n">
        <v>55.9499781978048</v>
      </c>
      <c r="C173" s="28">
        <f>Table1346811121415161718192022253032[[#This Row],[PMI]]-B172</f>
        <v/>
      </c>
    </row>
    <row r="174">
      <c r="A174" s="10" t="n">
        <v>42583</v>
      </c>
      <c r="B174" s="11" t="n">
        <v>54.647059284907</v>
      </c>
      <c r="C174" s="28">
        <f>Table1346811121415161718192022253032[[#This Row],[PMI]]-B173</f>
        <v/>
      </c>
    </row>
    <row r="175">
      <c r="A175" s="10" t="n">
        <v>42614</v>
      </c>
      <c r="B175" s="11" t="n">
        <v>57.2000322698041</v>
      </c>
      <c r="C175" s="28">
        <f>Table1346811121415161718192022253032[[#This Row],[PMI]]-B174</f>
        <v/>
      </c>
    </row>
    <row r="176">
      <c r="A176" s="10" t="n">
        <v>42644</v>
      </c>
      <c r="B176" s="11" t="n">
        <v>54.7701694624791</v>
      </c>
      <c r="C176" s="28">
        <f>Table1346811121415161718192022253032[[#This Row],[PMI]]-B175</f>
        <v/>
      </c>
    </row>
    <row r="177">
      <c r="A177" s="10" t="n">
        <v>42675</v>
      </c>
      <c r="B177" s="11" t="n">
        <v>54.2946996597062</v>
      </c>
      <c r="C177" s="28">
        <f>Table1346811121415161718192022253032[[#This Row],[PMI]]-B176</f>
        <v/>
      </c>
    </row>
    <row r="178">
      <c r="A178" s="10" t="n">
        <v>42705</v>
      </c>
      <c r="B178" s="11" t="n">
        <v>54.6328503036431</v>
      </c>
      <c r="C178" s="28">
        <f>Table1346811121415161718192022253032[[#This Row],[PMI]]-B177</f>
        <v/>
      </c>
    </row>
    <row r="179">
      <c r="A179" s="10" t="n">
        <v>42736</v>
      </c>
      <c r="B179" s="11" t="n">
        <v>53.201234556973</v>
      </c>
      <c r="C179" s="28">
        <f>Table1346811121415161718192022253032[[#This Row],[PMI]]-B178</f>
        <v/>
      </c>
    </row>
    <row r="180">
      <c r="A180" s="10" t="n">
        <v>42767</v>
      </c>
      <c r="B180" s="11" t="n">
        <v>56.0520938037381</v>
      </c>
      <c r="C180" s="28">
        <f>Table1346811121415161718192022253032[[#This Row],[PMI]]-B179</f>
        <v/>
      </c>
    </row>
    <row r="181">
      <c r="A181" s="10" t="n">
        <v>42795</v>
      </c>
      <c r="B181" s="11" t="n">
        <v>58.7228290929402</v>
      </c>
      <c r="C181" s="28">
        <f>Table1346811121415161718192022253032[[#This Row],[PMI]]-B180</f>
        <v/>
      </c>
    </row>
    <row r="182">
      <c r="A182" s="10" t="n">
        <v>42826</v>
      </c>
      <c r="B182" s="11" t="n">
        <v>56.5912099880293</v>
      </c>
      <c r="C182" s="28">
        <f>Table1346811121415161718192022253032[[#This Row],[PMI]]-B181</f>
        <v/>
      </c>
    </row>
    <row r="183">
      <c r="A183" s="10" t="n">
        <v>42856</v>
      </c>
      <c r="B183" s="11" t="n">
        <v>57.6796522807713</v>
      </c>
      <c r="C183" s="28">
        <f>Table1346811121415161718192022253032[[#This Row],[PMI]]-B182</f>
        <v/>
      </c>
    </row>
    <row r="184">
      <c r="A184" s="10" t="n">
        <v>42887</v>
      </c>
      <c r="B184" s="11" t="n">
        <v>55.9080618063196</v>
      </c>
      <c r="C184" s="28">
        <f>Table1346811121415161718192022253032[[#This Row],[PMI]]-B183</f>
        <v/>
      </c>
    </row>
    <row r="185">
      <c r="A185" s="10" t="n">
        <v>42917</v>
      </c>
      <c r="B185" s="11" t="n">
        <v>55.831645577076</v>
      </c>
      <c r="C185" s="28">
        <f>Table1346811121415161718192022253032[[#This Row],[PMI]]-B184</f>
        <v/>
      </c>
    </row>
    <row r="186">
      <c r="A186" s="10" t="n">
        <v>42948</v>
      </c>
      <c r="B186" s="11" t="n">
        <v>57.8875336583496</v>
      </c>
      <c r="C186" s="28">
        <f>Table1346811121415161718192022253032[[#This Row],[PMI]]-B185</f>
        <v/>
      </c>
    </row>
    <row r="187">
      <c r="A187" s="10" t="n">
        <v>42979</v>
      </c>
      <c r="B187" s="11" t="n">
        <v>57.5865651905984</v>
      </c>
      <c r="C187" s="28">
        <f>Table1346811121415161718192022253032[[#This Row],[PMI]]-B186</f>
        <v/>
      </c>
    </row>
    <row r="188">
      <c r="A188" s="10" t="n">
        <v>43009</v>
      </c>
      <c r="B188" s="11" t="n">
        <v>56.8314314778171</v>
      </c>
      <c r="C188" s="28">
        <f>Table1346811121415161718192022253032[[#This Row],[PMI]]-B187</f>
        <v/>
      </c>
    </row>
    <row r="189">
      <c r="A189" s="10" t="n">
        <v>43040</v>
      </c>
      <c r="B189" s="11" t="n">
        <v>57.427575830615</v>
      </c>
      <c r="C189" s="28">
        <f>Table1346811121415161718192022253032[[#This Row],[PMI]]-B188</f>
        <v/>
      </c>
    </row>
    <row r="190">
      <c r="A190" s="10" t="n">
        <v>43070</v>
      </c>
      <c r="B190" s="11" t="n">
        <v>50.9648930060402</v>
      </c>
      <c r="C190" s="28">
        <f>Table1346811121415161718192022253032[[#This Row],[PMI]]-B189</f>
        <v/>
      </c>
    </row>
    <row r="191">
      <c r="A191" s="10" t="n">
        <v>43101</v>
      </c>
      <c r="B191" s="11" t="n">
        <v>55.3991300439726</v>
      </c>
      <c r="C191" s="28">
        <f>Table1346811121415161718192022253032[[#This Row],[PMI]]-B190</f>
        <v/>
      </c>
    </row>
    <row r="192">
      <c r="A192" s="10" t="n">
        <v>43132</v>
      </c>
      <c r="B192" s="11" t="n">
        <v>53.4528751329017</v>
      </c>
      <c r="C192" s="28">
        <f>Table1346811121415161718192022253032[[#This Row],[PMI]]-B191</f>
        <v/>
      </c>
    </row>
    <row r="193">
      <c r="A193" s="10" t="n">
        <v>43160</v>
      </c>
      <c r="B193" s="11" t="n">
        <v>53.1388928325548</v>
      </c>
      <c r="C193" s="28">
        <f>Table1346811121415161718192022253032[[#This Row],[PMI]]-B192</f>
        <v/>
      </c>
    </row>
    <row r="194">
      <c r="A194" s="10" t="n">
        <v>43191</v>
      </c>
      <c r="B194" s="11" t="n">
        <v>59.2035308013539</v>
      </c>
      <c r="C194" s="28">
        <f>Table1346811121415161718192022253032[[#This Row],[PMI]]-B193</f>
        <v/>
      </c>
    </row>
    <row r="195">
      <c r="A195" s="10" t="n">
        <v>43221</v>
      </c>
      <c r="B195" s="11" t="n">
        <v>54.3282300911429</v>
      </c>
      <c r="C195" s="28">
        <f>Table1346811121415161718192022253032[[#This Row],[PMI]]-B194</f>
        <v/>
      </c>
    </row>
    <row r="196">
      <c r="A196" s="10" t="n">
        <v>43252</v>
      </c>
      <c r="B196" s="11" t="n">
        <v>52.7245397256422</v>
      </c>
      <c r="C196" s="28">
        <f>Table1346811121415161718192022253032[[#This Row],[PMI]]-B195</f>
        <v/>
      </c>
    </row>
    <row r="197">
      <c r="A197" s="10" t="n">
        <v>43282</v>
      </c>
      <c r="B197" s="11" t="n">
        <v>51.2462636215065</v>
      </c>
      <c r="C197" s="28">
        <f>Table1346811121415161718192022253032[[#This Row],[PMI]]-B196</f>
        <v/>
      </c>
    </row>
    <row r="198">
      <c r="A198" s="10" t="n">
        <v>43313</v>
      </c>
      <c r="B198" s="11" t="n">
        <v>52.1322105973522</v>
      </c>
      <c r="C198" s="28">
        <f>Table1346811121415161718192022253032[[#This Row],[PMI]]-B197</f>
        <v/>
      </c>
    </row>
    <row r="199">
      <c r="A199" s="10" t="n">
        <v>43344</v>
      </c>
      <c r="B199" s="11" t="n">
        <v>51.8709457657821</v>
      </c>
      <c r="C199" s="28">
        <f>Table1346811121415161718192022253032[[#This Row],[PMI]]-B198</f>
        <v/>
      </c>
    </row>
    <row r="200">
      <c r="A200" s="10" t="n">
        <v>43374</v>
      </c>
      <c r="B200" s="11" t="n">
        <v>53.5</v>
      </c>
      <c r="C200" s="28">
        <f>Table1346811121415161718192022253032[[#This Row],[PMI]]-B199</f>
        <v/>
      </c>
    </row>
    <row r="201">
      <c r="A201" s="10" t="n">
        <v>43405</v>
      </c>
      <c r="B201" s="11" t="n">
        <v>53.5</v>
      </c>
      <c r="C201" s="28">
        <f>Table1346811121415161718192022253032[[#This Row],[PMI]]-B200</f>
        <v/>
      </c>
    </row>
    <row r="202">
      <c r="A202" s="10" t="n">
        <v>43435</v>
      </c>
      <c r="B202" s="11" t="n">
        <v>55.1</v>
      </c>
      <c r="C202" s="28">
        <f>Table1346811121415161718192022253032[[#This Row],[PMI]]-B201</f>
        <v/>
      </c>
    </row>
    <row r="203">
      <c r="A203" s="10" t="n">
        <v>43466</v>
      </c>
      <c r="B203" s="11" t="n">
        <v>53.1</v>
      </c>
      <c r="C203" s="28">
        <f>Table1346811121415161718192022253032[[#This Row],[PMI]]-B202</f>
        <v/>
      </c>
    </row>
    <row r="204">
      <c r="A204" s="10" t="n">
        <v>43497</v>
      </c>
      <c r="B204" s="11" t="n">
        <v>53.4</v>
      </c>
      <c r="C204" s="28">
        <f>Table1346811121415161718192022253032[[#This Row],[PMI]]-B203</f>
        <v/>
      </c>
    </row>
    <row r="205">
      <c r="A205" s="10" t="n">
        <v>43525</v>
      </c>
      <c r="B205" s="11" t="n">
        <v>51.9</v>
      </c>
      <c r="C205" s="28">
        <f>Table1346811121415161718192022253032[[#This Row],[PMI]]-B204</f>
        <v/>
      </c>
    </row>
    <row r="206">
      <c r="A206" s="10" t="n">
        <v>43556</v>
      </c>
      <c r="B206" s="11" t="n">
        <v>52.7</v>
      </c>
      <c r="C206" s="28">
        <f>Table1346811121415161718192022253032[[#This Row],[PMI]]-B205</f>
        <v/>
      </c>
    </row>
    <row r="207">
      <c r="A207" s="10" t="n">
        <v>43586</v>
      </c>
      <c r="B207" s="11" t="n">
        <v>50.2</v>
      </c>
      <c r="C207" s="28">
        <f>Table1346811121415161718192022253032[[#This Row],[PMI]]-B206</f>
        <v/>
      </c>
    </row>
    <row r="208">
      <c r="A208" s="10" t="n">
        <v>43617</v>
      </c>
      <c r="B208" s="11" t="n">
        <v>51.3</v>
      </c>
      <c r="C208" s="28">
        <f>Table1346811121415161718192022253032[[#This Row],[PMI]]-B207</f>
        <v/>
      </c>
    </row>
    <row r="209">
      <c r="A209" s="10" t="n">
        <v>43647</v>
      </c>
      <c r="B209" s="11" t="n">
        <v>48.1</v>
      </c>
      <c r="C209" s="28">
        <f>Table1346811121415161718192022253032[[#This Row],[PMI]]-B208</f>
        <v/>
      </c>
    </row>
    <row r="210">
      <c r="A210" s="10" t="n">
        <v>43678</v>
      </c>
      <c r="B210" s="11" t="n">
        <v>48.4</v>
      </c>
      <c r="C210" s="28">
        <f>Table1346811121415161718192022253032[[#This Row],[PMI]]-B209</f>
        <v/>
      </c>
    </row>
    <row r="211">
      <c r="A211" s="10" t="n">
        <v>43709</v>
      </c>
      <c r="B211" s="11" t="n">
        <v>48.4</v>
      </c>
      <c r="C211" s="28">
        <f>Table1346811121415161718192022253032[[#This Row],[PMI]]-B210</f>
        <v/>
      </c>
    </row>
    <row r="212">
      <c r="A212" s="10" t="n">
        <v>43739</v>
      </c>
      <c r="B212" s="11" t="n">
        <v>52.6</v>
      </c>
      <c r="C212" s="28">
        <f>Table1346811121415161718192022253032[[#This Row],[PMI]]-B211</f>
        <v/>
      </c>
    </row>
    <row r="213">
      <c r="A213" s="10" t="n">
        <v>43770</v>
      </c>
      <c r="B213" s="11" t="n">
        <v>51.4</v>
      </c>
      <c r="C213" s="28">
        <f>Table1346811121415161718192022253032[[#This Row],[PMI]]-B212</f>
        <v/>
      </c>
    </row>
    <row r="214">
      <c r="A214" s="10" t="n">
        <v>43800</v>
      </c>
      <c r="B214" s="11" t="n">
        <v>49.3</v>
      </c>
      <c r="C214" s="28">
        <f>Table1346811121415161718192022253032[[#This Row],[PMI]]-B213</f>
        <v/>
      </c>
    </row>
    <row r="215">
      <c r="A215" s="10" t="n">
        <v>43831</v>
      </c>
      <c r="B215" s="11" t="n">
        <v>49.6</v>
      </c>
      <c r="C215" s="28">
        <f>Table1346811121415161718192022253032[[#This Row],[PMI]]-B214</f>
        <v/>
      </c>
    </row>
    <row r="216">
      <c r="A216" s="10" t="n">
        <v>43862</v>
      </c>
      <c r="B216" s="11" t="n">
        <v>53.2</v>
      </c>
      <c r="C216" s="28">
        <f>Table1346811121415161718192022253032[[#This Row],[PMI]]-B215</f>
        <v/>
      </c>
    </row>
    <row r="217">
      <c r="A217" s="10" t="n">
        <v>43891</v>
      </c>
      <c r="B217" s="11" t="n">
        <v>38</v>
      </c>
      <c r="C217" s="28">
        <f>Table1346811121415161718192022253032[[#This Row],[PMI]]-B216</f>
        <v/>
      </c>
    </row>
    <row r="218">
      <c r="A218" s="10" t="n">
        <v>43922</v>
      </c>
      <c r="B218" s="11" t="n">
        <v>26.1</v>
      </c>
      <c r="C218" s="28">
        <f>Table1346811121415161718192022253032[[#This Row],[PMI]]-B217</f>
        <v/>
      </c>
    </row>
    <row r="219">
      <c r="A219" s="10" t="n">
        <v>43952</v>
      </c>
      <c r="B219" s="11" t="n">
        <v>39.7</v>
      </c>
      <c r="C219" s="28">
        <f>Table1346811121415161718192022253032[[#This Row],[PMI]]-B218</f>
        <v/>
      </c>
    </row>
    <row r="220">
      <c r="A220" s="10" t="n">
        <v>43983</v>
      </c>
      <c r="B220" s="11" t="n">
        <v>56.3</v>
      </c>
      <c r="C220" s="28">
        <f>Table1346811121415161718192022253032[[#This Row],[PMI]]-B219</f>
        <v/>
      </c>
    </row>
    <row r="221">
      <c r="A221" s="10" t="n">
        <v>44013</v>
      </c>
      <c r="B221" s="11" t="n">
        <v>59</v>
      </c>
      <c r="C221" s="28">
        <f>Table1346811121415161718192022253032[[#This Row],[PMI]]-B220</f>
        <v/>
      </c>
    </row>
    <row r="222">
      <c r="A222" s="10" t="n">
        <v>44044</v>
      </c>
      <c r="B222" s="11" t="n">
        <v>51</v>
      </c>
      <c r="C222" s="28">
        <f>Table1346811121415161718192022253032[[#This Row],[PMI]]-B221</f>
        <v/>
      </c>
    </row>
    <row r="223">
      <c r="A223" s="10" t="n">
        <v>44075</v>
      </c>
      <c r="B223" s="11" t="n">
        <v>54</v>
      </c>
      <c r="C223" s="28">
        <f>Table1346811121415161718192022253032[[#This Row],[PMI]]-B222</f>
        <v/>
      </c>
    </row>
    <row r="224">
      <c r="A224" s="10" t="n">
        <v>44105</v>
      </c>
      <c r="B224" s="11" t="n">
        <v>51.7</v>
      </c>
      <c r="C224" s="28">
        <f>Table1346811121415161718192022253032[[#This Row],[PMI]]-B223</f>
        <v/>
      </c>
    </row>
    <row r="225">
      <c r="A225" s="10" t="n">
        <v>44136</v>
      </c>
      <c r="B225" s="11" t="n">
        <v>55.3</v>
      </c>
      <c r="C225" s="28">
        <f>Table1346811121415161718192022253032[[#This Row],[PMI]]-B224</f>
        <v/>
      </c>
    </row>
    <row r="226">
      <c r="A226" s="10" t="n">
        <v>44166</v>
      </c>
      <c r="B226" s="11" t="n">
        <v>48.7</v>
      </c>
      <c r="C226" s="28">
        <f>Table1346811121415161718192022253032[[#This Row],[PMI]]-B225</f>
        <v/>
      </c>
    </row>
    <row r="227">
      <c r="A227" s="10" t="n">
        <v>44197</v>
      </c>
      <c r="B227" s="11" t="n">
        <v>58.05</v>
      </c>
      <c r="C227" s="28">
        <f>Table1346811121415161718192022253032[[#This Row],[PMI]]-B226</f>
        <v/>
      </c>
    </row>
    <row r="228">
      <c r="A228" s="10" t="n">
        <v>44228</v>
      </c>
      <c r="B228" s="11" t="n">
        <v>54.21</v>
      </c>
      <c r="C228" s="28">
        <f>Table1346811121415161718192022253032[[#This Row],[PMI]]-B227</f>
        <v/>
      </c>
    </row>
    <row r="229">
      <c r="A229" s="10" t="n">
        <v>44256</v>
      </c>
      <c r="B229" s="11" t="n">
        <v>63.6</v>
      </c>
      <c r="C229" s="28">
        <f>Table1346811121415161718192022253032[[#This Row],[PMI]]-B228</f>
        <v/>
      </c>
    </row>
    <row r="230">
      <c r="A230" s="10" t="n">
        <v>44287</v>
      </c>
      <c r="B230" s="11" t="n">
        <v>58.3</v>
      </c>
      <c r="C230" s="28">
        <f>Table1346811121415161718192022253032[[#This Row],[PMI]]-B229</f>
        <v/>
      </c>
    </row>
    <row r="231">
      <c r="A231" s="10" t="n">
        <v>44317</v>
      </c>
      <c r="B231" s="11" t="n">
        <v>58.6</v>
      </c>
      <c r="C231" s="28">
        <f>Table1346811121415161718192022253032[[#This Row],[PMI]]-B230</f>
        <v/>
      </c>
    </row>
    <row r="232">
      <c r="A232" s="10" t="n">
        <v>44348</v>
      </c>
      <c r="B232" s="11" t="n">
        <v>60.9</v>
      </c>
      <c r="C232" s="28">
        <f>Table1346811121415161718192022253032[[#This Row],[PMI]]-B231</f>
        <v/>
      </c>
    </row>
    <row r="233">
      <c r="A233" s="10" t="n">
        <v>44378</v>
      </c>
      <c r="B233" s="11" t="n">
        <v>62.2</v>
      </c>
      <c r="C233" s="28">
        <f>Table1346811121415161718192022253032[[#This Row],[PMI]]-B232</f>
        <v/>
      </c>
    </row>
    <row r="234">
      <c r="A234" s="10" t="n">
        <v>44409</v>
      </c>
      <c r="B234" s="11" t="n">
        <v>39.7</v>
      </c>
      <c r="C234" s="28">
        <f>Table1346811121415161718192022253032[[#This Row],[PMI]]-B233</f>
        <v/>
      </c>
    </row>
    <row r="235">
      <c r="A235" s="10" t="n">
        <v>44440</v>
      </c>
      <c r="B235" s="11" t="n">
        <v>51.4</v>
      </c>
      <c r="C235" s="28">
        <f>Table1346811121415161718192022253032[[#This Row],[PMI]]-B234</f>
        <v/>
      </c>
    </row>
    <row r="236">
      <c r="A236" s="10" t="n">
        <v>44470</v>
      </c>
      <c r="B236" s="11" t="n">
        <v>54.3</v>
      </c>
      <c r="C236" s="28">
        <f>Table1346811121415161718192022253032[[#This Row],[PMI]]-B235</f>
        <v/>
      </c>
    </row>
    <row r="237">
      <c r="A237" s="10" t="n">
        <v>44501</v>
      </c>
      <c r="B237" s="11" t="n">
        <v>50.6</v>
      </c>
      <c r="C237" s="28">
        <f>Table1346811121415161718192022253032[[#This Row],[PMI]]-B236</f>
        <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2022-02-01T15:20:29Z</dcterms:modified>
  <cp:lastModifiedBy>Mark Mukherjee</cp:lastModifiedBy>
</cp:coreProperties>
</file>