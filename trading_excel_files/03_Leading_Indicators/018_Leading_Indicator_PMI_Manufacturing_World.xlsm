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2D609216-A79A-467E-BE14-31B8F660F1BC}" xr6:coauthVersionLast="47" xr6:coauthVersionMax="47" xr10:uidLastSave="{00000000-0000-0000-0000-000000000000}"/>
  <bookViews>
    <workbookView xWindow="-19455" yWindow="-21600" windowWidth="43410" windowHeight="21600" tabRatio="868"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8" i="37" l="1"/>
  <c r="B247" i="37"/>
  <c r="C248" i="37" s="1"/>
  <c r="C246" i="37"/>
  <c r="B246" i="37"/>
  <c r="C247" i="37" s="1"/>
  <c r="C245" i="37"/>
  <c r="B245" i="37"/>
  <c r="B244" i="37"/>
  <c r="B243" i="37"/>
  <c r="C244" i="37" s="1"/>
  <c r="B242" i="37"/>
  <c r="C243" i="37" s="1"/>
  <c r="B241" i="37"/>
  <c r="C242" i="37" s="1"/>
  <c r="B240" i="37"/>
  <c r="C241" i="37" s="1"/>
  <c r="C239" i="37"/>
  <c r="B239" i="37"/>
  <c r="C240" i="37" s="1"/>
  <c r="B238" i="37"/>
  <c r="B237" i="37"/>
  <c r="B236" i="37"/>
  <c r="C237" i="37" s="1"/>
  <c r="B235" i="37"/>
  <c r="B234" i="37"/>
  <c r="C235" i="37" s="1"/>
  <c r="C233" i="37"/>
  <c r="B233" i="37"/>
  <c r="C234" i="37" s="1"/>
  <c r="B232" i="37"/>
  <c r="B231" i="37"/>
  <c r="C232" i="37" s="1"/>
  <c r="B230" i="37"/>
  <c r="C229" i="37"/>
  <c r="B229" i="37"/>
  <c r="C228" i="37"/>
  <c r="B228" i="37"/>
  <c r="C227" i="37"/>
  <c r="B227" i="37"/>
  <c r="B226" i="37"/>
  <c r="B225" i="37"/>
  <c r="C226" i="37" s="1"/>
  <c r="B224" i="37"/>
  <c r="B223" i="37"/>
  <c r="C224" i="37" s="1"/>
  <c r="B222" i="37"/>
  <c r="C223" i="37" s="1"/>
  <c r="B221" i="37"/>
  <c r="C222" i="37" s="1"/>
  <c r="B220" i="37"/>
  <c r="B219" i="37"/>
  <c r="C220" i="37" s="1"/>
  <c r="B218" i="37"/>
  <c r="B217" i="37"/>
  <c r="C218" i="37" s="1"/>
  <c r="B216" i="37"/>
  <c r="C217" i="37" s="1"/>
  <c r="C215" i="37"/>
  <c r="B215" i="37"/>
  <c r="C216" i="37" s="1"/>
  <c r="B214" i="37"/>
  <c r="B213" i="37"/>
  <c r="B212" i="37"/>
  <c r="C213" i="37" s="1"/>
  <c r="B211" i="37"/>
  <c r="B210" i="37"/>
  <c r="C211" i="37" s="1"/>
  <c r="C209" i="37"/>
  <c r="B209" i="37"/>
  <c r="C210" i="37" s="1"/>
  <c r="B208" i="37"/>
  <c r="B207" i="37"/>
  <c r="C208" i="37" s="1"/>
  <c r="B206" i="37"/>
  <c r="C205" i="37"/>
  <c r="B205" i="37"/>
  <c r="C204" i="37"/>
  <c r="B204" i="37"/>
  <c r="B203" i="37"/>
  <c r="B202" i="37"/>
  <c r="C203" i="37" s="1"/>
  <c r="B201" i="37"/>
  <c r="C202" i="37" s="1"/>
  <c r="B200" i="37"/>
  <c r="B199" i="37"/>
  <c r="C200" i="37" s="1"/>
  <c r="B198" i="37"/>
  <c r="C199" i="37" s="1"/>
  <c r="B197" i="37"/>
  <c r="C198" i="37" s="1"/>
  <c r="B196" i="37"/>
  <c r="B195" i="37"/>
  <c r="C196" i="37" s="1"/>
  <c r="B194" i="37"/>
  <c r="C195" i="37" s="1"/>
  <c r="B193" i="37"/>
  <c r="C194" i="37" s="1"/>
  <c r="B192" i="37"/>
  <c r="C193" i="37" s="1"/>
  <c r="C191" i="37"/>
  <c r="B191" i="37"/>
  <c r="C192" i="37" s="1"/>
  <c r="B190" i="37"/>
  <c r="B189" i="37"/>
  <c r="B188" i="37"/>
  <c r="C189" i="37" s="1"/>
  <c r="B187" i="37"/>
  <c r="B186" i="37"/>
  <c r="C187" i="37" s="1"/>
  <c r="C185" i="37"/>
  <c r="B185" i="37"/>
  <c r="C186" i="37" s="1"/>
  <c r="B184" i="37"/>
  <c r="B183" i="37"/>
  <c r="C184" i="37" s="1"/>
  <c r="B182" i="37"/>
  <c r="C181" i="37"/>
  <c r="B181" i="37"/>
  <c r="C180" i="37"/>
  <c r="B180" i="37"/>
  <c r="B179" i="37"/>
  <c r="B178" i="37"/>
  <c r="C179" i="37" s="1"/>
  <c r="B177" i="37"/>
  <c r="C178" i="37" s="1"/>
  <c r="B176" i="37"/>
  <c r="B175" i="37"/>
  <c r="C176" i="37" s="1"/>
  <c r="B174" i="37"/>
  <c r="C175" i="37" s="1"/>
  <c r="B173" i="37"/>
  <c r="C174" i="37" s="1"/>
  <c r="B172" i="37"/>
  <c r="B171" i="37"/>
  <c r="C172" i="37" s="1"/>
  <c r="B170" i="37"/>
  <c r="C171" i="37" s="1"/>
  <c r="B169" i="37"/>
  <c r="C170" i="37" s="1"/>
  <c r="B168" i="37"/>
  <c r="C169" i="37" s="1"/>
  <c r="C167" i="37"/>
  <c r="B167" i="37"/>
  <c r="C168" i="37" s="1"/>
  <c r="B166" i="37"/>
  <c r="B165" i="37"/>
  <c r="B164" i="37"/>
  <c r="C165" i="37" s="1"/>
  <c r="B163" i="37"/>
  <c r="B162" i="37"/>
  <c r="C163" i="37" s="1"/>
  <c r="C161" i="37"/>
  <c r="B161" i="37"/>
  <c r="C162" i="37" s="1"/>
  <c r="B160" i="37"/>
  <c r="B159" i="37"/>
  <c r="C160" i="37" s="1"/>
  <c r="B158" i="37"/>
  <c r="C157" i="37"/>
  <c r="B157" i="37"/>
  <c r="C156" i="37"/>
  <c r="B156" i="37"/>
  <c r="B155" i="37"/>
  <c r="B154" i="37"/>
  <c r="C155" i="37" s="1"/>
  <c r="B153" i="37"/>
  <c r="C154" i="37" s="1"/>
  <c r="B152" i="37"/>
  <c r="B151" i="37"/>
  <c r="C152" i="37" s="1"/>
  <c r="B150" i="37"/>
  <c r="C151" i="37" s="1"/>
  <c r="B149" i="37"/>
  <c r="C150" i="37" s="1"/>
  <c r="B148" i="37"/>
  <c r="B147" i="37"/>
  <c r="C148" i="37" s="1"/>
  <c r="B146" i="37"/>
  <c r="B145" i="37"/>
  <c r="C146" i="37" s="1"/>
  <c r="B144" i="37"/>
  <c r="C145" i="37" s="1"/>
  <c r="C143" i="37"/>
  <c r="B143" i="37"/>
  <c r="C144" i="37" s="1"/>
  <c r="B142" i="37"/>
  <c r="B141" i="37"/>
  <c r="B140" i="37"/>
  <c r="C141" i="37" s="1"/>
  <c r="B139" i="37"/>
  <c r="B138" i="37"/>
  <c r="C139" i="37" s="1"/>
  <c r="C137" i="37"/>
  <c r="B137" i="37"/>
  <c r="C138" i="37" s="1"/>
  <c r="B136" i="37"/>
  <c r="B135" i="37"/>
  <c r="C136" i="37" s="1"/>
  <c r="B134" i="37"/>
  <c r="C133" i="37"/>
  <c r="B133" i="37"/>
  <c r="C132" i="37"/>
  <c r="B132" i="37"/>
  <c r="B131" i="37"/>
  <c r="B130" i="37"/>
  <c r="C131" i="37" s="1"/>
  <c r="B129" i="37"/>
  <c r="C130" i="37" s="1"/>
  <c r="B128" i="37"/>
  <c r="B127" i="37"/>
  <c r="C128" i="37" s="1"/>
  <c r="B126" i="37"/>
  <c r="C127" i="37" s="1"/>
  <c r="B125" i="37"/>
  <c r="C126" i="37" s="1"/>
  <c r="B124" i="37"/>
  <c r="B123" i="37"/>
  <c r="C124" i="37" s="1"/>
  <c r="B122" i="37"/>
  <c r="B121" i="37"/>
  <c r="C122" i="37" s="1"/>
  <c r="B120" i="37"/>
  <c r="C121" i="37" s="1"/>
  <c r="C119" i="37"/>
  <c r="B119" i="37"/>
  <c r="C120" i="37" s="1"/>
  <c r="B118" i="37"/>
  <c r="B117" i="37"/>
  <c r="B116" i="37"/>
  <c r="C117" i="37" s="1"/>
  <c r="B115" i="37"/>
  <c r="B114" i="37"/>
  <c r="C115" i="37" s="1"/>
  <c r="C113" i="37"/>
  <c r="B113" i="37"/>
  <c r="C114" i="37" s="1"/>
  <c r="B112" i="37"/>
  <c r="B111" i="37"/>
  <c r="C112" i="37" s="1"/>
  <c r="B110" i="37"/>
  <c r="C109" i="37"/>
  <c r="B109" i="37"/>
  <c r="C108" i="37"/>
  <c r="B108" i="37"/>
  <c r="B107" i="37"/>
  <c r="B106" i="37"/>
  <c r="C107" i="37" s="1"/>
  <c r="B105" i="37"/>
  <c r="C106" i="37" s="1"/>
  <c r="B104" i="37"/>
  <c r="B103" i="37"/>
  <c r="C104" i="37" s="1"/>
  <c r="B102" i="37"/>
  <c r="C103" i="37" s="1"/>
  <c r="B101" i="37"/>
  <c r="C102" i="37" s="1"/>
  <c r="B100" i="37"/>
  <c r="B99" i="37"/>
  <c r="C100" i="37" s="1"/>
  <c r="B98" i="37"/>
  <c r="B97" i="37"/>
  <c r="C98" i="37" s="1"/>
  <c r="B96" i="37"/>
  <c r="C97" i="37" s="1"/>
  <c r="C95" i="37"/>
  <c r="B95" i="37"/>
  <c r="C96" i="37" s="1"/>
  <c r="B94" i="37"/>
  <c r="B93" i="37"/>
  <c r="B92" i="37"/>
  <c r="C93" i="37" s="1"/>
  <c r="B91" i="37"/>
  <c r="B90" i="37"/>
  <c r="C91" i="37" s="1"/>
  <c r="C89" i="37"/>
  <c r="B89" i="37"/>
  <c r="C90" i="37" s="1"/>
  <c r="B88" i="37"/>
  <c r="B87" i="37"/>
  <c r="C88" i="37" s="1"/>
  <c r="B86" i="37"/>
  <c r="C85" i="37"/>
  <c r="B85" i="37"/>
  <c r="C84" i="37"/>
  <c r="B84" i="37"/>
  <c r="B83" i="37"/>
  <c r="B82" i="37"/>
  <c r="C83" i="37" s="1"/>
  <c r="B81" i="37"/>
  <c r="C82" i="37" s="1"/>
  <c r="B80" i="37"/>
  <c r="B79" i="37"/>
  <c r="C80" i="37" s="1"/>
  <c r="B78" i="37"/>
  <c r="C79" i="37" s="1"/>
  <c r="B77" i="37"/>
  <c r="C78" i="37" s="1"/>
  <c r="B76" i="37"/>
  <c r="B75" i="37"/>
  <c r="C76" i="37" s="1"/>
  <c r="B74" i="37"/>
  <c r="B73" i="37"/>
  <c r="C74" i="37" s="1"/>
  <c r="B72" i="37"/>
  <c r="C73" i="37" s="1"/>
  <c r="C71" i="37"/>
  <c r="B71" i="37"/>
  <c r="C72" i="37" s="1"/>
  <c r="B70" i="37"/>
  <c r="B69" i="37"/>
  <c r="B68" i="37"/>
  <c r="C69" i="37" s="1"/>
  <c r="B67" i="37"/>
  <c r="B66" i="37"/>
  <c r="C67" i="37" s="1"/>
  <c r="C65" i="37"/>
  <c r="B65" i="37"/>
  <c r="C66" i="37" s="1"/>
  <c r="B64" i="37"/>
  <c r="B63" i="37"/>
  <c r="C64" i="37" s="1"/>
  <c r="B62" i="37"/>
  <c r="C61" i="37"/>
  <c r="B61" i="37"/>
  <c r="C60" i="37"/>
  <c r="B60" i="37"/>
  <c r="B59" i="37"/>
  <c r="B58" i="37"/>
  <c r="C59" i="37" s="1"/>
  <c r="B57" i="37"/>
  <c r="C58" i="37" s="1"/>
  <c r="B56" i="37"/>
  <c r="B55" i="37"/>
  <c r="C56" i="37" s="1"/>
  <c r="B54" i="37"/>
  <c r="C55" i="37" s="1"/>
  <c r="B53" i="37"/>
  <c r="C54" i="37" s="1"/>
  <c r="B52" i="37"/>
  <c r="B51" i="37"/>
  <c r="C52" i="37" s="1"/>
  <c r="B50" i="37"/>
  <c r="B49" i="37"/>
  <c r="C50" i="37" s="1"/>
  <c r="B48" i="37"/>
  <c r="C49" i="37" s="1"/>
  <c r="C47" i="37"/>
  <c r="B47" i="37"/>
  <c r="C48" i="37" s="1"/>
  <c r="B46" i="37"/>
  <c r="B45" i="37"/>
  <c r="B44" i="37"/>
  <c r="C45" i="37" s="1"/>
  <c r="B43" i="37"/>
  <c r="B42" i="37"/>
  <c r="C43" i="37" s="1"/>
  <c r="C41" i="37"/>
  <c r="B41" i="37"/>
  <c r="C42" i="37" s="1"/>
  <c r="B40" i="37"/>
  <c r="B39" i="37"/>
  <c r="C40" i="37" s="1"/>
  <c r="B38" i="37"/>
  <c r="C37" i="37"/>
  <c r="B37" i="37"/>
  <c r="C36" i="37"/>
  <c r="B36" i="37"/>
  <c r="B35" i="37"/>
  <c r="B34" i="37"/>
  <c r="C35" i="37" s="1"/>
  <c r="B33" i="37"/>
  <c r="C34" i="37" s="1"/>
  <c r="B32" i="37"/>
  <c r="B31" i="37"/>
  <c r="C32" i="37" s="1"/>
  <c r="B30" i="37"/>
  <c r="C31" i="37" s="1"/>
  <c r="B29" i="37"/>
  <c r="C30" i="37" s="1"/>
  <c r="B28" i="37"/>
  <c r="B27" i="37"/>
  <c r="C28" i="37" s="1"/>
  <c r="B26" i="37"/>
  <c r="B25" i="37"/>
  <c r="C26" i="37" s="1"/>
  <c r="B24" i="37"/>
  <c r="C25" i="37" s="1"/>
  <c r="C23" i="37"/>
  <c r="B23" i="37"/>
  <c r="C24" i="37" s="1"/>
  <c r="B22" i="37"/>
  <c r="B21" i="37"/>
  <c r="B20" i="37"/>
  <c r="C21" i="37" s="1"/>
  <c r="B19" i="37"/>
  <c r="B18" i="37"/>
  <c r="C19" i="37" s="1"/>
  <c r="C17" i="37"/>
  <c r="B17" i="37"/>
  <c r="C18" i="37" s="1"/>
  <c r="B16" i="37"/>
  <c r="B15" i="37"/>
  <c r="C16" i="37" s="1"/>
  <c r="B14" i="37"/>
  <c r="C13" i="37"/>
  <c r="B13" i="37"/>
  <c r="C12" i="37"/>
  <c r="B12" i="37"/>
  <c r="B11" i="37"/>
  <c r="B10" i="37"/>
  <c r="C11" i="37" s="1"/>
  <c r="B9" i="37"/>
  <c r="C10" i="37" s="1"/>
  <c r="B8" i="37"/>
  <c r="B7" i="37"/>
  <c r="C8" i="37" s="1"/>
  <c r="B6" i="37"/>
  <c r="C7" i="37" s="1"/>
  <c r="K2" i="37"/>
  <c r="B96" i="36"/>
  <c r="C96" i="36" s="1"/>
  <c r="B95" i="36"/>
  <c r="B94" i="36"/>
  <c r="C95" i="36" s="1"/>
  <c r="B93" i="36"/>
  <c r="B92" i="36"/>
  <c r="C93" i="36" s="1"/>
  <c r="B91" i="36"/>
  <c r="C92" i="36" s="1"/>
  <c r="C90" i="36"/>
  <c r="B90" i="36"/>
  <c r="C91" i="36" s="1"/>
  <c r="B89" i="36"/>
  <c r="B88" i="36"/>
  <c r="B87" i="36"/>
  <c r="C88" i="36" s="1"/>
  <c r="B86" i="36"/>
  <c r="B85" i="36"/>
  <c r="C86" i="36" s="1"/>
  <c r="C84" i="36"/>
  <c r="B84" i="36"/>
  <c r="C85" i="36" s="1"/>
  <c r="B83" i="36"/>
  <c r="B82" i="36"/>
  <c r="C83" i="36" s="1"/>
  <c r="B81" i="36"/>
  <c r="C80" i="36"/>
  <c r="B80" i="36"/>
  <c r="C79" i="36"/>
  <c r="B79" i="36"/>
  <c r="B78" i="36"/>
  <c r="B77" i="36"/>
  <c r="C78" i="36" s="1"/>
  <c r="B76" i="36"/>
  <c r="C77" i="36" s="1"/>
  <c r="B75" i="36"/>
  <c r="B74" i="36"/>
  <c r="C75" i="36" s="1"/>
  <c r="B73" i="36"/>
  <c r="C74" i="36" s="1"/>
  <c r="B72" i="36"/>
  <c r="C73" i="36" s="1"/>
  <c r="B71" i="36"/>
  <c r="B70" i="36"/>
  <c r="C71" i="36" s="1"/>
  <c r="B69" i="36"/>
  <c r="B68" i="36"/>
  <c r="C69" i="36" s="1"/>
  <c r="B67" i="36"/>
  <c r="C68" i="36" s="1"/>
  <c r="C66" i="36"/>
  <c r="B66" i="36"/>
  <c r="C67" i="36" s="1"/>
  <c r="B65" i="36"/>
  <c r="B64" i="36"/>
  <c r="B63" i="36"/>
  <c r="C64" i="36" s="1"/>
  <c r="B62" i="36"/>
  <c r="B61" i="36"/>
  <c r="C62" i="36" s="1"/>
  <c r="C60" i="36"/>
  <c r="B60" i="36"/>
  <c r="C61" i="36" s="1"/>
  <c r="B59" i="36"/>
  <c r="B58" i="36"/>
  <c r="C59" i="36" s="1"/>
  <c r="B57" i="36"/>
  <c r="C56" i="36"/>
  <c r="B56" i="36"/>
  <c r="C55" i="36"/>
  <c r="B55" i="36"/>
  <c r="B54" i="36"/>
  <c r="B53" i="36"/>
  <c r="C54" i="36" s="1"/>
  <c r="B52" i="36"/>
  <c r="C53" i="36" s="1"/>
  <c r="B51" i="36"/>
  <c r="B50" i="36"/>
  <c r="C51" i="36" s="1"/>
  <c r="B49" i="36"/>
  <c r="C50" i="36" s="1"/>
  <c r="B48" i="36"/>
  <c r="C49" i="36" s="1"/>
  <c r="B47" i="36"/>
  <c r="B46" i="36"/>
  <c r="C47" i="36" s="1"/>
  <c r="B45" i="36"/>
  <c r="B44" i="36"/>
  <c r="C45" i="36" s="1"/>
  <c r="B43" i="36"/>
  <c r="C44" i="36" s="1"/>
  <c r="C42" i="36"/>
  <c r="B42" i="36"/>
  <c r="C43" i="36" s="1"/>
  <c r="B41" i="36"/>
  <c r="B40" i="36"/>
  <c r="B39" i="36"/>
  <c r="C40" i="36" s="1"/>
  <c r="B38" i="36"/>
  <c r="B37" i="36"/>
  <c r="C38" i="36" s="1"/>
  <c r="C36" i="36"/>
  <c r="B36" i="36"/>
  <c r="C37" i="36" s="1"/>
  <c r="B35" i="36"/>
  <c r="B34" i="36"/>
  <c r="C35" i="36" s="1"/>
  <c r="B33" i="36"/>
  <c r="C32" i="36"/>
  <c r="B32" i="36"/>
  <c r="C31" i="36"/>
  <c r="B31" i="36"/>
  <c r="B30" i="36"/>
  <c r="B29" i="36"/>
  <c r="C30" i="36" s="1"/>
  <c r="B28" i="36"/>
  <c r="C29" i="36" s="1"/>
  <c r="B27" i="36"/>
  <c r="B26" i="36"/>
  <c r="C27" i="36" s="1"/>
  <c r="B25" i="36"/>
  <c r="B24" i="36"/>
  <c r="C25" i="36" s="1"/>
  <c r="B23" i="36"/>
  <c r="B22" i="36"/>
  <c r="C23" i="36" s="1"/>
  <c r="B21" i="36"/>
  <c r="B20" i="36"/>
  <c r="C21" i="36" s="1"/>
  <c r="B19" i="36"/>
  <c r="C20" i="36" s="1"/>
  <c r="C18" i="36"/>
  <c r="B18" i="36"/>
  <c r="C19" i="36" s="1"/>
  <c r="B17" i="36"/>
  <c r="B16" i="36"/>
  <c r="B15" i="36"/>
  <c r="C16" i="36" s="1"/>
  <c r="B14" i="36"/>
  <c r="B13" i="36"/>
  <c r="C14" i="36" s="1"/>
  <c r="C12" i="36"/>
  <c r="B12" i="36"/>
  <c r="C13" i="36" s="1"/>
  <c r="B11" i="36"/>
  <c r="B10" i="36"/>
  <c r="C11" i="36" s="1"/>
  <c r="B9" i="36"/>
  <c r="C10" i="36" s="1"/>
  <c r="C8" i="36"/>
  <c r="B8" i="36"/>
  <c r="C7" i="36"/>
  <c r="B7" i="36"/>
  <c r="B6" i="36"/>
  <c r="K2" i="36"/>
  <c r="B130" i="35"/>
  <c r="B129" i="35"/>
  <c r="C130" i="35" s="1"/>
  <c r="B128" i="35"/>
  <c r="B127" i="35"/>
  <c r="C128" i="35" s="1"/>
  <c r="B126" i="35"/>
  <c r="B125" i="35"/>
  <c r="C125" i="35" s="1"/>
  <c r="B124" i="35"/>
  <c r="B123" i="35"/>
  <c r="C124" i="35" s="1"/>
  <c r="B122" i="35"/>
  <c r="B121" i="35"/>
  <c r="C122" i="35" s="1"/>
  <c r="B120" i="35"/>
  <c r="C119" i="35"/>
  <c r="B119" i="35"/>
  <c r="C120" i="35" s="1"/>
  <c r="B118" i="35"/>
  <c r="B117" i="35"/>
  <c r="B116" i="35"/>
  <c r="B115" i="35"/>
  <c r="B114" i="35"/>
  <c r="C115" i="35" s="1"/>
  <c r="B113" i="35"/>
  <c r="B112" i="35"/>
  <c r="C113" i="35" s="1"/>
  <c r="C111" i="35"/>
  <c r="B111" i="35"/>
  <c r="C112" i="35" s="1"/>
  <c r="B110" i="35"/>
  <c r="C109" i="35"/>
  <c r="B109" i="35"/>
  <c r="B108" i="35"/>
  <c r="B107" i="35"/>
  <c r="C108" i="35" s="1"/>
  <c r="B106" i="35"/>
  <c r="B105" i="35"/>
  <c r="C106" i="35" s="1"/>
  <c r="B104" i="35"/>
  <c r="C105" i="35" s="1"/>
  <c r="C103" i="35"/>
  <c r="B103" i="35"/>
  <c r="C102" i="35"/>
  <c r="B102" i="35"/>
  <c r="C101" i="35"/>
  <c r="B101" i="35"/>
  <c r="B100" i="35"/>
  <c r="C99" i="35"/>
  <c r="B99" i="35"/>
  <c r="C100" i="35" s="1"/>
  <c r="B98" i="35"/>
  <c r="B97" i="35"/>
  <c r="C98" i="35" s="1"/>
  <c r="C96" i="35"/>
  <c r="B96" i="35"/>
  <c r="C95" i="35"/>
  <c r="B95" i="35"/>
  <c r="B94" i="35"/>
  <c r="B93" i="35"/>
  <c r="C94" i="35" s="1"/>
  <c r="B92" i="35"/>
  <c r="C93" i="35" s="1"/>
  <c r="B91" i="35"/>
  <c r="C90" i="35"/>
  <c r="B90" i="35"/>
  <c r="C91" i="35" s="1"/>
  <c r="B89" i="35"/>
  <c r="B88" i="35"/>
  <c r="C89" i="35" s="1"/>
  <c r="C87" i="35"/>
  <c r="B87" i="35"/>
  <c r="B86" i="35"/>
  <c r="B85" i="35"/>
  <c r="C86" i="35" s="1"/>
  <c r="B84" i="35"/>
  <c r="B83" i="35"/>
  <c r="C84" i="35" s="1"/>
  <c r="B82" i="35"/>
  <c r="C83" i="35" s="1"/>
  <c r="B81" i="35"/>
  <c r="B80" i="35"/>
  <c r="B79" i="35"/>
  <c r="B78" i="35"/>
  <c r="C79" i="35" s="1"/>
  <c r="B77" i="35"/>
  <c r="B76" i="35"/>
  <c r="C77" i="35" s="1"/>
  <c r="C75" i="35"/>
  <c r="B75" i="35"/>
  <c r="C76" i="35" s="1"/>
  <c r="B74" i="35"/>
  <c r="C73" i="35"/>
  <c r="B73" i="35"/>
  <c r="B72" i="35"/>
  <c r="B71" i="35"/>
  <c r="C72" i="35" s="1"/>
  <c r="B70" i="35"/>
  <c r="B69" i="35"/>
  <c r="C70" i="35" s="1"/>
  <c r="B68" i="35"/>
  <c r="C67" i="35"/>
  <c r="B67" i="35"/>
  <c r="C66" i="35"/>
  <c r="B66" i="35"/>
  <c r="B65" i="35"/>
  <c r="B64" i="35"/>
  <c r="C65" i="35" s="1"/>
  <c r="C63" i="35"/>
  <c r="B63" i="35"/>
  <c r="C64" i="35" s="1"/>
  <c r="B62" i="35"/>
  <c r="B61" i="35"/>
  <c r="C62" i="35" s="1"/>
  <c r="C60" i="35"/>
  <c r="B60" i="35"/>
  <c r="C59" i="35"/>
  <c r="B59" i="35"/>
  <c r="B58" i="35"/>
  <c r="B57" i="35"/>
  <c r="C58" i="35" s="1"/>
  <c r="B56" i="35"/>
  <c r="C57" i="35" s="1"/>
  <c r="B55" i="35"/>
  <c r="B54" i="35"/>
  <c r="C55" i="35" s="1"/>
  <c r="B53" i="35"/>
  <c r="C54" i="35" s="1"/>
  <c r="B52" i="35"/>
  <c r="C53" i="35" s="1"/>
  <c r="C51" i="35"/>
  <c r="B51" i="35"/>
  <c r="B50" i="35"/>
  <c r="B49" i="35"/>
  <c r="C50" i="35" s="1"/>
  <c r="B48" i="35"/>
  <c r="B47" i="35"/>
  <c r="C48" i="35" s="1"/>
  <c r="B46" i="35"/>
  <c r="C47" i="35" s="1"/>
  <c r="C45" i="35"/>
  <c r="B45" i="35"/>
  <c r="B44" i="35"/>
  <c r="B43" i="35"/>
  <c r="B42" i="35"/>
  <c r="C43" i="35" s="1"/>
  <c r="B41" i="35"/>
  <c r="C42" i="35" s="1"/>
  <c r="B40" i="35"/>
  <c r="C41" i="35" s="1"/>
  <c r="C39" i="35"/>
  <c r="B39" i="35"/>
  <c r="B38" i="35"/>
  <c r="C37" i="35"/>
  <c r="B37" i="35"/>
  <c r="B36" i="35"/>
  <c r="B35" i="35"/>
  <c r="C36" i="35" s="1"/>
  <c r="B34" i="35"/>
  <c r="C35" i="35" s="1"/>
  <c r="C33" i="35"/>
  <c r="B33" i="35"/>
  <c r="C34" i="35" s="1"/>
  <c r="B32" i="35"/>
  <c r="C31" i="35"/>
  <c r="B31" i="35"/>
  <c r="C32" i="35" s="1"/>
  <c r="C30" i="35"/>
  <c r="B30" i="35"/>
  <c r="B29" i="35"/>
  <c r="B28" i="35"/>
  <c r="C29" i="35" s="1"/>
  <c r="B27" i="35"/>
  <c r="C28" i="35" s="1"/>
  <c r="B26" i="35"/>
  <c r="C27" i="35" s="1"/>
  <c r="B25" i="35"/>
  <c r="B24" i="35"/>
  <c r="C23" i="35"/>
  <c r="B23" i="35"/>
  <c r="B22" i="35"/>
  <c r="B21" i="35"/>
  <c r="C22" i="35" s="1"/>
  <c r="B20" i="35"/>
  <c r="C21" i="35" s="1"/>
  <c r="B19" i="35"/>
  <c r="C18" i="35"/>
  <c r="B18" i="35"/>
  <c r="C19" i="35" s="1"/>
  <c r="B17" i="35"/>
  <c r="B16" i="35"/>
  <c r="C17" i="35" s="1"/>
  <c r="C15" i="35"/>
  <c r="B15" i="35"/>
  <c r="B14" i="35"/>
  <c r="B13" i="35"/>
  <c r="C14" i="35" s="1"/>
  <c r="B12" i="35"/>
  <c r="C13" i="35" s="1"/>
  <c r="B11" i="35"/>
  <c r="C12" i="35" s="1"/>
  <c r="B10" i="35"/>
  <c r="C11" i="35" s="1"/>
  <c r="B9" i="35"/>
  <c r="B8" i="35"/>
  <c r="B7" i="35"/>
  <c r="B6" i="35"/>
  <c r="C7" i="35" s="1"/>
  <c r="K2" i="35"/>
  <c r="B280" i="34"/>
  <c r="B279" i="34"/>
  <c r="C280" i="34" s="1"/>
  <c r="B278" i="34"/>
  <c r="C279" i="34" s="1"/>
  <c r="B277" i="34"/>
  <c r="C278" i="34" s="1"/>
  <c r="B276" i="34"/>
  <c r="B275" i="34"/>
  <c r="B274" i="34"/>
  <c r="C275" i="34" s="1"/>
  <c r="B273" i="34"/>
  <c r="B272" i="34"/>
  <c r="C273" i="34" s="1"/>
  <c r="B271" i="34"/>
  <c r="C272" i="34" s="1"/>
  <c r="B270" i="34"/>
  <c r="C269" i="34"/>
  <c r="B269" i="34"/>
  <c r="C270" i="34" s="1"/>
  <c r="B268" i="34"/>
  <c r="B267" i="34"/>
  <c r="C268" i="34" s="1"/>
  <c r="C266" i="34"/>
  <c r="B266" i="34"/>
  <c r="C267" i="34" s="1"/>
  <c r="B265" i="34"/>
  <c r="B264" i="34"/>
  <c r="C265" i="34" s="1"/>
  <c r="B263" i="34"/>
  <c r="C264" i="34" s="1"/>
  <c r="B262" i="34"/>
  <c r="C263" i="34" s="1"/>
  <c r="B261" i="34"/>
  <c r="B260" i="34"/>
  <c r="C261" i="34" s="1"/>
  <c r="B259" i="34"/>
  <c r="C260" i="34" s="1"/>
  <c r="C258" i="34"/>
  <c r="B258" i="34"/>
  <c r="C259" i="34" s="1"/>
  <c r="B257" i="34"/>
  <c r="B256" i="34"/>
  <c r="C257" i="34" s="1"/>
  <c r="B255" i="34"/>
  <c r="C256" i="34" s="1"/>
  <c r="C254" i="34"/>
  <c r="B254" i="34"/>
  <c r="B253" i="34"/>
  <c r="B252" i="34"/>
  <c r="C253" i="34" s="1"/>
  <c r="C251" i="34"/>
  <c r="B251" i="34"/>
  <c r="C252" i="34" s="1"/>
  <c r="B250" i="34"/>
  <c r="B249" i="34"/>
  <c r="C250" i="34" s="1"/>
  <c r="C248" i="34"/>
  <c r="B248" i="34"/>
  <c r="C249" i="34" s="1"/>
  <c r="B247" i="34"/>
  <c r="B246" i="34"/>
  <c r="B245" i="34"/>
  <c r="C246" i="34" s="1"/>
  <c r="B244" i="34"/>
  <c r="C245" i="34" s="1"/>
  <c r="B243" i="34"/>
  <c r="B242" i="34"/>
  <c r="B241" i="34"/>
  <c r="C242" i="34" s="1"/>
  <c r="C240" i="34"/>
  <c r="B240" i="34"/>
  <c r="C241" i="34" s="1"/>
  <c r="B239" i="34"/>
  <c r="C238" i="34"/>
  <c r="B238" i="34"/>
  <c r="C239" i="34" s="1"/>
  <c r="B237" i="34"/>
  <c r="B236" i="34"/>
  <c r="C237" i="34" s="1"/>
  <c r="B235" i="34"/>
  <c r="B234" i="34"/>
  <c r="B233" i="34"/>
  <c r="C234" i="34" s="1"/>
  <c r="B232" i="34"/>
  <c r="C233" i="34" s="1"/>
  <c r="B231" i="34"/>
  <c r="C232" i="34" s="1"/>
  <c r="B230" i="34"/>
  <c r="B229" i="34"/>
  <c r="C228" i="34"/>
  <c r="B228" i="34"/>
  <c r="B227" i="34"/>
  <c r="B226" i="34"/>
  <c r="C227" i="34" s="1"/>
  <c r="B225" i="34"/>
  <c r="C224" i="34"/>
  <c r="B224" i="34"/>
  <c r="C225" i="34" s="1"/>
  <c r="B223" i="34"/>
  <c r="C222" i="34"/>
  <c r="B222" i="34"/>
  <c r="C223" i="34" s="1"/>
  <c r="B221" i="34"/>
  <c r="B220" i="34"/>
  <c r="C221" i="34" s="1"/>
  <c r="B219" i="34"/>
  <c r="C220" i="34" s="1"/>
  <c r="B218" i="34"/>
  <c r="C219" i="34" s="1"/>
  <c r="B217" i="34"/>
  <c r="B216" i="34"/>
  <c r="C215" i="34"/>
  <c r="B215" i="34"/>
  <c r="B214" i="34"/>
  <c r="B213" i="34"/>
  <c r="C214" i="34" s="1"/>
  <c r="B212" i="34"/>
  <c r="C211" i="34"/>
  <c r="B211" i="34"/>
  <c r="C212" i="34" s="1"/>
  <c r="B210" i="34"/>
  <c r="C209" i="34"/>
  <c r="B209" i="34"/>
  <c r="C210" i="34" s="1"/>
  <c r="B208" i="34"/>
  <c r="B207" i="34"/>
  <c r="C208" i="34" s="1"/>
  <c r="B206" i="34"/>
  <c r="C207" i="34" s="1"/>
  <c r="B205" i="34"/>
  <c r="C206" i="34" s="1"/>
  <c r="B204" i="34"/>
  <c r="B203" i="34"/>
  <c r="C204" i="34" s="1"/>
  <c r="B202" i="34"/>
  <c r="C203" i="34" s="1"/>
  <c r="B201" i="34"/>
  <c r="B200" i="34"/>
  <c r="C200" i="34" s="1"/>
  <c r="B199" i="34"/>
  <c r="C198" i="34"/>
  <c r="B198" i="34"/>
  <c r="C199" i="34" s="1"/>
  <c r="B197" i="34"/>
  <c r="B196" i="34"/>
  <c r="C197" i="34" s="1"/>
  <c r="C195" i="34"/>
  <c r="B195" i="34"/>
  <c r="B194" i="34"/>
  <c r="B193" i="34"/>
  <c r="C194" i="34" s="1"/>
  <c r="B192" i="34"/>
  <c r="C193" i="34" s="1"/>
  <c r="C191" i="34"/>
  <c r="B191" i="34"/>
  <c r="B190" i="34"/>
  <c r="C189" i="34"/>
  <c r="B189" i="34"/>
  <c r="C190" i="34" s="1"/>
  <c r="B188" i="34"/>
  <c r="B187" i="34"/>
  <c r="C187" i="34" s="1"/>
  <c r="B186" i="34"/>
  <c r="C185" i="34"/>
  <c r="B185" i="34"/>
  <c r="C186" i="34" s="1"/>
  <c r="B184" i="34"/>
  <c r="B183" i="34"/>
  <c r="C182" i="34"/>
  <c r="B182" i="34"/>
  <c r="B181" i="34"/>
  <c r="B180" i="34"/>
  <c r="C181" i="34" s="1"/>
  <c r="B179" i="34"/>
  <c r="C180" i="34" s="1"/>
  <c r="B178" i="34"/>
  <c r="C179" i="34" s="1"/>
  <c r="B177" i="34"/>
  <c r="C176" i="34"/>
  <c r="B176" i="34"/>
  <c r="C177" i="34" s="1"/>
  <c r="B175" i="34"/>
  <c r="B174" i="34"/>
  <c r="C174" i="34" s="1"/>
  <c r="B173" i="34"/>
  <c r="B172" i="34"/>
  <c r="C173" i="34" s="1"/>
  <c r="B171" i="34"/>
  <c r="B170" i="34"/>
  <c r="C169" i="34"/>
  <c r="B169" i="34"/>
  <c r="B168" i="34"/>
  <c r="C167" i="34"/>
  <c r="B167" i="34"/>
  <c r="C168" i="34" s="1"/>
  <c r="B166" i="34"/>
  <c r="C165" i="34"/>
  <c r="B165" i="34"/>
  <c r="C166" i="34" s="1"/>
  <c r="B164" i="34"/>
  <c r="C163" i="34"/>
  <c r="B163" i="34"/>
  <c r="C164" i="34" s="1"/>
  <c r="B162" i="34"/>
  <c r="B161" i="34"/>
  <c r="C162" i="34" s="1"/>
  <c r="B160" i="34"/>
  <c r="C161" i="34" s="1"/>
  <c r="B159" i="34"/>
  <c r="C160" i="34" s="1"/>
  <c r="B158" i="34"/>
  <c r="B157" i="34"/>
  <c r="C156" i="34"/>
  <c r="B156" i="34"/>
  <c r="B155" i="34"/>
  <c r="B154" i="34"/>
  <c r="C155" i="34" s="1"/>
  <c r="B153" i="34"/>
  <c r="C152" i="34"/>
  <c r="B152" i="34"/>
  <c r="C153" i="34" s="1"/>
  <c r="B151" i="34"/>
  <c r="C150" i="34"/>
  <c r="B150" i="34"/>
  <c r="C151" i="34" s="1"/>
  <c r="B149" i="34"/>
  <c r="B148" i="34"/>
  <c r="C149" i="34" s="1"/>
  <c r="C147" i="34"/>
  <c r="B147" i="34"/>
  <c r="C148" i="34" s="1"/>
  <c r="B146" i="34"/>
  <c r="C146" i="34" s="1"/>
  <c r="B145" i="34"/>
  <c r="B144" i="34"/>
  <c r="C143" i="34"/>
  <c r="B143" i="34"/>
  <c r="B142" i="34"/>
  <c r="B141" i="34"/>
  <c r="B140" i="34"/>
  <c r="C139" i="34"/>
  <c r="B139" i="34"/>
  <c r="C140" i="34" s="1"/>
  <c r="B138" i="34"/>
  <c r="C137" i="34"/>
  <c r="B137" i="34"/>
  <c r="C138" i="34" s="1"/>
  <c r="B136" i="34"/>
  <c r="B135" i="34"/>
  <c r="C136" i="34" s="1"/>
  <c r="B134" i="34"/>
  <c r="C135" i="34" s="1"/>
  <c r="B133" i="34"/>
  <c r="C132" i="34"/>
  <c r="B132" i="34"/>
  <c r="B131" i="34"/>
  <c r="B130" i="34"/>
  <c r="C131" i="34" s="1"/>
  <c r="B129" i="34"/>
  <c r="B128" i="34"/>
  <c r="B127" i="34"/>
  <c r="C126" i="34"/>
  <c r="B126" i="34"/>
  <c r="C127" i="34" s="1"/>
  <c r="B125" i="34"/>
  <c r="B124" i="34"/>
  <c r="C125" i="34" s="1"/>
  <c r="C123" i="34"/>
  <c r="B123" i="34"/>
  <c r="B122" i="34"/>
  <c r="B121" i="34"/>
  <c r="C122" i="34" s="1"/>
  <c r="B120" i="34"/>
  <c r="C120" i="34" s="1"/>
  <c r="C119" i="34"/>
  <c r="B119" i="34"/>
  <c r="B118" i="34"/>
  <c r="C117" i="34"/>
  <c r="B117" i="34"/>
  <c r="C118" i="34" s="1"/>
  <c r="B116" i="34"/>
  <c r="B115" i="34"/>
  <c r="B114" i="34"/>
  <c r="B113" i="34"/>
  <c r="C114" i="34" s="1"/>
  <c r="B112" i="34"/>
  <c r="B111" i="34"/>
  <c r="C110" i="34"/>
  <c r="B110" i="34"/>
  <c r="B109" i="34"/>
  <c r="B108" i="34"/>
  <c r="C109" i="34" s="1"/>
  <c r="B107" i="34"/>
  <c r="C108" i="34" s="1"/>
  <c r="B106" i="34"/>
  <c r="C107" i="34" s="1"/>
  <c r="B105" i="34"/>
  <c r="C104" i="34"/>
  <c r="B104" i="34"/>
  <c r="C105" i="34" s="1"/>
  <c r="B103" i="34"/>
  <c r="B102" i="34"/>
  <c r="B101" i="34"/>
  <c r="B100" i="34"/>
  <c r="C101" i="34" s="1"/>
  <c r="C99" i="34"/>
  <c r="B99" i="34"/>
  <c r="B98" i="34"/>
  <c r="C98" i="34" s="1"/>
  <c r="C97" i="34"/>
  <c r="B97" i="34"/>
  <c r="B96" i="34"/>
  <c r="C95" i="34"/>
  <c r="B95" i="34"/>
  <c r="C96" i="34" s="1"/>
  <c r="B94" i="34"/>
  <c r="C93" i="34"/>
  <c r="B93" i="34"/>
  <c r="C94" i="34" s="1"/>
  <c r="B92" i="34"/>
  <c r="C91" i="34"/>
  <c r="B91" i="34"/>
  <c r="C92" i="34" s="1"/>
  <c r="B90" i="34"/>
  <c r="B89" i="34"/>
  <c r="C90" i="34" s="1"/>
  <c r="B88" i="34"/>
  <c r="C89" i="34" s="1"/>
  <c r="B87" i="34"/>
  <c r="B86" i="34"/>
  <c r="B85" i="34"/>
  <c r="C85" i="34" s="1"/>
  <c r="C84" i="34"/>
  <c r="B84" i="34"/>
  <c r="B83" i="34"/>
  <c r="B82" i="34"/>
  <c r="C83" i="34" s="1"/>
  <c r="B81" i="34"/>
  <c r="B80" i="34"/>
  <c r="C81" i="34" s="1"/>
  <c r="B79" i="34"/>
  <c r="C78" i="34"/>
  <c r="B78" i="34"/>
  <c r="C79" i="34" s="1"/>
  <c r="B77" i="34"/>
  <c r="B76" i="34"/>
  <c r="C77" i="34" s="1"/>
  <c r="C75" i="34"/>
  <c r="B75" i="34"/>
  <c r="C76" i="34" s="1"/>
  <c r="B74" i="34"/>
  <c r="C74" i="34" s="1"/>
  <c r="C73" i="34"/>
  <c r="B73" i="34"/>
  <c r="B72" i="34"/>
  <c r="C72" i="34" s="1"/>
  <c r="C71" i="34"/>
  <c r="B71" i="34"/>
  <c r="B70" i="34"/>
  <c r="B69" i="34"/>
  <c r="B68" i="34"/>
  <c r="C67" i="34"/>
  <c r="B67" i="34"/>
  <c r="C68" i="34" s="1"/>
  <c r="B66" i="34"/>
  <c r="C65" i="34"/>
  <c r="B65" i="34"/>
  <c r="C66" i="34" s="1"/>
  <c r="B64" i="34"/>
  <c r="B63" i="34"/>
  <c r="C64" i="34" s="1"/>
  <c r="C62" i="34"/>
  <c r="B62" i="34"/>
  <c r="C63" i="34" s="1"/>
  <c r="B61" i="34"/>
  <c r="C61" i="34" s="1"/>
  <c r="B60" i="34"/>
  <c r="B59" i="34"/>
  <c r="C60" i="34" s="1"/>
  <c r="B58" i="34"/>
  <c r="B57" i="34"/>
  <c r="C56" i="34"/>
  <c r="B56" i="34"/>
  <c r="C57" i="34" s="1"/>
  <c r="B55" i="34"/>
  <c r="C54" i="34"/>
  <c r="B54" i="34"/>
  <c r="C55" i="34" s="1"/>
  <c r="B53" i="34"/>
  <c r="B52" i="34"/>
  <c r="C53" i="34" s="1"/>
  <c r="C51" i="34"/>
  <c r="B51" i="34"/>
  <c r="B50" i="34"/>
  <c r="B49" i="34"/>
  <c r="C50" i="34" s="1"/>
  <c r="B48" i="34"/>
  <c r="C48" i="34" s="1"/>
  <c r="C47" i="34"/>
  <c r="B47" i="34"/>
  <c r="B46" i="34"/>
  <c r="C45" i="34"/>
  <c r="B45" i="34"/>
  <c r="C46" i="34" s="1"/>
  <c r="B44" i="34"/>
  <c r="C43" i="34"/>
  <c r="B43" i="34"/>
  <c r="C44" i="34" s="1"/>
  <c r="C42" i="34"/>
  <c r="B42" i="34"/>
  <c r="C41" i="34"/>
  <c r="B41" i="34"/>
  <c r="B40" i="34"/>
  <c r="B39" i="34"/>
  <c r="C38" i="34"/>
  <c r="B38" i="34"/>
  <c r="B37" i="34"/>
  <c r="B36" i="34"/>
  <c r="C37" i="34" s="1"/>
  <c r="B35" i="34"/>
  <c r="C36" i="34" s="1"/>
  <c r="B34" i="34"/>
  <c r="B33" i="34"/>
  <c r="C32" i="34"/>
  <c r="B32" i="34"/>
  <c r="C33" i="34" s="1"/>
  <c r="B31" i="34"/>
  <c r="B30" i="34"/>
  <c r="C29" i="34"/>
  <c r="B29" i="34"/>
  <c r="B28" i="34"/>
  <c r="C27" i="34"/>
  <c r="B27" i="34"/>
  <c r="C26" i="34"/>
  <c r="B26" i="34"/>
  <c r="C25" i="34"/>
  <c r="B25" i="34"/>
  <c r="B24" i="34"/>
  <c r="B23" i="34"/>
  <c r="B22" i="34"/>
  <c r="B21" i="34"/>
  <c r="C22" i="34" s="1"/>
  <c r="B20" i="34"/>
  <c r="C21" i="34" s="1"/>
  <c r="C19" i="34"/>
  <c r="B19" i="34"/>
  <c r="B18" i="34"/>
  <c r="C17" i="34"/>
  <c r="B17" i="34"/>
  <c r="C18" i="34" s="1"/>
  <c r="B16" i="34"/>
  <c r="B15" i="34"/>
  <c r="B14" i="34"/>
  <c r="B13" i="34"/>
  <c r="C13" i="34" s="1"/>
  <c r="C12" i="34"/>
  <c r="B12" i="34"/>
  <c r="B11" i="34"/>
  <c r="B10" i="34"/>
  <c r="C11" i="34" s="1"/>
  <c r="B9" i="34"/>
  <c r="B8" i="34"/>
  <c r="B7" i="34"/>
  <c r="B6" i="34"/>
  <c r="K2" i="34"/>
  <c r="B82" i="33"/>
  <c r="B81" i="33"/>
  <c r="C82" i="33" s="1"/>
  <c r="B80" i="33"/>
  <c r="C79" i="33"/>
  <c r="B79" i="33"/>
  <c r="C80" i="33" s="1"/>
  <c r="B78" i="33"/>
  <c r="C77" i="33"/>
  <c r="B77" i="33"/>
  <c r="C78" i="33" s="1"/>
  <c r="C76" i="33"/>
  <c r="B76" i="33"/>
  <c r="B75" i="33"/>
  <c r="C74" i="33"/>
  <c r="B74" i="33"/>
  <c r="C75" i="33" s="1"/>
  <c r="B73" i="33"/>
  <c r="C73" i="33" s="1"/>
  <c r="C72" i="33"/>
  <c r="B72" i="33"/>
  <c r="B71" i="33"/>
  <c r="C70" i="33"/>
  <c r="B70" i="33"/>
  <c r="B69" i="33"/>
  <c r="B68" i="33"/>
  <c r="C69" i="33" s="1"/>
  <c r="B67" i="33"/>
  <c r="C68" i="33" s="1"/>
  <c r="C66" i="33"/>
  <c r="B66" i="33"/>
  <c r="C65" i="33"/>
  <c r="B65" i="33"/>
  <c r="B64" i="33"/>
  <c r="B63" i="33"/>
  <c r="C64" i="33" s="1"/>
  <c r="B62" i="33"/>
  <c r="B61" i="33"/>
  <c r="C62" i="33" s="1"/>
  <c r="B60" i="33"/>
  <c r="C60" i="33" s="1"/>
  <c r="B59" i="33"/>
  <c r="B58" i="33"/>
  <c r="C59" i="33" s="1"/>
  <c r="B57" i="33"/>
  <c r="B56" i="33"/>
  <c r="C57" i="33" s="1"/>
  <c r="C55" i="33"/>
  <c r="B55" i="33"/>
  <c r="B54" i="33"/>
  <c r="B53" i="33"/>
  <c r="C53" i="33" s="1"/>
  <c r="B52" i="33"/>
  <c r="B51" i="33"/>
  <c r="C52" i="33" s="1"/>
  <c r="B50" i="33"/>
  <c r="C51" i="33" s="1"/>
  <c r="B49" i="33"/>
  <c r="C50" i="33" s="1"/>
  <c r="C48" i="33"/>
  <c r="B48" i="33"/>
  <c r="C49" i="33" s="1"/>
  <c r="B47" i="33"/>
  <c r="B46" i="33"/>
  <c r="C47" i="33" s="1"/>
  <c r="C45" i="33"/>
  <c r="B45" i="33"/>
  <c r="B44" i="33"/>
  <c r="C43" i="33"/>
  <c r="B43" i="33"/>
  <c r="C44" i="33" s="1"/>
  <c r="B42" i="33"/>
  <c r="C41" i="33"/>
  <c r="B41" i="33"/>
  <c r="C42" i="33" s="1"/>
  <c r="B40" i="33"/>
  <c r="B39" i="33"/>
  <c r="C40" i="33" s="1"/>
  <c r="B38" i="33"/>
  <c r="C39" i="33" s="1"/>
  <c r="B37" i="33"/>
  <c r="C36" i="33"/>
  <c r="B36" i="33"/>
  <c r="C37" i="33" s="1"/>
  <c r="B35" i="33"/>
  <c r="B34" i="33"/>
  <c r="C35" i="33" s="1"/>
  <c r="C33" i="33"/>
  <c r="B33" i="33"/>
  <c r="B32" i="33"/>
  <c r="B31" i="33"/>
  <c r="C32" i="33" s="1"/>
  <c r="B30" i="33"/>
  <c r="B29" i="33"/>
  <c r="C30" i="33" s="1"/>
  <c r="B28" i="33"/>
  <c r="B27" i="33"/>
  <c r="B26" i="33"/>
  <c r="B25" i="33"/>
  <c r="B24" i="33"/>
  <c r="C24" i="33" s="1"/>
  <c r="B23" i="33"/>
  <c r="B22" i="33"/>
  <c r="C23" i="33" s="1"/>
  <c r="C21" i="33"/>
  <c r="B21" i="33"/>
  <c r="B20" i="33"/>
  <c r="C19" i="33"/>
  <c r="B19" i="33"/>
  <c r="B18" i="33"/>
  <c r="B17" i="33"/>
  <c r="C17" i="33" s="1"/>
  <c r="B16" i="33"/>
  <c r="B15" i="33"/>
  <c r="C16" i="33" s="1"/>
  <c r="B14" i="33"/>
  <c r="C15" i="33" s="1"/>
  <c r="B13" i="33"/>
  <c r="C12" i="33"/>
  <c r="B12" i="33"/>
  <c r="C13" i="33" s="1"/>
  <c r="B11" i="33"/>
  <c r="B10" i="33"/>
  <c r="C11" i="33" s="1"/>
  <c r="C9" i="33"/>
  <c r="B9" i="33"/>
  <c r="B8" i="33"/>
  <c r="B7" i="33"/>
  <c r="C8" i="33" s="1"/>
  <c r="B6" i="33"/>
  <c r="K2" i="33"/>
  <c r="C130" i="32"/>
  <c r="B130" i="32"/>
  <c r="B129" i="32"/>
  <c r="B128" i="32"/>
  <c r="C129" i="32" s="1"/>
  <c r="B127" i="32"/>
  <c r="C128" i="32" s="1"/>
  <c r="B126" i="32"/>
  <c r="B125" i="32"/>
  <c r="C126" i="32" s="1"/>
  <c r="B124" i="32"/>
  <c r="C125" i="32" s="1"/>
  <c r="B123" i="32"/>
  <c r="C124" i="32" s="1"/>
  <c r="C122" i="32"/>
  <c r="B122" i="32"/>
  <c r="B121" i="32"/>
  <c r="B120" i="32"/>
  <c r="C121" i="32" s="1"/>
  <c r="B119" i="32"/>
  <c r="B118" i="32"/>
  <c r="C119" i="32" s="1"/>
  <c r="B117" i="32"/>
  <c r="B116" i="32"/>
  <c r="B115" i="32"/>
  <c r="B114" i="32"/>
  <c r="B113" i="32"/>
  <c r="C113" i="32" s="1"/>
  <c r="B112" i="32"/>
  <c r="B111" i="32"/>
  <c r="C112" i="32" s="1"/>
  <c r="C110" i="32"/>
  <c r="B110" i="32"/>
  <c r="B109" i="32"/>
  <c r="C108" i="32"/>
  <c r="B108" i="32"/>
  <c r="B107" i="32"/>
  <c r="B106" i="32"/>
  <c r="C106" i="32" s="1"/>
  <c r="B105" i="32"/>
  <c r="B104" i="32"/>
  <c r="C105" i="32" s="1"/>
  <c r="B103" i="32"/>
  <c r="C104" i="32" s="1"/>
  <c r="B102" i="32"/>
  <c r="C101" i="32"/>
  <c r="B101" i="32"/>
  <c r="C102" i="32" s="1"/>
  <c r="B100" i="32"/>
  <c r="B99" i="32"/>
  <c r="C100" i="32" s="1"/>
  <c r="C98" i="32"/>
  <c r="B98" i="32"/>
  <c r="B97" i="32"/>
  <c r="B96" i="32"/>
  <c r="C97" i="32" s="1"/>
  <c r="B95" i="32"/>
  <c r="C96" i="32" s="1"/>
  <c r="C94" i="32"/>
  <c r="B94" i="32"/>
  <c r="C95" i="32" s="1"/>
  <c r="B93" i="32"/>
  <c r="B92" i="32"/>
  <c r="C93" i="32" s="1"/>
  <c r="B91" i="32"/>
  <c r="C92" i="32" s="1"/>
  <c r="B90" i="32"/>
  <c r="B89" i="32"/>
  <c r="C90" i="32" s="1"/>
  <c r="B88" i="32"/>
  <c r="C89" i="32" s="1"/>
  <c r="B87" i="32"/>
  <c r="C88" i="32" s="1"/>
  <c r="C86" i="32"/>
  <c r="B86" i="32"/>
  <c r="B85" i="32"/>
  <c r="B84" i="32"/>
  <c r="C85" i="32" s="1"/>
  <c r="B83" i="32"/>
  <c r="B82" i="32"/>
  <c r="C83" i="32" s="1"/>
  <c r="B81" i="32"/>
  <c r="B80" i="32"/>
  <c r="B79" i="32"/>
  <c r="B78" i="32"/>
  <c r="B77" i="32"/>
  <c r="C77" i="32" s="1"/>
  <c r="B76" i="32"/>
  <c r="B75" i="32"/>
  <c r="C76" i="32" s="1"/>
  <c r="C74" i="32"/>
  <c r="B74" i="32"/>
  <c r="B73" i="32"/>
  <c r="C72" i="32"/>
  <c r="B72" i="32"/>
  <c r="B71" i="32"/>
  <c r="B70" i="32"/>
  <c r="B69" i="32"/>
  <c r="B68" i="32"/>
  <c r="C69" i="32" s="1"/>
  <c r="B67" i="32"/>
  <c r="C68" i="32" s="1"/>
  <c r="B66" i="32"/>
  <c r="C65" i="32"/>
  <c r="B65" i="32"/>
  <c r="C66" i="32" s="1"/>
  <c r="B64" i="32"/>
  <c r="B63" i="32"/>
  <c r="C64" i="32" s="1"/>
  <c r="C62" i="32"/>
  <c r="B62" i="32"/>
  <c r="B61" i="32"/>
  <c r="B60" i="32"/>
  <c r="C61" i="32" s="1"/>
  <c r="B59" i="32"/>
  <c r="C58" i="32"/>
  <c r="B58" i="32"/>
  <c r="C59" i="32" s="1"/>
  <c r="B57" i="32"/>
  <c r="B56" i="32"/>
  <c r="C57" i="32" s="1"/>
  <c r="B55" i="32"/>
  <c r="C56" i="32" s="1"/>
  <c r="B54" i="32"/>
  <c r="B53" i="32"/>
  <c r="C54" i="32" s="1"/>
  <c r="B52" i="32"/>
  <c r="B51" i="32"/>
  <c r="C52" i="32" s="1"/>
  <c r="C50" i="32"/>
  <c r="B50" i="32"/>
  <c r="B49" i="32"/>
  <c r="B48" i="32"/>
  <c r="C49" i="32" s="1"/>
  <c r="B47" i="32"/>
  <c r="C48" i="32" s="1"/>
  <c r="B46" i="32"/>
  <c r="B45" i="32"/>
  <c r="B44" i="32"/>
  <c r="B43" i="32"/>
  <c r="B42" i="32"/>
  <c r="B41" i="32"/>
  <c r="C42" i="32" s="1"/>
  <c r="B40" i="32"/>
  <c r="C41" i="32" s="1"/>
  <c r="B39" i="32"/>
  <c r="C40" i="32" s="1"/>
  <c r="C38" i="32"/>
  <c r="B38" i="32"/>
  <c r="B37" i="32"/>
  <c r="C36" i="32"/>
  <c r="B36" i="32"/>
  <c r="B35" i="32"/>
  <c r="B34" i="32"/>
  <c r="B33" i="32"/>
  <c r="B32" i="32"/>
  <c r="C33" i="32" s="1"/>
  <c r="B31" i="32"/>
  <c r="C32" i="32" s="1"/>
  <c r="B30" i="32"/>
  <c r="C29" i="32"/>
  <c r="B29" i="32"/>
  <c r="C30" i="32" s="1"/>
  <c r="B28" i="32"/>
  <c r="B27" i="32"/>
  <c r="C28" i="32" s="1"/>
  <c r="C26" i="32"/>
  <c r="B26" i="32"/>
  <c r="B25" i="32"/>
  <c r="B24" i="32"/>
  <c r="C25" i="32" s="1"/>
  <c r="B23" i="32"/>
  <c r="C22" i="32"/>
  <c r="B22" i="32"/>
  <c r="C23" i="32" s="1"/>
  <c r="B21" i="32"/>
  <c r="B20" i="32"/>
  <c r="C21" i="32" s="1"/>
  <c r="C19" i="32"/>
  <c r="B19" i="32"/>
  <c r="C20" i="32" s="1"/>
  <c r="B18" i="32"/>
  <c r="C18" i="32" s="1"/>
  <c r="C17" i="32"/>
  <c r="B17" i="32"/>
  <c r="B16" i="32"/>
  <c r="B15" i="32"/>
  <c r="C16" i="32" s="1"/>
  <c r="B14" i="32"/>
  <c r="B13" i="32"/>
  <c r="C14" i="32" s="1"/>
  <c r="B12" i="32"/>
  <c r="C13" i="32" s="1"/>
  <c r="B11" i="32"/>
  <c r="C12" i="32" s="1"/>
  <c r="B10" i="32"/>
  <c r="B9" i="32"/>
  <c r="C10" i="32" s="1"/>
  <c r="C8" i="32"/>
  <c r="B8" i="32"/>
  <c r="B7" i="32"/>
  <c r="B6" i="32"/>
  <c r="C7" i="32" s="1"/>
  <c r="K2" i="32"/>
  <c r="B352" i="31"/>
  <c r="C352" i="31" s="1"/>
  <c r="C351" i="31"/>
  <c r="B351" i="31"/>
  <c r="B350" i="31"/>
  <c r="C349" i="31"/>
  <c r="B349" i="31"/>
  <c r="C350" i="31" s="1"/>
  <c r="B348" i="31"/>
  <c r="B347" i="31"/>
  <c r="C348" i="31" s="1"/>
  <c r="B346" i="31"/>
  <c r="C347" i="31" s="1"/>
  <c r="B345" i="31"/>
  <c r="B344" i="31"/>
  <c r="B343" i="31"/>
  <c r="C344" i="31" s="1"/>
  <c r="C342" i="31"/>
  <c r="B342" i="31"/>
  <c r="B341" i="31"/>
  <c r="C340" i="31"/>
  <c r="B340" i="31"/>
  <c r="C341" i="31" s="1"/>
  <c r="B339" i="31"/>
  <c r="B338" i="31"/>
  <c r="C339" i="31" s="1"/>
  <c r="B337" i="31"/>
  <c r="C338" i="31" s="1"/>
  <c r="B336" i="31"/>
  <c r="B335" i="31"/>
  <c r="B334" i="31"/>
  <c r="C335" i="31" s="1"/>
  <c r="B333" i="31"/>
  <c r="B332" i="31"/>
  <c r="C333" i="31" s="1"/>
  <c r="B331" i="31"/>
  <c r="B330" i="31"/>
  <c r="C331" i="31" s="1"/>
  <c r="C329" i="31"/>
  <c r="B329" i="31"/>
  <c r="B328" i="31"/>
  <c r="C327" i="31"/>
  <c r="B327" i="31"/>
  <c r="C328" i="31" s="1"/>
  <c r="B326" i="31"/>
  <c r="B325" i="31"/>
  <c r="C326" i="31" s="1"/>
  <c r="B324" i="31"/>
  <c r="C325" i="31" s="1"/>
  <c r="B323" i="31"/>
  <c r="C324" i="31" s="1"/>
  <c r="B322" i="31"/>
  <c r="B321" i="31"/>
  <c r="B320" i="31"/>
  <c r="B319" i="31"/>
  <c r="C320" i="31" s="1"/>
  <c r="C318" i="31"/>
  <c r="B318" i="31"/>
  <c r="B317" i="31"/>
  <c r="C317" i="31" s="1"/>
  <c r="C316" i="31"/>
  <c r="B316" i="31"/>
  <c r="B315" i="31"/>
  <c r="B314" i="31"/>
  <c r="C315" i="31" s="1"/>
  <c r="B313" i="31"/>
  <c r="B312" i="31"/>
  <c r="C313" i="31" s="1"/>
  <c r="B311" i="31"/>
  <c r="B310" i="31"/>
  <c r="C311" i="31" s="1"/>
  <c r="B309" i="31"/>
  <c r="B308" i="31"/>
  <c r="C309" i="31" s="1"/>
  <c r="C307" i="31"/>
  <c r="B307" i="31"/>
  <c r="C306" i="31"/>
  <c r="B306" i="31"/>
  <c r="C305" i="31"/>
  <c r="B305" i="31"/>
  <c r="C304" i="31"/>
  <c r="B304" i="31"/>
  <c r="C303" i="31"/>
  <c r="B303" i="31"/>
  <c r="B302" i="31"/>
  <c r="B301" i="31"/>
  <c r="C302" i="31" s="1"/>
  <c r="B300" i="31"/>
  <c r="C301" i="31" s="1"/>
  <c r="B299" i="31"/>
  <c r="C300" i="31" s="1"/>
  <c r="B298" i="31"/>
  <c r="C299" i="31" s="1"/>
  <c r="B297" i="31"/>
  <c r="C298" i="31" s="1"/>
  <c r="B296" i="31"/>
  <c r="B295" i="31"/>
  <c r="C296" i="31" s="1"/>
  <c r="C294" i="31"/>
  <c r="B294" i="31"/>
  <c r="C295" i="31" s="1"/>
  <c r="B293" i="31"/>
  <c r="C293" i="31" s="1"/>
  <c r="B292" i="31"/>
  <c r="B291" i="31"/>
  <c r="C292" i="31" s="1"/>
  <c r="B290" i="31"/>
  <c r="B289" i="31"/>
  <c r="B288" i="31"/>
  <c r="C289" i="31" s="1"/>
  <c r="B287" i="31"/>
  <c r="C288" i="31" s="1"/>
  <c r="C286" i="31"/>
  <c r="B286" i="31"/>
  <c r="B285" i="31"/>
  <c r="B284" i="31"/>
  <c r="B283" i="31"/>
  <c r="B282" i="31"/>
  <c r="C283" i="31" s="1"/>
  <c r="B281" i="31"/>
  <c r="B280" i="31"/>
  <c r="C281" i="31" s="1"/>
  <c r="C279" i="31"/>
  <c r="B279" i="31"/>
  <c r="B278" i="31"/>
  <c r="C277" i="31"/>
  <c r="B277" i="31"/>
  <c r="B276" i="31"/>
  <c r="B275" i="31"/>
  <c r="C276" i="31" s="1"/>
  <c r="B274" i="31"/>
  <c r="C275" i="31" s="1"/>
  <c r="B273" i="31"/>
  <c r="C274" i="31" s="1"/>
  <c r="B272" i="31"/>
  <c r="C271" i="31"/>
  <c r="B271" i="31"/>
  <c r="C272" i="31" s="1"/>
  <c r="C270" i="31"/>
  <c r="B270" i="31"/>
  <c r="B269" i="31"/>
  <c r="B268" i="31"/>
  <c r="C269" i="31" s="1"/>
  <c r="B267" i="31"/>
  <c r="C268" i="31" s="1"/>
  <c r="B266" i="31"/>
  <c r="C267" i="31" s="1"/>
  <c r="B265" i="31"/>
  <c r="C266" i="31" s="1"/>
  <c r="B264" i="31"/>
  <c r="B263" i="31"/>
  <c r="C262" i="31"/>
  <c r="B262" i="31"/>
  <c r="C263" i="31" s="1"/>
  <c r="B261" i="31"/>
  <c r="B260" i="31"/>
  <c r="C261" i="31" s="1"/>
  <c r="B259" i="31"/>
  <c r="B258" i="31"/>
  <c r="C259" i="31" s="1"/>
  <c r="C257" i="31"/>
  <c r="B257" i="31"/>
  <c r="B256" i="31"/>
  <c r="C255" i="31"/>
  <c r="B255" i="31"/>
  <c r="B254" i="31"/>
  <c r="B253" i="31"/>
  <c r="C254" i="31" s="1"/>
  <c r="B252" i="31"/>
  <c r="C251" i="31"/>
  <c r="B251" i="31"/>
  <c r="C252" i="31" s="1"/>
  <c r="B250" i="31"/>
  <c r="B249" i="31"/>
  <c r="B248" i="31"/>
  <c r="C247" i="31"/>
  <c r="B247" i="31"/>
  <c r="C246" i="31"/>
  <c r="B246" i="31"/>
  <c r="C245" i="31"/>
  <c r="B245" i="31"/>
  <c r="B244" i="31"/>
  <c r="B243" i="31"/>
  <c r="C244" i="31" s="1"/>
  <c r="B242" i="31"/>
  <c r="C243" i="31" s="1"/>
  <c r="B241" i="31"/>
  <c r="C240" i="31"/>
  <c r="B240" i="31"/>
  <c r="B239" i="31"/>
  <c r="C238" i="31"/>
  <c r="B238" i="31"/>
  <c r="B237" i="31"/>
  <c r="B236" i="31"/>
  <c r="B235" i="31"/>
  <c r="C236" i="31" s="1"/>
  <c r="C234" i="31"/>
  <c r="B234" i="31"/>
  <c r="C233" i="31"/>
  <c r="B233" i="31"/>
  <c r="B232" i="31"/>
  <c r="C232" i="31" s="1"/>
  <c r="C231" i="31"/>
  <c r="B231" i="31"/>
  <c r="B230" i="31"/>
  <c r="B229" i="31"/>
  <c r="C230" i="31" s="1"/>
  <c r="B228" i="31"/>
  <c r="B227" i="31"/>
  <c r="C227" i="31" s="1"/>
  <c r="B226" i="31"/>
  <c r="B225" i="31"/>
  <c r="C226" i="31" s="1"/>
  <c r="B224" i="31"/>
  <c r="B223" i="31"/>
  <c r="C224" i="31" s="1"/>
  <c r="B222" i="31"/>
  <c r="C223" i="31" s="1"/>
  <c r="B221" i="31"/>
  <c r="C220" i="31"/>
  <c r="B220" i="31"/>
  <c r="B219" i="31"/>
  <c r="B218" i="31"/>
  <c r="C219" i="31" s="1"/>
  <c r="B217" i="31"/>
  <c r="C218" i="31" s="1"/>
  <c r="B216" i="31"/>
  <c r="B215" i="31"/>
  <c r="C216" i="31" s="1"/>
  <c r="B214" i="31"/>
  <c r="B213" i="31"/>
  <c r="B212" i="31"/>
  <c r="C213" i="31" s="1"/>
  <c r="B211" i="31"/>
  <c r="B210" i="31"/>
  <c r="C211" i="31" s="1"/>
  <c r="B209" i="31"/>
  <c r="C210" i="31" s="1"/>
  <c r="B208" i="31"/>
  <c r="C209" i="31" s="1"/>
  <c r="C207" i="31"/>
  <c r="B207" i="31"/>
  <c r="B206" i="31"/>
  <c r="C205" i="31"/>
  <c r="B205" i="31"/>
  <c r="B204" i="31"/>
  <c r="B203" i="31"/>
  <c r="C204" i="31" s="1"/>
  <c r="B202" i="31"/>
  <c r="C203" i="31" s="1"/>
  <c r="B201" i="31"/>
  <c r="C202" i="31" s="1"/>
  <c r="B200" i="31"/>
  <c r="C199" i="31"/>
  <c r="B199" i="31"/>
  <c r="C200" i="31" s="1"/>
  <c r="C198" i="31"/>
  <c r="B198" i="31"/>
  <c r="B197" i="31"/>
  <c r="C197" i="31" s="1"/>
  <c r="C196" i="31"/>
  <c r="B196" i="31"/>
  <c r="B195" i="31"/>
  <c r="B194" i="31"/>
  <c r="C195" i="31" s="1"/>
  <c r="B193" i="31"/>
  <c r="C194" i="31" s="1"/>
  <c r="C192" i="31"/>
  <c r="B192" i="31"/>
  <c r="B191" i="31"/>
  <c r="B190" i="31"/>
  <c r="B189" i="31"/>
  <c r="C190" i="31" s="1"/>
  <c r="B188" i="31"/>
  <c r="B187" i="31"/>
  <c r="B186" i="31"/>
  <c r="C187" i="31" s="1"/>
  <c r="C185" i="31"/>
  <c r="B185" i="31"/>
  <c r="C184" i="31"/>
  <c r="B184" i="31"/>
  <c r="B183" i="31"/>
  <c r="B182" i="31"/>
  <c r="C183" i="31" s="1"/>
  <c r="B181" i="31"/>
  <c r="B180" i="31"/>
  <c r="C181" i="31" s="1"/>
  <c r="B179" i="31"/>
  <c r="C180" i="31" s="1"/>
  <c r="B178" i="31"/>
  <c r="C179" i="31" s="1"/>
  <c r="B177" i="31"/>
  <c r="B176" i="31"/>
  <c r="B175" i="31"/>
  <c r="C176" i="31" s="1"/>
  <c r="B174" i="31"/>
  <c r="B173" i="31"/>
  <c r="C174" i="31" s="1"/>
  <c r="B172" i="31"/>
  <c r="C173" i="31" s="1"/>
  <c r="B171" i="31"/>
  <c r="B170" i="31"/>
  <c r="C170" i="31" s="1"/>
  <c r="B169" i="31"/>
  <c r="B168" i="31"/>
  <c r="C169" i="31" s="1"/>
  <c r="C167" i="31"/>
  <c r="B167" i="31"/>
  <c r="B166" i="31"/>
  <c r="B165" i="31"/>
  <c r="C166" i="31" s="1"/>
  <c r="B164" i="31"/>
  <c r="B163" i="31"/>
  <c r="C163" i="31" s="1"/>
  <c r="B162" i="31"/>
  <c r="B161" i="31"/>
  <c r="C162" i="31" s="1"/>
  <c r="B160" i="31"/>
  <c r="C161" i="31" s="1"/>
  <c r="B159" i="31"/>
  <c r="B158" i="31"/>
  <c r="C159" i="31" s="1"/>
  <c r="B157" i="31"/>
  <c r="B156" i="31"/>
  <c r="C155" i="31"/>
  <c r="B155" i="31"/>
  <c r="B154" i="31"/>
  <c r="B153" i="31"/>
  <c r="C154" i="31" s="1"/>
  <c r="B152" i="31"/>
  <c r="C153" i="31" s="1"/>
  <c r="B151" i="31"/>
  <c r="C152" i="31" s="1"/>
  <c r="B150" i="31"/>
  <c r="C151" i="31" s="1"/>
  <c r="C149" i="31"/>
  <c r="B149" i="31"/>
  <c r="B148" i="31"/>
  <c r="B147" i="31"/>
  <c r="B146" i="31"/>
  <c r="C147" i="31" s="1"/>
  <c r="B145" i="31"/>
  <c r="C146" i="31" s="1"/>
  <c r="B144" i="31"/>
  <c r="C145" i="31" s="1"/>
  <c r="B143" i="31"/>
  <c r="C144" i="31" s="1"/>
  <c r="B142" i="31"/>
  <c r="C143" i="31" s="1"/>
  <c r="B141" i="31"/>
  <c r="B140" i="31"/>
  <c r="B139" i="31"/>
  <c r="C140" i="31" s="1"/>
  <c r="B138" i="31"/>
  <c r="B137" i="31"/>
  <c r="C138" i="31" s="1"/>
  <c r="B136" i="31"/>
  <c r="C137" i="31" s="1"/>
  <c r="B135" i="31"/>
  <c r="B134" i="31"/>
  <c r="B133" i="31"/>
  <c r="C134" i="31" s="1"/>
  <c r="B132" i="31"/>
  <c r="C133" i="31" s="1"/>
  <c r="C131" i="31"/>
  <c r="B131" i="31"/>
  <c r="B130" i="31"/>
  <c r="B129" i="31"/>
  <c r="C130" i="31" s="1"/>
  <c r="B128" i="31"/>
  <c r="B127" i="31"/>
  <c r="C127" i="31" s="1"/>
  <c r="B126" i="31"/>
  <c r="B125" i="31"/>
  <c r="C126" i="31" s="1"/>
  <c r="B124" i="31"/>
  <c r="C125" i="31" s="1"/>
  <c r="B123" i="31"/>
  <c r="B122" i="31"/>
  <c r="C123" i="31" s="1"/>
  <c r="B121" i="31"/>
  <c r="B120" i="31"/>
  <c r="C119" i="31"/>
  <c r="B119" i="31"/>
  <c r="B118" i="31"/>
  <c r="B117" i="31"/>
  <c r="C118" i="31" s="1"/>
  <c r="B116" i="31"/>
  <c r="C117" i="31" s="1"/>
  <c r="B115" i="31"/>
  <c r="C116" i="31" s="1"/>
  <c r="B114" i="31"/>
  <c r="C115" i="31" s="1"/>
  <c r="C113" i="31"/>
  <c r="B113" i="31"/>
  <c r="B112" i="31"/>
  <c r="B111" i="31"/>
  <c r="B110" i="31"/>
  <c r="C111" i="31" s="1"/>
  <c r="B109" i="31"/>
  <c r="C110" i="31" s="1"/>
  <c r="B108" i="31"/>
  <c r="C109" i="31" s="1"/>
  <c r="B107" i="31"/>
  <c r="C108" i="31" s="1"/>
  <c r="B106" i="31"/>
  <c r="C107" i="31" s="1"/>
  <c r="B105" i="31"/>
  <c r="B104" i="31"/>
  <c r="C105" i="31" s="1"/>
  <c r="B103" i="31"/>
  <c r="C104" i="31" s="1"/>
  <c r="B102" i="31"/>
  <c r="B101" i="31"/>
  <c r="C102" i="31" s="1"/>
  <c r="B100" i="31"/>
  <c r="C101" i="31" s="1"/>
  <c r="B99" i="31"/>
  <c r="B98" i="31"/>
  <c r="B97" i="31"/>
  <c r="C98" i="31" s="1"/>
  <c r="B96" i="31"/>
  <c r="C97" i="31" s="1"/>
  <c r="C95" i="31"/>
  <c r="B95" i="31"/>
  <c r="B94" i="31"/>
  <c r="B93" i="31"/>
  <c r="C94" i="31" s="1"/>
  <c r="B92" i="31"/>
  <c r="B91" i="31"/>
  <c r="C91" i="31" s="1"/>
  <c r="B90" i="31"/>
  <c r="B89" i="31"/>
  <c r="C90" i="31" s="1"/>
  <c r="B88" i="31"/>
  <c r="C89" i="31" s="1"/>
  <c r="B87" i="31"/>
  <c r="B86" i="31"/>
  <c r="C87" i="31" s="1"/>
  <c r="B85" i="31"/>
  <c r="B84" i="31"/>
  <c r="C83" i="31"/>
  <c r="B83" i="31"/>
  <c r="B82" i="31"/>
  <c r="B81" i="31"/>
  <c r="C82" i="31" s="1"/>
  <c r="B80" i="31"/>
  <c r="C81" i="31" s="1"/>
  <c r="B79" i="31"/>
  <c r="C80" i="31" s="1"/>
  <c r="B78" i="31"/>
  <c r="C79" i="31" s="1"/>
  <c r="C77" i="31"/>
  <c r="B77" i="31"/>
  <c r="B76" i="31"/>
  <c r="B75" i="31"/>
  <c r="B74" i="31"/>
  <c r="C75" i="31" s="1"/>
  <c r="B73" i="31"/>
  <c r="C74" i="31" s="1"/>
  <c r="B72" i="31"/>
  <c r="C73" i="31" s="1"/>
  <c r="B71" i="31"/>
  <c r="C72" i="31" s="1"/>
  <c r="B70" i="31"/>
  <c r="C71" i="31" s="1"/>
  <c r="B69" i="31"/>
  <c r="B68" i="31"/>
  <c r="C69" i="31" s="1"/>
  <c r="B67" i="31"/>
  <c r="C68" i="31" s="1"/>
  <c r="B66" i="31"/>
  <c r="B65" i="31"/>
  <c r="C66" i="31" s="1"/>
  <c r="B64" i="31"/>
  <c r="C65" i="31" s="1"/>
  <c r="B63" i="31"/>
  <c r="B62" i="31"/>
  <c r="B61" i="31"/>
  <c r="C62" i="31" s="1"/>
  <c r="B60" i="31"/>
  <c r="C61" i="31" s="1"/>
  <c r="C59" i="31"/>
  <c r="B59" i="31"/>
  <c r="B58" i="31"/>
  <c r="B57" i="31"/>
  <c r="C58" i="31" s="1"/>
  <c r="B56" i="31"/>
  <c r="B55" i="31"/>
  <c r="C55" i="31" s="1"/>
  <c r="B54" i="31"/>
  <c r="B53" i="31"/>
  <c r="C54" i="31" s="1"/>
  <c r="B52" i="31"/>
  <c r="C53" i="31" s="1"/>
  <c r="B51" i="31"/>
  <c r="B50" i="31"/>
  <c r="C51" i="31" s="1"/>
  <c r="B49" i="31"/>
  <c r="B48" i="31"/>
  <c r="C47" i="31"/>
  <c r="B47" i="31"/>
  <c r="B46" i="31"/>
  <c r="B45" i="31"/>
  <c r="C46" i="31" s="1"/>
  <c r="B44" i="31"/>
  <c r="C45" i="31" s="1"/>
  <c r="B43" i="31"/>
  <c r="C44" i="31" s="1"/>
  <c r="B42" i="31"/>
  <c r="C43" i="31" s="1"/>
  <c r="C41" i="31"/>
  <c r="B41" i="31"/>
  <c r="B40" i="31"/>
  <c r="B39" i="31"/>
  <c r="B38" i="31"/>
  <c r="C39" i="31" s="1"/>
  <c r="B37" i="31"/>
  <c r="C38" i="31" s="1"/>
  <c r="B36" i="31"/>
  <c r="C37" i="31" s="1"/>
  <c r="B35" i="31"/>
  <c r="C36" i="31" s="1"/>
  <c r="B34" i="31"/>
  <c r="C35" i="31" s="1"/>
  <c r="B33" i="31"/>
  <c r="B32" i="31"/>
  <c r="C33" i="31" s="1"/>
  <c r="B31" i="31"/>
  <c r="C32" i="31" s="1"/>
  <c r="B30" i="31"/>
  <c r="B29" i="31"/>
  <c r="C30" i="31" s="1"/>
  <c r="B28" i="31"/>
  <c r="C29" i="31" s="1"/>
  <c r="B27" i="31"/>
  <c r="B26" i="31"/>
  <c r="B25" i="31"/>
  <c r="C26" i="31" s="1"/>
  <c r="B24" i="31"/>
  <c r="C25" i="31" s="1"/>
  <c r="C23" i="31"/>
  <c r="B23" i="31"/>
  <c r="B22" i="31"/>
  <c r="B21" i="31"/>
  <c r="C22" i="31" s="1"/>
  <c r="B20" i="31"/>
  <c r="B19" i="31"/>
  <c r="C19" i="31" s="1"/>
  <c r="B18" i="31"/>
  <c r="B17" i="31"/>
  <c r="C18" i="31" s="1"/>
  <c r="B16" i="31"/>
  <c r="C17" i="31" s="1"/>
  <c r="B15" i="31"/>
  <c r="B14" i="31"/>
  <c r="C15" i="31" s="1"/>
  <c r="B13" i="31"/>
  <c r="B12" i="31"/>
  <c r="C11" i="31"/>
  <c r="B11" i="31"/>
  <c r="B10" i="31"/>
  <c r="B9" i="31"/>
  <c r="C10" i="31" s="1"/>
  <c r="B8" i="31"/>
  <c r="C9" i="31" s="1"/>
  <c r="B7" i="31"/>
  <c r="C8" i="31" s="1"/>
  <c r="B6" i="31"/>
  <c r="K2" i="31"/>
  <c r="B151" i="30"/>
  <c r="C151" i="30" s="1"/>
  <c r="B150" i="30"/>
  <c r="C149" i="30"/>
  <c r="B149" i="30"/>
  <c r="C150" i="30" s="1"/>
  <c r="C148" i="30"/>
  <c r="B148" i="30"/>
  <c r="B147" i="30"/>
  <c r="B146" i="30"/>
  <c r="C147" i="30" s="1"/>
  <c r="B145" i="30"/>
  <c r="B144" i="30"/>
  <c r="C143" i="30"/>
  <c r="B143" i="30"/>
  <c r="C142" i="30"/>
  <c r="B142" i="30"/>
  <c r="C141" i="30"/>
  <c r="B141" i="30"/>
  <c r="B140" i="30"/>
  <c r="B139" i="30"/>
  <c r="C140" i="30" s="1"/>
  <c r="B138" i="30"/>
  <c r="C139" i="30" s="1"/>
  <c r="C137" i="30"/>
  <c r="B137" i="30"/>
  <c r="C136" i="30"/>
  <c r="B136" i="30"/>
  <c r="B135" i="30"/>
  <c r="B134" i="30"/>
  <c r="C135" i="30" s="1"/>
  <c r="B133" i="30"/>
  <c r="B132" i="30"/>
  <c r="C133" i="30" s="1"/>
  <c r="B131" i="30"/>
  <c r="C132" i="30" s="1"/>
  <c r="C130" i="30"/>
  <c r="B130" i="30"/>
  <c r="C129" i="30"/>
  <c r="B129" i="30"/>
  <c r="B128" i="30"/>
  <c r="B127" i="30"/>
  <c r="C128" i="30" s="1"/>
  <c r="B126" i="30"/>
  <c r="B125" i="30"/>
  <c r="C126" i="30" s="1"/>
  <c r="B124" i="30"/>
  <c r="C125" i="30" s="1"/>
  <c r="C123" i="30"/>
  <c r="B123" i="30"/>
  <c r="B122" i="30"/>
  <c r="B121" i="30"/>
  <c r="B120" i="30"/>
  <c r="C121" i="30" s="1"/>
  <c r="C119" i="30"/>
  <c r="B119" i="30"/>
  <c r="B118" i="30"/>
  <c r="B117" i="30"/>
  <c r="C118" i="30" s="1"/>
  <c r="B116" i="30"/>
  <c r="C117" i="30" s="1"/>
  <c r="B115" i="30"/>
  <c r="B114" i="30"/>
  <c r="B113" i="30"/>
  <c r="C114" i="30" s="1"/>
  <c r="C112" i="30"/>
  <c r="B112" i="30"/>
  <c r="B111" i="30"/>
  <c r="B110" i="30"/>
  <c r="C111" i="30" s="1"/>
  <c r="C109" i="30"/>
  <c r="B109" i="30"/>
  <c r="C110" i="30" s="1"/>
  <c r="B108" i="30"/>
  <c r="C107" i="30"/>
  <c r="B107" i="30"/>
  <c r="B106" i="30"/>
  <c r="C106" i="30" s="1"/>
  <c r="C105" i="30"/>
  <c r="B105" i="30"/>
  <c r="B104" i="30"/>
  <c r="B103" i="30"/>
  <c r="C104" i="30" s="1"/>
  <c r="B102" i="30"/>
  <c r="C103" i="30" s="1"/>
  <c r="C101" i="30"/>
  <c r="B101" i="30"/>
  <c r="C100" i="30"/>
  <c r="B100" i="30"/>
  <c r="B99" i="30"/>
  <c r="B98" i="30"/>
  <c r="C99" i="30" s="1"/>
  <c r="B97" i="30"/>
  <c r="B96" i="30"/>
  <c r="C97" i="30" s="1"/>
  <c r="B95" i="30"/>
  <c r="C94" i="30"/>
  <c r="B94" i="30"/>
  <c r="C93" i="30"/>
  <c r="B93" i="30"/>
  <c r="B92" i="30"/>
  <c r="B91" i="30"/>
  <c r="C92" i="30" s="1"/>
  <c r="B90" i="30"/>
  <c r="B89" i="30"/>
  <c r="C90" i="30" s="1"/>
  <c r="B88" i="30"/>
  <c r="C87" i="30"/>
  <c r="B87" i="30"/>
  <c r="B86" i="30"/>
  <c r="B85" i="30"/>
  <c r="B84" i="30"/>
  <c r="C85" i="30" s="1"/>
  <c r="C83" i="30"/>
  <c r="B83" i="30"/>
  <c r="B82" i="30"/>
  <c r="B81" i="30"/>
  <c r="C82" i="30" s="1"/>
  <c r="B80" i="30"/>
  <c r="B79" i="30"/>
  <c r="B78" i="30"/>
  <c r="B77" i="30"/>
  <c r="C78" i="30" s="1"/>
  <c r="C76" i="30"/>
  <c r="B76" i="30"/>
  <c r="B75" i="30"/>
  <c r="B74" i="30"/>
  <c r="C75" i="30" s="1"/>
  <c r="C73" i="30"/>
  <c r="B73" i="30"/>
  <c r="C74" i="30" s="1"/>
  <c r="B72" i="30"/>
  <c r="C71" i="30"/>
  <c r="B71" i="30"/>
  <c r="B70" i="30"/>
  <c r="C70" i="30" s="1"/>
  <c r="C69" i="30"/>
  <c r="B69" i="30"/>
  <c r="B68" i="30"/>
  <c r="B67" i="30"/>
  <c r="C68" i="30" s="1"/>
  <c r="B66" i="30"/>
  <c r="C67" i="30" s="1"/>
  <c r="C65" i="30"/>
  <c r="B65" i="30"/>
  <c r="C64" i="30"/>
  <c r="B64" i="30"/>
  <c r="B63" i="30"/>
  <c r="B62" i="30"/>
  <c r="C63" i="30" s="1"/>
  <c r="B61" i="30"/>
  <c r="B60" i="30"/>
  <c r="C61" i="30" s="1"/>
  <c r="B59" i="30"/>
  <c r="C58" i="30"/>
  <c r="B58" i="30"/>
  <c r="C57" i="30"/>
  <c r="B57" i="30"/>
  <c r="B56" i="30"/>
  <c r="B55" i="30"/>
  <c r="C56" i="30" s="1"/>
  <c r="B54" i="30"/>
  <c r="B53" i="30"/>
  <c r="C54" i="30" s="1"/>
  <c r="B52" i="30"/>
  <c r="C51" i="30"/>
  <c r="B51" i="30"/>
  <c r="B50" i="30"/>
  <c r="B49" i="30"/>
  <c r="B48" i="30"/>
  <c r="C49" i="30" s="1"/>
  <c r="B47" i="30"/>
  <c r="C48" i="30" s="1"/>
  <c r="B46" i="30"/>
  <c r="C47" i="30" s="1"/>
  <c r="C45" i="30"/>
  <c r="B45" i="30"/>
  <c r="C46" i="30" s="1"/>
  <c r="B44" i="30"/>
  <c r="C43" i="30"/>
  <c r="B43" i="30"/>
  <c r="B42" i="30"/>
  <c r="C42" i="30" s="1"/>
  <c r="C41" i="30"/>
  <c r="B41" i="30"/>
  <c r="B40" i="30"/>
  <c r="B39" i="30"/>
  <c r="C40" i="30" s="1"/>
  <c r="B38" i="30"/>
  <c r="C39" i="30" s="1"/>
  <c r="B37" i="30"/>
  <c r="B36" i="30"/>
  <c r="B35" i="30"/>
  <c r="C36" i="30" s="1"/>
  <c r="B34" i="30"/>
  <c r="C35" i="30" s="1"/>
  <c r="B33" i="30"/>
  <c r="C34" i="30" s="1"/>
  <c r="B32" i="30"/>
  <c r="C33" i="30" s="1"/>
  <c r="C31" i="30"/>
  <c r="B31" i="30"/>
  <c r="C30" i="30"/>
  <c r="B30" i="30"/>
  <c r="B29" i="30"/>
  <c r="C29" i="30" s="1"/>
  <c r="C28" i="30"/>
  <c r="B28" i="30"/>
  <c r="B27" i="30"/>
  <c r="B26" i="30"/>
  <c r="C27" i="30" s="1"/>
  <c r="C25" i="30"/>
  <c r="B25" i="30"/>
  <c r="C26" i="30" s="1"/>
  <c r="B24" i="30"/>
  <c r="C24" i="30" s="1"/>
  <c r="B23" i="30"/>
  <c r="B22" i="30"/>
  <c r="C23" i="30" s="1"/>
  <c r="B21" i="30"/>
  <c r="C22" i="30" s="1"/>
  <c r="B20" i="30"/>
  <c r="C21" i="30" s="1"/>
  <c r="B19" i="30"/>
  <c r="C18" i="30"/>
  <c r="B18" i="30"/>
  <c r="C17" i="30"/>
  <c r="B17" i="30"/>
  <c r="B16" i="30"/>
  <c r="C16" i="30" s="1"/>
  <c r="C15" i="30"/>
  <c r="B15" i="30"/>
  <c r="B14" i="30"/>
  <c r="B13" i="30"/>
  <c r="C14" i="30" s="1"/>
  <c r="C12" i="30"/>
  <c r="B12" i="30"/>
  <c r="C13" i="30" s="1"/>
  <c r="B11" i="30"/>
  <c r="C11" i="30" s="1"/>
  <c r="B10" i="30"/>
  <c r="B9" i="30"/>
  <c r="C10" i="30" s="1"/>
  <c r="B8" i="30"/>
  <c r="B7" i="30"/>
  <c r="C8" i="30" s="1"/>
  <c r="B6" i="30"/>
  <c r="C7" i="30" s="1"/>
  <c r="K2" i="30"/>
  <c r="C151" i="29"/>
  <c r="B151" i="29"/>
  <c r="C150" i="29"/>
  <c r="B150" i="29"/>
  <c r="B149" i="29"/>
  <c r="B148" i="29"/>
  <c r="C149" i="29" s="1"/>
  <c r="B147" i="29"/>
  <c r="B146" i="29"/>
  <c r="C147" i="29" s="1"/>
  <c r="C145" i="29"/>
  <c r="B145" i="29"/>
  <c r="C146" i="29" s="1"/>
  <c r="B144" i="29"/>
  <c r="C144" i="29" s="1"/>
  <c r="B143" i="29"/>
  <c r="B142" i="29"/>
  <c r="C143" i="29" s="1"/>
  <c r="C141" i="29"/>
  <c r="B141" i="29"/>
  <c r="B140" i="29"/>
  <c r="B139" i="29"/>
  <c r="C138" i="29"/>
  <c r="B138" i="29"/>
  <c r="C137" i="29"/>
  <c r="B137" i="29"/>
  <c r="B136" i="29"/>
  <c r="B135" i="29"/>
  <c r="C136" i="29" s="1"/>
  <c r="B134" i="29"/>
  <c r="C135" i="29" s="1"/>
  <c r="B133" i="29"/>
  <c r="C134" i="29" s="1"/>
  <c r="B132" i="29"/>
  <c r="C133" i="29" s="1"/>
  <c r="B131" i="29"/>
  <c r="C131" i="29" s="1"/>
  <c r="B130" i="29"/>
  <c r="B129" i="29"/>
  <c r="C128" i="29"/>
  <c r="B128" i="29"/>
  <c r="B127" i="29"/>
  <c r="B126" i="29"/>
  <c r="C125" i="29"/>
  <c r="B125" i="29"/>
  <c r="B124" i="29"/>
  <c r="B123" i="29"/>
  <c r="B122" i="29"/>
  <c r="C123" i="29" s="1"/>
  <c r="B121" i="29"/>
  <c r="C122" i="29" s="1"/>
  <c r="B120" i="29"/>
  <c r="C121" i="29" s="1"/>
  <c r="B119" i="29"/>
  <c r="C120" i="29" s="1"/>
  <c r="B118" i="29"/>
  <c r="C117" i="29"/>
  <c r="B117" i="29"/>
  <c r="B116" i="29"/>
  <c r="C116" i="29" s="1"/>
  <c r="C115" i="29"/>
  <c r="B115" i="29"/>
  <c r="B114" i="29"/>
  <c r="B113" i="29"/>
  <c r="C114" i="29" s="1"/>
  <c r="B112" i="29"/>
  <c r="B111" i="29"/>
  <c r="B110" i="29"/>
  <c r="B109" i="29"/>
  <c r="C110" i="29" s="1"/>
  <c r="B108" i="29"/>
  <c r="C109" i="29" s="1"/>
  <c r="B107" i="29"/>
  <c r="C108" i="29" s="1"/>
  <c r="B106" i="29"/>
  <c r="C107" i="29" s="1"/>
  <c r="C105" i="29"/>
  <c r="B105" i="29"/>
  <c r="C104" i="29"/>
  <c r="B104" i="29"/>
  <c r="B103" i="29"/>
  <c r="C103" i="29" s="1"/>
  <c r="C102" i="29"/>
  <c r="B102" i="29"/>
  <c r="B101" i="29"/>
  <c r="B100" i="29"/>
  <c r="C101" i="29" s="1"/>
  <c r="B99" i="29"/>
  <c r="B98" i="29"/>
  <c r="C98" i="29" s="1"/>
  <c r="B97" i="29"/>
  <c r="B96" i="29"/>
  <c r="C97" i="29" s="1"/>
  <c r="B95" i="29"/>
  <c r="C96" i="29" s="1"/>
  <c r="B94" i="29"/>
  <c r="C95" i="29" s="1"/>
  <c r="B93" i="29"/>
  <c r="C92" i="29"/>
  <c r="B92" i="29"/>
  <c r="C91" i="29"/>
  <c r="B91" i="29"/>
  <c r="B90" i="29"/>
  <c r="C90" i="29" s="1"/>
  <c r="C89" i="29"/>
  <c r="B89" i="29"/>
  <c r="B88" i="29"/>
  <c r="B87" i="29"/>
  <c r="C88" i="29" s="1"/>
  <c r="C86" i="29"/>
  <c r="B86" i="29"/>
  <c r="C87" i="29" s="1"/>
  <c r="B85" i="29"/>
  <c r="C85" i="29" s="1"/>
  <c r="B84" i="29"/>
  <c r="B83" i="29"/>
  <c r="C84" i="29" s="1"/>
  <c r="B82" i="29"/>
  <c r="B81" i="29"/>
  <c r="C82" i="29" s="1"/>
  <c r="B80" i="29"/>
  <c r="C79" i="29"/>
  <c r="B79" i="29"/>
  <c r="C78" i="29"/>
  <c r="B78" i="29"/>
  <c r="B77" i="29"/>
  <c r="B76" i="29"/>
  <c r="C77" i="29" s="1"/>
  <c r="B75" i="29"/>
  <c r="B74" i="29"/>
  <c r="C75" i="29" s="1"/>
  <c r="C73" i="29"/>
  <c r="B73" i="29"/>
  <c r="C74" i="29" s="1"/>
  <c r="B72" i="29"/>
  <c r="C72" i="29" s="1"/>
  <c r="B71" i="29"/>
  <c r="B70" i="29"/>
  <c r="C71" i="29" s="1"/>
  <c r="C69" i="29"/>
  <c r="B69" i="29"/>
  <c r="B68" i="29"/>
  <c r="B67" i="29"/>
  <c r="C66" i="29"/>
  <c r="B66" i="29"/>
  <c r="C65" i="29"/>
  <c r="B65" i="29"/>
  <c r="B64" i="29"/>
  <c r="B63" i="29"/>
  <c r="C64" i="29" s="1"/>
  <c r="B62" i="29"/>
  <c r="B61" i="29"/>
  <c r="C62" i="29" s="1"/>
  <c r="B60" i="29"/>
  <c r="B59" i="29"/>
  <c r="C59" i="29" s="1"/>
  <c r="B58" i="29"/>
  <c r="B57" i="29"/>
  <c r="C58" i="29" s="1"/>
  <c r="C56" i="29"/>
  <c r="B56" i="29"/>
  <c r="B55" i="29"/>
  <c r="B54" i="29"/>
  <c r="C53" i="29"/>
  <c r="B53" i="29"/>
  <c r="B52" i="29"/>
  <c r="B51" i="29"/>
  <c r="B50" i="29"/>
  <c r="C51" i="29" s="1"/>
  <c r="B49" i="29"/>
  <c r="B48" i="29"/>
  <c r="C49" i="29" s="1"/>
  <c r="B47" i="29"/>
  <c r="C48" i="29" s="1"/>
  <c r="B46" i="29"/>
  <c r="C45" i="29"/>
  <c r="B45" i="29"/>
  <c r="B44" i="29"/>
  <c r="C44" i="29" s="1"/>
  <c r="C43" i="29"/>
  <c r="B43" i="29"/>
  <c r="B42" i="29"/>
  <c r="B41" i="29"/>
  <c r="C42" i="29" s="1"/>
  <c r="B40" i="29"/>
  <c r="B39" i="29"/>
  <c r="B38" i="29"/>
  <c r="B37" i="29"/>
  <c r="C38" i="29" s="1"/>
  <c r="B36" i="29"/>
  <c r="B35" i="29"/>
  <c r="C36" i="29" s="1"/>
  <c r="B34" i="29"/>
  <c r="C35" i="29" s="1"/>
  <c r="C33" i="29"/>
  <c r="B33" i="29"/>
  <c r="C32" i="29"/>
  <c r="B32" i="29"/>
  <c r="B31" i="29"/>
  <c r="C31" i="29" s="1"/>
  <c r="C30" i="29"/>
  <c r="B30" i="29"/>
  <c r="B29" i="29"/>
  <c r="B28" i="29"/>
  <c r="C29" i="29" s="1"/>
  <c r="B27" i="29"/>
  <c r="C28" i="29" s="1"/>
  <c r="B26" i="29"/>
  <c r="C26" i="29" s="1"/>
  <c r="B25" i="29"/>
  <c r="B24" i="29"/>
  <c r="C25" i="29" s="1"/>
  <c r="B23" i="29"/>
  <c r="B22" i="29"/>
  <c r="C23" i="29" s="1"/>
  <c r="B21" i="29"/>
  <c r="C20" i="29"/>
  <c r="B20" i="29"/>
  <c r="C19" i="29"/>
  <c r="B19" i="29"/>
  <c r="B18" i="29"/>
  <c r="C18" i="29" s="1"/>
  <c r="C17" i="29"/>
  <c r="B17" i="29"/>
  <c r="B16" i="29"/>
  <c r="B15" i="29"/>
  <c r="C16" i="29" s="1"/>
  <c r="C14" i="29"/>
  <c r="B14" i="29"/>
  <c r="C15" i="29" s="1"/>
  <c r="B13" i="29"/>
  <c r="C13" i="29" s="1"/>
  <c r="B12" i="29"/>
  <c r="B11" i="29"/>
  <c r="C12" i="29" s="1"/>
  <c r="B10" i="29"/>
  <c r="B9" i="29"/>
  <c r="C10" i="29" s="1"/>
  <c r="B8" i="29"/>
  <c r="C7" i="29"/>
  <c r="B7" i="29"/>
  <c r="B6" i="29"/>
  <c r="K2" i="29"/>
  <c r="B151" i="28"/>
  <c r="B150" i="28"/>
  <c r="C151" i="28" s="1"/>
  <c r="B149" i="28"/>
  <c r="B148" i="28"/>
  <c r="C149" i="28" s="1"/>
  <c r="C147" i="28"/>
  <c r="B147" i="28"/>
  <c r="C148" i="28" s="1"/>
  <c r="B146" i="28"/>
  <c r="C146" i="28" s="1"/>
  <c r="B145" i="28"/>
  <c r="B144" i="28"/>
  <c r="C145" i="28" s="1"/>
  <c r="C143" i="28"/>
  <c r="B143" i="28"/>
  <c r="B142" i="28"/>
  <c r="C141" i="28"/>
  <c r="B141" i="28"/>
  <c r="C142" i="28" s="1"/>
  <c r="C140" i="28"/>
  <c r="B140" i="28"/>
  <c r="C139" i="28"/>
  <c r="B139" i="28"/>
  <c r="B138" i="28"/>
  <c r="B137" i="28"/>
  <c r="C138" i="28" s="1"/>
  <c r="B136" i="28"/>
  <c r="B135" i="28"/>
  <c r="C136" i="28" s="1"/>
  <c r="C134" i="28"/>
  <c r="B134" i="28"/>
  <c r="B133" i="28"/>
  <c r="C133" i="28" s="1"/>
  <c r="B132" i="28"/>
  <c r="B131" i="28"/>
  <c r="C132" i="28" s="1"/>
  <c r="C130" i="28"/>
  <c r="B130" i="28"/>
  <c r="B129" i="28"/>
  <c r="C128" i="28"/>
  <c r="B128" i="28"/>
  <c r="C129" i="28" s="1"/>
  <c r="C127" i="28"/>
  <c r="B127" i="28"/>
  <c r="B126" i="28"/>
  <c r="B125" i="28"/>
  <c r="B124" i="28"/>
  <c r="C125" i="28" s="1"/>
  <c r="B123" i="28"/>
  <c r="B122" i="28"/>
  <c r="C123" i="28" s="1"/>
  <c r="B121" i="28"/>
  <c r="B120" i="28"/>
  <c r="C119" i="28"/>
  <c r="B119" i="28"/>
  <c r="B118" i="28"/>
  <c r="C118" i="28" s="1"/>
  <c r="C117" i="28"/>
  <c r="B117" i="28"/>
  <c r="B116" i="28"/>
  <c r="B115" i="28"/>
  <c r="C116" i="28" s="1"/>
  <c r="B114" i="28"/>
  <c r="C115" i="28" s="1"/>
  <c r="B113" i="28"/>
  <c r="B112" i="28"/>
  <c r="B111" i="28"/>
  <c r="C112" i="28" s="1"/>
  <c r="B110" i="28"/>
  <c r="B109" i="28"/>
  <c r="C110" i="28" s="1"/>
  <c r="B108" i="28"/>
  <c r="C107" i="28"/>
  <c r="B107" i="28"/>
  <c r="C106" i="28"/>
  <c r="B106" i="28"/>
  <c r="B105" i="28"/>
  <c r="C105" i="28" s="1"/>
  <c r="C104" i="28"/>
  <c r="B104" i="28"/>
  <c r="B103" i="28"/>
  <c r="B102" i="28"/>
  <c r="C103" i="28" s="1"/>
  <c r="C101" i="28"/>
  <c r="B101" i="28"/>
  <c r="C102" i="28" s="1"/>
  <c r="B100" i="28"/>
  <c r="C100" i="28" s="1"/>
  <c r="B99" i="28"/>
  <c r="B98" i="28"/>
  <c r="C99" i="28" s="1"/>
  <c r="B97" i="28"/>
  <c r="B96" i="28"/>
  <c r="C97" i="28" s="1"/>
  <c r="B95" i="28"/>
  <c r="C94" i="28"/>
  <c r="B94" i="28"/>
  <c r="C93" i="28"/>
  <c r="B93" i="28"/>
  <c r="B92" i="28"/>
  <c r="C92" i="28" s="1"/>
  <c r="C91" i="28"/>
  <c r="B91" i="28"/>
  <c r="B90" i="28"/>
  <c r="B89" i="28"/>
  <c r="C90" i="28" s="1"/>
  <c r="C88" i="28"/>
  <c r="B88" i="28"/>
  <c r="C89" i="28" s="1"/>
  <c r="B87" i="28"/>
  <c r="C87" i="28" s="1"/>
  <c r="B86" i="28"/>
  <c r="B85" i="28"/>
  <c r="C86" i="28" s="1"/>
  <c r="B84" i="28"/>
  <c r="B83" i="28"/>
  <c r="C84" i="28" s="1"/>
  <c r="C82" i="28"/>
  <c r="B82" i="28"/>
  <c r="C83" i="28" s="1"/>
  <c r="C81" i="28"/>
  <c r="B81" i="28"/>
  <c r="C80" i="28"/>
  <c r="B80" i="28"/>
  <c r="B79" i="28"/>
  <c r="B78" i="28"/>
  <c r="C79" i="28" s="1"/>
  <c r="B77" i="28"/>
  <c r="B76" i="28"/>
  <c r="C77" i="28" s="1"/>
  <c r="B75" i="28"/>
  <c r="B74" i="28"/>
  <c r="C74" i="28" s="1"/>
  <c r="B73" i="28"/>
  <c r="B72" i="28"/>
  <c r="C73" i="28" s="1"/>
  <c r="C71" i="28"/>
  <c r="B71" i="28"/>
  <c r="B70" i="28"/>
  <c r="B69" i="28"/>
  <c r="C68" i="28"/>
  <c r="B68" i="28"/>
  <c r="C67" i="28"/>
  <c r="B67" i="28"/>
  <c r="B66" i="28"/>
  <c r="B65" i="28"/>
  <c r="B64" i="28"/>
  <c r="B63" i="28"/>
  <c r="C64" i="28" s="1"/>
  <c r="B62" i="28"/>
  <c r="C63" i="28" s="1"/>
  <c r="B61" i="28"/>
  <c r="C61" i="28" s="1"/>
  <c r="B60" i="28"/>
  <c r="B59" i="28"/>
  <c r="C60" i="28" s="1"/>
  <c r="C58" i="28"/>
  <c r="B58" i="28"/>
  <c r="B57" i="28"/>
  <c r="C56" i="28"/>
  <c r="B56" i="28"/>
  <c r="C57" i="28" s="1"/>
  <c r="B55" i="28"/>
  <c r="B54" i="28"/>
  <c r="C55" i="28" s="1"/>
  <c r="B53" i="28"/>
  <c r="B52" i="28"/>
  <c r="B51" i="28"/>
  <c r="B50" i="28"/>
  <c r="C51" i="28" s="1"/>
  <c r="C49" i="28"/>
  <c r="B49" i="28"/>
  <c r="B48" i="28"/>
  <c r="C47" i="28"/>
  <c r="B47" i="28"/>
  <c r="B46" i="28"/>
  <c r="C46" i="28" s="1"/>
  <c r="C45" i="28"/>
  <c r="B45" i="28"/>
  <c r="B44" i="28"/>
  <c r="B43" i="28"/>
  <c r="B42" i="28"/>
  <c r="C41" i="28"/>
  <c r="B41" i="28"/>
  <c r="B40" i="28"/>
  <c r="B39" i="28"/>
  <c r="B38" i="28"/>
  <c r="B37" i="28"/>
  <c r="C38" i="28" s="1"/>
  <c r="B36" i="28"/>
  <c r="C37" i="28" s="1"/>
  <c r="B35" i="28"/>
  <c r="C34" i="28"/>
  <c r="B34" i="28"/>
  <c r="B33" i="28"/>
  <c r="C33" i="28" s="1"/>
  <c r="C32" i="28"/>
  <c r="B32" i="28"/>
  <c r="B31" i="28"/>
  <c r="B30" i="28"/>
  <c r="C31" i="28" s="1"/>
  <c r="C29" i="28"/>
  <c r="B29" i="28"/>
  <c r="C28" i="28"/>
  <c r="B28" i="28"/>
  <c r="B27" i="28"/>
  <c r="B26" i="28"/>
  <c r="B25" i="28"/>
  <c r="B24" i="28"/>
  <c r="C25" i="28" s="1"/>
  <c r="B23" i="28"/>
  <c r="C24" i="28" s="1"/>
  <c r="C22" i="28"/>
  <c r="B22" i="28"/>
  <c r="C23" i="28" s="1"/>
  <c r="B21" i="28"/>
  <c r="B20" i="28"/>
  <c r="C20" i="28" s="1"/>
  <c r="C19" i="28"/>
  <c r="B19" i="28"/>
  <c r="B18" i="28"/>
  <c r="B17" i="28"/>
  <c r="C18" i="28" s="1"/>
  <c r="B16" i="28"/>
  <c r="B15" i="28"/>
  <c r="C16" i="28" s="1"/>
  <c r="B14" i="28"/>
  <c r="B13" i="28"/>
  <c r="C14" i="28" s="1"/>
  <c r="B12" i="28"/>
  <c r="C11" i="28"/>
  <c r="B11" i="28"/>
  <c r="C12" i="28" s="1"/>
  <c r="C10" i="28"/>
  <c r="B10" i="28"/>
  <c r="C9" i="28"/>
  <c r="B9" i="28"/>
  <c r="B8" i="28"/>
  <c r="B7" i="28"/>
  <c r="C7" i="28" s="1"/>
  <c r="B6" i="28"/>
  <c r="K2" i="28"/>
  <c r="B151" i="27"/>
  <c r="B150" i="27"/>
  <c r="B149" i="27"/>
  <c r="C149" i="27" s="1"/>
  <c r="B148" i="27"/>
  <c r="B147" i="27"/>
  <c r="C147" i="27" s="1"/>
  <c r="C146" i="27"/>
  <c r="B146" i="27"/>
  <c r="B145" i="27"/>
  <c r="C144" i="27"/>
  <c r="B144" i="27"/>
  <c r="C145" i="27" s="1"/>
  <c r="C143" i="27"/>
  <c r="B143" i="27"/>
  <c r="B142" i="27"/>
  <c r="B141" i="27"/>
  <c r="C141" i="27" s="1"/>
  <c r="C140" i="27"/>
  <c r="B140" i="27"/>
  <c r="B139" i="27"/>
  <c r="B138" i="27"/>
  <c r="C139" i="27" s="1"/>
  <c r="B137" i="27"/>
  <c r="B136" i="27"/>
  <c r="C136" i="27" s="1"/>
  <c r="B135" i="27"/>
  <c r="C135" i="27" s="1"/>
  <c r="C134" i="27"/>
  <c r="B134" i="27"/>
  <c r="C133" i="27"/>
  <c r="B133" i="27"/>
  <c r="B132" i="27"/>
  <c r="C131" i="27"/>
  <c r="B131" i="27"/>
  <c r="C132" i="27" s="1"/>
  <c r="C130" i="27"/>
  <c r="B130" i="27"/>
  <c r="B129" i="27"/>
  <c r="C129" i="27" s="1"/>
  <c r="B128" i="27"/>
  <c r="C127" i="27"/>
  <c r="B127" i="27"/>
  <c r="C128" i="27" s="1"/>
  <c r="B126" i="27"/>
  <c r="B125" i="27"/>
  <c r="C126" i="27" s="1"/>
  <c r="B124" i="27"/>
  <c r="B123" i="27"/>
  <c r="C123" i="27" s="1"/>
  <c r="B122" i="27"/>
  <c r="B121" i="27"/>
  <c r="C122" i="27" s="1"/>
  <c r="C120" i="27"/>
  <c r="B120" i="27"/>
  <c r="B119" i="27"/>
  <c r="B118" i="27"/>
  <c r="C119" i="27" s="1"/>
  <c r="B117" i="27"/>
  <c r="C116" i="27"/>
  <c r="B116" i="27"/>
  <c r="B115" i="27"/>
  <c r="C114" i="27"/>
  <c r="B114" i="27"/>
  <c r="C115" i="27" s="1"/>
  <c r="B113" i="27"/>
  <c r="B112" i="27"/>
  <c r="C113" i="27" s="1"/>
  <c r="B111" i="27"/>
  <c r="C110" i="27"/>
  <c r="B110" i="27"/>
  <c r="B109" i="27"/>
  <c r="B108" i="27"/>
  <c r="C109" i="27" s="1"/>
  <c r="C107" i="27"/>
  <c r="B107" i="27"/>
  <c r="B106" i="27"/>
  <c r="B105" i="27"/>
  <c r="C106" i="27" s="1"/>
  <c r="C104" i="27"/>
  <c r="B104" i="27"/>
  <c r="C103" i="27"/>
  <c r="B103" i="27"/>
  <c r="B102" i="27"/>
  <c r="C101" i="27"/>
  <c r="B101" i="27"/>
  <c r="C102" i="27" s="1"/>
  <c r="B100" i="27"/>
  <c r="B99" i="27"/>
  <c r="C100" i="27" s="1"/>
  <c r="B98" i="27"/>
  <c r="C97" i="27"/>
  <c r="B97" i="27"/>
  <c r="B96" i="27"/>
  <c r="B95" i="27"/>
  <c r="C96" i="27" s="1"/>
  <c r="C94" i="27"/>
  <c r="B94" i="27"/>
  <c r="B93" i="27"/>
  <c r="B92" i="27"/>
  <c r="C93" i="27" s="1"/>
  <c r="B91" i="27"/>
  <c r="C92" i="27" s="1"/>
  <c r="C90" i="27"/>
  <c r="B90" i="27"/>
  <c r="B89" i="27"/>
  <c r="C88" i="27"/>
  <c r="B88" i="27"/>
  <c r="C89" i="27" s="1"/>
  <c r="B87" i="27"/>
  <c r="B86" i="27"/>
  <c r="C85" i="27"/>
  <c r="B85" i="27"/>
  <c r="C86" i="27" s="1"/>
  <c r="C84" i="27"/>
  <c r="B84" i="27"/>
  <c r="B83" i="27"/>
  <c r="B82" i="27"/>
  <c r="C83" i="27" s="1"/>
  <c r="B81" i="27"/>
  <c r="B80" i="27"/>
  <c r="B79" i="27"/>
  <c r="C80" i="27" s="1"/>
  <c r="B78" i="27"/>
  <c r="C79" i="27" s="1"/>
  <c r="C77" i="27"/>
  <c r="B77" i="27"/>
  <c r="B76" i="27"/>
  <c r="B75" i="27"/>
  <c r="C76" i="27" s="1"/>
  <c r="C74" i="27"/>
  <c r="B74" i="27"/>
  <c r="B73" i="27"/>
  <c r="C72" i="27"/>
  <c r="B72" i="27"/>
  <c r="C73" i="27" s="1"/>
  <c r="C71" i="27"/>
  <c r="B71" i="27"/>
  <c r="B70" i="27"/>
  <c r="B69" i="27"/>
  <c r="C70" i="27" s="1"/>
  <c r="C68" i="27"/>
  <c r="B68" i="27"/>
  <c r="B67" i="27"/>
  <c r="B66" i="27"/>
  <c r="C67" i="27" s="1"/>
  <c r="C65" i="27"/>
  <c r="B65" i="27"/>
  <c r="C64" i="27"/>
  <c r="B64" i="27"/>
  <c r="B63" i="27"/>
  <c r="B62" i="27"/>
  <c r="C63" i="27" s="1"/>
  <c r="C61" i="27"/>
  <c r="B61" i="27"/>
  <c r="B60" i="27"/>
  <c r="B59" i="27"/>
  <c r="C60" i="27" s="1"/>
  <c r="C58" i="27"/>
  <c r="B58" i="27"/>
  <c r="B57" i="27"/>
  <c r="B56" i="27"/>
  <c r="C55" i="27"/>
  <c r="B55" i="27"/>
  <c r="C56" i="27" s="1"/>
  <c r="B54" i="27"/>
  <c r="B53" i="27"/>
  <c r="C54" i="27" s="1"/>
  <c r="B52" i="27"/>
  <c r="B51" i="27"/>
  <c r="B50" i="27"/>
  <c r="B49" i="27"/>
  <c r="C50" i="27" s="1"/>
  <c r="C48" i="27"/>
  <c r="B48" i="27"/>
  <c r="B47" i="27"/>
  <c r="C46" i="27"/>
  <c r="B46" i="27"/>
  <c r="C47" i="27" s="1"/>
  <c r="B45" i="27"/>
  <c r="C44" i="27"/>
  <c r="B44" i="27"/>
  <c r="B43" i="27"/>
  <c r="C42" i="27"/>
  <c r="B42" i="27"/>
  <c r="C43" i="27" s="1"/>
  <c r="B41" i="27"/>
  <c r="B40" i="27"/>
  <c r="C41" i="27" s="1"/>
  <c r="B39" i="27"/>
  <c r="C38" i="27"/>
  <c r="B38" i="27"/>
  <c r="B37" i="27"/>
  <c r="B36" i="27"/>
  <c r="C35" i="27"/>
  <c r="B35" i="27"/>
  <c r="B34" i="27"/>
  <c r="B33" i="27"/>
  <c r="C34" i="27" s="1"/>
  <c r="B32" i="27"/>
  <c r="C31" i="27"/>
  <c r="B31" i="27"/>
  <c r="B30" i="27"/>
  <c r="C29" i="27"/>
  <c r="B29" i="27"/>
  <c r="C30" i="27" s="1"/>
  <c r="B28" i="27"/>
  <c r="C28" i="27" s="1"/>
  <c r="B27" i="27"/>
  <c r="B26" i="27"/>
  <c r="C27" i="27" s="1"/>
  <c r="B25" i="27"/>
  <c r="C26" i="27" s="1"/>
  <c r="C24" i="27"/>
  <c r="B24" i="27"/>
  <c r="B23" i="27"/>
  <c r="C23" i="27" s="1"/>
  <c r="C22" i="27"/>
  <c r="B22" i="27"/>
  <c r="B21" i="27"/>
  <c r="B20" i="27"/>
  <c r="C21" i="27" s="1"/>
  <c r="B19" i="27"/>
  <c r="B18" i="27"/>
  <c r="C19" i="27" s="1"/>
  <c r="B17" i="27"/>
  <c r="C18" i="27" s="1"/>
  <c r="C16" i="27"/>
  <c r="B16" i="27"/>
  <c r="B15" i="27"/>
  <c r="B14" i="27"/>
  <c r="B13" i="27"/>
  <c r="C14" i="27" s="1"/>
  <c r="C12" i="27"/>
  <c r="B12" i="27"/>
  <c r="B11" i="27"/>
  <c r="B10" i="27"/>
  <c r="C11" i="27" s="1"/>
  <c r="B9" i="27"/>
  <c r="C10" i="27" s="1"/>
  <c r="B8" i="27"/>
  <c r="B7" i="27"/>
  <c r="C8" i="27" s="1"/>
  <c r="B6" i="27"/>
  <c r="K2" i="27"/>
  <c r="B151" i="26"/>
  <c r="B150" i="26"/>
  <c r="C151" i="26" s="1"/>
  <c r="B149" i="26"/>
  <c r="C150" i="26" s="1"/>
  <c r="C148" i="26"/>
  <c r="B148" i="26"/>
  <c r="B147" i="26"/>
  <c r="C146" i="26"/>
  <c r="B146" i="26"/>
  <c r="C147" i="26" s="1"/>
  <c r="C145" i="26"/>
  <c r="B145" i="26"/>
  <c r="B144" i="26"/>
  <c r="B143" i="26"/>
  <c r="C144" i="26" s="1"/>
  <c r="B142" i="26"/>
  <c r="B141" i="26"/>
  <c r="B140" i="26"/>
  <c r="C141" i="26" s="1"/>
  <c r="B139" i="26"/>
  <c r="C140" i="26" s="1"/>
  <c r="B138" i="26"/>
  <c r="C138" i="26" s="1"/>
  <c r="B137" i="26"/>
  <c r="B136" i="26"/>
  <c r="C137" i="26" s="1"/>
  <c r="C135" i="26"/>
  <c r="B135" i="26"/>
  <c r="B134" i="26"/>
  <c r="B133" i="26"/>
  <c r="C134" i="26" s="1"/>
  <c r="C132" i="26"/>
  <c r="B132" i="26"/>
  <c r="B131" i="26"/>
  <c r="B130" i="26"/>
  <c r="B129" i="26"/>
  <c r="B128" i="26"/>
  <c r="C129" i="26" s="1"/>
  <c r="B127" i="26"/>
  <c r="C126" i="26"/>
  <c r="B126" i="26"/>
  <c r="C127" i="26" s="1"/>
  <c r="B125" i="26"/>
  <c r="B124" i="26"/>
  <c r="C125" i="26" s="1"/>
  <c r="B123" i="26"/>
  <c r="C122" i="26"/>
  <c r="B122" i="26"/>
  <c r="B121" i="26"/>
  <c r="B120" i="26"/>
  <c r="C121" i="26" s="1"/>
  <c r="B119" i="26"/>
  <c r="C120" i="26" s="1"/>
  <c r="B118" i="26"/>
  <c r="C119" i="26" s="1"/>
  <c r="C117" i="26"/>
  <c r="B117" i="26"/>
  <c r="C118" i="26" s="1"/>
  <c r="C116" i="26"/>
  <c r="B116" i="26"/>
  <c r="B115" i="26"/>
  <c r="B114" i="26"/>
  <c r="C115" i="26" s="1"/>
  <c r="C113" i="26"/>
  <c r="B113" i="26"/>
  <c r="B112" i="26"/>
  <c r="B111" i="26"/>
  <c r="C112" i="26" s="1"/>
  <c r="B110" i="26"/>
  <c r="B109" i="26"/>
  <c r="C110" i="26" s="1"/>
  <c r="B108" i="26"/>
  <c r="B107" i="26"/>
  <c r="C106" i="26"/>
  <c r="B106" i="26"/>
  <c r="C107" i="26" s="1"/>
  <c r="B105" i="26"/>
  <c r="B104" i="26"/>
  <c r="C105" i="26" s="1"/>
  <c r="B103" i="26"/>
  <c r="C104" i="26" s="1"/>
  <c r="B102" i="26"/>
  <c r="C101" i="26"/>
  <c r="B101" i="26"/>
  <c r="B100" i="26"/>
  <c r="C99" i="26"/>
  <c r="B99" i="26"/>
  <c r="C100" i="26" s="1"/>
  <c r="C98" i="26"/>
  <c r="B98" i="26"/>
  <c r="B97" i="26"/>
  <c r="B96" i="26"/>
  <c r="C97" i="26" s="1"/>
  <c r="C95" i="26"/>
  <c r="B95" i="26"/>
  <c r="C94" i="26"/>
  <c r="B94" i="26"/>
  <c r="B93" i="26"/>
  <c r="B92" i="26"/>
  <c r="C93" i="26" s="1"/>
  <c r="B91" i="26"/>
  <c r="C92" i="26" s="1"/>
  <c r="B90" i="26"/>
  <c r="B89" i="26"/>
  <c r="C90" i="26" s="1"/>
  <c r="C88" i="26"/>
  <c r="B88" i="26"/>
  <c r="C87" i="26"/>
  <c r="B87" i="26"/>
  <c r="B86" i="26"/>
  <c r="B85" i="26"/>
  <c r="C86" i="26" s="1"/>
  <c r="B84" i="26"/>
  <c r="B83" i="26"/>
  <c r="C84" i="26" s="1"/>
  <c r="B82" i="26"/>
  <c r="C83" i="26" s="1"/>
  <c r="C81" i="26"/>
  <c r="B81" i="26"/>
  <c r="C82" i="26" s="1"/>
  <c r="C80" i="26"/>
  <c r="B80" i="26"/>
  <c r="B79" i="26"/>
  <c r="B78" i="26"/>
  <c r="C79" i="26" s="1"/>
  <c r="B77" i="26"/>
  <c r="B76" i="26"/>
  <c r="C77" i="26" s="1"/>
  <c r="B75" i="26"/>
  <c r="C76" i="26" s="1"/>
  <c r="C74" i="26"/>
  <c r="B74" i="26"/>
  <c r="C75" i="26" s="1"/>
  <c r="B73" i="26"/>
  <c r="B72" i="26"/>
  <c r="B71" i="26"/>
  <c r="B70" i="26"/>
  <c r="C71" i="26" s="1"/>
  <c r="B69" i="26"/>
  <c r="C70" i="26" s="1"/>
  <c r="B68" i="26"/>
  <c r="C69" i="26" s="1"/>
  <c r="B67" i="26"/>
  <c r="C68" i="26" s="1"/>
  <c r="B66" i="26"/>
  <c r="C65" i="26"/>
  <c r="B65" i="26"/>
  <c r="B64" i="26"/>
  <c r="B63" i="26"/>
  <c r="C64" i="26" s="1"/>
  <c r="B62" i="26"/>
  <c r="C63" i="26" s="1"/>
  <c r="B61" i="26"/>
  <c r="B60" i="26"/>
  <c r="C61" i="26" s="1"/>
  <c r="C59" i="26"/>
  <c r="B59" i="26"/>
  <c r="C58" i="26"/>
  <c r="B58" i="26"/>
  <c r="B57" i="26"/>
  <c r="B56" i="26"/>
  <c r="C57" i="26" s="1"/>
  <c r="B55" i="26"/>
  <c r="C56" i="26" s="1"/>
  <c r="B54" i="26"/>
  <c r="C55" i="26" s="1"/>
  <c r="B53" i="26"/>
  <c r="C54" i="26" s="1"/>
  <c r="C52" i="26"/>
  <c r="B52" i="26"/>
  <c r="C53" i="26" s="1"/>
  <c r="C51" i="26"/>
  <c r="B51" i="26"/>
  <c r="B50" i="26"/>
  <c r="B49" i="26"/>
  <c r="C50" i="26" s="1"/>
  <c r="B48" i="26"/>
  <c r="C49" i="26" s="1"/>
  <c r="B47" i="26"/>
  <c r="C48" i="26" s="1"/>
  <c r="B46" i="26"/>
  <c r="C47" i="26" s="1"/>
  <c r="C45" i="26"/>
  <c r="B45" i="26"/>
  <c r="C46" i="26" s="1"/>
  <c r="C44" i="26"/>
  <c r="B44" i="26"/>
  <c r="B43" i="26"/>
  <c r="B42" i="26"/>
  <c r="C43" i="26" s="1"/>
  <c r="B41" i="26"/>
  <c r="B40" i="26"/>
  <c r="C41" i="26" s="1"/>
  <c r="B39" i="26"/>
  <c r="C40" i="26" s="1"/>
  <c r="C38" i="26"/>
  <c r="B38" i="26"/>
  <c r="B37" i="26"/>
  <c r="B36" i="26"/>
  <c r="B35" i="26"/>
  <c r="B34" i="26"/>
  <c r="C35" i="26" s="1"/>
  <c r="B33" i="26"/>
  <c r="C34" i="26" s="1"/>
  <c r="B32" i="26"/>
  <c r="C33" i="26" s="1"/>
  <c r="B31" i="26"/>
  <c r="C32" i="26" s="1"/>
  <c r="B30" i="26"/>
  <c r="C29" i="26"/>
  <c r="B29" i="26"/>
  <c r="B28" i="26"/>
  <c r="B27" i="26"/>
  <c r="C28" i="26" s="1"/>
  <c r="B26" i="26"/>
  <c r="C27" i="26" s="1"/>
  <c r="B25" i="26"/>
  <c r="B24" i="26"/>
  <c r="C25" i="26" s="1"/>
  <c r="C23" i="26"/>
  <c r="B23" i="26"/>
  <c r="C22" i="26"/>
  <c r="B22" i="26"/>
  <c r="B21" i="26"/>
  <c r="B20" i="26"/>
  <c r="C21" i="26" s="1"/>
  <c r="B19" i="26"/>
  <c r="C20" i="26" s="1"/>
  <c r="B18" i="26"/>
  <c r="C19" i="26" s="1"/>
  <c r="B17" i="26"/>
  <c r="C18" i="26" s="1"/>
  <c r="C16" i="26"/>
  <c r="B16" i="26"/>
  <c r="C15" i="26"/>
  <c r="B15" i="26"/>
  <c r="B14" i="26"/>
  <c r="B13" i="26"/>
  <c r="C14" i="26" s="1"/>
  <c r="B12" i="26"/>
  <c r="C13" i="26" s="1"/>
  <c r="B11" i="26"/>
  <c r="B10" i="26"/>
  <c r="C11" i="26" s="1"/>
  <c r="B9" i="26"/>
  <c r="C9" i="26" s="1"/>
  <c r="C8" i="26"/>
  <c r="B8" i="26"/>
  <c r="C7" i="26"/>
  <c r="B7" i="26"/>
  <c r="B6" i="26"/>
  <c r="K2" i="26"/>
  <c r="B151" i="25"/>
  <c r="B150" i="25"/>
  <c r="C151" i="25" s="1"/>
  <c r="B149" i="25"/>
  <c r="C148" i="25"/>
  <c r="B148" i="25"/>
  <c r="C147" i="25"/>
  <c r="B147" i="25"/>
  <c r="B146" i="25"/>
  <c r="B145" i="25"/>
  <c r="C146" i="25" s="1"/>
  <c r="B144" i="25"/>
  <c r="C145" i="25" s="1"/>
  <c r="C143" i="25"/>
  <c r="B143" i="25"/>
  <c r="C144" i="25" s="1"/>
  <c r="C142" i="25"/>
  <c r="B142" i="25"/>
  <c r="B141" i="25"/>
  <c r="B140" i="25"/>
  <c r="C141" i="25" s="1"/>
  <c r="C139" i="25"/>
  <c r="B139" i="25"/>
  <c r="C140" i="25" s="1"/>
  <c r="B138" i="25"/>
  <c r="B137" i="25"/>
  <c r="C138" i="25" s="1"/>
  <c r="B136" i="25"/>
  <c r="C136" i="25" s="1"/>
  <c r="B135" i="25"/>
  <c r="B134" i="25"/>
  <c r="C135" i="25" s="1"/>
  <c r="B133" i="25"/>
  <c r="B132" i="25"/>
  <c r="C133" i="25" s="1"/>
  <c r="B131" i="25"/>
  <c r="C132" i="25" s="1"/>
  <c r="C130" i="25"/>
  <c r="B130" i="25"/>
  <c r="C129" i="25"/>
  <c r="B129" i="25"/>
  <c r="B128" i="25"/>
  <c r="C127" i="25"/>
  <c r="B127" i="25"/>
  <c r="C128" i="25" s="1"/>
  <c r="C126" i="25"/>
  <c r="B126" i="25"/>
  <c r="B125" i="25"/>
  <c r="B124" i="25"/>
  <c r="B123" i="25"/>
  <c r="C123" i="25" s="1"/>
  <c r="B122" i="25"/>
  <c r="B121" i="25"/>
  <c r="B120" i="25"/>
  <c r="C121" i="25" s="1"/>
  <c r="B119" i="25"/>
  <c r="C120" i="25" s="1"/>
  <c r="B118" i="25"/>
  <c r="C119" i="25" s="1"/>
  <c r="B117" i="25"/>
  <c r="B116" i="25"/>
  <c r="C117" i="25" s="1"/>
  <c r="C115" i="25"/>
  <c r="B115" i="25"/>
  <c r="C114" i="25"/>
  <c r="B114" i="25"/>
  <c r="C113" i="25"/>
  <c r="B113" i="25"/>
  <c r="B112" i="25"/>
  <c r="B111" i="25"/>
  <c r="C112" i="25" s="1"/>
  <c r="B110" i="25"/>
  <c r="C109" i="25"/>
  <c r="B109" i="25"/>
  <c r="B108" i="25"/>
  <c r="B107" i="25"/>
  <c r="C108" i="25" s="1"/>
  <c r="B106" i="25"/>
  <c r="C107" i="25" s="1"/>
  <c r="B105" i="25"/>
  <c r="C106" i="25" s="1"/>
  <c r="B104" i="25"/>
  <c r="C105" i="25" s="1"/>
  <c r="B103" i="25"/>
  <c r="C102" i="25"/>
  <c r="B102" i="25"/>
  <c r="C101" i="25"/>
  <c r="B101" i="25"/>
  <c r="C100" i="25"/>
  <c r="B100" i="25"/>
  <c r="B99" i="25"/>
  <c r="B98" i="25"/>
  <c r="C99" i="25" s="1"/>
  <c r="C97" i="25"/>
  <c r="B97" i="25"/>
  <c r="C96" i="25"/>
  <c r="B96" i="25"/>
  <c r="B95" i="25"/>
  <c r="B94" i="25"/>
  <c r="C95" i="25" s="1"/>
  <c r="B93" i="25"/>
  <c r="C94" i="25" s="1"/>
  <c r="B92" i="25"/>
  <c r="B91" i="25"/>
  <c r="C92" i="25" s="1"/>
  <c r="B90" i="25"/>
  <c r="C90" i="25" s="1"/>
  <c r="C89" i="25"/>
  <c r="B89" i="25"/>
  <c r="C88" i="25"/>
  <c r="B88" i="25"/>
  <c r="B87" i="25"/>
  <c r="B86" i="25"/>
  <c r="C87" i="25" s="1"/>
  <c r="B85" i="25"/>
  <c r="C86" i="25" s="1"/>
  <c r="C84" i="25"/>
  <c r="B84" i="25"/>
  <c r="C85" i="25" s="1"/>
  <c r="C83" i="25"/>
  <c r="B83" i="25"/>
  <c r="B82" i="25"/>
  <c r="B81" i="25"/>
  <c r="C82" i="25" s="1"/>
  <c r="B80" i="25"/>
  <c r="C81" i="25" s="1"/>
  <c r="B79" i="25"/>
  <c r="C78" i="25"/>
  <c r="B78" i="25"/>
  <c r="C79" i="25" s="1"/>
  <c r="B77" i="25"/>
  <c r="C77" i="25" s="1"/>
  <c r="C76" i="25"/>
  <c r="B76" i="25"/>
  <c r="C75" i="25"/>
  <c r="B75" i="25"/>
  <c r="B74" i="25"/>
  <c r="B73" i="25"/>
  <c r="C74" i="25" s="1"/>
  <c r="B72" i="25"/>
  <c r="C73" i="25" s="1"/>
  <c r="C71" i="25"/>
  <c r="B71" i="25"/>
  <c r="C70" i="25"/>
  <c r="B70" i="25"/>
  <c r="B69" i="25"/>
  <c r="B68" i="25"/>
  <c r="C69" i="25" s="1"/>
  <c r="B67" i="25"/>
  <c r="C68" i="25" s="1"/>
  <c r="B66" i="25"/>
  <c r="B65" i="25"/>
  <c r="C66" i="25" s="1"/>
  <c r="B64" i="25"/>
  <c r="C64" i="25" s="1"/>
  <c r="B63" i="25"/>
  <c r="B62" i="25"/>
  <c r="C63" i="25" s="1"/>
  <c r="B61" i="25"/>
  <c r="B60" i="25"/>
  <c r="C61" i="25" s="1"/>
  <c r="B59" i="25"/>
  <c r="C60" i="25" s="1"/>
  <c r="C58" i="25"/>
  <c r="B58" i="25"/>
  <c r="C57" i="25"/>
  <c r="B57" i="25"/>
  <c r="B56" i="25"/>
  <c r="C55" i="25"/>
  <c r="B55" i="25"/>
  <c r="C56" i="25" s="1"/>
  <c r="B54" i="25"/>
  <c r="C54" i="25" s="1"/>
  <c r="B53" i="25"/>
  <c r="B52" i="25"/>
  <c r="B51" i="25"/>
  <c r="C51" i="25" s="1"/>
  <c r="B50" i="25"/>
  <c r="B49" i="25"/>
  <c r="B48" i="25"/>
  <c r="C49" i="25" s="1"/>
  <c r="B47" i="25"/>
  <c r="C48" i="25" s="1"/>
  <c r="B46" i="25"/>
  <c r="C47" i="25" s="1"/>
  <c r="B45" i="25"/>
  <c r="C46" i="25" s="1"/>
  <c r="B44" i="25"/>
  <c r="C45" i="25" s="1"/>
  <c r="C43" i="25"/>
  <c r="B43" i="25"/>
  <c r="C42" i="25"/>
  <c r="B42" i="25"/>
  <c r="B41" i="25"/>
  <c r="C41" i="25" s="1"/>
  <c r="B40" i="25"/>
  <c r="C39" i="25"/>
  <c r="B39" i="25"/>
  <c r="C40" i="25" s="1"/>
  <c r="B38" i="25"/>
  <c r="C37" i="25"/>
  <c r="B37" i="25"/>
  <c r="B36" i="25"/>
  <c r="B35" i="25"/>
  <c r="C36" i="25" s="1"/>
  <c r="B34" i="25"/>
  <c r="C35" i="25" s="1"/>
  <c r="B33" i="25"/>
  <c r="C34" i="25" s="1"/>
  <c r="B32" i="25"/>
  <c r="B31" i="25"/>
  <c r="C30" i="25"/>
  <c r="B30" i="25"/>
  <c r="C29" i="25"/>
  <c r="B29" i="25"/>
  <c r="B28" i="25"/>
  <c r="C28" i="25" s="1"/>
  <c r="B27" i="25"/>
  <c r="B26" i="25"/>
  <c r="C27" i="25" s="1"/>
  <c r="C25" i="25"/>
  <c r="B25" i="25"/>
  <c r="C24" i="25"/>
  <c r="B24" i="25"/>
  <c r="B23" i="25"/>
  <c r="B22" i="25"/>
  <c r="C23" i="25" s="1"/>
  <c r="B21" i="25"/>
  <c r="C22" i="25" s="1"/>
  <c r="B20" i="25"/>
  <c r="B19" i="25"/>
  <c r="C20" i="25" s="1"/>
  <c r="B18" i="25"/>
  <c r="C18" i="25" s="1"/>
  <c r="C17" i="25"/>
  <c r="B17" i="25"/>
  <c r="C16" i="25"/>
  <c r="B16" i="25"/>
  <c r="B15" i="25"/>
  <c r="B14" i="25"/>
  <c r="C15" i="25" s="1"/>
  <c r="B13" i="25"/>
  <c r="C14" i="25" s="1"/>
  <c r="C12" i="25"/>
  <c r="B12" i="25"/>
  <c r="C13" i="25" s="1"/>
  <c r="C11" i="25"/>
  <c r="B11" i="25"/>
  <c r="B10" i="25"/>
  <c r="B9" i="25"/>
  <c r="C10" i="25" s="1"/>
  <c r="B8" i="25"/>
  <c r="C9" i="25" s="1"/>
  <c r="B7" i="25"/>
  <c r="B6" i="25"/>
  <c r="C7" i="25" s="1"/>
  <c r="K2" i="25"/>
  <c r="B149" i="24"/>
  <c r="C149" i="24" s="1"/>
  <c r="C148" i="24"/>
  <c r="B148" i="24"/>
  <c r="C147" i="24"/>
  <c r="B147" i="24"/>
  <c r="B146" i="24"/>
  <c r="B145" i="24"/>
  <c r="C146" i="24" s="1"/>
  <c r="B144" i="24"/>
  <c r="C145" i="24" s="1"/>
  <c r="C143" i="24"/>
  <c r="B143" i="24"/>
  <c r="C142" i="24"/>
  <c r="B142" i="24"/>
  <c r="B141" i="24"/>
  <c r="B140" i="24"/>
  <c r="C141" i="24" s="1"/>
  <c r="B139" i="24"/>
  <c r="C140" i="24" s="1"/>
  <c r="B138" i="24"/>
  <c r="B137" i="24"/>
  <c r="C138" i="24" s="1"/>
  <c r="B136" i="24"/>
  <c r="C136" i="24" s="1"/>
  <c r="B135" i="24"/>
  <c r="B134" i="24"/>
  <c r="C135" i="24" s="1"/>
  <c r="B133" i="24"/>
  <c r="B132" i="24"/>
  <c r="C133" i="24" s="1"/>
  <c r="B131" i="24"/>
  <c r="C132" i="24" s="1"/>
  <c r="C130" i="24"/>
  <c r="B130" i="24"/>
  <c r="C129" i="24"/>
  <c r="B129" i="24"/>
  <c r="B128" i="24"/>
  <c r="C127" i="24"/>
  <c r="B127" i="24"/>
  <c r="C128" i="24" s="1"/>
  <c r="B126" i="24"/>
  <c r="C126" i="24" s="1"/>
  <c r="B125" i="24"/>
  <c r="B124" i="24"/>
  <c r="B123" i="24"/>
  <c r="C123" i="24" s="1"/>
  <c r="B122" i="24"/>
  <c r="B121" i="24"/>
  <c r="B120" i="24"/>
  <c r="C121" i="24" s="1"/>
  <c r="B119" i="24"/>
  <c r="C120" i="24" s="1"/>
  <c r="B118" i="24"/>
  <c r="C119" i="24" s="1"/>
  <c r="B117" i="24"/>
  <c r="C118" i="24" s="1"/>
  <c r="B116" i="24"/>
  <c r="C117" i="24" s="1"/>
  <c r="C115" i="24"/>
  <c r="B115" i="24"/>
  <c r="C114" i="24"/>
  <c r="B114" i="24"/>
  <c r="B113" i="24"/>
  <c r="C113" i="24" s="1"/>
  <c r="B112" i="24"/>
  <c r="C111" i="24"/>
  <c r="B111" i="24"/>
  <c r="C112" i="24" s="1"/>
  <c r="B110" i="24"/>
  <c r="C109" i="24"/>
  <c r="B109" i="24"/>
  <c r="B108" i="24"/>
  <c r="B107" i="24"/>
  <c r="C108" i="24" s="1"/>
  <c r="B106" i="24"/>
  <c r="C107" i="24" s="1"/>
  <c r="B105" i="24"/>
  <c r="C106" i="24" s="1"/>
  <c r="B104" i="24"/>
  <c r="B103" i="24"/>
  <c r="C102" i="24"/>
  <c r="B102" i="24"/>
  <c r="C101" i="24"/>
  <c r="B101" i="24"/>
  <c r="B100" i="24"/>
  <c r="C100" i="24" s="1"/>
  <c r="B99" i="24"/>
  <c r="B98" i="24"/>
  <c r="C99" i="24" s="1"/>
  <c r="C97" i="24"/>
  <c r="B97" i="24"/>
  <c r="C96" i="24"/>
  <c r="B96" i="24"/>
  <c r="B95" i="24"/>
  <c r="B94" i="24"/>
  <c r="C95" i="24" s="1"/>
  <c r="B93" i="24"/>
  <c r="C94" i="24" s="1"/>
  <c r="B92" i="24"/>
  <c r="B91" i="24"/>
  <c r="C92" i="24" s="1"/>
  <c r="B90" i="24"/>
  <c r="C90" i="24" s="1"/>
  <c r="C89" i="24"/>
  <c r="B89" i="24"/>
  <c r="C88" i="24"/>
  <c r="B88" i="24"/>
  <c r="B87" i="24"/>
  <c r="B86" i="24"/>
  <c r="C87" i="24" s="1"/>
  <c r="B85" i="24"/>
  <c r="C86" i="24" s="1"/>
  <c r="C84" i="24"/>
  <c r="B84" i="24"/>
  <c r="C85" i="24" s="1"/>
  <c r="C83" i="24"/>
  <c r="B83" i="24"/>
  <c r="B82" i="24"/>
  <c r="B81" i="24"/>
  <c r="C82" i="24" s="1"/>
  <c r="B80" i="24"/>
  <c r="C81" i="24" s="1"/>
  <c r="B79" i="24"/>
  <c r="C78" i="24"/>
  <c r="B78" i="24"/>
  <c r="C79" i="24" s="1"/>
  <c r="B77" i="24"/>
  <c r="C77" i="24" s="1"/>
  <c r="C76" i="24"/>
  <c r="B76" i="24"/>
  <c r="C75" i="24"/>
  <c r="B75" i="24"/>
  <c r="B74" i="24"/>
  <c r="B73" i="24"/>
  <c r="C74" i="24" s="1"/>
  <c r="B72" i="24"/>
  <c r="C73" i="24" s="1"/>
  <c r="C71" i="24"/>
  <c r="B71" i="24"/>
  <c r="C70" i="24"/>
  <c r="B70" i="24"/>
  <c r="B69" i="24"/>
  <c r="B68" i="24"/>
  <c r="C69" i="24" s="1"/>
  <c r="B67" i="24"/>
  <c r="C68" i="24" s="1"/>
  <c r="B66" i="24"/>
  <c r="B65" i="24"/>
  <c r="C66" i="24" s="1"/>
  <c r="B64" i="24"/>
  <c r="C64" i="24" s="1"/>
  <c r="C63" i="24"/>
  <c r="B63" i="24"/>
  <c r="B62" i="24"/>
  <c r="B61" i="24"/>
  <c r="B60" i="24"/>
  <c r="C61" i="24" s="1"/>
  <c r="B59" i="24"/>
  <c r="C60" i="24" s="1"/>
  <c r="C58" i="24"/>
  <c r="B58" i="24"/>
  <c r="C57" i="24"/>
  <c r="B57" i="24"/>
  <c r="B56" i="24"/>
  <c r="C55" i="24"/>
  <c r="B55" i="24"/>
  <c r="C56" i="24" s="1"/>
  <c r="B54" i="24"/>
  <c r="C54" i="24" s="1"/>
  <c r="B53" i="24"/>
  <c r="C52" i="24"/>
  <c r="B52" i="24"/>
  <c r="C53" i="24" s="1"/>
  <c r="B51" i="24"/>
  <c r="C51" i="24" s="1"/>
  <c r="B50" i="24"/>
  <c r="B49" i="24"/>
  <c r="B48" i="24"/>
  <c r="C49" i="24" s="1"/>
  <c r="B47" i="24"/>
  <c r="C48" i="24" s="1"/>
  <c r="B46" i="24"/>
  <c r="C47" i="24" s="1"/>
  <c r="B45" i="24"/>
  <c r="C46" i="24" s="1"/>
  <c r="B44" i="24"/>
  <c r="C45" i="24" s="1"/>
  <c r="C43" i="24"/>
  <c r="B43" i="24"/>
  <c r="C42" i="24"/>
  <c r="B42" i="24"/>
  <c r="B41" i="24"/>
  <c r="C41" i="24" s="1"/>
  <c r="B40" i="24"/>
  <c r="C39" i="24"/>
  <c r="B39" i="24"/>
  <c r="C40" i="24" s="1"/>
  <c r="B38" i="24"/>
  <c r="C37" i="24"/>
  <c r="B37" i="24"/>
  <c r="B36" i="24"/>
  <c r="B35" i="24"/>
  <c r="C36" i="24" s="1"/>
  <c r="B34" i="24"/>
  <c r="C35" i="24" s="1"/>
  <c r="B33" i="24"/>
  <c r="C34" i="24" s="1"/>
  <c r="B32" i="24"/>
  <c r="C33" i="24" s="1"/>
  <c r="B31" i="24"/>
  <c r="C30" i="24"/>
  <c r="B30" i="24"/>
  <c r="C29" i="24"/>
  <c r="B29" i="24"/>
  <c r="B28" i="24"/>
  <c r="B27" i="24"/>
  <c r="C28" i="24" s="1"/>
  <c r="B26" i="24"/>
  <c r="C27" i="24" s="1"/>
  <c r="C25" i="24"/>
  <c r="B25" i="24"/>
  <c r="C24" i="24"/>
  <c r="B24" i="24"/>
  <c r="B23" i="24"/>
  <c r="B22" i="24"/>
  <c r="C23" i="24" s="1"/>
  <c r="B21" i="24"/>
  <c r="C22" i="24" s="1"/>
  <c r="B20" i="24"/>
  <c r="B19" i="24"/>
  <c r="C20" i="24" s="1"/>
  <c r="B18" i="24"/>
  <c r="C18" i="24" s="1"/>
  <c r="C17" i="24"/>
  <c r="B17" i="24"/>
  <c r="C16" i="24"/>
  <c r="B16" i="24"/>
  <c r="B15" i="24"/>
  <c r="B14" i="24"/>
  <c r="C15" i="24" s="1"/>
  <c r="B13" i="24"/>
  <c r="C14" i="24" s="1"/>
  <c r="C12" i="24"/>
  <c r="B12" i="24"/>
  <c r="C11" i="24"/>
  <c r="B11" i="24"/>
  <c r="B10" i="24"/>
  <c r="C10" i="24" s="1"/>
  <c r="B9" i="24"/>
  <c r="B8" i="24"/>
  <c r="C9" i="24" s="1"/>
  <c r="B7" i="24"/>
  <c r="B6" i="24"/>
  <c r="C7" i="24" s="1"/>
  <c r="K2" i="24"/>
  <c r="B145" i="23"/>
  <c r="C145" i="23" s="1"/>
  <c r="C144" i="23"/>
  <c r="B144" i="23"/>
  <c r="C143" i="23"/>
  <c r="B143" i="23"/>
  <c r="B142" i="23"/>
  <c r="B141" i="23"/>
  <c r="C142" i="23" s="1"/>
  <c r="B140" i="23"/>
  <c r="C141" i="23" s="1"/>
  <c r="C139" i="23"/>
  <c r="B139" i="23"/>
  <c r="C140" i="23" s="1"/>
  <c r="C138" i="23"/>
  <c r="B138" i="23"/>
  <c r="B137" i="23"/>
  <c r="B136" i="23"/>
  <c r="C137" i="23" s="1"/>
  <c r="B135" i="23"/>
  <c r="C136" i="23" s="1"/>
  <c r="B134" i="23"/>
  <c r="C135" i="23" s="1"/>
  <c r="B133" i="23"/>
  <c r="C134" i="23" s="1"/>
  <c r="B132" i="23"/>
  <c r="C132" i="23" s="1"/>
  <c r="B131" i="23"/>
  <c r="B130" i="23"/>
  <c r="C131" i="23" s="1"/>
  <c r="B129" i="23"/>
  <c r="B128" i="23"/>
  <c r="C129" i="23" s="1"/>
  <c r="B127" i="23"/>
  <c r="C128" i="23" s="1"/>
  <c r="C126" i="23"/>
  <c r="B126" i="23"/>
  <c r="C125" i="23"/>
  <c r="B125" i="23"/>
  <c r="B124" i="23"/>
  <c r="C123" i="23"/>
  <c r="B123" i="23"/>
  <c r="C124" i="23" s="1"/>
  <c r="B122" i="23"/>
  <c r="B121" i="23"/>
  <c r="C122" i="23" s="1"/>
  <c r="C120" i="23"/>
  <c r="B120" i="23"/>
  <c r="C121" i="23" s="1"/>
  <c r="B119" i="23"/>
  <c r="C119" i="23" s="1"/>
  <c r="B118" i="23"/>
  <c r="B117" i="23"/>
  <c r="B116" i="23"/>
  <c r="B115" i="23"/>
  <c r="C116" i="23" s="1"/>
  <c r="B114" i="23"/>
  <c r="C115" i="23" s="1"/>
  <c r="B113" i="23"/>
  <c r="C114" i="23" s="1"/>
  <c r="B112" i="23"/>
  <c r="C113" i="23" s="1"/>
  <c r="C111" i="23"/>
  <c r="B111" i="23"/>
  <c r="C110" i="23"/>
  <c r="B110" i="23"/>
  <c r="B109" i="23"/>
  <c r="B108" i="23"/>
  <c r="C109" i="23" s="1"/>
  <c r="C107" i="23"/>
  <c r="B107" i="23"/>
  <c r="C108" i="23" s="1"/>
  <c r="B106" i="23"/>
  <c r="C105" i="23"/>
  <c r="B105" i="23"/>
  <c r="B104" i="23"/>
  <c r="C104" i="23" s="1"/>
  <c r="B103" i="23"/>
  <c r="B102" i="23"/>
  <c r="C103" i="23" s="1"/>
  <c r="B101" i="23"/>
  <c r="C102" i="23" s="1"/>
  <c r="B100" i="23"/>
  <c r="C101" i="23" s="1"/>
  <c r="B99" i="23"/>
  <c r="C98" i="23"/>
  <c r="B98" i="23"/>
  <c r="C97" i="23"/>
  <c r="B97" i="23"/>
  <c r="B96" i="23"/>
  <c r="B95" i="23"/>
  <c r="C96" i="23" s="1"/>
  <c r="B94" i="23"/>
  <c r="C95" i="23" s="1"/>
  <c r="C93" i="23"/>
  <c r="B93" i="23"/>
  <c r="C92" i="23"/>
  <c r="B92" i="23"/>
  <c r="B91" i="23"/>
  <c r="C91" i="23" s="1"/>
  <c r="B90" i="23"/>
  <c r="B89" i="23"/>
  <c r="C90" i="23" s="1"/>
  <c r="B88" i="23"/>
  <c r="B87" i="23"/>
  <c r="C88" i="23" s="1"/>
  <c r="B86" i="23"/>
  <c r="C86" i="23" s="1"/>
  <c r="C85" i="23"/>
  <c r="B85" i="23"/>
  <c r="C84" i="23"/>
  <c r="B84" i="23"/>
  <c r="B83" i="23"/>
  <c r="B82" i="23"/>
  <c r="C83" i="23" s="1"/>
  <c r="B81" i="23"/>
  <c r="C82" i="23" s="1"/>
  <c r="C80" i="23"/>
  <c r="B80" i="23"/>
  <c r="C79" i="23"/>
  <c r="B79" i="23"/>
  <c r="B78" i="23"/>
  <c r="C78" i="23" s="1"/>
  <c r="B77" i="23"/>
  <c r="B76" i="23"/>
  <c r="C77" i="23" s="1"/>
  <c r="B75" i="23"/>
  <c r="B74" i="23"/>
  <c r="C75" i="23" s="1"/>
  <c r="B73" i="23"/>
  <c r="C73" i="23" s="1"/>
  <c r="C72" i="23"/>
  <c r="B72" i="23"/>
  <c r="C71" i="23"/>
  <c r="B71" i="23"/>
  <c r="B70" i="23"/>
  <c r="B69" i="23"/>
  <c r="C70" i="23" s="1"/>
  <c r="B68" i="23"/>
  <c r="C69" i="23" s="1"/>
  <c r="C67" i="23"/>
  <c r="B67" i="23"/>
  <c r="C66" i="23"/>
  <c r="B66" i="23"/>
  <c r="B65" i="23"/>
  <c r="B64" i="23"/>
  <c r="C65" i="23" s="1"/>
  <c r="B63" i="23"/>
  <c r="C64" i="23" s="1"/>
  <c r="B62" i="23"/>
  <c r="C63" i="23" s="1"/>
  <c r="B61" i="23"/>
  <c r="C62" i="23" s="1"/>
  <c r="B60" i="23"/>
  <c r="C60" i="23" s="1"/>
  <c r="B59" i="23"/>
  <c r="B58" i="23"/>
  <c r="C59" i="23" s="1"/>
  <c r="B57" i="23"/>
  <c r="B56" i="23"/>
  <c r="C57" i="23" s="1"/>
  <c r="B55" i="23"/>
  <c r="C56" i="23" s="1"/>
  <c r="C54" i="23"/>
  <c r="B54" i="23"/>
  <c r="C53" i="23"/>
  <c r="B53" i="23"/>
  <c r="B52" i="23"/>
  <c r="C51" i="23"/>
  <c r="B51" i="23"/>
  <c r="C52" i="23" s="1"/>
  <c r="B50" i="23"/>
  <c r="B49" i="23"/>
  <c r="C50" i="23" s="1"/>
  <c r="C48" i="23"/>
  <c r="B48" i="23"/>
  <c r="C49" i="23" s="1"/>
  <c r="B47" i="23"/>
  <c r="C47" i="23" s="1"/>
  <c r="B46" i="23"/>
  <c r="B45" i="23"/>
  <c r="B44" i="23"/>
  <c r="B43" i="23"/>
  <c r="C44" i="23" s="1"/>
  <c r="B42" i="23"/>
  <c r="C43" i="23" s="1"/>
  <c r="B41" i="23"/>
  <c r="C42" i="23" s="1"/>
  <c r="B40" i="23"/>
  <c r="C41" i="23" s="1"/>
  <c r="C39" i="23"/>
  <c r="B39" i="23"/>
  <c r="C38" i="23"/>
  <c r="B38" i="23"/>
  <c r="B37" i="23"/>
  <c r="B36" i="23"/>
  <c r="C37" i="23" s="1"/>
  <c r="B35" i="23"/>
  <c r="C36" i="23" s="1"/>
  <c r="B34" i="23"/>
  <c r="C33" i="23"/>
  <c r="B33" i="23"/>
  <c r="B32" i="23"/>
  <c r="C32" i="23" s="1"/>
  <c r="B31" i="23"/>
  <c r="B30" i="23"/>
  <c r="C31" i="23" s="1"/>
  <c r="B29" i="23"/>
  <c r="C30" i="23" s="1"/>
  <c r="B28" i="23"/>
  <c r="C29" i="23" s="1"/>
  <c r="B27" i="23"/>
  <c r="C26" i="23"/>
  <c r="B26" i="23"/>
  <c r="C25" i="23"/>
  <c r="B25" i="23"/>
  <c r="B24" i="23"/>
  <c r="B23" i="23"/>
  <c r="C24" i="23" s="1"/>
  <c r="B22" i="23"/>
  <c r="C23" i="23" s="1"/>
  <c r="C21" i="23"/>
  <c r="B21" i="23"/>
  <c r="C20" i="23"/>
  <c r="B20" i="23"/>
  <c r="B19" i="23"/>
  <c r="C19" i="23" s="1"/>
  <c r="B18" i="23"/>
  <c r="B17" i="23"/>
  <c r="C18" i="23" s="1"/>
  <c r="B16" i="23"/>
  <c r="B15" i="23"/>
  <c r="C16" i="23" s="1"/>
  <c r="B14" i="23"/>
  <c r="C14" i="23" s="1"/>
  <c r="C13" i="23"/>
  <c r="B13" i="23"/>
  <c r="C12" i="23"/>
  <c r="B12" i="23"/>
  <c r="B11" i="23"/>
  <c r="B10" i="23"/>
  <c r="C11" i="23" s="1"/>
  <c r="B9" i="23"/>
  <c r="C10" i="23" s="1"/>
  <c r="C8" i="23"/>
  <c r="B8" i="23"/>
  <c r="C7" i="23"/>
  <c r="B7" i="23"/>
  <c r="B6" i="23"/>
  <c r="K2" i="23"/>
  <c r="B180" i="22"/>
  <c r="B179" i="22"/>
  <c r="C180" i="22" s="1"/>
  <c r="B178" i="22"/>
  <c r="C177" i="22"/>
  <c r="B177" i="22"/>
  <c r="C178" i="22" s="1"/>
  <c r="B176" i="22"/>
  <c r="C176" i="22" s="1"/>
  <c r="C175" i="22"/>
  <c r="B175" i="22"/>
  <c r="C174" i="22"/>
  <c r="B174" i="22"/>
  <c r="B173" i="22"/>
  <c r="B172" i="22"/>
  <c r="C173" i="22" s="1"/>
  <c r="B171" i="22"/>
  <c r="C172" i="22" s="1"/>
  <c r="C170" i="22"/>
  <c r="B170" i="22"/>
  <c r="C171" i="22" s="1"/>
  <c r="C169" i="22"/>
  <c r="B169" i="22"/>
  <c r="B168" i="22"/>
  <c r="B167" i="22"/>
  <c r="C168" i="22" s="1"/>
  <c r="B166" i="22"/>
  <c r="C167" i="22" s="1"/>
  <c r="B165" i="22"/>
  <c r="C166" i="22" s="1"/>
  <c r="B164" i="22"/>
  <c r="C165" i="22" s="1"/>
  <c r="B163" i="22"/>
  <c r="C162" i="22"/>
  <c r="B162" i="22"/>
  <c r="B161" i="22"/>
  <c r="B160" i="22"/>
  <c r="B159" i="22"/>
  <c r="C160" i="22" s="1"/>
  <c r="B158" i="22"/>
  <c r="C159" i="22" s="1"/>
  <c r="C157" i="22"/>
  <c r="B157" i="22"/>
  <c r="C156" i="22"/>
  <c r="B156" i="22"/>
  <c r="B155" i="22"/>
  <c r="C154" i="22"/>
  <c r="B154" i="22"/>
  <c r="C155" i="22" s="1"/>
  <c r="B153" i="22"/>
  <c r="B152" i="22"/>
  <c r="C153" i="22" s="1"/>
  <c r="C151" i="22"/>
  <c r="B151" i="22"/>
  <c r="C152" i="22" s="1"/>
  <c r="B150" i="22"/>
  <c r="C150" i="22" s="1"/>
  <c r="B149" i="22"/>
  <c r="B148" i="22"/>
  <c r="B147" i="22"/>
  <c r="B146" i="22"/>
  <c r="C147" i="22" s="1"/>
  <c r="B145" i="22"/>
  <c r="C146" i="22" s="1"/>
  <c r="C144" i="22"/>
  <c r="B144" i="22"/>
  <c r="B143" i="22"/>
  <c r="C142" i="22"/>
  <c r="B142" i="22"/>
  <c r="C141" i="22"/>
  <c r="B141" i="22"/>
  <c r="B140" i="22"/>
  <c r="B139" i="22"/>
  <c r="C140" i="22" s="1"/>
  <c r="B138" i="22"/>
  <c r="C139" i="22" s="1"/>
  <c r="B137" i="22"/>
  <c r="C136" i="22"/>
  <c r="B136" i="22"/>
  <c r="B135" i="22"/>
  <c r="C135" i="22" s="1"/>
  <c r="B134" i="22"/>
  <c r="B133" i="22"/>
  <c r="C134" i="22" s="1"/>
  <c r="B132" i="22"/>
  <c r="C133" i="22" s="1"/>
  <c r="B131" i="22"/>
  <c r="C132" i="22" s="1"/>
  <c r="B130" i="22"/>
  <c r="C129" i="22"/>
  <c r="B129" i="22"/>
  <c r="C128" i="22"/>
  <c r="B128" i="22"/>
  <c r="B127" i="22"/>
  <c r="B126" i="22"/>
  <c r="C127" i="22" s="1"/>
  <c r="B125" i="22"/>
  <c r="C126" i="22" s="1"/>
  <c r="C124" i="22"/>
  <c r="B124" i="22"/>
  <c r="C123" i="22"/>
  <c r="B123" i="22"/>
  <c r="B122" i="22"/>
  <c r="C122" i="22" s="1"/>
  <c r="B121" i="22"/>
  <c r="B120" i="22"/>
  <c r="C121" i="22" s="1"/>
  <c r="B119" i="22"/>
  <c r="B118" i="22"/>
  <c r="C119" i="22" s="1"/>
  <c r="B117" i="22"/>
  <c r="C117" i="22" s="1"/>
  <c r="C116" i="22"/>
  <c r="B116" i="22"/>
  <c r="C115" i="22"/>
  <c r="B115" i="22"/>
  <c r="B114" i="22"/>
  <c r="B113" i="22"/>
  <c r="C114" i="22" s="1"/>
  <c r="B112" i="22"/>
  <c r="C113" i="22" s="1"/>
  <c r="C111" i="22"/>
  <c r="B111" i="22"/>
  <c r="C112" i="22" s="1"/>
  <c r="C110" i="22"/>
  <c r="B110" i="22"/>
  <c r="B109" i="22"/>
  <c r="C109" i="22" s="1"/>
  <c r="B108" i="22"/>
  <c r="B107" i="22"/>
  <c r="C108" i="22" s="1"/>
  <c r="B106" i="22"/>
  <c r="B105" i="22"/>
  <c r="C106" i="22" s="1"/>
  <c r="B104" i="22"/>
  <c r="C104" i="22" s="1"/>
  <c r="C103" i="22"/>
  <c r="B103" i="22"/>
  <c r="C102" i="22"/>
  <c r="B102" i="22"/>
  <c r="B101" i="22"/>
  <c r="B100" i="22"/>
  <c r="C101" i="22" s="1"/>
  <c r="B99" i="22"/>
  <c r="C100" i="22" s="1"/>
  <c r="C98" i="22"/>
  <c r="B98" i="22"/>
  <c r="C97" i="22"/>
  <c r="B97" i="22"/>
  <c r="B96" i="22"/>
  <c r="B95" i="22"/>
  <c r="C96" i="22" s="1"/>
  <c r="B94" i="22"/>
  <c r="C95" i="22" s="1"/>
  <c r="B93" i="22"/>
  <c r="C94" i="22" s="1"/>
  <c r="B92" i="22"/>
  <c r="C93" i="22" s="1"/>
  <c r="B91" i="22"/>
  <c r="C91" i="22" s="1"/>
  <c r="C90" i="22"/>
  <c r="B90" i="22"/>
  <c r="B89" i="22"/>
  <c r="B88" i="22"/>
  <c r="B87" i="22"/>
  <c r="C88" i="22" s="1"/>
  <c r="B86" i="22"/>
  <c r="C87" i="22" s="1"/>
  <c r="C85" i="22"/>
  <c r="B85" i="22"/>
  <c r="C86" i="22" s="1"/>
  <c r="C84" i="22"/>
  <c r="B84" i="22"/>
  <c r="B83" i="22"/>
  <c r="C82" i="22"/>
  <c r="B82" i="22"/>
  <c r="C83" i="22" s="1"/>
  <c r="B81" i="22"/>
  <c r="B80" i="22"/>
  <c r="C81" i="22" s="1"/>
  <c r="B79" i="22"/>
  <c r="C80" i="22" s="1"/>
  <c r="C78" i="22"/>
  <c r="B78" i="22"/>
  <c r="B77" i="22"/>
  <c r="B76" i="22"/>
  <c r="B75" i="22"/>
  <c r="B74" i="22"/>
  <c r="C75" i="22" s="1"/>
  <c r="B73" i="22"/>
  <c r="C74" i="22" s="1"/>
  <c r="C72" i="22"/>
  <c r="B72" i="22"/>
  <c r="C73" i="22" s="1"/>
  <c r="B71" i="22"/>
  <c r="C70" i="22"/>
  <c r="B70" i="22"/>
  <c r="C69" i="22"/>
  <c r="B69" i="22"/>
  <c r="B68" i="22"/>
  <c r="B67" i="22"/>
  <c r="C68" i="22" s="1"/>
  <c r="B66" i="22"/>
  <c r="C67" i="22" s="1"/>
  <c r="B65" i="22"/>
  <c r="C64" i="22"/>
  <c r="B64" i="22"/>
  <c r="B63" i="22"/>
  <c r="C63" i="22" s="1"/>
  <c r="B62" i="22"/>
  <c r="B61" i="22"/>
  <c r="C62" i="22" s="1"/>
  <c r="B60" i="22"/>
  <c r="C61" i="22" s="1"/>
  <c r="B59" i="22"/>
  <c r="B58" i="22"/>
  <c r="C59" i="22" s="1"/>
  <c r="C57" i="22"/>
  <c r="B57" i="22"/>
  <c r="C56" i="22"/>
  <c r="B56" i="22"/>
  <c r="B55" i="22"/>
  <c r="B54" i="22"/>
  <c r="C55" i="22" s="1"/>
  <c r="B53" i="22"/>
  <c r="C54" i="22" s="1"/>
  <c r="C52" i="22"/>
  <c r="B52" i="22"/>
  <c r="C51" i="22"/>
  <c r="B51" i="22"/>
  <c r="B50" i="22"/>
  <c r="C50" i="22" s="1"/>
  <c r="B49" i="22"/>
  <c r="B48" i="22"/>
  <c r="C49" i="22" s="1"/>
  <c r="B47" i="22"/>
  <c r="C46" i="22"/>
  <c r="B46" i="22"/>
  <c r="C47" i="22" s="1"/>
  <c r="C45" i="22"/>
  <c r="B45" i="22"/>
  <c r="C44" i="22"/>
  <c r="B44" i="22"/>
  <c r="C43" i="22"/>
  <c r="B43" i="22"/>
  <c r="B42" i="22"/>
  <c r="B41" i="22"/>
  <c r="C42" i="22" s="1"/>
  <c r="B40" i="22"/>
  <c r="C41" i="22" s="1"/>
  <c r="B39" i="22"/>
  <c r="C38" i="22"/>
  <c r="B38" i="22"/>
  <c r="B37" i="22"/>
  <c r="C37" i="22" s="1"/>
  <c r="B36" i="22"/>
  <c r="B35" i="22"/>
  <c r="C36" i="22" s="1"/>
  <c r="B34" i="22"/>
  <c r="B33" i="22"/>
  <c r="C34" i="22" s="1"/>
  <c r="C32" i="22"/>
  <c r="B32" i="22"/>
  <c r="C33" i="22" s="1"/>
  <c r="C31" i="22"/>
  <c r="B31" i="22"/>
  <c r="C30" i="22"/>
  <c r="B30" i="22"/>
  <c r="B29" i="22"/>
  <c r="B28" i="22"/>
  <c r="C29" i="22" s="1"/>
  <c r="B27" i="22"/>
  <c r="C28" i="22" s="1"/>
  <c r="B26" i="22"/>
  <c r="C27" i="22" s="1"/>
  <c r="C25" i="22"/>
  <c r="B25" i="22"/>
  <c r="B24" i="22"/>
  <c r="B23" i="22"/>
  <c r="C24" i="22" s="1"/>
  <c r="B22" i="22"/>
  <c r="C23" i="22" s="1"/>
  <c r="B21" i="22"/>
  <c r="C22" i="22" s="1"/>
  <c r="C20" i="22"/>
  <c r="B20" i="22"/>
  <c r="C21" i="22" s="1"/>
  <c r="C19" i="22"/>
  <c r="B19" i="22"/>
  <c r="C18" i="22"/>
  <c r="B18" i="22"/>
  <c r="B17" i="22"/>
  <c r="B16" i="22"/>
  <c r="B15" i="22"/>
  <c r="C16" i="22" s="1"/>
  <c r="B14" i="22"/>
  <c r="C15" i="22" s="1"/>
  <c r="C13" i="22"/>
  <c r="B13" i="22"/>
  <c r="C14" i="22" s="1"/>
  <c r="C12" i="22"/>
  <c r="B12" i="22"/>
  <c r="B11" i="22"/>
  <c r="C10" i="22"/>
  <c r="B10" i="22"/>
  <c r="C11" i="22" s="1"/>
  <c r="B9" i="22"/>
  <c r="B8" i="22"/>
  <c r="C9" i="22" s="1"/>
  <c r="B7" i="22"/>
  <c r="B6" i="22"/>
  <c r="K2" i="22"/>
  <c r="B145" i="21"/>
  <c r="B144" i="21"/>
  <c r="B143" i="21"/>
  <c r="B142" i="21"/>
  <c r="C143" i="21" s="1"/>
  <c r="B141" i="21"/>
  <c r="C142" i="21" s="1"/>
  <c r="B140" i="21"/>
  <c r="C141" i="21" s="1"/>
  <c r="B139" i="21"/>
  <c r="C140" i="21" s="1"/>
  <c r="C138" i="21"/>
  <c r="B138" i="21"/>
  <c r="C137" i="21"/>
  <c r="B137" i="21"/>
  <c r="B136" i="21"/>
  <c r="B135" i="21"/>
  <c r="C136" i="21" s="1"/>
  <c r="B134" i="21"/>
  <c r="C135" i="21" s="1"/>
  <c r="B133" i="21"/>
  <c r="C134" i="21" s="1"/>
  <c r="B132" i="21"/>
  <c r="C133" i="21" s="1"/>
  <c r="B131" i="21"/>
  <c r="C131" i="21" s="1"/>
  <c r="B130" i="21"/>
  <c r="B129" i="21"/>
  <c r="C130" i="21" s="1"/>
  <c r="B128" i="21"/>
  <c r="C129" i="21" s="1"/>
  <c r="B127" i="21"/>
  <c r="C128" i="21" s="1"/>
  <c r="B126" i="21"/>
  <c r="C125" i="21"/>
  <c r="B125" i="21"/>
  <c r="C124" i="21"/>
  <c r="B124" i="21"/>
  <c r="B123" i="21"/>
  <c r="B122" i="21"/>
  <c r="C123" i="21" s="1"/>
  <c r="B121" i="21"/>
  <c r="C122" i="21" s="1"/>
  <c r="B120" i="21"/>
  <c r="B119" i="21"/>
  <c r="C119" i="21" s="1"/>
  <c r="B118" i="21"/>
  <c r="C118" i="21" s="1"/>
  <c r="B117" i="21"/>
  <c r="B116" i="21"/>
  <c r="B115" i="21"/>
  <c r="B114" i="21"/>
  <c r="C115" i="21" s="1"/>
  <c r="B113" i="21"/>
  <c r="C114" i="21" s="1"/>
  <c r="C112" i="21"/>
  <c r="B112" i="21"/>
  <c r="C111" i="21"/>
  <c r="B111" i="21"/>
  <c r="B110" i="21"/>
  <c r="B109" i="21"/>
  <c r="C110" i="21" s="1"/>
  <c r="B108" i="21"/>
  <c r="B107" i="21"/>
  <c r="C108" i="21" s="1"/>
  <c r="B106" i="21"/>
  <c r="C107" i="21" s="1"/>
  <c r="B105" i="21"/>
  <c r="B104" i="21"/>
  <c r="B103" i="21"/>
  <c r="C104" i="21" s="1"/>
  <c r="B102" i="21"/>
  <c r="B101" i="21"/>
  <c r="C102" i="21" s="1"/>
  <c r="C100" i="21"/>
  <c r="B100" i="21"/>
  <c r="C99" i="21"/>
  <c r="B99" i="21"/>
  <c r="C98" i="21"/>
  <c r="B98" i="21"/>
  <c r="B97" i="21"/>
  <c r="B96" i="21"/>
  <c r="C97" i="21" s="1"/>
  <c r="B95" i="21"/>
  <c r="C94" i="21"/>
  <c r="B94" i="21"/>
  <c r="C93" i="21"/>
  <c r="B93" i="21"/>
  <c r="B92" i="21"/>
  <c r="B91" i="21"/>
  <c r="C92" i="21" s="1"/>
  <c r="B90" i="21"/>
  <c r="C91" i="21" s="1"/>
  <c r="C89" i="21"/>
  <c r="B89" i="21"/>
  <c r="C90" i="21" s="1"/>
  <c r="B88" i="21"/>
  <c r="B87" i="21"/>
  <c r="C87" i="21" s="1"/>
  <c r="B86" i="21"/>
  <c r="B85" i="21"/>
  <c r="C86" i="21" s="1"/>
  <c r="B84" i="21"/>
  <c r="B83" i="21"/>
  <c r="C84" i="21" s="1"/>
  <c r="B82" i="21"/>
  <c r="C83" i="21" s="1"/>
  <c r="C81" i="21"/>
  <c r="B81" i="21"/>
  <c r="C82" i="21" s="1"/>
  <c r="B80" i="21"/>
  <c r="C80" i="21" s="1"/>
  <c r="B79" i="21"/>
  <c r="C78" i="21"/>
  <c r="B78" i="21"/>
  <c r="C79" i="21" s="1"/>
  <c r="B77" i="21"/>
  <c r="B76" i="21"/>
  <c r="C77" i="21" s="1"/>
  <c r="B75" i="21"/>
  <c r="C76" i="21" s="1"/>
  <c r="B74" i="21"/>
  <c r="C75" i="21" s="1"/>
  <c r="B73" i="21"/>
  <c r="B72" i="21"/>
  <c r="B71" i="21"/>
  <c r="C70" i="21"/>
  <c r="B70" i="21"/>
  <c r="C71" i="21" s="1"/>
  <c r="B69" i="21"/>
  <c r="B68" i="21"/>
  <c r="B67" i="21"/>
  <c r="C68" i="21" s="1"/>
  <c r="C66" i="21"/>
  <c r="B66" i="21"/>
  <c r="B65" i="21"/>
  <c r="B64" i="21"/>
  <c r="C65" i="21" s="1"/>
  <c r="B63" i="21"/>
  <c r="B62" i="21"/>
  <c r="C63" i="21" s="1"/>
  <c r="B61" i="21"/>
  <c r="C62" i="21" s="1"/>
  <c r="B60" i="21"/>
  <c r="C61" i="21" s="1"/>
  <c r="B59" i="21"/>
  <c r="C59" i="21" s="1"/>
  <c r="B58" i="21"/>
  <c r="C57" i="21"/>
  <c r="B57" i="21"/>
  <c r="C58" i="21" s="1"/>
  <c r="B56" i="21"/>
  <c r="B55" i="21"/>
  <c r="C54" i="21"/>
  <c r="B54" i="21"/>
  <c r="C53" i="21"/>
  <c r="B53" i="21"/>
  <c r="B52" i="21"/>
  <c r="B51" i="21"/>
  <c r="C52" i="21" s="1"/>
  <c r="C50" i="21"/>
  <c r="B50" i="21"/>
  <c r="C51" i="21" s="1"/>
  <c r="B49" i="21"/>
  <c r="C48" i="21"/>
  <c r="B48" i="21"/>
  <c r="C49" i="21" s="1"/>
  <c r="C47" i="21"/>
  <c r="B47" i="21"/>
  <c r="B46" i="21"/>
  <c r="C46" i="21" s="1"/>
  <c r="B45" i="21"/>
  <c r="B44" i="21"/>
  <c r="C45" i="21" s="1"/>
  <c r="B43" i="21"/>
  <c r="B42" i="21"/>
  <c r="B41" i="21"/>
  <c r="C41" i="21" s="1"/>
  <c r="C40" i="21"/>
  <c r="B40" i="21"/>
  <c r="B39" i="21"/>
  <c r="B38" i="21"/>
  <c r="C39" i="21" s="1"/>
  <c r="B37" i="21"/>
  <c r="B36" i="21"/>
  <c r="C37" i="21" s="1"/>
  <c r="B35" i="21"/>
  <c r="B34" i="21"/>
  <c r="B33" i="21"/>
  <c r="C33" i="21" s="1"/>
  <c r="C32" i="21"/>
  <c r="B32" i="21"/>
  <c r="B31" i="21"/>
  <c r="B30" i="21"/>
  <c r="B29" i="21"/>
  <c r="C30" i="21" s="1"/>
  <c r="B28" i="21"/>
  <c r="C27" i="21"/>
  <c r="B27" i="21"/>
  <c r="C26" i="21"/>
  <c r="B26" i="21"/>
  <c r="B25" i="21"/>
  <c r="B24" i="21"/>
  <c r="C25" i="21" s="1"/>
  <c r="B23" i="21"/>
  <c r="C24" i="21" s="1"/>
  <c r="B22" i="21"/>
  <c r="C23" i="21" s="1"/>
  <c r="B21" i="21"/>
  <c r="C22" i="21" s="1"/>
  <c r="B20" i="21"/>
  <c r="B19" i="21"/>
  <c r="B18" i="21"/>
  <c r="C19" i="21" s="1"/>
  <c r="B17" i="21"/>
  <c r="B16" i="21"/>
  <c r="C17" i="21" s="1"/>
  <c r="C15" i="21"/>
  <c r="B15" i="21"/>
  <c r="B14" i="21"/>
  <c r="B13" i="21"/>
  <c r="C14" i="21" s="1"/>
  <c r="C12" i="21"/>
  <c r="B12" i="21"/>
  <c r="C11" i="21"/>
  <c r="B11" i="21"/>
  <c r="B10" i="21"/>
  <c r="B9" i="21"/>
  <c r="C10" i="21" s="1"/>
  <c r="C8" i="21"/>
  <c r="B8" i="21"/>
  <c r="B7" i="21"/>
  <c r="B6" i="21"/>
  <c r="C7" i="21" s="1"/>
  <c r="K2" i="21"/>
  <c r="B151" i="20"/>
  <c r="B150" i="20"/>
  <c r="C151" i="20" s="1"/>
  <c r="B149" i="20"/>
  <c r="C150" i="20" s="1"/>
  <c r="B148" i="20"/>
  <c r="C149" i="20" s="1"/>
  <c r="B147" i="20"/>
  <c r="C148" i="20" s="1"/>
  <c r="B146" i="20"/>
  <c r="B145" i="20"/>
  <c r="B144" i="20"/>
  <c r="C145" i="20" s="1"/>
  <c r="B143" i="20"/>
  <c r="C142" i="20"/>
  <c r="B142" i="20"/>
  <c r="C143" i="20" s="1"/>
  <c r="B141" i="20"/>
  <c r="C140" i="20"/>
  <c r="B140" i="20"/>
  <c r="B139" i="20"/>
  <c r="B138" i="20"/>
  <c r="C139" i="20" s="1"/>
  <c r="C137" i="20"/>
  <c r="B137" i="20"/>
  <c r="C138" i="20" s="1"/>
  <c r="B136" i="20"/>
  <c r="B135" i="20"/>
  <c r="C136" i="20" s="1"/>
  <c r="B134" i="20"/>
  <c r="B133" i="20"/>
  <c r="C134" i="20" s="1"/>
  <c r="B132" i="20"/>
  <c r="B131" i="20"/>
  <c r="C132" i="20" s="1"/>
  <c r="B130" i="20"/>
  <c r="C131" i="20" s="1"/>
  <c r="B129" i="20"/>
  <c r="C130" i="20" s="1"/>
  <c r="B128" i="20"/>
  <c r="B127" i="20"/>
  <c r="C128" i="20" s="1"/>
  <c r="B126" i="20"/>
  <c r="C127" i="20" s="1"/>
  <c r="B125" i="20"/>
  <c r="C126" i="20" s="1"/>
  <c r="B124" i="20"/>
  <c r="C125" i="20" s="1"/>
  <c r="B123" i="20"/>
  <c r="C124" i="20" s="1"/>
  <c r="B122" i="20"/>
  <c r="C123" i="20" s="1"/>
  <c r="B121" i="20"/>
  <c r="C122" i="20" s="1"/>
  <c r="B120" i="20"/>
  <c r="C120" i="20" s="1"/>
  <c r="B119" i="20"/>
  <c r="C118" i="20"/>
  <c r="B118" i="20"/>
  <c r="C119" i="20" s="1"/>
  <c r="B117" i="20"/>
  <c r="B116" i="20"/>
  <c r="C115" i="20"/>
  <c r="B115" i="20"/>
  <c r="C114" i="20"/>
  <c r="B114" i="20"/>
  <c r="B113" i="20"/>
  <c r="B112" i="20"/>
  <c r="C113" i="20" s="1"/>
  <c r="B111" i="20"/>
  <c r="B110" i="20"/>
  <c r="B109" i="20"/>
  <c r="C110" i="20" s="1"/>
  <c r="B108" i="20"/>
  <c r="C109" i="20" s="1"/>
  <c r="B107" i="20"/>
  <c r="C107" i="20" s="1"/>
  <c r="C106" i="20"/>
  <c r="B106" i="20"/>
  <c r="B105" i="20"/>
  <c r="C104" i="20"/>
  <c r="B104" i="20"/>
  <c r="B103" i="20"/>
  <c r="B102" i="20"/>
  <c r="C101" i="20"/>
  <c r="B101" i="20"/>
  <c r="C100" i="20"/>
  <c r="B100" i="20"/>
  <c r="B99" i="20"/>
  <c r="B98" i="20"/>
  <c r="C99" i="20" s="1"/>
  <c r="B97" i="20"/>
  <c r="C98" i="20" s="1"/>
  <c r="B96" i="20"/>
  <c r="C97" i="20" s="1"/>
  <c r="B95" i="20"/>
  <c r="C94" i="20"/>
  <c r="B94" i="20"/>
  <c r="C93" i="20"/>
  <c r="B93" i="20"/>
  <c r="B92" i="20"/>
  <c r="B91" i="20"/>
  <c r="C92" i="20" s="1"/>
  <c r="B90" i="20"/>
  <c r="B89" i="20"/>
  <c r="C90" i="20" s="1"/>
  <c r="B88" i="20"/>
  <c r="C89" i="20" s="1"/>
  <c r="B87" i="20"/>
  <c r="B86" i="20"/>
  <c r="C86" i="20" s="1"/>
  <c r="B85" i="20"/>
  <c r="C84" i="20"/>
  <c r="B84" i="20"/>
  <c r="C85" i="20" s="1"/>
  <c r="B83" i="20"/>
  <c r="B82" i="20"/>
  <c r="C81" i="20"/>
  <c r="B81" i="20"/>
  <c r="C80" i="20"/>
  <c r="B80" i="20"/>
  <c r="B79" i="20"/>
  <c r="B78" i="20"/>
  <c r="C79" i="20" s="1"/>
  <c r="B77" i="20"/>
  <c r="B76" i="20"/>
  <c r="C77" i="20" s="1"/>
  <c r="C75" i="20"/>
  <c r="B75" i="20"/>
  <c r="B74" i="20"/>
  <c r="B73" i="20"/>
  <c r="C74" i="20" s="1"/>
  <c r="C72" i="20"/>
  <c r="B72" i="20"/>
  <c r="C71" i="20"/>
  <c r="B71" i="20"/>
  <c r="B70" i="20"/>
  <c r="C70" i="20" s="1"/>
  <c r="C69" i="20"/>
  <c r="B69" i="20"/>
  <c r="B68" i="20"/>
  <c r="B67" i="20"/>
  <c r="C68" i="20" s="1"/>
  <c r="B66" i="20"/>
  <c r="B65" i="20"/>
  <c r="C66" i="20" s="1"/>
  <c r="C64" i="20"/>
  <c r="B64" i="20"/>
  <c r="B63" i="20"/>
  <c r="B62" i="20"/>
  <c r="C63" i="20" s="1"/>
  <c r="B61" i="20"/>
  <c r="C60" i="20"/>
  <c r="B60" i="20"/>
  <c r="C61" i="20" s="1"/>
  <c r="C59" i="20"/>
  <c r="B59" i="20"/>
  <c r="C58" i="20"/>
  <c r="B58" i="20"/>
  <c r="B57" i="20"/>
  <c r="B56" i="20"/>
  <c r="C57" i="20" s="1"/>
  <c r="B55" i="20"/>
  <c r="C56" i="20" s="1"/>
  <c r="B54" i="20"/>
  <c r="B53" i="20"/>
  <c r="C54" i="20" s="1"/>
  <c r="B52" i="20"/>
  <c r="C53" i="20" s="1"/>
  <c r="B51" i="20"/>
  <c r="B50" i="20"/>
  <c r="C51" i="20" s="1"/>
  <c r="B49" i="20"/>
  <c r="C50" i="20" s="1"/>
  <c r="C48" i="20"/>
  <c r="B48" i="20"/>
  <c r="C47" i="20"/>
  <c r="B47" i="20"/>
  <c r="C46" i="20"/>
  <c r="B46" i="20"/>
  <c r="C45" i="20"/>
  <c r="B45" i="20"/>
  <c r="B44" i="20"/>
  <c r="B43" i="20"/>
  <c r="C44" i="20" s="1"/>
  <c r="B42" i="20"/>
  <c r="C43" i="20" s="1"/>
  <c r="B41" i="20"/>
  <c r="C42" i="20" s="1"/>
  <c r="B40" i="20"/>
  <c r="C40" i="20" s="1"/>
  <c r="C39" i="20"/>
  <c r="B39" i="20"/>
  <c r="B38" i="20"/>
  <c r="B37" i="20"/>
  <c r="C38" i="20" s="1"/>
  <c r="B36" i="20"/>
  <c r="C35" i="20"/>
  <c r="B35" i="20"/>
  <c r="C34" i="20"/>
  <c r="B34" i="20"/>
  <c r="C33" i="20"/>
  <c r="B33" i="20"/>
  <c r="C32" i="20"/>
  <c r="B32" i="20"/>
  <c r="B31" i="20"/>
  <c r="B30" i="20"/>
  <c r="C31" i="20" s="1"/>
  <c r="B29" i="20"/>
  <c r="C30" i="20" s="1"/>
  <c r="B28" i="20"/>
  <c r="C28" i="20" s="1"/>
  <c r="B27" i="20"/>
  <c r="B26" i="20"/>
  <c r="C27" i="20" s="1"/>
  <c r="B25" i="20"/>
  <c r="C26" i="20" s="1"/>
  <c r="B24" i="20"/>
  <c r="C25" i="20" s="1"/>
  <c r="B23" i="20"/>
  <c r="C22" i="20"/>
  <c r="B22" i="20"/>
  <c r="C21" i="20"/>
  <c r="B21" i="20"/>
  <c r="B20" i="20"/>
  <c r="B19" i="20"/>
  <c r="C20" i="20" s="1"/>
  <c r="B18" i="20"/>
  <c r="B17" i="20"/>
  <c r="C18" i="20" s="1"/>
  <c r="C16" i="20"/>
  <c r="B16" i="20"/>
  <c r="C17" i="20" s="1"/>
  <c r="B15" i="20"/>
  <c r="B14" i="20"/>
  <c r="C14" i="20" s="1"/>
  <c r="B13" i="20"/>
  <c r="C12" i="20"/>
  <c r="B12" i="20"/>
  <c r="C13" i="20" s="1"/>
  <c r="B11" i="20"/>
  <c r="B10" i="20"/>
  <c r="C9" i="20"/>
  <c r="B9" i="20"/>
  <c r="C8" i="20"/>
  <c r="B8" i="20"/>
  <c r="B7" i="20"/>
  <c r="B6" i="20"/>
  <c r="K2" i="20"/>
  <c r="B151" i="19"/>
  <c r="B150" i="19"/>
  <c r="C151" i="19" s="1"/>
  <c r="B149" i="19"/>
  <c r="B148" i="19"/>
  <c r="C149" i="19" s="1"/>
  <c r="B147" i="19"/>
  <c r="C146" i="19"/>
  <c r="B146" i="19"/>
  <c r="B145" i="19"/>
  <c r="B144" i="19"/>
  <c r="C145" i="19" s="1"/>
  <c r="C143" i="19"/>
  <c r="B143" i="19"/>
  <c r="C142" i="19"/>
  <c r="B142" i="19"/>
  <c r="B141" i="19"/>
  <c r="B140" i="19"/>
  <c r="B139" i="19"/>
  <c r="C140" i="19" s="1"/>
  <c r="C138" i="19"/>
  <c r="B138" i="19"/>
  <c r="B137" i="19"/>
  <c r="B136" i="19"/>
  <c r="C137" i="19" s="1"/>
  <c r="B135" i="19"/>
  <c r="C134" i="19"/>
  <c r="B134" i="19"/>
  <c r="C135" i="19" s="1"/>
  <c r="C133" i="19"/>
  <c r="B133" i="19"/>
  <c r="B132" i="19"/>
  <c r="B131" i="19"/>
  <c r="C132" i="19" s="1"/>
  <c r="B130" i="19"/>
  <c r="C131" i="19" s="1"/>
  <c r="B129" i="19"/>
  <c r="C130" i="19" s="1"/>
  <c r="B128" i="19"/>
  <c r="B127" i="19"/>
  <c r="B126" i="19"/>
  <c r="C127" i="19" s="1"/>
  <c r="B125" i="19"/>
  <c r="B124" i="19"/>
  <c r="C125" i="19" s="1"/>
  <c r="B123" i="19"/>
  <c r="C124" i="19" s="1"/>
  <c r="C122" i="19"/>
  <c r="B122" i="19"/>
  <c r="C121" i="19"/>
  <c r="B121" i="19"/>
  <c r="C120" i="19"/>
  <c r="B120" i="19"/>
  <c r="B119" i="19"/>
  <c r="B118" i="19"/>
  <c r="C119" i="19" s="1"/>
  <c r="B117" i="19"/>
  <c r="C118" i="19" s="1"/>
  <c r="B116" i="19"/>
  <c r="B115" i="19"/>
  <c r="B114" i="19"/>
  <c r="C115" i="19" s="1"/>
  <c r="B113" i="19"/>
  <c r="C114" i="19" s="1"/>
  <c r="B112" i="19"/>
  <c r="B111" i="19"/>
  <c r="C112" i="19" s="1"/>
  <c r="B110" i="19"/>
  <c r="C109" i="19"/>
  <c r="B109" i="19"/>
  <c r="C108" i="19"/>
  <c r="B108" i="19"/>
  <c r="C107" i="19"/>
  <c r="B107" i="19"/>
  <c r="C106" i="19"/>
  <c r="B106" i="19"/>
  <c r="B105" i="19"/>
  <c r="B104" i="19"/>
  <c r="C105" i="19" s="1"/>
  <c r="B103" i="19"/>
  <c r="C104" i="19" s="1"/>
  <c r="B102" i="19"/>
  <c r="C103" i="19" s="1"/>
  <c r="B101" i="19"/>
  <c r="B100" i="19"/>
  <c r="C101" i="19" s="1"/>
  <c r="B99" i="19"/>
  <c r="C100" i="19" s="1"/>
  <c r="B98" i="19"/>
  <c r="C99" i="19" s="1"/>
  <c r="B97" i="19"/>
  <c r="C96" i="19"/>
  <c r="B96" i="19"/>
  <c r="C95" i="19"/>
  <c r="B95" i="19"/>
  <c r="B94" i="19"/>
  <c r="B93" i="19"/>
  <c r="C94" i="19" s="1"/>
  <c r="B92" i="19"/>
  <c r="B91" i="19"/>
  <c r="C92" i="19" s="1"/>
  <c r="B90" i="19"/>
  <c r="C91" i="19" s="1"/>
  <c r="B89" i="19"/>
  <c r="C90" i="19" s="1"/>
  <c r="B88" i="19"/>
  <c r="C88" i="19" s="1"/>
  <c r="B87" i="19"/>
  <c r="B86" i="19"/>
  <c r="C87" i="19" s="1"/>
  <c r="B85" i="19"/>
  <c r="C86" i="19" s="1"/>
  <c r="B84" i="19"/>
  <c r="C83" i="19"/>
  <c r="B83" i="19"/>
  <c r="C82" i="19"/>
  <c r="B82" i="19"/>
  <c r="B81" i="19"/>
  <c r="B80" i="19"/>
  <c r="C81" i="19" s="1"/>
  <c r="B79" i="19"/>
  <c r="B78" i="19"/>
  <c r="C79" i="19" s="1"/>
  <c r="B77" i="19"/>
  <c r="C78" i="19" s="1"/>
  <c r="B76" i="19"/>
  <c r="B75" i="19"/>
  <c r="C76" i="19" s="1"/>
  <c r="C74" i="19"/>
  <c r="B74" i="19"/>
  <c r="B73" i="19"/>
  <c r="B72" i="19"/>
  <c r="C73" i="19" s="1"/>
  <c r="B71" i="19"/>
  <c r="B70" i="19"/>
  <c r="B69" i="19"/>
  <c r="C70" i="19" s="1"/>
  <c r="B68" i="19"/>
  <c r="B67" i="19"/>
  <c r="C68" i="19" s="1"/>
  <c r="B66" i="19"/>
  <c r="B65" i="19"/>
  <c r="C66" i="19" s="1"/>
  <c r="B64" i="19"/>
  <c r="C65" i="19" s="1"/>
  <c r="B63" i="19"/>
  <c r="C62" i="19"/>
  <c r="B62" i="19"/>
  <c r="C63" i="19" s="1"/>
  <c r="C61" i="19"/>
  <c r="B61" i="19"/>
  <c r="B60" i="19"/>
  <c r="B59" i="19"/>
  <c r="C60" i="19" s="1"/>
  <c r="B58" i="19"/>
  <c r="C59" i="19" s="1"/>
  <c r="B57" i="19"/>
  <c r="B56" i="19"/>
  <c r="C57" i="19" s="1"/>
  <c r="B55" i="19"/>
  <c r="C56" i="19" s="1"/>
  <c r="B54" i="19"/>
  <c r="C55" i="19" s="1"/>
  <c r="B53" i="19"/>
  <c r="B52" i="19"/>
  <c r="C53" i="19" s="1"/>
  <c r="B51" i="19"/>
  <c r="C52" i="19" s="1"/>
  <c r="C50" i="19"/>
  <c r="B50" i="19"/>
  <c r="C49" i="19"/>
  <c r="B49" i="19"/>
  <c r="C48" i="19"/>
  <c r="B48" i="19"/>
  <c r="B47" i="19"/>
  <c r="B46" i="19"/>
  <c r="C47" i="19" s="1"/>
  <c r="B45" i="19"/>
  <c r="C46" i="19" s="1"/>
  <c r="C44" i="19"/>
  <c r="B44" i="19"/>
  <c r="C45" i="19" s="1"/>
  <c r="B43" i="19"/>
  <c r="B42" i="19"/>
  <c r="B41" i="19"/>
  <c r="C42" i="19" s="1"/>
  <c r="B40" i="19"/>
  <c r="B39" i="19"/>
  <c r="C40" i="19" s="1"/>
  <c r="B38" i="19"/>
  <c r="C37" i="19"/>
  <c r="B37" i="19"/>
  <c r="C36" i="19"/>
  <c r="B36" i="19"/>
  <c r="C35" i="19"/>
  <c r="B35" i="19"/>
  <c r="C34" i="19"/>
  <c r="B34" i="19"/>
  <c r="B33" i="19"/>
  <c r="B32" i="19"/>
  <c r="C33" i="19" s="1"/>
  <c r="B31" i="19"/>
  <c r="C32" i="19" s="1"/>
  <c r="B30" i="19"/>
  <c r="B29" i="19"/>
  <c r="C30" i="19" s="1"/>
  <c r="B28" i="19"/>
  <c r="C29" i="19" s="1"/>
  <c r="B27" i="19"/>
  <c r="C28" i="19" s="1"/>
  <c r="B26" i="19"/>
  <c r="C27" i="19" s="1"/>
  <c r="B25" i="19"/>
  <c r="C24" i="19"/>
  <c r="B24" i="19"/>
  <c r="C23" i="19"/>
  <c r="B23" i="19"/>
  <c r="B22" i="19"/>
  <c r="B21" i="19"/>
  <c r="C22" i="19" s="1"/>
  <c r="B20" i="19"/>
  <c r="B19" i="19"/>
  <c r="C20" i="19" s="1"/>
  <c r="B18" i="19"/>
  <c r="C19" i="19" s="1"/>
  <c r="B17" i="19"/>
  <c r="C18" i="19" s="1"/>
  <c r="B16" i="19"/>
  <c r="C16" i="19" s="1"/>
  <c r="B15" i="19"/>
  <c r="B14" i="19"/>
  <c r="C15" i="19" s="1"/>
  <c r="B13" i="19"/>
  <c r="C14" i="19" s="1"/>
  <c r="B12" i="19"/>
  <c r="C11" i="19"/>
  <c r="B11" i="19"/>
  <c r="C10" i="19"/>
  <c r="B10" i="19"/>
  <c r="B9" i="19"/>
  <c r="B8" i="19"/>
  <c r="C9" i="19" s="1"/>
  <c r="B7" i="19"/>
  <c r="B6" i="19"/>
  <c r="C7" i="19" s="1"/>
  <c r="K2" i="19"/>
  <c r="B145" i="18"/>
  <c r="B144" i="18"/>
  <c r="B143" i="18"/>
  <c r="C142" i="18"/>
  <c r="B142" i="18"/>
  <c r="B141" i="18"/>
  <c r="B140" i="18"/>
  <c r="C141" i="18" s="1"/>
  <c r="B139" i="18"/>
  <c r="C138" i="18"/>
  <c r="B138" i="18"/>
  <c r="B137" i="18"/>
  <c r="B136" i="18"/>
  <c r="B135" i="18"/>
  <c r="C136" i="18" s="1"/>
  <c r="B134" i="18"/>
  <c r="B133" i="18"/>
  <c r="C134" i="18" s="1"/>
  <c r="C132" i="18"/>
  <c r="B132" i="18"/>
  <c r="C133" i="18" s="1"/>
  <c r="B131" i="18"/>
  <c r="C130" i="18"/>
  <c r="B130" i="18"/>
  <c r="C131" i="18" s="1"/>
  <c r="C129" i="18"/>
  <c r="B129" i="18"/>
  <c r="B128" i="18"/>
  <c r="B127" i="18"/>
  <c r="C128" i="18" s="1"/>
  <c r="B126" i="18"/>
  <c r="C127" i="18" s="1"/>
  <c r="B125" i="18"/>
  <c r="B124" i="18"/>
  <c r="B123" i="18"/>
  <c r="C124" i="18" s="1"/>
  <c r="B122" i="18"/>
  <c r="C123" i="18" s="1"/>
  <c r="B121" i="18"/>
  <c r="B120" i="18"/>
  <c r="C121" i="18" s="1"/>
  <c r="B119" i="18"/>
  <c r="C120" i="18" s="1"/>
  <c r="C118" i="18"/>
  <c r="B118" i="18"/>
  <c r="C117" i="18"/>
  <c r="B117" i="18"/>
  <c r="C116" i="18"/>
  <c r="B116" i="18"/>
  <c r="B115" i="18"/>
  <c r="B114" i="18"/>
  <c r="C115" i="18" s="1"/>
  <c r="B113" i="18"/>
  <c r="B112" i="18"/>
  <c r="C113" i="18" s="1"/>
  <c r="B111" i="18"/>
  <c r="C112" i="18" s="1"/>
  <c r="B110" i="18"/>
  <c r="B109" i="18"/>
  <c r="C110" i="18" s="1"/>
  <c r="B108" i="18"/>
  <c r="B107" i="18"/>
  <c r="C108" i="18" s="1"/>
  <c r="B106" i="18"/>
  <c r="C105" i="18"/>
  <c r="B105" i="18"/>
  <c r="C104" i="18"/>
  <c r="B104" i="18"/>
  <c r="C103" i="18"/>
  <c r="B103" i="18"/>
  <c r="C102" i="18"/>
  <c r="B102" i="18"/>
  <c r="B101" i="18"/>
  <c r="B100" i="18"/>
  <c r="C101" i="18" s="1"/>
  <c r="C99" i="18"/>
  <c r="B99" i="18"/>
  <c r="C100" i="18" s="1"/>
  <c r="B98" i="18"/>
  <c r="B97" i="18"/>
  <c r="B96" i="18"/>
  <c r="C97" i="18" s="1"/>
  <c r="B95" i="18"/>
  <c r="C96" i="18" s="1"/>
  <c r="B94" i="18"/>
  <c r="C95" i="18" s="1"/>
  <c r="C93" i="18"/>
  <c r="B93" i="18"/>
  <c r="C92" i="18"/>
  <c r="B92" i="18"/>
  <c r="C91" i="18"/>
  <c r="B91" i="18"/>
  <c r="B90" i="18"/>
  <c r="B89" i="18"/>
  <c r="C90" i="18" s="1"/>
  <c r="B88" i="18"/>
  <c r="B87" i="18"/>
  <c r="C88" i="18" s="1"/>
  <c r="B86" i="18"/>
  <c r="C87" i="18" s="1"/>
  <c r="B85" i="18"/>
  <c r="B84" i="18"/>
  <c r="C84" i="18" s="1"/>
  <c r="B83" i="18"/>
  <c r="B82" i="18"/>
  <c r="C83" i="18" s="1"/>
  <c r="B81" i="18"/>
  <c r="C82" i="18" s="1"/>
  <c r="B80" i="18"/>
  <c r="C79" i="18"/>
  <c r="B79" i="18"/>
  <c r="C78" i="18"/>
  <c r="B78" i="18"/>
  <c r="B77" i="18"/>
  <c r="B76" i="18"/>
  <c r="C77" i="18" s="1"/>
  <c r="B75" i="18"/>
  <c r="B74" i="18"/>
  <c r="C75" i="18" s="1"/>
  <c r="C73" i="18"/>
  <c r="B73" i="18"/>
  <c r="C74" i="18" s="1"/>
  <c r="B72" i="18"/>
  <c r="B71" i="18"/>
  <c r="C70" i="18"/>
  <c r="B70" i="18"/>
  <c r="B69" i="18"/>
  <c r="B68" i="18"/>
  <c r="C69" i="18" s="1"/>
  <c r="C67" i="18"/>
  <c r="B67" i="18"/>
  <c r="B66" i="18"/>
  <c r="B65" i="18"/>
  <c r="C66" i="18" s="1"/>
  <c r="B64" i="18"/>
  <c r="B63" i="18"/>
  <c r="C64" i="18" s="1"/>
  <c r="B62" i="18"/>
  <c r="B61" i="18"/>
  <c r="C62" i="18" s="1"/>
  <c r="B60" i="18"/>
  <c r="B59" i="18"/>
  <c r="C58" i="18"/>
  <c r="B58" i="18"/>
  <c r="C59" i="18" s="1"/>
  <c r="C57" i="18"/>
  <c r="B57" i="18"/>
  <c r="B56" i="18"/>
  <c r="B55" i="18"/>
  <c r="C56" i="18" s="1"/>
  <c r="B54" i="18"/>
  <c r="B53" i="18"/>
  <c r="C54" i="18" s="1"/>
  <c r="B52" i="18"/>
  <c r="C53" i="18" s="1"/>
  <c r="B51" i="18"/>
  <c r="C52" i="18" s="1"/>
  <c r="B50" i="18"/>
  <c r="C51" i="18" s="1"/>
  <c r="B49" i="18"/>
  <c r="B48" i="18"/>
  <c r="C49" i="18" s="1"/>
  <c r="B47" i="18"/>
  <c r="C46" i="18"/>
  <c r="B46" i="18"/>
  <c r="C45" i="18"/>
  <c r="B45" i="18"/>
  <c r="C44" i="18"/>
  <c r="B44" i="18"/>
  <c r="B43" i="18"/>
  <c r="B42" i="18"/>
  <c r="C43" i="18" s="1"/>
  <c r="B41" i="18"/>
  <c r="B40" i="18"/>
  <c r="C41" i="18" s="1"/>
  <c r="B39" i="18"/>
  <c r="C40" i="18" s="1"/>
  <c r="B38" i="18"/>
  <c r="B37" i="18"/>
  <c r="C38" i="18" s="1"/>
  <c r="B36" i="18"/>
  <c r="B35" i="18"/>
  <c r="C36" i="18" s="1"/>
  <c r="B34" i="18"/>
  <c r="C35" i="18" s="1"/>
  <c r="C33" i="18"/>
  <c r="B33" i="18"/>
  <c r="C32" i="18"/>
  <c r="B32" i="18"/>
  <c r="C31" i="18"/>
  <c r="B31" i="18"/>
  <c r="C30" i="18"/>
  <c r="B30" i="18"/>
  <c r="B29" i="18"/>
  <c r="B28" i="18"/>
  <c r="C29" i="18" s="1"/>
  <c r="B27" i="18"/>
  <c r="B26" i="18"/>
  <c r="B25" i="18"/>
  <c r="B24" i="18"/>
  <c r="C25" i="18" s="1"/>
  <c r="B23" i="18"/>
  <c r="C24" i="18" s="1"/>
  <c r="B22" i="18"/>
  <c r="C23" i="18" s="1"/>
  <c r="B21" i="18"/>
  <c r="C20" i="18"/>
  <c r="B20" i="18"/>
  <c r="C19" i="18"/>
  <c r="B19" i="18"/>
  <c r="B18" i="18"/>
  <c r="B17" i="18"/>
  <c r="C18" i="18" s="1"/>
  <c r="B16" i="18"/>
  <c r="B15" i="18"/>
  <c r="C16" i="18" s="1"/>
  <c r="C14" i="18"/>
  <c r="B14" i="18"/>
  <c r="B13" i="18"/>
  <c r="B12" i="18"/>
  <c r="C12" i="18" s="1"/>
  <c r="B11" i="18"/>
  <c r="B10" i="18"/>
  <c r="C11" i="18" s="1"/>
  <c r="B9" i="18"/>
  <c r="C10" i="18" s="1"/>
  <c r="C8" i="18"/>
  <c r="B8" i="18"/>
  <c r="B7" i="18"/>
  <c r="B6" i="18"/>
  <c r="C7" i="18" s="1"/>
  <c r="K2" i="18"/>
  <c r="B151" i="17"/>
  <c r="B150" i="17"/>
  <c r="C151" i="17" s="1"/>
  <c r="B149" i="17"/>
  <c r="B148" i="17"/>
  <c r="C149" i="17" s="1"/>
  <c r="B147" i="17"/>
  <c r="B146" i="17"/>
  <c r="B145" i="17"/>
  <c r="C144" i="17"/>
  <c r="B144" i="17"/>
  <c r="B143" i="17"/>
  <c r="B142" i="17"/>
  <c r="C143" i="17" s="1"/>
  <c r="C141" i="17"/>
  <c r="B141" i="17"/>
  <c r="B140" i="17"/>
  <c r="B139" i="17"/>
  <c r="C140" i="17" s="1"/>
  <c r="B138" i="17"/>
  <c r="B137" i="17"/>
  <c r="C138" i="17" s="1"/>
  <c r="B136" i="17"/>
  <c r="B135" i="17"/>
  <c r="C136" i="17" s="1"/>
  <c r="C134" i="17"/>
  <c r="B134" i="17"/>
  <c r="B133" i="17"/>
  <c r="C132" i="17"/>
  <c r="B132" i="17"/>
  <c r="C131" i="17"/>
  <c r="B131" i="17"/>
  <c r="B130" i="17"/>
  <c r="B129" i="17"/>
  <c r="C130" i="17" s="1"/>
  <c r="B128" i="17"/>
  <c r="B127" i="17"/>
  <c r="C128" i="17" s="1"/>
  <c r="B126" i="17"/>
  <c r="B125" i="17"/>
  <c r="B124" i="17"/>
  <c r="C125" i="17" s="1"/>
  <c r="B123" i="17"/>
  <c r="B122" i="17"/>
  <c r="C123" i="17" s="1"/>
  <c r="B121" i="17"/>
  <c r="C122" i="17" s="1"/>
  <c r="C120" i="17"/>
  <c r="B120" i="17"/>
  <c r="C119" i="17"/>
  <c r="B119" i="17"/>
  <c r="C118" i="17"/>
  <c r="B118" i="17"/>
  <c r="B117" i="17"/>
  <c r="B116" i="17"/>
  <c r="C117" i="17" s="1"/>
  <c r="B115" i="17"/>
  <c r="B114" i="17"/>
  <c r="C115" i="17" s="1"/>
  <c r="B113" i="17"/>
  <c r="C114" i="17" s="1"/>
  <c r="B112" i="17"/>
  <c r="C113" i="17" s="1"/>
  <c r="B111" i="17"/>
  <c r="C112" i="17" s="1"/>
  <c r="B110" i="17"/>
  <c r="B109" i="17"/>
  <c r="C110" i="17" s="1"/>
  <c r="B108" i="17"/>
  <c r="C109" i="17" s="1"/>
  <c r="C107" i="17"/>
  <c r="B107" i="17"/>
  <c r="C106" i="17"/>
  <c r="B106" i="17"/>
  <c r="C105" i="17"/>
  <c r="B105" i="17"/>
  <c r="C104" i="17"/>
  <c r="B104" i="17"/>
  <c r="B103" i="17"/>
  <c r="B102" i="17"/>
  <c r="C103" i="17" s="1"/>
  <c r="C101" i="17"/>
  <c r="B101" i="17"/>
  <c r="B100" i="17"/>
  <c r="B99" i="17"/>
  <c r="B98" i="17"/>
  <c r="C99" i="17" s="1"/>
  <c r="B97" i="17"/>
  <c r="C98" i="17" s="1"/>
  <c r="B96" i="17"/>
  <c r="C97" i="17" s="1"/>
  <c r="C95" i="17"/>
  <c r="B95" i="17"/>
  <c r="C94" i="17"/>
  <c r="B94" i="17"/>
  <c r="C93" i="17"/>
  <c r="B93" i="17"/>
  <c r="B92" i="17"/>
  <c r="B91" i="17"/>
  <c r="C92" i="17" s="1"/>
  <c r="B90" i="17"/>
  <c r="B89" i="17"/>
  <c r="C90" i="17" s="1"/>
  <c r="B88" i="17"/>
  <c r="B87" i="17"/>
  <c r="B86" i="17"/>
  <c r="C86" i="17" s="1"/>
  <c r="B85" i="17"/>
  <c r="B84" i="17"/>
  <c r="C85" i="17" s="1"/>
  <c r="B83" i="17"/>
  <c r="C84" i="17" s="1"/>
  <c r="B82" i="17"/>
  <c r="C81" i="17"/>
  <c r="B81" i="17"/>
  <c r="C80" i="17"/>
  <c r="B80" i="17"/>
  <c r="B79" i="17"/>
  <c r="B78" i="17"/>
  <c r="C79" i="17" s="1"/>
  <c r="B77" i="17"/>
  <c r="B76" i="17"/>
  <c r="C77" i="17" s="1"/>
  <c r="C75" i="17"/>
  <c r="B75" i="17"/>
  <c r="C76" i="17" s="1"/>
  <c r="B74" i="17"/>
  <c r="B73" i="17"/>
  <c r="C72" i="17"/>
  <c r="B72" i="17"/>
  <c r="C71" i="17"/>
  <c r="B71" i="17"/>
  <c r="B70" i="17"/>
  <c r="C69" i="17"/>
  <c r="B69" i="17"/>
  <c r="C68" i="17"/>
  <c r="B68" i="17"/>
  <c r="B67" i="17"/>
  <c r="B66" i="17"/>
  <c r="B65" i="17"/>
  <c r="B64" i="17"/>
  <c r="B63" i="17"/>
  <c r="C64" i="17" s="1"/>
  <c r="C62" i="17"/>
  <c r="B62" i="17"/>
  <c r="C63" i="17" s="1"/>
  <c r="B61" i="17"/>
  <c r="C60" i="17"/>
  <c r="B60" i="17"/>
  <c r="C59" i="17"/>
  <c r="B59" i="17"/>
  <c r="C58" i="17"/>
  <c r="B58" i="17"/>
  <c r="B57" i="17"/>
  <c r="B56" i="17"/>
  <c r="C57" i="17" s="1"/>
  <c r="B55" i="17"/>
  <c r="C56" i="17" s="1"/>
  <c r="B54" i="17"/>
  <c r="B53" i="17"/>
  <c r="B52" i="17"/>
  <c r="B51" i="17"/>
  <c r="C50" i="17"/>
  <c r="B50" i="17"/>
  <c r="C51" i="17" s="1"/>
  <c r="B49" i="17"/>
  <c r="C48" i="17"/>
  <c r="B48" i="17"/>
  <c r="C47" i="17"/>
  <c r="B47" i="17"/>
  <c r="C46" i="17"/>
  <c r="B46" i="17"/>
  <c r="B45" i="17"/>
  <c r="B44" i="17"/>
  <c r="C45" i="17" s="1"/>
  <c r="B43" i="17"/>
  <c r="B42" i="17"/>
  <c r="B41" i="17"/>
  <c r="B40" i="17"/>
  <c r="B39" i="17"/>
  <c r="B38" i="17"/>
  <c r="B37" i="17"/>
  <c r="C38" i="17" s="1"/>
  <c r="C36" i="17"/>
  <c r="B36" i="17"/>
  <c r="C35" i="17"/>
  <c r="B35" i="17"/>
  <c r="C34" i="17"/>
  <c r="B34" i="17"/>
  <c r="C33" i="17"/>
  <c r="B33" i="17"/>
  <c r="C32" i="17"/>
  <c r="B32" i="17"/>
  <c r="B31" i="17"/>
  <c r="C30" i="17"/>
  <c r="B30" i="17"/>
  <c r="C31" i="17" s="1"/>
  <c r="B29" i="17"/>
  <c r="B28" i="17"/>
  <c r="C29" i="17" s="1"/>
  <c r="B27" i="17"/>
  <c r="B26" i="17"/>
  <c r="B25" i="17"/>
  <c r="C26" i="17" s="1"/>
  <c r="B24" i="17"/>
  <c r="C25" i="17" s="1"/>
  <c r="B23" i="17"/>
  <c r="C24" i="17" s="1"/>
  <c r="C22" i="17"/>
  <c r="B22" i="17"/>
  <c r="C21" i="17"/>
  <c r="B21" i="17"/>
  <c r="B20" i="17"/>
  <c r="B19" i="17"/>
  <c r="C20" i="17" s="1"/>
  <c r="B18" i="17"/>
  <c r="C17" i="17"/>
  <c r="B17" i="17"/>
  <c r="C18" i="17" s="1"/>
  <c r="B16" i="17"/>
  <c r="B15" i="17"/>
  <c r="C16" i="17" s="1"/>
  <c r="B14" i="17"/>
  <c r="B13" i="17"/>
  <c r="B12" i="17"/>
  <c r="C13" i="17" s="1"/>
  <c r="B11" i="17"/>
  <c r="C12" i="17" s="1"/>
  <c r="C10" i="17"/>
  <c r="B10" i="17"/>
  <c r="C9" i="17"/>
  <c r="B9" i="17"/>
  <c r="B8" i="17"/>
  <c r="B7" i="17"/>
  <c r="C8" i="17" s="1"/>
  <c r="B6" i="17"/>
  <c r="K2" i="17"/>
  <c r="B197" i="16"/>
  <c r="B196" i="16"/>
  <c r="C197" i="16" s="1"/>
  <c r="C195" i="16"/>
  <c r="B195" i="16"/>
  <c r="B194" i="16"/>
  <c r="B193" i="16"/>
  <c r="B192" i="16"/>
  <c r="B191" i="16"/>
  <c r="B190" i="16"/>
  <c r="C189" i="16"/>
  <c r="B189" i="16"/>
  <c r="B188" i="16"/>
  <c r="B187" i="16"/>
  <c r="C188" i="16" s="1"/>
  <c r="B186" i="16"/>
  <c r="B185" i="16"/>
  <c r="C184" i="16"/>
  <c r="B184" i="16"/>
  <c r="C185" i="16" s="1"/>
  <c r="B183" i="16"/>
  <c r="B182" i="16"/>
  <c r="C183" i="16" s="1"/>
  <c r="B181" i="16"/>
  <c r="C182" i="16" s="1"/>
  <c r="B180" i="16"/>
  <c r="B179" i="16"/>
  <c r="B178" i="16"/>
  <c r="C179" i="16" s="1"/>
  <c r="B177" i="16"/>
  <c r="C178" i="16" s="1"/>
  <c r="B176" i="16"/>
  <c r="C177" i="16" s="1"/>
  <c r="B175" i="16"/>
  <c r="B174" i="16"/>
  <c r="B173" i="16"/>
  <c r="C174" i="16" s="1"/>
  <c r="B172" i="16"/>
  <c r="C171" i="16"/>
  <c r="B171" i="16"/>
  <c r="B170" i="16"/>
  <c r="B169" i="16"/>
  <c r="C170" i="16" s="1"/>
  <c r="B168" i="16"/>
  <c r="B167" i="16"/>
  <c r="C166" i="16"/>
  <c r="B166" i="16"/>
  <c r="B165" i="16"/>
  <c r="B164" i="16"/>
  <c r="B163" i="16"/>
  <c r="B162" i="16"/>
  <c r="B161" i="16"/>
  <c r="B160" i="16"/>
  <c r="C161" i="16" s="1"/>
  <c r="B159" i="16"/>
  <c r="C159" i="16" s="1"/>
  <c r="B158" i="16"/>
  <c r="B157" i="16"/>
  <c r="C158" i="16" s="1"/>
  <c r="B156" i="16"/>
  <c r="C157" i="16" s="1"/>
  <c r="B155" i="16"/>
  <c r="C156" i="16" s="1"/>
  <c r="B154" i="16"/>
  <c r="B153" i="16"/>
  <c r="C154" i="16" s="1"/>
  <c r="C152" i="16"/>
  <c r="B152" i="16"/>
  <c r="C151" i="16"/>
  <c r="B151" i="16"/>
  <c r="B150" i="16"/>
  <c r="B149" i="16"/>
  <c r="C150" i="16" s="1"/>
  <c r="B148" i="16"/>
  <c r="B147" i="16"/>
  <c r="B146" i="16"/>
  <c r="C147" i="16" s="1"/>
  <c r="C145" i="16"/>
  <c r="B145" i="16"/>
  <c r="C146" i="16" s="1"/>
  <c r="B144" i="16"/>
  <c r="B143" i="16"/>
  <c r="B142" i="16"/>
  <c r="C143" i="16" s="1"/>
  <c r="B141" i="16"/>
  <c r="B140" i="16"/>
  <c r="B139" i="16"/>
  <c r="C140" i="16" s="1"/>
  <c r="B138" i="16"/>
  <c r="C139" i="16" s="1"/>
  <c r="B137" i="16"/>
  <c r="C136" i="16"/>
  <c r="B136" i="16"/>
  <c r="B135" i="16"/>
  <c r="B134" i="16"/>
  <c r="C133" i="16"/>
  <c r="B133" i="16"/>
  <c r="B132" i="16"/>
  <c r="B131" i="16"/>
  <c r="C132" i="16" s="1"/>
  <c r="C130" i="16"/>
  <c r="B130" i="16"/>
  <c r="C129" i="16"/>
  <c r="B129" i="16"/>
  <c r="B128" i="16"/>
  <c r="B127" i="16"/>
  <c r="B126" i="16"/>
  <c r="B125" i="16"/>
  <c r="B124" i="16"/>
  <c r="C125" i="16" s="1"/>
  <c r="C123" i="16"/>
  <c r="B123" i="16"/>
  <c r="C122" i="16"/>
  <c r="B122" i="16"/>
  <c r="B121" i="16"/>
  <c r="B120" i="16"/>
  <c r="C121" i="16" s="1"/>
  <c r="B119" i="16"/>
  <c r="C120" i="16" s="1"/>
  <c r="B118" i="16"/>
  <c r="B117" i="16"/>
  <c r="C118" i="16" s="1"/>
  <c r="C116" i="16"/>
  <c r="B116" i="16"/>
  <c r="C117" i="16" s="1"/>
  <c r="C115" i="16"/>
  <c r="B115" i="16"/>
  <c r="B114" i="16"/>
  <c r="B113" i="16"/>
  <c r="C114" i="16" s="1"/>
  <c r="B112" i="16"/>
  <c r="B111" i="16"/>
  <c r="B110" i="16"/>
  <c r="C111" i="16" s="1"/>
  <c r="B109" i="16"/>
  <c r="B108" i="16"/>
  <c r="C109" i="16" s="1"/>
  <c r="B107" i="16"/>
  <c r="B106" i="16"/>
  <c r="C107" i="16" s="1"/>
  <c r="B105" i="16"/>
  <c r="B104" i="16"/>
  <c r="B103" i="16"/>
  <c r="C104" i="16" s="1"/>
  <c r="B102" i="16"/>
  <c r="C103" i="16" s="1"/>
  <c r="B101" i="16"/>
  <c r="C100" i="16"/>
  <c r="B100" i="16"/>
  <c r="B99" i="16"/>
  <c r="B98" i="16"/>
  <c r="B97" i="16"/>
  <c r="C97" i="16" s="1"/>
  <c r="B96" i="16"/>
  <c r="B95" i="16"/>
  <c r="C96" i="16" s="1"/>
  <c r="C94" i="16"/>
  <c r="B94" i="16"/>
  <c r="C93" i="16"/>
  <c r="B93" i="16"/>
  <c r="B92" i="16"/>
  <c r="B91" i="16"/>
  <c r="B90" i="16"/>
  <c r="B89" i="16"/>
  <c r="C90" i="16" s="1"/>
  <c r="B88" i="16"/>
  <c r="C89" i="16" s="1"/>
  <c r="C87" i="16"/>
  <c r="B87" i="16"/>
  <c r="C88" i="16" s="1"/>
  <c r="C86" i="16"/>
  <c r="B86" i="16"/>
  <c r="B85" i="16"/>
  <c r="B84" i="16"/>
  <c r="C85" i="16" s="1"/>
  <c r="B83" i="16"/>
  <c r="C84" i="16" s="1"/>
  <c r="B82" i="16"/>
  <c r="B81" i="16"/>
  <c r="C82" i="16" s="1"/>
  <c r="C80" i="16"/>
  <c r="B80" i="16"/>
  <c r="C79" i="16"/>
  <c r="B79" i="16"/>
  <c r="B78" i="16"/>
  <c r="B77" i="16"/>
  <c r="C78" i="16" s="1"/>
  <c r="C76" i="16"/>
  <c r="B76" i="16"/>
  <c r="B75" i="16"/>
  <c r="B74" i="16"/>
  <c r="C75" i="16" s="1"/>
  <c r="B73" i="16"/>
  <c r="C73" i="16" s="1"/>
  <c r="B72" i="16"/>
  <c r="C71" i="16"/>
  <c r="B71" i="16"/>
  <c r="C72" i="16" s="1"/>
  <c r="C70" i="16"/>
  <c r="B70" i="16"/>
  <c r="B69" i="16"/>
  <c r="B68" i="16"/>
  <c r="B67" i="16"/>
  <c r="C67" i="16" s="1"/>
  <c r="B66" i="16"/>
  <c r="C65" i="16"/>
  <c r="B65" i="16"/>
  <c r="C66" i="16" s="1"/>
  <c r="C64" i="16"/>
  <c r="B64" i="16"/>
  <c r="B63" i="16"/>
  <c r="B62" i="16"/>
  <c r="C63" i="16" s="1"/>
  <c r="B61" i="16"/>
  <c r="B60" i="16"/>
  <c r="C59" i="16"/>
  <c r="B59" i="16"/>
  <c r="C60" i="16" s="1"/>
  <c r="C58" i="16"/>
  <c r="B58" i="16"/>
  <c r="B57" i="16"/>
  <c r="C56" i="16"/>
  <c r="B56" i="16"/>
  <c r="C57" i="16" s="1"/>
  <c r="B55" i="16"/>
  <c r="C55" i="16" s="1"/>
  <c r="B54" i="16"/>
  <c r="C53" i="16"/>
  <c r="B53" i="16"/>
  <c r="C54" i="16" s="1"/>
  <c r="C52" i="16"/>
  <c r="B52" i="16"/>
  <c r="B51" i="16"/>
  <c r="B50" i="16"/>
  <c r="C51" i="16" s="1"/>
  <c r="B49" i="16"/>
  <c r="C49" i="16" s="1"/>
  <c r="B48" i="16"/>
  <c r="C47" i="16"/>
  <c r="B47" i="16"/>
  <c r="C48" i="16" s="1"/>
  <c r="C46" i="16"/>
  <c r="B46" i="16"/>
  <c r="B45" i="16"/>
  <c r="B44" i="16"/>
  <c r="B43" i="16"/>
  <c r="C43" i="16" s="1"/>
  <c r="B42" i="16"/>
  <c r="B41" i="16"/>
  <c r="C42" i="16" s="1"/>
  <c r="C40" i="16"/>
  <c r="B40" i="16"/>
  <c r="B39" i="16"/>
  <c r="B38" i="16"/>
  <c r="C39" i="16" s="1"/>
  <c r="B37" i="16"/>
  <c r="C37" i="16" s="1"/>
  <c r="B36" i="16"/>
  <c r="B35" i="16"/>
  <c r="C36" i="16" s="1"/>
  <c r="C34" i="16"/>
  <c r="B34" i="16"/>
  <c r="B33" i="16"/>
  <c r="B32" i="16"/>
  <c r="C33" i="16" s="1"/>
  <c r="B31" i="16"/>
  <c r="C31" i="16" s="1"/>
  <c r="B30" i="16"/>
  <c r="B29" i="16"/>
  <c r="C30" i="16" s="1"/>
  <c r="C28" i="16"/>
  <c r="B28" i="16"/>
  <c r="B27" i="16"/>
  <c r="B26" i="16"/>
  <c r="B25" i="16"/>
  <c r="C25" i="16" s="1"/>
  <c r="B24" i="16"/>
  <c r="B23" i="16"/>
  <c r="C24" i="16" s="1"/>
  <c r="C22" i="16"/>
  <c r="B22" i="16"/>
  <c r="B21" i="16"/>
  <c r="B20" i="16"/>
  <c r="C21" i="16" s="1"/>
  <c r="B19" i="16"/>
  <c r="C19" i="16" s="1"/>
  <c r="B18" i="16"/>
  <c r="B17" i="16"/>
  <c r="C18" i="16" s="1"/>
  <c r="C16" i="16"/>
  <c r="B16" i="16"/>
  <c r="B15" i="16"/>
  <c r="B14" i="16"/>
  <c r="C15" i="16" s="1"/>
  <c r="B13" i="16"/>
  <c r="C13" i="16" s="1"/>
  <c r="B12" i="16"/>
  <c r="B11" i="16"/>
  <c r="C12" i="16" s="1"/>
  <c r="C10" i="16"/>
  <c r="B10" i="16"/>
  <c r="B9" i="16"/>
  <c r="B8" i="16"/>
  <c r="B7" i="16"/>
  <c r="C7" i="16" s="1"/>
  <c r="B6" i="16"/>
  <c r="K2" i="16"/>
  <c r="B197" i="15"/>
  <c r="C197" i="15" s="1"/>
  <c r="C196" i="15"/>
  <c r="B196" i="15"/>
  <c r="B195" i="15"/>
  <c r="B194" i="15"/>
  <c r="C195" i="15" s="1"/>
  <c r="B193" i="15"/>
  <c r="B192" i="15"/>
  <c r="B191" i="15"/>
  <c r="C192" i="15" s="1"/>
  <c r="C190" i="15"/>
  <c r="B190" i="15"/>
  <c r="B189" i="15"/>
  <c r="B188" i="15"/>
  <c r="C189" i="15" s="1"/>
  <c r="B187" i="15"/>
  <c r="C187" i="15" s="1"/>
  <c r="B186" i="15"/>
  <c r="B185" i="15"/>
  <c r="C186" i="15" s="1"/>
  <c r="C184" i="15"/>
  <c r="B184" i="15"/>
  <c r="C185" i="15" s="1"/>
  <c r="B183" i="15"/>
  <c r="C182" i="15"/>
  <c r="B182" i="15"/>
  <c r="C183" i="15" s="1"/>
  <c r="B181" i="15"/>
  <c r="C181" i="15" s="1"/>
  <c r="B180" i="15"/>
  <c r="B179" i="15"/>
  <c r="C180" i="15" s="1"/>
  <c r="C178" i="15"/>
  <c r="B178" i="15"/>
  <c r="B177" i="15"/>
  <c r="B176" i="15"/>
  <c r="C177" i="15" s="1"/>
  <c r="B175" i="15"/>
  <c r="B174" i="15"/>
  <c r="B173" i="15"/>
  <c r="C174" i="15" s="1"/>
  <c r="C172" i="15"/>
  <c r="B172" i="15"/>
  <c r="B171" i="15"/>
  <c r="B170" i="15"/>
  <c r="C171" i="15" s="1"/>
  <c r="B169" i="15"/>
  <c r="C169" i="15" s="1"/>
  <c r="B168" i="15"/>
  <c r="B167" i="15"/>
  <c r="C168" i="15" s="1"/>
  <c r="C166" i="15"/>
  <c r="B166" i="15"/>
  <c r="C167" i="15" s="1"/>
  <c r="B165" i="15"/>
  <c r="C164" i="15"/>
  <c r="B164" i="15"/>
  <c r="C165" i="15" s="1"/>
  <c r="B163" i="15"/>
  <c r="C163" i="15" s="1"/>
  <c r="B162" i="15"/>
  <c r="B161" i="15"/>
  <c r="C162" i="15" s="1"/>
  <c r="C160" i="15"/>
  <c r="B160" i="15"/>
  <c r="B159" i="15"/>
  <c r="B158" i="15"/>
  <c r="C159" i="15" s="1"/>
  <c r="B157" i="15"/>
  <c r="B156" i="15"/>
  <c r="B155" i="15"/>
  <c r="C156" i="15" s="1"/>
  <c r="C154" i="15"/>
  <c r="B154" i="15"/>
  <c r="B153" i="15"/>
  <c r="B152" i="15"/>
  <c r="C153" i="15" s="1"/>
  <c r="B151" i="15"/>
  <c r="C151" i="15" s="1"/>
  <c r="B150" i="15"/>
  <c r="B149" i="15"/>
  <c r="C150" i="15" s="1"/>
  <c r="B148" i="15"/>
  <c r="B147" i="15"/>
  <c r="C146" i="15"/>
  <c r="B146" i="15"/>
  <c r="C147" i="15" s="1"/>
  <c r="B145" i="15"/>
  <c r="C145" i="15" s="1"/>
  <c r="B144" i="15"/>
  <c r="B143" i="15"/>
  <c r="C144" i="15" s="1"/>
  <c r="C142" i="15"/>
  <c r="B142" i="15"/>
  <c r="B141" i="15"/>
  <c r="B140" i="15"/>
  <c r="C141" i="15" s="1"/>
  <c r="B139" i="15"/>
  <c r="L46" i="6" s="1"/>
  <c r="L4" i="6" s="1"/>
  <c r="B138" i="15"/>
  <c r="B137" i="15"/>
  <c r="C138" i="15" s="1"/>
  <c r="B136" i="15"/>
  <c r="B135" i="15"/>
  <c r="B134" i="15"/>
  <c r="C135" i="15" s="1"/>
  <c r="B133" i="15"/>
  <c r="B132" i="15"/>
  <c r="B131" i="15"/>
  <c r="C132" i="15" s="1"/>
  <c r="B130" i="15"/>
  <c r="B129" i="15"/>
  <c r="C128" i="15"/>
  <c r="B128" i="15"/>
  <c r="C129" i="15" s="1"/>
  <c r="B127" i="15"/>
  <c r="B126" i="15"/>
  <c r="B125" i="15"/>
  <c r="C126" i="15" s="1"/>
  <c r="C124" i="15"/>
  <c r="B124" i="15"/>
  <c r="B123" i="15"/>
  <c r="B122" i="15"/>
  <c r="C123" i="15" s="1"/>
  <c r="B121" i="15"/>
  <c r="C122" i="15" s="1"/>
  <c r="B120" i="15"/>
  <c r="B119" i="15"/>
  <c r="C120" i="15" s="1"/>
  <c r="B118" i="15"/>
  <c r="B117" i="15"/>
  <c r="B116" i="15"/>
  <c r="C117" i="15" s="1"/>
  <c r="B115" i="15"/>
  <c r="B114" i="15"/>
  <c r="B113" i="15"/>
  <c r="C114" i="15" s="1"/>
  <c r="B112" i="15"/>
  <c r="B111" i="15"/>
  <c r="C110" i="15"/>
  <c r="B110" i="15"/>
  <c r="C111" i="15" s="1"/>
  <c r="B109" i="15"/>
  <c r="B108" i="15"/>
  <c r="B107" i="15"/>
  <c r="C108" i="15" s="1"/>
  <c r="C106" i="15"/>
  <c r="B106" i="15"/>
  <c r="B105" i="15"/>
  <c r="B104" i="15"/>
  <c r="C105" i="15" s="1"/>
  <c r="B103" i="15"/>
  <c r="C104" i="15" s="1"/>
  <c r="B102" i="15"/>
  <c r="B101" i="15"/>
  <c r="C102" i="15" s="1"/>
  <c r="B100" i="15"/>
  <c r="B99" i="15"/>
  <c r="B98" i="15"/>
  <c r="C99" i="15" s="1"/>
  <c r="B97" i="15"/>
  <c r="B96" i="15"/>
  <c r="B95" i="15"/>
  <c r="C96" i="15" s="1"/>
  <c r="B94" i="15"/>
  <c r="B93" i="15"/>
  <c r="C92" i="15"/>
  <c r="B92" i="15"/>
  <c r="C93" i="15" s="1"/>
  <c r="B91" i="15"/>
  <c r="B90" i="15"/>
  <c r="B89" i="15"/>
  <c r="C90" i="15" s="1"/>
  <c r="C88" i="15"/>
  <c r="B88" i="15"/>
  <c r="B87" i="15"/>
  <c r="B86" i="15"/>
  <c r="C87" i="15" s="1"/>
  <c r="B85" i="15"/>
  <c r="C86" i="15" s="1"/>
  <c r="B84" i="15"/>
  <c r="B83" i="15"/>
  <c r="C84" i="15" s="1"/>
  <c r="B82" i="15"/>
  <c r="B81" i="15"/>
  <c r="B80" i="15"/>
  <c r="C81" i="15" s="1"/>
  <c r="B79" i="15"/>
  <c r="B78" i="15"/>
  <c r="B77" i="15"/>
  <c r="C78" i="15" s="1"/>
  <c r="B76" i="15"/>
  <c r="B75" i="15"/>
  <c r="C74" i="15"/>
  <c r="B74" i="15"/>
  <c r="C75" i="15" s="1"/>
  <c r="B73" i="15"/>
  <c r="B72" i="15"/>
  <c r="B71" i="15"/>
  <c r="C72" i="15" s="1"/>
  <c r="C70" i="15"/>
  <c r="B70" i="15"/>
  <c r="B69" i="15"/>
  <c r="B68" i="15"/>
  <c r="C69" i="15" s="1"/>
  <c r="B67" i="15"/>
  <c r="C68" i="15" s="1"/>
  <c r="B66" i="15"/>
  <c r="B65" i="15"/>
  <c r="C66" i="15" s="1"/>
  <c r="B64" i="15"/>
  <c r="B63" i="15"/>
  <c r="C64" i="15" s="1"/>
  <c r="B62" i="15"/>
  <c r="C63" i="15" s="1"/>
  <c r="B61" i="15"/>
  <c r="B60" i="15"/>
  <c r="B59" i="15"/>
  <c r="C60" i="15" s="1"/>
  <c r="B58" i="15"/>
  <c r="B57" i="15"/>
  <c r="C56" i="15"/>
  <c r="B56" i="15"/>
  <c r="C57" i="15" s="1"/>
  <c r="B55" i="15"/>
  <c r="B54" i="15"/>
  <c r="B53" i="15"/>
  <c r="C54" i="15" s="1"/>
  <c r="C52" i="15"/>
  <c r="B52" i="15"/>
  <c r="B51" i="15"/>
  <c r="B50" i="15"/>
  <c r="C51" i="15" s="1"/>
  <c r="B49" i="15"/>
  <c r="C50" i="15" s="1"/>
  <c r="B48" i="15"/>
  <c r="B47" i="15"/>
  <c r="C48" i="15" s="1"/>
  <c r="B46" i="15"/>
  <c r="B45" i="15"/>
  <c r="C46" i="15" s="1"/>
  <c r="B44" i="15"/>
  <c r="C45" i="15" s="1"/>
  <c r="B43" i="15"/>
  <c r="B42" i="15"/>
  <c r="B41" i="15"/>
  <c r="C42" i="15" s="1"/>
  <c r="B40" i="15"/>
  <c r="B39" i="15"/>
  <c r="C38" i="15"/>
  <c r="B38" i="15"/>
  <c r="B37" i="15"/>
  <c r="B36" i="15"/>
  <c r="B35" i="15"/>
  <c r="C36" i="15" s="1"/>
  <c r="C34" i="15"/>
  <c r="B34" i="15"/>
  <c r="B33" i="15"/>
  <c r="B32" i="15"/>
  <c r="C33" i="15" s="1"/>
  <c r="B31" i="15"/>
  <c r="C32" i="15" s="1"/>
  <c r="B30" i="15"/>
  <c r="B29" i="15"/>
  <c r="C30" i="15" s="1"/>
  <c r="B28" i="15"/>
  <c r="B27" i="15"/>
  <c r="C28" i="15" s="1"/>
  <c r="B26" i="15"/>
  <c r="B25" i="15"/>
  <c r="B24" i="15"/>
  <c r="B23" i="15"/>
  <c r="C24" i="15" s="1"/>
  <c r="B22" i="15"/>
  <c r="B21" i="15"/>
  <c r="C20" i="15"/>
  <c r="B20" i="15"/>
  <c r="B19" i="15"/>
  <c r="B18" i="15"/>
  <c r="B17" i="15"/>
  <c r="C18" i="15" s="1"/>
  <c r="C16" i="15"/>
  <c r="B16" i="15"/>
  <c r="B15" i="15"/>
  <c r="B14" i="15"/>
  <c r="C15" i="15" s="1"/>
  <c r="B13" i="15"/>
  <c r="C14" i="15" s="1"/>
  <c r="B12" i="15"/>
  <c r="B11" i="15"/>
  <c r="C12" i="15" s="1"/>
  <c r="B10" i="15"/>
  <c r="B9" i="15"/>
  <c r="C10" i="15" s="1"/>
  <c r="B8" i="15"/>
  <c r="B7" i="15"/>
  <c r="C7" i="15" s="1"/>
  <c r="B6" i="15"/>
  <c r="K2" i="15"/>
  <c r="E221" i="14"/>
  <c r="D221" i="14"/>
  <c r="B221" i="14"/>
  <c r="D220" i="14"/>
  <c r="B220" i="14"/>
  <c r="C221" i="14" s="1"/>
  <c r="E219" i="14"/>
  <c r="D219" i="14"/>
  <c r="B219" i="14"/>
  <c r="C220" i="14" s="1"/>
  <c r="D218" i="14"/>
  <c r="F218" i="14" s="1"/>
  <c r="B218" i="14"/>
  <c r="F217" i="14"/>
  <c r="E217" i="14"/>
  <c r="D217" i="14"/>
  <c r="C217" i="14"/>
  <c r="B217" i="14"/>
  <c r="D216" i="14"/>
  <c r="B216" i="14"/>
  <c r="F215" i="14"/>
  <c r="E215" i="14"/>
  <c r="D215" i="14"/>
  <c r="B215" i="14"/>
  <c r="C216" i="14" s="1"/>
  <c r="D214" i="14"/>
  <c r="C214" i="14"/>
  <c r="B214" i="14"/>
  <c r="C215" i="14" s="1"/>
  <c r="E213" i="14"/>
  <c r="D213" i="14"/>
  <c r="C213" i="14"/>
  <c r="B213" i="14"/>
  <c r="D212" i="14"/>
  <c r="B212" i="14"/>
  <c r="F211" i="14"/>
  <c r="D211" i="14"/>
  <c r="C211" i="14"/>
  <c r="B211" i="14"/>
  <c r="C212" i="14" s="1"/>
  <c r="D210" i="14"/>
  <c r="B210" i="14"/>
  <c r="C210" i="14" s="1"/>
  <c r="E209" i="14"/>
  <c r="D209" i="14"/>
  <c r="B209" i="14"/>
  <c r="F208" i="14"/>
  <c r="D208" i="14"/>
  <c r="F220" i="14" s="1"/>
  <c r="B208" i="14"/>
  <c r="D207" i="14"/>
  <c r="F219" i="14" s="1"/>
  <c r="C207" i="14"/>
  <c r="B207" i="14"/>
  <c r="F206" i="14"/>
  <c r="D206" i="14"/>
  <c r="C206" i="14"/>
  <c r="B206" i="14"/>
  <c r="F205" i="14"/>
  <c r="E205" i="14"/>
  <c r="D205" i="14"/>
  <c r="B205" i="14"/>
  <c r="D204" i="14"/>
  <c r="F216" i="14" s="1"/>
  <c r="B204" i="14"/>
  <c r="E203" i="14"/>
  <c r="D203" i="14"/>
  <c r="C203" i="14"/>
  <c r="B203" i="14"/>
  <c r="D202" i="14"/>
  <c r="C202" i="14"/>
  <c r="B202" i="14"/>
  <c r="E201" i="14"/>
  <c r="D201" i="14"/>
  <c r="C201" i="14"/>
  <c r="B201" i="14"/>
  <c r="F200" i="14"/>
  <c r="D200" i="14"/>
  <c r="B200" i="14"/>
  <c r="E212" i="14" s="1"/>
  <c r="F199" i="14"/>
  <c r="D199" i="14"/>
  <c r="C199" i="14"/>
  <c r="B199" i="14"/>
  <c r="D198" i="14"/>
  <c r="B198" i="14"/>
  <c r="E197" i="14"/>
  <c r="D197" i="14"/>
  <c r="F209" i="14" s="1"/>
  <c r="B197" i="14"/>
  <c r="E196" i="14"/>
  <c r="D196" i="14"/>
  <c r="B196" i="14"/>
  <c r="C197" i="14" s="1"/>
  <c r="D195" i="14"/>
  <c r="F207" i="14" s="1"/>
  <c r="B195" i="14"/>
  <c r="D194" i="14"/>
  <c r="B194" i="14"/>
  <c r="E206" i="14" s="1"/>
  <c r="F193" i="14"/>
  <c r="E193" i="14"/>
  <c r="D193" i="14"/>
  <c r="C193" i="14"/>
  <c r="B193" i="14"/>
  <c r="F192" i="14"/>
  <c r="D192" i="14"/>
  <c r="F204" i="14" s="1"/>
  <c r="B192" i="14"/>
  <c r="E192" i="14" s="1"/>
  <c r="E191" i="14"/>
  <c r="D191" i="14"/>
  <c r="F203" i="14" s="1"/>
  <c r="C191" i="14"/>
  <c r="B191" i="14"/>
  <c r="C192" i="14" s="1"/>
  <c r="D190" i="14"/>
  <c r="C190" i="14"/>
  <c r="B190" i="14"/>
  <c r="E202" i="14" s="1"/>
  <c r="E189" i="14"/>
  <c r="D189" i="14"/>
  <c r="C189" i="14"/>
  <c r="B189" i="14"/>
  <c r="D188" i="14"/>
  <c r="F188" i="14" s="1"/>
  <c r="B188" i="14"/>
  <c r="F187" i="14"/>
  <c r="D187" i="14"/>
  <c r="B187" i="14"/>
  <c r="D186" i="14"/>
  <c r="B186" i="14"/>
  <c r="C186" i="14" s="1"/>
  <c r="F185" i="14"/>
  <c r="E185" i="14"/>
  <c r="D185" i="14"/>
  <c r="C185" i="14"/>
  <c r="B185" i="14"/>
  <c r="D184" i="14"/>
  <c r="F196" i="14" s="1"/>
  <c r="B184" i="14"/>
  <c r="D183" i="14"/>
  <c r="F195" i="14" s="1"/>
  <c r="B183" i="14"/>
  <c r="C184" i="14" s="1"/>
  <c r="D182" i="14"/>
  <c r="F194" i="14" s="1"/>
  <c r="B182" i="14"/>
  <c r="F181" i="14"/>
  <c r="E181" i="14"/>
  <c r="D181" i="14"/>
  <c r="C181" i="14"/>
  <c r="B181" i="14"/>
  <c r="E180" i="14"/>
  <c r="D180" i="14"/>
  <c r="B180" i="14"/>
  <c r="E179" i="14"/>
  <c r="D179" i="14"/>
  <c r="B179" i="14"/>
  <c r="C180" i="14" s="1"/>
  <c r="D178" i="14"/>
  <c r="F190" i="14" s="1"/>
  <c r="B178" i="14"/>
  <c r="D177" i="14"/>
  <c r="C177" i="14"/>
  <c r="B177" i="14"/>
  <c r="F176" i="14"/>
  <c r="D176" i="14"/>
  <c r="C176" i="14"/>
  <c r="B176" i="14"/>
  <c r="E188" i="14" s="1"/>
  <c r="F175" i="14"/>
  <c r="D175" i="14"/>
  <c r="B175" i="14"/>
  <c r="E187" i="14" s="1"/>
  <c r="D174" i="14"/>
  <c r="F186" i="14" s="1"/>
  <c r="B174" i="14"/>
  <c r="E173" i="14"/>
  <c r="D173" i="14"/>
  <c r="B173" i="14"/>
  <c r="E172" i="14"/>
  <c r="D172" i="14"/>
  <c r="B172" i="14"/>
  <c r="C173" i="14" s="1"/>
  <c r="D171" i="14"/>
  <c r="F183" i="14" s="1"/>
  <c r="B171" i="14"/>
  <c r="D170" i="14"/>
  <c r="F182" i="14" s="1"/>
  <c r="B170" i="14"/>
  <c r="C171" i="14" s="1"/>
  <c r="F169" i="14"/>
  <c r="D169" i="14"/>
  <c r="C169" i="14"/>
  <c r="B169" i="14"/>
  <c r="C170" i="14" s="1"/>
  <c r="D168" i="14"/>
  <c r="F180" i="14" s="1"/>
  <c r="B168" i="14"/>
  <c r="D167" i="14"/>
  <c r="C167" i="14"/>
  <c r="B167" i="14"/>
  <c r="C168" i="14" s="1"/>
  <c r="E166" i="14"/>
  <c r="D166" i="14"/>
  <c r="F178" i="14" s="1"/>
  <c r="C166" i="14"/>
  <c r="B166" i="14"/>
  <c r="E165" i="14"/>
  <c r="D165" i="14"/>
  <c r="F177" i="14" s="1"/>
  <c r="B165" i="14"/>
  <c r="E177" i="14" s="1"/>
  <c r="E164" i="14"/>
  <c r="D164" i="14"/>
  <c r="B164" i="14"/>
  <c r="E176" i="14" s="1"/>
  <c r="D163" i="14"/>
  <c r="C163" i="14"/>
  <c r="B163" i="14"/>
  <c r="E175" i="14" s="1"/>
  <c r="D162" i="14"/>
  <c r="F162" i="14" s="1"/>
  <c r="C162" i="14"/>
  <c r="B162" i="14"/>
  <c r="D161" i="14"/>
  <c r="F173" i="14" s="1"/>
  <c r="C161" i="14"/>
  <c r="B161" i="14"/>
  <c r="F160" i="14"/>
  <c r="D160" i="14"/>
  <c r="F172" i="14" s="1"/>
  <c r="B160" i="14"/>
  <c r="F159" i="14"/>
  <c r="D159" i="14"/>
  <c r="C159" i="14"/>
  <c r="B159" i="14"/>
  <c r="C160" i="14" s="1"/>
  <c r="F158" i="14"/>
  <c r="D158" i="14"/>
  <c r="F170" i="14" s="1"/>
  <c r="C158" i="14"/>
  <c r="B158" i="14"/>
  <c r="D157" i="14"/>
  <c r="C157" i="14"/>
  <c r="B157" i="14"/>
  <c r="E169" i="14" s="1"/>
  <c r="E156" i="14"/>
  <c r="D156" i="14"/>
  <c r="C156" i="14"/>
  <c r="B156" i="14"/>
  <c r="E168" i="14" s="1"/>
  <c r="F155" i="14"/>
  <c r="D155" i="14"/>
  <c r="F167" i="14" s="1"/>
  <c r="B155" i="14"/>
  <c r="E167" i="14" s="1"/>
  <c r="F154" i="14"/>
  <c r="D154" i="14"/>
  <c r="F166" i="14" s="1"/>
  <c r="C154" i="14"/>
  <c r="B154" i="14"/>
  <c r="C155" i="14" s="1"/>
  <c r="D153" i="14"/>
  <c r="F165" i="14" s="1"/>
  <c r="B153" i="14"/>
  <c r="C153" i="14" s="1"/>
  <c r="E152" i="14"/>
  <c r="D152" i="14"/>
  <c r="F164" i="14" s="1"/>
  <c r="B152" i="14"/>
  <c r="D151" i="14"/>
  <c r="F163" i="14" s="1"/>
  <c r="B151" i="14"/>
  <c r="C152" i="14" s="1"/>
  <c r="D150" i="14"/>
  <c r="B150" i="14"/>
  <c r="D149" i="14"/>
  <c r="F161" i="14" s="1"/>
  <c r="B149" i="14"/>
  <c r="E148" i="14"/>
  <c r="D148" i="14"/>
  <c r="B148" i="14"/>
  <c r="E160" i="14" s="1"/>
  <c r="F147" i="14"/>
  <c r="E147" i="14"/>
  <c r="D147" i="14"/>
  <c r="B147" i="14"/>
  <c r="C148" i="14" s="1"/>
  <c r="F146" i="14"/>
  <c r="E146" i="14"/>
  <c r="D146" i="14"/>
  <c r="C146" i="14"/>
  <c r="B146" i="14"/>
  <c r="E158" i="14" s="1"/>
  <c r="D145" i="14"/>
  <c r="F157" i="14" s="1"/>
  <c r="C145" i="14"/>
  <c r="B145" i="14"/>
  <c r="E157" i="14" s="1"/>
  <c r="E144" i="14"/>
  <c r="D144" i="14"/>
  <c r="F156" i="14" s="1"/>
  <c r="C144" i="14"/>
  <c r="B144" i="14"/>
  <c r="F143" i="14"/>
  <c r="D143" i="14"/>
  <c r="B143" i="14"/>
  <c r="E155" i="14" s="1"/>
  <c r="F142" i="14"/>
  <c r="D142" i="14"/>
  <c r="C142" i="14"/>
  <c r="B142" i="14"/>
  <c r="C143" i="14" s="1"/>
  <c r="D141" i="14"/>
  <c r="F153" i="14" s="1"/>
  <c r="B141" i="14"/>
  <c r="C141" i="14" s="1"/>
  <c r="E140" i="14"/>
  <c r="D140" i="14"/>
  <c r="F152" i="14" s="1"/>
  <c r="B140" i="14"/>
  <c r="D139" i="14"/>
  <c r="B139" i="14"/>
  <c r="D138" i="14"/>
  <c r="F150" i="14" s="1"/>
  <c r="B138" i="14"/>
  <c r="D137" i="14"/>
  <c r="F149" i="14" s="1"/>
  <c r="B137" i="14"/>
  <c r="E136" i="14"/>
  <c r="D136" i="14"/>
  <c r="F148" i="14" s="1"/>
  <c r="B136" i="14"/>
  <c r="C137" i="14" s="1"/>
  <c r="F135" i="14"/>
  <c r="E135" i="14"/>
  <c r="D135" i="14"/>
  <c r="B135" i="14"/>
  <c r="C136" i="14" s="1"/>
  <c r="F134" i="14"/>
  <c r="E134" i="14"/>
  <c r="D134" i="14"/>
  <c r="C134" i="14"/>
  <c r="B134" i="14"/>
  <c r="C135" i="14" s="1"/>
  <c r="D133" i="14"/>
  <c r="F145" i="14" s="1"/>
  <c r="C133" i="14"/>
  <c r="B133" i="14"/>
  <c r="E145" i="14" s="1"/>
  <c r="E132" i="14"/>
  <c r="D132" i="14"/>
  <c r="F144" i="14" s="1"/>
  <c r="C132" i="14"/>
  <c r="B132" i="14"/>
  <c r="F131" i="14"/>
  <c r="D131" i="14"/>
  <c r="B131" i="14"/>
  <c r="E143" i="14" s="1"/>
  <c r="F130" i="14"/>
  <c r="D130" i="14"/>
  <c r="C130" i="14"/>
  <c r="B130" i="14"/>
  <c r="C131" i="14" s="1"/>
  <c r="D129" i="14"/>
  <c r="F141" i="14" s="1"/>
  <c r="B129" i="14"/>
  <c r="C129" i="14" s="1"/>
  <c r="E128" i="14"/>
  <c r="D128" i="14"/>
  <c r="B128" i="14"/>
  <c r="D127" i="14"/>
  <c r="F139" i="14" s="1"/>
  <c r="B127" i="14"/>
  <c r="D126" i="14"/>
  <c r="F138" i="14" s="1"/>
  <c r="B126" i="14"/>
  <c r="D125" i="14"/>
  <c r="F137" i="14" s="1"/>
  <c r="B125" i="14"/>
  <c r="E124" i="14"/>
  <c r="D124" i="14"/>
  <c r="F136" i="14" s="1"/>
  <c r="B124" i="14"/>
  <c r="F123" i="14"/>
  <c r="D123" i="14"/>
  <c r="B123" i="14"/>
  <c r="C124" i="14" s="1"/>
  <c r="F122" i="14"/>
  <c r="E122" i="14"/>
  <c r="D122" i="14"/>
  <c r="C122" i="14"/>
  <c r="B122" i="14"/>
  <c r="D121" i="14"/>
  <c r="F133" i="14" s="1"/>
  <c r="C121" i="14"/>
  <c r="B121" i="14"/>
  <c r="E133" i="14" s="1"/>
  <c r="E120" i="14"/>
  <c r="D120" i="14"/>
  <c r="F132" i="14" s="1"/>
  <c r="C120" i="14"/>
  <c r="B120" i="14"/>
  <c r="F119" i="14"/>
  <c r="D119" i="14"/>
  <c r="B119" i="14"/>
  <c r="E131" i="14" s="1"/>
  <c r="F118" i="14"/>
  <c r="D118" i="14"/>
  <c r="C118" i="14"/>
  <c r="B118" i="14"/>
  <c r="C119" i="14" s="1"/>
  <c r="D117" i="14"/>
  <c r="F129" i="14" s="1"/>
  <c r="B117" i="14"/>
  <c r="C117" i="14" s="1"/>
  <c r="E116" i="14"/>
  <c r="D116" i="14"/>
  <c r="F128" i="14" s="1"/>
  <c r="B116" i="14"/>
  <c r="D115" i="14"/>
  <c r="F127" i="14" s="1"/>
  <c r="B115" i="14"/>
  <c r="D114" i="14"/>
  <c r="F126" i="14" s="1"/>
  <c r="B114" i="14"/>
  <c r="D113" i="14"/>
  <c r="F125" i="14" s="1"/>
  <c r="B113" i="14"/>
  <c r="E112" i="14"/>
  <c r="D112" i="14"/>
  <c r="F124" i="14" s="1"/>
  <c r="B112" i="14"/>
  <c r="F111" i="14"/>
  <c r="D111" i="14"/>
  <c r="B111" i="14"/>
  <c r="C112" i="14" s="1"/>
  <c r="F110" i="14"/>
  <c r="E110" i="14"/>
  <c r="D110" i="14"/>
  <c r="C110" i="14"/>
  <c r="B110" i="14"/>
  <c r="C111" i="14" s="1"/>
  <c r="D109" i="14"/>
  <c r="F121" i="14" s="1"/>
  <c r="C109" i="14"/>
  <c r="B109" i="14"/>
  <c r="E121" i="14" s="1"/>
  <c r="E108" i="14"/>
  <c r="D108" i="14"/>
  <c r="F120" i="14" s="1"/>
  <c r="C108" i="14"/>
  <c r="B108" i="14"/>
  <c r="F107" i="14"/>
  <c r="D107" i="14"/>
  <c r="B107" i="14"/>
  <c r="E119" i="14" s="1"/>
  <c r="F106" i="14"/>
  <c r="D106" i="14"/>
  <c r="C106" i="14"/>
  <c r="B106" i="14"/>
  <c r="C107" i="14" s="1"/>
  <c r="D105" i="14"/>
  <c r="F117" i="14" s="1"/>
  <c r="B105" i="14"/>
  <c r="C105" i="14" s="1"/>
  <c r="E104" i="14"/>
  <c r="D104" i="14"/>
  <c r="B104" i="14"/>
  <c r="D103" i="14"/>
  <c r="F115" i="14" s="1"/>
  <c r="B103" i="14"/>
  <c r="D102" i="14"/>
  <c r="F114" i="14" s="1"/>
  <c r="B102" i="14"/>
  <c r="D101" i="14"/>
  <c r="B101" i="14"/>
  <c r="E100" i="14"/>
  <c r="D100" i="14"/>
  <c r="F112" i="14" s="1"/>
  <c r="B100" i="14"/>
  <c r="F99" i="14"/>
  <c r="D99" i="14"/>
  <c r="B99" i="14"/>
  <c r="F98" i="14"/>
  <c r="E98" i="14"/>
  <c r="D98" i="14"/>
  <c r="C98" i="14"/>
  <c r="B98" i="14"/>
  <c r="D97" i="14"/>
  <c r="F109" i="14" s="1"/>
  <c r="C97" i="14"/>
  <c r="B97" i="14"/>
  <c r="E109" i="14" s="1"/>
  <c r="E96" i="14"/>
  <c r="D96" i="14"/>
  <c r="F108" i="14" s="1"/>
  <c r="C96" i="14"/>
  <c r="B96" i="14"/>
  <c r="F95" i="14"/>
  <c r="D95" i="14"/>
  <c r="B95" i="14"/>
  <c r="E107" i="14" s="1"/>
  <c r="F94" i="14"/>
  <c r="D94" i="14"/>
  <c r="C94" i="14"/>
  <c r="B94" i="14"/>
  <c r="C95" i="14" s="1"/>
  <c r="D93" i="14"/>
  <c r="F105" i="14" s="1"/>
  <c r="B93" i="14"/>
  <c r="C93" i="14" s="1"/>
  <c r="E92" i="14"/>
  <c r="D92" i="14"/>
  <c r="F104" i="14" s="1"/>
  <c r="B92" i="14"/>
  <c r="D91" i="14"/>
  <c r="F103" i="14" s="1"/>
  <c r="B91" i="14"/>
  <c r="D90" i="14"/>
  <c r="F102" i="14" s="1"/>
  <c r="B90" i="14"/>
  <c r="D89" i="14"/>
  <c r="B89" i="14"/>
  <c r="E88" i="14"/>
  <c r="D88" i="14"/>
  <c r="F100" i="14" s="1"/>
  <c r="B88" i="14"/>
  <c r="C89" i="14" s="1"/>
  <c r="F87" i="14"/>
  <c r="E87" i="14"/>
  <c r="D87" i="14"/>
  <c r="B87" i="14"/>
  <c r="C88" i="14" s="1"/>
  <c r="F86" i="14"/>
  <c r="E86" i="14"/>
  <c r="D86" i="14"/>
  <c r="C86" i="14"/>
  <c r="B86" i="14"/>
  <c r="D85" i="14"/>
  <c r="F97" i="14" s="1"/>
  <c r="C85" i="14"/>
  <c r="B85" i="14"/>
  <c r="E97" i="14" s="1"/>
  <c r="E84" i="14"/>
  <c r="D84" i="14"/>
  <c r="F96" i="14" s="1"/>
  <c r="C84" i="14"/>
  <c r="B84" i="14"/>
  <c r="F83" i="14"/>
  <c r="D83" i="14"/>
  <c r="B83" i="14"/>
  <c r="E95" i="14" s="1"/>
  <c r="F82" i="14"/>
  <c r="D82" i="14"/>
  <c r="C82" i="14"/>
  <c r="B82" i="14"/>
  <c r="C83" i="14" s="1"/>
  <c r="D81" i="14"/>
  <c r="F93" i="14" s="1"/>
  <c r="B81" i="14"/>
  <c r="C81" i="14" s="1"/>
  <c r="E80" i="14"/>
  <c r="D80" i="14"/>
  <c r="B80" i="14"/>
  <c r="D79" i="14"/>
  <c r="F91" i="14" s="1"/>
  <c r="B79" i="14"/>
  <c r="D78" i="14"/>
  <c r="F90" i="14" s="1"/>
  <c r="B78" i="14"/>
  <c r="D77" i="14"/>
  <c r="F89" i="14" s="1"/>
  <c r="B77" i="14"/>
  <c r="E76" i="14"/>
  <c r="D76" i="14"/>
  <c r="F88" i="14" s="1"/>
  <c r="B76" i="14"/>
  <c r="C77" i="14" s="1"/>
  <c r="F75" i="14"/>
  <c r="D75" i="14"/>
  <c r="B75" i="14"/>
  <c r="C76" i="14" s="1"/>
  <c r="F74" i="14"/>
  <c r="E74" i="14"/>
  <c r="D74" i="14"/>
  <c r="C74" i="14"/>
  <c r="B74" i="14"/>
  <c r="D73" i="14"/>
  <c r="F85" i="14" s="1"/>
  <c r="C73" i="14"/>
  <c r="B73" i="14"/>
  <c r="E85" i="14" s="1"/>
  <c r="E72" i="14"/>
  <c r="D72" i="14"/>
  <c r="F84" i="14" s="1"/>
  <c r="C72" i="14"/>
  <c r="B72" i="14"/>
  <c r="F71" i="14"/>
  <c r="D71" i="14"/>
  <c r="B71" i="14"/>
  <c r="E83" i="14" s="1"/>
  <c r="F70" i="14"/>
  <c r="D70" i="14"/>
  <c r="C70" i="14"/>
  <c r="B70" i="14"/>
  <c r="C71" i="14" s="1"/>
  <c r="F69" i="14"/>
  <c r="D69" i="14"/>
  <c r="B69" i="14"/>
  <c r="C69" i="14" s="1"/>
  <c r="E68" i="14"/>
  <c r="D68" i="14"/>
  <c r="F80" i="14" s="1"/>
  <c r="B68" i="14"/>
  <c r="D67" i="14"/>
  <c r="F79" i="14" s="1"/>
  <c r="B67" i="14"/>
  <c r="D66" i="14"/>
  <c r="F78" i="14" s="1"/>
  <c r="B66" i="14"/>
  <c r="C66" i="14" s="1"/>
  <c r="D65" i="14"/>
  <c r="F77" i="14" s="1"/>
  <c r="B65" i="14"/>
  <c r="E77" i="14" s="1"/>
  <c r="E64" i="14"/>
  <c r="D64" i="14"/>
  <c r="F76" i="14" s="1"/>
  <c r="B64" i="14"/>
  <c r="C65" i="14" s="1"/>
  <c r="F63" i="14"/>
  <c r="D63" i="14"/>
  <c r="B63" i="14"/>
  <c r="C64" i="14" s="1"/>
  <c r="F62" i="14"/>
  <c r="E62" i="14"/>
  <c r="D62" i="14"/>
  <c r="C62" i="14"/>
  <c r="B62" i="14"/>
  <c r="C63" i="14" s="1"/>
  <c r="D61" i="14"/>
  <c r="F73" i="14" s="1"/>
  <c r="C61" i="14"/>
  <c r="B61" i="14"/>
  <c r="E73" i="14" s="1"/>
  <c r="E60" i="14"/>
  <c r="D60" i="14"/>
  <c r="F72" i="14" s="1"/>
  <c r="B60" i="14"/>
  <c r="F59" i="14"/>
  <c r="D59" i="14"/>
  <c r="B59" i="14"/>
  <c r="F58" i="14"/>
  <c r="D58" i="14"/>
  <c r="C58" i="14"/>
  <c r="B58" i="14"/>
  <c r="F57" i="14"/>
  <c r="D57" i="14"/>
  <c r="B57" i="14"/>
  <c r="C57" i="14" s="1"/>
  <c r="E56" i="14"/>
  <c r="D56" i="14"/>
  <c r="B56" i="14"/>
  <c r="D55" i="14"/>
  <c r="B55" i="14"/>
  <c r="D54" i="14"/>
  <c r="F66" i="14" s="1"/>
  <c r="B54" i="14"/>
  <c r="D53" i="14"/>
  <c r="F65" i="14" s="1"/>
  <c r="B53" i="14"/>
  <c r="E52" i="14"/>
  <c r="D52" i="14"/>
  <c r="F64" i="14" s="1"/>
  <c r="B52" i="14"/>
  <c r="C53" i="14" s="1"/>
  <c r="F51" i="14"/>
  <c r="E51" i="14"/>
  <c r="D51" i="14"/>
  <c r="B51" i="14"/>
  <c r="C52" i="14" s="1"/>
  <c r="F50" i="14"/>
  <c r="E50" i="14"/>
  <c r="D50" i="14"/>
  <c r="C50" i="14"/>
  <c r="B50" i="14"/>
  <c r="D49" i="14"/>
  <c r="F61" i="14" s="1"/>
  <c r="C49" i="14"/>
  <c r="B49" i="14"/>
  <c r="E61" i="14" s="1"/>
  <c r="E48" i="14"/>
  <c r="D48" i="14"/>
  <c r="F60" i="14" s="1"/>
  <c r="C48" i="14"/>
  <c r="B48" i="14"/>
  <c r="F47" i="14"/>
  <c r="D47" i="14"/>
  <c r="B47" i="14"/>
  <c r="F46" i="14"/>
  <c r="D46" i="14"/>
  <c r="B46" i="14"/>
  <c r="D45" i="14"/>
  <c r="B45" i="14"/>
  <c r="E44" i="14"/>
  <c r="D44" i="14"/>
  <c r="F56" i="14" s="1"/>
  <c r="B44" i="14"/>
  <c r="D43" i="14"/>
  <c r="B43" i="14"/>
  <c r="D42" i="14"/>
  <c r="F54" i="14" s="1"/>
  <c r="B42" i="14"/>
  <c r="D41" i="14"/>
  <c r="B41" i="14"/>
  <c r="E40" i="14"/>
  <c r="D40" i="14"/>
  <c r="F52" i="14" s="1"/>
  <c r="C40" i="14"/>
  <c r="B40" i="14"/>
  <c r="F39" i="14"/>
  <c r="E39" i="14"/>
  <c r="D39" i="14"/>
  <c r="B39" i="14"/>
  <c r="F38" i="14"/>
  <c r="E38" i="14"/>
  <c r="D38" i="14"/>
  <c r="C38" i="14"/>
  <c r="B38" i="14"/>
  <c r="C39" i="14" s="1"/>
  <c r="F37" i="14"/>
  <c r="D37" i="14"/>
  <c r="F49" i="14" s="1"/>
  <c r="C37" i="14"/>
  <c r="B37" i="14"/>
  <c r="E49" i="14" s="1"/>
  <c r="E36" i="14"/>
  <c r="D36" i="14"/>
  <c r="F48" i="14" s="1"/>
  <c r="B36" i="14"/>
  <c r="F35" i="14"/>
  <c r="D35" i="14"/>
  <c r="B35" i="14"/>
  <c r="F34" i="14"/>
  <c r="D34" i="14"/>
  <c r="C34" i="14"/>
  <c r="B34" i="14"/>
  <c r="D33" i="14"/>
  <c r="F45" i="14" s="1"/>
  <c r="B33" i="14"/>
  <c r="E32" i="14"/>
  <c r="D32" i="14"/>
  <c r="B32" i="14"/>
  <c r="D31" i="14"/>
  <c r="F43" i="14" s="1"/>
  <c r="B31" i="14"/>
  <c r="E30" i="14"/>
  <c r="D30" i="14"/>
  <c r="F42" i="14" s="1"/>
  <c r="B30" i="14"/>
  <c r="E42" i="14" s="1"/>
  <c r="D29" i="14"/>
  <c r="F41" i="14" s="1"/>
  <c r="B29" i="14"/>
  <c r="E28" i="14"/>
  <c r="D28" i="14"/>
  <c r="F40" i="14" s="1"/>
  <c r="B28" i="14"/>
  <c r="C29" i="14" s="1"/>
  <c r="F27" i="14"/>
  <c r="E27" i="14"/>
  <c r="D27" i="14"/>
  <c r="B27" i="14"/>
  <c r="C28" i="14" s="1"/>
  <c r="D26" i="14"/>
  <c r="C26" i="14"/>
  <c r="B26" i="14"/>
  <c r="F25" i="14"/>
  <c r="D25" i="14"/>
  <c r="C25" i="14"/>
  <c r="B25" i="14"/>
  <c r="E37" i="14" s="1"/>
  <c r="E24" i="14"/>
  <c r="D24" i="14"/>
  <c r="F36" i="14" s="1"/>
  <c r="B24" i="14"/>
  <c r="D23" i="14"/>
  <c r="B23" i="14"/>
  <c r="C24" i="14" s="1"/>
  <c r="D22" i="14"/>
  <c r="B22" i="14"/>
  <c r="E34" i="14" s="1"/>
  <c r="D21" i="14"/>
  <c r="B21" i="14"/>
  <c r="E20" i="14"/>
  <c r="D20" i="14"/>
  <c r="F32" i="14" s="1"/>
  <c r="B20" i="14"/>
  <c r="D19" i="14"/>
  <c r="B19" i="14"/>
  <c r="D18" i="14"/>
  <c r="F30" i="14" s="1"/>
  <c r="B18" i="14"/>
  <c r="C19" i="14" s="1"/>
  <c r="D17" i="14"/>
  <c r="F29" i="14" s="1"/>
  <c r="B17" i="14"/>
  <c r="D16" i="14"/>
  <c r="F28" i="14" s="1"/>
  <c r="B16" i="14"/>
  <c r="D15" i="14"/>
  <c r="B15" i="14"/>
  <c r="C16" i="14" s="1"/>
  <c r="D14" i="14"/>
  <c r="F26" i="14" s="1"/>
  <c r="B14" i="14"/>
  <c r="D13" i="14"/>
  <c r="B13" i="14"/>
  <c r="E25" i="14" s="1"/>
  <c r="D12" i="14"/>
  <c r="F24" i="14" s="1"/>
  <c r="C12" i="14"/>
  <c r="B12" i="14"/>
  <c r="C13" i="14" s="1"/>
  <c r="D11" i="14"/>
  <c r="F23" i="14" s="1"/>
  <c r="B11" i="14"/>
  <c r="D10" i="14"/>
  <c r="F22" i="14" s="1"/>
  <c r="C10" i="14"/>
  <c r="B10" i="14"/>
  <c r="D9" i="14"/>
  <c r="B9" i="14"/>
  <c r="D8" i="14"/>
  <c r="B8" i="14"/>
  <c r="C9" i="14" s="1"/>
  <c r="D7" i="14"/>
  <c r="F19" i="14" s="1"/>
  <c r="B7" i="14"/>
  <c r="E19" i="14" s="1"/>
  <c r="D6" i="14"/>
  <c r="F18" i="14" s="1"/>
  <c r="B6" i="14"/>
  <c r="K2" i="14"/>
  <c r="B177" i="13"/>
  <c r="B176" i="13"/>
  <c r="C177" i="13" s="1"/>
  <c r="B175" i="13"/>
  <c r="C176" i="13" s="1"/>
  <c r="B174" i="13"/>
  <c r="C173" i="13"/>
  <c r="B173" i="13"/>
  <c r="C174" i="13" s="1"/>
  <c r="C172" i="13"/>
  <c r="B172" i="13"/>
  <c r="B171" i="13"/>
  <c r="C170" i="13"/>
  <c r="B170" i="13"/>
  <c r="C171" i="13" s="1"/>
  <c r="B169" i="13"/>
  <c r="B168" i="13"/>
  <c r="C169" i="13" s="1"/>
  <c r="C167" i="13"/>
  <c r="B167" i="13"/>
  <c r="C168" i="13" s="1"/>
  <c r="C166" i="13"/>
  <c r="B166" i="13"/>
  <c r="B165" i="13"/>
  <c r="B164" i="13"/>
  <c r="C165" i="13" s="1"/>
  <c r="B163" i="13"/>
  <c r="B162" i="13"/>
  <c r="C163" i="13" s="1"/>
  <c r="B161" i="13"/>
  <c r="C162" i="13" s="1"/>
  <c r="C160" i="13"/>
  <c r="B160" i="13"/>
  <c r="B159" i="13"/>
  <c r="B158" i="13"/>
  <c r="C159" i="13" s="1"/>
  <c r="C157" i="13"/>
  <c r="B157" i="13"/>
  <c r="C158" i="13" s="1"/>
  <c r="B156" i="13"/>
  <c r="B155" i="13"/>
  <c r="C156" i="13" s="1"/>
  <c r="B154" i="13"/>
  <c r="C155" i="13" s="1"/>
  <c r="B153" i="13"/>
  <c r="B152" i="13"/>
  <c r="C153" i="13" s="1"/>
  <c r="B151" i="13"/>
  <c r="C151" i="13" s="1"/>
  <c r="B150" i="13"/>
  <c r="B149" i="13"/>
  <c r="C150" i="13" s="1"/>
  <c r="B148" i="13"/>
  <c r="C149" i="13" s="1"/>
  <c r="B147" i="13"/>
  <c r="C146" i="13"/>
  <c r="B146" i="13"/>
  <c r="B145" i="13"/>
  <c r="C144" i="13"/>
  <c r="B144" i="13"/>
  <c r="C145" i="13" s="1"/>
  <c r="B143" i="13"/>
  <c r="B142" i="13"/>
  <c r="C143" i="13" s="1"/>
  <c r="B141" i="13"/>
  <c r="C142" i="13" s="1"/>
  <c r="C140" i="13"/>
  <c r="B140" i="13"/>
  <c r="B139" i="13"/>
  <c r="B138" i="13"/>
  <c r="C138" i="13" s="1"/>
  <c r="B137" i="13"/>
  <c r="B136" i="13"/>
  <c r="C137" i="13" s="1"/>
  <c r="B135" i="13"/>
  <c r="C136" i="13" s="1"/>
  <c r="B134" i="13"/>
  <c r="C135" i="13" s="1"/>
  <c r="C133" i="13"/>
  <c r="B133" i="13"/>
  <c r="B132" i="13"/>
  <c r="C131" i="13"/>
  <c r="B131" i="13"/>
  <c r="C132" i="13" s="1"/>
  <c r="B130" i="13"/>
  <c r="B129" i="13"/>
  <c r="C130" i="13" s="1"/>
  <c r="B128" i="13"/>
  <c r="C129" i="13" s="1"/>
  <c r="C127" i="13"/>
  <c r="B127" i="13"/>
  <c r="B126" i="13"/>
  <c r="B125" i="13"/>
  <c r="C125" i="13" s="1"/>
  <c r="C124" i="13"/>
  <c r="B124" i="13"/>
  <c r="B123" i="13"/>
  <c r="B122" i="13"/>
  <c r="C123" i="13" s="1"/>
  <c r="B121" i="13"/>
  <c r="C122" i="13" s="1"/>
  <c r="C120" i="13"/>
  <c r="B120" i="13"/>
  <c r="B119" i="13"/>
  <c r="C118" i="13"/>
  <c r="B118" i="13"/>
  <c r="C119" i="13" s="1"/>
  <c r="B117" i="13"/>
  <c r="B116" i="13"/>
  <c r="C117" i="13" s="1"/>
  <c r="B115" i="13"/>
  <c r="C116" i="13" s="1"/>
  <c r="C114" i="13"/>
  <c r="B114" i="13"/>
  <c r="B113" i="13"/>
  <c r="B112" i="13"/>
  <c r="C113" i="13" s="1"/>
  <c r="B111" i="13"/>
  <c r="C112" i="13" s="1"/>
  <c r="B110" i="13"/>
  <c r="B109" i="13"/>
  <c r="C110" i="13" s="1"/>
  <c r="B108" i="13"/>
  <c r="C107" i="13"/>
  <c r="B107" i="13"/>
  <c r="B106" i="13"/>
  <c r="B105" i="13"/>
  <c r="C106" i="13" s="1"/>
  <c r="B104" i="13"/>
  <c r="B103" i="13"/>
  <c r="C104" i="13" s="1"/>
  <c r="B102" i="13"/>
  <c r="C103" i="13" s="1"/>
  <c r="C101" i="13"/>
  <c r="B101" i="13"/>
  <c r="C100" i="13"/>
  <c r="B100" i="13"/>
  <c r="B99" i="13"/>
  <c r="C98" i="13"/>
  <c r="B98" i="13"/>
  <c r="C99" i="13" s="1"/>
  <c r="B97" i="13"/>
  <c r="B96" i="13"/>
  <c r="C97" i="13" s="1"/>
  <c r="C95" i="13"/>
  <c r="B95" i="13"/>
  <c r="C96" i="13" s="1"/>
  <c r="C94" i="13"/>
  <c r="B94" i="13"/>
  <c r="B93" i="13"/>
  <c r="B92" i="13"/>
  <c r="B91" i="13"/>
  <c r="B90" i="13"/>
  <c r="C91" i="13" s="1"/>
  <c r="B89" i="13"/>
  <c r="C90" i="13" s="1"/>
  <c r="C88" i="13"/>
  <c r="B88" i="13"/>
  <c r="B87" i="13"/>
  <c r="B86" i="13"/>
  <c r="C85" i="13"/>
  <c r="B85" i="13"/>
  <c r="C86" i="13" s="1"/>
  <c r="B84" i="13"/>
  <c r="B83" i="13"/>
  <c r="C84" i="13" s="1"/>
  <c r="C82" i="13"/>
  <c r="B82" i="13"/>
  <c r="C83" i="13" s="1"/>
  <c r="B81" i="13"/>
  <c r="B80" i="13"/>
  <c r="B79" i="13"/>
  <c r="B78" i="13"/>
  <c r="B77" i="13"/>
  <c r="C78" i="13" s="1"/>
  <c r="B76" i="13"/>
  <c r="C77" i="13" s="1"/>
  <c r="B75" i="13"/>
  <c r="C74" i="13"/>
  <c r="B74" i="13"/>
  <c r="B73" i="13"/>
  <c r="C72" i="13"/>
  <c r="B72" i="13"/>
  <c r="C73" i="13" s="1"/>
  <c r="B71" i="13"/>
  <c r="B70" i="13"/>
  <c r="C71" i="13" s="1"/>
  <c r="B69" i="13"/>
  <c r="C70" i="13" s="1"/>
  <c r="B68" i="13"/>
  <c r="B67" i="13"/>
  <c r="B66" i="13"/>
  <c r="B65" i="13"/>
  <c r="B64" i="13"/>
  <c r="C65" i="13" s="1"/>
  <c r="B63" i="13"/>
  <c r="C64" i="13" s="1"/>
  <c r="C62" i="13"/>
  <c r="B62" i="13"/>
  <c r="C63" i="13" s="1"/>
  <c r="C61" i="13"/>
  <c r="B61" i="13"/>
  <c r="B60" i="13"/>
  <c r="C59" i="13"/>
  <c r="B59" i="13"/>
  <c r="C60" i="13" s="1"/>
  <c r="B58" i="13"/>
  <c r="B57" i="13"/>
  <c r="C58" i="13" s="1"/>
  <c r="B56" i="13"/>
  <c r="C57" i="13" s="1"/>
  <c r="B55" i="13"/>
  <c r="B54" i="13"/>
  <c r="B53" i="13"/>
  <c r="C52" i="13"/>
  <c r="B52" i="13"/>
  <c r="B51" i="13"/>
  <c r="B50" i="13"/>
  <c r="C51" i="13" s="1"/>
  <c r="C49" i="13"/>
  <c r="B49" i="13"/>
  <c r="C50" i="13" s="1"/>
  <c r="C48" i="13"/>
  <c r="B48" i="13"/>
  <c r="B47" i="13"/>
  <c r="C46" i="13"/>
  <c r="B46" i="13"/>
  <c r="C47" i="13" s="1"/>
  <c r="B45" i="13"/>
  <c r="B44" i="13"/>
  <c r="C45" i="13" s="1"/>
  <c r="B43" i="13"/>
  <c r="C44" i="13" s="1"/>
  <c r="C42" i="13"/>
  <c r="B42" i="13"/>
  <c r="C41" i="13"/>
  <c r="B41" i="13"/>
  <c r="B40" i="13"/>
  <c r="B39" i="13"/>
  <c r="C40" i="13" s="1"/>
  <c r="B38" i="13"/>
  <c r="B37" i="13"/>
  <c r="C38" i="13" s="1"/>
  <c r="B36" i="13"/>
  <c r="C37" i="13" s="1"/>
  <c r="B35" i="13"/>
  <c r="C36" i="13" s="1"/>
  <c r="B34" i="13"/>
  <c r="B33" i="13"/>
  <c r="C34" i="13" s="1"/>
  <c r="B32" i="13"/>
  <c r="B31" i="13"/>
  <c r="C32" i="13" s="1"/>
  <c r="B30" i="13"/>
  <c r="C31" i="13" s="1"/>
  <c r="B29" i="13"/>
  <c r="C30" i="13" s="1"/>
  <c r="C28" i="13"/>
  <c r="B28" i="13"/>
  <c r="B27" i="13"/>
  <c r="C26" i="13"/>
  <c r="B26" i="13"/>
  <c r="C27" i="13" s="1"/>
  <c r="B25" i="13"/>
  <c r="B24" i="13"/>
  <c r="C25" i="13" s="1"/>
  <c r="B23" i="13"/>
  <c r="C24" i="13" s="1"/>
  <c r="B22" i="13"/>
  <c r="C23" i="13" s="1"/>
  <c r="B21" i="13"/>
  <c r="B20" i="13"/>
  <c r="B19" i="13"/>
  <c r="B18" i="13"/>
  <c r="C19" i="13" s="1"/>
  <c r="C17" i="13"/>
  <c r="B17" i="13"/>
  <c r="C16" i="13"/>
  <c r="B16" i="13"/>
  <c r="B15" i="13"/>
  <c r="B14" i="13"/>
  <c r="C13" i="13"/>
  <c r="B13" i="13"/>
  <c r="C14" i="13" s="1"/>
  <c r="B12" i="13"/>
  <c r="B11" i="13"/>
  <c r="C12" i="13" s="1"/>
  <c r="B10" i="13"/>
  <c r="C11" i="13" s="1"/>
  <c r="B9" i="13"/>
  <c r="C9" i="13" s="1"/>
  <c r="B8" i="13"/>
  <c r="C7" i="13"/>
  <c r="B7" i="13"/>
  <c r="C8" i="13" s="1"/>
  <c r="B6" i="13"/>
  <c r="K2" i="13"/>
  <c r="B184" i="12"/>
  <c r="B183" i="12"/>
  <c r="C184" i="12" s="1"/>
  <c r="C182" i="12"/>
  <c r="B182" i="12"/>
  <c r="B181" i="12"/>
  <c r="C180" i="12"/>
  <c r="B180" i="12"/>
  <c r="B179" i="12"/>
  <c r="B178" i="12"/>
  <c r="C179" i="12" s="1"/>
  <c r="B177" i="12"/>
  <c r="C178" i="12" s="1"/>
  <c r="B176" i="12"/>
  <c r="C177" i="12" s="1"/>
  <c r="B175" i="12"/>
  <c r="B174" i="12"/>
  <c r="B173" i="12"/>
  <c r="B172" i="12"/>
  <c r="C173" i="12" s="1"/>
  <c r="B171" i="12"/>
  <c r="C172" i="12" s="1"/>
  <c r="B170" i="12"/>
  <c r="C171" i="12" s="1"/>
  <c r="B169" i="12"/>
  <c r="C170" i="12" s="1"/>
  <c r="B168" i="12"/>
  <c r="C169" i="12" s="1"/>
  <c r="B167" i="12"/>
  <c r="C166" i="12"/>
  <c r="B166" i="12"/>
  <c r="C167" i="12" s="1"/>
  <c r="B165" i="12"/>
  <c r="B164" i="12"/>
  <c r="C165" i="12" s="1"/>
  <c r="B163" i="12"/>
  <c r="C164" i="12" s="1"/>
  <c r="B162" i="12"/>
  <c r="C163" i="12" s="1"/>
  <c r="B161" i="12"/>
  <c r="C160" i="12"/>
  <c r="B160" i="12"/>
  <c r="B159" i="12"/>
  <c r="B158" i="12"/>
  <c r="C158" i="12" s="1"/>
  <c r="B157" i="12"/>
  <c r="C156" i="12"/>
  <c r="B156" i="12"/>
  <c r="C157" i="12" s="1"/>
  <c r="B155" i="12"/>
  <c r="B154" i="12"/>
  <c r="C155" i="12" s="1"/>
  <c r="C153" i="12"/>
  <c r="B153" i="12"/>
  <c r="C152" i="12"/>
  <c r="B152" i="12"/>
  <c r="B151" i="12"/>
  <c r="B150" i="12"/>
  <c r="B149" i="12"/>
  <c r="C150" i="12" s="1"/>
  <c r="B148" i="12"/>
  <c r="C147" i="12"/>
  <c r="B147" i="12"/>
  <c r="C148" i="12" s="1"/>
  <c r="C146" i="12"/>
  <c r="B146" i="12"/>
  <c r="B145" i="12"/>
  <c r="B144" i="12"/>
  <c r="B143" i="12"/>
  <c r="C144" i="12" s="1"/>
  <c r="B142" i="12"/>
  <c r="C143" i="12" s="1"/>
  <c r="B141" i="12"/>
  <c r="C142" i="12" s="1"/>
  <c r="B140" i="12"/>
  <c r="C141" i="12" s="1"/>
  <c r="B139" i="12"/>
  <c r="C140" i="12" s="1"/>
  <c r="B138" i="12"/>
  <c r="B137" i="12"/>
  <c r="B136" i="12"/>
  <c r="C137" i="12" s="1"/>
  <c r="B135" i="12"/>
  <c r="C136" i="12" s="1"/>
  <c r="B134" i="12"/>
  <c r="C135" i="12" s="1"/>
  <c r="B133" i="12"/>
  <c r="C134" i="12" s="1"/>
  <c r="B132" i="12"/>
  <c r="B131" i="12"/>
  <c r="B130" i="12"/>
  <c r="B129" i="12"/>
  <c r="C130" i="12" s="1"/>
  <c r="B128" i="12"/>
  <c r="C129" i="12" s="1"/>
  <c r="B127" i="12"/>
  <c r="C128" i="12" s="1"/>
  <c r="B126" i="12"/>
  <c r="C127" i="12" s="1"/>
  <c r="B125" i="12"/>
  <c r="C126" i="12" s="1"/>
  <c r="C124" i="12"/>
  <c r="B124" i="12"/>
  <c r="B123" i="12"/>
  <c r="B122" i="12"/>
  <c r="C122" i="12" s="1"/>
  <c r="B121" i="12"/>
  <c r="C120" i="12"/>
  <c r="B120" i="12"/>
  <c r="C121" i="12" s="1"/>
  <c r="B119" i="12"/>
  <c r="B118" i="12"/>
  <c r="C119" i="12" s="1"/>
  <c r="C117" i="12"/>
  <c r="B117" i="12"/>
  <c r="B116" i="12"/>
  <c r="C116" i="12" s="1"/>
  <c r="B115" i="12"/>
  <c r="B114" i="12"/>
  <c r="B113" i="12"/>
  <c r="C114" i="12" s="1"/>
  <c r="B112" i="12"/>
  <c r="B111" i="12"/>
  <c r="C112" i="12" s="1"/>
  <c r="C110" i="12"/>
  <c r="B110" i="12"/>
  <c r="B109" i="12"/>
  <c r="B108" i="12"/>
  <c r="B107" i="12"/>
  <c r="C108" i="12" s="1"/>
  <c r="B106" i="12"/>
  <c r="C107" i="12" s="1"/>
  <c r="B105" i="12"/>
  <c r="C106" i="12" s="1"/>
  <c r="C104" i="12"/>
  <c r="B104" i="12"/>
  <c r="C105" i="12" s="1"/>
  <c r="B103" i="12"/>
  <c r="C102" i="12"/>
  <c r="B102" i="12"/>
  <c r="B101" i="12"/>
  <c r="B100" i="12"/>
  <c r="C101" i="12" s="1"/>
  <c r="B99" i="12"/>
  <c r="C100" i="12" s="1"/>
  <c r="B98" i="12"/>
  <c r="C99" i="12" s="1"/>
  <c r="B97" i="12"/>
  <c r="C98" i="12" s="1"/>
  <c r="B96" i="12"/>
  <c r="B95" i="12"/>
  <c r="B94" i="12"/>
  <c r="B93" i="12"/>
  <c r="C94" i="12" s="1"/>
  <c r="B92" i="12"/>
  <c r="C93" i="12" s="1"/>
  <c r="B91" i="12"/>
  <c r="C92" i="12" s="1"/>
  <c r="B90" i="12"/>
  <c r="C91" i="12" s="1"/>
  <c r="B89" i="12"/>
  <c r="C90" i="12" s="1"/>
  <c r="C88" i="12"/>
  <c r="B88" i="12"/>
  <c r="B87" i="12"/>
  <c r="B86" i="12"/>
  <c r="C86" i="12" s="1"/>
  <c r="B85" i="12"/>
  <c r="C84" i="12"/>
  <c r="B84" i="12"/>
  <c r="C85" i="12" s="1"/>
  <c r="B83" i="12"/>
  <c r="B82" i="12"/>
  <c r="C83" i="12" s="1"/>
  <c r="C81" i="12"/>
  <c r="B81" i="12"/>
  <c r="B80" i="12"/>
  <c r="C80" i="12" s="1"/>
  <c r="B79" i="12"/>
  <c r="B78" i="12"/>
  <c r="B77" i="12"/>
  <c r="C78" i="12" s="1"/>
  <c r="B76" i="12"/>
  <c r="C75" i="12"/>
  <c r="B75" i="12"/>
  <c r="C76" i="12" s="1"/>
  <c r="C74" i="12"/>
  <c r="B74" i="12"/>
  <c r="B73" i="12"/>
  <c r="B72" i="12"/>
  <c r="B71" i="12"/>
  <c r="C72" i="12" s="1"/>
  <c r="B70" i="12"/>
  <c r="C71" i="12" s="1"/>
  <c r="B69" i="12"/>
  <c r="C70" i="12" s="1"/>
  <c r="B68" i="12"/>
  <c r="C69" i="12" s="1"/>
  <c r="B67" i="12"/>
  <c r="C68" i="12" s="1"/>
  <c r="C66" i="12"/>
  <c r="B66" i="12"/>
  <c r="B65" i="12"/>
  <c r="B64" i="12"/>
  <c r="C65" i="12" s="1"/>
  <c r="B63" i="12"/>
  <c r="C64" i="12" s="1"/>
  <c r="B62" i="12"/>
  <c r="C63" i="12" s="1"/>
  <c r="B61" i="12"/>
  <c r="C62" i="12" s="1"/>
  <c r="B60" i="12"/>
  <c r="B59" i="12"/>
  <c r="B58" i="12"/>
  <c r="B57" i="12"/>
  <c r="C58" i="12" s="1"/>
  <c r="B56" i="12"/>
  <c r="C57" i="12" s="1"/>
  <c r="B55" i="12"/>
  <c r="C56" i="12" s="1"/>
  <c r="B54" i="12"/>
  <c r="C55" i="12" s="1"/>
  <c r="B53" i="12"/>
  <c r="C52" i="12"/>
  <c r="B52" i="12"/>
  <c r="B51" i="12"/>
  <c r="B50" i="12"/>
  <c r="C50" i="12" s="1"/>
  <c r="B49" i="12"/>
  <c r="C48" i="12"/>
  <c r="B48" i="12"/>
  <c r="C49" i="12" s="1"/>
  <c r="B47" i="12"/>
  <c r="C46" i="12"/>
  <c r="B46" i="12"/>
  <c r="C47" i="12" s="1"/>
  <c r="C45" i="12"/>
  <c r="B45" i="12"/>
  <c r="B44" i="12"/>
  <c r="C44" i="12" s="1"/>
  <c r="B43" i="12"/>
  <c r="B42" i="12"/>
  <c r="B41" i="12"/>
  <c r="C42" i="12" s="1"/>
  <c r="B40" i="12"/>
  <c r="B39" i="12"/>
  <c r="C40" i="12" s="1"/>
  <c r="C38" i="12"/>
  <c r="B38" i="12"/>
  <c r="B37" i="12"/>
  <c r="B36" i="12"/>
  <c r="B35" i="12"/>
  <c r="C36" i="12" s="1"/>
  <c r="B34" i="12"/>
  <c r="C35" i="12" s="1"/>
  <c r="B33" i="12"/>
  <c r="C34" i="12" s="1"/>
  <c r="C32" i="12"/>
  <c r="B32" i="12"/>
  <c r="C33" i="12" s="1"/>
  <c r="B31" i="12"/>
  <c r="C30" i="12"/>
  <c r="B30" i="12"/>
  <c r="B29" i="12"/>
  <c r="B28" i="12"/>
  <c r="C29" i="12" s="1"/>
  <c r="B27" i="12"/>
  <c r="C28" i="12" s="1"/>
  <c r="B26" i="12"/>
  <c r="C27" i="12" s="1"/>
  <c r="B25" i="12"/>
  <c r="C26" i="12" s="1"/>
  <c r="C24" i="12"/>
  <c r="B24" i="12"/>
  <c r="C25" i="12" s="1"/>
  <c r="B23" i="12"/>
  <c r="B22" i="12"/>
  <c r="B21" i="12"/>
  <c r="C22" i="12" s="1"/>
  <c r="B20" i="12"/>
  <c r="C21" i="12" s="1"/>
  <c r="B19" i="12"/>
  <c r="C20" i="12" s="1"/>
  <c r="B18" i="12"/>
  <c r="C19" i="12" s="1"/>
  <c r="B17" i="12"/>
  <c r="C18" i="12" s="1"/>
  <c r="C16" i="12"/>
  <c r="B16" i="12"/>
  <c r="B15" i="12"/>
  <c r="B14" i="12"/>
  <c r="C14" i="12" s="1"/>
  <c r="B13" i="12"/>
  <c r="C12" i="12"/>
  <c r="B12" i="12"/>
  <c r="C13" i="12" s="1"/>
  <c r="B11" i="12"/>
  <c r="B10" i="12"/>
  <c r="C11" i="12" s="1"/>
  <c r="C9" i="12"/>
  <c r="B9" i="12"/>
  <c r="B8" i="12"/>
  <c r="C8" i="12" s="1"/>
  <c r="B7" i="12"/>
  <c r="B6" i="12"/>
  <c r="C7" i="12" s="1"/>
  <c r="K2" i="12"/>
  <c r="B183" i="11"/>
  <c r="B182" i="11"/>
  <c r="B181" i="11"/>
  <c r="C182" i="11" s="1"/>
  <c r="C180" i="11"/>
  <c r="B180" i="11"/>
  <c r="B179" i="11"/>
  <c r="B178" i="11"/>
  <c r="B177" i="11"/>
  <c r="C178" i="11" s="1"/>
  <c r="B176" i="11"/>
  <c r="C177" i="11" s="1"/>
  <c r="B175" i="11"/>
  <c r="C176" i="11" s="1"/>
  <c r="B174" i="11"/>
  <c r="C175" i="11" s="1"/>
  <c r="B173" i="11"/>
  <c r="C174" i="11" s="1"/>
  <c r="C172" i="11"/>
  <c r="B172" i="11"/>
  <c r="B171" i="11"/>
  <c r="B170" i="11"/>
  <c r="C171" i="11" s="1"/>
  <c r="B169" i="11"/>
  <c r="C170" i="11" s="1"/>
  <c r="B168" i="11"/>
  <c r="C169" i="11" s="1"/>
  <c r="B167" i="11"/>
  <c r="C168" i="11" s="1"/>
  <c r="C166" i="11"/>
  <c r="B166" i="11"/>
  <c r="B165" i="11"/>
  <c r="B164" i="11"/>
  <c r="B163" i="11"/>
  <c r="C164" i="11" s="1"/>
  <c r="B162" i="11"/>
  <c r="C163" i="11" s="1"/>
  <c r="B161" i="11"/>
  <c r="C162" i="11" s="1"/>
  <c r="B160" i="11"/>
  <c r="C161" i="11" s="1"/>
  <c r="B159" i="11"/>
  <c r="C160" i="11" s="1"/>
  <c r="C158" i="11"/>
  <c r="B158" i="11"/>
  <c r="B157" i="11"/>
  <c r="B156" i="11"/>
  <c r="C156" i="11" s="1"/>
  <c r="B155" i="11"/>
  <c r="C154" i="11"/>
  <c r="B154" i="11"/>
  <c r="C155" i="11" s="1"/>
  <c r="B153" i="11"/>
  <c r="B152" i="11"/>
  <c r="C153" i="11" s="1"/>
  <c r="C151" i="11"/>
  <c r="B151" i="11"/>
  <c r="B150" i="11"/>
  <c r="C150" i="11" s="1"/>
  <c r="B149" i="11"/>
  <c r="B148" i="11"/>
  <c r="B147" i="11"/>
  <c r="C148" i="11" s="1"/>
  <c r="B146" i="11"/>
  <c r="B145" i="11"/>
  <c r="C146" i="11" s="1"/>
  <c r="C144" i="11"/>
  <c r="B144" i="11"/>
  <c r="B143" i="11"/>
  <c r="B142" i="11"/>
  <c r="B141" i="11"/>
  <c r="C142" i="11" s="1"/>
  <c r="B140" i="11"/>
  <c r="C141" i="11" s="1"/>
  <c r="B139" i="11"/>
  <c r="C140" i="11" s="1"/>
  <c r="B138" i="11"/>
  <c r="C139" i="11" s="1"/>
  <c r="B137" i="11"/>
  <c r="B136" i="11"/>
  <c r="B135" i="11"/>
  <c r="C136" i="11" s="1"/>
  <c r="B134" i="11"/>
  <c r="C135" i="11" s="1"/>
  <c r="B133" i="11"/>
  <c r="C134" i="11" s="1"/>
  <c r="B132" i="11"/>
  <c r="C133" i="11" s="1"/>
  <c r="B131" i="11"/>
  <c r="C132" i="11" s="1"/>
  <c r="B130" i="11"/>
  <c r="B129" i="11"/>
  <c r="B128" i="11"/>
  <c r="C129" i="11" s="1"/>
  <c r="B127" i="11"/>
  <c r="C128" i="11" s="1"/>
  <c r="B126" i="11"/>
  <c r="C127" i="11" s="1"/>
  <c r="B125" i="11"/>
  <c r="C126" i="11" s="1"/>
  <c r="B124" i="11"/>
  <c r="C125" i="11" s="1"/>
  <c r="B123" i="11"/>
  <c r="C122" i="11"/>
  <c r="B122" i="11"/>
  <c r="B121" i="11"/>
  <c r="B120" i="11"/>
  <c r="C120" i="11" s="1"/>
  <c r="B119" i="11"/>
  <c r="C118" i="11"/>
  <c r="B118" i="11"/>
  <c r="C119" i="11" s="1"/>
  <c r="B117" i="11"/>
  <c r="B116" i="11"/>
  <c r="C117" i="11" s="1"/>
  <c r="C115" i="11"/>
  <c r="B115" i="11"/>
  <c r="B114" i="11"/>
  <c r="C114" i="11" s="1"/>
  <c r="B113" i="11"/>
  <c r="B112" i="11"/>
  <c r="B111" i="11"/>
  <c r="C112" i="11" s="1"/>
  <c r="B110" i="11"/>
  <c r="C109" i="11"/>
  <c r="B109" i="11"/>
  <c r="C110" i="11" s="1"/>
  <c r="C108" i="11"/>
  <c r="B108" i="11"/>
  <c r="B107" i="11"/>
  <c r="B106" i="11"/>
  <c r="B105" i="11"/>
  <c r="C106" i="11" s="1"/>
  <c r="B104" i="11"/>
  <c r="C105" i="11" s="1"/>
  <c r="B103" i="11"/>
  <c r="C104" i="11" s="1"/>
  <c r="B102" i="11"/>
  <c r="C103" i="11" s="1"/>
  <c r="B101" i="11"/>
  <c r="C102" i="11" s="1"/>
  <c r="B100" i="11"/>
  <c r="B99" i="11"/>
  <c r="C100" i="11" s="1"/>
  <c r="B98" i="11"/>
  <c r="C99" i="11" s="1"/>
  <c r="B97" i="11"/>
  <c r="C98" i="11" s="1"/>
  <c r="B96" i="11"/>
  <c r="C97" i="11" s="1"/>
  <c r="B95" i="11"/>
  <c r="C96" i="11" s="1"/>
  <c r="C94" i="11"/>
  <c r="B94" i="11"/>
  <c r="B93" i="11"/>
  <c r="B92" i="11"/>
  <c r="C93" i="11" s="1"/>
  <c r="B91" i="11"/>
  <c r="C92" i="11" s="1"/>
  <c r="B90" i="11"/>
  <c r="C91" i="11" s="1"/>
  <c r="B89" i="11"/>
  <c r="C90" i="11" s="1"/>
  <c r="B88" i="11"/>
  <c r="C89" i="11" s="1"/>
  <c r="B87" i="11"/>
  <c r="C86" i="11"/>
  <c r="B86" i="11"/>
  <c r="B85" i="11"/>
  <c r="B84" i="11"/>
  <c r="C84" i="11" s="1"/>
  <c r="B83" i="11"/>
  <c r="C82" i="11"/>
  <c r="B82" i="11"/>
  <c r="C83" i="11" s="1"/>
  <c r="B81" i="11"/>
  <c r="B80" i="11"/>
  <c r="C81" i="11" s="1"/>
  <c r="C79" i="11"/>
  <c r="B79" i="11"/>
  <c r="B78" i="11"/>
  <c r="C78" i="11" s="1"/>
  <c r="B77" i="11"/>
  <c r="B76" i="11"/>
  <c r="B75" i="11"/>
  <c r="C76" i="11" s="1"/>
  <c r="B74" i="11"/>
  <c r="B73" i="11"/>
  <c r="C74" i="11" s="1"/>
  <c r="C72" i="11"/>
  <c r="B72" i="11"/>
  <c r="B71" i="11"/>
  <c r="B70" i="11"/>
  <c r="B69" i="11"/>
  <c r="C70" i="11" s="1"/>
  <c r="B68" i="11"/>
  <c r="C69" i="11" s="1"/>
  <c r="B67" i="11"/>
  <c r="C68" i="11" s="1"/>
  <c r="C66" i="11"/>
  <c r="B66" i="11"/>
  <c r="C67" i="11" s="1"/>
  <c r="B65" i="11"/>
  <c r="B64" i="11"/>
  <c r="B63" i="11"/>
  <c r="C64" i="11" s="1"/>
  <c r="B62" i="11"/>
  <c r="C63" i="11" s="1"/>
  <c r="B61" i="11"/>
  <c r="C62" i="11" s="1"/>
  <c r="B60" i="11"/>
  <c r="C61" i="11" s="1"/>
  <c r="B59" i="11"/>
  <c r="C60" i="11" s="1"/>
  <c r="C58" i="11"/>
  <c r="B58" i="11"/>
  <c r="B57" i="11"/>
  <c r="B56" i="11"/>
  <c r="C57" i="11" s="1"/>
  <c r="B55" i="11"/>
  <c r="C56" i="11" s="1"/>
  <c r="B54" i="11"/>
  <c r="C55" i="11" s="1"/>
  <c r="B53" i="11"/>
  <c r="C54" i="11" s="1"/>
  <c r="B52" i="11"/>
  <c r="C53" i="11" s="1"/>
  <c r="B51" i="11"/>
  <c r="C52" i="11" s="1"/>
  <c r="C50" i="11"/>
  <c r="B50" i="11"/>
  <c r="C49" i="11"/>
  <c r="B49" i="11"/>
  <c r="C48" i="11"/>
  <c r="B48" i="11"/>
  <c r="B47" i="11"/>
  <c r="B46" i="11"/>
  <c r="C47" i="11" s="1"/>
  <c r="B45" i="11"/>
  <c r="C46" i="11" s="1"/>
  <c r="C44" i="11"/>
  <c r="B44" i="11"/>
  <c r="B43" i="11"/>
  <c r="B42" i="11"/>
  <c r="C43" i="11" s="1"/>
  <c r="B41" i="11"/>
  <c r="C42" i="11" s="1"/>
  <c r="B40" i="11"/>
  <c r="C41" i="11" s="1"/>
  <c r="B39" i="11"/>
  <c r="C40" i="11" s="1"/>
  <c r="B38" i="11"/>
  <c r="C39" i="11" s="1"/>
  <c r="C37" i="11"/>
  <c r="B37" i="11"/>
  <c r="C36" i="11"/>
  <c r="B36" i="11"/>
  <c r="C35" i="11"/>
  <c r="B35" i="11"/>
  <c r="C34" i="11"/>
  <c r="B34" i="11"/>
  <c r="B33" i="11"/>
  <c r="B32" i="11"/>
  <c r="C33" i="11" s="1"/>
  <c r="C31" i="11"/>
  <c r="B31" i="11"/>
  <c r="B30" i="11"/>
  <c r="B29" i="11"/>
  <c r="C30" i="11" s="1"/>
  <c r="B28" i="11"/>
  <c r="C29" i="11" s="1"/>
  <c r="B27" i="11"/>
  <c r="C28" i="11" s="1"/>
  <c r="B26" i="11"/>
  <c r="C27" i="11" s="1"/>
  <c r="C25" i="11"/>
  <c r="B25" i="11"/>
  <c r="C24" i="11"/>
  <c r="B24" i="11"/>
  <c r="C23" i="11"/>
  <c r="B23" i="11"/>
  <c r="C22" i="11"/>
  <c r="B22" i="11"/>
  <c r="B21" i="11"/>
  <c r="B20" i="11"/>
  <c r="C21" i="11" s="1"/>
  <c r="B19" i="11"/>
  <c r="C18" i="11"/>
  <c r="B18" i="11"/>
  <c r="C17" i="11"/>
  <c r="B17" i="11"/>
  <c r="C16" i="11"/>
  <c r="B16" i="11"/>
  <c r="B15" i="11"/>
  <c r="B14" i="11"/>
  <c r="C15" i="11" s="1"/>
  <c r="B13" i="11"/>
  <c r="C14" i="11" s="1"/>
  <c r="C12" i="11"/>
  <c r="B12" i="11"/>
  <c r="C11" i="11"/>
  <c r="B11" i="11"/>
  <c r="C10" i="11"/>
  <c r="B10" i="11"/>
  <c r="C9" i="11"/>
  <c r="B9" i="11"/>
  <c r="B8" i="11"/>
  <c r="B7" i="11"/>
  <c r="C8" i="11" s="1"/>
  <c r="B6" i="11"/>
  <c r="K2" i="11"/>
  <c r="G221" i="10"/>
  <c r="F221" i="10"/>
  <c r="E221" i="10"/>
  <c r="D221" i="10"/>
  <c r="C221" i="10"/>
  <c r="B221" i="10"/>
  <c r="G220" i="10"/>
  <c r="E220" i="10"/>
  <c r="D220" i="10"/>
  <c r="C220" i="10"/>
  <c r="B220" i="10"/>
  <c r="G219" i="10"/>
  <c r="F219" i="10"/>
  <c r="E219" i="10"/>
  <c r="D219" i="10"/>
  <c r="C219" i="10"/>
  <c r="B219" i="10"/>
  <c r="G218" i="10"/>
  <c r="E218" i="10"/>
  <c r="D218" i="10"/>
  <c r="C218" i="10"/>
  <c r="B218" i="10"/>
  <c r="G217" i="10"/>
  <c r="F217" i="10"/>
  <c r="E217" i="10"/>
  <c r="D217" i="10"/>
  <c r="C217" i="10"/>
  <c r="B217" i="10"/>
  <c r="G216" i="10"/>
  <c r="E216" i="10"/>
  <c r="D216" i="10"/>
  <c r="C216" i="10"/>
  <c r="B216" i="10"/>
  <c r="G215" i="10"/>
  <c r="F215" i="10"/>
  <c r="E215" i="10"/>
  <c r="D215" i="10"/>
  <c r="C215" i="10"/>
  <c r="B215" i="10"/>
  <c r="G214" i="10"/>
  <c r="E214" i="10"/>
  <c r="D214" i="10"/>
  <c r="C214" i="10"/>
  <c r="B214" i="10"/>
  <c r="G213" i="10"/>
  <c r="F213" i="10"/>
  <c r="E213" i="10"/>
  <c r="D213" i="10"/>
  <c r="C213" i="10"/>
  <c r="B213" i="10"/>
  <c r="G212" i="10"/>
  <c r="E212" i="10"/>
  <c r="D212" i="10"/>
  <c r="C212" i="10"/>
  <c r="B212" i="10"/>
  <c r="G211" i="10"/>
  <c r="F211" i="10"/>
  <c r="E211" i="10"/>
  <c r="D211" i="10"/>
  <c r="C211" i="10"/>
  <c r="B211" i="10"/>
  <c r="G210" i="10"/>
  <c r="E210" i="10"/>
  <c r="D210" i="10"/>
  <c r="C210" i="10"/>
  <c r="B210" i="10"/>
  <c r="G209" i="10"/>
  <c r="F209" i="10"/>
  <c r="D209" i="10"/>
  <c r="C209" i="10"/>
  <c r="B209" i="10"/>
  <c r="G208" i="10"/>
  <c r="D208" i="10"/>
  <c r="F208" i="10" s="1"/>
  <c r="C208" i="10"/>
  <c r="B208" i="10"/>
  <c r="G207" i="10"/>
  <c r="F207" i="10"/>
  <c r="D207" i="10"/>
  <c r="C207" i="10"/>
  <c r="B207" i="10"/>
  <c r="G206" i="10"/>
  <c r="D206" i="10"/>
  <c r="F218" i="10" s="1"/>
  <c r="C206" i="10"/>
  <c r="B206" i="10"/>
  <c r="G205" i="10"/>
  <c r="F205" i="10"/>
  <c r="D205" i="10"/>
  <c r="C205" i="10"/>
  <c r="B205" i="10"/>
  <c r="G204" i="10"/>
  <c r="D204" i="10"/>
  <c r="F216" i="10" s="1"/>
  <c r="C204" i="10"/>
  <c r="B204" i="10"/>
  <c r="G203" i="10"/>
  <c r="F203" i="10"/>
  <c r="D203" i="10"/>
  <c r="C203" i="10"/>
  <c r="B203" i="10"/>
  <c r="G202" i="10"/>
  <c r="D202" i="10"/>
  <c r="F214" i="10" s="1"/>
  <c r="B202" i="10"/>
  <c r="C202" i="10" s="1"/>
  <c r="G201" i="10"/>
  <c r="F201" i="10"/>
  <c r="E201" i="10"/>
  <c r="D201" i="10"/>
  <c r="C201" i="10"/>
  <c r="B201" i="10"/>
  <c r="G200" i="10"/>
  <c r="D200" i="10"/>
  <c r="F212" i="10" s="1"/>
  <c r="B200" i="10"/>
  <c r="G199" i="10"/>
  <c r="F199" i="10"/>
  <c r="D199" i="10"/>
  <c r="C199" i="10"/>
  <c r="B199" i="10"/>
  <c r="C200" i="10" s="1"/>
  <c r="G198" i="10"/>
  <c r="D198" i="10"/>
  <c r="F210" i="10" s="1"/>
  <c r="B198" i="10"/>
  <c r="G197" i="10"/>
  <c r="F197" i="10"/>
  <c r="D197" i="10"/>
  <c r="C197" i="10"/>
  <c r="B197" i="10"/>
  <c r="E209" i="10" s="1"/>
  <c r="G196" i="10"/>
  <c r="F196" i="10"/>
  <c r="E196" i="10"/>
  <c r="D196" i="10"/>
  <c r="B196" i="10"/>
  <c r="E208" i="10" s="1"/>
  <c r="G195" i="10"/>
  <c r="F195" i="10"/>
  <c r="D195" i="10"/>
  <c r="B195" i="10"/>
  <c r="G194" i="10"/>
  <c r="F194" i="10"/>
  <c r="E194" i="10"/>
  <c r="D194" i="10"/>
  <c r="F206" i="10" s="1"/>
  <c r="B194" i="10"/>
  <c r="E206" i="10" s="1"/>
  <c r="G193" i="10"/>
  <c r="F193" i="10"/>
  <c r="D193" i="10"/>
  <c r="B193" i="10"/>
  <c r="G192" i="10"/>
  <c r="E192" i="10"/>
  <c r="D192" i="10"/>
  <c r="B192" i="10"/>
  <c r="E204" i="10" s="1"/>
  <c r="G191" i="10"/>
  <c r="F191" i="10"/>
  <c r="D191" i="10"/>
  <c r="B191" i="10"/>
  <c r="G190" i="10"/>
  <c r="D190" i="10"/>
  <c r="F202" i="10" s="1"/>
  <c r="B190" i="10"/>
  <c r="G73" i="6" s="1"/>
  <c r="G189" i="10"/>
  <c r="F189" i="10"/>
  <c r="D189" i="10"/>
  <c r="B189" i="10"/>
  <c r="G188" i="10"/>
  <c r="D188" i="10"/>
  <c r="F200" i="10" s="1"/>
  <c r="B188" i="10"/>
  <c r="G187" i="10"/>
  <c r="E187" i="10"/>
  <c r="D187" i="10"/>
  <c r="B187" i="10"/>
  <c r="E199" i="10" s="1"/>
  <c r="G186" i="10"/>
  <c r="D186" i="10"/>
  <c r="F198" i="10" s="1"/>
  <c r="B186" i="10"/>
  <c r="C187" i="10" s="1"/>
  <c r="G185" i="10"/>
  <c r="E185" i="10"/>
  <c r="D185" i="10"/>
  <c r="C185" i="10"/>
  <c r="B185" i="10"/>
  <c r="G184" i="10"/>
  <c r="E184" i="10"/>
  <c r="D184" i="10"/>
  <c r="B184" i="10"/>
  <c r="G183" i="10"/>
  <c r="D183" i="10"/>
  <c r="C183" i="10"/>
  <c r="B183" i="10"/>
  <c r="G182" i="10"/>
  <c r="D182" i="10"/>
  <c r="B182" i="10"/>
  <c r="G181" i="10"/>
  <c r="D181" i="10"/>
  <c r="B181" i="10"/>
  <c r="C182" i="10" s="1"/>
  <c r="G180" i="10"/>
  <c r="F180" i="10"/>
  <c r="E180" i="10"/>
  <c r="D180" i="10"/>
  <c r="B180" i="10"/>
  <c r="G179" i="10"/>
  <c r="D179" i="10"/>
  <c r="B179" i="10"/>
  <c r="C180" i="10" s="1"/>
  <c r="G178" i="10"/>
  <c r="E178" i="10"/>
  <c r="D178" i="10"/>
  <c r="B178" i="10"/>
  <c r="C179" i="10" s="1"/>
  <c r="G177" i="10"/>
  <c r="D177" i="10"/>
  <c r="B177" i="10"/>
  <c r="G176" i="10"/>
  <c r="D176" i="10"/>
  <c r="F188" i="10" s="1"/>
  <c r="B176" i="10"/>
  <c r="G175" i="10"/>
  <c r="D175" i="10"/>
  <c r="F187" i="10" s="1"/>
  <c r="B175" i="10"/>
  <c r="G174" i="10"/>
  <c r="D174" i="10"/>
  <c r="F186" i="10" s="1"/>
  <c r="B174" i="10"/>
  <c r="C175" i="10" s="1"/>
  <c r="G173" i="10"/>
  <c r="E173" i="10"/>
  <c r="D173" i="10"/>
  <c r="F185" i="10" s="1"/>
  <c r="C173" i="10"/>
  <c r="B173" i="10"/>
  <c r="G172" i="10"/>
  <c r="E172" i="10"/>
  <c r="D172" i="10"/>
  <c r="F184" i="10" s="1"/>
  <c r="B172" i="10"/>
  <c r="G171" i="10"/>
  <c r="D171" i="10"/>
  <c r="F183" i="10" s="1"/>
  <c r="B171" i="10"/>
  <c r="G170" i="10"/>
  <c r="D170" i="10"/>
  <c r="F182" i="10" s="1"/>
  <c r="B170" i="10"/>
  <c r="E182" i="10" s="1"/>
  <c r="G169" i="10"/>
  <c r="D169" i="10"/>
  <c r="F181" i="10" s="1"/>
  <c r="B169" i="10"/>
  <c r="C170" i="10" s="1"/>
  <c r="G168" i="10"/>
  <c r="F168" i="10"/>
  <c r="E168" i="10"/>
  <c r="D168" i="10"/>
  <c r="B168" i="10"/>
  <c r="G167" i="10"/>
  <c r="D167" i="10"/>
  <c r="F179" i="10" s="1"/>
  <c r="B167" i="10"/>
  <c r="C168" i="10" s="1"/>
  <c r="G166" i="10"/>
  <c r="E166" i="10"/>
  <c r="D166" i="10"/>
  <c r="F178" i="10" s="1"/>
  <c r="B166" i="10"/>
  <c r="C167" i="10" s="1"/>
  <c r="G165" i="10"/>
  <c r="D165" i="10"/>
  <c r="F177" i="10" s="1"/>
  <c r="B165" i="10"/>
  <c r="G164" i="10"/>
  <c r="D164" i="10"/>
  <c r="F176" i="10" s="1"/>
  <c r="B164" i="10"/>
  <c r="G163" i="10"/>
  <c r="D163" i="10"/>
  <c r="F175" i="10" s="1"/>
  <c r="B163" i="10"/>
  <c r="E175" i="10" s="1"/>
  <c r="G162" i="10"/>
  <c r="D162" i="10"/>
  <c r="F174" i="10" s="1"/>
  <c r="B162" i="10"/>
  <c r="C163" i="10" s="1"/>
  <c r="G161" i="10"/>
  <c r="E161" i="10"/>
  <c r="D161" i="10"/>
  <c r="F173" i="10" s="1"/>
  <c r="C161" i="10"/>
  <c r="B161" i="10"/>
  <c r="G160" i="10"/>
  <c r="E160" i="10"/>
  <c r="D160" i="10"/>
  <c r="F172" i="10" s="1"/>
  <c r="B160" i="10"/>
  <c r="G159" i="10"/>
  <c r="D159" i="10"/>
  <c r="F171" i="10" s="1"/>
  <c r="B159" i="10"/>
  <c r="C159" i="10" s="1"/>
  <c r="G158" i="10"/>
  <c r="D158" i="10"/>
  <c r="F170" i="10" s="1"/>
  <c r="B158" i="10"/>
  <c r="E170" i="10" s="1"/>
  <c r="G157" i="10"/>
  <c r="D157" i="10"/>
  <c r="F169" i="10" s="1"/>
  <c r="B157" i="10"/>
  <c r="C158" i="10" s="1"/>
  <c r="G156" i="10"/>
  <c r="F156" i="10"/>
  <c r="E156" i="10"/>
  <c r="D156" i="10"/>
  <c r="B156" i="10"/>
  <c r="G155" i="10"/>
  <c r="D155" i="10"/>
  <c r="F167" i="10" s="1"/>
  <c r="B155" i="10"/>
  <c r="C156" i="10" s="1"/>
  <c r="G154" i="10"/>
  <c r="E154" i="10"/>
  <c r="D154" i="10"/>
  <c r="F166" i="10" s="1"/>
  <c r="B154" i="10"/>
  <c r="C155" i="10" s="1"/>
  <c r="G153" i="10"/>
  <c r="D153" i="10"/>
  <c r="F165" i="10" s="1"/>
  <c r="B153" i="10"/>
  <c r="C154" i="10" s="1"/>
  <c r="G152" i="10"/>
  <c r="D152" i="10"/>
  <c r="F164" i="10" s="1"/>
  <c r="B152" i="10"/>
  <c r="G151" i="10"/>
  <c r="D151" i="10"/>
  <c r="F163" i="10" s="1"/>
  <c r="B151" i="10"/>
  <c r="E163" i="10" s="1"/>
  <c r="G150" i="10"/>
  <c r="D150" i="10"/>
  <c r="F162" i="10" s="1"/>
  <c r="B150" i="10"/>
  <c r="C151" i="10" s="1"/>
  <c r="G149" i="10"/>
  <c r="E149" i="10"/>
  <c r="D149" i="10"/>
  <c r="F161" i="10" s="1"/>
  <c r="C149" i="10"/>
  <c r="B149" i="10"/>
  <c r="G148" i="10"/>
  <c r="E148" i="10"/>
  <c r="D148" i="10"/>
  <c r="F160" i="10" s="1"/>
  <c r="B148" i="10"/>
  <c r="G147" i="10"/>
  <c r="D147" i="10"/>
  <c r="F159" i="10" s="1"/>
  <c r="B147" i="10"/>
  <c r="C147" i="10" s="1"/>
  <c r="G146" i="10"/>
  <c r="D146" i="10"/>
  <c r="F158" i="10" s="1"/>
  <c r="B146" i="10"/>
  <c r="E158" i="10" s="1"/>
  <c r="G145" i="10"/>
  <c r="D145" i="10"/>
  <c r="F157" i="10" s="1"/>
  <c r="B145" i="10"/>
  <c r="C146" i="10" s="1"/>
  <c r="G144" i="10"/>
  <c r="F144" i="10"/>
  <c r="E144" i="10"/>
  <c r="D144" i="10"/>
  <c r="B144" i="10"/>
  <c r="G143" i="10"/>
  <c r="D143" i="10"/>
  <c r="F155" i="10" s="1"/>
  <c r="B143" i="10"/>
  <c r="C144" i="10" s="1"/>
  <c r="G142" i="10"/>
  <c r="E142" i="10"/>
  <c r="D142" i="10"/>
  <c r="F154" i="10" s="1"/>
  <c r="B142" i="10"/>
  <c r="C143" i="10" s="1"/>
  <c r="G141" i="10"/>
  <c r="D141" i="10"/>
  <c r="F153" i="10" s="1"/>
  <c r="B141" i="10"/>
  <c r="C142" i="10" s="1"/>
  <c r="G140" i="10"/>
  <c r="D140" i="10"/>
  <c r="F152" i="10" s="1"/>
  <c r="B140" i="10"/>
  <c r="G23" i="6" s="1"/>
  <c r="G139" i="10"/>
  <c r="D139" i="10"/>
  <c r="F151" i="10" s="1"/>
  <c r="B139" i="10"/>
  <c r="E151" i="10" s="1"/>
  <c r="G138" i="10"/>
  <c r="D138" i="10"/>
  <c r="F150" i="10" s="1"/>
  <c r="B138" i="10"/>
  <c r="C139" i="10" s="1"/>
  <c r="G137" i="10"/>
  <c r="E137" i="10"/>
  <c r="D137" i="10"/>
  <c r="F149" i="10" s="1"/>
  <c r="B137" i="10"/>
  <c r="G136" i="10"/>
  <c r="E136" i="10"/>
  <c r="D136" i="10"/>
  <c r="F148" i="10" s="1"/>
  <c r="B136" i="10"/>
  <c r="G135" i="10"/>
  <c r="D135" i="10"/>
  <c r="F147" i="10" s="1"/>
  <c r="C135" i="10"/>
  <c r="B135" i="10"/>
  <c r="G134" i="10"/>
  <c r="D134" i="10"/>
  <c r="F146" i="10" s="1"/>
  <c r="B134" i="10"/>
  <c r="E146" i="10" s="1"/>
  <c r="G133" i="10"/>
  <c r="D133" i="10"/>
  <c r="F145" i="10" s="1"/>
  <c r="B133" i="10"/>
  <c r="C134" i="10" s="1"/>
  <c r="G132" i="10"/>
  <c r="F132" i="10"/>
  <c r="E132" i="10"/>
  <c r="D132" i="10"/>
  <c r="B132" i="10"/>
  <c r="G131" i="10"/>
  <c r="D131" i="10"/>
  <c r="F143" i="10" s="1"/>
  <c r="B131" i="10"/>
  <c r="C132" i="10" s="1"/>
  <c r="G130" i="10"/>
  <c r="E130" i="10"/>
  <c r="D130" i="10"/>
  <c r="F142" i="10" s="1"/>
  <c r="B130" i="10"/>
  <c r="C131" i="10" s="1"/>
  <c r="G129" i="10"/>
  <c r="D129" i="10"/>
  <c r="F141" i="10" s="1"/>
  <c r="B129" i="10"/>
  <c r="C130" i="10" s="1"/>
  <c r="G128" i="10"/>
  <c r="D128" i="10"/>
  <c r="F140" i="10" s="1"/>
  <c r="B128" i="10"/>
  <c r="G127" i="10"/>
  <c r="D127" i="10"/>
  <c r="F139" i="10" s="1"/>
  <c r="B127" i="10"/>
  <c r="E139" i="10" s="1"/>
  <c r="G126" i="10"/>
  <c r="F126" i="10"/>
  <c r="D126" i="10"/>
  <c r="F138" i="10" s="1"/>
  <c r="B126" i="10"/>
  <c r="C127" i="10" s="1"/>
  <c r="G125" i="10"/>
  <c r="E125" i="10"/>
  <c r="D125" i="10"/>
  <c r="F137" i="10" s="1"/>
  <c r="B125" i="10"/>
  <c r="G124" i="10"/>
  <c r="E124" i="10"/>
  <c r="D124" i="10"/>
  <c r="F136" i="10" s="1"/>
  <c r="B124" i="10"/>
  <c r="G123" i="10"/>
  <c r="D123" i="10"/>
  <c r="F135" i="10" s="1"/>
  <c r="B123" i="10"/>
  <c r="G122" i="10"/>
  <c r="D122" i="10"/>
  <c r="F134" i="10" s="1"/>
  <c r="B122" i="10"/>
  <c r="E134" i="10" s="1"/>
  <c r="G121" i="10"/>
  <c r="D121" i="10"/>
  <c r="F133" i="10" s="1"/>
  <c r="B121" i="10"/>
  <c r="C122" i="10" s="1"/>
  <c r="G120" i="10"/>
  <c r="F120" i="10"/>
  <c r="E120" i="10"/>
  <c r="D120" i="10"/>
  <c r="B120" i="10"/>
  <c r="G119" i="10"/>
  <c r="D119" i="10"/>
  <c r="F131" i="10" s="1"/>
  <c r="B119" i="10"/>
  <c r="C120" i="10" s="1"/>
  <c r="G118" i="10"/>
  <c r="E118" i="10"/>
  <c r="D118" i="10"/>
  <c r="B118" i="10"/>
  <c r="C119" i="10" s="1"/>
  <c r="G117" i="10"/>
  <c r="D117" i="10"/>
  <c r="F129" i="10" s="1"/>
  <c r="B117" i="10"/>
  <c r="C118" i="10" s="1"/>
  <c r="G116" i="10"/>
  <c r="D116" i="10"/>
  <c r="F128" i="10" s="1"/>
  <c r="B116" i="10"/>
  <c r="G115" i="10"/>
  <c r="D115" i="10"/>
  <c r="F127" i="10" s="1"/>
  <c r="B115" i="10"/>
  <c r="E127" i="10" s="1"/>
  <c r="G114" i="10"/>
  <c r="F114" i="10"/>
  <c r="D114" i="10"/>
  <c r="B114" i="10"/>
  <c r="C115" i="10" s="1"/>
  <c r="G113" i="10"/>
  <c r="E113" i="10"/>
  <c r="D113" i="10"/>
  <c r="F125" i="10" s="1"/>
  <c r="B113" i="10"/>
  <c r="G112" i="10"/>
  <c r="E112" i="10"/>
  <c r="D112" i="10"/>
  <c r="F124" i="10" s="1"/>
  <c r="B112" i="10"/>
  <c r="G111" i="10"/>
  <c r="D111" i="10"/>
  <c r="F123" i="10" s="1"/>
  <c r="C111" i="10"/>
  <c r="B111" i="10"/>
  <c r="G110" i="10"/>
  <c r="D110" i="10"/>
  <c r="F122" i="10" s="1"/>
  <c r="B110" i="10"/>
  <c r="E122" i="10" s="1"/>
  <c r="G109" i="10"/>
  <c r="D109" i="10"/>
  <c r="F121" i="10" s="1"/>
  <c r="B109" i="10"/>
  <c r="C110" i="10" s="1"/>
  <c r="G108" i="10"/>
  <c r="F108" i="10"/>
  <c r="E108" i="10"/>
  <c r="D108" i="10"/>
  <c r="B108" i="10"/>
  <c r="G107" i="10"/>
  <c r="D107" i="10"/>
  <c r="F119" i="10" s="1"/>
  <c r="B107" i="10"/>
  <c r="C108" i="10" s="1"/>
  <c r="G106" i="10"/>
  <c r="E106" i="10"/>
  <c r="D106" i="10"/>
  <c r="F118" i="10" s="1"/>
  <c r="B106" i="10"/>
  <c r="C107" i="10" s="1"/>
  <c r="G105" i="10"/>
  <c r="D105" i="10"/>
  <c r="F117" i="10" s="1"/>
  <c r="B105" i="10"/>
  <c r="C106" i="10" s="1"/>
  <c r="G104" i="10"/>
  <c r="D104" i="10"/>
  <c r="F116" i="10" s="1"/>
  <c r="B104" i="10"/>
  <c r="G103" i="10"/>
  <c r="D103" i="10"/>
  <c r="F115" i="10" s="1"/>
  <c r="B103" i="10"/>
  <c r="E115" i="10" s="1"/>
  <c r="G102" i="10"/>
  <c r="F102" i="10"/>
  <c r="D102" i="10"/>
  <c r="B102" i="10"/>
  <c r="C103" i="10" s="1"/>
  <c r="G101" i="10"/>
  <c r="E101" i="10"/>
  <c r="D101" i="10"/>
  <c r="F113" i="10" s="1"/>
  <c r="B101" i="10"/>
  <c r="G100" i="10"/>
  <c r="E100" i="10"/>
  <c r="D100" i="10"/>
  <c r="F112" i="10" s="1"/>
  <c r="B100" i="10"/>
  <c r="G99" i="10"/>
  <c r="D99" i="10"/>
  <c r="F111" i="10" s="1"/>
  <c r="C99" i="10"/>
  <c r="B99" i="10"/>
  <c r="G98" i="10"/>
  <c r="D98" i="10"/>
  <c r="F110" i="10" s="1"/>
  <c r="B98" i="10"/>
  <c r="E110" i="10" s="1"/>
  <c r="G97" i="10"/>
  <c r="D97" i="10"/>
  <c r="F109" i="10" s="1"/>
  <c r="B97" i="10"/>
  <c r="C98" i="10" s="1"/>
  <c r="G96" i="10"/>
  <c r="F96" i="10"/>
  <c r="E96" i="10"/>
  <c r="D96" i="10"/>
  <c r="B96" i="10"/>
  <c r="G95" i="10"/>
  <c r="D95" i="10"/>
  <c r="F107" i="10" s="1"/>
  <c r="B95" i="10"/>
  <c r="C96" i="10" s="1"/>
  <c r="G94" i="10"/>
  <c r="E94" i="10"/>
  <c r="D94" i="10"/>
  <c r="B94" i="10"/>
  <c r="C95" i="10" s="1"/>
  <c r="G93" i="10"/>
  <c r="D93" i="10"/>
  <c r="F105" i="10" s="1"/>
  <c r="B93" i="10"/>
  <c r="C94" i="10" s="1"/>
  <c r="G92" i="10"/>
  <c r="D92" i="10"/>
  <c r="F104" i="10" s="1"/>
  <c r="B92" i="10"/>
  <c r="G91" i="10"/>
  <c r="D91" i="10"/>
  <c r="F103" i="10" s="1"/>
  <c r="B91" i="10"/>
  <c r="E103" i="10" s="1"/>
  <c r="G90" i="10"/>
  <c r="F90" i="10"/>
  <c r="D90" i="10"/>
  <c r="B90" i="10"/>
  <c r="C91" i="10" s="1"/>
  <c r="G89" i="10"/>
  <c r="E89" i="10"/>
  <c r="D89" i="10"/>
  <c r="F101" i="10" s="1"/>
  <c r="B89" i="10"/>
  <c r="G88" i="10"/>
  <c r="E88" i="10"/>
  <c r="D88" i="10"/>
  <c r="F100" i="10" s="1"/>
  <c r="B88" i="10"/>
  <c r="G87" i="10"/>
  <c r="D87" i="10"/>
  <c r="F99" i="10" s="1"/>
  <c r="B87" i="10"/>
  <c r="G86" i="10"/>
  <c r="D86" i="10"/>
  <c r="F98" i="10" s="1"/>
  <c r="B86" i="10"/>
  <c r="E98" i="10" s="1"/>
  <c r="G85" i="10"/>
  <c r="D85" i="10"/>
  <c r="F97" i="10" s="1"/>
  <c r="B85" i="10"/>
  <c r="C86" i="10" s="1"/>
  <c r="G84" i="10"/>
  <c r="F84" i="10"/>
  <c r="E84" i="10"/>
  <c r="D84" i="10"/>
  <c r="B84" i="10"/>
  <c r="G83" i="10"/>
  <c r="D83" i="10"/>
  <c r="F95" i="10" s="1"/>
  <c r="B83" i="10"/>
  <c r="C84" i="10" s="1"/>
  <c r="G82" i="10"/>
  <c r="E82" i="10"/>
  <c r="D82" i="10"/>
  <c r="F94" i="10" s="1"/>
  <c r="B82" i="10"/>
  <c r="C83" i="10" s="1"/>
  <c r="G81" i="10"/>
  <c r="D81" i="10"/>
  <c r="F93" i="10" s="1"/>
  <c r="B81" i="10"/>
  <c r="C82" i="10" s="1"/>
  <c r="G80" i="10"/>
  <c r="D80" i="10"/>
  <c r="F92" i="10" s="1"/>
  <c r="B80" i="10"/>
  <c r="G79" i="10"/>
  <c r="D79" i="10"/>
  <c r="F91" i="10" s="1"/>
  <c r="B79" i="10"/>
  <c r="E91" i="10" s="1"/>
  <c r="G78" i="10"/>
  <c r="D78" i="10"/>
  <c r="B78" i="10"/>
  <c r="C79" i="10" s="1"/>
  <c r="G77" i="10"/>
  <c r="E77" i="10"/>
  <c r="D77" i="10"/>
  <c r="F89" i="10" s="1"/>
  <c r="B77" i="10"/>
  <c r="G76" i="10"/>
  <c r="D76" i="10"/>
  <c r="F88" i="10" s="1"/>
  <c r="B76" i="10"/>
  <c r="G75" i="10"/>
  <c r="D75" i="10"/>
  <c r="F87" i="10" s="1"/>
  <c r="C75" i="10"/>
  <c r="B75" i="10"/>
  <c r="G74" i="10"/>
  <c r="F74" i="10"/>
  <c r="D74" i="10"/>
  <c r="F86" i="10" s="1"/>
  <c r="B74" i="10"/>
  <c r="E86" i="10" s="1"/>
  <c r="G73" i="10"/>
  <c r="D73" i="10"/>
  <c r="F85" i="10" s="1"/>
  <c r="B73" i="10"/>
  <c r="C74" i="10" s="1"/>
  <c r="G72" i="10"/>
  <c r="F72" i="10"/>
  <c r="D72" i="10"/>
  <c r="B72" i="10"/>
  <c r="G71" i="10"/>
  <c r="D71" i="10"/>
  <c r="F83" i="10" s="1"/>
  <c r="B71" i="10"/>
  <c r="C72" i="10" s="1"/>
  <c r="G70" i="10"/>
  <c r="E70" i="10"/>
  <c r="D70" i="10"/>
  <c r="B70" i="10"/>
  <c r="C71" i="10" s="1"/>
  <c r="G69" i="10"/>
  <c r="E69" i="10"/>
  <c r="D69" i="10"/>
  <c r="F81" i="10" s="1"/>
  <c r="C69" i="10"/>
  <c r="B69" i="10"/>
  <c r="G68" i="10"/>
  <c r="E68" i="10"/>
  <c r="D68" i="10"/>
  <c r="C68" i="10"/>
  <c r="B68" i="10"/>
  <c r="G67" i="10"/>
  <c r="D67" i="10"/>
  <c r="F79" i="10" s="1"/>
  <c r="B67" i="10"/>
  <c r="E79" i="10" s="1"/>
  <c r="G66" i="10"/>
  <c r="D66" i="10"/>
  <c r="F78" i="10" s="1"/>
  <c r="B66" i="10"/>
  <c r="C66" i="10" s="1"/>
  <c r="G65" i="10"/>
  <c r="D65" i="10"/>
  <c r="F77" i="10" s="1"/>
  <c r="B65" i="10"/>
  <c r="G64" i="10"/>
  <c r="D64" i="10"/>
  <c r="F76" i="10" s="1"/>
  <c r="B64" i="10"/>
  <c r="G63" i="10"/>
  <c r="D63" i="10"/>
  <c r="F75" i="10" s="1"/>
  <c r="B63" i="10"/>
  <c r="G62" i="10"/>
  <c r="D62" i="10"/>
  <c r="B62" i="10"/>
  <c r="E74" i="10" s="1"/>
  <c r="G61" i="10"/>
  <c r="E61" i="10"/>
  <c r="D61" i="10"/>
  <c r="F73" i="10" s="1"/>
  <c r="B61" i="10"/>
  <c r="E73" i="10" s="1"/>
  <c r="G60" i="10"/>
  <c r="D60" i="10"/>
  <c r="B60" i="10"/>
  <c r="E60" i="10" s="1"/>
  <c r="G59" i="10"/>
  <c r="E59" i="10"/>
  <c r="D59" i="10"/>
  <c r="F71" i="10" s="1"/>
  <c r="B59" i="10"/>
  <c r="E71" i="10" s="1"/>
  <c r="G58" i="10"/>
  <c r="D58" i="10"/>
  <c r="B58" i="10"/>
  <c r="C59" i="10" s="1"/>
  <c r="G57" i="10"/>
  <c r="E57" i="10"/>
  <c r="D57" i="10"/>
  <c r="F69" i="10" s="1"/>
  <c r="C57" i="10"/>
  <c r="B57" i="10"/>
  <c r="C58" i="10" s="1"/>
  <c r="G56" i="10"/>
  <c r="E56" i="10"/>
  <c r="D56" i="10"/>
  <c r="B56" i="10"/>
  <c r="G55" i="10"/>
  <c r="D55" i="10"/>
  <c r="F67" i="10" s="1"/>
  <c r="B55" i="10"/>
  <c r="C55" i="10" s="1"/>
  <c r="G54" i="10"/>
  <c r="D54" i="10"/>
  <c r="F66" i="10" s="1"/>
  <c r="B54" i="10"/>
  <c r="G53" i="10"/>
  <c r="D53" i="10"/>
  <c r="F65" i="10" s="1"/>
  <c r="B53" i="10"/>
  <c r="G52" i="10"/>
  <c r="D52" i="10"/>
  <c r="F64" i="10" s="1"/>
  <c r="B52" i="10"/>
  <c r="G51" i="10"/>
  <c r="D51" i="10"/>
  <c r="F63" i="10" s="1"/>
  <c r="B51" i="10"/>
  <c r="C52" i="10" s="1"/>
  <c r="G50" i="10"/>
  <c r="F50" i="10"/>
  <c r="D50" i="10"/>
  <c r="F62" i="10" s="1"/>
  <c r="B50" i="10"/>
  <c r="E62" i="10" s="1"/>
  <c r="G49" i="10"/>
  <c r="D49" i="10"/>
  <c r="F61" i="10" s="1"/>
  <c r="B49" i="10"/>
  <c r="C50" i="10" s="1"/>
  <c r="G48" i="10"/>
  <c r="F48" i="10"/>
  <c r="E48" i="10"/>
  <c r="D48" i="10"/>
  <c r="F60" i="10" s="1"/>
  <c r="C48" i="10"/>
  <c r="B48" i="10"/>
  <c r="G47" i="10"/>
  <c r="D47" i="10"/>
  <c r="F59" i="10" s="1"/>
  <c r="B47" i="10"/>
  <c r="G46" i="10"/>
  <c r="E46" i="10"/>
  <c r="D46" i="10"/>
  <c r="B46" i="10"/>
  <c r="E58" i="10" s="1"/>
  <c r="G45" i="10"/>
  <c r="E45" i="10"/>
  <c r="D45" i="10"/>
  <c r="F57" i="10" s="1"/>
  <c r="C45" i="10"/>
  <c r="B45" i="10"/>
  <c r="G44" i="10"/>
  <c r="E44" i="10"/>
  <c r="D44" i="10"/>
  <c r="C44" i="10"/>
  <c r="B44" i="10"/>
  <c r="G43" i="10"/>
  <c r="D43" i="10"/>
  <c r="F55" i="10" s="1"/>
  <c r="B43" i="10"/>
  <c r="G42" i="10"/>
  <c r="D42" i="10"/>
  <c r="F54" i="10" s="1"/>
  <c r="C42" i="10"/>
  <c r="B42" i="10"/>
  <c r="G41" i="10"/>
  <c r="D41" i="10"/>
  <c r="F53" i="10" s="1"/>
  <c r="B41" i="10"/>
  <c r="G40" i="10"/>
  <c r="D40" i="10"/>
  <c r="F52" i="10" s="1"/>
  <c r="B40" i="10"/>
  <c r="G39" i="10"/>
  <c r="D39" i="10"/>
  <c r="F51" i="10" s="1"/>
  <c r="B39" i="10"/>
  <c r="E51" i="10" s="1"/>
  <c r="G38" i="10"/>
  <c r="D38" i="10"/>
  <c r="B38" i="10"/>
  <c r="C39" i="10" s="1"/>
  <c r="G37" i="10"/>
  <c r="E37" i="10"/>
  <c r="D37" i="10"/>
  <c r="F49" i="10" s="1"/>
  <c r="B37" i="10"/>
  <c r="G36" i="10"/>
  <c r="D36" i="10"/>
  <c r="B36" i="10"/>
  <c r="E36" i="10" s="1"/>
  <c r="G35" i="10"/>
  <c r="E35" i="10"/>
  <c r="D35" i="10"/>
  <c r="F47" i="10" s="1"/>
  <c r="B35" i="10"/>
  <c r="E47" i="10" s="1"/>
  <c r="G34" i="10"/>
  <c r="D34" i="10"/>
  <c r="B34" i="10"/>
  <c r="C35" i="10" s="1"/>
  <c r="G33" i="10"/>
  <c r="E33" i="10"/>
  <c r="D33" i="10"/>
  <c r="F45" i="10" s="1"/>
  <c r="C33" i="10"/>
  <c r="B33" i="10"/>
  <c r="C34" i="10" s="1"/>
  <c r="G32" i="10"/>
  <c r="E32" i="10"/>
  <c r="D32" i="10"/>
  <c r="B32" i="10"/>
  <c r="G31" i="10"/>
  <c r="D31" i="10"/>
  <c r="F43" i="10" s="1"/>
  <c r="C31" i="10"/>
  <c r="B31" i="10"/>
  <c r="G30" i="10"/>
  <c r="D30" i="10"/>
  <c r="F42" i="10" s="1"/>
  <c r="B30" i="10"/>
  <c r="G29" i="10"/>
  <c r="D29" i="10"/>
  <c r="F41" i="10" s="1"/>
  <c r="B29" i="10"/>
  <c r="G28" i="10"/>
  <c r="E28" i="10"/>
  <c r="D28" i="10"/>
  <c r="F40" i="10" s="1"/>
  <c r="B28" i="10"/>
  <c r="G27" i="10"/>
  <c r="D27" i="10"/>
  <c r="F39" i="10" s="1"/>
  <c r="B27" i="10"/>
  <c r="C28" i="10" s="1"/>
  <c r="G26" i="10"/>
  <c r="F26" i="10"/>
  <c r="D26" i="10"/>
  <c r="F38" i="10" s="1"/>
  <c r="B26" i="10"/>
  <c r="E38" i="10" s="1"/>
  <c r="G25" i="10"/>
  <c r="D25" i="10"/>
  <c r="F37" i="10" s="1"/>
  <c r="B25" i="10"/>
  <c r="C26" i="10" s="1"/>
  <c r="G24" i="10"/>
  <c r="F24" i="10"/>
  <c r="D24" i="10"/>
  <c r="F36" i="10" s="1"/>
  <c r="C24" i="10"/>
  <c r="B24" i="10"/>
  <c r="G23" i="10"/>
  <c r="D23" i="10"/>
  <c r="F35" i="10" s="1"/>
  <c r="B23" i="10"/>
  <c r="E23" i="10" s="1"/>
  <c r="G22" i="10"/>
  <c r="E22" i="10"/>
  <c r="D22" i="10"/>
  <c r="B22" i="10"/>
  <c r="E34" i="10" s="1"/>
  <c r="G21" i="10"/>
  <c r="D21" i="10"/>
  <c r="F33" i="10" s="1"/>
  <c r="C21" i="10"/>
  <c r="B21" i="10"/>
  <c r="G20" i="10"/>
  <c r="E20" i="10"/>
  <c r="D20" i="10"/>
  <c r="C20" i="10"/>
  <c r="B20" i="10"/>
  <c r="G19" i="10"/>
  <c r="D19" i="10"/>
  <c r="F31" i="10" s="1"/>
  <c r="B19" i="10"/>
  <c r="G18" i="10"/>
  <c r="D18" i="10"/>
  <c r="F30" i="10" s="1"/>
  <c r="B18" i="10"/>
  <c r="G17" i="10"/>
  <c r="D17" i="10"/>
  <c r="F29" i="10" s="1"/>
  <c r="B17" i="10"/>
  <c r="G16" i="10"/>
  <c r="D16" i="10"/>
  <c r="F28" i="10" s="1"/>
  <c r="B16" i="10"/>
  <c r="C17" i="10" s="1"/>
  <c r="G15" i="10"/>
  <c r="D15" i="10"/>
  <c r="F27" i="10" s="1"/>
  <c r="B15" i="10"/>
  <c r="G14" i="10"/>
  <c r="D14" i="10"/>
  <c r="B14" i="10"/>
  <c r="G13" i="10"/>
  <c r="D13" i="10"/>
  <c r="F25" i="10" s="1"/>
  <c r="B13" i="10"/>
  <c r="C14" i="10" s="1"/>
  <c r="G12" i="10"/>
  <c r="D12" i="10"/>
  <c r="B12" i="10"/>
  <c r="C13" i="10" s="1"/>
  <c r="G11" i="10"/>
  <c r="D11" i="10"/>
  <c r="F23" i="10" s="1"/>
  <c r="B11" i="10"/>
  <c r="G10" i="10"/>
  <c r="D10" i="10"/>
  <c r="B10" i="10"/>
  <c r="C11" i="10" s="1"/>
  <c r="G9" i="10"/>
  <c r="D9" i="10"/>
  <c r="F21" i="10" s="1"/>
  <c r="C9" i="10"/>
  <c r="B9" i="10"/>
  <c r="G8" i="10"/>
  <c r="D8" i="10"/>
  <c r="B8" i="10"/>
  <c r="G7" i="10"/>
  <c r="D7" i="10"/>
  <c r="F19" i="10" s="1"/>
  <c r="B7" i="10"/>
  <c r="E19" i="10" s="1"/>
  <c r="G6" i="10"/>
  <c r="D6" i="10"/>
  <c r="F18" i="10" s="1"/>
  <c r="B6" i="10"/>
  <c r="K2" i="10"/>
  <c r="F220" i="9"/>
  <c r="D220" i="9"/>
  <c r="B220" i="9"/>
  <c r="F219" i="9"/>
  <c r="D219" i="9"/>
  <c r="E220" i="9" s="1"/>
  <c r="B219" i="9"/>
  <c r="C220" i="9" s="1"/>
  <c r="F218" i="9"/>
  <c r="D218" i="9"/>
  <c r="E219" i="9" s="1"/>
  <c r="B218" i="9"/>
  <c r="C219" i="9" s="1"/>
  <c r="F217" i="9"/>
  <c r="D217" i="9"/>
  <c r="B217" i="9"/>
  <c r="F216" i="9"/>
  <c r="D216" i="9"/>
  <c r="E216" i="9" s="1"/>
  <c r="B216" i="9"/>
  <c r="F215" i="9"/>
  <c r="E215" i="9"/>
  <c r="D215" i="9"/>
  <c r="B215" i="9"/>
  <c r="F214" i="9"/>
  <c r="D214" i="9"/>
  <c r="E214" i="9" s="1"/>
  <c r="B214" i="9"/>
  <c r="C214" i="9" s="1"/>
  <c r="F213" i="9"/>
  <c r="E213" i="9"/>
  <c r="D213" i="9"/>
  <c r="C213" i="9"/>
  <c r="B213" i="9"/>
  <c r="F212" i="9"/>
  <c r="D212" i="9"/>
  <c r="B212" i="9"/>
  <c r="C212" i="9" s="1"/>
  <c r="F211" i="9"/>
  <c r="D211" i="9"/>
  <c r="E212" i="9" s="1"/>
  <c r="C211" i="9"/>
  <c r="B211" i="9"/>
  <c r="F210" i="9"/>
  <c r="D210" i="9"/>
  <c r="B210" i="9"/>
  <c r="F209" i="9"/>
  <c r="D209" i="9"/>
  <c r="E210" i="9" s="1"/>
  <c r="B209" i="9"/>
  <c r="C210" i="9" s="1"/>
  <c r="F208" i="9"/>
  <c r="D208" i="9"/>
  <c r="E209" i="9" s="1"/>
  <c r="B208" i="9"/>
  <c r="F207" i="9"/>
  <c r="D207" i="9"/>
  <c r="B207" i="9"/>
  <c r="F206" i="9"/>
  <c r="D206" i="9"/>
  <c r="B206" i="9"/>
  <c r="C207" i="9" s="1"/>
  <c r="F205" i="9"/>
  <c r="E205" i="9"/>
  <c r="D205" i="9"/>
  <c r="E206" i="9" s="1"/>
  <c r="C205" i="9"/>
  <c r="B205" i="9"/>
  <c r="F204" i="9"/>
  <c r="D204" i="9"/>
  <c r="E204" i="9" s="1"/>
  <c r="B204" i="9"/>
  <c r="F203" i="9"/>
  <c r="E203" i="9"/>
  <c r="D203" i="9"/>
  <c r="B203" i="9"/>
  <c r="C204" i="9" s="1"/>
  <c r="F202" i="9"/>
  <c r="D202" i="9"/>
  <c r="E202" i="9" s="1"/>
  <c r="B202" i="9"/>
  <c r="C202" i="9" s="1"/>
  <c r="F201" i="9"/>
  <c r="D201" i="9"/>
  <c r="C201" i="9"/>
  <c r="B201" i="9"/>
  <c r="F200" i="9"/>
  <c r="E200" i="9"/>
  <c r="D200" i="9"/>
  <c r="E201" i="9" s="1"/>
  <c r="B200" i="9"/>
  <c r="C200" i="9" s="1"/>
  <c r="F199" i="9"/>
  <c r="D199" i="9"/>
  <c r="B199" i="9"/>
  <c r="F198" i="9"/>
  <c r="D198" i="9"/>
  <c r="E199" i="9" s="1"/>
  <c r="B198" i="9"/>
  <c r="C199" i="9" s="1"/>
  <c r="F197" i="9"/>
  <c r="D197" i="9"/>
  <c r="B197" i="9"/>
  <c r="C197" i="9" s="1"/>
  <c r="F196" i="9"/>
  <c r="D196" i="9"/>
  <c r="E197" i="9" s="1"/>
  <c r="B196" i="9"/>
  <c r="F195" i="9"/>
  <c r="D195" i="9"/>
  <c r="C195" i="9"/>
  <c r="B195" i="9"/>
  <c r="C196" i="9" s="1"/>
  <c r="F194" i="9"/>
  <c r="E194" i="9"/>
  <c r="D194" i="9"/>
  <c r="B194" i="9"/>
  <c r="F193" i="9"/>
  <c r="D193" i="9"/>
  <c r="C193" i="9"/>
  <c r="B193" i="9"/>
  <c r="C194" i="9" s="1"/>
  <c r="F192" i="9"/>
  <c r="E192" i="9"/>
  <c r="D192" i="9"/>
  <c r="E193" i="9" s="1"/>
  <c r="B192" i="9"/>
  <c r="C192" i="9" s="1"/>
  <c r="F191" i="9"/>
  <c r="D191" i="9"/>
  <c r="B191" i="9"/>
  <c r="F190" i="9"/>
  <c r="D190" i="9"/>
  <c r="C190" i="9"/>
  <c r="B190" i="9"/>
  <c r="C191" i="9" s="1"/>
  <c r="F189" i="9"/>
  <c r="D189" i="9"/>
  <c r="B189" i="9"/>
  <c r="F188" i="9"/>
  <c r="D188" i="9"/>
  <c r="E189" i="9" s="1"/>
  <c r="B188" i="9"/>
  <c r="F187" i="9"/>
  <c r="E187" i="9"/>
  <c r="D187" i="9"/>
  <c r="E188" i="9" s="1"/>
  <c r="B187" i="9"/>
  <c r="F186" i="9"/>
  <c r="D186" i="9"/>
  <c r="B186" i="9"/>
  <c r="C187" i="9" s="1"/>
  <c r="F185" i="9"/>
  <c r="D185" i="9"/>
  <c r="E186" i="9" s="1"/>
  <c r="C185" i="9"/>
  <c r="B185" i="9"/>
  <c r="C186" i="9" s="1"/>
  <c r="F184" i="9"/>
  <c r="D184" i="9"/>
  <c r="B184" i="9"/>
  <c r="F183" i="9"/>
  <c r="D183" i="9"/>
  <c r="E184" i="9" s="1"/>
  <c r="B183" i="9"/>
  <c r="C184" i="9" s="1"/>
  <c r="F182" i="9"/>
  <c r="E182" i="9"/>
  <c r="D182" i="9"/>
  <c r="E183" i="9" s="1"/>
  <c r="B182" i="9"/>
  <c r="F181" i="9"/>
  <c r="D181" i="9"/>
  <c r="B181" i="9"/>
  <c r="F180" i="9"/>
  <c r="D180" i="9"/>
  <c r="C180" i="9"/>
  <c r="B180" i="9"/>
  <c r="C181" i="9" s="1"/>
  <c r="F179" i="9"/>
  <c r="D179" i="9"/>
  <c r="B179" i="9"/>
  <c r="F178" i="9"/>
  <c r="D178" i="9"/>
  <c r="E178" i="9" s="1"/>
  <c r="B178" i="9"/>
  <c r="F177" i="9"/>
  <c r="E177" i="9"/>
  <c r="D177" i="9"/>
  <c r="B177" i="9"/>
  <c r="F176" i="9"/>
  <c r="D176" i="9"/>
  <c r="B176" i="9"/>
  <c r="C176" i="9" s="1"/>
  <c r="F175" i="9"/>
  <c r="E175" i="9"/>
  <c r="D175" i="9"/>
  <c r="E176" i="9" s="1"/>
  <c r="C175" i="9"/>
  <c r="B175" i="9"/>
  <c r="F174" i="9"/>
  <c r="D174" i="9"/>
  <c r="B174" i="9"/>
  <c r="F173" i="9"/>
  <c r="E173" i="9"/>
  <c r="D173" i="9"/>
  <c r="E174" i="9" s="1"/>
  <c r="B173" i="9"/>
  <c r="C174" i="9" s="1"/>
  <c r="F172" i="9"/>
  <c r="D172" i="9"/>
  <c r="B172" i="9"/>
  <c r="F171" i="9"/>
  <c r="D171" i="9"/>
  <c r="E172" i="9" s="1"/>
  <c r="B171" i="9"/>
  <c r="C172" i="9" s="1"/>
  <c r="F170" i="9"/>
  <c r="D170" i="9"/>
  <c r="E171" i="9" s="1"/>
  <c r="B170" i="9"/>
  <c r="C171" i="9" s="1"/>
  <c r="F169" i="9"/>
  <c r="D169" i="9"/>
  <c r="B169" i="9"/>
  <c r="F168" i="9"/>
  <c r="D168" i="9"/>
  <c r="E169" i="9" s="1"/>
  <c r="B168" i="9"/>
  <c r="F167" i="9"/>
  <c r="E167" i="9"/>
  <c r="D167" i="9"/>
  <c r="E168" i="9" s="1"/>
  <c r="B167" i="9"/>
  <c r="F166" i="9"/>
  <c r="D166" i="9"/>
  <c r="E166" i="9" s="1"/>
  <c r="B166" i="9"/>
  <c r="C167" i="9" s="1"/>
  <c r="F165" i="9"/>
  <c r="E165" i="9"/>
  <c r="D165" i="9"/>
  <c r="C165" i="9"/>
  <c r="B165" i="9"/>
  <c r="C166" i="9" s="1"/>
  <c r="F164" i="9"/>
  <c r="D164" i="9"/>
  <c r="B164" i="9"/>
  <c r="C164" i="9" s="1"/>
  <c r="F163" i="9"/>
  <c r="E163" i="9"/>
  <c r="D163" i="9"/>
  <c r="E164" i="9" s="1"/>
  <c r="C163" i="9"/>
  <c r="B163" i="9"/>
  <c r="F162" i="9"/>
  <c r="D162" i="9"/>
  <c r="E162" i="9" s="1"/>
  <c r="B162" i="9"/>
  <c r="F161" i="9"/>
  <c r="D161" i="9"/>
  <c r="C161" i="9"/>
  <c r="B161" i="9"/>
  <c r="C162" i="9" s="1"/>
  <c r="F160" i="9"/>
  <c r="D160" i="9"/>
  <c r="E161" i="9" s="1"/>
  <c r="C160" i="9"/>
  <c r="B160" i="9"/>
  <c r="F159" i="9"/>
  <c r="D159" i="9"/>
  <c r="B159" i="9"/>
  <c r="F158" i="9"/>
  <c r="E158" i="9"/>
  <c r="D158" i="9"/>
  <c r="E159" i="9" s="1"/>
  <c r="B158" i="9"/>
  <c r="C159" i="9" s="1"/>
  <c r="F157" i="9"/>
  <c r="E157" i="9"/>
  <c r="D157" i="9"/>
  <c r="B157" i="9"/>
  <c r="F156" i="9"/>
  <c r="D156" i="9"/>
  <c r="B156" i="9"/>
  <c r="C157" i="9" s="1"/>
  <c r="F155" i="9"/>
  <c r="E155" i="9"/>
  <c r="D155" i="9"/>
  <c r="E156" i="9" s="1"/>
  <c r="C155" i="9"/>
  <c r="B155" i="9"/>
  <c r="C156" i="9" s="1"/>
  <c r="F154" i="9"/>
  <c r="D154" i="9"/>
  <c r="E154" i="9" s="1"/>
  <c r="B154" i="9"/>
  <c r="F153" i="9"/>
  <c r="E153" i="9"/>
  <c r="D153" i="9"/>
  <c r="C153" i="9"/>
  <c r="B153" i="9"/>
  <c r="C154" i="9" s="1"/>
  <c r="F152" i="9"/>
  <c r="D152" i="9"/>
  <c r="E152" i="9" s="1"/>
  <c r="B152" i="9"/>
  <c r="C152" i="9" s="1"/>
  <c r="F151" i="9"/>
  <c r="D151" i="9"/>
  <c r="C151" i="9"/>
  <c r="B151" i="9"/>
  <c r="F150" i="9"/>
  <c r="D150" i="9"/>
  <c r="E151" i="9" s="1"/>
  <c r="B150" i="9"/>
  <c r="C150" i="9" s="1"/>
  <c r="F149" i="9"/>
  <c r="E149" i="9"/>
  <c r="D149" i="9"/>
  <c r="B149" i="9"/>
  <c r="F148" i="9"/>
  <c r="D148" i="9"/>
  <c r="B148" i="9"/>
  <c r="C149" i="9" s="1"/>
  <c r="F147" i="9"/>
  <c r="D147" i="9"/>
  <c r="E148" i="9" s="1"/>
  <c r="B147" i="9"/>
  <c r="F146" i="9"/>
  <c r="D146" i="9"/>
  <c r="B146" i="9"/>
  <c r="C147" i="9" s="1"/>
  <c r="F145" i="9"/>
  <c r="D145" i="9"/>
  <c r="E146" i="9" s="1"/>
  <c r="C145" i="9"/>
  <c r="B145" i="9"/>
  <c r="F144" i="9"/>
  <c r="D144" i="9"/>
  <c r="B144" i="9"/>
  <c r="F143" i="9"/>
  <c r="E143" i="9"/>
  <c r="D143" i="9"/>
  <c r="E144" i="9" s="1"/>
  <c r="C143" i="9"/>
  <c r="B143" i="9"/>
  <c r="C144" i="9" s="1"/>
  <c r="F142" i="9"/>
  <c r="D142" i="9"/>
  <c r="E142" i="9" s="1"/>
  <c r="B142" i="9"/>
  <c r="F141" i="9"/>
  <c r="D141" i="9"/>
  <c r="C141" i="9"/>
  <c r="B141" i="9"/>
  <c r="C142" i="9" s="1"/>
  <c r="F140" i="9"/>
  <c r="E140" i="9"/>
  <c r="D140" i="9"/>
  <c r="E141" i="9" s="1"/>
  <c r="B140" i="9"/>
  <c r="C140" i="9" s="1"/>
  <c r="F139" i="9"/>
  <c r="D139" i="9"/>
  <c r="B139" i="9"/>
  <c r="F138" i="9"/>
  <c r="D138" i="9"/>
  <c r="C138" i="9"/>
  <c r="B138" i="9"/>
  <c r="C139" i="9" s="1"/>
  <c r="F137" i="9"/>
  <c r="E137" i="9"/>
  <c r="D137" i="9"/>
  <c r="C137" i="9"/>
  <c r="B137" i="9"/>
  <c r="F136" i="9"/>
  <c r="D136" i="9"/>
  <c r="C136" i="9"/>
  <c r="B136" i="9"/>
  <c r="F135" i="9"/>
  <c r="E135" i="9"/>
  <c r="D135" i="9"/>
  <c r="E136" i="9" s="1"/>
  <c r="B135" i="9"/>
  <c r="F134" i="9"/>
  <c r="E134" i="9"/>
  <c r="D134" i="9"/>
  <c r="B134" i="9"/>
  <c r="C135" i="9" s="1"/>
  <c r="F133" i="9"/>
  <c r="E133" i="9"/>
  <c r="D133" i="9"/>
  <c r="B133" i="9"/>
  <c r="C134" i="9" s="1"/>
  <c r="F132" i="9"/>
  <c r="D132" i="9"/>
  <c r="E132" i="9" s="1"/>
  <c r="B132" i="9"/>
  <c r="F131" i="9"/>
  <c r="D131" i="9"/>
  <c r="C131" i="9"/>
  <c r="B131" i="9"/>
  <c r="C132" i="9" s="1"/>
  <c r="F130" i="9"/>
  <c r="D130" i="9"/>
  <c r="E131" i="9" s="1"/>
  <c r="B130" i="9"/>
  <c r="C130" i="9" s="1"/>
  <c r="F129" i="9"/>
  <c r="D129" i="9"/>
  <c r="B129" i="9"/>
  <c r="F128" i="9"/>
  <c r="D128" i="9"/>
  <c r="C128" i="9"/>
  <c r="B128" i="9"/>
  <c r="C129" i="9" s="1"/>
  <c r="F127" i="9"/>
  <c r="D127" i="9"/>
  <c r="B127" i="9"/>
  <c r="F126" i="9"/>
  <c r="D126" i="9"/>
  <c r="E127" i="9" s="1"/>
  <c r="B126" i="9"/>
  <c r="F125" i="9"/>
  <c r="E125" i="9"/>
  <c r="D125" i="9"/>
  <c r="E126" i="9" s="1"/>
  <c r="C125" i="9"/>
  <c r="B125" i="9"/>
  <c r="F124" i="9"/>
  <c r="D124" i="9"/>
  <c r="B124" i="9"/>
  <c r="F123" i="9"/>
  <c r="D123" i="9"/>
  <c r="B123" i="9"/>
  <c r="C124" i="9" s="1"/>
  <c r="F122" i="9"/>
  <c r="E122" i="9"/>
  <c r="D122" i="9"/>
  <c r="B122" i="9"/>
  <c r="F121" i="9"/>
  <c r="D121" i="9"/>
  <c r="C121" i="9"/>
  <c r="B121" i="9"/>
  <c r="F120" i="9"/>
  <c r="D120" i="9"/>
  <c r="E121" i="9" s="1"/>
  <c r="B120" i="9"/>
  <c r="C120" i="9" s="1"/>
  <c r="F119" i="9"/>
  <c r="D119" i="9"/>
  <c r="B119" i="9"/>
  <c r="F118" i="9"/>
  <c r="D118" i="9"/>
  <c r="C118" i="9"/>
  <c r="B118" i="9"/>
  <c r="C119" i="9" s="1"/>
  <c r="F117" i="9"/>
  <c r="D117" i="9"/>
  <c r="B117" i="9"/>
  <c r="F116" i="9"/>
  <c r="D116" i="9"/>
  <c r="E117" i="9" s="1"/>
  <c r="B116" i="9"/>
  <c r="F115" i="9"/>
  <c r="E115" i="9"/>
  <c r="D115" i="9"/>
  <c r="E116" i="9" s="1"/>
  <c r="B115" i="9"/>
  <c r="F114" i="9"/>
  <c r="D114" i="9"/>
  <c r="B114" i="9"/>
  <c r="C115" i="9" s="1"/>
  <c r="F113" i="9"/>
  <c r="D113" i="9"/>
  <c r="E114" i="9" s="1"/>
  <c r="C113" i="9"/>
  <c r="B113" i="9"/>
  <c r="C114" i="9" s="1"/>
  <c r="F112" i="9"/>
  <c r="D112" i="9"/>
  <c r="B112" i="9"/>
  <c r="F111" i="9"/>
  <c r="D111" i="9"/>
  <c r="E112" i="9" s="1"/>
  <c r="B111" i="9"/>
  <c r="C112" i="9" s="1"/>
  <c r="F110" i="9"/>
  <c r="E110" i="9"/>
  <c r="D110" i="9"/>
  <c r="E111" i="9" s="1"/>
  <c r="B110" i="9"/>
  <c r="C111" i="9" s="1"/>
  <c r="F109" i="9"/>
  <c r="D109" i="9"/>
  <c r="B109" i="9"/>
  <c r="F108" i="9"/>
  <c r="D108" i="9"/>
  <c r="B108" i="9"/>
  <c r="C109" i="9" s="1"/>
  <c r="F107" i="9"/>
  <c r="D107" i="9"/>
  <c r="B107" i="9"/>
  <c r="F106" i="9"/>
  <c r="D106" i="9"/>
  <c r="E106" i="9" s="1"/>
  <c r="B106" i="9"/>
  <c r="F105" i="9"/>
  <c r="E105" i="9"/>
  <c r="D105" i="9"/>
  <c r="B105" i="9"/>
  <c r="F104" i="9"/>
  <c r="D104" i="9"/>
  <c r="B104" i="9"/>
  <c r="C104" i="9" s="1"/>
  <c r="F103" i="9"/>
  <c r="D103" i="9"/>
  <c r="E104" i="9" s="1"/>
  <c r="C103" i="9"/>
  <c r="B103" i="9"/>
  <c r="F102" i="9"/>
  <c r="D102" i="9"/>
  <c r="B102" i="9"/>
  <c r="F101" i="9"/>
  <c r="E101" i="9"/>
  <c r="D101" i="9"/>
  <c r="E102" i="9" s="1"/>
  <c r="C101" i="9"/>
  <c r="B101" i="9"/>
  <c r="C102" i="9" s="1"/>
  <c r="F100" i="9"/>
  <c r="D100" i="9"/>
  <c r="B100" i="9"/>
  <c r="F99" i="9"/>
  <c r="D99" i="9"/>
  <c r="E100" i="9" s="1"/>
  <c r="B99" i="9"/>
  <c r="C100" i="9" s="1"/>
  <c r="F98" i="9"/>
  <c r="E98" i="9"/>
  <c r="D98" i="9"/>
  <c r="E99" i="9" s="1"/>
  <c r="B98" i="9"/>
  <c r="C99" i="9" s="1"/>
  <c r="F97" i="9"/>
  <c r="D97" i="9"/>
  <c r="B97" i="9"/>
  <c r="F96" i="9"/>
  <c r="D96" i="9"/>
  <c r="E97" i="9" s="1"/>
  <c r="B96" i="9"/>
  <c r="F95" i="9"/>
  <c r="E95" i="9"/>
  <c r="D95" i="9"/>
  <c r="E96" i="9" s="1"/>
  <c r="B95" i="9"/>
  <c r="F94" i="9"/>
  <c r="D94" i="9"/>
  <c r="E94" i="9" s="1"/>
  <c r="B94" i="9"/>
  <c r="C95" i="9" s="1"/>
  <c r="F93" i="9"/>
  <c r="E93" i="9"/>
  <c r="D93" i="9"/>
  <c r="C93" i="9"/>
  <c r="B93" i="9"/>
  <c r="C94" i="9" s="1"/>
  <c r="F92" i="9"/>
  <c r="D92" i="9"/>
  <c r="B92" i="9"/>
  <c r="C92" i="9" s="1"/>
  <c r="F91" i="9"/>
  <c r="E91" i="9"/>
  <c r="D91" i="9"/>
  <c r="E92" i="9" s="1"/>
  <c r="C91" i="9"/>
  <c r="B91" i="9"/>
  <c r="F90" i="9"/>
  <c r="D90" i="9"/>
  <c r="E90" i="9" s="1"/>
  <c r="B90" i="9"/>
  <c r="F89" i="9"/>
  <c r="D89" i="9"/>
  <c r="C89" i="9"/>
  <c r="B89" i="9"/>
  <c r="C90" i="9" s="1"/>
  <c r="F88" i="9"/>
  <c r="D88" i="9"/>
  <c r="E89" i="9" s="1"/>
  <c r="C88" i="9"/>
  <c r="B88" i="9"/>
  <c r="F87" i="9"/>
  <c r="D87" i="9"/>
  <c r="B87" i="9"/>
  <c r="F86" i="9"/>
  <c r="E86" i="9"/>
  <c r="D86" i="9"/>
  <c r="E87" i="9" s="1"/>
  <c r="B86" i="9"/>
  <c r="C87" i="9" s="1"/>
  <c r="F85" i="9"/>
  <c r="E85" i="9"/>
  <c r="D85" i="9"/>
  <c r="B85" i="9"/>
  <c r="F84" i="9"/>
  <c r="D84" i="9"/>
  <c r="B84" i="9"/>
  <c r="C85" i="9" s="1"/>
  <c r="F83" i="9"/>
  <c r="D83" i="9"/>
  <c r="E84" i="9" s="1"/>
  <c r="C83" i="9"/>
  <c r="B83" i="9"/>
  <c r="C84" i="9" s="1"/>
  <c r="F82" i="9"/>
  <c r="D82" i="9"/>
  <c r="E82" i="9" s="1"/>
  <c r="B82" i="9"/>
  <c r="F81" i="9"/>
  <c r="E81" i="9"/>
  <c r="D81" i="9"/>
  <c r="B81" i="9"/>
  <c r="C82" i="9" s="1"/>
  <c r="F80" i="9"/>
  <c r="D80" i="9"/>
  <c r="E80" i="9" s="1"/>
  <c r="B80" i="9"/>
  <c r="C80" i="9" s="1"/>
  <c r="F79" i="9"/>
  <c r="D79" i="9"/>
  <c r="C79" i="9"/>
  <c r="B79" i="9"/>
  <c r="F78" i="9"/>
  <c r="E78" i="9"/>
  <c r="D78" i="9"/>
  <c r="E79" i="9" s="1"/>
  <c r="B78" i="9"/>
  <c r="C78" i="9" s="1"/>
  <c r="F77" i="9"/>
  <c r="E77" i="9"/>
  <c r="D77" i="9"/>
  <c r="B77" i="9"/>
  <c r="F76" i="9"/>
  <c r="D76" i="9"/>
  <c r="B76" i="9"/>
  <c r="C77" i="9" s="1"/>
  <c r="F75" i="9"/>
  <c r="D75" i="9"/>
  <c r="E76" i="9" s="1"/>
  <c r="B75" i="9"/>
  <c r="F74" i="9"/>
  <c r="D74" i="9"/>
  <c r="B74" i="9"/>
  <c r="C75" i="9" s="1"/>
  <c r="F73" i="9"/>
  <c r="E73" i="9"/>
  <c r="D73" i="9"/>
  <c r="E74" i="9" s="1"/>
  <c r="C73" i="9"/>
  <c r="B73" i="9"/>
  <c r="F72" i="9"/>
  <c r="D72" i="9"/>
  <c r="B72" i="9"/>
  <c r="F71" i="9"/>
  <c r="E71" i="9"/>
  <c r="D71" i="9"/>
  <c r="E72" i="9" s="1"/>
  <c r="B71" i="9"/>
  <c r="C72" i="9" s="1"/>
  <c r="F70" i="9"/>
  <c r="D70" i="9"/>
  <c r="E70" i="9" s="1"/>
  <c r="B70" i="9"/>
  <c r="F69" i="9"/>
  <c r="D69" i="9"/>
  <c r="C69" i="9"/>
  <c r="B69" i="9"/>
  <c r="C70" i="9" s="1"/>
  <c r="F68" i="9"/>
  <c r="D68" i="9"/>
  <c r="E69" i="9" s="1"/>
  <c r="B68" i="9"/>
  <c r="C68" i="9" s="1"/>
  <c r="F67" i="9"/>
  <c r="D67" i="9"/>
  <c r="B67" i="9"/>
  <c r="F66" i="9"/>
  <c r="D66" i="9"/>
  <c r="B66" i="9"/>
  <c r="C67" i="9" s="1"/>
  <c r="F65" i="9"/>
  <c r="D65" i="9"/>
  <c r="B65" i="9"/>
  <c r="F64" i="9"/>
  <c r="D64" i="9"/>
  <c r="E65" i="9" s="1"/>
  <c r="B64" i="9"/>
  <c r="F63" i="9"/>
  <c r="E63" i="9"/>
  <c r="D63" i="9"/>
  <c r="E64" i="9" s="1"/>
  <c r="B63" i="9"/>
  <c r="F62" i="9"/>
  <c r="D62" i="9"/>
  <c r="B62" i="9"/>
  <c r="C63" i="9" s="1"/>
  <c r="F61" i="9"/>
  <c r="D61" i="9"/>
  <c r="E62" i="9" s="1"/>
  <c r="C61" i="9"/>
  <c r="B61" i="9"/>
  <c r="C62" i="9" s="1"/>
  <c r="F60" i="9"/>
  <c r="D60" i="9"/>
  <c r="B60" i="9"/>
  <c r="F59" i="9"/>
  <c r="E59" i="9"/>
  <c r="D59" i="9"/>
  <c r="E60" i="9" s="1"/>
  <c r="C59" i="9"/>
  <c r="B59" i="9"/>
  <c r="C60" i="9" s="1"/>
  <c r="F58" i="9"/>
  <c r="D58" i="9"/>
  <c r="E58" i="9" s="1"/>
  <c r="B58" i="9"/>
  <c r="F57" i="9"/>
  <c r="D57" i="9"/>
  <c r="C57" i="9"/>
  <c r="B57" i="9"/>
  <c r="C58" i="9" s="1"/>
  <c r="F56" i="9"/>
  <c r="D56" i="9"/>
  <c r="E57" i="9" s="1"/>
  <c r="B56" i="9"/>
  <c r="C56" i="9" s="1"/>
  <c r="F55" i="9"/>
  <c r="D55" i="9"/>
  <c r="B55" i="9"/>
  <c r="F54" i="9"/>
  <c r="D54" i="9"/>
  <c r="C54" i="9"/>
  <c r="B54" i="9"/>
  <c r="C55" i="9" s="1"/>
  <c r="F53" i="9"/>
  <c r="D53" i="9"/>
  <c r="B53" i="9"/>
  <c r="F52" i="9"/>
  <c r="D52" i="9"/>
  <c r="E53" i="9" s="1"/>
  <c r="B52" i="9"/>
  <c r="F51" i="9"/>
  <c r="E51" i="9"/>
  <c r="D51" i="9"/>
  <c r="E52" i="9" s="1"/>
  <c r="B51" i="9"/>
  <c r="F50" i="9"/>
  <c r="D50" i="9"/>
  <c r="B50" i="9"/>
  <c r="C51" i="9" s="1"/>
  <c r="F49" i="9"/>
  <c r="D49" i="9"/>
  <c r="E50" i="9" s="1"/>
  <c r="C49" i="9"/>
  <c r="B49" i="9"/>
  <c r="C50" i="9" s="1"/>
  <c r="F48" i="9"/>
  <c r="D48" i="9"/>
  <c r="B48" i="9"/>
  <c r="F47" i="9"/>
  <c r="E47" i="9"/>
  <c r="D47" i="9"/>
  <c r="E48" i="9" s="1"/>
  <c r="B47" i="9"/>
  <c r="C48" i="9" s="1"/>
  <c r="F46" i="9"/>
  <c r="D46" i="9"/>
  <c r="E46" i="9" s="1"/>
  <c r="B46" i="9"/>
  <c r="F45" i="9"/>
  <c r="D45" i="9"/>
  <c r="C45" i="9"/>
  <c r="B45" i="9"/>
  <c r="C46" i="9" s="1"/>
  <c r="F44" i="9"/>
  <c r="E44" i="9"/>
  <c r="D44" i="9"/>
  <c r="E45" i="9" s="1"/>
  <c r="B44" i="9"/>
  <c r="C44" i="9" s="1"/>
  <c r="F43" i="9"/>
  <c r="D43" i="9"/>
  <c r="B43" i="9"/>
  <c r="F42" i="9"/>
  <c r="D42" i="9"/>
  <c r="B42" i="9"/>
  <c r="C43" i="9" s="1"/>
  <c r="F41" i="9"/>
  <c r="D41" i="9"/>
  <c r="B41" i="9"/>
  <c r="F40" i="9"/>
  <c r="D40" i="9"/>
  <c r="E41" i="9" s="1"/>
  <c r="B40" i="9"/>
  <c r="F39" i="9"/>
  <c r="E39" i="9"/>
  <c r="D39" i="9"/>
  <c r="E40" i="9" s="1"/>
  <c r="B39" i="9"/>
  <c r="F38" i="9"/>
  <c r="D38" i="9"/>
  <c r="B38" i="9"/>
  <c r="C39" i="9" s="1"/>
  <c r="F37" i="9"/>
  <c r="E37" i="9"/>
  <c r="D37" i="9"/>
  <c r="E38" i="9" s="1"/>
  <c r="C37" i="9"/>
  <c r="B37" i="9"/>
  <c r="C38" i="9" s="1"/>
  <c r="F36" i="9"/>
  <c r="D36" i="9"/>
  <c r="B36" i="9"/>
  <c r="F35" i="9"/>
  <c r="E35" i="9"/>
  <c r="D35" i="9"/>
  <c r="E36" i="9" s="1"/>
  <c r="B35" i="9"/>
  <c r="C36" i="9" s="1"/>
  <c r="F34" i="9"/>
  <c r="D34" i="9"/>
  <c r="E34" i="9" s="1"/>
  <c r="B34" i="9"/>
  <c r="F33" i="9"/>
  <c r="D33" i="9"/>
  <c r="C33" i="9"/>
  <c r="B33" i="9"/>
  <c r="C34" i="9" s="1"/>
  <c r="F32" i="9"/>
  <c r="D32" i="9"/>
  <c r="E33" i="9" s="1"/>
  <c r="B32" i="9"/>
  <c r="C32" i="9" s="1"/>
  <c r="F31" i="9"/>
  <c r="D31" i="9"/>
  <c r="B31" i="9"/>
  <c r="F30" i="9"/>
  <c r="D30" i="9"/>
  <c r="B30" i="9"/>
  <c r="C31" i="9" s="1"/>
  <c r="F29" i="9"/>
  <c r="D29" i="9"/>
  <c r="B29" i="9"/>
  <c r="F28" i="9"/>
  <c r="D28" i="9"/>
  <c r="E29" i="9" s="1"/>
  <c r="B28" i="9"/>
  <c r="F27" i="9"/>
  <c r="E27" i="9"/>
  <c r="D27" i="9"/>
  <c r="E28" i="9" s="1"/>
  <c r="B27" i="9"/>
  <c r="F26" i="9"/>
  <c r="D26" i="9"/>
  <c r="B26" i="9"/>
  <c r="C27" i="9" s="1"/>
  <c r="F25" i="9"/>
  <c r="D25" i="9"/>
  <c r="E26" i="9" s="1"/>
  <c r="C25" i="9"/>
  <c r="B25" i="9"/>
  <c r="C26" i="9" s="1"/>
  <c r="F24" i="9"/>
  <c r="D24" i="9"/>
  <c r="B24" i="9"/>
  <c r="F23" i="9"/>
  <c r="E23" i="9"/>
  <c r="D23" i="9"/>
  <c r="E24" i="9" s="1"/>
  <c r="B23" i="9"/>
  <c r="C24" i="9" s="1"/>
  <c r="F22" i="9"/>
  <c r="D22" i="9"/>
  <c r="E22" i="9" s="1"/>
  <c r="B22" i="9"/>
  <c r="F21" i="9"/>
  <c r="D21" i="9"/>
  <c r="C21" i="9"/>
  <c r="B21" i="9"/>
  <c r="C22" i="9" s="1"/>
  <c r="F20" i="9"/>
  <c r="D20" i="9"/>
  <c r="E21" i="9" s="1"/>
  <c r="B20" i="9"/>
  <c r="C20" i="9" s="1"/>
  <c r="F19" i="9"/>
  <c r="D19" i="9"/>
  <c r="B19" i="9"/>
  <c r="F18" i="9"/>
  <c r="D18" i="9"/>
  <c r="C18" i="9"/>
  <c r="B18" i="9"/>
  <c r="C19" i="9" s="1"/>
  <c r="F17" i="9"/>
  <c r="D17" i="9"/>
  <c r="B17" i="9"/>
  <c r="F16" i="9"/>
  <c r="D16" i="9"/>
  <c r="E17" i="9" s="1"/>
  <c r="B16" i="9"/>
  <c r="F15" i="9"/>
  <c r="E15" i="9"/>
  <c r="D15" i="9"/>
  <c r="E16" i="9" s="1"/>
  <c r="B15" i="9"/>
  <c r="F14" i="9"/>
  <c r="D14" i="9"/>
  <c r="B14" i="9"/>
  <c r="C15" i="9" s="1"/>
  <c r="F13" i="9"/>
  <c r="D13" i="9"/>
  <c r="E14" i="9" s="1"/>
  <c r="C13" i="9"/>
  <c r="B13" i="9"/>
  <c r="C14" i="9" s="1"/>
  <c r="F12" i="9"/>
  <c r="D12" i="9"/>
  <c r="B12" i="9"/>
  <c r="F11" i="9"/>
  <c r="E11" i="9"/>
  <c r="D11" i="9"/>
  <c r="E12" i="9" s="1"/>
  <c r="B11" i="9"/>
  <c r="C12" i="9" s="1"/>
  <c r="F10" i="9"/>
  <c r="D10" i="9"/>
  <c r="E10" i="9" s="1"/>
  <c r="B10" i="9"/>
  <c r="F9" i="9"/>
  <c r="D9" i="9"/>
  <c r="C9" i="9"/>
  <c r="B9" i="9"/>
  <c r="C10" i="9" s="1"/>
  <c r="F8" i="9"/>
  <c r="E8" i="9"/>
  <c r="D8" i="9"/>
  <c r="E9" i="9" s="1"/>
  <c r="B8" i="9"/>
  <c r="C8" i="9" s="1"/>
  <c r="F7" i="9"/>
  <c r="E7" i="9"/>
  <c r="D7" i="9"/>
  <c r="B7" i="9"/>
  <c r="F6" i="9"/>
  <c r="D6" i="9"/>
  <c r="B6" i="9"/>
  <c r="C7" i="9" s="1"/>
  <c r="K2" i="9"/>
  <c r="D151" i="8"/>
  <c r="D104" i="6" s="1"/>
  <c r="D9" i="6" s="1"/>
  <c r="B151" i="8"/>
  <c r="C151" i="8" s="1"/>
  <c r="D150" i="8"/>
  <c r="B150" i="8"/>
  <c r="D149" i="8"/>
  <c r="D102" i="6" s="1"/>
  <c r="B149" i="8"/>
  <c r="C150" i="8" s="1"/>
  <c r="D148" i="8"/>
  <c r="B148" i="8"/>
  <c r="C149" i="8" s="1"/>
  <c r="D147" i="8"/>
  <c r="B147" i="8"/>
  <c r="C147" i="8" s="1"/>
  <c r="D146" i="8"/>
  <c r="B146" i="8"/>
  <c r="D145" i="8"/>
  <c r="B145" i="8"/>
  <c r="C146" i="8" s="1"/>
  <c r="D144" i="8"/>
  <c r="C144" i="8"/>
  <c r="B144" i="8"/>
  <c r="D143" i="8"/>
  <c r="D96" i="6" s="1"/>
  <c r="B143" i="8"/>
  <c r="D142" i="8"/>
  <c r="B142" i="8"/>
  <c r="C143" i="8" s="1"/>
  <c r="D141" i="8"/>
  <c r="B141" i="8"/>
  <c r="C142" i="8" s="1"/>
  <c r="D140" i="8"/>
  <c r="C140" i="8"/>
  <c r="B140" i="8"/>
  <c r="C141" i="8" s="1"/>
  <c r="D139" i="8"/>
  <c r="D92" i="6" s="1"/>
  <c r="B139" i="8"/>
  <c r="D138" i="8"/>
  <c r="B138" i="8"/>
  <c r="C139" i="8" s="1"/>
  <c r="D137" i="8"/>
  <c r="D90" i="6" s="1"/>
  <c r="B137" i="8"/>
  <c r="C138" i="8" s="1"/>
  <c r="D136" i="8"/>
  <c r="B136" i="8"/>
  <c r="C137" i="8" s="1"/>
  <c r="D135" i="8"/>
  <c r="B135" i="8"/>
  <c r="D134" i="8"/>
  <c r="B134" i="8"/>
  <c r="C135" i="8" s="1"/>
  <c r="D133" i="8"/>
  <c r="B133" i="8"/>
  <c r="C134" i="8" s="1"/>
  <c r="D132" i="8"/>
  <c r="B132" i="8"/>
  <c r="C133" i="8" s="1"/>
  <c r="D131" i="8"/>
  <c r="D84" i="6" s="1"/>
  <c r="B131" i="8"/>
  <c r="D130" i="8"/>
  <c r="B130" i="8"/>
  <c r="C131" i="8" s="1"/>
  <c r="D129" i="8"/>
  <c r="B129" i="8"/>
  <c r="C130" i="8" s="1"/>
  <c r="D128" i="8"/>
  <c r="B128" i="8"/>
  <c r="C129" i="8" s="1"/>
  <c r="D127" i="8"/>
  <c r="B127" i="8"/>
  <c r="D126" i="8"/>
  <c r="B126" i="8"/>
  <c r="C127" i="8" s="1"/>
  <c r="D125" i="8"/>
  <c r="B125" i="8"/>
  <c r="C126" i="8" s="1"/>
  <c r="D124" i="8"/>
  <c r="C124" i="8"/>
  <c r="B124" i="8"/>
  <c r="C125" i="8" s="1"/>
  <c r="D123" i="8"/>
  <c r="B123" i="8"/>
  <c r="D122" i="8"/>
  <c r="B122" i="8"/>
  <c r="C123" i="8" s="1"/>
  <c r="D121" i="8"/>
  <c r="B121" i="8"/>
  <c r="C122" i="8" s="1"/>
  <c r="D120" i="8"/>
  <c r="B120" i="8"/>
  <c r="C121" i="8" s="1"/>
  <c r="D119" i="8"/>
  <c r="D72" i="6" s="1"/>
  <c r="B119" i="8"/>
  <c r="D118" i="8"/>
  <c r="B118" i="8"/>
  <c r="C119" i="8" s="1"/>
  <c r="D117" i="8"/>
  <c r="B117" i="8"/>
  <c r="C118" i="8" s="1"/>
  <c r="D116" i="8"/>
  <c r="B116" i="8"/>
  <c r="C117" i="8" s="1"/>
  <c r="D115" i="8"/>
  <c r="B115" i="8"/>
  <c r="D114" i="8"/>
  <c r="B114" i="8"/>
  <c r="C115" i="8" s="1"/>
  <c r="D113" i="8"/>
  <c r="B113" i="8"/>
  <c r="C114" i="8" s="1"/>
  <c r="D112" i="8"/>
  <c r="B112" i="8"/>
  <c r="C113" i="8" s="1"/>
  <c r="D111" i="8"/>
  <c r="B111" i="8"/>
  <c r="D110" i="8"/>
  <c r="B110" i="8"/>
  <c r="C111" i="8" s="1"/>
  <c r="D109" i="8"/>
  <c r="B109" i="8"/>
  <c r="C110" i="8" s="1"/>
  <c r="D108" i="8"/>
  <c r="C108" i="8"/>
  <c r="B108" i="8"/>
  <c r="C109" i="8" s="1"/>
  <c r="D107" i="8"/>
  <c r="D60" i="6" s="1"/>
  <c r="B107" i="8"/>
  <c r="D106" i="8"/>
  <c r="B106" i="8"/>
  <c r="C107" i="8" s="1"/>
  <c r="D105" i="8"/>
  <c r="B105" i="8"/>
  <c r="C106" i="8" s="1"/>
  <c r="D104" i="8"/>
  <c r="B104" i="8"/>
  <c r="C105" i="8" s="1"/>
  <c r="D103" i="8"/>
  <c r="D56" i="6" s="1"/>
  <c r="B103" i="8"/>
  <c r="D102" i="8"/>
  <c r="B102" i="8"/>
  <c r="C103" i="8" s="1"/>
  <c r="D101" i="8"/>
  <c r="B101" i="8"/>
  <c r="C102" i="8" s="1"/>
  <c r="D100" i="8"/>
  <c r="B100" i="8"/>
  <c r="C101" i="8" s="1"/>
  <c r="D99" i="8"/>
  <c r="B99" i="8"/>
  <c r="D98" i="8"/>
  <c r="B98" i="8"/>
  <c r="C99" i="8" s="1"/>
  <c r="D97" i="8"/>
  <c r="B97" i="8"/>
  <c r="C98" i="8" s="1"/>
  <c r="D96" i="8"/>
  <c r="B96" i="8"/>
  <c r="C97" i="8" s="1"/>
  <c r="D95" i="8"/>
  <c r="B95" i="8"/>
  <c r="D94" i="8"/>
  <c r="B94" i="8"/>
  <c r="C95" i="8" s="1"/>
  <c r="D93" i="8"/>
  <c r="B93" i="8"/>
  <c r="C94" i="8" s="1"/>
  <c r="D92" i="8"/>
  <c r="C92" i="8"/>
  <c r="B92" i="8"/>
  <c r="C93" i="8" s="1"/>
  <c r="D91" i="8"/>
  <c r="B91" i="8"/>
  <c r="D90" i="8"/>
  <c r="B90" i="8"/>
  <c r="C91" i="8" s="1"/>
  <c r="D89" i="8"/>
  <c r="B89" i="8"/>
  <c r="C90" i="8" s="1"/>
  <c r="D88" i="8"/>
  <c r="B88" i="8"/>
  <c r="C89" i="8" s="1"/>
  <c r="D87" i="8"/>
  <c r="D40" i="6" s="1"/>
  <c r="B87" i="8"/>
  <c r="E40" i="6" s="1"/>
  <c r="D86" i="8"/>
  <c r="B86" i="8"/>
  <c r="D85" i="8"/>
  <c r="B85" i="8"/>
  <c r="C86" i="8" s="1"/>
  <c r="D84" i="8"/>
  <c r="B84" i="8"/>
  <c r="C85" i="8" s="1"/>
  <c r="D83" i="8"/>
  <c r="B83" i="8"/>
  <c r="C84" i="8" s="1"/>
  <c r="D82" i="8"/>
  <c r="B82" i="8"/>
  <c r="C83" i="8" s="1"/>
  <c r="D81" i="8"/>
  <c r="B81" i="8"/>
  <c r="C82" i="8" s="1"/>
  <c r="D80" i="8"/>
  <c r="B80" i="8"/>
  <c r="D79" i="8"/>
  <c r="B79" i="8"/>
  <c r="D78" i="8"/>
  <c r="B78" i="8"/>
  <c r="C79" i="8" s="1"/>
  <c r="D77" i="8"/>
  <c r="B77" i="8"/>
  <c r="C78" i="8" s="1"/>
  <c r="D76" i="8"/>
  <c r="C76" i="8"/>
  <c r="B76" i="8"/>
  <c r="D75" i="8"/>
  <c r="B75" i="8"/>
  <c r="D74" i="8"/>
  <c r="B74" i="8"/>
  <c r="C75" i="8" s="1"/>
  <c r="D73" i="8"/>
  <c r="B73" i="8"/>
  <c r="C74" i="8" s="1"/>
  <c r="D72" i="8"/>
  <c r="B72" i="8"/>
  <c r="C73" i="8" s="1"/>
  <c r="D71" i="8"/>
  <c r="D24" i="6" s="1"/>
  <c r="B71" i="8"/>
  <c r="E24" i="6" s="1"/>
  <c r="D70" i="8"/>
  <c r="B70" i="8"/>
  <c r="D69" i="8"/>
  <c r="B69" i="8"/>
  <c r="C70" i="8" s="1"/>
  <c r="D68" i="8"/>
  <c r="B68" i="8"/>
  <c r="D67" i="8"/>
  <c r="B67" i="8"/>
  <c r="C68" i="8" s="1"/>
  <c r="D66" i="8"/>
  <c r="B66" i="8"/>
  <c r="C67" i="8" s="1"/>
  <c r="D65" i="8"/>
  <c r="B65" i="8"/>
  <c r="C66" i="8" s="1"/>
  <c r="D64" i="8"/>
  <c r="B64" i="8"/>
  <c r="D63" i="8"/>
  <c r="B63" i="8"/>
  <c r="D62" i="8"/>
  <c r="B62" i="8"/>
  <c r="C63" i="8" s="1"/>
  <c r="D61" i="8"/>
  <c r="B61" i="8"/>
  <c r="C62" i="8" s="1"/>
  <c r="D60" i="8"/>
  <c r="C60" i="8"/>
  <c r="B60" i="8"/>
  <c r="D59" i="8"/>
  <c r="B59" i="8"/>
  <c r="D58" i="8"/>
  <c r="B58" i="8"/>
  <c r="C59" i="8" s="1"/>
  <c r="D57" i="8"/>
  <c r="B57" i="8"/>
  <c r="C58" i="8" s="1"/>
  <c r="D56" i="8"/>
  <c r="B56" i="8"/>
  <c r="C57" i="8" s="1"/>
  <c r="D55" i="8"/>
  <c r="B55" i="8"/>
  <c r="C56" i="8" s="1"/>
  <c r="D54" i="8"/>
  <c r="B54" i="8"/>
  <c r="D53" i="8"/>
  <c r="B53" i="8"/>
  <c r="C54" i="8" s="1"/>
  <c r="D52" i="8"/>
  <c r="B52" i="8"/>
  <c r="D51" i="8"/>
  <c r="B51" i="8"/>
  <c r="C52" i="8" s="1"/>
  <c r="D50" i="8"/>
  <c r="B50" i="8"/>
  <c r="C51" i="8" s="1"/>
  <c r="D49" i="8"/>
  <c r="B49" i="8"/>
  <c r="D48" i="8"/>
  <c r="B48" i="8"/>
  <c r="D47" i="8"/>
  <c r="B47" i="8"/>
  <c r="D46" i="8"/>
  <c r="B46" i="8"/>
  <c r="C47" i="8" s="1"/>
  <c r="D45" i="8"/>
  <c r="B45" i="8"/>
  <c r="C46" i="8" s="1"/>
  <c r="D44" i="8"/>
  <c r="C44" i="8"/>
  <c r="B44" i="8"/>
  <c r="D43" i="8"/>
  <c r="B43" i="8"/>
  <c r="D42" i="8"/>
  <c r="B42" i="8"/>
  <c r="C43" i="8" s="1"/>
  <c r="D41" i="8"/>
  <c r="B41" i="8"/>
  <c r="C42" i="8" s="1"/>
  <c r="D40" i="8"/>
  <c r="B40" i="8"/>
  <c r="C41" i="8" s="1"/>
  <c r="D39" i="8"/>
  <c r="B39" i="8"/>
  <c r="C40" i="8" s="1"/>
  <c r="D38" i="8"/>
  <c r="B38" i="8"/>
  <c r="D37" i="8"/>
  <c r="B37" i="8"/>
  <c r="C38" i="8" s="1"/>
  <c r="D36" i="8"/>
  <c r="B36" i="8"/>
  <c r="D35" i="8"/>
  <c r="B35" i="8"/>
  <c r="C36" i="8" s="1"/>
  <c r="D34" i="8"/>
  <c r="B34" i="8"/>
  <c r="C35" i="8" s="1"/>
  <c r="D33" i="8"/>
  <c r="B33" i="8"/>
  <c r="D32" i="8"/>
  <c r="B32" i="8"/>
  <c r="D31" i="8"/>
  <c r="B31" i="8"/>
  <c r="D30" i="8"/>
  <c r="B30" i="8"/>
  <c r="C31" i="8" s="1"/>
  <c r="D29" i="8"/>
  <c r="B29" i="8"/>
  <c r="C30" i="8" s="1"/>
  <c r="D28" i="8"/>
  <c r="C28" i="8"/>
  <c r="B28" i="8"/>
  <c r="D27" i="8"/>
  <c r="B27" i="8"/>
  <c r="D26" i="8"/>
  <c r="B26" i="8"/>
  <c r="C27" i="8" s="1"/>
  <c r="D25" i="8"/>
  <c r="B25" i="8"/>
  <c r="C26" i="8" s="1"/>
  <c r="D24" i="8"/>
  <c r="B24" i="8"/>
  <c r="C25" i="8" s="1"/>
  <c r="D23" i="8"/>
  <c r="B23" i="8"/>
  <c r="C24" i="8" s="1"/>
  <c r="D22" i="8"/>
  <c r="B22" i="8"/>
  <c r="D21" i="8"/>
  <c r="B21" i="8"/>
  <c r="C22" i="8" s="1"/>
  <c r="D20" i="8"/>
  <c r="B20" i="8"/>
  <c r="D19" i="8"/>
  <c r="B19" i="8"/>
  <c r="C20" i="8" s="1"/>
  <c r="D18" i="8"/>
  <c r="B18" i="8"/>
  <c r="C19" i="8" s="1"/>
  <c r="D17" i="8"/>
  <c r="B17" i="8"/>
  <c r="D16" i="8"/>
  <c r="B16" i="8"/>
  <c r="D15" i="8"/>
  <c r="B15" i="8"/>
  <c r="D14" i="8"/>
  <c r="B14" i="8"/>
  <c r="C15" i="8" s="1"/>
  <c r="D13" i="8"/>
  <c r="B13" i="8"/>
  <c r="C14" i="8" s="1"/>
  <c r="D12" i="8"/>
  <c r="C12" i="8"/>
  <c r="B12" i="8"/>
  <c r="D11" i="8"/>
  <c r="B11" i="8"/>
  <c r="D10" i="8"/>
  <c r="B10" i="8"/>
  <c r="C11" i="8" s="1"/>
  <c r="D9" i="8"/>
  <c r="B9" i="8"/>
  <c r="C10" i="8" s="1"/>
  <c r="D8" i="8"/>
  <c r="B8" i="8"/>
  <c r="C9" i="8" s="1"/>
  <c r="D7" i="8"/>
  <c r="B7" i="8"/>
  <c r="C8" i="8" s="1"/>
  <c r="D6" i="8"/>
  <c r="B6" i="8"/>
  <c r="K2" i="8"/>
  <c r="D146" i="7"/>
  <c r="B146" i="7"/>
  <c r="C146" i="7" s="1"/>
  <c r="F145" i="7"/>
  <c r="E145" i="7"/>
  <c r="D145" i="7"/>
  <c r="C145" i="7"/>
  <c r="B145" i="7"/>
  <c r="E144" i="7"/>
  <c r="D144" i="7"/>
  <c r="B144" i="7"/>
  <c r="E143" i="7"/>
  <c r="D143" i="7"/>
  <c r="C143" i="7"/>
  <c r="B143" i="7"/>
  <c r="F142" i="7"/>
  <c r="D142" i="7"/>
  <c r="B142" i="7"/>
  <c r="E141" i="7"/>
  <c r="D141" i="7"/>
  <c r="C141" i="7"/>
  <c r="B141" i="7"/>
  <c r="C142" i="7" s="1"/>
  <c r="D140" i="7"/>
  <c r="B140" i="7"/>
  <c r="F139" i="7"/>
  <c r="E139" i="7"/>
  <c r="D139" i="7"/>
  <c r="B139" i="7"/>
  <c r="C140" i="7" s="1"/>
  <c r="E138" i="7"/>
  <c r="D138" i="7"/>
  <c r="F138" i="7" s="1"/>
  <c r="B138" i="7"/>
  <c r="C138" i="7" s="1"/>
  <c r="E137" i="7"/>
  <c r="D137" i="7"/>
  <c r="B137" i="7"/>
  <c r="F136" i="7"/>
  <c r="D136" i="7"/>
  <c r="B136" i="7"/>
  <c r="C137" i="7" s="1"/>
  <c r="D135" i="7"/>
  <c r="B135" i="7"/>
  <c r="C136" i="7" s="1"/>
  <c r="D134" i="7"/>
  <c r="F146" i="7" s="1"/>
  <c r="B134" i="7"/>
  <c r="F133" i="7"/>
  <c r="E133" i="7"/>
  <c r="D133" i="7"/>
  <c r="B133" i="7"/>
  <c r="D132" i="7"/>
  <c r="F144" i="7" s="1"/>
  <c r="B132" i="7"/>
  <c r="C133" i="7" s="1"/>
  <c r="E131" i="7"/>
  <c r="D131" i="7"/>
  <c r="F143" i="7" s="1"/>
  <c r="C131" i="7"/>
  <c r="B131" i="7"/>
  <c r="F130" i="7"/>
  <c r="D130" i="7"/>
  <c r="B130" i="7"/>
  <c r="E142" i="7" s="1"/>
  <c r="D129" i="7"/>
  <c r="F141" i="7" s="1"/>
  <c r="B129" i="7"/>
  <c r="C130" i="7" s="1"/>
  <c r="D128" i="7"/>
  <c r="F128" i="7" s="1"/>
  <c r="B128" i="7"/>
  <c r="E140" i="7" s="1"/>
  <c r="F127" i="7"/>
  <c r="E127" i="7"/>
  <c r="D127" i="7"/>
  <c r="B127" i="7"/>
  <c r="C128" i="7" s="1"/>
  <c r="D126" i="7"/>
  <c r="B126" i="7"/>
  <c r="C126" i="7" s="1"/>
  <c r="E125" i="7"/>
  <c r="D125" i="7"/>
  <c r="F137" i="7" s="1"/>
  <c r="B125" i="7"/>
  <c r="D124" i="7"/>
  <c r="B124" i="7"/>
  <c r="D123" i="7"/>
  <c r="F135" i="7" s="1"/>
  <c r="B123" i="7"/>
  <c r="C124" i="7" s="1"/>
  <c r="D122" i="7"/>
  <c r="B122" i="7"/>
  <c r="C75" i="6" s="1"/>
  <c r="F121" i="7"/>
  <c r="E121" i="7"/>
  <c r="D121" i="7"/>
  <c r="C121" i="7"/>
  <c r="B121" i="7"/>
  <c r="D120" i="7"/>
  <c r="F132" i="7" s="1"/>
  <c r="B120" i="7"/>
  <c r="E119" i="7"/>
  <c r="D119" i="7"/>
  <c r="C119" i="7"/>
  <c r="B119" i="7"/>
  <c r="C120" i="7" s="1"/>
  <c r="F118" i="7"/>
  <c r="D118" i="7"/>
  <c r="C118" i="7"/>
  <c r="B118" i="7"/>
  <c r="E130" i="7" s="1"/>
  <c r="D117" i="7"/>
  <c r="F129" i="7" s="1"/>
  <c r="C117" i="7"/>
  <c r="B117" i="7"/>
  <c r="E129" i="7" s="1"/>
  <c r="D116" i="7"/>
  <c r="B116" i="7"/>
  <c r="E128" i="7" s="1"/>
  <c r="F115" i="7"/>
  <c r="E115" i="7"/>
  <c r="D115" i="7"/>
  <c r="C115" i="7"/>
  <c r="B115" i="7"/>
  <c r="C116" i="7" s="1"/>
  <c r="D114" i="7"/>
  <c r="F126" i="7" s="1"/>
  <c r="B114" i="7"/>
  <c r="C114" i="7" s="1"/>
  <c r="E113" i="7"/>
  <c r="D113" i="7"/>
  <c r="B113" i="7"/>
  <c r="D112" i="7"/>
  <c r="F112" i="7" s="1"/>
  <c r="B112" i="7"/>
  <c r="C65" i="6" s="1"/>
  <c r="D111" i="7"/>
  <c r="F123" i="7" s="1"/>
  <c r="B111" i="7"/>
  <c r="D110" i="7"/>
  <c r="F122" i="7" s="1"/>
  <c r="B110" i="7"/>
  <c r="F109" i="7"/>
  <c r="E109" i="7"/>
  <c r="D109" i="7"/>
  <c r="C109" i="7"/>
  <c r="B109" i="7"/>
  <c r="E108" i="7"/>
  <c r="D108" i="7"/>
  <c r="F120" i="7" s="1"/>
  <c r="B108" i="7"/>
  <c r="E120" i="7" s="1"/>
  <c r="E107" i="7"/>
  <c r="D107" i="7"/>
  <c r="C107" i="7"/>
  <c r="B107" i="7"/>
  <c r="F106" i="7"/>
  <c r="D106" i="7"/>
  <c r="B106" i="7"/>
  <c r="E118" i="7" s="1"/>
  <c r="E105" i="7"/>
  <c r="D105" i="7"/>
  <c r="F117" i="7" s="1"/>
  <c r="C105" i="7"/>
  <c r="B105" i="7"/>
  <c r="C106" i="7" s="1"/>
  <c r="D104" i="7"/>
  <c r="F116" i="7" s="1"/>
  <c r="B104" i="7"/>
  <c r="E116" i="7" s="1"/>
  <c r="F103" i="7"/>
  <c r="E103" i="7"/>
  <c r="D103" i="7"/>
  <c r="B103" i="7"/>
  <c r="C104" i="7" s="1"/>
  <c r="E102" i="7"/>
  <c r="D102" i="7"/>
  <c r="F102" i="7" s="1"/>
  <c r="B102" i="7"/>
  <c r="C102" i="7" s="1"/>
  <c r="E101" i="7"/>
  <c r="D101" i="7"/>
  <c r="B101" i="7"/>
  <c r="F100" i="7"/>
  <c r="D100" i="7"/>
  <c r="B100" i="7"/>
  <c r="D99" i="7"/>
  <c r="F111" i="7" s="1"/>
  <c r="B99" i="7"/>
  <c r="C52" i="6" s="1"/>
  <c r="D98" i="7"/>
  <c r="F110" i="7" s="1"/>
  <c r="B98" i="7"/>
  <c r="F97" i="7"/>
  <c r="E97" i="7"/>
  <c r="D97" i="7"/>
  <c r="B97" i="7"/>
  <c r="D96" i="7"/>
  <c r="F108" i="7" s="1"/>
  <c r="B96" i="7"/>
  <c r="C97" i="7" s="1"/>
  <c r="E95" i="7"/>
  <c r="D95" i="7"/>
  <c r="F107" i="7" s="1"/>
  <c r="C95" i="7"/>
  <c r="B95" i="7"/>
  <c r="F94" i="7"/>
  <c r="D94" i="7"/>
  <c r="B94" i="7"/>
  <c r="E106" i="7" s="1"/>
  <c r="D93" i="7"/>
  <c r="F105" i="7" s="1"/>
  <c r="B93" i="7"/>
  <c r="C94" i="7" s="1"/>
  <c r="D92" i="7"/>
  <c r="F92" i="7" s="1"/>
  <c r="B92" i="7"/>
  <c r="E104" i="7" s="1"/>
  <c r="F91" i="7"/>
  <c r="E91" i="7"/>
  <c r="D91" i="7"/>
  <c r="B91" i="7"/>
  <c r="C92" i="7" s="1"/>
  <c r="D90" i="7"/>
  <c r="B90" i="7"/>
  <c r="C90" i="7" s="1"/>
  <c r="E89" i="7"/>
  <c r="D89" i="7"/>
  <c r="F101" i="7" s="1"/>
  <c r="B89" i="7"/>
  <c r="D88" i="7"/>
  <c r="B88" i="7"/>
  <c r="D87" i="7"/>
  <c r="F99" i="7" s="1"/>
  <c r="B87" i="7"/>
  <c r="C88" i="7" s="1"/>
  <c r="D86" i="7"/>
  <c r="B86" i="7"/>
  <c r="F85" i="7"/>
  <c r="E85" i="7"/>
  <c r="D85" i="7"/>
  <c r="C85" i="7"/>
  <c r="B85" i="7"/>
  <c r="D84" i="7"/>
  <c r="F96" i="7" s="1"/>
  <c r="B84" i="7"/>
  <c r="E83" i="7"/>
  <c r="D83" i="7"/>
  <c r="C83" i="7"/>
  <c r="B83" i="7"/>
  <c r="C84" i="7" s="1"/>
  <c r="F82" i="7"/>
  <c r="D82" i="7"/>
  <c r="C82" i="7"/>
  <c r="B82" i="7"/>
  <c r="E94" i="7" s="1"/>
  <c r="D81" i="7"/>
  <c r="F93" i="7" s="1"/>
  <c r="C81" i="7"/>
  <c r="B81" i="7"/>
  <c r="E93" i="7" s="1"/>
  <c r="D80" i="7"/>
  <c r="B80" i="7"/>
  <c r="E92" i="7" s="1"/>
  <c r="F79" i="7"/>
  <c r="E79" i="7"/>
  <c r="D79" i="7"/>
  <c r="C79" i="7"/>
  <c r="B79" i="7"/>
  <c r="C80" i="7" s="1"/>
  <c r="D78" i="7"/>
  <c r="F90" i="7" s="1"/>
  <c r="B78" i="7"/>
  <c r="C78" i="7" s="1"/>
  <c r="E77" i="7"/>
  <c r="D77" i="7"/>
  <c r="B77" i="7"/>
  <c r="D76" i="7"/>
  <c r="F76" i="7" s="1"/>
  <c r="B76" i="7"/>
  <c r="C76" i="7" s="1"/>
  <c r="D75" i="7"/>
  <c r="F87" i="7" s="1"/>
  <c r="B75" i="7"/>
  <c r="D74" i="7"/>
  <c r="F86" i="7" s="1"/>
  <c r="B74" i="7"/>
  <c r="F73" i="7"/>
  <c r="E73" i="7"/>
  <c r="D73" i="7"/>
  <c r="C73" i="7"/>
  <c r="B73" i="7"/>
  <c r="E72" i="7"/>
  <c r="D72" i="7"/>
  <c r="F84" i="7" s="1"/>
  <c r="B72" i="7"/>
  <c r="E84" i="7" s="1"/>
  <c r="E71" i="7"/>
  <c r="D71" i="7"/>
  <c r="C71" i="7"/>
  <c r="B71" i="7"/>
  <c r="F70" i="7"/>
  <c r="D70" i="7"/>
  <c r="B70" i="7"/>
  <c r="E82" i="7" s="1"/>
  <c r="E69" i="7"/>
  <c r="D69" i="7"/>
  <c r="F81" i="7" s="1"/>
  <c r="C69" i="7"/>
  <c r="B69" i="7"/>
  <c r="C70" i="7" s="1"/>
  <c r="D68" i="7"/>
  <c r="F80" i="7" s="1"/>
  <c r="B68" i="7"/>
  <c r="E80" i="7" s="1"/>
  <c r="F67" i="7"/>
  <c r="E67" i="7"/>
  <c r="D67" i="7"/>
  <c r="B67" i="7"/>
  <c r="C68" i="7" s="1"/>
  <c r="E66" i="7"/>
  <c r="D66" i="7"/>
  <c r="F66" i="7" s="1"/>
  <c r="B66" i="7"/>
  <c r="C66" i="7" s="1"/>
  <c r="E65" i="7"/>
  <c r="D65" i="7"/>
  <c r="B65" i="7"/>
  <c r="F64" i="7"/>
  <c r="D64" i="7"/>
  <c r="B64" i="7"/>
  <c r="D63" i="7"/>
  <c r="F75" i="7" s="1"/>
  <c r="B63" i="7"/>
  <c r="C16" i="6" s="1"/>
  <c r="D62" i="7"/>
  <c r="F74" i="7" s="1"/>
  <c r="B62" i="7"/>
  <c r="F61" i="7"/>
  <c r="E61" i="7"/>
  <c r="D61" i="7"/>
  <c r="B61" i="7"/>
  <c r="D60" i="7"/>
  <c r="F72" i="7" s="1"/>
  <c r="B60" i="7"/>
  <c r="C61" i="7" s="1"/>
  <c r="E59" i="7"/>
  <c r="D59" i="7"/>
  <c r="F71" i="7" s="1"/>
  <c r="C59" i="7"/>
  <c r="B59" i="7"/>
  <c r="F58" i="7"/>
  <c r="D58" i="7"/>
  <c r="B58" i="7"/>
  <c r="E70" i="7" s="1"/>
  <c r="D57" i="7"/>
  <c r="F69" i="7" s="1"/>
  <c r="B57" i="7"/>
  <c r="C58" i="7" s="1"/>
  <c r="D56" i="7"/>
  <c r="F68" i="7" s="1"/>
  <c r="B56" i="7"/>
  <c r="E68" i="7" s="1"/>
  <c r="F55" i="7"/>
  <c r="E55" i="7"/>
  <c r="D55" i="7"/>
  <c r="B55" i="7"/>
  <c r="C56" i="7" s="1"/>
  <c r="D54" i="7"/>
  <c r="B54" i="7"/>
  <c r="C54" i="7" s="1"/>
  <c r="E53" i="7"/>
  <c r="D53" i="7"/>
  <c r="F65" i="7" s="1"/>
  <c r="B53" i="7"/>
  <c r="D52" i="7"/>
  <c r="B52" i="7"/>
  <c r="D51" i="7"/>
  <c r="F63" i="7" s="1"/>
  <c r="B51" i="7"/>
  <c r="C52" i="7" s="1"/>
  <c r="D50" i="7"/>
  <c r="B50" i="7"/>
  <c r="F49" i="7"/>
  <c r="E49" i="7"/>
  <c r="D49" i="7"/>
  <c r="C49" i="7"/>
  <c r="B49" i="7"/>
  <c r="D48" i="7"/>
  <c r="F60" i="7" s="1"/>
  <c r="B48" i="7"/>
  <c r="E47" i="7"/>
  <c r="D47" i="7"/>
  <c r="C47" i="7"/>
  <c r="B47" i="7"/>
  <c r="C48" i="7" s="1"/>
  <c r="F46" i="7"/>
  <c r="D46" i="7"/>
  <c r="C46" i="7"/>
  <c r="B46" i="7"/>
  <c r="E58" i="7" s="1"/>
  <c r="D45" i="7"/>
  <c r="F57" i="7" s="1"/>
  <c r="C45" i="7"/>
  <c r="B45" i="7"/>
  <c r="E57" i="7" s="1"/>
  <c r="D44" i="7"/>
  <c r="B44" i="7"/>
  <c r="E56" i="7" s="1"/>
  <c r="F43" i="7"/>
  <c r="E43" i="7"/>
  <c r="D43" i="7"/>
  <c r="C43" i="7"/>
  <c r="B43" i="7"/>
  <c r="C44" i="7" s="1"/>
  <c r="D42" i="7"/>
  <c r="F54" i="7" s="1"/>
  <c r="B42" i="7"/>
  <c r="C42" i="7" s="1"/>
  <c r="E41" i="7"/>
  <c r="D41" i="7"/>
  <c r="B41" i="7"/>
  <c r="D40" i="7"/>
  <c r="F40" i="7" s="1"/>
  <c r="B40" i="7"/>
  <c r="D39" i="7"/>
  <c r="F51" i="7" s="1"/>
  <c r="B39" i="7"/>
  <c r="D38" i="7"/>
  <c r="F50" i="7" s="1"/>
  <c r="B38" i="7"/>
  <c r="F37" i="7"/>
  <c r="E37" i="7"/>
  <c r="D37" i="7"/>
  <c r="C37" i="7"/>
  <c r="B37" i="7"/>
  <c r="E36" i="7"/>
  <c r="D36" i="7"/>
  <c r="F48" i="7" s="1"/>
  <c r="B36" i="7"/>
  <c r="E48" i="7" s="1"/>
  <c r="E35" i="7"/>
  <c r="D35" i="7"/>
  <c r="C35" i="7"/>
  <c r="B35" i="7"/>
  <c r="F34" i="7"/>
  <c r="D34" i="7"/>
  <c r="B34" i="7"/>
  <c r="E46" i="7" s="1"/>
  <c r="E33" i="7"/>
  <c r="D33" i="7"/>
  <c r="F45" i="7" s="1"/>
  <c r="C33" i="7"/>
  <c r="B33" i="7"/>
  <c r="C34" i="7" s="1"/>
  <c r="D32" i="7"/>
  <c r="F44" i="7" s="1"/>
  <c r="B32" i="7"/>
  <c r="E44" i="7" s="1"/>
  <c r="F31" i="7"/>
  <c r="E31" i="7"/>
  <c r="D31" i="7"/>
  <c r="B31" i="7"/>
  <c r="C32" i="7" s="1"/>
  <c r="E30" i="7"/>
  <c r="D30" i="7"/>
  <c r="F30" i="7" s="1"/>
  <c r="B30" i="7"/>
  <c r="C30" i="7" s="1"/>
  <c r="D29" i="7"/>
  <c r="B29" i="7"/>
  <c r="F28" i="7"/>
  <c r="D28" i="7"/>
  <c r="B28" i="7"/>
  <c r="D27" i="7"/>
  <c r="F39" i="7" s="1"/>
  <c r="B27" i="7"/>
  <c r="C28" i="7" s="1"/>
  <c r="D26" i="7"/>
  <c r="F38" i="7" s="1"/>
  <c r="B26" i="7"/>
  <c r="F25" i="7"/>
  <c r="E25" i="7"/>
  <c r="D25" i="7"/>
  <c r="C25" i="7"/>
  <c r="B25" i="7"/>
  <c r="D24" i="7"/>
  <c r="F36" i="7" s="1"/>
  <c r="B24" i="7"/>
  <c r="D23" i="7"/>
  <c r="F35" i="7" s="1"/>
  <c r="C23" i="7"/>
  <c r="B23" i="7"/>
  <c r="C24" i="7" s="1"/>
  <c r="D22" i="7"/>
  <c r="C22" i="7"/>
  <c r="B22" i="7"/>
  <c r="E34" i="7" s="1"/>
  <c r="E21" i="7"/>
  <c r="D21" i="7"/>
  <c r="F33" i="7" s="1"/>
  <c r="C21" i="7"/>
  <c r="B21" i="7"/>
  <c r="D20" i="7"/>
  <c r="F20" i="7" s="1"/>
  <c r="B20" i="7"/>
  <c r="E32" i="7" s="1"/>
  <c r="F19" i="7"/>
  <c r="D19" i="7"/>
  <c r="B19" i="7"/>
  <c r="C20" i="7" s="1"/>
  <c r="D18" i="7"/>
  <c r="B18" i="7"/>
  <c r="E18" i="7" s="1"/>
  <c r="D17" i="7"/>
  <c r="F29" i="7" s="1"/>
  <c r="B17" i="7"/>
  <c r="D16" i="7"/>
  <c r="B16" i="7"/>
  <c r="D15" i="7"/>
  <c r="F27" i="7" s="1"/>
  <c r="C15" i="7"/>
  <c r="B15" i="7"/>
  <c r="D14" i="7"/>
  <c r="B14" i="7"/>
  <c r="D13" i="7"/>
  <c r="B13" i="7"/>
  <c r="D12" i="7"/>
  <c r="F24" i="7" s="1"/>
  <c r="B12" i="7"/>
  <c r="C13" i="7" s="1"/>
  <c r="D11" i="7"/>
  <c r="B11" i="7"/>
  <c r="C12" i="7" s="1"/>
  <c r="D10" i="7"/>
  <c r="F22" i="7" s="1"/>
  <c r="B10" i="7"/>
  <c r="E22" i="7" s="1"/>
  <c r="D9" i="7"/>
  <c r="F21" i="7" s="1"/>
  <c r="B9" i="7"/>
  <c r="D8" i="7"/>
  <c r="B8" i="7"/>
  <c r="D7" i="7"/>
  <c r="C7" i="7"/>
  <c r="B7" i="7"/>
  <c r="D6" i="7"/>
  <c r="F18" i="7" s="1"/>
  <c r="B6" i="7"/>
  <c r="K2" i="7"/>
  <c r="AB104" i="6"/>
  <c r="AA104" i="6"/>
  <c r="Z104" i="6"/>
  <c r="Y104" i="6"/>
  <c r="X104" i="6"/>
  <c r="W104" i="6"/>
  <c r="V104" i="6"/>
  <c r="U104" i="6"/>
  <c r="T104" i="6"/>
  <c r="S104" i="6"/>
  <c r="R104" i="6"/>
  <c r="Q104" i="6"/>
  <c r="Q9" i="6" s="1"/>
  <c r="P104" i="6"/>
  <c r="O104" i="6"/>
  <c r="N104" i="6"/>
  <c r="M104" i="6"/>
  <c r="L104" i="6"/>
  <c r="K104" i="6"/>
  <c r="J104" i="6"/>
  <c r="I104" i="6"/>
  <c r="H104" i="6"/>
  <c r="G104" i="6"/>
  <c r="F104" i="6"/>
  <c r="E104" i="6"/>
  <c r="E9" i="6" s="1"/>
  <c r="C104" i="6"/>
  <c r="AB103" i="6"/>
  <c r="AA103" i="6"/>
  <c r="Z103" i="6"/>
  <c r="Y103" i="6"/>
  <c r="X103" i="6"/>
  <c r="W103" i="6"/>
  <c r="V103" i="6"/>
  <c r="U103" i="6"/>
  <c r="T103" i="6"/>
  <c r="S103" i="6"/>
  <c r="P30" i="1" s="1"/>
  <c r="R30" i="1" s="1"/>
  <c r="R103" i="6"/>
  <c r="Q103" i="6"/>
  <c r="P103" i="6"/>
  <c r="O103" i="6"/>
  <c r="N103" i="6"/>
  <c r="M103" i="6"/>
  <c r="L103" i="6"/>
  <c r="K103" i="6"/>
  <c r="J103" i="6"/>
  <c r="I103" i="6"/>
  <c r="H103" i="6"/>
  <c r="G103" i="6"/>
  <c r="P18" i="1" s="1"/>
  <c r="R18" i="1" s="1"/>
  <c r="F103" i="6"/>
  <c r="E103" i="6"/>
  <c r="D103" i="6"/>
  <c r="C103" i="6"/>
  <c r="AB102" i="6"/>
  <c r="AA102" i="6"/>
  <c r="Z102" i="6"/>
  <c r="Y102" i="6"/>
  <c r="X102" i="6"/>
  <c r="W102" i="6"/>
  <c r="V102" i="6"/>
  <c r="U102" i="6"/>
  <c r="T102" i="6"/>
  <c r="S102" i="6"/>
  <c r="R102" i="6"/>
  <c r="Q102" i="6"/>
  <c r="P102" i="6"/>
  <c r="O102" i="6"/>
  <c r="N102" i="6"/>
  <c r="M102" i="6"/>
  <c r="L102" i="6"/>
  <c r="K102" i="6"/>
  <c r="J102" i="6"/>
  <c r="I102" i="6"/>
  <c r="H102" i="6"/>
  <c r="G102" i="6"/>
  <c r="E102" i="6"/>
  <c r="C102" i="6"/>
  <c r="AB101" i="6"/>
  <c r="AA101" i="6"/>
  <c r="Z101" i="6"/>
  <c r="Y101" i="6"/>
  <c r="X101" i="6"/>
  <c r="W101" i="6"/>
  <c r="V101" i="6"/>
  <c r="U101" i="6"/>
  <c r="T101" i="6"/>
  <c r="S101" i="6"/>
  <c r="R101" i="6"/>
  <c r="Q101" i="6"/>
  <c r="P101" i="6"/>
  <c r="O101" i="6"/>
  <c r="N101" i="6"/>
  <c r="M101" i="6"/>
  <c r="L101" i="6"/>
  <c r="K101" i="6"/>
  <c r="J101" i="6"/>
  <c r="I101" i="6"/>
  <c r="H101" i="6"/>
  <c r="G101" i="6"/>
  <c r="F101" i="6"/>
  <c r="E101" i="6"/>
  <c r="D101" i="6"/>
  <c r="C101" i="6"/>
  <c r="AB100" i="6"/>
  <c r="AA100" i="6"/>
  <c r="Z100" i="6"/>
  <c r="Y100" i="6"/>
  <c r="X100" i="6"/>
  <c r="W100" i="6"/>
  <c r="V100" i="6"/>
  <c r="U100" i="6"/>
  <c r="T100" i="6"/>
  <c r="S100" i="6"/>
  <c r="R100" i="6"/>
  <c r="Q100" i="6"/>
  <c r="P100" i="6"/>
  <c r="O100" i="6"/>
  <c r="N100" i="6"/>
  <c r="M100" i="6"/>
  <c r="L100" i="6"/>
  <c r="K100" i="6"/>
  <c r="J100" i="6"/>
  <c r="I100" i="6"/>
  <c r="H100" i="6"/>
  <c r="G100" i="6"/>
  <c r="E100" i="6"/>
  <c r="D100" i="6"/>
  <c r="C100" i="6"/>
  <c r="AB99" i="6"/>
  <c r="AA99" i="6"/>
  <c r="Z99" i="6"/>
  <c r="Y99" i="6"/>
  <c r="X99" i="6"/>
  <c r="W99" i="6"/>
  <c r="V99" i="6"/>
  <c r="U99" i="6"/>
  <c r="T99" i="6"/>
  <c r="S99" i="6"/>
  <c r="R99" i="6"/>
  <c r="Q99" i="6"/>
  <c r="P99" i="6"/>
  <c r="O99" i="6"/>
  <c r="N99" i="6"/>
  <c r="M99" i="6"/>
  <c r="L99" i="6"/>
  <c r="K99" i="6"/>
  <c r="J99" i="6"/>
  <c r="I99" i="6"/>
  <c r="H99" i="6"/>
  <c r="G99" i="6"/>
  <c r="F99" i="6"/>
  <c r="E99" i="6"/>
  <c r="D99" i="6"/>
  <c r="C99" i="6"/>
  <c r="AB98" i="6"/>
  <c r="AA98" i="6"/>
  <c r="Z98" i="6"/>
  <c r="Y98" i="6"/>
  <c r="X98" i="6"/>
  <c r="W98" i="6"/>
  <c r="V98" i="6"/>
  <c r="U98" i="6"/>
  <c r="T98" i="6"/>
  <c r="S98" i="6"/>
  <c r="R98" i="6"/>
  <c r="Q98" i="6"/>
  <c r="P98" i="6"/>
  <c r="O98" i="6"/>
  <c r="N98" i="6"/>
  <c r="M98" i="6"/>
  <c r="L98" i="6"/>
  <c r="K98" i="6"/>
  <c r="J98" i="6"/>
  <c r="I98" i="6"/>
  <c r="H98" i="6"/>
  <c r="G98" i="6"/>
  <c r="F98" i="6"/>
  <c r="E98" i="6"/>
  <c r="D98" i="6"/>
  <c r="C98" i="6"/>
  <c r="AB97" i="6"/>
  <c r="AA97" i="6"/>
  <c r="Z97" i="6"/>
  <c r="Y97" i="6"/>
  <c r="X97" i="6"/>
  <c r="W97" i="6"/>
  <c r="V97" i="6"/>
  <c r="U97" i="6"/>
  <c r="T97" i="6"/>
  <c r="S97" i="6"/>
  <c r="R97" i="6"/>
  <c r="Q97" i="6"/>
  <c r="P97" i="6"/>
  <c r="O97" i="6"/>
  <c r="N97" i="6"/>
  <c r="M97" i="6"/>
  <c r="L97" i="6"/>
  <c r="K97" i="6"/>
  <c r="J97" i="6"/>
  <c r="I97" i="6"/>
  <c r="H97" i="6"/>
  <c r="G97" i="6"/>
  <c r="F97" i="6"/>
  <c r="D97" i="6"/>
  <c r="C97" i="6"/>
  <c r="AB96" i="6"/>
  <c r="AA96" i="6"/>
  <c r="Z96" i="6"/>
  <c r="Y96" i="6"/>
  <c r="X96" i="6"/>
  <c r="W96" i="6"/>
  <c r="V96" i="6"/>
  <c r="U96" i="6"/>
  <c r="T96" i="6"/>
  <c r="S96" i="6"/>
  <c r="R96" i="6"/>
  <c r="Q96" i="6"/>
  <c r="P96" i="6"/>
  <c r="O96" i="6"/>
  <c r="N96" i="6"/>
  <c r="M96" i="6"/>
  <c r="L96" i="6"/>
  <c r="K96" i="6"/>
  <c r="J96" i="6"/>
  <c r="I96" i="6"/>
  <c r="H96" i="6"/>
  <c r="G96" i="6"/>
  <c r="F96" i="6"/>
  <c r="E96" i="6"/>
  <c r="C96" i="6"/>
  <c r="AB95" i="6"/>
  <c r="AA95" i="6"/>
  <c r="Z95" i="6"/>
  <c r="Y95" i="6"/>
  <c r="X95" i="6"/>
  <c r="W95" i="6"/>
  <c r="V95" i="6"/>
  <c r="U95" i="6"/>
  <c r="T95" i="6"/>
  <c r="S95" i="6"/>
  <c r="R95" i="6"/>
  <c r="Q95" i="6"/>
  <c r="P95" i="6"/>
  <c r="O95" i="6"/>
  <c r="N95" i="6"/>
  <c r="M95" i="6"/>
  <c r="L95" i="6"/>
  <c r="K95" i="6"/>
  <c r="J95" i="6"/>
  <c r="I95" i="6"/>
  <c r="H95" i="6"/>
  <c r="G95" i="6"/>
  <c r="F95" i="6"/>
  <c r="E95" i="6"/>
  <c r="D95" i="6"/>
  <c r="C95" i="6"/>
  <c r="AB94" i="6"/>
  <c r="AA94" i="6"/>
  <c r="Z94" i="6"/>
  <c r="Y94" i="6"/>
  <c r="X94" i="6"/>
  <c r="W94" i="6"/>
  <c r="V94" i="6"/>
  <c r="U94" i="6"/>
  <c r="T94" i="6"/>
  <c r="S94" i="6"/>
  <c r="R94" i="6"/>
  <c r="Q94" i="6"/>
  <c r="P94" i="6"/>
  <c r="O94" i="6"/>
  <c r="N94" i="6"/>
  <c r="M94" i="6"/>
  <c r="L94" i="6"/>
  <c r="K94" i="6"/>
  <c r="J94" i="6"/>
  <c r="I94" i="6"/>
  <c r="H94" i="6"/>
  <c r="G94" i="6"/>
  <c r="F94" i="6"/>
  <c r="E94" i="6"/>
  <c r="D94" i="6"/>
  <c r="C94" i="6"/>
  <c r="AB93" i="6"/>
  <c r="AA93" i="6"/>
  <c r="Z93" i="6"/>
  <c r="Y93" i="6"/>
  <c r="X93" i="6"/>
  <c r="W93" i="6"/>
  <c r="V93" i="6"/>
  <c r="U93" i="6"/>
  <c r="T93" i="6"/>
  <c r="S93" i="6"/>
  <c r="R93" i="6"/>
  <c r="Q93" i="6"/>
  <c r="P93" i="6"/>
  <c r="O93" i="6"/>
  <c r="N93" i="6"/>
  <c r="M93" i="6"/>
  <c r="L93" i="6"/>
  <c r="K93" i="6"/>
  <c r="J93" i="6"/>
  <c r="I93" i="6"/>
  <c r="H93" i="6"/>
  <c r="G93" i="6"/>
  <c r="F93" i="6"/>
  <c r="E93" i="6"/>
  <c r="D93" i="6"/>
  <c r="C93" i="6"/>
  <c r="AB92" i="6"/>
  <c r="AA92" i="6"/>
  <c r="Z92" i="6"/>
  <c r="Y92" i="6"/>
  <c r="X92" i="6"/>
  <c r="W92" i="6"/>
  <c r="V92" i="6"/>
  <c r="U92" i="6"/>
  <c r="T92" i="6"/>
  <c r="S92" i="6"/>
  <c r="R92" i="6"/>
  <c r="Q92" i="6"/>
  <c r="P92" i="6"/>
  <c r="O92" i="6"/>
  <c r="N92" i="6"/>
  <c r="M92" i="6"/>
  <c r="L92" i="6"/>
  <c r="K92" i="6"/>
  <c r="J92" i="6"/>
  <c r="I92" i="6"/>
  <c r="H92" i="6"/>
  <c r="G92" i="6"/>
  <c r="E92" i="6"/>
  <c r="C92" i="6"/>
  <c r="AB91" i="6"/>
  <c r="AA91" i="6"/>
  <c r="Z91" i="6"/>
  <c r="Y91" i="6"/>
  <c r="X91" i="6"/>
  <c r="W91" i="6"/>
  <c r="V91" i="6"/>
  <c r="U91" i="6"/>
  <c r="T91" i="6"/>
  <c r="S91" i="6"/>
  <c r="R91" i="6"/>
  <c r="Q91" i="6"/>
  <c r="P91" i="6"/>
  <c r="O91" i="6"/>
  <c r="N91" i="6"/>
  <c r="M91" i="6"/>
  <c r="L91" i="6"/>
  <c r="K91" i="6"/>
  <c r="J91" i="6"/>
  <c r="I91" i="6"/>
  <c r="H91" i="6"/>
  <c r="G91" i="6"/>
  <c r="F91" i="6"/>
  <c r="E91" i="6"/>
  <c r="D91" i="6"/>
  <c r="AB90" i="6"/>
  <c r="AA90" i="6"/>
  <c r="Z90" i="6"/>
  <c r="Y90" i="6"/>
  <c r="X90" i="6"/>
  <c r="W90" i="6"/>
  <c r="V90" i="6"/>
  <c r="U90" i="6"/>
  <c r="T90" i="6"/>
  <c r="S90" i="6"/>
  <c r="R90" i="6"/>
  <c r="Q90" i="6"/>
  <c r="P90" i="6"/>
  <c r="O90" i="6"/>
  <c r="N90" i="6"/>
  <c r="M90" i="6"/>
  <c r="L90" i="6"/>
  <c r="K90" i="6"/>
  <c r="J90" i="6"/>
  <c r="I90" i="6"/>
  <c r="H90" i="6"/>
  <c r="G90" i="6"/>
  <c r="F90" i="6"/>
  <c r="E90" i="6"/>
  <c r="C90" i="6"/>
  <c r="AB89" i="6"/>
  <c r="AA89" i="6"/>
  <c r="Z89" i="6"/>
  <c r="Y89" i="6"/>
  <c r="X89" i="6"/>
  <c r="W89" i="6"/>
  <c r="V89" i="6"/>
  <c r="U89" i="6"/>
  <c r="T89" i="6"/>
  <c r="S89" i="6"/>
  <c r="R89" i="6"/>
  <c r="Q89" i="6"/>
  <c r="P89" i="6"/>
  <c r="O89" i="6"/>
  <c r="N89" i="6"/>
  <c r="M89" i="6"/>
  <c r="L89" i="6"/>
  <c r="K89" i="6"/>
  <c r="J89" i="6"/>
  <c r="I89" i="6"/>
  <c r="H89" i="6"/>
  <c r="G89" i="6"/>
  <c r="F89" i="6"/>
  <c r="D89" i="6"/>
  <c r="C89" i="6"/>
  <c r="AB88" i="6"/>
  <c r="AA88" i="6"/>
  <c r="Z88" i="6"/>
  <c r="Y88" i="6"/>
  <c r="X88" i="6"/>
  <c r="W88" i="6"/>
  <c r="V88" i="6"/>
  <c r="U88" i="6"/>
  <c r="T88" i="6"/>
  <c r="S88" i="6"/>
  <c r="R88" i="6"/>
  <c r="Q88" i="6"/>
  <c r="P88" i="6"/>
  <c r="O88" i="6"/>
  <c r="N88" i="6"/>
  <c r="M88" i="6"/>
  <c r="L88" i="6"/>
  <c r="K88" i="6"/>
  <c r="J88" i="6"/>
  <c r="I88" i="6"/>
  <c r="H88" i="6"/>
  <c r="G88" i="6"/>
  <c r="F88" i="6"/>
  <c r="E88" i="6"/>
  <c r="D88" i="6"/>
  <c r="AB87" i="6"/>
  <c r="AA87" i="6"/>
  <c r="Z87" i="6"/>
  <c r="Y87" i="6"/>
  <c r="X87" i="6"/>
  <c r="W87" i="6"/>
  <c r="V87" i="6"/>
  <c r="U87" i="6"/>
  <c r="T87" i="6"/>
  <c r="S87" i="6"/>
  <c r="R87" i="6"/>
  <c r="Q87" i="6"/>
  <c r="P87" i="6"/>
  <c r="O87" i="6"/>
  <c r="N87" i="6"/>
  <c r="M87" i="6"/>
  <c r="L87" i="6"/>
  <c r="K87" i="6"/>
  <c r="J87" i="6"/>
  <c r="I87" i="6"/>
  <c r="H87" i="6"/>
  <c r="G87" i="6"/>
  <c r="F87" i="6"/>
  <c r="E87" i="6"/>
  <c r="D87" i="6"/>
  <c r="C87" i="6"/>
  <c r="AB86" i="6"/>
  <c r="AA86" i="6"/>
  <c r="Z86" i="6"/>
  <c r="Y86" i="6"/>
  <c r="X86" i="6"/>
  <c r="W86" i="6"/>
  <c r="V86" i="6"/>
  <c r="U86" i="6"/>
  <c r="T86" i="6"/>
  <c r="S86" i="6"/>
  <c r="R86" i="6"/>
  <c r="Q86" i="6"/>
  <c r="P86" i="6"/>
  <c r="O86" i="6"/>
  <c r="N86" i="6"/>
  <c r="M86" i="6"/>
  <c r="L86" i="6"/>
  <c r="K86" i="6"/>
  <c r="J86" i="6"/>
  <c r="I86" i="6"/>
  <c r="H86" i="6"/>
  <c r="G86" i="6"/>
  <c r="F86" i="6"/>
  <c r="E86" i="6"/>
  <c r="D86" i="6"/>
  <c r="C86" i="6"/>
  <c r="AB85" i="6"/>
  <c r="AA85" i="6"/>
  <c r="Z85" i="6"/>
  <c r="Y85" i="6"/>
  <c r="X85" i="6"/>
  <c r="W85" i="6"/>
  <c r="V85" i="6"/>
  <c r="U85" i="6"/>
  <c r="T85" i="6"/>
  <c r="S85" i="6"/>
  <c r="R85" i="6"/>
  <c r="Q85" i="6"/>
  <c r="P85" i="6"/>
  <c r="O85" i="6"/>
  <c r="N85" i="6"/>
  <c r="M85" i="6"/>
  <c r="L85" i="6"/>
  <c r="K85" i="6"/>
  <c r="J85" i="6"/>
  <c r="I85" i="6"/>
  <c r="H85" i="6"/>
  <c r="G85" i="6"/>
  <c r="F85" i="6"/>
  <c r="E85" i="6"/>
  <c r="D85" i="6"/>
  <c r="C85" i="6"/>
  <c r="AB84" i="6"/>
  <c r="AA84" i="6"/>
  <c r="Z84" i="6"/>
  <c r="Y84" i="6"/>
  <c r="X84" i="6"/>
  <c r="W84" i="6"/>
  <c r="V84" i="6"/>
  <c r="U84" i="6"/>
  <c r="T84" i="6"/>
  <c r="S84" i="6"/>
  <c r="R84" i="6"/>
  <c r="Q84" i="6"/>
  <c r="P84" i="6"/>
  <c r="O84" i="6"/>
  <c r="N84" i="6"/>
  <c r="M84" i="6"/>
  <c r="L84" i="6"/>
  <c r="K84" i="6"/>
  <c r="J84" i="6"/>
  <c r="I84" i="6"/>
  <c r="H84" i="6"/>
  <c r="G84" i="6"/>
  <c r="F84" i="6"/>
  <c r="E84" i="6"/>
  <c r="C84" i="6"/>
  <c r="AB83" i="6"/>
  <c r="AA83" i="6"/>
  <c r="Z83" i="6"/>
  <c r="Y83" i="6"/>
  <c r="X83" i="6"/>
  <c r="W83" i="6"/>
  <c r="V83" i="6"/>
  <c r="U83" i="6"/>
  <c r="T83" i="6"/>
  <c r="S83" i="6"/>
  <c r="R83" i="6"/>
  <c r="Q83" i="6"/>
  <c r="P83" i="6"/>
  <c r="O83" i="6"/>
  <c r="N83" i="6"/>
  <c r="M83" i="6"/>
  <c r="L83" i="6"/>
  <c r="K83" i="6"/>
  <c r="J83" i="6"/>
  <c r="I83" i="6"/>
  <c r="H83" i="6"/>
  <c r="G83" i="6"/>
  <c r="F83" i="6"/>
  <c r="E83" i="6"/>
  <c r="D83" i="6"/>
  <c r="C83" i="6"/>
  <c r="AB82" i="6"/>
  <c r="AA82" i="6"/>
  <c r="Z82" i="6"/>
  <c r="Y82" i="6"/>
  <c r="X82" i="6"/>
  <c r="W82" i="6"/>
  <c r="V82" i="6"/>
  <c r="U82" i="6"/>
  <c r="T82" i="6"/>
  <c r="S82" i="6"/>
  <c r="R82" i="6"/>
  <c r="Q82" i="6"/>
  <c r="P82" i="6"/>
  <c r="O82" i="6"/>
  <c r="N82" i="6"/>
  <c r="M82" i="6"/>
  <c r="L82" i="6"/>
  <c r="K82" i="6"/>
  <c r="J82" i="6"/>
  <c r="I82" i="6"/>
  <c r="H82" i="6"/>
  <c r="G82" i="6"/>
  <c r="F82" i="6"/>
  <c r="E82" i="6"/>
  <c r="D82" i="6"/>
  <c r="C82" i="6"/>
  <c r="AB81" i="6"/>
  <c r="AA81" i="6"/>
  <c r="Z81" i="6"/>
  <c r="Y81" i="6"/>
  <c r="X81" i="6"/>
  <c r="W81" i="6"/>
  <c r="V81" i="6"/>
  <c r="U81" i="6"/>
  <c r="T81" i="6"/>
  <c r="S81" i="6"/>
  <c r="R81" i="6"/>
  <c r="Q81" i="6"/>
  <c r="P81" i="6"/>
  <c r="O81" i="6"/>
  <c r="N81" i="6"/>
  <c r="M81" i="6"/>
  <c r="L81" i="6"/>
  <c r="K81" i="6"/>
  <c r="J81" i="6"/>
  <c r="I81" i="6"/>
  <c r="H81" i="6"/>
  <c r="G81" i="6"/>
  <c r="F81" i="6"/>
  <c r="E81" i="6"/>
  <c r="D81" i="6"/>
  <c r="C81" i="6"/>
  <c r="AB80" i="6"/>
  <c r="AA80" i="6"/>
  <c r="Z80" i="6"/>
  <c r="Y80" i="6"/>
  <c r="X80" i="6"/>
  <c r="W80" i="6"/>
  <c r="V80" i="6"/>
  <c r="U80" i="6"/>
  <c r="T80" i="6"/>
  <c r="S80" i="6"/>
  <c r="R80" i="6"/>
  <c r="Q80" i="6"/>
  <c r="P80" i="6"/>
  <c r="O80" i="6"/>
  <c r="N80" i="6"/>
  <c r="M80" i="6"/>
  <c r="L80" i="6"/>
  <c r="K80" i="6"/>
  <c r="J80" i="6"/>
  <c r="I80" i="6"/>
  <c r="H80" i="6"/>
  <c r="G80" i="6"/>
  <c r="F80" i="6"/>
  <c r="E80" i="6"/>
  <c r="D80" i="6"/>
  <c r="C80" i="6"/>
  <c r="AB79" i="6"/>
  <c r="AA79" i="6"/>
  <c r="Z79" i="6"/>
  <c r="Y79" i="6"/>
  <c r="X79" i="6"/>
  <c r="W79" i="6"/>
  <c r="V79" i="6"/>
  <c r="U79" i="6"/>
  <c r="T79" i="6"/>
  <c r="S79" i="6"/>
  <c r="R79" i="6"/>
  <c r="Q79" i="6"/>
  <c r="P79" i="6"/>
  <c r="O79" i="6"/>
  <c r="N79" i="6"/>
  <c r="M79" i="6"/>
  <c r="L79" i="6"/>
  <c r="K79" i="6"/>
  <c r="J79" i="6"/>
  <c r="I79" i="6"/>
  <c r="H79" i="6"/>
  <c r="G79" i="6"/>
  <c r="F79" i="6"/>
  <c r="E79" i="6"/>
  <c r="D79" i="6"/>
  <c r="AB78" i="6"/>
  <c r="AA78" i="6"/>
  <c r="Z78" i="6"/>
  <c r="Y78" i="6"/>
  <c r="X78" i="6"/>
  <c r="W78" i="6"/>
  <c r="V78" i="6"/>
  <c r="U78" i="6"/>
  <c r="T78" i="6"/>
  <c r="S78" i="6"/>
  <c r="R78" i="6"/>
  <c r="Q78" i="6"/>
  <c r="P78" i="6"/>
  <c r="O78" i="6"/>
  <c r="N78" i="6"/>
  <c r="M78" i="6"/>
  <c r="L78" i="6"/>
  <c r="K78" i="6"/>
  <c r="J78" i="6"/>
  <c r="I78" i="6"/>
  <c r="H78" i="6"/>
  <c r="G78" i="6"/>
  <c r="F78" i="6"/>
  <c r="E78" i="6"/>
  <c r="D78" i="6"/>
  <c r="C78" i="6"/>
  <c r="AB77" i="6"/>
  <c r="AA77" i="6"/>
  <c r="Z77" i="6"/>
  <c r="Y77" i="6"/>
  <c r="X77" i="6"/>
  <c r="W77" i="6"/>
  <c r="V77" i="6"/>
  <c r="U77" i="6"/>
  <c r="T77" i="6"/>
  <c r="S77" i="6"/>
  <c r="R77" i="6"/>
  <c r="Q77" i="6"/>
  <c r="P77" i="6"/>
  <c r="O77" i="6"/>
  <c r="N77" i="6"/>
  <c r="M77" i="6"/>
  <c r="L77" i="6"/>
  <c r="K77" i="6"/>
  <c r="J77" i="6"/>
  <c r="I77" i="6"/>
  <c r="H77" i="6"/>
  <c r="G77" i="6"/>
  <c r="F77" i="6"/>
  <c r="E77" i="6"/>
  <c r="D77" i="6"/>
  <c r="C77" i="6"/>
  <c r="AB76" i="6"/>
  <c r="AA76" i="6"/>
  <c r="Z76" i="6"/>
  <c r="Y76" i="6"/>
  <c r="X76" i="6"/>
  <c r="W76" i="6"/>
  <c r="V76" i="6"/>
  <c r="U76" i="6"/>
  <c r="T76" i="6"/>
  <c r="S76" i="6"/>
  <c r="R76" i="6"/>
  <c r="Q76" i="6"/>
  <c r="P76" i="6"/>
  <c r="O76" i="6"/>
  <c r="N76" i="6"/>
  <c r="M76" i="6"/>
  <c r="L76" i="6"/>
  <c r="K76" i="6"/>
  <c r="J76" i="6"/>
  <c r="I76" i="6"/>
  <c r="H76" i="6"/>
  <c r="G76" i="6"/>
  <c r="F76" i="6"/>
  <c r="E76" i="6"/>
  <c r="D76" i="6"/>
  <c r="C76" i="6"/>
  <c r="AB75" i="6"/>
  <c r="AA75" i="6"/>
  <c r="Z75" i="6"/>
  <c r="Y75" i="6"/>
  <c r="X75" i="6"/>
  <c r="W75" i="6"/>
  <c r="V75" i="6"/>
  <c r="U75" i="6"/>
  <c r="T75" i="6"/>
  <c r="S75" i="6"/>
  <c r="R75" i="6"/>
  <c r="Q75" i="6"/>
  <c r="P75" i="6"/>
  <c r="O75" i="6"/>
  <c r="N75" i="6"/>
  <c r="M75" i="6"/>
  <c r="L75" i="6"/>
  <c r="K75" i="6"/>
  <c r="J75" i="6"/>
  <c r="I75" i="6"/>
  <c r="H75" i="6"/>
  <c r="G75" i="6"/>
  <c r="F75" i="6"/>
  <c r="E75" i="6"/>
  <c r="D75" i="6"/>
  <c r="AB74" i="6"/>
  <c r="AA74" i="6"/>
  <c r="Z74" i="6"/>
  <c r="Y74" i="6"/>
  <c r="X74" i="6"/>
  <c r="W74" i="6"/>
  <c r="V74" i="6"/>
  <c r="U74" i="6"/>
  <c r="T74" i="6"/>
  <c r="S74" i="6"/>
  <c r="R74" i="6"/>
  <c r="Q74" i="6"/>
  <c r="P74" i="6"/>
  <c r="O74" i="6"/>
  <c r="N74" i="6"/>
  <c r="M74" i="6"/>
  <c r="L74" i="6"/>
  <c r="K74" i="6"/>
  <c r="J74" i="6"/>
  <c r="I74" i="6"/>
  <c r="H74" i="6"/>
  <c r="G74" i="6"/>
  <c r="F74" i="6"/>
  <c r="E74" i="6"/>
  <c r="D74" i="6"/>
  <c r="C74" i="6"/>
  <c r="AB73" i="6"/>
  <c r="AA73" i="6"/>
  <c r="Z73" i="6"/>
  <c r="Y73" i="6"/>
  <c r="X73" i="6"/>
  <c r="W73" i="6"/>
  <c r="V73" i="6"/>
  <c r="U73" i="6"/>
  <c r="T73" i="6"/>
  <c r="S73" i="6"/>
  <c r="R73" i="6"/>
  <c r="Q73" i="6"/>
  <c r="P73" i="6"/>
  <c r="O73" i="6"/>
  <c r="N73" i="6"/>
  <c r="M73" i="6"/>
  <c r="L73" i="6"/>
  <c r="K73" i="6"/>
  <c r="J73" i="6"/>
  <c r="I73" i="6"/>
  <c r="H73" i="6"/>
  <c r="F73" i="6"/>
  <c r="D73" i="6"/>
  <c r="C73" i="6"/>
  <c r="AB72" i="6"/>
  <c r="AA72" i="6"/>
  <c r="Z72" i="6"/>
  <c r="Y72" i="6"/>
  <c r="X72" i="6"/>
  <c r="W72" i="6"/>
  <c r="V72" i="6"/>
  <c r="U72" i="6"/>
  <c r="T72" i="6"/>
  <c r="S72" i="6"/>
  <c r="R72" i="6"/>
  <c r="Q72" i="6"/>
  <c r="P72" i="6"/>
  <c r="O72" i="6"/>
  <c r="N72" i="6"/>
  <c r="M72" i="6"/>
  <c r="L72" i="6"/>
  <c r="K72" i="6"/>
  <c r="J72" i="6"/>
  <c r="I72" i="6"/>
  <c r="H72" i="6"/>
  <c r="G72" i="6"/>
  <c r="F72" i="6"/>
  <c r="E72" i="6"/>
  <c r="C72" i="6"/>
  <c r="AB71" i="6"/>
  <c r="AA71" i="6"/>
  <c r="Z71" i="6"/>
  <c r="Y71" i="6"/>
  <c r="X71" i="6"/>
  <c r="W71" i="6"/>
  <c r="V71" i="6"/>
  <c r="U71" i="6"/>
  <c r="T71" i="6"/>
  <c r="S71" i="6"/>
  <c r="R71" i="6"/>
  <c r="Q71" i="6"/>
  <c r="P71" i="6"/>
  <c r="O71" i="6"/>
  <c r="N71" i="6"/>
  <c r="M71" i="6"/>
  <c r="L71" i="6"/>
  <c r="K71" i="6"/>
  <c r="J71" i="6"/>
  <c r="I71" i="6"/>
  <c r="H71" i="6"/>
  <c r="G71" i="6"/>
  <c r="F71" i="6"/>
  <c r="E71" i="6"/>
  <c r="D71" i="6"/>
  <c r="C71" i="6"/>
  <c r="AB70" i="6"/>
  <c r="AA70" i="6"/>
  <c r="Z70" i="6"/>
  <c r="Y70" i="6"/>
  <c r="X70" i="6"/>
  <c r="W70" i="6"/>
  <c r="V70" i="6"/>
  <c r="U70" i="6"/>
  <c r="T70" i="6"/>
  <c r="S70" i="6"/>
  <c r="R70" i="6"/>
  <c r="Q70" i="6"/>
  <c r="P70" i="6"/>
  <c r="O70" i="6"/>
  <c r="N70" i="6"/>
  <c r="M70" i="6"/>
  <c r="L70" i="6"/>
  <c r="K70" i="6"/>
  <c r="J70" i="6"/>
  <c r="I70" i="6"/>
  <c r="H70" i="6"/>
  <c r="G70" i="6"/>
  <c r="F70" i="6"/>
  <c r="E70" i="6"/>
  <c r="D70" i="6"/>
  <c r="C70" i="6"/>
  <c r="AB69" i="6"/>
  <c r="AA69" i="6"/>
  <c r="Z69" i="6"/>
  <c r="Y69" i="6"/>
  <c r="X69" i="6"/>
  <c r="W69" i="6"/>
  <c r="V69" i="6"/>
  <c r="U69" i="6"/>
  <c r="T69" i="6"/>
  <c r="S69" i="6"/>
  <c r="R69" i="6"/>
  <c r="Q69" i="6"/>
  <c r="P69" i="6"/>
  <c r="O69" i="6"/>
  <c r="N69" i="6"/>
  <c r="M69" i="6"/>
  <c r="L69" i="6"/>
  <c r="K69" i="6"/>
  <c r="J69" i="6"/>
  <c r="I69" i="6"/>
  <c r="H69" i="6"/>
  <c r="G69" i="6"/>
  <c r="F69" i="6"/>
  <c r="E69" i="6"/>
  <c r="D69" i="6"/>
  <c r="C69" i="6"/>
  <c r="AB68" i="6"/>
  <c r="AA68" i="6"/>
  <c r="Z68" i="6"/>
  <c r="Y68" i="6"/>
  <c r="X68" i="6"/>
  <c r="W68" i="6"/>
  <c r="V68" i="6"/>
  <c r="U68" i="6"/>
  <c r="T68" i="6"/>
  <c r="S68" i="6"/>
  <c r="R68" i="6"/>
  <c r="Q68" i="6"/>
  <c r="P68" i="6"/>
  <c r="O68" i="6"/>
  <c r="N68" i="6"/>
  <c r="M68" i="6"/>
  <c r="L68" i="6"/>
  <c r="K68" i="6"/>
  <c r="J68" i="6"/>
  <c r="I68" i="6"/>
  <c r="H68" i="6"/>
  <c r="G68" i="6"/>
  <c r="F68" i="6"/>
  <c r="E68" i="6"/>
  <c r="D68" i="6"/>
  <c r="C68" i="6"/>
  <c r="AB67" i="6"/>
  <c r="AA67" i="6"/>
  <c r="Z67" i="6"/>
  <c r="Y67" i="6"/>
  <c r="X67" i="6"/>
  <c r="W67" i="6"/>
  <c r="V67" i="6"/>
  <c r="U67" i="6"/>
  <c r="T67" i="6"/>
  <c r="S67" i="6"/>
  <c r="R67" i="6"/>
  <c r="Q67" i="6"/>
  <c r="P67" i="6"/>
  <c r="O67" i="6"/>
  <c r="N67" i="6"/>
  <c r="M67" i="6"/>
  <c r="L67" i="6"/>
  <c r="K67" i="6"/>
  <c r="J67" i="6"/>
  <c r="I67" i="6"/>
  <c r="H67" i="6"/>
  <c r="G67" i="6"/>
  <c r="F67" i="6"/>
  <c r="E67" i="6"/>
  <c r="D67" i="6"/>
  <c r="C67" i="6"/>
  <c r="AB66" i="6"/>
  <c r="AA66" i="6"/>
  <c r="Z66" i="6"/>
  <c r="Y66" i="6"/>
  <c r="X66" i="6"/>
  <c r="W66" i="6"/>
  <c r="V66" i="6"/>
  <c r="U66" i="6"/>
  <c r="T66" i="6"/>
  <c r="S66" i="6"/>
  <c r="R66" i="6"/>
  <c r="Q66" i="6"/>
  <c r="P66" i="6"/>
  <c r="O66" i="6"/>
  <c r="N66" i="6"/>
  <c r="M66" i="6"/>
  <c r="L66" i="6"/>
  <c r="K66" i="6"/>
  <c r="J66" i="6"/>
  <c r="I66" i="6"/>
  <c r="H66" i="6"/>
  <c r="G66" i="6"/>
  <c r="F66" i="6"/>
  <c r="E66" i="6"/>
  <c r="D66" i="6"/>
  <c r="C66" i="6"/>
  <c r="AB65" i="6"/>
  <c r="AA65" i="6"/>
  <c r="Z65" i="6"/>
  <c r="Y65" i="6"/>
  <c r="X65" i="6"/>
  <c r="W65" i="6"/>
  <c r="V65" i="6"/>
  <c r="U65" i="6"/>
  <c r="T65" i="6"/>
  <c r="S65" i="6"/>
  <c r="R65" i="6"/>
  <c r="Q65" i="6"/>
  <c r="P65" i="6"/>
  <c r="O65" i="6"/>
  <c r="N65" i="6"/>
  <c r="M65" i="6"/>
  <c r="L65" i="6"/>
  <c r="K65" i="6"/>
  <c r="J65" i="6"/>
  <c r="I65" i="6"/>
  <c r="H65" i="6"/>
  <c r="G65" i="6"/>
  <c r="F65" i="6"/>
  <c r="E65" i="6"/>
  <c r="D65" i="6"/>
  <c r="AB64" i="6"/>
  <c r="AA64" i="6"/>
  <c r="Z64" i="6"/>
  <c r="Y64" i="6"/>
  <c r="X64" i="6"/>
  <c r="W64" i="6"/>
  <c r="V64" i="6"/>
  <c r="U64" i="6"/>
  <c r="T64" i="6"/>
  <c r="S64" i="6"/>
  <c r="R64" i="6"/>
  <c r="Q64" i="6"/>
  <c r="P64" i="6"/>
  <c r="O64" i="6"/>
  <c r="N64" i="6"/>
  <c r="M64" i="6"/>
  <c r="L64" i="6"/>
  <c r="K64" i="6"/>
  <c r="J64" i="6"/>
  <c r="I64" i="6"/>
  <c r="H64" i="6"/>
  <c r="G64" i="6"/>
  <c r="F64" i="6"/>
  <c r="E64" i="6"/>
  <c r="D64" i="6"/>
  <c r="C64" i="6"/>
  <c r="AB63" i="6"/>
  <c r="AB3" i="6" s="1"/>
  <c r="AA63" i="6"/>
  <c r="Z63" i="6"/>
  <c r="Y63" i="6"/>
  <c r="X63" i="6"/>
  <c r="W63" i="6"/>
  <c r="V63" i="6"/>
  <c r="U63" i="6"/>
  <c r="T63" i="6"/>
  <c r="S63" i="6"/>
  <c r="R63" i="6"/>
  <c r="Q63" i="6"/>
  <c r="P63" i="6"/>
  <c r="P3" i="6" s="1"/>
  <c r="O63" i="6"/>
  <c r="N63" i="6"/>
  <c r="M63" i="6"/>
  <c r="L63" i="6"/>
  <c r="K63" i="6"/>
  <c r="J63" i="6"/>
  <c r="I63" i="6"/>
  <c r="H63" i="6"/>
  <c r="G63" i="6"/>
  <c r="F63" i="6"/>
  <c r="E63" i="6"/>
  <c r="D63" i="6"/>
  <c r="C63" i="6"/>
  <c r="AB62" i="6"/>
  <c r="AA62" i="6"/>
  <c r="Z62" i="6"/>
  <c r="Y62" i="6"/>
  <c r="X62" i="6"/>
  <c r="W62" i="6"/>
  <c r="V62" i="6"/>
  <c r="U62" i="6"/>
  <c r="T62" i="6"/>
  <c r="S62" i="6"/>
  <c r="R62" i="6"/>
  <c r="Q62" i="6"/>
  <c r="P62" i="6"/>
  <c r="O62" i="6"/>
  <c r="N62" i="6"/>
  <c r="M62" i="6"/>
  <c r="L62" i="6"/>
  <c r="K62" i="6"/>
  <c r="J62" i="6"/>
  <c r="I62" i="6"/>
  <c r="H62" i="6"/>
  <c r="G62" i="6"/>
  <c r="F62" i="6"/>
  <c r="E62" i="6"/>
  <c r="D62" i="6"/>
  <c r="C62" i="6"/>
  <c r="AB61" i="6"/>
  <c r="AA61" i="6"/>
  <c r="Z61" i="6"/>
  <c r="Y61" i="6"/>
  <c r="X61" i="6"/>
  <c r="W61" i="6"/>
  <c r="V61" i="6"/>
  <c r="U61" i="6"/>
  <c r="T61" i="6"/>
  <c r="S61" i="6"/>
  <c r="R61" i="6"/>
  <c r="Q61" i="6"/>
  <c r="P61" i="6"/>
  <c r="O61" i="6"/>
  <c r="N61" i="6"/>
  <c r="M61" i="6"/>
  <c r="L61" i="6"/>
  <c r="K61" i="6"/>
  <c r="J61" i="6"/>
  <c r="I61" i="6"/>
  <c r="H61" i="6"/>
  <c r="G61" i="6"/>
  <c r="F61" i="6"/>
  <c r="E61" i="6"/>
  <c r="D61" i="6"/>
  <c r="C61" i="6"/>
  <c r="AB60" i="6"/>
  <c r="AA60" i="6"/>
  <c r="Z60" i="6"/>
  <c r="Y60" i="6"/>
  <c r="X60" i="6"/>
  <c r="W60" i="6"/>
  <c r="V60" i="6"/>
  <c r="V5" i="6" s="1"/>
  <c r="V6" i="6" s="1"/>
  <c r="U60" i="6"/>
  <c r="T60" i="6"/>
  <c r="S60" i="6"/>
  <c r="R60" i="6"/>
  <c r="Q60" i="6"/>
  <c r="P60" i="6"/>
  <c r="O60" i="6"/>
  <c r="N60" i="6"/>
  <c r="M60" i="6"/>
  <c r="L60" i="6"/>
  <c r="K60" i="6"/>
  <c r="J60" i="6"/>
  <c r="J5" i="6" s="1"/>
  <c r="J6" i="6" s="1"/>
  <c r="I60" i="6"/>
  <c r="H60" i="6"/>
  <c r="G60" i="6"/>
  <c r="F60" i="6"/>
  <c r="E60" i="6"/>
  <c r="C60" i="6"/>
  <c r="AB59" i="6"/>
  <c r="AA59" i="6"/>
  <c r="Z59" i="6"/>
  <c r="Y59" i="6"/>
  <c r="X59" i="6"/>
  <c r="W59" i="6"/>
  <c r="V59" i="6"/>
  <c r="U59" i="6"/>
  <c r="T59" i="6"/>
  <c r="S59" i="6"/>
  <c r="R59" i="6"/>
  <c r="Q59" i="6"/>
  <c r="P59" i="6"/>
  <c r="O59" i="6"/>
  <c r="N59" i="6"/>
  <c r="M59" i="6"/>
  <c r="L59" i="6"/>
  <c r="K59" i="6"/>
  <c r="J59" i="6"/>
  <c r="I59" i="6"/>
  <c r="H59" i="6"/>
  <c r="G59" i="6"/>
  <c r="F59" i="6"/>
  <c r="E59" i="6"/>
  <c r="D59" i="6"/>
  <c r="C59" i="6"/>
  <c r="AB58" i="6"/>
  <c r="AA58" i="6"/>
  <c r="Z58" i="6"/>
  <c r="Y58" i="6"/>
  <c r="X58" i="6"/>
  <c r="W58" i="6"/>
  <c r="V58" i="6"/>
  <c r="U58" i="6"/>
  <c r="T58" i="6"/>
  <c r="S58" i="6"/>
  <c r="R58" i="6"/>
  <c r="Q58" i="6"/>
  <c r="P58" i="6"/>
  <c r="O58" i="6"/>
  <c r="N58" i="6"/>
  <c r="M58" i="6"/>
  <c r="L58" i="6"/>
  <c r="K58" i="6"/>
  <c r="J58" i="6"/>
  <c r="I58" i="6"/>
  <c r="H58" i="6"/>
  <c r="G58" i="6"/>
  <c r="F58" i="6"/>
  <c r="E58" i="6"/>
  <c r="D58" i="6"/>
  <c r="C58" i="6"/>
  <c r="AB57" i="6"/>
  <c r="AA57" i="6"/>
  <c r="Z57" i="6"/>
  <c r="Y57" i="6"/>
  <c r="X57" i="6"/>
  <c r="W57" i="6"/>
  <c r="V57" i="6"/>
  <c r="U57" i="6"/>
  <c r="T57" i="6"/>
  <c r="S57" i="6"/>
  <c r="R57" i="6"/>
  <c r="Q57" i="6"/>
  <c r="P57" i="6"/>
  <c r="O57" i="6"/>
  <c r="N57" i="6"/>
  <c r="M57" i="6"/>
  <c r="L57" i="6"/>
  <c r="K57" i="6"/>
  <c r="J57" i="6"/>
  <c r="I57" i="6"/>
  <c r="H57" i="6"/>
  <c r="G57" i="6"/>
  <c r="F57" i="6"/>
  <c r="E57" i="6"/>
  <c r="D57" i="6"/>
  <c r="C57" i="6"/>
  <c r="AB56" i="6"/>
  <c r="AA56" i="6"/>
  <c r="Z56" i="6"/>
  <c r="Y56" i="6"/>
  <c r="X56" i="6"/>
  <c r="W56" i="6"/>
  <c r="V56" i="6"/>
  <c r="U56" i="6"/>
  <c r="T56" i="6"/>
  <c r="S56" i="6"/>
  <c r="R56" i="6"/>
  <c r="Q56" i="6"/>
  <c r="P56" i="6"/>
  <c r="O56" i="6"/>
  <c r="N56" i="6"/>
  <c r="M56" i="6"/>
  <c r="L56" i="6"/>
  <c r="K56" i="6"/>
  <c r="J56" i="6"/>
  <c r="I56" i="6"/>
  <c r="H56" i="6"/>
  <c r="G56" i="6"/>
  <c r="F56" i="6"/>
  <c r="E56" i="6"/>
  <c r="C56" i="6"/>
  <c r="AB55" i="6"/>
  <c r="Z55" i="6"/>
  <c r="Y55" i="6"/>
  <c r="X55" i="6"/>
  <c r="W55" i="6"/>
  <c r="V55" i="6"/>
  <c r="U55" i="6"/>
  <c r="T55" i="6"/>
  <c r="S55" i="6"/>
  <c r="R55" i="6"/>
  <c r="Q55" i="6"/>
  <c r="P55" i="6"/>
  <c r="O55" i="6"/>
  <c r="M55" i="6"/>
  <c r="L55" i="6"/>
  <c r="K55" i="6"/>
  <c r="J55" i="6"/>
  <c r="I55" i="6"/>
  <c r="H55" i="6"/>
  <c r="G55" i="6"/>
  <c r="F55" i="6"/>
  <c r="E55" i="6"/>
  <c r="D55" i="6"/>
  <c r="C55" i="6"/>
  <c r="AB54" i="6"/>
  <c r="AA54" i="6"/>
  <c r="Z54" i="6"/>
  <c r="Y54" i="6"/>
  <c r="X54" i="6"/>
  <c r="W54" i="6"/>
  <c r="V54" i="6"/>
  <c r="U54" i="6"/>
  <c r="T54" i="6"/>
  <c r="S54" i="6"/>
  <c r="R54" i="6"/>
  <c r="Q54" i="6"/>
  <c r="P54" i="6"/>
  <c r="O54" i="6"/>
  <c r="N54" i="6"/>
  <c r="M54" i="6"/>
  <c r="L54" i="6"/>
  <c r="K54" i="6"/>
  <c r="J54" i="6"/>
  <c r="I54" i="6"/>
  <c r="H54" i="6"/>
  <c r="G54" i="6"/>
  <c r="F54" i="6"/>
  <c r="E54" i="6"/>
  <c r="D54" i="6"/>
  <c r="C54" i="6"/>
  <c r="AB53" i="6"/>
  <c r="AA53" i="6"/>
  <c r="Z53" i="6"/>
  <c r="Y53" i="6"/>
  <c r="X53" i="6"/>
  <c r="W53" i="6"/>
  <c r="V53" i="6"/>
  <c r="U53" i="6"/>
  <c r="T53" i="6"/>
  <c r="S53" i="6"/>
  <c r="R53" i="6"/>
  <c r="Q53" i="6"/>
  <c r="P53" i="6"/>
  <c r="O53" i="6"/>
  <c r="N53" i="6"/>
  <c r="M53" i="6"/>
  <c r="L53" i="6"/>
  <c r="K53" i="6"/>
  <c r="J53" i="6"/>
  <c r="I53" i="6"/>
  <c r="H53" i="6"/>
  <c r="G53" i="6"/>
  <c r="F53" i="6"/>
  <c r="E53" i="6"/>
  <c r="D53" i="6"/>
  <c r="C53" i="6"/>
  <c r="AB52" i="6"/>
  <c r="AA52" i="6"/>
  <c r="Z52" i="6"/>
  <c r="Y52" i="6"/>
  <c r="X52" i="6"/>
  <c r="W52" i="6"/>
  <c r="V52" i="6"/>
  <c r="U52" i="6"/>
  <c r="T52" i="6"/>
  <c r="S52" i="6"/>
  <c r="R52" i="6"/>
  <c r="Q52" i="6"/>
  <c r="P52" i="6"/>
  <c r="O52" i="6"/>
  <c r="N52" i="6"/>
  <c r="M52" i="6"/>
  <c r="L52" i="6"/>
  <c r="K52" i="6"/>
  <c r="J52" i="6"/>
  <c r="I52" i="6"/>
  <c r="H52" i="6"/>
  <c r="G52" i="6"/>
  <c r="F52" i="6"/>
  <c r="E52" i="6"/>
  <c r="D52" i="6"/>
  <c r="AB51" i="6"/>
  <c r="AA51" i="6"/>
  <c r="Z51" i="6"/>
  <c r="Y51" i="6"/>
  <c r="X51" i="6"/>
  <c r="W51" i="6"/>
  <c r="V51" i="6"/>
  <c r="U51" i="6"/>
  <c r="T51" i="6"/>
  <c r="S51" i="6"/>
  <c r="R51" i="6"/>
  <c r="Q51" i="6"/>
  <c r="P51" i="6"/>
  <c r="O51" i="6"/>
  <c r="N51" i="6"/>
  <c r="M51" i="6"/>
  <c r="L51" i="6"/>
  <c r="K51" i="6"/>
  <c r="J51" i="6"/>
  <c r="I51" i="6"/>
  <c r="G51" i="6"/>
  <c r="F51" i="6"/>
  <c r="E51" i="6"/>
  <c r="D51" i="6"/>
  <c r="C51" i="6"/>
  <c r="AB50" i="6"/>
  <c r="AA50" i="6"/>
  <c r="Z50" i="6"/>
  <c r="Y50" i="6"/>
  <c r="X50" i="6"/>
  <c r="W50" i="6"/>
  <c r="V50" i="6"/>
  <c r="U50" i="6"/>
  <c r="T50" i="6"/>
  <c r="S50" i="6"/>
  <c r="R50" i="6"/>
  <c r="Q50" i="6"/>
  <c r="P50" i="6"/>
  <c r="O50" i="6"/>
  <c r="N50" i="6"/>
  <c r="M50" i="6"/>
  <c r="L50" i="6"/>
  <c r="K50" i="6"/>
  <c r="J50" i="6"/>
  <c r="I50" i="6"/>
  <c r="H50" i="6"/>
  <c r="G50" i="6"/>
  <c r="F50" i="6"/>
  <c r="E50" i="6"/>
  <c r="D50" i="6"/>
  <c r="C50" i="6"/>
  <c r="AB49" i="6"/>
  <c r="AA49" i="6"/>
  <c r="Z49" i="6"/>
  <c r="Y49" i="6"/>
  <c r="X49" i="6"/>
  <c r="W49" i="6"/>
  <c r="V49" i="6"/>
  <c r="U49" i="6"/>
  <c r="T49" i="6"/>
  <c r="S49" i="6"/>
  <c r="R49" i="6"/>
  <c r="Q49" i="6"/>
  <c r="P49" i="6"/>
  <c r="O49" i="6"/>
  <c r="N49" i="6"/>
  <c r="M49" i="6"/>
  <c r="L49" i="6"/>
  <c r="K49" i="6"/>
  <c r="J49" i="6"/>
  <c r="I49" i="6"/>
  <c r="H49" i="6"/>
  <c r="G49" i="6"/>
  <c r="F49" i="6"/>
  <c r="E49" i="6"/>
  <c r="D49" i="6"/>
  <c r="C49" i="6"/>
  <c r="AB48" i="6"/>
  <c r="AA48" i="6"/>
  <c r="Z48" i="6"/>
  <c r="Y48" i="6"/>
  <c r="X48" i="6"/>
  <c r="W48" i="6"/>
  <c r="V48" i="6"/>
  <c r="U48" i="6"/>
  <c r="T48" i="6"/>
  <c r="S48" i="6"/>
  <c r="R48" i="6"/>
  <c r="Q48" i="6"/>
  <c r="P48" i="6"/>
  <c r="O48" i="6"/>
  <c r="N48" i="6"/>
  <c r="M48" i="6"/>
  <c r="L48" i="6"/>
  <c r="K48" i="6"/>
  <c r="J48" i="6"/>
  <c r="I48" i="6"/>
  <c r="H48" i="6"/>
  <c r="G48" i="6"/>
  <c r="F48" i="6"/>
  <c r="E48" i="6"/>
  <c r="D48" i="6"/>
  <c r="C48" i="6"/>
  <c r="AB47" i="6"/>
  <c r="AA47" i="6"/>
  <c r="Z47" i="6"/>
  <c r="Y47" i="6"/>
  <c r="X47" i="6"/>
  <c r="W47" i="6"/>
  <c r="V47" i="6"/>
  <c r="U47" i="6"/>
  <c r="T47" i="6"/>
  <c r="S47" i="6"/>
  <c r="R47" i="6"/>
  <c r="Q47" i="6"/>
  <c r="P47" i="6"/>
  <c r="O47" i="6"/>
  <c r="N47" i="6"/>
  <c r="M47" i="6"/>
  <c r="L47" i="6"/>
  <c r="K47" i="6"/>
  <c r="J47" i="6"/>
  <c r="I47" i="6"/>
  <c r="H47" i="6"/>
  <c r="G47" i="6"/>
  <c r="F47" i="6"/>
  <c r="E47" i="6"/>
  <c r="D47" i="6"/>
  <c r="C47" i="6"/>
  <c r="AB46" i="6"/>
  <c r="AA46" i="6"/>
  <c r="Z46" i="6"/>
  <c r="Y46" i="6"/>
  <c r="X46" i="6"/>
  <c r="W46" i="6"/>
  <c r="V46" i="6"/>
  <c r="U46" i="6"/>
  <c r="T46" i="6"/>
  <c r="S46" i="6"/>
  <c r="R46" i="6"/>
  <c r="Q46" i="6"/>
  <c r="P46" i="6"/>
  <c r="O46" i="6"/>
  <c r="N46" i="6"/>
  <c r="M46" i="6"/>
  <c r="K46" i="6"/>
  <c r="J46" i="6"/>
  <c r="I46" i="6"/>
  <c r="H46" i="6"/>
  <c r="G46" i="6"/>
  <c r="F46" i="6"/>
  <c r="E46" i="6"/>
  <c r="D46" i="6"/>
  <c r="C46" i="6"/>
  <c r="AB45" i="6"/>
  <c r="AA45" i="6"/>
  <c r="Z45" i="6"/>
  <c r="Y45" i="6"/>
  <c r="X45" i="6"/>
  <c r="W45" i="6"/>
  <c r="V45" i="6"/>
  <c r="U45" i="6"/>
  <c r="T45" i="6"/>
  <c r="S45" i="6"/>
  <c r="R45" i="6"/>
  <c r="Q45" i="6"/>
  <c r="P45" i="6"/>
  <c r="O45" i="6"/>
  <c r="N45" i="6"/>
  <c r="M45" i="6"/>
  <c r="L45" i="6"/>
  <c r="K45" i="6"/>
  <c r="J45" i="6"/>
  <c r="I45" i="6"/>
  <c r="H45" i="6"/>
  <c r="G45" i="6"/>
  <c r="F45" i="6"/>
  <c r="E45" i="6"/>
  <c r="D45" i="6"/>
  <c r="C45" i="6"/>
  <c r="AB44" i="6"/>
  <c r="AA44" i="6"/>
  <c r="Z44" i="6"/>
  <c r="Y44" i="6"/>
  <c r="X44" i="6"/>
  <c r="W44" i="6"/>
  <c r="V44" i="6"/>
  <c r="U44" i="6"/>
  <c r="T44" i="6"/>
  <c r="S44" i="6"/>
  <c r="R44" i="6"/>
  <c r="Q44" i="6"/>
  <c r="P44" i="6"/>
  <c r="O44" i="6"/>
  <c r="N44" i="6"/>
  <c r="M44" i="6"/>
  <c r="L44" i="6"/>
  <c r="K44" i="6"/>
  <c r="J44" i="6"/>
  <c r="I44" i="6"/>
  <c r="H44" i="6"/>
  <c r="G44" i="6"/>
  <c r="F44" i="6"/>
  <c r="E44" i="6"/>
  <c r="D44" i="6"/>
  <c r="C44" i="6"/>
  <c r="AB43" i="6"/>
  <c r="AA43" i="6"/>
  <c r="Z43" i="6"/>
  <c r="Y43" i="6"/>
  <c r="X43" i="6"/>
  <c r="W43" i="6"/>
  <c r="V43" i="6"/>
  <c r="U43" i="6"/>
  <c r="T43" i="6"/>
  <c r="S43" i="6"/>
  <c r="R43" i="6"/>
  <c r="Q43" i="6"/>
  <c r="P43" i="6"/>
  <c r="O43" i="6"/>
  <c r="N43" i="6"/>
  <c r="M43" i="6"/>
  <c r="L43" i="6"/>
  <c r="K43" i="6"/>
  <c r="J43" i="6"/>
  <c r="I43" i="6"/>
  <c r="H43" i="6"/>
  <c r="G43" i="6"/>
  <c r="F43" i="6"/>
  <c r="E43" i="6"/>
  <c r="D43" i="6"/>
  <c r="C43" i="6"/>
  <c r="AB42" i="6"/>
  <c r="AA42" i="6"/>
  <c r="Z42" i="6"/>
  <c r="Y42" i="6"/>
  <c r="X42" i="6"/>
  <c r="W42" i="6"/>
  <c r="V42" i="6"/>
  <c r="U42" i="6"/>
  <c r="T42" i="6"/>
  <c r="S42" i="6"/>
  <c r="R42" i="6"/>
  <c r="Q42" i="6"/>
  <c r="P42" i="6"/>
  <c r="O42" i="6"/>
  <c r="N42" i="6"/>
  <c r="M42" i="6"/>
  <c r="L42" i="6"/>
  <c r="K42" i="6"/>
  <c r="J42" i="6"/>
  <c r="I42" i="6"/>
  <c r="H42" i="6"/>
  <c r="G42" i="6"/>
  <c r="F42" i="6"/>
  <c r="E42" i="6"/>
  <c r="D42" i="6"/>
  <c r="C42" i="6"/>
  <c r="AB41" i="6"/>
  <c r="AA41" i="6"/>
  <c r="Z41" i="6"/>
  <c r="Y41" i="6"/>
  <c r="X41" i="6"/>
  <c r="W41" i="6"/>
  <c r="V41" i="6"/>
  <c r="U41" i="6"/>
  <c r="T41" i="6"/>
  <c r="S41" i="6"/>
  <c r="R41" i="6"/>
  <c r="Q41" i="6"/>
  <c r="P41" i="6"/>
  <c r="O41" i="6"/>
  <c r="N41" i="6"/>
  <c r="M41" i="6"/>
  <c r="L41" i="6"/>
  <c r="K41" i="6"/>
  <c r="J41" i="6"/>
  <c r="I41" i="6"/>
  <c r="H41" i="6"/>
  <c r="G41" i="6"/>
  <c r="F41" i="6"/>
  <c r="D41" i="6"/>
  <c r="C41" i="6"/>
  <c r="AB40" i="6"/>
  <c r="AA40" i="6"/>
  <c r="Z40" i="6"/>
  <c r="Y40" i="6"/>
  <c r="X40" i="6"/>
  <c r="W40" i="6"/>
  <c r="V40" i="6"/>
  <c r="U40" i="6"/>
  <c r="T40" i="6"/>
  <c r="S40" i="6"/>
  <c r="R40" i="6"/>
  <c r="Q40" i="6"/>
  <c r="P40" i="6"/>
  <c r="O40" i="6"/>
  <c r="N40" i="6"/>
  <c r="M40" i="6"/>
  <c r="L40" i="6"/>
  <c r="K40" i="6"/>
  <c r="J40" i="6"/>
  <c r="I40" i="6"/>
  <c r="H40" i="6"/>
  <c r="G40" i="6"/>
  <c r="F40" i="6"/>
  <c r="C40" i="6"/>
  <c r="AB39" i="6"/>
  <c r="AA39" i="6"/>
  <c r="Z39" i="6"/>
  <c r="Y39" i="6"/>
  <c r="X39" i="6"/>
  <c r="W39" i="6"/>
  <c r="V39" i="6"/>
  <c r="U39" i="6"/>
  <c r="T39" i="6"/>
  <c r="S39" i="6"/>
  <c r="R39" i="6"/>
  <c r="Q39" i="6"/>
  <c r="P39" i="6"/>
  <c r="O39" i="6"/>
  <c r="N39" i="6"/>
  <c r="M39" i="6"/>
  <c r="L39" i="6"/>
  <c r="K39" i="6"/>
  <c r="J39" i="6"/>
  <c r="I39" i="6"/>
  <c r="H39" i="6"/>
  <c r="G39" i="6"/>
  <c r="F39" i="6"/>
  <c r="E39" i="6"/>
  <c r="D39" i="6"/>
  <c r="C39" i="6"/>
  <c r="AB38" i="6"/>
  <c r="AA38" i="6"/>
  <c r="Z38" i="6"/>
  <c r="Y38" i="6"/>
  <c r="X38" i="6"/>
  <c r="W38" i="6"/>
  <c r="V38" i="6"/>
  <c r="U38" i="6"/>
  <c r="T38" i="6"/>
  <c r="S38" i="6"/>
  <c r="R38" i="6"/>
  <c r="Q38" i="6"/>
  <c r="P38" i="6"/>
  <c r="O38" i="6"/>
  <c r="N38" i="6"/>
  <c r="M38" i="6"/>
  <c r="L38" i="6"/>
  <c r="K38" i="6"/>
  <c r="J38" i="6"/>
  <c r="I38" i="6"/>
  <c r="H38" i="6"/>
  <c r="G38" i="6"/>
  <c r="F38" i="6"/>
  <c r="E38" i="6"/>
  <c r="D38" i="6"/>
  <c r="C38" i="6"/>
  <c r="AB37" i="6"/>
  <c r="AA37" i="6"/>
  <c r="Z37" i="6"/>
  <c r="Y37" i="6"/>
  <c r="X37" i="6"/>
  <c r="W37" i="6"/>
  <c r="V37" i="6"/>
  <c r="U37" i="6"/>
  <c r="T37" i="6"/>
  <c r="S37" i="6"/>
  <c r="R37" i="6"/>
  <c r="Q37" i="6"/>
  <c r="P37" i="6"/>
  <c r="O37" i="6"/>
  <c r="N37" i="6"/>
  <c r="M37" i="6"/>
  <c r="L37" i="6"/>
  <c r="K37" i="6"/>
  <c r="J37" i="6"/>
  <c r="I37" i="6"/>
  <c r="H37" i="6"/>
  <c r="G37" i="6"/>
  <c r="F37" i="6"/>
  <c r="E37" i="6"/>
  <c r="D37" i="6"/>
  <c r="C37" i="6"/>
  <c r="AB36" i="6"/>
  <c r="AA36" i="6"/>
  <c r="Z36" i="6"/>
  <c r="Y36" i="6"/>
  <c r="X36" i="6"/>
  <c r="W36" i="6"/>
  <c r="V36" i="6"/>
  <c r="U36" i="6"/>
  <c r="T36" i="6"/>
  <c r="S36" i="6"/>
  <c r="R36" i="6"/>
  <c r="Q36" i="6"/>
  <c r="P36" i="6"/>
  <c r="O36" i="6"/>
  <c r="N36" i="6"/>
  <c r="M36" i="6"/>
  <c r="L36" i="6"/>
  <c r="K36" i="6"/>
  <c r="J36" i="6"/>
  <c r="I36" i="6"/>
  <c r="H36" i="6"/>
  <c r="G36" i="6"/>
  <c r="F36" i="6"/>
  <c r="E36" i="6"/>
  <c r="D36" i="6"/>
  <c r="C36" i="6"/>
  <c r="AB35" i="6"/>
  <c r="AA35" i="6"/>
  <c r="Z35" i="6"/>
  <c r="Y35" i="6"/>
  <c r="X35" i="6"/>
  <c r="W35" i="6"/>
  <c r="V35" i="6"/>
  <c r="U35" i="6"/>
  <c r="T35" i="6"/>
  <c r="S35" i="6"/>
  <c r="R35" i="6"/>
  <c r="Q35" i="6"/>
  <c r="P35" i="6"/>
  <c r="O35" i="6"/>
  <c r="N35" i="6"/>
  <c r="M35" i="6"/>
  <c r="L35" i="6"/>
  <c r="K35" i="6"/>
  <c r="J35" i="6"/>
  <c r="I35" i="6"/>
  <c r="H35" i="6"/>
  <c r="G35" i="6"/>
  <c r="F35" i="6"/>
  <c r="E35" i="6"/>
  <c r="D35" i="6"/>
  <c r="C35" i="6"/>
  <c r="AB34" i="6"/>
  <c r="AA34" i="6"/>
  <c r="Z34" i="6"/>
  <c r="Y34" i="6"/>
  <c r="X34" i="6"/>
  <c r="W34" i="6"/>
  <c r="V34" i="6"/>
  <c r="U34" i="6"/>
  <c r="T34" i="6"/>
  <c r="S34" i="6"/>
  <c r="R34" i="6"/>
  <c r="Q34" i="6"/>
  <c r="P34" i="6"/>
  <c r="O34" i="6"/>
  <c r="N34" i="6"/>
  <c r="M34" i="6"/>
  <c r="L34" i="6"/>
  <c r="K34" i="6"/>
  <c r="J34" i="6"/>
  <c r="I34" i="6"/>
  <c r="H34" i="6"/>
  <c r="G34" i="6"/>
  <c r="F34" i="6"/>
  <c r="E34" i="6"/>
  <c r="D34" i="6"/>
  <c r="C34" i="6"/>
  <c r="AB33" i="6"/>
  <c r="AA33" i="6"/>
  <c r="Z33" i="6"/>
  <c r="Y33" i="6"/>
  <c r="X33" i="6"/>
  <c r="W33" i="6"/>
  <c r="V33" i="6"/>
  <c r="U33" i="6"/>
  <c r="T33" i="6"/>
  <c r="S33" i="6"/>
  <c r="R33" i="6"/>
  <c r="Q33" i="6"/>
  <c r="P33" i="6"/>
  <c r="O33" i="6"/>
  <c r="N33" i="6"/>
  <c r="M33" i="6"/>
  <c r="L33" i="6"/>
  <c r="K33" i="6"/>
  <c r="J33" i="6"/>
  <c r="I33" i="6"/>
  <c r="H33" i="6"/>
  <c r="G33" i="6"/>
  <c r="F33" i="6"/>
  <c r="E33" i="6"/>
  <c r="D33" i="6"/>
  <c r="C33" i="6"/>
  <c r="AB32" i="6"/>
  <c r="AA32" i="6"/>
  <c r="Z32" i="6"/>
  <c r="Y32" i="6"/>
  <c r="X32" i="6"/>
  <c r="W32" i="6"/>
  <c r="V32" i="6"/>
  <c r="U32" i="6"/>
  <c r="T32" i="6"/>
  <c r="S32" i="6"/>
  <c r="R32" i="6"/>
  <c r="Q32" i="6"/>
  <c r="P32" i="6"/>
  <c r="O32" i="6"/>
  <c r="N32" i="6"/>
  <c r="M32" i="6"/>
  <c r="L32" i="6"/>
  <c r="K32" i="6"/>
  <c r="J32" i="6"/>
  <c r="I32" i="6"/>
  <c r="H32" i="6"/>
  <c r="G32" i="6"/>
  <c r="E32" i="6"/>
  <c r="D32" i="6"/>
  <c r="C32" i="6"/>
  <c r="AB31" i="6"/>
  <c r="AA31" i="6"/>
  <c r="Z31" i="6"/>
  <c r="Y31" i="6"/>
  <c r="X31" i="6"/>
  <c r="W31" i="6"/>
  <c r="V31" i="6"/>
  <c r="U31" i="6"/>
  <c r="T31" i="6"/>
  <c r="S31" i="6"/>
  <c r="R31" i="6"/>
  <c r="Q31" i="6"/>
  <c r="P31" i="6"/>
  <c r="O31" i="6"/>
  <c r="N31" i="6"/>
  <c r="M31" i="6"/>
  <c r="L31" i="6"/>
  <c r="K31" i="6"/>
  <c r="J31" i="6"/>
  <c r="I31" i="6"/>
  <c r="H31" i="6"/>
  <c r="G31" i="6"/>
  <c r="F31" i="6"/>
  <c r="E31" i="6"/>
  <c r="D31" i="6"/>
  <c r="C31" i="6"/>
  <c r="AB30" i="6"/>
  <c r="AA30" i="6"/>
  <c r="Z30" i="6"/>
  <c r="Y30" i="6"/>
  <c r="X30" i="6"/>
  <c r="W30" i="6"/>
  <c r="V30" i="6"/>
  <c r="U30" i="6"/>
  <c r="T30" i="6"/>
  <c r="S30" i="6"/>
  <c r="R30" i="6"/>
  <c r="Q30" i="6"/>
  <c r="P30" i="6"/>
  <c r="O30" i="6"/>
  <c r="N30" i="6"/>
  <c r="M30" i="6"/>
  <c r="L30" i="6"/>
  <c r="K30" i="6"/>
  <c r="J30" i="6"/>
  <c r="I30" i="6"/>
  <c r="H30" i="6"/>
  <c r="F30" i="6"/>
  <c r="D30" i="6"/>
  <c r="C30" i="6"/>
  <c r="AB29" i="6"/>
  <c r="AA29" i="6"/>
  <c r="Z29" i="6"/>
  <c r="Y29" i="6"/>
  <c r="X29" i="6"/>
  <c r="W29" i="6"/>
  <c r="V29" i="6"/>
  <c r="U29" i="6"/>
  <c r="T29" i="6"/>
  <c r="S29" i="6"/>
  <c r="R29" i="6"/>
  <c r="Q29" i="6"/>
  <c r="P29" i="6"/>
  <c r="O29" i="6"/>
  <c r="N29" i="6"/>
  <c r="M29" i="6"/>
  <c r="L29" i="6"/>
  <c r="K29" i="6"/>
  <c r="J29" i="6"/>
  <c r="I29" i="6"/>
  <c r="H29" i="6"/>
  <c r="G29" i="6"/>
  <c r="F29" i="6"/>
  <c r="E29" i="6"/>
  <c r="D29" i="6"/>
  <c r="AB28" i="6"/>
  <c r="AA28" i="6"/>
  <c r="Z28" i="6"/>
  <c r="Y28" i="6"/>
  <c r="X28" i="6"/>
  <c r="W28" i="6"/>
  <c r="V28" i="6"/>
  <c r="U28" i="6"/>
  <c r="T28" i="6"/>
  <c r="S28" i="6"/>
  <c r="R28" i="6"/>
  <c r="Q28" i="6"/>
  <c r="P28" i="6"/>
  <c r="O28" i="6"/>
  <c r="N28" i="6"/>
  <c r="M28" i="6"/>
  <c r="L28" i="6"/>
  <c r="K28" i="6"/>
  <c r="J28" i="6"/>
  <c r="I28" i="6"/>
  <c r="H28" i="6"/>
  <c r="G28" i="6"/>
  <c r="F28" i="6"/>
  <c r="E28" i="6"/>
  <c r="D28" i="6"/>
  <c r="C28" i="6"/>
  <c r="AB27" i="6"/>
  <c r="AA27" i="6"/>
  <c r="Z27" i="6"/>
  <c r="Y27" i="6"/>
  <c r="X27" i="6"/>
  <c r="W27" i="6"/>
  <c r="V27" i="6"/>
  <c r="U27" i="6"/>
  <c r="T27" i="6"/>
  <c r="S27" i="6"/>
  <c r="R27" i="6"/>
  <c r="Q27" i="6"/>
  <c r="P27" i="6"/>
  <c r="O27" i="6"/>
  <c r="N27" i="6"/>
  <c r="M27" i="6"/>
  <c r="L27" i="6"/>
  <c r="K27" i="6"/>
  <c r="J27" i="6"/>
  <c r="I27" i="6"/>
  <c r="H27" i="6"/>
  <c r="G27" i="6"/>
  <c r="F27" i="6"/>
  <c r="E27" i="6"/>
  <c r="D27" i="6"/>
  <c r="C27" i="6"/>
  <c r="AB26" i="6"/>
  <c r="AA26" i="6"/>
  <c r="Z26" i="6"/>
  <c r="Y26" i="6"/>
  <c r="X26" i="6"/>
  <c r="W26" i="6"/>
  <c r="V26" i="6"/>
  <c r="U26" i="6"/>
  <c r="T26" i="6"/>
  <c r="S26" i="6"/>
  <c r="R26" i="6"/>
  <c r="Q26" i="6"/>
  <c r="P26" i="6"/>
  <c r="O26" i="6"/>
  <c r="N26" i="6"/>
  <c r="M26" i="6"/>
  <c r="L26" i="6"/>
  <c r="K26" i="6"/>
  <c r="J26" i="6"/>
  <c r="I26" i="6"/>
  <c r="H26" i="6"/>
  <c r="G26" i="6"/>
  <c r="F26" i="6"/>
  <c r="E26" i="6"/>
  <c r="D26" i="6"/>
  <c r="C26" i="6"/>
  <c r="AB25" i="6"/>
  <c r="AA25" i="6"/>
  <c r="Z25" i="6"/>
  <c r="Y25" i="6"/>
  <c r="X25" i="6"/>
  <c r="W25" i="6"/>
  <c r="V25" i="6"/>
  <c r="U25" i="6"/>
  <c r="T25" i="6"/>
  <c r="S25" i="6"/>
  <c r="R25" i="6"/>
  <c r="Q25" i="6"/>
  <c r="P25" i="6"/>
  <c r="O25" i="6"/>
  <c r="N25" i="6"/>
  <c r="M25" i="6"/>
  <c r="L25" i="6"/>
  <c r="K25" i="6"/>
  <c r="J25" i="6"/>
  <c r="I25" i="6"/>
  <c r="H25" i="6"/>
  <c r="G25" i="6"/>
  <c r="F25" i="6"/>
  <c r="D25" i="6"/>
  <c r="C25" i="6"/>
  <c r="AB24" i="6"/>
  <c r="AA24" i="6"/>
  <c r="Z24" i="6"/>
  <c r="Y24" i="6"/>
  <c r="X24" i="6"/>
  <c r="W24" i="6"/>
  <c r="V24" i="6"/>
  <c r="U24" i="6"/>
  <c r="T24" i="6"/>
  <c r="S24" i="6"/>
  <c r="R24" i="6"/>
  <c r="Q24" i="6"/>
  <c r="P24" i="6"/>
  <c r="O24" i="6"/>
  <c r="N24" i="6"/>
  <c r="M24" i="6"/>
  <c r="L24" i="6"/>
  <c r="K24" i="6"/>
  <c r="J24" i="6"/>
  <c r="I24" i="6"/>
  <c r="H24" i="6"/>
  <c r="G24" i="6"/>
  <c r="F24" i="6"/>
  <c r="C24" i="6"/>
  <c r="AB23" i="6"/>
  <c r="AA23" i="6"/>
  <c r="Z23" i="6"/>
  <c r="Y23" i="6"/>
  <c r="X23" i="6"/>
  <c r="W23" i="6"/>
  <c r="V23" i="6"/>
  <c r="U23" i="6"/>
  <c r="T23" i="6"/>
  <c r="S23" i="6"/>
  <c r="R23" i="6"/>
  <c r="Q23" i="6"/>
  <c r="P23" i="6"/>
  <c r="O23" i="6"/>
  <c r="N23" i="6"/>
  <c r="M23" i="6"/>
  <c r="L23" i="6"/>
  <c r="K23" i="6"/>
  <c r="J23" i="6"/>
  <c r="I23" i="6"/>
  <c r="H23" i="6"/>
  <c r="F23" i="6"/>
  <c r="E23" i="6"/>
  <c r="D23" i="6"/>
  <c r="C23" i="6"/>
  <c r="AB22" i="6"/>
  <c r="AA22" i="6"/>
  <c r="Z22" i="6"/>
  <c r="Y22" i="6"/>
  <c r="X22" i="6"/>
  <c r="W22" i="6"/>
  <c r="V22" i="6"/>
  <c r="U22" i="6"/>
  <c r="T22" i="6"/>
  <c r="S22" i="6"/>
  <c r="R22" i="6"/>
  <c r="Q22" i="6"/>
  <c r="P22" i="6"/>
  <c r="O22" i="6"/>
  <c r="N22" i="6"/>
  <c r="M22" i="6"/>
  <c r="L22" i="6"/>
  <c r="K22" i="6"/>
  <c r="J22" i="6"/>
  <c r="I22" i="6"/>
  <c r="G22" i="6"/>
  <c r="F22" i="6"/>
  <c r="E22" i="6"/>
  <c r="D22" i="6"/>
  <c r="C22" i="6"/>
  <c r="AB21" i="6"/>
  <c r="AA21" i="6"/>
  <c r="Z21" i="6"/>
  <c r="Y21" i="6"/>
  <c r="X21" i="6"/>
  <c r="W21" i="6"/>
  <c r="V21" i="6"/>
  <c r="U21" i="6"/>
  <c r="T21" i="6"/>
  <c r="S21" i="6"/>
  <c r="R21" i="6"/>
  <c r="Q21" i="6"/>
  <c r="P21" i="6"/>
  <c r="O21" i="6"/>
  <c r="N21" i="6"/>
  <c r="M21" i="6"/>
  <c r="L21" i="6"/>
  <c r="K21" i="6"/>
  <c r="J21" i="6"/>
  <c r="I21" i="6"/>
  <c r="H21" i="6"/>
  <c r="G21" i="6"/>
  <c r="F21" i="6"/>
  <c r="E21" i="6"/>
  <c r="D21" i="6"/>
  <c r="C21" i="6"/>
  <c r="AB20" i="6"/>
  <c r="AA20" i="6"/>
  <c r="Z20" i="6"/>
  <c r="Y20" i="6"/>
  <c r="X20" i="6"/>
  <c r="W20" i="6"/>
  <c r="V20" i="6"/>
  <c r="U20" i="6"/>
  <c r="T20" i="6"/>
  <c r="S20" i="6"/>
  <c r="R20" i="6"/>
  <c r="Q20" i="6"/>
  <c r="P20" i="6"/>
  <c r="O20" i="6"/>
  <c r="N20" i="6"/>
  <c r="M20" i="6"/>
  <c r="L20" i="6"/>
  <c r="K20" i="6"/>
  <c r="J20" i="6"/>
  <c r="I20" i="6"/>
  <c r="H20" i="6"/>
  <c r="G20" i="6"/>
  <c r="F20" i="6"/>
  <c r="E20" i="6"/>
  <c r="D20" i="6"/>
  <c r="C20" i="6"/>
  <c r="AB19" i="6"/>
  <c r="AA19" i="6"/>
  <c r="Z19" i="6"/>
  <c r="Y19" i="6"/>
  <c r="X19" i="6"/>
  <c r="W19" i="6"/>
  <c r="V19" i="6"/>
  <c r="U19" i="6"/>
  <c r="T19" i="6"/>
  <c r="S19" i="6"/>
  <c r="R19" i="6"/>
  <c r="Q19" i="6"/>
  <c r="P19" i="6"/>
  <c r="O19" i="6"/>
  <c r="N19" i="6"/>
  <c r="M19" i="6"/>
  <c r="L19" i="6"/>
  <c r="K19" i="6"/>
  <c r="J19" i="6"/>
  <c r="I19" i="6"/>
  <c r="H19" i="6"/>
  <c r="G19" i="6"/>
  <c r="F19" i="6"/>
  <c r="E19" i="6"/>
  <c r="D19" i="6"/>
  <c r="C19" i="6"/>
  <c r="AB18" i="6"/>
  <c r="AA18" i="6"/>
  <c r="Z18" i="6"/>
  <c r="Y18" i="6"/>
  <c r="X18" i="6"/>
  <c r="W18" i="6"/>
  <c r="V18" i="6"/>
  <c r="U18" i="6"/>
  <c r="T18" i="6"/>
  <c r="S18" i="6"/>
  <c r="R18" i="6"/>
  <c r="Q18" i="6"/>
  <c r="P18" i="6"/>
  <c r="O18" i="6"/>
  <c r="N18" i="6"/>
  <c r="M18" i="6"/>
  <c r="L18" i="6"/>
  <c r="K18" i="6"/>
  <c r="J18" i="6"/>
  <c r="I18" i="6"/>
  <c r="H18" i="6"/>
  <c r="G18" i="6"/>
  <c r="F18" i="6"/>
  <c r="E18" i="6"/>
  <c r="D18" i="6"/>
  <c r="C18" i="6"/>
  <c r="AB17" i="6"/>
  <c r="AA17" i="6"/>
  <c r="Z17" i="6"/>
  <c r="Y17" i="6"/>
  <c r="X17" i="6"/>
  <c r="X5" i="6" s="1"/>
  <c r="X6" i="6" s="1"/>
  <c r="W17" i="6"/>
  <c r="W5" i="6" s="1"/>
  <c r="W6" i="6" s="1"/>
  <c r="V17" i="6"/>
  <c r="U17" i="6"/>
  <c r="T17" i="6"/>
  <c r="S17" i="6"/>
  <c r="R17" i="6"/>
  <c r="Q17" i="6"/>
  <c r="P17" i="6"/>
  <c r="O17" i="6"/>
  <c r="N17" i="6"/>
  <c r="M17" i="6"/>
  <c r="L17" i="6"/>
  <c r="K17" i="6"/>
  <c r="K5" i="6" s="1"/>
  <c r="K6" i="6" s="1"/>
  <c r="J17" i="6"/>
  <c r="I17" i="6"/>
  <c r="H17" i="6"/>
  <c r="G17" i="6"/>
  <c r="E17" i="6"/>
  <c r="D17" i="6"/>
  <c r="C17" i="6"/>
  <c r="AB16" i="6"/>
  <c r="AA16" i="6"/>
  <c r="Z16" i="6"/>
  <c r="Z4" i="6" s="1"/>
  <c r="Y16" i="6"/>
  <c r="Y4" i="6" s="1"/>
  <c r="X16" i="6"/>
  <c r="W16" i="6"/>
  <c r="V16" i="6"/>
  <c r="U16" i="6"/>
  <c r="T16" i="6"/>
  <c r="S16" i="6"/>
  <c r="R16" i="6"/>
  <c r="Q16" i="6"/>
  <c r="P16" i="6"/>
  <c r="O16" i="6"/>
  <c r="N16" i="6"/>
  <c r="M16" i="6"/>
  <c r="M4" i="6" s="1"/>
  <c r="L16" i="6"/>
  <c r="K16" i="6"/>
  <c r="J16" i="6"/>
  <c r="H16" i="6"/>
  <c r="G16" i="6"/>
  <c r="F16" i="6"/>
  <c r="E16" i="6"/>
  <c r="D16" i="6"/>
  <c r="AB15" i="6"/>
  <c r="AA15" i="6"/>
  <c r="Z15" i="6"/>
  <c r="Y15" i="6"/>
  <c r="X15" i="6"/>
  <c r="W15" i="6"/>
  <c r="V15" i="6"/>
  <c r="U15" i="6"/>
  <c r="T15" i="6"/>
  <c r="S15" i="6"/>
  <c r="R15" i="6"/>
  <c r="Q15" i="6"/>
  <c r="P15" i="6"/>
  <c r="O15" i="6"/>
  <c r="O4" i="6" s="1"/>
  <c r="N15" i="6"/>
  <c r="M15" i="6"/>
  <c r="L15" i="6"/>
  <c r="K15" i="6"/>
  <c r="J15" i="6"/>
  <c r="I15" i="6"/>
  <c r="H15" i="6"/>
  <c r="G15" i="6"/>
  <c r="F15" i="6"/>
  <c r="E15" i="6"/>
  <c r="D15" i="6"/>
  <c r="C15" i="6"/>
  <c r="AB14" i="6"/>
  <c r="AB5" i="6" s="1"/>
  <c r="AB6" i="6" s="1"/>
  <c r="AA14" i="6"/>
  <c r="Z14" i="6"/>
  <c r="Y14" i="6"/>
  <c r="Y5" i="6" s="1"/>
  <c r="Y6" i="6" s="1"/>
  <c r="X14" i="6"/>
  <c r="W14" i="6"/>
  <c r="V14" i="6"/>
  <c r="U14" i="6"/>
  <c r="T14" i="6"/>
  <c r="S14" i="6"/>
  <c r="R14" i="6"/>
  <c r="R3" i="6" s="1"/>
  <c r="Q14" i="6"/>
  <c r="Q5" i="6" s="1"/>
  <c r="Q6" i="6" s="1"/>
  <c r="P14" i="6"/>
  <c r="P5" i="6" s="1"/>
  <c r="P6" i="6" s="1"/>
  <c r="O14" i="6"/>
  <c r="N14" i="6"/>
  <c r="M14" i="6"/>
  <c r="M5" i="6" s="1"/>
  <c r="M6" i="6" s="1"/>
  <c r="L14" i="6"/>
  <c r="K14" i="6"/>
  <c r="J14" i="6"/>
  <c r="I14" i="6"/>
  <c r="H14" i="6"/>
  <c r="G14" i="6"/>
  <c r="F14" i="6"/>
  <c r="E14" i="6"/>
  <c r="D14" i="6"/>
  <c r="C14" i="6"/>
  <c r="AB13" i="6"/>
  <c r="AA13" i="6"/>
  <c r="Z13" i="6"/>
  <c r="Z5" i="6" s="1"/>
  <c r="Z6" i="6" s="1"/>
  <c r="Y13" i="6"/>
  <c r="X13" i="6"/>
  <c r="W13" i="6"/>
  <c r="V13" i="6"/>
  <c r="U13" i="6"/>
  <c r="T13" i="6"/>
  <c r="T5" i="6" s="1"/>
  <c r="T6" i="6" s="1"/>
  <c r="S13" i="6"/>
  <c r="S3" i="6" s="1"/>
  <c r="R13" i="6"/>
  <c r="R5" i="6" s="1"/>
  <c r="R6" i="6" s="1"/>
  <c r="Q13" i="6"/>
  <c r="P13" i="6"/>
  <c r="O13" i="6"/>
  <c r="O5" i="6" s="1"/>
  <c r="O6" i="6" s="1"/>
  <c r="N13" i="6"/>
  <c r="M13" i="6"/>
  <c r="L13" i="6"/>
  <c r="K13" i="6"/>
  <c r="J13" i="6"/>
  <c r="I13" i="6"/>
  <c r="H13" i="6"/>
  <c r="G13" i="6"/>
  <c r="F13" i="6"/>
  <c r="E13" i="6"/>
  <c r="D13" i="6"/>
  <c r="C13" i="6"/>
  <c r="AB12" i="6"/>
  <c r="AB4" i="6" s="1"/>
  <c r="AA12" i="6"/>
  <c r="Z12" i="6"/>
  <c r="Y12" i="6"/>
  <c r="X12" i="6"/>
  <c r="X3" i="6" s="1"/>
  <c r="W12" i="6"/>
  <c r="W3" i="6" s="1"/>
  <c r="V12" i="6"/>
  <c r="V4" i="6" s="1"/>
  <c r="U12" i="6"/>
  <c r="U4" i="6" s="1"/>
  <c r="T12" i="6"/>
  <c r="T4" i="6" s="1"/>
  <c r="S12" i="6"/>
  <c r="R12" i="6"/>
  <c r="R4" i="6" s="1"/>
  <c r="Q12" i="6"/>
  <c r="P12" i="6"/>
  <c r="P4" i="6" s="1"/>
  <c r="O12" i="6"/>
  <c r="N12" i="6"/>
  <c r="M12" i="6"/>
  <c r="L12" i="6"/>
  <c r="K12" i="6"/>
  <c r="K3" i="6" s="1"/>
  <c r="J12" i="6"/>
  <c r="J4" i="6" s="1"/>
  <c r="I12" i="6"/>
  <c r="H12" i="6"/>
  <c r="G12" i="6"/>
  <c r="F12" i="6"/>
  <c r="E12" i="6"/>
  <c r="D12" i="6"/>
  <c r="D4" i="6" s="1"/>
  <c r="C12" i="6"/>
  <c r="AB9" i="6"/>
  <c r="AA9" i="6"/>
  <c r="Z9" i="6"/>
  <c r="Y9" i="6"/>
  <c r="X9" i="6"/>
  <c r="W9" i="6"/>
  <c r="V9" i="6"/>
  <c r="U9" i="6"/>
  <c r="T9" i="6"/>
  <c r="S9" i="6"/>
  <c r="R9" i="6"/>
  <c r="P9" i="6"/>
  <c r="O9" i="6"/>
  <c r="N9" i="6"/>
  <c r="M9" i="6"/>
  <c r="L9" i="6"/>
  <c r="K9" i="6"/>
  <c r="J9" i="6"/>
  <c r="I9" i="6"/>
  <c r="H9" i="6"/>
  <c r="G9" i="6"/>
  <c r="F9" i="6"/>
  <c r="C9" i="6"/>
  <c r="AB8" i="6"/>
  <c r="AB10" i="6" s="1"/>
  <c r="AA8" i="6"/>
  <c r="AA10" i="6" s="1"/>
  <c r="P8" i="6"/>
  <c r="P10" i="6" s="1"/>
  <c r="O8" i="6"/>
  <c r="O10" i="6" s="1"/>
  <c r="D8" i="6"/>
  <c r="D10" i="6" s="1"/>
  <c r="C8" i="6"/>
  <c r="C10" i="6" s="1"/>
  <c r="AB7" i="6"/>
  <c r="X7" i="6"/>
  <c r="T7" i="6"/>
  <c r="S7" i="6"/>
  <c r="R7" i="6"/>
  <c r="Q7" i="6"/>
  <c r="P7" i="6"/>
  <c r="L7" i="6"/>
  <c r="H7" i="6"/>
  <c r="G7" i="6"/>
  <c r="E7" i="6"/>
  <c r="U5" i="6"/>
  <c r="U6" i="6" s="1"/>
  <c r="AG4" i="6"/>
  <c r="Z7" i="6" s="1"/>
  <c r="X4" i="6"/>
  <c r="AG3" i="6"/>
  <c r="X8" i="6" s="1"/>
  <c r="X10" i="6" s="1"/>
  <c r="O3" i="6"/>
  <c r="P39" i="1"/>
  <c r="Q38" i="1"/>
  <c r="R38" i="1" s="1"/>
  <c r="P38" i="1"/>
  <c r="P37" i="1"/>
  <c r="Q36" i="1"/>
  <c r="P36" i="1"/>
  <c r="R36" i="1" s="1"/>
  <c r="P35" i="1"/>
  <c r="Q34" i="1"/>
  <c r="R34" i="1" s="1"/>
  <c r="P34" i="1"/>
  <c r="P33" i="1"/>
  <c r="Q32" i="1"/>
  <c r="P32" i="1"/>
  <c r="R32" i="1" s="1"/>
  <c r="P31" i="1"/>
  <c r="Q30" i="1"/>
  <c r="P29" i="1"/>
  <c r="Q28" i="1"/>
  <c r="P28" i="1"/>
  <c r="R28" i="1" s="1"/>
  <c r="P27" i="1"/>
  <c r="Q26" i="1"/>
  <c r="R26" i="1" s="1"/>
  <c r="P26" i="1"/>
  <c r="P25" i="1"/>
  <c r="Q24" i="1"/>
  <c r="P24" i="1"/>
  <c r="R24" i="1" s="1"/>
  <c r="P23" i="1"/>
  <c r="Q22" i="1"/>
  <c r="R22" i="1" s="1"/>
  <c r="P22" i="1"/>
  <c r="P21" i="1"/>
  <c r="Q20" i="1"/>
  <c r="P20" i="1"/>
  <c r="R20" i="1" s="1"/>
  <c r="P19" i="1"/>
  <c r="Q18" i="1"/>
  <c r="P17" i="1"/>
  <c r="Q16" i="1"/>
  <c r="P16" i="1"/>
  <c r="R16" i="1" s="1"/>
  <c r="P15" i="1"/>
  <c r="Q13" i="1"/>
  <c r="Q37" i="1" s="1"/>
  <c r="R37" i="1" l="1"/>
  <c r="L3" i="6"/>
  <c r="R29" i="1"/>
  <c r="L5" i="6"/>
  <c r="L6" i="6" s="1"/>
  <c r="C5" i="6"/>
  <c r="C6" i="6" s="1"/>
  <c r="H3" i="6"/>
  <c r="D5" i="6"/>
  <c r="D6" i="6" s="1"/>
  <c r="D3" i="6"/>
  <c r="R25" i="1"/>
  <c r="AA4" i="6"/>
  <c r="F3" i="6"/>
  <c r="C117" i="9"/>
  <c r="C116" i="9"/>
  <c r="E191" i="9"/>
  <c r="E190" i="9"/>
  <c r="C65" i="9"/>
  <c r="C64" i="9"/>
  <c r="C7" i="10"/>
  <c r="E18" i="10"/>
  <c r="Q8" i="6"/>
  <c r="Q10" i="6" s="1"/>
  <c r="F56" i="7"/>
  <c r="F8" i="6"/>
  <c r="F10" i="6" s="1"/>
  <c r="J3" i="6"/>
  <c r="V3" i="6"/>
  <c r="S4" i="6"/>
  <c r="F17" i="6"/>
  <c r="F5" i="6" s="1"/>
  <c r="F6" i="6" s="1"/>
  <c r="H22" i="6"/>
  <c r="H4" i="6" s="1"/>
  <c r="Q15" i="1"/>
  <c r="R15" i="1" s="1"/>
  <c r="Q19" i="1"/>
  <c r="R19" i="1" s="1"/>
  <c r="Q23" i="1"/>
  <c r="R23" i="1" s="1"/>
  <c r="Q27" i="1"/>
  <c r="R27" i="1" s="1"/>
  <c r="Q31" i="1"/>
  <c r="R31" i="1" s="1"/>
  <c r="Q35" i="1"/>
  <c r="R35" i="1" s="1"/>
  <c r="Q39" i="1"/>
  <c r="R39" i="1" s="1"/>
  <c r="M3" i="6"/>
  <c r="Y3" i="6"/>
  <c r="S5" i="6"/>
  <c r="S6" i="6" s="1"/>
  <c r="C7" i="6"/>
  <c r="O7" i="6"/>
  <c r="AA7" i="6"/>
  <c r="M8" i="6"/>
  <c r="M10" i="6" s="1"/>
  <c r="Y8" i="6"/>
  <c r="Y10" i="6" s="1"/>
  <c r="E25" i="6"/>
  <c r="E3" i="6" s="1"/>
  <c r="G30" i="6"/>
  <c r="G5" i="6" s="1"/>
  <c r="G6" i="6" s="1"/>
  <c r="C16" i="7"/>
  <c r="C19" i="7"/>
  <c r="F41" i="7"/>
  <c r="F32" i="7"/>
  <c r="F42" i="7"/>
  <c r="E45" i="7"/>
  <c r="F78" i="7"/>
  <c r="E81" i="7"/>
  <c r="F104" i="7"/>
  <c r="F114" i="7"/>
  <c r="E117" i="7"/>
  <c r="F140" i="7"/>
  <c r="C7" i="8"/>
  <c r="C23" i="8"/>
  <c r="C39" i="8"/>
  <c r="C55" i="8"/>
  <c r="C71" i="8"/>
  <c r="C87" i="8"/>
  <c r="C11" i="9"/>
  <c r="C47" i="9"/>
  <c r="E150" i="9"/>
  <c r="C173" i="9"/>
  <c r="C203" i="9"/>
  <c r="E21" i="10"/>
  <c r="C10" i="10"/>
  <c r="F204" i="10"/>
  <c r="F192" i="10"/>
  <c r="C131" i="11"/>
  <c r="C130" i="11"/>
  <c r="C17" i="7"/>
  <c r="E28" i="7"/>
  <c r="E139" i="9"/>
  <c r="E138" i="9"/>
  <c r="E170" i="9"/>
  <c r="E202" i="10"/>
  <c r="C191" i="10"/>
  <c r="E190" i="10"/>
  <c r="Z3" i="6"/>
  <c r="K4" i="6"/>
  <c r="W4" i="6"/>
  <c r="D7" i="6"/>
  <c r="N8" i="6"/>
  <c r="N10" i="6" s="1"/>
  <c r="Z8" i="6"/>
  <c r="Z10" i="6" s="1"/>
  <c r="C88" i="6"/>
  <c r="F102" i="6"/>
  <c r="Q17" i="1" s="1"/>
  <c r="R17" i="1" s="1"/>
  <c r="E39" i="7"/>
  <c r="F52" i="7"/>
  <c r="C60" i="7"/>
  <c r="C63" i="7"/>
  <c r="E74" i="7"/>
  <c r="C62" i="7"/>
  <c r="E75" i="7"/>
  <c r="F88" i="7"/>
  <c r="C96" i="7"/>
  <c r="C99" i="7"/>
  <c r="E110" i="7"/>
  <c r="C98" i="7"/>
  <c r="E111" i="7"/>
  <c r="F124" i="7"/>
  <c r="C132" i="7"/>
  <c r="C135" i="7"/>
  <c r="E146" i="7"/>
  <c r="C134" i="7"/>
  <c r="C13" i="8"/>
  <c r="C18" i="8"/>
  <c r="C29" i="8"/>
  <c r="C34" i="8"/>
  <c r="C45" i="8"/>
  <c r="C50" i="8"/>
  <c r="C61" i="8"/>
  <c r="C77" i="8"/>
  <c r="C30" i="10"/>
  <c r="E29" i="10"/>
  <c r="C29" i="10"/>
  <c r="E41" i="10"/>
  <c r="C76" i="10"/>
  <c r="E87" i="10"/>
  <c r="E75" i="10"/>
  <c r="C93" i="10"/>
  <c r="E104" i="10"/>
  <c r="C100" i="10"/>
  <c r="E111" i="10"/>
  <c r="C177" i="10"/>
  <c r="E188" i="10"/>
  <c r="C184" i="10"/>
  <c r="E195" i="10"/>
  <c r="C47" i="32"/>
  <c r="C46" i="32"/>
  <c r="C112" i="7"/>
  <c r="C127" i="9"/>
  <c r="C126" i="9"/>
  <c r="C11" i="7"/>
  <c r="C80" i="11"/>
  <c r="E89" i="6"/>
  <c r="F23" i="7"/>
  <c r="E29" i="7"/>
  <c r="C18" i="7"/>
  <c r="E23" i="7"/>
  <c r="C51" i="7"/>
  <c r="E62" i="7"/>
  <c r="C50" i="7"/>
  <c r="E63" i="7"/>
  <c r="C87" i="7"/>
  <c r="E98" i="7"/>
  <c r="C86" i="7"/>
  <c r="E99" i="7"/>
  <c r="C123" i="7"/>
  <c r="E134" i="7"/>
  <c r="C122" i="7"/>
  <c r="E135" i="7"/>
  <c r="C72" i="8"/>
  <c r="C88" i="8"/>
  <c r="C104" i="8"/>
  <c r="C120" i="8"/>
  <c r="C136" i="8"/>
  <c r="E113" i="9"/>
  <c r="E120" i="9"/>
  <c r="E124" i="9"/>
  <c r="E123" i="9"/>
  <c r="C54" i="10"/>
  <c r="E53" i="10"/>
  <c r="C53" i="10"/>
  <c r="E65" i="10"/>
  <c r="C113" i="7"/>
  <c r="E124" i="7"/>
  <c r="F32" i="6"/>
  <c r="E19" i="9"/>
  <c r="E18" i="9"/>
  <c r="C107" i="9"/>
  <c r="C106" i="9"/>
  <c r="C124" i="10"/>
  <c r="E135" i="10"/>
  <c r="C35" i="9"/>
  <c r="C71" i="9"/>
  <c r="E83" i="9"/>
  <c r="Q21" i="1"/>
  <c r="R21" i="1" s="1"/>
  <c r="Q25" i="1"/>
  <c r="Q29" i="1"/>
  <c r="Q33" i="1"/>
  <c r="R33" i="1" s="1"/>
  <c r="G3" i="6"/>
  <c r="I7" i="6"/>
  <c r="U7" i="6"/>
  <c r="G8" i="6"/>
  <c r="G10" i="6" s="1"/>
  <c r="S8" i="6"/>
  <c r="S10" i="6" s="1"/>
  <c r="C29" i="6"/>
  <c r="C3" i="6" s="1"/>
  <c r="C91" i="6"/>
  <c r="E19" i="7"/>
  <c r="C8" i="7"/>
  <c r="E27" i="7"/>
  <c r="C31" i="7"/>
  <c r="F62" i="7"/>
  <c r="C57" i="7"/>
  <c r="C65" i="7"/>
  <c r="E76" i="7"/>
  <c r="C67" i="7"/>
  <c r="F98" i="7"/>
  <c r="C93" i="7"/>
  <c r="C101" i="7"/>
  <c r="E112" i="7"/>
  <c r="C103" i="7"/>
  <c r="F134" i="7"/>
  <c r="C129" i="7"/>
  <c r="C139" i="7"/>
  <c r="E25" i="9"/>
  <c r="E32" i="9"/>
  <c r="C42" i="9"/>
  <c r="E61" i="9"/>
  <c r="E68" i="9"/>
  <c r="C81" i="9"/>
  <c r="E103" i="9"/>
  <c r="E130" i="9"/>
  <c r="E145" i="9"/>
  <c r="C189" i="9"/>
  <c r="C188" i="9"/>
  <c r="C198" i="9"/>
  <c r="C209" i="9"/>
  <c r="F92" i="6"/>
  <c r="F7" i="6" s="1"/>
  <c r="E218" i="9"/>
  <c r="E30" i="10"/>
  <c r="C19" i="10"/>
  <c r="C81" i="10"/>
  <c r="E92" i="10"/>
  <c r="E80" i="10"/>
  <c r="C88" i="10"/>
  <c r="E99" i="10"/>
  <c r="C165" i="10"/>
  <c r="E176" i="10"/>
  <c r="C172" i="10"/>
  <c r="E183" i="10"/>
  <c r="C10" i="13"/>
  <c r="C41" i="7"/>
  <c r="E52" i="7"/>
  <c r="C57" i="31"/>
  <c r="C56" i="31"/>
  <c r="C31" i="34"/>
  <c r="C30" i="34"/>
  <c r="F32" i="10"/>
  <c r="F20" i="10"/>
  <c r="C97" i="12"/>
  <c r="C96" i="12"/>
  <c r="T3" i="6"/>
  <c r="Q4" i="6"/>
  <c r="H51" i="6"/>
  <c r="C29" i="7"/>
  <c r="E40" i="7"/>
  <c r="F53" i="7"/>
  <c r="F59" i="7"/>
  <c r="E54" i="7"/>
  <c r="E60" i="7"/>
  <c r="C64" i="7"/>
  <c r="F89" i="7"/>
  <c r="F95" i="7"/>
  <c r="E90" i="7"/>
  <c r="E96" i="7"/>
  <c r="C100" i="7"/>
  <c r="F125" i="7"/>
  <c r="F131" i="7"/>
  <c r="E126" i="7"/>
  <c r="E132" i="7"/>
  <c r="C21" i="8"/>
  <c r="C37" i="8"/>
  <c r="C53" i="8"/>
  <c r="C69" i="8"/>
  <c r="C17" i="9"/>
  <c r="C16" i="9"/>
  <c r="E43" i="9"/>
  <c r="E42" i="9"/>
  <c r="C53" i="9"/>
  <c r="C52" i="9"/>
  <c r="C169" i="9"/>
  <c r="C168" i="9"/>
  <c r="C179" i="9"/>
  <c r="C178" i="9"/>
  <c r="C18" i="10"/>
  <c r="E43" i="10"/>
  <c r="C32" i="10"/>
  <c r="E31" i="10"/>
  <c r="F56" i="10"/>
  <c r="F44" i="10"/>
  <c r="C87" i="10"/>
  <c r="C171" i="10"/>
  <c r="C41" i="10"/>
  <c r="E40" i="10"/>
  <c r="C40" i="10"/>
  <c r="E52" i="10"/>
  <c r="C123" i="10"/>
  <c r="J7" i="6"/>
  <c r="V7" i="6"/>
  <c r="H8" i="6"/>
  <c r="H10" i="6" s="1"/>
  <c r="T8" i="6"/>
  <c r="T10" i="6" s="1"/>
  <c r="U3" i="6"/>
  <c r="K7" i="6"/>
  <c r="W7" i="6"/>
  <c r="I8" i="6"/>
  <c r="I10" i="6" s="1"/>
  <c r="U8" i="6"/>
  <c r="U10" i="6" s="1"/>
  <c r="E41" i="6"/>
  <c r="C79" i="6"/>
  <c r="C14" i="7"/>
  <c r="E24" i="7"/>
  <c r="C100" i="8"/>
  <c r="C116" i="8"/>
  <c r="C132" i="8"/>
  <c r="C148" i="8"/>
  <c r="C23" i="9"/>
  <c r="C183" i="9"/>
  <c r="E27" i="10"/>
  <c r="C16" i="10"/>
  <c r="E24" i="10"/>
  <c r="C65" i="10"/>
  <c r="E76" i="10"/>
  <c r="E64" i="10"/>
  <c r="C64" i="10"/>
  <c r="F82" i="10"/>
  <c r="F70" i="10"/>
  <c r="F106" i="10"/>
  <c r="C105" i="10"/>
  <c r="E116" i="10"/>
  <c r="C112" i="10"/>
  <c r="E123" i="10"/>
  <c r="F190" i="10"/>
  <c r="C162" i="12"/>
  <c r="E78" i="14"/>
  <c r="C67" i="14"/>
  <c r="Q3" i="6"/>
  <c r="E8" i="6"/>
  <c r="E10" i="6" s="1"/>
  <c r="C148" i="10"/>
  <c r="E159" i="10"/>
  <c r="J8" i="6"/>
  <c r="J10" i="6" s="1"/>
  <c r="V8" i="6"/>
  <c r="V10" i="6" s="1"/>
  <c r="N55" i="6"/>
  <c r="N3" i="6" s="1"/>
  <c r="C9" i="7"/>
  <c r="E20" i="7"/>
  <c r="C36" i="7"/>
  <c r="C39" i="7"/>
  <c r="E50" i="7"/>
  <c r="C38" i="7"/>
  <c r="E51" i="7"/>
  <c r="C72" i="7"/>
  <c r="C75" i="7"/>
  <c r="E86" i="7"/>
  <c r="C74" i="7"/>
  <c r="E87" i="7"/>
  <c r="C108" i="7"/>
  <c r="C111" i="7"/>
  <c r="E122" i="7"/>
  <c r="C110" i="7"/>
  <c r="E123" i="7"/>
  <c r="C144" i="7"/>
  <c r="E185" i="9"/>
  <c r="E196" i="9"/>
  <c r="E195" i="9"/>
  <c r="C15" i="10"/>
  <c r="E200" i="10"/>
  <c r="C189" i="10"/>
  <c r="C20" i="11"/>
  <c r="C19" i="11"/>
  <c r="C77" i="7"/>
  <c r="E88" i="7"/>
  <c r="C40" i="7"/>
  <c r="C29" i="9"/>
  <c r="C28" i="9"/>
  <c r="C97" i="9"/>
  <c r="C96" i="9"/>
  <c r="C148" i="9"/>
  <c r="E181" i="9"/>
  <c r="E180" i="9"/>
  <c r="C123" i="9"/>
  <c r="C133" i="9"/>
  <c r="F58" i="10"/>
  <c r="F46" i="10"/>
  <c r="R8" i="6"/>
  <c r="R10" i="6" s="1"/>
  <c r="I16" i="6"/>
  <c r="I5" i="6" s="1"/>
  <c r="I6" i="6" s="1"/>
  <c r="E30" i="6"/>
  <c r="AA55" i="6"/>
  <c r="AA3" i="6" s="1"/>
  <c r="E73" i="6"/>
  <c r="E26" i="7"/>
  <c r="C53" i="7"/>
  <c r="E64" i="7"/>
  <c r="C55" i="7"/>
  <c r="C89" i="7"/>
  <c r="E100" i="7"/>
  <c r="C91" i="7"/>
  <c r="C125" i="7"/>
  <c r="E136" i="7"/>
  <c r="C127" i="7"/>
  <c r="C17" i="8"/>
  <c r="C33" i="8"/>
  <c r="C49" i="8"/>
  <c r="C65" i="8"/>
  <c r="C81" i="8"/>
  <c r="E97" i="6"/>
  <c r="C145" i="8"/>
  <c r="E13" i="9"/>
  <c r="E20" i="9"/>
  <c r="C30" i="9"/>
  <c r="E49" i="9"/>
  <c r="E56" i="9"/>
  <c r="C66" i="9"/>
  <c r="C108" i="9"/>
  <c r="E119" i="9"/>
  <c r="E118" i="9"/>
  <c r="C217" i="9"/>
  <c r="C216" i="9"/>
  <c r="F100" i="6"/>
  <c r="E54" i="10"/>
  <c r="C43" i="10"/>
  <c r="E42" i="10"/>
  <c r="F130" i="10"/>
  <c r="C129" i="10"/>
  <c r="E140" i="10"/>
  <c r="C136" i="10"/>
  <c r="E147" i="10"/>
  <c r="C27" i="7"/>
  <c r="E38" i="7"/>
  <c r="C26" i="7"/>
  <c r="C67" i="10"/>
  <c r="E78" i="10"/>
  <c r="E66" i="10"/>
  <c r="C139" i="15"/>
  <c r="C140" i="15"/>
  <c r="E55" i="9"/>
  <c r="E54" i="9"/>
  <c r="C117" i="10"/>
  <c r="E128" i="10"/>
  <c r="C141" i="10"/>
  <c r="E152" i="10"/>
  <c r="M7" i="6"/>
  <c r="Y7" i="6"/>
  <c r="K8" i="6"/>
  <c r="K10" i="6" s="1"/>
  <c r="W8" i="6"/>
  <c r="W10" i="6" s="1"/>
  <c r="N7" i="6"/>
  <c r="L8" i="6"/>
  <c r="L10" i="6" s="1"/>
  <c r="C10" i="7"/>
  <c r="F26" i="7"/>
  <c r="F47" i="7"/>
  <c r="E42" i="7"/>
  <c r="F77" i="7"/>
  <c r="F83" i="7"/>
  <c r="E78" i="7"/>
  <c r="F113" i="7"/>
  <c r="F119" i="7"/>
  <c r="E114" i="7"/>
  <c r="C16" i="8"/>
  <c r="C32" i="8"/>
  <c r="C48" i="8"/>
  <c r="C64" i="8"/>
  <c r="C80" i="8"/>
  <c r="C96" i="8"/>
  <c r="C112" i="8"/>
  <c r="C128" i="8"/>
  <c r="E31" i="9"/>
  <c r="E30" i="9"/>
  <c r="C41" i="9"/>
  <c r="C40" i="9"/>
  <c r="E67" i="9"/>
  <c r="E66" i="9"/>
  <c r="C76" i="9"/>
  <c r="E109" i="9"/>
  <c r="E108" i="9"/>
  <c r="E129" i="9"/>
  <c r="E128" i="9"/>
  <c r="C12" i="10"/>
  <c r="F34" i="10"/>
  <c r="F22" i="10"/>
  <c r="E67" i="10"/>
  <c r="C56" i="10"/>
  <c r="E55" i="10"/>
  <c r="F80" i="10"/>
  <c r="F68" i="10"/>
  <c r="C153" i="10"/>
  <c r="E164" i="10"/>
  <c r="C160" i="10"/>
  <c r="E171" i="10"/>
  <c r="C105" i="9"/>
  <c r="E107" i="9"/>
  <c r="C177" i="9"/>
  <c r="E179" i="9"/>
  <c r="E198" i="9"/>
  <c r="E208" i="9"/>
  <c r="C215" i="9"/>
  <c r="E217" i="9"/>
  <c r="C37" i="10"/>
  <c r="C61" i="10"/>
  <c r="C78" i="10"/>
  <c r="C90" i="10"/>
  <c r="C102" i="10"/>
  <c r="C114" i="10"/>
  <c r="C126" i="10"/>
  <c r="C138" i="10"/>
  <c r="C150" i="10"/>
  <c r="C162" i="10"/>
  <c r="C174" i="10"/>
  <c r="C186" i="10"/>
  <c r="E198" i="10"/>
  <c r="C88" i="11"/>
  <c r="C133" i="12"/>
  <c r="C74" i="9"/>
  <c r="E75" i="9"/>
  <c r="C146" i="9"/>
  <c r="E147" i="9"/>
  <c r="C206" i="9"/>
  <c r="E207" i="9"/>
  <c r="C22" i="10"/>
  <c r="E26" i="10"/>
  <c r="E39" i="10"/>
  <c r="C46" i="10"/>
  <c r="E50" i="10"/>
  <c r="E63" i="10"/>
  <c r="C70" i="10"/>
  <c r="E72" i="10"/>
  <c r="C77" i="10"/>
  <c r="C89" i="10"/>
  <c r="C101" i="10"/>
  <c r="C113" i="10"/>
  <c r="C125" i="10"/>
  <c r="C137" i="10"/>
  <c r="C26" i="11"/>
  <c r="C138" i="11"/>
  <c r="C132" i="12"/>
  <c r="E71" i="14"/>
  <c r="C60" i="14"/>
  <c r="E220" i="14"/>
  <c r="C209" i="14"/>
  <c r="C122" i="9"/>
  <c r="C27" i="10"/>
  <c r="C38" i="10"/>
  <c r="C51" i="10"/>
  <c r="C62" i="10"/>
  <c r="C73" i="10"/>
  <c r="C85" i="10"/>
  <c r="C97" i="10"/>
  <c r="C109" i="10"/>
  <c r="C121" i="10"/>
  <c r="C133" i="10"/>
  <c r="C145" i="10"/>
  <c r="C157" i="10"/>
  <c r="C169" i="10"/>
  <c r="C181" i="10"/>
  <c r="E207" i="10"/>
  <c r="C196" i="10"/>
  <c r="C13" i="11"/>
  <c r="C10" i="12"/>
  <c r="C39" i="12"/>
  <c r="C154" i="12"/>
  <c r="C79" i="13"/>
  <c r="C80" i="13"/>
  <c r="C134" i="13"/>
  <c r="C154" i="13"/>
  <c r="F67" i="14"/>
  <c r="F55" i="14"/>
  <c r="E211" i="9"/>
  <c r="C25" i="10"/>
  <c r="C36" i="10"/>
  <c r="C49" i="10"/>
  <c r="C60" i="10"/>
  <c r="E205" i="10"/>
  <c r="C194" i="10"/>
  <c r="C195" i="10"/>
  <c r="C7" i="11"/>
  <c r="C73" i="11"/>
  <c r="C61" i="12"/>
  <c r="C183" i="12"/>
  <c r="C110" i="9"/>
  <c r="C182" i="9"/>
  <c r="C23" i="10"/>
  <c r="C47" i="10"/>
  <c r="E85" i="10"/>
  <c r="E90" i="10"/>
  <c r="E97" i="10"/>
  <c r="E102" i="10"/>
  <c r="E109" i="10"/>
  <c r="E114" i="10"/>
  <c r="E121" i="10"/>
  <c r="E126" i="10"/>
  <c r="E133" i="10"/>
  <c r="E138" i="10"/>
  <c r="E145" i="10"/>
  <c r="E150" i="10"/>
  <c r="E157" i="10"/>
  <c r="E162" i="10"/>
  <c r="E169" i="10"/>
  <c r="E174" i="10"/>
  <c r="E181" i="10"/>
  <c r="E186" i="10"/>
  <c r="E203" i="10"/>
  <c r="C192" i="10"/>
  <c r="C193" i="10"/>
  <c r="E197" i="10"/>
  <c r="F220" i="10"/>
  <c r="C95" i="11"/>
  <c r="C152" i="11"/>
  <c r="C181" i="11"/>
  <c r="C60" i="12"/>
  <c r="C109" i="13"/>
  <c r="C108" i="13"/>
  <c r="E25" i="10"/>
  <c r="E49" i="10"/>
  <c r="C166" i="10"/>
  <c r="C178" i="10"/>
  <c r="C190" i="10"/>
  <c r="C124" i="11"/>
  <c r="C118" i="12"/>
  <c r="C176" i="12"/>
  <c r="C98" i="9"/>
  <c r="C170" i="9"/>
  <c r="C218" i="9"/>
  <c r="E83" i="10"/>
  <c r="E95" i="10"/>
  <c r="E107" i="10"/>
  <c r="E119" i="10"/>
  <c r="E131" i="10"/>
  <c r="E143" i="10"/>
  <c r="E155" i="10"/>
  <c r="E167" i="10"/>
  <c r="E179" i="10"/>
  <c r="E193" i="10"/>
  <c r="E88" i="9"/>
  <c r="E160" i="9"/>
  <c r="C208" i="9"/>
  <c r="C80" i="10"/>
  <c r="C92" i="10"/>
  <c r="C104" i="10"/>
  <c r="C116" i="10"/>
  <c r="C128" i="10"/>
  <c r="C140" i="10"/>
  <c r="C152" i="10"/>
  <c r="C164" i="10"/>
  <c r="C176" i="10"/>
  <c r="C188" i="10"/>
  <c r="E191" i="10"/>
  <c r="C38" i="11"/>
  <c r="C145" i="11"/>
  <c r="C35" i="13"/>
  <c r="C86" i="9"/>
  <c r="C158" i="9"/>
  <c r="C8" i="10"/>
  <c r="C63" i="10"/>
  <c r="E81" i="10"/>
  <c r="E93" i="10"/>
  <c r="E105" i="10"/>
  <c r="E117" i="10"/>
  <c r="E129" i="10"/>
  <c r="E141" i="10"/>
  <c r="E153" i="10"/>
  <c r="E165" i="10"/>
  <c r="E177" i="10"/>
  <c r="E189" i="10"/>
  <c r="C32" i="11"/>
  <c r="C59" i="11"/>
  <c r="C116" i="11"/>
  <c r="C167" i="11"/>
  <c r="C54" i="12"/>
  <c r="C82" i="12"/>
  <c r="C111" i="12"/>
  <c r="C168" i="12"/>
  <c r="C51" i="11"/>
  <c r="C65" i="11"/>
  <c r="C85" i="11"/>
  <c r="C101" i="11"/>
  <c r="C121" i="11"/>
  <c r="C137" i="11"/>
  <c r="C157" i="11"/>
  <c r="C173" i="11"/>
  <c r="C15" i="12"/>
  <c r="C31" i="12"/>
  <c r="C51" i="12"/>
  <c r="C67" i="12"/>
  <c r="C87" i="12"/>
  <c r="C103" i="12"/>
  <c r="C123" i="12"/>
  <c r="C139" i="12"/>
  <c r="C159" i="12"/>
  <c r="C175" i="12"/>
  <c r="C69" i="13"/>
  <c r="E29" i="14"/>
  <c r="C18" i="14"/>
  <c r="E47" i="14"/>
  <c r="C36" i="14"/>
  <c r="C198" i="10"/>
  <c r="C45" i="11"/>
  <c r="C87" i="11"/>
  <c r="C123" i="11"/>
  <c r="C159" i="11"/>
  <c r="C17" i="12"/>
  <c r="C53" i="12"/>
  <c r="C89" i="12"/>
  <c r="C125" i="12"/>
  <c r="C138" i="12"/>
  <c r="C161" i="12"/>
  <c r="C174" i="12"/>
  <c r="C18" i="13"/>
  <c r="C43" i="13"/>
  <c r="C68" i="13"/>
  <c r="C89" i="13"/>
  <c r="C32" i="14"/>
  <c r="E43" i="14"/>
  <c r="C75" i="11"/>
  <c r="C111" i="11"/>
  <c r="C147" i="11"/>
  <c r="C183" i="11"/>
  <c r="C41" i="12"/>
  <c r="C77" i="12"/>
  <c r="C113" i="12"/>
  <c r="C149" i="12"/>
  <c r="C21" i="13"/>
  <c r="C20" i="13"/>
  <c r="C53" i="13"/>
  <c r="C54" i="13"/>
  <c r="C128" i="13"/>
  <c r="F31" i="14"/>
  <c r="E126" i="14"/>
  <c r="C115" i="14"/>
  <c r="C93" i="13"/>
  <c r="C92" i="13"/>
  <c r="C56" i="13"/>
  <c r="C102" i="13"/>
  <c r="C104" i="14"/>
  <c r="E115" i="14"/>
  <c r="C174" i="14"/>
  <c r="E186" i="14"/>
  <c r="E174" i="14"/>
  <c r="C175" i="14"/>
  <c r="E178" i="14"/>
  <c r="C178" i="14"/>
  <c r="E190" i="14"/>
  <c r="C179" i="14"/>
  <c r="C77" i="11"/>
  <c r="C113" i="11"/>
  <c r="C149" i="11"/>
  <c r="C43" i="12"/>
  <c r="C79" i="12"/>
  <c r="C115" i="12"/>
  <c r="C151" i="12"/>
  <c r="C22" i="13"/>
  <c r="C29" i="13"/>
  <c r="C55" i="13"/>
  <c r="C148" i="13"/>
  <c r="C45" i="14"/>
  <c r="E57" i="14"/>
  <c r="C46" i="14"/>
  <c r="C21" i="14"/>
  <c r="E33" i="14"/>
  <c r="C22" i="14"/>
  <c r="C100" i="14"/>
  <c r="E111" i="14"/>
  <c r="C71" i="11"/>
  <c r="C107" i="11"/>
  <c r="C143" i="11"/>
  <c r="C179" i="11"/>
  <c r="C37" i="12"/>
  <c r="C73" i="12"/>
  <c r="C109" i="12"/>
  <c r="C145" i="12"/>
  <c r="C181" i="12"/>
  <c r="C66" i="13"/>
  <c r="C67" i="13"/>
  <c r="C76" i="13"/>
  <c r="C121" i="13"/>
  <c r="F33" i="14"/>
  <c r="F21" i="14"/>
  <c r="C165" i="11"/>
  <c r="C23" i="12"/>
  <c r="C59" i="12"/>
  <c r="C95" i="12"/>
  <c r="C131" i="12"/>
  <c r="C115" i="13"/>
  <c r="C161" i="13"/>
  <c r="E53" i="14"/>
  <c r="C42" i="14"/>
  <c r="F81" i="14"/>
  <c r="C75" i="13"/>
  <c r="C126" i="13"/>
  <c r="C139" i="13"/>
  <c r="C147" i="13"/>
  <c r="C152" i="13"/>
  <c r="F92" i="14"/>
  <c r="E114" i="14"/>
  <c r="C103" i="14"/>
  <c r="F140" i="14"/>
  <c r="F151" i="14"/>
  <c r="F212" i="14"/>
  <c r="C219" i="14"/>
  <c r="C218" i="14"/>
  <c r="C43" i="21"/>
  <c r="C42" i="21"/>
  <c r="C141" i="13"/>
  <c r="C56" i="14"/>
  <c r="E67" i="14"/>
  <c r="C114" i="14"/>
  <c r="E125" i="14"/>
  <c r="E216" i="14"/>
  <c r="E204" i="14"/>
  <c r="C9" i="15"/>
  <c r="C8" i="15"/>
  <c r="C41" i="15"/>
  <c r="C40" i="15"/>
  <c r="C95" i="15"/>
  <c r="C94" i="15"/>
  <c r="C149" i="15"/>
  <c r="C148" i="15"/>
  <c r="C27" i="16"/>
  <c r="C26" i="16"/>
  <c r="C117" i="19"/>
  <c r="C116" i="19"/>
  <c r="C8" i="14"/>
  <c r="F53" i="14"/>
  <c r="C75" i="14"/>
  <c r="C78" i="14"/>
  <c r="E89" i="14"/>
  <c r="C123" i="14"/>
  <c r="C126" i="14"/>
  <c r="E137" i="14"/>
  <c r="C125" i="14"/>
  <c r="E194" i="14"/>
  <c r="C182" i="14"/>
  <c r="C205" i="14"/>
  <c r="C9" i="16"/>
  <c r="C8" i="16"/>
  <c r="F20" i="14"/>
  <c r="E54" i="14"/>
  <c r="C43" i="14"/>
  <c r="F68" i="14"/>
  <c r="C68" i="14"/>
  <c r="E79" i="14"/>
  <c r="E99" i="14"/>
  <c r="C116" i="14"/>
  <c r="E127" i="14"/>
  <c r="C23" i="15"/>
  <c r="C22" i="15"/>
  <c r="C77" i="15"/>
  <c r="C76" i="15"/>
  <c r="C131" i="15"/>
  <c r="C130" i="15"/>
  <c r="C39" i="13"/>
  <c r="C111" i="13"/>
  <c r="C175" i="13"/>
  <c r="E21" i="14"/>
  <c r="C15" i="14"/>
  <c r="F44" i="14"/>
  <c r="C47" i="14"/>
  <c r="E90" i="14"/>
  <c r="C79" i="14"/>
  <c r="F116" i="14"/>
  <c r="E138" i="14"/>
  <c r="C127" i="14"/>
  <c r="E183" i="14"/>
  <c r="C172" i="14"/>
  <c r="F191" i="14"/>
  <c r="F179" i="14"/>
  <c r="F210" i="14"/>
  <c r="F198" i="14"/>
  <c r="C135" i="16"/>
  <c r="C134" i="16"/>
  <c r="C33" i="13"/>
  <c r="C105" i="13"/>
  <c r="C14" i="14"/>
  <c r="E18" i="14"/>
  <c r="E63" i="14"/>
  <c r="C87" i="14"/>
  <c r="C90" i="14"/>
  <c r="E101" i="14"/>
  <c r="C101" i="14"/>
  <c r="C138" i="14"/>
  <c r="E149" i="14"/>
  <c r="E163" i="14"/>
  <c r="C183" i="14"/>
  <c r="E199" i="14"/>
  <c r="C188" i="14"/>
  <c r="C193" i="15"/>
  <c r="C194" i="15"/>
  <c r="C69" i="16"/>
  <c r="C68" i="16"/>
  <c r="C11" i="14"/>
  <c r="E22" i="14"/>
  <c r="C20" i="14"/>
  <c r="E31" i="14"/>
  <c r="C27" i="14"/>
  <c r="E41" i="14"/>
  <c r="C33" i="14"/>
  <c r="E45" i="14"/>
  <c r="C51" i="14"/>
  <c r="E65" i="14"/>
  <c r="C80" i="14"/>
  <c r="E91" i="14"/>
  <c r="F101" i="14"/>
  <c r="C128" i="14"/>
  <c r="E139" i="14"/>
  <c r="F214" i="14"/>
  <c r="F202" i="14"/>
  <c r="E35" i="14"/>
  <c r="C23" i="14"/>
  <c r="C44" i="14"/>
  <c r="E55" i="14"/>
  <c r="E102" i="14"/>
  <c r="C91" i="14"/>
  <c r="E150" i="14"/>
  <c r="C139" i="14"/>
  <c r="C150" i="14"/>
  <c r="E161" i="14"/>
  <c r="E207" i="14"/>
  <c r="C196" i="14"/>
  <c r="E195" i="14"/>
  <c r="C27" i="15"/>
  <c r="C26" i="15"/>
  <c r="C59" i="15"/>
  <c r="C58" i="15"/>
  <c r="C113" i="15"/>
  <c r="C112" i="15"/>
  <c r="C175" i="15"/>
  <c r="C176" i="15"/>
  <c r="C15" i="13"/>
  <c r="C87" i="13"/>
  <c r="C164" i="13"/>
  <c r="C31" i="14"/>
  <c r="E59" i="14"/>
  <c r="E66" i="14"/>
  <c r="C55" i="14"/>
  <c r="C59" i="14"/>
  <c r="C99" i="14"/>
  <c r="C102" i="14"/>
  <c r="E113" i="14"/>
  <c r="C113" i="14"/>
  <c r="C45" i="16"/>
  <c r="C44" i="16"/>
  <c r="C61" i="16"/>
  <c r="C62" i="16"/>
  <c r="C81" i="13"/>
  <c r="C7" i="14"/>
  <c r="E23" i="14"/>
  <c r="C17" i="14"/>
  <c r="E26" i="14"/>
  <c r="C30" i="14"/>
  <c r="C35" i="14"/>
  <c r="C41" i="14"/>
  <c r="C54" i="14"/>
  <c r="E75" i="14"/>
  <c r="C92" i="14"/>
  <c r="E103" i="14"/>
  <c r="F113" i="14"/>
  <c r="E123" i="14"/>
  <c r="C140" i="14"/>
  <c r="E151" i="14"/>
  <c r="E162" i="14"/>
  <c r="C151" i="14"/>
  <c r="F168" i="14"/>
  <c r="F184" i="14"/>
  <c r="C157" i="15"/>
  <c r="C158" i="15"/>
  <c r="E69" i="14"/>
  <c r="E81" i="14"/>
  <c r="E93" i="14"/>
  <c r="E105" i="14"/>
  <c r="E117" i="14"/>
  <c r="E129" i="14"/>
  <c r="E141" i="14"/>
  <c r="E153" i="14"/>
  <c r="E184" i="14"/>
  <c r="C187" i="14"/>
  <c r="C195" i="14"/>
  <c r="C198" i="14"/>
  <c r="E210" i="14"/>
  <c r="F221" i="14"/>
  <c r="C13" i="15"/>
  <c r="C31" i="15"/>
  <c r="C49" i="15"/>
  <c r="C67" i="15"/>
  <c r="C85" i="15"/>
  <c r="C103" i="15"/>
  <c r="C121" i="15"/>
  <c r="C106" i="16"/>
  <c r="C105" i="16"/>
  <c r="C165" i="16"/>
  <c r="C164" i="16"/>
  <c r="C196" i="16"/>
  <c r="C15" i="18"/>
  <c r="C98" i="19"/>
  <c r="C97" i="19"/>
  <c r="C149" i="14"/>
  <c r="E171" i="14"/>
  <c r="E198" i="14"/>
  <c r="F213" i="14"/>
  <c r="C208" i="14"/>
  <c r="C187" i="16"/>
  <c r="C123" i="26"/>
  <c r="C124" i="26"/>
  <c r="C128" i="16"/>
  <c r="C127" i="16"/>
  <c r="C14" i="17"/>
  <c r="C15" i="17"/>
  <c r="C147" i="14"/>
  <c r="F171" i="14"/>
  <c r="C164" i="14"/>
  <c r="F174" i="14"/>
  <c r="F189" i="14"/>
  <c r="F197" i="14"/>
  <c r="E200" i="14"/>
  <c r="C200" i="14"/>
  <c r="E214" i="14"/>
  <c r="C25" i="15"/>
  <c r="C43" i="15"/>
  <c r="C61" i="15"/>
  <c r="C79" i="15"/>
  <c r="C97" i="15"/>
  <c r="C115" i="15"/>
  <c r="C133" i="15"/>
  <c r="C20" i="16"/>
  <c r="C38" i="16"/>
  <c r="C99" i="16"/>
  <c r="C98" i="16"/>
  <c r="C110" i="16"/>
  <c r="C28" i="18"/>
  <c r="C27" i="18"/>
  <c r="C103" i="20"/>
  <c r="C102" i="20"/>
  <c r="E46" i="14"/>
  <c r="E58" i="14"/>
  <c r="E70" i="14"/>
  <c r="E82" i="14"/>
  <c r="E94" i="14"/>
  <c r="E106" i="14"/>
  <c r="E118" i="14"/>
  <c r="E130" i="14"/>
  <c r="E142" i="14"/>
  <c r="E154" i="14"/>
  <c r="E159" i="14"/>
  <c r="C17" i="15"/>
  <c r="C35" i="15"/>
  <c r="C53" i="15"/>
  <c r="C71" i="15"/>
  <c r="C89" i="15"/>
  <c r="C107" i="15"/>
  <c r="C125" i="15"/>
  <c r="C143" i="15"/>
  <c r="C161" i="15"/>
  <c r="C179" i="15"/>
  <c r="C81" i="16"/>
  <c r="C149" i="16"/>
  <c r="C148" i="16"/>
  <c r="C169" i="16"/>
  <c r="C44" i="17"/>
  <c r="C89" i="17"/>
  <c r="C88" i="17"/>
  <c r="C135" i="17"/>
  <c r="C13" i="19"/>
  <c r="C12" i="19"/>
  <c r="E182" i="14"/>
  <c r="C44" i="15"/>
  <c r="C62" i="15"/>
  <c r="C80" i="15"/>
  <c r="C98" i="15"/>
  <c r="C116" i="15"/>
  <c r="C134" i="15"/>
  <c r="C152" i="15"/>
  <c r="C170" i="15"/>
  <c r="C188" i="15"/>
  <c r="C92" i="16"/>
  <c r="C91" i="16"/>
  <c r="C191" i="16"/>
  <c r="C190" i="16"/>
  <c r="C28" i="17"/>
  <c r="C127" i="17"/>
  <c r="C48" i="18"/>
  <c r="C126" i="18"/>
  <c r="C145" i="18"/>
  <c r="C8" i="22"/>
  <c r="C7" i="22"/>
  <c r="C194" i="14"/>
  <c r="C204" i="14"/>
  <c r="E208" i="14"/>
  <c r="E211" i="14"/>
  <c r="C19" i="15"/>
  <c r="C37" i="15"/>
  <c r="C55" i="15"/>
  <c r="C73" i="15"/>
  <c r="C91" i="15"/>
  <c r="C109" i="15"/>
  <c r="C127" i="15"/>
  <c r="C14" i="16"/>
  <c r="C32" i="16"/>
  <c r="C113" i="16"/>
  <c r="C112" i="16"/>
  <c r="C160" i="16"/>
  <c r="C165" i="14"/>
  <c r="C11" i="15"/>
  <c r="C29" i="15"/>
  <c r="C47" i="15"/>
  <c r="C65" i="15"/>
  <c r="C83" i="15"/>
  <c r="C101" i="15"/>
  <c r="C119" i="15"/>
  <c r="C137" i="15"/>
  <c r="C155" i="15"/>
  <c r="C173" i="15"/>
  <c r="C191" i="15"/>
  <c r="C50" i="16"/>
  <c r="C74" i="16"/>
  <c r="C142" i="16"/>
  <c r="C141" i="16"/>
  <c r="C102" i="17"/>
  <c r="C148" i="17"/>
  <c r="C147" i="17"/>
  <c r="C107" i="18"/>
  <c r="C106" i="18"/>
  <c r="C24" i="20"/>
  <c r="C23" i="20"/>
  <c r="E170" i="14"/>
  <c r="F201" i="14"/>
  <c r="E218" i="14"/>
  <c r="C21" i="15"/>
  <c r="C39" i="15"/>
  <c r="C82" i="15"/>
  <c r="C100" i="15"/>
  <c r="C118" i="15"/>
  <c r="C136" i="15"/>
  <c r="C124" i="16"/>
  <c r="C153" i="16"/>
  <c r="C173" i="16"/>
  <c r="C172" i="16"/>
  <c r="C108" i="17"/>
  <c r="C61" i="18"/>
  <c r="C60" i="18"/>
  <c r="C43" i="17"/>
  <c r="C83" i="17"/>
  <c r="C22" i="18"/>
  <c r="C81" i="18"/>
  <c r="C39" i="19"/>
  <c r="C38" i="19"/>
  <c r="C83" i="20"/>
  <c r="C82" i="20"/>
  <c r="C105" i="21"/>
  <c r="C106" i="21"/>
  <c r="C68" i="23"/>
  <c r="C95" i="16"/>
  <c r="C102" i="16"/>
  <c r="C131" i="16"/>
  <c r="C138" i="16"/>
  <c r="C168" i="16"/>
  <c r="C186" i="16"/>
  <c r="C11" i="17"/>
  <c r="C27" i="17"/>
  <c r="C42" i="17"/>
  <c r="C82" i="17"/>
  <c r="C126" i="17"/>
  <c r="C21" i="18"/>
  <c r="C39" i="18"/>
  <c r="C80" i="18"/>
  <c r="C125" i="18"/>
  <c r="C144" i="18"/>
  <c r="C31" i="19"/>
  <c r="C77" i="19"/>
  <c r="C125" i="24"/>
  <c r="C124" i="24"/>
  <c r="C162" i="16"/>
  <c r="C53" i="17"/>
  <c r="C52" i="17"/>
  <c r="C70" i="17"/>
  <c r="C129" i="17"/>
  <c r="C43" i="19"/>
  <c r="C83" i="16"/>
  <c r="C119" i="16"/>
  <c r="C126" i="16"/>
  <c r="C155" i="16"/>
  <c r="C163" i="16"/>
  <c r="C180" i="16"/>
  <c r="C37" i="17"/>
  <c r="C54" i="17"/>
  <c r="C146" i="17"/>
  <c r="C26" i="18"/>
  <c r="C42" i="18"/>
  <c r="C68" i="18"/>
  <c r="C72" i="19"/>
  <c r="C71" i="19"/>
  <c r="C128" i="19"/>
  <c r="C136" i="19"/>
  <c r="C96" i="20"/>
  <c r="C95" i="20"/>
  <c r="C34" i="21"/>
  <c r="C131" i="25"/>
  <c r="C10" i="26"/>
  <c r="C77" i="16"/>
  <c r="C181" i="16"/>
  <c r="C55" i="17"/>
  <c r="C96" i="17"/>
  <c r="C9" i="18"/>
  <c r="C94" i="18"/>
  <c r="C111" i="18"/>
  <c r="C26" i="19"/>
  <c r="C25" i="19"/>
  <c r="C102" i="19"/>
  <c r="C129" i="19"/>
  <c r="C36" i="21"/>
  <c r="C35" i="21"/>
  <c r="C73" i="21"/>
  <c r="C72" i="21"/>
  <c r="C121" i="21"/>
  <c r="C149" i="25"/>
  <c r="C150" i="25"/>
  <c r="C163" i="22"/>
  <c r="C164" i="22"/>
  <c r="C86" i="18"/>
  <c r="C140" i="18"/>
  <c r="C139" i="18"/>
  <c r="C111" i="19"/>
  <c r="C110" i="19"/>
  <c r="C148" i="19"/>
  <c r="C37" i="20"/>
  <c r="C36" i="20"/>
  <c r="C55" i="20"/>
  <c r="C62" i="20"/>
  <c r="C88" i="20"/>
  <c r="C144" i="20"/>
  <c r="C125" i="25"/>
  <c r="C124" i="25"/>
  <c r="C11" i="16"/>
  <c r="C17" i="16"/>
  <c r="C23" i="16"/>
  <c r="C29" i="16"/>
  <c r="C35" i="16"/>
  <c r="C41" i="16"/>
  <c r="C40" i="17"/>
  <c r="C39" i="17"/>
  <c r="C34" i="18"/>
  <c r="C64" i="19"/>
  <c r="C11" i="20"/>
  <c r="C10" i="20"/>
  <c r="C29" i="20"/>
  <c r="C117" i="20"/>
  <c r="C116" i="20"/>
  <c r="C29" i="21"/>
  <c r="C28" i="21"/>
  <c r="C74" i="21"/>
  <c r="C118" i="22"/>
  <c r="C175" i="16"/>
  <c r="C193" i="16"/>
  <c r="C192" i="16"/>
  <c r="C23" i="17"/>
  <c r="C41" i="17"/>
  <c r="C55" i="18"/>
  <c r="C114" i="18"/>
  <c r="C85" i="19"/>
  <c r="C84" i="19"/>
  <c r="C40" i="22"/>
  <c r="C39" i="22"/>
  <c r="C92" i="22"/>
  <c r="C101" i="16"/>
  <c r="C108" i="16"/>
  <c r="C137" i="16"/>
  <c r="C144" i="16"/>
  <c r="C167" i="16"/>
  <c r="C176" i="16"/>
  <c r="C194" i="16"/>
  <c r="C66" i="17"/>
  <c r="C65" i="17"/>
  <c r="C74" i="17"/>
  <c r="C100" i="17"/>
  <c r="C116" i="17"/>
  <c r="C142" i="17"/>
  <c r="C72" i="18"/>
  <c r="C98" i="18"/>
  <c r="C58" i="19"/>
  <c r="C108" i="20"/>
  <c r="C129" i="20"/>
  <c r="C21" i="21"/>
  <c r="C113" i="21"/>
  <c r="C66" i="22"/>
  <c r="C53" i="25"/>
  <c r="C52" i="25"/>
  <c r="C49" i="17"/>
  <c r="C87" i="17"/>
  <c r="C121" i="17"/>
  <c r="C13" i="18"/>
  <c r="C47" i="18"/>
  <c r="C85" i="18"/>
  <c r="C119" i="18"/>
  <c r="C17" i="19"/>
  <c r="C51" i="19"/>
  <c r="C89" i="19"/>
  <c r="C123" i="19"/>
  <c r="C15" i="20"/>
  <c r="C41" i="20"/>
  <c r="C49" i="20"/>
  <c r="C87" i="20"/>
  <c r="C121" i="20"/>
  <c r="C20" i="21"/>
  <c r="C88" i="21"/>
  <c r="C120" i="21"/>
  <c r="C145" i="22"/>
  <c r="C72" i="24"/>
  <c r="C144" i="24"/>
  <c r="C72" i="25"/>
  <c r="C89" i="26"/>
  <c r="C125" i="27"/>
  <c r="C124" i="27"/>
  <c r="C99" i="27"/>
  <c r="C98" i="27"/>
  <c r="C27" i="28"/>
  <c r="C26" i="28"/>
  <c r="C150" i="19"/>
  <c r="C76" i="20"/>
  <c r="C58" i="22"/>
  <c r="C138" i="22"/>
  <c r="C15" i="23"/>
  <c r="C61" i="23"/>
  <c r="C87" i="23"/>
  <c r="C133" i="23"/>
  <c r="C19" i="24"/>
  <c r="C117" i="27"/>
  <c r="C118" i="27"/>
  <c r="C19" i="17"/>
  <c r="C91" i="17"/>
  <c r="C17" i="18"/>
  <c r="C89" i="18"/>
  <c r="C21" i="19"/>
  <c r="C93" i="19"/>
  <c r="C144" i="19"/>
  <c r="C19" i="20"/>
  <c r="C91" i="20"/>
  <c r="C111" i="20"/>
  <c r="C147" i="20"/>
  <c r="C146" i="20"/>
  <c r="C38" i="21"/>
  <c r="C44" i="21"/>
  <c r="C60" i="21"/>
  <c r="C69" i="21"/>
  <c r="C132" i="21"/>
  <c r="C26" i="22"/>
  <c r="C60" i="22"/>
  <c r="C158" i="22"/>
  <c r="C9" i="23"/>
  <c r="C81" i="23"/>
  <c r="C13" i="24"/>
  <c r="C65" i="24"/>
  <c r="C91" i="24"/>
  <c r="C137" i="24"/>
  <c r="C19" i="25"/>
  <c r="C65" i="25"/>
  <c r="C91" i="25"/>
  <c r="C118" i="25"/>
  <c r="C111" i="26"/>
  <c r="C91" i="27"/>
  <c r="C112" i="20"/>
  <c r="C109" i="21"/>
  <c r="C117" i="21"/>
  <c r="C116" i="21"/>
  <c r="C53" i="22"/>
  <c r="C131" i="22"/>
  <c r="C130" i="22"/>
  <c r="C35" i="23"/>
  <c r="C141" i="20"/>
  <c r="C55" i="23"/>
  <c r="C127" i="23"/>
  <c r="C59" i="24"/>
  <c r="C7" i="17"/>
  <c r="C73" i="17"/>
  <c r="C78" i="17"/>
  <c r="C111" i="17"/>
  <c r="C124" i="17"/>
  <c r="C137" i="17"/>
  <c r="C145" i="17"/>
  <c r="C150" i="17"/>
  <c r="C37" i="18"/>
  <c r="C50" i="18"/>
  <c r="C63" i="18"/>
  <c r="C71" i="18"/>
  <c r="C76" i="18"/>
  <c r="C109" i="18"/>
  <c r="C122" i="18"/>
  <c r="C135" i="18"/>
  <c r="C143" i="18"/>
  <c r="C8" i="19"/>
  <c r="C41" i="19"/>
  <c r="C54" i="19"/>
  <c r="C67" i="19"/>
  <c r="C75" i="19"/>
  <c r="C80" i="19"/>
  <c r="C113" i="19"/>
  <c r="C126" i="19"/>
  <c r="C139" i="19"/>
  <c r="C147" i="19"/>
  <c r="C7" i="20"/>
  <c r="C52" i="20"/>
  <c r="C65" i="20"/>
  <c r="C73" i="20"/>
  <c r="C78" i="20"/>
  <c r="C133" i="20"/>
  <c r="C9" i="21"/>
  <c r="C16" i="21"/>
  <c r="C55" i="21"/>
  <c r="C95" i="21"/>
  <c r="C101" i="21"/>
  <c r="C79" i="22"/>
  <c r="C105" i="22"/>
  <c r="C28" i="23"/>
  <c r="C27" i="23"/>
  <c r="C100" i="23"/>
  <c r="C99" i="23"/>
  <c r="C32" i="24"/>
  <c r="C31" i="24"/>
  <c r="C131" i="24"/>
  <c r="C59" i="25"/>
  <c r="C111" i="25"/>
  <c r="C137" i="25"/>
  <c r="C17" i="26"/>
  <c r="C139" i="26"/>
  <c r="C67" i="17"/>
  <c r="C139" i="17"/>
  <c r="C65" i="18"/>
  <c r="C137" i="18"/>
  <c r="C69" i="19"/>
  <c r="C141" i="19"/>
  <c r="C67" i="20"/>
  <c r="C135" i="20"/>
  <c r="C18" i="21"/>
  <c r="C64" i="21"/>
  <c r="C127" i="21"/>
  <c r="C99" i="22"/>
  <c r="C104" i="24"/>
  <c r="C103" i="24"/>
  <c r="C32" i="25"/>
  <c r="C31" i="25"/>
  <c r="C33" i="27"/>
  <c r="C32" i="27"/>
  <c r="C61" i="17"/>
  <c r="C133" i="17"/>
  <c r="C56" i="21"/>
  <c r="C96" i="21"/>
  <c r="C126" i="21"/>
  <c r="C74" i="23"/>
  <c r="C105" i="24"/>
  <c r="C33" i="25"/>
  <c r="C104" i="25"/>
  <c r="C103" i="25"/>
  <c r="C39" i="26"/>
  <c r="C133" i="26"/>
  <c r="C125" i="22"/>
  <c r="C22" i="23"/>
  <c r="C94" i="23"/>
  <c r="C26" i="24"/>
  <c r="C98" i="24"/>
  <c r="C26" i="25"/>
  <c r="C98" i="25"/>
  <c r="C24" i="26"/>
  <c r="C31" i="26"/>
  <c r="C60" i="26"/>
  <c r="C67" i="26"/>
  <c r="C96" i="26"/>
  <c r="C103" i="26"/>
  <c r="C17" i="27"/>
  <c r="C40" i="27"/>
  <c r="C66" i="27"/>
  <c r="C44" i="28"/>
  <c r="C43" i="28"/>
  <c r="C105" i="20"/>
  <c r="C31" i="21"/>
  <c r="C103" i="21"/>
  <c r="C35" i="22"/>
  <c r="C107" i="22"/>
  <c r="C179" i="22"/>
  <c r="C76" i="23"/>
  <c r="C8" i="24"/>
  <c r="C80" i="24"/>
  <c r="C8" i="25"/>
  <c r="C80" i="25"/>
  <c r="C12" i="26"/>
  <c r="C36" i="28"/>
  <c r="C35" i="28"/>
  <c r="C61" i="29"/>
  <c r="C60" i="29"/>
  <c r="C91" i="26"/>
  <c r="C25" i="27"/>
  <c r="C59" i="27"/>
  <c r="C100" i="29"/>
  <c r="C99" i="29"/>
  <c r="C48" i="22"/>
  <c r="C120" i="22"/>
  <c r="C17" i="23"/>
  <c r="C89" i="23"/>
  <c r="C21" i="24"/>
  <c r="C93" i="24"/>
  <c r="C21" i="25"/>
  <c r="C93" i="25"/>
  <c r="C26" i="26"/>
  <c r="C62" i="26"/>
  <c r="C143" i="26"/>
  <c r="C20" i="27"/>
  <c r="C53" i="27"/>
  <c r="C138" i="27"/>
  <c r="C137" i="27"/>
  <c r="C22" i="29"/>
  <c r="C21" i="29"/>
  <c r="C13" i="21"/>
  <c r="C85" i="21"/>
  <c r="C17" i="22"/>
  <c r="C89" i="22"/>
  <c r="C161" i="22"/>
  <c r="C58" i="23"/>
  <c r="C130" i="23"/>
  <c r="C62" i="24"/>
  <c r="C67" i="24"/>
  <c r="C134" i="24"/>
  <c r="C139" i="24"/>
  <c r="C62" i="25"/>
  <c r="C67" i="25"/>
  <c r="C134" i="25"/>
  <c r="C42" i="26"/>
  <c r="C78" i="26"/>
  <c r="C85" i="26"/>
  <c r="C114" i="26"/>
  <c r="C128" i="26"/>
  <c r="C142" i="26"/>
  <c r="C52" i="27"/>
  <c r="C112" i="27"/>
  <c r="C96" i="28"/>
  <c r="C95" i="28"/>
  <c r="C145" i="21"/>
  <c r="C77" i="22"/>
  <c r="C149" i="22"/>
  <c r="C46" i="23"/>
  <c r="C118" i="23"/>
  <c r="C50" i="24"/>
  <c r="C122" i="24"/>
  <c r="C50" i="25"/>
  <c r="C122" i="25"/>
  <c r="C36" i="26"/>
  <c r="C72" i="26"/>
  <c r="C108" i="26"/>
  <c r="C130" i="26"/>
  <c r="C37" i="27"/>
  <c r="C36" i="27"/>
  <c r="C78" i="27"/>
  <c r="C105" i="27"/>
  <c r="C67" i="21"/>
  <c r="C139" i="21"/>
  <c r="C144" i="21"/>
  <c r="C71" i="22"/>
  <c r="C76" i="22"/>
  <c r="C143" i="22"/>
  <c r="C148" i="22"/>
  <c r="C40" i="23"/>
  <c r="C45" i="23"/>
  <c r="C112" i="23"/>
  <c r="C117" i="23"/>
  <c r="C44" i="24"/>
  <c r="C116" i="24"/>
  <c r="C44" i="25"/>
  <c r="C116" i="25"/>
  <c r="C136" i="26"/>
  <c r="C13" i="27"/>
  <c r="C70" i="28"/>
  <c r="C69" i="28"/>
  <c r="C65" i="22"/>
  <c r="C137" i="22"/>
  <c r="C34" i="23"/>
  <c r="C106" i="23"/>
  <c r="C38" i="24"/>
  <c r="C110" i="24"/>
  <c r="C38" i="25"/>
  <c r="C110" i="25"/>
  <c r="C30" i="26"/>
  <c r="C37" i="26"/>
  <c r="C66" i="26"/>
  <c r="C73" i="26"/>
  <c r="C102" i="26"/>
  <c r="C109" i="26"/>
  <c r="C131" i="26"/>
  <c r="C7" i="27"/>
  <c r="C39" i="27"/>
  <c r="C151" i="27"/>
  <c r="C150" i="27"/>
  <c r="C53" i="28"/>
  <c r="C52" i="28"/>
  <c r="C127" i="29"/>
  <c r="C126" i="29"/>
  <c r="C100" i="31"/>
  <c r="C99" i="31"/>
  <c r="C122" i="31"/>
  <c r="C121" i="31"/>
  <c r="C229" i="31"/>
  <c r="C228" i="31"/>
  <c r="C265" i="31"/>
  <c r="C264" i="31"/>
  <c r="C15" i="27"/>
  <c r="C87" i="27"/>
  <c r="C62" i="28"/>
  <c r="C135" i="28"/>
  <c r="C81" i="29"/>
  <c r="C80" i="29"/>
  <c r="C9" i="27"/>
  <c r="C81" i="27"/>
  <c r="C14" i="31"/>
  <c r="C13" i="31"/>
  <c r="C136" i="31"/>
  <c r="C135" i="31"/>
  <c r="C158" i="31"/>
  <c r="C157" i="31"/>
  <c r="C337" i="31"/>
  <c r="C336" i="31"/>
  <c r="C149" i="26"/>
  <c r="C75" i="27"/>
  <c r="C13" i="28"/>
  <c r="C21" i="28"/>
  <c r="C30" i="28"/>
  <c r="C55" i="29"/>
  <c r="C54" i="29"/>
  <c r="C119" i="29"/>
  <c r="C20" i="30"/>
  <c r="C19" i="30"/>
  <c r="C96" i="30"/>
  <c r="C95" i="30"/>
  <c r="C93" i="31"/>
  <c r="C92" i="31"/>
  <c r="C69" i="27"/>
  <c r="C66" i="28"/>
  <c r="C65" i="28"/>
  <c r="C109" i="28"/>
  <c r="C140" i="29"/>
  <c r="C139" i="29"/>
  <c r="C222" i="31"/>
  <c r="C221" i="31"/>
  <c r="C250" i="31"/>
  <c r="C249" i="31"/>
  <c r="C40" i="28"/>
  <c r="C39" i="28"/>
  <c r="C9" i="29"/>
  <c r="C8" i="29"/>
  <c r="C27" i="29"/>
  <c r="C113" i="29"/>
  <c r="C60" i="30"/>
  <c r="C59" i="30"/>
  <c r="C28" i="31"/>
  <c r="C27" i="31"/>
  <c r="C50" i="31"/>
  <c r="C49" i="31"/>
  <c r="C172" i="31"/>
  <c r="C171" i="31"/>
  <c r="C49" i="27"/>
  <c r="C57" i="27"/>
  <c r="C62" i="27"/>
  <c r="C82" i="27"/>
  <c r="C95" i="27"/>
  <c r="C108" i="27"/>
  <c r="C121" i="27"/>
  <c r="C8" i="28"/>
  <c r="C15" i="28"/>
  <c r="C76" i="28"/>
  <c r="C94" i="29"/>
  <c r="C93" i="29"/>
  <c r="C89" i="30"/>
  <c r="C88" i="30"/>
  <c r="C129" i="31"/>
  <c r="C128" i="31"/>
  <c r="C51" i="27"/>
  <c r="C148" i="27"/>
  <c r="C17" i="28"/>
  <c r="C42" i="28"/>
  <c r="C50" i="28"/>
  <c r="C75" i="28"/>
  <c r="C47" i="29"/>
  <c r="C132" i="29"/>
  <c r="C45" i="27"/>
  <c r="C142" i="27"/>
  <c r="C122" i="28"/>
  <c r="C68" i="29"/>
  <c r="C67" i="29"/>
  <c r="C53" i="30"/>
  <c r="C52" i="30"/>
  <c r="C81" i="30"/>
  <c r="C146" i="30"/>
  <c r="C145" i="30"/>
  <c r="C64" i="31"/>
  <c r="C63" i="31"/>
  <c r="C86" i="31"/>
  <c r="C85" i="31"/>
  <c r="C215" i="31"/>
  <c r="C214" i="31"/>
  <c r="C111" i="27"/>
  <c r="C121" i="28"/>
  <c r="C41" i="29"/>
  <c r="C21" i="31"/>
  <c r="C20" i="31"/>
  <c r="C165" i="31"/>
  <c r="C164" i="31"/>
  <c r="C114" i="28"/>
  <c r="C40" i="29"/>
  <c r="C112" i="29"/>
  <c r="C38" i="30"/>
  <c r="C80" i="30"/>
  <c r="C116" i="30"/>
  <c r="C34" i="31"/>
  <c r="C70" i="31"/>
  <c r="C106" i="31"/>
  <c r="C142" i="31"/>
  <c r="C178" i="31"/>
  <c r="C242" i="31"/>
  <c r="C34" i="32"/>
  <c r="C35" i="32"/>
  <c r="C45" i="32"/>
  <c r="C44" i="32"/>
  <c r="C117" i="32"/>
  <c r="C116" i="32"/>
  <c r="C108" i="28"/>
  <c r="C113" i="28"/>
  <c r="C34" i="29"/>
  <c r="C39" i="29"/>
  <c r="C106" i="29"/>
  <c r="C111" i="29"/>
  <c r="C32" i="30"/>
  <c r="C37" i="30"/>
  <c r="C66" i="30"/>
  <c r="C79" i="30"/>
  <c r="C102" i="30"/>
  <c r="C115" i="30"/>
  <c r="C138" i="30"/>
  <c r="C42" i="31"/>
  <c r="C78" i="31"/>
  <c r="C114" i="31"/>
  <c r="C141" i="31"/>
  <c r="C150" i="31"/>
  <c r="C177" i="31"/>
  <c r="C193" i="31"/>
  <c r="C241" i="31"/>
  <c r="C287" i="31"/>
  <c r="C343" i="31"/>
  <c r="C346" i="31"/>
  <c r="C345" i="31"/>
  <c r="C24" i="34"/>
  <c r="C23" i="34"/>
  <c r="C133" i="34"/>
  <c r="C134" i="34"/>
  <c r="C124" i="30"/>
  <c r="C131" i="30"/>
  <c r="C186" i="31"/>
  <c r="C235" i="31"/>
  <c r="C310" i="31"/>
  <c r="C115" i="34"/>
  <c r="C116" i="34"/>
  <c r="C7" i="31"/>
  <c r="C201" i="31"/>
  <c r="C208" i="31"/>
  <c r="C237" i="31"/>
  <c r="C258" i="31"/>
  <c r="C273" i="31"/>
  <c r="C280" i="31"/>
  <c r="C312" i="31"/>
  <c r="C60" i="32"/>
  <c r="C16" i="34"/>
  <c r="C15" i="34"/>
  <c r="C78" i="28"/>
  <c r="C150" i="28"/>
  <c r="C76" i="29"/>
  <c r="C148" i="29"/>
  <c r="C62" i="30"/>
  <c r="C98" i="30"/>
  <c r="C134" i="30"/>
  <c r="C16" i="31"/>
  <c r="C52" i="31"/>
  <c r="C88" i="31"/>
  <c r="C124" i="31"/>
  <c r="C160" i="31"/>
  <c r="C182" i="31"/>
  <c r="C217" i="31"/>
  <c r="C282" i="31"/>
  <c r="C321" i="31"/>
  <c r="C322" i="31"/>
  <c r="C70" i="32"/>
  <c r="C71" i="32"/>
  <c r="C81" i="32"/>
  <c r="C80" i="32"/>
  <c r="C72" i="28"/>
  <c r="C144" i="28"/>
  <c r="C70" i="29"/>
  <c r="C142" i="29"/>
  <c r="C84" i="30"/>
  <c r="C120" i="30"/>
  <c r="C24" i="31"/>
  <c r="C60" i="31"/>
  <c r="C96" i="31"/>
  <c r="C132" i="31"/>
  <c r="C168" i="31"/>
  <c r="C239" i="31"/>
  <c r="C297" i="31"/>
  <c r="C314" i="31"/>
  <c r="C330" i="31"/>
  <c r="C11" i="32"/>
  <c r="C28" i="33"/>
  <c r="C27" i="33"/>
  <c r="C85" i="28"/>
  <c r="C98" i="28"/>
  <c r="C111" i="28"/>
  <c r="C124" i="28"/>
  <c r="C137" i="28"/>
  <c r="C11" i="29"/>
  <c r="C24" i="29"/>
  <c r="C37" i="29"/>
  <c r="C50" i="29"/>
  <c r="C63" i="29"/>
  <c r="C83" i="29"/>
  <c r="C130" i="29"/>
  <c r="C9" i="30"/>
  <c r="C55" i="30"/>
  <c r="C91" i="30"/>
  <c r="C127" i="30"/>
  <c r="C31" i="31"/>
  <c r="C67" i="31"/>
  <c r="C103" i="31"/>
  <c r="C139" i="31"/>
  <c r="C175" i="31"/>
  <c r="C189" i="31"/>
  <c r="C253" i="31"/>
  <c r="C291" i="31"/>
  <c r="C323" i="31"/>
  <c r="C53" i="32"/>
  <c r="C9" i="34"/>
  <c r="C8" i="34"/>
  <c r="C54" i="28"/>
  <c r="C59" i="28"/>
  <c r="C126" i="28"/>
  <c r="C131" i="28"/>
  <c r="C52" i="29"/>
  <c r="C57" i="29"/>
  <c r="C124" i="29"/>
  <c r="C129" i="29"/>
  <c r="C50" i="30"/>
  <c r="C77" i="30"/>
  <c r="C86" i="30"/>
  <c r="C113" i="30"/>
  <c r="C122" i="30"/>
  <c r="C40" i="31"/>
  <c r="C76" i="31"/>
  <c r="C112" i="31"/>
  <c r="C148" i="31"/>
  <c r="C191" i="31"/>
  <c r="C225" i="31"/>
  <c r="C48" i="28"/>
  <c r="C120" i="28"/>
  <c r="C46" i="29"/>
  <c r="C118" i="29"/>
  <c r="C44" i="30"/>
  <c r="C72" i="30"/>
  <c r="C108" i="30"/>
  <c r="C144" i="30"/>
  <c r="C12" i="31"/>
  <c r="C48" i="31"/>
  <c r="C84" i="31"/>
  <c r="C120" i="31"/>
  <c r="C156" i="31"/>
  <c r="C206" i="31"/>
  <c r="C248" i="31"/>
  <c r="C256" i="31"/>
  <c r="C278" i="31"/>
  <c r="C285" i="31"/>
  <c r="C334" i="31"/>
  <c r="C24" i="32"/>
  <c r="C212" i="31"/>
  <c r="C284" i="31"/>
  <c r="C9" i="32"/>
  <c r="C51" i="32"/>
  <c r="C78" i="32"/>
  <c r="C87" i="32"/>
  <c r="C107" i="32"/>
  <c r="C114" i="32"/>
  <c r="C123" i="32"/>
  <c r="C18" i="33"/>
  <c r="C25" i="33"/>
  <c r="C34" i="33"/>
  <c r="C54" i="33"/>
  <c r="C61" i="33"/>
  <c r="C7" i="34"/>
  <c r="C70" i="34"/>
  <c r="C69" i="34"/>
  <c r="C86" i="34"/>
  <c r="C113" i="34"/>
  <c r="C37" i="32"/>
  <c r="C73" i="32"/>
  <c r="C109" i="32"/>
  <c r="C20" i="33"/>
  <c r="C56" i="33"/>
  <c r="C63" i="33"/>
  <c r="C71" i="33"/>
  <c r="C14" i="34"/>
  <c r="C88" i="34"/>
  <c r="C87" i="34"/>
  <c r="C142" i="34"/>
  <c r="C141" i="34"/>
  <c r="C25" i="35"/>
  <c r="C24" i="35"/>
  <c r="C31" i="32"/>
  <c r="C67" i="32"/>
  <c r="C103" i="32"/>
  <c r="C14" i="33"/>
  <c r="C40" i="34"/>
  <c r="C39" i="34"/>
  <c r="C171" i="34"/>
  <c r="C170" i="34"/>
  <c r="C230" i="34"/>
  <c r="C229" i="34"/>
  <c r="C188" i="31"/>
  <c r="C260" i="31"/>
  <c r="C332" i="31"/>
  <c r="C39" i="32"/>
  <c r="C75" i="32"/>
  <c r="C111" i="32"/>
  <c r="C22" i="33"/>
  <c r="C58" i="33"/>
  <c r="C10" i="34"/>
  <c r="C80" i="34"/>
  <c r="C145" i="34"/>
  <c r="C144" i="34"/>
  <c r="C82" i="32"/>
  <c r="C118" i="32"/>
  <c r="C7" i="33"/>
  <c r="C29" i="33"/>
  <c r="C184" i="34"/>
  <c r="C183" i="34"/>
  <c r="C319" i="31"/>
  <c r="C55" i="32"/>
  <c r="C91" i="32"/>
  <c r="C127" i="32"/>
  <c r="C38" i="33"/>
  <c r="C81" i="33"/>
  <c r="C34" i="34"/>
  <c r="C49" i="34"/>
  <c r="C244" i="34"/>
  <c r="C308" i="31"/>
  <c r="C27" i="32"/>
  <c r="C63" i="32"/>
  <c r="C99" i="32"/>
  <c r="C10" i="33"/>
  <c r="C46" i="33"/>
  <c r="C20" i="34"/>
  <c r="C35" i="34"/>
  <c r="C59" i="34"/>
  <c r="C128" i="34"/>
  <c r="C129" i="34"/>
  <c r="C102" i="34"/>
  <c r="C103" i="34"/>
  <c r="C112" i="34"/>
  <c r="C111" i="34"/>
  <c r="C236" i="34"/>
  <c r="C84" i="32"/>
  <c r="C120" i="32"/>
  <c r="C31" i="33"/>
  <c r="C67" i="33"/>
  <c r="C158" i="34"/>
  <c r="C157" i="34"/>
  <c r="C290" i="31"/>
  <c r="C15" i="32"/>
  <c r="C43" i="32"/>
  <c r="C79" i="32"/>
  <c r="C115" i="32"/>
  <c r="C26" i="33"/>
  <c r="C121" i="34"/>
  <c r="C217" i="34"/>
  <c r="C216" i="34"/>
  <c r="C52" i="34"/>
  <c r="C124" i="34"/>
  <c r="C175" i="34"/>
  <c r="C188" i="34"/>
  <c r="C196" i="34"/>
  <c r="C201" i="34"/>
  <c r="C274" i="34"/>
  <c r="C40" i="35"/>
  <c r="C49" i="35"/>
  <c r="C85" i="35"/>
  <c r="C121" i="35"/>
  <c r="C26" i="36"/>
  <c r="C106" i="34"/>
  <c r="C178" i="34"/>
  <c r="C277" i="34"/>
  <c r="C10" i="35"/>
  <c r="C28" i="34"/>
  <c r="C100" i="34"/>
  <c r="C172" i="34"/>
  <c r="C276" i="34"/>
  <c r="C9" i="35"/>
  <c r="C26" i="35"/>
  <c r="C78" i="35"/>
  <c r="C69" i="35"/>
  <c r="C114" i="35"/>
  <c r="C82" i="34"/>
  <c r="C154" i="34"/>
  <c r="C159" i="34"/>
  <c r="C192" i="34"/>
  <c r="C205" i="34"/>
  <c r="C218" i="34"/>
  <c r="C226" i="34"/>
  <c r="C231" i="34"/>
  <c r="C262" i="34"/>
  <c r="C271" i="34"/>
  <c r="C20" i="35"/>
  <c r="C46" i="35"/>
  <c r="C61" i="35"/>
  <c r="C71" i="35"/>
  <c r="C97" i="35"/>
  <c r="C127" i="35"/>
  <c r="C82" i="35"/>
  <c r="C81" i="35"/>
  <c r="C107" i="35"/>
  <c r="C126" i="35"/>
  <c r="C118" i="35"/>
  <c r="C117" i="35"/>
  <c r="C213" i="34"/>
  <c r="C58" i="34"/>
  <c r="C130" i="34"/>
  <c r="C202" i="34"/>
  <c r="C235" i="34"/>
  <c r="C243" i="34"/>
  <c r="C247" i="34"/>
  <c r="C8" i="35"/>
  <c r="C44" i="35"/>
  <c r="C80" i="35"/>
  <c r="C116" i="35"/>
  <c r="C123" i="35"/>
  <c r="C22" i="36"/>
  <c r="C46" i="36"/>
  <c r="C70" i="36"/>
  <c r="C94" i="36"/>
  <c r="C27" i="37"/>
  <c r="C51" i="37"/>
  <c r="C75" i="37"/>
  <c r="C99" i="37"/>
  <c r="C123" i="37"/>
  <c r="C147" i="37"/>
  <c r="C219" i="37"/>
  <c r="C255" i="34"/>
  <c r="C16" i="35"/>
  <c r="C52" i="35"/>
  <c r="C88" i="35"/>
  <c r="C15" i="36"/>
  <c r="C39" i="36"/>
  <c r="C63" i="36"/>
  <c r="C87" i="36"/>
  <c r="C20" i="37"/>
  <c r="C44" i="37"/>
  <c r="C68" i="37"/>
  <c r="C92" i="37"/>
  <c r="C116" i="37"/>
  <c r="C140" i="37"/>
  <c r="C164" i="37"/>
  <c r="C188" i="37"/>
  <c r="C212" i="37"/>
  <c r="C236" i="37"/>
  <c r="C38" i="35"/>
  <c r="C74" i="35"/>
  <c r="C110" i="35"/>
  <c r="C68" i="35"/>
  <c r="C104" i="35"/>
  <c r="C9" i="36"/>
  <c r="C17" i="36"/>
  <c r="C24" i="36"/>
  <c r="C33" i="36"/>
  <c r="C41" i="36"/>
  <c r="C48" i="36"/>
  <c r="C57" i="36"/>
  <c r="C65" i="36"/>
  <c r="C72" i="36"/>
  <c r="C81" i="36"/>
  <c r="C89" i="36"/>
  <c r="C14" i="37"/>
  <c r="C22" i="37"/>
  <c r="C29" i="37"/>
  <c r="C38" i="37"/>
  <c r="C46" i="37"/>
  <c r="C53" i="37"/>
  <c r="C62" i="37"/>
  <c r="C70" i="37"/>
  <c r="C77" i="37"/>
  <c r="C86" i="37"/>
  <c r="C94" i="37"/>
  <c r="C101" i="37"/>
  <c r="C110" i="37"/>
  <c r="C118" i="37"/>
  <c r="C125" i="37"/>
  <c r="C134" i="37"/>
  <c r="C142" i="37"/>
  <c r="C149" i="37"/>
  <c r="C158" i="37"/>
  <c r="C166" i="37"/>
  <c r="C173" i="37"/>
  <c r="C182" i="37"/>
  <c r="C190" i="37"/>
  <c r="C197" i="37"/>
  <c r="C206" i="37"/>
  <c r="C214" i="37"/>
  <c r="C221" i="37"/>
  <c r="C230" i="37"/>
  <c r="C238" i="37"/>
  <c r="C34" i="36"/>
  <c r="C58" i="36"/>
  <c r="C82" i="36"/>
  <c r="C15" i="37"/>
  <c r="C39" i="37"/>
  <c r="C63" i="37"/>
  <c r="C87" i="37"/>
  <c r="C111" i="37"/>
  <c r="C135" i="37"/>
  <c r="C159" i="37"/>
  <c r="C183" i="37"/>
  <c r="C207" i="37"/>
  <c r="C231" i="37"/>
  <c r="C56" i="35"/>
  <c r="C92" i="35"/>
  <c r="C129" i="35"/>
  <c r="C28" i="36"/>
  <c r="C52" i="36"/>
  <c r="C76" i="36"/>
  <c r="C9" i="37"/>
  <c r="C33" i="37"/>
  <c r="C57" i="37"/>
  <c r="C81" i="37"/>
  <c r="C105" i="37"/>
  <c r="C129" i="37"/>
  <c r="C153" i="37"/>
  <c r="C177" i="37"/>
  <c r="C201" i="37"/>
  <c r="C225" i="37"/>
  <c r="H5" i="6" l="1"/>
  <c r="H6" i="6" s="1"/>
  <c r="N4" i="6"/>
  <c r="C4" i="6"/>
  <c r="E4" i="6"/>
  <c r="E5" i="6"/>
  <c r="E6" i="6" s="1"/>
  <c r="AA5" i="6"/>
  <c r="AA6" i="6" s="1"/>
  <c r="G4" i="6"/>
  <c r="N5" i="6"/>
  <c r="N6" i="6" s="1"/>
  <c r="I4" i="6"/>
  <c r="F4" i="6"/>
  <c r="I3" i="6"/>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<sst xmlns="http://schemas.openxmlformats.org/spreadsheetml/2006/main" count="318" uniqueCount="119">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</sst>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BB1A-4422-8771-7EC032774B58}"/>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-7.3861314798619876E-3</c:v>
                </c:pt>
                <c:pt idx="13" formatCode="0.00%">
                  <c:v>3.1467657473601631E-3</c:v>
                </c:pt>
                <c:pt idx="14" formatCode="0.00%">
                  <c:v>-7.9495324816117555E-2</c:v>
                </c:pt>
                <c:pt idx="15" formatCode="0.00%">
                  <c:v>-3.7994859915483785E-2</c:v>
                </c:pt>
                <c:pt idx="16" formatCode="0.00%">
                  <c:v>-2.0837861035741041E-2</c:v>
                </c:pt>
                <c:pt idx="17" formatCode="0.00%">
                  <c:v>-1.3318400214901382E-3</c:v>
                </c:pt>
                <c:pt idx="18" formatCode="0.00%">
                  <c:v>-5.8136496725899468E-2</c:v>
                </c:pt>
                <c:pt idx="19" formatCode="0.00%">
                  <c:v>-0.12852002639743859</c:v>
                </c:pt>
                <c:pt idx="20" formatCode="0.00%">
                  <c:v>-6.9672402451086954E-2</c:v>
                </c:pt>
                <c:pt idx="21" formatCode="0.00%">
                  <c:v>-3.8329103025523503E-2</c:v>
                </c:pt>
                <c:pt idx="22" formatCode="0.00%">
                  <c:v>6.6935662171125357E-2</c:v>
                </c:pt>
                <c:pt idx="23" formatCode="0.00%">
                  <c:v>0.22353525655476247</c:v>
                </c:pt>
                <c:pt idx="24" formatCode="0.00%">
                  <c:v>9.3424847799861543E-2</c:v>
                </c:pt>
                <c:pt idx="25" formatCode="0.00%">
                  <c:v>0.12374631395566078</c:v>
                </c:pt>
                <c:pt idx="26" formatCode="0.00%">
                  <c:v>0.16883236650202982</c:v>
                </c:pt>
                <c:pt idx="27" formatCode="0.00%">
                  <c:v>0.14851291651452111</c:v>
                </c:pt>
                <c:pt idx="28" formatCode="0.00%">
                  <c:v>9.328747084674012E-2</c:v>
                </c:pt>
                <c:pt idx="29" formatCode="0.00%">
                  <c:v>0.10098457183377962</c:v>
                </c:pt>
                <c:pt idx="30" formatCode="0.00%">
                  <c:v>0.14532767783602871</c:v>
                </c:pt>
                <c:pt idx="31" formatCode="0.00%">
                  <c:v>0.25764681179481935</c:v>
                </c:pt>
                <c:pt idx="32" formatCode="0.00%">
                  <c:v>0.16704989325566086</c:v>
                </c:pt>
                <c:pt idx="33" formatCode="0.00%">
                  <c:v>0.20926450238810348</c:v>
                </c:pt>
                <c:pt idx="34" formatCode="0.00%">
                  <c:v>0.14954476892973623</c:v>
                </c:pt>
                <c:pt idx="35" formatCode="0.00%">
                  <c:v>0.18126001199501313</c:v>
                </c:pt>
                <c:pt idx="36" formatCode="0.00%">
                  <c:v>0.23426790016197088</c:v>
                </c:pt>
                <c:pt idx="37" formatCode="0.00%">
                  <c:v>0.23377073835419218</c:v>
                </c:pt>
                <c:pt idx="38" formatCode="0.00%">
                  <c:v>0.22582436862305919</c:v>
                </c:pt>
                <c:pt idx="39" formatCode="0.00%">
                  <c:v>0.12471303999976117</c:v>
                </c:pt>
                <c:pt idx="40" formatCode="0.00%">
                  <c:v>0.18443866981045651</c:v>
                </c:pt>
                <c:pt idx="41" formatCode="0.00%">
                  <c:v>0.16984035274999013</c:v>
                </c:pt>
                <c:pt idx="42" formatCode="0.00%">
                  <c:v>0.15106315316732535</c:v>
                </c:pt>
                <c:pt idx="43" formatCode="0.00%">
                  <c:v>0.17866779559629734</c:v>
                </c:pt>
                <c:pt idx="44" formatCode="0.00%">
                  <c:v>0.2306844663379847</c:v>
                </c:pt>
                <c:pt idx="45" formatCode="0.00%">
                  <c:v>0.16118409170427606</c:v>
                </c:pt>
                <c:pt idx="46" formatCode="0.00%">
                  <c:v>0.21907505616837461</c:v>
                </c:pt>
                <c:pt idx="47" formatCode="0.00%">
                  <c:v>0.11679094342118462</c:v>
                </c:pt>
                <c:pt idx="48" formatCode="0.00%">
                  <c:v>8.7301387527250932E-2</c:v>
                </c:pt>
                <c:pt idx="49" formatCode="0.00%">
                  <c:v>8.5410723782621628E-2</c:v>
                </c:pt>
                <c:pt idx="50" formatCode="0.00%">
                  <c:v>3.7980036415902349E-2</c:v>
                </c:pt>
                <c:pt idx="51" formatCode="0.00%">
                  <c:v>7.4456026229386518E-2</c:v>
                </c:pt>
                <c:pt idx="52" formatCode="0.00%">
                  <c:v>7.7557337105978882E-2</c:v>
                </c:pt>
                <c:pt idx="53" formatCode="0.00%">
                  <c:v>5.5785573925841561E-2</c:v>
                </c:pt>
                <c:pt idx="54" formatCode="0.00%">
                  <c:v>7.3303607170878374E-2</c:v>
                </c:pt>
                <c:pt idx="55" formatCode="0.00%">
                  <c:v>5.2198934170017225E-2</c:v>
                </c:pt>
                <c:pt idx="56" formatCode="0.00%">
                  <c:v>8.9686088479380872E-3</c:v>
                </c:pt>
                <c:pt idx="57" formatCode="0.00%">
                  <c:v>2.9931848907752384E-2</c:v>
                </c:pt>
                <c:pt idx="58" formatCode="0.00%">
                  <c:v>-6.4279512470150166E-2</c:v>
                </c:pt>
                <c:pt idx="59" formatCode="0.00%">
                  <c:v>-6.5453870250305399E-2</c:v>
                </c:pt>
                <c:pt idx="60" formatCode="0.00%">
                  <c:v>-5.8823374158389471E-3</c:v>
                </c:pt>
                <c:pt idx="61" formatCode="0.00%">
                  <c:v>-2.4606807391690022E-2</c:v>
                </c:pt>
                <c:pt idx="62" formatCode="0.00%">
                  <c:v>-2.6268698920864277E-2</c:v>
                </c:pt>
                <c:pt idx="63" formatCode="0.00%">
                  <c:v>-6.1594851527492764E-2</c:v>
                </c:pt>
                <c:pt idx="64" formatCode="0.00%">
                  <c:v>-0.12169238537357335</c:v>
                </c:pt>
                <c:pt idx="65" formatCode="0.00%">
                  <c:v>-4.2757625605657913E-2</c:v>
                </c:pt>
                <c:pt idx="66" formatCode="0.00%">
                  <c:v>-5.6975586727715015E-2</c:v>
                </c:pt>
                <c:pt idx="67" formatCode="0.00%">
                  <c:v>-5.3821805705838277E-2</c:v>
                </c:pt>
                <c:pt idx="68" formatCode="0.00%">
                  <c:v>-3.0649365213836693E-2</c:v>
                </c:pt>
                <c:pt idx="69" formatCode="0.00%">
                  <c:v>-8.986169984560807E-4</c:v>
                </c:pt>
                <c:pt idx="70" formatCode="0.00%">
                  <c:v>7.5749984071078788E-2</c:v>
                </c:pt>
                <c:pt idx="71" formatCode="0.00%">
                  <c:v>0.1245063373298357</c:v>
                </c:pt>
                <c:pt idx="72" formatCode="0.00%">
                  <c:v>2.4559037897833803E-2</c:v>
                </c:pt>
                <c:pt idx="73" formatCode="0.00%">
                  <c:v>4.0718849564932227E-2</c:v>
                </c:pt>
                <c:pt idx="74" formatCode="0.00%">
                  <c:v>8.792025666148158E-2</c:v>
                </c:pt>
                <c:pt idx="75" formatCode="0.00%">
                  <c:v>0.17793951411586559</c:v>
                </c:pt>
                <c:pt idx="76" formatCode="0.00%">
                  <c:v>0.22280550519306597</c:v>
                </c:pt>
                <c:pt idx="77" formatCode="0.00%">
                  <c:v>0.15393184971715232</c:v>
                </c:pt>
                <c:pt idx="78" formatCode="0.00%">
                  <c:v>0.15705816888987684</c:v>
                </c:pt>
                <c:pt idx="79" formatCode="0.00%">
                  <c:v>0.17867687200734092</c:v>
                </c:pt>
                <c:pt idx="80" formatCode="0.00%">
                  <c:v>0.19099824636241616</c:v>
                </c:pt>
                <c:pt idx="81" formatCode="0.00%">
                  <c:v>0.17666747650244213</c:v>
                </c:pt>
                <c:pt idx="82" formatCode="0.00%">
                  <c:v>0.17735415626523104</c:v>
                </c:pt>
                <c:pt idx="83" formatCode="0.00%">
                  <c:v>0.18832696421680201</c:v>
                </c:pt>
                <c:pt idx="84" formatCode="0.00%">
                  <c:v>0.23754376680448355</c:v>
                </c:pt>
                <c:pt idx="85" formatCode="0.00%">
                  <c:v>0.24960775964311147</c:v>
                </c:pt>
                <c:pt idx="86" formatCode="0.00%">
                  <c:v>0.24331769183610172</c:v>
                </c:pt>
                <c:pt idx="87" formatCode="0.00%">
                  <c:v>0.27709485993621424</c:v>
                </c:pt>
                <c:pt idx="88" formatCode="0.00%">
                  <c:v>0.19004214281140103</c:v>
                </c:pt>
                <c:pt idx="89" formatCode="0.00%">
                  <c:v>0.15665633293031805</c:v>
                </c:pt>
                <c:pt idx="90" formatCode="0.00%">
                  <c:v>0.14290596510638123</c:v>
                </c:pt>
                <c:pt idx="91" formatCode="0.00%">
                  <c:v>0.12348514445448112</c:v>
                </c:pt>
                <c:pt idx="92" formatCode="0.00%">
                  <c:v>0.10823296983890826</c:v>
                </c:pt>
                <c:pt idx="93" formatCode="0.00%">
                  <c:v>0.11176783694401615</c:v>
                </c:pt>
                <c:pt idx="94" formatCode="0.00%">
                  <c:v>0.11502849408610194</c:v>
                </c:pt>
                <c:pt idx="95" formatCode="0.00%">
                  <c:v>0.10112437691639878</c:v>
                </c:pt>
                <c:pt idx="96" formatCode="0.00%">
                  <c:v>-2.1843498678543712E-3</c:v>
                </c:pt>
                <c:pt idx="97" formatCode="0.00%">
                  <c:v>-6.4312792200930443E-3</c:v>
                </c:pt>
                <c:pt idx="98" formatCode="0.00%">
                  <c:v>-9.1791669972603504E-2</c:v>
                </c:pt>
                <c:pt idx="99" formatCode="0.00%">
                  <c:v>-7.112089024536826E-2</c:v>
                </c:pt>
                <c:pt idx="100" formatCode="0.00%">
                  <c:v>-3.6189139777461064E-3</c:v>
                </c:pt>
                <c:pt idx="101" formatCode="0.00%">
                  <c:v>2.7478339181074472E-2</c:v>
                </c:pt>
                <c:pt idx="102" formatCode="0.00%">
                  <c:v>5.8372791199748739E-2</c:v>
                </c:pt>
                <c:pt idx="103" formatCode="0.00%">
                  <c:v>-1.0551778586173665E-2</c:v>
                </c:pt>
                <c:pt idx="104" formatCode="0.00%">
                  <c:v>5.8254493229688127E-2</c:v>
                </c:pt>
                <c:pt idx="105" formatCode="0.00%">
                  <c:v>2.9047558590642161E-2</c:v>
                </c:pt>
                <c:pt idx="106" formatCode="0.00%">
                  <c:v>-6.4649340702918915E-4</c:v>
                </c:pt>
                <c:pt idx="107" formatCode="0.00%">
                  <c:v>1.5606520328713722E-2</c:v>
                </c:pt>
                <c:pt idx="108" formatCode="0.00%">
                  <c:v>0.1272136014436086</c:v>
                </c:pt>
                <c:pt idx="109" formatCode="0.00%">
                  <c:v>0.13553941354997517</c:v>
                </c:pt>
                <c:pt idx="110" formatCode="0.00%">
                  <c:v>0.26314556810378553</c:v>
                </c:pt>
                <c:pt idx="111" formatCode="0.00%">
                  <c:v>0.15481268748530408</c:v>
                </c:pt>
                <c:pt idx="112" formatCode="0.00%">
                  <c:v>4.2604519342938539E-2</c:v>
                </c:pt>
                <c:pt idx="113" formatCode="0.00%">
                  <c:v>-0.11122215652134959</c:v>
                </c:pt>
                <c:pt idx="114" formatCode="0.00%">
                  <c:v>-5.6175284511156214E-2</c:v>
                </c:pt>
                <c:pt idx="115" formatCode="0.00%">
                  <c:v>5.6002220944371815E-2</c:v>
                </c:pt>
                <c:pt idx="116" formatCode="0.00%">
                  <c:v>2.4996412300229347E-2</c:v>
                </c:pt>
                <c:pt idx="117" formatCode="0.00%">
                  <c:v>7.4766768765947206E-2</c:v>
                </c:pt>
                <c:pt idx="118" formatCode="0.00%">
                  <c:v>0.16527837873597334</c:v>
                </c:pt>
                <c:pt idx="119" formatCode="0.00%">
                  <c:v>0.10605164894195464</c:v>
                </c:pt>
                <c:pt idx="120" formatCode="0.00%">
                  <c:v>5.2587257674307379E-2</c:v>
                </c:pt>
                <c:pt idx="121" formatCode="0.00%">
                  <c:v>0.14952813737837004</c:v>
                </c:pt>
                <c:pt idx="122" formatCode="0.00%">
                  <c:v>0.16838440753120193</c:v>
                </c:pt>
                <c:pt idx="123" formatCode="0.00%">
                  <c:v>0.17670333161599674</c:v>
                </c:pt>
                <c:pt idx="124" formatCode="0.00%">
                  <c:v>0.30107976506816175</c:v>
                </c:pt>
                <c:pt idx="125" formatCode="0.00%">
                  <c:v>0.54545272300379555</c:v>
                </c:pt>
                <c:pt idx="126" formatCode="0.00%">
                  <c:v>0.46689100908193909</c:v>
                </c:pt>
                <c:pt idx="127" formatCode="0.00%">
                  <c:v>0.41634624461086639</c:v>
                </c:pt>
                <c:pt idx="128" formatCode="0.00%">
                  <c:v>0.39497169315498842</c:v>
                </c:pt>
                <c:pt idx="129" formatCode="0.00%">
                  <c:v>0.33440388893633771</c:v>
                </c:pt>
                <c:pt idx="130" formatCode="0.00%">
                  <c:v>0.285931482070724</c:v>
                </c:pt>
                <c:pt idx="131" formatCode="0.00%">
                  <c:v>0.26902217600786404</c:v>
                </c:pt>
                <c:pt idx="132" formatCode="0.00%">
                  <c:v>0.36794438095299714</c:v>
                </c:pt>
                <c:pt idx="133" formatCode="0.00%">
                  <c:v>0.19574809640619084</c:v>
                </c:pt>
                <c:pt idx="134" formatCode="0.00%">
                  <c:v>0.18351209338728935</c:v>
                </c:pt>
                <c:pt idx="135" formatCode="0.00%">
                  <c:v>0.13616618048266246</c:v>
                </c:pt>
                <c:pt idx="136" formatCode="0.00%">
                  <c:v>7.6751064459881904E-2</c:v>
                </c:pt>
                <c:pt idx="137" formatCode="0.00%">
                  <c:v>6.719754319164363E-2</c:v>
                </c:pt>
                <c:pt idx="138" formatCode="0.00%">
                  <c:v>-5.8861442384501611E-2</c:v>
                </c:pt>
                <c:pt idx="139" formatCode="0.00%">
                  <c:v>-6.8367806702373191E-2</c:v>
                </c:pt>
                <c:pt idx="140" formatCode="0.00%">
                  <c:v>-0.15631052186810368</c:v>
                </c:pt>
              </c:numCache>
            </c:numRef>
          </c:val>
          <c:smooth val="0"/>
          <c:extLst>
            <c:ext xmlns:c16="http://schemas.microsoft.com/office/drawing/2014/chart" uri="{C3380CC4-5D6E-409C-BE32-E72D297353CC}">
              <c16:uniqueId val="{00000001-BB1A-4422-8771-7EC032774B58}"/>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3DF7-4EEB-AB2E-A39D8C5DFA41}"/>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US!$A$6:$A$156</c:f>
              <c:numCache>
                <c:formatCode>m/d/yyyy</c:formatCode>
                <c:ptCount val="15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US!$B$6:$B$156</c:f>
              <c:numCache>
                <c:formatCode>General</c:formatCode>
                <c:ptCount val="151"/>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numCache>
            </c:numRef>
          </c:val>
          <c:smooth val="0"/>
          <c:extLst>
            <c:ext xmlns:c16="http://schemas.microsoft.com/office/drawing/2014/chart" uri="{C3380CC4-5D6E-409C-BE32-E72D297353CC}">
              <c16:uniqueId val="{00000000-8E71-4044-813C-CA0C8740B4AC}"/>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China!$A$6:$A$227</c:f>
              <c:numCache>
                <c:formatCode>m/d/yyyy</c:formatCode>
                <c:ptCount val="222"/>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0-9526-45AC-A553-F024249DFC2C}"/>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China!$A$6:$A$227</c:f>
              <c:numCache>
                <c:formatCode>m/d/yyyy</c:formatCode>
                <c:ptCount val="222"/>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China!$D$6:$D$227</c:f>
              <c:numCache>
                <c:formatCode>General</c:formatCode>
                <c:ptCount val="222"/>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numCache>
            </c:numRef>
          </c:val>
          <c:smooth val="0"/>
          <c:extLst>
            <c:ext xmlns:c16="http://schemas.microsoft.com/office/drawing/2014/chart" uri="{C3380CC4-5D6E-409C-BE32-E72D297353CC}">
              <c16:uniqueId val="{00000001-9526-45AC-A553-F024249DFC2C}"/>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China!$F$6:$F$221</c:f>
              <c:numCache>
                <c:formatCode>0.0%</c:formatCode>
                <c:ptCount val="216"/>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numCache>
            </c:numRef>
          </c:val>
          <c:extLst>
            <c:ext xmlns:c16="http://schemas.microsoft.com/office/drawing/2014/chart" uri="{C3380CC4-5D6E-409C-BE32-E72D297353CC}">
              <c16:uniqueId val="{00000000-C6D3-4CE0-806E-1CDF3B7D0EEC}"/>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1-C6D3-4CE0-806E-1CDF3B7D0EEC}"/>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China!$A$6:$A$221</c:f>
              <c:numCache>
                <c:formatCode>m/d/yyyy</c:formatCode>
                <c:ptCount val="216"/>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numCache>
            </c:numRef>
          </c:cat>
          <c:val>
            <c:numRef>
              <c:f>China!$B$6:$B$221</c:f>
              <c:numCache>
                <c:formatCode>General</c:formatCode>
                <c:ptCount val="216"/>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numCache>
            </c:numRef>
          </c:val>
          <c:smooth val="0"/>
          <c:extLst>
            <c:ext xmlns:c16="http://schemas.microsoft.com/office/drawing/2014/chart" uri="{C3380CC4-5D6E-409C-BE32-E72D297353CC}">
              <c16:uniqueId val="{00000000-84E2-4F5D-8BD0-AE95CC003ADA}"/>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Area'!$A$18:$A$225</c:f>
              <c:numCache>
                <c:formatCode>m/d/yyyy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'Euro Area'!$E$18:$E$225</c:f>
              <c:numCache>
                <c:formatCode>General</c:formatCode>
                <c:ptCount val="20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numCache>
            </c:numRef>
          </c:val>
          <c:smooth val="0"/>
          <c:extLst>
            <c:ext xmlns:c16="http://schemas.microsoft.com/office/drawing/2014/chart" uri="{C3380CC4-5D6E-409C-BE32-E72D297353CC}">
              <c16:uniqueId val="{00000000-E9E7-4C67-9329-68F7F53677DC}"/>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Area'!$A$18:$A$225</c:f>
              <c:numCache>
                <c:formatCode>m/d/yyyy</c:formatCode>
                <c:ptCount val="20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'Euro Area'!$F$18:$F$225</c:f>
              <c:numCache>
                <c:formatCode>0.0%</c:formatCode>
                <c:ptCount val="208"/>
                <c:pt idx="0">
                  <c:v>8.9074859102600171E-2</c:v>
                </c:pt>
                <c:pt idx="1">
                  <c:v>0.18709422796837979</c:v>
                </c:pt>
                <c:pt idx="2">
                  <c:v>0.14582046644548499</c:v>
                </c:pt>
                <c:pt idx="3">
                  <c:v>0.22580876953311801</c:v>
                </c:pt>
                <c:pt idx="4">
                  <c:v>0.32653358412717676</c:v>
                </c:pt>
                <c:pt idx="5">
                  <c:v>0.27367234943079438</c:v>
                </c:pt>
                <c:pt idx="6">
                  <c:v>0.25880451516085606</c:v>
                </c:pt>
                <c:pt idx="7">
                  <c:v>0.2183273539536871</c:v>
                </c:pt>
                <c:pt idx="8">
                  <c:v>0.24520863594994952</c:v>
                </c:pt>
                <c:pt idx="9">
                  <c:v>0.24525729363521498</c:v>
                </c:pt>
                <c:pt idx="10">
                  <c:v>0.33814595005363551</c:v>
                </c:pt>
                <c:pt idx="11">
                  <c:v>0.37471224223117472</c:v>
                </c:pt>
                <c:pt idx="12">
                  <c:v>0.35351417338906183</c:v>
                </c:pt>
                <c:pt idx="13">
                  <c:v>0.28787796449271402</c:v>
                </c:pt>
                <c:pt idx="14">
                  <c:v>0.26703649780910604</c:v>
                </c:pt>
                <c:pt idx="15">
                  <c:v>0.26414357262481697</c:v>
                </c:pt>
                <c:pt idx="16">
                  <c:v>0.28580118728042603</c:v>
                </c:pt>
                <c:pt idx="17">
                  <c:v>0.38367627362280177</c:v>
                </c:pt>
                <c:pt idx="18">
                  <c:v>0.36414161534584316</c:v>
                </c:pt>
                <c:pt idx="19">
                  <c:v>0.30568337762292958</c:v>
                </c:pt>
                <c:pt idx="20">
                  <c:v>0.25655110626368532</c:v>
                </c:pt>
                <c:pt idx="21">
                  <c:v>0.30670527401850523</c:v>
                </c:pt>
                <c:pt idx="22">
                  <c:v>0.32624759374321594</c:v>
                </c:pt>
                <c:pt idx="23">
                  <c:v>0.23251263274554898</c:v>
                </c:pt>
                <c:pt idx="24">
                  <c:v>0.17532731834349807</c:v>
                </c:pt>
                <c:pt idx="25">
                  <c:v>4.6658643619481188E-2</c:v>
                </c:pt>
                <c:pt idx="26">
                  <c:v>4.7542005650218211E-2</c:v>
                </c:pt>
                <c:pt idx="27">
                  <c:v>3.1124073921621666E-2</c:v>
                </c:pt>
                <c:pt idx="28">
                  <c:v>9.0393117306150177E-3</c:v>
                </c:pt>
                <c:pt idx="29">
                  <c:v>-1.6222097956983327E-2</c:v>
                </c:pt>
                <c:pt idx="30">
                  <c:v>-0.14829464402836504</c:v>
                </c:pt>
                <c:pt idx="31">
                  <c:v>-0.11058906815500269</c:v>
                </c:pt>
                <c:pt idx="32">
                  <c:v>-0.14534596551261011</c:v>
                </c:pt>
                <c:pt idx="33">
                  <c:v>-0.30134009785449406</c:v>
                </c:pt>
                <c:pt idx="34">
                  <c:v>-0.49789183989484515</c:v>
                </c:pt>
                <c:pt idx="35">
                  <c:v>-0.52200527000912056</c:v>
                </c:pt>
                <c:pt idx="36">
                  <c:v>-0.45445185200460747</c:v>
                </c:pt>
                <c:pt idx="37">
                  <c:v>-0.49968913196742859</c:v>
                </c:pt>
                <c:pt idx="38">
                  <c:v>-0.55643352095170839</c:v>
                </c:pt>
                <c:pt idx="39">
                  <c:v>-0.52446441358142715</c:v>
                </c:pt>
                <c:pt idx="40">
                  <c:v>-0.47569811498924919</c:v>
                </c:pt>
                <c:pt idx="41">
                  <c:v>-0.41339835240333178</c:v>
                </c:pt>
                <c:pt idx="42">
                  <c:v>-0.34679401853013164</c:v>
                </c:pt>
                <c:pt idx="43">
                  <c:v>-0.2662781448614438</c:v>
                </c:pt>
                <c:pt idx="44">
                  <c:v>-0.18846103598885988</c:v>
                </c:pt>
                <c:pt idx="45">
                  <c:v>-2.3771012466445061E-4</c:v>
                </c:pt>
                <c:pt idx="46">
                  <c:v>0.26477639779203971</c:v>
                </c:pt>
                <c:pt idx="47">
                  <c:v>0.43317345377965288</c:v>
                </c:pt>
                <c:pt idx="48">
                  <c:v>0.2788759643911386</c:v>
                </c:pt>
                <c:pt idx="49">
                  <c:v>0.4067904730051185</c:v>
                </c:pt>
                <c:pt idx="50">
                  <c:v>0.55213650621246246</c:v>
                </c:pt>
                <c:pt idx="51">
                  <c:v>0.51637053817089207</c:v>
                </c:pt>
                <c:pt idx="52">
                  <c:v>0.25705169954640622</c:v>
                </c:pt>
                <c:pt idx="53">
                  <c:v>-2.9745051716139691E-2</c:v>
                </c:pt>
                <c:pt idx="54">
                  <c:v>-2.6055077141861671E-2</c:v>
                </c:pt>
                <c:pt idx="55">
                  <c:v>6.5950523293352445E-3</c:v>
                </c:pt>
                <c:pt idx="56">
                  <c:v>-0.11872585418364563</c:v>
                </c:pt>
                <c:pt idx="57">
                  <c:v>-6.2529756714414034E-2</c:v>
                </c:pt>
                <c:pt idx="58">
                  <c:v>4.2020771403549748E-2</c:v>
                </c:pt>
                <c:pt idx="59">
                  <c:v>-0.11655664377286915</c:v>
                </c:pt>
                <c:pt idx="60">
                  <c:v>-3.1444372386588093E-2</c:v>
                </c:pt>
                <c:pt idx="61">
                  <c:v>0.11924272577354809</c:v>
                </c:pt>
                <c:pt idx="62">
                  <c:v>0.18752938987944776</c:v>
                </c:pt>
                <c:pt idx="63">
                  <c:v>0.10961634002307209</c:v>
                </c:pt>
                <c:pt idx="64">
                  <c:v>0.26057182724728511</c:v>
                </c:pt>
                <c:pt idx="65">
                  <c:v>0.37401275911771414</c:v>
                </c:pt>
                <c:pt idx="66">
                  <c:v>0.39968929736634584</c:v>
                </c:pt>
                <c:pt idx="67">
                  <c:v>0.12702017500911209</c:v>
                </c:pt>
                <c:pt idx="68">
                  <c:v>6.36905553760682E-2</c:v>
                </c:pt>
                <c:pt idx="69">
                  <c:v>-0.18666683100414294</c:v>
                </c:pt>
                <c:pt idx="70">
                  <c:v>-0.13633192079008086</c:v>
                </c:pt>
                <c:pt idx="71">
                  <c:v>-6.9740620999470662E-2</c:v>
                </c:pt>
                <c:pt idx="72">
                  <c:v>-0.1844718414667515</c:v>
                </c:pt>
                <c:pt idx="73">
                  <c:v>-0.17616332472112417</c:v>
                </c:pt>
                <c:pt idx="74">
                  <c:v>-0.15569055628877634</c:v>
                </c:pt>
                <c:pt idx="75">
                  <c:v>-0.1574557816018067</c:v>
                </c:pt>
                <c:pt idx="76">
                  <c:v>-0.26347110243571242</c:v>
                </c:pt>
                <c:pt idx="77">
                  <c:v>-0.32639740540974399</c:v>
                </c:pt>
                <c:pt idx="78">
                  <c:v>-0.26864550385088548</c:v>
                </c:pt>
                <c:pt idx="79">
                  <c:v>-0.21153395303520961</c:v>
                </c:pt>
                <c:pt idx="80">
                  <c:v>-4.249690985186802E-2</c:v>
                </c:pt>
                <c:pt idx="81">
                  <c:v>0.14549162544476246</c:v>
                </c:pt>
                <c:pt idx="82">
                  <c:v>4.3117142426392981E-2</c:v>
                </c:pt>
                <c:pt idx="83">
                  <c:v>0.12623757710970121</c:v>
                </c:pt>
                <c:pt idx="84">
                  <c:v>0.24896389355924589</c:v>
                </c:pt>
                <c:pt idx="85">
                  <c:v>0.2010154697194183</c:v>
                </c:pt>
                <c:pt idx="86">
                  <c:v>8.6040234034780116E-2</c:v>
                </c:pt>
                <c:pt idx="87">
                  <c:v>6.9271313827443018E-2</c:v>
                </c:pt>
                <c:pt idx="88">
                  <c:v>0.19805279992270367</c:v>
                </c:pt>
                <c:pt idx="89">
                  <c:v>0.39332988152402754</c:v>
                </c:pt>
                <c:pt idx="90">
                  <c:v>0.22258125660862324</c:v>
                </c:pt>
                <c:pt idx="91">
                  <c:v>0.33628798460992809</c:v>
                </c:pt>
                <c:pt idx="92">
                  <c:v>0.23057927268014741</c:v>
                </c:pt>
                <c:pt idx="93">
                  <c:v>0.29113276574352598</c:v>
                </c:pt>
                <c:pt idx="94">
                  <c:v>0.32727511475329174</c:v>
                </c:pt>
                <c:pt idx="95">
                  <c:v>0.3022608788894352</c:v>
                </c:pt>
                <c:pt idx="96">
                  <c:v>0.27172535713545121</c:v>
                </c:pt>
                <c:pt idx="97">
                  <c:v>0.16249887342896466</c:v>
                </c:pt>
                <c:pt idx="98">
                  <c:v>0.30368803853637749</c:v>
                </c:pt>
                <c:pt idx="99">
                  <c:v>0.33063922539285751</c:v>
                </c:pt>
                <c:pt idx="100">
                  <c:v>0.28140934253104571</c:v>
                </c:pt>
                <c:pt idx="101">
                  <c:v>0.27550242219808585</c:v>
                </c:pt>
                <c:pt idx="102">
                  <c:v>0.3391861148625544</c:v>
                </c:pt>
                <c:pt idx="103">
                  <c:v>0.15221758684700115</c:v>
                </c:pt>
                <c:pt idx="104">
                  <c:v>0.17554481941987315</c:v>
                </c:pt>
                <c:pt idx="105">
                  <c:v>4.3388767025942271E-2</c:v>
                </c:pt>
                <c:pt idx="106">
                  <c:v>-3.865573650163906E-2</c:v>
                </c:pt>
                <c:pt idx="107">
                  <c:v>-1.573549785100244E-2</c:v>
                </c:pt>
                <c:pt idx="108">
                  <c:v>-0.1022671618690742</c:v>
                </c:pt>
                <c:pt idx="109">
                  <c:v>-4.1077164773824358E-2</c:v>
                </c:pt>
                <c:pt idx="110">
                  <c:v>-4.7902363329491111E-2</c:v>
                </c:pt>
                <c:pt idx="111">
                  <c:v>-6.2987493993649321E-2</c:v>
                </c:pt>
                <c:pt idx="112">
                  <c:v>-5.9456054476836682E-2</c:v>
                </c:pt>
                <c:pt idx="113">
                  <c:v>-7.3168588103770416E-2</c:v>
                </c:pt>
                <c:pt idx="114">
                  <c:v>-8.9323595170598916E-2</c:v>
                </c:pt>
                <c:pt idx="115">
                  <c:v>-3.6450711531719341E-3</c:v>
                </c:pt>
                <c:pt idx="116">
                  <c:v>-7.403210733969369E-2</c:v>
                </c:pt>
                <c:pt idx="117">
                  <c:v>-8.5806789053219479E-2</c:v>
                </c:pt>
                <c:pt idx="118">
                  <c:v>9.8674825220492271E-3</c:v>
                </c:pt>
                <c:pt idx="119">
                  <c:v>-3.547440538956715E-2</c:v>
                </c:pt>
                <c:pt idx="120">
                  <c:v>-1.1453385879082732E-2</c:v>
                </c:pt>
                <c:pt idx="121">
                  <c:v>-7.6955194381074926E-2</c:v>
                </c:pt>
                <c:pt idx="122">
                  <c:v>-0.16761897934381584</c:v>
                </c:pt>
                <c:pt idx="123">
                  <c:v>-9.0958017196551638E-2</c:v>
                </c:pt>
                <c:pt idx="124">
                  <c:v>-8.8025852395956297E-2</c:v>
                </c:pt>
                <c:pt idx="125">
                  <c:v>-0.11551619211016508</c:v>
                </c:pt>
                <c:pt idx="126">
                  <c:v>-0.12336547488725169</c:v>
                </c:pt>
                <c:pt idx="127">
                  <c:v>-0.1018751686249465</c:v>
                </c:pt>
                <c:pt idx="128">
                  <c:v>-2.4465175911015574E-2</c:v>
                </c:pt>
                <c:pt idx="129">
                  <c:v>3.1635391852357538E-2</c:v>
                </c:pt>
                <c:pt idx="130">
                  <c:v>-4.8389203721452619E-2</c:v>
                </c:pt>
                <c:pt idx="131">
                  <c:v>-7.9049902634798316E-2</c:v>
                </c:pt>
                <c:pt idx="132">
                  <c:v>1.4250548124411146E-2</c:v>
                </c:pt>
                <c:pt idx="133">
                  <c:v>9.8080747282933478E-2</c:v>
                </c:pt>
                <c:pt idx="134">
                  <c:v>0.14869482199111717</c:v>
                </c:pt>
                <c:pt idx="135">
                  <c:v>0.12787584099453123</c:v>
                </c:pt>
                <c:pt idx="136">
                  <c:v>0.14770254174403777</c:v>
                </c:pt>
                <c:pt idx="137">
                  <c:v>0.24980094746183312</c:v>
                </c:pt>
                <c:pt idx="138">
                  <c:v>0.28924400502423919</c:v>
                </c:pt>
                <c:pt idx="139">
                  <c:v>0.25793972727891312</c:v>
                </c:pt>
                <c:pt idx="140">
                  <c:v>0.24994325673171408</c:v>
                </c:pt>
                <c:pt idx="141">
                  <c:v>0.28395811628439843</c:v>
                </c:pt>
                <c:pt idx="142">
                  <c:v>0.31239169965156394</c:v>
                </c:pt>
                <c:pt idx="143">
                  <c:v>0.36341062413566472</c:v>
                </c:pt>
                <c:pt idx="144">
                  <c:v>0.28164870123749819</c:v>
                </c:pt>
                <c:pt idx="145">
                  <c:v>0.33986942531687953</c:v>
                </c:pt>
                <c:pt idx="146">
                  <c:v>0.25713738901994865</c:v>
                </c:pt>
                <c:pt idx="147">
                  <c:v>0.17604862939547797</c:v>
                </c:pt>
                <c:pt idx="148">
                  <c:v>0.15237198503018257</c:v>
                </c:pt>
                <c:pt idx="149">
                  <c:v>5.8698550497208297E-2</c:v>
                </c:pt>
                <c:pt idx="150">
                  <c:v>3.7254675050254378E-2</c:v>
                </c:pt>
                <c:pt idx="151">
                  <c:v>5.2125861046135806E-2</c:v>
                </c:pt>
                <c:pt idx="152">
                  <c:v>1.388916565370743E-2</c:v>
                </c:pt>
                <c:pt idx="153">
                  <c:v>-2.5971422388763803E-2</c:v>
                </c:pt>
                <c:pt idx="154">
                  <c:v>-0.12275270323809111</c:v>
                </c:pt>
                <c:pt idx="155">
                  <c:v>-0.12360487748735373</c:v>
                </c:pt>
                <c:pt idx="156">
                  <c:v>-0.16844162847128621</c:v>
                </c:pt>
                <c:pt idx="157">
                  <c:v>-0.17127065565680613</c:v>
                </c:pt>
                <c:pt idx="158">
                  <c:v>-9.0864186123664578E-2</c:v>
                </c:pt>
                <c:pt idx="159">
                  <c:v>-8.2881657328437539E-2</c:v>
                </c:pt>
                <c:pt idx="160">
                  <c:v>-5.8314063934576318E-2</c:v>
                </c:pt>
                <c:pt idx="161">
                  <c:v>-8.6179359693121987E-2</c:v>
                </c:pt>
                <c:pt idx="162">
                  <c:v>-6.4408501837480581E-3</c:v>
                </c:pt>
                <c:pt idx="163">
                  <c:v>-6.6604738491791188E-2</c:v>
                </c:pt>
                <c:pt idx="164">
                  <c:v>-5.0560810365833771E-2</c:v>
                </c:pt>
                <c:pt idx="165">
                  <c:v>-2.102958348545874E-2</c:v>
                </c:pt>
                <c:pt idx="166">
                  <c:v>0.11659210893853958</c:v>
                </c:pt>
                <c:pt idx="167">
                  <c:v>0.13074700304678402</c:v>
                </c:pt>
                <c:pt idx="168">
                  <c:v>0.23432835820895523</c:v>
                </c:pt>
                <c:pt idx="169">
                  <c:v>0.11737563535313159</c:v>
                </c:pt>
                <c:pt idx="170">
                  <c:v>3.4099666833901344E-3</c:v>
                </c:pt>
                <c:pt idx="171">
                  <c:v>-0.18510017057123265</c:v>
                </c:pt>
                <c:pt idx="172">
                  <c:v>-0.17608276882553417</c:v>
                </c:pt>
                <c:pt idx="173">
                  <c:v>-5.4393448809254688E-2</c:v>
                </c:pt>
                <c:pt idx="174">
                  <c:v>-4.9290608649194524E-2</c:v>
                </c:pt>
                <c:pt idx="175">
                  <c:v>-8.5469629283611119E-3</c:v>
                </c:pt>
                <c:pt idx="176">
                  <c:v>5.2583765899193488E-2</c:v>
                </c:pt>
                <c:pt idx="177">
                  <c:v>-1.2232542552521625E-2</c:v>
                </c:pt>
                <c:pt idx="178">
                  <c:v>-0.10074965271078705</c:v>
                </c:pt>
                <c:pt idx="179">
                  <c:v>6.643095524068271E-2</c:v>
                </c:pt>
                <c:pt idx="180">
                  <c:v>6.5233523011901245E-2</c:v>
                </c:pt>
                <c:pt idx="181">
                  <c:v>9.4983680441730403E-2</c:v>
                </c:pt>
                <c:pt idx="182">
                  <c:v>0.22244304938530432</c:v>
                </c:pt>
                <c:pt idx="183">
                  <c:v>0.55745841500747273</c:v>
                </c:pt>
                <c:pt idx="184">
                  <c:v>0.53530957436789328</c:v>
                </c:pt>
                <c:pt idx="185">
                  <c:v>0.4924839983190058</c:v>
                </c:pt>
                <c:pt idx="186">
                  <c:v>0.38449793593785525</c:v>
                </c:pt>
                <c:pt idx="187">
                  <c:v>0.35520631209340575</c:v>
                </c:pt>
                <c:pt idx="188">
                  <c:v>0.32150849545228111</c:v>
                </c:pt>
                <c:pt idx="189">
                  <c:v>0.299550776194561</c:v>
                </c:pt>
                <c:pt idx="190">
                  <c:v>0.43623009590814882</c:v>
                </c:pt>
                <c:pt idx="191">
                  <c:v>0.13522183100487262</c:v>
                </c:pt>
                <c:pt idx="192">
                  <c:v>0.13862038779539332</c:v>
                </c:pt>
                <c:pt idx="193">
                  <c:v>0.12091499014205467</c:v>
                </c:pt>
                <c:pt idx="194">
                  <c:v>4.033823438550777E-3</c:v>
                </c:pt>
                <c:pt idx="195">
                  <c:v>-4.5108514535341815E-2</c:v>
                </c:pt>
                <c:pt idx="196">
                  <c:v>-0.15419246350728635</c:v>
                </c:pt>
                <c:pt idx="197">
                  <c:v>-0.15456158005769324</c:v>
                </c:pt>
                <c:pt idx="198">
                  <c:v>-0.24528483946198745</c:v>
                </c:pt>
                <c:pt idx="199">
                  <c:v>-0.20525283598085789</c:v>
                </c:pt>
                <c:pt idx="200">
                  <c:v>-0.27837872099748479</c:v>
                </c:pt>
                <c:pt idx="201">
                  <c:v>-0.31001667640870051</c:v>
                </c:pt>
                <c:pt idx="202">
                  <c:v>-0.27354090184570745</c:v>
                </c:pt>
                <c:pt idx="203">
                  <c:v>-0.11577537822206696</c:v>
                </c:pt>
              </c:numCache>
            </c:numRef>
          </c:val>
          <c:smooth val="0"/>
          <c:extLst>
            <c:ext xmlns:c16="http://schemas.microsoft.com/office/drawing/2014/chart" uri="{C3380CC4-5D6E-409C-BE32-E72D297353CC}">
              <c16:uniqueId val="{00000001-E9E7-4C67-9329-68F7F53677DC}"/>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8BB3-4D07-B047-E2785E049611}"/>
              </c:ext>
            </c:extLst>
          </c:dPt>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Area'!$G$6:$G$221</c:f>
              <c:numCache>
                <c:formatCode>0.0%</c:formatCode>
                <c:ptCount val="216"/>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1.173620356979928E-2</c:v>
                </c:pt>
                <c:pt idx="23">
                  <c:v>0</c:v>
                </c:pt>
                <c:pt idx="24">
                  <c:v>0</c:v>
                </c:pt>
                <c:pt idx="25">
                  <c:v>6.0005990965844094E-3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-3.0935965197039311E-2</c:v>
                </c:pt>
                <c:pt idx="50">
                  <c:v>0</c:v>
                </c:pt>
                <c:pt idx="51">
                  <c:v>0</c:v>
                </c:pt>
                <c:pt idx="52">
                  <c:v>-2.4796235099942349E-4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9.6978601627363357E-3</c:v>
                </c:pt>
                <c:pt idx="65">
                  <c:v>0</c:v>
                </c:pt>
                <c:pt idx="66">
                  <c:v>0</c:v>
                </c:pt>
                <c:pt idx="67">
                  <c:v>4.1793588402824541E-3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-2.1497008731274228E-3</c:v>
                </c:pt>
                <c:pt idx="86">
                  <c:v>0</c:v>
                </c:pt>
                <c:pt idx="87">
                  <c:v>0</c:v>
                </c:pt>
                <c:pt idx="88">
                  <c:v>-2.6388234647134489E-3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5.1473606766863711E-3</c:v>
                </c:pt>
                <c:pt idx="101">
                  <c:v>0</c:v>
                </c:pt>
                <c:pt idx="102">
                  <c:v>0</c:v>
                </c:pt>
                <c:pt idx="103">
                  <c:v>3.0388036765969452E-3</c:v>
                </c:pt>
                <c:pt idx="104">
                  <c:v>0</c:v>
                </c:pt>
                <c:pt idx="105">
                  <c:v>0</c:v>
                </c:pt>
                <c:pt idx="106">
                  <c:v>2.878766551284823E-3</c:v>
                </c:pt>
                <c:pt idx="107">
                  <c:v>0</c:v>
                </c:pt>
                <c:pt idx="108">
                  <c:v>0</c:v>
                </c:pt>
                <c:pt idx="109">
                  <c:v>4.1415616412804612E-3</c:v>
                </c:pt>
                <c:pt idx="110">
                  <c:v>0</c:v>
                </c:pt>
                <c:pt idx="111">
                  <c:v>0</c:v>
                </c:pt>
                <c:pt idx="112">
                  <c:v>1.950123720347438E-3</c:v>
                </c:pt>
                <c:pt idx="113">
                  <c:v>0</c:v>
                </c:pt>
                <c:pt idx="114">
                  <c:v>0</c:v>
                </c:pt>
                <c:pt idx="115">
                  <c:v>4.9391818848553409E-3</c:v>
                </c:pt>
                <c:pt idx="116">
                  <c:v>0</c:v>
                </c:pt>
                <c:pt idx="117">
                  <c:v>0</c:v>
                </c:pt>
                <c:pt idx="118">
                  <c:v>3.558540848885159E-3</c:v>
                </c:pt>
                <c:pt idx="119">
                  <c:v>0</c:v>
                </c:pt>
                <c:pt idx="120">
                  <c:v>0</c:v>
                </c:pt>
                <c:pt idx="121">
                  <c:v>6.3769360636882749E-3</c:v>
                </c:pt>
                <c:pt idx="122">
                  <c:v>0</c:v>
                </c:pt>
                <c:pt idx="123">
                  <c:v>0</c:v>
                </c:pt>
                <c:pt idx="124">
                  <c:v>4.6068994602883537E-3</c:v>
                </c:pt>
                <c:pt idx="125">
                  <c:v>0</c:v>
                </c:pt>
                <c:pt idx="126">
                  <c:v>0</c:v>
                </c:pt>
                <c:pt idx="127">
                  <c:v>4.1682303293657944E-3</c:v>
                </c:pt>
                <c:pt idx="128">
                  <c:v>0</c:v>
                </c:pt>
                <c:pt idx="129">
                  <c:v>0</c:v>
                </c:pt>
                <c:pt idx="130">
                  <c:v>4.6210301376277789E-3</c:v>
                </c:pt>
                <c:pt idx="131">
                  <c:v>0</c:v>
                </c:pt>
                <c:pt idx="132">
                  <c:v>0</c:v>
                </c:pt>
                <c:pt idx="133">
                  <c:v>5.5582645779962206E-3</c:v>
                </c:pt>
                <c:pt idx="134">
                  <c:v>0</c:v>
                </c:pt>
                <c:pt idx="135">
                  <c:v>0</c:v>
                </c:pt>
                <c:pt idx="136">
                  <c:v>2.3383665099954961E-3</c:v>
                </c:pt>
                <c:pt idx="137">
                  <c:v>0</c:v>
                </c:pt>
                <c:pt idx="138">
                  <c:v>0</c:v>
                </c:pt>
                <c:pt idx="139">
                  <c:v>4.76872353145435E-3</c:v>
                </c:pt>
                <c:pt idx="140">
                  <c:v>0</c:v>
                </c:pt>
                <c:pt idx="141">
                  <c:v>0</c:v>
                </c:pt>
                <c:pt idx="142">
                  <c:v>7.5713228901048129E-3</c:v>
                </c:pt>
                <c:pt idx="143">
                  <c:v>0</c:v>
                </c:pt>
                <c:pt idx="144">
                  <c:v>0</c:v>
                </c:pt>
                <c:pt idx="145">
                  <c:v>6.8294879327953422E-3</c:v>
                </c:pt>
                <c:pt idx="146">
                  <c:v>0</c:v>
                </c:pt>
                <c:pt idx="147">
                  <c:v>0</c:v>
                </c:pt>
                <c:pt idx="148">
                  <c:v>7.887524293034848E-3</c:v>
                </c:pt>
                <c:pt idx="149">
                  <c:v>0</c:v>
                </c:pt>
                <c:pt idx="150">
                  <c:v>0</c:v>
                </c:pt>
                <c:pt idx="151">
                  <c:v>7.7604421378669733E-3</c:v>
                </c:pt>
                <c:pt idx="152">
                  <c:v>0</c:v>
                </c:pt>
                <c:pt idx="153">
                  <c:v>0</c:v>
                </c:pt>
                <c:pt idx="154">
                  <c:v>8.0912959996949918E-3</c:v>
                </c:pt>
                <c:pt idx="155">
                  <c:v>0</c:v>
                </c:pt>
                <c:pt idx="156">
                  <c:v>0</c:v>
                </c:pt>
                <c:pt idx="157">
                  <c:v>-3.5100666500917641E-5</c:v>
                </c:pt>
                <c:pt idx="158">
                  <c:v>0</c:v>
                </c:pt>
                <c:pt idx="159">
                  <c:v>0</c:v>
                </c:pt>
                <c:pt idx="160">
                  <c:v>5.3935343979740454E-3</c:v>
                </c:pt>
                <c:pt idx="161">
                  <c:v>0</c:v>
                </c:pt>
                <c:pt idx="162">
                  <c:v>0</c:v>
                </c:pt>
                <c:pt idx="163">
                  <c:v>8.6999664738546853E-5</c:v>
                </c:pt>
                <c:pt idx="164">
                  <c:v>0</c:v>
                </c:pt>
                <c:pt idx="165">
                  <c:v>0</c:v>
                </c:pt>
                <c:pt idx="166">
                  <c:v>6.4659197374907244E-3</c:v>
                </c:pt>
                <c:pt idx="167">
                  <c:v>0</c:v>
                </c:pt>
                <c:pt idx="168">
                  <c:v>0</c:v>
                </c:pt>
                <c:pt idx="169">
                  <c:v>6.2815300029311627E-3</c:v>
                </c:pt>
                <c:pt idx="170">
                  <c:v>0</c:v>
                </c:pt>
                <c:pt idx="171">
                  <c:v>0</c:v>
                </c:pt>
                <c:pt idx="172">
                  <c:v>3.13693459033283E-3</c:v>
                </c:pt>
                <c:pt idx="173">
                  <c:v>0</c:v>
                </c:pt>
                <c:pt idx="174">
                  <c:v>0</c:v>
                </c:pt>
                <c:pt idx="175">
                  <c:v>2.074514789335913E-3</c:v>
                </c:pt>
                <c:pt idx="176">
                  <c:v>0</c:v>
                </c:pt>
                <c:pt idx="177">
                  <c:v>0</c:v>
                </c:pt>
                <c:pt idx="178">
                  <c:v>1.5764098787802861E-4</c:v>
                </c:pt>
                <c:pt idx="179">
                  <c:v>0</c:v>
                </c:pt>
                <c:pt idx="180">
                  <c:v>0</c:v>
                </c:pt>
                <c:pt idx="181">
                  <c:v>-3.3637830792408972E-2</c:v>
                </c:pt>
                <c:pt idx="182">
                  <c:v>0</c:v>
                </c:pt>
                <c:pt idx="183">
                  <c:v>0</c:v>
                </c:pt>
                <c:pt idx="184">
                  <c:v>-0.11450080736536331</c:v>
                </c:pt>
                <c:pt idx="185">
                  <c:v>0</c:v>
                </c:pt>
                <c:pt idx="186">
                  <c:v>0</c:v>
                </c:pt>
                <c:pt idx="187">
                  <c:v>0.1235111337444042</c:v>
                </c:pt>
                <c:pt idx="188">
                  <c:v>0</c:v>
                </c:pt>
                <c:pt idx="189">
                  <c:v>0</c:v>
                </c:pt>
                <c:pt idx="190">
                  <c:v>-2.623450635427683E-3</c:v>
                </c:pt>
                <c:pt idx="191">
                  <c:v>0</c:v>
                </c:pt>
                <c:pt idx="192">
                  <c:v>0</c:v>
                </c:pt>
                <c:pt idx="193">
                  <c:v>-6.2096834024266559E-4</c:v>
                </c:pt>
                <c:pt idx="194">
                  <c:v>0</c:v>
                </c:pt>
                <c:pt idx="195">
                  <c:v>0</c:v>
                </c:pt>
                <c:pt idx="196">
                  <c:v>1.9862123468883421E-2</c:v>
                </c:pt>
                <c:pt idx="197">
                  <c:v>0</c:v>
                </c:pt>
                <c:pt idx="198">
                  <c:v>0</c:v>
                </c:pt>
                <c:pt idx="199">
                  <c:v>2.2506408299158821E-2</c:v>
                </c:pt>
                <c:pt idx="200">
                  <c:v>0</c:v>
                </c:pt>
                <c:pt idx="201">
                  <c:v>0</c:v>
                </c:pt>
                <c:pt idx="202">
                  <c:v>5.3520432827389268E-3</c:v>
                </c:pt>
                <c:pt idx="203">
                  <c:v>0</c:v>
                </c:pt>
                <c:pt idx="204">
                  <c:v>0</c:v>
                </c:pt>
                <c:pt idx="205">
                  <c:v>6.1132727921028897E-3</c:v>
                </c:pt>
                <c:pt idx="206">
                  <c:v>0</c:v>
                </c:pt>
                <c:pt idx="207">
                  <c:v>0</c:v>
                </c:pt>
                <c:pt idx="208">
                  <c:v>7.9510966455841811E-3</c:v>
                </c:pt>
                <c:pt idx="209">
                  <c:v>0</c:v>
                </c:pt>
                <c:pt idx="210">
                  <c:v>0</c:v>
                </c:pt>
                <c:pt idx="211">
                  <c:v>3.184090836015212E-3</c:v>
                </c:pt>
                <c:pt idx="212">
                  <c:v>0</c:v>
                </c:pt>
                <c:pt idx="213">
                  <c:v>0</c:v>
                </c:pt>
                <c:pt idx="214">
                  <c:v>0</c:v>
                </c:pt>
                <c:pt idx="215">
                  <c:v>0</c:v>
                </c:pt>
              </c:numCache>
            </c:numRef>
          </c:val>
          <c:extLst>
            <c:ext xmlns:c16="http://schemas.microsoft.com/office/drawing/2014/chart" uri="{C3380CC4-5D6E-409C-BE32-E72D297353CC}">
              <c16:uniqueId val="{00000002-8BB3-4D07-B047-E2785E049611}"/>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Area'!$B$6:$B$221</c:f>
              <c:numCache>
                <c:formatCode>General</c:formatCode>
                <c:ptCount val="21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numCache>
            </c:numRef>
          </c:val>
          <c:smooth val="0"/>
          <c:extLst>
            <c:ext xmlns:c16="http://schemas.microsoft.com/office/drawing/2014/chart" uri="{C3380CC4-5D6E-409C-BE32-E72D297353CC}">
              <c16:uniqueId val="{00000003-8BB3-4D07-B047-E2785E049611}"/>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'Euro Area'!$B$6:$B$221</c:f>
              <c:numCache>
                <c:formatCode>General</c:formatCode>
                <c:ptCount val="21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numCache>
            </c:numRef>
          </c:val>
          <c:smooth val="0"/>
          <c:extLst>
            <c:ext xmlns:c16="http://schemas.microsoft.com/office/drawing/2014/chart" uri="{C3380CC4-5D6E-409C-BE32-E72D297353CC}">
              <c16:uniqueId val="{00000000-D1FF-47D4-AE13-B6EE135C2687}"/>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Japan!$A$6:$A$183</c:f>
              <c:numCache>
                <c:formatCode>m/d/yyyy</c:formatCode>
                <c:ptCount val="178"/>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numCache>
            </c:numRef>
          </c:cat>
          <c:val>
            <c:numRef>
              <c:f>Japan!$B$6:$B$183</c:f>
              <c:numCache>
                <c:formatCode>General</c:formatCode>
                <c:ptCount val="178"/>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numCache>
            </c:numRef>
          </c:val>
          <c:smooth val="0"/>
          <c:extLst>
            <c:ext xmlns:c16="http://schemas.microsoft.com/office/drawing/2014/chart" uri="{C3380CC4-5D6E-409C-BE32-E72D297353CC}">
              <c16:uniqueId val="{00000000-122D-442F-9132-970CE219BE6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Germany!$A$6:$A$184</c:f>
              <c:numCache>
                <c:formatCode>m/d/yyyy</c:formatCode>
                <c:ptCount val="17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numCache>
            </c:numRef>
          </c:cat>
          <c:val>
            <c:numRef>
              <c:f>Germany!$B$6:$B$184</c:f>
              <c:numCache>
                <c:formatCode>General</c:formatCode>
                <c:ptCount val="17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numCache>
            </c:numRef>
          </c:val>
          <c:smooth val="0"/>
          <c:extLst>
            <c:ext xmlns:c16="http://schemas.microsoft.com/office/drawing/2014/chart" uri="{C3380CC4-5D6E-409C-BE32-E72D297353CC}">
              <c16:uniqueId val="{00000000-9FEB-4F85-9C52-30C294854A6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France!$A$6:$A$177</c:f>
              <c:numCache>
                <c:formatCode>m/d/yyyy</c:formatCode>
                <c:ptCount val="17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numCache>
            </c:numRef>
          </c:cat>
          <c:val>
            <c:numRef>
              <c:f>France!$B$6:$B$177</c:f>
              <c:numCache>
                <c:formatCode>General</c:formatCode>
                <c:ptCount val="17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numCache>
            </c:numRef>
          </c:val>
          <c:smooth val="0"/>
          <c:extLst>
            <c:ext xmlns:c16="http://schemas.microsoft.com/office/drawing/2014/chart" uri="{C3380CC4-5D6E-409C-BE32-E72D297353CC}">
              <c16:uniqueId val="{00000000-E4D2-4095-9DDA-810ABD473A9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UK!$B$18:$B$226</c:f>
              <c:numCache>
                <c:formatCode>General</c:formatCode>
                <c:ptCount val="20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numCache>
            </c:numRef>
          </c:val>
          <c:smooth val="0"/>
          <c:extLst>
            <c:ext xmlns:c16="http://schemas.microsoft.com/office/drawing/2014/chart" uri="{C3380CC4-5D6E-409C-BE32-E72D297353CC}">
              <c16:uniqueId val="{00000000-6647-4D90-A5C4-B2A0AF474D3D}"/>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UK!$A$18:$A$226</c:f>
              <c:numCache>
                <c:formatCode>m/d/yyyy</c:formatCode>
                <c:ptCount val="20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numCache>
            </c:numRef>
          </c:cat>
          <c:val>
            <c:numRef>
              <c:f>UK!$D$18:$D$226</c:f>
              <c:numCache>
                <c:formatCode>0.00</c:formatCode>
                <c:ptCount val="209"/>
                <c:pt idx="0">
                  <c:v>19.138576507568359</c:v>
                </c:pt>
                <c:pt idx="1">
                  <c:v>20.930795669555661</c:v>
                </c:pt>
                <c:pt idx="2">
                  <c:v>20.813982009887699</c:v>
                </c:pt>
                <c:pt idx="3">
                  <c:v>21.40866661071777</c:v>
                </c:pt>
                <c:pt idx="4">
                  <c:v>22.778566360473629</c:v>
                </c:pt>
                <c:pt idx="5">
                  <c:v>22.173259735107418</c:v>
                </c:pt>
                <c:pt idx="6">
                  <c:v>22.353794097900391</c:v>
                </c:pt>
                <c:pt idx="7">
                  <c:v>22.937856674194339</c:v>
                </c:pt>
                <c:pt idx="8">
                  <c:v>23.43696212768555</c:v>
                </c:pt>
                <c:pt idx="9">
                  <c:v>23.245819091796879</c:v>
                </c:pt>
                <c:pt idx="10">
                  <c:v>24.318378448486332</c:v>
                </c:pt>
                <c:pt idx="11">
                  <c:v>25.008636474609379</c:v>
                </c:pt>
                <c:pt idx="12">
                  <c:v>24.859966278076168</c:v>
                </c:pt>
                <c:pt idx="13">
                  <c:v>25.897018432617191</c:v>
                </c:pt>
                <c:pt idx="14">
                  <c:v>25.512466430664059</c:v>
                </c:pt>
                <c:pt idx="15">
                  <c:v>26.44638824462891</c:v>
                </c:pt>
                <c:pt idx="16">
                  <c:v>27.30339241027832</c:v>
                </c:pt>
                <c:pt idx="17">
                  <c:v>27.88571929931641</c:v>
                </c:pt>
                <c:pt idx="18">
                  <c:v>28.072500228881839</c:v>
                </c:pt>
                <c:pt idx="19">
                  <c:v>27.127593994140621</c:v>
                </c:pt>
                <c:pt idx="20">
                  <c:v>27.18253135681152</c:v>
                </c:pt>
                <c:pt idx="21">
                  <c:v>28.270271301269531</c:v>
                </c:pt>
                <c:pt idx="22">
                  <c:v>29.907375335693359</c:v>
                </c:pt>
                <c:pt idx="23">
                  <c:v>28.149410247802731</c:v>
                </c:pt>
                <c:pt idx="24">
                  <c:v>26.457370758056641</c:v>
                </c:pt>
                <c:pt idx="25">
                  <c:v>25.196409225463871</c:v>
                </c:pt>
                <c:pt idx="26">
                  <c:v>24.900777816772461</c:v>
                </c:pt>
                <c:pt idx="27">
                  <c:v>24.514192581176761</c:v>
                </c:pt>
                <c:pt idx="28">
                  <c:v>25.96958160400391</c:v>
                </c:pt>
                <c:pt idx="29">
                  <c:v>25.912736892700199</c:v>
                </c:pt>
                <c:pt idx="30">
                  <c:v>23.559091567993161</c:v>
                </c:pt>
                <c:pt idx="31">
                  <c:v>23.108318328857418</c:v>
                </c:pt>
                <c:pt idx="32">
                  <c:v>22.32912635803223</c:v>
                </c:pt>
                <c:pt idx="33">
                  <c:v>19.3635368347168</c:v>
                </c:pt>
                <c:pt idx="34">
                  <c:v>15.53735256195068</c:v>
                </c:pt>
                <c:pt idx="35">
                  <c:v>14.537191390991209</c:v>
                </c:pt>
                <c:pt idx="36">
                  <c:v>14.246450424194339</c:v>
                </c:pt>
                <c:pt idx="37">
                  <c:v>13.281208992004389</c:v>
                </c:pt>
                <c:pt idx="38">
                  <c:v>11.98898506164551</c:v>
                </c:pt>
                <c:pt idx="39">
                  <c:v>12.539376258850099</c:v>
                </c:pt>
                <c:pt idx="40">
                  <c:v>14.035012245178221</c:v>
                </c:pt>
                <c:pt idx="41">
                  <c:v>16.428018569946289</c:v>
                </c:pt>
                <c:pt idx="42">
                  <c:v>15.80584049224854</c:v>
                </c:pt>
                <c:pt idx="43">
                  <c:v>17.457283020019531</c:v>
                </c:pt>
                <c:pt idx="44">
                  <c:v>18.212583541870121</c:v>
                </c:pt>
                <c:pt idx="45">
                  <c:v>18.894796371459961</c:v>
                </c:pt>
                <c:pt idx="46">
                  <c:v>18.870431900024411</c:v>
                </c:pt>
                <c:pt idx="47">
                  <c:v>19.82065582275391</c:v>
                </c:pt>
                <c:pt idx="48">
                  <c:v>19.735378265380859</c:v>
                </c:pt>
                <c:pt idx="49">
                  <c:v>19.017229080200199</c:v>
                </c:pt>
                <c:pt idx="50">
                  <c:v>18.857002258300781</c:v>
                </c:pt>
                <c:pt idx="51">
                  <c:v>20.05251312255859</c:v>
                </c:pt>
                <c:pt idx="52">
                  <c:v>19.62114143371582</c:v>
                </c:pt>
                <c:pt idx="53">
                  <c:v>17.464300155639648</c:v>
                </c:pt>
                <c:pt idx="54">
                  <c:v>16.564584732055661</c:v>
                </c:pt>
                <c:pt idx="55">
                  <c:v>19.301816940307621</c:v>
                </c:pt>
                <c:pt idx="56">
                  <c:v>18.762517929077148</c:v>
                </c:pt>
                <c:pt idx="57">
                  <c:v>20.518369674682621</c:v>
                </c:pt>
                <c:pt idx="58">
                  <c:v>21.383754730224609</c:v>
                </c:pt>
                <c:pt idx="59">
                  <c:v>20.267536163330082</c:v>
                </c:pt>
                <c:pt idx="60">
                  <c:v>21.785089492797852</c:v>
                </c:pt>
                <c:pt idx="61">
                  <c:v>22.24544525146484</c:v>
                </c:pt>
                <c:pt idx="62">
                  <c:v>23.258913040161129</c:v>
                </c:pt>
                <c:pt idx="63">
                  <c:v>22.688840866088871</c:v>
                </c:pt>
                <c:pt idx="64">
                  <c:v>24.209030151367191</c:v>
                </c:pt>
                <c:pt idx="65">
                  <c:v>23.63896369934082</c:v>
                </c:pt>
                <c:pt idx="66">
                  <c:v>22.562154769897461</c:v>
                </c:pt>
                <c:pt idx="67">
                  <c:v>22.861770629882809</c:v>
                </c:pt>
                <c:pt idx="68">
                  <c:v>21.1091194152832</c:v>
                </c:pt>
                <c:pt idx="69">
                  <c:v>19.034296035766602</c:v>
                </c:pt>
                <c:pt idx="70">
                  <c:v>21.495731353759769</c:v>
                </c:pt>
                <c:pt idx="71">
                  <c:v>21.147781372070309</c:v>
                </c:pt>
                <c:pt idx="72">
                  <c:v>20.825605392456051</c:v>
                </c:pt>
                <c:pt idx="73">
                  <c:v>21.817564010620121</c:v>
                </c:pt>
                <c:pt idx="74">
                  <c:v>22.92937088012695</c:v>
                </c:pt>
                <c:pt idx="75">
                  <c:v>22.628524780273441</c:v>
                </c:pt>
                <c:pt idx="76">
                  <c:v>22.95553016662598</c:v>
                </c:pt>
                <c:pt idx="77">
                  <c:v>20.339521408081051</c:v>
                </c:pt>
                <c:pt idx="78">
                  <c:v>21.30744552612305</c:v>
                </c:pt>
                <c:pt idx="79">
                  <c:v>21.9998664855957</c:v>
                </c:pt>
                <c:pt idx="80">
                  <c:v>22.722927093505859</c:v>
                </c:pt>
                <c:pt idx="81">
                  <c:v>23.298702239990231</c:v>
                </c:pt>
                <c:pt idx="82">
                  <c:v>23.405824661254879</c:v>
                </c:pt>
                <c:pt idx="83">
                  <c:v>23.673624038696289</c:v>
                </c:pt>
                <c:pt idx="84">
                  <c:v>24.02176666259766</c:v>
                </c:pt>
                <c:pt idx="85">
                  <c:v>25.08321571350098</c:v>
                </c:pt>
                <c:pt idx="86">
                  <c:v>24.404190063476559</c:v>
                </c:pt>
                <c:pt idx="87">
                  <c:v>24.81160926818848</c:v>
                </c:pt>
                <c:pt idx="88">
                  <c:v>25.51779747009277</c:v>
                </c:pt>
                <c:pt idx="89">
                  <c:v>25.490634918212891</c:v>
                </c:pt>
                <c:pt idx="90">
                  <c:v>23.983198165893551</c:v>
                </c:pt>
                <c:pt idx="91">
                  <c:v>25.895988464355469</c:v>
                </c:pt>
                <c:pt idx="92">
                  <c:v>25.703035354614261</c:v>
                </c:pt>
                <c:pt idx="93">
                  <c:v>27.039876937866211</c:v>
                </c:pt>
                <c:pt idx="94">
                  <c:v>28.04594802856445</c:v>
                </c:pt>
                <c:pt idx="95">
                  <c:v>28.26645660400391</c:v>
                </c:pt>
                <c:pt idx="96">
                  <c:v>28.77638053894043</c:v>
                </c:pt>
                <c:pt idx="97">
                  <c:v>27.769430160522461</c:v>
                </c:pt>
                <c:pt idx="98">
                  <c:v>29.652351379394531</c:v>
                </c:pt>
                <c:pt idx="99">
                  <c:v>28.717864990234379</c:v>
                </c:pt>
                <c:pt idx="100">
                  <c:v>30.014980316162109</c:v>
                </c:pt>
                <c:pt idx="101">
                  <c:v>30.307878494262699</c:v>
                </c:pt>
                <c:pt idx="102">
                  <c:v>29.122344970703121</c:v>
                </c:pt>
                <c:pt idx="103">
                  <c:v>29.820808410644531</c:v>
                </c:pt>
                <c:pt idx="104">
                  <c:v>30.054929733276371</c:v>
                </c:pt>
                <c:pt idx="105">
                  <c:v>28.35756874084473</c:v>
                </c:pt>
                <c:pt idx="106">
                  <c:v>27.816171646118161</c:v>
                </c:pt>
                <c:pt idx="107">
                  <c:v>27.84543609619141</c:v>
                </c:pt>
                <c:pt idx="108">
                  <c:v>26.382194519042969</c:v>
                </c:pt>
                <c:pt idx="109">
                  <c:v>26.924465179443359</c:v>
                </c:pt>
                <c:pt idx="110">
                  <c:v>28.506504058837891</c:v>
                </c:pt>
                <c:pt idx="111">
                  <c:v>26.87968826293945</c:v>
                </c:pt>
                <c:pt idx="112">
                  <c:v>28.670675277709961</c:v>
                </c:pt>
                <c:pt idx="113">
                  <c:v>28.84976959228516</c:v>
                </c:pt>
                <c:pt idx="114">
                  <c:v>27.237886428833011</c:v>
                </c:pt>
                <c:pt idx="115">
                  <c:v>28.175188064575199</c:v>
                </c:pt>
                <c:pt idx="116">
                  <c:v>25.926034927368161</c:v>
                </c:pt>
                <c:pt idx="117">
                  <c:v>24.907833099365231</c:v>
                </c:pt>
                <c:pt idx="118">
                  <c:v>26.54910850524902</c:v>
                </c:pt>
                <c:pt idx="119">
                  <c:v>26.108396530151371</c:v>
                </c:pt>
                <c:pt idx="120">
                  <c:v>24.527912139892582</c:v>
                </c:pt>
                <c:pt idx="121">
                  <c:v>23.811655044555661</c:v>
                </c:pt>
                <c:pt idx="122">
                  <c:v>23.06754302978516</c:v>
                </c:pt>
                <c:pt idx="123">
                  <c:v>24.307735443115231</c:v>
                </c:pt>
                <c:pt idx="124">
                  <c:v>25.28438568115234</c:v>
                </c:pt>
                <c:pt idx="125">
                  <c:v>24.989841461181641</c:v>
                </c:pt>
                <c:pt idx="126">
                  <c:v>23.827157974243161</c:v>
                </c:pt>
                <c:pt idx="127">
                  <c:v>24.78558349609375</c:v>
                </c:pt>
                <c:pt idx="128">
                  <c:v>25.05568695068359</c:v>
                </c:pt>
                <c:pt idx="129">
                  <c:v>25.166900634765621</c:v>
                </c:pt>
                <c:pt idx="130">
                  <c:v>23.832296371459961</c:v>
                </c:pt>
                <c:pt idx="131">
                  <c:v>23.87995719909668</c:v>
                </c:pt>
                <c:pt idx="132">
                  <c:v>24.380437850952148</c:v>
                </c:pt>
                <c:pt idx="133">
                  <c:v>25.330120086669918</c:v>
                </c:pt>
                <c:pt idx="134">
                  <c:v>25.700605392456051</c:v>
                </c:pt>
                <c:pt idx="135">
                  <c:v>26.216070175170898</c:v>
                </c:pt>
                <c:pt idx="136">
                  <c:v>26.6590461730957</c:v>
                </c:pt>
                <c:pt idx="137">
                  <c:v>27.875211715698239</c:v>
                </c:pt>
                <c:pt idx="138">
                  <c:v>26.844291687011719</c:v>
                </c:pt>
                <c:pt idx="139">
                  <c:v>28.086690902709961</c:v>
                </c:pt>
                <c:pt idx="140">
                  <c:v>27.856203079223629</c:v>
                </c:pt>
                <c:pt idx="141">
                  <c:v>28.687604904174801</c:v>
                </c:pt>
                <c:pt idx="142">
                  <c:v>28.860475540161129</c:v>
                </c:pt>
                <c:pt idx="143">
                  <c:v>28.82755088806152</c:v>
                </c:pt>
                <c:pt idx="144">
                  <c:v>29.486087799072269</c:v>
                </c:pt>
                <c:pt idx="145">
                  <c:v>31.166030883789059</c:v>
                </c:pt>
                <c:pt idx="146">
                  <c:v>29.077671051025391</c:v>
                </c:pt>
                <c:pt idx="147">
                  <c:v>29.144765853881839</c:v>
                </c:pt>
                <c:pt idx="148">
                  <c:v>30.402811050415039</c:v>
                </c:pt>
                <c:pt idx="149">
                  <c:v>30.21829795837402</c:v>
                </c:pt>
                <c:pt idx="150">
                  <c:v>29.169923782348629</c:v>
                </c:pt>
                <c:pt idx="151">
                  <c:v>30.142557144165039</c:v>
                </c:pt>
                <c:pt idx="152">
                  <c:v>28.820438385009769</c:v>
                </c:pt>
                <c:pt idx="153">
                  <c:v>29.292621612548832</c:v>
                </c:pt>
                <c:pt idx="154">
                  <c:v>27.309446334838871</c:v>
                </c:pt>
                <c:pt idx="155">
                  <c:v>26.983211517333981</c:v>
                </c:pt>
                <c:pt idx="156">
                  <c:v>25.197492599487301</c:v>
                </c:pt>
                <c:pt idx="157">
                  <c:v>27.624223709106449</c:v>
                </c:pt>
                <c:pt idx="158">
                  <c:v>28.571640014648441</c:v>
                </c:pt>
                <c:pt idx="159">
                  <c:v>28.957622528076168</c:v>
                </c:pt>
                <c:pt idx="160">
                  <c:v>29.615549087524411</c:v>
                </c:pt>
                <c:pt idx="161">
                  <c:v>27.7996711730957</c:v>
                </c:pt>
                <c:pt idx="162">
                  <c:v>28.35233116149902</c:v>
                </c:pt>
                <c:pt idx="163">
                  <c:v>28.375730514526371</c:v>
                </c:pt>
                <c:pt idx="164">
                  <c:v>27.29611778259277</c:v>
                </c:pt>
                <c:pt idx="165">
                  <c:v>28.276763916015621</c:v>
                </c:pt>
                <c:pt idx="166">
                  <c:v>29.26640510559082</c:v>
                </c:pt>
                <c:pt idx="167">
                  <c:v>29.626277923583981</c:v>
                </c:pt>
                <c:pt idx="168">
                  <c:v>30.678892135620121</c:v>
                </c:pt>
                <c:pt idx="169">
                  <c:v>29.890426635742191</c:v>
                </c:pt>
                <c:pt idx="170">
                  <c:v>26.831787109375</c:v>
                </c:pt>
                <c:pt idx="171">
                  <c:v>21.868362426757809</c:v>
                </c:pt>
                <c:pt idx="172">
                  <c:v>23.122955322265621</c:v>
                </c:pt>
                <c:pt idx="173">
                  <c:v>23.56252288818359</c:v>
                </c:pt>
                <c:pt idx="174">
                  <c:v>23.58999061584473</c:v>
                </c:pt>
                <c:pt idx="175">
                  <c:v>24.108585357666019</c:v>
                </c:pt>
                <c:pt idx="176">
                  <c:v>24.768711090087891</c:v>
                </c:pt>
                <c:pt idx="177">
                  <c:v>23.699493408203121</c:v>
                </c:pt>
                <c:pt idx="178">
                  <c:v>22.63027381896973</c:v>
                </c:pt>
                <c:pt idx="179">
                  <c:v>26.274919509887699</c:v>
                </c:pt>
                <c:pt idx="180">
                  <c:v>27.23256874084473</c:v>
                </c:pt>
                <c:pt idx="181">
                  <c:v>27.478097915649411</c:v>
                </c:pt>
                <c:pt idx="182">
                  <c:v>28.559543609619141</c:v>
                </c:pt>
                <c:pt idx="183">
                  <c:v>29.44350624084473</c:v>
                </c:pt>
                <c:pt idx="184">
                  <c:v>30.590776443481449</c:v>
                </c:pt>
                <c:pt idx="185">
                  <c:v>31.775669097900391</c:v>
                </c:pt>
                <c:pt idx="186">
                  <c:v>30.750644683837891</c:v>
                </c:pt>
                <c:pt idx="187">
                  <c:v>31.35806846618652</c:v>
                </c:pt>
                <c:pt idx="188">
                  <c:v>31.56845855712891</c:v>
                </c:pt>
                <c:pt idx="189">
                  <c:v>30.84165000915527</c:v>
                </c:pt>
                <c:pt idx="190">
                  <c:v>32.209201812744141</c:v>
                </c:pt>
                <c:pt idx="191">
                  <c:v>30.64082145690918</c:v>
                </c:pt>
                <c:pt idx="192">
                  <c:v>31.692783355712891</c:v>
                </c:pt>
                <c:pt idx="193">
                  <c:v>33.292182922363281</c:v>
                </c:pt>
                <c:pt idx="194">
                  <c:v>32.899242401123047</c:v>
                </c:pt>
                <c:pt idx="195">
                  <c:v>33.046592712402337</c:v>
                </c:pt>
                <c:pt idx="196">
                  <c:v>31.730230331420898</c:v>
                </c:pt>
                <c:pt idx="197">
                  <c:v>32.584884643554688</c:v>
                </c:pt>
                <c:pt idx="198">
                  <c:v>29.431509017944339</c:v>
                </c:pt>
                <c:pt idx="199">
                  <c:v>30.909999847412109</c:v>
                </c:pt>
                <c:pt idx="200">
                  <c:v>28.909999847412109</c:v>
                </c:pt>
                <c:pt idx="201">
                  <c:v>26.20999908447266</c:v>
                </c:pt>
                <c:pt idx="202">
                  <c:v>28.04000091552734</c:v>
                </c:pt>
                <c:pt idx="203">
                  <c:v>31.530000686645511</c:v>
                </c:pt>
              </c:numCache>
            </c:numRef>
          </c:val>
          <c:smooth val="0"/>
          <c:extLst>
            <c:ext xmlns:c16="http://schemas.microsoft.com/office/drawing/2014/chart" uri="{C3380CC4-5D6E-409C-BE32-E72D297353CC}">
              <c16:uniqueId val="{00000001-6647-4D90-A5C4-B2A0AF474D3D}"/>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UK!$A$6:$A$221</c:f>
              <c:numCache>
                <c:formatCode>m/d/yyyy</c:formatCode>
                <c:ptCount val="21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numCache>
            </c:numRef>
          </c:cat>
          <c:val>
            <c:numRef>
              <c:f>UK!$B$6:$B$221</c:f>
              <c:numCache>
                <c:formatCode>General</c:formatCode>
                <c:ptCount val="21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numCache>
            </c:numRef>
          </c:val>
          <c:smooth val="0"/>
          <c:extLst>
            <c:ext xmlns:c16="http://schemas.microsoft.com/office/drawing/2014/chart" uri="{C3380CC4-5D6E-409C-BE32-E72D297353CC}">
              <c16:uniqueId val="{00000000-62F3-4D78-857A-2B7FF7D02A6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Italy!$A$6:$A$197</c:f>
              <c:numCache>
                <c:formatCode>m/d/yyyy</c:formatCode>
                <c:ptCount val="19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numCache>
            </c:numRef>
          </c:cat>
          <c:val>
            <c:numRef>
              <c:f>Italy!$B$6:$B$197</c:f>
              <c:numCache>
                <c:formatCode>General</c:formatCode>
                <c:ptCount val="19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numCache>
            </c:numRef>
          </c:val>
          <c:smooth val="0"/>
          <c:extLst>
            <c:ext xmlns:c16="http://schemas.microsoft.com/office/drawing/2014/chart" uri="{C3380CC4-5D6E-409C-BE32-E72D297353CC}">
              <c16:uniqueId val="{00000000-F1E3-4F02-B82C-147B628FB68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Spain!$A$6:$A$197</c:f>
              <c:numCache>
                <c:formatCode>m/d/yyyy</c:formatCode>
                <c:ptCount val="19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numCache>
            </c:numRef>
          </c:cat>
          <c:val>
            <c:numRef>
              <c:f>Spain!$B$6:$B$197</c:f>
              <c:numCache>
                <c:formatCode>General</c:formatCode>
                <c:ptCount val="19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numCache>
            </c:numRef>
          </c:val>
          <c:smooth val="0"/>
          <c:extLst>
            <c:ext xmlns:c16="http://schemas.microsoft.com/office/drawing/2014/chart" uri="{C3380CC4-5D6E-409C-BE32-E72D297353CC}">
              <c16:uniqueId val="{00000000-A7A1-4F3D-9500-949E97ED722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Brazil!$B$6:$B$151</c:f>
              <c:numCache>
                <c:formatCode>General</c:formatCode>
                <c:ptCount val="14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numCache>
            </c:numRef>
          </c:val>
          <c:smooth val="0"/>
          <c:extLst>
            <c:ext xmlns:c16="http://schemas.microsoft.com/office/drawing/2014/chart" uri="{C3380CC4-5D6E-409C-BE32-E72D297353CC}">
              <c16:uniqueId val="{00000000-D1BF-4343-BB5C-76911A1E1FD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Mexico!$B$6:$B$145</c:f>
              <c:numCache>
                <c:formatCode>General</c:formatCode>
                <c:ptCount val="14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numCache>
            </c:numRef>
          </c:val>
          <c:smooth val="0"/>
          <c:extLst>
            <c:ext xmlns:c16="http://schemas.microsoft.com/office/drawing/2014/chart" uri="{C3380CC4-5D6E-409C-BE32-E72D297353CC}">
              <c16:uniqueId val="{00000000-1A94-481C-A5C5-B379895C5DC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Russia!$B$6:$B$151</c:f>
              <c:numCache>
                <c:formatCode>General</c:formatCode>
                <c:ptCount val="14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numCache>
            </c:numRef>
          </c:val>
          <c:smooth val="0"/>
          <c:extLst>
            <c:ext xmlns:c16="http://schemas.microsoft.com/office/drawing/2014/chart" uri="{C3380CC4-5D6E-409C-BE32-E72D297353CC}">
              <c16:uniqueId val="{00000000-5DDC-47A4-BF13-F3794E532EB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India!$B$6:$B$151</c:f>
              <c:numCache>
                <c:formatCode>General</c:formatCode>
                <c:ptCount val="14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numCache>
            </c:numRef>
          </c:val>
          <c:smooth val="0"/>
          <c:extLst>
            <c:ext xmlns:c16="http://schemas.microsoft.com/office/drawing/2014/chart" uri="{C3380CC4-5D6E-409C-BE32-E72D297353CC}">
              <c16:uniqueId val="{00000000-9B88-4BB6-B804-BEDB4711724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Canada!$B$6:$B$145</c:f>
              <c:numCache>
                <c:formatCode>General</c:formatCode>
                <c:ptCount val="14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numCache>
            </c:numRef>
          </c:val>
          <c:smooth val="0"/>
          <c:extLst>
            <c:ext xmlns:c16="http://schemas.microsoft.com/office/drawing/2014/chart" uri="{C3380CC4-5D6E-409C-BE32-E72D297353CC}">
              <c16:uniqueId val="{00000000-733B-4959-9307-3CB704852A2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Australia!$A$6:$A$180</c:f>
              <c:numCache>
                <c:formatCode>m/d/yyyy</c:formatCode>
                <c:ptCount val="17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numCache>
            </c:numRef>
          </c:cat>
          <c:val>
            <c:numRef>
              <c:f>Australia!$B$6:$B$180</c:f>
              <c:numCache>
                <c:formatCode>General</c:formatCode>
                <c:ptCount val="17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numCache>
            </c:numRef>
          </c:val>
          <c:smooth val="0"/>
          <c:extLst>
            <c:ext xmlns:c16="http://schemas.microsoft.com/office/drawing/2014/chart" uri="{C3380CC4-5D6E-409C-BE32-E72D297353CC}">
              <c16:uniqueId val="{00000000-8B95-4669-B097-D8F46E5A0A1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Indonesia!$A$6:$A$145</c:f>
              <c:numCache>
                <c:formatCode>m/d/yyyy</c:formatCode>
                <c:ptCount val="14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numCache>
            </c:numRef>
          </c:cat>
          <c:val>
            <c:numRef>
              <c:f>Indonesia!$B$6:$B$145</c:f>
              <c:numCache>
                <c:formatCode>General</c:formatCode>
                <c:ptCount val="14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numCache>
            </c:numRef>
          </c:val>
          <c:smooth val="0"/>
          <c:extLst>
            <c:ext xmlns:c16="http://schemas.microsoft.com/office/drawing/2014/chart" uri="{C3380CC4-5D6E-409C-BE32-E72D297353CC}">
              <c16:uniqueId val="{00000000-E01F-49E0-9C98-88963340E0D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SouthKorea!$A$6:$A$149</c:f>
              <c:numCache>
                <c:formatCode>m/d/yyyy</c:formatCode>
                <c:ptCount val="14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numCache>
            </c:numRef>
          </c:cat>
          <c:val>
            <c:numRef>
              <c:f>SouthKorea!$B$6:$B$149</c:f>
              <c:numCache>
                <c:formatCode>General</c:formatCode>
                <c:ptCount val="14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numCache>
            </c:numRef>
          </c:val>
          <c:smooth val="0"/>
          <c:extLst>
            <c:ext xmlns:c16="http://schemas.microsoft.com/office/drawing/2014/chart" uri="{C3380CC4-5D6E-409C-BE32-E72D297353CC}">
              <c16:uniqueId val="{00000000-6F18-494E-BE3E-7EC93CA7C94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Taiwan!$B$6:$B$151</c:f>
              <c:numCache>
                <c:formatCode>General</c:formatCode>
                <c:ptCount val="14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numCache>
            </c:numRef>
          </c:val>
          <c:smooth val="0"/>
          <c:extLst>
            <c:ext xmlns:c16="http://schemas.microsoft.com/office/drawing/2014/chart" uri="{C3380CC4-5D6E-409C-BE32-E72D297353CC}">
              <c16:uniqueId val="{00000000-0E4C-4BC8-A301-EF5D0E2CC3D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Greece!$A$6:$A$151</c:f>
              <c:numCache>
                <c:formatCode>m/d/yyyy</c:formatCode>
                <c:ptCount val="14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Greece!$B$6:$B$151</c:f>
              <c:numCache>
                <c:formatCode>General</c:formatCode>
                <c:ptCount val="14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numCache>
            </c:numRef>
          </c:val>
          <c:smooth val="0"/>
          <c:extLst>
            <c:ext xmlns:c16="http://schemas.microsoft.com/office/drawing/2014/chart" uri="{C3380CC4-5D6E-409C-BE32-E72D297353CC}">
              <c16:uniqueId val="{00000000-CD92-432A-AC90-A7303C5EB1E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Ireland!$B$6:$B$151</c:f>
              <c:numCache>
                <c:formatCode>General</c:formatCode>
                <c:ptCount val="14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numCache>
            </c:numRef>
          </c:val>
          <c:smooth val="0"/>
          <c:extLst>
            <c:ext xmlns:c16="http://schemas.microsoft.com/office/drawing/2014/chart" uri="{C3380CC4-5D6E-409C-BE32-E72D297353CC}">
              <c16:uniqueId val="{00000000-EFC8-4E7B-8F0B-1B776D71768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Turkey!$B$6:$B$151</c:f>
              <c:numCache>
                <c:formatCode>General</c:formatCode>
                <c:ptCount val="14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numCache>
            </c:numRef>
          </c:val>
          <c:smooth val="0"/>
          <c:extLst>
            <c:ext xmlns:c16="http://schemas.microsoft.com/office/drawing/2014/chart" uri="{C3380CC4-5D6E-409C-BE32-E72D297353CC}">
              <c16:uniqueId val="{00000000-C320-4786-93F7-E50448F95B9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CzechRepublic!$B$6:$B$151</c:f>
              <c:numCache>
                <c:formatCode>General</c:formatCode>
                <c:ptCount val="14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numCache>
            </c:numRef>
          </c:val>
          <c:smooth val="0"/>
          <c:extLst>
            <c:ext xmlns:c16="http://schemas.microsoft.com/office/drawing/2014/chart" uri="{C3380CC4-5D6E-409C-BE32-E72D297353CC}">
              <c16:uniqueId val="{00000000-7A64-40B2-94DF-BA47670F85C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Poland!$A$6:$A$151</c:f>
              <c:numCache>
                <c:formatCode>m/d/yyyy</c:formatCode>
                <c:ptCount val="14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numCache>
            </c:numRef>
          </c:cat>
          <c:val>
            <c:numRef>
              <c:f>Poland!$B$6:$B$151</c:f>
              <c:numCache>
                <c:formatCode>General</c:formatCode>
                <c:ptCount val="14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numCache>
            </c:numRef>
          </c:val>
          <c:smooth val="0"/>
          <c:extLst>
            <c:ext xmlns:c16="http://schemas.microsoft.com/office/drawing/2014/chart" uri="{C3380CC4-5D6E-409C-BE32-E72D297353CC}">
              <c16:uniqueId val="{00000000-81AA-43C2-A0DA-00E088C28CD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Denmark!$A$6:$A$352</c:f>
              <c:numCache>
                <c:formatCode>m/d/yyyy</c:formatCode>
                <c:ptCount val="34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numCache>
            </c:numRef>
          </c:cat>
          <c:val>
            <c:numRef>
              <c:f>Denmark!$B$6:$B$352</c:f>
              <c:numCache>
                <c:formatCode>General</c:formatCode>
                <c:ptCount val="34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numCache>
            </c:numRef>
          </c:val>
          <c:smooth val="0"/>
          <c:extLst>
            <c:ext xmlns:c16="http://schemas.microsoft.com/office/drawing/2014/chart" uri="{C3380CC4-5D6E-409C-BE32-E72D297353CC}">
              <c16:uniqueId val="{00000000-62B1-41B8-B296-B804BD94D86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Vietnam!$A$6:$A$130</c:f>
              <c:numCache>
                <c:formatCode>m/d/yyyy</c:formatCode>
                <c:ptCount val="12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numCache>
            </c:numRef>
          </c:cat>
          <c:val>
            <c:numRef>
              <c:f>Vietnam!$B$6:$B$130</c:f>
              <c:numCache>
                <c:formatCode>General</c:formatCode>
                <c:ptCount val="12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numCache>
            </c:numRef>
          </c:val>
          <c:smooth val="0"/>
          <c:extLst>
            <c:ext xmlns:c16="http://schemas.microsoft.com/office/drawing/2014/chart" uri="{C3380CC4-5D6E-409C-BE32-E72D297353CC}">
              <c16:uniqueId val="{00000000-A426-42AB-9C42-79842C7C0A1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Thailand!$A$6:$A$82</c:f>
              <c:numCache>
                <c:formatCode>m/d/yyyy</c:formatCode>
                <c:ptCount val="7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numCache>
            </c:numRef>
          </c:cat>
          <c:val>
            <c:numRef>
              <c:f>Thailand!$B$6:$B$82</c:f>
              <c:numCache>
                <c:formatCode>General</c:formatCode>
                <c:ptCount val="7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numCache>
            </c:numRef>
          </c:val>
          <c:smooth val="0"/>
          <c:extLst>
            <c:ext xmlns:c16="http://schemas.microsoft.com/office/drawing/2014/chart" uri="{C3380CC4-5D6E-409C-BE32-E72D297353CC}">
              <c16:uniqueId val="{00000000-595D-425C-8D5A-2A4A6E439D6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Africa'!$A$6:$A$280</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'South Africa'!$B$6:$B$280</c:f>
              <c:numCache>
                <c:formatCode>General</c:formatCode>
                <c:ptCount val="275"/>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numCache>
            </c:numRef>
          </c:val>
          <c:smooth val="0"/>
          <c:extLst>
            <c:ext xmlns:c16="http://schemas.microsoft.com/office/drawing/2014/chart" uri="{C3380CC4-5D6E-409C-BE32-E72D297353CC}">
              <c16:uniqueId val="{00000000-C2CA-4AD8-929B-087A4E8E3A8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Kong'!$A$6:$A$130</c:f>
              <c:numCache>
                <c:formatCode>m/d/yyyy</c:formatCode>
                <c:ptCount val="12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numCache>
            </c:numRef>
          </c:cat>
          <c:val>
            <c:numRef>
              <c:f>'Hong Kong'!$B$6:$B$130</c:f>
              <c:numCache>
                <c:formatCode>General</c:formatCode>
                <c:ptCount val="12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numCache>
            </c:numRef>
          </c:val>
          <c:smooth val="0"/>
          <c:extLst>
            <c:ext xmlns:c16="http://schemas.microsoft.com/office/drawing/2014/chart" uri="{C3380CC4-5D6E-409C-BE32-E72D297353CC}">
              <c16:uniqueId val="{00000000-EFE0-4058-965A-53BE55F5D40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Arabia'!$A$6:$A$96</c:f>
              <c:numCache>
                <c:formatCode>m/d/yyyy</c:formatCode>
                <c:ptCount val="9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numCache>
            </c:numRef>
          </c:cat>
          <c:val>
            <c:numRef>
              <c:f>'Saudi Arabia'!$B$6:$B$96</c:f>
              <c:numCache>
                <c:formatCode>General</c:formatCode>
                <c:ptCount val="9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numCache>
            </c:numRef>
          </c:val>
          <c:smooth val="0"/>
          <c:extLst>
            <c:ext xmlns:c16="http://schemas.microsoft.com/office/drawing/2014/chart" uri="{C3380CC4-5D6E-409C-BE32-E72D297353CC}">
              <c16:uniqueId val="{00000000-552C-44BC-8952-BE6E2634431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NewZealand!$A$6:$A$248</c:f>
              <c:numCache>
                <c:formatCode>m/d/yyyy</c:formatCode>
                <c:ptCount val="243"/>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numCache>
            </c:numRef>
          </c:cat>
          <c:val>
            <c:numRef>
              <c:f>NewZealand!$B$6:$B$248</c:f>
              <c:numCache>
                <c:formatCode>0.00</c:formatCode>
                <c:ptCount val="243"/>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numCache>
            </c:numRef>
          </c:val>
          <c:smooth val="0"/>
          <c:extLst>
            <c:ext xmlns:c16="http://schemas.microsoft.com/office/drawing/2014/chart" uri="{C3380CC4-5D6E-409C-BE32-E72D297353CC}">
              <c16:uniqueId val="{00000000-296C-4FC5-A46D-F94798C6853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153</xdr:row>
      <xdr:rowOff>33514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187</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203</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202</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153</xdr:row>
      <xdr:rowOff>25929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61" dataDxfId="259" headerRowBorderDxfId="260" tableBorderDxfId="258" totalsRowBorderDxfId="257">
  <autoFilter ref="A5:F146"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1" totalsRowShown="0" headerRowDxfId="250" dataDxfId="248" headerRowBorderDxfId="249" tableBorderDxfId="247" totalsRowBorderDxfId="246">
  <autoFilter ref="A5:D151"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0" totalsRowShown="0" headerRowDxfId="241" dataDxfId="239" headerRowBorderDxfId="240" tableBorderDxfId="238" totalsRowBorderDxfId="237">
  <autoFilter ref="A5:F220"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1" totalsRowShown="0" headerRowDxfId="230" dataDxfId="228" headerRowBorderDxfId="229" tableBorderDxfId="227" totalsRowBorderDxfId="226">
  <autoFilter ref="A5:G221"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3" totalsRowShown="0" headerRowDxfId="218" dataDxfId="216" headerRowBorderDxfId="217" tableBorderDxfId="215" totalsRowBorderDxfId="214">
  <autoFilter ref="A5:C183"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4" totalsRowShown="0" headerRowDxfId="210" dataDxfId="208" headerRowBorderDxfId="209" tableBorderDxfId="207" totalsRowBorderDxfId="206">
  <autoFilter ref="A5:C184"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7" totalsRowShown="0" headerRowDxfId="202" dataDxfId="200" headerRowBorderDxfId="201" tableBorderDxfId="199" totalsRowBorderDxfId="198">
  <autoFilter ref="A5:C177"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1" totalsRowShown="0" headerRowDxfId="194" dataDxfId="192" headerRowBorderDxfId="193" tableBorderDxfId="191" totalsRowBorderDxfId="190">
  <autoFilter ref="A5:F221"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7" totalsRowShown="0" headerRowDxfId="183" dataDxfId="181" headerRowBorderDxfId="182" tableBorderDxfId="180" totalsRowBorderDxfId="179">
  <autoFilter ref="A5:C197"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7" totalsRowShown="0" headerRowDxfId="175" dataDxfId="173" headerRowBorderDxfId="174" tableBorderDxfId="172" totalsRowBorderDxfId="171">
  <autoFilter ref="A5:C197"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1" totalsRowShown="0" headerRowDxfId="167" dataDxfId="165" headerRowBorderDxfId="166" tableBorderDxfId="164" totalsRowBorderDxfId="163">
  <autoFilter ref="A5:C151"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5" totalsRowShown="0" headerRowDxfId="159" dataDxfId="157" headerRowBorderDxfId="158" tableBorderDxfId="156" totalsRowBorderDxfId="155">
  <autoFilter ref="A5:C145"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1" totalsRowShown="0" headerRowDxfId="151" dataDxfId="149" headerRowBorderDxfId="150" tableBorderDxfId="148" totalsRowBorderDxfId="147">
  <autoFilter ref="A5:C151"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1" totalsRowShown="0" headerRowDxfId="143" dataDxfId="141" headerRowBorderDxfId="142" tableBorderDxfId="140" totalsRowBorderDxfId="139">
  <autoFilter ref="A5:C151"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5" totalsRowShown="0" headerRowDxfId="135" dataDxfId="133" headerRowBorderDxfId="134" tableBorderDxfId="132" totalsRowBorderDxfId="131">
  <autoFilter ref="A5:C145"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0" totalsRowShown="0" headerRowDxfId="127" dataDxfId="125" headerRowBorderDxfId="126" tableBorderDxfId="124" totalsRowBorderDxfId="123">
  <autoFilter ref="A5:C180"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5" totalsRowShown="0" headerRowDxfId="119" dataDxfId="117" headerRowBorderDxfId="118" tableBorderDxfId="116" totalsRowBorderDxfId="115">
  <autoFilter ref="A5:C145"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49" totalsRowShown="0" headerRowDxfId="111" dataDxfId="109" headerRowBorderDxfId="110" tableBorderDxfId="108" totalsRowBorderDxfId="107">
  <autoFilter ref="A5:C149"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1" totalsRowShown="0" headerRowDxfId="103" dataDxfId="101" headerRowBorderDxfId="102" tableBorderDxfId="100" totalsRowBorderDxfId="99">
  <autoFilter ref="A5:C151"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1" totalsRowShown="0" headerRowDxfId="95" dataDxfId="93" headerRowBorderDxfId="94" tableBorderDxfId="92" totalsRowBorderDxfId="91">
  <autoFilter ref="A5:C151"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1" totalsRowShown="0" headerRowDxfId="87" dataDxfId="85" headerRowBorderDxfId="86" tableBorderDxfId="84" totalsRowBorderDxfId="83">
  <autoFilter ref="A5:C151"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1" totalsRowShown="0" headerRowDxfId="79" dataDxfId="77" headerRowBorderDxfId="78" tableBorderDxfId="76" totalsRowBorderDxfId="75">
  <autoFilter ref="A5:C151"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1" totalsRowShown="0" headerRowDxfId="71" dataDxfId="69" headerRowBorderDxfId="70" tableBorderDxfId="68" totalsRowBorderDxfId="67">
  <autoFilter ref="A5:C151"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1" totalsRowShown="0" headerRowDxfId="63" dataDxfId="61" headerRowBorderDxfId="62" tableBorderDxfId="60" totalsRowBorderDxfId="59">
  <autoFilter ref="A5:C151"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2" totalsRowShown="0" headerRowDxfId="55" dataDxfId="53" headerRowBorderDxfId="54" tableBorderDxfId="52" totalsRowBorderDxfId="51">
  <autoFilter ref="A5:C352"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0" totalsRowShown="0" headerRowDxfId="47" dataDxfId="45" headerRowBorderDxfId="46" tableBorderDxfId="44" totalsRowBorderDxfId="43">
  <autoFilter ref="A5:C130"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2" totalsRowShown="0" headerRowDxfId="39" dataDxfId="37" headerRowBorderDxfId="38" tableBorderDxfId="36" totalsRowBorderDxfId="35">
  <autoFilter ref="A5:C82"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0" totalsRowShown="0" headerRowDxfId="31" dataDxfId="29" headerRowBorderDxfId="30" tableBorderDxfId="28" totalsRowBorderDxfId="27">
  <autoFilter ref="A5:C280"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0" totalsRowShown="0" headerRowDxfId="23" dataDxfId="21" headerRowBorderDxfId="22" tableBorderDxfId="20" totalsRowBorderDxfId="19">
  <autoFilter ref="A5:C130"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6" totalsRowShown="0" headerRowDxfId="15" dataDxfId="13" headerRowBorderDxfId="14" tableBorderDxfId="12" totalsRowBorderDxfId="11">
  <autoFilter ref="A5:C96"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8" totalsRowShown="0" headerRowDxfId="7" dataDxfId="5" headerRowBorderDxfId="6" tableBorderDxfId="4" totalsRowBorderDxfId="3">
  <autoFilter ref="A5:C248"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V22" sqref="V22"/>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67" width="9.1796875" style="63" customWidth="1"/>
    <col min="68"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6"/>
      <c r="D3" s="76"/>
      <c r="E3" s="76"/>
      <c r="F3" s="76"/>
      <c r="G3" s="76"/>
      <c r="H3" s="76"/>
      <c r="I3" s="76"/>
      <c r="J3" s="77"/>
    </row>
    <row r="5" spans="2:19" x14ac:dyDescent="0.35">
      <c r="B5" s="66" t="s">
        <v>1</v>
      </c>
      <c r="C5" s="71"/>
      <c r="D5" s="71"/>
      <c r="E5" s="71"/>
      <c r="F5" s="71"/>
      <c r="G5" s="71"/>
      <c r="H5" s="71"/>
      <c r="I5" s="71"/>
      <c r="J5" s="67"/>
    </row>
    <row r="7" spans="2:19" ht="225.75" customHeight="1" x14ac:dyDescent="0.35">
      <c r="B7" s="78"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1"/>
      <c r="D10" s="71"/>
      <c r="E10" s="71"/>
      <c r="F10" s="71"/>
      <c r="G10" s="71"/>
      <c r="H10" s="71"/>
      <c r="I10" s="71"/>
      <c r="J10" s="67"/>
      <c r="N10" s="79" t="s">
        <v>4</v>
      </c>
      <c r="O10" s="76"/>
      <c r="P10" s="76"/>
      <c r="Q10" s="76"/>
      <c r="R10" s="76"/>
      <c r="S10" s="77"/>
    </row>
    <row r="11" spans="2:19" x14ac:dyDescent="0.35">
      <c r="N11" s="4" t="s">
        <v>5</v>
      </c>
    </row>
    <row r="12" spans="2:19" ht="16" customHeight="1" thickBot="1" x14ac:dyDescent="0.4">
      <c r="B12" s="66" t="s">
        <v>6</v>
      </c>
      <c r="C12" s="71"/>
      <c r="D12" s="71"/>
      <c r="E12" s="71"/>
      <c r="F12" s="67"/>
      <c r="G12" s="66" t="s">
        <v>7</v>
      </c>
      <c r="H12" s="71"/>
      <c r="I12" s="71"/>
      <c r="J12" s="67"/>
    </row>
    <row r="13" spans="2:19" x14ac:dyDescent="0.35">
      <c r="P13" s="5">
        <v>44835</v>
      </c>
      <c r="Q13" s="6">
        <f>DATE(YEAR(P13),MONTH(P13)-1,DAY(P13))</f>
        <v>44805</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72"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72" t="s">
        <v>17</v>
      </c>
      <c r="C16" s="69"/>
      <c r="D16" s="69"/>
      <c r="E16" s="69"/>
      <c r="F16" s="69"/>
      <c r="G16" s="69" t="s">
        <v>18</v>
      </c>
      <c r="H16" s="69"/>
      <c r="I16" s="69"/>
      <c r="J16" s="69"/>
      <c r="N16" s="66" t="s">
        <v>19</v>
      </c>
      <c r="O16" s="67"/>
      <c r="P16" s="24">
        <f>VLOOKUP($P$13,Summary!$B:$AB,MATCH(Note!N16,Summary!$B$2:$AB$2,),)</f>
        <v>50.4</v>
      </c>
      <c r="Q16" s="24">
        <f>VLOOKUP($Q$13,Summary!$B:$AB,MATCH(Note!N16,Summary!$B$2:$AB$2,),)</f>
        <v>52</v>
      </c>
      <c r="R16" s="56">
        <f t="shared" si="0"/>
        <v>-1.6000000000000014</v>
      </c>
      <c r="S16" s="57">
        <v>0.24099999999999999</v>
      </c>
    </row>
    <row r="17" spans="2:19" x14ac:dyDescent="0.35">
      <c r="B17" s="69"/>
      <c r="C17" s="69"/>
      <c r="D17" s="69"/>
      <c r="E17" s="69"/>
      <c r="F17" s="69"/>
      <c r="G17" s="63" t="s">
        <v>20</v>
      </c>
      <c r="N17" s="66" t="s">
        <v>21</v>
      </c>
      <c r="O17" s="67"/>
      <c r="P17" s="24">
        <f>VLOOKUP($P$13,Summary!$B:$AB,MATCH(Note!N17,Summary!$B$2:$AB$2,),)</f>
        <v>49.2</v>
      </c>
      <c r="Q17" s="24">
        <f>VLOOKUP($Q$13,Summary!$B:$AB,MATCH(Note!N17,Summary!$B$2:$AB$2,),)</f>
        <v>48.1</v>
      </c>
      <c r="R17" s="56">
        <f t="shared" si="0"/>
        <v>1.1000000000000014</v>
      </c>
      <c r="S17" s="57">
        <v>0.152</v>
      </c>
    </row>
    <row r="18" spans="2:19" x14ac:dyDescent="0.35">
      <c r="B18" s="69"/>
      <c r="C18" s="69"/>
      <c r="D18" s="69"/>
      <c r="E18" s="69"/>
      <c r="F18" s="69"/>
      <c r="N18" s="66" t="s">
        <v>22</v>
      </c>
      <c r="O18" s="67"/>
      <c r="P18" s="24">
        <f>VLOOKUP($P$13,Summary!$B:$AB,MATCH(Note!N18,Summary!$B$2:$AB$2,),)</f>
        <v>46.4</v>
      </c>
      <c r="Q18" s="24">
        <f>VLOOKUP($Q$13,Summary!$B:$AB,MATCH(Note!N18,Summary!$B$2:$AB$2,),)</f>
        <v>48.4</v>
      </c>
      <c r="R18" s="56">
        <f t="shared" si="0"/>
        <v>-2</v>
      </c>
      <c r="S18" s="57">
        <v>0.156</v>
      </c>
    </row>
    <row r="19" spans="2:19" x14ac:dyDescent="0.35">
      <c r="N19" s="66" t="s">
        <v>23</v>
      </c>
      <c r="O19" s="67"/>
      <c r="P19" s="24">
        <f>VLOOKUP($P$13,Summary!$B:$AB,MATCH(Note!N19,Summary!$B$2:$AB$2,),)</f>
        <v>50.7</v>
      </c>
      <c r="Q19" s="24">
        <f>VLOOKUP($Q$13,Summary!$B:$AB,MATCH(Note!N19,Summary!$B$2:$AB$2,),)</f>
        <v>50.8</v>
      </c>
      <c r="R19" s="56">
        <f t="shared" si="0"/>
        <v>-9.9999999999994316E-2</v>
      </c>
      <c r="S19" s="57">
        <v>0.06</v>
      </c>
    </row>
    <row r="20" spans="2:19" x14ac:dyDescent="0.35">
      <c r="B20" s="69"/>
      <c r="C20" s="69"/>
      <c r="D20" s="69"/>
      <c r="E20" s="69"/>
      <c r="F20" s="69"/>
      <c r="G20" s="69"/>
      <c r="H20" s="69"/>
      <c r="I20" s="69"/>
      <c r="J20" s="69"/>
      <c r="N20" s="66" t="s">
        <v>24</v>
      </c>
      <c r="O20" s="67"/>
      <c r="P20" s="24">
        <f>VLOOKUP($P$13,Summary!$B:$AB,MATCH(Note!N20,Summary!$B$2:$AB$2,),)</f>
        <v>45.1</v>
      </c>
      <c r="Q20" s="24">
        <f>VLOOKUP($Q$13,Summary!$B:$AB,MATCH(Note!N20,Summary!$B$2:$AB$2,),)</f>
        <v>47.8</v>
      </c>
      <c r="R20" s="56">
        <f t="shared" si="0"/>
        <v>-2.6999999999999957</v>
      </c>
      <c r="S20" s="57">
        <v>4.5642432442496987E-2</v>
      </c>
    </row>
    <row r="21" spans="2:19" x14ac:dyDescent="0.35">
      <c r="B21" s="69"/>
      <c r="C21" s="69"/>
      <c r="D21" s="69"/>
      <c r="E21" s="69"/>
      <c r="F21" s="69"/>
      <c r="G21" s="69"/>
      <c r="H21" s="69"/>
      <c r="I21" s="69"/>
      <c r="J21" s="69"/>
      <c r="N21" s="66" t="s">
        <v>25</v>
      </c>
      <c r="O21" s="67"/>
      <c r="P21" s="24">
        <f>VLOOKUP($P$13,Summary!$B:$AB,MATCH(Note!N21,Summary!$B$2:$AB$2,),)</f>
        <v>47.2</v>
      </c>
      <c r="Q21" s="24">
        <f>VLOOKUP($Q$13,Summary!$B:$AB,MATCH(Note!N21,Summary!$B$2:$AB$2,),)</f>
        <v>47.7</v>
      </c>
      <c r="R21" s="56">
        <f t="shared" si="0"/>
        <v>-0.5</v>
      </c>
      <c r="S21" s="57">
        <v>3.2062660592594432E-2</v>
      </c>
    </row>
    <row r="22" spans="2:19" x14ac:dyDescent="0.35">
      <c r="B22" s="69"/>
      <c r="C22" s="69"/>
      <c r="D22" s="69"/>
      <c r="E22" s="69"/>
      <c r="F22" s="69"/>
      <c r="G22" s="69"/>
      <c r="H22" s="69"/>
      <c r="I22" s="69"/>
      <c r="J22" s="69"/>
      <c r="N22" s="66" t="s">
        <v>26</v>
      </c>
      <c r="O22" s="67"/>
      <c r="P22" s="24">
        <f>VLOOKUP($P$13,Summary!$B:$AB,MATCH(Note!N22,Summary!$B$2:$AB$2,),)</f>
        <v>46.2</v>
      </c>
      <c r="Q22" s="24">
        <f>VLOOKUP($Q$13,Summary!$B:$AB,MATCH(Note!N22,Summary!$B$2:$AB$2,),)</f>
        <v>48.4</v>
      </c>
      <c r="R22" s="56">
        <f t="shared" si="0"/>
        <v>-2.1999999999999957</v>
      </c>
      <c r="S22" s="57">
        <v>3.3000000000000002E-2</v>
      </c>
    </row>
    <row r="23" spans="2:19" x14ac:dyDescent="0.35">
      <c r="B23" s="69"/>
      <c r="C23" s="69"/>
      <c r="D23" s="69"/>
      <c r="E23" s="69"/>
      <c r="F23" s="69"/>
      <c r="N23" s="66" t="s">
        <v>27</v>
      </c>
      <c r="O23" s="67"/>
      <c r="P23" s="24">
        <f>VLOOKUP($P$13,Summary!$B:$AB,MATCH(Note!N23,Summary!$B$2:$AB$2,),)</f>
        <v>46.5</v>
      </c>
      <c r="Q23" s="24">
        <f>VLOOKUP($Q$13,Summary!$B:$AB,MATCH(Note!N23,Summary!$B$2:$AB$2,),)</f>
        <v>48.3</v>
      </c>
      <c r="R23" s="56">
        <f t="shared" si="0"/>
        <v>-1.7999999999999972</v>
      </c>
      <c r="S23" s="57">
        <v>2.4E-2</v>
      </c>
    </row>
    <row r="24" spans="2:19" x14ac:dyDescent="0.35">
      <c r="B24" s="69"/>
      <c r="C24" s="69"/>
      <c r="D24" s="69"/>
      <c r="E24" s="69"/>
      <c r="F24" s="69"/>
      <c r="N24" s="66" t="s">
        <v>28</v>
      </c>
      <c r="O24" s="67"/>
      <c r="P24" s="24">
        <f>VLOOKUP($P$13,Summary!$B:$AB,MATCH(Note!N24,Summary!$B$2:$AB$2,),)</f>
        <v>44.7</v>
      </c>
      <c r="Q24" s="24">
        <f>VLOOKUP($Q$13,Summary!$B:$AB,MATCH(Note!N24,Summary!$B$2:$AB$2,),)</f>
        <v>49</v>
      </c>
      <c r="R24" s="56">
        <f t="shared" si="0"/>
        <v>-4.2999999999999972</v>
      </c>
      <c r="S24" s="57">
        <v>1.6273382902396941E-2</v>
      </c>
    </row>
    <row r="25" spans="2:19" x14ac:dyDescent="0.35">
      <c r="N25" s="66" t="s">
        <v>29</v>
      </c>
      <c r="O25" s="67"/>
      <c r="P25" s="24">
        <f>VLOOKUP($P$13,Summary!$B:$AB,MATCH(Note!N25,Summary!$B$2:$AB$2,),)</f>
        <v>50.8</v>
      </c>
      <c r="Q25" s="24">
        <f>VLOOKUP($Q$13,Summary!$B:$AB,MATCH(Note!N25,Summary!$B$2:$AB$2,),)</f>
        <v>51.1</v>
      </c>
      <c r="R25" s="56">
        <f t="shared" si="0"/>
        <v>-0.30000000000000426</v>
      </c>
      <c r="S25" s="57">
        <v>2.5521033750822361E-2</v>
      </c>
    </row>
    <row r="26" spans="2:19" x14ac:dyDescent="0.35">
      <c r="N26" s="66" t="s">
        <v>30</v>
      </c>
      <c r="O26" s="67"/>
      <c r="P26" s="24">
        <f>VLOOKUP($P$13,Summary!$B:$AB,MATCH(Note!N26,Summary!$B$2:$AB$2,),)</f>
        <v>50.3</v>
      </c>
      <c r="Q26" s="24">
        <f>VLOOKUP($Q$13,Summary!$B:$AB,MATCH(Note!N26,Summary!$B$2:$AB$2,),)</f>
        <v>50.3</v>
      </c>
      <c r="R26" s="56">
        <f t="shared" si="0"/>
        <v>0</v>
      </c>
      <c r="S26" s="57">
        <v>1.4287310236963301E-2</v>
      </c>
    </row>
    <row r="27" spans="2:19" x14ac:dyDescent="0.35">
      <c r="N27" s="66" t="s">
        <v>31</v>
      </c>
      <c r="O27" s="67"/>
      <c r="P27" s="24">
        <f>VLOOKUP($P$13,Summary!$B:$AB,MATCH(Note!N27,Summary!$B$2:$AB$2,),)</f>
        <v>50.7</v>
      </c>
      <c r="Q27" s="24">
        <f>VLOOKUP($Q$13,Summary!$B:$AB,MATCH(Note!N27,Summary!$B$2:$AB$2,),)</f>
        <v>52</v>
      </c>
      <c r="R27" s="56">
        <f t="shared" si="0"/>
        <v>-1.2999999999999972</v>
      </c>
      <c r="S27" s="57">
        <v>1.9587641662839338E-2</v>
      </c>
    </row>
    <row r="28" spans="2:19" x14ac:dyDescent="0.35">
      <c r="N28" s="66" t="s">
        <v>32</v>
      </c>
      <c r="O28" s="67"/>
      <c r="P28" s="24">
        <f>VLOOKUP($P$13,Summary!$B:$AB,MATCH(Note!N28,Summary!$B$2:$AB$2,),)</f>
        <v>55.3</v>
      </c>
      <c r="Q28" s="24">
        <f>VLOOKUP($Q$13,Summary!$B:$AB,MATCH(Note!N28,Summary!$B$2:$AB$2,),)</f>
        <v>55.1</v>
      </c>
      <c r="R28" s="56">
        <f t="shared" si="0"/>
        <v>0.19999999999999574</v>
      </c>
      <c r="S28" s="57">
        <v>3.2286093767455719E-2</v>
      </c>
    </row>
    <row r="29" spans="2:19" x14ac:dyDescent="0.35">
      <c r="N29" s="66" t="s">
        <v>33</v>
      </c>
      <c r="O29" s="67"/>
      <c r="P29" s="24">
        <f>VLOOKUP($P$13,Summary!$B:$AB,MATCH(Note!N29,Summary!$B$2:$AB$2,),)</f>
        <v>48.8</v>
      </c>
      <c r="Q29" s="24">
        <f>VLOOKUP($Q$13,Summary!$B:$AB,MATCH(Note!N29,Summary!$B$2:$AB$2,),)</f>
        <v>49.8</v>
      </c>
      <c r="R29" s="56">
        <f t="shared" si="0"/>
        <v>-1</v>
      </c>
      <c r="S29" s="57">
        <v>2.051861322476136E-2</v>
      </c>
    </row>
    <row r="30" spans="2:19" x14ac:dyDescent="0.35">
      <c r="N30" s="66" t="s">
        <v>34</v>
      </c>
      <c r="O30" s="67"/>
      <c r="P30" s="24">
        <f>VLOOKUP($P$13,Summary!$B:$AB,MATCH(Note!N30,Summary!$B$2:$AB$2,),)</f>
        <v>49.6</v>
      </c>
      <c r="Q30" s="24">
        <f>VLOOKUP($Q$13,Summary!$B:$AB,MATCH(Note!N30,Summary!$B$2:$AB$2,),)</f>
        <v>50.2</v>
      </c>
      <c r="R30" s="56">
        <f t="shared" si="0"/>
        <v>-0.60000000000000142</v>
      </c>
      <c r="S30" s="57">
        <v>1.6422338352304462E-2</v>
      </c>
    </row>
    <row r="31" spans="2:19" x14ac:dyDescent="0.35">
      <c r="N31" s="66" t="s">
        <v>35</v>
      </c>
      <c r="O31" s="67"/>
      <c r="P31" s="24">
        <f>VLOOKUP($P$13,Summary!$B:$AB,MATCH(Note!N31,Summary!$B$2:$AB$2,),)</f>
        <v>51.8</v>
      </c>
      <c r="Q31" s="24">
        <f>VLOOKUP($Q$13,Summary!$B:$AB,MATCH(Note!N31,Summary!$B$2:$AB$2,),)</f>
        <v>53.7</v>
      </c>
      <c r="R31" s="56">
        <f t="shared" si="0"/>
        <v>-1.9000000000000057</v>
      </c>
      <c r="S31" s="57">
        <v>1.261156142550366E-2</v>
      </c>
    </row>
    <row r="32" spans="2:19" x14ac:dyDescent="0.35">
      <c r="N32" s="66" t="s">
        <v>36</v>
      </c>
      <c r="O32" s="67"/>
      <c r="P32" s="24">
        <f>VLOOKUP($P$13,Summary!$B:$AB,MATCH(Note!N32,Summary!$B$2:$AB$2,),)</f>
        <v>48.2</v>
      </c>
      <c r="Q32" s="24">
        <f>VLOOKUP($Q$13,Summary!$B:$AB,MATCH(Note!N32,Summary!$B$2:$AB$2,),)</f>
        <v>47.3</v>
      </c>
      <c r="R32" s="56">
        <f t="shared" si="0"/>
        <v>0.90000000000000568</v>
      </c>
      <c r="S32" s="57">
        <v>1.9E-2</v>
      </c>
    </row>
    <row r="33" spans="2:19" x14ac:dyDescent="0.35">
      <c r="N33" s="66" t="s">
        <v>37</v>
      </c>
      <c r="O33" s="67"/>
      <c r="P33" s="24">
        <f>VLOOKUP($P$13,Summary!$B:$AB,MATCH(Note!N33,Summary!$B$2:$AB$2,),)</f>
        <v>41.5</v>
      </c>
      <c r="Q33" s="24">
        <f>VLOOKUP($Q$13,Summary!$B:$AB,MATCH(Note!N33,Summary!$B$2:$AB$2,),)</f>
        <v>42.2</v>
      </c>
      <c r="R33" s="56">
        <f t="shared" si="0"/>
        <v>-0.70000000000000284</v>
      </c>
      <c r="S33" s="57">
        <v>7.1126227330842468E-3</v>
      </c>
    </row>
    <row r="34" spans="2:19" x14ac:dyDescent="0.35">
      <c r="N34" s="66" t="s">
        <v>38</v>
      </c>
      <c r="O34" s="67"/>
      <c r="P34" s="24">
        <f>VLOOKUP($P$13,Summary!$B:$AB,MATCH(Note!N34,Summary!$B$2:$AB$2,),)</f>
        <v>48.1</v>
      </c>
      <c r="Q34" s="24">
        <f>VLOOKUP($Q$13,Summary!$B:$AB,MATCH(Note!N34,Summary!$B$2:$AB$2,),)</f>
        <v>49.7</v>
      </c>
      <c r="R34" s="56">
        <f t="shared" si="0"/>
        <v>-1.6000000000000014</v>
      </c>
      <c r="S34" s="57">
        <v>2.4825908317920582E-3</v>
      </c>
    </row>
    <row r="35" spans="2:19" x14ac:dyDescent="0.35">
      <c r="N35" s="66" t="s">
        <v>39</v>
      </c>
      <c r="O35" s="67"/>
      <c r="P35" s="24">
        <f>VLOOKUP($P$13,Summary!$B:$AB,MATCH(Note!N35,Summary!$B$2:$AB$2,),)</f>
        <v>51.4</v>
      </c>
      <c r="Q35" s="24">
        <f>VLOOKUP($Q$13,Summary!$B:$AB,MATCH(Note!N35,Summary!$B$2:$AB$2,),)</f>
        <v>51.5</v>
      </c>
      <c r="R35" s="56">
        <f t="shared" si="0"/>
        <v>-0.10000000000000142</v>
      </c>
      <c r="S35" s="57">
        <v>4.1459266890927372E-3</v>
      </c>
    </row>
    <row r="36" spans="2:19" x14ac:dyDescent="0.35">
      <c r="N36" s="66" t="s">
        <v>40</v>
      </c>
      <c r="O36" s="67"/>
      <c r="P36" s="24">
        <f>VLOOKUP($P$13,Summary!$B:$AB,MATCH(Note!N36,Summary!$B$2:$AB$2,),)</f>
        <v>46.4</v>
      </c>
      <c r="Q36" s="24">
        <f>VLOOKUP($Q$13,Summary!$B:$AB,MATCH(Note!N36,Summary!$B$2:$AB$2,),)</f>
        <v>46.9</v>
      </c>
      <c r="R36" s="56">
        <f t="shared" si="0"/>
        <v>-0.5</v>
      </c>
      <c r="S36" s="57">
        <v>1.0563423989275209E-2</v>
      </c>
    </row>
    <row r="37" spans="2:19" x14ac:dyDescent="0.35">
      <c r="N37" s="66" t="s">
        <v>41</v>
      </c>
      <c r="O37" s="67"/>
      <c r="P37" s="24">
        <f>VLOOKUP($P$13,Summary!$B:$AB,MATCH(Note!N37,Summary!$B$2:$AB$2,),)</f>
        <v>41.7</v>
      </c>
      <c r="Q37" s="24">
        <f>VLOOKUP($Q$13,Summary!$B:$AB,MATCH(Note!N37,Summary!$B$2:$AB$2,),)</f>
        <v>44.7</v>
      </c>
      <c r="R37" s="56">
        <f t="shared" si="0"/>
        <v>-3</v>
      </c>
      <c r="S37" s="57">
        <v>3.0000000000000001E-3</v>
      </c>
    </row>
    <row r="38" spans="2:19" x14ac:dyDescent="0.35">
      <c r="N38" s="66" t="s">
        <v>42</v>
      </c>
      <c r="O38" s="67"/>
      <c r="P38" s="24">
        <f>VLOOKUP($P$13,Summary!$B:$AB,MATCH(Note!N38,Summary!$B$2:$AB$2,),)</f>
        <v>42</v>
      </c>
      <c r="Q38" s="24">
        <f>VLOOKUP($Q$13,Summary!$B:$AB,MATCH(Note!N38,Summary!$B$2:$AB$2,),)</f>
        <v>43</v>
      </c>
      <c r="R38" s="56">
        <f t="shared" si="0"/>
        <v>-1</v>
      </c>
      <c r="S38" s="57">
        <v>6.5168009334541531E-3</v>
      </c>
    </row>
    <row r="39" spans="2:19" x14ac:dyDescent="0.35">
      <c r="N39" s="66" t="s">
        <v>43</v>
      </c>
      <c r="O39" s="67"/>
      <c r="P39" s="24">
        <f>VLOOKUP($P$13,Summary!$B:$AB,MATCH(Note!N39,Summary!$B$2:$AB$2,),)</f>
        <v>52.09</v>
      </c>
      <c r="Q39" s="24">
        <f>VLOOKUP($Q$13,Summary!$B:$AB,MATCH(Note!N39,Summary!$B$2:$AB$2,),)</f>
        <v>49.8</v>
      </c>
      <c r="R39" s="56">
        <f t="shared" si="0"/>
        <v>2.2900000000000063</v>
      </c>
      <c r="S39" s="57">
        <v>4.0342101016620944E-3</v>
      </c>
    </row>
    <row r="41" spans="2:19" ht="30" customHeight="1" x14ac:dyDescent="0.35"/>
    <row r="44" spans="2:19" x14ac:dyDescent="0.35">
      <c r="B44" s="68"/>
      <c r="C44" s="69"/>
      <c r="D44" s="69"/>
      <c r="E44" s="69"/>
      <c r="F44" s="69"/>
      <c r="G44" s="69"/>
      <c r="H44" s="69"/>
      <c r="I44" s="69"/>
      <c r="J44" s="69"/>
      <c r="K44" s="69"/>
      <c r="L44" s="69"/>
      <c r="M44" s="69"/>
      <c r="N44" s="69"/>
      <c r="O44" s="69"/>
      <c r="P44" s="69"/>
      <c r="Q44" s="69"/>
      <c r="R44" s="69"/>
      <c r="S44" s="69"/>
    </row>
    <row r="45" spans="2:19" x14ac:dyDescent="0.35">
      <c r="B45" s="72"/>
      <c r="C45" s="69"/>
      <c r="D45" s="69"/>
      <c r="E45" s="69"/>
      <c r="F45" s="69"/>
      <c r="G45" s="69"/>
      <c r="H45" s="69"/>
      <c r="I45" s="69"/>
      <c r="J45" s="69"/>
      <c r="K45" s="69"/>
      <c r="L45" s="69"/>
      <c r="M45" s="69"/>
      <c r="N45" s="69"/>
      <c r="O45" s="69"/>
      <c r="P45" s="69"/>
      <c r="Q45" s="69"/>
      <c r="R45" s="69"/>
      <c r="S45" s="69"/>
    </row>
    <row r="46" spans="2:19" x14ac:dyDescent="0.35">
      <c r="B46" s="70"/>
      <c r="C46" s="69"/>
      <c r="D46" s="69"/>
      <c r="E46" s="69"/>
      <c r="F46" s="69"/>
      <c r="G46" s="69"/>
      <c r="H46" s="69"/>
      <c r="I46" s="69"/>
      <c r="J46" s="69"/>
      <c r="K46" s="69"/>
      <c r="L46" s="69"/>
      <c r="M46" s="69"/>
      <c r="N46" s="69"/>
      <c r="O46" s="69"/>
      <c r="P46" s="69"/>
      <c r="Q46" s="69"/>
      <c r="R46" s="69"/>
      <c r="S46" s="69"/>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0"/>
  <sheetViews>
    <sheetView zoomScale="160" zoomScaleNormal="160" workbookViewId="0">
      <pane ySplit="1" topLeftCell="A345"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F350">
        <v>51.2</v>
      </c>
      <c r="AG350">
        <v>52.7</v>
      </c>
      <c r="AH350">
        <v>43.4</v>
      </c>
      <c r="AJ350">
        <v>48.8</v>
      </c>
      <c r="AK350">
        <v>53.2</v>
      </c>
      <c r="AL350">
        <v>58.5</v>
      </c>
      <c r="AM350">
        <v>49.8</v>
      </c>
      <c r="AN350">
        <v>52.6</v>
      </c>
      <c r="AO350">
        <v>49</v>
      </c>
      <c r="AP350">
        <v>45.7</v>
      </c>
      <c r="AR350">
        <v>45.8</v>
      </c>
      <c r="AS350">
        <v>53.9</v>
      </c>
      <c r="AT350">
        <v>41.6</v>
      </c>
      <c r="AU350">
        <v>51.1</v>
      </c>
      <c r="AV350">
        <v>45.7</v>
      </c>
      <c r="AW350">
        <v>54.4</v>
      </c>
      <c r="AX350">
        <v>46.5</v>
      </c>
      <c r="AY350">
        <v>47.7</v>
      </c>
      <c r="AZ350">
        <v>47.4</v>
      </c>
      <c r="BA350">
        <v>48.8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7"/>
  <sheetViews>
    <sheetView tabSelected="1" zoomScale="120" zoomScaleNormal="120" workbookViewId="0">
      <pane ySplit="1" topLeftCell="A311" activePane="bottomLeft" state="frozen"/>
      <selection activeCell="I319" sqref="I319"/>
      <selection pane="bottomLeft" activeCell="I319" sqref="I319"/>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5.8886090284892261E-3</v>
      </c>
    </row>
    <row r="6" spans="1:6" x14ac:dyDescent="0.35">
      <c r="A6" s="65">
        <v>34820</v>
      </c>
    </row>
    <row r="7" spans="1:6" x14ac:dyDescent="0.35">
      <c r="A7" s="65">
        <v>34851</v>
      </c>
    </row>
    <row r="8" spans="1:6" x14ac:dyDescent="0.35">
      <c r="A8" s="65">
        <v>34881</v>
      </c>
      <c r="F8">
        <v>2.4547508973621489E-3</v>
      </c>
    </row>
    <row r="9" spans="1:6" x14ac:dyDescent="0.35">
      <c r="A9" s="65">
        <v>34912</v>
      </c>
    </row>
    <row r="10" spans="1:6" x14ac:dyDescent="0.35">
      <c r="A10" s="65">
        <v>34943</v>
      </c>
    </row>
    <row r="11" spans="1:6" x14ac:dyDescent="0.35">
      <c r="A11" s="65">
        <v>34973</v>
      </c>
      <c r="F11">
        <v>3.2529116542018058E-3</v>
      </c>
    </row>
    <row r="12" spans="1:6" x14ac:dyDescent="0.35">
      <c r="A12" s="65">
        <v>35004</v>
      </c>
    </row>
    <row r="13" spans="1:6" x14ac:dyDescent="0.35">
      <c r="A13" s="65">
        <v>35034</v>
      </c>
    </row>
    <row r="14" spans="1:6" x14ac:dyDescent="0.35">
      <c r="A14" s="65">
        <v>35065</v>
      </c>
      <c r="F14">
        <v>2.0394260334078429E-3</v>
      </c>
    </row>
    <row r="15" spans="1:6" x14ac:dyDescent="0.35">
      <c r="A15" s="65">
        <v>35096</v>
      </c>
    </row>
    <row r="16" spans="1:6" x14ac:dyDescent="0.35">
      <c r="A16" s="65">
        <v>35125</v>
      </c>
    </row>
    <row r="17" spans="1:6" x14ac:dyDescent="0.35">
      <c r="A17" s="65">
        <v>35156</v>
      </c>
      <c r="F17">
        <v>6.9179488721675553E-3</v>
      </c>
    </row>
    <row r="18" spans="1:6" x14ac:dyDescent="0.35">
      <c r="A18" s="65">
        <v>35186</v>
      </c>
    </row>
    <row r="19" spans="1:6" x14ac:dyDescent="0.35">
      <c r="A19" s="65">
        <v>35217</v>
      </c>
    </row>
    <row r="20" spans="1:6" x14ac:dyDescent="0.35">
      <c r="A20" s="65">
        <v>35247</v>
      </c>
      <c r="F20">
        <v>5.161067909919468E-3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2.5518691175199092E-3</v>
      </c>
    </row>
    <row r="27" spans="1:6" x14ac:dyDescent="0.35">
      <c r="A27" s="65">
        <v>35462</v>
      </c>
    </row>
    <row r="28" spans="1:6" x14ac:dyDescent="0.35">
      <c r="A28" s="65">
        <v>35490</v>
      </c>
    </row>
    <row r="29" spans="1:6" x14ac:dyDescent="0.35">
      <c r="A29" s="65">
        <v>35521</v>
      </c>
      <c r="F29">
        <v>1.218632600809531E-2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4.3902046873720351E-3</v>
      </c>
    </row>
    <row r="42" spans="1:6" x14ac:dyDescent="0.35">
      <c r="A42" s="65">
        <v>35916</v>
      </c>
    </row>
    <row r="43" spans="1:6" x14ac:dyDescent="0.35">
      <c r="A43" s="65">
        <v>35947</v>
      </c>
    </row>
    <row r="44" spans="1:6" x14ac:dyDescent="0.35">
      <c r="A44" s="65">
        <v>35977</v>
      </c>
      <c r="F44">
        <v>6.0372505336765588E-3</v>
      </c>
    </row>
    <row r="45" spans="1:6" x14ac:dyDescent="0.35">
      <c r="A45" s="65">
        <v>36008</v>
      </c>
    </row>
    <row r="46" spans="1:6" x14ac:dyDescent="0.35">
      <c r="A46" s="65">
        <v>36039</v>
      </c>
    </row>
    <row r="47" spans="1:6" x14ac:dyDescent="0.35">
      <c r="A47" s="65">
        <v>36069</v>
      </c>
      <c r="F47">
        <v>1.2375593412339359E-3</v>
      </c>
    </row>
    <row r="48" spans="1:6" x14ac:dyDescent="0.35">
      <c r="A48" s="65">
        <v>36100</v>
      </c>
    </row>
    <row r="49" spans="1:6" x14ac:dyDescent="0.35">
      <c r="A49" s="65">
        <v>36130</v>
      </c>
    </row>
    <row r="50" spans="1:6" x14ac:dyDescent="0.35">
      <c r="A50" s="65">
        <v>36161</v>
      </c>
      <c r="F50">
        <v>1.109789716032528E-2</v>
      </c>
    </row>
    <row r="51" spans="1:6" x14ac:dyDescent="0.35">
      <c r="A51" s="65">
        <v>36192</v>
      </c>
    </row>
    <row r="52" spans="1:6" x14ac:dyDescent="0.35">
      <c r="A52" s="65">
        <v>36220</v>
      </c>
    </row>
    <row r="53" spans="1:6" x14ac:dyDescent="0.35">
      <c r="A53" s="65">
        <v>36251</v>
      </c>
      <c r="F53">
        <v>4.5177330504934448E-3</v>
      </c>
    </row>
    <row r="54" spans="1:6" x14ac:dyDescent="0.35">
      <c r="A54" s="65">
        <v>36281</v>
      </c>
    </row>
    <row r="55" spans="1:6" x14ac:dyDescent="0.35">
      <c r="A55" s="65">
        <v>36312</v>
      </c>
    </row>
    <row r="56" spans="1:6" x14ac:dyDescent="0.35">
      <c r="A56" s="65">
        <v>36342</v>
      </c>
      <c r="F56">
        <v>1.134238025419884E-2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8.2521495894523605E-4</v>
      </c>
    </row>
    <row r="81" spans="1:6" x14ac:dyDescent="0.35">
      <c r="A81" s="65">
        <v>37104</v>
      </c>
    </row>
    <row r="82" spans="1:6" x14ac:dyDescent="0.35">
      <c r="A82" s="65">
        <v>37135</v>
      </c>
    </row>
    <row r="83" spans="1:6" x14ac:dyDescent="0.35">
      <c r="A83" s="65">
        <v>37165</v>
      </c>
      <c r="F83">
        <v>1.0400274082585589E-3</v>
      </c>
    </row>
    <row r="84" spans="1:6" x14ac:dyDescent="0.35">
      <c r="A84" s="65">
        <v>37196</v>
      </c>
    </row>
    <row r="85" spans="1:6" x14ac:dyDescent="0.35">
      <c r="A85" s="65">
        <v>37226</v>
      </c>
    </row>
    <row r="86" spans="1:6" x14ac:dyDescent="0.35">
      <c r="A86" s="65">
        <v>37257</v>
      </c>
      <c r="F86">
        <v>1.395471733602888E-3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8.9719559306520951E-4</v>
      </c>
    </row>
    <row r="102" spans="1:6" x14ac:dyDescent="0.35">
      <c r="A102" s="65">
        <v>37742</v>
      </c>
    </row>
    <row r="103" spans="1:6" x14ac:dyDescent="0.35">
      <c r="A103" s="65">
        <v>37773</v>
      </c>
    </row>
    <row r="104" spans="1:6" x14ac:dyDescent="0.35">
      <c r="A104" s="65">
        <v>37803</v>
      </c>
      <c r="F104">
        <v>5.1662848357376607E-3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5.06198216887174E-3</v>
      </c>
    </row>
    <row r="111" spans="1:6" x14ac:dyDescent="0.35">
      <c r="A111" s="65">
        <v>38018</v>
      </c>
    </row>
    <row r="112" spans="1:6" x14ac:dyDescent="0.35">
      <c r="A112" s="65">
        <v>38047</v>
      </c>
    </row>
    <row r="113" spans="1:6" x14ac:dyDescent="0.35">
      <c r="A113" s="65">
        <v>38078</v>
      </c>
      <c r="F113">
        <v>6.1320616748340136E-3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21.674324035644531</v>
      </c>
      <c r="E121">
        <v>18.281003952026371</v>
      </c>
    </row>
    <row r="122" spans="1:6" x14ac:dyDescent="0.35">
      <c r="A122" s="65">
        <v>38353</v>
      </c>
      <c r="D122">
        <v>21.58342170715332</v>
      </c>
      <c r="E122">
        <v>18.18061637878418</v>
      </c>
      <c r="F122">
        <v>2.079008425802162E-3</v>
      </c>
    </row>
    <row r="123" spans="1:6" x14ac:dyDescent="0.35">
      <c r="A123" s="65">
        <v>38384</v>
      </c>
      <c r="D123">
        <v>22.522756576538089</v>
      </c>
      <c r="E123">
        <v>19.138576507568359</v>
      </c>
    </row>
    <row r="124" spans="1:6" x14ac:dyDescent="0.35">
      <c r="A124" s="65">
        <v>38412</v>
      </c>
      <c r="D124">
        <v>21.978610992431641</v>
      </c>
      <c r="E124">
        <v>18.675048828125</v>
      </c>
    </row>
    <row r="125" spans="1:6" x14ac:dyDescent="0.35">
      <c r="A125" s="65">
        <v>38443</v>
      </c>
      <c r="D125">
        <v>21.218633651733398</v>
      </c>
      <c r="E125">
        <v>18.448434829711911</v>
      </c>
      <c r="F125">
        <v>6.1543695909301224E-3</v>
      </c>
    </row>
    <row r="126" spans="1:6" x14ac:dyDescent="0.35">
      <c r="A126" s="65">
        <v>38473</v>
      </c>
      <c r="D126">
        <v>21.312868118286129</v>
      </c>
      <c r="E126">
        <v>18.304218292236332</v>
      </c>
    </row>
    <row r="127" spans="1:6" x14ac:dyDescent="0.35">
      <c r="A127" s="65">
        <v>38504</v>
      </c>
      <c r="D127">
        <v>21.625986099243161</v>
      </c>
      <c r="E127">
        <v>18.510232925415039</v>
      </c>
    </row>
    <row r="128" spans="1:6" x14ac:dyDescent="0.35">
      <c r="A128" s="65">
        <v>38534</v>
      </c>
      <c r="D128">
        <v>22.61091232299805</v>
      </c>
      <c r="E128">
        <v>18.64414215087891</v>
      </c>
      <c r="F128">
        <v>7.3276426857718097E-3</v>
      </c>
    </row>
    <row r="129" spans="1:6" x14ac:dyDescent="0.35">
      <c r="A129" s="65">
        <v>38565</v>
      </c>
      <c r="D129">
        <v>22.981784820556641</v>
      </c>
      <c r="E129">
        <v>19.38578987121582</v>
      </c>
    </row>
    <row r="130" spans="1:6" x14ac:dyDescent="0.35">
      <c r="A130" s="65">
        <v>38596</v>
      </c>
      <c r="D130">
        <v>23.383056640625</v>
      </c>
      <c r="E130">
        <v>19.52999305725098</v>
      </c>
    </row>
    <row r="131" spans="1:6" x14ac:dyDescent="0.35">
      <c r="A131" s="65">
        <v>38626</v>
      </c>
      <c r="D131">
        <v>22.50147819519043</v>
      </c>
      <c r="E131">
        <v>19.056171417236332</v>
      </c>
      <c r="F131">
        <v>6.3908464938754522E-3</v>
      </c>
    </row>
    <row r="132" spans="1:6" x14ac:dyDescent="0.35">
      <c r="A132" s="65">
        <v>38657</v>
      </c>
      <c r="D132">
        <v>22.914907455444339</v>
      </c>
      <c r="E132">
        <v>19.087066650390621</v>
      </c>
    </row>
    <row r="133" spans="1:6" x14ac:dyDescent="0.35">
      <c r="A133" s="65">
        <v>38687</v>
      </c>
      <c r="D133">
        <v>23.604961395263668</v>
      </c>
      <c r="E133">
        <v>19.138576507568359</v>
      </c>
    </row>
    <row r="134" spans="1:6" x14ac:dyDescent="0.35">
      <c r="A134" s="65">
        <v>38718</v>
      </c>
      <c r="D134">
        <v>25.621555328369141</v>
      </c>
      <c r="E134">
        <v>20.930795669555661</v>
      </c>
      <c r="F134">
        <v>8.7310758766495408E-3</v>
      </c>
    </row>
    <row r="135" spans="1:6" x14ac:dyDescent="0.35">
      <c r="A135" s="65">
        <v>38749</v>
      </c>
      <c r="D135">
        <v>25.807035446166989</v>
      </c>
      <c r="E135">
        <v>20.813982009887699</v>
      </c>
    </row>
    <row r="136" spans="1:6" x14ac:dyDescent="0.35">
      <c r="A136" s="65">
        <v>38777</v>
      </c>
      <c r="D136">
        <v>26.941574096679691</v>
      </c>
      <c r="E136">
        <v>21.40866661071777</v>
      </c>
    </row>
    <row r="137" spans="1:6" x14ac:dyDescent="0.35">
      <c r="A137" s="65">
        <v>38808</v>
      </c>
      <c r="D137">
        <v>28.14723014831543</v>
      </c>
      <c r="E137">
        <v>22.778566360473629</v>
      </c>
      <c r="F137">
        <v>1.104205733804205E-2</v>
      </c>
    </row>
    <row r="138" spans="1:6" x14ac:dyDescent="0.35">
      <c r="A138" s="65">
        <v>38838</v>
      </c>
      <c r="D138">
        <v>27.145610809326168</v>
      </c>
      <c r="E138">
        <v>22.173259735107418</v>
      </c>
    </row>
    <row r="139" spans="1:6" x14ac:dyDescent="0.35">
      <c r="A139" s="65">
        <v>38869</v>
      </c>
      <c r="D139">
        <v>27.2228889465332</v>
      </c>
      <c r="E139">
        <v>22.353794097900391</v>
      </c>
    </row>
    <row r="140" spans="1:6" x14ac:dyDescent="0.35">
      <c r="A140" s="65">
        <v>38899</v>
      </c>
      <c r="D140">
        <v>27.547492980957031</v>
      </c>
      <c r="E140">
        <v>22.937856674194339</v>
      </c>
      <c r="F140">
        <v>5.9442160536404588E-3</v>
      </c>
    </row>
    <row r="141" spans="1:6" x14ac:dyDescent="0.35">
      <c r="A141" s="65">
        <v>38930</v>
      </c>
      <c r="D141">
        <v>28.617116928100589</v>
      </c>
      <c r="E141">
        <v>23.43696212768555</v>
      </c>
    </row>
    <row r="142" spans="1:6" x14ac:dyDescent="0.35">
      <c r="A142" s="65">
        <v>38961</v>
      </c>
      <c r="D142">
        <v>29.117921829223629</v>
      </c>
      <c r="E142">
        <v>23.245819091796879</v>
      </c>
    </row>
    <row r="143" spans="1:6" x14ac:dyDescent="0.35">
      <c r="A143" s="65">
        <v>38991</v>
      </c>
      <c r="D143">
        <v>30.110261917114261</v>
      </c>
      <c r="E143">
        <v>24.318378448486332</v>
      </c>
      <c r="F143">
        <v>1.173620356979928E-2</v>
      </c>
    </row>
    <row r="144" spans="1:6" x14ac:dyDescent="0.35">
      <c r="A144" s="65">
        <v>39022</v>
      </c>
      <c r="D144">
        <v>31.50140380859375</v>
      </c>
      <c r="E144">
        <v>25.008636474609379</v>
      </c>
    </row>
    <row r="145" spans="1:6" x14ac:dyDescent="0.35">
      <c r="A145" s="65">
        <v>39052</v>
      </c>
      <c r="D145">
        <v>31.949649810791019</v>
      </c>
      <c r="E145">
        <v>24.859966278076168</v>
      </c>
    </row>
    <row r="146" spans="1:6" x14ac:dyDescent="0.35">
      <c r="A146" s="65">
        <v>39083</v>
      </c>
      <c r="D146">
        <v>32.9974365234375</v>
      </c>
      <c r="E146">
        <v>25.897018432617191</v>
      </c>
      <c r="F146">
        <v>6.0005990965844094E-3</v>
      </c>
    </row>
    <row r="147" spans="1:6" x14ac:dyDescent="0.35">
      <c r="A147" s="65">
        <v>39114</v>
      </c>
      <c r="D147">
        <v>32.698455810546882</v>
      </c>
      <c r="E147">
        <v>25.512466430664059</v>
      </c>
    </row>
    <row r="148" spans="1:6" x14ac:dyDescent="0.35">
      <c r="A148" s="65">
        <v>39142</v>
      </c>
      <c r="D148">
        <v>34.058017730712891</v>
      </c>
      <c r="E148">
        <v>26.44638824462891</v>
      </c>
    </row>
    <row r="149" spans="1:6" x14ac:dyDescent="0.35">
      <c r="A149" s="65">
        <v>39173</v>
      </c>
      <c r="D149">
        <v>36.191741943359382</v>
      </c>
      <c r="E149">
        <v>27.30339241027832</v>
      </c>
      <c r="F149">
        <v>7.220810725550743E-3</v>
      </c>
    </row>
    <row r="150" spans="1:6" x14ac:dyDescent="0.35">
      <c r="A150" s="65">
        <v>39203</v>
      </c>
      <c r="D150">
        <v>37.560737609863281</v>
      </c>
      <c r="E150">
        <v>27.88571929931641</v>
      </c>
    </row>
    <row r="151" spans="1:6" x14ac:dyDescent="0.35">
      <c r="A151" s="65">
        <v>39234</v>
      </c>
      <c r="D151">
        <v>37.135875701904297</v>
      </c>
      <c r="E151">
        <v>28.072500228881839</v>
      </c>
    </row>
    <row r="152" spans="1:6" x14ac:dyDescent="0.35">
      <c r="A152" s="65">
        <v>39264</v>
      </c>
      <c r="D152">
        <v>35.968303680419922</v>
      </c>
      <c r="E152">
        <v>27.127593994140621</v>
      </c>
      <c r="F152">
        <v>4.5135882180567842E-3</v>
      </c>
    </row>
    <row r="153" spans="1:6" x14ac:dyDescent="0.35">
      <c r="A153" s="65">
        <v>39295</v>
      </c>
      <c r="D153">
        <v>35.958869934082031</v>
      </c>
      <c r="E153">
        <v>27.18253135681152</v>
      </c>
    </row>
    <row r="154" spans="1:6" x14ac:dyDescent="0.35">
      <c r="A154" s="65">
        <v>39326</v>
      </c>
      <c r="D154">
        <v>38.048542022705078</v>
      </c>
      <c r="E154">
        <v>28.270271301269531</v>
      </c>
    </row>
    <row r="155" spans="1:6" x14ac:dyDescent="0.35">
      <c r="A155" s="65">
        <v>39356</v>
      </c>
      <c r="D155">
        <v>39.933662414550781</v>
      </c>
      <c r="E155">
        <v>29.907375335693359</v>
      </c>
      <c r="F155">
        <v>5.0908361466780461E-3</v>
      </c>
    </row>
    <row r="156" spans="1:6" x14ac:dyDescent="0.35">
      <c r="A156" s="65">
        <v>39387</v>
      </c>
      <c r="D156">
        <v>38.825878143310547</v>
      </c>
      <c r="E156">
        <v>28.149410247802731</v>
      </c>
    </row>
    <row r="157" spans="1:6" x14ac:dyDescent="0.35">
      <c r="A157" s="65">
        <v>39417</v>
      </c>
      <c r="D157">
        <v>37.551296234130859</v>
      </c>
      <c r="E157">
        <v>26.457370758056641</v>
      </c>
    </row>
    <row r="158" spans="1:6" x14ac:dyDescent="0.35">
      <c r="A158" s="65">
        <v>39448</v>
      </c>
      <c r="D158">
        <v>34.537052154541023</v>
      </c>
      <c r="E158">
        <v>25.196409225463871</v>
      </c>
      <c r="F158">
        <v>5.1700181342783733E-3</v>
      </c>
    </row>
    <row r="159" spans="1:6" x14ac:dyDescent="0.35">
      <c r="A159" s="65">
        <v>39479</v>
      </c>
      <c r="D159">
        <v>34.253005981445313</v>
      </c>
      <c r="E159">
        <v>24.900777816772461</v>
      </c>
    </row>
    <row r="160" spans="1:6" x14ac:dyDescent="0.35">
      <c r="A160" s="65">
        <v>39508</v>
      </c>
      <c r="D160">
        <v>35.1180419921875</v>
      </c>
      <c r="E160">
        <v>24.514192581176761</v>
      </c>
    </row>
    <row r="161" spans="1:6" x14ac:dyDescent="0.35">
      <c r="A161" s="65">
        <v>39539</v>
      </c>
      <c r="D161">
        <v>36.518890380859382</v>
      </c>
      <c r="E161">
        <v>25.96958160400391</v>
      </c>
      <c r="F161">
        <v>-3.3751354008209008E-3</v>
      </c>
    </row>
    <row r="162" spans="1:6" x14ac:dyDescent="0.35">
      <c r="A162" s="65">
        <v>39569</v>
      </c>
      <c r="D162">
        <v>36.951423645019531</v>
      </c>
      <c r="E162">
        <v>25.912736892700199</v>
      </c>
    </row>
    <row r="163" spans="1:6" x14ac:dyDescent="0.35">
      <c r="A163" s="65">
        <v>39600</v>
      </c>
      <c r="D163">
        <v>31.628824234008789</v>
      </c>
      <c r="E163">
        <v>23.559091567993161</v>
      </c>
    </row>
    <row r="164" spans="1:6" x14ac:dyDescent="0.35">
      <c r="A164" s="65">
        <v>39630</v>
      </c>
      <c r="D164">
        <v>31.990602493286129</v>
      </c>
      <c r="E164">
        <v>23.108318328857418</v>
      </c>
      <c r="F164">
        <v>-5.2849954089605562E-3</v>
      </c>
    </row>
    <row r="165" spans="1:6" x14ac:dyDescent="0.35">
      <c r="A165" s="65">
        <v>39661</v>
      </c>
      <c r="D165">
        <v>30.732393264770511</v>
      </c>
      <c r="E165">
        <v>22.32912635803223</v>
      </c>
    </row>
    <row r="166" spans="1:6" x14ac:dyDescent="0.35">
      <c r="A166" s="65">
        <v>39692</v>
      </c>
      <c r="D166">
        <v>26.582990646362301</v>
      </c>
      <c r="E166">
        <v>19.3635368347168</v>
      </c>
    </row>
    <row r="167" spans="1:6" x14ac:dyDescent="0.35">
      <c r="A167" s="65">
        <v>39722</v>
      </c>
      <c r="D167">
        <v>20.051017761230469</v>
      </c>
      <c r="E167">
        <v>15.53735256195068</v>
      </c>
      <c r="F167">
        <v>-1.8209694301114542E-2</v>
      </c>
    </row>
    <row r="168" spans="1:6" x14ac:dyDescent="0.35">
      <c r="A168" s="65">
        <v>39753</v>
      </c>
      <c r="D168">
        <v>18.558565139770511</v>
      </c>
      <c r="E168">
        <v>14.537191390991209</v>
      </c>
    </row>
    <row r="169" spans="1:6" x14ac:dyDescent="0.35">
      <c r="A169" s="65">
        <v>39783</v>
      </c>
      <c r="D169">
        <v>20.486040115356449</v>
      </c>
      <c r="E169">
        <v>14.246450424194339</v>
      </c>
    </row>
    <row r="170" spans="1:6" x14ac:dyDescent="0.35">
      <c r="A170" s="65">
        <v>39814</v>
      </c>
      <c r="D170">
        <v>17.279262542724609</v>
      </c>
      <c r="E170">
        <v>13.281208992004389</v>
      </c>
      <c r="F170">
        <v>-3.0935965197039311E-2</v>
      </c>
    </row>
    <row r="171" spans="1:6" x14ac:dyDescent="0.35">
      <c r="A171" s="65">
        <v>39845</v>
      </c>
      <c r="D171">
        <v>15.193485260009769</v>
      </c>
      <c r="E171">
        <v>11.98898506164551</v>
      </c>
    </row>
    <row r="172" spans="1:6" x14ac:dyDescent="0.35">
      <c r="A172" s="65">
        <v>39873</v>
      </c>
      <c r="D172">
        <v>16.69987869262695</v>
      </c>
      <c r="E172">
        <v>12.539376258850099</v>
      </c>
    </row>
    <row r="173" spans="1:6" x14ac:dyDescent="0.35">
      <c r="A173" s="65">
        <v>39904</v>
      </c>
      <c r="D173">
        <v>19.14692306518555</v>
      </c>
      <c r="E173">
        <v>14.035012245178221</v>
      </c>
      <c r="F173">
        <v>-2.4796235099942349E-4</v>
      </c>
    </row>
    <row r="174" spans="1:6" x14ac:dyDescent="0.35">
      <c r="A174" s="65">
        <v>39934</v>
      </c>
      <c r="D174">
        <v>21.675765991210941</v>
      </c>
      <c r="E174">
        <v>16.428018569946289</v>
      </c>
    </row>
    <row r="175" spans="1:6" x14ac:dyDescent="0.35">
      <c r="A175" s="65">
        <v>39965</v>
      </c>
      <c r="D175">
        <v>20.660137176513668</v>
      </c>
      <c r="E175">
        <v>15.80584049224854</v>
      </c>
    </row>
    <row r="176" spans="1:6" x14ac:dyDescent="0.35">
      <c r="A176" s="65">
        <v>39995</v>
      </c>
      <c r="D176">
        <v>23.47220420837402</v>
      </c>
      <c r="E176">
        <v>17.457283020019531</v>
      </c>
      <c r="F176">
        <v>4.0249794037414627E-3</v>
      </c>
    </row>
    <row r="177" spans="1:6" x14ac:dyDescent="0.35">
      <c r="A177" s="65">
        <v>40026</v>
      </c>
      <c r="D177">
        <v>24.940534591674801</v>
      </c>
      <c r="E177">
        <v>18.212583541870121</v>
      </c>
    </row>
    <row r="178" spans="1:6" x14ac:dyDescent="0.35">
      <c r="A178" s="65">
        <v>40057</v>
      </c>
      <c r="D178">
        <v>26.5766716003418</v>
      </c>
      <c r="E178">
        <v>18.894796371459961</v>
      </c>
    </row>
    <row r="179" spans="1:6" x14ac:dyDescent="0.35">
      <c r="A179" s="65">
        <v>40087</v>
      </c>
      <c r="D179">
        <v>25.360054016113281</v>
      </c>
      <c r="E179">
        <v>18.870431900024411</v>
      </c>
      <c r="F179">
        <v>4.2313289856359551E-3</v>
      </c>
    </row>
    <row r="180" spans="1:6" x14ac:dyDescent="0.35">
      <c r="A180" s="65">
        <v>40118</v>
      </c>
      <c r="D180">
        <v>26.59764289855957</v>
      </c>
      <c r="E180">
        <v>19.82065582275391</v>
      </c>
    </row>
    <row r="181" spans="1:6" x14ac:dyDescent="0.35">
      <c r="A181" s="65">
        <v>40148</v>
      </c>
      <c r="D181">
        <v>26.199104309082031</v>
      </c>
      <c r="E181">
        <v>19.735378265380859</v>
      </c>
    </row>
    <row r="182" spans="1:6" x14ac:dyDescent="0.35">
      <c r="A182" s="65">
        <v>40179</v>
      </c>
      <c r="D182">
        <v>24.30830192565918</v>
      </c>
      <c r="E182">
        <v>19.017229080200199</v>
      </c>
      <c r="F182">
        <v>4.4192657567772263E-3</v>
      </c>
    </row>
    <row r="183" spans="1:6" x14ac:dyDescent="0.35">
      <c r="A183" s="65">
        <v>40210</v>
      </c>
      <c r="D183">
        <v>23.582363128662109</v>
      </c>
      <c r="E183">
        <v>18.857002258300781</v>
      </c>
    </row>
    <row r="184" spans="1:6" x14ac:dyDescent="0.35">
      <c r="A184" s="65">
        <v>40238</v>
      </c>
      <c r="D184">
        <v>25.32320404052734</v>
      </c>
      <c r="E184">
        <v>20.05251312255859</v>
      </c>
    </row>
    <row r="185" spans="1:6" x14ac:dyDescent="0.35">
      <c r="A185" s="65">
        <v>40269</v>
      </c>
      <c r="D185">
        <v>24.068672180175781</v>
      </c>
      <c r="E185">
        <v>19.62114143371582</v>
      </c>
      <c r="F185">
        <v>9.6978601627363357E-3</v>
      </c>
    </row>
    <row r="186" spans="1:6" x14ac:dyDescent="0.35">
      <c r="A186" s="65">
        <v>40299</v>
      </c>
      <c r="D186">
        <v>21.03101921081543</v>
      </c>
      <c r="E186">
        <v>17.464300155639648</v>
      </c>
    </row>
    <row r="187" spans="1:6" x14ac:dyDescent="0.35">
      <c r="A187" s="65">
        <v>40330</v>
      </c>
      <c r="D187">
        <v>20.121835708618161</v>
      </c>
      <c r="E187">
        <v>16.564584732055661</v>
      </c>
    </row>
    <row r="188" spans="1:6" x14ac:dyDescent="0.35">
      <c r="A188" s="65">
        <v>40360</v>
      </c>
      <c r="D188">
        <v>23.627004623413089</v>
      </c>
      <c r="E188">
        <v>19.301816940307621</v>
      </c>
      <c r="F188">
        <v>4.1793588402824541E-3</v>
      </c>
    </row>
    <row r="189" spans="1:6" x14ac:dyDescent="0.35">
      <c r="A189" s="65">
        <v>40391</v>
      </c>
      <c r="D189">
        <v>21.979448318481449</v>
      </c>
      <c r="E189">
        <v>18.762517929077148</v>
      </c>
    </row>
    <row r="190" spans="1:6" x14ac:dyDescent="0.35">
      <c r="A190" s="65">
        <v>40422</v>
      </c>
      <c r="D190">
        <v>24.914838790893551</v>
      </c>
      <c r="E190">
        <v>20.518369674682621</v>
      </c>
    </row>
    <row r="191" spans="1:6" x14ac:dyDescent="0.35">
      <c r="A191" s="65">
        <v>40452</v>
      </c>
      <c r="B191">
        <v>53.7</v>
      </c>
      <c r="C191">
        <v>34.730377197265618</v>
      </c>
      <c r="D191">
        <v>26.425703048706051</v>
      </c>
      <c r="E191">
        <v>21.383754730224609</v>
      </c>
      <c r="F191">
        <v>5.9082312984891066E-3</v>
      </c>
    </row>
    <row r="192" spans="1:6" x14ac:dyDescent="0.35">
      <c r="A192" s="65">
        <v>40483</v>
      </c>
      <c r="B192">
        <v>54</v>
      </c>
      <c r="C192">
        <v>33.971153259277337</v>
      </c>
      <c r="D192">
        <v>23.49751091003418</v>
      </c>
      <c r="E192">
        <v>20.267536163330082</v>
      </c>
    </row>
    <row r="193" spans="1:6" x14ac:dyDescent="0.35">
      <c r="A193" s="65">
        <v>40513</v>
      </c>
      <c r="B193">
        <v>54.9</v>
      </c>
      <c r="C193">
        <v>36.264308929443359</v>
      </c>
      <c r="D193">
        <v>25.375289916992191</v>
      </c>
      <c r="E193">
        <v>21.785089492797852</v>
      </c>
    </row>
    <row r="194" spans="1:6" x14ac:dyDescent="0.35">
      <c r="A194" s="65">
        <v>40544</v>
      </c>
      <c r="B194">
        <v>57.2</v>
      </c>
      <c r="C194">
        <v>37.009376525878913</v>
      </c>
      <c r="D194">
        <v>27.206890106201168</v>
      </c>
      <c r="E194">
        <v>22.24544525146484</v>
      </c>
      <c r="F194">
        <v>9.09580495396386E-3</v>
      </c>
    </row>
    <row r="195" spans="1:6" x14ac:dyDescent="0.35">
      <c r="A195" s="65">
        <v>40575</v>
      </c>
      <c r="B195">
        <v>58.2</v>
      </c>
      <c r="C195">
        <v>38.159309387207031</v>
      </c>
      <c r="D195">
        <v>28.0047492980957</v>
      </c>
      <c r="E195">
        <v>23.258913040161129</v>
      </c>
    </row>
    <row r="196" spans="1:6" x14ac:dyDescent="0.35">
      <c r="A196" s="65">
        <v>40603</v>
      </c>
      <c r="B196">
        <v>56</v>
      </c>
      <c r="C196">
        <v>37.830760955810547</v>
      </c>
      <c r="D196">
        <v>28.099040985107418</v>
      </c>
      <c r="E196">
        <v>22.688840866088871</v>
      </c>
    </row>
    <row r="197" spans="1:6" x14ac:dyDescent="0.35">
      <c r="A197" s="65">
        <v>40634</v>
      </c>
      <c r="B197">
        <v>55.5</v>
      </c>
      <c r="C197">
        <v>39.653457641601563</v>
      </c>
      <c r="D197">
        <v>30.340290069580082</v>
      </c>
      <c r="E197">
        <v>24.209030151367191</v>
      </c>
      <c r="F197">
        <v>-2.2475743362421801E-4</v>
      </c>
    </row>
    <row r="198" spans="1:6" x14ac:dyDescent="0.35">
      <c r="A198" s="65">
        <v>40664</v>
      </c>
      <c r="B198">
        <v>53.1</v>
      </c>
      <c r="C198">
        <v>38.879005432128913</v>
      </c>
      <c r="D198">
        <v>28.89688873291016</v>
      </c>
      <c r="E198">
        <v>23.63896369934082</v>
      </c>
    </row>
    <row r="199" spans="1:6" x14ac:dyDescent="0.35">
      <c r="A199" s="65">
        <v>40695</v>
      </c>
      <c r="B199">
        <v>52.8</v>
      </c>
      <c r="C199">
        <v>37.744709014892578</v>
      </c>
      <c r="D199">
        <v>28.1643180847168</v>
      </c>
      <c r="E199">
        <v>22.562154769897461</v>
      </c>
    </row>
    <row r="200" spans="1:6" x14ac:dyDescent="0.35">
      <c r="A200" s="65">
        <v>40725</v>
      </c>
      <c r="B200">
        <v>50.9</v>
      </c>
      <c r="C200">
        <v>37.323600769042969</v>
      </c>
      <c r="D200">
        <v>26.628110885620121</v>
      </c>
      <c r="E200">
        <v>22.861770629882809</v>
      </c>
      <c r="F200">
        <v>1.528009020713608E-3</v>
      </c>
    </row>
    <row r="201" spans="1:6" x14ac:dyDescent="0.35">
      <c r="A201" s="65">
        <v>40756</v>
      </c>
      <c r="B201">
        <v>50.4</v>
      </c>
      <c r="C201">
        <v>34.576766967773438</v>
      </c>
      <c r="D201">
        <v>23.379331588745121</v>
      </c>
      <c r="E201">
        <v>21.1091194152832</v>
      </c>
    </row>
    <row r="202" spans="1:6" x14ac:dyDescent="0.35">
      <c r="A202" s="65">
        <v>40787</v>
      </c>
      <c r="B202">
        <v>50.1</v>
      </c>
      <c r="C202">
        <v>30.967094421386719</v>
      </c>
      <c r="D202">
        <v>20.264064788818359</v>
      </c>
      <c r="E202">
        <v>19.034296035766602</v>
      </c>
    </row>
    <row r="203" spans="1:6" x14ac:dyDescent="0.35">
      <c r="A203" s="65">
        <v>40817</v>
      </c>
      <c r="B203">
        <v>49.5</v>
      </c>
      <c r="C203">
        <v>34.473854064941413</v>
      </c>
      <c r="D203">
        <v>22.82303619384766</v>
      </c>
      <c r="E203">
        <v>21.495731353759769</v>
      </c>
      <c r="F203">
        <v>-4.2348344588313018E-3</v>
      </c>
    </row>
    <row r="204" spans="1:6" x14ac:dyDescent="0.35">
      <c r="A204" s="65">
        <v>40848</v>
      </c>
      <c r="B204">
        <v>49.6</v>
      </c>
      <c r="C204">
        <v>34.078052520751953</v>
      </c>
      <c r="D204">
        <v>21.858779907226559</v>
      </c>
      <c r="E204">
        <v>21.147781372070309</v>
      </c>
    </row>
    <row r="205" spans="1:6" x14ac:dyDescent="0.35">
      <c r="A205" s="65">
        <v>40878</v>
      </c>
      <c r="B205">
        <v>50.4</v>
      </c>
      <c r="C205">
        <v>33.381465911865227</v>
      </c>
      <c r="D205">
        <v>20.69426345825195</v>
      </c>
      <c r="E205">
        <v>20.825605392456051</v>
      </c>
    </row>
    <row r="206" spans="1:6" x14ac:dyDescent="0.35">
      <c r="A206" s="65">
        <v>40909</v>
      </c>
      <c r="B206">
        <v>51</v>
      </c>
      <c r="C206">
        <v>35.60321044921875</v>
      </c>
      <c r="D206">
        <v>22.414033889770511</v>
      </c>
      <c r="E206">
        <v>21.817564010620121</v>
      </c>
      <c r="F206">
        <v>-2.1497008731274228E-3</v>
      </c>
    </row>
    <row r="207" spans="1:6" x14ac:dyDescent="0.35">
      <c r="A207" s="65">
        <v>40940</v>
      </c>
      <c r="B207">
        <v>51.2</v>
      </c>
      <c r="C207">
        <v>37.364151000976563</v>
      </c>
      <c r="D207">
        <v>23.644674301147461</v>
      </c>
      <c r="E207">
        <v>22.92937088012695</v>
      </c>
    </row>
    <row r="208" spans="1:6" x14ac:dyDescent="0.35">
      <c r="A208" s="65">
        <v>40969</v>
      </c>
      <c r="B208">
        <v>51.6</v>
      </c>
      <c r="C208">
        <v>37.780376434326172</v>
      </c>
      <c r="D208">
        <v>23.674684524536129</v>
      </c>
      <c r="E208">
        <v>22.628524780273441</v>
      </c>
    </row>
    <row r="209" spans="1:6" x14ac:dyDescent="0.35">
      <c r="A209" s="65">
        <v>41000</v>
      </c>
      <c r="B209">
        <v>51.3</v>
      </c>
      <c r="C209">
        <v>37.34814453125</v>
      </c>
      <c r="D209">
        <v>22.346500396728519</v>
      </c>
      <c r="E209">
        <v>22.95553016662598</v>
      </c>
      <c r="F209">
        <v>-2.6388234647134489E-3</v>
      </c>
    </row>
    <row r="210" spans="1:6" x14ac:dyDescent="0.35">
      <c r="A210" s="65">
        <v>41030</v>
      </c>
      <c r="B210">
        <v>50.3</v>
      </c>
      <c r="C210">
        <v>33.882274627685547</v>
      </c>
      <c r="D210">
        <v>19.465019226074219</v>
      </c>
      <c r="E210">
        <v>20.339521408081051</v>
      </c>
    </row>
    <row r="211" spans="1:6" x14ac:dyDescent="0.35">
      <c r="A211" s="65">
        <v>41061</v>
      </c>
      <c r="B211">
        <v>49.7</v>
      </c>
      <c r="C211">
        <v>35.114944458007813</v>
      </c>
      <c r="D211">
        <v>20.598100662231449</v>
      </c>
      <c r="E211">
        <v>21.30744552612305</v>
      </c>
    </row>
    <row r="212" spans="1:6" x14ac:dyDescent="0.35">
      <c r="A212" s="65">
        <v>41091</v>
      </c>
      <c r="B212">
        <v>48.8</v>
      </c>
      <c r="C212">
        <v>35.893020629882813</v>
      </c>
      <c r="D212">
        <v>20.995361328125</v>
      </c>
      <c r="E212">
        <v>21.9998664855957</v>
      </c>
      <c r="F212">
        <v>-9.9071637422341028E-4</v>
      </c>
    </row>
    <row r="213" spans="1:6" x14ac:dyDescent="0.35">
      <c r="A213" s="65">
        <v>41122</v>
      </c>
      <c r="B213">
        <v>48.7</v>
      </c>
      <c r="C213">
        <v>36.891185760498047</v>
      </c>
      <c r="D213">
        <v>22.385782241821289</v>
      </c>
      <c r="E213">
        <v>22.722927093505859</v>
      </c>
    </row>
    <row r="214" spans="1:6" x14ac:dyDescent="0.35">
      <c r="A214" s="65">
        <v>41153</v>
      </c>
      <c r="B214">
        <v>48.7</v>
      </c>
      <c r="C214">
        <v>37.889331817626953</v>
      </c>
      <c r="D214">
        <v>23.21231651306152</v>
      </c>
      <c r="E214">
        <v>23.298702239990231</v>
      </c>
    </row>
    <row r="215" spans="1:6" x14ac:dyDescent="0.35">
      <c r="A215" s="65">
        <v>41183</v>
      </c>
      <c r="B215">
        <v>48.9</v>
      </c>
      <c r="C215">
        <v>37.694568634033203</v>
      </c>
      <c r="D215">
        <v>23.807100296020511</v>
      </c>
      <c r="E215">
        <v>23.405824661254879</v>
      </c>
      <c r="F215">
        <v>-4.4490129422425423E-3</v>
      </c>
    </row>
    <row r="216" spans="1:6" x14ac:dyDescent="0.35">
      <c r="A216" s="65">
        <v>41214</v>
      </c>
      <c r="B216">
        <v>49.6</v>
      </c>
      <c r="C216">
        <v>38.295085906982422</v>
      </c>
      <c r="D216">
        <v>24.618179321289059</v>
      </c>
      <c r="E216">
        <v>23.673624038696289</v>
      </c>
    </row>
    <row r="217" spans="1:6" x14ac:dyDescent="0.35">
      <c r="A217" s="65">
        <v>41244</v>
      </c>
      <c r="B217">
        <v>50</v>
      </c>
      <c r="C217">
        <v>39.017337799072273</v>
      </c>
      <c r="D217">
        <v>25.84638786315918</v>
      </c>
      <c r="E217">
        <v>24.02176666259766</v>
      </c>
    </row>
    <row r="218" spans="1:6" x14ac:dyDescent="0.35">
      <c r="A218" s="65">
        <v>41275</v>
      </c>
      <c r="B218">
        <v>51.5</v>
      </c>
      <c r="C218">
        <v>40.8907470703125</v>
      </c>
      <c r="D218">
        <v>26.919601440429691</v>
      </c>
      <c r="E218">
        <v>25.08321571350098</v>
      </c>
      <c r="F218">
        <v>-3.3240451726963671E-3</v>
      </c>
    </row>
    <row r="219" spans="1:6" x14ac:dyDescent="0.35">
      <c r="A219" s="65">
        <v>41306</v>
      </c>
      <c r="B219">
        <v>50.9</v>
      </c>
      <c r="C219">
        <v>40.849758148193359</v>
      </c>
      <c r="D219">
        <v>25.679067611694339</v>
      </c>
      <c r="E219">
        <v>24.404190063476559</v>
      </c>
    </row>
    <row r="220" spans="1:6" x14ac:dyDescent="0.35">
      <c r="A220" s="65">
        <v>41334</v>
      </c>
      <c r="B220">
        <v>51.2</v>
      </c>
      <c r="C220">
        <v>41.595611572265618</v>
      </c>
      <c r="D220">
        <v>25.31466102600098</v>
      </c>
      <c r="E220">
        <v>24.81160926818848</v>
      </c>
    </row>
    <row r="221" spans="1:6" x14ac:dyDescent="0.35">
      <c r="A221" s="65">
        <v>41365</v>
      </c>
      <c r="B221">
        <v>50.4</v>
      </c>
      <c r="C221">
        <v>42.775863647460938</v>
      </c>
      <c r="D221">
        <v>26.772287368774411</v>
      </c>
      <c r="E221">
        <v>25.51779747009277</v>
      </c>
      <c r="F221">
        <v>5.1473606766863711E-3</v>
      </c>
    </row>
    <row r="222" spans="1:6" x14ac:dyDescent="0.35">
      <c r="A222" s="65">
        <v>41395</v>
      </c>
      <c r="B222">
        <v>50.6</v>
      </c>
      <c r="C222">
        <v>42.611934661865227</v>
      </c>
      <c r="D222">
        <v>27.12119293212891</v>
      </c>
      <c r="E222">
        <v>25.490634918212891</v>
      </c>
    </row>
    <row r="223" spans="1:6" x14ac:dyDescent="0.35">
      <c r="A223" s="65">
        <v>41426</v>
      </c>
      <c r="B223">
        <v>50.6</v>
      </c>
      <c r="C223">
        <v>40.980892181396477</v>
      </c>
      <c r="D223">
        <v>25.182851791381839</v>
      </c>
      <c r="E223">
        <v>23.983198165893551</v>
      </c>
    </row>
    <row r="224" spans="1:6" x14ac:dyDescent="0.35">
      <c r="A224" s="65">
        <v>41456</v>
      </c>
      <c r="B224">
        <v>50.8</v>
      </c>
      <c r="C224">
        <v>43.404155731201172</v>
      </c>
      <c r="D224">
        <v>28.055849075317379</v>
      </c>
      <c r="E224">
        <v>25.895988464355469</v>
      </c>
      <c r="F224">
        <v>3.0388036765969452E-3</v>
      </c>
    </row>
    <row r="225" spans="1:6" x14ac:dyDescent="0.35">
      <c r="A225" s="65">
        <v>41487</v>
      </c>
      <c r="B225">
        <v>51.6</v>
      </c>
      <c r="C225">
        <v>42.408069610595703</v>
      </c>
      <c r="D225">
        <v>27.547479629516602</v>
      </c>
      <c r="E225">
        <v>25.703035354614261</v>
      </c>
    </row>
    <row r="226" spans="1:6" x14ac:dyDescent="0.35">
      <c r="A226" s="65">
        <v>41518</v>
      </c>
      <c r="B226">
        <v>51.8</v>
      </c>
      <c r="C226">
        <v>44.757152557373047</v>
      </c>
      <c r="D226">
        <v>29.970182418823239</v>
      </c>
      <c r="E226">
        <v>27.039876937866211</v>
      </c>
    </row>
    <row r="227" spans="1:6" x14ac:dyDescent="0.35">
      <c r="A227" s="65">
        <v>41548</v>
      </c>
      <c r="B227">
        <v>52.1</v>
      </c>
      <c r="C227">
        <v>46.525196075439453</v>
      </c>
      <c r="D227">
        <v>31.59857177734375</v>
      </c>
      <c r="E227">
        <v>28.04594802856445</v>
      </c>
      <c r="F227">
        <v>2.878766551284823E-3</v>
      </c>
    </row>
    <row r="228" spans="1:6" x14ac:dyDescent="0.35">
      <c r="A228" s="65">
        <v>41579</v>
      </c>
      <c r="B228">
        <v>53.1</v>
      </c>
      <c r="C228">
        <v>47.247356414794922</v>
      </c>
      <c r="D228">
        <v>32.059291839599609</v>
      </c>
      <c r="E228">
        <v>28.26645660400391</v>
      </c>
    </row>
    <row r="229" spans="1:6" x14ac:dyDescent="0.35">
      <c r="A229" s="65">
        <v>41609</v>
      </c>
      <c r="B229">
        <v>53.3</v>
      </c>
      <c r="C229">
        <v>47.828403472900391</v>
      </c>
      <c r="D229">
        <v>32.8695068359375</v>
      </c>
      <c r="E229">
        <v>28.77638053894043</v>
      </c>
    </row>
    <row r="230" spans="1:6" x14ac:dyDescent="0.35">
      <c r="A230" s="65">
        <v>41640</v>
      </c>
      <c r="B230">
        <v>52.9</v>
      </c>
      <c r="C230">
        <v>45.9903564453125</v>
      </c>
      <c r="D230">
        <v>31.29400634765625</v>
      </c>
      <c r="E230">
        <v>27.769430160522461</v>
      </c>
      <c r="F230">
        <v>4.1415616412804612E-3</v>
      </c>
    </row>
    <row r="231" spans="1:6" x14ac:dyDescent="0.35">
      <c r="A231" s="65">
        <v>41671</v>
      </c>
      <c r="B231">
        <v>53.3</v>
      </c>
      <c r="C231">
        <v>48.384033203125</v>
      </c>
      <c r="D231">
        <v>33.477493286132813</v>
      </c>
      <c r="E231">
        <v>29.652351379394531</v>
      </c>
    </row>
    <row r="232" spans="1:6" x14ac:dyDescent="0.35">
      <c r="A232" s="65">
        <v>41699</v>
      </c>
      <c r="B232">
        <v>52.4</v>
      </c>
      <c r="C232">
        <v>48.660224914550781</v>
      </c>
      <c r="D232">
        <v>33.684680938720703</v>
      </c>
      <c r="E232">
        <v>28.717864990234379</v>
      </c>
    </row>
    <row r="233" spans="1:6" x14ac:dyDescent="0.35">
      <c r="A233" s="65">
        <v>41730</v>
      </c>
      <c r="B233">
        <v>51.9</v>
      </c>
      <c r="C233">
        <v>49.237720489501953</v>
      </c>
      <c r="D233">
        <v>34.306259155273438</v>
      </c>
      <c r="E233">
        <v>30.014980316162109</v>
      </c>
      <c r="F233">
        <v>1.950123720347438E-3</v>
      </c>
    </row>
    <row r="234" spans="1:6" x14ac:dyDescent="0.35">
      <c r="A234" s="65">
        <v>41760</v>
      </c>
      <c r="B234">
        <v>52.2</v>
      </c>
      <c r="C234">
        <v>50.225315093994141</v>
      </c>
      <c r="D234">
        <v>34.593147277832031</v>
      </c>
      <c r="E234">
        <v>30.307878494262699</v>
      </c>
    </row>
    <row r="235" spans="1:6" x14ac:dyDescent="0.35">
      <c r="A235" s="65">
        <v>41791</v>
      </c>
      <c r="B235">
        <v>52.6</v>
      </c>
      <c r="C235">
        <v>50.434547424316413</v>
      </c>
      <c r="D235">
        <v>33.724525451660163</v>
      </c>
      <c r="E235">
        <v>29.122344970703121</v>
      </c>
    </row>
    <row r="236" spans="1:6" x14ac:dyDescent="0.35">
      <c r="A236" s="65">
        <v>41821</v>
      </c>
      <c r="B236">
        <v>52.5</v>
      </c>
      <c r="C236">
        <v>50.400215148925781</v>
      </c>
      <c r="D236">
        <v>32.326442718505859</v>
      </c>
      <c r="E236">
        <v>29.820808410644531</v>
      </c>
      <c r="F236">
        <v>4.9391818848553409E-3</v>
      </c>
    </row>
    <row r="237" spans="1:6" x14ac:dyDescent="0.35">
      <c r="A237" s="65">
        <v>41852</v>
      </c>
      <c r="B237">
        <v>52.6</v>
      </c>
      <c r="C237">
        <v>51.698619842529297</v>
      </c>
      <c r="D237">
        <v>32.383296966552727</v>
      </c>
      <c r="E237">
        <v>30.054929733276371</v>
      </c>
    </row>
    <row r="238" spans="1:6" x14ac:dyDescent="0.35">
      <c r="A238" s="65">
        <v>41883</v>
      </c>
      <c r="B238">
        <v>52.2</v>
      </c>
      <c r="C238">
        <v>49.984382629394531</v>
      </c>
      <c r="D238">
        <v>31.270551681518551</v>
      </c>
      <c r="E238">
        <v>28.35756874084473</v>
      </c>
    </row>
    <row r="239" spans="1:6" x14ac:dyDescent="0.35">
      <c r="A239" s="65">
        <v>41913</v>
      </c>
      <c r="B239">
        <v>52.2</v>
      </c>
      <c r="C239">
        <v>50.586910247802727</v>
      </c>
      <c r="D239">
        <v>30.377105712890621</v>
      </c>
      <c r="E239">
        <v>27.816171646118161</v>
      </c>
      <c r="F239">
        <v>3.558540848885159E-3</v>
      </c>
    </row>
    <row r="240" spans="1:6" x14ac:dyDescent="0.35">
      <c r="A240" s="65">
        <v>41944</v>
      </c>
      <c r="B240">
        <v>51.8</v>
      </c>
      <c r="C240">
        <v>51.282787322998047</v>
      </c>
      <c r="D240">
        <v>31.55482292175293</v>
      </c>
      <c r="E240">
        <v>27.84543609619141</v>
      </c>
    </row>
    <row r="241" spans="1:6" x14ac:dyDescent="0.35">
      <c r="A241" s="65">
        <v>41974</v>
      </c>
      <c r="B241">
        <v>51.6</v>
      </c>
      <c r="C241">
        <v>49.644927978515618</v>
      </c>
      <c r="D241">
        <v>29.508035659790039</v>
      </c>
      <c r="E241">
        <v>26.382194519042969</v>
      </c>
    </row>
    <row r="242" spans="1:6" x14ac:dyDescent="0.35">
      <c r="A242" s="65">
        <v>42005</v>
      </c>
      <c r="B242">
        <v>51.7</v>
      </c>
      <c r="C242">
        <v>49.414615631103523</v>
      </c>
      <c r="D242">
        <v>30.008537292480469</v>
      </c>
      <c r="E242">
        <v>26.924465179443359</v>
      </c>
      <c r="F242">
        <v>6.3769360636882749E-3</v>
      </c>
    </row>
    <row r="243" spans="1:6" x14ac:dyDescent="0.35">
      <c r="A243" s="65">
        <v>42036</v>
      </c>
      <c r="B243">
        <v>52</v>
      </c>
      <c r="C243">
        <v>52.136569976806641</v>
      </c>
      <c r="D243">
        <v>31.873842239379879</v>
      </c>
      <c r="E243">
        <v>28.506504058837891</v>
      </c>
    </row>
    <row r="244" spans="1:6" x14ac:dyDescent="0.35">
      <c r="A244" s="65">
        <v>42064</v>
      </c>
      <c r="B244">
        <v>51.8</v>
      </c>
      <c r="C244">
        <v>51.374763488769531</v>
      </c>
      <c r="D244">
        <v>31.562967300415039</v>
      </c>
      <c r="E244">
        <v>26.87968826293945</v>
      </c>
    </row>
    <row r="245" spans="1:6" x14ac:dyDescent="0.35">
      <c r="A245" s="65">
        <v>42095</v>
      </c>
      <c r="B245">
        <v>51</v>
      </c>
      <c r="C245">
        <v>52.847023010253913</v>
      </c>
      <c r="D245">
        <v>32.266544342041023</v>
      </c>
      <c r="E245">
        <v>28.670675277709961</v>
      </c>
      <c r="F245">
        <v>4.6068994602883537E-3</v>
      </c>
    </row>
    <row r="246" spans="1:6" x14ac:dyDescent="0.35">
      <c r="A246" s="65">
        <v>42125</v>
      </c>
      <c r="B246">
        <v>51.2</v>
      </c>
      <c r="C246">
        <v>52.847023010253913</v>
      </c>
      <c r="D246">
        <v>32.062015533447273</v>
      </c>
      <c r="E246">
        <v>28.84976959228516</v>
      </c>
    </row>
    <row r="247" spans="1:6" x14ac:dyDescent="0.35">
      <c r="A247" s="65">
        <v>42156</v>
      </c>
      <c r="B247">
        <v>51</v>
      </c>
      <c r="C247">
        <v>50.886875152587891</v>
      </c>
      <c r="D247">
        <v>30.712129592895511</v>
      </c>
      <c r="E247">
        <v>27.237886428833011</v>
      </c>
    </row>
    <row r="248" spans="1:6" x14ac:dyDescent="0.35">
      <c r="A248" s="65">
        <v>42186</v>
      </c>
      <c r="B248">
        <v>51</v>
      </c>
      <c r="C248">
        <v>51.908786773681641</v>
      </c>
      <c r="D248">
        <v>32.208610534667969</v>
      </c>
      <c r="E248">
        <v>28.175188064575199</v>
      </c>
      <c r="F248">
        <v>4.1682303293657944E-3</v>
      </c>
    </row>
    <row r="249" spans="1:6" x14ac:dyDescent="0.35">
      <c r="A249" s="65">
        <v>42217</v>
      </c>
      <c r="B249">
        <v>50.7</v>
      </c>
      <c r="C249">
        <v>48.375457763671882</v>
      </c>
      <c r="D249">
        <v>29.985893249511719</v>
      </c>
      <c r="E249">
        <v>25.926034927368161</v>
      </c>
    </row>
    <row r="250" spans="1:6" x14ac:dyDescent="0.35">
      <c r="A250" s="65">
        <v>42248</v>
      </c>
      <c r="B250">
        <v>50.6</v>
      </c>
      <c r="C250">
        <v>46.712711334228523</v>
      </c>
      <c r="D250">
        <v>28.587326049804691</v>
      </c>
      <c r="E250">
        <v>24.907833099365231</v>
      </c>
    </row>
    <row r="251" spans="1:6" x14ac:dyDescent="0.35">
      <c r="A251" s="65">
        <v>42278</v>
      </c>
      <c r="B251">
        <v>51.4</v>
      </c>
      <c r="C251">
        <v>50.289340972900391</v>
      </c>
      <c r="D251">
        <v>30.676851272583011</v>
      </c>
      <c r="E251">
        <v>26.54910850524902</v>
      </c>
      <c r="F251">
        <v>4.6210301376277789E-3</v>
      </c>
    </row>
    <row r="252" spans="1:6" x14ac:dyDescent="0.35">
      <c r="A252" s="65">
        <v>42309</v>
      </c>
      <c r="B252">
        <v>51.2</v>
      </c>
      <c r="C252">
        <v>50.020881652832031</v>
      </c>
      <c r="D252">
        <v>30.435434341430661</v>
      </c>
      <c r="E252">
        <v>26.108396530151371</v>
      </c>
    </row>
    <row r="253" spans="1:6" x14ac:dyDescent="0.35">
      <c r="A253" s="65">
        <v>42339</v>
      </c>
      <c r="B253">
        <v>50.9</v>
      </c>
      <c r="C253">
        <v>48.3408203125</v>
      </c>
      <c r="D253">
        <v>29.17006874084473</v>
      </c>
      <c r="E253">
        <v>24.527912139892582</v>
      </c>
    </row>
    <row r="254" spans="1:6" x14ac:dyDescent="0.35">
      <c r="A254" s="65">
        <v>42370</v>
      </c>
      <c r="B254">
        <v>50.9</v>
      </c>
      <c r="C254">
        <v>46.370929718017578</v>
      </c>
      <c r="D254">
        <v>27.699224472045898</v>
      </c>
      <c r="E254">
        <v>23.811655044555661</v>
      </c>
      <c r="F254">
        <v>5.5582645779962206E-3</v>
      </c>
    </row>
    <row r="255" spans="1:6" x14ac:dyDescent="0.35">
      <c r="A255" s="65">
        <v>42401</v>
      </c>
      <c r="B255">
        <v>50</v>
      </c>
      <c r="C255">
        <v>45.791946411132813</v>
      </c>
      <c r="D255">
        <v>26.531181335449219</v>
      </c>
      <c r="E255">
        <v>23.06754302978516</v>
      </c>
    </row>
    <row r="256" spans="1:6" x14ac:dyDescent="0.35">
      <c r="A256" s="65">
        <v>42430</v>
      </c>
      <c r="B256">
        <v>50.5</v>
      </c>
      <c r="C256">
        <v>49.1781005859375</v>
      </c>
      <c r="D256">
        <v>28.692062377929691</v>
      </c>
      <c r="E256">
        <v>24.307735443115231</v>
      </c>
    </row>
    <row r="257" spans="1:6" x14ac:dyDescent="0.35">
      <c r="A257" s="65">
        <v>42461</v>
      </c>
      <c r="B257">
        <v>50.1</v>
      </c>
      <c r="C257">
        <v>49.836032867431641</v>
      </c>
      <c r="D257">
        <v>29.426254272460941</v>
      </c>
      <c r="E257">
        <v>25.28438568115234</v>
      </c>
      <c r="F257">
        <v>2.3383665099954961E-3</v>
      </c>
    </row>
    <row r="258" spans="1:6" x14ac:dyDescent="0.35">
      <c r="A258" s="65">
        <v>42491</v>
      </c>
      <c r="B258">
        <v>50</v>
      </c>
      <c r="C258">
        <v>50.002700805664063</v>
      </c>
      <c r="D258">
        <v>28.358333587646481</v>
      </c>
      <c r="E258">
        <v>24.989841461181641</v>
      </c>
    </row>
    <row r="259" spans="1:6" x14ac:dyDescent="0.35">
      <c r="A259" s="65">
        <v>42522</v>
      </c>
      <c r="B259">
        <v>50.9</v>
      </c>
      <c r="C259">
        <v>49.327224731445313</v>
      </c>
      <c r="D259">
        <v>26.923313140869141</v>
      </c>
      <c r="E259">
        <v>23.827157974243161</v>
      </c>
    </row>
    <row r="260" spans="1:6" x14ac:dyDescent="0.35">
      <c r="A260" s="65">
        <v>42552</v>
      </c>
      <c r="B260">
        <v>51</v>
      </c>
      <c r="C260">
        <v>51.862140655517578</v>
      </c>
      <c r="D260">
        <v>28.927352905273441</v>
      </c>
      <c r="E260">
        <v>24.78558349609375</v>
      </c>
      <c r="F260">
        <v>4.76872353145435E-3</v>
      </c>
    </row>
    <row r="261" spans="1:6" x14ac:dyDescent="0.35">
      <c r="A261" s="65">
        <v>42583</v>
      </c>
      <c r="B261">
        <v>50.9</v>
      </c>
      <c r="C261">
        <v>52.039897918701172</v>
      </c>
      <c r="D261">
        <v>29.25228309631348</v>
      </c>
      <c r="E261">
        <v>25.05568695068359</v>
      </c>
    </row>
    <row r="262" spans="1:6" x14ac:dyDescent="0.35">
      <c r="A262" s="65">
        <v>42614</v>
      </c>
      <c r="B262">
        <v>51</v>
      </c>
      <c r="C262">
        <v>52.528739929199219</v>
      </c>
      <c r="D262">
        <v>29.491697311401371</v>
      </c>
      <c r="E262">
        <v>25.166900634765621</v>
      </c>
    </row>
    <row r="263" spans="1:6" x14ac:dyDescent="0.35">
      <c r="A263" s="65">
        <v>42644</v>
      </c>
      <c r="B263">
        <v>52</v>
      </c>
      <c r="C263">
        <v>51.524398803710938</v>
      </c>
      <c r="D263">
        <v>29.192422866821289</v>
      </c>
      <c r="E263">
        <v>23.832296371459961</v>
      </c>
      <c r="F263">
        <v>7.5713228901048129E-3</v>
      </c>
    </row>
    <row r="264" spans="1:6" x14ac:dyDescent="0.35">
      <c r="A264" s="65">
        <v>42675</v>
      </c>
      <c r="B264">
        <v>52.1</v>
      </c>
      <c r="C264">
        <v>52.057674407958977</v>
      </c>
      <c r="D264">
        <v>28.02951622009277</v>
      </c>
      <c r="E264">
        <v>23.87995719909668</v>
      </c>
    </row>
    <row r="265" spans="1:6" x14ac:dyDescent="0.35">
      <c r="A265" s="65">
        <v>42705</v>
      </c>
      <c r="B265">
        <v>52.7</v>
      </c>
      <c r="C265">
        <v>52.590957641601563</v>
      </c>
      <c r="D265">
        <v>29.585758209228519</v>
      </c>
      <c r="E265">
        <v>24.380437850952148</v>
      </c>
    </row>
    <row r="266" spans="1:6" x14ac:dyDescent="0.35">
      <c r="A266" s="65">
        <v>42736</v>
      </c>
      <c r="B266">
        <v>52.7</v>
      </c>
      <c r="C266">
        <v>54.622150421142578</v>
      </c>
      <c r="D266">
        <v>30.415985107421879</v>
      </c>
      <c r="E266">
        <v>25.330120086669918</v>
      </c>
      <c r="F266">
        <v>6.8294879327953422E-3</v>
      </c>
    </row>
    <row r="267" spans="1:6" x14ac:dyDescent="0.35">
      <c r="A267" s="65">
        <v>42767</v>
      </c>
      <c r="B267">
        <v>53</v>
      </c>
      <c r="C267">
        <v>55.994644165039063</v>
      </c>
      <c r="D267">
        <v>30.476230621337891</v>
      </c>
      <c r="E267">
        <v>25.700605392456051</v>
      </c>
    </row>
    <row r="268" spans="1:6" x14ac:dyDescent="0.35">
      <c r="A268" s="65">
        <v>42795</v>
      </c>
      <c r="B268">
        <v>53</v>
      </c>
      <c r="C268">
        <v>56.748176574707031</v>
      </c>
      <c r="D268">
        <v>32.361083984375</v>
      </c>
      <c r="E268">
        <v>26.216070175170898</v>
      </c>
    </row>
    <row r="269" spans="1:6" x14ac:dyDescent="0.35">
      <c r="A269" s="65">
        <v>42826</v>
      </c>
      <c r="B269">
        <v>52.7</v>
      </c>
      <c r="C269">
        <v>57.663188934326172</v>
      </c>
      <c r="D269">
        <v>33.772586822509773</v>
      </c>
      <c r="E269">
        <v>26.6590461730957</v>
      </c>
      <c r="F269">
        <v>7.887524293034848E-3</v>
      </c>
    </row>
    <row r="270" spans="1:6" x14ac:dyDescent="0.35">
      <c r="A270" s="65">
        <v>42856</v>
      </c>
      <c r="B270">
        <v>52.6</v>
      </c>
      <c r="C270">
        <v>58.937026977539063</v>
      </c>
      <c r="D270">
        <v>35.442272186279297</v>
      </c>
      <c r="E270">
        <v>27.875211715698239</v>
      </c>
    </row>
    <row r="271" spans="1:6" x14ac:dyDescent="0.35">
      <c r="A271" s="65">
        <v>42887</v>
      </c>
      <c r="B271">
        <v>52.6</v>
      </c>
      <c r="C271">
        <v>58.748638153076172</v>
      </c>
      <c r="D271">
        <v>34.710720062255859</v>
      </c>
      <c r="E271">
        <v>26.844291687011719</v>
      </c>
    </row>
    <row r="272" spans="1:6" x14ac:dyDescent="0.35">
      <c r="A272" s="65">
        <v>42917</v>
      </c>
      <c r="B272">
        <v>52.8</v>
      </c>
      <c r="C272">
        <v>61.024494171142578</v>
      </c>
      <c r="D272">
        <v>36.388866424560547</v>
      </c>
      <c r="E272">
        <v>28.086690902709961</v>
      </c>
      <c r="F272">
        <v>7.7604421378669733E-3</v>
      </c>
    </row>
    <row r="273" spans="1:6" x14ac:dyDescent="0.35">
      <c r="A273" s="65">
        <v>42948</v>
      </c>
      <c r="B273">
        <v>53.2</v>
      </c>
      <c r="C273">
        <v>61.269390106201172</v>
      </c>
      <c r="D273">
        <v>36.563694000244141</v>
      </c>
      <c r="E273">
        <v>27.856203079223629</v>
      </c>
    </row>
    <row r="274" spans="1:6" x14ac:dyDescent="0.35">
      <c r="A274" s="65">
        <v>42979</v>
      </c>
      <c r="B274">
        <v>53.3</v>
      </c>
      <c r="C274">
        <v>62.421318054199219</v>
      </c>
      <c r="D274">
        <v>37.866104125976563</v>
      </c>
      <c r="E274">
        <v>28.687604904174801</v>
      </c>
    </row>
    <row r="275" spans="1:6" x14ac:dyDescent="0.35">
      <c r="A275" s="65">
        <v>43009</v>
      </c>
      <c r="B275">
        <v>53.5</v>
      </c>
      <c r="C275">
        <v>63.763698577880859</v>
      </c>
      <c r="D275">
        <v>38.311893463134773</v>
      </c>
      <c r="E275">
        <v>28.860475540161129</v>
      </c>
      <c r="F275">
        <v>8.0912959996949918E-3</v>
      </c>
    </row>
    <row r="276" spans="1:6" x14ac:dyDescent="0.35">
      <c r="A276" s="65">
        <v>43040</v>
      </c>
      <c r="B276">
        <v>54.1</v>
      </c>
      <c r="C276">
        <v>65.051673889160156</v>
      </c>
      <c r="D276">
        <v>38.215740203857422</v>
      </c>
      <c r="E276">
        <v>28.82755088806152</v>
      </c>
    </row>
    <row r="277" spans="1:6" x14ac:dyDescent="0.35">
      <c r="A277" s="65">
        <v>43070</v>
      </c>
      <c r="B277">
        <v>54.5</v>
      </c>
      <c r="C277">
        <v>65.38726806640625</v>
      </c>
      <c r="D277">
        <v>37.918548583984382</v>
      </c>
      <c r="E277">
        <v>29.486087799072269</v>
      </c>
    </row>
    <row r="278" spans="1:6" x14ac:dyDescent="0.35">
      <c r="A278" s="65">
        <v>43101</v>
      </c>
      <c r="B278">
        <v>54.4</v>
      </c>
      <c r="C278">
        <v>69.757667541503906</v>
      </c>
      <c r="D278">
        <v>40.753448486328118</v>
      </c>
      <c r="E278">
        <v>31.166030883789059</v>
      </c>
      <c r="F278">
        <v>-3.5100666500917641E-5</v>
      </c>
    </row>
    <row r="279" spans="1:6" x14ac:dyDescent="0.35">
      <c r="A279" s="65">
        <v>43132</v>
      </c>
      <c r="B279">
        <v>54.1</v>
      </c>
      <c r="C279">
        <v>66.635986328125</v>
      </c>
      <c r="D279">
        <v>38.312808990478523</v>
      </c>
      <c r="E279">
        <v>29.077671051025391</v>
      </c>
    </row>
    <row r="280" spans="1:6" x14ac:dyDescent="0.35">
      <c r="A280" s="65">
        <v>43160</v>
      </c>
      <c r="B280">
        <v>53.3</v>
      </c>
      <c r="C280">
        <v>65.638137817382813</v>
      </c>
      <c r="D280">
        <v>38.058208465576172</v>
      </c>
      <c r="E280">
        <v>29.144765853881839</v>
      </c>
    </row>
    <row r="281" spans="1:6" x14ac:dyDescent="0.35">
      <c r="A281" s="65">
        <v>43191</v>
      </c>
      <c r="B281">
        <v>53.5</v>
      </c>
      <c r="C281">
        <v>65.903602600097656</v>
      </c>
      <c r="D281">
        <v>38.918582916259773</v>
      </c>
      <c r="E281">
        <v>30.402811050415039</v>
      </c>
      <c r="F281">
        <v>5.3935343979740454E-3</v>
      </c>
    </row>
    <row r="282" spans="1:6" x14ac:dyDescent="0.35">
      <c r="A282" s="65">
        <v>43221</v>
      </c>
      <c r="B282">
        <v>53.1</v>
      </c>
      <c r="C282">
        <v>66.214874267578125</v>
      </c>
      <c r="D282">
        <v>37.522682189941413</v>
      </c>
      <c r="E282">
        <v>30.21829795837402</v>
      </c>
    </row>
    <row r="283" spans="1:6" x14ac:dyDescent="0.35">
      <c r="A283" s="65">
        <v>43252</v>
      </c>
      <c r="B283">
        <v>53</v>
      </c>
      <c r="C283">
        <v>65.107177734375</v>
      </c>
      <c r="D283">
        <v>36.003856658935547</v>
      </c>
      <c r="E283">
        <v>29.169923782348629</v>
      </c>
    </row>
    <row r="284" spans="1:6" x14ac:dyDescent="0.35">
      <c r="A284" s="65">
        <v>43282</v>
      </c>
      <c r="B284">
        <v>52.8</v>
      </c>
      <c r="C284">
        <v>67.845069885253906</v>
      </c>
      <c r="D284">
        <v>38.285667419433587</v>
      </c>
      <c r="E284">
        <v>30.142557144165039</v>
      </c>
      <c r="F284">
        <v>8.6999664738546853E-5</v>
      </c>
    </row>
    <row r="285" spans="1:6" x14ac:dyDescent="0.35">
      <c r="A285" s="65">
        <v>43313</v>
      </c>
      <c r="B285">
        <v>52.6</v>
      </c>
      <c r="C285">
        <v>68.317115783691406</v>
      </c>
      <c r="D285">
        <v>37.071533203125</v>
      </c>
      <c r="E285">
        <v>28.820438385009769</v>
      </c>
    </row>
    <row r="286" spans="1:6" x14ac:dyDescent="0.35">
      <c r="A286" s="65">
        <v>43344</v>
      </c>
      <c r="B286">
        <v>52.2</v>
      </c>
      <c r="C286">
        <v>68.733634948730469</v>
      </c>
      <c r="D286">
        <v>36.882667541503913</v>
      </c>
      <c r="E286">
        <v>29.292621612548832</v>
      </c>
    </row>
    <row r="287" spans="1:6" x14ac:dyDescent="0.35">
      <c r="A287" s="65">
        <v>43374</v>
      </c>
      <c r="B287">
        <v>52</v>
      </c>
      <c r="C287">
        <v>63.624416351318359</v>
      </c>
      <c r="D287">
        <v>33.609004974365227</v>
      </c>
      <c r="E287">
        <v>27.309446334838871</v>
      </c>
      <c r="F287">
        <v>6.4659197374907244E-3</v>
      </c>
    </row>
    <row r="288" spans="1:6" x14ac:dyDescent="0.35">
      <c r="A288" s="65">
        <v>43405</v>
      </c>
      <c r="B288">
        <v>52</v>
      </c>
      <c r="C288">
        <v>64.633308410644531</v>
      </c>
      <c r="D288">
        <v>33.492088317871087</v>
      </c>
      <c r="E288">
        <v>26.983211517333981</v>
      </c>
    </row>
    <row r="289" spans="1:6" x14ac:dyDescent="0.35">
      <c r="A289" s="65">
        <v>43435</v>
      </c>
      <c r="B289">
        <v>51.5</v>
      </c>
      <c r="C289">
        <v>59.385261535644531</v>
      </c>
      <c r="D289">
        <v>31.531486511230469</v>
      </c>
      <c r="E289">
        <v>25.197492599487301</v>
      </c>
    </row>
    <row r="290" spans="1:6" x14ac:dyDescent="0.35">
      <c r="A290" s="65">
        <v>43466</v>
      </c>
      <c r="B290">
        <v>50.7</v>
      </c>
      <c r="C290">
        <v>64.796440124511719</v>
      </c>
      <c r="D290">
        <v>33.773578643798828</v>
      </c>
      <c r="E290">
        <v>27.624223709106449</v>
      </c>
      <c r="F290">
        <v>6.2815300029311627E-3</v>
      </c>
    </row>
    <row r="291" spans="1:6" x14ac:dyDescent="0.35">
      <c r="A291" s="65">
        <v>43497</v>
      </c>
      <c r="B291">
        <v>50.6</v>
      </c>
      <c r="C291">
        <v>66.39483642578125</v>
      </c>
      <c r="D291">
        <v>34.831546783447273</v>
      </c>
      <c r="E291">
        <v>28.571640014648441</v>
      </c>
    </row>
    <row r="292" spans="1:6" x14ac:dyDescent="0.35">
      <c r="A292" s="65">
        <v>43525</v>
      </c>
      <c r="B292">
        <v>50.5</v>
      </c>
      <c r="C292">
        <v>67.441764831542969</v>
      </c>
      <c r="D292">
        <v>34.903881072998047</v>
      </c>
      <c r="E292">
        <v>28.957622528076168</v>
      </c>
    </row>
    <row r="293" spans="1:6" x14ac:dyDescent="0.35">
      <c r="A293" s="65">
        <v>43556</v>
      </c>
      <c r="B293">
        <v>50.4</v>
      </c>
      <c r="C293">
        <v>69.750579833984375</v>
      </c>
      <c r="D293">
        <v>36.649082183837891</v>
      </c>
      <c r="E293">
        <v>29.615549087524411</v>
      </c>
      <c r="F293">
        <v>3.13693459033283E-3</v>
      </c>
    </row>
    <row r="294" spans="1:6" x14ac:dyDescent="0.35">
      <c r="A294" s="65">
        <v>43586</v>
      </c>
      <c r="B294">
        <v>49.8</v>
      </c>
      <c r="C294">
        <v>65.516189575195313</v>
      </c>
      <c r="D294">
        <v>34.28900146484375</v>
      </c>
      <c r="E294">
        <v>27.7996711730957</v>
      </c>
    </row>
    <row r="295" spans="1:6" x14ac:dyDescent="0.35">
      <c r="A295" s="65">
        <v>43617</v>
      </c>
      <c r="B295">
        <v>49.4</v>
      </c>
      <c r="C295">
        <v>68.89996337890625</v>
      </c>
      <c r="D295">
        <v>35.771961212158203</v>
      </c>
      <c r="E295">
        <v>28.35233116149902</v>
      </c>
    </row>
    <row r="296" spans="1:6" x14ac:dyDescent="0.35">
      <c r="A296" s="65">
        <v>43647</v>
      </c>
      <c r="B296">
        <v>49.3</v>
      </c>
      <c r="C296">
        <v>69.815803527832031</v>
      </c>
      <c r="D296">
        <v>35.735660552978523</v>
      </c>
      <c r="E296">
        <v>28.375730514526371</v>
      </c>
      <c r="F296">
        <v>2.074514789335913E-3</v>
      </c>
    </row>
    <row r="297" spans="1:6" x14ac:dyDescent="0.35">
      <c r="A297" s="65">
        <v>43678</v>
      </c>
      <c r="B297">
        <v>49.5</v>
      </c>
      <c r="C297">
        <v>68.27294921875</v>
      </c>
      <c r="D297">
        <v>35.197166442871087</v>
      </c>
      <c r="E297">
        <v>27.29611778259277</v>
      </c>
    </row>
    <row r="298" spans="1:6" x14ac:dyDescent="0.35">
      <c r="A298" s="65">
        <v>43709</v>
      </c>
      <c r="B298">
        <v>49.7</v>
      </c>
      <c r="C298">
        <v>69.806327819824219</v>
      </c>
      <c r="D298">
        <v>36.107040405273438</v>
      </c>
      <c r="E298">
        <v>28.276763916015621</v>
      </c>
    </row>
    <row r="299" spans="1:6" x14ac:dyDescent="0.35">
      <c r="A299" s="65">
        <v>43739</v>
      </c>
      <c r="B299">
        <v>49.8</v>
      </c>
      <c r="C299">
        <v>71.718307495117188</v>
      </c>
      <c r="D299">
        <v>37.527549743652337</v>
      </c>
      <c r="E299">
        <v>29.26640510559082</v>
      </c>
      <c r="F299">
        <v>1.5764098787802861E-4</v>
      </c>
    </row>
    <row r="300" spans="1:6" x14ac:dyDescent="0.35">
      <c r="A300" s="65">
        <v>43770</v>
      </c>
      <c r="B300">
        <v>50.3</v>
      </c>
      <c r="C300">
        <v>73.393669128417969</v>
      </c>
      <c r="D300">
        <v>37.871078491210938</v>
      </c>
      <c r="E300">
        <v>29.626277923583981</v>
      </c>
    </row>
    <row r="301" spans="1:6" x14ac:dyDescent="0.35">
      <c r="A301" s="65">
        <v>43800</v>
      </c>
      <c r="B301">
        <v>50.1</v>
      </c>
      <c r="C301">
        <v>75.012229919433594</v>
      </c>
      <c r="D301">
        <v>38.920207977294922</v>
      </c>
      <c r="E301">
        <v>30.678892135620121</v>
      </c>
    </row>
    <row r="302" spans="1:6" x14ac:dyDescent="0.35">
      <c r="A302" s="65">
        <v>43831</v>
      </c>
      <c r="B302">
        <v>50.4</v>
      </c>
      <c r="C302">
        <v>74.827751159667969</v>
      </c>
      <c r="D302">
        <v>37.737773895263672</v>
      </c>
      <c r="E302">
        <v>29.890426635742191</v>
      </c>
      <c r="F302">
        <v>-3.3637830792408972E-2</v>
      </c>
    </row>
    <row r="303" spans="1:6" x14ac:dyDescent="0.35">
      <c r="A303" s="65">
        <v>43862</v>
      </c>
      <c r="B303">
        <v>47.1</v>
      </c>
      <c r="C303">
        <v>69.223556518554688</v>
      </c>
      <c r="D303">
        <v>34.950321197509773</v>
      </c>
      <c r="E303">
        <v>26.831787109375</v>
      </c>
    </row>
    <row r="304" spans="1:6" x14ac:dyDescent="0.35">
      <c r="A304" s="65">
        <v>43891</v>
      </c>
      <c r="B304">
        <v>47.3</v>
      </c>
      <c r="C304">
        <v>59.940746307373047</v>
      </c>
      <c r="D304">
        <v>28.443166732788089</v>
      </c>
      <c r="E304">
        <v>21.868362426757809</v>
      </c>
    </row>
    <row r="305" spans="1:6" x14ac:dyDescent="0.35">
      <c r="A305" s="65">
        <v>43922</v>
      </c>
      <c r="B305">
        <v>39.6</v>
      </c>
      <c r="C305">
        <v>65.832321166992188</v>
      </c>
      <c r="D305">
        <v>30.195810317993161</v>
      </c>
      <c r="E305">
        <v>23.122955322265621</v>
      </c>
      <c r="F305">
        <v>-0.11450080736536331</v>
      </c>
    </row>
    <row r="306" spans="1:6" x14ac:dyDescent="0.35">
      <c r="A306" s="65">
        <v>43952</v>
      </c>
      <c r="B306">
        <v>42.4</v>
      </c>
      <c r="C306">
        <v>69.18524169921875</v>
      </c>
      <c r="D306">
        <v>32.423904418945313</v>
      </c>
      <c r="E306">
        <v>23.56252288818359</v>
      </c>
    </row>
    <row r="307" spans="1:6" x14ac:dyDescent="0.35">
      <c r="A307" s="65">
        <v>43983</v>
      </c>
      <c r="B307">
        <v>47.8</v>
      </c>
      <c r="C307">
        <v>70.622215270996094</v>
      </c>
      <c r="D307">
        <v>34.008739471435547</v>
      </c>
      <c r="E307">
        <v>23.58999061584473</v>
      </c>
    </row>
    <row r="308" spans="1:6" x14ac:dyDescent="0.35">
      <c r="A308" s="65">
        <v>44013</v>
      </c>
      <c r="B308">
        <v>50.6</v>
      </c>
      <c r="C308">
        <v>75.03570556640625</v>
      </c>
      <c r="D308">
        <v>35.430229187011719</v>
      </c>
      <c r="E308">
        <v>24.108585357666019</v>
      </c>
      <c r="F308">
        <v>0.1235111337444042</v>
      </c>
    </row>
    <row r="309" spans="1:6" x14ac:dyDescent="0.35">
      <c r="A309" s="65">
        <v>44044</v>
      </c>
      <c r="B309">
        <v>51.8</v>
      </c>
      <c r="C309">
        <v>79.556991577148438</v>
      </c>
      <c r="D309">
        <v>37.047966003417969</v>
      </c>
      <c r="E309">
        <v>24.768711090087891</v>
      </c>
    </row>
    <row r="310" spans="1:6" x14ac:dyDescent="0.35">
      <c r="A310" s="65">
        <v>44075</v>
      </c>
      <c r="B310">
        <v>52.4</v>
      </c>
      <c r="C310">
        <v>77.209403991699219</v>
      </c>
      <c r="D310">
        <v>35.665359497070313</v>
      </c>
      <c r="E310">
        <v>23.699493408203121</v>
      </c>
    </row>
    <row r="311" spans="1:6" x14ac:dyDescent="0.35">
      <c r="A311" s="65">
        <v>44105</v>
      </c>
      <c r="B311">
        <v>53</v>
      </c>
      <c r="C311">
        <v>75.489776611328125</v>
      </c>
      <c r="D311">
        <v>33.746662139892578</v>
      </c>
      <c r="E311">
        <v>22.63027381896973</v>
      </c>
      <c r="F311">
        <v>-2.623450635427683E-3</v>
      </c>
    </row>
    <row r="312" spans="1:6" x14ac:dyDescent="0.35">
      <c r="A312" s="65">
        <v>44136</v>
      </c>
      <c r="B312">
        <v>53.8</v>
      </c>
      <c r="C312">
        <v>84.368087768554688</v>
      </c>
      <c r="D312">
        <v>40.386890411376953</v>
      </c>
      <c r="E312">
        <v>26.274919509887699</v>
      </c>
    </row>
    <row r="313" spans="1:6" x14ac:dyDescent="0.35">
      <c r="A313" s="65">
        <v>44166</v>
      </c>
      <c r="B313">
        <v>53.8</v>
      </c>
      <c r="C313">
        <v>87.643119812011719</v>
      </c>
      <c r="D313">
        <v>41.459110260009773</v>
      </c>
      <c r="E313">
        <v>27.23256874084473</v>
      </c>
    </row>
    <row r="314" spans="1:6" x14ac:dyDescent="0.35">
      <c r="A314" s="65">
        <v>44197</v>
      </c>
      <c r="B314">
        <v>53.6</v>
      </c>
      <c r="C314">
        <v>88.050064086914063</v>
      </c>
      <c r="D314">
        <v>41.322246551513672</v>
      </c>
      <c r="E314">
        <v>27.478097915649411</v>
      </c>
      <c r="F314">
        <v>-6.2096834024266559E-4</v>
      </c>
    </row>
    <row r="315" spans="1:6" x14ac:dyDescent="0.35">
      <c r="A315" s="65">
        <v>44228</v>
      </c>
      <c r="B315">
        <v>53.9</v>
      </c>
      <c r="C315">
        <v>90.06536865234375</v>
      </c>
      <c r="D315">
        <v>42.724777221679688</v>
      </c>
      <c r="E315">
        <v>28.559543609619141</v>
      </c>
    </row>
    <row r="316" spans="1:6" x14ac:dyDescent="0.35">
      <c r="A316" s="65">
        <v>44256</v>
      </c>
      <c r="B316">
        <v>55</v>
      </c>
      <c r="C316">
        <v>92.635589599609375</v>
      </c>
      <c r="D316">
        <v>44.299049377441413</v>
      </c>
      <c r="E316">
        <v>29.44350624084473</v>
      </c>
    </row>
    <row r="317" spans="1:6" x14ac:dyDescent="0.35">
      <c r="A317" s="65">
        <v>44287</v>
      </c>
      <c r="B317">
        <v>55.9</v>
      </c>
      <c r="C317">
        <v>96.568840026855469</v>
      </c>
      <c r="D317">
        <v>46.359916687011719</v>
      </c>
      <c r="E317">
        <v>30.590776443481449</v>
      </c>
      <c r="F317">
        <v>1.9862123468883421E-2</v>
      </c>
    </row>
    <row r="318" spans="1:6" x14ac:dyDescent="0.35">
      <c r="A318" s="65">
        <v>44317</v>
      </c>
      <c r="B318">
        <v>56</v>
      </c>
      <c r="C318">
        <v>97.990257263183594</v>
      </c>
      <c r="D318">
        <v>48.392158508300781</v>
      </c>
      <c r="E318">
        <v>31.775669097900391</v>
      </c>
    </row>
    <row r="319" spans="1:6" x14ac:dyDescent="0.35">
      <c r="A319" s="65">
        <v>44348</v>
      </c>
      <c r="B319">
        <v>55.5</v>
      </c>
      <c r="C319">
        <v>98.5159912109375</v>
      </c>
      <c r="D319">
        <v>47.085029602050781</v>
      </c>
      <c r="E319">
        <v>30.750644683837891</v>
      </c>
    </row>
    <row r="320" spans="1:6" x14ac:dyDescent="0.35">
      <c r="A320" s="65">
        <v>44378</v>
      </c>
      <c r="B320">
        <v>55.4</v>
      </c>
      <c r="C320">
        <v>100.1279373168945</v>
      </c>
      <c r="D320">
        <v>48.015270233154297</v>
      </c>
      <c r="E320">
        <v>31.35806846618652</v>
      </c>
      <c r="F320">
        <v>2.2506408299158821E-2</v>
      </c>
    </row>
    <row r="321" spans="1:6" x14ac:dyDescent="0.35">
      <c r="A321" s="65">
        <v>44409</v>
      </c>
      <c r="B321">
        <v>54.1</v>
      </c>
      <c r="C321">
        <v>102.3048400878906</v>
      </c>
      <c r="D321">
        <v>48.959201812744141</v>
      </c>
      <c r="E321">
        <v>31.56845855712891</v>
      </c>
    </row>
    <row r="322" spans="1:6" x14ac:dyDescent="0.35">
      <c r="A322" s="65">
        <v>44440</v>
      </c>
      <c r="B322">
        <v>54.1</v>
      </c>
      <c r="C322">
        <v>97.980445861816406</v>
      </c>
      <c r="D322">
        <v>46.348945617675781</v>
      </c>
      <c r="E322">
        <v>30.84165000915527</v>
      </c>
    </row>
    <row r="323" spans="1:6" x14ac:dyDescent="0.35">
      <c r="A323" s="65">
        <v>44470</v>
      </c>
      <c r="B323">
        <v>54.2</v>
      </c>
      <c r="C323">
        <v>103.2658157348633</v>
      </c>
      <c r="D323">
        <v>48.467971801757813</v>
      </c>
      <c r="E323">
        <v>32.209201812744141</v>
      </c>
      <c r="F323">
        <v>5.3520432827389268E-3</v>
      </c>
    </row>
    <row r="324" spans="1:6" x14ac:dyDescent="0.35">
      <c r="A324" s="65">
        <v>44501</v>
      </c>
      <c r="B324">
        <v>54.2</v>
      </c>
      <c r="C324">
        <v>100.8829803466797</v>
      </c>
      <c r="D324">
        <v>45.848079681396477</v>
      </c>
      <c r="E324">
        <v>30.64082145690918</v>
      </c>
    </row>
    <row r="325" spans="1:6" x14ac:dyDescent="0.35">
      <c r="A325" s="65">
        <v>44531</v>
      </c>
      <c r="B325">
        <v>54.3</v>
      </c>
      <c r="C325">
        <v>103.726692199707</v>
      </c>
      <c r="D325">
        <v>47.206188201904297</v>
      </c>
      <c r="E325">
        <v>31.692783355712891</v>
      </c>
    </row>
    <row r="326" spans="1:6" x14ac:dyDescent="0.35">
      <c r="A326" s="65">
        <v>44562</v>
      </c>
      <c r="B326">
        <v>53.2</v>
      </c>
      <c r="C326">
        <v>100.0395050048828</v>
      </c>
      <c r="D326">
        <v>46.3187255859375</v>
      </c>
      <c r="E326">
        <v>33.292182922363281</v>
      </c>
      <c r="F326">
        <v>6.1132727921028897E-3</v>
      </c>
    </row>
    <row r="327" spans="1:6" x14ac:dyDescent="0.35">
      <c r="A327" s="65">
        <v>44593</v>
      </c>
      <c r="B327">
        <v>53.6</v>
      </c>
      <c r="C327">
        <v>96.977981567382813</v>
      </c>
      <c r="D327">
        <v>42.897121429443359</v>
      </c>
      <c r="E327">
        <v>32.899242401123047</v>
      </c>
    </row>
    <row r="328" spans="1:6" x14ac:dyDescent="0.35">
      <c r="A328" s="65">
        <v>44621</v>
      </c>
      <c r="B328">
        <v>52.9</v>
      </c>
      <c r="C328">
        <v>98.8604736328125</v>
      </c>
      <c r="D328">
        <v>42.300785064697273</v>
      </c>
      <c r="E328">
        <v>33.046592712402337</v>
      </c>
    </row>
    <row r="329" spans="1:6" x14ac:dyDescent="0.35">
      <c r="A329" s="65">
        <v>44652</v>
      </c>
      <c r="B329">
        <v>52.2</v>
      </c>
      <c r="C329">
        <v>90.884658813476563</v>
      </c>
      <c r="D329">
        <v>39.211566925048828</v>
      </c>
      <c r="E329">
        <v>31.730230331420898</v>
      </c>
      <c r="F329">
        <v>7.9510966455841811E-3</v>
      </c>
    </row>
    <row r="330" spans="1:6" x14ac:dyDescent="0.35">
      <c r="A330" s="65">
        <v>44682</v>
      </c>
      <c r="B330">
        <v>52.3</v>
      </c>
      <c r="C330">
        <v>91.290878295898438</v>
      </c>
      <c r="D330">
        <v>40.912590026855469</v>
      </c>
      <c r="E330">
        <v>32.584884643554688</v>
      </c>
    </row>
    <row r="331" spans="1:6" x14ac:dyDescent="0.35">
      <c r="A331" s="65">
        <v>44713</v>
      </c>
      <c r="B331">
        <v>52.2</v>
      </c>
      <c r="C331">
        <v>83.116905212402344</v>
      </c>
      <c r="D331">
        <v>35.535785675048828</v>
      </c>
      <c r="E331">
        <v>29.431509017944339</v>
      </c>
    </row>
    <row r="332" spans="1:6" x14ac:dyDescent="0.35">
      <c r="A332" s="65">
        <v>44743</v>
      </c>
      <c r="C332">
        <v>89.819999694824219</v>
      </c>
      <c r="D332">
        <v>38.159999847412109</v>
      </c>
      <c r="E332">
        <v>30.909999847412109</v>
      </c>
      <c r="F332">
        <v>3.184090836015212E-3</v>
      </c>
    </row>
    <row r="333" spans="1:6" x14ac:dyDescent="0.35">
      <c r="A333" s="65">
        <v>44774</v>
      </c>
      <c r="C333">
        <v>85.900001525878906</v>
      </c>
      <c r="D333">
        <v>35.330001831054688</v>
      </c>
      <c r="E333">
        <v>28.909999847412109</v>
      </c>
    </row>
    <row r="334" spans="1:6" x14ac:dyDescent="0.35">
      <c r="A334" s="65">
        <v>44805</v>
      </c>
      <c r="C334">
        <v>77.830001831054688</v>
      </c>
      <c r="D334">
        <v>31.979999542236332</v>
      </c>
      <c r="E334">
        <v>26.20999908447266</v>
      </c>
    </row>
    <row r="335" spans="1:6" x14ac:dyDescent="0.35">
      <c r="A335" s="65">
        <v>44834</v>
      </c>
      <c r="C335">
        <v>77.830001831054688</v>
      </c>
      <c r="D335">
        <v>31.979999542236332</v>
      </c>
      <c r="E335">
        <v>26.20999908447266</v>
      </c>
    </row>
    <row r="336" spans="1:6" x14ac:dyDescent="0.35">
      <c r="A336" s="65">
        <v>44835</v>
      </c>
      <c r="C336">
        <v>82.769996643066406</v>
      </c>
      <c r="D336">
        <v>35.209999084472663</v>
      </c>
      <c r="E336">
        <v>28.04000091552734</v>
      </c>
    </row>
    <row r="337" spans="1:5" x14ac:dyDescent="0.35">
      <c r="A337" s="65">
        <v>44866</v>
      </c>
      <c r="C337">
        <v>89.669998168945313</v>
      </c>
      <c r="D337">
        <v>40.540000915527337</v>
      </c>
      <c r="E337">
        <v>31.530000686645511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17"/>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0.183</v>
      </c>
    </row>
    <row r="198" spans="1:3" x14ac:dyDescent="0.35">
      <c r="A198" s="65">
        <v>44317</v>
      </c>
      <c r="B198">
        <v>51</v>
      </c>
    </row>
    <row r="199" spans="1:3" x14ac:dyDescent="0.35">
      <c r="A199" s="65">
        <v>44348</v>
      </c>
      <c r="B199">
        <v>50.9</v>
      </c>
    </row>
    <row r="200" spans="1:3" x14ac:dyDescent="0.35">
      <c r="A200" s="65">
        <v>44378</v>
      </c>
      <c r="B200">
        <v>50.4</v>
      </c>
      <c r="C200">
        <v>7.9000000000000001E-2</v>
      </c>
    </row>
    <row r="201" spans="1:3" x14ac:dyDescent="0.35">
      <c r="A201" s="65">
        <v>44409</v>
      </c>
      <c r="B201">
        <v>50.1</v>
      </c>
    </row>
    <row r="202" spans="1:3" x14ac:dyDescent="0.35">
      <c r="A202" s="65">
        <v>44440</v>
      </c>
      <c r="B202">
        <v>49.6</v>
      </c>
    </row>
    <row r="203" spans="1:3" x14ac:dyDescent="0.35">
      <c r="A203" s="65">
        <v>44470</v>
      </c>
      <c r="B203">
        <v>49.2</v>
      </c>
      <c r="C203">
        <v>4.9000000000000002E-2</v>
      </c>
    </row>
    <row r="204" spans="1:3" x14ac:dyDescent="0.35">
      <c r="A204" s="65">
        <v>44501</v>
      </c>
      <c r="B204">
        <v>50.1</v>
      </c>
    </row>
    <row r="205" spans="1:3" x14ac:dyDescent="0.35">
      <c r="A205" s="65">
        <v>44531</v>
      </c>
      <c r="B205">
        <v>50.3</v>
      </c>
    </row>
    <row r="206" spans="1:3" x14ac:dyDescent="0.35">
      <c r="A206" s="65">
        <v>44562</v>
      </c>
      <c r="B206">
        <v>50.1</v>
      </c>
      <c r="C206">
        <v>0.04</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7"/>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120" zoomScaleNormal="120" workbookViewId="0">
      <pane xSplit="2" ySplit="11" topLeftCell="C83" activePane="bottomRight" state="frozen"/>
      <selection activeCell="I319" sqref="I319"/>
      <selection pane="topRight" activeCell="I319" sqref="I319"/>
      <selection pane="bottomLeft" activeCell="I319" sqref="I319"/>
      <selection pane="bottomRight" activeCell="I319" sqref="I319"/>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44866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61.5</v>
      </c>
      <c r="E3" s="28">
        <f t="shared" ca="1" si="0"/>
        <v>59.2</v>
      </c>
      <c r="F3" s="28">
        <f t="shared" ca="1" si="0"/>
        <v>51.7</v>
      </c>
      <c r="G3" s="28">
        <f t="shared" ca="1" si="0"/>
        <v>59</v>
      </c>
      <c r="H3" s="28">
        <f t="shared" ca="1" si="0"/>
        <v>55.4</v>
      </c>
      <c r="I3" s="28">
        <f t="shared" ca="1" si="0"/>
        <v>60.5</v>
      </c>
      <c r="J3" s="28">
        <f t="shared" ca="1" si="0"/>
        <v>57.6</v>
      </c>
      <c r="K3" s="28">
        <f t="shared" ca="1" si="0"/>
        <v>57.9</v>
      </c>
      <c r="L3" s="28">
        <f t="shared" ca="1" si="0"/>
        <v>62</v>
      </c>
      <c r="M3" s="28">
        <f t="shared" ca="1" si="0"/>
        <v>56.9</v>
      </c>
      <c r="N3" s="28">
        <f t="shared" ca="1" si="0"/>
        <v>54.2</v>
      </c>
      <c r="O3" s="28">
        <f t="shared" ca="1" si="0"/>
        <v>52.2</v>
      </c>
      <c r="P3" s="28">
        <f t="shared" ca="1" si="0"/>
        <v>53.2</v>
      </c>
      <c r="Q3" s="28">
        <f t="shared" ca="1" si="0"/>
        <v>56.4</v>
      </c>
      <c r="R3" s="28">
        <f t="shared" ca="1" si="0"/>
        <v>58.9</v>
      </c>
      <c r="S3" s="28">
        <f t="shared" ca="1" si="0"/>
        <v>58.5</v>
      </c>
      <c r="T3" s="28">
        <f t="shared" ca="1" si="0"/>
        <v>53.7</v>
      </c>
      <c r="U3" s="28">
        <f t="shared" ca="1" si="0"/>
        <v>53.8</v>
      </c>
      <c r="V3" s="28">
        <f t="shared" ca="1" si="0"/>
        <v>55.5</v>
      </c>
      <c r="W3" s="28">
        <f t="shared" ca="1" si="0"/>
        <v>59</v>
      </c>
      <c r="X3" s="28">
        <f t="shared" ca="1" si="0"/>
        <v>59.4</v>
      </c>
      <c r="Y3" s="28">
        <f t="shared" ca="1" si="0"/>
        <v>52.1</v>
      </c>
      <c r="Z3" s="28">
        <f t="shared" ca="1" si="0"/>
        <v>59.1</v>
      </c>
      <c r="AA3" s="28">
        <f t="shared" ca="1" si="0"/>
        <v>56.1</v>
      </c>
      <c r="AB3" s="28">
        <f t="shared" ca="1" si="0"/>
        <v>71.3</v>
      </c>
      <c r="AE3" s="63" t="s">
        <v>94</v>
      </c>
      <c r="AG3" s="27">
        <f>DATE(YEAR(AG1),MONTH(AG1)-1,DAY(AG1))</f>
        <v>44835</v>
      </c>
    </row>
    <row r="4" spans="2:36" x14ac:dyDescent="0.35">
      <c r="B4" s="32" t="s">
        <v>95</v>
      </c>
      <c r="C4" s="28" t="e">
        <f t="shared" ref="C4:AB4" ca="1" si="1">MIN(OFFSET(C$12,COUNT(C$12:C$105),0,-13,1))</f>
        <v>#N/A</v>
      </c>
      <c r="D4" s="28">
        <f t="shared" ca="1" si="1"/>
        <v>49</v>
      </c>
      <c r="E4" s="28">
        <f t="shared" ca="1" si="1"/>
        <v>47.7</v>
      </c>
      <c r="F4" s="28">
        <f t="shared" ca="1" si="1"/>
        <v>46</v>
      </c>
      <c r="G4" s="28">
        <f t="shared" ca="1" si="1"/>
        <v>46.4</v>
      </c>
      <c r="H4" s="28">
        <f t="shared" ca="1" si="1"/>
        <v>49</v>
      </c>
      <c r="I4" s="28">
        <f t="shared" ca="1" si="1"/>
        <v>45.1</v>
      </c>
      <c r="J4" s="28">
        <f t="shared" ca="1" si="1"/>
        <v>47.2</v>
      </c>
      <c r="K4" s="28">
        <f t="shared" ca="1" si="1"/>
        <v>46.2</v>
      </c>
      <c r="L4" s="28">
        <f t="shared" ca="1" si="1"/>
        <v>46.5</v>
      </c>
      <c r="M4" s="28">
        <f t="shared" ca="1" si="1"/>
        <v>44.7</v>
      </c>
      <c r="N4" s="28">
        <f t="shared" ca="1" si="1"/>
        <v>44.3</v>
      </c>
      <c r="O4" s="28">
        <f t="shared" ca="1" si="1"/>
        <v>46.1</v>
      </c>
      <c r="P4" s="28">
        <f t="shared" ca="1" si="1"/>
        <v>44.1</v>
      </c>
      <c r="Q4" s="28">
        <f t="shared" ca="1" si="1"/>
        <v>53.9</v>
      </c>
      <c r="R4" s="28">
        <f t="shared" ca="1" si="1"/>
        <v>48.7</v>
      </c>
      <c r="S4" s="28">
        <f t="shared" ca="1" si="1"/>
        <v>44.7</v>
      </c>
      <c r="T4" s="28">
        <f t="shared" ca="1" si="1"/>
        <v>50.2</v>
      </c>
      <c r="U4" s="28">
        <f t="shared" ca="1" si="1"/>
        <v>47.3</v>
      </c>
      <c r="V4" s="28">
        <f t="shared" ca="1" si="1"/>
        <v>41.5</v>
      </c>
      <c r="W4" s="28">
        <f t="shared" ca="1" si="1"/>
        <v>48.1</v>
      </c>
      <c r="X4" s="28">
        <f t="shared" ca="1" si="1"/>
        <v>48.7</v>
      </c>
      <c r="Y4" s="28">
        <f t="shared" ca="1" si="1"/>
        <v>45.7</v>
      </c>
      <c r="Z4" s="28">
        <f t="shared" ca="1" si="1"/>
        <v>41.6</v>
      </c>
      <c r="AA4" s="28">
        <f t="shared" ca="1" si="1"/>
        <v>40.9</v>
      </c>
      <c r="AB4" s="28">
        <f t="shared" ca="1" si="1"/>
        <v>38</v>
      </c>
      <c r="AF4" s="63" t="s">
        <v>96</v>
      </c>
      <c r="AG4" s="27">
        <f>DATE(YEAR(AG1),MONTH(AG1)-12,DAY(AG1))</f>
        <v>44501</v>
      </c>
    </row>
    <row r="5" spans="2:36" ht="16" customHeight="1" thickBot="1" x14ac:dyDescent="0.4">
      <c r="B5" s="32" t="s">
        <v>97</v>
      </c>
      <c r="C5" s="40" t="e">
        <f t="shared" ref="C5:AB5" ca="1" si="2">AVERAGE(OFFSET(C$12,COUNT(C$12:C$105),0,-13,1))</f>
        <v>#N/A</v>
      </c>
      <c r="D5" s="40">
        <f t="shared" ca="1" si="2"/>
        <v>54.583333333333343</v>
      </c>
      <c r="E5" s="40">
        <f t="shared" ca="1" si="2"/>
        <v>54.300000000000004</v>
      </c>
      <c r="F5" s="40">
        <f t="shared" ca="1" si="2"/>
        <v>49.241666666666667</v>
      </c>
      <c r="G5" s="40">
        <f t="shared" ca="1" si="2"/>
        <v>52.966666666666669</v>
      </c>
      <c r="H5" s="40">
        <f t="shared" ca="1" si="2"/>
        <v>52.44166666666667</v>
      </c>
      <c r="I5" s="40">
        <f t="shared" ca="1" si="2"/>
        <v>52.733333333333341</v>
      </c>
      <c r="J5" s="40">
        <f t="shared" ca="1" si="2"/>
        <v>52.333333333333336</v>
      </c>
      <c r="K5" s="40">
        <f t="shared" ca="1" si="2"/>
        <v>52.616666666666674</v>
      </c>
      <c r="L5" s="40">
        <f t="shared" ca="1" si="2"/>
        <v>52.616666666666653</v>
      </c>
      <c r="M5" s="40">
        <f t="shared" ca="1" si="2"/>
        <v>51.766666666666673</v>
      </c>
      <c r="N5" s="40">
        <f t="shared" ca="1" si="2"/>
        <v>50.974999999999994</v>
      </c>
      <c r="O5" s="40">
        <f t="shared" ca="1" si="2"/>
        <v>49.416666666666664</v>
      </c>
      <c r="P5" s="40">
        <f t="shared" ca="1" si="2"/>
        <v>50.32500000000001</v>
      </c>
      <c r="Q5" s="40">
        <f t="shared" ca="1" si="2"/>
        <v>55.024999999999999</v>
      </c>
      <c r="R5" s="40">
        <f t="shared" ca="1" si="2"/>
        <v>53.683333333333337</v>
      </c>
      <c r="S5" s="40">
        <f t="shared" ca="1" si="2"/>
        <v>51.408333333333339</v>
      </c>
      <c r="T5" s="40">
        <f t="shared" ca="1" si="2"/>
        <v>51.783333333333324</v>
      </c>
      <c r="U5" s="40">
        <f t="shared" ca="1" si="2"/>
        <v>50.56666666666667</v>
      </c>
      <c r="V5" s="40">
        <f t="shared" ca="1" si="2"/>
        <v>48.591666666666669</v>
      </c>
      <c r="W5" s="40">
        <f t="shared" ca="1" si="2"/>
        <v>52.758333333333333</v>
      </c>
      <c r="X5" s="40">
        <f t="shared" ca="1" si="2"/>
        <v>54.833333333333343</v>
      </c>
      <c r="Y5" s="40">
        <f t="shared" ca="1" si="2"/>
        <v>48.516666666666673</v>
      </c>
      <c r="Z5" s="40">
        <f t="shared" ca="1" si="2"/>
        <v>50.550000000000011</v>
      </c>
      <c r="AA5" s="40">
        <f t="shared" ca="1" si="2"/>
        <v>47.891666666666659</v>
      </c>
      <c r="AB5" s="40">
        <f t="shared" ca="1" si="2"/>
        <v>55.535833333333329</v>
      </c>
    </row>
    <row r="6" spans="2:36" x14ac:dyDescent="0.35">
      <c r="B6" s="49" t="s">
        <v>98</v>
      </c>
      <c r="C6" s="41" t="e">
        <f t="shared" ref="C6:AA6" ca="1" si="3">IF((VLOOKUP($AG$1,$B:$AA,MATCH(C2,$B$2:$AA$2,),))&gt;C5,"above","below")</f>
        <v>#N/A</v>
      </c>
      <c r="D6" s="42" t="str">
        <f t="shared" ca="1" si="3"/>
        <v>below</v>
      </c>
      <c r="E6" s="42" t="str">
        <f t="shared" ca="1" si="3"/>
        <v>below</v>
      </c>
      <c r="F6" s="42" t="str">
        <f t="shared" ca="1" si="3"/>
        <v>above</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above</v>
      </c>
      <c r="P6" s="42" t="str">
        <f t="shared" ca="1" si="3"/>
        <v>above</v>
      </c>
      <c r="Q6" s="42" t="str">
        <f t="shared" ca="1" si="3"/>
        <v>above</v>
      </c>
      <c r="R6" s="42" t="str">
        <f t="shared" ca="1" si="3"/>
        <v>below</v>
      </c>
      <c r="S6" s="42" t="str">
        <f t="shared" ca="1" si="3"/>
        <v>below</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35">
      <c r="B7" s="49" t="s">
        <v>99</v>
      </c>
      <c r="C7" s="44" t="e">
        <f t="shared" ref="C7:AA7" si="4">VLOOKUP($AG$1,$B:$AA,MATCH(C2,$B$2:$AA$2,),)-VLOOKUP($AG$4,$B:$AA,MATCH(C2,$B$2:$AA$2,),)</f>
        <v>#N/A</v>
      </c>
      <c r="D7" s="28">
        <f t="shared" si="4"/>
        <v>-12.100000000000001</v>
      </c>
      <c r="E7" s="28">
        <f t="shared" si="4"/>
        <v>-10.599999999999994</v>
      </c>
      <c r="F7" s="28">
        <f t="shared" si="4"/>
        <v>-0.5</v>
      </c>
      <c r="G7" s="28">
        <f t="shared" si="4"/>
        <v>-11.299999999999997</v>
      </c>
      <c r="H7" s="28">
        <f t="shared" si="4"/>
        <v>-5.5</v>
      </c>
      <c r="I7" s="28">
        <f t="shared" si="4"/>
        <v>-11.199999999999996</v>
      </c>
      <c r="J7" s="28">
        <f t="shared" si="4"/>
        <v>-7.6000000000000014</v>
      </c>
      <c r="K7" s="28">
        <f t="shared" si="4"/>
        <v>-11.600000000000001</v>
      </c>
      <c r="L7" s="28">
        <f t="shared" si="4"/>
        <v>-14.399999999999999</v>
      </c>
      <c r="M7" s="28">
        <f t="shared" si="4"/>
        <v>-11.399999999999999</v>
      </c>
      <c r="N7" s="28">
        <f t="shared" si="4"/>
        <v>-5.5</v>
      </c>
      <c r="O7" s="28">
        <f t="shared" si="4"/>
        <v>1.2000000000000028</v>
      </c>
      <c r="P7" s="28">
        <f t="shared" si="4"/>
        <v>1.5</v>
      </c>
      <c r="Q7" s="28">
        <f t="shared" si="4"/>
        <v>-1.8999999999999986</v>
      </c>
      <c r="R7" s="28">
        <f t="shared" si="4"/>
        <v>-7.6000000000000014</v>
      </c>
      <c r="S7" s="28">
        <f t="shared" si="4"/>
        <v>-10.099999999999994</v>
      </c>
      <c r="T7" s="28">
        <f t="shared" si="4"/>
        <v>-3.6000000000000014</v>
      </c>
      <c r="U7" s="28">
        <f t="shared" si="4"/>
        <v>-1.8999999999999986</v>
      </c>
      <c r="V7" s="28">
        <f t="shared" si="4"/>
        <v>-13.299999999999997</v>
      </c>
      <c r="W7" s="28">
        <f t="shared" si="4"/>
        <v>-10.399999999999999</v>
      </c>
      <c r="X7" s="28">
        <f t="shared" si="4"/>
        <v>-11.199999999999996</v>
      </c>
      <c r="Y7" s="28">
        <f t="shared" si="4"/>
        <v>-6.2999999999999972</v>
      </c>
      <c r="Z7" s="28">
        <f t="shared" si="4"/>
        <v>-15.5</v>
      </c>
      <c r="AA7" s="28">
        <f t="shared" si="4"/>
        <v>-11</v>
      </c>
      <c r="AB7" s="33">
        <f>VLOOKUP($AG$1,$B:$AB,MATCH(AB2,$B$2:$AB$2,),)-VLOOKUP($AG$4,$B:$AB,MATCH(AB2,$B$2:$AB$2,),)</f>
        <v>-22.720000000000006</v>
      </c>
    </row>
    <row r="8" spans="2:36" x14ac:dyDescent="0.35">
      <c r="B8" s="49" t="s">
        <v>100</v>
      </c>
      <c r="C8" s="44" t="e">
        <f t="shared" ref="C8:AA8" si="5">VLOOKUP($AG$1,$B:$AA,MATCH(C2,$B$2:$AA$2,),)-VLOOKUP($AG$3,$B:$AA,MATCH(C2,$B$2:$AA$2,),)</f>
        <v>#N/A</v>
      </c>
      <c r="D8" s="28">
        <f t="shared" si="5"/>
        <v>-1.2000000000000028</v>
      </c>
      <c r="E8" s="28">
        <f t="shared" si="5"/>
        <v>-2.6999999999999957</v>
      </c>
      <c r="F8" s="28">
        <f t="shared" si="5"/>
        <v>0.19999999999999574</v>
      </c>
      <c r="G8" s="28">
        <f t="shared" si="5"/>
        <v>0.70000000000000284</v>
      </c>
      <c r="H8" s="28">
        <f t="shared" si="5"/>
        <v>-1.7000000000000028</v>
      </c>
      <c r="I8" s="28">
        <f t="shared" si="5"/>
        <v>1.1000000000000014</v>
      </c>
      <c r="J8" s="28">
        <f t="shared" si="5"/>
        <v>1.0999999999999943</v>
      </c>
      <c r="K8" s="28">
        <f t="shared" si="5"/>
        <v>0.29999999999999716</v>
      </c>
      <c r="L8" s="28">
        <f t="shared" si="5"/>
        <v>1.8999999999999986</v>
      </c>
      <c r="M8" s="28">
        <f t="shared" si="5"/>
        <v>1</v>
      </c>
      <c r="N8" s="28">
        <f t="shared" si="5"/>
        <v>-6.5</v>
      </c>
      <c r="O8" s="28">
        <f t="shared" si="5"/>
        <v>0.30000000000000426</v>
      </c>
      <c r="P8" s="28">
        <f t="shared" si="5"/>
        <v>2.5</v>
      </c>
      <c r="Q8" s="28">
        <f t="shared" si="5"/>
        <v>0.40000000000000568</v>
      </c>
      <c r="R8" s="28">
        <f t="shared" si="5"/>
        <v>0.80000000000000426</v>
      </c>
      <c r="S8" s="28">
        <f t="shared" si="5"/>
        <v>-4.8999999999999986</v>
      </c>
      <c r="T8" s="28">
        <f t="shared" si="5"/>
        <v>-1.5</v>
      </c>
      <c r="U8" s="28">
        <f t="shared" si="5"/>
        <v>0.79999999999999716</v>
      </c>
      <c r="V8" s="28">
        <f t="shared" si="5"/>
        <v>0.10000000000000142</v>
      </c>
      <c r="W8" s="28">
        <f t="shared" si="5"/>
        <v>0.29999999999999716</v>
      </c>
      <c r="X8" s="28">
        <f t="shared" si="5"/>
        <v>-2.6999999999999957</v>
      </c>
      <c r="Y8" s="28">
        <f t="shared" si="5"/>
        <v>-0.69999999999999574</v>
      </c>
      <c r="Z8" s="28">
        <f t="shared" si="5"/>
        <v>-0.10000000000000142</v>
      </c>
      <c r="AA8" s="28">
        <f t="shared" si="5"/>
        <v>1.3999999999999986</v>
      </c>
      <c r="AB8" s="33">
        <f>VLOOKUP($AG$1,$B:$AB,MATCH(AB2,$B$2:$AB$2,),)-VLOOKUP($AG$3,$B:$AB,MATCH(AB2,$B$2:$AB$2,),)</f>
        <v>-6.6100000000000065</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str">
        <f t="shared" si="6"/>
        <v>Contraction</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Contraction</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str">
        <f t="shared" si="7"/>
        <v>-</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row r="106" spans="2:28" s="63" customFormat="1" x14ac:dyDescent="0.35"/>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36" activePane="bottomLeft" state="frozen"/>
      <selection activeCell="X324" sqref="X324"/>
      <selection pane="bottomLeft" activeCell="A140" sqref="A140:F146"/>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2" width="9.1796875" style="63" customWidth="1"/>
    <col min="53"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34.730377197265618</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33.971153259277337</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36.264308929443359</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37.009376525878913</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38.159309387207031</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37.830760955810547</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39.653457641601563</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38.879005432128913</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37.744709014892578</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37.323600769042969</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34.576766967773438</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30.967094421386719</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34.473854064941413</v>
      </c>
      <c r="E18" s="24">
        <f>Table1[[#This Row],[PMI]]-B6</f>
        <v>-4.2000000000000028</v>
      </c>
      <c r="F18" s="13">
        <f>(Table1[[#This Row],[ACWI]]-D6)/D6</f>
        <v>-7.3861314798619876E-3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34.078052520751953</v>
      </c>
      <c r="E19" s="24">
        <f>Table1[[#This Row],[PMI]]-B7</f>
        <v>-4.3999999999999986</v>
      </c>
      <c r="F19" s="13">
        <f>(Table1[[#This Row],[ACWI]]-D7)/D7</f>
        <v>3.1467657473601631E-3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33.381465911865227</v>
      </c>
      <c r="E20" s="24">
        <f>Table1[[#This Row],[PMI]]-B8</f>
        <v>-4.5</v>
      </c>
      <c r="F20" s="13">
        <f>(Table1[[#This Row],[ACWI]]-D8)/D8</f>
        <v>-7.9495324816117555E-2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35.60321044921875</v>
      </c>
      <c r="E21" s="24">
        <f>Table1[[#This Row],[PMI]]-B9</f>
        <v>-6.2000000000000028</v>
      </c>
      <c r="F21" s="13">
        <f>(Table1[[#This Row],[ACWI]]-D9)/D9</f>
        <v>-3.7994859915483785E-2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37.364151000976563</v>
      </c>
      <c r="E22" s="24">
        <f>Table1[[#This Row],[PMI]]-B10</f>
        <v>-7</v>
      </c>
      <c r="F22" s="13">
        <f>(Table1[[#This Row],[ACWI]]-D10)/D10</f>
        <v>-2.0837861035741041E-2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37.780376434326172</v>
      </c>
      <c r="E23" s="24">
        <f>Table1[[#This Row],[PMI]]-B11</f>
        <v>-4.3999999999999986</v>
      </c>
      <c r="F23" s="13">
        <f>(Table1[[#This Row],[ACWI]]-D11)/D11</f>
        <v>-1.3318400214901382E-3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37.34814453125</v>
      </c>
      <c r="E24" s="24">
        <f>Table1[[#This Row],[PMI]]-B12</f>
        <v>-4.2000000000000028</v>
      </c>
      <c r="F24" s="13">
        <f>(Table1[[#This Row],[ACWI]]-D12)/D12</f>
        <v>-5.8136496725899468E-2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33.882274627685547</v>
      </c>
      <c r="E25" s="24">
        <f>Table1[[#This Row],[PMI]]-B13</f>
        <v>-2.8000000000000043</v>
      </c>
      <c r="F25" s="13">
        <f>(Table1[[#This Row],[ACWI]]-D13)/D13</f>
        <v>-0.12852002639743859</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35.114944458007813</v>
      </c>
      <c r="E26" s="24">
        <f>Table1[[#This Row],[PMI]]-B14</f>
        <v>-3.0999999999999943</v>
      </c>
      <c r="F26" s="13">
        <f>(Table1[[#This Row],[ACWI]]-D14)/D14</f>
        <v>-6.9672402451086954E-2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35.893020629882813</v>
      </c>
      <c r="E27" s="24">
        <f>Table1[[#This Row],[PMI]]-B15</f>
        <v>-2.1000000000000014</v>
      </c>
      <c r="F27" s="13">
        <f>(Table1[[#This Row],[ACWI]]-D15)/D15</f>
        <v>-3.8329103025523503E-2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36.891185760498047</v>
      </c>
      <c r="E28" s="24">
        <f>Table1[[#This Row],[PMI]]-B16</f>
        <v>-1.6999999999999957</v>
      </c>
      <c r="F28" s="13">
        <f>(Table1[[#This Row],[ACWI]]-D16)/D16</f>
        <v>6.6935662171125357E-2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37.889331817626953</v>
      </c>
      <c r="E29" s="24">
        <f>Table1[[#This Row],[PMI]]-B17</f>
        <v>-1.3999999999999986</v>
      </c>
      <c r="F29" s="13">
        <f>(Table1[[#This Row],[ACWI]]-D17)/D17</f>
        <v>0.22353525655476247</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37.694568634033203</v>
      </c>
      <c r="E30" s="24">
        <f>Table1[[#This Row],[PMI]]-B18</f>
        <v>-0.60000000000000142</v>
      </c>
      <c r="F30" s="13">
        <f>(Table1[[#This Row],[ACWI]]-D18)/D18</f>
        <v>9.3424847799861543E-2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38.295085906982422</v>
      </c>
      <c r="E31" s="24">
        <f>Table1[[#This Row],[PMI]]-B19</f>
        <v>0</v>
      </c>
      <c r="F31" s="13">
        <f>(Table1[[#This Row],[ACWI]]-D19)/D19</f>
        <v>0.12374631395566078</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39.017337799072273</v>
      </c>
      <c r="E32" s="24">
        <f>Table1[[#This Row],[PMI]]-B20</f>
        <v>-0.39999999999999858</v>
      </c>
      <c r="F32" s="13">
        <f>(Table1[[#This Row],[ACWI]]-D20)/D20</f>
        <v>0.16883236650202982</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40.8907470703125</v>
      </c>
      <c r="E33" s="24">
        <f>Table1[[#This Row],[PMI]]-B21</f>
        <v>0.5</v>
      </c>
      <c r="F33" s="13">
        <f>(Table1[[#This Row],[ACWI]]-D21)/D21</f>
        <v>0.14851291651452111</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40.849758148193359</v>
      </c>
      <c r="E34" s="24">
        <f>Table1[[#This Row],[PMI]]-B22</f>
        <v>-0.30000000000000426</v>
      </c>
      <c r="F34" s="13">
        <f>(Table1[[#This Row],[ACWI]]-D22)/D22</f>
        <v>9.328747084674012E-2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41.595611572265618</v>
      </c>
      <c r="E35" s="24">
        <f>Table1[[#This Row],[PMI]]-B23</f>
        <v>-0.39999999999999858</v>
      </c>
      <c r="F35" s="13">
        <f>(Table1[[#This Row],[ACWI]]-D23)/D23</f>
        <v>0.10098457183377962</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42.775863647460938</v>
      </c>
      <c r="E36" s="24">
        <f>Table1[[#This Row],[PMI]]-B24</f>
        <v>-0.89999999999999858</v>
      </c>
      <c r="F36" s="13">
        <f>(Table1[[#This Row],[ACWI]]-D24)/D24</f>
        <v>0.14532767783602871</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42.611934661865227</v>
      </c>
      <c r="E37" s="24">
        <f>Table1[[#This Row],[PMI]]-B25</f>
        <v>0.30000000000000426</v>
      </c>
      <c r="F37" s="13">
        <f>(Table1[[#This Row],[ACWI]]-D25)/D25</f>
        <v>0.25764681179481935</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40.980892181396477</v>
      </c>
      <c r="E38" s="24">
        <f>Table1[[#This Row],[PMI]]-B26</f>
        <v>0.89999999999999858</v>
      </c>
      <c r="F38" s="13">
        <f>(Table1[[#This Row],[ACWI]]-D26)/D26</f>
        <v>0.16704989325566086</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43.404155731201172</v>
      </c>
      <c r="E39" s="24">
        <f>Table1[[#This Row],[PMI]]-B27</f>
        <v>2</v>
      </c>
      <c r="F39" s="13">
        <f>(Table1[[#This Row],[ACWI]]-D27)/D27</f>
        <v>0.20926450238810348</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42.408069610595703</v>
      </c>
      <c r="E40" s="24">
        <f>Table1[[#This Row],[PMI]]-B28</f>
        <v>2.8999999999999986</v>
      </c>
      <c r="F40" s="13">
        <f>(Table1[[#This Row],[ACWI]]-D28)/D28</f>
        <v>0.14954476892973623</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44.757152557373047</v>
      </c>
      <c r="E41" s="24">
        <f>Table1[[#This Row],[PMI]]-B29</f>
        <v>3.0999999999999943</v>
      </c>
      <c r="F41" s="13">
        <f>(Table1[[#This Row],[ACWI]]-D29)/D29</f>
        <v>0.18126001199501313</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46.525196075439453</v>
      </c>
      <c r="E42" s="24">
        <f>Table1[[#This Row],[PMI]]-B30</f>
        <v>3.2000000000000028</v>
      </c>
      <c r="F42" s="13">
        <f>(Table1[[#This Row],[ACWI]]-D30)/D30</f>
        <v>0.23426790016197088</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47.247356414794922</v>
      </c>
      <c r="E43" s="24">
        <f>Table1[[#This Row],[PMI]]-B31</f>
        <v>3.5</v>
      </c>
      <c r="F43" s="13">
        <f>(Table1[[#This Row],[ACWI]]-D31)/D31</f>
        <v>0.23377073835419218</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47.828403472900391</v>
      </c>
      <c r="E44" s="24">
        <f>Table1[[#This Row],[PMI]]-B32</f>
        <v>3.2999999999999972</v>
      </c>
      <c r="F44" s="13">
        <f>(Table1[[#This Row],[ACWI]]-D32)/D32</f>
        <v>0.22582436862305919</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45.9903564453125</v>
      </c>
      <c r="E45" s="24">
        <f>Table1[[#This Row],[PMI]]-B33</f>
        <v>1.3999999999999986</v>
      </c>
      <c r="F45" s="13">
        <f>(Table1[[#This Row],[ACWI]]-D33)/D33</f>
        <v>0.12471303999976117</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48.384033203125</v>
      </c>
      <c r="E46" s="24">
        <f>Table1[[#This Row],[PMI]]-B34</f>
        <v>2.3999999999999986</v>
      </c>
      <c r="F46" s="13">
        <f>(Table1[[#This Row],[ACWI]]-D34)/D34</f>
        <v>0.18443866981045651</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48.660224914550781</v>
      </c>
      <c r="E47" s="24">
        <f>Table1[[#This Row],[PMI]]-B35</f>
        <v>1.1999999999999957</v>
      </c>
      <c r="F47" s="13">
        <f>(Table1[[#This Row],[ACWI]]-D35)/D35</f>
        <v>0.16984035274999013</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49.237720489501953</v>
      </c>
      <c r="E48" s="24">
        <f>Table1[[#This Row],[PMI]]-B36</f>
        <v>1.5</v>
      </c>
      <c r="F48" s="13">
        <f>(Table1[[#This Row],[ACWI]]-D36)/D36</f>
        <v>0.15106315316732535</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50.225315093994141</v>
      </c>
      <c r="E49" s="24">
        <f>Table1[[#This Row],[PMI]]-B37</f>
        <v>1.6000000000000014</v>
      </c>
      <c r="F49" s="13">
        <f>(Table1[[#This Row],[ACWI]]-D37)/D37</f>
        <v>0.17866779559629734</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50.434547424316413</v>
      </c>
      <c r="E50" s="24">
        <f>Table1[[#This Row],[PMI]]-B38</f>
        <v>2</v>
      </c>
      <c r="F50" s="13">
        <f>(Table1[[#This Row],[ACWI]]-D38)/D38</f>
        <v>0.2306844663379847</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50.400215148925781</v>
      </c>
      <c r="E51" s="24">
        <f>Table1[[#This Row],[PMI]]-B39</f>
        <v>1.7000000000000028</v>
      </c>
      <c r="F51" s="13">
        <f>(Table1[[#This Row],[ACWI]]-D39)/D39</f>
        <v>0.16118409170427606</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51.698619842529297</v>
      </c>
      <c r="E52" s="24">
        <f>Table1[[#This Row],[PMI]]-B40</f>
        <v>1</v>
      </c>
      <c r="F52" s="13">
        <f>(Table1[[#This Row],[ACWI]]-D40)/D40</f>
        <v>0.21907505616837461</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49.984382629394531</v>
      </c>
      <c r="E53" s="24">
        <f>Table1[[#This Row],[PMI]]-B41</f>
        <v>0.40000000000000568</v>
      </c>
      <c r="F53" s="13">
        <f>(Table1[[#This Row],[ACWI]]-D41)/D41</f>
        <v>0.11679094342118462</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50.586910247802727</v>
      </c>
      <c r="E54" s="24">
        <f>Table1[[#This Row],[PMI]]-B42</f>
        <v>0.10000000000000142</v>
      </c>
      <c r="F54" s="13">
        <f>(Table1[[#This Row],[ACWI]]-D42)/D42</f>
        <v>8.7301387527250932E-2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51.282787322998047</v>
      </c>
      <c r="E55" s="24">
        <f>Table1[[#This Row],[PMI]]-B43</f>
        <v>-1.3000000000000043</v>
      </c>
      <c r="F55" s="13">
        <f>(Table1[[#This Row],[ACWI]]-D43)/D43</f>
        <v>8.5410723782621628E-2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49.644927978515618</v>
      </c>
      <c r="E56" s="24">
        <f>Table1[[#This Row],[PMI]]-B44</f>
        <v>-1.6999999999999957</v>
      </c>
      <c r="F56" s="13">
        <f>(Table1[[#This Row],[ACWI]]-D44)/D44</f>
        <v>3.7980036415902349E-2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49.414615631103523</v>
      </c>
      <c r="E57" s="24">
        <f>Table1[[#This Row],[PMI]]-B45</f>
        <v>-1.1999999999999957</v>
      </c>
      <c r="F57" s="13">
        <f>(Table1[[#This Row],[ACWI]]-D45)/D45</f>
        <v>7.4456026229386518E-2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52.136569976806641</v>
      </c>
      <c r="E58" s="24">
        <f>Table1[[#This Row],[PMI]]-B46</f>
        <v>-1.2999999999999972</v>
      </c>
      <c r="F58" s="13">
        <f>(Table1[[#This Row],[ACWI]]-D46)/D46</f>
        <v>7.7557337105978882E-2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51.374763488769531</v>
      </c>
      <c r="E59" s="24">
        <f>Table1[[#This Row],[PMI]]-B47</f>
        <v>-0.60000000000000142</v>
      </c>
      <c r="F59" s="13">
        <f>(Table1[[#This Row],[ACWI]]-D47)/D47</f>
        <v>5.5785573925841561E-2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52.847023010253913</v>
      </c>
      <c r="E60" s="24">
        <f>Table1[[#This Row],[PMI]]-B48</f>
        <v>-0.89999999999999858</v>
      </c>
      <c r="F60" s="13">
        <f>(Table1[[#This Row],[ACWI]]-D48)/D48</f>
        <v>7.3303607170878374E-2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52.847023010253913</v>
      </c>
      <c r="E61" s="24">
        <f>Table1[[#This Row],[PMI]]-B49</f>
        <v>-1</v>
      </c>
      <c r="F61" s="13">
        <f>(Table1[[#This Row],[ACWI]]-D49)/D49</f>
        <v>5.2198934170017225E-2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50.886875152587891</v>
      </c>
      <c r="E62" s="24">
        <f>Table1[[#This Row],[PMI]]-B50</f>
        <v>-1.6000000000000014</v>
      </c>
      <c r="F62" s="13">
        <f>(Table1[[#This Row],[ACWI]]-D50)/D50</f>
        <v>8.9686088479380872E-3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51.908786773681641</v>
      </c>
      <c r="E63" s="24">
        <f>Table1[[#This Row],[PMI]]-B51</f>
        <v>-1.5</v>
      </c>
      <c r="F63" s="13">
        <f>(Table1[[#This Row],[ACWI]]-D51)/D51</f>
        <v>2.9931848907752384E-2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48.375457763671882</v>
      </c>
      <c r="E64" s="24">
        <f>Table1[[#This Row],[PMI]]-B52</f>
        <v>-1.8999999999999986</v>
      </c>
      <c r="F64" s="13">
        <f>(Table1[[#This Row],[ACWI]]-D52)/D52</f>
        <v>-6.4279512470150166E-2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46.712711334228523</v>
      </c>
      <c r="E65" s="24">
        <f>Table1[[#This Row],[PMI]]-B53</f>
        <v>-1.6000000000000014</v>
      </c>
      <c r="F65" s="13">
        <f>(Table1[[#This Row],[ACWI]]-D53)/D53</f>
        <v>-6.5453870250305399E-2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50.289340972900391</v>
      </c>
      <c r="E66" s="24">
        <f>Table1[[#This Row],[PMI]]-B54</f>
        <v>-0.80000000000000426</v>
      </c>
      <c r="F66" s="13">
        <f>(Table1[[#This Row],[ACWI]]-D54)/D54</f>
        <v>-5.8823374158389471E-3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50.020881652832031</v>
      </c>
      <c r="E67" s="24">
        <f>Table1[[#This Row],[PMI]]-B55</f>
        <v>-0.59999999999999432</v>
      </c>
      <c r="F67" s="13">
        <f>(Table1[[#This Row],[ACWI]]-D55)/D55</f>
        <v>-2.4606807391690022E-2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48.3408203125</v>
      </c>
      <c r="E68" s="24">
        <f>Table1[[#This Row],[PMI]]-B56</f>
        <v>-0.70000000000000284</v>
      </c>
      <c r="F68" s="13">
        <f>(Table1[[#This Row],[ACWI]]-D56)/D56</f>
        <v>-2.6268698920864277E-2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46.370929718017578</v>
      </c>
      <c r="E69" s="24">
        <f>Table1[[#This Row],[PMI]]-B57</f>
        <v>-0.80000000000000426</v>
      </c>
      <c r="F69" s="13">
        <f>(Table1[[#This Row],[ACWI]]-D57)/D57</f>
        <v>-6.1594851527492764E-2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45.791946411132813</v>
      </c>
      <c r="E70" s="24">
        <f>Table1[[#This Row],[PMI]]-B58</f>
        <v>-2</v>
      </c>
      <c r="F70" s="13">
        <f>(Table1[[#This Row],[ACWI]]-D58)/D58</f>
        <v>-0.12169238537357335</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49.1781005859375</v>
      </c>
      <c r="E71" s="24">
        <f>Table1[[#This Row],[PMI]]-B59</f>
        <v>-1.2999999999999972</v>
      </c>
      <c r="F71" s="13">
        <f>(Table1[[#This Row],[ACWI]]-D59)/D59</f>
        <v>-4.2757625605657913E-2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49.836032867431641</v>
      </c>
      <c r="E72" s="24">
        <f>Table1[[#This Row],[PMI]]-B60</f>
        <v>-0.89999999999999858</v>
      </c>
      <c r="F72" s="13">
        <f>(Table1[[#This Row],[ACWI]]-D60)/D60</f>
        <v>-5.6975586727715015E-2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50.002700805664063</v>
      </c>
      <c r="E73" s="24">
        <f>Table1[[#This Row],[PMI]]-B61</f>
        <v>-1.2000000000000028</v>
      </c>
      <c r="F73" s="13">
        <f>(Table1[[#This Row],[ACWI]]-D61)/D61</f>
        <v>-5.3821805705838277E-2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49.327224731445313</v>
      </c>
      <c r="E74" s="24">
        <f>Table1[[#This Row],[PMI]]-B62</f>
        <v>-0.10000000000000142</v>
      </c>
      <c r="F74" s="13">
        <f>(Table1[[#This Row],[ACWI]]-D62)/D62</f>
        <v>-3.0649365213836693E-2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51.862140655517578</v>
      </c>
      <c r="E75" s="24">
        <f>Table1[[#This Row],[PMI]]-B63</f>
        <v>0</v>
      </c>
      <c r="F75" s="13">
        <f>(Table1[[#This Row],[ACWI]]-D63)/D63</f>
        <v>-8.986169984560807E-4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52.039897918701172</v>
      </c>
      <c r="E76" s="24">
        <f>Table1[[#This Row],[PMI]]-B64</f>
        <v>0.19999999999999574</v>
      </c>
      <c r="F76" s="13">
        <f>(Table1[[#This Row],[ACWI]]-D64)/D64</f>
        <v>7.5749984071078788E-2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52.528739929199219</v>
      </c>
      <c r="E77" s="24">
        <f>Table1[[#This Row],[PMI]]-B65</f>
        <v>0.39999999999999858</v>
      </c>
      <c r="F77" s="13">
        <f>(Table1[[#This Row],[ACWI]]-D65)/D65</f>
        <v>0.1245063373298357</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51.524398803710938</v>
      </c>
      <c r="E78" s="24">
        <f>Table1[[#This Row],[PMI]]-B66</f>
        <v>0.60000000000000142</v>
      </c>
      <c r="F78" s="13">
        <f>(Table1[[#This Row],[ACWI]]-D66)/D66</f>
        <v>2.4559037897833803E-2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52.057674407958977</v>
      </c>
      <c r="E79" s="24">
        <f>Table1[[#This Row],[PMI]]-B67</f>
        <v>0.89999999999999858</v>
      </c>
      <c r="F79" s="13">
        <f>(Table1[[#This Row],[ACWI]]-D67)/D67</f>
        <v>4.0718849564932227E-2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52.590957641601563</v>
      </c>
      <c r="E80" s="24">
        <f>Table1[[#This Row],[PMI]]-B68</f>
        <v>1.8000000000000043</v>
      </c>
      <c r="F80" s="13">
        <f>(Table1[[#This Row],[ACWI]]-D68)/D68</f>
        <v>8.792025666148158E-2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54.622150421142578</v>
      </c>
      <c r="E81" s="24">
        <f>Table1[[#This Row],[PMI]]-B69</f>
        <v>1.8000000000000043</v>
      </c>
      <c r="F81" s="13">
        <f>(Table1[[#This Row],[ACWI]]-D69)/D69</f>
        <v>0.17793951411586559</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55.994644165039063</v>
      </c>
      <c r="E82" s="24">
        <f>Table1[[#This Row],[PMI]]-B70</f>
        <v>3</v>
      </c>
      <c r="F82" s="13">
        <f>(Table1[[#This Row],[ACWI]]-D70)/D70</f>
        <v>0.22280550519306597</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56.748176574707031</v>
      </c>
      <c r="E83" s="24">
        <f>Table1[[#This Row],[PMI]]-B71</f>
        <v>2.5</v>
      </c>
      <c r="F83" s="13">
        <f>(Table1[[#This Row],[ACWI]]-D71)/D71</f>
        <v>0.15393184971715232</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57.663188934326172</v>
      </c>
      <c r="E84" s="24">
        <f>Table1[[#This Row],[PMI]]-B72</f>
        <v>2.6000000000000014</v>
      </c>
      <c r="F84" s="13">
        <f>(Table1[[#This Row],[ACWI]]-D72)/D72</f>
        <v>0.15705816888987684</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58.937026977539063</v>
      </c>
      <c r="E85" s="24">
        <f>Table1[[#This Row],[PMI]]-B73</f>
        <v>2.6000000000000014</v>
      </c>
      <c r="F85" s="13">
        <f>(Table1[[#This Row],[ACWI]]-D73)/D73</f>
        <v>0.17867687200734092</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58.748638153076172</v>
      </c>
      <c r="E86" s="24">
        <f>Table1[[#This Row],[PMI]]-B74</f>
        <v>1.7000000000000028</v>
      </c>
      <c r="F86" s="13">
        <f>(Table1[[#This Row],[ACWI]]-D74)/D74</f>
        <v>0.19099824636241616</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61.024494171142578</v>
      </c>
      <c r="E87" s="24">
        <f>Table1[[#This Row],[PMI]]-B75</f>
        <v>1.7999999999999972</v>
      </c>
      <c r="F87" s="13">
        <f>(Table1[[#This Row],[ACWI]]-D75)/D75</f>
        <v>0.17666747650244213</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61.269390106201172</v>
      </c>
      <c r="E88" s="24">
        <f>Table1[[#This Row],[PMI]]-B76</f>
        <v>2.3000000000000043</v>
      </c>
      <c r="F88" s="13">
        <f>(Table1[[#This Row],[ACWI]]-D76)/D76</f>
        <v>0.17735415626523104</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62.421318054199219</v>
      </c>
      <c r="E89" s="24">
        <f>Table1[[#This Row],[PMI]]-B77</f>
        <v>2.2999999999999972</v>
      </c>
      <c r="F89" s="13">
        <f>(Table1[[#This Row],[ACWI]]-D77)/D77</f>
        <v>0.18832696421680201</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63.763698577880859</v>
      </c>
      <c r="E90" s="24">
        <f>Table1[[#This Row],[PMI]]-B78</f>
        <v>1.5</v>
      </c>
      <c r="F90" s="13">
        <f>(Table1[[#This Row],[ACWI]]-D78)/D78</f>
        <v>0.23754376680448355</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65.051673889160156</v>
      </c>
      <c r="E91" s="24">
        <f>Table1[[#This Row],[PMI]]-B79</f>
        <v>2</v>
      </c>
      <c r="F91" s="13">
        <f>(Table1[[#This Row],[ACWI]]-D79)/D79</f>
        <v>0.24960775964311147</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65.38726806640625</v>
      </c>
      <c r="E92" s="24">
        <f>Table1[[#This Row],[PMI]]-B80</f>
        <v>1.7999999999999972</v>
      </c>
      <c r="F92" s="13">
        <f>(Table1[[#This Row],[ACWI]]-D80)/D80</f>
        <v>0.24331769183610172</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69.757667541503906</v>
      </c>
      <c r="E93" s="24">
        <f>Table1[[#This Row],[PMI]]-B81</f>
        <v>1.6999999999999957</v>
      </c>
      <c r="F93" s="13">
        <f>(Table1[[#This Row],[ACWI]]-D81)/D81</f>
        <v>0.27709485993621424</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66.635986328125</v>
      </c>
      <c r="E94" s="24">
        <f>Table1[[#This Row],[PMI]]-B82</f>
        <v>1.1000000000000014</v>
      </c>
      <c r="F94" s="13">
        <f>(Table1[[#This Row],[ACWI]]-D82)/D82</f>
        <v>0.19004214281140103</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65.638137817382813</v>
      </c>
      <c r="E95" s="24">
        <f>Table1[[#This Row],[PMI]]-B83</f>
        <v>0.29999999999999716</v>
      </c>
      <c r="F95" s="13">
        <f>(Table1[[#This Row],[ACWI]]-D83)/D83</f>
        <v>0.15665633293031805</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65.903602600097656</v>
      </c>
      <c r="E96" s="24">
        <f>Table1[[#This Row],[PMI]]-B84</f>
        <v>0.79999999999999716</v>
      </c>
      <c r="F96" s="13">
        <f>(Table1[[#This Row],[ACWI]]-D84)/D84</f>
        <v>0.14290596510638123</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66.214874267578125</v>
      </c>
      <c r="E97" s="24">
        <f>Table1[[#This Row],[PMI]]-B85</f>
        <v>0.5</v>
      </c>
      <c r="F97" s="13">
        <f>(Table1[[#This Row],[ACWI]]-D85)/D85</f>
        <v>0.12348514445448112</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65.107177734375</v>
      </c>
      <c r="E98" s="24">
        <f>Table1[[#This Row],[PMI]]-B86</f>
        <v>0.39999999999999858</v>
      </c>
      <c r="F98" s="13">
        <f>(Table1[[#This Row],[ACWI]]-D86)/D86</f>
        <v>0.10823296983890826</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67.845069885253906</v>
      </c>
      <c r="E99" s="24">
        <f>Table1[[#This Row],[PMI]]-B87</f>
        <v>0</v>
      </c>
      <c r="F99" s="13">
        <f>(Table1[[#This Row],[ACWI]]-D87)/D87</f>
        <v>0.11176783694401615</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68.317115783691406</v>
      </c>
      <c r="E100" s="24">
        <f>Table1[[#This Row],[PMI]]-B88</f>
        <v>-0.60000000000000142</v>
      </c>
      <c r="F100" s="13">
        <f>(Table1[[#This Row],[ACWI]]-D88)/D88</f>
        <v>0.11502849408610194</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68.733634948730469</v>
      </c>
      <c r="E101" s="24">
        <f>Table1[[#This Row],[PMI]]-B89</f>
        <v>-1.0999999999999943</v>
      </c>
      <c r="F101" s="13">
        <f>(Table1[[#This Row],[ACWI]]-D89)/D89</f>
        <v>0.10112437691639878</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63.624416351318359</v>
      </c>
      <c r="E102" s="24">
        <f>Table1[[#This Row],[PMI]]-B90</f>
        <v>-1.5</v>
      </c>
      <c r="F102" s="13">
        <f>(Table1[[#This Row],[ACWI]]-D90)/D90</f>
        <v>-2.1843498678543712E-3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64.633308410644531</v>
      </c>
      <c r="E103" s="24">
        <f>Table1[[#This Row],[PMI]]-B91</f>
        <v>-2.1000000000000014</v>
      </c>
      <c r="F103" s="13">
        <f>(Table1[[#This Row],[ACWI]]-D91)/D91</f>
        <v>-6.4312792200930443E-3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59.385261535644531</v>
      </c>
      <c r="E104" s="24">
        <f>Table1[[#This Row],[PMI]]-B92</f>
        <v>-3</v>
      </c>
      <c r="F104" s="13">
        <f>(Table1[[#This Row],[ACWI]]-D92)/D92</f>
        <v>-9.1791669972603504E-2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64.796440124511719</v>
      </c>
      <c r="E105" s="24">
        <f>Table1[[#This Row],[PMI]]-B93</f>
        <v>-3.6999999999999957</v>
      </c>
      <c r="F105" s="13">
        <f>(Table1[[#This Row],[ACWI]]-D93)/D93</f>
        <v>-7.112089024536826E-2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66.39483642578125</v>
      </c>
      <c r="E106" s="24">
        <f>Table1[[#This Row],[PMI]]-B94</f>
        <v>-3.5</v>
      </c>
      <c r="F106" s="13">
        <f>(Table1[[#This Row],[ACWI]]-D94)/D94</f>
        <v>-3.6189139777461064E-3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67.441764831542969</v>
      </c>
      <c r="E107" s="24">
        <f>Table1[[#This Row],[PMI]]-B95</f>
        <v>-2.7999999999999972</v>
      </c>
      <c r="F107" s="13">
        <f>(Table1[[#This Row],[ACWI]]-D95)/D95</f>
        <v>2.7478339181074472E-2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69.750579833984375</v>
      </c>
      <c r="E108" s="24">
        <f>Table1[[#This Row],[PMI]]-B96</f>
        <v>-3.1000000000000014</v>
      </c>
      <c r="F108" s="13">
        <f>(Table1[[#This Row],[ACWI]]-D96)/D96</f>
        <v>5.8372791199748739E-2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65.516189575195313</v>
      </c>
      <c r="E109" s="24">
        <f>Table1[[#This Row],[PMI]]-B97</f>
        <v>-3.3000000000000043</v>
      </c>
      <c r="F109" s="13">
        <f>(Table1[[#This Row],[ACWI]]-D97)/D97</f>
        <v>-1.0551778586173665E-2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68.89996337890625</v>
      </c>
      <c r="E110" s="24">
        <f>Table1[[#This Row],[PMI]]-B98</f>
        <v>-3.6000000000000014</v>
      </c>
      <c r="F110" s="13">
        <f>(Table1[[#This Row],[ACWI]]-D98)/D98</f>
        <v>5.8254493229688127E-2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69.815803527832031</v>
      </c>
      <c r="E111" s="24">
        <f>Table1[[#This Row],[PMI]]-B99</f>
        <v>-3.5</v>
      </c>
      <c r="F111" s="13">
        <f>(Table1[[#This Row],[ACWI]]-D99)/D99</f>
        <v>2.9047558590642161E-2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68.27294921875</v>
      </c>
      <c r="E112" s="15">
        <f>Table1[[#This Row],[PMI]]-B100</f>
        <v>-3.1000000000000014</v>
      </c>
      <c r="F112" s="16">
        <f>(Table1[[#This Row],[ACWI]]-D100)/D100</f>
        <v>-6.4649340702918915E-4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69.806327819824219</v>
      </c>
      <c r="E113" s="24">
        <f>Table1[[#This Row],[PMI]]-B101</f>
        <v>-2.5</v>
      </c>
      <c r="F113" s="13">
        <f>(Table1[[#This Row],[ACWI]]-D101)/D101</f>
        <v>1.5606520328713722E-2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71.718307495117188</v>
      </c>
      <c r="E114" s="15">
        <f>Table1[[#This Row],[PMI]]-B102</f>
        <v>-2.2000000000000028</v>
      </c>
      <c r="F114" s="16">
        <f>(Table1[[#This Row],[ACWI]]-D102)/D102</f>
        <v>0.1272136014436086</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73.393669128417969</v>
      </c>
      <c r="E115" s="24">
        <f>Table1[[#This Row],[PMI]]-B103</f>
        <v>-1.7000000000000028</v>
      </c>
      <c r="F115" s="13">
        <f>(Table1[[#This Row],[ACWI]]-D103)/D103</f>
        <v>0.13553941354997517</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75.012229919433594</v>
      </c>
      <c r="E116" s="15">
        <f>Table1[[#This Row],[PMI]]-B104</f>
        <v>-1.3999999999999986</v>
      </c>
      <c r="F116" s="16">
        <f>(Table1[[#This Row],[ACWI]]-D104)/D104</f>
        <v>0.26314556810378553</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74.827751159667969</v>
      </c>
      <c r="E117" s="24">
        <f>Table1[[#This Row],[PMI]]-B105</f>
        <v>-0.30000000000000426</v>
      </c>
      <c r="F117" s="13">
        <f>(Table1[[#This Row],[ACWI]]-D105)/D105</f>
        <v>0.15481268748530408</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69.223556518554688</v>
      </c>
      <c r="E118" s="15">
        <f>Table1[[#This Row],[PMI]]-B106</f>
        <v>-3.5</v>
      </c>
      <c r="F118" s="16">
        <f>(Table1[[#This Row],[ACWI]]-D106)/D106</f>
        <v>4.2604519342938539E-2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59.940746307373047</v>
      </c>
      <c r="E119" s="24">
        <f>Table1[[#This Row],[PMI]]-B107</f>
        <v>-3.2000000000000028</v>
      </c>
      <c r="F119" s="13">
        <f>(Table1[[#This Row],[ACWI]]-D107)/D107</f>
        <v>-0.11122215652134959</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65.832321166992188</v>
      </c>
      <c r="E120" s="15">
        <f>Table1[[#This Row],[PMI]]-B108</f>
        <v>-10.799999999999997</v>
      </c>
      <c r="F120" s="16">
        <f>(Table1[[#This Row],[ACWI]]-D108)/D108</f>
        <v>-5.6175284511156214E-2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69.18524169921875</v>
      </c>
      <c r="E121" s="24">
        <f>Table1[[#This Row],[PMI]]-B109</f>
        <v>-7.3999999999999986</v>
      </c>
      <c r="F121" s="13">
        <f>(Table1[[#This Row],[ACWI]]-D109)/D109</f>
        <v>5.6002220944371815E-2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70.622215270996094</v>
      </c>
      <c r="E122" s="15">
        <f>Table1[[#This Row],[PMI]]-B110</f>
        <v>-1.6000000000000014</v>
      </c>
      <c r="F122" s="16">
        <f>(Table1[[#This Row],[ACWI]]-D110)/D110</f>
        <v>2.4996412300229347E-2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75.03570556640625</v>
      </c>
      <c r="E123" s="24">
        <f>Table1[[#This Row],[PMI]]-B111</f>
        <v>1.3000000000000043</v>
      </c>
      <c r="F123" s="13">
        <f>(Table1[[#This Row],[ACWI]]-D111)/D111</f>
        <v>7.4766768765947206E-2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79.556991577148438</v>
      </c>
      <c r="E124" s="15">
        <f>Table1[[#This Row],[PMI]]-B112</f>
        <v>2.2999999999999972</v>
      </c>
      <c r="F124" s="16">
        <f>(Table1[[#This Row],[ACWI]]-D112)/D112</f>
        <v>0.16527837873597334</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77.209403991699219</v>
      </c>
      <c r="E125" s="24">
        <f>Table1[[#This Row],[PMI]]-B113</f>
        <v>2.6999999999999957</v>
      </c>
      <c r="F125" s="13">
        <f>(Table1[[#This Row],[ACWI]]-D113)/D113</f>
        <v>0.10605164894195464</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75.489776611328125</v>
      </c>
      <c r="E126" s="15">
        <f>Table1[[#This Row],[PMI]]-B114</f>
        <v>3.2000000000000028</v>
      </c>
      <c r="F126" s="16">
        <f>(Table1[[#This Row],[ACWI]]-D114)/D114</f>
        <v>5.2587257674307379E-2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84.368087768554688</v>
      </c>
      <c r="E127" s="24">
        <f>Table1[[#This Row],[PMI]]-B115</f>
        <v>3.5</v>
      </c>
      <c r="F127" s="13">
        <f>(Table1[[#This Row],[ACWI]]-D115)/D115</f>
        <v>0.14952813737837004</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87.643119812011719</v>
      </c>
      <c r="E128" s="15">
        <f>Table1[[#This Row],[PMI]]-B116</f>
        <v>3.6999999999999957</v>
      </c>
      <c r="F128" s="16">
        <f>(Table1[[#This Row],[ACWI]]-D116)/D116</f>
        <v>0.16838440753120193</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88.050064086914063</v>
      </c>
      <c r="E129" s="24">
        <f>Table1[[#This Row],[PMI]]-B117</f>
        <v>3.2000000000000028</v>
      </c>
      <c r="F129" s="13">
        <f>(Table1[[#This Row],[ACWI]]-D117)/D117</f>
        <v>0.17670333161599674</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90.06536865234375</v>
      </c>
      <c r="E130" s="15">
        <f>Table1[[#This Row],[PMI]]-B118</f>
        <v>6.7999999999999972</v>
      </c>
      <c r="F130" s="16">
        <f>(Table1[[#This Row],[ACWI]]-D118)/D118</f>
        <v>0.30107976506816175</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92.635589599609375</v>
      </c>
      <c r="E131" s="24">
        <f>Table1[[#This Row],[PMI]]-B119</f>
        <v>7.7000000000000028</v>
      </c>
      <c r="F131" s="13">
        <f>(Table1[[#This Row],[ACWI]]-D119)/D119</f>
        <v>0.54545272300379555</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96.568840026855469</v>
      </c>
      <c r="E132" s="15">
        <f>Table1[[#This Row],[PMI]]-B120</f>
        <v>16.299999999999997</v>
      </c>
      <c r="F132" s="16">
        <f>(Table1[[#This Row],[ACWI]]-D120)/D120</f>
        <v>0.46689100908193909</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97.990257263183594</v>
      </c>
      <c r="E133" s="24">
        <f>Table1[[#This Row],[PMI]]-B121</f>
        <v>13.600000000000001</v>
      </c>
      <c r="F133" s="13">
        <f>(Table1[[#This Row],[ACWI]]-D121)/D121</f>
        <v>0.41634624461086639</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98.5159912109375</v>
      </c>
      <c r="E134" s="15">
        <f>Table1[[#This Row],[PMI]]-B122</f>
        <v>7.7000000000000028</v>
      </c>
      <c r="F134" s="16">
        <f>(Table1[[#This Row],[ACWI]]-D122)/D122</f>
        <v>0.39497169315498842</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100.1279373168945</v>
      </c>
      <c r="E135" s="24">
        <f>Table1[[#This Row],[PMI]]-B123</f>
        <v>4.7999999999999972</v>
      </c>
      <c r="F135" s="13">
        <f>(Table1[[#This Row],[ACWI]]-D123)/D123</f>
        <v>0.33440388893633771</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102.3048400878906</v>
      </c>
      <c r="E136" s="15">
        <f>Table1[[#This Row],[PMI]]-B124</f>
        <v>2.3000000000000043</v>
      </c>
      <c r="F136" s="16">
        <f>(Table1[[#This Row],[ACWI]]-D124)/D124</f>
        <v>0.285931482070724</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97.980445861816406</v>
      </c>
      <c r="E137" s="24">
        <f>Table1[[#This Row],[PMI]]-B125</f>
        <v>1.7000000000000028</v>
      </c>
      <c r="F137" s="13">
        <f>(Table1[[#This Row],[ACWI]]-D125)/D125</f>
        <v>0.26902217600786404</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103.2658157348633</v>
      </c>
      <c r="E138" s="15">
        <f>Table1[[#This Row],[PMI]]-B126</f>
        <v>1.2000000000000028</v>
      </c>
      <c r="F138" s="16">
        <f>(Table1[[#This Row],[ACWI]]-D126)/D126</f>
        <v>0.36794438095299714</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100.8829803466797</v>
      </c>
      <c r="E139" s="24">
        <f>Table1[[#This Row],[PMI]]-B127</f>
        <v>0.40000000000000568</v>
      </c>
      <c r="F139" s="13">
        <f>(Table1[[#This Row],[ACWI]]-D127)/D127</f>
        <v>0.19574809640619084</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103.726692199707</v>
      </c>
      <c r="E140" s="15">
        <f>Table1[[#This Row],[PMI]]-B128</f>
        <v>0.5</v>
      </c>
      <c r="F140" s="16">
        <f>(Table1[[#This Row],[ACWI]]-D128)/D128</f>
        <v>0.18351209338728935</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100.0395050048828</v>
      </c>
      <c r="E141" s="24">
        <f>Table1[[#This Row],[PMI]]-B129</f>
        <v>-0.39999999999999858</v>
      </c>
      <c r="F141" s="13">
        <f>(Table1[[#This Row],[ACWI]]-D129)/D129</f>
        <v>0.13616618048266246</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96.977981567382813</v>
      </c>
      <c r="E142" s="24">
        <f>Table1[[#This Row],[PMI]]-B130</f>
        <v>-0.29999999999999716</v>
      </c>
      <c r="F142" s="13">
        <f>(Table1[[#This Row],[ACWI]]-D130)/D130</f>
        <v>7.6751064459881904E-2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98.8604736328125</v>
      </c>
      <c r="E143" s="15">
        <f>Table1[[#This Row],[PMI]]-B131</f>
        <v>-2.1000000000000014</v>
      </c>
      <c r="F143" s="16">
        <f>(Table1[[#This Row],[ACWI]]-D131)/D131</f>
        <v>6.719754319164363E-2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90.884658813476563</v>
      </c>
      <c r="E144" s="24">
        <f>Table1[[#This Row],[PMI]]-B132</f>
        <v>-3.6999999999999957</v>
      </c>
      <c r="F144" s="13">
        <f>(Table1[[#This Row],[ACWI]]-D132)/D132</f>
        <v>-5.8861442384501611E-2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91.290878295898438</v>
      </c>
      <c r="E145" s="15">
        <f>Table1[[#This Row],[PMI]]-B133</f>
        <v>-3.7000000000000028</v>
      </c>
      <c r="F145" s="16">
        <f>(Table1[[#This Row],[ACWI]]-D133)/D133</f>
        <v>-6.8367806702373191E-2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83.116905212402344</v>
      </c>
      <c r="E146" s="24">
        <f>Table1[[#This Row],[PMI]]-B134</f>
        <v>-3.2999999999999972</v>
      </c>
      <c r="F146" s="13">
        <f>(Table1[[#This Row],[ACWI]]-D134)/D134</f>
        <v>-0.15631052186810368</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1"/>
  <sheetViews>
    <sheetView zoomScale="90" zoomScaleNormal="90" workbookViewId="0">
      <pane ySplit="5" topLeftCell="A134" activePane="bottomLeft" state="frozen"/>
      <selection activeCell="O117" sqref="O117"/>
      <selection pane="bottomLeft" activeCell="R147" sqref="R147"/>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2" width="9.1796875" style="63" customWidth="1"/>
    <col min="53"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0"/>
  <sheetViews>
    <sheetView zoomScale="80" zoomScaleNormal="80" workbookViewId="0">
      <pane ySplit="5" topLeftCell="A209" activePane="bottomLeft" state="frozen"/>
      <selection activeCell="K199" sqref="K199"/>
      <selection pane="bottomLeft" activeCell="T214" sqref="T214"/>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2" width="9.1796875" style="63" customWidth="1"/>
    <col min="53"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1"/>
  <sheetViews>
    <sheetView zoomScale="80" zoomScaleNormal="80" workbookViewId="0">
      <pane ySplit="5" topLeftCell="A206" activePane="bottomLeft" state="frozen"/>
      <selection activeCell="P121" sqref="P121"/>
      <selection pane="bottomLeft" activeCell="A205" sqref="A205:G221"/>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21.674324035644531</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21.58342170715332</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22.522756576538089</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21.978610992431641</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21.218633651733398</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21.312868118286129</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21.625986099243161</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22.61091232299805</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22.981784820556641</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23.383056640625</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22.50147819519043</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22.914907455444339</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23.604961395263668</v>
      </c>
      <c r="E18" s="24">
        <f>Table13468111214[[#This Row],[Euro Area PMI]]-B6</f>
        <v>2.2000000000000028</v>
      </c>
      <c r="F18" s="52">
        <f>(Table13468111214[[#This Row],[EZU]]-D6)/D6</f>
        <v>8.9074859102600171E-2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25.621555328369141</v>
      </c>
      <c r="E19" s="24">
        <f>Table13468111214[[#This Row],[Euro Area PMI]]-B7</f>
        <v>1.6000000000000014</v>
      </c>
      <c r="F19" s="52">
        <f>(Table13468111214[[#This Row],[EZU]]-D7)/D7</f>
        <v>0.18709422796837979</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25.807035446166989</v>
      </c>
      <c r="E20" s="24">
        <f>Table13468111214[[#This Row],[Euro Area PMI]]-B8</f>
        <v>2.6000000000000014</v>
      </c>
      <c r="F20" s="52">
        <f>(Table13468111214[[#This Row],[EZU]]-D8)/D8</f>
        <v>0.14582046644548499</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26.941574096679691</v>
      </c>
      <c r="E21" s="24">
        <f>Table13468111214[[#This Row],[Euro Area PMI]]-B9</f>
        <v>5.7000000000000028</v>
      </c>
      <c r="F21" s="52">
        <f>(Table13468111214[[#This Row],[EZU]]-D9)/D9</f>
        <v>0.22580876953311801</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28.14723014831543</v>
      </c>
      <c r="E22" s="24">
        <f>Table13468111214[[#This Row],[Euro Area PMI]]-B10</f>
        <v>7.5</v>
      </c>
      <c r="F22" s="52">
        <f>(Table13468111214[[#This Row],[EZU]]-D10)/D10</f>
        <v>0.32653358412717676</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27.145610809326168</v>
      </c>
      <c r="E23" s="24">
        <f>Table13468111214[[#This Row],[Euro Area PMI]]-B11</f>
        <v>8.2999999999999972</v>
      </c>
      <c r="F23" s="52">
        <f>(Table13468111214[[#This Row],[EZU]]-D11)/D11</f>
        <v>0.27367234943079438</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27.2228889465332</v>
      </c>
      <c r="E24" s="24">
        <f>Table13468111214[[#This Row],[Euro Area PMI]]-B12</f>
        <v>7.8000000000000043</v>
      </c>
      <c r="F24" s="52">
        <f>(Table13468111214[[#This Row],[EZU]]-D12)/D12</f>
        <v>0.25880451516085606</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27.547492980957031</v>
      </c>
      <c r="E25" s="24">
        <f>Table13468111214[[#This Row],[Euro Area PMI]]-B13</f>
        <v>6.6000000000000014</v>
      </c>
      <c r="F25" s="52">
        <f>(Table13468111214[[#This Row],[EZU]]-D13)/D13</f>
        <v>0.2183273539536871</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28.617116928100589</v>
      </c>
      <c r="E26" s="24">
        <f>Table13468111214[[#This Row],[Euro Area PMI]]-B14</f>
        <v>6.1000000000000014</v>
      </c>
      <c r="F26" s="52">
        <f>(Table13468111214[[#This Row],[EZU]]-D14)/D14</f>
        <v>0.24520863594994952</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29.117921829223629</v>
      </c>
      <c r="E27" s="24">
        <f>Table13468111214[[#This Row],[Euro Area PMI]]-B15</f>
        <v>4.8999999999999986</v>
      </c>
      <c r="F27" s="52">
        <f>(Table13468111214[[#This Row],[EZU]]-D15)/D15</f>
        <v>0.24525729363521498</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30.110261917114261</v>
      </c>
      <c r="E28" s="24">
        <f>Table13468111214[[#This Row],[Euro Area PMI]]-B16</f>
        <v>4.2999999999999972</v>
      </c>
      <c r="F28" s="52">
        <f>(Table13468111214[[#This Row],[EZU]]-D16)/D16</f>
        <v>0.33814595005363551</v>
      </c>
      <c r="G28" s="52">
        <f>IF(VLOOKUP(Table13468111214[[#This Row],[Date]],'DB Global PMI'!$A:$F,6)=0,"",VLOOKUP(Table13468111214[[#This Row],[Date]],'DB Global PMI'!$A:$F,6))</f>
        <v>1.173620356979928E-2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31.50140380859375</v>
      </c>
      <c r="E29" s="24">
        <f>Table13468111214[[#This Row],[Euro Area PMI]]-B17</f>
        <v>3.8000000000000043</v>
      </c>
      <c r="F29" s="52">
        <f>(Table13468111214[[#This Row],[EZU]]-D17)/D17</f>
        <v>0.37471224223117472</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31.949649810791019</v>
      </c>
      <c r="E30" s="24">
        <f>Table13468111214[[#This Row],[Euro Area PMI]]-B18</f>
        <v>2.8999999999999986</v>
      </c>
      <c r="F30" s="52">
        <f>(Table13468111214[[#This Row],[EZU]]-D18)/D18</f>
        <v>0.35351417338906183</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32.9974365234375</v>
      </c>
      <c r="E31" s="24">
        <f>Table13468111214[[#This Row],[Euro Area PMI]]-B19</f>
        <v>2</v>
      </c>
      <c r="F31" s="52">
        <f>(Table13468111214[[#This Row],[EZU]]-D19)/D19</f>
        <v>0.28787796449271402</v>
      </c>
      <c r="G31" s="52">
        <f>IF(VLOOKUP(Table13468111214[[#This Row],[Date]],'DB Global PMI'!$A:$F,6)=0,"",VLOOKUP(Table13468111214[[#This Row],[Date]],'DB Global PMI'!$A:$F,6))</f>
        <v>6.0005990965844094E-3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32.698455810546882</v>
      </c>
      <c r="E32" s="24">
        <f>Table13468111214[[#This Row],[Euro Area PMI]]-B20</f>
        <v>1.1000000000000014</v>
      </c>
      <c r="F32" s="52">
        <f>(Table13468111214[[#This Row],[EZU]]-D20)/D20</f>
        <v>0.26703649780910604</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34.058017730712891</v>
      </c>
      <c r="E33" s="24">
        <f>Table13468111214[[#This Row],[Euro Area PMI]]-B21</f>
        <v>-0.70000000000000284</v>
      </c>
      <c r="F33" s="52">
        <f>(Table13468111214[[#This Row],[EZU]]-D21)/D21</f>
        <v>0.26414357262481697</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36.191741943359382</v>
      </c>
      <c r="E34" s="24">
        <f>Table13468111214[[#This Row],[Euro Area PMI]]-B22</f>
        <v>-1.3000000000000043</v>
      </c>
      <c r="F34" s="52">
        <f>(Table13468111214[[#This Row],[EZU]]-D22)/D22</f>
        <v>0.28580118728042603</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37.560737609863281</v>
      </c>
      <c r="E35" s="24">
        <f>Table13468111214[[#This Row],[Euro Area PMI]]-B23</f>
        <v>-2</v>
      </c>
      <c r="F35" s="52">
        <f>(Table13468111214[[#This Row],[EZU]]-D23)/D23</f>
        <v>0.38367627362280177</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37.135875701904297</v>
      </c>
      <c r="E36" s="24">
        <f>Table13468111214[[#This Row],[Euro Area PMI]]-B24</f>
        <v>-2.1000000000000014</v>
      </c>
      <c r="F36" s="52">
        <f>(Table13468111214[[#This Row],[EZU]]-D24)/D24</f>
        <v>0.36414161534584316</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35.968303680419922</v>
      </c>
      <c r="E37" s="24">
        <f>Table13468111214[[#This Row],[Euro Area PMI]]-B25</f>
        <v>-2.5</v>
      </c>
      <c r="F37" s="52">
        <f>(Table13468111214[[#This Row],[EZU]]-D25)/D25</f>
        <v>0.30568337762292958</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35.958869934082031</v>
      </c>
      <c r="E38" s="24">
        <f>Table13468111214[[#This Row],[Euro Area PMI]]-B26</f>
        <v>-2.2000000000000028</v>
      </c>
      <c r="F38" s="52">
        <f>(Table13468111214[[#This Row],[EZU]]-D26)/D26</f>
        <v>0.25655110626368532</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38.048542022705078</v>
      </c>
      <c r="E39" s="24">
        <f>Table13468111214[[#This Row],[Euro Area PMI]]-B27</f>
        <v>-3.3999999999999986</v>
      </c>
      <c r="F39" s="52">
        <f>(Table13468111214[[#This Row],[EZU]]-D27)/D27</f>
        <v>0.30670527401850523</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39.933662414550781</v>
      </c>
      <c r="E40" s="24">
        <f>Table13468111214[[#This Row],[Euro Area PMI]]-B28</f>
        <v>-5.5</v>
      </c>
      <c r="F40" s="52">
        <f>(Table13468111214[[#This Row],[EZU]]-D28)/D28</f>
        <v>0.32624759374321594</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38.825878143310547</v>
      </c>
      <c r="E41" s="24">
        <f>Table13468111214[[#This Row],[Euro Area PMI]]-B29</f>
        <v>-3.8000000000000043</v>
      </c>
      <c r="F41" s="52">
        <f>(Table13468111214[[#This Row],[EZU]]-D29)/D29</f>
        <v>0.23251263274554898</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37.551296234130859</v>
      </c>
      <c r="E42" s="24">
        <f>Table13468111214[[#This Row],[Euro Area PMI]]-B30</f>
        <v>-3.8999999999999986</v>
      </c>
      <c r="F42" s="52">
        <f>(Table13468111214[[#This Row],[EZU]]-D30)/D30</f>
        <v>0.17532731834349807</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34.537052154541023</v>
      </c>
      <c r="E43" s="24">
        <f>Table13468111214[[#This Row],[Euro Area PMI]]-B31</f>
        <v>-2.7000000000000028</v>
      </c>
      <c r="F43" s="52">
        <f>(Table13468111214[[#This Row],[EZU]]-D31)/D31</f>
        <v>4.6658643619481188E-2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34.253005981445313</v>
      </c>
      <c r="E44" s="24">
        <f>Table13468111214[[#This Row],[Euro Area PMI]]-B32</f>
        <v>-3.3000000000000043</v>
      </c>
      <c r="F44" s="52">
        <f>(Table13468111214[[#This Row],[EZU]]-D32)/D32</f>
        <v>4.7542005650218211E-2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35.1180419921875</v>
      </c>
      <c r="E45" s="24">
        <f>Table13468111214[[#This Row],[Euro Area PMI]]-B33</f>
        <v>-3.3999999999999986</v>
      </c>
      <c r="F45" s="52">
        <f>(Table13468111214[[#This Row],[EZU]]-D33)/D33</f>
        <v>3.1124073921621666E-2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36.518890380859382</v>
      </c>
      <c r="E46" s="24">
        <f>Table13468111214[[#This Row],[Euro Area PMI]]-B34</f>
        <v>-4.6999999999999957</v>
      </c>
      <c r="F46" s="52">
        <f>(Table13468111214[[#This Row],[EZU]]-D34)/D34</f>
        <v>9.0393117306150177E-3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36.951423645019531</v>
      </c>
      <c r="E47" s="24">
        <f>Table13468111214[[#This Row],[Euro Area PMI]]-B35</f>
        <v>-4.3999999999999986</v>
      </c>
      <c r="F47" s="52">
        <f>(Table13468111214[[#This Row],[EZU]]-D35)/D35</f>
        <v>-1.6222097956983327E-2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31.628824234008789</v>
      </c>
      <c r="E48" s="24">
        <f>Table13468111214[[#This Row],[Euro Area PMI]]-B36</f>
        <v>-6.3999999999999986</v>
      </c>
      <c r="F48" s="52">
        <f>(Table13468111214[[#This Row],[EZU]]-D36)/D36</f>
        <v>-0.14829464402836504</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31.990602493286129</v>
      </c>
      <c r="E49" s="24">
        <f>Table13468111214[[#This Row],[Euro Area PMI]]-B37</f>
        <v>-7.5</v>
      </c>
      <c r="F49" s="52">
        <f>(Table13468111214[[#This Row],[EZU]]-D37)/D37</f>
        <v>-0.11058906815500269</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30.732393264770511</v>
      </c>
      <c r="E50" s="24">
        <f>Table13468111214[[#This Row],[Euro Area PMI]]-B38</f>
        <v>-6.6999999999999957</v>
      </c>
      <c r="F50" s="52">
        <f>(Table13468111214[[#This Row],[EZU]]-D38)/D38</f>
        <v>-0.14534596551261011</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26.582990646362301</v>
      </c>
      <c r="E51" s="24">
        <f>Table13468111214[[#This Row],[Euro Area PMI]]-B39</f>
        <v>-8.2000000000000028</v>
      </c>
      <c r="F51" s="52">
        <f>(Table13468111214[[#This Row],[EZU]]-D39)/D39</f>
        <v>-0.30134009785449406</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20.051017761230469</v>
      </c>
      <c r="E52" s="24">
        <f>Table13468111214[[#This Row],[Euro Area PMI]]-B40</f>
        <v>-12.600000000000001</v>
      </c>
      <c r="F52" s="52">
        <f>(Table13468111214[[#This Row],[EZU]]-D40)/D40</f>
        <v>-0.49789183989484515</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18.558565139770511</v>
      </c>
      <c r="E53" s="24">
        <f>Table13468111214[[#This Row],[Euro Area PMI]]-B41</f>
        <v>-17.199999999999996</v>
      </c>
      <c r="F53" s="52">
        <f>(Table13468111214[[#This Row],[EZU]]-D41)/D41</f>
        <v>-0.52200527000912056</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20.486040115356449</v>
      </c>
      <c r="E54" s="24">
        <f>Table13468111214[[#This Row],[Euro Area PMI]]-B42</f>
        <v>-18.700000000000003</v>
      </c>
      <c r="F54" s="52">
        <f>(Table13468111214[[#This Row],[EZU]]-D42)/D42</f>
        <v>-0.45445185200460747</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17.279262542724609</v>
      </c>
      <c r="E55" s="24">
        <f>Table13468111214[[#This Row],[Euro Area PMI]]-B43</f>
        <v>-18.399999999999999</v>
      </c>
      <c r="F55" s="52">
        <f>(Table13468111214[[#This Row],[EZU]]-D43)/D43</f>
        <v>-0.49968913196742859</v>
      </c>
      <c r="G55" s="52">
        <f>IF(VLOOKUP(Table13468111214[[#This Row],[Date]],'DB Global PMI'!$A:$F,6)=0,"",VLOOKUP(Table13468111214[[#This Row],[Date]],'DB Global PMI'!$A:$F,6))</f>
        <v>-3.0935965197039311E-2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15.193485260009769</v>
      </c>
      <c r="E56" s="24">
        <f>Table13468111214[[#This Row],[Euro Area PMI]]-B44</f>
        <v>-18.799999999999997</v>
      </c>
      <c r="F56" s="52">
        <f>(Table13468111214[[#This Row],[EZU]]-D44)/D44</f>
        <v>-0.55643352095170839</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16.69987869262695</v>
      </c>
      <c r="E57" s="24">
        <f>Table13468111214[[#This Row],[Euro Area PMI]]-B45</f>
        <v>-18.100000000000001</v>
      </c>
      <c r="F57" s="52">
        <f>(Table13468111214[[#This Row],[EZU]]-D45)/D45</f>
        <v>-0.52446441358142715</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19.14692306518555</v>
      </c>
      <c r="E58" s="24">
        <f>Table13468111214[[#This Row],[Euro Area PMI]]-B46</f>
        <v>-13.900000000000006</v>
      </c>
      <c r="F58" s="52">
        <f>(Table13468111214[[#This Row],[EZU]]-D46)/D46</f>
        <v>-0.47569811498924919</v>
      </c>
      <c r="G58" s="52">
        <f>IF(VLOOKUP(Table13468111214[[#This Row],[Date]],'DB Global PMI'!$A:$F,6)=0,"",VLOOKUP(Table13468111214[[#This Row],[Date]],'DB Global PMI'!$A:$F,6))</f>
        <v>-2.4796235099942349E-4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21.675765991210941</v>
      </c>
      <c r="E59" s="24">
        <f>Table13468111214[[#This Row],[Euro Area PMI]]-B47</f>
        <v>-9.8999999999999986</v>
      </c>
      <c r="F59" s="52">
        <f>(Table13468111214[[#This Row],[EZU]]-D47)/D47</f>
        <v>-0.41339835240333178</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20.660137176513668</v>
      </c>
      <c r="E60" s="24">
        <f>Table13468111214[[#This Row],[Euro Area PMI]]-B48</f>
        <v>-6.6000000000000014</v>
      </c>
      <c r="F60" s="52">
        <f>(Table13468111214[[#This Row],[EZU]]-D48)/D48</f>
        <v>-0.34679401853013164</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23.47220420837402</v>
      </c>
      <c r="E61" s="24">
        <f>Table13468111214[[#This Row],[Euro Area PMI]]-B49</f>
        <v>-1.1000000000000014</v>
      </c>
      <c r="F61" s="52">
        <f>(Table13468111214[[#This Row],[EZU]]-D49)/D49</f>
        <v>-0.2662781448614438</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24.940534591674801</v>
      </c>
      <c r="E62" s="24">
        <f>Table13468111214[[#This Row],[Euro Area PMI]]-B50</f>
        <v>0.60000000000000142</v>
      </c>
      <c r="F62" s="52">
        <f>(Table13468111214[[#This Row],[EZU]]-D50)/D50</f>
        <v>-0.18846103598885988</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26.5766716003418</v>
      </c>
      <c r="E63" s="24">
        <f>Table13468111214[[#This Row],[Euro Area PMI]]-B51</f>
        <v>4.2999999999999972</v>
      </c>
      <c r="F63" s="52">
        <f>(Table13468111214[[#This Row],[EZU]]-D51)/D51</f>
        <v>-2.3771012466445061E-4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25.360054016113281</v>
      </c>
      <c r="E64" s="24">
        <f>Table13468111214[[#This Row],[Euro Area PMI]]-B52</f>
        <v>11.800000000000004</v>
      </c>
      <c r="F64" s="52">
        <f>(Table13468111214[[#This Row],[EZU]]-D52)/D52</f>
        <v>0.26477639779203971</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26.59764289855957</v>
      </c>
      <c r="E65" s="24">
        <f>Table13468111214[[#This Row],[Euro Area PMI]]-B53</f>
        <v>15.600000000000001</v>
      </c>
      <c r="F65" s="52">
        <f>(Table13468111214[[#This Row],[EZU]]-D53)/D53</f>
        <v>0.43317345377965288</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26.199104309082031</v>
      </c>
      <c r="E66" s="24">
        <f>Table13468111214[[#This Row],[Euro Area PMI]]-B54</f>
        <v>17.700000000000003</v>
      </c>
      <c r="F66" s="52">
        <f>(Table13468111214[[#This Row],[EZU]]-D54)/D54</f>
        <v>0.2788759643911386</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24.30830192565918</v>
      </c>
      <c r="E67" s="24">
        <f>Table13468111214[[#This Row],[Euro Area PMI]]-B55</f>
        <v>18</v>
      </c>
      <c r="F67" s="52">
        <f>(Table13468111214[[#This Row],[EZU]]-D55)/D55</f>
        <v>0.4067904730051185</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23.582363128662109</v>
      </c>
      <c r="E68" s="24">
        <f>Table13468111214[[#This Row],[Euro Area PMI]]-B56</f>
        <v>20.700000000000003</v>
      </c>
      <c r="F68" s="52">
        <f>(Table13468111214[[#This Row],[EZU]]-D56)/D56</f>
        <v>0.55213650621246246</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25.32320404052734</v>
      </c>
      <c r="E69" s="24">
        <f>Table13468111214[[#This Row],[Euro Area PMI]]-B57</f>
        <v>22.700000000000003</v>
      </c>
      <c r="F69" s="52">
        <f>(Table13468111214[[#This Row],[EZU]]-D57)/D57</f>
        <v>0.51637053817089207</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24.068672180175781</v>
      </c>
      <c r="E70" s="24">
        <f>Table13468111214[[#This Row],[Euro Area PMI]]-B58</f>
        <v>20.800000000000004</v>
      </c>
      <c r="F70" s="52">
        <f>(Table13468111214[[#This Row],[EZU]]-D58)/D58</f>
        <v>0.25705169954640622</v>
      </c>
      <c r="G70" s="52">
        <f>IF(VLOOKUP(Table13468111214[[#This Row],[Date]],'DB Global PMI'!$A:$F,6)=0,"",VLOOKUP(Table13468111214[[#This Row],[Date]],'DB Global PMI'!$A:$F,6))</f>
        <v>9.6978601627363357E-3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21.03101921081543</v>
      </c>
      <c r="E71" s="24">
        <f>Table13468111214[[#This Row],[Euro Area PMI]]-B59</f>
        <v>15.099999999999994</v>
      </c>
      <c r="F71" s="52">
        <f>(Table13468111214[[#This Row],[EZU]]-D59)/D59</f>
        <v>-2.9745051716139691E-2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20.121835708618161</v>
      </c>
      <c r="E72" s="24">
        <f>Table13468111214[[#This Row],[Euro Area PMI]]-B60</f>
        <v>13</v>
      </c>
      <c r="F72" s="52">
        <f>(Table13468111214[[#This Row],[EZU]]-D60)/D60</f>
        <v>-2.6055077141861671E-2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23.627004623413089</v>
      </c>
      <c r="E73" s="24">
        <f>Table13468111214[[#This Row],[Euro Area PMI]]-B61</f>
        <v>10.400000000000006</v>
      </c>
      <c r="F73" s="52">
        <f>(Table13468111214[[#This Row],[EZU]]-D61)/D61</f>
        <v>6.5950523293352445E-3</v>
      </c>
      <c r="G73" s="52">
        <f>IF(VLOOKUP(Table13468111214[[#This Row],[Date]],'DB Global PMI'!$A:$F,6)=0,"",VLOOKUP(Table13468111214[[#This Row],[Date]],'DB Global PMI'!$A:$F,6))</f>
        <v>4.1793588402824541E-3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21.979448318481449</v>
      </c>
      <c r="E74" s="24">
        <f>Table13468111214[[#This Row],[Euro Area PMI]]-B62</f>
        <v>6.8999999999999986</v>
      </c>
      <c r="F74" s="52">
        <f>(Table13468111214[[#This Row],[EZU]]-D62)/D62</f>
        <v>-0.11872585418364563</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24.914838790893551</v>
      </c>
      <c r="E75" s="24">
        <f>Table13468111214[[#This Row],[Euro Area PMI]]-B63</f>
        <v>4.4000000000000057</v>
      </c>
      <c r="F75" s="52">
        <f>(Table13468111214[[#This Row],[EZU]]-D63)/D63</f>
        <v>-6.2529756714414034E-2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26.425703048706051</v>
      </c>
      <c r="E76" s="24">
        <f>Table13468111214[[#This Row],[Euro Area PMI]]-B64</f>
        <v>3.8999999999999986</v>
      </c>
      <c r="F76" s="52">
        <f>(Table13468111214[[#This Row],[EZU]]-D64)/D64</f>
        <v>4.2020771403549748E-2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23.49751091003418</v>
      </c>
      <c r="E77" s="24">
        <f>Table13468111214[[#This Row],[Euro Area PMI]]-B65</f>
        <v>4.0999999999999943</v>
      </c>
      <c r="F77" s="52">
        <f>(Table13468111214[[#This Row],[EZU]]-D65)/D65</f>
        <v>-0.11655664377286915</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25.375289916992191</v>
      </c>
      <c r="E78" s="24">
        <f>Table13468111214[[#This Row],[Euro Area PMI]]-B66</f>
        <v>5.5</v>
      </c>
      <c r="F78" s="52">
        <f>(Table13468111214[[#This Row],[EZU]]-D66)/D66</f>
        <v>-3.1444372386588093E-2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27.206890106201168</v>
      </c>
      <c r="E79" s="24">
        <f>Table13468111214[[#This Row],[Euro Area PMI]]-B67</f>
        <v>4.8999999999999986</v>
      </c>
      <c r="F79" s="52">
        <f>(Table13468111214[[#This Row],[EZU]]-D67)/D67</f>
        <v>0.11924272577354809</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28.0047492980957</v>
      </c>
      <c r="E80" s="24">
        <f>Table13468111214[[#This Row],[Euro Area PMI]]-B68</f>
        <v>4.7999999999999972</v>
      </c>
      <c r="F80" s="52">
        <f>(Table13468111214[[#This Row],[EZU]]-D68)/D68</f>
        <v>0.18752938987944776</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28.099040985107418</v>
      </c>
      <c r="E81" s="24">
        <f>Table13468111214[[#This Row],[Euro Area PMI]]-B69</f>
        <v>0.89999999999999858</v>
      </c>
      <c r="F81" s="52">
        <f>(Table13468111214[[#This Row],[EZU]]-D69)/D69</f>
        <v>0.10961634002307209</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30.340290069580082</v>
      </c>
      <c r="E82" s="24">
        <f>Table13468111214[[#This Row],[Euro Area PMI]]-B70</f>
        <v>0.39999999999999858</v>
      </c>
      <c r="F82" s="52">
        <f>(Table13468111214[[#This Row],[EZU]]-D70)/D70</f>
        <v>0.26057182724728511</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28.89688873291016</v>
      </c>
      <c r="E83" s="24">
        <f>Table13468111214[[#This Row],[Euro Area PMI]]-B71</f>
        <v>-1.1999999999999957</v>
      </c>
      <c r="F83" s="52">
        <f>(Table13468111214[[#This Row],[EZU]]-D71)/D71</f>
        <v>0.37401275911771414</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28.1643180847168</v>
      </c>
      <c r="E84" s="24">
        <f>Table13468111214[[#This Row],[Euro Area PMI]]-B72</f>
        <v>-3.6000000000000014</v>
      </c>
      <c r="F84" s="52">
        <f>(Table13468111214[[#This Row],[EZU]]-D72)/D72</f>
        <v>0.39968929736634584</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26.628110885620121</v>
      </c>
      <c r="E85" s="24">
        <f>Table13468111214[[#This Row],[Euro Area PMI]]-B73</f>
        <v>-6.3000000000000043</v>
      </c>
      <c r="F85" s="52">
        <f>(Table13468111214[[#This Row],[EZU]]-D73)/D73</f>
        <v>0.12702017500911209</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23.379331588745121</v>
      </c>
      <c r="E86" s="24">
        <f>Table13468111214[[#This Row],[Euro Area PMI]]-B74</f>
        <v>-6.1000000000000014</v>
      </c>
      <c r="F86" s="52">
        <f>(Table13468111214[[#This Row],[EZU]]-D74)/D74</f>
        <v>6.36905553760682E-2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20.264064788818359</v>
      </c>
      <c r="E87" s="24">
        <f>Table13468111214[[#This Row],[Euro Area PMI]]-B75</f>
        <v>-5.2000000000000028</v>
      </c>
      <c r="F87" s="52">
        <f>(Table13468111214[[#This Row],[EZU]]-D75)/D75</f>
        <v>-0.18666683100414294</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22.82303619384766</v>
      </c>
      <c r="E88" s="24">
        <f>Table13468111214[[#This Row],[Euro Area PMI]]-B76</f>
        <v>-7.5</v>
      </c>
      <c r="F88" s="52">
        <f>(Table13468111214[[#This Row],[EZU]]-D76)/D76</f>
        <v>-0.13633192079008086</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21.858779907226559</v>
      </c>
      <c r="E89" s="24">
        <f>Table13468111214[[#This Row],[Euro Area PMI]]-B77</f>
        <v>-8.8999999999999986</v>
      </c>
      <c r="F89" s="52">
        <f>(Table13468111214[[#This Row],[EZU]]-D77)/D77</f>
        <v>-6.9740620999470662E-2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20.69426345825195</v>
      </c>
      <c r="E90" s="24">
        <f>Table13468111214[[#This Row],[Euro Area PMI]]-B78</f>
        <v>-10.200000000000003</v>
      </c>
      <c r="F90" s="52">
        <f>(Table13468111214[[#This Row],[EZU]]-D78)/D78</f>
        <v>-0.1844718414667515</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22.414033889770511</v>
      </c>
      <c r="E91" s="24">
        <f>Table13468111214[[#This Row],[Euro Area PMI]]-B79</f>
        <v>-8.5</v>
      </c>
      <c r="F91" s="52">
        <f>(Table13468111214[[#This Row],[EZU]]-D79)/D79</f>
        <v>-0.17616332472112417</v>
      </c>
      <c r="G91" s="52">
        <f>IF(VLOOKUP(Table13468111214[[#This Row],[Date]],'DB Global PMI'!$A:$F,6)=0,"",VLOOKUP(Table13468111214[[#This Row],[Date]],'DB Global PMI'!$A:$F,6))</f>
        <v>-2.1497008731274228E-3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23.644674301147461</v>
      </c>
      <c r="E92" s="24">
        <f>Table13468111214[[#This Row],[Euro Area PMI]]-B80</f>
        <v>-10</v>
      </c>
      <c r="F92" s="52">
        <f>(Table13468111214[[#This Row],[EZU]]-D80)/D80</f>
        <v>-0.15569055628877634</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23.674684524536129</v>
      </c>
      <c r="E93" s="24">
        <f>Table13468111214[[#This Row],[Euro Area PMI]]-B81</f>
        <v>-9.7999999999999972</v>
      </c>
      <c r="F93" s="52">
        <f>(Table13468111214[[#This Row],[EZU]]-D81)/D81</f>
        <v>-0.1574557816018067</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22.346500396728519</v>
      </c>
      <c r="E94" s="24">
        <f>Table13468111214[[#This Row],[Euro Area PMI]]-B82</f>
        <v>-12.100000000000001</v>
      </c>
      <c r="F94" s="52">
        <f>(Table13468111214[[#This Row],[EZU]]-D82)/D82</f>
        <v>-0.26347110243571242</v>
      </c>
      <c r="G94" s="52">
        <f>IF(VLOOKUP(Table13468111214[[#This Row],[Date]],'DB Global PMI'!$A:$F,6)=0,"",VLOOKUP(Table13468111214[[#This Row],[Date]],'DB Global PMI'!$A:$F,6))</f>
        <v>-2.6388234647134489E-3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19.465019226074219</v>
      </c>
      <c r="E95" s="24">
        <f>Table13468111214[[#This Row],[Euro Area PMI]]-B83</f>
        <v>-9.5</v>
      </c>
      <c r="F95" s="52">
        <f>(Table13468111214[[#This Row],[EZU]]-D83)/D83</f>
        <v>-0.32639740540974399</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20.598100662231449</v>
      </c>
      <c r="E96" s="24">
        <f>Table13468111214[[#This Row],[Euro Area PMI]]-B84</f>
        <v>-6.8999999999999986</v>
      </c>
      <c r="F96" s="52">
        <f>(Table13468111214[[#This Row],[EZU]]-D84)/D84</f>
        <v>-0.26864550385088548</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20.995361328125</v>
      </c>
      <c r="E97" s="24">
        <f>Table13468111214[[#This Row],[Euro Area PMI]]-B85</f>
        <v>-6.3999999999999986</v>
      </c>
      <c r="F97" s="52">
        <f>(Table13468111214[[#This Row],[EZU]]-D85)/D85</f>
        <v>-0.21153395303520961</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22.385782241821289</v>
      </c>
      <c r="E98" s="24">
        <f>Table13468111214[[#This Row],[Euro Area PMI]]-B86</f>
        <v>-3.8999999999999986</v>
      </c>
      <c r="F98" s="52">
        <f>(Table13468111214[[#This Row],[EZU]]-D86)/D86</f>
        <v>-4.249690985186802E-2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23.21231651306152</v>
      </c>
      <c r="E99" s="24">
        <f>Table13468111214[[#This Row],[Euro Area PMI]]-B87</f>
        <v>-2.3999999999999986</v>
      </c>
      <c r="F99" s="52">
        <f>(Table13468111214[[#This Row],[EZU]]-D87)/D87</f>
        <v>0.14549162544476246</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23.807100296020511</v>
      </c>
      <c r="E100" s="24">
        <f>Table13468111214[[#This Row],[Euro Area PMI]]-B88</f>
        <v>-1.7000000000000028</v>
      </c>
      <c r="F100" s="52">
        <f>(Table13468111214[[#This Row],[EZU]]-D88)/D88</f>
        <v>4.3117142426392981E-2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24.618179321289059</v>
      </c>
      <c r="E101" s="24">
        <f>Table13468111214[[#This Row],[Euro Area PMI]]-B89</f>
        <v>-0.19999999999999574</v>
      </c>
      <c r="F101" s="52">
        <f>(Table13468111214[[#This Row],[EZU]]-D89)/D89</f>
        <v>0.12623757710970121</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25.84638786315918</v>
      </c>
      <c r="E102" s="24">
        <f>Table13468111214[[#This Row],[Euro Area PMI]]-B90</f>
        <v>-0.79999999999999716</v>
      </c>
      <c r="F102" s="52">
        <f>(Table13468111214[[#This Row],[EZU]]-D90)/D90</f>
        <v>0.24896389355924589</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26.919601440429691</v>
      </c>
      <c r="E103" s="24">
        <f>Table13468111214[[#This Row],[Euro Area PMI]]-B91</f>
        <v>-0.89999999999999858</v>
      </c>
      <c r="F103" s="52">
        <f>(Table13468111214[[#This Row],[EZU]]-D91)/D91</f>
        <v>0.2010154697194183</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25.679067611694339</v>
      </c>
      <c r="E104" s="24">
        <f>Table13468111214[[#This Row],[Euro Area PMI]]-B92</f>
        <v>-1.1000000000000014</v>
      </c>
      <c r="F104" s="52">
        <f>(Table13468111214[[#This Row],[EZU]]-D92)/D92</f>
        <v>8.6040234034780116E-2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25.31466102600098</v>
      </c>
      <c r="E105" s="24">
        <f>Table13468111214[[#This Row],[Euro Area PMI]]-B93</f>
        <v>-0.90000000000000568</v>
      </c>
      <c r="F105" s="52">
        <f>(Table13468111214[[#This Row],[EZU]]-D93)/D93</f>
        <v>6.9271313827443018E-2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26.772287368774411</v>
      </c>
      <c r="E106" s="24">
        <f>Table13468111214[[#This Row],[Euro Area PMI]]-B94</f>
        <v>0.80000000000000426</v>
      </c>
      <c r="F106" s="52">
        <f>(Table13468111214[[#This Row],[EZU]]-D94)/D94</f>
        <v>0.19805279992270367</v>
      </c>
      <c r="G106" s="52">
        <f>IF(VLOOKUP(Table13468111214[[#This Row],[Date]],'DB Global PMI'!$A:$F,6)=0,"",VLOOKUP(Table13468111214[[#This Row],[Date]],'DB Global PMI'!$A:$F,6))</f>
        <v>5.1473606766863711E-3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27.12119293212891</v>
      </c>
      <c r="E107" s="24">
        <f>Table13468111214[[#This Row],[Euro Area PMI]]-B95</f>
        <v>3.1999999999999957</v>
      </c>
      <c r="F107" s="52">
        <f>(Table13468111214[[#This Row],[EZU]]-D95)/D95</f>
        <v>0.39332988152402754</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25.182851791381839</v>
      </c>
      <c r="E108" s="24">
        <f>Table13468111214[[#This Row],[Euro Area PMI]]-B96</f>
        <v>3.6999999999999957</v>
      </c>
      <c r="F108" s="52">
        <f>(Table13468111214[[#This Row],[EZU]]-D96)/D96</f>
        <v>0.22258125660862324</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28.055849075317379</v>
      </c>
      <c r="E109" s="24">
        <f>Table13468111214[[#This Row],[Euro Area PMI]]-B97</f>
        <v>6.2999999999999972</v>
      </c>
      <c r="F109" s="52">
        <f>(Table13468111214[[#This Row],[EZU]]-D97)/D97</f>
        <v>0.33628798460992809</v>
      </c>
      <c r="G109" s="52">
        <f>IF(VLOOKUP(Table13468111214[[#This Row],[Date]],'DB Global PMI'!$A:$F,6)=0,"",VLOOKUP(Table13468111214[[#This Row],[Date]],'DB Global PMI'!$A:$F,6))</f>
        <v>3.0388036765969452E-3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27.547479629516602</v>
      </c>
      <c r="E110" s="24">
        <f>Table13468111214[[#This Row],[Euro Area PMI]]-B98</f>
        <v>6.2999999999999972</v>
      </c>
      <c r="F110" s="52">
        <f>(Table13468111214[[#This Row],[EZU]]-D98)/D98</f>
        <v>0.23057927268014741</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29.970182418823239</v>
      </c>
      <c r="E111" s="24">
        <f>Table13468111214[[#This Row],[Euro Area PMI]]-B99</f>
        <v>5</v>
      </c>
      <c r="F111" s="52">
        <f>(Table13468111214[[#This Row],[EZU]]-D99)/D99</f>
        <v>0.29113276574352598</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31.59857177734375</v>
      </c>
      <c r="E112" s="24">
        <f>Table13468111214[[#This Row],[Euro Area PMI]]-B100</f>
        <v>5.8999999999999986</v>
      </c>
      <c r="F112" s="52">
        <f>(Table13468111214[[#This Row],[EZU]]-D100)/D100</f>
        <v>0.32727511475329174</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32.059291839599609</v>
      </c>
      <c r="E113" s="24">
        <f>Table13468111214[[#This Row],[Euro Area PMI]]-B101</f>
        <v>5.3999999999999986</v>
      </c>
      <c r="F113" s="52">
        <f>(Table13468111214[[#This Row],[EZU]]-D101)/D101</f>
        <v>0.3022608788894352</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32.8695068359375</v>
      </c>
      <c r="E114" s="24">
        <f>Table13468111214[[#This Row],[Euro Area PMI]]-B102</f>
        <v>6.6000000000000014</v>
      </c>
      <c r="F114" s="52">
        <f>(Table13468111214[[#This Row],[EZU]]-D102)/D102</f>
        <v>0.27172535713545121</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31.29400634765625</v>
      </c>
      <c r="E115" s="24">
        <f>Table13468111214[[#This Row],[Euro Area PMI]]-B103</f>
        <v>6.1000000000000014</v>
      </c>
      <c r="F115" s="52">
        <f>(Table13468111214[[#This Row],[EZU]]-D103)/D103</f>
        <v>0.16249887342896466</v>
      </c>
      <c r="G115" s="52">
        <f>IF(VLOOKUP(Table13468111214[[#This Row],[Date]],'DB Global PMI'!$A:$F,6)=0,"",VLOOKUP(Table13468111214[[#This Row],[Date]],'DB Global PMI'!$A:$F,6))</f>
        <v>4.1415616412804612E-3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33.477493286132813</v>
      </c>
      <c r="E116" s="24">
        <f>Table13468111214[[#This Row],[Euro Area PMI]]-B104</f>
        <v>5.3000000000000043</v>
      </c>
      <c r="F116" s="52">
        <f>(Table13468111214[[#This Row],[EZU]]-D104)/D104</f>
        <v>0.30368803853637749</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33.684680938720703</v>
      </c>
      <c r="E117" s="24">
        <f>Table13468111214[[#This Row],[Euro Area PMI]]-B105</f>
        <v>6.2000000000000028</v>
      </c>
      <c r="F117" s="52">
        <f>(Table13468111214[[#This Row],[EZU]]-D105)/D105</f>
        <v>0.33063922539285751</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34.306259155273438</v>
      </c>
      <c r="E118" s="24">
        <f>Table13468111214[[#This Row],[Euro Area PMI]]-B106</f>
        <v>7.2999999999999972</v>
      </c>
      <c r="F118" s="52">
        <f>(Table13468111214[[#This Row],[EZU]]-D106)/D106</f>
        <v>0.28140934253104571</v>
      </c>
      <c r="G118" s="52">
        <f>IF(VLOOKUP(Table13468111214[[#This Row],[Date]],'DB Global PMI'!$A:$F,6)=0,"",VLOOKUP(Table13468111214[[#This Row],[Date]],'DB Global PMI'!$A:$F,6))</f>
        <v>1.950123720347438E-3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34.593147277832031</v>
      </c>
      <c r="E119" s="24">
        <f>Table13468111214[[#This Row],[Euro Area PMI]]-B107</f>
        <v>3.9000000000000057</v>
      </c>
      <c r="F119" s="52">
        <f>(Table13468111214[[#This Row],[EZU]]-D107)/D107</f>
        <v>0.27550242219808585</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33.724525451660163</v>
      </c>
      <c r="E120" s="24">
        <f>Table13468111214[[#This Row],[Euro Area PMI]]-B108</f>
        <v>3</v>
      </c>
      <c r="F120" s="52">
        <f>(Table13468111214[[#This Row],[EZU]]-D108)/D108</f>
        <v>0.3391861148625544</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32.326442718505859</v>
      </c>
      <c r="E121" s="24">
        <f>Table13468111214[[#This Row],[Euro Area PMI]]-B109</f>
        <v>1.5</v>
      </c>
      <c r="F121" s="52">
        <f>(Table13468111214[[#This Row],[EZU]]-D109)/D109</f>
        <v>0.15221758684700115</v>
      </c>
      <c r="G121" s="52">
        <f>IF(VLOOKUP(Table13468111214[[#This Row],[Date]],'DB Global PMI'!$A:$F,6)=0,"",VLOOKUP(Table13468111214[[#This Row],[Date]],'DB Global PMI'!$A:$F,6))</f>
        <v>4.9391818848553409E-3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32.383296966552727</v>
      </c>
      <c r="E122" s="24">
        <f>Table13468111214[[#This Row],[Euro Area PMI]]-B110</f>
        <v>-0.69999999999999574</v>
      </c>
      <c r="F122" s="52">
        <f>(Table13468111214[[#This Row],[EZU]]-D110)/D110</f>
        <v>0.17554481941987315</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31.270551681518551</v>
      </c>
      <c r="E123" s="24">
        <f>Table13468111214[[#This Row],[Euro Area PMI]]-B111</f>
        <v>-0.80000000000000426</v>
      </c>
      <c r="F123" s="52">
        <f>(Table13468111214[[#This Row],[EZU]]-D111)/D111</f>
        <v>4.3388767025942271E-2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30.377105712890621</v>
      </c>
      <c r="E124" s="24">
        <f>Table13468111214[[#This Row],[Euro Area PMI]]-B112</f>
        <v>-0.69999999999999574</v>
      </c>
      <c r="F124" s="52">
        <f>(Table13468111214[[#This Row],[EZU]]-D112)/D112</f>
        <v>-3.865573650163906E-2</v>
      </c>
      <c r="G124" s="52">
        <f>IF(VLOOKUP(Table13468111214[[#This Row],[Date]],'DB Global PMI'!$A:$F,6)=0,"",VLOOKUP(Table13468111214[[#This Row],[Date]],'DB Global PMI'!$A:$F,6))</f>
        <v>3.558540848885159E-3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31.55482292175293</v>
      </c>
      <c r="E125" s="24">
        <f>Table13468111214[[#This Row],[Euro Area PMI]]-B113</f>
        <v>-1.5</v>
      </c>
      <c r="F125" s="52">
        <f>(Table13468111214[[#This Row],[EZU]]-D113)/D113</f>
        <v>-1.573549785100244E-2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29.508035659790039</v>
      </c>
      <c r="E126" s="24">
        <f>Table13468111214[[#This Row],[Euro Area PMI]]-B114</f>
        <v>-2.1000000000000014</v>
      </c>
      <c r="F126" s="52">
        <f>(Table13468111214[[#This Row],[EZU]]-D114)/D114</f>
        <v>-0.1022671618690742</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30.008537292480469</v>
      </c>
      <c r="E127" s="24">
        <f>Table13468111214[[#This Row],[Euro Area PMI]]-B115</f>
        <v>-3</v>
      </c>
      <c r="F127" s="52">
        <f>(Table13468111214[[#This Row],[EZU]]-D115)/D115</f>
        <v>-4.1077164773824358E-2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31.873842239379879</v>
      </c>
      <c r="E128" s="24">
        <f>Table13468111214[[#This Row],[Euro Area PMI]]-B116</f>
        <v>-2.2000000000000028</v>
      </c>
      <c r="F128" s="52">
        <f>(Table13468111214[[#This Row],[EZU]]-D116)/D116</f>
        <v>-4.7902363329491111E-2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31.562967300415039</v>
      </c>
      <c r="E129" s="24">
        <f>Table13468111214[[#This Row],[Euro Area PMI]]-B117</f>
        <v>-0.79999999999999716</v>
      </c>
      <c r="F129" s="52">
        <f>(Table13468111214[[#This Row],[EZU]]-D117)/D117</f>
        <v>-6.2987493993649321E-2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32.266544342041023</v>
      </c>
      <c r="E130" s="24">
        <f>Table13468111214[[#This Row],[Euro Area PMI]]-B118</f>
        <v>-2</v>
      </c>
      <c r="F130" s="52">
        <f>(Table13468111214[[#This Row],[EZU]]-D118)/D118</f>
        <v>-5.9456054476836682E-2</v>
      </c>
      <c r="G130" s="52">
        <f>IF(VLOOKUP(Table13468111214[[#This Row],[Date]],'DB Global PMI'!$A:$F,6)=0,"",VLOOKUP(Table13468111214[[#This Row],[Date]],'DB Global PMI'!$A:$F,6))</f>
        <v>4.6068994602883537E-3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32.062015533447273</v>
      </c>
      <c r="E131" s="24">
        <f>Table13468111214[[#This Row],[Euro Area PMI]]-B119</f>
        <v>0</v>
      </c>
      <c r="F131" s="52">
        <f>(Table13468111214[[#This Row],[EZU]]-D119)/D119</f>
        <v>-7.3168588103770416E-2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30.712129592895511</v>
      </c>
      <c r="E132" s="24">
        <f>Table13468111214[[#This Row],[Euro Area PMI]]-B120</f>
        <v>0.70000000000000284</v>
      </c>
      <c r="F132" s="52">
        <f>(Table13468111214[[#This Row],[EZU]]-D120)/D120</f>
        <v>-8.9323595170598916E-2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32.208610534667969</v>
      </c>
      <c r="E133" s="24">
        <f>Table13468111214[[#This Row],[Euro Area PMI]]-B121</f>
        <v>0.60000000000000142</v>
      </c>
      <c r="F133" s="52">
        <f>(Table13468111214[[#This Row],[EZU]]-D121)/D121</f>
        <v>-3.6450711531719341E-3</v>
      </c>
      <c r="G133" s="52">
        <f>IF(VLOOKUP(Table13468111214[[#This Row],[Date]],'DB Global PMI'!$A:$F,6)=0,"",VLOOKUP(Table13468111214[[#This Row],[Date]],'DB Global PMI'!$A:$F,6))</f>
        <v>4.1682303293657944E-3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29.985893249511719</v>
      </c>
      <c r="E134" s="24">
        <f>Table13468111214[[#This Row],[Euro Area PMI]]-B122</f>
        <v>1.5999999999999943</v>
      </c>
      <c r="F134" s="52">
        <f>(Table13468111214[[#This Row],[EZU]]-D122)/D122</f>
        <v>-7.403210733969369E-2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28.587326049804691</v>
      </c>
      <c r="E135" s="24">
        <f>Table13468111214[[#This Row],[Euro Area PMI]]-B123</f>
        <v>1.7000000000000028</v>
      </c>
      <c r="F135" s="52">
        <f>(Table13468111214[[#This Row],[EZU]]-D123)/D123</f>
        <v>-8.5806789053219479E-2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30.676851272583011</v>
      </c>
      <c r="E136" s="24">
        <f>Table13468111214[[#This Row],[Euro Area PMI]]-B124</f>
        <v>1.6999999999999957</v>
      </c>
      <c r="F136" s="52">
        <f>(Table13468111214[[#This Row],[EZU]]-D124)/D124</f>
        <v>9.8674825220492271E-3</v>
      </c>
      <c r="G136" s="52">
        <f>IF(VLOOKUP(Table13468111214[[#This Row],[Date]],'DB Global PMI'!$A:$F,6)=0,"",VLOOKUP(Table13468111214[[#This Row],[Date]],'DB Global PMI'!$A:$F,6))</f>
        <v>4.6210301376277789E-3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30.435434341430661</v>
      </c>
      <c r="E137" s="24">
        <f>Table13468111214[[#This Row],[Euro Area PMI]]-B125</f>
        <v>2.6999999999999957</v>
      </c>
      <c r="F137" s="52">
        <f>(Table13468111214[[#This Row],[EZU]]-D125)/D125</f>
        <v>-3.547440538956715E-2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29.17006874084473</v>
      </c>
      <c r="E138" s="24">
        <f>Table13468111214[[#This Row],[Euro Area PMI]]-B126</f>
        <v>2.6000000000000014</v>
      </c>
      <c r="F138" s="52">
        <f>(Table13468111214[[#This Row],[EZU]]-D126)/D126</f>
        <v>-1.1453385879082732E-2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27.699224472045898</v>
      </c>
      <c r="E139" s="24">
        <f>Table13468111214[[#This Row],[Euro Area PMI]]-B127</f>
        <v>1.2999999999999972</v>
      </c>
      <c r="F139" s="52">
        <f>(Table13468111214[[#This Row],[EZU]]-D127)/D127</f>
        <v>-7.6955194381074926E-2</v>
      </c>
      <c r="G139" s="52">
        <f>IF(VLOOKUP(Table13468111214[[#This Row],[Date]],'DB Global PMI'!$A:$F,6)=0,"",VLOOKUP(Table13468111214[[#This Row],[Date]],'DB Global PMI'!$A:$F,6))</f>
        <v>5.5582645779962206E-3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26.531181335449219</v>
      </c>
      <c r="E140" s="24">
        <f>Table13468111214[[#This Row],[Euro Area PMI]]-B128</f>
        <v>0.20000000000000284</v>
      </c>
      <c r="F140" s="52">
        <f>(Table13468111214[[#This Row],[EZU]]-D128)/D128</f>
        <v>-0.16761897934381584</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28.692062377929691</v>
      </c>
      <c r="E141" s="24">
        <f>Table13468111214[[#This Row],[Euro Area PMI]]-B129</f>
        <v>-0.60000000000000142</v>
      </c>
      <c r="F141" s="52">
        <f>(Table13468111214[[#This Row],[EZU]]-D129)/D129</f>
        <v>-9.0958017196551638E-2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29.426254272460941</v>
      </c>
      <c r="E142" s="24">
        <f>Table13468111214[[#This Row],[Euro Area PMI]]-B130</f>
        <v>-0.29999999999999716</v>
      </c>
      <c r="F142" s="52">
        <f>(Table13468111214[[#This Row],[EZU]]-D130)/D130</f>
        <v>-8.8025852395956297E-2</v>
      </c>
      <c r="G142" s="52">
        <f>IF(VLOOKUP(Table13468111214[[#This Row],[Date]],'DB Global PMI'!$A:$F,6)=0,"",VLOOKUP(Table13468111214[[#This Row],[Date]],'DB Global PMI'!$A:$F,6))</f>
        <v>2.3383665099954961E-3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28.358333587646481</v>
      </c>
      <c r="E143" s="24">
        <f>Table13468111214[[#This Row],[Euro Area PMI]]-B131</f>
        <v>-0.70000000000000284</v>
      </c>
      <c r="F143" s="52">
        <f>(Table13468111214[[#This Row],[EZU]]-D131)/D131</f>
        <v>-0.11551619211016508</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26.923313140869141</v>
      </c>
      <c r="E144" s="24">
        <f>Table13468111214[[#This Row],[Euro Area PMI]]-B132</f>
        <v>0.29999999999999716</v>
      </c>
      <c r="F144" s="52">
        <f>(Table13468111214[[#This Row],[EZU]]-D132)/D132</f>
        <v>-0.12336547488725169</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28.927352905273441</v>
      </c>
      <c r="E145" s="24">
        <f>Table13468111214[[#This Row],[Euro Area PMI]]-B133</f>
        <v>-0.39999999999999858</v>
      </c>
      <c r="F145" s="52">
        <f>(Table13468111214[[#This Row],[EZU]]-D133)/D133</f>
        <v>-0.1018751686249465</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29.25228309631348</v>
      </c>
      <c r="E146" s="24">
        <f>Table13468111214[[#This Row],[Euro Area PMI]]-B134</f>
        <v>-0.59999999999999432</v>
      </c>
      <c r="F146" s="52">
        <f>(Table13468111214[[#This Row],[EZU]]-D134)/D134</f>
        <v>-2.4465175911015574E-2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29.491697311401371</v>
      </c>
      <c r="E147" s="24">
        <f>Table13468111214[[#This Row],[Euro Area PMI]]-B135</f>
        <v>0.60000000000000142</v>
      </c>
      <c r="F147" s="52">
        <f>(Table13468111214[[#This Row],[EZU]]-D135)/D135</f>
        <v>3.1635391852357538E-2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29.192422866821289</v>
      </c>
      <c r="E148" s="24">
        <f>Table13468111214[[#This Row],[Euro Area PMI]]-B136</f>
        <v>1.2000000000000028</v>
      </c>
      <c r="F148" s="52">
        <f>(Table13468111214[[#This Row],[EZU]]-D136)/D136</f>
        <v>-4.8389203721452619E-2</v>
      </c>
      <c r="G148" s="52">
        <f>IF(VLOOKUP(Table13468111214[[#This Row],[Date]],'DB Global PMI'!$A:$F,6)=0,"",VLOOKUP(Table13468111214[[#This Row],[Date]],'DB Global PMI'!$A:$F,6))</f>
        <v>7.5713228901048129E-3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28.02951622009277</v>
      </c>
      <c r="E149" s="24">
        <f>Table13468111214[[#This Row],[Euro Area PMI]]-B137</f>
        <v>0.90000000000000568</v>
      </c>
      <c r="F149" s="52">
        <f>(Table13468111214[[#This Row],[EZU]]-D137)/D137</f>
        <v>-7.9049902634798316E-2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29.585758209228519</v>
      </c>
      <c r="E150" s="24">
        <f>Table13468111214[[#This Row],[Euro Area PMI]]-B138</f>
        <v>1.6999999999999957</v>
      </c>
      <c r="F150" s="52">
        <f>(Table13468111214[[#This Row],[EZU]]-D138)/D138</f>
        <v>1.4250548124411146E-2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30.415985107421879</v>
      </c>
      <c r="E151" s="24">
        <f>Table13468111214[[#This Row],[Euro Area PMI]]-B139</f>
        <v>2.9000000000000057</v>
      </c>
      <c r="F151" s="52">
        <f>(Table13468111214[[#This Row],[EZU]]-D139)/D139</f>
        <v>9.8080747282933478E-2</v>
      </c>
      <c r="G151" s="52">
        <f>IF(VLOOKUP(Table13468111214[[#This Row],[Date]],'DB Global PMI'!$A:$F,6)=0,"",VLOOKUP(Table13468111214[[#This Row],[Date]],'DB Global PMI'!$A:$F,6))</f>
        <v>6.8294879327953422E-3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30.476230621337891</v>
      </c>
      <c r="E152" s="24">
        <f>Table13468111214[[#This Row],[Euro Area PMI]]-B140</f>
        <v>4.1999999999999957</v>
      </c>
      <c r="F152" s="52">
        <f>(Table13468111214[[#This Row],[EZU]]-D140)/D140</f>
        <v>0.14869482199111717</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32.361083984375</v>
      </c>
      <c r="E153" s="24">
        <f>Table13468111214[[#This Row],[Euro Area PMI]]-B141</f>
        <v>4.6000000000000014</v>
      </c>
      <c r="F153" s="52">
        <f>(Table13468111214[[#This Row],[EZU]]-D141)/D141</f>
        <v>0.12787584099453123</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33.772586822509773</v>
      </c>
      <c r="E154" s="24">
        <f>Table13468111214[[#This Row],[Euro Area PMI]]-B142</f>
        <v>5</v>
      </c>
      <c r="F154" s="52">
        <f>(Table13468111214[[#This Row],[EZU]]-D142)/D142</f>
        <v>0.14770254174403777</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35.442272186279297</v>
      </c>
      <c r="E155" s="24">
        <f>Table13468111214[[#This Row],[Euro Area PMI]]-B143</f>
        <v>5.5</v>
      </c>
      <c r="F155" s="52">
        <f>(Table13468111214[[#This Row],[EZU]]-D143)/D143</f>
        <v>0.24980094746183312</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34.710720062255859</v>
      </c>
      <c r="E156" s="24">
        <f>Table13468111214[[#This Row],[Euro Area PMI]]-B144</f>
        <v>4.6000000000000014</v>
      </c>
      <c r="F156" s="52">
        <f>(Table13468111214[[#This Row],[EZU]]-D144)/D144</f>
        <v>0.28924400502423919</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36.388866424560547</v>
      </c>
      <c r="E157" s="24">
        <f>Table13468111214[[#This Row],[Euro Area PMI]]-B145</f>
        <v>4.6000000000000014</v>
      </c>
      <c r="F157" s="52">
        <f>(Table13468111214[[#This Row],[EZU]]-D145)/D145</f>
        <v>0.25793972727891312</v>
      </c>
      <c r="G157" s="52">
        <f>IF(VLOOKUP(Table13468111214[[#This Row],[Date]],'DB Global PMI'!$A:$F,6)=0,"",VLOOKUP(Table13468111214[[#This Row],[Date]],'DB Global PMI'!$A:$F,6))</f>
        <v>7.7604421378669733E-3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36.563694000244141</v>
      </c>
      <c r="E158" s="24">
        <f>Table13468111214[[#This Row],[Euro Area PMI]]-B146</f>
        <v>5.6999999999999957</v>
      </c>
      <c r="F158" s="52">
        <f>(Table13468111214[[#This Row],[EZU]]-D146)/D146</f>
        <v>0.24994325673171408</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37.866104125976563</v>
      </c>
      <c r="E159" s="24">
        <f>Table13468111214[[#This Row],[Euro Area PMI]]-B147</f>
        <v>5.5</v>
      </c>
      <c r="F159" s="52">
        <f>(Table13468111214[[#This Row],[EZU]]-D147)/D147</f>
        <v>0.28395811628439843</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38.311893463134773</v>
      </c>
      <c r="E160" s="24">
        <f>Table13468111214[[#This Row],[Euro Area PMI]]-B148</f>
        <v>5</v>
      </c>
      <c r="F160" s="52">
        <f>(Table13468111214[[#This Row],[EZU]]-D148)/D148</f>
        <v>0.31239169965156394</v>
      </c>
      <c r="G160" s="52">
        <f>IF(VLOOKUP(Table13468111214[[#This Row],[Date]],'DB Global PMI'!$A:$F,6)=0,"",VLOOKUP(Table13468111214[[#This Row],[Date]],'DB Global PMI'!$A:$F,6))</f>
        <v>8.0912959996949918E-3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38.215740203857422</v>
      </c>
      <c r="E161" s="24">
        <f>Table13468111214[[#This Row],[Euro Area PMI]]-B149</f>
        <v>6.3999999999999986</v>
      </c>
      <c r="F161" s="52">
        <f>(Table13468111214[[#This Row],[EZU]]-D149)/D149</f>
        <v>0.36341062413566472</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37.918548583984382</v>
      </c>
      <c r="E162" s="24">
        <f>Table13468111214[[#This Row],[Euro Area PMI]]-B150</f>
        <v>5.7000000000000028</v>
      </c>
      <c r="F162" s="52">
        <f>(Table13468111214[[#This Row],[EZU]]-D150)/D150</f>
        <v>0.28164870123749819</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40.753448486328118</v>
      </c>
      <c r="E163" s="24">
        <f>Table13468111214[[#This Row],[Euro Area PMI]]-B151</f>
        <v>4.3999999999999986</v>
      </c>
      <c r="F163" s="52">
        <f>(Table13468111214[[#This Row],[EZU]]-D151)/D151</f>
        <v>0.33986942531687953</v>
      </c>
      <c r="G163" s="52">
        <f>IF(VLOOKUP(Table13468111214[[#This Row],[Date]],'DB Global PMI'!$A:$F,6)=0,"",VLOOKUP(Table13468111214[[#This Row],[Date]],'DB Global PMI'!$A:$F,6))</f>
        <v>-3.5100666500917641E-5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38.312808990478523</v>
      </c>
      <c r="E164" s="24">
        <f>Table13468111214[[#This Row],[Euro Area PMI]]-B152</f>
        <v>3.2000000000000028</v>
      </c>
      <c r="F164" s="52">
        <f>(Table13468111214[[#This Row],[EZU]]-D152)/D152</f>
        <v>0.25713738901994865</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38.058208465576172</v>
      </c>
      <c r="E165" s="24">
        <f>Table13468111214[[#This Row],[Euro Area PMI]]-B153</f>
        <v>0.39999999999999858</v>
      </c>
      <c r="F165" s="52">
        <f>(Table13468111214[[#This Row],[EZU]]-D153)/D153</f>
        <v>0.17604862939547797</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38.918582916259773</v>
      </c>
      <c r="E166" s="24">
        <f>Table13468111214[[#This Row],[Euro Area PMI]]-B154</f>
        <v>-0.5</v>
      </c>
      <c r="F166" s="52">
        <f>(Table13468111214[[#This Row],[EZU]]-D154)/D154</f>
        <v>0.15237198503018257</v>
      </c>
      <c r="G166" s="52">
        <f>IF(VLOOKUP(Table13468111214[[#This Row],[Date]],'DB Global PMI'!$A:$F,6)=0,"",VLOOKUP(Table13468111214[[#This Row],[Date]],'DB Global PMI'!$A:$F,6))</f>
        <v>5.3935343979740454E-3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37.522682189941413</v>
      </c>
      <c r="E167" s="24">
        <f>Table13468111214[[#This Row],[Euro Area PMI]]-B155</f>
        <v>-1.5</v>
      </c>
      <c r="F167" s="52">
        <f>(Table13468111214[[#This Row],[EZU]]-D155)/D155</f>
        <v>5.8698550497208297E-2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36.003856658935547</v>
      </c>
      <c r="E168" s="24">
        <f>Table13468111214[[#This Row],[Euro Area PMI]]-B156</f>
        <v>-2.5</v>
      </c>
      <c r="F168" s="52">
        <f>(Table13468111214[[#This Row],[EZU]]-D156)/D156</f>
        <v>3.7254675050254378E-2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38.285667419433587</v>
      </c>
      <c r="E169" s="24">
        <f>Table13468111214[[#This Row],[Euro Area PMI]]-B157</f>
        <v>-1.5</v>
      </c>
      <c r="F169" s="52">
        <f>(Table13468111214[[#This Row],[EZU]]-D157)/D157</f>
        <v>5.2125861046135806E-2</v>
      </c>
      <c r="G169" s="52">
        <f>IF(VLOOKUP(Table13468111214[[#This Row],[Date]],'DB Global PMI'!$A:$F,6)=0,"",VLOOKUP(Table13468111214[[#This Row],[Date]],'DB Global PMI'!$A:$F,6))</f>
        <v>8.6999664738546853E-5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37.071533203125</v>
      </c>
      <c r="E170" s="24">
        <f>Table13468111214[[#This Row],[Euro Area PMI]]-B158</f>
        <v>-2.7999999999999972</v>
      </c>
      <c r="F170" s="52">
        <f>(Table13468111214[[#This Row],[EZU]]-D158)/D158</f>
        <v>1.388916565370743E-2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36.882667541503913</v>
      </c>
      <c r="E171" s="24">
        <f>Table13468111214[[#This Row],[Euro Area PMI]]-B159</f>
        <v>-4.8999999999999986</v>
      </c>
      <c r="F171" s="52">
        <f>(Table13468111214[[#This Row],[EZU]]-D159)/D159</f>
        <v>-2.5971422388763803E-2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33.609004974365227</v>
      </c>
      <c r="E172" s="24">
        <f>Table13468111214[[#This Row],[Euro Area PMI]]-B160</f>
        <v>-6.5</v>
      </c>
      <c r="F172" s="52">
        <f>(Table13468111214[[#This Row],[EZU]]-D160)/D160</f>
        <v>-0.12275270323809111</v>
      </c>
      <c r="G172" s="52">
        <f>IF(VLOOKUP(Table13468111214[[#This Row],[Date]],'DB Global PMI'!$A:$F,6)=0,"",VLOOKUP(Table13468111214[[#This Row],[Date]],'DB Global PMI'!$A:$F,6))</f>
        <v>6.4659197374907244E-3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33.492088317871087</v>
      </c>
      <c r="E173" s="24">
        <f>Table13468111214[[#This Row],[Euro Area PMI]]-B161</f>
        <v>-8.3000000000000043</v>
      </c>
      <c r="F173" s="52">
        <f>(Table13468111214[[#This Row],[EZU]]-D161)/D161</f>
        <v>-0.12360487748735373</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31.531486511230469</v>
      </c>
      <c r="E174" s="24">
        <f>Table13468111214[[#This Row],[Euro Area PMI]]-B162</f>
        <v>-9.2000000000000028</v>
      </c>
      <c r="F174" s="52">
        <f>(Table13468111214[[#This Row],[EZU]]-D162)/D162</f>
        <v>-0.16844162847128621</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33.773578643798828</v>
      </c>
      <c r="E175" s="24">
        <f>Table13468111214[[#This Row],[Euro Area PMI]]-B163</f>
        <v>-9.1000000000000014</v>
      </c>
      <c r="F175" s="52">
        <f>(Table13468111214[[#This Row],[EZU]]-D163)/D163</f>
        <v>-0.17127065565680613</v>
      </c>
      <c r="G175" s="52">
        <f>IF(VLOOKUP(Table13468111214[[#This Row],[Date]],'DB Global PMI'!$A:$F,6)=0,"",VLOOKUP(Table13468111214[[#This Row],[Date]],'DB Global PMI'!$A:$F,6))</f>
        <v>6.2815300029311627E-3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34.831546783447273</v>
      </c>
      <c r="E176" s="24">
        <f>Table13468111214[[#This Row],[Euro Area PMI]]-B164</f>
        <v>-9.3000000000000043</v>
      </c>
      <c r="F176" s="52">
        <f>(Table13468111214[[#This Row],[EZU]]-D164)/D164</f>
        <v>-9.0864186123664578E-2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34.903881072998047</v>
      </c>
      <c r="E177" s="24">
        <f>Table13468111214[[#This Row],[Euro Area PMI]]-B165</f>
        <v>-9.1000000000000014</v>
      </c>
      <c r="F177" s="52">
        <f>(Table13468111214[[#This Row],[EZU]]-D165)/D165</f>
        <v>-8.2881657328437539E-2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36.649082183837891</v>
      </c>
      <c r="E178" s="24">
        <f>Table13468111214[[#This Row],[Euro Area PMI]]-B166</f>
        <v>-8.3000000000000043</v>
      </c>
      <c r="F178" s="52">
        <f>(Table13468111214[[#This Row],[EZU]]-D166)/D166</f>
        <v>-5.8314063934576318E-2</v>
      </c>
      <c r="G178" s="52">
        <f>IF(VLOOKUP(Table13468111214[[#This Row],[Date]],'DB Global PMI'!$A:$F,6)=0,"",VLOOKUP(Table13468111214[[#This Row],[Date]],'DB Global PMI'!$A:$F,6))</f>
        <v>3.13693459033283E-3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34.28900146484375</v>
      </c>
      <c r="E179" s="24">
        <f>Table13468111214[[#This Row],[Euro Area PMI]]-B167</f>
        <v>-7.7999999999999972</v>
      </c>
      <c r="F179" s="52">
        <f>(Table13468111214[[#This Row],[EZU]]-D167)/D167</f>
        <v>-8.6179359693121987E-2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35.771961212158203</v>
      </c>
      <c r="E180" s="24">
        <f>Table13468111214[[#This Row],[Euro Area PMI]]-B168</f>
        <v>-7.2999999999999972</v>
      </c>
      <c r="F180" s="52">
        <f>(Table13468111214[[#This Row],[EZU]]-D168)/D168</f>
        <v>-6.4408501837480581E-3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35.735660552978523</v>
      </c>
      <c r="E181" s="24">
        <f>Table13468111214[[#This Row],[Euro Area PMI]]-B169</f>
        <v>-8.6000000000000014</v>
      </c>
      <c r="F181" s="52">
        <f>(Table13468111214[[#This Row],[EZU]]-D169)/D169</f>
        <v>-6.6604738491791188E-2</v>
      </c>
      <c r="G181" s="52">
        <f>IF(VLOOKUP(Table13468111214[[#This Row],[Date]],'DB Global PMI'!$A:$F,6)=0,"",VLOOKUP(Table13468111214[[#This Row],[Date]],'DB Global PMI'!$A:$F,6))</f>
        <v>2.074514789335913E-3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35.197166442871087</v>
      </c>
      <c r="E182" s="24">
        <f>Table13468111214[[#This Row],[Euro Area PMI]]-B170</f>
        <v>-7.6000000000000014</v>
      </c>
      <c r="F182" s="52">
        <f>(Table13468111214[[#This Row],[EZU]]-D170)/D170</f>
        <v>-5.0560810365833771E-2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36.107040405273438</v>
      </c>
      <c r="E183" s="24">
        <f>Table13468111214[[#This Row],[Euro Area PMI]]-B171</f>
        <v>-7.5</v>
      </c>
      <c r="F183" s="52">
        <f>(Table13468111214[[#This Row],[EZU]]-D171)/D171</f>
        <v>-2.102958348545874E-2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37.527549743652337</v>
      </c>
      <c r="E184" s="24">
        <f>Table13468111214[[#This Row],[Euro Area PMI]]-B172</f>
        <v>-6.1000000000000014</v>
      </c>
      <c r="F184" s="52">
        <f>(Table13468111214[[#This Row],[EZU]]-D172)/D172</f>
        <v>0.11659210893853958</v>
      </c>
      <c r="G184" s="52">
        <f>IF(VLOOKUP(Table13468111214[[#This Row],[Date]],'DB Global PMI'!$A:$F,6)=0,"",VLOOKUP(Table13468111214[[#This Row],[Date]],'DB Global PMI'!$A:$F,6))</f>
        <v>1.5764098787802861E-4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37.871078491210938</v>
      </c>
      <c r="E185" s="24">
        <f>Table13468111214[[#This Row],[Euro Area PMI]]-B173</f>
        <v>-4.8999999999999986</v>
      </c>
      <c r="F185" s="52">
        <f>(Table13468111214[[#This Row],[EZU]]-D173)/D173</f>
        <v>0.13074700304678402</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38.920207977294922</v>
      </c>
      <c r="E186" s="24">
        <f>Table13468111214[[#This Row],[Euro Area PMI]]-B174</f>
        <v>-5.1000000000000014</v>
      </c>
      <c r="F186" s="52">
        <f>(Table13468111214[[#This Row],[EZU]]-D174)/D174</f>
        <v>0.23432835820895523</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37.737773895263672</v>
      </c>
      <c r="E187" s="24">
        <f>Table13468111214[[#This Row],[Euro Area PMI]]-B175</f>
        <v>-2.6000000000000014</v>
      </c>
      <c r="F187" s="52">
        <f>(Table13468111214[[#This Row],[EZU]]-D175)/D175</f>
        <v>0.11737563535313159</v>
      </c>
      <c r="G187" s="52">
        <f>IF(VLOOKUP(Table13468111214[[#This Row],[Date]],'DB Global PMI'!$A:$F,6)=0,"",VLOOKUP(Table13468111214[[#This Row],[Date]],'DB Global PMI'!$A:$F,6))</f>
        <v>-3.3637830792408972E-2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34.950321197509773</v>
      </c>
      <c r="E188" s="24">
        <f>Table13468111214[[#This Row],[Euro Area PMI]]-B176</f>
        <v>-9.9999999999994316E-2</v>
      </c>
      <c r="F188" s="52">
        <f>(Table13468111214[[#This Row],[EZU]]-D176)/D176</f>
        <v>3.4099666833901344E-3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28.443166732788089</v>
      </c>
      <c r="E189" s="24">
        <f>Table13468111214[[#This Row],[Euro Area PMI]]-B177</f>
        <v>-3</v>
      </c>
      <c r="F189" s="52">
        <f>(Table13468111214[[#This Row],[EZU]]-D177)/D177</f>
        <v>-0.18510017057123265</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30.195810317993161</v>
      </c>
      <c r="E190" s="24">
        <f>Table13468111214[[#This Row],[Euro Area PMI]]-B178</f>
        <v>-14.5</v>
      </c>
      <c r="F190" s="52">
        <f>(Table13468111214[[#This Row],[EZU]]-D178)/D178</f>
        <v>-0.17608276882553417</v>
      </c>
      <c r="G190" s="52">
        <f>IF(VLOOKUP(Table13468111214[[#This Row],[Date]],'DB Global PMI'!$A:$F,6)=0,"",VLOOKUP(Table13468111214[[#This Row],[Date]],'DB Global PMI'!$A:$F,6))</f>
        <v>-0.11450080736536331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32.423904418945313</v>
      </c>
      <c r="E191" s="24">
        <f>Table13468111214[[#This Row],[Euro Area PMI]]-B179</f>
        <v>-8.3000000000000043</v>
      </c>
      <c r="F191" s="52">
        <f>(Table13468111214[[#This Row],[EZU]]-D179)/D179</f>
        <v>-5.4393448809254688E-2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34.008739471435547</v>
      </c>
      <c r="E192" s="24">
        <f>Table13468111214[[#This Row],[Euro Area PMI]]-B180</f>
        <v>-0.20000000000000284</v>
      </c>
      <c r="F192" s="52">
        <f>(Table13468111214[[#This Row],[EZU]]-D180)/D180</f>
        <v>-4.9290608649194524E-2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35.430229187011719</v>
      </c>
      <c r="E193" s="24">
        <f>Table13468111214[[#This Row],[Euro Area PMI]]-B181</f>
        <v>5.2999999999999972</v>
      </c>
      <c r="F193" s="52">
        <f>(Table13468111214[[#This Row],[EZU]]-D181)/D181</f>
        <v>-8.5469629283611119E-3</v>
      </c>
      <c r="G193" s="52">
        <f>IF(VLOOKUP(Table13468111214[[#This Row],[Date]],'DB Global PMI'!$A:$F,6)=0,"",VLOOKUP(Table13468111214[[#This Row],[Date]],'DB Global PMI'!$A:$F,6))</f>
        <v>0.1235111337444042</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37.047966003417969</v>
      </c>
      <c r="E194" s="24">
        <f>Table13468111214[[#This Row],[Euro Area PMI]]-B182</f>
        <v>4.7000000000000028</v>
      </c>
      <c r="F194" s="52">
        <f>(Table13468111214[[#This Row],[EZU]]-D182)/D182</f>
        <v>5.2583765899193488E-2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35.665359497070313</v>
      </c>
      <c r="E195" s="24">
        <f>Table13468111214[[#This Row],[Euro Area PMI]]-B183</f>
        <v>8</v>
      </c>
      <c r="F195" s="52">
        <f>(Table13468111214[[#This Row],[EZU]]-D183)/D183</f>
        <v>-1.2232542552521625E-2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33.746662139892578</v>
      </c>
      <c r="E196" s="24">
        <f>Table13468111214[[#This Row],[Euro Area PMI]]-B184</f>
        <v>8.8999999999999986</v>
      </c>
      <c r="F196" s="52">
        <f>(Table13468111214[[#This Row],[EZU]]-D184)/D184</f>
        <v>-0.10074965271078705</v>
      </c>
      <c r="G196" s="52">
        <f>IF(VLOOKUP(Table13468111214[[#This Row],[Date]],'DB Global PMI'!$A:$F,6)=0,"",VLOOKUP(Table13468111214[[#This Row],[Date]],'DB Global PMI'!$A:$F,6))</f>
        <v>-2.623450635427683E-3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40.386890411376953</v>
      </c>
      <c r="E197" s="24">
        <f>Table13468111214[[#This Row],[Euro Area PMI]]-B185</f>
        <v>6.8999999999999986</v>
      </c>
      <c r="F197" s="52">
        <f>(Table13468111214[[#This Row],[EZU]]-D185)/D185</f>
        <v>6.643095524068271E-2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41.459110260009773</v>
      </c>
      <c r="E198" s="24">
        <f>Table13468111214[[#This Row],[Euro Area PMI]]-B186</f>
        <v>8.9000000000000057</v>
      </c>
      <c r="F198" s="52">
        <f>(Table13468111214[[#This Row],[EZU]]-D186)/D186</f>
        <v>6.5233523011901245E-2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41.322246551513672</v>
      </c>
      <c r="E199" s="24">
        <f>Table13468111214[[#This Row],[Euro Area PMI]]-B187</f>
        <v>6.8999999999999986</v>
      </c>
      <c r="F199" s="52">
        <f>(Table13468111214[[#This Row],[EZU]]-D187)/D187</f>
        <v>9.4983680441730403E-2</v>
      </c>
      <c r="G199" s="52">
        <f>IF(VLOOKUP(Table13468111214[[#This Row],[Date]],'DB Global PMI'!$A:$F,6)=0,"",VLOOKUP(Table13468111214[[#This Row],[Date]],'DB Global PMI'!$A:$F,6))</f>
        <v>-6.2096834024266559E-4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42.724777221679688</v>
      </c>
      <c r="E200" s="24">
        <f>Table13468111214[[#This Row],[Euro Area PMI]]-B188</f>
        <v>8.6999999999999957</v>
      </c>
      <c r="F200" s="52">
        <f>(Table13468111214[[#This Row],[EZU]]-D188)/D188</f>
        <v>0.22244304938530432</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44.299049377441413</v>
      </c>
      <c r="E201" s="24">
        <f>Table13468111214[[#This Row],[Euro Area PMI]]-B189</f>
        <v>18</v>
      </c>
      <c r="F201" s="52">
        <f>(Table13468111214[[#This Row],[EZU]]-D189)/D189</f>
        <v>0.55745841500747273</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46.359916687011719</v>
      </c>
      <c r="E202" s="24">
        <f>Table13468111214[[#This Row],[Euro Area PMI]]-B190</f>
        <v>29.5</v>
      </c>
      <c r="F202" s="52">
        <f>(Table13468111214[[#This Row],[EZU]]-D190)/D190</f>
        <v>0.53530957436789328</v>
      </c>
      <c r="G202" s="52">
        <f>IF(VLOOKUP(Table13468111214[[#This Row],[Date]],'DB Global PMI'!$A:$F,6)=0,"",VLOOKUP(Table13468111214[[#This Row],[Date]],'DB Global PMI'!$A:$F,6))</f>
        <v>1.9862123468883421E-2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48.392158508300781</v>
      </c>
      <c r="E203" s="24">
        <f>Table13468111214[[#This Row],[Euro Area PMI]]-B191</f>
        <v>23.700000000000003</v>
      </c>
      <c r="F203" s="52">
        <f>(Table13468111214[[#This Row],[EZU]]-D191)/D191</f>
        <v>0.4924839983190058</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47.085029602050781</v>
      </c>
      <c r="E204" s="24">
        <f>Table13468111214[[#This Row],[Euro Area PMI]]-B192</f>
        <v>16</v>
      </c>
      <c r="F204" s="52">
        <f>(Table13468111214[[#This Row],[EZU]]-D192)/D192</f>
        <v>0.38449793593785525</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48.015270233154297</v>
      </c>
      <c r="E205" s="24">
        <f>Table13468111214[[#This Row],[Euro Area PMI]]-B193</f>
        <v>11</v>
      </c>
      <c r="F205" s="52">
        <f>(Table13468111214[[#This Row],[EZU]]-D193)/D193</f>
        <v>0.35520631209340575</v>
      </c>
      <c r="G205" s="52">
        <f>IF(VLOOKUP(Table13468111214[[#This Row],[Date]],'DB Global PMI'!$A:$F,6)=0,"",VLOOKUP(Table13468111214[[#This Row],[Date]],'DB Global PMI'!$A:$F,6))</f>
        <v>2.2506408299158821E-2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48.959201812744141</v>
      </c>
      <c r="E206" s="24">
        <f>Table13468111214[[#This Row],[Euro Area PMI]]-B194</f>
        <v>9.6999999999999957</v>
      </c>
      <c r="F206" s="52">
        <f>(Table13468111214[[#This Row],[EZU]]-D194)/D194</f>
        <v>0.32150849545228111</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46.348945617675781</v>
      </c>
      <c r="E207" s="24">
        <f>Table13468111214[[#This Row],[Euro Area PMI]]-B195</f>
        <v>4.8999999999999986</v>
      </c>
      <c r="F207" s="52">
        <f>(Table13468111214[[#This Row],[EZU]]-D195)/D195</f>
        <v>0.299550776194561</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48.467971801757813</v>
      </c>
      <c r="E208" s="24">
        <f>Table13468111214[[#This Row],[Euro Area PMI]]-B196</f>
        <v>3.5</v>
      </c>
      <c r="F208" s="52">
        <f>(Table13468111214[[#This Row],[EZU]]-D196)/D196</f>
        <v>0.43623009590814882</v>
      </c>
      <c r="G208" s="52">
        <f>IF(VLOOKUP(Table13468111214[[#This Row],[Date]],'DB Global PMI'!$A:$F,6)=0,"",VLOOKUP(Table13468111214[[#This Row],[Date]],'DB Global PMI'!$A:$F,6))</f>
        <v>5.3520432827389268E-3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45.848079681396477</v>
      </c>
      <c r="E209" s="24">
        <f>Table13468111214[[#This Row],[Euro Area PMI]]-B197</f>
        <v>4.6000000000000014</v>
      </c>
      <c r="F209" s="52">
        <f>(Table13468111214[[#This Row],[EZU]]-D197)/D197</f>
        <v>0.13522183100487262</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47.206188201904297</v>
      </c>
      <c r="E210" s="24">
        <f>Table13468111214[[#This Row],[Euro Area PMI]]-B198</f>
        <v>2.7999999999999972</v>
      </c>
      <c r="F210" s="52">
        <f>(Table13468111214[[#This Row],[EZU]]-D198)/D198</f>
        <v>0.13862038779539332</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46.3187255859375</v>
      </c>
      <c r="E211" s="24">
        <f>Table13468111214[[#This Row],[Euro Area PMI]]-B199</f>
        <v>4.2000000000000028</v>
      </c>
      <c r="F211" s="52">
        <f>(Table13468111214[[#This Row],[EZU]]-D199)/D199</f>
        <v>0.12091499014205467</v>
      </c>
      <c r="G211" s="52">
        <f>IF(VLOOKUP(Table13468111214[[#This Row],[Date]],'DB Global PMI'!$A:$F,6)=0,"",VLOOKUP(Table13468111214[[#This Row],[Date]],'DB Global PMI'!$A:$F,6))</f>
        <v>6.1132727921028897E-3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42.897121429443359</v>
      </c>
      <c r="E212" s="24">
        <f>Table13468111214[[#This Row],[Euro Area PMI]]-B200</f>
        <v>0.5</v>
      </c>
      <c r="F212" s="52">
        <f>(Table13468111214[[#This Row],[EZU]]-D200)/D200</f>
        <v>4.033823438550777E-3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42.300785064697273</v>
      </c>
      <c r="E213" s="24">
        <f>Table13468111214[[#This Row],[Euro Area PMI]]-B201</f>
        <v>-5.5</v>
      </c>
      <c r="F213" s="52">
        <f>(Table13468111214[[#This Row],[EZU]]-D201)/D201</f>
        <v>-4.5108514535341815E-2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39.211566925048828</v>
      </c>
      <c r="E214" s="24">
        <f>Table13468111214[[#This Row],[Euro Area PMI]]-B202</f>
        <v>-7.3999999999999986</v>
      </c>
      <c r="F214" s="52">
        <f>(Table13468111214[[#This Row],[EZU]]-D202)/D202</f>
        <v>-0.15419246350728635</v>
      </c>
      <c r="G214" s="52">
        <f>IF(VLOOKUP(Table13468111214[[#This Row],[Date]],'DB Global PMI'!$A:$F,6)=0,"",VLOOKUP(Table13468111214[[#This Row],[Date]],'DB Global PMI'!$A:$F,6))</f>
        <v>7.9510966455841811E-3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40.912590026855469</v>
      </c>
      <c r="E215" s="24">
        <f>Table13468111214[[#This Row],[Euro Area PMI]]-B203</f>
        <v>-8.7000000000000028</v>
      </c>
      <c r="F215" s="52">
        <f>(Table13468111214[[#This Row],[EZU]]-D203)/D203</f>
        <v>-0.15456158005769324</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35.535785675048828</v>
      </c>
      <c r="E216" s="24">
        <f>Table13468111214[[#This Row],[Euro Area PMI]]-B204</f>
        <v>-11.399999999999999</v>
      </c>
      <c r="F216" s="52">
        <f>(Table13468111214[[#This Row],[EZU]]-D204)/D204</f>
        <v>-0.24528483946198745</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38.159999847412109</v>
      </c>
      <c r="E217" s="24">
        <f>Table13468111214[[#This Row],[Euro Area PMI]]-B205</f>
        <v>-13</v>
      </c>
      <c r="F217" s="52">
        <f>(Table13468111214[[#This Row],[EZU]]-D205)/D205</f>
        <v>-0.20525283598085789</v>
      </c>
      <c r="G217" s="52">
        <f>IF(VLOOKUP(Table13468111214[[#This Row],[Date]],'DB Global PMI'!$A:$F,6)=0,"",VLOOKUP(Table13468111214[[#This Row],[Date]],'DB Global PMI'!$A:$F,6))</f>
        <v>3.184090836015212E-3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35.330001831054688</v>
      </c>
      <c r="E218" s="24">
        <f>Table13468111214[[#This Row],[Euro Area PMI]]-B206</f>
        <v>-11.799999999999997</v>
      </c>
      <c r="F218" s="52">
        <f>(Table13468111214[[#This Row],[EZU]]-D206)/D206</f>
        <v>-0.27837872099748479</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31.979999542236332</v>
      </c>
      <c r="E219" s="24">
        <f>Table13468111214[[#This Row],[Euro Area PMI]]-B207</f>
        <v>-10.200000000000003</v>
      </c>
      <c r="F219" s="52">
        <f>(Table13468111214[[#This Row],[EZU]]-D207)/D207</f>
        <v>-0.31001667640870051</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35.209999084472663</v>
      </c>
      <c r="E220" s="24">
        <f>Table13468111214[[#This Row],[Euro Area PMI]]-B208</f>
        <v>-11.899999999999999</v>
      </c>
      <c r="F220" s="52">
        <f>(Table13468111214[[#This Row],[EZU]]-D208)/D208</f>
        <v>-0.27354090184570745</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40.540000915527337</v>
      </c>
      <c r="E221" s="24">
        <f>Table13468111214[[#This Row],[Euro Area PMI]]-B209</f>
        <v>-11.299999999999997</v>
      </c>
      <c r="F221" s="52">
        <f>(Table13468111214[[#This Row],[EZU]]-D209)/D209</f>
        <v>-0.11577537822206696</v>
      </c>
      <c r="G221"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3"/>
  <sheetViews>
    <sheetView zoomScale="70" zoomScaleNormal="70" workbookViewId="0">
      <pane ySplit="5" topLeftCell="A163" activePane="bottomLeft" state="frozen"/>
      <selection activeCell="B327" sqref="B327"/>
      <selection pane="bottomLeft" activeCell="R177" sqref="R177"/>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4"/>
  <sheetViews>
    <sheetView zoomScale="80" zoomScaleNormal="80" workbookViewId="0">
      <pane ySplit="5" topLeftCell="A169" activePane="bottomLeft" state="frozen"/>
      <selection pane="bottomLeft" activeCell="R185" sqref="R185"/>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7"/>
  <sheetViews>
    <sheetView zoomScale="80" zoomScaleNormal="80" workbookViewId="0">
      <pane ySplit="5" topLeftCell="A164" activePane="bottomLeft" state="frozen"/>
      <selection pane="bottomLeft" activeCell="A161" sqref="A161:C177"/>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1"/>
  <sheetViews>
    <sheetView zoomScaleNormal="100" workbookViewId="0">
      <pane ySplit="5" topLeftCell="A204" activePane="bottomLeft" state="frozen"/>
      <selection activeCell="P121" sqref="P121"/>
      <selection pane="bottomLeft" activeCell="A209" sqref="A209:F221"/>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18.281003952026371</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18.18061637878418</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19.138576507568359</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18.675048828125</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18.448434829711911</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18.304218292236332</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18.510232925415039</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18.64414215087891</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19.38578987121582</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19.52999305725098</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19.056171417236332</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19.087066650390621</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19.138576507568359</v>
      </c>
      <c r="E18" s="24">
        <f>Table134681112[[#This Row],[PMI]]-B6</f>
        <v>-2.6000000000000014</v>
      </c>
      <c r="F18" s="52">
        <f>(Table134681112[[#This Row],[EWU]]-D6)/D6</f>
        <v>4.6910583127297581E-2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20.930795669555661</v>
      </c>
      <c r="E19" s="24">
        <f>Table134681112[[#This Row],[PMI]]-B7</f>
        <v>-9.9999999999994316E-2</v>
      </c>
      <c r="F19" s="52">
        <f>(Table134681112[[#This Row],[EWU]]-D7)/D7</f>
        <v>0.15126985980413707</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20.813982009887699</v>
      </c>
      <c r="E20" s="24">
        <f>Table134681112[[#This Row],[PMI]]-B8</f>
        <v>-9.9999999999994316E-2</v>
      </c>
      <c r="F20" s="52">
        <f>(Table134681112[[#This Row],[EWU]]-D8)/D8</f>
        <v>8.7540758407857536E-2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21.40866661071777</v>
      </c>
      <c r="E21" s="24">
        <f>Table134681112[[#This Row],[PMI]]-B9</f>
        <v>-1.2000000000000028</v>
      </c>
      <c r="F21" s="52">
        <f>(Table134681112[[#This Row],[EWU]]-D9)/D9</f>
        <v>0.14637807953015289</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22.778566360473629</v>
      </c>
      <c r="E22" s="24">
        <f>Table134681112[[#This Row],[PMI]]-B10</f>
        <v>4.6000000000000014</v>
      </c>
      <c r="F22" s="52">
        <f>(Table134681112[[#This Row],[EWU]]-D10)/D10</f>
        <v>0.23471538755081142</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22.173259735107418</v>
      </c>
      <c r="E23" s="24">
        <f>Table134681112[[#This Row],[PMI]]-B11</f>
        <v>5.9000000000000057</v>
      </c>
      <c r="F23" s="52">
        <f>(Table134681112[[#This Row],[EWU]]-D11)/D11</f>
        <v>0.21137430624459536</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22.353794097900391</v>
      </c>
      <c r="E24" s="24">
        <f>Table134681112[[#This Row],[PMI]]-B12</f>
        <v>5.5</v>
      </c>
      <c r="F24" s="52">
        <f>(Table134681112[[#This Row],[EWU]]-D12)/D12</f>
        <v>0.2076452083543498</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22.937856674194339</v>
      </c>
      <c r="E25" s="24">
        <f>Table134681112[[#This Row],[PMI]]-B13</f>
        <v>4.5999999999999943</v>
      </c>
      <c r="F25" s="52">
        <f>(Table134681112[[#This Row],[EWU]]-D13)/D13</f>
        <v>0.23029831507227691</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23.43696212768555</v>
      </c>
      <c r="E26" s="24">
        <f>Table134681112[[#This Row],[PMI]]-B14</f>
        <v>3</v>
      </c>
      <c r="F26" s="52">
        <f>(Table134681112[[#This Row],[EWU]]-D14)/D14</f>
        <v>0.20897638339126662</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23.245819091796879</v>
      </c>
      <c r="E27" s="24">
        <f>Table134681112[[#This Row],[PMI]]-B15</f>
        <v>2.8999999999999986</v>
      </c>
      <c r="F27" s="52">
        <f>(Table134681112[[#This Row],[EWU]]-D15)/D15</f>
        <v>0.19026253740353014</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24.318378448486332</v>
      </c>
      <c r="E28" s="24">
        <f>Table134681112[[#This Row],[PMI]]-B16</f>
        <v>2</v>
      </c>
      <c r="F28" s="52">
        <f>(Table134681112[[#This Row],[EWU]]-D16)/D16</f>
        <v>0.27614188160011655</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25.008636474609379</v>
      </c>
      <c r="E29" s="24">
        <f>Table134681112[[#This Row],[PMI]]-B17</f>
        <v>2.6000000000000014</v>
      </c>
      <c r="F29" s="52">
        <f>(Table134681112[[#This Row],[EWU]]-D17)/D17</f>
        <v>0.31023990918466093</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24.859966278076168</v>
      </c>
      <c r="E30" s="24">
        <f>Table134681112[[#This Row],[PMI]]-B18</f>
        <v>0.79999999999999716</v>
      </c>
      <c r="F30" s="52">
        <f>(Table134681112[[#This Row],[EWU]]-D18)/D18</f>
        <v>0.29894541886358594</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25.897018432617191</v>
      </c>
      <c r="E31" s="24">
        <f>Table134681112[[#This Row],[PMI]]-B19</f>
        <v>1.0999999999999943</v>
      </c>
      <c r="F31" s="52">
        <f>(Table134681112[[#This Row],[EWU]]-D19)/D19</f>
        <v>0.23726870404095624</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25.512466430664059</v>
      </c>
      <c r="E32" s="24">
        <f>Table134681112[[#This Row],[PMI]]-B20</f>
        <v>3.6999999999999957</v>
      </c>
      <c r="F32" s="52">
        <f>(Table134681112[[#This Row],[EWU]]-D20)/D20</f>
        <v>0.22573693099880365</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26.44638824462891</v>
      </c>
      <c r="E33" s="24">
        <f>Table134681112[[#This Row],[PMI]]-B21</f>
        <v>3.6000000000000014</v>
      </c>
      <c r="F33" s="52">
        <f>(Table134681112[[#This Row],[EWU]]-D21)/D21</f>
        <v>0.23531225580340989</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27.30339241027832</v>
      </c>
      <c r="E34" s="24">
        <f>Table134681112[[#This Row],[PMI]]-B22</f>
        <v>-0.20000000000000284</v>
      </c>
      <c r="F34" s="52">
        <f>(Table134681112[[#This Row],[EWU]]-D22)/D22</f>
        <v>0.19864402255167246</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27.88571929931641</v>
      </c>
      <c r="E35" s="24">
        <f>Table134681112[[#This Row],[PMI]]-B23</f>
        <v>1.6999999999999957</v>
      </c>
      <c r="F35" s="52">
        <f>(Table134681112[[#This Row],[EWU]]-D23)/D23</f>
        <v>0.25762831592886304</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28.072500228881839</v>
      </c>
      <c r="E36" s="24">
        <f>Table134681112[[#This Row],[PMI]]-B24</f>
        <v>-0.80000000000000426</v>
      </c>
      <c r="F36" s="52">
        <f>(Table134681112[[#This Row],[EWU]]-D24)/D24</f>
        <v>0.25582709163088274</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27.127593994140621</v>
      </c>
      <c r="E37" s="24">
        <f>Table134681112[[#This Row],[PMI]]-B25</f>
        <v>1.9000000000000057</v>
      </c>
      <c r="F37" s="52">
        <f>(Table134681112[[#This Row],[EWU]]-D25)/D25</f>
        <v>0.18265600746646224</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27.18253135681152</v>
      </c>
      <c r="E38" s="24">
        <f>Table134681112[[#This Row],[PMI]]-B26</f>
        <v>3.1999999999999957</v>
      </c>
      <c r="F38" s="52">
        <f>(Table134681112[[#This Row],[EWU]]-D26)/D26</f>
        <v>0.15981462139674721</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28.270271301269531</v>
      </c>
      <c r="E39" s="24">
        <f>Table134681112[[#This Row],[PMI]]-B27</f>
        <v>0.70000000000000284</v>
      </c>
      <c r="F39" s="52">
        <f>(Table134681112[[#This Row],[EWU]]-D27)/D27</f>
        <v>0.21614433931672947</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29.907375335693359</v>
      </c>
      <c r="E40" s="24">
        <f>Table134681112[[#This Row],[PMI]]-B28</f>
        <v>-0.80000000000000426</v>
      </c>
      <c r="F40" s="52">
        <f>(Table134681112[[#This Row],[EWU]]-D28)/D28</f>
        <v>0.22982605106858628</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28.149410247802731</v>
      </c>
      <c r="E41" s="24">
        <f>Table134681112[[#This Row],[PMI]]-B29</f>
        <v>0.79999999999999716</v>
      </c>
      <c r="F41" s="52">
        <f>(Table134681112[[#This Row],[EWU]]-D29)/D29</f>
        <v>0.12558756557488043</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26.457370758056641</v>
      </c>
      <c r="E42" s="24">
        <f>Table134681112[[#This Row],[PMI]]-B30</f>
        <v>1</v>
      </c>
      <c r="F42" s="52">
        <f>(Table134681112[[#This Row],[EWU]]-D30)/D30</f>
        <v>6.4256100032975993E-2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25.196409225463871</v>
      </c>
      <c r="E43" s="24">
        <f>Table134681112[[#This Row],[PMI]]-B31</f>
        <v>-2.1999999999999957</v>
      </c>
      <c r="F43" s="52">
        <f>(Table134681112[[#This Row],[EWU]]-D31)/D31</f>
        <v>-2.7053662913986493E-2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24.900777816772461</v>
      </c>
      <c r="E44" s="24">
        <f>Table134681112[[#This Row],[PMI]]-B32</f>
        <v>-4.1000000000000014</v>
      </c>
      <c r="F44" s="52">
        <f>(Table134681112[[#This Row],[EWU]]-D32)/D32</f>
        <v>-2.3976067369025304E-2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24.514192581176761</v>
      </c>
      <c r="E45" s="24">
        <f>Table134681112[[#This Row],[PMI]]-B33</f>
        <v>-3.1000000000000014</v>
      </c>
      <c r="F45" s="52">
        <f>(Table134681112[[#This Row],[EWU]]-D33)/D33</f>
        <v>-7.3060852225995926E-2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25.96958160400391</v>
      </c>
      <c r="E46" s="24">
        <f>Table134681112[[#This Row],[PMI]]-B34</f>
        <v>-2.8999999999999986</v>
      </c>
      <c r="F46" s="52">
        <f>(Table134681112[[#This Row],[EWU]]-D34)/D34</f>
        <v>-4.8851468207016628E-2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25.912736892700199</v>
      </c>
      <c r="E47" s="24">
        <f>Table134681112[[#This Row],[PMI]]-B35</f>
        <v>-4.8999999999999986</v>
      </c>
      <c r="F47" s="52">
        <f>(Table134681112[[#This Row],[EWU]]-D35)/D35</f>
        <v>-7.0752430139558092E-2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23.559091567993161</v>
      </c>
      <c r="E48" s="24">
        <f>Table134681112[[#This Row],[PMI]]-B36</f>
        <v>-8.5</v>
      </c>
      <c r="F48" s="52">
        <f>(Table134681112[[#This Row],[EWU]]-D36)/D36</f>
        <v>-0.16077686789882531</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23.108318328857418</v>
      </c>
      <c r="E49" s="24">
        <f>Table134681112[[#This Row],[PMI]]-B37</f>
        <v>-11.400000000000006</v>
      </c>
      <c r="F49" s="52">
        <f>(Table134681112[[#This Row],[EWU]]-D37)/D37</f>
        <v>-0.14816189250514955</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22.32912635803223</v>
      </c>
      <c r="E50" s="24">
        <f>Table134681112[[#This Row],[PMI]]-B38</f>
        <v>-10.399999999999999</v>
      </c>
      <c r="F50" s="52">
        <f>(Table134681112[[#This Row],[EWU]]-D38)/D38</f>
        <v>-0.17854867654049819</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19.3635368347168</v>
      </c>
      <c r="E51" s="24">
        <f>Table134681112[[#This Row],[PMI]]-B39</f>
        <v>-14.100000000000001</v>
      </c>
      <c r="F51" s="52">
        <f>(Table134681112[[#This Row],[EWU]]-D39)/D39</f>
        <v>-0.31505656141873517</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15.53735256195068</v>
      </c>
      <c r="E52" s="24">
        <f>Table134681112[[#This Row],[PMI]]-B40</f>
        <v>-11.399999999999999</v>
      </c>
      <c r="F52" s="52">
        <f>(Table134681112[[#This Row],[EWU]]-D40)/D40</f>
        <v>-0.48048424886661928</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14.537191390991209</v>
      </c>
      <c r="E53" s="24">
        <f>Table134681112[[#This Row],[PMI]]-B41</f>
        <v>-20</v>
      </c>
      <c r="F53" s="52">
        <f>(Table134681112[[#This Row],[EWU]]-D41)/D41</f>
        <v>-0.48357030349771024</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14.246450424194339</v>
      </c>
      <c r="E54" s="24">
        <f>Table134681112[[#This Row],[PMI]]-B42</f>
        <v>-18</v>
      </c>
      <c r="F54" s="52">
        <f>(Table134681112[[#This Row],[EWU]]-D42)/D42</f>
        <v>-0.46153189013099138</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13.281208992004389</v>
      </c>
      <c r="E55" s="24">
        <f>Table134681112[[#This Row],[PMI]]-B43</f>
        <v>-14.800000000000004</v>
      </c>
      <c r="F55" s="52">
        <f>(Table134681112[[#This Row],[EWU]]-D43)/D43</f>
        <v>-0.47289278908114418</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11.98898506164551</v>
      </c>
      <c r="E56" s="24">
        <f>Table134681112[[#This Row],[PMI]]-B44</f>
        <v>-16.599999999999994</v>
      </c>
      <c r="F56" s="52">
        <f>(Table134681112[[#This Row],[EWU]]-D44)/D44</f>
        <v>-0.5185296961458743</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12.539376258850099</v>
      </c>
      <c r="E57" s="24">
        <f>Table134681112[[#This Row],[PMI]]-B45</f>
        <v>-12.199999999999996</v>
      </c>
      <c r="F57" s="52">
        <f>(Table134681112[[#This Row],[EWU]]-D45)/D45</f>
        <v>-0.48848503913286268</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14.035012245178221</v>
      </c>
      <c r="E58" s="24">
        <f>Table134681112[[#This Row],[PMI]]-B46</f>
        <v>-8.1000000000000014</v>
      </c>
      <c r="F58" s="52">
        <f>(Table134681112[[#This Row],[EWU]]-D46)/D46</f>
        <v>-0.45955955474406462</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16.428018569946289</v>
      </c>
      <c r="E59" s="24">
        <f>Table134681112[[#This Row],[PMI]]-B47</f>
        <v>-4.6000000000000014</v>
      </c>
      <c r="F59" s="52">
        <f>(Table134681112[[#This Row],[EWU]]-D47)/D47</f>
        <v>-0.36602533966320716</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15.80584049224854</v>
      </c>
      <c r="E60" s="24">
        <f>Table134681112[[#This Row],[PMI]]-B48</f>
        <v>1.2000000000000028</v>
      </c>
      <c r="F60" s="52">
        <f>(Table134681112[[#This Row],[EWU]]-D48)/D48</f>
        <v>-0.32909804919125185</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17.457283020019531</v>
      </c>
      <c r="E61" s="24">
        <f>Table134681112[[#This Row],[PMI]]-B49</f>
        <v>6.5</v>
      </c>
      <c r="F61" s="52">
        <f>(Table134681112[[#This Row],[EWU]]-D49)/D49</f>
        <v>-0.24454550211821061</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18.212583541870121</v>
      </c>
      <c r="E62" s="24">
        <f>Table134681112[[#This Row],[PMI]]-B50</f>
        <v>3.8000000000000043</v>
      </c>
      <c r="F62" s="52">
        <f>(Table134681112[[#This Row],[EWU]]-D50)/D50</f>
        <v>-0.18435754046782521</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18.894796371459961</v>
      </c>
      <c r="E63" s="24">
        <f>Table134681112[[#This Row],[PMI]]-B51</f>
        <v>8.5</v>
      </c>
      <c r="F63" s="52">
        <f>(Table134681112[[#This Row],[EWU]]-D51)/D51</f>
        <v>-2.4207378396721241E-2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18.870431900024411</v>
      </c>
      <c r="E64" s="24">
        <f>Table134681112[[#This Row],[PMI]]-B52</f>
        <v>12.200000000000003</v>
      </c>
      <c r="F64" s="52">
        <f>(Table134681112[[#This Row],[EWU]]-D52)/D52</f>
        <v>0.2145204161895693</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19.82065582275391</v>
      </c>
      <c r="E65" s="24">
        <f>Table134681112[[#This Row],[PMI]]-B53</f>
        <v>17.399999999999999</v>
      </c>
      <c r="F65" s="52">
        <f>(Table134681112[[#This Row],[EWU]]-D53)/D53</f>
        <v>0.36344464963410317</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19.735378265380859</v>
      </c>
      <c r="E66" s="24">
        <f>Table134681112[[#This Row],[PMI]]-B54</f>
        <v>19.200000000000003</v>
      </c>
      <c r="F66" s="52">
        <f>(Table134681112[[#This Row],[EWU]]-D54)/D54</f>
        <v>0.38528389021484472</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19.017229080200199</v>
      </c>
      <c r="E67" s="24">
        <f>Table134681112[[#This Row],[PMI]]-B55</f>
        <v>20.900000000000006</v>
      </c>
      <c r="F67" s="52">
        <f>(Table134681112[[#This Row],[EWU]]-D55)/D55</f>
        <v>0.43188990487605711</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18.857002258300781</v>
      </c>
      <c r="E68" s="24">
        <f>Table134681112[[#This Row],[PMI]]-B56</f>
        <v>21.9</v>
      </c>
      <c r="F68" s="52">
        <f>(Table134681112[[#This Row],[EWU]]-D56)/D56</f>
        <v>0.57286060173909537</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20.05251312255859</v>
      </c>
      <c r="E69" s="24">
        <f>Table134681112[[#This Row],[PMI]]-B57</f>
        <v>18.100000000000001</v>
      </c>
      <c r="F69" s="52">
        <f>(Table134681112[[#This Row],[EWU]]-D57)/D57</f>
        <v>0.59916352365659609</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19.62114143371582</v>
      </c>
      <c r="E70" s="24">
        <f>Table134681112[[#This Row],[PMI]]-B58</f>
        <v>15.100000000000001</v>
      </c>
      <c r="F70" s="52">
        <f>(Table134681112[[#This Row],[EWU]]-D58)/D58</f>
        <v>0.39801384501511455</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17.464300155639648</v>
      </c>
      <c r="E71" s="24">
        <f>Table134681112[[#This Row],[PMI]]-B59</f>
        <v>12.600000000000001</v>
      </c>
      <c r="F71" s="52">
        <f>(Table134681112[[#This Row],[EWU]]-D59)/D59</f>
        <v>6.3080132353219479E-2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16.564584732055661</v>
      </c>
      <c r="E72" s="24">
        <f>Table134681112[[#This Row],[PMI]]-B60</f>
        <v>10.5</v>
      </c>
      <c r="F72" s="52">
        <f>(Table134681112[[#This Row],[EWU]]-D60)/D60</f>
        <v>4.8004042567633236E-2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19.301816940307621</v>
      </c>
      <c r="E73" s="24">
        <f>Table134681112[[#This Row],[PMI]]-B61</f>
        <v>6.5</v>
      </c>
      <c r="F73" s="52">
        <f>(Table134681112[[#This Row],[EWU]]-D61)/D61</f>
        <v>0.10565985085839696</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18.762517929077148</v>
      </c>
      <c r="E74" s="24">
        <f>Table134681112[[#This Row],[PMI]]-B62</f>
        <v>4.5999999999999943</v>
      </c>
      <c r="F74" s="52">
        <f>(Table134681112[[#This Row],[EWU]]-D62)/D62</f>
        <v>3.0195297989587633E-2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20.518369674682621</v>
      </c>
      <c r="E75" s="24">
        <f>Table134681112[[#This Row],[PMI]]-B63</f>
        <v>3.8999999999999986</v>
      </c>
      <c r="F75" s="52">
        <f>(Table134681112[[#This Row],[EWU]]-D63)/D63</f>
        <v>8.5927007166640867E-2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21.383754730224609</v>
      </c>
      <c r="E76" s="24">
        <f>Table134681112[[#This Row],[PMI]]-B64</f>
        <v>1.1999999999999957</v>
      </c>
      <c r="F76" s="52">
        <f>(Table134681112[[#This Row],[EWU]]-D64)/D64</f>
        <v>0.13318841049933508</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20.267536163330082</v>
      </c>
      <c r="E77" s="24">
        <f>Table134681112[[#This Row],[PMI]]-B65</f>
        <v>6.2000000000000028</v>
      </c>
      <c r="F77" s="52">
        <f>(Table134681112[[#This Row],[EWU]]-D65)/D65</f>
        <v>2.2546193454565606E-2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21.785089492797852</v>
      </c>
      <c r="E78" s="24">
        <f>Table134681112[[#This Row],[PMI]]-B66</f>
        <v>4.1999999999999957</v>
      </c>
      <c r="F78" s="52">
        <f>(Table134681112[[#This Row],[EWU]]-D66)/D66</f>
        <v>0.10385973857985419</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22.24544525146484</v>
      </c>
      <c r="E79" s="24">
        <f>Table134681112[[#This Row],[PMI]]-B67</f>
        <v>5.2999999999999972</v>
      </c>
      <c r="F79" s="52">
        <f>(Table134681112[[#This Row],[EWU]]-D67)/D67</f>
        <v>0.16975218406690493</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23.258913040161129</v>
      </c>
      <c r="E80" s="24">
        <f>Table134681112[[#This Row],[PMI]]-B68</f>
        <v>7.8999999999999986</v>
      </c>
      <c r="F80" s="52">
        <f>(Table134681112[[#This Row],[EWU]]-D68)/D68</f>
        <v>0.23343640317604797</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22.688840866088871</v>
      </c>
      <c r="E81" s="24">
        <f>Table134681112[[#This Row],[PMI]]-B69</f>
        <v>-0.10000000000000142</v>
      </c>
      <c r="F81" s="52">
        <f>(Table134681112[[#This Row],[EWU]]-D69)/D69</f>
        <v>0.13147118904335617</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24.209030151367191</v>
      </c>
      <c r="E82" s="24">
        <f>Table134681112[[#This Row],[PMI]]-B70</f>
        <v>-3.3999999999999986</v>
      </c>
      <c r="F82" s="52">
        <f>(Table134681112[[#This Row],[EWU]]-D70)/D70</f>
        <v>0.23382374227055983</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23.63896369934082</v>
      </c>
      <c r="E83" s="24">
        <f>Table134681112[[#This Row],[PMI]]-B71</f>
        <v>-5.8999999999999986</v>
      </c>
      <c r="F83" s="52">
        <f>(Table134681112[[#This Row],[EWU]]-D71)/D71</f>
        <v>0.3535591743541594</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22.562154769897461</v>
      </c>
      <c r="E84" s="24">
        <f>Table134681112[[#This Row],[PMI]]-B72</f>
        <v>-6.2000000000000028</v>
      </c>
      <c r="F84" s="52">
        <f>(Table134681112[[#This Row],[EWU]]-D72)/D72</f>
        <v>0.36207186203921837</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22.861770629882809</v>
      </c>
      <c r="E85" s="24">
        <f>Table134681112[[#This Row],[PMI]]-B73</f>
        <v>-8.1999999999999957</v>
      </c>
      <c r="F85" s="52">
        <f>(Table134681112[[#This Row],[EWU]]-D73)/D73</f>
        <v>0.18443619585579035</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21.1091194152832</v>
      </c>
      <c r="E86" s="24">
        <f>Table134681112[[#This Row],[PMI]]-B74</f>
        <v>-5.2999999999999972</v>
      </c>
      <c r="F86" s="52">
        <f>(Table134681112[[#This Row],[EWU]]-D74)/D74</f>
        <v>0.12506858061781853</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19.034296035766602</v>
      </c>
      <c r="E87" s="24">
        <f>Table134681112[[#This Row],[PMI]]-B75</f>
        <v>-2.2999999999999972</v>
      </c>
      <c r="F87" s="52">
        <f>(Table134681112[[#This Row],[EWU]]-D75)/D75</f>
        <v>-7.2329023331088552E-2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21.495731353759769</v>
      </c>
      <c r="E88" s="24">
        <f>Table134681112[[#This Row],[PMI]]-B76</f>
        <v>-7.5</v>
      </c>
      <c r="F88" s="52">
        <f>(Table134681112[[#This Row],[EWU]]-D76)/D76</f>
        <v>5.2365276794391867E-3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21.147781372070309</v>
      </c>
      <c r="E89" s="24">
        <f>Table134681112[[#This Row],[PMI]]-B77</f>
        <v>-10.399999999999999</v>
      </c>
      <c r="F89" s="52">
        <f>(Table134681112[[#This Row],[EWU]]-D77)/D77</f>
        <v>4.3431288423348126E-2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20.825605392456051</v>
      </c>
      <c r="E90" s="24">
        <f>Table134681112[[#This Row],[PMI]]-B78</f>
        <v>-8.6999999999999957</v>
      </c>
      <c r="F90" s="52">
        <f>(Table134681112[[#This Row],[EWU]]-D78)/D78</f>
        <v>-4.4043156244963133E-2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21.817564010620121</v>
      </c>
      <c r="E91" s="24">
        <f>Table134681112[[#This Row],[PMI]]-B79</f>
        <v>-11.200000000000003</v>
      </c>
      <c r="F91" s="52">
        <f>(Table134681112[[#This Row],[EWU]]-D79)/D79</f>
        <v>-1.9234555029486042E-2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22.92937088012695</v>
      </c>
      <c r="E92" s="24">
        <f>Table134681112[[#This Row],[PMI]]-B80</f>
        <v>-13.399999999999999</v>
      </c>
      <c r="F92" s="52">
        <f>(Table134681112[[#This Row],[EWU]]-D80)/D80</f>
        <v>-1.4168424786883195E-2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22.628524780273441</v>
      </c>
      <c r="E93" s="24">
        <f>Table134681112[[#This Row],[PMI]]-B81</f>
        <v>-5.1000000000000014</v>
      </c>
      <c r="F93" s="52">
        <f>(Table134681112[[#This Row],[EWU]]-D81)/D81</f>
        <v>-2.6584031406196311E-3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22.95553016662598</v>
      </c>
      <c r="E94" s="24">
        <f>Table134681112[[#This Row],[PMI]]-B82</f>
        <v>-4.3999999999999986</v>
      </c>
      <c r="F94" s="52">
        <f>(Table134681112[[#This Row],[EWU]]-D82)/D82</f>
        <v>-5.1778199163852928E-2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20.339521408081051</v>
      </c>
      <c r="E95" s="24">
        <f>Table134681112[[#This Row],[PMI]]-B83</f>
        <v>-5.3000000000000043</v>
      </c>
      <c r="F95" s="52">
        <f>(Table134681112[[#This Row],[EWU]]-D83)/D83</f>
        <v>-0.13957643546581422</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21.30744552612305</v>
      </c>
      <c r="E96" s="24">
        <f>Table134681112[[#This Row],[PMI]]-B84</f>
        <v>-2.5</v>
      </c>
      <c r="F96" s="52">
        <f>(Table134681112[[#This Row],[EWU]]-D84)/D84</f>
        <v>-5.561123290619608E-2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21.9998664855957</v>
      </c>
      <c r="E97" s="24">
        <f>Table134681112[[#This Row],[PMI]]-B85</f>
        <v>-3.6000000000000014</v>
      </c>
      <c r="F97" s="52">
        <f>(Table134681112[[#This Row],[EWU]]-D85)/D85</f>
        <v>-3.7700673243589777E-2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22.722927093505859</v>
      </c>
      <c r="E98" s="24">
        <f>Table134681112[[#This Row],[PMI]]-B86</f>
        <v>0.10000000000000142</v>
      </c>
      <c r="F98" s="52">
        <f>(Table134681112[[#This Row],[EWU]]-D86)/D86</f>
        <v>7.6450734228839884E-2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23.298702239990231</v>
      </c>
      <c r="E99" s="24">
        <f>Table134681112[[#This Row],[PMI]]-B87</f>
        <v>-2.8999999999999986</v>
      </c>
      <c r="F99" s="52">
        <f>(Table134681112[[#This Row],[EWU]]-D87)/D87</f>
        <v>0.2240380309421767</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23.405824661254879</v>
      </c>
      <c r="E100" s="24">
        <f>Table134681112[[#This Row],[PMI]]-B88</f>
        <v>0.60000000000000142</v>
      </c>
      <c r="F100" s="52">
        <f>(Table134681112[[#This Row],[EWU]]-D88)/D88</f>
        <v>8.8859191439467813E-2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23.673624038696289</v>
      </c>
      <c r="E101" s="24">
        <f>Table134681112[[#This Row],[PMI]]-B89</f>
        <v>0.79999999999999716</v>
      </c>
      <c r="F101" s="52">
        <f>(Table134681112[[#This Row],[EWU]]-D89)/D89</f>
        <v>0.11943771415954955</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24.02176666259766</v>
      </c>
      <c r="E102" s="24">
        <f>Table134681112[[#This Row],[PMI]]-B90</f>
        <v>1.1000000000000014</v>
      </c>
      <c r="F102" s="52">
        <f>(Table134681112[[#This Row],[EWU]]-D90)/D90</f>
        <v>0.15347267029746942</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25.08321571350098</v>
      </c>
      <c r="E103" s="24">
        <f>Table134681112[[#This Row],[PMI]]-B91</f>
        <v>0.10000000000000142</v>
      </c>
      <c r="F103" s="52">
        <f>(Table134681112[[#This Row],[EWU]]-D91)/D91</f>
        <v>0.14967994141285618</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24.404190063476559</v>
      </c>
      <c r="E104" s="24">
        <f>Table134681112[[#This Row],[PMI]]-B92</f>
        <v>-2.8999999999999986</v>
      </c>
      <c r="F104" s="52">
        <f>(Table134681112[[#This Row],[EWU]]-D92)/D92</f>
        <v>6.4320089332579364E-2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24.81160926818848</v>
      </c>
      <c r="E105" s="24">
        <f>Table134681112[[#This Row],[PMI]]-B93</f>
        <v>-2.7000000000000028</v>
      </c>
      <c r="F105" s="52">
        <f>(Table134681112[[#This Row],[EWU]]-D93)/D93</f>
        <v>9.6474892159923595E-2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25.51779747009277</v>
      </c>
      <c r="E106" s="24">
        <f>Table134681112[[#This Row],[PMI]]-B94</f>
        <v>0.39999999999999858</v>
      </c>
      <c r="F106" s="52">
        <f>(Table134681112[[#This Row],[EWU]]-D94)/D94</f>
        <v>0.1116187378321567</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25.490634918212891</v>
      </c>
      <c r="E107" s="24">
        <f>Table134681112[[#This Row],[PMI]]-B95</f>
        <v>5.3000000000000043</v>
      </c>
      <c r="F107" s="52">
        <f>(Table134681112[[#This Row],[EWU]]-D95)/D95</f>
        <v>0.25325637741334767</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23.983198165893551</v>
      </c>
      <c r="E108" s="24">
        <f>Table134681112[[#This Row],[PMI]]-B96</f>
        <v>4.2000000000000028</v>
      </c>
      <c r="F108" s="52">
        <f>(Table134681112[[#This Row],[EWU]]-D96)/D96</f>
        <v>0.12557829311308166</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25.895988464355469</v>
      </c>
      <c r="E109" s="24">
        <f>Table134681112[[#This Row],[PMI]]-B97</f>
        <v>9.2000000000000028</v>
      </c>
      <c r="F109" s="52">
        <f>(Table134681112[[#This Row],[EWU]]-D97)/D97</f>
        <v>0.17709752835594411</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25.703035354614261</v>
      </c>
      <c r="E110" s="24">
        <f>Table134681112[[#This Row],[PMI]]-B98</f>
        <v>8.1999999999999957</v>
      </c>
      <c r="F110" s="52">
        <f>(Table134681112[[#This Row],[EWU]]-D98)/D98</f>
        <v>0.13114984037246274</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27.039876937866211</v>
      </c>
      <c r="E111" s="24">
        <f>Table134681112[[#This Row],[PMI]]-B99</f>
        <v>8.5</v>
      </c>
      <c r="F111" s="52">
        <f>(Table134681112[[#This Row],[EWU]]-D99)/D99</f>
        <v>0.16057438132560764</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28.04594802856445</v>
      </c>
      <c r="E112" s="24">
        <f>Table134681112[[#This Row],[PMI]]-B100</f>
        <v>8.5</v>
      </c>
      <c r="F112" s="52">
        <f>(Table134681112[[#This Row],[EWU]]-D100)/D100</f>
        <v>0.19824652343870011</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28.26645660400391</v>
      </c>
      <c r="E113" s="24">
        <f>Table134681112[[#This Row],[PMI]]-B101</f>
        <v>9.7000000000000028</v>
      </c>
      <c r="F113" s="52">
        <f>(Table134681112[[#This Row],[EWU]]-D101)/D101</f>
        <v>0.19400631512100963</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28.77638053894043</v>
      </c>
      <c r="E114" s="24">
        <f>Table134681112[[#This Row],[PMI]]-B102</f>
        <v>6.5999999999999943</v>
      </c>
      <c r="F114" s="52">
        <f>(Table134681112[[#This Row],[EWU]]-D102)/D102</f>
        <v>0.19792940057759334</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27.769430160522461</v>
      </c>
      <c r="E115" s="24">
        <f>Table134681112[[#This Row],[PMI]]-B103</f>
        <v>5.8000000000000043</v>
      </c>
      <c r="F115" s="52">
        <f>(Table134681112[[#This Row],[EWU]]-D103)/D103</f>
        <v>0.10709210803364548</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29.652351379394531</v>
      </c>
      <c r="E116" s="24">
        <f>Table134681112[[#This Row],[PMI]]-B104</f>
        <v>8.6999999999999957</v>
      </c>
      <c r="F116" s="52">
        <f>(Table134681112[[#This Row],[EWU]]-D104)/D104</f>
        <v>0.21505164901056883</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28.717864990234379</v>
      </c>
      <c r="E117" s="24">
        <f>Table134681112[[#This Row],[PMI]]-B105</f>
        <v>6</v>
      </c>
      <c r="F117" s="52">
        <f>(Table134681112[[#This Row],[EWU]]-D105)/D105</f>
        <v>0.15743661283003502</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30.014980316162109</v>
      </c>
      <c r="E118" s="24">
        <f>Table134681112[[#This Row],[PMI]]-B106</f>
        <v>6.6999999999999957</v>
      </c>
      <c r="F118" s="52">
        <f>(Table134681112[[#This Row],[EWU]]-D106)/D106</f>
        <v>0.17623710868228745</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30.307878494262699</v>
      </c>
      <c r="E119" s="24">
        <f>Table134681112[[#This Row],[PMI]]-B107</f>
        <v>4.8999999999999986</v>
      </c>
      <c r="F119" s="52">
        <f>(Table134681112[[#This Row],[EWU]]-D107)/D107</f>
        <v>0.18898091756074384</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29.122344970703121</v>
      </c>
      <c r="E120" s="24">
        <f>Table134681112[[#This Row],[PMI]]-B108</f>
        <v>4.5</v>
      </c>
      <c r="F120" s="52">
        <f>(Table134681112[[#This Row],[EWU]]-D108)/D108</f>
        <v>0.21428113003368912</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29.820808410644531</v>
      </c>
      <c r="E121" s="24">
        <f>Table134681112[[#This Row],[PMI]]-B109</f>
        <v>0.69999999999999574</v>
      </c>
      <c r="F121" s="52">
        <f>(Table134681112[[#This Row],[EWU]]-D109)/D109</f>
        <v>0.15156092426019499</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30.054929733276371</v>
      </c>
      <c r="E122" s="24">
        <f>Table134681112[[#This Row],[PMI]]-B110</f>
        <v>-4.7999999999999972</v>
      </c>
      <c r="F122" s="52">
        <f>(Table134681112[[#This Row],[EWU]]-D110)/D110</f>
        <v>0.16931441437249739</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28.35756874084473</v>
      </c>
      <c r="E123" s="24">
        <f>Table134681112[[#This Row],[PMI]]-B111</f>
        <v>-5.1000000000000014</v>
      </c>
      <c r="F123" s="52">
        <f>(Table134681112[[#This Row],[EWU]]-D111)/D111</f>
        <v>4.8731427513756344E-2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27.816171646118161</v>
      </c>
      <c r="E124" s="24">
        <f>Table134681112[[#This Row],[PMI]]-B112</f>
        <v>-3.2999999999999972</v>
      </c>
      <c r="F124" s="52">
        <f>(Table134681112[[#This Row],[EWU]]-D112)/D112</f>
        <v>-8.1928548898494956E-3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27.84543609619141</v>
      </c>
      <c r="E125" s="24">
        <f>Table134681112[[#This Row],[PMI]]-B113</f>
        <v>-4.6000000000000014</v>
      </c>
      <c r="F125" s="52">
        <f>(Table134681112[[#This Row],[EWU]]-D113)/D113</f>
        <v>-1.4894704126192562E-2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26.382194519042969</v>
      </c>
      <c r="E126" s="24">
        <f>Table134681112[[#This Row],[PMI]]-B114</f>
        <v>-4.7999999999999972</v>
      </c>
      <c r="F126" s="52">
        <f>(Table134681112[[#This Row],[EWU]]-D114)/D114</f>
        <v>-8.3199692770869124E-2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26.924465179443359</v>
      </c>
      <c r="E127" s="24">
        <f>Table134681112[[#This Row],[PMI]]-B115</f>
        <v>-3.7000000000000028</v>
      </c>
      <c r="F127" s="52">
        <f>(Table134681112[[#This Row],[EWU]]-D115)/D115</f>
        <v>-3.0427883330509227E-2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28.506504058837891</v>
      </c>
      <c r="E128" s="24">
        <f>Table134681112[[#This Row],[PMI]]-B116</f>
        <v>-2.7999999999999972</v>
      </c>
      <c r="F128" s="52">
        <f>(Table134681112[[#This Row],[EWU]]-D116)/D116</f>
        <v>-3.8642713554004754E-2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26.87968826293945</v>
      </c>
      <c r="E129" s="24">
        <f>Table134681112[[#This Row],[PMI]]-B117</f>
        <v>-0.89999999999999858</v>
      </c>
      <c r="F129" s="52">
        <f>(Table134681112[[#This Row],[EWU]]-D117)/D117</f>
        <v>-6.400812622804683E-2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28.670675277709961</v>
      </c>
      <c r="E130" s="24">
        <f>Table134681112[[#This Row],[PMI]]-B118</f>
        <v>-5.3999999999999986</v>
      </c>
      <c r="F130" s="52">
        <f>(Table134681112[[#This Row],[EWU]]-D118)/D118</f>
        <v>-4.4787803433217081E-2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28.84976959228516</v>
      </c>
      <c r="E131" s="24">
        <f>Table134681112[[#This Row],[PMI]]-B119</f>
        <v>-4.7999999999999972</v>
      </c>
      <c r="F131" s="52">
        <f>(Table134681112[[#This Row],[EWU]]-D119)/D119</f>
        <v>-4.8109896647947827E-2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27.237886428833011</v>
      </c>
      <c r="E132" s="24">
        <f>Table134681112[[#This Row],[PMI]]-B120</f>
        <v>-5.6000000000000014</v>
      </c>
      <c r="F132" s="52">
        <f>(Table134681112[[#This Row],[EWU]]-D120)/D120</f>
        <v>-6.4708338005262364E-2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28.175188064575199</v>
      </c>
      <c r="E133" s="24">
        <f>Table134681112[[#This Row],[PMI]]-B121</f>
        <v>-2.8999999999999986</v>
      </c>
      <c r="F133" s="52">
        <f>(Table134681112[[#This Row],[EWU]]-D121)/D121</f>
        <v>-5.5183626258835043E-2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25.926034927368161</v>
      </c>
      <c r="E134" s="24">
        <f>Table134681112[[#This Row],[PMI]]-B122</f>
        <v>-0.89999999999999858</v>
      </c>
      <c r="F134" s="52">
        <f>(Table134681112[[#This Row],[EWU]]-D122)/D122</f>
        <v>-0.13737828843887662</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24.907833099365231</v>
      </c>
      <c r="E135" s="24">
        <f>Table134681112[[#This Row],[PMI]]-B123</f>
        <v>0</v>
      </c>
      <c r="F135" s="52">
        <f>(Table134681112[[#This Row],[EWU]]-D123)/D123</f>
        <v>-0.12165131901842784</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26.54910850524902</v>
      </c>
      <c r="E136" s="24">
        <f>Table134681112[[#This Row],[PMI]]-B124</f>
        <v>1.0999999999999943</v>
      </c>
      <c r="F136" s="52">
        <f>(Table134681112[[#This Row],[EWU]]-D124)/D124</f>
        <v>-4.5551312991195303E-2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26.108396530151371</v>
      </c>
      <c r="E137" s="24">
        <f>Table134681112[[#This Row],[PMI]]-B125</f>
        <v>-1.2000000000000028</v>
      </c>
      <c r="F137" s="52">
        <f>(Table134681112[[#This Row],[EWU]]-D125)/D125</f>
        <v>-6.2381481835640011E-2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24.527912139892582</v>
      </c>
      <c r="E138" s="24">
        <f>Table134681112[[#This Row],[PMI]]-B126</f>
        <v>-1.5</v>
      </c>
      <c r="F138" s="52">
        <f>(Table134681112[[#This Row],[EWU]]-D126)/D126</f>
        <v>-7.028537287949814E-2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23.811655044555661</v>
      </c>
      <c r="E139" s="24">
        <f>Table134681112[[#This Row],[PMI]]-B127</f>
        <v>-0.79999999999999716</v>
      </c>
      <c r="F139" s="52">
        <f>(Table134681112[[#This Row],[EWU]]-D127)/D127</f>
        <v>-0.11561270072188129</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23.06754302978516</v>
      </c>
      <c r="E140" s="24">
        <f>Table134681112[[#This Row],[PMI]]-B128</f>
        <v>-3.3000000000000043</v>
      </c>
      <c r="F140" s="52">
        <f>(Table134681112[[#This Row],[EWU]]-D128)/D128</f>
        <v>-0.19079719553918734</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24.307735443115231</v>
      </c>
      <c r="E141" s="24">
        <f>Table134681112[[#This Row],[PMI]]-B129</f>
        <v>-3.2999999999999972</v>
      </c>
      <c r="F141" s="52">
        <f>(Table134681112[[#This Row],[EWU]]-D129)/D129</f>
        <v>-9.5683878275118095E-2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25.28438568115234</v>
      </c>
      <c r="E142" s="24">
        <f>Table134681112[[#This Row],[PMI]]-B130</f>
        <v>-1.8999999999999986</v>
      </c>
      <c r="F142" s="52">
        <f>(Table134681112[[#This Row],[EWU]]-D130)/D130</f>
        <v>-0.11810986535047865</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24.989841461181641</v>
      </c>
      <c r="E143" s="24">
        <f>Table134681112[[#This Row],[PMI]]-B131</f>
        <v>-1.5</v>
      </c>
      <c r="F143" s="52">
        <f>(Table134681112[[#This Row],[EWU]]-D131)/D131</f>
        <v>-0.13379407134453231</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23.827157974243161</v>
      </c>
      <c r="E144" s="24">
        <f>Table134681112[[#This Row],[PMI]]-B132</f>
        <v>1.3000000000000043</v>
      </c>
      <c r="F144" s="52">
        <f>(Table134681112[[#This Row],[EWU]]-D132)/D132</f>
        <v>-0.12522001160043683</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24.78558349609375</v>
      </c>
      <c r="E145" s="24">
        <f>Table134681112[[#This Row],[PMI]]-B133</f>
        <v>-4</v>
      </c>
      <c r="F145" s="52">
        <f>(Table134681112[[#This Row],[EWU]]-D133)/D133</f>
        <v>-0.12030459426615914</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25.05568695068359</v>
      </c>
      <c r="E146" s="24">
        <f>Table134681112[[#This Row],[PMI]]-B134</f>
        <v>1.6000000000000014</v>
      </c>
      <c r="F146" s="52">
        <f>(Table134681112[[#This Row],[EWU]]-D134)/D134</f>
        <v>-3.3570423673456119E-2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25.166900634765621</v>
      </c>
      <c r="E147" s="24">
        <f>Table134681112[[#This Row],[PMI]]-B135</f>
        <v>4</v>
      </c>
      <c r="F147" s="52">
        <f>(Table134681112[[#This Row],[EWU]]-D135)/D135</f>
        <v>1.0401046705543924E-2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23.832296371459961</v>
      </c>
      <c r="E148" s="24">
        <f>Table134681112[[#This Row],[PMI]]-B136</f>
        <v>-0.5</v>
      </c>
      <c r="F148" s="52">
        <f>(Table134681112[[#This Row],[EWU]]-D136)/D136</f>
        <v>-0.10233157671761063</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23.87995719909668</v>
      </c>
      <c r="E149" s="24">
        <f>Table134681112[[#This Row],[PMI]]-B137</f>
        <v>0.90000000000000568</v>
      </c>
      <c r="F149" s="52">
        <f>(Table134681112[[#This Row],[EWU]]-D137)/D137</f>
        <v>-8.5353358582598904E-2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24.380437850952148</v>
      </c>
      <c r="E150" s="24">
        <f>Table134681112[[#This Row],[PMI]]-B138</f>
        <v>4.6000000000000014</v>
      </c>
      <c r="F150" s="52">
        <f>(Table134681112[[#This Row],[EWU]]-D138)/D138</f>
        <v>-6.0125088551902768E-3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25.330120086669918</v>
      </c>
      <c r="E151" s="24">
        <f>Table134681112[[#This Row],[PMI]]-B139</f>
        <v>3</v>
      </c>
      <c r="F151" s="52">
        <f>(Table134681112[[#This Row],[EWU]]-D139)/D139</f>
        <v>6.3769823612552387E-2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25.700605392456051</v>
      </c>
      <c r="E152" s="24">
        <f>Table134681112[[#This Row],[PMI]]-B140</f>
        <v>3.7000000000000028</v>
      </c>
      <c r="F152" s="52">
        <f>(Table134681112[[#This Row],[EWU]]-D140)/D140</f>
        <v>0.11414576573114187</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26.216070175170898</v>
      </c>
      <c r="E153" s="24">
        <f>Table134681112[[#This Row],[PMI]]-B141</f>
        <v>3</v>
      </c>
      <c r="F153" s="52">
        <f>(Table134681112[[#This Row],[EWU]]-D141)/D141</f>
        <v>7.8507302192815834E-2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26.6590461730957</v>
      </c>
      <c r="E154" s="24">
        <f>Table134681112[[#This Row],[PMI]]-B142</f>
        <v>7.7999999999999972</v>
      </c>
      <c r="F154" s="52">
        <f>(Table134681112[[#This Row],[EWU]]-D142)/D142</f>
        <v>5.4367960894065467E-2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27.875211715698239</v>
      </c>
      <c r="E155" s="24">
        <f>Table134681112[[#This Row],[PMI]]-B143</f>
        <v>5.8999999999999986</v>
      </c>
      <c r="F155" s="52">
        <f>(Table134681112[[#This Row],[EWU]]-D143)/D143</f>
        <v>0.11546172707812624</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26.844291687011719</v>
      </c>
      <c r="E156" s="24">
        <f>Table134681112[[#This Row],[PMI]]-B144</f>
        <v>1.1999999999999957</v>
      </c>
      <c r="F156" s="52">
        <f>(Table134681112[[#This Row],[EWU]]-D144)/D144</f>
        <v>0.12662583242323905</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28.086690902709961</v>
      </c>
      <c r="E157" s="24">
        <f>Table134681112[[#This Row],[PMI]]-B145</f>
        <v>6.7999999999999972</v>
      </c>
      <c r="F157" s="52">
        <f>(Table134681112[[#This Row],[EWU]]-D145)/D145</f>
        <v>0.13318659240507577</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27.856203079223629</v>
      </c>
      <c r="E158" s="24">
        <f>Table134681112[[#This Row],[PMI]]-B146</f>
        <v>3.5999999999999943</v>
      </c>
      <c r="F158" s="52">
        <f>(Table134681112[[#This Row],[EWU]]-D146)/D146</f>
        <v>0.11177167618881162</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28.687604904174801</v>
      </c>
      <c r="E159" s="24">
        <f>Table134681112[[#This Row],[PMI]]-B147</f>
        <v>0.39999999999999858</v>
      </c>
      <c r="F159" s="52">
        <f>(Table134681112[[#This Row],[EWU]]-D147)/D147</f>
        <v>0.13989423332270282</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28.860475540161129</v>
      </c>
      <c r="E160" s="24">
        <f>Table134681112[[#This Row],[PMI]]-B148</f>
        <v>2.4000000000000057</v>
      </c>
      <c r="F160" s="52">
        <f>(Table134681112[[#This Row],[EWU]]-D148)/D148</f>
        <v>0.2109817321138468</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28.82755088806152</v>
      </c>
      <c r="E161" s="24">
        <f>Table134681112[[#This Row],[PMI]]-B149</f>
        <v>5.0999999999999943</v>
      </c>
      <c r="F161" s="52">
        <f>(Table134681112[[#This Row],[EWU]]-D149)/D149</f>
        <v>0.20718603671333194</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29.486087799072269</v>
      </c>
      <c r="E162" s="24">
        <f>Table134681112[[#This Row],[PMI]]-B150</f>
        <v>0.39999999999999858</v>
      </c>
      <c r="F162" s="52">
        <f>(Table134681112[[#This Row],[EWU]]-D150)/D150</f>
        <v>0.20941584311705566</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31.166030883789059</v>
      </c>
      <c r="E163" s="24">
        <f>Table134681112[[#This Row],[PMI]]-B151</f>
        <v>-0.20000000000000284</v>
      </c>
      <c r="F163" s="52">
        <f>(Table134681112[[#This Row],[EWU]]-D151)/D151</f>
        <v>0.23039412277363475</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29.077671051025391</v>
      </c>
      <c r="E164" s="24">
        <f>Table134681112[[#This Row],[PMI]]-B152</f>
        <v>0.39999999999999858</v>
      </c>
      <c r="F164" s="52">
        <f>(Table134681112[[#This Row],[EWU]]-D152)/D152</f>
        <v>0.13140023773761439</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29.144765853881839</v>
      </c>
      <c r="E165" s="24">
        <f>Table134681112[[#This Row],[PMI]]-B153</f>
        <v>0.79999999999999716</v>
      </c>
      <c r="F165" s="52">
        <f>(Table134681112[[#This Row],[EWU]]-D153)/D153</f>
        <v>0.11171375645327244</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30.402811050415039</v>
      </c>
      <c r="E166" s="24">
        <f>Table134681112[[#This Row],[PMI]]-B154</f>
        <v>-3.8999999999999986</v>
      </c>
      <c r="F166" s="52">
        <f>(Table134681112[[#This Row],[EWU]]-D154)/D154</f>
        <v>0.14043131374660905</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30.21829795837402</v>
      </c>
      <c r="E167" s="24">
        <f>Table134681112[[#This Row],[PMI]]-B155</f>
        <v>-2.2000000000000028</v>
      </c>
      <c r="F167" s="52">
        <f>(Table134681112[[#This Row],[EWU]]-D155)/D155</f>
        <v>8.4056267144197006E-2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29.169923782348629</v>
      </c>
      <c r="E168" s="24">
        <f>Table134681112[[#This Row],[PMI]]-B156</f>
        <v>0</v>
      </c>
      <c r="F168" s="52">
        <f>(Table134681112[[#This Row],[EWU]]-D156)/D156</f>
        <v>8.6634138924296486E-2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30.142557144165039</v>
      </c>
      <c r="E169" s="24">
        <f>Table134681112[[#This Row],[PMI]]-B157</f>
        <v>-1.2999999999999972</v>
      </c>
      <c r="F169" s="52">
        <f>(Table134681112[[#This Row],[EWU]]-D157)/D157</f>
        <v>7.3197168316354297E-2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28.820438385009769</v>
      </c>
      <c r="E170" s="24">
        <f>Table134681112[[#This Row],[PMI]]-B158</f>
        <v>-4</v>
      </c>
      <c r="F170" s="52">
        <f>(Table134681112[[#This Row],[EWU]]-D158)/D158</f>
        <v>3.4614742829230327E-2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29.292621612548832</v>
      </c>
      <c r="E171" s="24">
        <f>Table134681112[[#This Row],[PMI]]-B159</f>
        <v>-2.2000000000000028</v>
      </c>
      <c r="F171" s="52">
        <f>(Table134681112[[#This Row],[EWU]]-D159)/D159</f>
        <v>2.1089829924630085E-2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27.309446334838871</v>
      </c>
      <c r="E172" s="24">
        <f>Table134681112[[#This Row],[PMI]]-B160</f>
        <v>-5.1000000000000014</v>
      </c>
      <c r="F172" s="52">
        <f>(Table134681112[[#This Row],[EWU]]-D160)/D160</f>
        <v>-5.3742330169296963E-2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26.983211517333981</v>
      </c>
      <c r="E173" s="24">
        <f>Table134681112[[#This Row],[PMI]]-B161</f>
        <v>-5.1999999999999957</v>
      </c>
      <c r="F173" s="52">
        <f>(Table134681112[[#This Row],[EWU]]-D161)/D161</f>
        <v>-6.3978357991255633E-2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25.197492599487301</v>
      </c>
      <c r="E174" s="24">
        <f>Table134681112[[#This Row],[PMI]]-B162</f>
        <v>-1.7999999999999972</v>
      </c>
      <c r="F174" s="52">
        <f>(Table134681112[[#This Row],[EWU]]-D162)/D162</f>
        <v>-0.14544470018568897</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27.624223709106449</v>
      </c>
      <c r="E175" s="24">
        <f>Table134681112[[#This Row],[PMI]]-B163</f>
        <v>-2.2000000000000028</v>
      </c>
      <c r="F175" s="52">
        <f>(Table134681112[[#This Row],[EWU]]-D163)/D163</f>
        <v>-0.11364319017359613</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28.571640014648441</v>
      </c>
      <c r="E176" s="24">
        <f>Table134681112[[#This Row],[PMI]]-B164</f>
        <v>-2.8999999999999986</v>
      </c>
      <c r="F176" s="52">
        <f>(Table134681112[[#This Row],[EWU]]-D164)/D164</f>
        <v>-1.7402736123156775E-2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28.957622528076168</v>
      </c>
      <c r="E177" s="24">
        <f>Table134681112[[#This Row],[PMI]]-B165</f>
        <v>0.20000000000000284</v>
      </c>
      <c r="F177" s="52">
        <f>(Table134681112[[#This Row],[EWU]]-D165)/D165</f>
        <v>-6.4211641549607864E-3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29.615549087524411</v>
      </c>
      <c r="E178" s="24">
        <f>Table134681112[[#This Row],[PMI]]-B166</f>
        <v>-0.79999999999999716</v>
      </c>
      <c r="F178" s="52">
        <f>(Table134681112[[#This Row],[EWU]]-D166)/D166</f>
        <v>-2.5894380673720015E-2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27.7996711730957</v>
      </c>
      <c r="E179" s="24">
        <f>Table134681112[[#This Row],[PMI]]-B167</f>
        <v>-5</v>
      </c>
      <c r="F179" s="52">
        <f>(Table134681112[[#This Row],[EWU]]-D167)/D167</f>
        <v>-8.0038484914339014E-2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28.35233116149902</v>
      </c>
      <c r="E180" s="24">
        <f>Table134681112[[#This Row],[PMI]]-B168</f>
        <v>-6.3999999999999986</v>
      </c>
      <c r="F180" s="52">
        <f>(Table134681112[[#This Row],[EWU]]-D168)/D168</f>
        <v>-2.802861697377327E-2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28.375730514526371</v>
      </c>
      <c r="E181" s="24">
        <f>Table134681112[[#This Row],[PMI]]-B169</f>
        <v>-6</v>
      </c>
      <c r="F181" s="52">
        <f>(Table134681112[[#This Row],[EWU]]-D169)/D169</f>
        <v>-5.8615684833517472E-2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27.29611778259277</v>
      </c>
      <c r="E182" s="24">
        <f>Table134681112[[#This Row],[PMI]]-B170</f>
        <v>-5.3999999999999986</v>
      </c>
      <c r="F182" s="52">
        <f>(Table134681112[[#This Row],[EWU]]-D170)/D170</f>
        <v>-5.289026426502369E-2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28.276763916015621</v>
      </c>
      <c r="E183" s="24">
        <f>Table134681112[[#This Row],[PMI]]-B171</f>
        <v>-5.5</v>
      </c>
      <c r="F183" s="52">
        <f>(Table134681112[[#This Row],[EWU]]-D171)/D171</f>
        <v>-3.4679644245225946E-2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29.26640510559082</v>
      </c>
      <c r="E184" s="24">
        <f>Table134681112[[#This Row],[PMI]]-B172</f>
        <v>-1.5</v>
      </c>
      <c r="F184" s="52">
        <f>(Table134681112[[#This Row],[EWU]]-D172)/D172</f>
        <v>7.1658676150290243E-2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29.626277923583981</v>
      </c>
      <c r="E185" s="24">
        <f>Table134681112[[#This Row],[PMI]]-B173</f>
        <v>-4.2000000000000028</v>
      </c>
      <c r="F185" s="52">
        <f>(Table134681112[[#This Row],[EWU]]-D173)/D173</f>
        <v>9.7952254665909483E-2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30.678892135620121</v>
      </c>
      <c r="E186" s="24">
        <f>Table134681112[[#This Row],[PMI]]-B174</f>
        <v>-6.7000000000000028</v>
      </c>
      <c r="F186" s="52">
        <f>(Table134681112[[#This Row],[EWU]]-D174)/D174</f>
        <v>0.21753749959408067</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29.890426635742191</v>
      </c>
      <c r="E187" s="24">
        <f>Table134681112[[#This Row],[PMI]]-B175</f>
        <v>-2.7999999999999972</v>
      </c>
      <c r="F187" s="52">
        <f>(Table134681112[[#This Row],[EWU]]-D175)/D175</f>
        <v>8.2036800400247203E-2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26.831787109375</v>
      </c>
      <c r="E188" s="24">
        <f>Table134681112[[#This Row],[PMI]]-B176</f>
        <v>-0.29999999999999716</v>
      </c>
      <c r="F188" s="52">
        <f>(Table134681112[[#This Row],[EWU]]-D176)/D176</f>
        <v>-6.0894401034782497E-2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21.868362426757809</v>
      </c>
      <c r="E189" s="24">
        <f>Table134681112[[#This Row],[PMI]]-B177</f>
        <v>-7.3000000000000043</v>
      </c>
      <c r="F189" s="52">
        <f>(Table134681112[[#This Row],[EWU]]-D177)/D177</f>
        <v>-0.2448149910941374</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23.122955322265621</v>
      </c>
      <c r="E190" s="24">
        <f>Table134681112[[#This Row],[PMI]]-B178</f>
        <v>-20.5</v>
      </c>
      <c r="F190" s="52">
        <f>(Table134681112[[#This Row],[EWU]]-D178)/D178</f>
        <v>-0.21922922131448183</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23.56252288818359</v>
      </c>
      <c r="E191" s="24">
        <f>Table134681112[[#This Row],[PMI]]-B179</f>
        <v>-8.6999999999999957</v>
      </c>
      <c r="F191" s="52">
        <f>(Table134681112[[#This Row],[EWU]]-D179)/D179</f>
        <v>-0.15241720876946155</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23.58999061584473</v>
      </c>
      <c r="E192" s="24">
        <f>Table134681112[[#This Row],[PMI]]-B180</f>
        <v>2.1000000000000014</v>
      </c>
      <c r="F192" s="52">
        <f>(Table134681112[[#This Row],[EWU]]-D180)/D180</f>
        <v>-0.1679699816754856</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24.108585357666019</v>
      </c>
      <c r="E193" s="24">
        <f>Table134681112[[#This Row],[PMI]]-B181</f>
        <v>5.2999999999999972</v>
      </c>
      <c r="F193" s="52">
        <f>(Table134681112[[#This Row],[EWU]]-D181)/D181</f>
        <v>-0.15038009874938285</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24.768711090087891</v>
      </c>
      <c r="E194" s="24">
        <f>Table134681112[[#This Row],[PMI]]-B182</f>
        <v>7.8000000000000043</v>
      </c>
      <c r="F194" s="52">
        <f>(Table134681112[[#This Row],[EWU]]-D182)/D182</f>
        <v>-9.2592166865452658E-2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23.699493408203121</v>
      </c>
      <c r="E195" s="24">
        <f>Table134681112[[#This Row],[PMI]]-B183</f>
        <v>5.8000000000000043</v>
      </c>
      <c r="F195" s="52">
        <f>(Table134681112[[#This Row],[EWU]]-D183)/D183</f>
        <v>-0.16187391603251985</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22.63027381896973</v>
      </c>
      <c r="E196" s="24">
        <f>Table134681112[[#This Row],[PMI]]-B184</f>
        <v>4.1000000000000014</v>
      </c>
      <c r="F196" s="52">
        <f>(Table134681112[[#This Row],[EWU]]-D184)/D184</f>
        <v>-0.22674910918093513</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26.274919509887699</v>
      </c>
      <c r="E197" s="24">
        <f>Table134681112[[#This Row],[PMI]]-B185</f>
        <v>6.7000000000000028</v>
      </c>
      <c r="F197" s="52">
        <f>(Table134681112[[#This Row],[EWU]]-D185)/D185</f>
        <v>-0.11312114273485685</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27.23256874084473</v>
      </c>
      <c r="E198" s="24">
        <f>Table134681112[[#This Row],[PMI]]-B186</f>
        <v>10</v>
      </c>
      <c r="F198" s="52">
        <f>(Table134681112[[#This Row],[EWU]]-D186)/D186</f>
        <v>-0.1123353274798992</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27.478097915649411</v>
      </c>
      <c r="E199" s="24">
        <f>Table134681112[[#This Row],[PMI]]-B187</f>
        <v>4.1000000000000014</v>
      </c>
      <c r="F199" s="52">
        <f>(Table134681112[[#This Row],[EWU]]-D187)/D187</f>
        <v>-8.0705730617045821E-2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28.559543609619141</v>
      </c>
      <c r="E200" s="24">
        <f>Table134681112[[#This Row],[PMI]]-B188</f>
        <v>3.3999999999999986</v>
      </c>
      <c r="F200" s="52">
        <f>(Table134681112[[#This Row],[EWU]]-D188)/D188</f>
        <v>6.4392151488130447E-2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29.44350624084473</v>
      </c>
      <c r="E201" s="24">
        <f>Table134681112[[#This Row],[PMI]]-B189</f>
        <v>11.100000000000001</v>
      </c>
      <c r="F201" s="52">
        <f>(Table134681112[[#This Row],[EWU]]-D189)/D189</f>
        <v>0.34639739667100478</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30.590776443481449</v>
      </c>
      <c r="E202" s="24">
        <f>Table134681112[[#This Row],[PMI]]-B190</f>
        <v>28.299999999999997</v>
      </c>
      <c r="F202" s="52">
        <f>(Table134681112[[#This Row],[EWU]]-D190)/D190</f>
        <v>0.32296136099977202</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31.775669097900391</v>
      </c>
      <c r="E203" s="24">
        <f>Table134681112[[#This Row],[PMI]]-B191</f>
        <v>24.899999999999991</v>
      </c>
      <c r="F203" s="52">
        <f>(Table134681112[[#This Row],[EWU]]-D191)/D191</f>
        <v>0.34856820081162126</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30.750644683837891</v>
      </c>
      <c r="E204" s="24">
        <f>Table134681112[[#This Row],[PMI]]-B192</f>
        <v>13.799999999999997</v>
      </c>
      <c r="F204" s="52">
        <f>(Table134681112[[#This Row],[EWU]]-D192)/D192</f>
        <v>0.30354628726234217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31.35806846618652</v>
      </c>
      <c r="E205" s="24">
        <f>Table134681112[[#This Row],[PMI]]-B193</f>
        <v>7.1000000000000014</v>
      </c>
      <c r="F205" s="52">
        <f>(Table134681112[[#This Row],[EWU]]-D193)/D193</f>
        <v>0.300701306234682</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31.56845855712891</v>
      </c>
      <c r="E206" s="24">
        <f>Table134681112[[#This Row],[PMI]]-B194</f>
        <v>5.0999999999999943</v>
      </c>
      <c r="F206" s="52">
        <f>(Table134681112[[#This Row],[EWU]]-D194)/D194</f>
        <v>0.27452972592353375</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30.84165000915527</v>
      </c>
      <c r="E207" s="24">
        <f>Table134681112[[#This Row],[PMI]]-B195</f>
        <v>3</v>
      </c>
      <c r="F207" s="52">
        <f>(Table134681112[[#This Row],[EWU]]-D195)/D195</f>
        <v>0.30136326029990285</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32.209201812744141</v>
      </c>
      <c r="E208" s="24">
        <f>Table134681112[[#This Row],[PMI]]-B196</f>
        <v>4.0999999999999943</v>
      </c>
      <c r="F208" s="52">
        <f>(Table134681112[[#This Row],[EWU]]-D196)/D196</f>
        <v>0.42327936773548513</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30.64082145690918</v>
      </c>
      <c r="E209" s="24">
        <f>Table134681112[[#This Row],[PMI]]-B197</f>
        <v>2.5</v>
      </c>
      <c r="F209" s="52">
        <f>(Table134681112[[#This Row],[EWU]]-D197)/D197</f>
        <v>0.16616233383240309</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31.692783355712891</v>
      </c>
      <c r="E210" s="24">
        <f>Table134681112[[#This Row],[PMI]]-B198</f>
        <v>0.39999999999999858</v>
      </c>
      <c r="F210" s="52">
        <f>(Table134681112[[#This Row],[EWU]]-D198)/D198</f>
        <v>0.16378236872596283</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33.292182922363281</v>
      </c>
      <c r="E211" s="24">
        <f>Table134681112[[#This Row],[PMI]]-B199</f>
        <v>2.7999999999999972</v>
      </c>
      <c r="F211" s="52">
        <f>(Table134681112[[#This Row],[EWU]]-D199)/D199</f>
        <v>0.21158979142448631</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32.899242401123047</v>
      </c>
      <c r="E212" s="24">
        <f>Table134681112[[#This Row],[PMI]]-B200</f>
        <v>2.1999999999999957</v>
      </c>
      <c r="F212" s="52">
        <f>(Table134681112[[#This Row],[EWU]]-D200)/D200</f>
        <v>0.15195266600976959</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33.046592712402337</v>
      </c>
      <c r="E213" s="24">
        <f>Table134681112[[#This Row],[PMI]]-B201</f>
        <v>-3.3999999999999986</v>
      </c>
      <c r="F213" s="52">
        <f>(Table134681112[[#This Row],[EWU]]-D201)/D201</f>
        <v>0.12237287373605388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31.730230331420898</v>
      </c>
      <c r="E214" s="24">
        <f>Table134681112[[#This Row],[PMI]]-B202</f>
        <v>-5.6000000000000014</v>
      </c>
      <c r="F214" s="52">
        <f>(Table134681112[[#This Row],[EWU]]-D202)/D202</f>
        <v>3.7248282666007791E-2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32.584884643554688</v>
      </c>
      <c r="E215" s="24">
        <f>Table134681112[[#This Row],[PMI]]-B203</f>
        <v>-10.999999999999993</v>
      </c>
      <c r="F215" s="52">
        <f>(Table134681112[[#This Row],[EWU]]-D203)/D203</f>
        <v>2.5466514746270649E-2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29.431509017944339</v>
      </c>
      <c r="E216" s="24">
        <f>Table134681112[[#This Row],[PMI]]-B204</f>
        <v>-10.5</v>
      </c>
      <c r="F216" s="52">
        <f>(Table134681112[[#This Row],[EWU]]-D204)/D204</f>
        <v>-4.2897821475166353E-2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30.909999847412109</v>
      </c>
      <c r="E217" s="24">
        <f>Table134681112[[#This Row],[PMI]]-B205</f>
        <v>-8.2999999999999972</v>
      </c>
      <c r="F217" s="52">
        <f>(Table134681112[[#This Row],[EWU]]-D205)/D205</f>
        <v>-1.4288782463038626E-2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28.909999847412109</v>
      </c>
      <c r="E218" s="24">
        <f>Table134681112[[#This Row],[PMI]]-B206</f>
        <v>-13</v>
      </c>
      <c r="F218" s="52">
        <f>(Table134681112[[#This Row],[EWU]]-D206)/D206</f>
        <v>-8.4212496625574298E-2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26.20999908447266</v>
      </c>
      <c r="E219" s="24">
        <f>Table134681112[[#This Row],[PMI]]-B207</f>
        <v>-8.7000000000000028</v>
      </c>
      <c r="F219" s="52">
        <f>(Table134681112[[#This Row],[EWU]]-D207)/D207</f>
        <v>-0.15017519890497802</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28.04000091552734</v>
      </c>
      <c r="E220" s="24">
        <f>Table134681112[[#This Row],[PMI]]-B208</f>
        <v>-11.599999999999994</v>
      </c>
      <c r="F220" s="52">
        <f>(Table134681112[[#This Row],[EWU]]-D208)/D208</f>
        <v>-0.12944129821829928</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31.530000686645511</v>
      </c>
      <c r="E221" s="24">
        <f>Table134681112[[#This Row],[PMI]]-B209</f>
        <v>-11.600000000000001</v>
      </c>
      <c r="F221" s="52">
        <f>(Table134681112[[#This Row],[EWU]]-D209)/D209</f>
        <v>2.9019431838235892E-2</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7"/>
  <sheetViews>
    <sheetView zoomScaleNormal="100" workbookViewId="0">
      <pane ySplit="5" topLeftCell="A188" activePane="bottomLeft" state="frozen"/>
      <selection pane="bottomLeft" activeCell="P203" sqref="P203"/>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7"/>
  <sheetViews>
    <sheetView zoomScale="70" zoomScaleNormal="70" workbookViewId="0">
      <pane ySplit="5" topLeftCell="A178" activePane="bottomLeft" state="frozen"/>
      <selection pane="bottomLeft" activeCell="R195" sqref="R195"/>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1"/>
  <sheetViews>
    <sheetView zoomScale="80" zoomScaleNormal="80" workbookViewId="0">
      <pane ySplit="5" topLeftCell="A129" activePane="bottomLeft" state="frozen"/>
      <selection pane="bottomLeft" activeCell="A144" sqref="A144:C151"/>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5"/>
  <sheetViews>
    <sheetView zoomScale="60" zoomScaleNormal="60" workbookViewId="0">
      <pane ySplit="5" topLeftCell="A118" activePane="bottomLeft" state="frozen"/>
      <selection pane="bottomLeft" activeCell="T144" sqref="T144"/>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1"/>
  <sheetViews>
    <sheetView zoomScale="90" zoomScaleNormal="90" workbookViewId="0">
      <pane ySplit="5" topLeftCell="A137" activePane="bottomLeft" state="frozen"/>
      <selection pane="bottomLeft" activeCell="P148" sqref="P148"/>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1"/>
  <sheetViews>
    <sheetView zoomScaleNormal="100" workbookViewId="0">
      <pane ySplit="5" topLeftCell="A137" activePane="bottomLeft" state="frozen"/>
      <selection pane="bottomLeft" activeCell="A143" sqref="A143:C151"/>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5"/>
  <sheetViews>
    <sheetView zoomScale="90" zoomScaleNormal="90" workbookViewId="0">
      <pane ySplit="5" topLeftCell="A126" activePane="bottomLeft" state="frozen"/>
      <selection pane="bottomLeft" activeCell="P141" sqref="P141"/>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0"/>
  <sheetViews>
    <sheetView zoomScaleNormal="100" workbookViewId="0">
      <pane ySplit="5" topLeftCell="A164" activePane="bottomLeft" state="frozen"/>
      <selection pane="bottomLeft" activeCell="P182" sqref="P182"/>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5"/>
  <sheetViews>
    <sheetView zoomScaleNormal="100" workbookViewId="0">
      <pane ySplit="5" topLeftCell="A130" activePane="bottomLeft" state="frozen"/>
      <selection pane="bottomLeft" activeCell="A140" sqref="A140:C145"/>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9"/>
  <sheetViews>
    <sheetView zoomScale="80" zoomScaleNormal="80" workbookViewId="0">
      <pane ySplit="5" topLeftCell="A130" activePane="bottomLeft" state="frozen"/>
      <selection pane="bottomLeft" activeCell="P147" sqref="P147"/>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1"/>
  <sheetViews>
    <sheetView zoomScale="90" zoomScaleNormal="90" workbookViewId="0">
      <pane ySplit="5" topLeftCell="A137" activePane="bottomLeft" state="frozen"/>
      <selection pane="bottomLeft" activeCell="O151" sqref="O151"/>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1"/>
  <sheetViews>
    <sheetView zoomScale="80" zoomScaleNormal="80" workbookViewId="0">
      <pane ySplit="5" topLeftCell="A136" activePane="bottomLeft" state="frozen"/>
      <selection pane="bottomLeft" activeCell="P150" sqref="P150"/>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1"/>
  <sheetViews>
    <sheetView zoomScale="90" zoomScaleNormal="90" workbookViewId="0">
      <pane ySplit="5" topLeftCell="A136" activePane="bottomLeft" state="frozen"/>
      <selection pane="bottomLeft" activeCell="O148" sqref="O148"/>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1"/>
  <sheetViews>
    <sheetView zoomScaleNormal="100" workbookViewId="0">
      <pane ySplit="5" topLeftCell="A137" activePane="bottomLeft" state="frozen"/>
      <selection pane="bottomLeft" activeCell="O150" sqref="O150"/>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1"/>
  <sheetViews>
    <sheetView zoomScaleNormal="100" workbookViewId="0">
      <pane ySplit="5" topLeftCell="A139" activePane="bottomLeft" state="frozen"/>
      <selection pane="bottomLeft" activeCell="O156" sqref="O156"/>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1"/>
  <sheetViews>
    <sheetView zoomScale="90" zoomScaleNormal="90" workbookViewId="0">
      <pane ySplit="5" topLeftCell="A138" activePane="bottomLeft" state="frozen"/>
      <selection pane="bottomLeft" activeCell="A136" sqref="A136:C151"/>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2"/>
  <sheetViews>
    <sheetView zoomScaleNormal="100" workbookViewId="0">
      <pane ySplit="5" topLeftCell="A344" activePane="bottomLeft" state="frozen"/>
      <selection pane="bottomLeft" activeCell="A329" sqref="A329:C352"/>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0"/>
  <sheetViews>
    <sheetView zoomScaleNormal="100" workbookViewId="0">
      <pane ySplit="5" topLeftCell="A117" activePane="bottomLeft" state="frozen"/>
      <selection activeCell="P121" sqref="P121"/>
      <selection pane="bottomLeft" activeCell="A116" sqref="A116:C130"/>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2"/>
  <sheetViews>
    <sheetView zoomScaleNormal="100" workbookViewId="0">
      <pane ySplit="5" topLeftCell="A67" activePane="bottomLeft" state="frozen"/>
      <selection pane="bottomLeft" activeCell="A66" sqref="A66:C82"/>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0"/>
  <sheetViews>
    <sheetView zoomScale="90" zoomScaleNormal="90" workbookViewId="0">
      <pane ySplit="5" topLeftCell="A269" activePane="bottomLeft" state="frozen"/>
      <selection pane="bottomLeft" activeCell="O282" sqref="O282"/>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0"/>
  <sheetViews>
    <sheetView zoomScale="70" zoomScaleNormal="70" workbookViewId="0">
      <pane ySplit="5" topLeftCell="A109" activePane="bottomLeft" state="frozen"/>
      <selection pane="bottomLeft" activeCell="T129" sqref="T129"/>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6"/>
  <sheetViews>
    <sheetView zoomScale="80" zoomScaleNormal="80" workbookViewId="0">
      <pane ySplit="5" topLeftCell="A75" activePane="bottomLeft" state="frozen"/>
      <selection pane="bottomLeft" activeCell="Q93" sqref="Q93"/>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8"/>
  <sheetViews>
    <sheetView zoomScale="90" zoomScaleNormal="90" workbookViewId="0">
      <pane ySplit="5" topLeftCell="A231" activePane="bottomLeft" state="frozen"/>
      <selection activeCell="B327" sqref="B327"/>
      <selection pane="bottomLeft" activeCell="Q242" sqref="Q242"/>
    </sheetView>
  </sheetViews>
  <sheetFormatPr defaultColWidth="9.1796875" defaultRowHeight="14.5" x14ac:dyDescent="0.35"/>
  <cols>
    <col min="1" max="1" width="13.453125" style="63" customWidth="1"/>
    <col min="2" max="2" width="11.36328125" style="63" customWidth="1"/>
    <col min="3" max="50" width="9.1796875" style="63" customWidth="1"/>
    <col min="51"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2022-12-10T03:33:36Z</dcterms:modified>
</cp:coreProperties>
</file>