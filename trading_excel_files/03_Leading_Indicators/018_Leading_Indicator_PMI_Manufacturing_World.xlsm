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22695" yWindow="-21720" windowWidth="51840" windowHeight="21120" tabRatio="868"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2">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-0.007386006357617126</v>
                </pt>
                <pt idx="13">
                  <formatCode>0.00%</formatCode>
                  <v>0.003147215853494454</v>
                </pt>
                <pt idx="14">
                  <formatCode>0.00%</formatCode>
                  <v>-0.07949547693798607</v>
                </pt>
                <pt idx="15">
                  <formatCode>0.00%</formatCode>
                  <v>-0.03799534722020973</v>
                </pt>
                <pt idx="16">
                  <formatCode>0.00%</formatCode>
                  <v>-0.02083786245662871</v>
                </pt>
                <pt idx="17">
                  <formatCode>0.00%</formatCode>
                  <v>-0.001331365110572301</v>
                </pt>
                <pt idx="18">
                  <formatCode>0.00%</formatCode>
                  <v>-0.0581366772740162</v>
                </pt>
                <pt idx="19">
                  <formatCode>0.00%</formatCode>
                  <v>-0.1285200471359977</v>
                </pt>
                <pt idx="20">
                  <formatCode>0.00%</formatCode>
                  <v>-0.06967264121753633</v>
                </pt>
                <pt idx="21">
                  <formatCode>0.00%</formatCode>
                  <v>-0.03832869318331045</v>
                </pt>
                <pt idx="22">
                  <formatCode>0.00%</formatCode>
                  <v>0.06693570344820741</v>
                </pt>
                <pt idx="23">
                  <formatCode>0.00%</formatCode>
                  <v>0.2235355587765176</v>
                </pt>
                <pt idx="24">
                  <formatCode>0.00%</formatCode>
                  <v>0.09342515679451834</v>
                </pt>
                <pt idx="25">
                  <formatCode>0.00%</formatCode>
                  <v>0.1237460982044888</v>
                </pt>
                <pt idx="26">
                  <formatCode>0.00%</formatCode>
                  <v>0.1688327182480024</v>
                </pt>
                <pt idx="27">
                  <formatCode>0.00%</formatCode>
                  <v>0.1485129731812151</v>
                </pt>
                <pt idx="28">
                  <formatCode>0.00%</formatCode>
                  <v>0.09328709436172161</v>
                </pt>
                <pt idx="29">
                  <formatCode>0.00%</formatCode>
                  <v>0.1009843888715063</v>
                </pt>
                <pt idx="30">
                  <formatCode>0.00%</formatCode>
                  <v>0.1453274849377051</v>
                </pt>
                <pt idx="31">
                  <formatCode>0.00%</formatCode>
                  <v>0.2576467009662806</v>
                </pt>
                <pt idx="32">
                  <formatCode>0.00%</formatCode>
                  <v>0.167050064288846</v>
                </pt>
                <pt idx="33">
                  <formatCode>0.00%</formatCode>
                  <v>0.2092646857221192</v>
                </pt>
                <pt idx="34">
                  <formatCode>0.00%</formatCode>
                  <v>0.1495450374475833</v>
                </pt>
                <pt idx="35">
                  <formatCode>0.00%</formatCode>
                  <v>0.1812597647243597</v>
                </pt>
                <pt idx="36">
                  <formatCode>0.00%</formatCode>
                  <v>0.2342674419375449</v>
                </pt>
                <pt idx="37">
                  <formatCode>0.00%</formatCode>
                  <v>0.2337707066893518</v>
                </pt>
                <pt idx="38">
                  <formatCode>0.00%</formatCode>
                  <v>0.2258242560517564</v>
                </pt>
                <pt idx="39">
                  <formatCode>0.00%</formatCode>
                  <v>0.1247129955717907</v>
                </pt>
                <pt idx="40">
                  <formatCode>0.00%</formatCode>
                  <v>0.1844386356242664</v>
                </pt>
                <pt idx="41">
                  <formatCode>0.00%</formatCode>
                  <v>0.1698400575505954</v>
                </pt>
                <pt idx="42">
                  <formatCode>0.00%</formatCode>
                  <v>0.151063427866246</v>
                </pt>
                <pt idx="43">
                  <formatCode>0.00%</formatCode>
                  <v>0.1786676513208978</v>
                </pt>
                <pt idx="44">
                  <formatCode>0.00%</formatCode>
                  <v>0.2306843883152388</v>
                </pt>
                <pt idx="45">
                  <formatCode>0.00%</formatCode>
                  <v>0.1611836161934934</v>
                </pt>
                <pt idx="46">
                  <formatCode>0.00%</formatCode>
                  <v>0.2190746881271676</v>
                </pt>
                <pt idx="47">
                  <formatCode>0.00%</formatCode>
                  <v>0.1167908376789323</v>
                </pt>
                <pt idx="48">
                  <formatCode>0.00%</formatCode>
                  <v>0.08730164304129834</v>
                </pt>
                <pt idx="49">
                  <formatCode>0.00%</formatCode>
                  <v>0.08541065292347889</v>
                </pt>
                <pt idx="50">
                  <formatCode>0.00%</formatCode>
                  <v>0.03797995876141499</v>
                </pt>
                <pt idx="51">
                  <formatCode>0.00%</formatCode>
                  <v>0.07445630736616474</v>
                </pt>
                <pt idx="52">
                  <formatCode>0.00%</formatCode>
                  <v>0.07755769336806517</v>
                </pt>
                <pt idx="53">
                  <formatCode>0.00%</formatCode>
                  <v>0.05578581603851691</v>
                </pt>
                <pt idx="54">
                  <formatCode>0.00%</formatCode>
                  <v>0.07330354705135092</v>
                </pt>
                <pt idx="55">
                  <formatCode>0.00%</formatCode>
                  <v>0.05219903375829997</v>
                </pt>
                <pt idx="56">
                  <formatCode>0.00%</formatCode>
                  <v>0.008968580812503811</v>
                </pt>
                <pt idx="57">
                  <formatCode>0.00%</formatCode>
                  <v>0.02993213892988774</v>
                </pt>
                <pt idx="58">
                  <formatCode>0.00%</formatCode>
                  <v>-0.06427936467334869</v>
                </pt>
                <pt idx="59">
                  <formatCode>0.00%</formatCode>
                  <v>-0.06545389271735749</v>
                </pt>
                <pt idx="60">
                  <formatCode>0.00%</formatCode>
                  <v>-0.00588251922894543</v>
                </pt>
                <pt idx="61">
                  <formatCode>0.00%</formatCode>
                  <v>-0.0246070079441719</v>
                </pt>
                <pt idx="62">
                  <formatCode>0.00%</formatCode>
                  <v>-0.02626874445913863</v>
                </pt>
                <pt idx="63">
                  <formatCode>0.00%</formatCode>
                  <v>-0.06159491404209277</v>
                </pt>
                <pt idx="64">
                  <formatCode>0.00%</formatCode>
                  <v>-0.1216924381997494</v>
                </pt>
                <pt idx="65">
                  <formatCode>0.00%</formatCode>
                  <v>-0.0427577349518178</v>
                </pt>
                <pt idx="66">
                  <formatCode>0.00%</formatCode>
                  <v>-0.05697573806552653</v>
                </pt>
                <pt idx="67">
                  <formatCode>0.00%</formatCode>
                  <v>-0.05382165385016863</v>
                </pt>
                <pt idx="68">
                  <formatCode>0.00%</formatCode>
                  <v>-0.03064932533727471</v>
                </pt>
                <pt idx="69">
                  <formatCode>0.00%</formatCode>
                  <v>-0.0008987505915267533</v>
                </pt>
                <pt idx="70">
                  <formatCode>0.00%</formatCode>
                  <v>0.07575007829353547</v>
                </pt>
                <pt idx="71">
                  <formatCode>0.00%</formatCode>
                  <v>0.1245065842802521</v>
                </pt>
                <pt idx="72">
                  <formatCode>0.00%</formatCode>
                  <v>0.0245587076757399</v>
                </pt>
                <pt idx="73">
                  <formatCode>0.00%</formatCode>
                  <v>0.04071916250130662</v>
                </pt>
                <pt idx="74">
                  <formatCode>0.00%</formatCode>
                  <v>0.08792058809191923</v>
                </pt>
                <pt idx="75">
                  <formatCode>0.00%</formatCode>
                  <v>0.1779394490860141</v>
                </pt>
                <pt idx="76">
                  <formatCode>0.00%</formatCode>
                  <v>0.2228056116194783</v>
                </pt>
                <pt idx="77">
                  <formatCode>0.00%</formatCode>
                  <v>0.1539322055467564</v>
                </pt>
                <pt idx="78">
                  <formatCode>0.00%</formatCode>
                  <v>0.1570582987728706</v>
                </pt>
                <pt idx="79">
                  <formatCode>0.00%</formatCode>
                  <v>0.1786766025836921</v>
                </pt>
                <pt idx="80">
                  <formatCode>0.00%</formatCode>
                  <v>0.1909981258045057</v>
                </pt>
                <pt idx="81">
                  <formatCode>0.00%</formatCode>
                  <v>0.1766675161184589</v>
                </pt>
                <pt idx="82">
                  <formatCode>0.00%</formatCode>
                  <v>0.1773541038033</v>
                </pt>
                <pt idx="83">
                  <formatCode>0.00%</formatCode>
                  <v>0.1883264046546437</v>
                </pt>
                <pt idx="84">
                  <formatCode>0.00%</formatCode>
                  <v>0.2375442180083507</v>
                </pt>
                <pt idx="85">
                  <formatCode>0.00%</formatCode>
                  <v>0.2496077919816544</v>
                </pt>
                <pt idx="86">
                  <formatCode>0.00%</formatCode>
                  <v>0.2433174573773784</v>
                </pt>
                <pt idx="87">
                  <formatCode>0.00%</formatCode>
                  <v>0.2770951246964695</v>
                </pt>
                <pt idx="88">
                  <formatCode>0.00%</formatCode>
                  <v>0.1900418081542719</v>
                </pt>
                <pt idx="89">
                  <formatCode>0.00%</formatCode>
                  <v>0.156655936695087</v>
                </pt>
                <pt idx="90">
                  <formatCode>0.00%</formatCode>
                  <v>0.1429059996808021</v>
                </pt>
                <pt idx="91">
                  <formatCode>0.00%</formatCode>
                  <v>0.1234850681262358</v>
                </pt>
                <pt idx="92">
                  <formatCode>0.00%</formatCode>
                  <v>0.1082329818933576</v>
                </pt>
                <pt idx="93">
                  <formatCode>0.00%</formatCode>
                  <v>0.1117680983036615</v>
                </pt>
                <pt idx="94">
                  <formatCode>0.00%</formatCode>
                  <v>0.1150286754626044</v>
                </pt>
                <pt idx="95">
                  <formatCode>0.00%</formatCode>
                  <v>0.1011245891618226</v>
                </pt>
                <pt idx="96">
                  <formatCode>0.00%</formatCode>
                  <v>-0.002184234876328778</v>
                </pt>
                <pt idx="97">
                  <formatCode>0.00%</formatCode>
                  <v>-0.006431475071932604</v>
                </pt>
                <pt idx="98">
                  <formatCode>0.00%</formatCode>
                  <v>-0.09179161434751378</v>
                </pt>
                <pt idx="99">
                  <formatCode>0.00%</formatCode>
                  <v>-0.07112104666776221</v>
                </pt>
                <pt idx="100">
                  <formatCode>0.00%</formatCode>
                  <v>-0.003618738382083345</v>
                </pt>
                <pt idx="101">
                  <formatCode>0.00%</formatCode>
                  <v>0.02747840599194923</v>
                </pt>
                <pt idx="102">
                  <formatCode>0.00%</formatCode>
                  <v>0.05837280652685167</v>
                </pt>
                <pt idx="103">
                  <formatCode>0.00%</formatCode>
                  <v>-0.01055160876212911</v>
                </pt>
                <pt idx="104">
                  <formatCode>0.00%</formatCode>
                  <v>0.0582544564634396</v>
                </pt>
                <pt idx="105">
                  <formatCode>0.00%</formatCode>
                  <v>0.02904716289757924</v>
                </pt>
                <pt idx="106">
                  <formatCode>0.00%</formatCode>
                  <v>-0.0006466518939833014</v>
                </pt>
                <pt idx="107">
                  <formatCode>0.00%</formatCode>
                  <v>0.01560669905837207</v>
                </pt>
                <pt idx="108">
                  <formatCode>0.00%</formatCode>
                  <v>0.1272134409824194</v>
                </pt>
                <pt idx="109">
                  <formatCode>0.00%</formatCode>
                  <v>0.1355396004200495</v>
                </pt>
                <pt idx="110">
                  <formatCode>0.00%</formatCode>
                  <v>0.2631452206933075</v>
                </pt>
                <pt idx="111">
                  <formatCode>0.00%</formatCode>
                  <v>0.1548126294666514</v>
                </pt>
                <pt idx="112">
                  <formatCode>0.00%</formatCode>
                  <v>0.04260466236555156</v>
                </pt>
                <pt idx="113">
                  <formatCode>0.00%</formatCode>
                  <v>-0.111222134644731</v>
                </pt>
                <pt idx="114">
                  <formatCode>0.00%</formatCode>
                  <v>-0.05617526217966199</v>
                </pt>
                <pt idx="115">
                  <formatCode>0.00%</formatCode>
                  <v>0.05600212733448791</v>
                </pt>
                <pt idx="116">
                  <formatCode>0.00%</formatCode>
                  <v>0.02499660773953153</v>
                </pt>
                <pt idx="117">
                  <formatCode>0.00%</formatCode>
                  <v>0.07476695618926127</v>
                </pt>
                <pt idx="118">
                  <formatCode>0.00%</formatCode>
                  <v>0.1652782695181905</v>
                </pt>
                <pt idx="119">
                  <formatCode>0.00%</formatCode>
                  <v>0.1060515012667045</v>
                </pt>
                <pt idx="120">
                  <formatCode>0.00%</formatCode>
                  <v>0.05258706174321811</v>
                </pt>
                <pt idx="121">
                  <formatCode>0.00%</formatCode>
                  <v>0.1495279884609974</v>
                </pt>
                <pt idx="122">
                  <formatCode>0.00%</formatCode>
                  <v>0.1683845849199555</v>
                </pt>
                <pt idx="123">
                  <formatCode>0.00%</formatCode>
                  <v>0.1767034506666935</v>
                </pt>
                <pt idx="124">
                  <formatCode>0.00%</formatCode>
                  <v>0.3010792934612871</v>
                </pt>
                <pt idx="125">
                  <formatCode>0.00%</formatCode>
                  <v>0.5454527497270175</v>
                </pt>
                <pt idx="126">
                  <formatCode>0.00%</formatCode>
                  <v>0.4668909370773762</v>
                </pt>
                <pt idx="127">
                  <formatCode>0.00%</formatCode>
                  <v>0.4163463049366563</v>
                </pt>
                <pt idx="128">
                  <formatCode>0.00%</formatCode>
                  <v>0.3949715777492669</v>
                </pt>
                <pt idx="129">
                  <formatCode>0.00%</formatCode>
                  <v>0.3344038996552329</v>
                </pt>
                <pt idx="130">
                  <formatCode>0.00%</formatCode>
                  <v>0.2859314906628034</v>
                </pt>
                <pt idx="131">
                  <formatCode>0.00%</formatCode>
                  <v>0.2690222026562091</v>
                </pt>
                <pt idx="132">
                  <formatCode>0.00%</formatCode>
                  <v>0.367944501761437</v>
                </pt>
                <pt idx="133">
                  <formatCode>0.00%</formatCode>
                  <v>0.1957481604255796</v>
                </pt>
                <pt idx="134">
                  <formatCode>0.00%</formatCode>
                  <v>0.183512197492629</v>
                </pt>
                <pt idx="135">
                  <formatCode>0.00%</formatCode>
                  <v>0.1361661225577531</v>
                </pt>
                <pt idx="136">
                  <formatCode>0.00%</formatCode>
                  <v>0.07675121213171453</v>
                </pt>
                <pt idx="137">
                  <formatCode>0.00%</formatCode>
                  <v>0.06719755274950084</v>
                </pt>
                <pt idx="138">
                  <formatCode>0.00%</formatCode>
                  <v>-0.05886147789742835</v>
                </pt>
                <pt idx="139">
                  <formatCode>0.00%</formatCode>
                  <v>-0.06836782330672211</v>
                </pt>
                <pt idx="140">
                  <formatCode>0.00%</formatCode>
                  <v>-0.1563105068587122</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US!$A$6:$A$156</f>
              <numCache>
                <formatCode>m/d/yyyy</formatCode>
                <ptCount val="15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US!$B$6:$B$156</f>
              <numCache>
                <formatCode>General</formatCode>
                <ptCount val="151"/>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pt idx="145">
                  <v>47.7</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China!$A$6:$A$227</f>
              <numCache>
                <formatCode>m/d/yyyy</formatCode>
                <ptCount val="222"/>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China!$D$6:$D$227</f>
              <numCache>
                <formatCode>General</formatCode>
                <ptCount val="222"/>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pt idx="214">
                  <v>48</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China!$F$6:$F$221</f>
              <numCache>
                <formatCode>0.0%</formatCode>
                <ptCount val="216"/>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pt idx="212">
                  <v>0</v>
                </pt>
                <pt idx="213">
                  <v>0.039</v>
                </pt>
                <pt idx="214">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China!$A$6:$A$221</f>
              <numCache>
                <formatCode>m/d/yyyy</formatCode>
                <ptCount val="21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pt idx="214">
                  <v>44866</v>
                </pt>
              </numCache>
            </numRef>
          </cat>
          <val>
            <numRef>
              <f>China!$B$6:$B$221</f>
              <numCache>
                <formatCode>General</formatCode>
                <ptCount val="21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pt idx="214">
                  <v>49.4</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Area'!$E$18:$E$225</f>
              <numCache>
                <formatCode>General</formatCode>
                <ptCount val="208"/>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pt idx="203">
                  <v>-11.3</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Area'!$A$18:$A$225</f>
              <numCache>
                <formatCode>m/d/yyyy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'Euro Area'!$F$18:$F$225</f>
              <numCache>
                <formatCode>0.0%</formatCode>
                <ptCount val="208"/>
                <pt idx="0">
                  <v>0.08907545170541629</v>
                </pt>
                <pt idx="1">
                  <v>0.1870940210917541</v>
                </pt>
                <pt idx="2">
                  <v>0.1458204531592884</v>
                </pt>
                <pt idx="3">
                  <v>0.2258089089190645</v>
                </pt>
                <pt idx="4">
                  <v>0.3265338512767602</v>
                </pt>
                <pt idx="5">
                  <v>0.2736725430264839</v>
                </pt>
                <pt idx="6">
                  <v>0.2588050162654377</v>
                </pt>
                <pt idx="7">
                  <v>0.2183271410675908</v>
                </pt>
                <pt idx="8">
                  <v>0.2452082551369552</v>
                </pt>
                <pt idx="9">
                  <v>0.2452580615615964</v>
                </pt>
                <pt idx="10">
                  <v>0.3381459956982221</v>
                </pt>
                <pt idx="11">
                  <v>0.3747117986738812</v>
                </pt>
                <pt idx="12">
                  <v>0.3535133790183272</v>
                </pt>
                <pt idx="13">
                  <v>0.2878781217813223</v>
                </pt>
                <pt idx="14">
                  <v>0.2670366322982934</v>
                </pt>
                <pt idx="15">
                  <v>0.2641428108447708</v>
                </pt>
                <pt idx="16">
                  <v>0.2858011850392305</v>
                </pt>
                <pt idx="17">
                  <v>0.3836761521380734</v>
                </pt>
                <pt idx="18">
                  <v>0.3641418236976491</v>
                </pt>
                <pt idx="19">
                  <v>0.3056833293881607</v>
                </pt>
                <pt idx="20">
                  <v>0.2565507886437023</v>
                </pt>
                <pt idx="21">
                  <v>0.3067050870873836</v>
                </pt>
                <pt idx="22">
                  <v>0.3262473970578567</v>
                </pt>
                <pt idx="23">
                  <v>0.2325129543525049</v>
                </pt>
                <pt idx="24">
                  <v>0.1753277623590316</v>
                </pt>
                <pt idx="25">
                  <v>0.04665888979800902</v>
                </pt>
                <pt idx="26">
                  <v>0.04754200624182475</v>
                </pt>
                <pt idx="27">
                  <v>0.03112500059058182</v>
                </pt>
                <pt idx="28">
                  <v>0.009039139894948768</v>
                </pt>
                <pt idx="29">
                  <v>-0.01622218246438759</v>
                </pt>
                <pt idx="30">
                  <v>-0.1482948304363181</v>
                </pt>
                <pt idx="31">
                  <v>-0.1105890051003642</v>
                </pt>
                <pt idx="32">
                  <v>-0.1453456049252863</v>
                </pt>
                <pt idx="33">
                  <v>-0.3013401708286333</v>
                </pt>
                <pt idx="34">
                  <v>-0.4978918577268041</v>
                </pt>
                <pt idx="35">
                  <v>-0.5220051523517881</v>
                </pt>
                <pt idx="36">
                  <v>-0.4544519700632619</v>
                </pt>
                <pt idx="37">
                  <v>-0.4996891147797109</v>
                </pt>
                <pt idx="38">
                  <v>-0.5564334361619786</v>
                </pt>
                <pt idx="39">
                  <v>-0.5244645317065501</v>
                </pt>
                <pt idx="40">
                  <v>-0.4756980325564932</v>
                </pt>
                <pt idx="41">
                  <v>-0.4133984063261716</v>
                </pt>
                <pt idx="42">
                  <v>-0.3467941186838009</v>
                </pt>
                <pt idx="43">
                  <v>-0.2662781522687657</v>
                </pt>
                <pt idx="44">
                  <v>-0.1884613632117957</v>
                </pt>
                <pt idx="45">
                  <v>-0.0002381646920738592</v>
                </pt>
                <pt idx="46">
                  <v>0.2647763636650249</v>
                </pt>
                <pt idx="47">
                  <v>0.4331730802975885</v>
                </pt>
                <pt idx="48">
                  <v>0.2788756108686224</v>
                </pt>
                <pt idx="49">
                  <v>0.4067903921271693</v>
                </pt>
                <pt idx="50">
                  <v>0.5521363579426249</v>
                </pt>
                <pt idx="51">
                  <v>0.516370423782143</v>
                </pt>
                <pt idx="52">
                  <v>0.2570518215438133</v>
                </pt>
                <pt idx="53">
                  <v>-0.02974522375177847</v>
                </pt>
                <pt idx="54">
                  <v>-0.026055251694447</v>
                </pt>
                <pt idx="55">
                  <v>0.00659525748983105</v>
                </pt>
                <pt idx="56">
                  <v>-0.1187254916569285</v>
                </pt>
                <pt idx="57">
                  <v>-0.06252941277805298</v>
                </pt>
                <pt idx="58">
                  <v>0.04202062356238944</v>
                </pt>
                <pt idx="59">
                  <v>-0.1165567775170731</v>
                </pt>
                <pt idx="60">
                  <v>-0.03144404337673182</v>
                </pt>
                <pt idx="61">
                  <v>0.11924249878502</v>
                </pt>
                <pt idx="62">
                  <v>0.1875291873565711</v>
                </pt>
                <pt idx="63">
                  <v>0.1096162781215425</v>
                </pt>
                <pt idx="64">
                  <v>0.2605714597706427</v>
                </pt>
                <pt idx="65">
                  <v>0.3740132130554407</v>
                </pt>
                <pt idx="66">
                  <v>0.399689339554285</v>
                </pt>
                <pt idx="67">
                  <v>0.1270199375556345</v>
                </pt>
                <pt idx="68">
                  <v>0.06369026670689713</v>
                </pt>
                <pt idx="69">
                  <v>-0.186666662566038</v>
                </pt>
                <pt idx="70">
                  <v>-0.1363317107216691</v>
                </pt>
                <pt idx="71">
                  <v>-0.06974019941214342</v>
                </pt>
                <pt idx="72">
                  <v>-0.1844717054757773</v>
                </pt>
                <pt idx="73">
                  <v>-0.1761632344409206</v>
                </pt>
                <pt idx="74">
                  <v>-0.1556907481773381</v>
                </pt>
                <pt idx="75">
                  <v>-0.1574558475020327</v>
                </pt>
                <pt idx="76">
                  <v>-0.2634710387724781</v>
                </pt>
                <pt idx="77">
                  <v>-0.3263975717111349</v>
                </pt>
                <pt idx="78">
                  <v>-0.2686454267893917</v>
                </pt>
                <pt idx="79">
                  <v>-0.2115339694493115</v>
                </pt>
                <pt idx="80">
                  <v>-0.04249656460456635</v>
                </pt>
                <pt idx="81">
                  <v>0.1454911950135008</v>
                </pt>
                <pt idx="82">
                  <v>0.04311724741096014</v>
                </pt>
                <pt idx="83">
                  <v>0.1262376539144529</v>
                </pt>
                <pt idx="84">
                  <v>0.2489637502825629</v>
                </pt>
                <pt idx="85">
                  <v>0.2010153788800063</v>
                </pt>
                <pt idx="86">
                  <v>0.08604046511582704</v>
                </pt>
                <pt idx="87">
                  <v>0.06927126748943639</v>
                </pt>
                <pt idx="88">
                  <v>0.1980528403564664</v>
                </pt>
                <pt idx="89">
                  <v>0.393329665131054</v>
                </pt>
                <pt idx="90">
                  <v>0.222581294960817</v>
                </pt>
                <pt idx="91">
                  <v>0.33628772282236</v>
                </pt>
                <pt idx="92">
                  <v>0.2305786857353273</v>
                </pt>
                <pt idx="93">
                  <v>0.2911334689017272</v>
                </pt>
                <pt idx="94">
                  <v>0.3272752831116447</v>
                </pt>
                <pt idx="95">
                  <v>0.3022605693006671</v>
                </pt>
                <pt idx="96">
                  <v>0.271725444819865</v>
                </pt>
                <pt idx="97">
                  <v>0.162498597241563</v>
                </pt>
                <pt idx="98">
                  <v>0.3036875572544138</v>
                </pt>
                <pt idx="99">
                  <v>0.3306393442771814</v>
                </pt>
                <pt idx="100">
                  <v>0.2814089358094669</v>
                </pt>
                <pt idx="101">
                  <v>0.2755027228614415</v>
                </pt>
                <pt idx="102">
                  <v>0.339185892030645</v>
                </pt>
                <pt idx="103">
                  <v>0.1522177495755615</v>
                </pt>
                <pt idx="104">
                  <v>0.1755451313600914</v>
                </pt>
                <pt idx="105">
                  <v>0.04338858730094699</v>
                </pt>
                <pt idx="106">
                  <v>-0.03865571609108742</v>
                </pt>
                <pt idx="107">
                  <v>-0.01573551405945707</v>
                </pt>
                <pt idx="108">
                  <v>-0.1022675191961332</v>
                </pt>
                <pt idx="109">
                  <v>-0.04107679089296588</v>
                </pt>
                <pt idx="110">
                  <v>-0.04790176673932246</v>
                </pt>
                <pt idx="111">
                  <v>-0.06298761809037454</v>
                </pt>
                <pt idx="112">
                  <v>-0.05945565819110936</v>
                </pt>
                <pt idx="113">
                  <v>-0.07316839106810988</v>
                </pt>
                <pt idx="114">
                  <v>-0.08932366819922388</v>
                </pt>
                <pt idx="115">
                  <v>-0.003645119266368193</v>
                </pt>
                <pt idx="116">
                  <v>-0.07403207647888917</v>
                </pt>
                <pt idx="117">
                  <v>-0.08580681221457621</v>
                </pt>
                <pt idx="118">
                  <v>0.00986721044053895</v>
                </pt>
                <pt idx="119">
                  <v>-0.03547426249964714</v>
                </pt>
                <pt idx="120">
                  <v>-0.01145334068212652</v>
                </pt>
                <pt idx="121">
                  <v>-0.07695537788325169</v>
                </pt>
                <pt idx="122">
                  <v>-0.1676190431544675</v>
                </pt>
                <pt idx="123">
                  <v>-0.0909580638984403</v>
                </pt>
                <pt idx="124">
                  <v>-0.08802598115329778</v>
                </pt>
                <pt idx="125">
                  <v>-0.1155163193122741</v>
                </pt>
                <pt idx="126">
                  <v>-0.1233652612778269</v>
                </pt>
                <pt idx="127">
                  <v>-0.1018752257093877</v>
                </pt>
                <pt idx="128">
                  <v>-0.0244653108373565</v>
                </pt>
                <pt idx="129">
                  <v>0.03163550547655003</v>
                </pt>
                <pt idx="130">
                  <v>-0.04838915746567907</v>
                </pt>
                <pt idx="131">
                  <v>-0.07905000119586982</v>
                </pt>
                <pt idx="132">
                  <v>0.01425082994778407</v>
                </pt>
                <pt idx="133">
                  <v>0.0980808664110127</v>
                </pt>
                <pt idx="134">
                  <v>0.1486946554005492</v>
                </pt>
                <pt idx="135">
                  <v>0.1278762478189582</v>
                </pt>
                <pt idx="136">
                  <v>0.1477024485259973</v>
                </pt>
                <pt idx="137">
                  <v>0.2498013168445959</v>
                </pt>
                <pt idx="138">
                  <v>0.2892437333893436</v>
                </pt>
                <pt idx="139">
                  <v>0.2579401793061952</v>
                </pt>
                <pt idx="140">
                  <v>0.249943239799552</v>
                </pt>
                <pt idx="141">
                  <v>0.2839575329438351</v>
                </pt>
                <pt idx="142">
                  <v>0.3123919886271768</v>
                </pt>
                <pt idx="143">
                  <v>0.3634104588878457</v>
                </pt>
                <pt idx="144">
                  <v>0.2816485488525726</v>
                </pt>
                <pt idx="145">
                  <v>0.3398694345870807</v>
                </pt>
                <pt idx="146">
                  <v>0.2571373760765158</v>
                </pt>
                <pt idx="147">
                  <v>0.1760483591795448</v>
                </pt>
                <pt idx="148">
                  <v>0.1523721265600036</v>
                </pt>
                <pt idx="149">
                  <v>0.05869814195552735</v>
                </pt>
                <pt idx="150">
                  <v>0.03725501818065041</v>
                </pt>
                <pt idx="151">
                  <v>0.05212558487762645</v>
                </pt>
                <pt idx="152">
                  <v>0.0138892672710256</v>
                </pt>
                <pt idx="153">
                  <v>-0.02597116406131431</v>
                </pt>
                <pt idx="154">
                  <v>-0.1227529185408596</v>
                </pt>
                <pt idx="155">
                  <v>-0.1236046782077963</v>
                </pt>
                <pt idx="156">
                  <v>-0.1684414970309753</v>
                </pt>
                <pt idx="157">
                  <v>-0.1712706797968966</v>
                </pt>
                <pt idx="158">
                  <v>-0.09086412770437423</v>
                </pt>
                <pt idx="159">
                  <v>-0.08288157728237264</v>
                </pt>
                <pt idx="160">
                  <v>-0.05831400824416819</v>
                </pt>
                <pt idx="161">
                  <v>-0.08617927369414909</v>
                </pt>
                <pt idx="162">
                  <v>-0.006440907166786166</v>
                </pt>
                <pt idx="163">
                  <v>-0.06660454325482666</v>
                </pt>
                <pt idx="164">
                  <v>-0.05056081943682114</v>
                </pt>
                <pt idx="165">
                  <v>-0.02102980279872448</v>
                </pt>
                <pt idx="166">
                  <v>0.1165920458239915</v>
                </pt>
                <pt idx="167">
                  <v>0.1307468353605016</v>
                </pt>
                <pt idx="168">
                  <v>0.234328411254187</v>
                </pt>
                <pt idx="169">
                  <v>0.1173756458086982</v>
                </pt>
                <pt idx="170">
                  <v>0.003410348584812786</v>
                </pt>
                <pt idx="171">
                  <v>-0.1851002164905826</v>
                </pt>
                <pt idx="172">
                  <v>-0.1760827715690563</v>
                </pt>
                <pt idx="173">
                  <v>-0.05439318155027418</v>
                </pt>
                <pt idx="174">
                  <v>-0.04929052514826665</v>
                </pt>
                <pt idx="175">
                  <v>-0.008547154243525781</v>
                </pt>
                <pt idx="176">
                  <v>0.05258359287927769</v>
                </pt>
                <pt idx="177">
                  <v>-0.01223223126780757</v>
                </pt>
                <pt idx="178">
                  <v>-0.1007496171057999</v>
                </pt>
                <pt idx="179">
                  <v>0.06643088378115895</v>
                </pt>
                <pt idx="180">
                  <v>0.06523335758527449</v>
                </pt>
                <pt idx="181">
                  <v>0.09498359696430662</v>
                </pt>
                <pt idx="182">
                  <v>0.2224426308236679</v>
                </pt>
                <pt idx="183">
                  <v>0.5574583174698127</v>
                </pt>
                <pt idx="184">
                  <v>0.5353094593016309</v>
                </pt>
                <pt idx="185">
                  <v>0.4924834796068778</v>
                </pt>
                <pt idx="186">
                  <v>0.384497703816233</v>
                </pt>
                <pt idx="187">
                  <v>0.3552064624870873</v>
                </pt>
                <pt idx="188">
                  <v>0.3215089086237828</v>
                </pt>
                <pt idx="189">
                  <v>0.2995504498133704</v>
                </pt>
                <pt idx="190">
                  <v>0.4362302143506373</v>
                </pt>
                <pt idx="191">
                  <v>0.1352220224606544</v>
                </pt>
                <pt idx="192">
                  <v>0.1386202550724177</v>
                </pt>
                <pt idx="193">
                  <v>0.1209149796557353</v>
                </pt>
                <pt idx="194">
                  <v>0.004033834205863269</v>
                </pt>
                <pt idx="195">
                  <v>-0.04510846026006662</v>
                </pt>
                <pt idx="196">
                  <v>-0.1541924717575417</v>
                </pt>
                <pt idx="197">
                  <v>-0.1545615226121602</v>
                </pt>
                <pt idx="198">
                  <v>-0.2452848105128256</v>
                </pt>
                <pt idx="199">
                  <v>-0.2052528794008883</v>
                </pt>
                <pt idx="200">
                  <v>-0.2783787973534254</v>
                </pt>
                <pt idx="201">
                  <v>-0.3100166454186908</v>
                </pt>
                <pt idx="202">
                  <v>-0.2735409026288237</v>
                </pt>
                <pt idx="203">
                  <v>-0.1157754982851439</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Area'!$G$6:$G$221</f>
              <numCache>
                <formatCode>0.0%</formatCode>
                <ptCount val="216"/>
                <pt idx="0">
                  <v>0</v>
                </pt>
                <pt idx="1">
                  <v>0.002079008425802162</v>
                </pt>
                <pt idx="2">
                  <v>0</v>
                </pt>
                <pt idx="3">
                  <v>0</v>
                </pt>
                <pt idx="4">
                  <v>0.006154369590930122</v>
                </pt>
                <pt idx="5">
                  <v>0</v>
                </pt>
                <pt idx="6">
                  <v>0</v>
                </pt>
                <pt idx="7">
                  <v>0.00732764268577181</v>
                </pt>
                <pt idx="8">
                  <v>0</v>
                </pt>
                <pt idx="9">
                  <v>0</v>
                </pt>
                <pt idx="10">
                  <v>0.006390846493875452</v>
                </pt>
                <pt idx="11">
                  <v>0</v>
                </pt>
                <pt idx="12">
                  <v>0</v>
                </pt>
                <pt idx="13">
                  <v>0.008731075876649541</v>
                </pt>
                <pt idx="14">
                  <v>0</v>
                </pt>
                <pt idx="15">
                  <v>0</v>
                </pt>
                <pt idx="16">
                  <v>0.01104205733804205</v>
                </pt>
                <pt idx="17">
                  <v>0</v>
                </pt>
                <pt idx="18">
                  <v>0</v>
                </pt>
                <pt idx="19">
                  <v>0.005944216053640459</v>
                </pt>
                <pt idx="20">
                  <v>0</v>
                </pt>
                <pt idx="21">
                  <v>0</v>
                </pt>
                <pt idx="22">
                  <v>0.01173620356979928</v>
                </pt>
                <pt idx="23">
                  <v>0</v>
                </pt>
                <pt idx="24">
                  <v>0</v>
                </pt>
                <pt idx="25">
                  <v>0.006000599096584409</v>
                </pt>
                <pt idx="26">
                  <v>0</v>
                </pt>
                <pt idx="27">
                  <v>0</v>
                </pt>
                <pt idx="28">
                  <v>0.007220810725550743</v>
                </pt>
                <pt idx="29">
                  <v>0</v>
                </pt>
                <pt idx="30">
                  <v>0</v>
                </pt>
                <pt idx="31">
                  <v>0.004513588218056784</v>
                </pt>
                <pt idx="32">
                  <v>0</v>
                </pt>
                <pt idx="33">
                  <v>0</v>
                </pt>
                <pt idx="34">
                  <v>0.005090836146678046</v>
                </pt>
                <pt idx="35">
                  <v>0</v>
                </pt>
                <pt idx="36">
                  <v>0</v>
                </pt>
                <pt idx="37">
                  <v>0.005170018134278373</v>
                </pt>
                <pt idx="38">
                  <v>0</v>
                </pt>
                <pt idx="39">
                  <v>0</v>
                </pt>
                <pt idx="40">
                  <v>-0.003375135400820901</v>
                </pt>
                <pt idx="41">
                  <v>0</v>
                </pt>
                <pt idx="42">
                  <v>0</v>
                </pt>
                <pt idx="43">
                  <v>-0.005284995408960556</v>
                </pt>
                <pt idx="44">
                  <v>0</v>
                </pt>
                <pt idx="45">
                  <v>0</v>
                </pt>
                <pt idx="46">
                  <v>-0.01820969430111454</v>
                </pt>
                <pt idx="47">
                  <v>0</v>
                </pt>
                <pt idx="48">
                  <v>0</v>
                </pt>
                <pt idx="49">
                  <v>-0.03093596519703931</v>
                </pt>
                <pt idx="50">
                  <v>0</v>
                </pt>
                <pt idx="51">
                  <v>0</v>
                </pt>
                <pt idx="52">
                  <v>-0.0002479623509994235</v>
                </pt>
                <pt idx="53">
                  <v>0</v>
                </pt>
                <pt idx="54">
                  <v>0</v>
                </pt>
                <pt idx="55">
                  <v>0.004024979403741463</v>
                </pt>
                <pt idx="56">
                  <v>0</v>
                </pt>
                <pt idx="57">
                  <v>0</v>
                </pt>
                <pt idx="58">
                  <v>0.004231328985635955</v>
                </pt>
                <pt idx="59">
                  <v>0</v>
                </pt>
                <pt idx="60">
                  <v>0</v>
                </pt>
                <pt idx="61">
                  <v>0.004419265756777226</v>
                </pt>
                <pt idx="62">
                  <v>0</v>
                </pt>
                <pt idx="63">
                  <v>0</v>
                </pt>
                <pt idx="64">
                  <v>0.009697860162736336</v>
                </pt>
                <pt idx="65">
                  <v>0</v>
                </pt>
                <pt idx="66">
                  <v>0</v>
                </pt>
                <pt idx="67">
                  <v>0.004179358840282454</v>
                </pt>
                <pt idx="68">
                  <v>0</v>
                </pt>
                <pt idx="69">
                  <v>0</v>
                </pt>
                <pt idx="70">
                  <v>0.005908231298489107</v>
                </pt>
                <pt idx="71">
                  <v>0</v>
                </pt>
                <pt idx="72">
                  <v>0</v>
                </pt>
                <pt idx="73">
                  <v>0.00909580495396386</v>
                </pt>
                <pt idx="74">
                  <v>0</v>
                </pt>
                <pt idx="75">
                  <v>0</v>
                </pt>
                <pt idx="76">
                  <v>-0.000224757433624218</v>
                </pt>
                <pt idx="77">
                  <v>0</v>
                </pt>
                <pt idx="78">
                  <v>0</v>
                </pt>
                <pt idx="79">
                  <v>0.001528009020713608</v>
                </pt>
                <pt idx="80">
                  <v>0</v>
                </pt>
                <pt idx="81">
                  <v>0</v>
                </pt>
                <pt idx="82">
                  <v>-0.004234834458831302</v>
                </pt>
                <pt idx="83">
                  <v>0</v>
                </pt>
                <pt idx="84">
                  <v>0</v>
                </pt>
                <pt idx="85">
                  <v>-0.002149700873127423</v>
                </pt>
                <pt idx="86">
                  <v>0</v>
                </pt>
                <pt idx="87">
                  <v>0</v>
                </pt>
                <pt idx="88">
                  <v>-0.002638823464713449</v>
                </pt>
                <pt idx="89">
                  <v>0</v>
                </pt>
                <pt idx="90">
                  <v>0</v>
                </pt>
                <pt idx="91">
                  <v>-0.0009907163742234103</v>
                </pt>
                <pt idx="92">
                  <v>0</v>
                </pt>
                <pt idx="93">
                  <v>0</v>
                </pt>
                <pt idx="94">
                  <v>-0.004449012942242542</v>
                </pt>
                <pt idx="95">
                  <v>0</v>
                </pt>
                <pt idx="96">
                  <v>0</v>
                </pt>
                <pt idx="97">
                  <v>-0.003324045172696367</v>
                </pt>
                <pt idx="98">
                  <v>0</v>
                </pt>
                <pt idx="99">
                  <v>0</v>
                </pt>
                <pt idx="100">
                  <v>0.005147360676686371</v>
                </pt>
                <pt idx="101">
                  <v>0</v>
                </pt>
                <pt idx="102">
                  <v>0</v>
                </pt>
                <pt idx="103">
                  <v>0.003038803676596945</v>
                </pt>
                <pt idx="104">
                  <v>0</v>
                </pt>
                <pt idx="105">
                  <v>0</v>
                </pt>
                <pt idx="106">
                  <v>0.002878766551284823</v>
                </pt>
                <pt idx="107">
                  <v>0</v>
                </pt>
                <pt idx="108">
                  <v>0</v>
                </pt>
                <pt idx="109">
                  <v>0.004141561641280461</v>
                </pt>
                <pt idx="110">
                  <v>0</v>
                </pt>
                <pt idx="111">
                  <v>0</v>
                </pt>
                <pt idx="112">
                  <v>0.001950123720347438</v>
                </pt>
                <pt idx="113">
                  <v>0</v>
                </pt>
                <pt idx="114">
                  <v>0</v>
                </pt>
                <pt idx="115">
                  <v>0.004939181884855341</v>
                </pt>
                <pt idx="116">
                  <v>0</v>
                </pt>
                <pt idx="117">
                  <v>0</v>
                </pt>
                <pt idx="118">
                  <v>0.003558540848885159</v>
                </pt>
                <pt idx="119">
                  <v>0</v>
                </pt>
                <pt idx="120">
                  <v>0</v>
                </pt>
                <pt idx="121">
                  <v>0.006376936063688275</v>
                </pt>
                <pt idx="122">
                  <v>0</v>
                </pt>
                <pt idx="123">
                  <v>0</v>
                </pt>
                <pt idx="124">
                  <v>0.004606899460288354</v>
                </pt>
                <pt idx="125">
                  <v>0</v>
                </pt>
                <pt idx="126">
                  <v>0</v>
                </pt>
                <pt idx="127">
                  <v>0.004168230329365794</v>
                </pt>
                <pt idx="128">
                  <v>0</v>
                </pt>
                <pt idx="129">
                  <v>0</v>
                </pt>
                <pt idx="130">
                  <v>0.004621030137627779</v>
                </pt>
                <pt idx="131">
                  <v>0</v>
                </pt>
                <pt idx="132">
                  <v>0</v>
                </pt>
                <pt idx="133">
                  <v>0.005558264577996221</v>
                </pt>
                <pt idx="134">
                  <v>0</v>
                </pt>
                <pt idx="135">
                  <v>0</v>
                </pt>
                <pt idx="136">
                  <v>0.002338366509995496</v>
                </pt>
                <pt idx="137">
                  <v>0</v>
                </pt>
                <pt idx="138">
                  <v>0</v>
                </pt>
                <pt idx="139">
                  <v>0.00476872353145435</v>
                </pt>
                <pt idx="140">
                  <v>0</v>
                </pt>
                <pt idx="141">
                  <v>0</v>
                </pt>
                <pt idx="142">
                  <v>0.007571322890104813</v>
                </pt>
                <pt idx="143">
                  <v>0</v>
                </pt>
                <pt idx="144">
                  <v>0</v>
                </pt>
                <pt idx="145">
                  <v>0.006829487932795342</v>
                </pt>
                <pt idx="146">
                  <v>0</v>
                </pt>
                <pt idx="147">
                  <v>0</v>
                </pt>
                <pt idx="148">
                  <v>0.007887524293034848</v>
                </pt>
                <pt idx="149">
                  <v>0</v>
                </pt>
                <pt idx="150">
                  <v>0</v>
                </pt>
                <pt idx="151">
                  <v>0.007760442137866973</v>
                </pt>
                <pt idx="152">
                  <v>0</v>
                </pt>
                <pt idx="153">
                  <v>0</v>
                </pt>
                <pt idx="154">
                  <v>0.008091295999694992</v>
                </pt>
                <pt idx="155">
                  <v>0</v>
                </pt>
                <pt idx="156">
                  <v>0</v>
                </pt>
                <pt idx="157">
                  <v>-3.510066650091764e-05</v>
                </pt>
                <pt idx="158">
                  <v>0</v>
                </pt>
                <pt idx="159">
                  <v>0</v>
                </pt>
                <pt idx="160">
                  <v>0.005393534397974045</v>
                </pt>
                <pt idx="161">
                  <v>0</v>
                </pt>
                <pt idx="162">
                  <v>0</v>
                </pt>
                <pt idx="163">
                  <v>8.699966473854685e-05</v>
                </pt>
                <pt idx="164">
                  <v>0</v>
                </pt>
                <pt idx="165">
                  <v>0</v>
                </pt>
                <pt idx="166">
                  <v>0.006465919737490724</v>
                </pt>
                <pt idx="167">
                  <v>0</v>
                </pt>
                <pt idx="168">
                  <v>0</v>
                </pt>
                <pt idx="169">
                  <v>0.006281530002931163</v>
                </pt>
                <pt idx="170">
                  <v>0</v>
                </pt>
                <pt idx="171">
                  <v>0</v>
                </pt>
                <pt idx="172">
                  <v>0.00313693459033283</v>
                </pt>
                <pt idx="173">
                  <v>0</v>
                </pt>
                <pt idx="174">
                  <v>0</v>
                </pt>
                <pt idx="175">
                  <v>0.002074514789335913</v>
                </pt>
                <pt idx="176">
                  <v>0</v>
                </pt>
                <pt idx="177">
                  <v>0</v>
                </pt>
                <pt idx="178">
                  <v>0.0001576409878780286</v>
                </pt>
                <pt idx="179">
                  <v>0</v>
                </pt>
                <pt idx="180">
                  <v>0</v>
                </pt>
                <pt idx="181">
                  <v>-0.03363783079240897</v>
                </pt>
                <pt idx="182">
                  <v>0</v>
                </pt>
                <pt idx="183">
                  <v>0</v>
                </pt>
                <pt idx="184">
                  <v>-0.1145008073653633</v>
                </pt>
                <pt idx="185">
                  <v>0</v>
                </pt>
                <pt idx="186">
                  <v>0</v>
                </pt>
                <pt idx="187">
                  <v>0.1235111337444042</v>
                </pt>
                <pt idx="188">
                  <v>0</v>
                </pt>
                <pt idx="189">
                  <v>0</v>
                </pt>
                <pt idx="190">
                  <v>-0.002623450635427683</v>
                </pt>
                <pt idx="191">
                  <v>0</v>
                </pt>
                <pt idx="192">
                  <v>0</v>
                </pt>
                <pt idx="193">
                  <v>-0.0006209683402426656</v>
                </pt>
                <pt idx="194">
                  <v>0</v>
                </pt>
                <pt idx="195">
                  <v>0</v>
                </pt>
                <pt idx="196">
                  <v>0.01986212346888342</v>
                </pt>
                <pt idx="197">
                  <v>0</v>
                </pt>
                <pt idx="198">
                  <v>0</v>
                </pt>
                <pt idx="199">
                  <v>0.02250640829915882</v>
                </pt>
                <pt idx="200">
                  <v>0</v>
                </pt>
                <pt idx="201">
                  <v>0</v>
                </pt>
                <pt idx="202">
                  <v>0.005352043282738927</v>
                </pt>
                <pt idx="203">
                  <v>0</v>
                </pt>
                <pt idx="204">
                  <v>0</v>
                </pt>
                <pt idx="205">
                  <v>0.00611327279210289</v>
                </pt>
                <pt idx="206">
                  <v>0</v>
                </pt>
                <pt idx="207">
                  <v>0</v>
                </pt>
                <pt idx="208">
                  <v>0.007951096645584181</v>
                </pt>
                <pt idx="209">
                  <v>0</v>
                </pt>
                <pt idx="210">
                  <v>0</v>
                </pt>
                <pt idx="211">
                  <v>0.003184090836015212</v>
                </pt>
                <pt idx="212">
                  <v>0</v>
                </pt>
                <pt idx="213">
                  <v>0</v>
                </pt>
                <pt idx="214">
                  <v>0</v>
                </pt>
                <pt idx="215">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'Euro Area'!$B$6:$B$221</f>
              <numCache>
                <formatCode>General</formatCode>
                <ptCount val="21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pt idx="215">
                  <v>47.1</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Japan!$A$6:$A$183</f>
              <numCache>
                <formatCode>m/d/yyyy</formatCode>
                <ptCount val="178"/>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pt idx="177">
                  <v>44866</v>
                </pt>
              </numCache>
            </numRef>
          </cat>
          <val>
            <numRef>
              <f>Japan!$B$6:$B$183</f>
              <numCache>
                <formatCode>General</formatCode>
                <ptCount val="178"/>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pt idx="177">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Germany!$A$6:$A$184</f>
              <numCache>
                <formatCode>m/d/yyyy</formatCode>
                <ptCount val="179"/>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pt idx="178">
                  <v>44866</v>
                </pt>
              </numCache>
            </numRef>
          </cat>
          <val>
            <numRef>
              <f>Germany!$B$6:$B$184</f>
              <numCache>
                <formatCode>General</formatCode>
                <ptCount val="179"/>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pt idx="178">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France!$A$6:$A$177</f>
              <numCache>
                <formatCode>m/d/yyyy</formatCode>
                <ptCount val="17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pt idx="171">
                  <v>44866</v>
                </pt>
              </numCache>
            </numRef>
          </cat>
          <val>
            <numRef>
              <f>France!$B$6:$B$177</f>
              <numCache>
                <formatCode>General</formatCode>
                <ptCount val="172"/>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pt idx="171">
                  <v>48.3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UK!$B$18:$B$226</f>
              <numCache>
                <formatCode>General</formatCode>
                <ptCount val="209"/>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pt idx="203">
                  <v>46.5</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UK!$A$18:$A$226</f>
              <numCache>
                <formatCode>m/d/yyyy</formatCode>
                <ptCount val="20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pt idx="203">
                  <v>44866</v>
                </pt>
              </numCache>
            </numRef>
          </cat>
          <val>
            <numRef>
              <f>UK!$D$18:$D$226</f>
              <numCache>
                <formatCode>0.00</formatCode>
                <ptCount val="209"/>
                <pt idx="0">
                  <v>18.85319519042969</v>
                </pt>
                <pt idx="1">
                  <v>20.61869049072266</v>
                </pt>
                <pt idx="2">
                  <v>20.50362014770508</v>
                </pt>
                <pt idx="3">
                  <v>21.08943939208984</v>
                </pt>
                <pt idx="4">
                  <v>22.43891525268555</v>
                </pt>
                <pt idx="5">
                  <v>21.84262657165527</v>
                </pt>
                <pt idx="6">
                  <v>22.02047348022461</v>
                </pt>
                <pt idx="7">
                  <v>22.59582710266113</v>
                </pt>
                <pt idx="8">
                  <v>23.08749389648438</v>
                </pt>
                <pt idx="9">
                  <v>22.89920043945312</v>
                </pt>
                <pt idx="10">
                  <v>23.95575714111328</v>
                </pt>
                <pt idx="11">
                  <v>24.63572311401367</v>
                </pt>
                <pt idx="12">
                  <v>24.4892692565918</v>
                </pt>
                <pt idx="13">
                  <v>25.51086616516113</v>
                </pt>
                <pt idx="14">
                  <v>25.13204193115234</v>
                </pt>
                <pt idx="15">
                  <v>26.05205154418945</v>
                </pt>
                <pt idx="16">
                  <v>26.89626693725586</v>
                </pt>
                <pt idx="17">
                  <v>27.46990585327148</v>
                </pt>
                <pt idx="18">
                  <v>27.65389823913574</v>
                </pt>
                <pt idx="19">
                  <v>26.72309112548828</v>
                </pt>
                <pt idx="20">
                  <v>26.77720832824707</v>
                </pt>
                <pt idx="21">
                  <v>27.84873008728027</v>
                </pt>
                <pt idx="22">
                  <v>29.46142578125</v>
                </pt>
                <pt idx="23">
                  <v>27.72966957092285</v>
                </pt>
                <pt idx="24">
                  <v>26.06285667419434</v>
                </pt>
                <pt idx="25">
                  <v>24.82069778442383</v>
                </pt>
                <pt idx="26">
                  <v>24.52947807312012</v>
                </pt>
                <pt idx="27">
                  <v>24.14865684509277</v>
                </pt>
                <pt idx="28">
                  <v>25.58235359191895</v>
                </pt>
                <pt idx="29">
                  <v>25.52634239196777</v>
                </pt>
                <pt idx="30">
                  <v>23.20780181884766</v>
                </pt>
                <pt idx="31">
                  <v>22.76374626159668</v>
                </pt>
                <pt idx="32">
                  <v>21.99617767333984</v>
                </pt>
                <pt idx="33">
                  <v>19.07480621337891</v>
                </pt>
                <pt idx="34">
                  <v>15.30567264556885</v>
                </pt>
                <pt idx="35">
                  <v>14.32042694091797</v>
                </pt>
                <pt idx="36">
                  <v>14.03402137756348</v>
                </pt>
                <pt idx="37">
                  <v>13.08317470550537</v>
                </pt>
                <pt idx="38">
                  <v>11.81021499633789</v>
                </pt>
                <pt idx="39">
                  <v>12.35240173339844</v>
                </pt>
                <pt idx="40">
                  <v>13.82573223114014</v>
                </pt>
                <pt idx="41">
                  <v>16.18305778503418</v>
                </pt>
                <pt idx="42">
                  <v>15.57015323638916</v>
                </pt>
                <pt idx="43">
                  <v>17.19697380065918</v>
                </pt>
                <pt idx="44">
                  <v>17.94101715087891</v>
                </pt>
                <pt idx="45">
                  <v>18.61305236816406</v>
                </pt>
                <pt idx="46">
                  <v>18.58905029296875</v>
                </pt>
                <pt idx="47">
                  <v>19.52510643005371</v>
                </pt>
                <pt idx="48">
                  <v>19.44110488891602</v>
                </pt>
                <pt idx="49">
                  <v>18.73365783691406</v>
                </pt>
                <pt idx="50">
                  <v>18.5758228302002</v>
                </pt>
                <pt idx="51">
                  <v>19.75350761413574</v>
                </pt>
                <pt idx="52">
                  <v>19.32856941223145</v>
                </pt>
                <pt idx="53">
                  <v>17.20387840270996</v>
                </pt>
                <pt idx="54">
                  <v>16.31758117675781</v>
                </pt>
                <pt idx="55">
                  <v>19.01400375366211</v>
                </pt>
                <pt idx="56">
                  <v>18.48274803161621</v>
                </pt>
                <pt idx="57">
                  <v>20.21241760253906</v>
                </pt>
                <pt idx="58">
                  <v>21.06489372253418</v>
                </pt>
                <pt idx="59">
                  <v>19.96532440185547</v>
                </pt>
                <pt idx="60">
                  <v>21.46025848388672</v>
                </pt>
                <pt idx="61">
                  <v>21.91374588012695</v>
                </pt>
                <pt idx="62">
                  <v>22.91209602355957</v>
                </pt>
                <pt idx="63">
                  <v>22.35052108764648</v>
                </pt>
                <pt idx="64">
                  <v>23.84804725646973</v>
                </pt>
                <pt idx="65">
                  <v>23.28647232055664</v>
                </pt>
                <pt idx="66">
                  <v>22.22572898864746</v>
                </pt>
                <pt idx="67">
                  <v>22.5208683013916</v>
                </pt>
                <pt idx="68">
                  <v>20.79435920715332</v>
                </pt>
                <pt idx="69">
                  <v>18.75047302246094</v>
                </pt>
                <pt idx="70">
                  <v>21.17520904541016</v>
                </pt>
                <pt idx="71">
                  <v>20.83244323730469</v>
                </pt>
                <pt idx="72">
                  <v>20.51507186889648</v>
                </pt>
                <pt idx="73">
                  <v>21.49223899841309</v>
                </pt>
                <pt idx="74">
                  <v>22.58746719360352</v>
                </pt>
                <pt idx="75">
                  <v>22.29110717773438</v>
                </pt>
                <pt idx="76">
                  <v>22.61324119567871</v>
                </pt>
                <pt idx="77">
                  <v>20.03623199462891</v>
                </pt>
                <pt idx="78">
                  <v>20.98972320556641</v>
                </pt>
                <pt idx="79">
                  <v>21.67182540893555</v>
                </pt>
                <pt idx="80">
                  <v>22.38410568237305</v>
                </pt>
                <pt idx="81">
                  <v>22.9512882232666</v>
                </pt>
                <pt idx="82">
                  <v>23.05681610107422</v>
                </pt>
                <pt idx="83">
                  <v>23.32062339782715</v>
                </pt>
                <pt idx="84">
                  <v>23.66357803344727</v>
                </pt>
                <pt idx="85">
                  <v>24.70919227600098</v>
                </pt>
                <pt idx="86">
                  <v>24.04029273986816</v>
                </pt>
                <pt idx="87">
                  <v>24.4416389465332</v>
                </pt>
                <pt idx="88">
                  <v>25.13730239868164</v>
                </pt>
                <pt idx="89">
                  <v>25.11054039001465</v>
                </pt>
                <pt idx="90">
                  <v>23.62557792663574</v>
                </pt>
                <pt idx="91">
                  <v>25.50985336303711</v>
                </pt>
                <pt idx="92">
                  <v>25.31977844238281</v>
                </pt>
                <pt idx="93">
                  <v>26.63667678833008</v>
                </pt>
                <pt idx="94">
                  <v>27.62775230407715</v>
                </pt>
                <pt idx="95">
                  <v>27.844970703125</v>
                </pt>
                <pt idx="96">
                  <v>28.3472900390625</v>
                </pt>
                <pt idx="97">
                  <v>27.35536193847656</v>
                </pt>
                <pt idx="98">
                  <v>29.21019172668457</v>
                </pt>
                <pt idx="99">
                  <v>28.28964805603027</v>
                </pt>
                <pt idx="100">
                  <v>29.56742477416992</v>
                </pt>
                <pt idx="101">
                  <v>29.85595703125</v>
                </pt>
                <pt idx="102">
                  <v>28.68809127807617</v>
                </pt>
                <pt idx="103">
                  <v>29.37614059448242</v>
                </pt>
                <pt idx="104">
                  <v>29.60677528381348</v>
                </pt>
                <pt idx="105">
                  <v>27.93472099304199</v>
                </pt>
                <pt idx="106">
                  <v>27.40140342712402</v>
                </pt>
                <pt idx="107">
                  <v>27.43022918701172</v>
                </pt>
                <pt idx="108">
                  <v>25.98880767822266</v>
                </pt>
                <pt idx="109">
                  <v>26.52298736572266</v>
                </pt>
                <pt idx="110">
                  <v>28.08143615722656</v>
                </pt>
                <pt idx="111">
                  <v>26.47888565063477</v>
                </pt>
                <pt idx="112">
                  <v>28.24316024780273</v>
                </pt>
                <pt idx="113">
                  <v>28.41958999633789</v>
                </pt>
                <pt idx="114">
                  <v>26.83173561096191</v>
                </pt>
                <pt idx="115">
                  <v>27.75506591796875</v>
                </pt>
                <pt idx="116">
                  <v>25.5394458770752</v>
                </pt>
                <pt idx="117">
                  <v>24.53643226623535</v>
                </pt>
                <pt idx="118">
                  <v>26.15323066711426</v>
                </pt>
                <pt idx="119">
                  <v>25.71908760070801</v>
                </pt>
                <pt idx="120">
                  <v>24.16217231750488</v>
                </pt>
                <pt idx="121">
                  <v>23.45659446716309</v>
                </pt>
                <pt idx="122">
                  <v>22.72357368469238</v>
                </pt>
                <pt idx="123">
                  <v>23.94527626037598</v>
                </pt>
                <pt idx="124">
                  <v>24.90736389160156</v>
                </pt>
                <pt idx="125">
                  <v>24.61721229553223</v>
                </pt>
                <pt idx="126">
                  <v>23.47186660766602</v>
                </pt>
                <pt idx="127">
                  <v>24.4160041809082</v>
                </pt>
                <pt idx="128">
                  <v>24.68207359313965</v>
                </pt>
                <pt idx="129">
                  <v>24.7916316986084</v>
                </pt>
                <pt idx="130">
                  <v>23.47692680358887</v>
                </pt>
                <pt idx="131">
                  <v>23.52387809753418</v>
                </pt>
                <pt idx="132">
                  <v>24.01689529418945</v>
                </pt>
                <pt idx="133">
                  <v>24.95241928100586</v>
                </pt>
                <pt idx="134">
                  <v>25.31738090515137</v>
                </pt>
                <pt idx="135">
                  <v>25.82515525817871</v>
                </pt>
                <pt idx="136">
                  <v>26.26152420043945</v>
                </pt>
                <pt idx="137">
                  <v>27.45956039428711</v>
                </pt>
                <pt idx="138">
                  <v>26.44401359558105</v>
                </pt>
                <pt idx="139">
                  <v>27.66788291931152</v>
                </pt>
                <pt idx="140">
                  <v>27.44083404541016</v>
                </pt>
                <pt idx="141">
                  <v>28.25984382629395</v>
                </pt>
                <pt idx="142">
                  <v>28.43013381958008</v>
                </pt>
                <pt idx="143">
                  <v>28.39769554138184</v>
                </pt>
                <pt idx="144">
                  <v>29.04641532897949</v>
                </pt>
                <pt idx="145">
                  <v>30.70130920410156</v>
                </pt>
                <pt idx="146">
                  <v>28.64408493041992</v>
                </pt>
                <pt idx="147">
                  <v>28.71018600463867</v>
                </pt>
                <pt idx="148">
                  <v>29.9494743347168</v>
                </pt>
                <pt idx="149">
                  <v>29.76770973205566</v>
                </pt>
                <pt idx="150">
                  <v>28.7349681854248</v>
                </pt>
                <pt idx="151">
                  <v>29.69309234619141</v>
                </pt>
                <pt idx="152">
                  <v>28.39068984985352</v>
                </pt>
                <pt idx="153">
                  <v>28.85583305358887</v>
                </pt>
                <pt idx="154">
                  <v>26.90222930908203</v>
                </pt>
                <pt idx="155">
                  <v>26.58086013793945</v>
                </pt>
                <pt idx="156">
                  <v>24.82176971435547</v>
                </pt>
                <pt idx="157">
                  <v>27.21231269836426</v>
                </pt>
                <pt idx="158">
                  <v>28.14560127258301</v>
                </pt>
                <pt idx="159">
                  <v>28.52582740783691</v>
                </pt>
                <pt idx="160">
                  <v>29.17394638061523</v>
                </pt>
                <pt idx="161">
                  <v>27.38514709472656</v>
                </pt>
                <pt idx="162">
                  <v>27.92956161499023</v>
                </pt>
                <pt idx="163">
                  <v>27.95261573791504</v>
                </pt>
                <pt idx="164">
                  <v>26.88910293579102</v>
                </pt>
                <pt idx="165">
                  <v>27.85512542724609</v>
                </pt>
                <pt idx="166">
                  <v>28.83001136779785</v>
                </pt>
                <pt idx="167">
                  <v>29.18451309204102</v>
                </pt>
                <pt idx="168">
                  <v>30.22143745422363</v>
                </pt>
                <pt idx="169">
                  <v>29.44472122192383</v>
                </pt>
                <pt idx="170">
                  <v>26.43169212341309</v>
                </pt>
                <pt idx="171">
                  <v>21.54227828979492</v>
                </pt>
                <pt idx="172">
                  <v>22.77816581726074</v>
                </pt>
                <pt idx="173">
                  <v>23.21117401123047</v>
                </pt>
                <pt idx="174">
                  <v>23.23823738098145</v>
                </pt>
                <pt idx="175">
                  <v>23.74909973144531</v>
                </pt>
                <pt idx="176">
                  <v>24.39938354492188</v>
                </pt>
                <pt idx="177">
                  <v>23.34610939025879</v>
                </pt>
                <pt idx="178">
                  <v>22.2928295135498</v>
                </pt>
                <pt idx="179">
                  <v>25.88312911987305</v>
                </pt>
                <pt idx="180">
                  <v>26.82649993896484</v>
                </pt>
                <pt idx="181">
                  <v>27.06836700439453</v>
                </pt>
                <pt idx="182">
                  <v>28.13368797302246</v>
                </pt>
                <pt idx="183">
                  <v>29.00446891784668</v>
                </pt>
                <pt idx="184">
                  <v>30.1346321105957</v>
                </pt>
                <pt idx="185">
                  <v>31.30185508728027</v>
                </pt>
                <pt idx="186">
                  <v>30.29211807250977</v>
                </pt>
                <pt idx="187">
                  <v>30.89048385620117</v>
                </pt>
                <pt idx="188">
                  <v>31.09773635864258</v>
                </pt>
                <pt idx="189">
                  <v>30.38176536560059</v>
                </pt>
                <pt idx="190">
                  <v>31.72892570495605</v>
                </pt>
                <pt idx="191">
                  <v>30.18393135070801</v>
                </pt>
                <pt idx="192">
                  <v>31.22020530700684</v>
                </pt>
                <pt idx="193">
                  <v>32.79575729370117</v>
                </pt>
                <pt idx="194">
                  <v>32.40867614746094</v>
                </pt>
                <pt idx="195">
                  <v>32.55382919311523</v>
                </pt>
                <pt idx="196">
                  <v>31.2570972442627</v>
                </pt>
                <pt idx="197">
                  <v>32.09900665283203</v>
                </pt>
                <pt idx="198">
                  <v>28.99264907836914</v>
                </pt>
                <pt idx="199">
                  <v>30.44909477233887</v>
                </pt>
                <pt idx="200">
                  <v>28.47891807556152</v>
                </pt>
                <pt idx="201">
                  <v>25.81917762756348</v>
                </pt>
                <pt idx="202">
                  <v>27.62189102172852</v>
                </pt>
                <pt idx="203">
                  <v>31.05985069274902</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UK!$A$6:$A$221</f>
              <numCache>
                <formatCode>m/d/yyyy</formatCode>
                <ptCount val="21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pt idx="215">
                  <v>44866</v>
                </pt>
              </numCache>
            </numRef>
          </cat>
          <val>
            <numRef>
              <f>UK!$B$6:$B$221</f>
              <numCache>
                <formatCode>General</formatCode>
                <ptCount val="216"/>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pt idx="215">
                  <v>46.5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Italy!$B$6:$B$197</f>
              <numCache>
                <formatCode>General</formatCode>
                <ptCount val="192"/>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pt idx="191">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Spain!$A$6:$A$197</f>
              <numCache>
                <formatCode>m/d/yyyy</formatCode>
                <ptCount val="19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pt idx="191">
                  <v>44866</v>
                </pt>
              </numCache>
            </numRef>
          </cat>
          <val>
            <numRef>
              <f>Spain!$B$6:$B$197</f>
              <numCache>
                <formatCode>General</formatCode>
                <ptCount val="192"/>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pt idx="191">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Brazil!$B$6:$B$151</f>
              <numCache>
                <formatCode>General</formatCode>
                <ptCount val="146"/>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pt idx="145">
                  <v>44.3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Mexico!$B$6:$B$145</f>
              <numCache>
                <formatCode>General</formatCode>
                <ptCount val="140"/>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pt idx="139">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Russia!$B$6:$B$151</f>
              <numCache>
                <formatCode>General</formatCode>
                <ptCount val="146"/>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pt idx="145">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India!$B$6:$B$151</f>
              <numCache>
                <formatCode>General</formatCode>
                <ptCount val="146"/>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pt idx="145">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Canada!$B$6:$B$145</f>
              <numCache>
                <formatCode>General</formatCode>
                <ptCount val="140"/>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pt idx="139">
                  <v>49.6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Australia!$A$6:$A$180</f>
              <numCache>
                <formatCode>m/d/yyyy</formatCode>
                <ptCount val="175"/>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pt idx="174">
                  <v>44866</v>
                </pt>
              </numCache>
            </numRef>
          </cat>
          <val>
            <numRef>
              <f>Australia!$B$6:$B$180</f>
              <numCache>
                <formatCode>General</formatCode>
                <ptCount val="175"/>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pt idx="174">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Indonesia!$A$6:$A$145</f>
              <numCache>
                <formatCode>m/d/yyyy</formatCode>
                <ptCount val="14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pt idx="139">
                  <v>44866</v>
                </pt>
              </numCache>
            </numRef>
          </cat>
          <val>
            <numRef>
              <f>Indonesia!$B$6:$B$145</f>
              <numCache>
                <formatCode>General</formatCode>
                <ptCount val="140"/>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pt idx="139">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SouthKorea!$A$6:$A$149</f>
              <numCache>
                <formatCode>m/d/yyyy</formatCode>
                <ptCount val="144"/>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pt idx="143">
                  <v>44866</v>
                </pt>
              </numCache>
            </numRef>
          </cat>
          <val>
            <numRef>
              <f>SouthKorea!$B$6:$B$149</f>
              <numCache>
                <formatCode>General</formatCode>
                <ptCount val="144"/>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pt idx="143">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Taiwan!$B$6:$B$151</f>
              <numCache>
                <formatCode>General</formatCode>
                <ptCount val="146"/>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Greece!$A$6:$A$151</f>
              <numCache>
                <formatCode>m/d/yyyy</formatCode>
                <ptCount val="146"/>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Greece!$B$6:$B$151</f>
              <numCache>
                <formatCode>General</formatCode>
                <ptCount val="146"/>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pt idx="145">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Ireland!$B$6:$B$151</f>
              <numCache>
                <formatCode>General</formatCode>
                <ptCount val="146"/>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pt idx="145">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Turkey!$B$6:$B$151</f>
              <numCache>
                <formatCode>General</formatCode>
                <ptCount val="146"/>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pt idx="145">
                  <v>45.7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CzechRepublic!$B$6:$B$151</f>
              <numCache>
                <formatCode>General</formatCode>
                <ptCount val="146"/>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pt idx="145">
                  <v>41.6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Poland!$A$6:$A$151</f>
              <numCache>
                <formatCode>m/d/yyyy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pt idx="145">
                  <v>44866</v>
                </pt>
              </numCache>
            </numRef>
          </cat>
          <val>
            <numRef>
              <f>Poland!$B$6:$B$151</f>
              <numCache>
                <formatCode>General</formatCode>
                <ptCount val="146"/>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pt idx="145">
                  <v>43.4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Denmark!$A$6:$A$352</f>
              <numCache>
                <formatCode>m/d/yyyy</formatCode>
                <ptCount val="347"/>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pt idx="346">
                  <v>44866</v>
                </pt>
              </numCache>
            </numRef>
          </cat>
          <val>
            <numRef>
              <f>Denmark!$B$6:$B$352</f>
              <numCache>
                <formatCode>General</formatCode>
                <ptCount val="347"/>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pt idx="346">
                  <v>45.48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Vietnam!$A$6:$A$130</f>
              <numCache>
                <formatCode>m/d/yyyy</formatCode>
                <ptCount val="125"/>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pt idx="124">
                  <v>44866</v>
                </pt>
              </numCache>
            </numRef>
          </cat>
          <val>
            <numRef>
              <f>Vietnam!$B$6:$B$130</f>
              <numCache>
                <formatCode>General</formatCode>
                <ptCount val="125"/>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pt idx="124">
                  <v>47.4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Thailand!$A$6:$A$82</f>
              <numCache>
                <formatCode>m/d/yyyy</formatCode>
                <ptCount val="7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pt idx="76">
                  <v>44866</v>
                </pt>
              </numCache>
            </numRef>
          </cat>
          <val>
            <numRef>
              <f>Thailand!$B$6:$B$82</f>
              <numCache>
                <formatCode>General</formatCode>
                <ptCount val="7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pt idx="76">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Africa'!$A$6:$A$280</f>
              <numCache>
                <formatCode>m/d/yyyy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'South Africa'!$B$6:$B$280</f>
              <numCache>
                <formatCode>General</formatCode>
                <ptCount val="275"/>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pt idx="274">
                  <v>52.6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Kong'!$A$6:$A$130</f>
              <numCache>
                <formatCode>m/d/yyyy</formatCode>
                <ptCount val="12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numCache>
            </numRef>
          </cat>
          <val>
            <numRef>
              <f>'Hong Kong'!$B$6:$B$130</f>
              <numCache>
                <formatCode>General</formatCode>
                <ptCount val="12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Arabia'!$A$6:$A$96</f>
              <numCache>
                <formatCode>m/d/yyyy</formatCode>
                <ptCount val="9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numCache>
            </numRef>
          </cat>
          <val>
            <numRef>
              <f>'Saudi Arabia'!$B$6:$B$96</f>
              <numCache>
                <formatCode>General</formatCode>
                <ptCount val="9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NewZealand!$A$6:$A$248</f>
              <numCache>
                <formatCode>m/d/yyyy</formatCode>
                <ptCount val="243"/>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numCache>
            </numRef>
          </cat>
          <val>
            <numRef>
              <f>NewZealand!$B$6:$B$248</f>
              <numCache>
                <formatCode>0.00</formatCode>
                <ptCount val="243"/>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408781</colOff>
      <row>133</row>
      <rowOff>49389</rowOff>
    </from>
    <to>
      <col>14</col>
      <colOff>87312</colOff>
      <row>153</row>
      <rowOff>33514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153458</colOff>
      <row>203</row>
      <rowOff>55562</rowOff>
    </from>
    <to>
      <col>17</col>
      <colOff>55563</colOff>
      <row>225</row>
      <rowOff>31219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352425</colOff>
      <row>202</row>
      <rowOff>31755</rowOff>
    </from>
    <to>
      <col>17</col>
      <colOff>563562</colOff>
      <row>223</row>
      <rowOff>87311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344108</colOff>
      <row>163</row>
      <rowOff>143933</rowOff>
    </from>
    <to>
      <col>13</col>
      <colOff>466876</colOff>
      <row>187</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348722</colOff>
      <row>163</row>
      <rowOff>166159</rowOff>
    </from>
    <to>
      <col>15</col>
      <colOff>268288</colOff>
      <row>191</row>
      <rowOff>34396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404811</colOff>
      <row>157</row>
      <rowOff>113398</rowOff>
    </from>
    <to>
      <col>15</col>
      <colOff>452437</colOff>
      <row>183</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245531</colOff>
      <row>198</row>
      <rowOff>146053</rowOff>
    </from>
    <to>
      <col>16</col>
      <colOff>512233</colOff>
      <row>222</row>
      <rowOff>44450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212724</colOff>
      <row>180</row>
      <rowOff>128591</rowOff>
    </from>
    <to>
      <col>13</col>
      <colOff>0</colOff>
      <row>203</row>
      <rowOff>41275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596901</colOff>
      <row>177</row>
      <rowOff>65318</rowOff>
    </from>
    <to>
      <col>14</col>
      <colOff>431801</colOff>
      <row>202</row>
      <rowOff>31448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261408</colOff>
      <row>128</row>
      <rowOff>102128</rowOff>
    </from>
    <to>
      <col>14</col>
      <colOff>240243</colOff>
      <row>153</row>
      <rowOff>25929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514350</colOff>
      <row>123</row>
      <rowOff>91023</rowOff>
    </from>
    <to>
      <col>16</col>
      <colOff>45590</colOff>
      <row>148</row>
      <rowOff>126185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328790</colOff>
      <row>135</row>
      <rowOff>109363</rowOff>
    </from>
    <to>
      <col>13</col>
      <colOff>476956</colOff>
      <row>157</row>
      <rowOff>29634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209550</colOff>
      <row>133</row>
      <rowOff>76200</rowOff>
    </from>
    <to>
      <col>12</col>
      <colOff>558800</colOff>
      <row>154</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421922</colOff>
      <row>124</row>
      <rowOff>77612</rowOff>
    </from>
    <to>
      <col>13</col>
      <colOff>396522</colOff>
      <row>146</row>
      <rowOff>64912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336549</colOff>
      <row>159</row>
      <rowOff>15877</rowOff>
    </from>
    <to>
      <col>14</col>
      <colOff>158750</colOff>
      <row>183</row>
      <rowOff>57151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438150</colOff>
      <row>126</row>
      <rowOff>177800</rowOff>
    </from>
    <to>
      <col>12</col>
      <colOff>171450</colOff>
      <row>147</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4</col>
      <colOff>295275</colOff>
      <row>131</row>
      <rowOff>85725</rowOff>
    </from>
    <to>
      <col>13</col>
      <colOff>219074</colOff>
      <row>151</row>
      <rowOff>3175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292100</colOff>
      <row>132</row>
      <rowOff>40217</rowOff>
    </from>
    <to>
      <col>12</col>
      <colOff>5645</colOff>
      <row>152</row>
      <rowOff>21167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341313</colOff>
      <row>137</row>
      <rowOff>120649</rowOff>
    </from>
    <to>
      <col>12</col>
      <colOff>354013</colOff>
      <row>157</row>
      <rowOff>63499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576791</colOff>
      <row>135</row>
      <rowOff>7760</rowOff>
    </from>
    <to>
      <col>12</col>
      <colOff>297745</colOff>
      <row>155</row>
      <rowOff>35277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311150</colOff>
      <row>130</row>
      <rowOff>133350</rowOff>
    </from>
    <to>
      <col>12</col>
      <colOff>577850</colOff>
      <row>151</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400050</colOff>
      <row>135</row>
      <rowOff>165100</rowOff>
    </from>
    <to>
      <col>12</col>
      <colOff>488950</colOff>
      <row>156</row>
      <rowOff>69850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354189</colOff>
      <row>137</row>
      <rowOff>134938</rowOff>
    </from>
    <to>
      <col>12</col>
      <colOff>112889</colOff>
      <row>158</row>
      <rowOff>26987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404813</colOff>
      <row>335</row>
      <rowOff>120650</rowOff>
    </from>
    <to>
      <col>13</col>
      <colOff>455613</colOff>
      <row>358</row>
      <rowOff>119063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285750</colOff>
      <row>113</row>
      <rowOff>50800</rowOff>
    </from>
    <to>
      <col>12</col>
      <colOff>12700</colOff>
      <row>133</row>
      <rowOff>6350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228600</colOff>
      <row>61</row>
      <rowOff>120656</rowOff>
    </from>
    <to>
      <col>12</col>
      <colOff>596900</colOff>
      <row>86</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211665</colOff>
      <row>264</row>
      <rowOff>165804</rowOff>
    </from>
    <to>
      <col>12</col>
      <colOff>183444</colOff>
      <row>284</row>
      <rowOff>141110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206828</colOff>
      <row>112</row>
      <rowOff>105228</rowOff>
    </from>
    <to>
      <col>13</col>
      <colOff>168728</colOff>
      <row>134</row>
      <rowOff>54429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600075</colOff>
      <row>77</row>
      <rowOff>161925</rowOff>
    </from>
    <to>
      <col>12</col>
      <colOff>612775</colOff>
      <row>98</row>
      <rowOff>11113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452966</colOff>
      <row>229</row>
      <rowOff>53622</rowOff>
    </from>
    <to>
      <col>13</col>
      <colOff>186266</colOff>
      <row>250</row>
      <rowOff>66323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75" dataDxfId="273" headerRowBorderDxfId="274" tableBorderDxfId="272" totalsRowBorderDxfId="271">
  <autoFilter ref="A5:F146"/>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1" headerRowCount="1" totalsRowShown="0" headerRowDxfId="264" dataDxfId="262" headerRowBorderDxfId="263" tableBorderDxfId="261" totalsRowBorderDxfId="260">
  <autoFilter ref="A5:D151"/>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20" headerRowCount="1" totalsRowShown="0" headerRowDxfId="255" dataDxfId="253" headerRowBorderDxfId="254" tableBorderDxfId="252" totalsRowBorderDxfId="251">
  <autoFilter ref="A5:F220"/>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1" headerRowCount="1" totalsRowShown="0" headerRowDxfId="244" dataDxfId="242" headerRowBorderDxfId="243" tableBorderDxfId="241" totalsRowBorderDxfId="240">
  <autoFilter ref="A5:G221"/>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3" headerRowCount="1" totalsRowShown="0" headerRowDxfId="232" dataDxfId="230" headerRowBorderDxfId="231" tableBorderDxfId="229" totalsRowBorderDxfId="228">
  <autoFilter ref="A5:C183"/>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4" headerRowCount="1" totalsRowShown="0" headerRowDxfId="224" dataDxfId="222" headerRowBorderDxfId="223" tableBorderDxfId="221" totalsRowBorderDxfId="220">
  <autoFilter ref="A5:C184"/>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7" headerRowCount="1" totalsRowShown="0" headerRowDxfId="216" dataDxfId="214" headerRowBorderDxfId="215" tableBorderDxfId="213" totalsRowBorderDxfId="212">
  <autoFilter ref="A5:C177"/>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1" headerRowCount="1" totalsRowShown="0" headerRowDxfId="208" dataDxfId="206" headerRowBorderDxfId="207" tableBorderDxfId="205" totalsRowBorderDxfId="204">
  <autoFilter ref="A5:F221"/>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7" headerRowCount="1" totalsRowShown="0" headerRowDxfId="197" dataDxfId="195" headerRowBorderDxfId="196" tableBorderDxfId="194" totalsRowBorderDxfId="193">
  <autoFilter ref="A5:C197"/>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7" headerRowCount="1" totalsRowShown="0" headerRowDxfId="189" dataDxfId="187" headerRowBorderDxfId="188" tableBorderDxfId="186" totalsRowBorderDxfId="185">
  <autoFilter ref="A5:C197"/>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1" headerRowCount="1" totalsRowShown="0" headerRowDxfId="181" dataDxfId="179" headerRowBorderDxfId="180" tableBorderDxfId="178" totalsRowBorderDxfId="177">
  <autoFilter ref="A5:C151"/>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5" headerRowCount="1" totalsRowShown="0" headerRowDxfId="173" dataDxfId="171" headerRowBorderDxfId="172" tableBorderDxfId="170" totalsRowBorderDxfId="169">
  <autoFilter ref="A5:C145"/>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1" headerRowCount="1" totalsRowShown="0" headerRowDxfId="165" dataDxfId="163" headerRowBorderDxfId="164" tableBorderDxfId="162" totalsRowBorderDxfId="161">
  <autoFilter ref="A5:C151"/>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1" headerRowCount="1" totalsRowShown="0" headerRowDxfId="157" dataDxfId="155" headerRowBorderDxfId="156" tableBorderDxfId="154" totalsRowBorderDxfId="153">
  <autoFilter ref="A5:C151"/>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5" headerRowCount="1" totalsRowShown="0" headerRowDxfId="149" dataDxfId="147" headerRowBorderDxfId="148" tableBorderDxfId="146" totalsRowBorderDxfId="145">
  <autoFilter ref="A5:C145"/>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80" headerRowCount="1" totalsRowShown="0" headerRowDxfId="141" dataDxfId="139" headerRowBorderDxfId="140" tableBorderDxfId="138" totalsRowBorderDxfId="137">
  <autoFilter ref="A5:C180"/>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5" headerRowCount="1" totalsRowShown="0" headerRowDxfId="133" dataDxfId="131" headerRowBorderDxfId="132" tableBorderDxfId="130" totalsRowBorderDxfId="129">
  <autoFilter ref="A5:C145"/>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9" headerRowCount="1" totalsRowShown="0" headerRowDxfId="125" dataDxfId="123" headerRowBorderDxfId="124" tableBorderDxfId="122" totalsRowBorderDxfId="121">
  <autoFilter ref="A5:C149"/>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1" headerRowCount="1" totalsRowShown="0" headerRowDxfId="117" dataDxfId="115" headerRowBorderDxfId="116" tableBorderDxfId="114" totalsRowBorderDxfId="113">
  <autoFilter ref="A5:C151"/>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1" headerRowCount="1" totalsRowShown="0" headerRowDxfId="109" dataDxfId="107" headerRowBorderDxfId="108" tableBorderDxfId="106" totalsRowBorderDxfId="105">
  <autoFilter ref="A5:C151"/>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1" headerRowCount="1" totalsRowShown="0" headerRowDxfId="101" dataDxfId="99" headerRowBorderDxfId="100" tableBorderDxfId="98" totalsRowBorderDxfId="97">
  <autoFilter ref="A5:C151"/>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1" headerRowCount="1" totalsRowShown="0" headerRowDxfId="93" dataDxfId="91" headerRowBorderDxfId="92" tableBorderDxfId="90" totalsRowBorderDxfId="89">
  <autoFilter ref="A5:C151"/>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1" headerRowCount="1" totalsRowShown="0" headerRowDxfId="85" dataDxfId="83" headerRowBorderDxfId="84" tableBorderDxfId="82" totalsRowBorderDxfId="81">
  <autoFilter ref="A5:C151"/>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1" headerRowCount="1" totalsRowShown="0" headerRowDxfId="77" dataDxfId="75" headerRowBorderDxfId="76" tableBorderDxfId="74" totalsRowBorderDxfId="73">
  <autoFilter ref="A5:C151"/>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2" headerRowCount="1" totalsRowShown="0" headerRowDxfId="69" dataDxfId="67" headerRowBorderDxfId="68" tableBorderDxfId="66" totalsRowBorderDxfId="65">
  <autoFilter ref="A5:C352"/>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30" headerRowCount="1" totalsRowShown="0" headerRowDxfId="61" dataDxfId="59" headerRowBorderDxfId="60" tableBorderDxfId="58" totalsRowBorderDxfId="57">
  <autoFilter ref="A5:C130"/>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2" headerRowCount="1" totalsRowShown="0" headerRowDxfId="53" dataDxfId="51" headerRowBorderDxfId="52" tableBorderDxfId="50" totalsRowBorderDxfId="49">
  <autoFilter ref="A5:C82"/>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80" headerRowCount="1" totalsRowShown="0" headerRowDxfId="45" dataDxfId="43" headerRowBorderDxfId="44" tableBorderDxfId="42" totalsRowBorderDxfId="41">
  <autoFilter ref="A5:C280"/>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0" headerRowCount="1" totalsRowShown="0" headerRowDxfId="37" dataDxfId="35" headerRowBorderDxfId="36" tableBorderDxfId="34" totalsRowBorderDxfId="33">
  <autoFilter ref="A5:C130"/>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6" headerRowCount="1" totalsRowShown="0" headerRowDxfId="29" dataDxfId="27" headerRowBorderDxfId="28" tableBorderDxfId="26" totalsRowBorderDxfId="25">
  <autoFilter ref="A5:C96"/>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8" headerRowCount="1" totalsRowShown="0" headerRowDxfId="21" dataDxfId="19" headerRowBorderDxfId="20" tableBorderDxfId="18" totalsRowBorderDxfId="17">
  <autoFilter ref="A5:C248"/>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Y8" sqref="Y8"/>
    </sheetView>
  </sheetViews>
  <sheetFormatPr baseColWidth="8" defaultColWidth="9.1796875" defaultRowHeight="14.5"/>
  <cols>
    <col width="4" customWidth="1" style="69" min="1" max="1"/>
    <col width="12.81640625" customWidth="1" style="69" min="2" max="5"/>
    <col width="13.6328125" customWidth="1" style="69" min="6" max="6"/>
    <col width="12.81640625" customWidth="1" style="69" min="7" max="10"/>
    <col width="2" customWidth="1" style="69" min="11" max="13"/>
    <col width="9.1796875" customWidth="1" style="69" min="14" max="14"/>
    <col width="15.453125" customWidth="1" style="69" min="15" max="15"/>
    <col width="12.6328125" customWidth="1" style="69" min="16" max="18"/>
    <col width="11.6328125" customWidth="1" style="69" min="19" max="19"/>
    <col width="9.1796875" customWidth="1" style="69" min="20" max="68"/>
    <col width="9.1796875" customWidth="1" style="69" min="69" max="16384"/>
  </cols>
  <sheetData>
    <row r="1">
      <c r="B1" s="73" t="n"/>
    </row>
    <row r="2" ht="16" customHeight="1" thickBot="1">
      <c r="B2" s="74" t="n"/>
      <c r="C2" s="74" t="n"/>
      <c r="D2" s="74" t="n"/>
      <c r="E2" s="74" t="n"/>
      <c r="F2" s="74" t="n"/>
      <c r="G2" s="74" t="n"/>
      <c r="H2" s="74" t="n"/>
      <c r="I2" s="74" t="n"/>
      <c r="J2" s="74" t="n"/>
    </row>
    <row r="3" ht="16" customHeight="1" thickBot="1">
      <c r="B3" s="75" t="inlineStr">
        <is>
          <t>PMI Manufacturing</t>
        </is>
      </c>
      <c r="C3" s="71" t="n"/>
      <c r="D3" s="71" t="n"/>
      <c r="E3" s="71" t="n"/>
      <c r="F3" s="71" t="n"/>
      <c r="G3" s="71" t="n"/>
      <c r="H3" s="71" t="n"/>
      <c r="I3" s="71" t="n"/>
      <c r="J3" s="72" t="n"/>
    </row>
    <row r="5">
      <c r="B5" s="66" t="inlineStr">
        <is>
          <t>Definition</t>
        </is>
      </c>
      <c r="C5" s="76" t="n"/>
      <c r="D5" s="76" t="n"/>
      <c r="E5" s="76" t="n"/>
      <c r="F5" s="76" t="n"/>
      <c r="G5" s="76" t="n"/>
      <c r="H5" s="76" t="n"/>
      <c r="I5" s="76" t="n"/>
      <c r="J5" s="67" t="n"/>
    </row>
    <row r="7" ht="225.75" customHeight="1">
      <c r="B7" s="77"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c r="B8" s="1" t="n"/>
      <c r="C8" s="68" t="n"/>
      <c r="D8" s="68" t="n"/>
      <c r="E8" s="68" t="n"/>
      <c r="F8" s="68" t="n"/>
      <c r="G8" s="68" t="n"/>
      <c r="H8" s="68" t="n"/>
      <c r="I8" s="68" t="n"/>
      <c r="J8" s="68" t="n"/>
    </row>
    <row r="9" ht="16" customHeight="1" thickBot="1">
      <c r="B9" s="2" t="n"/>
      <c r="C9" s="3" t="n"/>
      <c r="D9" s="3" t="n"/>
      <c r="E9" s="3" t="n"/>
    </row>
    <row r="10" ht="16" customHeight="1" thickBot="1">
      <c r="B10" s="66" t="inlineStr">
        <is>
          <t>Process / TO DO LIST</t>
        </is>
      </c>
      <c r="C10" s="76" t="n"/>
      <c r="D10" s="76" t="n"/>
      <c r="E10" s="76" t="n"/>
      <c r="F10" s="76" t="n"/>
      <c r="G10" s="76" t="n"/>
      <c r="H10" s="76" t="n"/>
      <c r="I10" s="76" t="n"/>
      <c r="J10" s="67" t="n"/>
      <c r="N10" s="70" t="inlineStr">
        <is>
          <t>Summary</t>
        </is>
      </c>
      <c r="O10" s="71" t="n"/>
      <c r="P10" s="71" t="n"/>
      <c r="Q10" s="71" t="n"/>
      <c r="R10" s="71" t="n"/>
      <c r="S10" s="72" t="n"/>
    </row>
    <row r="11">
      <c r="N11" s="4" t="inlineStr">
        <is>
          <t>* input new month</t>
        </is>
      </c>
    </row>
    <row r="12" ht="16" customHeight="1" thickBot="1">
      <c r="B12" s="66" t="inlineStr">
        <is>
          <t>TO DO LIST</t>
        </is>
      </c>
      <c r="C12" s="76" t="n"/>
      <c r="D12" s="76" t="n"/>
      <c r="E12" s="76" t="n"/>
      <c r="F12" s="67" t="n"/>
      <c r="G12" s="66" t="inlineStr">
        <is>
          <t>Comments</t>
        </is>
      </c>
      <c r="H12" s="76" t="n"/>
      <c r="I12" s="76" t="n"/>
      <c r="J12" s="67" t="n"/>
    </row>
    <row r="13">
      <c r="P13" s="5" t="n">
        <v>44866</v>
      </c>
      <c r="Q13" s="6">
        <f>DATE(YEAR(P13),MONTH(P13)-1,DAY(P13))</f>
        <v/>
      </c>
      <c r="R13" s="7" t="n"/>
      <c r="S13" s="59" t="inlineStr">
        <is>
          <t>%</t>
        </is>
      </c>
    </row>
    <row r="14" ht="16" customHeight="1" thickBot="1">
      <c r="B14" s="69" t="inlineStr">
        <is>
          <t>https://www.markiteconomics.com/Public/Release/PressReleases?language=en</t>
        </is>
      </c>
      <c r="G14" s="69" t="inlineStr">
        <is>
          <t>Global PMI Calendar. Update Global Index Number in Tab</t>
        </is>
      </c>
      <c r="O14" s="69" t="inlineStr">
        <is>
          <t>Country</t>
        </is>
      </c>
      <c r="P14" s="8" t="inlineStr">
        <is>
          <t>ISM</t>
        </is>
      </c>
      <c r="Q14" s="8" t="inlineStr">
        <is>
          <t>ISM</t>
        </is>
      </c>
      <c r="R14" s="9" t="inlineStr">
        <is>
          <t>Change %</t>
        </is>
      </c>
      <c r="S14" s="60" t="inlineStr">
        <is>
          <t>World GDP</t>
        </is>
      </c>
    </row>
    <row r="15" ht="30.75" customHeight="1">
      <c r="G15" s="68" t="inlineStr">
        <is>
          <t>JPMorgan Global Manufacturing PMI</t>
        </is>
      </c>
      <c r="N15" s="66" t="inlineStr">
        <is>
          <t>Global</t>
        </is>
      </c>
      <c r="O15" s="67" t="n"/>
      <c r="P15" s="24">
        <f>VLOOKUP($P$13,Summary!$B:$AB,MATCH(Note!N15,Summary!$B$2:$AB$2,),)</f>
        <v/>
      </c>
      <c r="Q15" s="24">
        <f>VLOOKUP($Q$13,Summary!$B:$AB,MATCH(Note!N15,Summary!$B$2:$AB$2,),)</f>
        <v/>
      </c>
      <c r="R15" s="56">
        <f>P15-Q15</f>
        <v/>
      </c>
      <c r="S15" s="58" t="n"/>
    </row>
    <row r="16">
      <c r="B16" s="68" t="inlineStr">
        <is>
          <t>https://tradingeconomics.com/country-list/manufacturing-pmi</t>
        </is>
      </c>
      <c r="G16" s="69" t="inlineStr">
        <is>
          <t>Database</t>
        </is>
      </c>
      <c r="N16" s="66" t="inlineStr">
        <is>
          <t>US</t>
        </is>
      </c>
      <c r="O16" s="67" t="n"/>
      <c r="P16" s="24">
        <f>VLOOKUP($P$13,Summary!$B:$AB,MATCH(Note!N16,Summary!$B$2:$AB$2,),)</f>
        <v/>
      </c>
      <c r="Q16" s="24">
        <f>VLOOKUP($Q$13,Summary!$B:$AB,MATCH(Note!N16,Summary!$B$2:$AB$2,),)</f>
        <v/>
      </c>
      <c r="R16" s="56">
        <f>P16-Q16</f>
        <v/>
      </c>
      <c r="S16" s="57" t="n">
        <v>0.241</v>
      </c>
    </row>
    <row r="17">
      <c r="B17" s="69" t="n"/>
      <c r="G17" s="69" t="inlineStr">
        <is>
          <t>Update each month for each country</t>
        </is>
      </c>
      <c r="N17" s="66" t="inlineStr">
        <is>
          <t xml:space="preserve">China </t>
        </is>
      </c>
      <c r="O17" s="67" t="n"/>
      <c r="P17" s="24">
        <f>VLOOKUP($P$13,Summary!$B:$AB,MATCH(Note!N17,Summary!$B$2:$AB$2,),)</f>
        <v/>
      </c>
      <c r="Q17" s="24">
        <f>VLOOKUP($Q$13,Summary!$B:$AB,MATCH(Note!N17,Summary!$B$2:$AB$2,),)</f>
        <v/>
      </c>
      <c r="R17" s="56">
        <f>P17-Q17</f>
        <v/>
      </c>
      <c r="S17" s="57" t="n">
        <v>0.152</v>
      </c>
    </row>
    <row r="18">
      <c r="B18" s="69" t="n"/>
      <c r="N18" s="66" t="inlineStr">
        <is>
          <t>Eurozone</t>
        </is>
      </c>
      <c r="O18" s="67" t="n"/>
      <c r="P18" s="24">
        <f>VLOOKUP($P$13,Summary!$B:$AB,MATCH(Note!N18,Summary!$B$2:$AB$2,),)</f>
        <v/>
      </c>
      <c r="Q18" s="24">
        <f>VLOOKUP($Q$13,Summary!$B:$AB,MATCH(Note!N18,Summary!$B$2:$AB$2,),)</f>
        <v/>
      </c>
      <c r="R18" s="56">
        <f>P18-Q18</f>
        <v/>
      </c>
      <c r="S18" s="57" t="n">
        <v>0.156</v>
      </c>
    </row>
    <row r="19">
      <c r="N19" s="66" t="inlineStr">
        <is>
          <t xml:space="preserve">Japan </t>
        </is>
      </c>
      <c r="O19" s="67" t="n"/>
      <c r="P19" s="24">
        <f>VLOOKUP($P$13,Summary!$B:$AB,MATCH(Note!N19,Summary!$B$2:$AB$2,),)</f>
        <v/>
      </c>
      <c r="Q19" s="24">
        <f>VLOOKUP($Q$13,Summary!$B:$AB,MATCH(Note!N19,Summary!$B$2:$AB$2,),)</f>
        <v/>
      </c>
      <c r="R19" s="56">
        <f>P19-Q19</f>
        <v/>
      </c>
      <c r="S19" s="57" t="n">
        <v>0.06</v>
      </c>
    </row>
    <row r="20">
      <c r="B20" s="69" t="n"/>
      <c r="G20" s="69" t="n"/>
      <c r="N20" s="66" t="inlineStr">
        <is>
          <t>Germany</t>
        </is>
      </c>
      <c r="O20" s="67" t="n"/>
      <c r="P20" s="24">
        <f>VLOOKUP($P$13,Summary!$B:$AB,MATCH(Note!N20,Summary!$B$2:$AB$2,),)</f>
        <v/>
      </c>
      <c r="Q20" s="24">
        <f>VLOOKUP($Q$13,Summary!$B:$AB,MATCH(Note!N20,Summary!$B$2:$AB$2,),)</f>
        <v/>
      </c>
      <c r="R20" s="56">
        <f>P20-Q20</f>
        <v/>
      </c>
      <c r="S20" s="57" t="n">
        <v>0.04564243244249699</v>
      </c>
    </row>
    <row r="21">
      <c r="B21" s="69" t="n"/>
      <c r="G21" s="69" t="n"/>
      <c r="N21" s="66" t="inlineStr">
        <is>
          <t>France</t>
        </is>
      </c>
      <c r="O21" s="67" t="n"/>
      <c r="P21" s="24">
        <f>VLOOKUP($P$13,Summary!$B:$AB,MATCH(Note!N21,Summary!$B$2:$AB$2,),)</f>
        <v/>
      </c>
      <c r="Q21" s="24">
        <f>VLOOKUP($Q$13,Summary!$B:$AB,MATCH(Note!N21,Summary!$B$2:$AB$2,),)</f>
        <v/>
      </c>
      <c r="R21" s="56">
        <f>P21-Q21</f>
        <v/>
      </c>
      <c r="S21" s="57" t="n">
        <v>0.03206266059259443</v>
      </c>
    </row>
    <row r="22">
      <c r="B22" s="69" t="n"/>
      <c r="G22" s="69" t="n"/>
      <c r="N22" s="66" t="inlineStr">
        <is>
          <t>UK</t>
        </is>
      </c>
      <c r="O22" s="67" t="n"/>
      <c r="P22" s="24">
        <f>VLOOKUP($P$13,Summary!$B:$AB,MATCH(Note!N22,Summary!$B$2:$AB$2,),)</f>
        <v/>
      </c>
      <c r="Q22" s="24">
        <f>VLOOKUP($Q$13,Summary!$B:$AB,MATCH(Note!N22,Summary!$B$2:$AB$2,),)</f>
        <v/>
      </c>
      <c r="R22" s="56">
        <f>P22-Q22</f>
        <v/>
      </c>
      <c r="S22" s="57" t="n">
        <v>0.033</v>
      </c>
    </row>
    <row r="23">
      <c r="B23" s="69" t="n"/>
      <c r="N23" s="66" t="inlineStr">
        <is>
          <t xml:space="preserve">Italy </t>
        </is>
      </c>
      <c r="O23" s="67" t="n"/>
      <c r="P23" s="24">
        <f>VLOOKUP($P$13,Summary!$B:$AB,MATCH(Note!N23,Summary!$B$2:$AB$2,),)</f>
        <v/>
      </c>
      <c r="Q23" s="24">
        <f>VLOOKUP($Q$13,Summary!$B:$AB,MATCH(Note!N23,Summary!$B$2:$AB$2,),)</f>
        <v/>
      </c>
      <c r="R23" s="56">
        <f>P23-Q23</f>
        <v/>
      </c>
      <c r="S23" s="57" t="n">
        <v>0.024</v>
      </c>
    </row>
    <row r="24">
      <c r="B24" s="69" t="n"/>
      <c r="N24" s="66" t="inlineStr">
        <is>
          <t>Spain</t>
        </is>
      </c>
      <c r="O24" s="67" t="n"/>
      <c r="P24" s="24">
        <f>VLOOKUP($P$13,Summary!$B:$AB,MATCH(Note!N24,Summary!$B$2:$AB$2,),)</f>
        <v/>
      </c>
      <c r="Q24" s="24">
        <f>VLOOKUP($Q$13,Summary!$B:$AB,MATCH(Note!N24,Summary!$B$2:$AB$2,),)</f>
        <v/>
      </c>
      <c r="R24" s="56">
        <f>P24-Q24</f>
        <v/>
      </c>
      <c r="S24" s="57" t="n">
        <v>0.01627338290239694</v>
      </c>
    </row>
    <row r="25">
      <c r="N25" s="66" t="inlineStr">
        <is>
          <t>Brazil</t>
        </is>
      </c>
      <c r="O25" s="67" t="n"/>
      <c r="P25" s="24">
        <f>VLOOKUP($P$13,Summary!$B:$AB,MATCH(Note!N25,Summary!$B$2:$AB$2,),)</f>
        <v/>
      </c>
      <c r="Q25" s="24">
        <f>VLOOKUP($Q$13,Summary!$B:$AB,MATCH(Note!N25,Summary!$B$2:$AB$2,),)</f>
        <v/>
      </c>
      <c r="R25" s="56">
        <f>P25-Q25</f>
        <v/>
      </c>
      <c r="S25" s="57" t="n">
        <v>0.02552103375082236</v>
      </c>
    </row>
    <row r="26">
      <c r="N26" s="66" t="inlineStr">
        <is>
          <t>Mexico</t>
        </is>
      </c>
      <c r="O26" s="67" t="n"/>
      <c r="P26" s="24">
        <f>VLOOKUP($P$13,Summary!$B:$AB,MATCH(Note!N26,Summary!$B$2:$AB$2,),)</f>
        <v/>
      </c>
      <c r="Q26" s="24">
        <f>VLOOKUP($Q$13,Summary!$B:$AB,MATCH(Note!N26,Summary!$B$2:$AB$2,),)</f>
        <v/>
      </c>
      <c r="R26" s="56">
        <f>P26-Q26</f>
        <v/>
      </c>
      <c r="S26" s="57" t="n">
        <v>0.0142873102369633</v>
      </c>
    </row>
    <row r="27">
      <c r="N27" s="66" t="inlineStr">
        <is>
          <t>Russia</t>
        </is>
      </c>
      <c r="O27" s="67" t="n"/>
      <c r="P27" s="24">
        <f>VLOOKUP($P$13,Summary!$B:$AB,MATCH(Note!N27,Summary!$B$2:$AB$2,),)</f>
        <v/>
      </c>
      <c r="Q27" s="24">
        <f>VLOOKUP($Q$13,Summary!$B:$AB,MATCH(Note!N27,Summary!$B$2:$AB$2,),)</f>
        <v/>
      </c>
      <c r="R27" s="56">
        <f>P27-Q27</f>
        <v/>
      </c>
      <c r="S27" s="57" t="n">
        <v>0.01958764166283934</v>
      </c>
    </row>
    <row r="28">
      <c r="N28" s="66" t="inlineStr">
        <is>
          <t>India</t>
        </is>
      </c>
      <c r="O28" s="67" t="n"/>
      <c r="P28" s="24">
        <f>VLOOKUP($P$13,Summary!$B:$AB,MATCH(Note!N28,Summary!$B$2:$AB$2,),)</f>
        <v/>
      </c>
      <c r="Q28" s="24">
        <f>VLOOKUP($Q$13,Summary!$B:$AB,MATCH(Note!N28,Summary!$B$2:$AB$2,),)</f>
        <v/>
      </c>
      <c r="R28" s="56">
        <f>P28-Q28</f>
        <v/>
      </c>
      <c r="S28" s="57" t="n">
        <v>0.03228609376745572</v>
      </c>
    </row>
    <row r="29">
      <c r="N29" s="66" t="inlineStr">
        <is>
          <t>Canada</t>
        </is>
      </c>
      <c r="O29" s="67" t="n"/>
      <c r="P29" s="24">
        <f>VLOOKUP($P$13,Summary!$B:$AB,MATCH(Note!N29,Summary!$B$2:$AB$2,),)</f>
        <v/>
      </c>
      <c r="Q29" s="24">
        <f>VLOOKUP($Q$13,Summary!$B:$AB,MATCH(Note!N29,Summary!$B$2:$AB$2,),)</f>
        <v/>
      </c>
      <c r="R29" s="56">
        <f>P29-Q29</f>
        <v/>
      </c>
      <c r="S29" s="57" t="n">
        <v>0.02051861322476136</v>
      </c>
    </row>
    <row r="30">
      <c r="N30" s="66" t="inlineStr">
        <is>
          <t>Australia</t>
        </is>
      </c>
      <c r="O30" s="67" t="n"/>
      <c r="P30" s="24">
        <f>VLOOKUP($P$13,Summary!$B:$AB,MATCH(Note!N30,Summary!$B$2:$AB$2,),)</f>
        <v/>
      </c>
      <c r="Q30" s="24">
        <f>VLOOKUP($Q$13,Summary!$B:$AB,MATCH(Note!N30,Summary!$B$2:$AB$2,),)</f>
        <v/>
      </c>
      <c r="R30" s="56">
        <f>P30-Q30</f>
        <v/>
      </c>
      <c r="S30" s="57" t="n">
        <v>0.01642233835230446</v>
      </c>
    </row>
    <row r="31">
      <c r="N31" s="66" t="inlineStr">
        <is>
          <t>Indonesia</t>
        </is>
      </c>
      <c r="O31" s="67" t="n"/>
      <c r="P31" s="24">
        <f>VLOOKUP($P$13,Summary!$B:$AB,MATCH(Note!N31,Summary!$B$2:$AB$2,),)</f>
        <v/>
      </c>
      <c r="Q31" s="24">
        <f>VLOOKUP($Q$13,Summary!$B:$AB,MATCH(Note!N31,Summary!$B$2:$AB$2,),)</f>
        <v/>
      </c>
      <c r="R31" s="56">
        <f>P31-Q31</f>
        <v/>
      </c>
      <c r="S31" s="57" t="n">
        <v>0.01261156142550366</v>
      </c>
    </row>
    <row r="32">
      <c r="N32" s="66" t="inlineStr">
        <is>
          <t xml:space="preserve">S Korea </t>
        </is>
      </c>
      <c r="O32" s="67" t="n"/>
      <c r="P32" s="24">
        <f>VLOOKUP($P$13,Summary!$B:$AB,MATCH(Note!N32,Summary!$B$2:$AB$2,),)</f>
        <v/>
      </c>
      <c r="Q32" s="24">
        <f>VLOOKUP($Q$13,Summary!$B:$AB,MATCH(Note!N32,Summary!$B$2:$AB$2,),)</f>
        <v/>
      </c>
      <c r="R32" s="56">
        <f>P32-Q32</f>
        <v/>
      </c>
      <c r="S32" s="57" t="n">
        <v>0.019</v>
      </c>
    </row>
    <row r="33">
      <c r="N33" s="66" t="inlineStr">
        <is>
          <t>Taiwan</t>
        </is>
      </c>
      <c r="O33" s="67" t="n"/>
      <c r="P33" s="24">
        <f>VLOOKUP($P$13,Summary!$B:$AB,MATCH(Note!N33,Summary!$B$2:$AB$2,),)</f>
        <v/>
      </c>
      <c r="Q33" s="24">
        <f>VLOOKUP($Q$13,Summary!$B:$AB,MATCH(Note!N33,Summary!$B$2:$AB$2,),)</f>
        <v/>
      </c>
      <c r="R33" s="56">
        <f>P33-Q33</f>
        <v/>
      </c>
      <c r="S33" s="57" t="n">
        <v>0.007112622733084247</v>
      </c>
    </row>
    <row r="34">
      <c r="N34" s="66" t="inlineStr">
        <is>
          <t>Greece</t>
        </is>
      </c>
      <c r="O34" s="67" t="n"/>
      <c r="P34" s="24">
        <f>VLOOKUP($P$13,Summary!$B:$AB,MATCH(Note!N34,Summary!$B$2:$AB$2,),)</f>
        <v/>
      </c>
      <c r="Q34" s="24">
        <f>VLOOKUP($Q$13,Summary!$B:$AB,MATCH(Note!N34,Summary!$B$2:$AB$2,),)</f>
        <v/>
      </c>
      <c r="R34" s="56">
        <f>P34-Q34</f>
        <v/>
      </c>
      <c r="S34" s="57" t="n">
        <v>0.002482590831792058</v>
      </c>
    </row>
    <row r="35">
      <c r="N35" s="66" t="inlineStr">
        <is>
          <t>Ireland</t>
        </is>
      </c>
      <c r="O35" s="67" t="n"/>
      <c r="P35" s="24">
        <f>VLOOKUP($P$13,Summary!$B:$AB,MATCH(Note!N35,Summary!$B$2:$AB$2,),)</f>
        <v/>
      </c>
      <c r="Q35" s="24">
        <f>VLOOKUP($Q$13,Summary!$B:$AB,MATCH(Note!N35,Summary!$B$2:$AB$2,),)</f>
        <v/>
      </c>
      <c r="R35" s="56">
        <f>P35-Q35</f>
        <v/>
      </c>
      <c r="S35" s="57" t="n">
        <v>0.004145926689092737</v>
      </c>
    </row>
    <row r="36">
      <c r="N36" s="66" t="inlineStr">
        <is>
          <t>Turkey</t>
        </is>
      </c>
      <c r="O36" s="67" t="n"/>
      <c r="P36" s="24">
        <f>VLOOKUP($P$13,Summary!$B:$AB,MATCH(Note!N36,Summary!$B$2:$AB$2,),)</f>
        <v/>
      </c>
      <c r="Q36" s="24">
        <f>VLOOKUP($Q$13,Summary!$B:$AB,MATCH(Note!N36,Summary!$B$2:$AB$2,),)</f>
        <v/>
      </c>
      <c r="R36" s="56">
        <f>P36-Q36</f>
        <v/>
      </c>
      <c r="S36" s="57" t="n">
        <v>0.01056342398927521</v>
      </c>
    </row>
    <row r="37">
      <c r="N37" s="66" t="inlineStr">
        <is>
          <t xml:space="preserve">Czech </t>
        </is>
      </c>
      <c r="O37" s="67" t="n"/>
      <c r="P37" s="24">
        <f>VLOOKUP($P$13,Summary!$B:$AB,MATCH(Note!N37,Summary!$B$2:$AB$2,),)</f>
        <v/>
      </c>
      <c r="Q37" s="24">
        <f>VLOOKUP($Q$13,Summary!$B:$AB,MATCH(Note!N37,Summary!$B$2:$AB$2,),)</f>
        <v/>
      </c>
      <c r="R37" s="56">
        <f>P37-Q37</f>
        <v/>
      </c>
      <c r="S37" s="57" t="n">
        <v>0.003</v>
      </c>
    </row>
    <row r="38">
      <c r="N38" s="66" t="inlineStr">
        <is>
          <t>Poland</t>
        </is>
      </c>
      <c r="O38" s="67" t="n"/>
      <c r="P38" s="24">
        <f>VLOOKUP($P$13,Summary!$B:$AB,MATCH(Note!N38,Summary!$B$2:$AB$2,),)</f>
        <v/>
      </c>
      <c r="Q38" s="24">
        <f>VLOOKUP($Q$13,Summary!$B:$AB,MATCH(Note!N38,Summary!$B$2:$AB$2,),)</f>
        <v/>
      </c>
      <c r="R38" s="56">
        <f>P38-Q38</f>
        <v/>
      </c>
      <c r="S38" s="57" t="n">
        <v>0.006516800933454153</v>
      </c>
    </row>
    <row r="39">
      <c r="N39" s="66" t="inlineStr">
        <is>
          <t>Denmark</t>
        </is>
      </c>
      <c r="O39" s="67" t="n"/>
      <c r="P39" s="24">
        <f>VLOOKUP($P$13,Summary!$B:$AB,MATCH(Note!N39,Summary!$B$2:$AB$2,),)</f>
        <v/>
      </c>
      <c r="Q39" s="24">
        <f>VLOOKUP($Q$13,Summary!$B:$AB,MATCH(Note!N39,Summary!$B$2:$AB$2,),)</f>
        <v/>
      </c>
      <c r="R39" s="56">
        <f>P39-Q39</f>
        <v/>
      </c>
      <c r="S39" s="57" t="n">
        <v>0.004034210101662094</v>
      </c>
    </row>
    <row r="41" ht="30" customHeight="1"/>
    <row r="44">
      <c r="B44" s="78" t="n"/>
    </row>
    <row r="45">
      <c r="B45" s="68" t="n"/>
    </row>
    <row r="46">
      <c r="B46" s="79"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1"/>
  <sheetViews>
    <sheetView zoomScale="160" zoomScaleNormal="160" workbookViewId="0">
      <pane ySplit="1" topLeftCell="A345" activePane="bottomLeft" state="frozen"/>
      <selection activeCell="I319" sqref="I319"/>
      <selection pane="bottomLeft" activeCell="I319" sqref="I319"/>
    </sheetView>
  </sheetViews>
  <sheetFormatPr baseColWidth="8" defaultColWidth="10.81640625" defaultRowHeight="14.5"/>
  <cols>
    <col width="10.81640625" customWidth="1" min="1" max="39"/>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1" t="n">
        <v>34335</v>
      </c>
      <c r="I2" t="n">
        <v>62.8</v>
      </c>
    </row>
    <row r="3">
      <c r="A3" s="81" t="n">
        <v>34366</v>
      </c>
      <c r="I3" t="n">
        <v>67.53</v>
      </c>
    </row>
    <row r="4">
      <c r="A4" s="81" t="n">
        <v>34394</v>
      </c>
      <c r="I4" t="n">
        <v>61.89</v>
      </c>
    </row>
    <row r="5">
      <c r="A5" s="81" t="n">
        <v>34425</v>
      </c>
      <c r="I5" t="n">
        <v>60.57</v>
      </c>
    </row>
    <row r="6">
      <c r="A6" s="81" t="n">
        <v>34455</v>
      </c>
      <c r="I6" t="n">
        <v>63.1</v>
      </c>
    </row>
    <row r="7">
      <c r="A7" s="81" t="n">
        <v>34486</v>
      </c>
      <c r="I7" t="n">
        <v>62.94</v>
      </c>
    </row>
    <row r="8">
      <c r="A8" s="81" t="n">
        <v>34516</v>
      </c>
      <c r="I8" t="n">
        <v>63.1</v>
      </c>
    </row>
    <row r="9">
      <c r="A9" s="81" t="n">
        <v>34547</v>
      </c>
      <c r="I9" t="n">
        <v>59.49</v>
      </c>
    </row>
    <row r="10">
      <c r="A10" s="81" t="n">
        <v>34578</v>
      </c>
      <c r="I10" t="n">
        <v>59.36</v>
      </c>
    </row>
    <row r="11">
      <c r="A11" s="81" t="n">
        <v>34608</v>
      </c>
      <c r="I11" t="n">
        <v>61.33</v>
      </c>
    </row>
    <row r="12">
      <c r="A12" s="81" t="n">
        <v>34639</v>
      </c>
      <c r="I12" t="n">
        <v>60.53</v>
      </c>
    </row>
    <row r="13">
      <c r="A13" s="81" t="n">
        <v>34669</v>
      </c>
      <c r="I13" t="n">
        <v>62.29</v>
      </c>
    </row>
    <row r="14">
      <c r="A14" s="81" t="n">
        <v>34700</v>
      </c>
      <c r="I14" t="n">
        <v>62.95</v>
      </c>
    </row>
    <row r="15">
      <c r="A15" s="81" t="n">
        <v>34731</v>
      </c>
      <c r="I15" t="n">
        <v>63.78</v>
      </c>
    </row>
    <row r="16">
      <c r="A16" s="81" t="n">
        <v>34759</v>
      </c>
      <c r="I16" t="n">
        <v>61.91</v>
      </c>
    </row>
    <row r="17">
      <c r="A17" s="81" t="n">
        <v>34790</v>
      </c>
      <c r="I17" t="n">
        <v>59.68</v>
      </c>
    </row>
    <row r="18">
      <c r="A18" s="81" t="n">
        <v>34820</v>
      </c>
      <c r="I18" t="n">
        <v>58.91</v>
      </c>
    </row>
    <row r="19">
      <c r="A19" s="81" t="n">
        <v>34851</v>
      </c>
      <c r="I19" t="n">
        <v>58.16</v>
      </c>
    </row>
    <row r="20">
      <c r="A20" s="81" t="n">
        <v>34881</v>
      </c>
      <c r="I20" t="n">
        <v>65.40000000000001</v>
      </c>
    </row>
    <row r="21">
      <c r="A21" s="81" t="n">
        <v>34912</v>
      </c>
      <c r="I21" t="n">
        <v>56.52</v>
      </c>
    </row>
    <row r="22">
      <c r="A22" s="81" t="n">
        <v>34943</v>
      </c>
      <c r="I22" t="n">
        <v>55.66</v>
      </c>
    </row>
    <row r="23">
      <c r="A23" s="81" t="n">
        <v>34973</v>
      </c>
      <c r="I23" t="n">
        <v>53.13</v>
      </c>
    </row>
    <row r="24">
      <c r="A24" s="81" t="n">
        <v>35004</v>
      </c>
      <c r="I24" t="n">
        <v>55.08</v>
      </c>
    </row>
    <row r="25">
      <c r="A25" s="81" t="n">
        <v>35034</v>
      </c>
      <c r="I25" t="n">
        <v>54.03</v>
      </c>
    </row>
    <row r="26">
      <c r="A26" s="81" t="n">
        <v>35065</v>
      </c>
      <c r="I26" t="n">
        <v>50.16</v>
      </c>
    </row>
    <row r="27">
      <c r="A27" s="81" t="n">
        <v>35096</v>
      </c>
      <c r="I27" t="n">
        <v>46.38</v>
      </c>
    </row>
    <row r="28">
      <c r="A28" s="81" t="n">
        <v>35125</v>
      </c>
      <c r="I28" t="n">
        <v>52.65</v>
      </c>
    </row>
    <row r="29">
      <c r="A29" s="81" t="n">
        <v>35156</v>
      </c>
      <c r="I29" t="n">
        <v>54.64</v>
      </c>
    </row>
    <row r="30">
      <c r="A30" s="81" t="n">
        <v>35186</v>
      </c>
      <c r="I30" t="n">
        <v>48.99</v>
      </c>
    </row>
    <row r="31">
      <c r="A31" s="81" t="n">
        <v>35217</v>
      </c>
      <c r="I31" t="n">
        <v>50.64</v>
      </c>
    </row>
    <row r="32">
      <c r="A32" s="81" t="n">
        <v>35247</v>
      </c>
      <c r="I32" t="n">
        <v>54.72</v>
      </c>
    </row>
    <row r="33">
      <c r="A33" s="81" t="n">
        <v>35278</v>
      </c>
      <c r="I33" t="n">
        <v>56.46</v>
      </c>
    </row>
    <row r="34">
      <c r="A34" s="81" t="n">
        <v>35309</v>
      </c>
      <c r="I34" t="n">
        <v>59.28</v>
      </c>
    </row>
    <row r="35">
      <c r="A35" s="81" t="n">
        <v>35339</v>
      </c>
      <c r="I35" t="n">
        <v>57.49</v>
      </c>
    </row>
    <row r="36">
      <c r="A36" s="81" t="n">
        <v>35370</v>
      </c>
      <c r="I36" t="n">
        <v>61.57</v>
      </c>
    </row>
    <row r="37">
      <c r="A37" s="81" t="n">
        <v>35400</v>
      </c>
      <c r="I37" t="n">
        <v>60.71</v>
      </c>
    </row>
    <row r="38">
      <c r="A38" s="81" t="n">
        <v>35431</v>
      </c>
      <c r="I38" t="n">
        <v>62.72</v>
      </c>
    </row>
    <row r="39">
      <c r="A39" s="81" t="n">
        <v>35462</v>
      </c>
      <c r="I39" t="n">
        <v>57.65</v>
      </c>
    </row>
    <row r="40">
      <c r="A40" s="81" t="n">
        <v>35490</v>
      </c>
      <c r="I40" t="n">
        <v>60.39</v>
      </c>
    </row>
    <row r="41">
      <c r="A41" s="81" t="n">
        <v>35521</v>
      </c>
      <c r="I41" t="n">
        <v>60.87</v>
      </c>
    </row>
    <row r="42">
      <c r="A42" s="81" t="n">
        <v>35551</v>
      </c>
      <c r="I42" t="n">
        <v>64.19</v>
      </c>
    </row>
    <row r="43">
      <c r="A43" s="81" t="n">
        <v>35582</v>
      </c>
      <c r="I43" t="n">
        <v>63.39</v>
      </c>
    </row>
    <row r="44">
      <c r="A44" s="81" t="n">
        <v>35612</v>
      </c>
      <c r="I44" t="n">
        <v>54.92</v>
      </c>
    </row>
    <row r="45">
      <c r="A45" s="81" t="n">
        <v>35643</v>
      </c>
      <c r="I45" t="n">
        <v>61.25</v>
      </c>
    </row>
    <row r="46">
      <c r="A46" s="81" t="n">
        <v>35674</v>
      </c>
      <c r="I46" t="n">
        <v>61.84</v>
      </c>
    </row>
    <row r="47">
      <c r="A47" s="81" t="n">
        <v>35704</v>
      </c>
      <c r="I47" t="n">
        <v>58.84</v>
      </c>
    </row>
    <row r="48">
      <c r="A48" s="81" t="n">
        <v>35735</v>
      </c>
      <c r="I48" t="n">
        <v>56.3</v>
      </c>
    </row>
    <row r="49">
      <c r="A49" s="81" t="n">
        <v>35765</v>
      </c>
      <c r="I49" t="n">
        <v>56.74</v>
      </c>
    </row>
    <row r="50">
      <c r="A50" s="81" t="n">
        <v>35796</v>
      </c>
      <c r="I50" t="n">
        <v>55.77</v>
      </c>
    </row>
    <row r="51">
      <c r="A51" s="81" t="n">
        <v>35827</v>
      </c>
      <c r="I51" t="n">
        <v>55.65</v>
      </c>
    </row>
    <row r="52">
      <c r="A52" s="81" t="n">
        <v>35855</v>
      </c>
      <c r="I52" t="n">
        <v>58.86</v>
      </c>
    </row>
    <row r="53">
      <c r="A53" s="81" t="n">
        <v>35886</v>
      </c>
      <c r="I53" t="n">
        <v>58.81</v>
      </c>
    </row>
    <row r="54">
      <c r="A54" s="81" t="n">
        <v>35916</v>
      </c>
      <c r="I54" t="n">
        <v>60.33</v>
      </c>
    </row>
    <row r="55">
      <c r="A55" s="81" t="n">
        <v>35947</v>
      </c>
      <c r="I55" t="n">
        <v>57.46</v>
      </c>
    </row>
    <row r="56">
      <c r="A56" s="81" t="n">
        <v>35977</v>
      </c>
      <c r="I56" t="n">
        <v>50.71</v>
      </c>
    </row>
    <row r="57">
      <c r="A57" s="81" t="n">
        <v>36008</v>
      </c>
      <c r="I57" t="n">
        <v>62.84</v>
      </c>
    </row>
    <row r="58">
      <c r="A58" s="81" t="n">
        <v>36039</v>
      </c>
      <c r="I58" t="n">
        <v>51.54</v>
      </c>
    </row>
    <row r="59">
      <c r="A59" s="81" t="n">
        <v>36069</v>
      </c>
      <c r="I59" t="n">
        <v>54.96</v>
      </c>
    </row>
    <row r="60">
      <c r="A60" s="81" t="n">
        <v>36100</v>
      </c>
      <c r="I60" t="n">
        <v>48.18</v>
      </c>
    </row>
    <row r="61">
      <c r="A61" s="81" t="n">
        <v>36130</v>
      </c>
      <c r="I61" t="n">
        <v>49.94</v>
      </c>
    </row>
    <row r="62">
      <c r="A62" s="81" t="n">
        <v>36161</v>
      </c>
      <c r="I62" t="n">
        <v>53.69</v>
      </c>
    </row>
    <row r="63">
      <c r="A63" s="81" t="n">
        <v>36192</v>
      </c>
      <c r="I63" t="n">
        <v>55.51</v>
      </c>
    </row>
    <row r="64">
      <c r="A64" s="81" t="n">
        <v>36220</v>
      </c>
      <c r="I64" t="n">
        <v>45.32</v>
      </c>
    </row>
    <row r="65">
      <c r="A65" s="81" t="n">
        <v>36251</v>
      </c>
      <c r="I65" t="n">
        <v>50.98</v>
      </c>
    </row>
    <row r="66">
      <c r="A66" s="81" t="n">
        <v>36281</v>
      </c>
      <c r="I66" t="n">
        <v>48.33</v>
      </c>
    </row>
    <row r="67">
      <c r="A67" s="81" t="n">
        <v>36312</v>
      </c>
      <c r="I67" t="n">
        <v>51.51</v>
      </c>
    </row>
    <row r="68">
      <c r="A68" s="81" t="n">
        <v>36342</v>
      </c>
      <c r="I68" t="n">
        <v>53.07</v>
      </c>
    </row>
    <row r="69">
      <c r="A69" s="81" t="n">
        <v>36373</v>
      </c>
      <c r="I69" t="n">
        <v>49.58</v>
      </c>
    </row>
    <row r="70">
      <c r="A70" s="81" t="n">
        <v>36404</v>
      </c>
      <c r="I70" t="n">
        <v>52.05</v>
      </c>
    </row>
    <row r="71">
      <c r="A71" s="81" t="n">
        <v>36434</v>
      </c>
      <c r="I71" t="n">
        <v>69.79000000000001</v>
      </c>
    </row>
    <row r="72">
      <c r="A72" s="81" t="n">
        <v>36465</v>
      </c>
      <c r="I72" t="n">
        <v>64.63</v>
      </c>
    </row>
    <row r="73">
      <c r="A73" s="81" t="n">
        <v>36495</v>
      </c>
      <c r="I73" t="n">
        <v>46.56</v>
      </c>
    </row>
    <row r="74">
      <c r="A74" s="81" t="n">
        <v>36526</v>
      </c>
      <c r="I74" t="n">
        <v>56.5</v>
      </c>
      <c r="AN74" t="n">
        <v>56.66</v>
      </c>
    </row>
    <row r="75">
      <c r="A75" s="81" t="n">
        <v>36557</v>
      </c>
      <c r="I75" t="n">
        <v>60.09</v>
      </c>
      <c r="AN75" t="n">
        <v>57.26</v>
      </c>
    </row>
    <row r="76">
      <c r="A76" s="81" t="n">
        <v>36586</v>
      </c>
      <c r="I76" t="n">
        <v>58.03</v>
      </c>
      <c r="AN76" t="n">
        <v>49.83</v>
      </c>
    </row>
    <row r="77">
      <c r="A77" s="81" t="n">
        <v>36617</v>
      </c>
      <c r="I77" t="n">
        <v>54.9</v>
      </c>
      <c r="AN77" t="n">
        <v>52.72</v>
      </c>
    </row>
    <row r="78">
      <c r="A78" s="81" t="n">
        <v>36647</v>
      </c>
      <c r="I78" t="n">
        <v>55.18</v>
      </c>
      <c r="AN78" t="n">
        <v>50.05</v>
      </c>
    </row>
    <row r="79">
      <c r="A79" s="81" t="n">
        <v>36678</v>
      </c>
      <c r="I79" t="n">
        <v>53.67</v>
      </c>
      <c r="AN79" t="n">
        <v>49.65</v>
      </c>
    </row>
    <row r="80">
      <c r="A80" s="81" t="n">
        <v>36708</v>
      </c>
      <c r="I80" t="n">
        <v>64.06999999999999</v>
      </c>
      <c r="AN80" t="n">
        <v>49.18</v>
      </c>
    </row>
    <row r="81">
      <c r="A81" s="81" t="n">
        <v>36739</v>
      </c>
      <c r="I81" t="n">
        <v>56.81</v>
      </c>
      <c r="AN81" t="n">
        <v>51.48</v>
      </c>
    </row>
    <row r="82">
      <c r="A82" s="81" t="n">
        <v>36770</v>
      </c>
      <c r="I82" t="n">
        <v>56.21</v>
      </c>
      <c r="AN82" t="n">
        <v>53.75</v>
      </c>
    </row>
    <row r="83">
      <c r="A83" s="81" t="n">
        <v>36800</v>
      </c>
      <c r="I83" t="n">
        <v>59.71</v>
      </c>
      <c r="AN83" t="n">
        <v>56.34</v>
      </c>
    </row>
    <row r="84">
      <c r="A84" s="81" t="n">
        <v>36831</v>
      </c>
      <c r="I84" t="n">
        <v>54.29</v>
      </c>
      <c r="AN84" t="n">
        <v>51.73</v>
      </c>
    </row>
    <row r="85">
      <c r="A85" s="81" t="n">
        <v>36861</v>
      </c>
      <c r="I85" t="n">
        <v>55.54</v>
      </c>
      <c r="AN85" t="n">
        <v>50.48</v>
      </c>
    </row>
    <row r="86">
      <c r="A86" s="81" t="n">
        <v>36892</v>
      </c>
      <c r="I86" t="n">
        <v>52.88</v>
      </c>
      <c r="AN86" t="n">
        <v>49.29</v>
      </c>
    </row>
    <row r="87">
      <c r="A87" s="81" t="n">
        <v>36923</v>
      </c>
      <c r="I87" t="n">
        <v>51.59</v>
      </c>
      <c r="AN87" t="n">
        <v>53.48</v>
      </c>
    </row>
    <row r="88">
      <c r="A88" s="81" t="n">
        <v>36951</v>
      </c>
      <c r="I88" t="n">
        <v>52.49</v>
      </c>
      <c r="AN88" t="n">
        <v>53.61</v>
      </c>
    </row>
    <row r="89">
      <c r="A89" s="81" t="n">
        <v>36982</v>
      </c>
      <c r="I89" t="n">
        <v>49.61</v>
      </c>
      <c r="AN89" t="n">
        <v>52.38</v>
      </c>
    </row>
    <row r="90">
      <c r="A90" s="81" t="n">
        <v>37012</v>
      </c>
      <c r="I90" t="n">
        <v>52.89</v>
      </c>
      <c r="AN90" t="n">
        <v>55.01</v>
      </c>
    </row>
    <row r="91">
      <c r="A91" s="81" t="n">
        <v>37043</v>
      </c>
      <c r="I91" t="n">
        <v>53.97</v>
      </c>
      <c r="AN91" t="n">
        <v>56.17</v>
      </c>
    </row>
    <row r="92">
      <c r="A92" s="81" t="n">
        <v>37073</v>
      </c>
      <c r="I92" t="n">
        <v>50.42</v>
      </c>
      <c r="AN92" t="n">
        <v>51.34</v>
      </c>
    </row>
    <row r="93">
      <c r="A93" s="81" t="n">
        <v>37104</v>
      </c>
      <c r="I93" t="n">
        <v>53.21</v>
      </c>
      <c r="AN93" t="n">
        <v>51.22</v>
      </c>
    </row>
    <row r="94">
      <c r="A94" s="81" t="n">
        <v>37135</v>
      </c>
      <c r="I94" t="n">
        <v>47.75</v>
      </c>
      <c r="AN94" t="n">
        <v>48.76</v>
      </c>
    </row>
    <row r="95">
      <c r="A95" s="81" t="n">
        <v>37165</v>
      </c>
      <c r="I95" t="n">
        <v>46.09</v>
      </c>
      <c r="AN95" t="n">
        <v>50.25</v>
      </c>
    </row>
    <row r="96">
      <c r="A96" s="81" t="n">
        <v>37196</v>
      </c>
      <c r="I96" t="n">
        <v>50.81</v>
      </c>
      <c r="AN96" t="n">
        <v>54.35</v>
      </c>
    </row>
    <row r="97">
      <c r="A97" s="81" t="n">
        <v>37226</v>
      </c>
      <c r="I97" t="n">
        <v>46.1</v>
      </c>
      <c r="AN97" t="n">
        <v>55.35</v>
      </c>
    </row>
    <row r="98">
      <c r="A98" s="81" t="n">
        <v>37257</v>
      </c>
      <c r="I98" t="n">
        <v>52.42</v>
      </c>
      <c r="AN98" t="n">
        <v>55.53</v>
      </c>
    </row>
    <row r="99">
      <c r="A99" s="81" t="n">
        <v>37288</v>
      </c>
      <c r="I99" t="n">
        <v>53.28</v>
      </c>
      <c r="AN99" t="n">
        <v>53.87</v>
      </c>
    </row>
    <row r="100">
      <c r="A100" s="81" t="n">
        <v>37316</v>
      </c>
      <c r="I100" t="n">
        <v>53.02</v>
      </c>
      <c r="AN100" t="n">
        <v>53.63</v>
      </c>
    </row>
    <row r="101">
      <c r="A101" s="81" t="n">
        <v>37347</v>
      </c>
      <c r="I101" t="n">
        <v>55.71</v>
      </c>
      <c r="AN101" t="n">
        <v>60.87</v>
      </c>
    </row>
    <row r="102">
      <c r="A102" s="81" t="n">
        <v>37377</v>
      </c>
      <c r="I102" t="n">
        <v>52.26</v>
      </c>
      <c r="AN102" t="n">
        <v>58.74</v>
      </c>
    </row>
    <row r="103">
      <c r="A103" s="81" t="n">
        <v>37408</v>
      </c>
      <c r="I103" t="n">
        <v>53.98</v>
      </c>
      <c r="AN103" t="n">
        <v>56.43</v>
      </c>
    </row>
    <row r="104">
      <c r="A104" s="81" t="n">
        <v>37438</v>
      </c>
      <c r="I104" t="n">
        <v>54.33</v>
      </c>
      <c r="AN104" t="n">
        <v>54.63</v>
      </c>
    </row>
    <row r="105">
      <c r="A105" s="81" t="n">
        <v>37469</v>
      </c>
      <c r="I105" t="n">
        <v>53.11</v>
      </c>
      <c r="AD105" t="n">
        <v>56.907262129678</v>
      </c>
      <c r="AN105" t="n">
        <v>55.58</v>
      </c>
    </row>
    <row r="106">
      <c r="A106" s="81" t="n">
        <v>37500</v>
      </c>
      <c r="I106" t="n">
        <v>52.08</v>
      </c>
      <c r="AD106" t="n">
        <v>58.5589449632434</v>
      </c>
      <c r="AN106" t="n">
        <v>57.74</v>
      </c>
    </row>
    <row r="107">
      <c r="A107" s="81" t="n">
        <v>37530</v>
      </c>
      <c r="I107" t="n">
        <v>47.57</v>
      </c>
      <c r="AD107" t="n">
        <v>57.9466923988663</v>
      </c>
      <c r="AN107" t="n">
        <v>56.38</v>
      </c>
    </row>
    <row r="108">
      <c r="A108" s="81" t="n">
        <v>37561</v>
      </c>
      <c r="I108" t="n">
        <v>47.96</v>
      </c>
      <c r="AD108" t="n">
        <v>57.0457520757297</v>
      </c>
      <c r="AN108" t="n">
        <v>54.54</v>
      </c>
    </row>
    <row r="109">
      <c r="A109" s="81" t="n">
        <v>37591</v>
      </c>
      <c r="I109" t="n">
        <v>48.71</v>
      </c>
      <c r="AD109" t="n">
        <v>57.1628551423891</v>
      </c>
      <c r="AN109" t="n">
        <v>55.28</v>
      </c>
    </row>
    <row r="110">
      <c r="A110" s="81" t="n">
        <v>37622</v>
      </c>
      <c r="I110" t="n">
        <v>46.3</v>
      </c>
      <c r="AD110" t="n">
        <v>56.0373126472842</v>
      </c>
      <c r="AN110" t="n">
        <v>56.84</v>
      </c>
    </row>
    <row r="111">
      <c r="A111" s="81" t="n">
        <v>37653</v>
      </c>
      <c r="I111" t="n">
        <v>46.27</v>
      </c>
      <c r="AD111" t="n">
        <v>54.4537214107044</v>
      </c>
      <c r="AN111" t="n">
        <v>52.39</v>
      </c>
    </row>
    <row r="112">
      <c r="A112" s="81" t="n">
        <v>37681</v>
      </c>
      <c r="I112" t="n">
        <v>49.92</v>
      </c>
      <c r="AD112" t="n">
        <v>52.8036302096001</v>
      </c>
      <c r="AN112" t="n">
        <v>49.15</v>
      </c>
    </row>
    <row r="113">
      <c r="A113" s="81" t="n">
        <v>37712</v>
      </c>
      <c r="I113" t="n">
        <v>52.91</v>
      </c>
      <c r="AD113" t="n">
        <v>53.3207423548318</v>
      </c>
      <c r="AN113" t="n">
        <v>48.99</v>
      </c>
    </row>
    <row r="114">
      <c r="A114" s="81" t="n">
        <v>37742</v>
      </c>
      <c r="I114" t="n">
        <v>50.11</v>
      </c>
      <c r="AD114" t="n">
        <v>51.8564124097293</v>
      </c>
      <c r="AN114" t="n">
        <v>46.13</v>
      </c>
    </row>
    <row r="115">
      <c r="A115" s="81" t="n">
        <v>37773</v>
      </c>
      <c r="I115" t="n">
        <v>47.14</v>
      </c>
      <c r="AD115" t="n">
        <v>53.4376487626112</v>
      </c>
      <c r="AN115" t="n">
        <v>45.22</v>
      </c>
    </row>
    <row r="116">
      <c r="A116" s="81" t="n">
        <v>37803</v>
      </c>
      <c r="I116" t="n">
        <v>49.65</v>
      </c>
      <c r="AD116" t="n">
        <v>53.0699070792162</v>
      </c>
      <c r="AN116" t="n">
        <v>47.89</v>
      </c>
    </row>
    <row r="117">
      <c r="A117" s="81" t="n">
        <v>37834</v>
      </c>
      <c r="I117" t="n">
        <v>49.78</v>
      </c>
      <c r="AD117" t="n">
        <v>50.5682358998851</v>
      </c>
      <c r="AN117" t="n">
        <v>48.44</v>
      </c>
    </row>
    <row r="118">
      <c r="A118" s="81" t="n">
        <v>37865</v>
      </c>
      <c r="I118" t="n">
        <v>59.65</v>
      </c>
      <c r="AD118" t="n">
        <v>57.8430291760094</v>
      </c>
      <c r="AN118" t="n">
        <v>45.46</v>
      </c>
    </row>
    <row r="119">
      <c r="A119" s="81" t="n">
        <v>37895</v>
      </c>
      <c r="I119" t="n">
        <v>54.14</v>
      </c>
      <c r="AD119" t="n">
        <v>60.8664062994677</v>
      </c>
      <c r="AN119" t="n">
        <v>47.73</v>
      </c>
    </row>
    <row r="120">
      <c r="A120" s="81" t="n">
        <v>37926</v>
      </c>
      <c r="I120" t="n">
        <v>57.7</v>
      </c>
      <c r="AD120" t="n">
        <v>56.3868823573509</v>
      </c>
      <c r="AN120" t="n">
        <v>53.1</v>
      </c>
    </row>
    <row r="121">
      <c r="A121" s="81" t="n">
        <v>37956</v>
      </c>
      <c r="I121" t="n">
        <v>60.4</v>
      </c>
      <c r="AD121" t="n">
        <v>54.8457516440857</v>
      </c>
      <c r="AN121" t="n">
        <v>51.55</v>
      </c>
    </row>
    <row r="122">
      <c r="A122" s="81" t="n">
        <v>37987</v>
      </c>
      <c r="I122" t="n">
        <v>46.37</v>
      </c>
      <c r="AD122" t="n">
        <v>55.7939197179694</v>
      </c>
      <c r="AN122" t="n">
        <v>54.61</v>
      </c>
    </row>
    <row r="123">
      <c r="A123" s="81" t="n">
        <v>38018</v>
      </c>
      <c r="I123" t="n">
        <v>56.97</v>
      </c>
      <c r="AD123" t="n">
        <v>56.8004721684877</v>
      </c>
      <c r="AN123" t="n">
        <v>54.29</v>
      </c>
    </row>
    <row r="124">
      <c r="A124" s="81" t="n">
        <v>38047</v>
      </c>
      <c r="I124" t="n">
        <v>58.99</v>
      </c>
      <c r="AD124" t="n">
        <v>59.0129037737941</v>
      </c>
      <c r="AN124" t="n">
        <v>55.84</v>
      </c>
    </row>
    <row r="125">
      <c r="A125" s="81" t="n">
        <v>38078</v>
      </c>
      <c r="I125" t="n">
        <v>59.16</v>
      </c>
      <c r="AD125" t="n">
        <v>58.7416869677263</v>
      </c>
      <c r="AN125" t="n">
        <v>56.95</v>
      </c>
    </row>
    <row r="126">
      <c r="A126" s="81" t="n">
        <v>38108</v>
      </c>
      <c r="I126" t="n">
        <v>61.27</v>
      </c>
      <c r="AD126" t="n">
        <v>56.1940744843941</v>
      </c>
      <c r="AN126" t="n">
        <v>56.6</v>
      </c>
    </row>
    <row r="127">
      <c r="A127" s="81" t="n">
        <v>38139</v>
      </c>
      <c r="I127" t="n">
        <v>51.93</v>
      </c>
      <c r="AD127" t="n">
        <v>62.7727740280589</v>
      </c>
      <c r="AN127" t="n">
        <v>56.83</v>
      </c>
    </row>
    <row r="128">
      <c r="A128" s="81" t="n">
        <v>38169</v>
      </c>
      <c r="I128" t="n">
        <v>56.18</v>
      </c>
      <c r="AD128" t="n">
        <v>58.7710208740845</v>
      </c>
      <c r="AN128" t="n">
        <v>55.54</v>
      </c>
    </row>
    <row r="129">
      <c r="A129" s="81" t="n">
        <v>38200</v>
      </c>
      <c r="I129" t="n">
        <v>62.38</v>
      </c>
      <c r="AD129" t="n">
        <v>57.4270852912371</v>
      </c>
      <c r="AN129" t="n">
        <v>57.5</v>
      </c>
    </row>
    <row r="130">
      <c r="A130" s="81" t="n">
        <v>38231</v>
      </c>
      <c r="I130" t="n">
        <v>57.36</v>
      </c>
      <c r="AD130" t="n">
        <v>55.0493220788692</v>
      </c>
      <c r="AN130" t="n">
        <v>57.5</v>
      </c>
    </row>
    <row r="131">
      <c r="A131" s="81" t="n">
        <v>38261</v>
      </c>
      <c r="I131" t="n">
        <v>56.87</v>
      </c>
      <c r="AD131" t="n">
        <v>52.9171551177009</v>
      </c>
      <c r="AN131" t="n">
        <v>55.37</v>
      </c>
    </row>
    <row r="132">
      <c r="A132" s="81" t="n">
        <v>38292</v>
      </c>
      <c r="I132" t="n">
        <v>54.39</v>
      </c>
      <c r="AD132" t="n">
        <v>57.8669354166724</v>
      </c>
      <c r="AN132" t="n">
        <v>54.08</v>
      </c>
    </row>
    <row r="133">
      <c r="A133" s="81" t="n">
        <v>38322</v>
      </c>
      <c r="I133" t="n">
        <v>57.58</v>
      </c>
      <c r="K133" t="n">
        <v>51.4</v>
      </c>
      <c r="AD133" t="n">
        <v>58.9814226071519</v>
      </c>
      <c r="AN133" t="n">
        <v>54.34</v>
      </c>
      <c r="AX133" t="n">
        <v>53.7</v>
      </c>
    </row>
    <row r="134">
      <c r="A134" s="81" t="n">
        <v>38353</v>
      </c>
      <c r="F134" t="n">
        <v>52.1</v>
      </c>
      <c r="I134" t="n">
        <v>59.37</v>
      </c>
      <c r="K134" t="n">
        <v>51.9</v>
      </c>
      <c r="AD134" t="n">
        <v>57.034440617634</v>
      </c>
      <c r="AN134" t="n">
        <v>51.54</v>
      </c>
      <c r="AX134" t="n">
        <v>51.8</v>
      </c>
    </row>
    <row r="135">
      <c r="A135" s="81" t="n">
        <v>38384</v>
      </c>
      <c r="F135" t="n">
        <v>52.9</v>
      </c>
      <c r="I135" t="n">
        <v>55.3</v>
      </c>
      <c r="K135" t="n">
        <v>51.9</v>
      </c>
      <c r="AD135" t="n">
        <v>56.2559835845108</v>
      </c>
      <c r="AN135" t="n">
        <v>55.55</v>
      </c>
      <c r="AX135" t="n">
        <v>51.8</v>
      </c>
    </row>
    <row r="136">
      <c r="A136" s="81" t="n">
        <v>38412</v>
      </c>
      <c r="F136" t="n">
        <v>55.2</v>
      </c>
      <c r="I136" t="n">
        <v>56.66</v>
      </c>
      <c r="K136" t="n">
        <v>50.4</v>
      </c>
      <c r="AD136" t="n">
        <v>51.639603525794</v>
      </c>
      <c r="AN136" t="n">
        <v>57.65</v>
      </c>
      <c r="AX136" t="n">
        <v>52</v>
      </c>
    </row>
    <row r="137">
      <c r="A137" s="81" t="n">
        <v>38443</v>
      </c>
      <c r="F137" t="n">
        <v>54.4</v>
      </c>
      <c r="I137" t="n">
        <v>52.88</v>
      </c>
      <c r="K137" t="n">
        <v>49.2</v>
      </c>
      <c r="AD137" t="n">
        <v>51.5818588801095</v>
      </c>
      <c r="AN137" t="n">
        <v>54.64</v>
      </c>
      <c r="AX137" t="n">
        <v>49.5</v>
      </c>
    </row>
    <row r="138">
      <c r="A138" s="81" t="n">
        <v>38473</v>
      </c>
      <c r="F138" t="n">
        <v>53.3</v>
      </c>
      <c r="I138" t="n">
        <v>53.51</v>
      </c>
      <c r="K138" t="n">
        <v>48.7</v>
      </c>
      <c r="AD138" t="n">
        <v>51.2975424148141</v>
      </c>
      <c r="AN138" t="n">
        <v>53.75</v>
      </c>
      <c r="AX138" t="n">
        <v>47.3</v>
      </c>
    </row>
    <row r="139">
      <c r="A139" s="81" t="n">
        <v>38504</v>
      </c>
      <c r="F139" t="n">
        <v>51</v>
      </c>
      <c r="I139" t="n">
        <v>58.58</v>
      </c>
      <c r="K139" t="n">
        <v>49.9</v>
      </c>
      <c r="AD139" t="n">
        <v>52.9270116328412</v>
      </c>
      <c r="AN139" t="n">
        <v>57.12</v>
      </c>
      <c r="AX139" t="n">
        <v>49.6</v>
      </c>
    </row>
    <row r="140">
      <c r="A140" s="81" t="n">
        <v>38534</v>
      </c>
      <c r="F140" t="n">
        <v>51.5</v>
      </c>
      <c r="I140" t="n">
        <v>56.43</v>
      </c>
      <c r="K140" t="n">
        <v>50.8</v>
      </c>
      <c r="AD140" t="n">
        <v>49.2378624062758</v>
      </c>
      <c r="AN140" t="n">
        <v>57.43</v>
      </c>
      <c r="AX140" t="n">
        <v>49.2</v>
      </c>
    </row>
    <row r="141">
      <c r="A141" s="81" t="n">
        <v>38565</v>
      </c>
      <c r="F141" t="n">
        <v>50.6</v>
      </c>
      <c r="I141" t="n">
        <v>56.34</v>
      </c>
      <c r="K141" t="n">
        <v>50.4</v>
      </c>
      <c r="AD141" t="n">
        <v>51.8116698565872</v>
      </c>
      <c r="AN141" t="n">
        <v>55.2</v>
      </c>
      <c r="AX141" t="n">
        <v>50.1</v>
      </c>
    </row>
    <row r="142">
      <c r="A142" s="81" t="n">
        <v>38596</v>
      </c>
      <c r="F142" t="n">
        <v>50.9</v>
      </c>
      <c r="I142" t="n">
        <v>61.16</v>
      </c>
      <c r="K142" t="n">
        <v>51.7</v>
      </c>
      <c r="AD142" t="n">
        <v>50.5719307328397</v>
      </c>
      <c r="AN142" t="n">
        <v>54.96</v>
      </c>
      <c r="AX142" t="n">
        <v>51.5</v>
      </c>
    </row>
    <row r="143">
      <c r="A143" s="81" t="n">
        <v>38626</v>
      </c>
      <c r="F143" t="n">
        <v>50.1</v>
      </c>
      <c r="I143" t="n">
        <v>68.93000000000001</v>
      </c>
      <c r="K143" t="n">
        <v>52.7</v>
      </c>
      <c r="AD143" t="n">
        <v>45.8954807328845</v>
      </c>
      <c r="AN143" t="n">
        <v>52.77</v>
      </c>
      <c r="AX143" t="n">
        <v>51.7</v>
      </c>
    </row>
    <row r="144">
      <c r="A144" s="81" t="n">
        <v>38657</v>
      </c>
      <c r="F144" t="n">
        <v>49.8</v>
      </c>
      <c r="I144" t="n">
        <v>57.53</v>
      </c>
      <c r="K144" t="n">
        <v>52.8</v>
      </c>
      <c r="AD144" t="n">
        <v>44.2705995249608</v>
      </c>
      <c r="AN144" t="n">
        <v>52.02</v>
      </c>
      <c r="AX144" t="n">
        <v>51</v>
      </c>
    </row>
    <row r="145">
      <c r="A145" s="81" t="n">
        <v>38687</v>
      </c>
      <c r="F145" t="n">
        <v>50.1</v>
      </c>
      <c r="I145" t="n">
        <v>59.8</v>
      </c>
      <c r="K145" t="n">
        <v>53.6</v>
      </c>
      <c r="AD145" t="n">
        <v>48.4790254674981</v>
      </c>
      <c r="AN145" t="n">
        <v>53.31</v>
      </c>
      <c r="AX145" t="n">
        <v>51.1</v>
      </c>
    </row>
    <row r="146">
      <c r="A146" s="81" t="n">
        <v>38718</v>
      </c>
      <c r="F146" t="n">
        <v>50.2</v>
      </c>
      <c r="I146" t="n">
        <v>58.97</v>
      </c>
      <c r="K146" t="n">
        <v>53.5</v>
      </c>
      <c r="AD146" t="n">
        <v>48.5853450687797</v>
      </c>
      <c r="AN146" t="n">
        <v>49.78</v>
      </c>
      <c r="AX146" t="n">
        <v>51.7</v>
      </c>
    </row>
    <row r="147">
      <c r="A147" s="81" t="n">
        <v>38749</v>
      </c>
      <c r="F147" t="n">
        <v>50.7</v>
      </c>
      <c r="I147" t="n">
        <v>60.32</v>
      </c>
      <c r="K147" t="n">
        <v>54.5</v>
      </c>
      <c r="AD147" t="n">
        <v>52.1905524192794</v>
      </c>
      <c r="AN147" t="n">
        <v>50.11</v>
      </c>
      <c r="AX147" t="n">
        <v>51.7</v>
      </c>
    </row>
    <row r="148">
      <c r="A148" s="81" t="n">
        <v>38777</v>
      </c>
      <c r="F148" t="n">
        <v>51</v>
      </c>
      <c r="I148" t="n">
        <v>52.93</v>
      </c>
      <c r="K148" t="n">
        <v>56.1</v>
      </c>
      <c r="AD148" t="n">
        <v>53.5430588149714</v>
      </c>
      <c r="AN148" t="n">
        <v>52.17</v>
      </c>
      <c r="AX148" t="n">
        <v>50.8</v>
      </c>
    </row>
    <row r="149">
      <c r="A149" s="81" t="n">
        <v>38808</v>
      </c>
      <c r="F149" t="n">
        <v>52.7</v>
      </c>
      <c r="I149" t="n">
        <v>55.97</v>
      </c>
      <c r="K149" t="n">
        <v>56.7</v>
      </c>
      <c r="AD149" t="n">
        <v>52.0142512588664</v>
      </c>
      <c r="AN149" t="n">
        <v>54.63</v>
      </c>
      <c r="AX149" t="n">
        <v>54.1</v>
      </c>
    </row>
    <row r="150">
      <c r="A150" s="81" t="n">
        <v>38838</v>
      </c>
      <c r="F150" t="n">
        <v>52.8</v>
      </c>
      <c r="I150" t="n">
        <v>56.87</v>
      </c>
      <c r="K150" t="n">
        <v>57</v>
      </c>
      <c r="AD150" t="n">
        <v>57.2024324538472</v>
      </c>
      <c r="AN150" t="n">
        <v>57</v>
      </c>
      <c r="AX150" t="n">
        <v>53.2</v>
      </c>
    </row>
    <row r="151">
      <c r="A151" s="81" t="n">
        <v>38869</v>
      </c>
      <c r="F151" t="n">
        <v>52.9</v>
      </c>
      <c r="I151" t="n">
        <v>56.69</v>
      </c>
      <c r="K151" t="n">
        <v>57.7</v>
      </c>
      <c r="AD151" t="n">
        <v>53.8447374020008</v>
      </c>
      <c r="AN151" t="n">
        <v>58.8</v>
      </c>
      <c r="AX151" t="n">
        <v>55.1</v>
      </c>
    </row>
    <row r="152">
      <c r="A152" s="81" t="n">
        <v>38899</v>
      </c>
      <c r="F152" t="n">
        <v>53</v>
      </c>
      <c r="I152" t="n">
        <v>58.32</v>
      </c>
      <c r="K152" t="n">
        <v>57.4</v>
      </c>
      <c r="AD152" t="n">
        <v>53.378118046287</v>
      </c>
      <c r="AN152" t="n">
        <v>60.27</v>
      </c>
      <c r="AX152" t="n">
        <v>53.8</v>
      </c>
    </row>
    <row r="153">
      <c r="A153" s="81" t="n">
        <v>38930</v>
      </c>
      <c r="F153" t="n">
        <v>52.6</v>
      </c>
      <c r="I153" t="n">
        <v>63.49</v>
      </c>
      <c r="K153" t="n">
        <v>56.5</v>
      </c>
      <c r="AD153" t="n">
        <v>52.4970992830634</v>
      </c>
      <c r="AN153" t="n">
        <v>58.68</v>
      </c>
      <c r="AX153" t="n">
        <v>53.1</v>
      </c>
    </row>
    <row r="154">
      <c r="A154" s="81" t="n">
        <v>38961</v>
      </c>
      <c r="F154" t="n">
        <v>52.4</v>
      </c>
      <c r="I154" t="n">
        <v>62.87</v>
      </c>
      <c r="K154" t="n">
        <v>56.6</v>
      </c>
      <c r="AD154" t="n">
        <v>51.2626591513288</v>
      </c>
      <c r="AN154" t="n">
        <v>56.6</v>
      </c>
      <c r="AX154" t="n">
        <v>54.4</v>
      </c>
    </row>
    <row r="155">
      <c r="A155" s="81" t="n">
        <v>38991</v>
      </c>
      <c r="F155" t="n">
        <v>52.1</v>
      </c>
      <c r="I155" t="n">
        <v>62.65</v>
      </c>
      <c r="K155" t="n">
        <v>57</v>
      </c>
      <c r="AD155" t="n">
        <v>56.5320799903232</v>
      </c>
      <c r="AN155" t="n">
        <v>56.73</v>
      </c>
      <c r="AX155" t="n">
        <v>53.7</v>
      </c>
    </row>
    <row r="156">
      <c r="A156" s="81" t="n">
        <v>39022</v>
      </c>
      <c r="F156" t="n">
        <v>53</v>
      </c>
      <c r="I156" t="n">
        <v>66.77</v>
      </c>
      <c r="K156" t="n">
        <v>56.6</v>
      </c>
      <c r="AD156" t="n">
        <v>54.8195852581759</v>
      </c>
      <c r="AN156" t="n">
        <v>56.34</v>
      </c>
      <c r="AX156" t="n">
        <v>53.6</v>
      </c>
    </row>
    <row r="157">
      <c r="A157" s="81" t="n">
        <v>39052</v>
      </c>
      <c r="F157" t="n">
        <v>52.4</v>
      </c>
      <c r="I157" t="n">
        <v>62.5</v>
      </c>
      <c r="K157" t="n">
        <v>56.5</v>
      </c>
      <c r="U157" t="n">
        <v>55</v>
      </c>
      <c r="AD157" t="n">
        <v>54.2386669238499</v>
      </c>
      <c r="AN157" t="n">
        <v>55.49</v>
      </c>
      <c r="AP157" t="n">
        <v>57.2</v>
      </c>
      <c r="AX157" t="n">
        <v>51.9</v>
      </c>
    </row>
    <row r="158">
      <c r="A158" s="81" t="n">
        <v>39083</v>
      </c>
      <c r="F158" t="n">
        <v>52</v>
      </c>
      <c r="I158" t="n">
        <v>55.72</v>
      </c>
      <c r="K158" t="n">
        <v>55.5</v>
      </c>
      <c r="U158" t="n">
        <v>53.5</v>
      </c>
      <c r="AD158" t="n">
        <v>56.0360313510977</v>
      </c>
      <c r="AN158" t="n">
        <v>57.79</v>
      </c>
      <c r="AP158" t="n">
        <v>56.2</v>
      </c>
      <c r="AX158" t="n">
        <v>52.8</v>
      </c>
    </row>
    <row r="159">
      <c r="A159" s="81" t="n">
        <v>39114</v>
      </c>
      <c r="F159" t="n">
        <v>53</v>
      </c>
      <c r="I159" t="n">
        <v>60.51</v>
      </c>
      <c r="K159" t="n">
        <v>55.6</v>
      </c>
      <c r="U159" t="n">
        <v>54.2</v>
      </c>
      <c r="AD159" t="n">
        <v>54.7427757055842</v>
      </c>
      <c r="AN159" t="n">
        <v>60.18</v>
      </c>
      <c r="AP159" t="n">
        <v>56.2</v>
      </c>
      <c r="AX159" t="n">
        <v>55.4</v>
      </c>
    </row>
    <row r="160">
      <c r="A160" s="81" t="n">
        <v>39142</v>
      </c>
      <c r="F160" t="n">
        <v>52.3</v>
      </c>
      <c r="I160" t="n">
        <v>65.52</v>
      </c>
      <c r="K160" t="n">
        <v>55.4</v>
      </c>
      <c r="U160" t="n">
        <v>53.8</v>
      </c>
      <c r="AD160" t="n">
        <v>57.5702506990957</v>
      </c>
      <c r="AN160" t="n">
        <v>60.35</v>
      </c>
      <c r="AP160" t="n">
        <v>55.4</v>
      </c>
      <c r="AX160" t="n">
        <v>54.4</v>
      </c>
    </row>
    <row r="161">
      <c r="A161" s="81" t="n">
        <v>39173</v>
      </c>
      <c r="F161" t="n">
        <v>53.3</v>
      </c>
      <c r="I161" t="n">
        <v>63.43</v>
      </c>
      <c r="K161" t="n">
        <v>55.4</v>
      </c>
      <c r="U161" t="n">
        <v>53.9</v>
      </c>
      <c r="AD161" t="n">
        <v>53.2606163112084</v>
      </c>
      <c r="AN161" t="n">
        <v>57.89</v>
      </c>
      <c r="AP161" t="n">
        <v>56</v>
      </c>
      <c r="AX161" t="n">
        <v>53.9</v>
      </c>
    </row>
    <row r="162">
      <c r="A162" s="81" t="n">
        <v>39203</v>
      </c>
      <c r="F162" t="n">
        <v>54.1</v>
      </c>
      <c r="I162" t="n">
        <v>62.81</v>
      </c>
      <c r="K162" t="n">
        <v>55</v>
      </c>
      <c r="U162" t="n">
        <v>55</v>
      </c>
      <c r="AD162" t="n">
        <v>55.407160874264</v>
      </c>
      <c r="AN162" t="n">
        <v>56.91</v>
      </c>
      <c r="AP162" t="n">
        <v>53.3</v>
      </c>
      <c r="AX162" t="n">
        <v>54.9</v>
      </c>
    </row>
    <row r="163">
      <c r="A163" s="81" t="n">
        <v>39234</v>
      </c>
      <c r="F163" t="n">
        <v>55</v>
      </c>
      <c r="I163" t="n">
        <v>59.06</v>
      </c>
      <c r="K163" t="n">
        <v>55.6</v>
      </c>
      <c r="U163" t="n">
        <v>54</v>
      </c>
      <c r="AD163" t="n">
        <v>51.416409801705</v>
      </c>
      <c r="AN163" t="n">
        <v>56.33</v>
      </c>
      <c r="AP163" t="n">
        <v>55.1</v>
      </c>
      <c r="AX163" t="n">
        <v>54.3</v>
      </c>
    </row>
    <row r="164">
      <c r="A164" s="81" t="n">
        <v>39264</v>
      </c>
      <c r="F164" t="n">
        <v>53.2</v>
      </c>
      <c r="I164" t="n">
        <v>63.94</v>
      </c>
      <c r="K164" t="n">
        <v>54.9</v>
      </c>
      <c r="U164" t="n">
        <v>53.3</v>
      </c>
      <c r="AD164" t="n">
        <v>54.021529677242</v>
      </c>
      <c r="AN164" t="n">
        <v>57.52</v>
      </c>
      <c r="AP164" t="n">
        <v>53.2</v>
      </c>
      <c r="AX164" t="n">
        <v>55.7</v>
      </c>
    </row>
    <row r="165">
      <c r="A165" s="81" t="n">
        <v>39295</v>
      </c>
      <c r="F165" t="n">
        <v>53.4</v>
      </c>
      <c r="I165" t="n">
        <v>55.08</v>
      </c>
      <c r="K165" t="n">
        <v>54.3</v>
      </c>
      <c r="U165" t="n">
        <v>53.6</v>
      </c>
      <c r="AD165" t="n">
        <v>56.5988110506082</v>
      </c>
      <c r="AN165" t="n">
        <v>54.42</v>
      </c>
      <c r="AP165" t="n">
        <v>52.2</v>
      </c>
      <c r="AX165" t="n">
        <v>56.3</v>
      </c>
    </row>
    <row r="166">
      <c r="A166" s="81" t="n">
        <v>39326</v>
      </c>
      <c r="F166" t="n">
        <v>55</v>
      </c>
      <c r="I166" t="n">
        <v>57.16</v>
      </c>
      <c r="K166" t="n">
        <v>53.2</v>
      </c>
      <c r="U166" t="n">
        <v>52.4</v>
      </c>
      <c r="AD166" t="n">
        <v>54.2282350566784</v>
      </c>
      <c r="AN166" t="n">
        <v>51.63</v>
      </c>
      <c r="AP166" t="n">
        <v>50.8</v>
      </c>
      <c r="AX166" t="n">
        <v>55.1</v>
      </c>
    </row>
    <row r="167">
      <c r="A167" s="81" t="n">
        <v>39356</v>
      </c>
      <c r="F167" t="n">
        <v>55.2</v>
      </c>
      <c r="I167" t="n">
        <v>59.94</v>
      </c>
      <c r="K167" t="n">
        <v>51.5</v>
      </c>
      <c r="U167" t="n">
        <v>51.3</v>
      </c>
      <c r="AD167" t="n">
        <v>57.4337841735763</v>
      </c>
      <c r="AN167" t="n">
        <v>54.4</v>
      </c>
      <c r="AP167" t="n">
        <v>49.6</v>
      </c>
      <c r="AX167" t="n">
        <v>52.9</v>
      </c>
    </row>
    <row r="168">
      <c r="A168" s="81" t="n">
        <v>39387</v>
      </c>
      <c r="F168" t="n">
        <v>52.8</v>
      </c>
      <c r="I168" t="n">
        <v>57.03</v>
      </c>
      <c r="K168" t="n">
        <v>52.8</v>
      </c>
      <c r="U168" t="n">
        <v>51.3</v>
      </c>
      <c r="AD168" t="n">
        <v>57.1557244653067</v>
      </c>
      <c r="AN168" t="n">
        <v>53.96</v>
      </c>
      <c r="AP168" t="n">
        <v>50.7</v>
      </c>
      <c r="AX168" t="n">
        <v>54.4</v>
      </c>
    </row>
    <row r="169">
      <c r="A169" s="81" t="n">
        <v>39417</v>
      </c>
      <c r="F169" t="n">
        <v>53.3</v>
      </c>
      <c r="I169" t="n">
        <v>55.62</v>
      </c>
      <c r="K169" t="n">
        <v>52.6</v>
      </c>
      <c r="U169" t="n">
        <v>50.7</v>
      </c>
      <c r="AD169" t="n">
        <v>53.1534995907173</v>
      </c>
      <c r="AN169" t="n">
        <v>53.23</v>
      </c>
      <c r="AP169" t="n">
        <v>49.5</v>
      </c>
      <c r="AX169" t="n">
        <v>52.9</v>
      </c>
    </row>
    <row r="170">
      <c r="A170" s="81" t="n">
        <v>39448</v>
      </c>
      <c r="F170" t="n">
        <v>53.2</v>
      </c>
      <c r="I170" t="n">
        <v>56.34</v>
      </c>
      <c r="K170" t="n">
        <v>52.8</v>
      </c>
      <c r="U170" t="n">
        <v>50.8</v>
      </c>
      <c r="AD170" t="n">
        <v>53.0808173064804</v>
      </c>
      <c r="AN170" t="n">
        <v>51.3</v>
      </c>
      <c r="AP170" t="n">
        <v>49.8</v>
      </c>
      <c r="AX170" t="n">
        <v>50.6</v>
      </c>
    </row>
    <row r="171">
      <c r="A171" s="81" t="n">
        <v>39478</v>
      </c>
      <c r="M171" t="n">
        <v>54.4</v>
      </c>
    </row>
    <row r="172">
      <c r="A172" s="81" t="n">
        <v>39479</v>
      </c>
      <c r="F172" t="n">
        <v>52.8</v>
      </c>
      <c r="I172" t="n">
        <v>64.81999999999999</v>
      </c>
      <c r="K172" t="n">
        <v>52.3</v>
      </c>
      <c r="M172" t="n">
        <v>54.3</v>
      </c>
      <c r="U172" t="n">
        <v>50.6</v>
      </c>
      <c r="V172" t="n">
        <v>50.8</v>
      </c>
      <c r="AD172" t="n">
        <v>52.5683619019129</v>
      </c>
      <c r="AN172" t="n">
        <v>45.75</v>
      </c>
      <c r="AP172" t="n">
        <v>46.7</v>
      </c>
      <c r="AX172" t="n">
        <v>51.3</v>
      </c>
    </row>
    <row r="173">
      <c r="A173" s="81" t="n">
        <v>39508</v>
      </c>
      <c r="F173" t="n">
        <v>54.4</v>
      </c>
      <c r="I173" t="n">
        <v>57.03</v>
      </c>
      <c r="K173" t="n">
        <v>52</v>
      </c>
      <c r="M173" t="n">
        <v>54.9</v>
      </c>
      <c r="U173" t="n">
        <v>49.4</v>
      </c>
      <c r="V173" t="n">
        <v>49.5</v>
      </c>
      <c r="AD173" t="n">
        <v>48.1140014100388</v>
      </c>
      <c r="AN173" t="n">
        <v>44.21</v>
      </c>
      <c r="AP173" t="n">
        <v>46.4</v>
      </c>
      <c r="AX173" t="n">
        <v>51.3</v>
      </c>
    </row>
    <row r="174">
      <c r="A174" s="81" t="n">
        <v>39539</v>
      </c>
      <c r="F174" t="n">
        <v>55.4</v>
      </c>
      <c r="I174" t="n">
        <v>44.91</v>
      </c>
      <c r="K174" t="n">
        <v>50.7</v>
      </c>
      <c r="M174" t="n">
        <v>53.6</v>
      </c>
      <c r="U174" t="n">
        <v>48.2</v>
      </c>
      <c r="V174" t="n">
        <v>48.6</v>
      </c>
      <c r="AD174" t="n">
        <v>50.3796200413739</v>
      </c>
      <c r="AN174" t="n">
        <v>53.72</v>
      </c>
      <c r="AP174" t="n">
        <v>45.2</v>
      </c>
      <c r="AX174" t="n">
        <v>51</v>
      </c>
    </row>
    <row r="175">
      <c r="A175" s="81" t="n">
        <v>39569</v>
      </c>
      <c r="B175" t="n">
        <v>51.4</v>
      </c>
      <c r="F175" t="n">
        <v>54.7</v>
      </c>
      <c r="I175" t="n">
        <v>66.78</v>
      </c>
      <c r="K175" t="n">
        <v>50.6</v>
      </c>
      <c r="M175" t="n">
        <v>53.5</v>
      </c>
      <c r="U175" t="n">
        <v>48</v>
      </c>
      <c r="V175" t="n">
        <v>47.7</v>
      </c>
      <c r="AD175" t="n">
        <v>48.2548671052373</v>
      </c>
      <c r="AN175" t="n">
        <v>48.8</v>
      </c>
      <c r="AP175" t="n">
        <v>43.8</v>
      </c>
      <c r="AX175" t="n">
        <v>50</v>
      </c>
    </row>
    <row r="176">
      <c r="A176" s="81" t="n">
        <v>39600</v>
      </c>
      <c r="B176" t="n">
        <v>51.2</v>
      </c>
      <c r="F176" t="n">
        <v>53.3</v>
      </c>
      <c r="I176" t="n">
        <v>62.6</v>
      </c>
      <c r="K176" t="n">
        <v>49.2</v>
      </c>
      <c r="M176" t="n">
        <v>52.3</v>
      </c>
      <c r="U176" t="n">
        <v>46.9</v>
      </c>
      <c r="V176" t="n">
        <v>46.5</v>
      </c>
      <c r="AD176" t="n">
        <v>44.324455950641</v>
      </c>
      <c r="AN176" t="n">
        <v>45.37</v>
      </c>
      <c r="AP176" t="n">
        <v>40.6</v>
      </c>
      <c r="AX176" t="n">
        <v>45.8</v>
      </c>
    </row>
    <row r="177">
      <c r="A177" s="81" t="n">
        <v>39630</v>
      </c>
      <c r="B177" t="n">
        <v>52.7</v>
      </c>
      <c r="F177" t="n">
        <v>53.3</v>
      </c>
      <c r="I177" t="n">
        <v>38.91</v>
      </c>
      <c r="K177" t="n">
        <v>47.4</v>
      </c>
      <c r="M177" t="n">
        <v>50.9</v>
      </c>
      <c r="U177" t="n">
        <v>45.3</v>
      </c>
      <c r="V177" t="n">
        <v>47</v>
      </c>
      <c r="AD177" t="n">
        <v>48.1735627816922</v>
      </c>
      <c r="AN177" t="n">
        <v>44.8</v>
      </c>
      <c r="AP177" t="n">
        <v>39.2</v>
      </c>
      <c r="AX177" t="n">
        <v>44.3</v>
      </c>
    </row>
    <row r="178">
      <c r="A178" s="81"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1"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1"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1"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1"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1"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1"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1"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1"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1"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1" t="n">
        <v>39965</v>
      </c>
      <c r="B188" t="n">
        <v>38.4</v>
      </c>
      <c r="F188" t="n">
        <v>51.8</v>
      </c>
      <c r="I188" t="n">
        <v>42</v>
      </c>
      <c r="K188" t="n">
        <v>42.6</v>
      </c>
      <c r="L188" t="n">
        <v>45.9</v>
      </c>
      <c r="M188" t="n">
        <v>40.9</v>
      </c>
      <c r="U188" t="n">
        <v>42.7</v>
      </c>
      <c r="V188" t="n">
        <v>48.2</v>
      </c>
      <c r="AD188" t="n">
        <v>45.5610293561352</v>
      </c>
      <c r="AN188" t="n">
        <v>39.7</v>
      </c>
      <c r="AP188" t="n">
        <v>42.8</v>
      </c>
      <c r="AX188" t="n">
        <v>47</v>
      </c>
    </row>
    <row r="189">
      <c r="A189" s="81"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1"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1"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1"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1"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1"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1"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1"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1"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1"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1"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1"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1"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1"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1"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1"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1" t="n">
        <v>40482</v>
      </c>
      <c r="N205" t="n">
        <v>43.6</v>
      </c>
    </row>
    <row r="206">
      <c r="A206" s="81"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1"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1"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1"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1"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1"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1"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1"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1"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1"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1"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1"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1"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1"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1"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1"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1"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1"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1"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1"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1"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1"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1"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1"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1"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1"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1"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1"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1"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1"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1"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1"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1"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1"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1"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1"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1"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1"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1"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1"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1"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1"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1"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1"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1"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1"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1"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1"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1"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1"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1"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1"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1"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1"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1"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1"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1"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1"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1"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1"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1"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1"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1"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1"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1"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1"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1"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1"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1"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1"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1"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1"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1"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1"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1"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1"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1"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1"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1"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1"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1"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1"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1"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1"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1"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1"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1"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1"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1"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1"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1"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1"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1"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1"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1"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1"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1"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1"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1"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1"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1"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1"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1"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1"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1"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1"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1"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1"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1"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1"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1"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1"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1"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1"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1"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1"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1"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1"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1"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1"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1"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1"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1"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1"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1"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1"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1"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1"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1"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1"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1"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1"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1"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1"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1"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1"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1"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1"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1"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1"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1"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1"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1"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1"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I349" t="n">
        <v>53.7</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1" t="n">
        <v>44866</v>
      </c>
      <c r="B350" t="n">
        <v>44.7</v>
      </c>
      <c r="C350" t="n">
        <v>46.6</v>
      </c>
      <c r="D350" t="n">
        <v>44.3</v>
      </c>
      <c r="E350" t="n">
        <v>49.6</v>
      </c>
      <c r="F350" t="n">
        <v>49.4</v>
      </c>
      <c r="G350" t="n">
        <v>47.3</v>
      </c>
      <c r="H350" t="n">
        <v>41.6</v>
      </c>
      <c r="I350" t="n">
        <v>45.48</v>
      </c>
      <c r="J350" t="n">
        <v>45.4</v>
      </c>
      <c r="K350" t="n">
        <v>47.1</v>
      </c>
      <c r="L350" t="n">
        <v>48.3</v>
      </c>
      <c r="M350" t="n">
        <v>46.2</v>
      </c>
      <c r="N350" t="n">
        <v>48.4</v>
      </c>
      <c r="O350" t="n">
        <v>48.7</v>
      </c>
      <c r="P350" t="n">
        <v>54.7</v>
      </c>
      <c r="Q350" t="n">
        <v>55.7</v>
      </c>
      <c r="R350" t="n">
        <v>50.3</v>
      </c>
      <c r="S350" t="n">
        <v>48.7</v>
      </c>
      <c r="U350" t="n">
        <v>48.4</v>
      </c>
      <c r="V350" t="n">
        <v>49</v>
      </c>
      <c r="X350" t="n">
        <v>50.9</v>
      </c>
      <c r="Y350" t="n">
        <v>48.1</v>
      </c>
      <c r="Z350" t="n">
        <v>47.9</v>
      </c>
      <c r="AA350" t="n">
        <v>50.6</v>
      </c>
      <c r="AB350" t="n">
        <v>44.6</v>
      </c>
      <c r="AC350" t="n">
        <v>46</v>
      </c>
      <c r="AD350" t="n">
        <v>47.35</v>
      </c>
      <c r="AF350" t="n">
        <v>51.2</v>
      </c>
      <c r="AG350" t="n">
        <v>52.7</v>
      </c>
      <c r="AH350" t="n">
        <v>43.4</v>
      </c>
      <c r="AJ350" t="n">
        <v>48.8</v>
      </c>
      <c r="AK350" t="n">
        <v>53.2</v>
      </c>
      <c r="AL350" t="n">
        <v>58.5</v>
      </c>
      <c r="AM350" t="n">
        <v>49.8</v>
      </c>
      <c r="AN350" t="n">
        <v>52.6</v>
      </c>
      <c r="AO350" t="n">
        <v>49</v>
      </c>
      <c r="AP350" t="n">
        <v>45.7</v>
      </c>
      <c r="AQ350" t="n">
        <v>42.1</v>
      </c>
      <c r="AR350" t="n">
        <v>45.8</v>
      </c>
      <c r="AS350" t="n">
        <v>53.9</v>
      </c>
      <c r="AT350" t="n">
        <v>41.6</v>
      </c>
      <c r="AU350" t="n">
        <v>51.1</v>
      </c>
      <c r="AV350" t="n">
        <v>45.7</v>
      </c>
      <c r="AW350" t="n">
        <v>54.4</v>
      </c>
      <c r="AX350" t="n">
        <v>46.5</v>
      </c>
      <c r="AY350" t="n">
        <v>47.7</v>
      </c>
      <c r="AZ350" t="n">
        <v>47.4</v>
      </c>
      <c r="BA350" t="n">
        <v>48.8</v>
      </c>
    </row>
    <row r="351">
      <c r="A351" s="81" t="n">
        <v>44896</v>
      </c>
      <c r="C351" t="n">
        <v>47.3</v>
      </c>
      <c r="D351" t="n">
        <v>44.2</v>
      </c>
      <c r="E351" t="n">
        <v>49.2</v>
      </c>
      <c r="F351" t="n">
        <v>49</v>
      </c>
      <c r="G351" t="n">
        <v>51.1</v>
      </c>
      <c r="H351" t="n">
        <v>42.6</v>
      </c>
      <c r="I351" t="n">
        <v>51.2</v>
      </c>
      <c r="J351" t="n">
        <v>47.2</v>
      </c>
      <c r="K351" t="n">
        <v>47.8</v>
      </c>
      <c r="L351" t="n">
        <v>49.2</v>
      </c>
      <c r="M351" t="n">
        <v>47.1</v>
      </c>
      <c r="N351" t="n">
        <v>47.2</v>
      </c>
      <c r="O351" t="n">
        <v>49.6</v>
      </c>
      <c r="P351" t="n">
        <v>63.13</v>
      </c>
      <c r="Q351" t="n">
        <v>57.8</v>
      </c>
      <c r="R351" t="n">
        <v>50.9</v>
      </c>
      <c r="S351" t="n">
        <v>48.7</v>
      </c>
      <c r="U351" t="n">
        <v>48.5</v>
      </c>
      <c r="V351" t="n">
        <v>48.9</v>
      </c>
      <c r="W351" t="n">
        <v>50.8</v>
      </c>
      <c r="X351" t="n">
        <v>51.6</v>
      </c>
      <c r="Y351" t="n">
        <v>47.3</v>
      </c>
      <c r="Z351" t="n">
        <v>47.8</v>
      </c>
      <c r="AA351" t="n">
        <v>51.3</v>
      </c>
      <c r="AB351" t="n">
        <v>42.1</v>
      </c>
      <c r="AC351" t="n">
        <v>48.6</v>
      </c>
      <c r="AF351" t="n">
        <v>50</v>
      </c>
      <c r="AG351" t="n">
        <v>53.1</v>
      </c>
      <c r="AH351" t="n">
        <v>45.6</v>
      </c>
      <c r="AJ351" t="n">
        <v>49.6</v>
      </c>
      <c r="AK351" t="n">
        <v>53</v>
      </c>
      <c r="AL351" t="n">
        <v>56.9</v>
      </c>
      <c r="AM351" t="n">
        <v>49.7</v>
      </c>
      <c r="AN351" t="n">
        <v>53.1</v>
      </c>
      <c r="AO351" t="n">
        <v>48.2</v>
      </c>
      <c r="AP351" t="n">
        <v>46.4</v>
      </c>
      <c r="AR351" t="n">
        <v>45.9</v>
      </c>
      <c r="AS351" t="n">
        <v>54.1</v>
      </c>
      <c r="AT351" t="n">
        <v>44.6</v>
      </c>
      <c r="AU351" t="n">
        <v>52.5</v>
      </c>
      <c r="AV351" t="n">
        <v>48.1</v>
      </c>
      <c r="AW351" t="n">
        <v>54.2</v>
      </c>
      <c r="AX351" t="n">
        <v>45.3</v>
      </c>
      <c r="AY351" t="n">
        <v>46.2</v>
      </c>
      <c r="AZ351" t="n">
        <v>46.4</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8"/>
  <sheetViews>
    <sheetView zoomScale="120" zoomScaleNormal="120" workbookViewId="0">
      <pane ySplit="1" topLeftCell="A311" activePane="bottomLeft" state="frozen"/>
      <selection activeCell="I319" sqref="I319"/>
      <selection pane="bottomLeft" activeCell="I319" sqref="I319"/>
    </sheetView>
  </sheetViews>
  <sheetFormatPr baseColWidth="8" defaultColWidth="10.81640625" defaultRowHeight="14.5"/>
  <cols>
    <col width="10.81640625" customWidth="1" min="1" max="5"/>
    <col width="17.36328125" customWidth="1" min="6" max="6"/>
    <col width="10.81640625" customWidth="1" min="7" max="40"/>
  </cols>
  <sheetData>
    <row r="1">
      <c r="A1" t="inlineStr">
        <is>
          <t>DATE</t>
        </is>
      </c>
      <c r="B1" t="inlineStr">
        <is>
          <t>Global</t>
        </is>
      </c>
      <c r="C1" t="inlineStr">
        <is>
          <t>ACWI</t>
        </is>
      </c>
      <c r="D1" t="inlineStr">
        <is>
          <t>EZU</t>
        </is>
      </c>
      <c r="E1" t="inlineStr">
        <is>
          <t>EWU</t>
        </is>
      </c>
      <c r="F1" t="inlineStr">
        <is>
          <t>EuroGDPQoQ</t>
        </is>
      </c>
    </row>
    <row r="2">
      <c r="A2" s="81" t="n">
        <v>34700</v>
      </c>
      <c r="B2" t="n">
        <v/>
      </c>
      <c r="C2" t="n">
        <v/>
      </c>
      <c r="D2" t="n">
        <v/>
      </c>
      <c r="E2" t="n">
        <v/>
      </c>
      <c r="F2" t="n">
        <v/>
      </c>
    </row>
    <row r="3">
      <c r="A3" s="81" t="n">
        <v>34731</v>
      </c>
      <c r="B3" t="n">
        <v/>
      </c>
      <c r="C3" t="n">
        <v/>
      </c>
      <c r="D3" t="n">
        <v/>
      </c>
      <c r="E3" t="n">
        <v/>
      </c>
      <c r="F3" t="n">
        <v/>
      </c>
    </row>
    <row r="4">
      <c r="A4" s="81" t="n">
        <v>34759</v>
      </c>
      <c r="B4" t="n">
        <v/>
      </c>
      <c r="C4" t="n">
        <v/>
      </c>
      <c r="D4" t="n">
        <v/>
      </c>
      <c r="E4" t="n">
        <v/>
      </c>
      <c r="F4" t="n">
        <v/>
      </c>
    </row>
    <row r="5">
      <c r="A5" s="81" t="n">
        <v>34790</v>
      </c>
      <c r="B5" t="n">
        <v/>
      </c>
      <c r="C5" t="n">
        <v/>
      </c>
      <c r="D5" t="n">
        <v/>
      </c>
      <c r="E5" t="n">
        <v/>
      </c>
      <c r="F5" t="n">
        <v>0.005888609028489226</v>
      </c>
    </row>
    <row r="6">
      <c r="A6" s="81" t="n">
        <v>34820</v>
      </c>
      <c r="B6" t="n">
        <v/>
      </c>
      <c r="C6" t="n">
        <v/>
      </c>
      <c r="D6" t="n">
        <v/>
      </c>
      <c r="E6" t="n">
        <v/>
      </c>
      <c r="F6" t="n">
        <v/>
      </c>
    </row>
    <row r="7">
      <c r="A7" s="81" t="n">
        <v>34851</v>
      </c>
      <c r="B7" t="n">
        <v/>
      </c>
      <c r="C7" t="n">
        <v/>
      </c>
      <c r="D7" t="n">
        <v/>
      </c>
      <c r="E7" t="n">
        <v/>
      </c>
      <c r="F7" t="n">
        <v/>
      </c>
    </row>
    <row r="8">
      <c r="A8" s="81" t="n">
        <v>34881</v>
      </c>
      <c r="B8" t="n">
        <v/>
      </c>
      <c r="C8" t="n">
        <v/>
      </c>
      <c r="D8" t="n">
        <v/>
      </c>
      <c r="E8" t="n">
        <v/>
      </c>
      <c r="F8" t="n">
        <v>0.002454750897362149</v>
      </c>
    </row>
    <row r="9">
      <c r="A9" s="81" t="n">
        <v>34912</v>
      </c>
      <c r="B9" t="n">
        <v/>
      </c>
      <c r="C9" t="n">
        <v/>
      </c>
      <c r="D9" t="n">
        <v/>
      </c>
      <c r="E9" t="n">
        <v/>
      </c>
      <c r="F9" t="n">
        <v/>
      </c>
    </row>
    <row r="10">
      <c r="A10" s="81" t="n">
        <v>34943</v>
      </c>
      <c r="B10" t="n">
        <v/>
      </c>
      <c r="C10" t="n">
        <v/>
      </c>
      <c r="D10" t="n">
        <v/>
      </c>
      <c r="E10" t="n">
        <v/>
      </c>
      <c r="F10" t="n">
        <v/>
      </c>
    </row>
    <row r="11">
      <c r="A11" s="81" t="n">
        <v>34973</v>
      </c>
      <c r="B11" t="n">
        <v/>
      </c>
      <c r="C11" t="n">
        <v/>
      </c>
      <c r="D11" t="n">
        <v/>
      </c>
      <c r="E11" t="n">
        <v/>
      </c>
      <c r="F11" t="n">
        <v>0.003252911654201806</v>
      </c>
    </row>
    <row r="12">
      <c r="A12" s="81" t="n">
        <v>35004</v>
      </c>
      <c r="B12" t="n">
        <v/>
      </c>
      <c r="C12" t="n">
        <v/>
      </c>
      <c r="D12" t="n">
        <v/>
      </c>
      <c r="E12" t="n">
        <v/>
      </c>
      <c r="F12" t="n">
        <v/>
      </c>
    </row>
    <row r="13">
      <c r="A13" s="81" t="n">
        <v>35034</v>
      </c>
      <c r="B13" t="n">
        <v/>
      </c>
      <c r="C13" t="n">
        <v/>
      </c>
      <c r="D13" t="n">
        <v/>
      </c>
      <c r="E13" t="n">
        <v/>
      </c>
      <c r="F13" t="n">
        <v/>
      </c>
    </row>
    <row r="14">
      <c r="A14" s="81" t="n">
        <v>35065</v>
      </c>
      <c r="B14" t="n">
        <v/>
      </c>
      <c r="C14" t="n">
        <v/>
      </c>
      <c r="D14" t="n">
        <v/>
      </c>
      <c r="E14" t="n">
        <v/>
      </c>
      <c r="F14" t="n">
        <v>0.002039426033407843</v>
      </c>
    </row>
    <row r="15">
      <c r="A15" s="81" t="n">
        <v>35096</v>
      </c>
      <c r="B15" t="n">
        <v/>
      </c>
      <c r="C15" t="n">
        <v/>
      </c>
      <c r="D15" t="n">
        <v/>
      </c>
      <c r="E15" t="n">
        <v/>
      </c>
      <c r="F15" t="n">
        <v/>
      </c>
    </row>
    <row r="16">
      <c r="A16" s="81" t="n">
        <v>35125</v>
      </c>
      <c r="B16" t="n">
        <v/>
      </c>
      <c r="C16" t="n">
        <v/>
      </c>
      <c r="D16" t="n">
        <v/>
      </c>
      <c r="E16" t="n">
        <v/>
      </c>
      <c r="F16" t="n">
        <v/>
      </c>
    </row>
    <row r="17">
      <c r="A17" s="81" t="n">
        <v>35156</v>
      </c>
      <c r="B17" t="n">
        <v/>
      </c>
      <c r="C17" t="n">
        <v/>
      </c>
      <c r="D17" t="n">
        <v/>
      </c>
      <c r="E17" t="n">
        <v/>
      </c>
      <c r="F17" t="n">
        <v>0.006917948872167555</v>
      </c>
    </row>
    <row r="18">
      <c r="A18" s="81" t="n">
        <v>35186</v>
      </c>
      <c r="B18" t="n">
        <v/>
      </c>
      <c r="C18" t="n">
        <v/>
      </c>
      <c r="D18" t="n">
        <v/>
      </c>
      <c r="E18" t="n">
        <v/>
      </c>
      <c r="F18" t="n">
        <v/>
      </c>
    </row>
    <row r="19">
      <c r="A19" s="81" t="n">
        <v>35217</v>
      </c>
      <c r="B19" t="n">
        <v/>
      </c>
      <c r="C19" t="n">
        <v/>
      </c>
      <c r="D19" t="n">
        <v/>
      </c>
      <c r="E19" t="n">
        <v/>
      </c>
      <c r="F19" t="n">
        <v/>
      </c>
    </row>
    <row r="20">
      <c r="A20" s="81" t="n">
        <v>35247</v>
      </c>
      <c r="B20" t="n">
        <v/>
      </c>
      <c r="C20" t="n">
        <v/>
      </c>
      <c r="D20" t="n">
        <v/>
      </c>
      <c r="E20" t="n">
        <v/>
      </c>
      <c r="F20" t="n">
        <v>0.005161067909919468</v>
      </c>
    </row>
    <row r="21">
      <c r="A21" s="81" t="n">
        <v>35278</v>
      </c>
      <c r="B21" t="n">
        <v/>
      </c>
      <c r="C21" t="n">
        <v/>
      </c>
      <c r="D21" t="n">
        <v/>
      </c>
      <c r="E21" t="n">
        <v/>
      </c>
      <c r="F21" t="n">
        <v/>
      </c>
    </row>
    <row r="22">
      <c r="A22" s="81" t="n">
        <v>35309</v>
      </c>
      <c r="B22" t="n">
        <v/>
      </c>
      <c r="C22" t="n">
        <v/>
      </c>
      <c r="D22" t="n">
        <v/>
      </c>
      <c r="E22" t="n">
        <v/>
      </c>
      <c r="F22" t="n">
        <v/>
      </c>
    </row>
    <row r="23">
      <c r="A23" s="81" t="n">
        <v>35339</v>
      </c>
      <c r="B23" t="n">
        <v/>
      </c>
      <c r="C23" t="n">
        <v/>
      </c>
      <c r="D23" t="n">
        <v/>
      </c>
      <c r="E23" t="n">
        <v/>
      </c>
      <c r="F23" t="n">
        <v>0.004730740528212398</v>
      </c>
    </row>
    <row r="24">
      <c r="A24" s="81" t="n">
        <v>35370</v>
      </c>
      <c r="B24" t="n">
        <v/>
      </c>
      <c r="C24" t="n">
        <v/>
      </c>
      <c r="D24" t="n">
        <v/>
      </c>
      <c r="E24" t="n">
        <v/>
      </c>
      <c r="F24" t="n">
        <v/>
      </c>
    </row>
    <row r="25">
      <c r="A25" s="81" t="n">
        <v>35400</v>
      </c>
      <c r="B25" t="n">
        <v/>
      </c>
      <c r="C25" t="n">
        <v/>
      </c>
      <c r="D25" t="n">
        <v/>
      </c>
      <c r="E25" t="n">
        <v/>
      </c>
      <c r="F25" t="n">
        <v/>
      </c>
    </row>
    <row r="26">
      <c r="A26" s="81" t="n">
        <v>35431</v>
      </c>
      <c r="B26" t="n">
        <v/>
      </c>
      <c r="C26" t="n">
        <v/>
      </c>
      <c r="D26" t="n">
        <v/>
      </c>
      <c r="E26" t="n">
        <v/>
      </c>
      <c r="F26" t="n">
        <v>0.002551869117519909</v>
      </c>
    </row>
    <row r="27">
      <c r="A27" s="81" t="n">
        <v>35462</v>
      </c>
      <c r="B27" t="n">
        <v/>
      </c>
      <c r="C27" t="n">
        <v/>
      </c>
      <c r="D27" t="n">
        <v/>
      </c>
      <c r="E27" t="n">
        <v/>
      </c>
      <c r="F27" t="n">
        <v/>
      </c>
    </row>
    <row r="28">
      <c r="A28" s="81" t="n">
        <v>35490</v>
      </c>
      <c r="B28" t="n">
        <v/>
      </c>
      <c r="C28" t="n">
        <v/>
      </c>
      <c r="D28" t="n">
        <v/>
      </c>
      <c r="E28" t="n">
        <v/>
      </c>
      <c r="F28" t="n">
        <v/>
      </c>
    </row>
    <row r="29">
      <c r="A29" s="81" t="n">
        <v>35521</v>
      </c>
      <c r="B29" t="n">
        <v/>
      </c>
      <c r="C29" t="n">
        <v/>
      </c>
      <c r="D29" t="n">
        <v/>
      </c>
      <c r="E29" t="n">
        <v/>
      </c>
      <c r="F29" t="n">
        <v>0.01218632600809531</v>
      </c>
    </row>
    <row r="30">
      <c r="A30" s="81" t="n">
        <v>35551</v>
      </c>
      <c r="B30" t="n">
        <v/>
      </c>
      <c r="C30" t="n">
        <v/>
      </c>
      <c r="D30" t="n">
        <v/>
      </c>
      <c r="E30" t="n">
        <v/>
      </c>
      <c r="F30" t="n">
        <v/>
      </c>
    </row>
    <row r="31">
      <c r="A31" s="81" t="n">
        <v>35582</v>
      </c>
      <c r="B31" t="n">
        <v/>
      </c>
      <c r="C31" t="n">
        <v/>
      </c>
      <c r="D31" t="n">
        <v/>
      </c>
      <c r="E31" t="n">
        <v/>
      </c>
      <c r="F31" t="n">
        <v/>
      </c>
    </row>
    <row r="32">
      <c r="A32" s="81" t="n">
        <v>35612</v>
      </c>
      <c r="B32" t="n">
        <v/>
      </c>
      <c r="C32" t="n">
        <v/>
      </c>
      <c r="D32" t="n">
        <v/>
      </c>
      <c r="E32" t="n">
        <v/>
      </c>
      <c r="F32" t="n">
        <v>0.008145663257978018</v>
      </c>
    </row>
    <row r="33">
      <c r="A33" s="81" t="n">
        <v>35643</v>
      </c>
      <c r="B33" t="n">
        <v/>
      </c>
      <c r="C33" t="n">
        <v/>
      </c>
      <c r="D33" t="n">
        <v/>
      </c>
      <c r="E33" t="n">
        <v/>
      </c>
      <c r="F33" t="n">
        <v/>
      </c>
    </row>
    <row r="34">
      <c r="A34" s="81" t="n">
        <v>35674</v>
      </c>
      <c r="B34" t="n">
        <v/>
      </c>
      <c r="C34" t="n">
        <v/>
      </c>
      <c r="D34" t="n">
        <v/>
      </c>
      <c r="E34" t="n">
        <v/>
      </c>
      <c r="F34" t="n">
        <v/>
      </c>
    </row>
    <row r="35">
      <c r="A35" s="81" t="n">
        <v>35704</v>
      </c>
      <c r="B35" t="n">
        <v/>
      </c>
      <c r="C35" t="n">
        <v/>
      </c>
      <c r="D35" t="n">
        <v/>
      </c>
      <c r="E35" t="n">
        <v/>
      </c>
      <c r="F35" t="n">
        <v>0.01122425018656592</v>
      </c>
    </row>
    <row r="36">
      <c r="A36" s="81" t="n">
        <v>35735</v>
      </c>
      <c r="B36" t="n">
        <v/>
      </c>
      <c r="C36" t="n">
        <v/>
      </c>
      <c r="D36" t="n">
        <v/>
      </c>
      <c r="E36" t="n">
        <v/>
      </c>
      <c r="F36" t="n">
        <v/>
      </c>
    </row>
    <row r="37">
      <c r="A37" s="81" t="n">
        <v>35765</v>
      </c>
      <c r="B37" t="n">
        <v/>
      </c>
      <c r="C37" t="n">
        <v/>
      </c>
      <c r="D37" t="n">
        <v/>
      </c>
      <c r="E37" t="n">
        <v/>
      </c>
      <c r="F37" t="n">
        <v/>
      </c>
    </row>
    <row r="38">
      <c r="A38" s="81" t="n">
        <v>35796</v>
      </c>
      <c r="B38" t="n">
        <v/>
      </c>
      <c r="C38" t="n">
        <v/>
      </c>
      <c r="D38" t="n">
        <v/>
      </c>
      <c r="E38" t="n">
        <v/>
      </c>
      <c r="F38" t="n">
        <v>0.006442279287845395</v>
      </c>
    </row>
    <row r="39">
      <c r="A39" s="81" t="n">
        <v>35827</v>
      </c>
      <c r="B39" t="n">
        <v/>
      </c>
      <c r="C39" t="n">
        <v/>
      </c>
      <c r="D39" t="n">
        <v/>
      </c>
      <c r="E39" t="n">
        <v/>
      </c>
      <c r="F39" t="n">
        <v/>
      </c>
    </row>
    <row r="40">
      <c r="A40" s="81" t="n">
        <v>35855</v>
      </c>
      <c r="B40" t="n">
        <v/>
      </c>
      <c r="C40" t="n">
        <v/>
      </c>
      <c r="D40" t="n">
        <v/>
      </c>
      <c r="E40" t="n">
        <v/>
      </c>
      <c r="F40" t="n">
        <v/>
      </c>
    </row>
    <row r="41">
      <c r="A41" s="81" t="n">
        <v>35886</v>
      </c>
      <c r="B41" t="n">
        <v/>
      </c>
      <c r="C41" t="n">
        <v/>
      </c>
      <c r="D41" t="n">
        <v/>
      </c>
      <c r="E41" t="n">
        <v/>
      </c>
      <c r="F41" t="n">
        <v>0.004390204687372035</v>
      </c>
    </row>
    <row r="42">
      <c r="A42" s="81" t="n">
        <v>35916</v>
      </c>
      <c r="B42" t="n">
        <v/>
      </c>
      <c r="C42" t="n">
        <v/>
      </c>
      <c r="D42" t="n">
        <v/>
      </c>
      <c r="E42" t="n">
        <v/>
      </c>
      <c r="F42" t="n">
        <v/>
      </c>
    </row>
    <row r="43">
      <c r="A43" s="81" t="n">
        <v>35947</v>
      </c>
      <c r="B43" t="n">
        <v/>
      </c>
      <c r="C43" t="n">
        <v/>
      </c>
      <c r="D43" t="n">
        <v/>
      </c>
      <c r="E43" t="n">
        <v/>
      </c>
      <c r="F43" t="n">
        <v/>
      </c>
    </row>
    <row r="44">
      <c r="A44" s="81" t="n">
        <v>35977</v>
      </c>
      <c r="B44" t="n">
        <v/>
      </c>
      <c r="C44" t="n">
        <v/>
      </c>
      <c r="D44" t="n">
        <v/>
      </c>
      <c r="E44" t="n">
        <v/>
      </c>
      <c r="F44" t="n">
        <v>0.006037250533676559</v>
      </c>
    </row>
    <row r="45">
      <c r="A45" s="81" t="n">
        <v>36008</v>
      </c>
      <c r="B45" t="n">
        <v/>
      </c>
      <c r="C45" t="n">
        <v/>
      </c>
      <c r="D45" t="n">
        <v/>
      </c>
      <c r="E45" t="n">
        <v/>
      </c>
      <c r="F45" t="n">
        <v/>
      </c>
    </row>
    <row r="46">
      <c r="A46" s="81" t="n">
        <v>36039</v>
      </c>
      <c r="B46" t="n">
        <v/>
      </c>
      <c r="C46" t="n">
        <v/>
      </c>
      <c r="D46" t="n">
        <v/>
      </c>
      <c r="E46" t="n">
        <v/>
      </c>
      <c r="F46" t="n">
        <v/>
      </c>
    </row>
    <row r="47">
      <c r="A47" s="81" t="n">
        <v>36069</v>
      </c>
      <c r="B47" t="n">
        <v/>
      </c>
      <c r="C47" t="n">
        <v/>
      </c>
      <c r="D47" t="n">
        <v/>
      </c>
      <c r="E47" t="n">
        <v/>
      </c>
      <c r="F47" t="n">
        <v>0.001237559341233936</v>
      </c>
    </row>
    <row r="48">
      <c r="A48" s="81" t="n">
        <v>36100</v>
      </c>
      <c r="B48" t="n">
        <v/>
      </c>
      <c r="C48" t="n">
        <v/>
      </c>
      <c r="D48" t="n">
        <v/>
      </c>
      <c r="E48" t="n">
        <v/>
      </c>
      <c r="F48" t="n">
        <v/>
      </c>
    </row>
    <row r="49">
      <c r="A49" s="81" t="n">
        <v>36130</v>
      </c>
      <c r="B49" t="n">
        <v/>
      </c>
      <c r="C49" t="n">
        <v/>
      </c>
      <c r="D49" t="n">
        <v/>
      </c>
      <c r="E49" t="n">
        <v/>
      </c>
      <c r="F49" t="n">
        <v/>
      </c>
    </row>
    <row r="50">
      <c r="A50" s="81" t="n">
        <v>36161</v>
      </c>
      <c r="B50" t="n">
        <v/>
      </c>
      <c r="C50" t="n">
        <v/>
      </c>
      <c r="D50" t="n">
        <v/>
      </c>
      <c r="E50" t="n">
        <v/>
      </c>
      <c r="F50" t="n">
        <v>0.01109789716032528</v>
      </c>
    </row>
    <row r="51">
      <c r="A51" s="81" t="n">
        <v>36192</v>
      </c>
      <c r="B51" t="n">
        <v/>
      </c>
      <c r="C51" t="n">
        <v/>
      </c>
      <c r="D51" t="n">
        <v/>
      </c>
      <c r="E51" t="n">
        <v/>
      </c>
      <c r="F51" t="n">
        <v/>
      </c>
    </row>
    <row r="52">
      <c r="A52" s="81" t="n">
        <v>36220</v>
      </c>
      <c r="B52" t="n">
        <v/>
      </c>
      <c r="C52" t="n">
        <v/>
      </c>
      <c r="D52" t="n">
        <v/>
      </c>
      <c r="E52" t="n">
        <v/>
      </c>
      <c r="F52" t="n">
        <v/>
      </c>
    </row>
    <row r="53">
      <c r="A53" s="81" t="n">
        <v>36251</v>
      </c>
      <c r="B53" t="n">
        <v/>
      </c>
      <c r="C53" t="n">
        <v/>
      </c>
      <c r="D53" t="n">
        <v/>
      </c>
      <c r="E53" t="n">
        <v/>
      </c>
      <c r="F53" t="n">
        <v>0.004517733050493445</v>
      </c>
    </row>
    <row r="54">
      <c r="A54" s="81" t="n">
        <v>36281</v>
      </c>
      <c r="B54" t="n">
        <v/>
      </c>
      <c r="C54" t="n">
        <v/>
      </c>
      <c r="D54" t="n">
        <v/>
      </c>
      <c r="E54" t="n">
        <v/>
      </c>
      <c r="F54" t="n">
        <v/>
      </c>
    </row>
    <row r="55">
      <c r="A55" s="81" t="n">
        <v>36312</v>
      </c>
      <c r="B55" t="n">
        <v/>
      </c>
      <c r="C55" t="n">
        <v/>
      </c>
      <c r="D55" t="n">
        <v/>
      </c>
      <c r="E55" t="n">
        <v/>
      </c>
      <c r="F55" t="n">
        <v/>
      </c>
    </row>
    <row r="56">
      <c r="A56" s="81" t="n">
        <v>36342</v>
      </c>
      <c r="B56" t="n">
        <v/>
      </c>
      <c r="C56" t="n">
        <v/>
      </c>
      <c r="D56" t="n">
        <v/>
      </c>
      <c r="E56" t="n">
        <v/>
      </c>
      <c r="F56" t="n">
        <v>0.01134238025419884</v>
      </c>
    </row>
    <row r="57">
      <c r="A57" s="81" t="n">
        <v>36373</v>
      </c>
      <c r="B57" t="n">
        <v/>
      </c>
      <c r="C57" t="n">
        <v/>
      </c>
      <c r="D57" t="n">
        <v/>
      </c>
      <c r="E57" t="n">
        <v/>
      </c>
      <c r="F57" t="n">
        <v/>
      </c>
    </row>
    <row r="58">
      <c r="A58" s="81" t="n">
        <v>36404</v>
      </c>
      <c r="B58" t="n">
        <v/>
      </c>
      <c r="C58" t="n">
        <v/>
      </c>
      <c r="D58" t="n">
        <v/>
      </c>
      <c r="E58" t="n">
        <v/>
      </c>
      <c r="F58" t="n">
        <v/>
      </c>
    </row>
    <row r="59">
      <c r="A59" s="81" t="n">
        <v>36434</v>
      </c>
      <c r="B59" t="n">
        <v/>
      </c>
      <c r="C59" t="n">
        <v/>
      </c>
      <c r="D59" t="n">
        <v/>
      </c>
      <c r="E59" t="n">
        <v/>
      </c>
      <c r="F59" t="n">
        <v>0.01153080309700627</v>
      </c>
    </row>
    <row r="60">
      <c r="A60" s="81" t="n">
        <v>36465</v>
      </c>
      <c r="B60" t="n">
        <v/>
      </c>
      <c r="C60" t="n">
        <v/>
      </c>
      <c r="D60" t="n">
        <v/>
      </c>
      <c r="E60" t="n">
        <v/>
      </c>
      <c r="F60" t="n">
        <v/>
      </c>
    </row>
    <row r="61">
      <c r="A61" s="81" t="n">
        <v>36495</v>
      </c>
      <c r="B61" t="n">
        <v/>
      </c>
      <c r="C61" t="n">
        <v/>
      </c>
      <c r="D61" t="n">
        <v/>
      </c>
      <c r="E61" t="n">
        <v/>
      </c>
      <c r="F61" t="n">
        <v/>
      </c>
    </row>
    <row r="62">
      <c r="A62" s="81" t="n">
        <v>36526</v>
      </c>
      <c r="B62" t="n">
        <v/>
      </c>
      <c r="C62" t="n">
        <v/>
      </c>
      <c r="D62" t="n">
        <v/>
      </c>
      <c r="E62" t="n">
        <v/>
      </c>
      <c r="F62" t="n">
        <v>0.0124239926509724</v>
      </c>
    </row>
    <row r="63">
      <c r="A63" s="81" t="n">
        <v>36557</v>
      </c>
      <c r="B63" t="n">
        <v/>
      </c>
      <c r="C63" t="n">
        <v/>
      </c>
      <c r="D63" t="n">
        <v/>
      </c>
      <c r="E63" t="n">
        <v/>
      </c>
      <c r="F63" t="n">
        <v/>
      </c>
    </row>
    <row r="64">
      <c r="A64" s="81" t="n">
        <v>36586</v>
      </c>
      <c r="B64" t="n">
        <v/>
      </c>
      <c r="C64" t="n">
        <v/>
      </c>
      <c r="D64" t="n">
        <v/>
      </c>
      <c r="E64" t="n">
        <v/>
      </c>
      <c r="F64" t="n">
        <v/>
      </c>
    </row>
    <row r="65">
      <c r="A65" s="81" t="n">
        <v>36617</v>
      </c>
      <c r="B65" t="n">
        <v/>
      </c>
      <c r="C65" t="n">
        <v/>
      </c>
      <c r="D65" t="n">
        <v/>
      </c>
      <c r="E65" t="n">
        <v/>
      </c>
      <c r="F65" t="n">
        <v>0.009176304806625003</v>
      </c>
    </row>
    <row r="66">
      <c r="A66" s="81" t="n">
        <v>36647</v>
      </c>
      <c r="B66" t="n">
        <v/>
      </c>
      <c r="C66" t="n">
        <v/>
      </c>
      <c r="D66" t="n">
        <v/>
      </c>
      <c r="E66" t="n">
        <v/>
      </c>
      <c r="F66" t="n">
        <v/>
      </c>
    </row>
    <row r="67">
      <c r="A67" s="81" t="n">
        <v>36678</v>
      </c>
      <c r="B67" t="n">
        <v/>
      </c>
      <c r="C67" t="n">
        <v/>
      </c>
      <c r="D67" t="n">
        <v/>
      </c>
      <c r="E67" t="n">
        <v/>
      </c>
      <c r="F67" t="n">
        <v/>
      </c>
    </row>
    <row r="68">
      <c r="A68" s="81" t="n">
        <v>36708</v>
      </c>
      <c r="B68" t="n">
        <v/>
      </c>
      <c r="C68" t="n">
        <v/>
      </c>
      <c r="D68" t="n">
        <v/>
      </c>
      <c r="E68" t="n">
        <v/>
      </c>
      <c r="F68" t="n">
        <v>0.005578144026998745</v>
      </c>
    </row>
    <row r="69">
      <c r="A69" s="81" t="n">
        <v>36739</v>
      </c>
      <c r="B69" t="n">
        <v/>
      </c>
      <c r="C69" t="n">
        <v/>
      </c>
      <c r="D69" t="n">
        <v/>
      </c>
      <c r="E69" t="n">
        <v/>
      </c>
      <c r="F69" t="n">
        <v/>
      </c>
    </row>
    <row r="70">
      <c r="A70" s="81" t="n">
        <v>36770</v>
      </c>
      <c r="B70" t="n">
        <v/>
      </c>
      <c r="C70" t="n">
        <v/>
      </c>
      <c r="D70" t="n">
        <v/>
      </c>
      <c r="E70" t="n">
        <v/>
      </c>
      <c r="F70" t="n">
        <v/>
      </c>
    </row>
    <row r="71">
      <c r="A71" s="81" t="n">
        <v>36800</v>
      </c>
      <c r="B71" t="n">
        <v/>
      </c>
      <c r="C71" t="n">
        <v/>
      </c>
      <c r="D71" t="n">
        <v/>
      </c>
      <c r="E71" t="n">
        <v/>
      </c>
      <c r="F71" t="n">
        <v>0.006831763990174998</v>
      </c>
    </row>
    <row r="72">
      <c r="A72" s="81" t="n">
        <v>36831</v>
      </c>
      <c r="B72" t="n">
        <v/>
      </c>
      <c r="C72" t="n">
        <v/>
      </c>
      <c r="D72" t="n">
        <v/>
      </c>
      <c r="E72" t="n">
        <v/>
      </c>
      <c r="F72" t="n">
        <v/>
      </c>
    </row>
    <row r="73">
      <c r="A73" s="81" t="n">
        <v>36861</v>
      </c>
      <c r="B73" t="n">
        <v/>
      </c>
      <c r="C73" t="n">
        <v/>
      </c>
      <c r="D73" t="n">
        <v/>
      </c>
      <c r="E73" t="n">
        <v/>
      </c>
      <c r="F73" t="n">
        <v/>
      </c>
    </row>
    <row r="74">
      <c r="A74" s="81" t="n">
        <v>36892</v>
      </c>
      <c r="B74" t="n">
        <v/>
      </c>
      <c r="C74" t="n">
        <v/>
      </c>
      <c r="D74" t="n">
        <v/>
      </c>
      <c r="E74" t="n">
        <v/>
      </c>
      <c r="F74" t="n">
        <v>0.009975607645751752</v>
      </c>
    </row>
    <row r="75">
      <c r="A75" s="81" t="n">
        <v>36923</v>
      </c>
      <c r="B75" t="n">
        <v/>
      </c>
      <c r="C75" t="n">
        <v/>
      </c>
      <c r="D75" t="n">
        <v/>
      </c>
      <c r="E75" t="n">
        <v/>
      </c>
      <c r="F75" t="n">
        <v/>
      </c>
    </row>
    <row r="76">
      <c r="A76" s="81" t="n">
        <v>36951</v>
      </c>
      <c r="B76" t="n">
        <v/>
      </c>
      <c r="C76" t="n">
        <v/>
      </c>
      <c r="D76" t="n">
        <v/>
      </c>
      <c r="E76" t="n">
        <v/>
      </c>
      <c r="F76" t="n">
        <v/>
      </c>
    </row>
    <row r="77">
      <c r="A77" s="81" t="n">
        <v>36982</v>
      </c>
      <c r="B77" t="n">
        <v/>
      </c>
      <c r="C77" t="n">
        <v/>
      </c>
      <c r="D77" t="n">
        <v/>
      </c>
      <c r="E77" t="n">
        <v/>
      </c>
      <c r="F77" t="n">
        <v>0.0008759078376479437</v>
      </c>
    </row>
    <row r="78">
      <c r="A78" s="81" t="n">
        <v>37012</v>
      </c>
      <c r="B78" t="n">
        <v/>
      </c>
      <c r="C78" t="n">
        <v/>
      </c>
      <c r="D78" t="n">
        <v/>
      </c>
      <c r="E78" t="n">
        <v/>
      </c>
      <c r="F78" t="n">
        <v/>
      </c>
    </row>
    <row r="79">
      <c r="A79" s="81" t="n">
        <v>37043</v>
      </c>
      <c r="B79" t="n">
        <v/>
      </c>
      <c r="C79" t="n">
        <v/>
      </c>
      <c r="D79" t="n">
        <v/>
      </c>
      <c r="E79" t="n">
        <v/>
      </c>
      <c r="F79" t="n">
        <v/>
      </c>
    </row>
    <row r="80">
      <c r="A80" s="81" t="n">
        <v>37073</v>
      </c>
      <c r="B80" t="n">
        <v/>
      </c>
      <c r="C80" t="n">
        <v/>
      </c>
      <c r="D80" t="n">
        <v/>
      </c>
      <c r="E80" t="n">
        <v/>
      </c>
      <c r="F80" t="n">
        <v>0.000825214958945236</v>
      </c>
    </row>
    <row r="81">
      <c r="A81" s="81" t="n">
        <v>37104</v>
      </c>
      <c r="B81" t="n">
        <v/>
      </c>
      <c r="C81" t="n">
        <v/>
      </c>
      <c r="D81" t="n">
        <v/>
      </c>
      <c r="E81" t="n">
        <v/>
      </c>
      <c r="F81" t="n">
        <v/>
      </c>
    </row>
    <row r="82">
      <c r="A82" s="81" t="n">
        <v>37135</v>
      </c>
      <c r="B82" t="n">
        <v/>
      </c>
      <c r="C82" t="n">
        <v/>
      </c>
      <c r="D82" t="n">
        <v/>
      </c>
      <c r="E82" t="n">
        <v/>
      </c>
      <c r="F82" t="n">
        <v/>
      </c>
    </row>
    <row r="83">
      <c r="A83" s="81" t="n">
        <v>37165</v>
      </c>
      <c r="B83" t="n">
        <v/>
      </c>
      <c r="C83" t="n">
        <v/>
      </c>
      <c r="D83" t="n">
        <v/>
      </c>
      <c r="E83" t="n">
        <v/>
      </c>
      <c r="F83" t="n">
        <v>0.001040027408258559</v>
      </c>
    </row>
    <row r="84">
      <c r="A84" s="81" t="n">
        <v>37196</v>
      </c>
      <c r="B84" t="n">
        <v/>
      </c>
      <c r="C84" t="n">
        <v/>
      </c>
      <c r="D84" t="n">
        <v/>
      </c>
      <c r="E84" t="n">
        <v/>
      </c>
      <c r="F84" t="n">
        <v/>
      </c>
    </row>
    <row r="85">
      <c r="A85" s="81" t="n">
        <v>37226</v>
      </c>
      <c r="B85" t="n">
        <v/>
      </c>
      <c r="C85" t="n">
        <v/>
      </c>
      <c r="D85" t="n">
        <v/>
      </c>
      <c r="E85" t="n">
        <v/>
      </c>
      <c r="F85" t="n">
        <v/>
      </c>
    </row>
    <row r="86">
      <c r="A86" s="81" t="n">
        <v>37257</v>
      </c>
      <c r="B86" t="n">
        <v/>
      </c>
      <c r="C86" t="n">
        <v/>
      </c>
      <c r="D86" t="n">
        <v/>
      </c>
      <c r="E86" t="n">
        <v/>
      </c>
      <c r="F86" t="n">
        <v>0.001395471733602888</v>
      </c>
    </row>
    <row r="87">
      <c r="A87" s="81" t="n">
        <v>37288</v>
      </c>
      <c r="B87" t="n">
        <v/>
      </c>
      <c r="C87" t="n">
        <v/>
      </c>
      <c r="D87" t="n">
        <v/>
      </c>
      <c r="E87" t="n">
        <v/>
      </c>
      <c r="F87" t="n">
        <v/>
      </c>
    </row>
    <row r="88">
      <c r="A88" s="81" t="n">
        <v>37316</v>
      </c>
      <c r="B88" t="n">
        <v/>
      </c>
      <c r="C88" t="n">
        <v/>
      </c>
      <c r="D88" t="n">
        <v/>
      </c>
      <c r="E88" t="n">
        <v/>
      </c>
      <c r="F88" t="n">
        <v/>
      </c>
    </row>
    <row r="89">
      <c r="A89" s="81" t="n">
        <v>37347</v>
      </c>
      <c r="B89" t="n">
        <v/>
      </c>
      <c r="C89" t="n">
        <v/>
      </c>
      <c r="D89" t="n">
        <v/>
      </c>
      <c r="E89" t="n">
        <v/>
      </c>
      <c r="F89" t="n">
        <v>0.005186115596658552</v>
      </c>
    </row>
    <row r="90">
      <c r="A90" s="81" t="n">
        <v>37377</v>
      </c>
      <c r="B90" t="n">
        <v/>
      </c>
      <c r="C90" t="n">
        <v/>
      </c>
      <c r="D90" t="n">
        <v/>
      </c>
      <c r="E90" t="n">
        <v/>
      </c>
      <c r="F90" t="n">
        <v/>
      </c>
    </row>
    <row r="91">
      <c r="A91" s="81" t="n">
        <v>37408</v>
      </c>
      <c r="B91" t="n">
        <v/>
      </c>
      <c r="C91" t="n">
        <v/>
      </c>
      <c r="D91" t="n">
        <v/>
      </c>
      <c r="E91" t="n">
        <v/>
      </c>
      <c r="F91" t="n">
        <v/>
      </c>
    </row>
    <row r="92">
      <c r="A92" s="81" t="n">
        <v>37438</v>
      </c>
      <c r="B92" t="n">
        <v/>
      </c>
      <c r="C92" t="n">
        <v/>
      </c>
      <c r="D92" t="n">
        <v/>
      </c>
      <c r="E92" t="n">
        <v/>
      </c>
      <c r="F92" t="n">
        <v>0.00360825662089467</v>
      </c>
    </row>
    <row r="93">
      <c r="A93" s="81" t="n">
        <v>37469</v>
      </c>
      <c r="B93" t="n">
        <v/>
      </c>
      <c r="C93" t="n">
        <v/>
      </c>
      <c r="D93" t="n">
        <v/>
      </c>
      <c r="E93" t="n">
        <v/>
      </c>
      <c r="F93" t="n">
        <v/>
      </c>
    </row>
    <row r="94">
      <c r="A94" s="81" t="n">
        <v>37500</v>
      </c>
      <c r="B94" t="n">
        <v/>
      </c>
      <c r="C94" t="n">
        <v/>
      </c>
      <c r="D94" t="n">
        <v/>
      </c>
      <c r="E94" t="n">
        <v/>
      </c>
      <c r="F94" t="n">
        <v/>
      </c>
    </row>
    <row r="95">
      <c r="A95" s="81" t="n">
        <v>37530</v>
      </c>
      <c r="B95" t="n">
        <v/>
      </c>
      <c r="C95" t="n">
        <v/>
      </c>
      <c r="D95" t="n">
        <v/>
      </c>
      <c r="E95" t="n">
        <v/>
      </c>
      <c r="F95" t="n">
        <v>0.002413709310855201</v>
      </c>
    </row>
    <row r="96">
      <c r="A96" s="81" t="n">
        <v>37561</v>
      </c>
      <c r="B96" t="n">
        <v/>
      </c>
      <c r="C96" t="n">
        <v/>
      </c>
      <c r="D96" t="n">
        <v/>
      </c>
      <c r="E96" t="n">
        <v/>
      </c>
      <c r="F96" t="n">
        <v/>
      </c>
    </row>
    <row r="97">
      <c r="A97" s="81" t="n">
        <v>37591</v>
      </c>
      <c r="B97" t="n">
        <v/>
      </c>
      <c r="C97" t="n">
        <v/>
      </c>
      <c r="D97" t="n">
        <v/>
      </c>
      <c r="E97" t="n">
        <v/>
      </c>
      <c r="F97" t="n">
        <v/>
      </c>
    </row>
    <row r="98">
      <c r="A98" s="81" t="n">
        <v>37622</v>
      </c>
      <c r="B98" t="n">
        <v/>
      </c>
      <c r="C98" t="n">
        <v/>
      </c>
      <c r="D98" t="n">
        <v/>
      </c>
      <c r="E98" t="n">
        <v/>
      </c>
      <c r="F98" t="n">
        <v>-0.003185939767864378</v>
      </c>
    </row>
    <row r="99">
      <c r="A99" s="81" t="n">
        <v>37653</v>
      </c>
      <c r="B99" t="n">
        <v/>
      </c>
      <c r="C99" t="n">
        <v/>
      </c>
      <c r="D99" t="n">
        <v/>
      </c>
      <c r="E99" t="n">
        <v/>
      </c>
      <c r="F99" t="n">
        <v/>
      </c>
    </row>
    <row r="100">
      <c r="A100" s="81" t="n">
        <v>37681</v>
      </c>
      <c r="B100" t="n">
        <v/>
      </c>
      <c r="C100" t="n">
        <v/>
      </c>
      <c r="D100" t="n">
        <v/>
      </c>
      <c r="E100" t="n">
        <v/>
      </c>
      <c r="F100" t="n">
        <v/>
      </c>
    </row>
    <row r="101">
      <c r="A101" s="81" t="n">
        <v>37712</v>
      </c>
      <c r="B101" t="n">
        <v/>
      </c>
      <c r="C101" t="n">
        <v/>
      </c>
      <c r="D101" t="n">
        <v/>
      </c>
      <c r="E101" t="n">
        <v/>
      </c>
      <c r="F101" t="n">
        <v>0.0008971955930652095</v>
      </c>
    </row>
    <row r="102">
      <c r="A102" s="81" t="n">
        <v>37742</v>
      </c>
      <c r="B102" t="n">
        <v/>
      </c>
      <c r="C102" t="n">
        <v/>
      </c>
      <c r="D102" t="n">
        <v/>
      </c>
      <c r="E102" t="n">
        <v/>
      </c>
      <c r="F102" t="n">
        <v/>
      </c>
    </row>
    <row r="103">
      <c r="A103" s="81" t="n">
        <v>37773</v>
      </c>
      <c r="B103" t="n">
        <v/>
      </c>
      <c r="C103" t="n">
        <v/>
      </c>
      <c r="D103" t="n">
        <v/>
      </c>
      <c r="E103" t="n">
        <v/>
      </c>
      <c r="F103" t="n">
        <v/>
      </c>
    </row>
    <row r="104">
      <c r="A104" s="81" t="n">
        <v>37803</v>
      </c>
      <c r="B104" t="n">
        <v/>
      </c>
      <c r="C104" t="n">
        <v/>
      </c>
      <c r="D104" t="n">
        <v/>
      </c>
      <c r="E104" t="n">
        <v/>
      </c>
      <c r="F104" t="n">
        <v>0.005166284835737661</v>
      </c>
    </row>
    <row r="105">
      <c r="A105" s="81" t="n">
        <v>37834</v>
      </c>
      <c r="B105" t="n">
        <v/>
      </c>
      <c r="C105" t="n">
        <v/>
      </c>
      <c r="D105" t="n">
        <v/>
      </c>
      <c r="E105" t="n">
        <v/>
      </c>
      <c r="F105" t="n">
        <v/>
      </c>
    </row>
    <row r="106">
      <c r="A106" s="81" t="n">
        <v>37865</v>
      </c>
      <c r="B106" t="n">
        <v/>
      </c>
      <c r="C106" t="n">
        <v/>
      </c>
      <c r="D106" t="n">
        <v/>
      </c>
      <c r="E106" t="n">
        <v/>
      </c>
      <c r="F106" t="n">
        <v/>
      </c>
    </row>
    <row r="107">
      <c r="A107" s="81" t="n">
        <v>37895</v>
      </c>
      <c r="B107" t="n">
        <v/>
      </c>
      <c r="C107" t="n">
        <v/>
      </c>
      <c r="D107" t="n">
        <v/>
      </c>
      <c r="E107" t="n">
        <v/>
      </c>
      <c r="F107" t="n">
        <v>0.007376856215090179</v>
      </c>
    </row>
    <row r="108">
      <c r="A108" s="81" t="n">
        <v>37926</v>
      </c>
      <c r="B108" t="n">
        <v/>
      </c>
      <c r="C108" t="n">
        <v/>
      </c>
      <c r="D108" t="n">
        <v/>
      </c>
      <c r="E108" t="n">
        <v/>
      </c>
      <c r="F108" t="n">
        <v/>
      </c>
    </row>
    <row r="109">
      <c r="A109" s="81" t="n">
        <v>37956</v>
      </c>
      <c r="B109" t="n">
        <v/>
      </c>
      <c r="C109" t="n">
        <v/>
      </c>
      <c r="D109" t="n">
        <v/>
      </c>
      <c r="E109" t="n">
        <v/>
      </c>
      <c r="F109" t="n">
        <v/>
      </c>
    </row>
    <row r="110">
      <c r="A110" s="81" t="n">
        <v>37987</v>
      </c>
      <c r="B110" t="n">
        <v/>
      </c>
      <c r="C110" t="n">
        <v/>
      </c>
      <c r="D110" t="n">
        <v/>
      </c>
      <c r="E110" t="n">
        <v/>
      </c>
      <c r="F110" t="n">
        <v>0.00506198216887174</v>
      </c>
    </row>
    <row r="111">
      <c r="A111" s="81" t="n">
        <v>38018</v>
      </c>
      <c r="B111" t="n">
        <v/>
      </c>
      <c r="C111" t="n">
        <v/>
      </c>
      <c r="D111" t="n">
        <v/>
      </c>
      <c r="E111" t="n">
        <v/>
      </c>
      <c r="F111" t="n">
        <v/>
      </c>
    </row>
    <row r="112">
      <c r="A112" s="81" t="n">
        <v>38047</v>
      </c>
      <c r="B112" t="n">
        <v/>
      </c>
      <c r="C112" t="n">
        <v/>
      </c>
      <c r="D112" t="n">
        <v/>
      </c>
      <c r="E112" t="n">
        <v/>
      </c>
      <c r="F112" t="n">
        <v/>
      </c>
    </row>
    <row r="113">
      <c r="A113" s="81" t="n">
        <v>38078</v>
      </c>
      <c r="B113" t="n">
        <v/>
      </c>
      <c r="C113" t="n">
        <v/>
      </c>
      <c r="D113" t="n">
        <v/>
      </c>
      <c r="E113" t="n">
        <v/>
      </c>
      <c r="F113" t="n">
        <v>0.006132061674834014</v>
      </c>
    </row>
    <row r="114">
      <c r="A114" s="81" t="n">
        <v>38108</v>
      </c>
      <c r="B114" t="n">
        <v/>
      </c>
      <c r="C114" t="n">
        <v/>
      </c>
      <c r="D114" t="n">
        <v/>
      </c>
      <c r="E114" t="n">
        <v/>
      </c>
      <c r="F114" t="n">
        <v/>
      </c>
    </row>
    <row r="115">
      <c r="A115" s="81" t="n">
        <v>38139</v>
      </c>
      <c r="B115" t="n">
        <v/>
      </c>
      <c r="C115" t="n">
        <v/>
      </c>
      <c r="D115" t="n">
        <v/>
      </c>
      <c r="E115" t="n">
        <v/>
      </c>
      <c r="F115" t="n">
        <v/>
      </c>
    </row>
    <row r="116">
      <c r="A116" s="81" t="n">
        <v>38169</v>
      </c>
      <c r="B116" t="n">
        <v/>
      </c>
      <c r="C116" t="n">
        <v/>
      </c>
      <c r="D116" t="n">
        <v/>
      </c>
      <c r="E116" t="n">
        <v/>
      </c>
      <c r="F116" t="n">
        <v>0.002250182206260339</v>
      </c>
    </row>
    <row r="117">
      <c r="A117" s="81" t="n">
        <v>38200</v>
      </c>
      <c r="B117" t="n">
        <v/>
      </c>
      <c r="C117" t="n">
        <v/>
      </c>
      <c r="D117" t="n">
        <v/>
      </c>
      <c r="E117" t="n">
        <v/>
      </c>
      <c r="F117" t="n">
        <v/>
      </c>
    </row>
    <row r="118">
      <c r="A118" s="81" t="n">
        <v>38231</v>
      </c>
      <c r="B118" t="n">
        <v/>
      </c>
      <c r="C118" t="n">
        <v/>
      </c>
      <c r="D118" t="n">
        <v/>
      </c>
      <c r="E118" t="n">
        <v/>
      </c>
      <c r="F118" t="n">
        <v/>
      </c>
    </row>
    <row r="119">
      <c r="A119" s="81" t="n">
        <v>38261</v>
      </c>
      <c r="B119" t="n">
        <v/>
      </c>
      <c r="C119" t="n">
        <v/>
      </c>
      <c r="D119" t="n">
        <v/>
      </c>
      <c r="E119" t="n">
        <v/>
      </c>
      <c r="F119" t="n">
        <v>0.003970909785465816</v>
      </c>
    </row>
    <row r="120">
      <c r="A120" s="81" t="n">
        <v>38292</v>
      </c>
      <c r="B120" t="n">
        <v/>
      </c>
      <c r="C120" t="n">
        <v/>
      </c>
      <c r="D120" t="n">
        <v/>
      </c>
      <c r="E120" t="n">
        <v/>
      </c>
      <c r="F120" t="n">
        <v/>
      </c>
    </row>
    <row r="121">
      <c r="A121" s="81" t="n">
        <v>38322</v>
      </c>
      <c r="B121" t="n">
        <v/>
      </c>
      <c r="C121" t="n">
        <v/>
      </c>
      <c r="D121" t="n">
        <v>21.58071327209473</v>
      </c>
      <c r="E121" t="n">
        <v>18.0084171295166</v>
      </c>
      <c r="F121" t="n">
        <v/>
      </c>
    </row>
    <row r="122">
      <c r="A122" s="81" t="n">
        <v>38353</v>
      </c>
      <c r="B122" t="n">
        <v/>
      </c>
      <c r="C122" t="n">
        <v/>
      </c>
      <c r="D122" t="n">
        <v>21.49020576477051</v>
      </c>
      <c r="E122" t="n">
        <v>17.90951919555664</v>
      </c>
      <c r="F122" t="n">
        <v>0.002079008425802162</v>
      </c>
    </row>
    <row r="123">
      <c r="A123" s="81" t="n">
        <v>38384</v>
      </c>
      <c r="B123" t="n">
        <v/>
      </c>
      <c r="C123" t="n">
        <v/>
      </c>
      <c r="D123" t="n">
        <v>22.42547988891602</v>
      </c>
      <c r="E123" t="n">
        <v>18.85319709777832</v>
      </c>
      <c r="F123" t="n">
        <v/>
      </c>
    </row>
    <row r="124">
      <c r="A124" s="81" t="n">
        <v>38412</v>
      </c>
      <c r="B124" t="n">
        <v/>
      </c>
      <c r="C124" t="n">
        <v/>
      </c>
      <c r="D124" t="n">
        <v>21.88368988037109</v>
      </c>
      <c r="E124" t="n">
        <v>18.39658164978027</v>
      </c>
      <c r="F124" t="n">
        <v/>
      </c>
    </row>
    <row r="125">
      <c r="A125" s="81" t="n">
        <v>38443</v>
      </c>
      <c r="B125" t="n">
        <v/>
      </c>
      <c r="C125" t="n">
        <v/>
      </c>
      <c r="D125" t="n">
        <v>21.12699508666992</v>
      </c>
      <c r="E125" t="n">
        <v>18.1733455657959</v>
      </c>
      <c r="F125" t="n">
        <v>0.006154369590930122</v>
      </c>
    </row>
    <row r="126">
      <c r="A126" s="81" t="n">
        <v>38473</v>
      </c>
      <c r="B126" t="n">
        <v/>
      </c>
      <c r="C126" t="n">
        <v/>
      </c>
      <c r="D126" t="n">
        <v>21.22082138061523</v>
      </c>
      <c r="E126" t="n">
        <v>18.03128623962402</v>
      </c>
      <c r="F126" t="n">
        <v/>
      </c>
    </row>
    <row r="127">
      <c r="A127" s="81" t="n">
        <v>38504</v>
      </c>
      <c r="B127" t="n">
        <v/>
      </c>
      <c r="C127" t="n">
        <v/>
      </c>
      <c r="D127" t="n">
        <v>21.5325813293457</v>
      </c>
      <c r="E127" t="n">
        <v>18.23422813415527</v>
      </c>
      <c r="F127" t="n">
        <v/>
      </c>
    </row>
    <row r="128">
      <c r="A128" s="81" t="n">
        <v>38534</v>
      </c>
      <c r="B128" t="n">
        <v/>
      </c>
      <c r="C128" t="n">
        <v/>
      </c>
      <c r="D128" t="n">
        <v>22.51326370239258</v>
      </c>
      <c r="E128" t="n">
        <v>18.36613655090332</v>
      </c>
      <c r="F128" t="n">
        <v>0.00732764268577181</v>
      </c>
    </row>
    <row r="129">
      <c r="A129" s="81" t="n">
        <v>38565</v>
      </c>
      <c r="B129" t="n">
        <v/>
      </c>
      <c r="C129" t="n">
        <v/>
      </c>
      <c r="D129" t="n">
        <v>22.88253021240234</v>
      </c>
      <c r="E129" t="n">
        <v>19.09672546386719</v>
      </c>
      <c r="F129" t="n">
        <v/>
      </c>
    </row>
    <row r="130">
      <c r="A130" s="81" t="n">
        <v>38596</v>
      </c>
      <c r="B130" t="n">
        <v/>
      </c>
      <c r="C130" t="n">
        <v/>
      </c>
      <c r="D130" t="n">
        <v>23.28206443786621</v>
      </c>
      <c r="E130" t="n">
        <v>19.23878288269043</v>
      </c>
      <c r="F130" t="n">
        <v/>
      </c>
    </row>
    <row r="131">
      <c r="A131" s="81" t="n">
        <v>38626</v>
      </c>
      <c r="B131" t="n">
        <v/>
      </c>
      <c r="C131" t="n">
        <v/>
      </c>
      <c r="D131" t="n">
        <v>22.40430450439453</v>
      </c>
      <c r="E131" t="n">
        <v>18.77202224731445</v>
      </c>
      <c r="F131" t="n">
        <v>0.006390846493875452</v>
      </c>
    </row>
    <row r="132">
      <c r="A132" s="81" t="n">
        <v>38657</v>
      </c>
      <c r="B132" t="n">
        <v/>
      </c>
      <c r="C132" t="n">
        <v/>
      </c>
      <c r="D132" t="n">
        <v>22.81594085693359</v>
      </c>
      <c r="E132" t="n">
        <v>18.80246353149414</v>
      </c>
      <c r="F132" t="n">
        <v/>
      </c>
    </row>
    <row r="133">
      <c r="A133" s="81" t="n">
        <v>38687</v>
      </c>
      <c r="B133" t="n">
        <v/>
      </c>
      <c r="C133" t="n">
        <v/>
      </c>
      <c r="D133" t="n">
        <v>23.50302505493164</v>
      </c>
      <c r="E133" t="n">
        <v>18.85319709777832</v>
      </c>
      <c r="F133" t="n">
        <v/>
      </c>
    </row>
    <row r="134">
      <c r="A134" s="81" t="n">
        <v>38718</v>
      </c>
      <c r="B134" t="n">
        <v/>
      </c>
      <c r="C134" t="n">
        <v/>
      </c>
      <c r="D134" t="n">
        <v>25.51088905334473</v>
      </c>
      <c r="E134" t="n">
        <v>20.61868667602539</v>
      </c>
      <c r="F134" t="n">
        <v>0.008731075876649541</v>
      </c>
    </row>
    <row r="135">
      <c r="A135" s="81" t="n">
        <v>38749</v>
      </c>
      <c r="B135" t="n">
        <v/>
      </c>
      <c r="C135" t="n">
        <v/>
      </c>
      <c r="D135" t="n">
        <v>25.69558143615723</v>
      </c>
      <c r="E135" t="n">
        <v>20.50362205505371</v>
      </c>
      <c r="F135" t="n">
        <v/>
      </c>
    </row>
    <row r="136">
      <c r="A136" s="81" t="n">
        <v>38777</v>
      </c>
      <c r="B136" t="n">
        <v/>
      </c>
      <c r="C136" t="n">
        <v/>
      </c>
      <c r="D136" t="n">
        <v>26.82522392272949</v>
      </c>
      <c r="E136" t="n">
        <v>21.08943748474121</v>
      </c>
      <c r="F136" t="n">
        <v/>
      </c>
    </row>
    <row r="137">
      <c r="A137" s="81" t="n">
        <v>38808</v>
      </c>
      <c r="B137" t="n">
        <v/>
      </c>
      <c r="C137" t="n">
        <v/>
      </c>
      <c r="D137" t="n">
        <v>28.02566337585449</v>
      </c>
      <c r="E137" t="n">
        <v>22.43891143798828</v>
      </c>
      <c r="F137" t="n">
        <v>0.01104205733804205</v>
      </c>
    </row>
    <row r="138">
      <c r="A138" s="81" t="n">
        <v>38838</v>
      </c>
      <c r="B138" t="n">
        <v/>
      </c>
      <c r="C138" t="n">
        <v/>
      </c>
      <c r="D138" t="n">
        <v>27.02837753295898</v>
      </c>
      <c r="E138" t="n">
        <v>21.84263229370117</v>
      </c>
      <c r="F138" t="n">
        <v/>
      </c>
    </row>
    <row r="139">
      <c r="A139" s="81" t="n">
        <v>38869</v>
      </c>
      <c r="B139" t="n">
        <v/>
      </c>
      <c r="C139" t="n">
        <v/>
      </c>
      <c r="D139" t="n">
        <v>27.10532379150391</v>
      </c>
      <c r="E139" t="n">
        <v>22.02046775817871</v>
      </c>
      <c r="F139" t="n">
        <v/>
      </c>
    </row>
    <row r="140">
      <c r="A140" s="81" t="n">
        <v>38899</v>
      </c>
      <c r="B140" t="n">
        <v/>
      </c>
      <c r="C140" t="n">
        <v/>
      </c>
      <c r="D140" t="n">
        <v>27.42852020263672</v>
      </c>
      <c r="E140" t="n">
        <v>22.59582138061523</v>
      </c>
      <c r="F140" t="n">
        <v>0.005944216053640459</v>
      </c>
    </row>
    <row r="141">
      <c r="A141" s="81" t="n">
        <v>38930</v>
      </c>
      <c r="B141" t="n">
        <v/>
      </c>
      <c r="C141" t="n">
        <v/>
      </c>
      <c r="D141" t="n">
        <v>28.4935188293457</v>
      </c>
      <c r="E141" t="n">
        <v>23.08749580383301</v>
      </c>
      <c r="F141" t="n">
        <v/>
      </c>
    </row>
    <row r="142">
      <c r="A142" s="81" t="n">
        <v>38961</v>
      </c>
      <c r="B142" t="n">
        <v/>
      </c>
      <c r="C142" t="n">
        <v/>
      </c>
      <c r="D142" t="n">
        <v>28.99216842651367</v>
      </c>
      <c r="E142" t="n">
        <v>22.89919662475586</v>
      </c>
      <c r="F142" t="n">
        <v/>
      </c>
    </row>
    <row r="143">
      <c r="A143" s="81" t="n">
        <v>38991</v>
      </c>
      <c r="B143" t="n">
        <v/>
      </c>
      <c r="C143" t="n">
        <v/>
      </c>
      <c r="D143" t="n">
        <v>29.9802131652832</v>
      </c>
      <c r="E143" t="n">
        <v>23.95576095581055</v>
      </c>
      <c r="F143" t="n">
        <v>0.01173620356979928</v>
      </c>
    </row>
    <row r="144">
      <c r="A144" s="81" t="n">
        <v>39022</v>
      </c>
      <c r="B144" t="n">
        <v/>
      </c>
      <c r="C144" t="n">
        <v/>
      </c>
      <c r="D144" t="n">
        <v>31.36535453796387</v>
      </c>
      <c r="E144" t="n">
        <v>24.6357307434082</v>
      </c>
      <c r="F144" t="n">
        <v/>
      </c>
    </row>
    <row r="145">
      <c r="A145" s="81" t="n">
        <v>39052</v>
      </c>
      <c r="B145" t="n">
        <v/>
      </c>
      <c r="C145" t="n">
        <v/>
      </c>
      <c r="D145" t="n">
        <v>31.81166458129883</v>
      </c>
      <c r="E145" t="n">
        <v>24.48927879333496</v>
      </c>
      <c r="F145" t="n">
        <v/>
      </c>
    </row>
    <row r="146">
      <c r="A146" s="81" t="n">
        <v>39083</v>
      </c>
      <c r="B146" t="n">
        <v/>
      </c>
      <c r="C146" t="n">
        <v/>
      </c>
      <c r="D146" t="n">
        <v>32.85492324829102</v>
      </c>
      <c r="E146" t="n">
        <v>25.51086807250977</v>
      </c>
      <c r="F146" t="n">
        <v>0.006000599096584409</v>
      </c>
    </row>
    <row r="147">
      <c r="A147" s="81" t="n">
        <v>39114</v>
      </c>
      <c r="B147" t="n">
        <v/>
      </c>
      <c r="C147" t="n">
        <v/>
      </c>
      <c r="D147" t="n">
        <v>32.5572395324707</v>
      </c>
      <c r="E147" t="n">
        <v>25.13204383850098</v>
      </c>
      <c r="F147" t="n">
        <v/>
      </c>
    </row>
    <row r="148">
      <c r="A148" s="81" t="n">
        <v>39142</v>
      </c>
      <c r="B148" t="n">
        <v/>
      </c>
      <c r="C148" t="n">
        <v/>
      </c>
      <c r="D148" t="n">
        <v>33.91091918945312</v>
      </c>
      <c r="E148" t="n">
        <v>26.05204200744629</v>
      </c>
      <c r="F148" t="n">
        <v/>
      </c>
    </row>
    <row r="149">
      <c r="A149" s="81" t="n">
        <v>39173</v>
      </c>
      <c r="B149" t="n">
        <v/>
      </c>
      <c r="C149" t="n">
        <v/>
      </c>
      <c r="D149" t="n">
        <v>36.03544235229492</v>
      </c>
      <c r="E149" t="n">
        <v>26.89625930786133</v>
      </c>
      <c r="F149" t="n">
        <v>0.007220810725550743</v>
      </c>
    </row>
    <row r="150">
      <c r="A150" s="81" t="n">
        <v>39203</v>
      </c>
      <c r="B150" t="n">
        <v/>
      </c>
      <c r="C150" t="n">
        <v/>
      </c>
      <c r="D150" t="n">
        <v>37.39852523803711</v>
      </c>
      <c r="E150" t="n">
        <v>27.46990585327148</v>
      </c>
      <c r="F150" t="n">
        <v/>
      </c>
    </row>
    <row r="151">
      <c r="A151" s="81" t="n">
        <v>39234</v>
      </c>
      <c r="B151" t="n">
        <v/>
      </c>
      <c r="C151" t="n">
        <v/>
      </c>
      <c r="D151" t="n">
        <v>36.97549057006836</v>
      </c>
      <c r="E151" t="n">
        <v>27.65390396118164</v>
      </c>
      <c r="F151" t="n">
        <v/>
      </c>
    </row>
    <row r="152">
      <c r="A152" s="81" t="n">
        <v>39264</v>
      </c>
      <c r="B152" t="n">
        <v/>
      </c>
      <c r="C152" t="n">
        <v/>
      </c>
      <c r="D152" t="n">
        <v>35.81296157836914</v>
      </c>
      <c r="E152" t="n">
        <v>26.72309112548828</v>
      </c>
      <c r="F152" t="n">
        <v>0.004513588218056784</v>
      </c>
    </row>
    <row r="153">
      <c r="A153" s="81" t="n">
        <v>39295</v>
      </c>
      <c r="B153" t="n">
        <v/>
      </c>
      <c r="C153" t="n">
        <v/>
      </c>
      <c r="D153" t="n">
        <v>35.80356216430664</v>
      </c>
      <c r="E153" t="n">
        <v>26.7772045135498</v>
      </c>
      <c r="F153" t="n">
        <v/>
      </c>
    </row>
    <row r="154">
      <c r="A154" s="81" t="n">
        <v>39326</v>
      </c>
      <c r="B154" t="n">
        <v/>
      </c>
      <c r="C154" t="n">
        <v/>
      </c>
      <c r="D154" t="n">
        <v>37.88421249389648</v>
      </c>
      <c r="E154" t="n">
        <v>27.84872436523438</v>
      </c>
      <c r="F154" t="n">
        <v/>
      </c>
    </row>
    <row r="155">
      <c r="A155" s="81" t="n">
        <v>39356</v>
      </c>
      <c r="B155" t="n">
        <v/>
      </c>
      <c r="C155" t="n">
        <v/>
      </c>
      <c r="D155" t="n">
        <v>39.76119613647461</v>
      </c>
      <c r="E155" t="n">
        <v>29.46142768859863</v>
      </c>
      <c r="F155" t="n">
        <v>0.005090836146678046</v>
      </c>
    </row>
    <row r="156">
      <c r="A156" s="81" t="n">
        <v>39387</v>
      </c>
      <c r="B156" t="n">
        <v/>
      </c>
      <c r="C156" t="n">
        <v/>
      </c>
      <c r="D156" t="n">
        <v>38.65819549560547</v>
      </c>
      <c r="E156" t="n">
        <v>27.72966575622559</v>
      </c>
      <c r="F156" t="n">
        <v/>
      </c>
    </row>
    <row r="157">
      <c r="A157" s="81" t="n">
        <v>39417</v>
      </c>
      <c r="B157" t="n">
        <v/>
      </c>
      <c r="C157" t="n">
        <v/>
      </c>
      <c r="D157" t="n">
        <v>37.38910675048828</v>
      </c>
      <c r="E157" t="n">
        <v>26.0628662109375</v>
      </c>
      <c r="F157" t="n">
        <v/>
      </c>
    </row>
    <row r="158">
      <c r="A158" s="81" t="n">
        <v>39448</v>
      </c>
      <c r="B158" t="n">
        <v/>
      </c>
      <c r="C158" t="n">
        <v/>
      </c>
      <c r="D158" t="n">
        <v>34.38788223266602</v>
      </c>
      <c r="E158" t="n">
        <v>24.82070159912109</v>
      </c>
      <c r="F158" t="n">
        <v>0.005170018134278373</v>
      </c>
    </row>
    <row r="159">
      <c r="A159" s="81" t="n">
        <v>39479</v>
      </c>
      <c r="B159" t="n">
        <v/>
      </c>
      <c r="C159" t="n">
        <v/>
      </c>
      <c r="D159" t="n">
        <v>34.10507202148438</v>
      </c>
      <c r="E159" t="n">
        <v>24.52947998046875</v>
      </c>
      <c r="F159" t="n">
        <v/>
      </c>
    </row>
    <row r="160">
      <c r="A160" s="81" t="n">
        <v>39508</v>
      </c>
      <c r="B160" t="n">
        <v/>
      </c>
      <c r="C160" t="n">
        <v/>
      </c>
      <c r="D160" t="n">
        <v>34.96637725830078</v>
      </c>
      <c r="E160" t="n">
        <v>24.14866256713867</v>
      </c>
      <c r="F160" t="n">
        <v/>
      </c>
    </row>
    <row r="161">
      <c r="A161" s="81" t="n">
        <v>39539</v>
      </c>
      <c r="B161" t="n">
        <v/>
      </c>
      <c r="C161" t="n">
        <v/>
      </c>
      <c r="D161" t="n">
        <v>36.36117935180664</v>
      </c>
      <c r="E161" t="n">
        <v>25.58234786987305</v>
      </c>
      <c r="F161" t="n">
        <v>-0.003375135400820901</v>
      </c>
    </row>
    <row r="162">
      <c r="A162" s="81" t="n">
        <v>39569</v>
      </c>
      <c r="B162" t="n">
        <v/>
      </c>
      <c r="C162" t="n">
        <v/>
      </c>
      <c r="D162" t="n">
        <v>36.79182434082031</v>
      </c>
      <c r="E162" t="n">
        <v>25.52634811401367</v>
      </c>
      <c r="F162" t="n">
        <v/>
      </c>
    </row>
    <row r="163">
      <c r="A163" s="81" t="n">
        <v>39600</v>
      </c>
      <c r="B163" t="n">
        <v/>
      </c>
      <c r="C163" t="n">
        <v/>
      </c>
      <c r="D163" t="n">
        <v>31.49222946166992</v>
      </c>
      <c r="E163" t="n">
        <v>23.20780181884766</v>
      </c>
      <c r="F163" t="n">
        <v/>
      </c>
    </row>
    <row r="164">
      <c r="A164" s="81" t="n">
        <v>39630</v>
      </c>
      <c r="B164" t="n">
        <v/>
      </c>
      <c r="C164" t="n">
        <v/>
      </c>
      <c r="D164" t="n">
        <v>31.85244369506836</v>
      </c>
      <c r="E164" t="n">
        <v>22.76375007629395</v>
      </c>
      <c r="F164" t="n">
        <v>-0.005284995408960556</v>
      </c>
    </row>
    <row r="165">
      <c r="A165" s="81" t="n">
        <v>39661</v>
      </c>
      <c r="B165" t="n">
        <v/>
      </c>
      <c r="C165" t="n">
        <v/>
      </c>
      <c r="D165" t="n">
        <v>30.59967041015625</v>
      </c>
      <c r="E165" t="n">
        <v>21.99617958068848</v>
      </c>
      <c r="F165" t="n">
        <v/>
      </c>
    </row>
    <row r="166">
      <c r="A166" s="81" t="n">
        <v>39692</v>
      </c>
      <c r="B166" t="n">
        <v/>
      </c>
      <c r="C166" t="n">
        <v/>
      </c>
      <c r="D166" t="n">
        <v>26.46818542480469</v>
      </c>
      <c r="E166" t="n">
        <v>19.07480239868164</v>
      </c>
      <c r="F166" t="n">
        <v/>
      </c>
    </row>
    <row r="167">
      <c r="A167" s="81" t="n">
        <v>39722</v>
      </c>
      <c r="B167" t="n">
        <v/>
      </c>
      <c r="C167" t="n">
        <v/>
      </c>
      <c r="D167" t="n">
        <v>19.96442222595215</v>
      </c>
      <c r="E167" t="n">
        <v>15.30567264556885</v>
      </c>
      <c r="F167" t="n">
        <v>-0.01820969430111454</v>
      </c>
    </row>
    <row r="168">
      <c r="A168" s="81" t="n">
        <v>39753</v>
      </c>
      <c r="B168" t="n">
        <v/>
      </c>
      <c r="C168" t="n">
        <v/>
      </c>
      <c r="D168" t="n">
        <v>18.47842025756836</v>
      </c>
      <c r="E168" t="n">
        <v>14.32042407989502</v>
      </c>
      <c r="F168" t="n">
        <v/>
      </c>
    </row>
    <row r="169">
      <c r="A169" s="81" t="n">
        <v>39783</v>
      </c>
      <c r="B169" t="n">
        <v/>
      </c>
      <c r="C169" t="n">
        <v/>
      </c>
      <c r="D169" t="n">
        <v>20.39756393432617</v>
      </c>
      <c r="E169" t="n">
        <v>14.03401851654053</v>
      </c>
      <c r="F169" t="n">
        <v/>
      </c>
    </row>
    <row r="170">
      <c r="A170" s="81" t="n">
        <v>39814</v>
      </c>
      <c r="B170" t="n">
        <v/>
      </c>
      <c r="C170" t="n">
        <v/>
      </c>
      <c r="D170" t="n">
        <v>17.20463752746582</v>
      </c>
      <c r="E170" t="n">
        <v>13.08317565917969</v>
      </c>
      <c r="F170" t="n">
        <v>-0.03093596519703931</v>
      </c>
    </row>
    <row r="171">
      <c r="A171" s="81" t="n">
        <v>39845</v>
      </c>
      <c r="B171" t="n">
        <v/>
      </c>
      <c r="C171" t="n">
        <v/>
      </c>
      <c r="D171" t="n">
        <v>15.12786388397217</v>
      </c>
      <c r="E171" t="n">
        <v>11.81021499633789</v>
      </c>
      <c r="F171" t="n">
        <v/>
      </c>
    </row>
    <row r="172">
      <c r="A172" s="81" t="n">
        <v>39873</v>
      </c>
      <c r="B172" t="n">
        <v/>
      </c>
      <c r="C172" t="n">
        <v/>
      </c>
      <c r="D172" t="n">
        <v>16.62775611877441</v>
      </c>
      <c r="E172" t="n">
        <v>12.3523998260498</v>
      </c>
      <c r="F172" t="n">
        <v/>
      </c>
    </row>
    <row r="173">
      <c r="A173" s="81" t="n">
        <v>39904</v>
      </c>
      <c r="B173" t="n">
        <v/>
      </c>
      <c r="C173" t="n">
        <v/>
      </c>
      <c r="D173" t="n">
        <v>19.06423377990723</v>
      </c>
      <c r="E173" t="n">
        <v>13.82573127746582</v>
      </c>
      <c r="F173" t="n">
        <v>-0.0002479623509994235</v>
      </c>
    </row>
    <row r="174">
      <c r="A174" s="81" t="n">
        <v>39934</v>
      </c>
      <c r="B174" t="n">
        <v/>
      </c>
      <c r="C174" t="n">
        <v/>
      </c>
      <c r="D174" t="n">
        <v>21.58214950561523</v>
      </c>
      <c r="E174" t="n">
        <v>16.18305778503418</v>
      </c>
      <c r="F174" t="n">
        <v/>
      </c>
    </row>
    <row r="175">
      <c r="A175" s="81" t="n">
        <v>39965</v>
      </c>
      <c r="B175" t="n">
        <v/>
      </c>
      <c r="C175" t="n">
        <v/>
      </c>
      <c r="D175" t="n">
        <v>20.57090950012207</v>
      </c>
      <c r="E175" t="n">
        <v>15.57015514373779</v>
      </c>
      <c r="F175" t="n">
        <v/>
      </c>
    </row>
    <row r="176">
      <c r="A176" s="81" t="n">
        <v>39995</v>
      </c>
      <c r="B176" t="n">
        <v/>
      </c>
      <c r="C176" t="n">
        <v/>
      </c>
      <c r="D176" t="n">
        <v>23.37083053588867</v>
      </c>
      <c r="E176" t="n">
        <v>17.19697189331055</v>
      </c>
      <c r="F176" t="n">
        <v>0.004024979403741463</v>
      </c>
    </row>
    <row r="177">
      <c r="A177" s="81" t="n">
        <v>40026</v>
      </c>
      <c r="B177" t="n">
        <v/>
      </c>
      <c r="C177" t="n">
        <v/>
      </c>
      <c r="D177" t="n">
        <v>24.83281517028809</v>
      </c>
      <c r="E177" t="n">
        <v>17.94101524353027</v>
      </c>
      <c r="F177" t="n">
        <v/>
      </c>
    </row>
    <row r="178">
      <c r="A178" s="81" t="n">
        <v>40057</v>
      </c>
      <c r="B178" t="n">
        <v/>
      </c>
      <c r="C178" t="n">
        <v/>
      </c>
      <c r="D178" t="n">
        <v>26.46188354492188</v>
      </c>
      <c r="E178" t="n">
        <v>18.61305046081543</v>
      </c>
      <c r="F178" t="n">
        <v/>
      </c>
    </row>
    <row r="179">
      <c r="A179" s="81" t="n">
        <v>40087</v>
      </c>
      <c r="B179" t="n">
        <v/>
      </c>
      <c r="C179" t="n">
        <v/>
      </c>
      <c r="D179" t="n">
        <v>25.25052642822266</v>
      </c>
      <c r="E179" t="n">
        <v>18.58905220031738</v>
      </c>
      <c r="F179" t="n">
        <v>0.004231328985635955</v>
      </c>
    </row>
    <row r="180">
      <c r="A180" s="81" t="n">
        <v>40118</v>
      </c>
      <c r="B180" t="n">
        <v/>
      </c>
      <c r="C180" t="n">
        <v/>
      </c>
      <c r="D180" t="n">
        <v>26.48277473449707</v>
      </c>
      <c r="E180" t="n">
        <v>19.52510452270508</v>
      </c>
      <c r="F180" t="n">
        <v/>
      </c>
    </row>
    <row r="181">
      <c r="A181" s="81" t="n">
        <v>40148</v>
      </c>
      <c r="B181" t="n">
        <v/>
      </c>
      <c r="C181" t="n">
        <v/>
      </c>
      <c r="D181" t="n">
        <v>26.0859489440918</v>
      </c>
      <c r="E181" t="n">
        <v>19.44109916687012</v>
      </c>
      <c r="F181" t="n">
        <v/>
      </c>
    </row>
    <row r="182">
      <c r="A182" s="81" t="n">
        <v>40179</v>
      </c>
      <c r="B182" t="n">
        <v/>
      </c>
      <c r="C182" t="n">
        <v/>
      </c>
      <c r="D182" t="n">
        <v>24.20331573486328</v>
      </c>
      <c r="E182" t="n">
        <v>18.73365783691406</v>
      </c>
      <c r="F182" t="n">
        <v>0.004419265756777226</v>
      </c>
    </row>
    <row r="183">
      <c r="A183" s="81" t="n">
        <v>40210</v>
      </c>
      <c r="B183" t="n">
        <v/>
      </c>
      <c r="C183" t="n">
        <v/>
      </c>
      <c r="D183" t="n">
        <v>23.48051834106445</v>
      </c>
      <c r="E183" t="n">
        <v>18.5758228302002</v>
      </c>
      <c r="F183" t="n">
        <v/>
      </c>
    </row>
    <row r="184">
      <c r="A184" s="81" t="n">
        <v>40238</v>
      </c>
      <c r="B184" t="n">
        <v/>
      </c>
      <c r="C184" t="n">
        <v/>
      </c>
      <c r="D184" t="n">
        <v>25.21383857727051</v>
      </c>
      <c r="E184" t="n">
        <v>19.75350379943848</v>
      </c>
      <c r="F184" t="n">
        <v/>
      </c>
    </row>
    <row r="185">
      <c r="A185" s="81" t="n">
        <v>40269</v>
      </c>
      <c r="B185" t="n">
        <v/>
      </c>
      <c r="C185" t="n">
        <v/>
      </c>
      <c r="D185" t="n">
        <v>23.96472930908203</v>
      </c>
      <c r="E185" t="n">
        <v>19.32856750488281</v>
      </c>
      <c r="F185" t="n">
        <v>0.009697860162736336</v>
      </c>
    </row>
    <row r="186">
      <c r="A186" s="81" t="n">
        <v>40299</v>
      </c>
      <c r="B186" t="n">
        <v/>
      </c>
      <c r="C186" t="n">
        <v/>
      </c>
      <c r="D186" t="n">
        <v>20.94018936157227</v>
      </c>
      <c r="E186" t="n">
        <v>17.20388031005859</v>
      </c>
      <c r="F186" t="n">
        <v/>
      </c>
    </row>
    <row r="187">
      <c r="A187" s="81" t="n">
        <v>40330</v>
      </c>
      <c r="B187" t="n">
        <v/>
      </c>
      <c r="C187" t="n">
        <v/>
      </c>
      <c r="D187" t="n">
        <v>20.03493309020996</v>
      </c>
      <c r="E187" t="n">
        <v>16.31758689880371</v>
      </c>
      <c r="F187" t="n">
        <v/>
      </c>
    </row>
    <row r="188">
      <c r="A188" s="81" t="n">
        <v>40360</v>
      </c>
      <c r="B188" t="n">
        <v/>
      </c>
      <c r="C188" t="n">
        <v/>
      </c>
      <c r="D188" t="n">
        <v>23.52496147155762</v>
      </c>
      <c r="E188" t="n">
        <v>19.01400375366211</v>
      </c>
      <c r="F188" t="n">
        <v>0.004179358840282454</v>
      </c>
    </row>
    <row r="189">
      <c r="A189" s="81" t="n">
        <v>40391</v>
      </c>
      <c r="B189" t="n">
        <v/>
      </c>
      <c r="C189" t="n">
        <v/>
      </c>
      <c r="D189" t="n">
        <v>21.88451957702637</v>
      </c>
      <c r="E189" t="n">
        <v>18.48274993896484</v>
      </c>
      <c r="F189" t="n">
        <v/>
      </c>
    </row>
    <row r="190">
      <c r="A190" s="81" t="n">
        <v>40422</v>
      </c>
      <c r="B190" t="n">
        <v/>
      </c>
      <c r="C190" t="n">
        <v/>
      </c>
      <c r="D190" t="n">
        <v>24.80722999572754</v>
      </c>
      <c r="E190" t="n">
        <v>20.21241569519043</v>
      </c>
      <c r="F190" t="n">
        <v/>
      </c>
    </row>
    <row r="191">
      <c r="A191" s="81" t="n">
        <v>40452</v>
      </c>
      <c r="B191" t="n">
        <v>53.7</v>
      </c>
      <c r="C191" t="n">
        <v>34.46394729614258</v>
      </c>
      <c r="D191" t="n">
        <v>26.31157493591309</v>
      </c>
      <c r="E191" t="n">
        <v>21.06489753723145</v>
      </c>
      <c r="F191" t="n">
        <v>0.005908231298489107</v>
      </c>
    </row>
    <row r="192">
      <c r="A192" s="81" t="n">
        <v>40483</v>
      </c>
      <c r="B192" t="n">
        <v>54</v>
      </c>
      <c r="C192" t="n">
        <v>33.71054458618164</v>
      </c>
      <c r="D192" t="n">
        <v>23.39602279663086</v>
      </c>
      <c r="E192" t="n">
        <v>19.96531867980957</v>
      </c>
      <c r="F192" t="n">
        <v/>
      </c>
    </row>
    <row r="193">
      <c r="A193" s="81" t="n">
        <v>40513</v>
      </c>
      <c r="B193" t="n">
        <v>54.9</v>
      </c>
      <c r="C193" t="n">
        <v>35.98610687255859</v>
      </c>
      <c r="D193" t="n">
        <v>25.26570129394531</v>
      </c>
      <c r="E193" t="n">
        <v>21.46025085449219</v>
      </c>
      <c r="F193" t="n">
        <v/>
      </c>
    </row>
    <row r="194">
      <c r="A194" s="81" t="n">
        <v>40544</v>
      </c>
      <c r="B194" t="n">
        <v>57.2</v>
      </c>
      <c r="C194" t="n">
        <v>36.7254638671875</v>
      </c>
      <c r="D194" t="n">
        <v>27.08939170837402</v>
      </c>
      <c r="E194" t="n">
        <v>21.91374397277832</v>
      </c>
      <c r="F194" t="n">
        <v>0.00909580495396386</v>
      </c>
    </row>
    <row r="195">
      <c r="A195" s="81" t="n">
        <v>40575</v>
      </c>
      <c r="B195" t="n">
        <v>58.2</v>
      </c>
      <c r="C195" t="n">
        <v>37.86658096313477</v>
      </c>
      <c r="D195" t="n">
        <v>27.8837947845459</v>
      </c>
      <c r="E195" t="n">
        <v>22.91210174560547</v>
      </c>
      <c r="F195" t="n">
        <v/>
      </c>
    </row>
    <row r="196">
      <c r="A196" s="81" t="n">
        <v>40603</v>
      </c>
      <c r="B196" t="n">
        <v>56</v>
      </c>
      <c r="C196" t="n">
        <v>37.54055404663086</v>
      </c>
      <c r="D196" t="n">
        <v>27.97768211364746</v>
      </c>
      <c r="E196" t="n">
        <v>22.35052490234375</v>
      </c>
      <c r="F196" t="n">
        <v/>
      </c>
    </row>
    <row r="197">
      <c r="A197" s="81" t="n">
        <v>40634</v>
      </c>
      <c r="B197" t="n">
        <v>55.5</v>
      </c>
      <c r="C197" t="n">
        <v>39.34925842285156</v>
      </c>
      <c r="D197" t="n">
        <v>30.20925140380859</v>
      </c>
      <c r="E197" t="n">
        <v>23.84805107116699</v>
      </c>
      <c r="F197" t="n">
        <v>-0.000224757433624218</v>
      </c>
    </row>
    <row r="198">
      <c r="A198" s="81" t="n">
        <v>40664</v>
      </c>
      <c r="B198" t="n">
        <v>53.1</v>
      </c>
      <c r="C198" t="n">
        <v>38.58076095581055</v>
      </c>
      <c r="D198" t="n">
        <v>28.7720890045166</v>
      </c>
      <c r="E198" t="n">
        <v>23.28647041320801</v>
      </c>
      <c r="F198" t="n">
        <v/>
      </c>
    </row>
    <row r="199">
      <c r="A199" s="81" t="n">
        <v>40695</v>
      </c>
      <c r="B199" t="n">
        <v>52.8</v>
      </c>
      <c r="C199" t="n">
        <v>37.45516204833984</v>
      </c>
      <c r="D199" t="n">
        <v>28.04268264770508</v>
      </c>
      <c r="E199" t="n">
        <v>22.22573280334473</v>
      </c>
      <c r="F199" t="n">
        <v/>
      </c>
    </row>
    <row r="200">
      <c r="A200" s="81" t="n">
        <v>40725</v>
      </c>
      <c r="B200" t="n">
        <v>50.9</v>
      </c>
      <c r="C200" t="n">
        <v>37.03726959228516</v>
      </c>
      <c r="D200" t="n">
        <v>26.51310539245605</v>
      </c>
      <c r="E200" t="n">
        <v>22.52087783813477</v>
      </c>
      <c r="F200" t="n">
        <v>0.001528009020713608</v>
      </c>
    </row>
    <row r="201">
      <c r="A201" s="81" t="n">
        <v>40756</v>
      </c>
      <c r="B201" t="n">
        <v>50.4</v>
      </c>
      <c r="C201" t="n">
        <v>34.31151580810547</v>
      </c>
      <c r="D201" t="n">
        <v>23.27836036682129</v>
      </c>
      <c r="E201" t="n">
        <v>20.79435348510742</v>
      </c>
      <c r="F201" t="n">
        <v/>
      </c>
    </row>
    <row r="202">
      <c r="A202" s="81" t="n">
        <v>40787</v>
      </c>
      <c r="B202" t="n">
        <v>50.1</v>
      </c>
      <c r="C202" t="n">
        <v>30.72954177856445</v>
      </c>
      <c r="D202" t="n">
        <v>20.17654609680176</v>
      </c>
      <c r="E202" t="n">
        <v>18.75047492980957</v>
      </c>
      <c r="F202" t="n">
        <v/>
      </c>
    </row>
    <row r="203">
      <c r="A203" s="81" t="n">
        <v>40817</v>
      </c>
      <c r="B203" t="n">
        <v>49.5</v>
      </c>
      <c r="C203" t="n">
        <v>34.20939254760742</v>
      </c>
      <c r="D203" t="n">
        <v>22.72446823120117</v>
      </c>
      <c r="E203" t="n">
        <v>21.17521095275879</v>
      </c>
      <c r="F203" t="n">
        <v>-0.004234834458831302</v>
      </c>
    </row>
    <row r="204">
      <c r="A204" s="81" t="n">
        <v>40848</v>
      </c>
      <c r="B204" t="n">
        <v>49.6</v>
      </c>
      <c r="C204" t="n">
        <v>33.81663131713867</v>
      </c>
      <c r="D204" t="n">
        <v>21.76437759399414</v>
      </c>
      <c r="E204" t="n">
        <v>20.83244132995605</v>
      </c>
      <c r="F204" t="n">
        <v/>
      </c>
    </row>
    <row r="205">
      <c r="A205" s="81" t="n">
        <v>40878</v>
      </c>
      <c r="B205" t="n">
        <v>50.4</v>
      </c>
      <c r="C205" t="n">
        <v>33.1253776550293</v>
      </c>
      <c r="D205" t="n">
        <v>20.60489082336426</v>
      </c>
      <c r="E205" t="n">
        <v>20.51506614685059</v>
      </c>
      <c r="F205" t="n">
        <v/>
      </c>
    </row>
    <row r="206">
      <c r="A206" s="81" t="n">
        <v>40909</v>
      </c>
      <c r="B206" t="n">
        <v>51</v>
      </c>
      <c r="C206" t="n">
        <v>35.330078125</v>
      </c>
      <c r="D206" t="n">
        <v>22.31723403930664</v>
      </c>
      <c r="E206" t="n">
        <v>21.49224090576172</v>
      </c>
      <c r="F206" t="n">
        <v>-0.002149700873127423</v>
      </c>
    </row>
    <row r="207">
      <c r="A207" s="81" t="n">
        <v>40940</v>
      </c>
      <c r="B207" t="n">
        <v>51.2</v>
      </c>
      <c r="C207" t="n">
        <v>37.07751846313477</v>
      </c>
      <c r="D207" t="n">
        <v>23.54254913330078</v>
      </c>
      <c r="E207" t="n">
        <v>22.58746719360352</v>
      </c>
      <c r="F207" t="n">
        <v/>
      </c>
    </row>
    <row r="208">
      <c r="A208" s="81" t="n">
        <v>40969</v>
      </c>
      <c r="B208" t="n">
        <v>51.6</v>
      </c>
      <c r="C208" t="n">
        <v>37.49055480957031</v>
      </c>
      <c r="D208" t="n">
        <v>23.57243347167969</v>
      </c>
      <c r="E208" t="n">
        <v>22.29111289978027</v>
      </c>
      <c r="F208" t="n">
        <v/>
      </c>
    </row>
    <row r="209">
      <c r="A209" s="81" t="n">
        <v>41000</v>
      </c>
      <c r="B209" t="n">
        <v>51.3</v>
      </c>
      <c r="C209" t="n">
        <v>37.06163024902344</v>
      </c>
      <c r="D209" t="n">
        <v>22.24999237060547</v>
      </c>
      <c r="E209" t="n">
        <v>22.61323928833008</v>
      </c>
      <c r="F209" t="n">
        <v>-0.002638823464713449</v>
      </c>
    </row>
    <row r="210">
      <c r="A210" s="81" t="n">
        <v>41030</v>
      </c>
      <c r="B210" t="n">
        <v>50.3</v>
      </c>
      <c r="C210" t="n">
        <v>33.62236022949219</v>
      </c>
      <c r="D210" t="n">
        <v>19.38094711303711</v>
      </c>
      <c r="E210" t="n">
        <v>20.03622627258301</v>
      </c>
      <c r="F210" t="n">
        <v/>
      </c>
    </row>
    <row r="211">
      <c r="A211" s="81" t="n">
        <v>41061</v>
      </c>
      <c r="B211" t="n">
        <v>49.7</v>
      </c>
      <c r="C211" t="n">
        <v>34.84556198120117</v>
      </c>
      <c r="D211" t="n">
        <v>20.5091381072998</v>
      </c>
      <c r="E211" t="n">
        <v>20.98972702026367</v>
      </c>
      <c r="F211" t="n">
        <v/>
      </c>
    </row>
    <row r="212">
      <c r="A212" s="81" t="n">
        <v>41091</v>
      </c>
      <c r="B212" t="n">
        <v>48.8</v>
      </c>
      <c r="C212" t="n">
        <v>35.61767959594727</v>
      </c>
      <c r="D212" t="n">
        <v>20.90468978881836</v>
      </c>
      <c r="E212" t="n">
        <v>21.67182731628418</v>
      </c>
      <c r="F212" t="n">
        <v>-0.0009907163742234103</v>
      </c>
    </row>
    <row r="213">
      <c r="A213" s="81" t="n">
        <v>41122</v>
      </c>
      <c r="B213" t="n">
        <v>48.7</v>
      </c>
      <c r="C213" t="n">
        <v>36.60817718505859</v>
      </c>
      <c r="D213" t="n">
        <v>22.28910255432129</v>
      </c>
      <c r="E213" t="n">
        <v>22.38410758972168</v>
      </c>
      <c r="F213" t="n">
        <v/>
      </c>
    </row>
    <row r="214">
      <c r="A214" s="81" t="n">
        <v>41153</v>
      </c>
      <c r="B214" t="n">
        <v>48.7</v>
      </c>
      <c r="C214" t="n">
        <v>37.59867095947266</v>
      </c>
      <c r="D214" t="n">
        <v>23.11205863952637</v>
      </c>
      <c r="E214" t="n">
        <v>22.95129203796387</v>
      </c>
      <c r="F214" t="n">
        <v/>
      </c>
    </row>
    <row r="215">
      <c r="A215" s="81" t="n">
        <v>41183</v>
      </c>
      <c r="B215" t="n">
        <v>48.9</v>
      </c>
      <c r="C215" t="n">
        <v>37.40540313720703</v>
      </c>
      <c r="D215" t="n">
        <v>23.70428466796875</v>
      </c>
      <c r="E215" t="n">
        <v>23.05681991577148</v>
      </c>
      <c r="F215" t="n">
        <v>-0.004449012942242542</v>
      </c>
    </row>
    <row r="216">
      <c r="A216" s="81" t="n">
        <v>41214</v>
      </c>
      <c r="B216" t="n">
        <v>49.6</v>
      </c>
      <c r="C216" t="n">
        <v>38.00130844116211</v>
      </c>
      <c r="D216" t="n">
        <v>24.51186180114746</v>
      </c>
      <c r="E216" t="n">
        <v>23.32062149047852</v>
      </c>
      <c r="F216" t="n">
        <v/>
      </c>
    </row>
    <row r="217">
      <c r="A217" s="81" t="n">
        <v>41244</v>
      </c>
      <c r="B217" t="n">
        <v>50</v>
      </c>
      <c r="C217" t="n">
        <v>38.71802139282227</v>
      </c>
      <c r="D217" t="n">
        <v>25.7347583770752</v>
      </c>
      <c r="E217" t="n">
        <v>23.66357612609863</v>
      </c>
      <c r="F217" t="n">
        <v/>
      </c>
    </row>
    <row r="218">
      <c r="A218" s="81" t="n">
        <v>41275</v>
      </c>
      <c r="B218" t="n">
        <v>51.5</v>
      </c>
      <c r="C218" t="n">
        <v>40.57705307006836</v>
      </c>
      <c r="D218" t="n">
        <v>26.80334091186523</v>
      </c>
      <c r="E218" t="n">
        <v>24.70919799804688</v>
      </c>
      <c r="F218" t="n">
        <v>-0.003324045172696367</v>
      </c>
    </row>
    <row r="219">
      <c r="A219" s="81" t="n">
        <v>41306</v>
      </c>
      <c r="B219" t="n">
        <v>50.9</v>
      </c>
      <c r="C219" t="n">
        <v>40.53638458251953</v>
      </c>
      <c r="D219" t="n">
        <v>25.56816291809082</v>
      </c>
      <c r="E219" t="n">
        <v>24.0402946472168</v>
      </c>
      <c r="F219" t="n">
        <v/>
      </c>
    </row>
    <row r="220">
      <c r="A220" s="81" t="n">
        <v>41334</v>
      </c>
      <c r="B220" t="n">
        <v>51.2</v>
      </c>
      <c r="C220" t="n">
        <v>41.27651977539062</v>
      </c>
      <c r="D220" t="n">
        <v>25.20533180236816</v>
      </c>
      <c r="E220" t="n">
        <v>24.4416389465332</v>
      </c>
      <c r="F220" t="n">
        <v/>
      </c>
    </row>
    <row r="221">
      <c r="A221" s="81" t="n">
        <v>41365</v>
      </c>
      <c r="B221" t="n">
        <v>50.4</v>
      </c>
      <c r="C221" t="n">
        <v>42.44770812988281</v>
      </c>
      <c r="D221" t="n">
        <v>26.65666198730469</v>
      </c>
      <c r="E221" t="n">
        <v>25.13729476928711</v>
      </c>
      <c r="F221" t="n">
        <v>0.005147360676686371</v>
      </c>
    </row>
    <row r="222">
      <c r="A222" s="81" t="n">
        <v>41395</v>
      </c>
      <c r="B222" t="n">
        <v>50.6</v>
      </c>
      <c r="C222" t="n">
        <v>42.2850456237793</v>
      </c>
      <c r="D222" t="n">
        <v>27.00406265258789</v>
      </c>
      <c r="E222" t="n">
        <v>25.11053848266602</v>
      </c>
      <c r="F222" t="n">
        <v/>
      </c>
    </row>
    <row r="223">
      <c r="A223" s="81" t="n">
        <v>41426</v>
      </c>
      <c r="B223" t="n">
        <v>50.6</v>
      </c>
      <c r="C223" t="n">
        <v>40.66651916503906</v>
      </c>
      <c r="D223" t="n">
        <v>25.0740909576416</v>
      </c>
      <c r="E223" t="n">
        <v>23.62557983398438</v>
      </c>
      <c r="F223" t="n">
        <v/>
      </c>
    </row>
    <row r="224">
      <c r="A224" s="81" t="n">
        <v>41456</v>
      </c>
      <c r="B224" t="n">
        <v>50.8</v>
      </c>
      <c r="C224" t="n">
        <v>43.07117462158203</v>
      </c>
      <c r="D224" t="n">
        <v>27.9346752166748</v>
      </c>
      <c r="E224" t="n">
        <v>25.50984191894531</v>
      </c>
      <c r="F224" t="n">
        <v>0.003038803676596945</v>
      </c>
    </row>
    <row r="225">
      <c r="A225" s="81" t="n">
        <v>41487</v>
      </c>
      <c r="B225" t="n">
        <v>51.6</v>
      </c>
      <c r="C225" t="n">
        <v>42.08274841308594</v>
      </c>
      <c r="D225" t="n">
        <v>27.42849922180176</v>
      </c>
      <c r="E225" t="n">
        <v>25.31977272033691</v>
      </c>
      <c r="F225" t="n">
        <v/>
      </c>
    </row>
    <row r="226">
      <c r="A226" s="81" t="n">
        <v>41518</v>
      </c>
      <c r="B226" t="n">
        <v>51.8</v>
      </c>
      <c r="C226" t="n">
        <v>44.41381454467773</v>
      </c>
      <c r="D226" t="n">
        <v>29.84074974060059</v>
      </c>
      <c r="E226" t="n">
        <v>26.63667869567871</v>
      </c>
      <c r="F226" t="n">
        <v/>
      </c>
    </row>
    <row r="227">
      <c r="A227" s="81" t="n">
        <v>41548</v>
      </c>
      <c r="B227" t="n">
        <v>52.1</v>
      </c>
      <c r="C227" t="n">
        <v>46.16828918457031</v>
      </c>
      <c r="D227" t="n">
        <v>31.46211242675781</v>
      </c>
      <c r="E227" t="n">
        <v>27.62775230407715</v>
      </c>
      <c r="F227" t="n">
        <v>0.002878766551284823</v>
      </c>
    </row>
    <row r="228">
      <c r="A228" s="81" t="n">
        <v>41579</v>
      </c>
      <c r="B228" t="n">
        <v>53.1</v>
      </c>
      <c r="C228" t="n">
        <v>46.88490295410156</v>
      </c>
      <c r="D228" t="n">
        <v>31.92083549499512</v>
      </c>
      <c r="E228" t="n">
        <v>27.84496879577637</v>
      </c>
      <c r="F228" t="n">
        <v/>
      </c>
    </row>
    <row r="229">
      <c r="A229" s="81" t="n">
        <v>41609</v>
      </c>
      <c r="B229" t="n">
        <v>53.3</v>
      </c>
      <c r="C229" t="n">
        <v>47.46149826049805</v>
      </c>
      <c r="D229" t="n">
        <v>32.7275505065918</v>
      </c>
      <c r="E229" t="n">
        <v>28.34728813171387</v>
      </c>
      <c r="F229" t="n">
        <v/>
      </c>
    </row>
    <row r="230">
      <c r="A230" s="81" t="n">
        <v>41640</v>
      </c>
      <c r="B230" t="n">
        <v>52.9</v>
      </c>
      <c r="C230" t="n">
        <v>45.63755416870117</v>
      </c>
      <c r="D230" t="n">
        <v>31.15884399414062</v>
      </c>
      <c r="E230" t="n">
        <v>27.3553638458252</v>
      </c>
      <c r="F230" t="n">
        <v>0.004141561641280461</v>
      </c>
    </row>
    <row r="231">
      <c r="A231" s="81" t="n">
        <v>41671</v>
      </c>
      <c r="B231" t="n">
        <v>53.3</v>
      </c>
      <c r="C231" t="n">
        <v>48.01285934448242</v>
      </c>
      <c r="D231" t="n">
        <v>33.33290481567383</v>
      </c>
      <c r="E231" t="n">
        <v>29.21018981933594</v>
      </c>
      <c r="F231" t="n">
        <v/>
      </c>
    </row>
    <row r="232">
      <c r="A232" s="81" t="n">
        <v>41699</v>
      </c>
      <c r="B232" t="n">
        <v>52.4</v>
      </c>
      <c r="C232" t="n">
        <v>48.28693008422852</v>
      </c>
      <c r="D232" t="n">
        <v>33.5391960144043</v>
      </c>
      <c r="E232" t="n">
        <v>28.28964805603027</v>
      </c>
      <c r="F232" t="n">
        <v/>
      </c>
    </row>
    <row r="233">
      <c r="A233" s="81" t="n">
        <v>41730</v>
      </c>
      <c r="B233" t="n">
        <v>51.9</v>
      </c>
      <c r="C233" t="n">
        <v>48.86000061035156</v>
      </c>
      <c r="D233" t="n">
        <v>34.1580924987793</v>
      </c>
      <c r="E233" t="n">
        <v>29.56741905212402</v>
      </c>
      <c r="F233" t="n">
        <v>0.001950123720347438</v>
      </c>
    </row>
    <row r="234">
      <c r="A234" s="81" t="n">
        <v>41760</v>
      </c>
      <c r="B234" t="n">
        <v>52.2</v>
      </c>
      <c r="C234" t="n">
        <v>49.84001159667969</v>
      </c>
      <c r="D234" t="n">
        <v>34.44374084472656</v>
      </c>
      <c r="E234" t="n">
        <v>29.85595512390137</v>
      </c>
      <c r="F234" t="n">
        <v/>
      </c>
    </row>
    <row r="235">
      <c r="A235" s="81" t="n">
        <v>41791</v>
      </c>
      <c r="B235" t="n">
        <v>52.6</v>
      </c>
      <c r="C235" t="n">
        <v>50.04765701293945</v>
      </c>
      <c r="D235" t="n">
        <v>33.57887649536133</v>
      </c>
      <c r="E235" t="n">
        <v>28.6880931854248</v>
      </c>
      <c r="F235" t="n">
        <v/>
      </c>
    </row>
    <row r="236">
      <c r="A236" s="81" t="n">
        <v>41821</v>
      </c>
      <c r="B236" t="n">
        <v>52.5</v>
      </c>
      <c r="C236" t="n">
        <v>50.01358032226562</v>
      </c>
      <c r="D236" t="n">
        <v>32.18683242797852</v>
      </c>
      <c r="E236" t="n">
        <v>29.37614631652832</v>
      </c>
      <c r="F236" t="n">
        <v>0.004939181884855341</v>
      </c>
    </row>
    <row r="237">
      <c r="A237" s="81" t="n">
        <v>41852</v>
      </c>
      <c r="B237" t="n">
        <v>52.6</v>
      </c>
      <c r="C237" t="n">
        <v>51.30200958251953</v>
      </c>
      <c r="D237" t="n">
        <v>32.24343872070312</v>
      </c>
      <c r="E237" t="n">
        <v>29.60677337646484</v>
      </c>
      <c r="F237" t="n">
        <v/>
      </c>
    </row>
    <row r="238">
      <c r="A238" s="81" t="n">
        <v>41883</v>
      </c>
      <c r="B238" t="n">
        <v>52.2</v>
      </c>
      <c r="C238" t="n">
        <v>49.6009407043457</v>
      </c>
      <c r="D238" t="n">
        <v>31.13550186157227</v>
      </c>
      <c r="E238" t="n">
        <v>27.93472671508789</v>
      </c>
      <c r="F238" t="n">
        <v/>
      </c>
    </row>
    <row r="239">
      <c r="A239" s="81" t="n">
        <v>41913</v>
      </c>
      <c r="B239" t="n">
        <v>52.2</v>
      </c>
      <c r="C239" t="n">
        <v>50.19883346557617</v>
      </c>
      <c r="D239" t="n">
        <v>30.24591827392578</v>
      </c>
      <c r="E239" t="n">
        <v>27.40139961242676</v>
      </c>
      <c r="F239" t="n">
        <v>0.003558540848885159</v>
      </c>
    </row>
    <row r="240">
      <c r="A240" s="81" t="n">
        <v>41944</v>
      </c>
      <c r="B240" t="n">
        <v>51.8</v>
      </c>
      <c r="C240" t="n">
        <v>50.88938140869141</v>
      </c>
      <c r="D240" t="n">
        <v>31.41854667663574</v>
      </c>
      <c r="E240" t="n">
        <v>27.43023109436035</v>
      </c>
      <c r="F240" t="n">
        <v/>
      </c>
    </row>
    <row r="241">
      <c r="A241" s="81" t="n">
        <v>41974</v>
      </c>
      <c r="B241" t="n">
        <v>51.6</v>
      </c>
      <c r="C241" t="n">
        <v>49.26408767700195</v>
      </c>
      <c r="D241" t="n">
        <v>29.38059043884277</v>
      </c>
      <c r="E241" t="n">
        <v>25.98880767822266</v>
      </c>
      <c r="F241" t="n">
        <v/>
      </c>
    </row>
    <row r="242">
      <c r="A242" s="81" t="n">
        <v>42005</v>
      </c>
      <c r="B242" t="n">
        <v>51.7</v>
      </c>
      <c r="C242" t="n">
        <v>49.03553771972656</v>
      </c>
      <c r="D242" t="n">
        <v>29.87893867492676</v>
      </c>
      <c r="E242" t="n">
        <v>26.52298927307129</v>
      </c>
      <c r="F242" t="n">
        <v>0.006376936063688275</v>
      </c>
    </row>
    <row r="243">
      <c r="A243" s="81" t="n">
        <v>42036</v>
      </c>
      <c r="B243" t="n">
        <v>52</v>
      </c>
      <c r="C243" t="n">
        <v>51.73661422729492</v>
      </c>
      <c r="D243" t="n">
        <v>31.73619270324707</v>
      </c>
      <c r="E243" t="n">
        <v>28.0814323425293</v>
      </c>
      <c r="F243" t="n">
        <v/>
      </c>
    </row>
    <row r="244">
      <c r="A244" s="81" t="n">
        <v>42064</v>
      </c>
      <c r="B244" t="n">
        <v>51.8</v>
      </c>
      <c r="C244" t="n">
        <v>50.98065567016602</v>
      </c>
      <c r="D244" t="n">
        <v>31.42665100097656</v>
      </c>
      <c r="E244" t="n">
        <v>26.47888565063477</v>
      </c>
      <c r="F244" t="n">
        <v/>
      </c>
    </row>
    <row r="245">
      <c r="A245" s="81" t="n">
        <v>42095</v>
      </c>
      <c r="B245" t="n">
        <v>51</v>
      </c>
      <c r="C245" t="n">
        <v>52.44160842895508</v>
      </c>
      <c r="D245" t="n">
        <v>32.12719345092773</v>
      </c>
      <c r="E245" t="n">
        <v>28.24315643310547</v>
      </c>
      <c r="F245" t="n">
        <v>0.004606899460288354</v>
      </c>
    </row>
    <row r="246">
      <c r="A246" s="81" t="n">
        <v>42125</v>
      </c>
      <c r="B246" t="n">
        <v>51.2</v>
      </c>
      <c r="C246" t="n">
        <v>52.44160842895508</v>
      </c>
      <c r="D246" t="n">
        <v>31.92354774475098</v>
      </c>
      <c r="E246" t="n">
        <v>28.41958236694336</v>
      </c>
      <c r="F246" t="n">
        <v/>
      </c>
    </row>
    <row r="247">
      <c r="A247" s="81" t="n">
        <v>42156</v>
      </c>
      <c r="B247" t="n">
        <v>51</v>
      </c>
      <c r="C247" t="n">
        <v>50.49650192260742</v>
      </c>
      <c r="D247" t="n">
        <v>30.57948684692383</v>
      </c>
      <c r="E247" t="n">
        <v>26.83173751831055</v>
      </c>
      <c r="F247" t="n">
        <v/>
      </c>
    </row>
    <row r="248">
      <c r="A248" s="81" t="n">
        <v>42186</v>
      </c>
      <c r="B248" t="n">
        <v>51</v>
      </c>
      <c r="C248" t="n">
        <v>51.51057815551758</v>
      </c>
      <c r="D248" t="n">
        <v>32.06950759887695</v>
      </c>
      <c r="E248" t="n">
        <v>27.75506401062012</v>
      </c>
      <c r="F248" t="n">
        <v>0.004168230329365794</v>
      </c>
    </row>
    <row r="249">
      <c r="A249" s="81" t="n">
        <v>42217</v>
      </c>
      <c r="B249" t="n">
        <v>50.7</v>
      </c>
      <c r="C249" t="n">
        <v>48.00435256958008</v>
      </c>
      <c r="D249" t="n">
        <v>29.85639381408691</v>
      </c>
      <c r="E249" t="n">
        <v>25.53944396972656</v>
      </c>
      <c r="F249" t="n">
        <v/>
      </c>
    </row>
    <row r="250">
      <c r="A250" s="81" t="n">
        <v>42248</v>
      </c>
      <c r="B250" t="n">
        <v>50.6</v>
      </c>
      <c r="C250" t="n">
        <v>46.3543701171875</v>
      </c>
      <c r="D250" t="n">
        <v>28.4638671875</v>
      </c>
      <c r="E250" t="n">
        <v>24.53643035888672</v>
      </c>
      <c r="F250" t="n">
        <v/>
      </c>
    </row>
    <row r="251">
      <c r="A251" s="81" t="n">
        <v>42278</v>
      </c>
      <c r="B251" t="n">
        <v>51.4</v>
      </c>
      <c r="C251" t="n">
        <v>49.90357208251953</v>
      </c>
      <c r="D251" t="n">
        <v>30.54436111450195</v>
      </c>
      <c r="E251" t="n">
        <v>26.15323257446289</v>
      </c>
      <c r="F251" t="n">
        <v>0.004621030137627779</v>
      </c>
    </row>
    <row r="252">
      <c r="A252" s="81" t="n">
        <v>42309</v>
      </c>
      <c r="B252" t="n">
        <v>51.2</v>
      </c>
      <c r="C252" t="n">
        <v>49.63714981079102</v>
      </c>
      <c r="D252" t="n">
        <v>30.30399131774902</v>
      </c>
      <c r="E252" t="n">
        <v>25.71908950805664</v>
      </c>
      <c r="F252" t="n">
        <v/>
      </c>
    </row>
    <row r="253">
      <c r="A253" s="81" t="n">
        <v>42339</v>
      </c>
      <c r="B253" t="n">
        <v>50.9</v>
      </c>
      <c r="C253" t="n">
        <v>47.969970703125</v>
      </c>
      <c r="D253" t="n">
        <v>29.0440845489502</v>
      </c>
      <c r="E253" t="n">
        <v>24.16217041015625</v>
      </c>
      <c r="F253" t="n">
        <v/>
      </c>
    </row>
    <row r="254">
      <c r="A254" s="81" t="n">
        <v>42370</v>
      </c>
      <c r="B254" t="n">
        <v>50.9</v>
      </c>
      <c r="C254" t="n">
        <v>46.01519775390625</v>
      </c>
      <c r="D254" t="n">
        <v>27.57959938049316</v>
      </c>
      <c r="E254" t="n">
        <v>23.45659637451172</v>
      </c>
      <c r="F254" t="n">
        <v>0.005558264577996221</v>
      </c>
    </row>
    <row r="255">
      <c r="A255" s="81" t="n">
        <v>42401</v>
      </c>
      <c r="B255" t="n">
        <v>50</v>
      </c>
      <c r="C255" t="n">
        <v>45.44065856933594</v>
      </c>
      <c r="D255" t="n">
        <v>26.41660118103027</v>
      </c>
      <c r="E255" t="n">
        <v>22.72357559204102</v>
      </c>
      <c r="F255" t="n">
        <v/>
      </c>
    </row>
    <row r="256">
      <c r="A256" s="81" t="n">
        <v>42430</v>
      </c>
      <c r="B256" t="n">
        <v>50.5</v>
      </c>
      <c r="C256" t="n">
        <v>48.80084228515625</v>
      </c>
      <c r="D256" t="n">
        <v>28.56814002990723</v>
      </c>
      <c r="E256" t="n">
        <v>23.94527435302734</v>
      </c>
      <c r="F256" t="n">
        <v/>
      </c>
    </row>
    <row r="257">
      <c r="A257" s="81" t="n">
        <v>42461</v>
      </c>
      <c r="B257" t="n">
        <v>50.1</v>
      </c>
      <c r="C257" t="n">
        <v>49.4537239074707</v>
      </c>
      <c r="D257" t="n">
        <v>29.29916954040527</v>
      </c>
      <c r="E257" t="n">
        <v>24.90735816955566</v>
      </c>
      <c r="F257" t="n">
        <v>0.002338366509995496</v>
      </c>
    </row>
    <row r="258">
      <c r="A258" s="81" t="n">
        <v>42491</v>
      </c>
      <c r="B258" t="n">
        <v>50</v>
      </c>
      <c r="C258" t="n">
        <v>49.61911392211914</v>
      </c>
      <c r="D258" t="n">
        <v>28.2358570098877</v>
      </c>
      <c r="E258" t="n">
        <v>24.61721229553223</v>
      </c>
      <c r="F258" t="n">
        <v/>
      </c>
    </row>
    <row r="259">
      <c r="A259" s="81" t="n">
        <v>42522</v>
      </c>
      <c r="B259" t="n">
        <v>50.9</v>
      </c>
      <c r="C259" t="n">
        <v>48.94882202148438</v>
      </c>
      <c r="D259" t="n">
        <v>26.80703544616699</v>
      </c>
      <c r="E259" t="n">
        <v>23.47186851501465</v>
      </c>
      <c r="F259" t="n">
        <v/>
      </c>
    </row>
    <row r="260">
      <c r="A260" s="81" t="n">
        <v>42552</v>
      </c>
      <c r="B260" t="n">
        <v>51</v>
      </c>
      <c r="C260" t="n">
        <v>51.46427917480469</v>
      </c>
      <c r="D260" t="n">
        <v>28.80242347717285</v>
      </c>
      <c r="E260" t="n">
        <v>24.41600608825684</v>
      </c>
      <c r="F260" t="n">
        <v>0.00476872353145435</v>
      </c>
    </row>
    <row r="261">
      <c r="A261" s="81" t="n">
        <v>42583</v>
      </c>
      <c r="B261" t="n">
        <v>50.9</v>
      </c>
      <c r="C261" t="n">
        <v>51.64068603515625</v>
      </c>
      <c r="D261" t="n">
        <v>29.12594795227051</v>
      </c>
      <c r="E261" t="n">
        <v>24.68207550048828</v>
      </c>
      <c r="F261" t="n">
        <v/>
      </c>
    </row>
    <row r="262">
      <c r="A262" s="81" t="n">
        <v>42614</v>
      </c>
      <c r="B262" t="n">
        <v>51</v>
      </c>
      <c r="C262" t="n">
        <v>52.12578201293945</v>
      </c>
      <c r="D262" t="n">
        <v>29.36433029174805</v>
      </c>
      <c r="E262" t="n">
        <v>24.79163360595703</v>
      </c>
      <c r="F262" t="n">
        <v/>
      </c>
    </row>
    <row r="263">
      <c r="A263" s="81" t="n">
        <v>42644</v>
      </c>
      <c r="B263" t="n">
        <v>52</v>
      </c>
      <c r="C263" t="n">
        <v>51.12912750244141</v>
      </c>
      <c r="D263" t="n">
        <v>29.06635093688965</v>
      </c>
      <c r="E263" t="n">
        <v>23.47692680358887</v>
      </c>
      <c r="F263" t="n">
        <v>0.007571322890104813</v>
      </c>
    </row>
    <row r="264">
      <c r="A264" s="81" t="n">
        <v>42675</v>
      </c>
      <c r="B264" t="n">
        <v>52.1</v>
      </c>
      <c r="C264" t="n">
        <v>51.65833282470703</v>
      </c>
      <c r="D264" t="n">
        <v>27.90846633911133</v>
      </c>
      <c r="E264" t="n">
        <v>23.52388000488281</v>
      </c>
      <c r="F264" t="n">
        <v/>
      </c>
    </row>
    <row r="265">
      <c r="A265" s="81" t="n">
        <v>42705</v>
      </c>
      <c r="B265" t="n">
        <v>52.7</v>
      </c>
      <c r="C265" t="n">
        <v>52.18752288818359</v>
      </c>
      <c r="D265" t="n">
        <v>29.45798492431641</v>
      </c>
      <c r="E265" t="n">
        <v>24.01689720153809</v>
      </c>
      <c r="F265" t="n">
        <v/>
      </c>
    </row>
    <row r="266">
      <c r="A266" s="81" t="n">
        <v>42736</v>
      </c>
      <c r="B266" t="n">
        <v>52.7</v>
      </c>
      <c r="C266" t="n">
        <v>54.2031135559082</v>
      </c>
      <c r="D266" t="n">
        <v>30.28462600708008</v>
      </c>
      <c r="E266" t="n">
        <v>24.95241928100586</v>
      </c>
      <c r="F266" t="n">
        <v>0.006829487932795342</v>
      </c>
    </row>
    <row r="267">
      <c r="A267" s="81" t="n">
        <v>42767</v>
      </c>
      <c r="B267" t="n">
        <v>53</v>
      </c>
      <c r="C267" t="n">
        <v>55.56509780883789</v>
      </c>
      <c r="D267" t="n">
        <v>30.34460830688477</v>
      </c>
      <c r="E267" t="n">
        <v>25.3173828125</v>
      </c>
      <c r="F267" t="n">
        <v/>
      </c>
    </row>
    <row r="268">
      <c r="A268" s="81" t="n">
        <v>42795</v>
      </c>
      <c r="B268" t="n">
        <v>53</v>
      </c>
      <c r="C268" t="n">
        <v>56.31284713745117</v>
      </c>
      <c r="D268" t="n">
        <v>32.22133255004883</v>
      </c>
      <c r="E268" t="n">
        <v>25.82515525817871</v>
      </c>
      <c r="F268" t="n">
        <v/>
      </c>
    </row>
    <row r="269">
      <c r="A269" s="81" t="n">
        <v>42826</v>
      </c>
      <c r="B269" t="n">
        <v>52.7</v>
      </c>
      <c r="C269" t="n">
        <v>57.2208366394043</v>
      </c>
      <c r="D269" t="n">
        <v>33.62672424316406</v>
      </c>
      <c r="E269" t="n">
        <v>26.26152801513672</v>
      </c>
      <c r="F269" t="n">
        <v>0.007887524293034848</v>
      </c>
    </row>
    <row r="270">
      <c r="A270" s="81" t="n">
        <v>42856</v>
      </c>
      <c r="B270" t="n">
        <v>52.6</v>
      </c>
      <c r="C270" t="n">
        <v>58.48489761352539</v>
      </c>
      <c r="D270" t="n">
        <v>35.28921127319336</v>
      </c>
      <c r="E270" t="n">
        <v>27.45956230163574</v>
      </c>
      <c r="F270" t="n">
        <v/>
      </c>
    </row>
    <row r="271">
      <c r="A271" s="81" t="n">
        <v>42887</v>
      </c>
      <c r="B271" t="n">
        <v>52.6</v>
      </c>
      <c r="C271" t="n">
        <v>58.29795455932617</v>
      </c>
      <c r="D271" t="n">
        <v>34.56079483032227</v>
      </c>
      <c r="E271" t="n">
        <v>26.44400978088379</v>
      </c>
      <c r="F271" t="n">
        <v/>
      </c>
    </row>
    <row r="272">
      <c r="A272" s="81" t="n">
        <v>42917</v>
      </c>
      <c r="B272" t="n">
        <v>52.8</v>
      </c>
      <c r="C272" t="n">
        <v>60.55635833740234</v>
      </c>
      <c r="D272" t="n">
        <v>36.23171615600586</v>
      </c>
      <c r="E272" t="n">
        <v>27.66788482666016</v>
      </c>
      <c r="F272" t="n">
        <v>0.007760442137866973</v>
      </c>
    </row>
    <row r="273">
      <c r="A273" s="81" t="n">
        <v>42948</v>
      </c>
      <c r="B273" t="n">
        <v>53.2</v>
      </c>
      <c r="C273" t="n">
        <v>60.79938125610352</v>
      </c>
      <c r="D273" t="n">
        <v>36.40578079223633</v>
      </c>
      <c r="E273" t="n">
        <v>27.44083404541016</v>
      </c>
      <c r="F273" t="n">
        <v/>
      </c>
    </row>
    <row r="274">
      <c r="A274" s="81" t="n">
        <v>42979</v>
      </c>
      <c r="B274" t="n">
        <v>53.3</v>
      </c>
      <c r="C274" t="n">
        <v>61.94246292114258</v>
      </c>
      <c r="D274" t="n">
        <v>37.70256042480469</v>
      </c>
      <c r="E274" t="n">
        <v>28.25984001159668</v>
      </c>
      <c r="F274" t="n">
        <v/>
      </c>
    </row>
    <row r="275">
      <c r="A275" s="81" t="n">
        <v>43009</v>
      </c>
      <c r="B275" t="n">
        <v>53.5</v>
      </c>
      <c r="C275" t="n">
        <v>63.27455139160156</v>
      </c>
      <c r="D275" t="n">
        <v>38.14643096923828</v>
      </c>
      <c r="E275" t="n">
        <v>28.43012809753418</v>
      </c>
      <c r="F275" t="n">
        <v>0.008091295999694992</v>
      </c>
    </row>
    <row r="276">
      <c r="A276" s="81" t="n">
        <v>43040</v>
      </c>
      <c r="B276" t="n">
        <v>54.1</v>
      </c>
      <c r="C276" t="n">
        <v>64.55265045166016</v>
      </c>
      <c r="D276" t="n">
        <v>38.05068969726562</v>
      </c>
      <c r="E276" t="n">
        <v>28.39768981933594</v>
      </c>
      <c r="F276" t="n">
        <v/>
      </c>
    </row>
    <row r="277">
      <c r="A277" s="81" t="n">
        <v>43070</v>
      </c>
      <c r="B277" t="n">
        <v>54.5</v>
      </c>
      <c r="C277" t="n">
        <v>64.88566589355469</v>
      </c>
      <c r="D277" t="n">
        <v>37.75478363037109</v>
      </c>
      <c r="E277" t="n">
        <v>29.04641151428223</v>
      </c>
      <c r="F277" t="n">
        <v/>
      </c>
    </row>
    <row r="278">
      <c r="A278" s="81" t="n">
        <v>43101</v>
      </c>
      <c r="B278" t="n">
        <v>54.4</v>
      </c>
      <c r="C278" t="n">
        <v>69.22251129150391</v>
      </c>
      <c r="D278" t="n">
        <v>40.57744216918945</v>
      </c>
      <c r="E278" t="n">
        <v>30.70130920410156</v>
      </c>
      <c r="F278" t="n">
        <v>-3.510066650091764e-05</v>
      </c>
    </row>
    <row r="279">
      <c r="A279" s="81" t="n">
        <v>43132</v>
      </c>
      <c r="B279" t="n">
        <v>54.1</v>
      </c>
      <c r="C279" t="n">
        <v>66.12480926513672</v>
      </c>
      <c r="D279" t="n">
        <v>38.14734268188477</v>
      </c>
      <c r="E279" t="n">
        <v>28.64408683776855</v>
      </c>
      <c r="F279" t="n">
        <v/>
      </c>
    </row>
    <row r="280">
      <c r="A280" s="81" t="n">
        <v>43160</v>
      </c>
      <c r="B280" t="n">
        <v>53.3</v>
      </c>
      <c r="C280" t="n">
        <v>65.13459777832031</v>
      </c>
      <c r="D280" t="n">
        <v>37.89384460449219</v>
      </c>
      <c r="E280" t="n">
        <v>28.71018600463867</v>
      </c>
      <c r="F280" t="n">
        <v/>
      </c>
    </row>
    <row r="281">
      <c r="A281" s="81" t="n">
        <v>43191</v>
      </c>
      <c r="B281" t="n">
        <v>53.5</v>
      </c>
      <c r="C281" t="n">
        <v>65.39805603027344</v>
      </c>
      <c r="D281" t="n">
        <v>38.75049591064453</v>
      </c>
      <c r="E281" t="n">
        <v>29.94947242736816</v>
      </c>
      <c r="F281" t="n">
        <v>0.005393534397974045</v>
      </c>
    </row>
    <row r="282">
      <c r="A282" s="81" t="n">
        <v>43221</v>
      </c>
      <c r="B282" t="n">
        <v>53.1</v>
      </c>
      <c r="C282" t="n">
        <v>65.70691680908203</v>
      </c>
      <c r="D282" t="n">
        <v>37.36062622070312</v>
      </c>
      <c r="E282" t="n">
        <v>29.7677116394043</v>
      </c>
      <c r="F282" t="n">
        <v/>
      </c>
    </row>
    <row r="283">
      <c r="A283" s="81" t="n">
        <v>43252</v>
      </c>
      <c r="B283" t="n">
        <v>53</v>
      </c>
      <c r="C283" t="n">
        <v>64.60770416259766</v>
      </c>
      <c r="D283" t="n">
        <v>35.84836196899414</v>
      </c>
      <c r="E283" t="n">
        <v>28.73496627807617</v>
      </c>
      <c r="F283" t="n">
        <v/>
      </c>
    </row>
    <row r="284">
      <c r="A284" s="81" t="n">
        <v>43282</v>
      </c>
      <c r="B284" t="n">
        <v>52.8</v>
      </c>
      <c r="C284" t="n">
        <v>67.32460021972656</v>
      </c>
      <c r="D284" t="n">
        <v>38.12031173706055</v>
      </c>
      <c r="E284" t="n">
        <v>29.69309234619141</v>
      </c>
      <c r="F284" t="n">
        <v>8.699966473854685e-05</v>
      </c>
    </row>
    <row r="285">
      <c r="A285" s="81" t="n">
        <v>43313</v>
      </c>
      <c r="B285" t="n">
        <v>52.6</v>
      </c>
      <c r="C285" t="n">
        <v>67.79303741455078</v>
      </c>
      <c r="D285" t="n">
        <v>36.91143035888672</v>
      </c>
      <c r="E285" t="n">
        <v>28.39068794250488</v>
      </c>
      <c r="F285" t="n">
        <v/>
      </c>
    </row>
    <row r="286">
      <c r="A286" s="81" t="n">
        <v>43344</v>
      </c>
      <c r="B286" t="n">
        <v>52.2</v>
      </c>
      <c r="C286" t="n">
        <v>68.20635223388672</v>
      </c>
      <c r="D286" t="n">
        <v>36.7233772277832</v>
      </c>
      <c r="E286" t="n">
        <v>28.8558349609375</v>
      </c>
      <c r="F286" t="n">
        <v/>
      </c>
    </row>
    <row r="287">
      <c r="A287" s="81" t="n">
        <v>43374</v>
      </c>
      <c r="B287" t="n">
        <v>52</v>
      </c>
      <c r="C287" t="n">
        <v>63.13632965087891</v>
      </c>
      <c r="D287" t="n">
        <v>33.46385955810547</v>
      </c>
      <c r="E287" t="n">
        <v>26.90222930908203</v>
      </c>
      <c r="F287" t="n">
        <v>0.006465919737490724</v>
      </c>
    </row>
    <row r="288">
      <c r="A288" s="81" t="n">
        <v>43405</v>
      </c>
      <c r="B288" t="n">
        <v>52</v>
      </c>
      <c r="C288" t="n">
        <v>64.13748168945312</v>
      </c>
      <c r="D288" t="n">
        <v>33.34744262695312</v>
      </c>
      <c r="E288" t="n">
        <v>26.58086013793945</v>
      </c>
      <c r="F288" t="n">
        <v/>
      </c>
    </row>
    <row r="289">
      <c r="A289" s="81" t="n">
        <v>43435</v>
      </c>
      <c r="B289" t="n">
        <v>51.5</v>
      </c>
      <c r="C289" t="n">
        <v>58.92971038818359</v>
      </c>
      <c r="D289" t="n">
        <v>31.39531135559082</v>
      </c>
      <c r="E289" t="n">
        <v>24.8217716217041</v>
      </c>
      <c r="F289" t="n">
        <v/>
      </c>
    </row>
    <row r="290">
      <c r="A290" s="81" t="n">
        <v>43466</v>
      </c>
      <c r="B290" t="n">
        <v>50.7</v>
      </c>
      <c r="C290" t="n">
        <v>64.29936218261719</v>
      </c>
      <c r="D290" t="n">
        <v>33.62771606445312</v>
      </c>
      <c r="E290" t="n">
        <v>27.21231079101562</v>
      </c>
      <c r="F290" t="n">
        <v>0.006281530002931163</v>
      </c>
    </row>
    <row r="291">
      <c r="A291" s="81" t="n">
        <v>43497</v>
      </c>
      <c r="B291" t="n">
        <v>50.6</v>
      </c>
      <c r="C291" t="n">
        <v>65.88550567626953</v>
      </c>
      <c r="D291" t="n">
        <v>34.68111419677734</v>
      </c>
      <c r="E291" t="n">
        <v>28.14560508728027</v>
      </c>
      <c r="F291" t="n">
        <v/>
      </c>
    </row>
    <row r="292">
      <c r="A292" s="81" t="n">
        <v>43525</v>
      </c>
      <c r="B292" t="n">
        <v>50.5</v>
      </c>
      <c r="C292" t="n">
        <v>66.92438507080078</v>
      </c>
      <c r="D292" t="n">
        <v>34.75313568115234</v>
      </c>
      <c r="E292" t="n">
        <v>28.52583122253418</v>
      </c>
      <c r="F292" t="n">
        <v/>
      </c>
    </row>
    <row r="293">
      <c r="A293" s="81" t="n">
        <v>43556</v>
      </c>
      <c r="B293" t="n">
        <v>50.4</v>
      </c>
      <c r="C293" t="n">
        <v>69.21549987792969</v>
      </c>
      <c r="D293" t="n">
        <v>36.49079513549805</v>
      </c>
      <c r="E293" t="n">
        <v>29.17394828796387</v>
      </c>
      <c r="F293" t="n">
        <v>0.00313693459033283</v>
      </c>
    </row>
    <row r="294">
      <c r="A294" s="81" t="n">
        <v>43586</v>
      </c>
      <c r="B294" t="n">
        <v>49.8</v>
      </c>
      <c r="C294" t="n">
        <v>65.01359558105469</v>
      </c>
      <c r="D294" t="n">
        <v>34.14091110229492</v>
      </c>
      <c r="E294" t="n">
        <v>27.38514709472656</v>
      </c>
      <c r="F294" t="n">
        <v/>
      </c>
    </row>
    <row r="295">
      <c r="A295" s="81" t="n">
        <v>43617</v>
      </c>
      <c r="B295" t="n">
        <v>49.4</v>
      </c>
      <c r="C295" t="n">
        <v>68.37141418457031</v>
      </c>
      <c r="D295" t="n">
        <v>35.61746978759766</v>
      </c>
      <c r="E295" t="n">
        <v>27.92956161499023</v>
      </c>
      <c r="F295" t="n">
        <v/>
      </c>
    </row>
    <row r="296">
      <c r="A296" s="81" t="n">
        <v>43647</v>
      </c>
      <c r="B296" t="n">
        <v>49.3</v>
      </c>
      <c r="C296" t="n">
        <v>69.28022003173828</v>
      </c>
      <c r="D296" t="n">
        <v>35.58132934570312</v>
      </c>
      <c r="E296" t="n">
        <v>27.95261573791504</v>
      </c>
      <c r="F296" t="n">
        <v>0.002074514789335913</v>
      </c>
    </row>
    <row r="297">
      <c r="A297" s="81" t="n">
        <v>43678</v>
      </c>
      <c r="B297" t="n">
        <v>49.5</v>
      </c>
      <c r="C297" t="n">
        <v>67.74920654296875</v>
      </c>
      <c r="D297" t="n">
        <v>35.0451545715332</v>
      </c>
      <c r="E297" t="n">
        <v>26.88910293579102</v>
      </c>
      <c r="F297" t="n">
        <v/>
      </c>
    </row>
    <row r="298">
      <c r="A298" s="81" t="n">
        <v>43709</v>
      </c>
      <c r="B298" t="n">
        <v>49.7</v>
      </c>
      <c r="C298" t="n">
        <v>69.27082824707031</v>
      </c>
      <c r="D298" t="n">
        <v>35.95109558105469</v>
      </c>
      <c r="E298" t="n">
        <v>27.85512542724609</v>
      </c>
      <c r="F298" t="n">
        <v/>
      </c>
    </row>
    <row r="299">
      <c r="A299" s="81" t="n">
        <v>43739</v>
      </c>
      <c r="B299" t="n">
        <v>49.8</v>
      </c>
      <c r="C299" t="n">
        <v>71.16814422607422</v>
      </c>
      <c r="D299" t="n">
        <v>37.36547470092773</v>
      </c>
      <c r="E299" t="n">
        <v>28.83000755310059</v>
      </c>
      <c r="F299" t="n">
        <v>0.0001576409878780286</v>
      </c>
    </row>
    <row r="300">
      <c r="A300" s="81" t="n">
        <v>43770</v>
      </c>
      <c r="B300" t="n">
        <v>50.3</v>
      </c>
      <c r="C300" t="n">
        <v>72.83063507080078</v>
      </c>
      <c r="D300" t="n">
        <v>37.70751571655273</v>
      </c>
      <c r="E300" t="n">
        <v>29.18451499938965</v>
      </c>
      <c r="F300" t="n">
        <v/>
      </c>
    </row>
    <row r="301">
      <c r="A301" s="81" t="n">
        <v>43800</v>
      </c>
      <c r="B301" t="n">
        <v>50.1</v>
      </c>
      <c r="C301" t="n">
        <v>74.43679046630859</v>
      </c>
      <c r="D301" t="n">
        <v>38.75212478637695</v>
      </c>
      <c r="E301" t="n">
        <v>30.22143745422363</v>
      </c>
      <c r="F301" t="n">
        <v/>
      </c>
    </row>
    <row r="302">
      <c r="A302" s="81" t="n">
        <v>43831</v>
      </c>
      <c r="B302" t="n">
        <v>50.4</v>
      </c>
      <c r="C302" t="n">
        <v>74.25371551513672</v>
      </c>
      <c r="D302" t="n">
        <v>37.57479095458984</v>
      </c>
      <c r="E302" t="n">
        <v>29.44472122192383</v>
      </c>
      <c r="F302" t="n">
        <v>-0.03363783079240897</v>
      </c>
    </row>
    <row r="303">
      <c r="A303" s="81" t="n">
        <v>43862</v>
      </c>
      <c r="B303" t="n">
        <v>47.1</v>
      </c>
      <c r="C303" t="n">
        <v>68.69252777099609</v>
      </c>
      <c r="D303" t="n">
        <v>34.79938125610352</v>
      </c>
      <c r="E303" t="n">
        <v>26.43169021606445</v>
      </c>
      <c r="F303" t="n">
        <v/>
      </c>
    </row>
    <row r="304">
      <c r="A304" s="81" t="n">
        <v>43891</v>
      </c>
      <c r="B304" t="n">
        <v>47.3</v>
      </c>
      <c r="C304" t="n">
        <v>59.48092269897461</v>
      </c>
      <c r="D304" t="n">
        <v>28.32032775878906</v>
      </c>
      <c r="E304" t="n">
        <v>21.54227828979492</v>
      </c>
      <c r="F304" t="n">
        <v/>
      </c>
    </row>
    <row r="305">
      <c r="A305" s="81" t="n">
        <v>43922</v>
      </c>
      <c r="B305" t="n">
        <v>39.6</v>
      </c>
      <c r="C305" t="n">
        <v>65.32730102539062</v>
      </c>
      <c r="D305" t="n">
        <v>30.06540107727051</v>
      </c>
      <c r="E305" t="n">
        <v>22.77816390991211</v>
      </c>
      <c r="F305" t="n">
        <v>-0.1145008073653633</v>
      </c>
    </row>
    <row r="306">
      <c r="A306" s="81" t="n">
        <v>43952</v>
      </c>
      <c r="B306" t="n">
        <v>42.4</v>
      </c>
      <c r="C306" t="n">
        <v>68.65450286865234</v>
      </c>
      <c r="D306" t="n">
        <v>32.28387451171875</v>
      </c>
      <c r="E306" t="n">
        <v>23.21117401123047</v>
      </c>
      <c r="F306" t="n">
        <v/>
      </c>
    </row>
    <row r="307">
      <c r="A307" s="81" t="n">
        <v>43983</v>
      </c>
      <c r="B307" t="n">
        <v>47.8</v>
      </c>
      <c r="C307" t="n">
        <v>70.08045196533203</v>
      </c>
      <c r="D307" t="n">
        <v>33.86186981201172</v>
      </c>
      <c r="E307" t="n">
        <v>23.23823738098145</v>
      </c>
      <c r="F307" t="n">
        <v/>
      </c>
    </row>
    <row r="308">
      <c r="A308" s="81" t="n">
        <v>44013</v>
      </c>
      <c r="B308" t="n">
        <v>50.6</v>
      </c>
      <c r="C308" t="n">
        <v>74.4600830078125</v>
      </c>
      <c r="D308" t="n">
        <v>35.2772102355957</v>
      </c>
      <c r="E308" t="n">
        <v>23.74909973144531</v>
      </c>
      <c r="F308" t="n">
        <v>0.1235111337444042</v>
      </c>
    </row>
    <row r="309">
      <c r="A309" s="81" t="n">
        <v>44044</v>
      </c>
      <c r="B309" t="n">
        <v>51.8</v>
      </c>
      <c r="C309" t="n">
        <v>78.94667053222656</v>
      </c>
      <c r="D309" t="n">
        <v>36.88796234130859</v>
      </c>
      <c r="E309" t="n">
        <v>24.39938163757324</v>
      </c>
      <c r="F309" t="n">
        <v/>
      </c>
    </row>
    <row r="310">
      <c r="A310" s="81" t="n">
        <v>44075</v>
      </c>
      <c r="B310" t="n">
        <v>52.4</v>
      </c>
      <c r="C310" t="n">
        <v>76.61709594726562</v>
      </c>
      <c r="D310" t="n">
        <v>35.51132965087891</v>
      </c>
      <c r="E310" t="n">
        <v>23.34610557556152</v>
      </c>
      <c r="F310" t="n">
        <v/>
      </c>
    </row>
    <row r="311">
      <c r="A311" s="81" t="n">
        <v>44105</v>
      </c>
      <c r="B311" t="n">
        <v>53</v>
      </c>
      <c r="C311" t="n">
        <v>74.91065979003906</v>
      </c>
      <c r="D311" t="n">
        <v>33.60091400146484</v>
      </c>
      <c r="E311" t="n">
        <v>22.29282760620117</v>
      </c>
      <c r="F311" t="n">
        <v>-0.002623450635427683</v>
      </c>
    </row>
    <row r="312">
      <c r="A312" s="81" t="n">
        <v>44136</v>
      </c>
      <c r="B312" t="n">
        <v>53.8</v>
      </c>
      <c r="C312" t="n">
        <v>83.72086334228516</v>
      </c>
      <c r="D312" t="n">
        <v>40.21246337890625</v>
      </c>
      <c r="E312" t="n">
        <v>25.88312911987305</v>
      </c>
      <c r="F312" t="n">
        <v/>
      </c>
    </row>
    <row r="313">
      <c r="A313" s="81" t="n">
        <v>44166</v>
      </c>
      <c r="B313" t="n">
        <v>53.8</v>
      </c>
      <c r="C313" t="n">
        <v>86.97076416015625</v>
      </c>
      <c r="D313" t="n">
        <v>41.28005218505859</v>
      </c>
      <c r="E313" t="n">
        <v>26.82649803161621</v>
      </c>
      <c r="F313" t="n">
        <v/>
      </c>
    </row>
    <row r="314">
      <c r="A314" s="81" t="n">
        <v>44197</v>
      </c>
      <c r="B314" t="n">
        <v>53.6</v>
      </c>
      <c r="C314" t="n">
        <v>87.37460327148438</v>
      </c>
      <c r="D314" t="n">
        <v>41.14377975463867</v>
      </c>
      <c r="E314" t="n">
        <v>27.0683650970459</v>
      </c>
      <c r="F314" t="n">
        <v>-0.0006209683402426656</v>
      </c>
    </row>
    <row r="315">
      <c r="A315" s="81" t="n">
        <v>44228</v>
      </c>
      <c r="B315" t="n">
        <v>53.9</v>
      </c>
      <c r="C315" t="n">
        <v>89.37443542480469</v>
      </c>
      <c r="D315" t="n">
        <v>42.54026031494141</v>
      </c>
      <c r="E315" t="n">
        <v>28.13368797302246</v>
      </c>
      <c r="F315" t="n">
        <v/>
      </c>
    </row>
    <row r="316">
      <c r="A316" s="81" t="n">
        <v>44256</v>
      </c>
      <c r="B316" t="n">
        <v>55</v>
      </c>
      <c r="C316" t="n">
        <v>91.92495727539062</v>
      </c>
      <c r="D316" t="n">
        <v>44.10772705078125</v>
      </c>
      <c r="E316" t="n">
        <v>29.00446891784668</v>
      </c>
      <c r="F316" t="n">
        <v/>
      </c>
    </row>
    <row r="317">
      <c r="A317" s="81" t="n">
        <v>44287</v>
      </c>
      <c r="B317" t="n">
        <v>55.9</v>
      </c>
      <c r="C317" t="n">
        <v>95.82802581787109</v>
      </c>
      <c r="D317" t="n">
        <v>46.15969467163086</v>
      </c>
      <c r="E317" t="n">
        <v>30.1346321105957</v>
      </c>
      <c r="F317" t="n">
        <v>0.01986212346888342</v>
      </c>
    </row>
    <row r="318">
      <c r="A318" s="81" t="n">
        <v>44317</v>
      </c>
      <c r="B318" t="n">
        <v>56</v>
      </c>
      <c r="C318" t="n">
        <v>97.23853302001953</v>
      </c>
      <c r="D318" t="n">
        <v>48.18315505981445</v>
      </c>
      <c r="E318" t="n">
        <v>31.30185317993164</v>
      </c>
      <c r="F318" t="n">
        <v/>
      </c>
    </row>
    <row r="319">
      <c r="A319" s="81" t="n">
        <v>44348</v>
      </c>
      <c r="B319" t="n">
        <v>55.5</v>
      </c>
      <c r="C319" t="n">
        <v>97.76023101806641</v>
      </c>
      <c r="D319" t="n">
        <v>46.88167953491211</v>
      </c>
      <c r="E319" t="n">
        <v>30.29211616516113</v>
      </c>
      <c r="F319" t="n">
        <v/>
      </c>
    </row>
    <row r="320">
      <c r="A320" s="81" t="n">
        <v>44378</v>
      </c>
      <c r="B320" t="n">
        <v>55.4</v>
      </c>
      <c r="C320" t="n">
        <v>99.35981750488281</v>
      </c>
      <c r="D320" t="n">
        <v>47.80789566040039</v>
      </c>
      <c r="E320" t="n">
        <v>30.89048194885254</v>
      </c>
      <c r="F320" t="n">
        <v>0.02250640829915882</v>
      </c>
    </row>
    <row r="321">
      <c r="A321" s="81" t="n">
        <v>44409</v>
      </c>
      <c r="B321" t="n">
        <v>54.1</v>
      </c>
      <c r="C321" t="n">
        <v>101.5200271606445</v>
      </c>
      <c r="D321" t="n">
        <v>48.74776077270508</v>
      </c>
      <c r="E321" t="n">
        <v>31.09773635864258</v>
      </c>
      <c r="F321" t="n">
        <v/>
      </c>
    </row>
    <row r="322">
      <c r="A322" s="81" t="n">
        <v>44440</v>
      </c>
      <c r="B322" t="n">
        <v>54.1</v>
      </c>
      <c r="C322" t="n">
        <v>97.22880554199219</v>
      </c>
      <c r="D322" t="n">
        <v>46.14876937866211</v>
      </c>
      <c r="E322" t="n">
        <v>30.38176536560059</v>
      </c>
      <c r="F322" t="n">
        <v/>
      </c>
    </row>
    <row r="323">
      <c r="A323" s="81" t="n">
        <v>44470</v>
      </c>
      <c r="B323" t="n">
        <v>54.2</v>
      </c>
      <c r="C323" t="n">
        <v>102.4736251831055</v>
      </c>
      <c r="D323" t="n">
        <v>48.25865173339844</v>
      </c>
      <c r="E323" t="n">
        <v>31.72892379760742</v>
      </c>
      <c r="F323" t="n">
        <v>0.005352043282738927</v>
      </c>
    </row>
    <row r="324">
      <c r="A324" s="81" t="n">
        <v>44501</v>
      </c>
      <c r="B324" t="n">
        <v>54.2</v>
      </c>
      <c r="C324" t="n">
        <v>100.1090698242188</v>
      </c>
      <c r="D324" t="n">
        <v>45.65007019042969</v>
      </c>
      <c r="E324" t="n">
        <v>30.18392944335938</v>
      </c>
      <c r="F324" t="n">
        <v/>
      </c>
    </row>
    <row r="325">
      <c r="A325" s="81" t="n">
        <v>44531</v>
      </c>
      <c r="B325" t="n">
        <v>54.3</v>
      </c>
      <c r="C325" t="n">
        <v>102.9309616088867</v>
      </c>
      <c r="D325" t="n">
        <v>47.00231170654297</v>
      </c>
      <c r="E325" t="n">
        <v>31.22020721435547</v>
      </c>
      <c r="F325" t="n">
        <v/>
      </c>
    </row>
    <row r="326">
      <c r="A326" s="81" t="n">
        <v>44562</v>
      </c>
      <c r="B326" t="n">
        <v>53.2</v>
      </c>
      <c r="C326" t="n">
        <v>99.27207183837891</v>
      </c>
      <c r="D326" t="n">
        <v>46.11868286132812</v>
      </c>
      <c r="E326" t="n">
        <v>32.79575729370117</v>
      </c>
      <c r="F326" t="n">
        <v>0.00611327279210289</v>
      </c>
    </row>
    <row r="327">
      <c r="A327" s="81" t="n">
        <v>44593</v>
      </c>
      <c r="B327" t="n">
        <v>53.6</v>
      </c>
      <c r="C327" t="n">
        <v>96.23403167724609</v>
      </c>
      <c r="D327" t="n">
        <v>42.71185684204102</v>
      </c>
      <c r="E327" t="n">
        <v>32.40867614746094</v>
      </c>
      <c r="F327" t="n">
        <v/>
      </c>
    </row>
    <row r="328">
      <c r="A328" s="81" t="n">
        <v>44621</v>
      </c>
      <c r="B328" t="n">
        <v>52.9</v>
      </c>
      <c r="C328" t="n">
        <v>98.10207366943359</v>
      </c>
      <c r="D328" t="n">
        <v>42.11809539794922</v>
      </c>
      <c r="E328" t="n">
        <v>32.55382919311523</v>
      </c>
      <c r="F328" t="n">
        <v/>
      </c>
    </row>
    <row r="329">
      <c r="A329" s="81" t="n">
        <v>44652</v>
      </c>
      <c r="B329" t="n">
        <v>52.2</v>
      </c>
      <c r="C329" t="n">
        <v>90.18744659423828</v>
      </c>
      <c r="D329" t="n">
        <v>39.04221725463867</v>
      </c>
      <c r="E329" t="n">
        <v>31.2570972442627</v>
      </c>
      <c r="F329" t="n">
        <v>0.007951096645584181</v>
      </c>
    </row>
    <row r="330">
      <c r="A330" s="81" t="n">
        <v>44682</v>
      </c>
      <c r="B330" t="n">
        <v>52.3</v>
      </c>
      <c r="C330" t="n">
        <v>90.59055328369141</v>
      </c>
      <c r="D330" t="n">
        <v>40.73589706420898</v>
      </c>
      <c r="E330" t="n">
        <v>32.09900665283203</v>
      </c>
      <c r="F330" t="n">
        <v/>
      </c>
    </row>
    <row r="331">
      <c r="A331" s="81" t="n">
        <v>44713</v>
      </c>
      <c r="B331" t="n">
        <v>52.2</v>
      </c>
      <c r="C331" t="n">
        <v>82.47929382324219</v>
      </c>
      <c r="D331" t="n">
        <v>35.3823127746582</v>
      </c>
      <c r="E331" t="n">
        <v>28.99264907836914</v>
      </c>
      <c r="F331" t="n">
        <v/>
      </c>
    </row>
    <row r="332">
      <c r="A332" s="81" t="n">
        <v>44743</v>
      </c>
      <c r="B332" t="n">
        <v/>
      </c>
      <c r="C332" t="n">
        <v>89.13095855712891</v>
      </c>
      <c r="D332" t="n">
        <v>37.99519348144531</v>
      </c>
      <c r="E332" t="n">
        <v>30.44909477233887</v>
      </c>
      <c r="F332" t="n">
        <v>0.003184090836015212</v>
      </c>
    </row>
    <row r="333">
      <c r="A333" s="81" t="n">
        <v>44774</v>
      </c>
      <c r="B333" t="n">
        <v/>
      </c>
      <c r="C333" t="n">
        <v>85.24103546142578</v>
      </c>
      <c r="D333" t="n">
        <v>35.17741775512695</v>
      </c>
      <c r="E333" t="n">
        <v>28.47891807556152</v>
      </c>
      <c r="F333" t="n">
        <v/>
      </c>
    </row>
    <row r="334">
      <c r="A334" s="81" t="n">
        <v>44805</v>
      </c>
      <c r="B334" t="n">
        <v/>
      </c>
      <c r="C334" t="n">
        <v>77.23294067382812</v>
      </c>
      <c r="D334" t="n">
        <v>31.84188270568848</v>
      </c>
      <c r="E334" t="n">
        <v>25.81917762756348</v>
      </c>
      <c r="F334" t="n">
        <v/>
      </c>
    </row>
    <row r="335">
      <c r="A335" s="81" t="n">
        <v>44834</v>
      </c>
      <c r="B335" t="n">
        <v/>
      </c>
      <c r="C335" t="n">
        <v>77.83000183105469</v>
      </c>
      <c r="D335" t="n">
        <v>31.97999954223633</v>
      </c>
      <c r="E335" t="n">
        <v>26.20999908447266</v>
      </c>
      <c r="F335" t="n">
        <v/>
      </c>
    </row>
    <row r="336">
      <c r="A336" s="81" t="n">
        <v>44835</v>
      </c>
      <c r="B336" t="n">
        <v/>
      </c>
      <c r="C336" t="n">
        <v>82.13504028320312</v>
      </c>
      <c r="D336" t="n">
        <v>35.05793380737305</v>
      </c>
      <c r="E336" t="n">
        <v>27.62189102172852</v>
      </c>
      <c r="F336" t="n">
        <v/>
      </c>
    </row>
    <row r="337">
      <c r="A337" s="81" t="n">
        <v>44866</v>
      </c>
      <c r="B337" t="n">
        <v/>
      </c>
      <c r="C337" t="n">
        <v>88.98210906982422</v>
      </c>
      <c r="D337" t="n">
        <v>40.36491394042969</v>
      </c>
      <c r="E337" t="n">
        <v>31.05985069274902</v>
      </c>
      <c r="F337" t="n">
        <v/>
      </c>
    </row>
    <row r="338">
      <c r="A338" s="81" t="n">
        <v>44896</v>
      </c>
      <c r="B338" t="n">
        <v/>
      </c>
      <c r="C338" t="n">
        <v>84.22885131835938</v>
      </c>
      <c r="D338" t="n">
        <v>39.30949020385742</v>
      </c>
      <c r="E338" t="n">
        <v>30.20282363891602</v>
      </c>
      <c r="F338"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22"/>
  <sheetViews>
    <sheetView zoomScale="200" zoomScaleNormal="200" workbookViewId="0">
      <pane ySplit="1" topLeftCell="A203" activePane="bottomLeft" state="frozen"/>
      <selection pane="bottomLeft" activeCell="H18" sqref="H18"/>
    </sheetView>
  </sheetViews>
  <sheetFormatPr baseColWidth="8" defaultColWidth="10.81640625" defaultRowHeight="14.5"/>
  <cols>
    <col width="10.81640625" customWidth="1" min="1" max="1"/>
    <col width="21.81640625" customWidth="1" min="2" max="2"/>
    <col width="10.81640625" customWidth="1" min="3" max="35"/>
  </cols>
  <sheetData>
    <row r="1">
      <c r="A1" t="inlineStr">
        <is>
          <t>DATE</t>
        </is>
      </c>
      <c r="B1" t="inlineStr">
        <is>
          <t>China Business Confidence</t>
        </is>
      </c>
      <c r="C1" t="inlineStr">
        <is>
          <t>China GDP</t>
        </is>
      </c>
    </row>
    <row r="2">
      <c r="A2" s="81" t="n">
        <v>38353</v>
      </c>
      <c r="B2" t="n">
        <v>55.7</v>
      </c>
    </row>
    <row r="3">
      <c r="A3" s="81" t="n">
        <v>38384</v>
      </c>
      <c r="B3" t="n">
        <v>54.4</v>
      </c>
    </row>
    <row r="4">
      <c r="A4" s="81" t="n">
        <v>38412</v>
      </c>
      <c r="B4" t="n">
        <v>63.4</v>
      </c>
    </row>
    <row r="5">
      <c r="A5" s="81" t="n">
        <v>38443</v>
      </c>
      <c r="B5" t="n">
        <v>56.9</v>
      </c>
      <c r="C5" t="n">
        <v>0.111</v>
      </c>
    </row>
    <row r="6">
      <c r="A6" s="81" t="n">
        <v>38473</v>
      </c>
      <c r="B6" t="n">
        <v>52.1</v>
      </c>
    </row>
    <row r="7">
      <c r="A7" s="81" t="n">
        <v>38504</v>
      </c>
      <c r="B7" t="n">
        <v>52.1</v>
      </c>
    </row>
    <row r="8">
      <c r="A8" s="81" t="n">
        <v>38534</v>
      </c>
      <c r="B8" t="n">
        <v>51.2</v>
      </c>
      <c r="C8" t="n">
        <v>0.111</v>
      </c>
    </row>
    <row r="9">
      <c r="A9" s="81" t="n">
        <v>38565</v>
      </c>
      <c r="B9" t="n">
        <v>54.1</v>
      </c>
    </row>
    <row r="10">
      <c r="A10" s="81" t="n">
        <v>38596</v>
      </c>
      <c r="B10" t="n">
        <v>56.9</v>
      </c>
    </row>
    <row r="11">
      <c r="A11" s="81" t="n">
        <v>38626</v>
      </c>
      <c r="B11" t="n">
        <v>54.1</v>
      </c>
      <c r="C11" t="n">
        <v>0.108</v>
      </c>
    </row>
    <row r="12">
      <c r="A12" s="81" t="n">
        <v>38657</v>
      </c>
      <c r="B12" t="n">
        <v>54.1</v>
      </c>
    </row>
    <row r="13">
      <c r="A13" s="81" t="n">
        <v>38687</v>
      </c>
      <c r="B13" t="n">
        <v>54.3</v>
      </c>
    </row>
    <row r="14">
      <c r="A14" s="81" t="n">
        <v>38718</v>
      </c>
      <c r="B14" t="n">
        <v>52.1</v>
      </c>
      <c r="C14" t="n">
        <v>0.124</v>
      </c>
    </row>
    <row r="15">
      <c r="A15" s="81" t="n">
        <v>38749</v>
      </c>
      <c r="B15" t="n">
        <v>52.1</v>
      </c>
    </row>
    <row r="16">
      <c r="A16" s="81" t="n">
        <v>38777</v>
      </c>
      <c r="B16" t="n">
        <v>55.3</v>
      </c>
    </row>
    <row r="17">
      <c r="A17" s="81" t="n">
        <v>38808</v>
      </c>
      <c r="B17" t="n">
        <v>58.1</v>
      </c>
      <c r="C17" t="n">
        <v>0.125</v>
      </c>
    </row>
    <row r="18">
      <c r="A18" s="81" t="n">
        <v>38838</v>
      </c>
      <c r="B18" t="n">
        <v>54.8</v>
      </c>
    </row>
    <row r="19">
      <c r="A19" s="81" t="n">
        <v>38869</v>
      </c>
      <c r="B19" t="n">
        <v>54.1</v>
      </c>
    </row>
    <row r="20">
      <c r="A20" s="81" t="n">
        <v>38899</v>
      </c>
      <c r="B20" t="n">
        <v>52.4</v>
      </c>
      <c r="C20" t="n">
        <v>0.137</v>
      </c>
    </row>
    <row r="21">
      <c r="A21" s="81" t="n">
        <v>38930</v>
      </c>
      <c r="B21" t="n">
        <v>53.1</v>
      </c>
    </row>
    <row r="22">
      <c r="A22" s="81" t="n">
        <v>38961</v>
      </c>
      <c r="B22" t="n">
        <v>57</v>
      </c>
    </row>
    <row r="23">
      <c r="A23" s="81" t="n">
        <v>38991</v>
      </c>
      <c r="B23" t="n">
        <v>54.7</v>
      </c>
      <c r="C23" t="n">
        <v>0.122</v>
      </c>
    </row>
    <row r="24">
      <c r="A24" s="81" t="n">
        <v>39022</v>
      </c>
      <c r="B24" t="n">
        <v>55.3</v>
      </c>
    </row>
    <row r="25">
      <c r="A25" s="81" t="n">
        <v>39052</v>
      </c>
      <c r="B25" t="n">
        <v>54.8</v>
      </c>
    </row>
    <row r="26">
      <c r="A26" s="81" t="n">
        <v>39083</v>
      </c>
      <c r="B26" t="n">
        <v>55.1</v>
      </c>
      <c r="C26" t="n">
        <v>0.125</v>
      </c>
    </row>
    <row r="27">
      <c r="A27" s="81" t="n">
        <v>39114</v>
      </c>
      <c r="B27" t="n">
        <v>53.1</v>
      </c>
    </row>
    <row r="28">
      <c r="A28" s="81" t="n">
        <v>39142</v>
      </c>
      <c r="B28" t="n">
        <v>56.1</v>
      </c>
    </row>
    <row r="29">
      <c r="A29" s="81" t="n">
        <v>39173</v>
      </c>
      <c r="B29" t="n">
        <v>58.6</v>
      </c>
      <c r="C29" t="n">
        <v>0.138</v>
      </c>
    </row>
    <row r="30">
      <c r="A30" s="81" t="n">
        <v>39203</v>
      </c>
      <c r="B30" t="n">
        <v>55.7</v>
      </c>
    </row>
    <row r="31">
      <c r="A31" s="81" t="n">
        <v>39234</v>
      </c>
      <c r="B31" t="n">
        <v>54.5</v>
      </c>
    </row>
    <row r="32">
      <c r="A32" s="81" t="n">
        <v>39264</v>
      </c>
      <c r="B32" t="n">
        <v>53.3</v>
      </c>
      <c r="C32" t="n">
        <v>0.15</v>
      </c>
    </row>
    <row r="33">
      <c r="A33" s="81" t="n">
        <v>39295</v>
      </c>
      <c r="B33" t="n">
        <v>54</v>
      </c>
    </row>
    <row r="34">
      <c r="A34" s="81" t="n">
        <v>39326</v>
      </c>
      <c r="B34" t="n">
        <v>56.1</v>
      </c>
    </row>
    <row r="35">
      <c r="A35" s="81" t="n">
        <v>39356</v>
      </c>
      <c r="B35" t="n">
        <v>53.2</v>
      </c>
      <c r="C35" t="n">
        <v>0.143</v>
      </c>
    </row>
    <row r="36">
      <c r="A36" s="81" t="n">
        <v>39387</v>
      </c>
      <c r="B36" t="n">
        <v>55.4</v>
      </c>
    </row>
    <row r="37">
      <c r="A37" s="81" t="n">
        <v>39417</v>
      </c>
      <c r="B37" t="n">
        <v>55.3</v>
      </c>
    </row>
    <row r="38">
      <c r="A38" s="81" t="n">
        <v>39448</v>
      </c>
      <c r="B38" t="n">
        <v>53</v>
      </c>
      <c r="C38" t="n">
        <v>0.139</v>
      </c>
    </row>
    <row r="39">
      <c r="A39" s="81" t="n">
        <v>39479</v>
      </c>
      <c r="B39" t="n">
        <v>53.4</v>
      </c>
    </row>
    <row r="40">
      <c r="A40" s="81" t="n">
        <v>39508</v>
      </c>
      <c r="B40" t="n">
        <v>58.4</v>
      </c>
    </row>
    <row r="41">
      <c r="A41" s="81" t="n">
        <v>39539</v>
      </c>
      <c r="B41" t="n">
        <v>59.2</v>
      </c>
      <c r="C41" t="n">
        <v>0.115</v>
      </c>
    </row>
    <row r="42">
      <c r="A42" s="81" t="n">
        <v>39569</v>
      </c>
      <c r="B42" t="n">
        <v>53.3</v>
      </c>
    </row>
    <row r="43">
      <c r="A43" s="81" t="n">
        <v>39600</v>
      </c>
      <c r="B43" t="n">
        <v>52</v>
      </c>
    </row>
    <row r="44">
      <c r="A44" s="81" t="n">
        <v>39630</v>
      </c>
      <c r="B44" t="n">
        <v>48.4</v>
      </c>
      <c r="C44" t="n">
        <v>0.109</v>
      </c>
    </row>
    <row r="45">
      <c r="A45" s="81" t="n">
        <v>39661</v>
      </c>
      <c r="B45" t="n">
        <v>48.4</v>
      </c>
    </row>
    <row r="46">
      <c r="A46" s="81" t="n">
        <v>39692</v>
      </c>
      <c r="B46" t="n">
        <v>51.2</v>
      </c>
    </row>
    <row r="47">
      <c r="A47" s="81" t="n">
        <v>39722</v>
      </c>
      <c r="B47" t="n">
        <v>44.6</v>
      </c>
      <c r="C47" t="n">
        <v>0.095</v>
      </c>
    </row>
    <row r="48">
      <c r="A48" s="81" t="n">
        <v>39753</v>
      </c>
      <c r="B48" t="n">
        <v>38.8</v>
      </c>
    </row>
    <row r="49">
      <c r="A49" s="81" t="n">
        <v>39783</v>
      </c>
      <c r="B49" t="n">
        <v>41.2</v>
      </c>
    </row>
    <row r="50">
      <c r="A50" s="81" t="n">
        <v>39814</v>
      </c>
      <c r="B50" t="n">
        <v>45.3</v>
      </c>
      <c r="C50" t="n">
        <v>0.07099999999999999</v>
      </c>
    </row>
    <row r="51">
      <c r="A51" s="81" t="n">
        <v>39845</v>
      </c>
      <c r="B51" t="n">
        <v>49</v>
      </c>
    </row>
    <row r="52">
      <c r="A52" s="81" t="n">
        <v>39873</v>
      </c>
      <c r="B52" t="n">
        <v>52.4</v>
      </c>
    </row>
    <row r="53">
      <c r="A53" s="81" t="n">
        <v>39904</v>
      </c>
      <c r="B53" t="n">
        <v>53.5</v>
      </c>
      <c r="C53" t="n">
        <v>0.064</v>
      </c>
    </row>
    <row r="54">
      <c r="A54" s="81" t="n">
        <v>39934</v>
      </c>
      <c r="B54" t="n">
        <v>53.1</v>
      </c>
    </row>
    <row r="55">
      <c r="A55" s="81" t="n">
        <v>39965</v>
      </c>
      <c r="B55" t="n">
        <v>53.2</v>
      </c>
    </row>
    <row r="56">
      <c r="A56" s="81" t="n">
        <v>39995</v>
      </c>
      <c r="B56" t="n">
        <v>53.3</v>
      </c>
      <c r="C56" t="n">
        <v>0.08199999999999999</v>
      </c>
    </row>
    <row r="57">
      <c r="A57" s="81" t="n">
        <v>40026</v>
      </c>
      <c r="B57" t="n">
        <v>54</v>
      </c>
    </row>
    <row r="58">
      <c r="A58" s="81" t="n">
        <v>40057</v>
      </c>
      <c r="B58" t="n">
        <v>54.3</v>
      </c>
    </row>
    <row r="59">
      <c r="A59" s="81" t="n">
        <v>40087</v>
      </c>
      <c r="B59" t="n">
        <v>55.2</v>
      </c>
      <c r="C59" t="n">
        <v>0.106</v>
      </c>
    </row>
    <row r="60">
      <c r="A60" s="81" t="n">
        <v>40118</v>
      </c>
      <c r="B60" t="n">
        <v>55.2</v>
      </c>
    </row>
    <row r="61">
      <c r="A61" s="81" t="n">
        <v>40148</v>
      </c>
      <c r="B61" t="n">
        <v>56.6</v>
      </c>
    </row>
    <row r="62">
      <c r="A62" s="81" t="n">
        <v>40179</v>
      </c>
      <c r="B62" t="n">
        <v>55.8</v>
      </c>
      <c r="C62" t="n">
        <v>0.119</v>
      </c>
    </row>
    <row r="63">
      <c r="A63" s="81" t="n">
        <v>40210</v>
      </c>
      <c r="B63" t="n">
        <v>52</v>
      </c>
    </row>
    <row r="64">
      <c r="A64" s="81" t="n">
        <v>40238</v>
      </c>
      <c r="B64" t="n">
        <v>55.1</v>
      </c>
    </row>
    <row r="65">
      <c r="A65" s="81" t="n">
        <v>40269</v>
      </c>
      <c r="B65" t="n">
        <v>55.7</v>
      </c>
      <c r="C65" t="n">
        <v>0.122</v>
      </c>
    </row>
    <row r="66">
      <c r="A66" s="81" t="n">
        <v>40299</v>
      </c>
      <c r="B66" t="n">
        <v>53.9</v>
      </c>
    </row>
    <row r="67">
      <c r="A67" s="81" t="n">
        <v>40330</v>
      </c>
      <c r="B67" t="n">
        <v>52.1</v>
      </c>
    </row>
    <row r="68">
      <c r="A68" s="81" t="n">
        <v>40360</v>
      </c>
      <c r="B68" t="n">
        <v>51.2</v>
      </c>
      <c r="C68" t="n">
        <v>0.108</v>
      </c>
    </row>
    <row r="69">
      <c r="A69" s="81" t="n">
        <v>40391</v>
      </c>
      <c r="B69" t="n">
        <v>51.7</v>
      </c>
    </row>
    <row r="70">
      <c r="A70" s="81" t="n">
        <v>40422</v>
      </c>
      <c r="B70" t="n">
        <v>53.8</v>
      </c>
    </row>
    <row r="71">
      <c r="A71" s="81" t="n">
        <v>40452</v>
      </c>
      <c r="B71" t="n">
        <v>54.7</v>
      </c>
      <c r="C71" t="n">
        <v>0.099</v>
      </c>
    </row>
    <row r="72">
      <c r="A72" s="81" t="n">
        <v>40483</v>
      </c>
      <c r="B72" t="n">
        <v>55.2</v>
      </c>
    </row>
    <row r="73">
      <c r="A73" s="81" t="n">
        <v>40513</v>
      </c>
      <c r="B73" t="n">
        <v>53.9</v>
      </c>
    </row>
    <row r="74">
      <c r="A74" s="81" t="n">
        <v>40544</v>
      </c>
      <c r="B74" t="n">
        <v>52.9</v>
      </c>
      <c r="C74" t="n">
        <v>0.099</v>
      </c>
    </row>
    <row r="75">
      <c r="A75" s="81" t="n">
        <v>40575</v>
      </c>
      <c r="B75" t="n">
        <v>52.2</v>
      </c>
    </row>
    <row r="76">
      <c r="A76" s="81" t="n">
        <v>40603</v>
      </c>
      <c r="B76" t="n">
        <v>53.4</v>
      </c>
    </row>
    <row r="77">
      <c r="A77" s="81" t="n">
        <v>40634</v>
      </c>
      <c r="B77" t="n">
        <v>52.9</v>
      </c>
      <c r="C77" t="n">
        <v>0.102</v>
      </c>
    </row>
    <row r="78">
      <c r="A78" s="81" t="n">
        <v>40664</v>
      </c>
      <c r="B78" t="n">
        <v>52</v>
      </c>
    </row>
    <row r="79">
      <c r="A79" s="81" t="n">
        <v>40695</v>
      </c>
      <c r="B79" t="n">
        <v>50.9</v>
      </c>
    </row>
    <row r="80">
      <c r="A80" s="81" t="n">
        <v>40725</v>
      </c>
      <c r="B80" t="n">
        <v>50.7</v>
      </c>
      <c r="C80" t="n">
        <v>0.1</v>
      </c>
    </row>
    <row r="81">
      <c r="A81" s="81" t="n">
        <v>40756</v>
      </c>
      <c r="B81" t="n">
        <v>50.9</v>
      </c>
    </row>
    <row r="82">
      <c r="A82" s="81" t="n">
        <v>40787</v>
      </c>
      <c r="B82" t="n">
        <v>51.2</v>
      </c>
    </row>
    <row r="83">
      <c r="A83" s="81" t="n">
        <v>40817</v>
      </c>
      <c r="B83" t="n">
        <v>50.4</v>
      </c>
      <c r="C83" t="n">
        <v>0.094</v>
      </c>
    </row>
    <row r="84">
      <c r="A84" s="81" t="n">
        <v>40848</v>
      </c>
      <c r="B84" t="n">
        <v>49</v>
      </c>
    </row>
    <row r="85">
      <c r="A85" s="81" t="n">
        <v>40878</v>
      </c>
      <c r="B85" t="n">
        <v>50.3</v>
      </c>
    </row>
    <row r="86">
      <c r="A86" s="81" t="n">
        <v>40909</v>
      </c>
      <c r="B86" t="n">
        <v>50.5</v>
      </c>
      <c r="C86" t="n">
        <v>0.08800000000000001</v>
      </c>
    </row>
    <row r="87">
      <c r="A87" s="81" t="n">
        <v>40940</v>
      </c>
      <c r="B87" t="n">
        <v>51</v>
      </c>
    </row>
    <row r="88">
      <c r="A88" s="81" t="n">
        <v>40969</v>
      </c>
      <c r="B88" t="n">
        <v>53.1</v>
      </c>
    </row>
    <row r="89">
      <c r="A89" s="81" t="n">
        <v>41000</v>
      </c>
      <c r="B89" t="n">
        <v>53.3</v>
      </c>
      <c r="C89" t="n">
        <v>0.081</v>
      </c>
    </row>
    <row r="90">
      <c r="A90" s="81" t="n">
        <v>41030</v>
      </c>
      <c r="B90" t="n">
        <v>50.4</v>
      </c>
    </row>
    <row r="91">
      <c r="A91" s="81" t="n">
        <v>41061</v>
      </c>
      <c r="B91" t="n">
        <v>50.2</v>
      </c>
    </row>
    <row r="92">
      <c r="A92" s="81" t="n">
        <v>41091</v>
      </c>
      <c r="B92" t="n">
        <v>50.1</v>
      </c>
      <c r="C92" t="n">
        <v>0.077</v>
      </c>
    </row>
    <row r="93">
      <c r="A93" s="81" t="n">
        <v>41122</v>
      </c>
      <c r="B93" t="n">
        <v>49.2</v>
      </c>
    </row>
    <row r="94">
      <c r="A94" s="81" t="n">
        <v>41153</v>
      </c>
      <c r="B94" t="n">
        <v>49.8</v>
      </c>
    </row>
    <row r="95">
      <c r="A95" s="81" t="n">
        <v>41183</v>
      </c>
      <c r="B95" t="n">
        <v>50.2</v>
      </c>
      <c r="C95" t="n">
        <v>0.075</v>
      </c>
    </row>
    <row r="96">
      <c r="A96" s="81" t="n">
        <v>41214</v>
      </c>
      <c r="B96" t="n">
        <v>50.6</v>
      </c>
    </row>
    <row r="97">
      <c r="A97" s="81" t="n">
        <v>41244</v>
      </c>
      <c r="B97" t="n">
        <v>50.6</v>
      </c>
    </row>
    <row r="98">
      <c r="A98" s="81" t="n">
        <v>41275</v>
      </c>
      <c r="B98" t="n">
        <v>50.4</v>
      </c>
      <c r="C98" t="n">
        <v>0.081</v>
      </c>
    </row>
    <row r="99">
      <c r="A99" s="81" t="n">
        <v>41306</v>
      </c>
      <c r="B99" t="n">
        <v>50.1</v>
      </c>
    </row>
    <row r="100">
      <c r="A100" s="81" t="n">
        <v>41334</v>
      </c>
      <c r="B100" t="n">
        <v>50.9</v>
      </c>
    </row>
    <row r="101">
      <c r="A101" s="81" t="n">
        <v>41365</v>
      </c>
      <c r="B101" t="n">
        <v>50.6</v>
      </c>
      <c r="C101" t="n">
        <v>0.079</v>
      </c>
    </row>
    <row r="102">
      <c r="A102" s="81" t="n">
        <v>41395</v>
      </c>
      <c r="B102" t="n">
        <v>50.8</v>
      </c>
    </row>
    <row r="103">
      <c r="A103" s="81" t="n">
        <v>41426</v>
      </c>
      <c r="B103" t="n">
        <v>50.1</v>
      </c>
    </row>
    <row r="104">
      <c r="A104" s="81" t="n">
        <v>41456</v>
      </c>
      <c r="B104" t="n">
        <v>50.3</v>
      </c>
      <c r="C104" t="n">
        <v>0.076</v>
      </c>
    </row>
    <row r="105">
      <c r="A105" s="81" t="n">
        <v>41487</v>
      </c>
      <c r="B105" t="n">
        <v>51</v>
      </c>
    </row>
    <row r="106">
      <c r="A106" s="81" t="n">
        <v>41518</v>
      </c>
      <c r="B106" t="n">
        <v>51.1</v>
      </c>
    </row>
    <row r="107">
      <c r="A107" s="81" t="n">
        <v>41548</v>
      </c>
      <c r="B107" t="n">
        <v>51.4</v>
      </c>
      <c r="C107" t="n">
        <v>0.079</v>
      </c>
    </row>
    <row r="108">
      <c r="A108" s="81" t="n">
        <v>41579</v>
      </c>
      <c r="B108" t="n">
        <v>51.4</v>
      </c>
    </row>
    <row r="109">
      <c r="A109" s="81" t="n">
        <v>41609</v>
      </c>
      <c r="B109" t="n">
        <v>51</v>
      </c>
    </row>
    <row r="110">
      <c r="A110" s="81" t="n">
        <v>41640</v>
      </c>
      <c r="B110" t="n">
        <v>50.5</v>
      </c>
      <c r="C110" t="n">
        <v>0.077</v>
      </c>
    </row>
    <row r="111">
      <c r="A111" s="81" t="n">
        <v>41671</v>
      </c>
      <c r="B111" t="n">
        <v>50.2</v>
      </c>
    </row>
    <row r="112">
      <c r="A112" s="81" t="n">
        <v>41699</v>
      </c>
      <c r="B112" t="n">
        <v>50.3</v>
      </c>
    </row>
    <row r="113">
      <c r="A113" s="81" t="n">
        <v>41730</v>
      </c>
      <c r="B113" t="n">
        <v>50.4</v>
      </c>
      <c r="C113" t="n">
        <v>0.075</v>
      </c>
    </row>
    <row r="114">
      <c r="A114" s="81" t="n">
        <v>41760</v>
      </c>
      <c r="B114" t="n">
        <v>50.8</v>
      </c>
    </row>
    <row r="115">
      <c r="A115" s="81" t="n">
        <v>41791</v>
      </c>
      <c r="B115" t="n">
        <v>51</v>
      </c>
    </row>
    <row r="116">
      <c r="A116" s="81" t="n">
        <v>41821</v>
      </c>
      <c r="B116" t="n">
        <v>51.7</v>
      </c>
      <c r="C116" t="n">
        <v>0.076</v>
      </c>
    </row>
    <row r="117">
      <c r="A117" s="81" t="n">
        <v>41852</v>
      </c>
      <c r="B117" t="n">
        <v>51.1</v>
      </c>
    </row>
    <row r="118">
      <c r="A118" s="81" t="n">
        <v>41883</v>
      </c>
      <c r="B118" t="n">
        <v>51.1</v>
      </c>
    </row>
    <row r="119">
      <c r="A119" s="81" t="n">
        <v>41913</v>
      </c>
      <c r="B119" t="n">
        <v>50.8</v>
      </c>
      <c r="C119" t="n">
        <v>0.07200000000000001</v>
      </c>
    </row>
    <row r="120">
      <c r="A120" s="81" t="n">
        <v>41944</v>
      </c>
      <c r="B120" t="n">
        <v>50.3</v>
      </c>
    </row>
    <row r="121">
      <c r="A121" s="81" t="n">
        <v>41974</v>
      </c>
      <c r="B121" t="n">
        <v>50.1</v>
      </c>
    </row>
    <row r="122">
      <c r="A122" s="81" t="n">
        <v>42005</v>
      </c>
      <c r="B122" t="n">
        <v>49.8</v>
      </c>
      <c r="C122" t="n">
        <v>0.073</v>
      </c>
    </row>
    <row r="123">
      <c r="A123" s="81" t="n">
        <v>42036</v>
      </c>
      <c r="B123" t="n">
        <v>49.9</v>
      </c>
    </row>
    <row r="124">
      <c r="A124" s="81" t="n">
        <v>42064</v>
      </c>
      <c r="B124" t="n">
        <v>50.1</v>
      </c>
    </row>
    <row r="125">
      <c r="A125" s="81" t="n">
        <v>42095</v>
      </c>
      <c r="B125" t="n">
        <v>50.1</v>
      </c>
      <c r="C125" t="n">
        <v>0.07099999999999999</v>
      </c>
    </row>
    <row r="126">
      <c r="A126" s="81" t="n">
        <v>42125</v>
      </c>
      <c r="B126" t="n">
        <v>50.2</v>
      </c>
    </row>
    <row r="127">
      <c r="A127" s="81" t="n">
        <v>42156</v>
      </c>
      <c r="B127" t="n">
        <v>50.2</v>
      </c>
    </row>
    <row r="128">
      <c r="A128" s="81" t="n">
        <v>42186</v>
      </c>
      <c r="B128" t="n">
        <v>50</v>
      </c>
      <c r="C128" t="n">
        <v>0.07099999999999999</v>
      </c>
    </row>
    <row r="129">
      <c r="A129" s="81" t="n">
        <v>42217</v>
      </c>
      <c r="B129" t="n">
        <v>49.7</v>
      </c>
    </row>
    <row r="130">
      <c r="A130" s="81" t="n">
        <v>42248</v>
      </c>
      <c r="B130" t="n">
        <v>49.8</v>
      </c>
    </row>
    <row r="131">
      <c r="A131" s="81" t="n">
        <v>42278</v>
      </c>
      <c r="B131" t="n">
        <v>49.8</v>
      </c>
      <c r="C131" t="n">
        <v>0.07000000000000001</v>
      </c>
    </row>
    <row r="132">
      <c r="A132" s="81" t="n">
        <v>42309</v>
      </c>
      <c r="B132" t="n">
        <v>49.6</v>
      </c>
    </row>
    <row r="133">
      <c r="A133" s="81" t="n">
        <v>42339</v>
      </c>
      <c r="B133" t="n">
        <v>49.7</v>
      </c>
    </row>
    <row r="134">
      <c r="A134" s="81" t="n">
        <v>42370</v>
      </c>
      <c r="B134" t="n">
        <v>49.4</v>
      </c>
      <c r="C134" t="n">
        <v>0.06900000000000001</v>
      </c>
    </row>
    <row r="135">
      <c r="A135" s="81" t="n">
        <v>42401</v>
      </c>
      <c r="B135" t="n">
        <v>49</v>
      </c>
    </row>
    <row r="136">
      <c r="A136" s="81" t="n">
        <v>42430</v>
      </c>
      <c r="B136" t="n">
        <v>50.2</v>
      </c>
    </row>
    <row r="137">
      <c r="A137" s="81" t="n">
        <v>42461</v>
      </c>
      <c r="B137" t="n">
        <v>50.1</v>
      </c>
      <c r="C137" t="n">
        <v>0.06900000000000001</v>
      </c>
    </row>
    <row r="138">
      <c r="A138" s="81" t="n">
        <v>42491</v>
      </c>
      <c r="B138" t="n">
        <v>50.1</v>
      </c>
    </row>
    <row r="139">
      <c r="A139" s="81" t="n">
        <v>42522</v>
      </c>
      <c r="B139" t="n">
        <v>50</v>
      </c>
    </row>
    <row r="140">
      <c r="A140" s="81" t="n">
        <v>42552</v>
      </c>
      <c r="B140" t="n">
        <v>49.9</v>
      </c>
      <c r="C140" t="n">
        <v>0.068</v>
      </c>
    </row>
    <row r="141">
      <c r="A141" s="81" t="n">
        <v>42583</v>
      </c>
      <c r="B141" t="n">
        <v>50.4</v>
      </c>
    </row>
    <row r="142">
      <c r="A142" s="81" t="n">
        <v>42614</v>
      </c>
      <c r="B142" t="n">
        <v>50.4</v>
      </c>
    </row>
    <row r="143">
      <c r="A143" s="81" t="n">
        <v>42644</v>
      </c>
      <c r="B143" t="n">
        <v>51.2</v>
      </c>
      <c r="C143" t="n">
        <v>0.068</v>
      </c>
    </row>
    <row r="144">
      <c r="A144" s="81" t="n">
        <v>42675</v>
      </c>
      <c r="B144" t="n">
        <v>51.7</v>
      </c>
    </row>
    <row r="145">
      <c r="A145" s="81" t="n">
        <v>42705</v>
      </c>
      <c r="B145" t="n">
        <v>51.4</v>
      </c>
    </row>
    <row r="146">
      <c r="A146" s="81" t="n">
        <v>42736</v>
      </c>
      <c r="B146" t="n">
        <v>51.3</v>
      </c>
      <c r="C146" t="n">
        <v>0.06900000000000001</v>
      </c>
    </row>
    <row r="147">
      <c r="A147" s="81" t="n">
        <v>42767</v>
      </c>
      <c r="B147" t="n">
        <v>51.6</v>
      </c>
    </row>
    <row r="148">
      <c r="A148" s="81" t="n">
        <v>42795</v>
      </c>
      <c r="B148" t="n">
        <v>51.8</v>
      </c>
    </row>
    <row r="149">
      <c r="A149" s="81" t="n">
        <v>42826</v>
      </c>
      <c r="B149" t="n">
        <v>51.2</v>
      </c>
      <c r="C149" t="n">
        <v>0.07000000000000001</v>
      </c>
    </row>
    <row r="150">
      <c r="A150" s="81" t="n">
        <v>42856</v>
      </c>
      <c r="B150" t="n">
        <v>51.2</v>
      </c>
    </row>
    <row r="151">
      <c r="A151" s="81" t="n">
        <v>42887</v>
      </c>
      <c r="B151" t="n">
        <v>51.7</v>
      </c>
    </row>
    <row r="152">
      <c r="A152" s="81" t="n">
        <v>42917</v>
      </c>
      <c r="B152" t="n">
        <v>51.4</v>
      </c>
      <c r="C152" t="n">
        <v>0.07000000000000001</v>
      </c>
    </row>
    <row r="153">
      <c r="A153" s="81" t="n">
        <v>42948</v>
      </c>
      <c r="B153" t="n">
        <v>51.7</v>
      </c>
    </row>
    <row r="154">
      <c r="A154" s="81" t="n">
        <v>42979</v>
      </c>
      <c r="B154" t="n">
        <v>52.4</v>
      </c>
    </row>
    <row r="155">
      <c r="A155" s="81" t="n">
        <v>43009</v>
      </c>
      <c r="B155" t="n">
        <v>51.6</v>
      </c>
      <c r="C155" t="n">
        <v>0.06900000000000001</v>
      </c>
    </row>
    <row r="156">
      <c r="A156" s="81" t="n">
        <v>43040</v>
      </c>
      <c r="B156" t="n">
        <v>51.8</v>
      </c>
    </row>
    <row r="157">
      <c r="A157" s="81" t="n">
        <v>43070</v>
      </c>
      <c r="B157" t="n">
        <v>51.6</v>
      </c>
    </row>
    <row r="158">
      <c r="A158" s="81" t="n">
        <v>43101</v>
      </c>
      <c r="B158" t="n">
        <v>51.3</v>
      </c>
      <c r="C158" t="n">
        <v>0.068</v>
      </c>
    </row>
    <row r="159">
      <c r="A159" s="81" t="n">
        <v>43132</v>
      </c>
      <c r="B159" t="n">
        <v>50.3</v>
      </c>
    </row>
    <row r="160">
      <c r="A160" s="81" t="n">
        <v>43160</v>
      </c>
      <c r="B160" t="n">
        <v>51.5</v>
      </c>
    </row>
    <row r="161">
      <c r="A161" s="81" t="n">
        <v>43191</v>
      </c>
      <c r="B161" t="n">
        <v>51.4</v>
      </c>
      <c r="C161" t="n">
        <v>0.06900000000000001</v>
      </c>
    </row>
    <row r="162">
      <c r="A162" s="81" t="n">
        <v>43221</v>
      </c>
      <c r="B162" t="n">
        <v>51.9</v>
      </c>
    </row>
    <row r="163">
      <c r="A163" s="81" t="n">
        <v>43252</v>
      </c>
      <c r="B163" t="n">
        <v>51.5</v>
      </c>
    </row>
    <row r="164">
      <c r="A164" s="81" t="n">
        <v>43282</v>
      </c>
      <c r="B164" t="n">
        <v>51.2</v>
      </c>
      <c r="C164" t="n">
        <v>0.06900000000000001</v>
      </c>
    </row>
    <row r="165">
      <c r="A165" s="81" t="n">
        <v>43313</v>
      </c>
      <c r="B165" t="n">
        <v>51.3</v>
      </c>
    </row>
    <row r="166">
      <c r="A166" s="81" t="n">
        <v>43344</v>
      </c>
      <c r="B166" t="n">
        <v>50.8</v>
      </c>
    </row>
    <row r="167">
      <c r="A167" s="81" t="n">
        <v>43374</v>
      </c>
      <c r="B167" t="n">
        <v>50.2</v>
      </c>
      <c r="C167" t="n">
        <v>0.067</v>
      </c>
    </row>
    <row r="168">
      <c r="A168" s="81" t="n">
        <v>43405</v>
      </c>
      <c r="B168" t="n">
        <v>50</v>
      </c>
    </row>
    <row r="169">
      <c r="A169" s="81" t="n">
        <v>43435</v>
      </c>
      <c r="B169" t="n">
        <v>49.4</v>
      </c>
    </row>
    <row r="170">
      <c r="A170" s="81" t="n">
        <v>43466</v>
      </c>
      <c r="B170" t="n">
        <v>49.5</v>
      </c>
      <c r="C170" t="n">
        <v>0.065</v>
      </c>
    </row>
    <row r="171">
      <c r="A171" s="81" t="n">
        <v>43497</v>
      </c>
      <c r="B171" t="n">
        <v>49.2</v>
      </c>
    </row>
    <row r="172">
      <c r="A172" s="81" t="n">
        <v>43525</v>
      </c>
      <c r="B172" t="n">
        <v>50.5</v>
      </c>
    </row>
    <row r="173">
      <c r="A173" s="81" t="n">
        <v>43556</v>
      </c>
      <c r="B173" t="n">
        <v>50.1</v>
      </c>
      <c r="C173" t="n">
        <v>0.063</v>
      </c>
    </row>
    <row r="174">
      <c r="A174" s="81" t="n">
        <v>43586</v>
      </c>
      <c r="B174" t="n">
        <v>49.4</v>
      </c>
    </row>
    <row r="175">
      <c r="A175" s="81" t="n">
        <v>43617</v>
      </c>
      <c r="B175" t="n">
        <v>49.4</v>
      </c>
    </row>
    <row r="176">
      <c r="A176" s="81" t="n">
        <v>43647</v>
      </c>
      <c r="B176" t="n">
        <v>49.7</v>
      </c>
      <c r="C176" t="n">
        <v>0.06</v>
      </c>
    </row>
    <row r="177">
      <c r="A177" s="81" t="n">
        <v>43678</v>
      </c>
      <c r="B177" t="n">
        <v>49.5</v>
      </c>
    </row>
    <row r="178">
      <c r="A178" s="81" t="n">
        <v>43709</v>
      </c>
      <c r="B178" t="n">
        <v>49.8</v>
      </c>
    </row>
    <row r="179">
      <c r="A179" s="81" t="n">
        <v>43739</v>
      </c>
      <c r="B179" t="n">
        <v>49.3</v>
      </c>
      <c r="C179" t="n">
        <v>0.059</v>
      </c>
    </row>
    <row r="180">
      <c r="A180" s="81" t="n">
        <v>43770</v>
      </c>
      <c r="B180" t="n">
        <v>50.2</v>
      </c>
    </row>
    <row r="181">
      <c r="A181" s="81" t="n">
        <v>43800</v>
      </c>
      <c r="B181" t="n">
        <v>50.2</v>
      </c>
    </row>
    <row r="182">
      <c r="A182" s="81" t="n">
        <v>43831</v>
      </c>
      <c r="B182" t="n">
        <v>50</v>
      </c>
      <c r="C182" t="n">
        <v>0.058</v>
      </c>
    </row>
    <row r="183">
      <c r="A183" s="81" t="n">
        <v>43862</v>
      </c>
      <c r="B183" t="n">
        <v>35.7</v>
      </c>
    </row>
    <row r="184">
      <c r="A184" s="81" t="n">
        <v>43891</v>
      </c>
      <c r="B184" t="n">
        <v>52</v>
      </c>
    </row>
    <row r="185">
      <c r="A185" s="81" t="n">
        <v>43922</v>
      </c>
      <c r="B185" t="n">
        <v>50.8</v>
      </c>
      <c r="C185" t="n">
        <v>-0.06900000000000001</v>
      </c>
    </row>
    <row r="186">
      <c r="A186" s="81" t="n">
        <v>43952</v>
      </c>
      <c r="B186" t="n">
        <v>50.6</v>
      </c>
    </row>
    <row r="187">
      <c r="A187" s="81" t="n">
        <v>43983</v>
      </c>
      <c r="B187" t="n">
        <v>50.9</v>
      </c>
    </row>
    <row r="188">
      <c r="A188" s="81" t="n">
        <v>44013</v>
      </c>
      <c r="B188" t="n">
        <v>51.1</v>
      </c>
      <c r="C188" t="n">
        <v>0.031</v>
      </c>
    </row>
    <row r="189">
      <c r="A189" s="81" t="n">
        <v>44044</v>
      </c>
      <c r="B189" t="n">
        <v>51</v>
      </c>
    </row>
    <row r="190">
      <c r="A190" s="81" t="n">
        <v>44075</v>
      </c>
      <c r="B190" t="n">
        <v>51.5</v>
      </c>
    </row>
    <row r="191">
      <c r="A191" s="81" t="n">
        <v>44105</v>
      </c>
      <c r="B191" t="n">
        <v>51.4</v>
      </c>
      <c r="C191" t="n">
        <v>0.048</v>
      </c>
    </row>
    <row r="192">
      <c r="A192" s="81" t="n">
        <v>44136</v>
      </c>
      <c r="B192" t="n">
        <v>52.1</v>
      </c>
    </row>
    <row r="193">
      <c r="A193" s="81" t="n">
        <v>44166</v>
      </c>
      <c r="B193" t="n">
        <v>51.9</v>
      </c>
    </row>
    <row r="194">
      <c r="A194" s="81" t="n">
        <v>44197</v>
      </c>
      <c r="B194" t="n">
        <v>51.3</v>
      </c>
      <c r="C194" t="n">
        <v>0.064</v>
      </c>
    </row>
    <row r="195">
      <c r="A195" s="81" t="n">
        <v>44228</v>
      </c>
      <c r="B195" t="n">
        <v>50.6</v>
      </c>
    </row>
    <row r="196">
      <c r="A196" s="81" t="n">
        <v>44256</v>
      </c>
      <c r="B196" t="n">
        <v>51.9</v>
      </c>
    </row>
    <row r="197">
      <c r="A197" s="81" t="n">
        <v>44287</v>
      </c>
      <c r="B197" t="n">
        <v>51.1</v>
      </c>
      <c r="C197" t="n">
        <v>0.183</v>
      </c>
    </row>
    <row r="198">
      <c r="A198" s="81" t="n">
        <v>44317</v>
      </c>
      <c r="B198" t="n">
        <v>51</v>
      </c>
    </row>
    <row r="199">
      <c r="A199" s="81" t="n">
        <v>44348</v>
      </c>
      <c r="B199" t="n">
        <v>50.9</v>
      </c>
    </row>
    <row r="200">
      <c r="A200" s="81" t="n">
        <v>44378</v>
      </c>
      <c r="B200" t="n">
        <v>50.4</v>
      </c>
      <c r="C200" t="n">
        <v>0.079</v>
      </c>
    </row>
    <row r="201">
      <c r="A201" s="81" t="n">
        <v>44409</v>
      </c>
      <c r="B201" t="n">
        <v>50.1</v>
      </c>
    </row>
    <row r="202">
      <c r="A202" s="81" t="n">
        <v>44440</v>
      </c>
      <c r="B202" t="n">
        <v>49.6</v>
      </c>
    </row>
    <row r="203">
      <c r="A203" s="81" t="n">
        <v>44470</v>
      </c>
      <c r="B203" t="n">
        <v>49.2</v>
      </c>
      <c r="C203" t="n">
        <v>0.049</v>
      </c>
    </row>
    <row r="204">
      <c r="A204" s="81" t="n">
        <v>44501</v>
      </c>
      <c r="B204" t="n">
        <v>50.1</v>
      </c>
    </row>
    <row r="205">
      <c r="A205" s="81" t="n">
        <v>44531</v>
      </c>
      <c r="B205" t="n">
        <v>50.3</v>
      </c>
    </row>
    <row r="206">
      <c r="A206" s="81" t="n">
        <v>44562</v>
      </c>
      <c r="B206" t="n">
        <v>50.1</v>
      </c>
      <c r="C206" t="n">
        <v>0.04</v>
      </c>
    </row>
    <row r="207">
      <c r="A207" s="81" t="n">
        <v>44593</v>
      </c>
      <c r="B207" t="n">
        <v>50.2</v>
      </c>
    </row>
    <row r="208">
      <c r="A208" s="81" t="n">
        <v>44621</v>
      </c>
      <c r="B208" t="n">
        <v>49.5</v>
      </c>
    </row>
    <row r="209">
      <c r="A209" s="81" t="n">
        <v>44652</v>
      </c>
      <c r="B209" t="n">
        <v>47.4</v>
      </c>
      <c r="C209" t="n">
        <v>0.048</v>
      </c>
    </row>
    <row r="210">
      <c r="A210" s="81" t="n">
        <v>44682</v>
      </c>
      <c r="B210" t="n">
        <v>49.6</v>
      </c>
    </row>
    <row r="211">
      <c r="A211" s="81" t="n">
        <v>44713</v>
      </c>
      <c r="B211" t="n">
        <v>50.2</v>
      </c>
    </row>
    <row r="212">
      <c r="A212" s="81" t="n">
        <v>44743</v>
      </c>
      <c r="B212" t="n">
        <v>49</v>
      </c>
      <c r="C212" t="n">
        <v>0.004</v>
      </c>
    </row>
    <row r="213">
      <c r="A213" s="81" t="n">
        <v>44774</v>
      </c>
      <c r="B213" t="n">
        <v>49.4</v>
      </c>
    </row>
    <row r="214">
      <c r="A214" s="81" t="n">
        <v>44805</v>
      </c>
      <c r="B214" t="n">
        <v>50.1</v>
      </c>
    </row>
    <row r="215">
      <c r="A215" s="81" t="n">
        <v>44835</v>
      </c>
      <c r="B215" t="n">
        <v>49.2</v>
      </c>
      <c r="C215" t="n">
        <v>0.039</v>
      </c>
    </row>
    <row r="216">
      <c r="A216" s="81" t="n">
        <v>44866</v>
      </c>
      <c r="B216" t="n">
        <v>48</v>
      </c>
    </row>
    <row r="217">
      <c r="A217" s="81" t="n">
        <v>44896</v>
      </c>
      <c r="B217" t="n">
        <v>47</v>
      </c>
    </row>
    <row r="218">
      <c r="A218" s="81" t="n">
        <v>44927</v>
      </c>
    </row>
    <row r="219">
      <c r="A219" s="81" t="n">
        <v>45017</v>
      </c>
    </row>
    <row r="220">
      <c r="A220" s="81" t="n">
        <v>45108</v>
      </c>
    </row>
    <row r="221">
      <c r="A221" s="81" t="n">
        <v>45200</v>
      </c>
    </row>
    <row r="222">
      <c r="A222" s="81" t="n">
        <v>45292</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8"/>
  <sheetViews>
    <sheetView zoomScale="200" zoomScaleNormal="200" workbookViewId="0">
      <pane ySplit="1" topLeftCell="A128" activePane="bottomLeft" state="frozen"/>
      <selection pane="bottomLeft" activeCell="G20" sqref="G20"/>
    </sheetView>
  </sheetViews>
  <sheetFormatPr baseColWidth="8" defaultColWidth="10.81640625" defaultRowHeight="14.5"/>
  <cols>
    <col width="10.81640625" customWidth="1" min="1" max="35"/>
  </cols>
  <sheetData>
    <row r="1">
      <c r="A1" t="inlineStr">
        <is>
          <t>DATE</t>
        </is>
      </c>
      <c r="B1" t="inlineStr">
        <is>
          <t>ISM Manufacturing</t>
        </is>
      </c>
    </row>
    <row r="2">
      <c r="A2" s="81" t="n">
        <v>40452</v>
      </c>
      <c r="B2" t="n">
        <v>56.9</v>
      </c>
    </row>
    <row r="3">
      <c r="A3" s="81" t="n">
        <v>40483</v>
      </c>
      <c r="B3" t="n">
        <v>57.3</v>
      </c>
    </row>
    <row r="4">
      <c r="A4" s="81" t="n">
        <v>40513</v>
      </c>
      <c r="B4" t="n">
        <v>56.6</v>
      </c>
    </row>
    <row r="5">
      <c r="A5" s="81" t="n">
        <v>40544</v>
      </c>
      <c r="B5" t="n">
        <v>59.1</v>
      </c>
    </row>
    <row r="6">
      <c r="A6" s="81" t="n">
        <v>40575</v>
      </c>
      <c r="B6" t="n">
        <v>59.2</v>
      </c>
    </row>
    <row r="7">
      <c r="A7" s="81" t="n">
        <v>40603</v>
      </c>
      <c r="B7" t="n">
        <v>58.4</v>
      </c>
    </row>
    <row r="8">
      <c r="A8" s="81" t="n">
        <v>40634</v>
      </c>
      <c r="B8" t="n">
        <v>57.9</v>
      </c>
    </row>
    <row r="9">
      <c r="A9" s="81" t="n">
        <v>40664</v>
      </c>
      <c r="B9" t="n">
        <v>54.8</v>
      </c>
    </row>
    <row r="10">
      <c r="A10" s="81" t="n">
        <v>40695</v>
      </c>
      <c r="B10" t="n">
        <v>55.8</v>
      </c>
    </row>
    <row r="11">
      <c r="A11" s="81" t="n">
        <v>40725</v>
      </c>
      <c r="B11" t="n">
        <v>52.9</v>
      </c>
    </row>
    <row r="12">
      <c r="A12" s="81" t="n">
        <v>40756</v>
      </c>
      <c r="B12" t="n">
        <v>52.6</v>
      </c>
    </row>
    <row r="13">
      <c r="A13" s="81" t="n">
        <v>40787</v>
      </c>
      <c r="B13" t="n">
        <v>53.7</v>
      </c>
    </row>
    <row r="14">
      <c r="A14" s="81" t="n">
        <v>40817</v>
      </c>
      <c r="B14" t="n">
        <v>51.4</v>
      </c>
    </row>
    <row r="15">
      <c r="A15" s="81" t="n">
        <v>40848</v>
      </c>
      <c r="B15" t="n">
        <v>51.8</v>
      </c>
    </row>
    <row r="16">
      <c r="A16" s="81" t="n">
        <v>40878</v>
      </c>
      <c r="B16" t="n">
        <v>53</v>
      </c>
    </row>
    <row r="17">
      <c r="A17" s="81" t="n">
        <v>40909</v>
      </c>
      <c r="B17" t="n">
        <v>52.6</v>
      </c>
    </row>
    <row r="18">
      <c r="A18" s="81" t="n">
        <v>40940</v>
      </c>
      <c r="B18" t="n">
        <v>53.1</v>
      </c>
    </row>
    <row r="19">
      <c r="A19" s="81" t="n">
        <v>40969</v>
      </c>
      <c r="B19" t="n">
        <v>53.5</v>
      </c>
    </row>
    <row r="20">
      <c r="A20" s="81" t="n">
        <v>41000</v>
      </c>
      <c r="B20" t="n">
        <v>53.5</v>
      </c>
    </row>
    <row r="21">
      <c r="A21" s="81" t="n">
        <v>41030</v>
      </c>
      <c r="B21" t="n">
        <v>52.6</v>
      </c>
    </row>
    <row r="22">
      <c r="A22" s="81" t="n">
        <v>41061</v>
      </c>
      <c r="B22" t="n">
        <v>49.7</v>
      </c>
    </row>
    <row r="23">
      <c r="A23" s="81" t="n">
        <v>41091</v>
      </c>
      <c r="B23" t="n">
        <v>50</v>
      </c>
    </row>
    <row r="24">
      <c r="A24" s="81" t="n">
        <v>41122</v>
      </c>
      <c r="B24" t="n">
        <v>50.2</v>
      </c>
    </row>
    <row r="25">
      <c r="A25" s="81" t="n">
        <v>41153</v>
      </c>
      <c r="B25" t="n">
        <v>51.8</v>
      </c>
    </row>
    <row r="26">
      <c r="A26" s="81" t="n">
        <v>41183</v>
      </c>
      <c r="B26" t="n">
        <v>50.7</v>
      </c>
    </row>
    <row r="27">
      <c r="A27" s="81" t="n">
        <v>41214</v>
      </c>
      <c r="B27" t="n">
        <v>48.9</v>
      </c>
    </row>
    <row r="28">
      <c r="A28" s="81" t="n">
        <v>41244</v>
      </c>
      <c r="B28" t="n">
        <v>49.8</v>
      </c>
    </row>
    <row r="29">
      <c r="A29" s="81" t="n">
        <v>41275</v>
      </c>
      <c r="B29" t="n">
        <v>52</v>
      </c>
    </row>
    <row r="30">
      <c r="A30" s="81" t="n">
        <v>41306</v>
      </c>
      <c r="B30" t="n">
        <v>53.6</v>
      </c>
    </row>
    <row r="31">
      <c r="A31" s="81" t="n">
        <v>41334</v>
      </c>
      <c r="B31" t="n">
        <v>52</v>
      </c>
    </row>
    <row r="32">
      <c r="A32" s="81" t="n">
        <v>41365</v>
      </c>
      <c r="B32" t="n">
        <v>49.7</v>
      </c>
    </row>
    <row r="33">
      <c r="A33" s="81" t="n">
        <v>41395</v>
      </c>
      <c r="B33" t="n">
        <v>50.5</v>
      </c>
    </row>
    <row r="34">
      <c r="A34" s="81" t="n">
        <v>41426</v>
      </c>
      <c r="B34" t="n">
        <v>51.5</v>
      </c>
    </row>
    <row r="35">
      <c r="A35" s="81" t="n">
        <v>41456</v>
      </c>
      <c r="B35" t="n">
        <v>53.5</v>
      </c>
    </row>
    <row r="36">
      <c r="A36" s="81" t="n">
        <v>41487</v>
      </c>
      <c r="B36" t="n">
        <v>55.9</v>
      </c>
    </row>
    <row r="37">
      <c r="A37" s="81" t="n">
        <v>41518</v>
      </c>
      <c r="B37" t="n">
        <v>54.8</v>
      </c>
    </row>
    <row r="38">
      <c r="A38" s="81" t="n">
        <v>41548</v>
      </c>
      <c r="B38" t="n">
        <v>55.3</v>
      </c>
    </row>
    <row r="39">
      <c r="A39" s="81" t="n">
        <v>41579</v>
      </c>
      <c r="B39" t="n">
        <v>56.3</v>
      </c>
    </row>
    <row r="40">
      <c r="A40" s="81" t="n">
        <v>41609</v>
      </c>
      <c r="B40" t="n">
        <v>55.9</v>
      </c>
    </row>
    <row r="41">
      <c r="A41" s="81" t="n">
        <v>41640</v>
      </c>
      <c r="B41" t="n">
        <v>51.7</v>
      </c>
    </row>
    <row r="42">
      <c r="A42" s="81" t="n">
        <v>41671</v>
      </c>
      <c r="B42" t="n">
        <v>54.6</v>
      </c>
    </row>
    <row r="43">
      <c r="A43" s="81" t="n">
        <v>41699</v>
      </c>
      <c r="B43" t="n">
        <v>55.3</v>
      </c>
    </row>
    <row r="44">
      <c r="A44" s="81" t="n">
        <v>41730</v>
      </c>
      <c r="B44" t="n">
        <v>55.7</v>
      </c>
    </row>
    <row r="45">
      <c r="A45" s="81" t="n">
        <v>41760</v>
      </c>
      <c r="B45" t="n">
        <v>55.8</v>
      </c>
    </row>
    <row r="46">
      <c r="A46" s="81" t="n">
        <v>41791</v>
      </c>
      <c r="B46" t="n">
        <v>54.9</v>
      </c>
    </row>
    <row r="47">
      <c r="A47" s="81" t="n">
        <v>41821</v>
      </c>
      <c r="B47" t="n">
        <v>55.3</v>
      </c>
    </row>
    <row r="48">
      <c r="A48" s="81" t="n">
        <v>41852</v>
      </c>
      <c r="B48" t="n">
        <v>58.2</v>
      </c>
    </row>
    <row r="49">
      <c r="A49" s="81" t="n">
        <v>41883</v>
      </c>
      <c r="B49" t="n">
        <v>55.5</v>
      </c>
    </row>
    <row r="50">
      <c r="A50" s="81" t="n">
        <v>41913</v>
      </c>
      <c r="B50" t="n">
        <v>56.8</v>
      </c>
    </row>
    <row r="51">
      <c r="A51" s="81" t="n">
        <v>41944</v>
      </c>
      <c r="B51" t="n">
        <v>57</v>
      </c>
    </row>
    <row r="52">
      <c r="A52" s="81" t="n">
        <v>41974</v>
      </c>
      <c r="B52" t="n">
        <v>54.7</v>
      </c>
    </row>
    <row r="53">
      <c r="A53" s="81" t="n">
        <v>42005</v>
      </c>
      <c r="B53" t="n">
        <v>53.9</v>
      </c>
    </row>
    <row r="54">
      <c r="A54" s="81" t="n">
        <v>42036</v>
      </c>
      <c r="B54" t="n">
        <v>53</v>
      </c>
    </row>
    <row r="55">
      <c r="A55" s="81" t="n">
        <v>42064</v>
      </c>
      <c r="B55" t="n">
        <v>51.8</v>
      </c>
    </row>
    <row r="56">
      <c r="A56" s="81" t="n">
        <v>42095</v>
      </c>
      <c r="B56" t="n">
        <v>51.6</v>
      </c>
    </row>
    <row r="57">
      <c r="A57" s="81" t="n">
        <v>42125</v>
      </c>
      <c r="B57" t="n">
        <v>52.9</v>
      </c>
    </row>
    <row r="58">
      <c r="A58" s="81" t="n">
        <v>42156</v>
      </c>
      <c r="B58" t="n">
        <v>52.3</v>
      </c>
    </row>
    <row r="59">
      <c r="A59" s="81" t="n">
        <v>42186</v>
      </c>
      <c r="B59" t="n">
        <v>51.9</v>
      </c>
    </row>
    <row r="60">
      <c r="A60" s="81" t="n">
        <v>42217</v>
      </c>
      <c r="B60" t="n">
        <v>50.8</v>
      </c>
    </row>
    <row r="61">
      <c r="A61" s="81" t="n">
        <v>42248</v>
      </c>
      <c r="B61" t="n">
        <v>50.1</v>
      </c>
    </row>
    <row r="62">
      <c r="A62" s="81" t="n">
        <v>42278</v>
      </c>
      <c r="B62" t="n">
        <v>49.6</v>
      </c>
    </row>
    <row r="63">
      <c r="A63" s="81" t="n">
        <v>42309</v>
      </c>
      <c r="B63" t="n">
        <v>49.1</v>
      </c>
    </row>
    <row r="64">
      <c r="A64" s="81" t="n">
        <v>42339</v>
      </c>
      <c r="B64" t="n">
        <v>48.4</v>
      </c>
    </row>
    <row r="65">
      <c r="A65" s="81" t="n">
        <v>42370</v>
      </c>
      <c r="B65" t="n">
        <v>47.8</v>
      </c>
    </row>
    <row r="66">
      <c r="A66" s="81" t="n">
        <v>42401</v>
      </c>
      <c r="B66" t="n">
        <v>49.4</v>
      </c>
    </row>
    <row r="67">
      <c r="A67" s="81" t="n">
        <v>42430</v>
      </c>
      <c r="B67" t="n">
        <v>51.2</v>
      </c>
    </row>
    <row r="68">
      <c r="A68" s="81" t="n">
        <v>42461</v>
      </c>
      <c r="B68" t="n">
        <v>50.8</v>
      </c>
    </row>
    <row r="69">
      <c r="A69" s="81" t="n">
        <v>42491</v>
      </c>
      <c r="B69" t="n">
        <v>50.9</v>
      </c>
    </row>
    <row r="70">
      <c r="A70" s="81" t="n">
        <v>42522</v>
      </c>
      <c r="B70" t="n">
        <v>52.5</v>
      </c>
    </row>
    <row r="71">
      <c r="A71" s="81" t="n">
        <v>42552</v>
      </c>
      <c r="B71" t="n">
        <v>52.9</v>
      </c>
    </row>
    <row r="72">
      <c r="A72" s="81" t="n">
        <v>42583</v>
      </c>
      <c r="B72" t="n">
        <v>49.9</v>
      </c>
    </row>
    <row r="73">
      <c r="A73" s="81" t="n">
        <v>42614</v>
      </c>
      <c r="B73" t="n">
        <v>51.4</v>
      </c>
    </row>
    <row r="74">
      <c r="A74" s="81" t="n">
        <v>42644</v>
      </c>
      <c r="B74" t="n">
        <v>51.8</v>
      </c>
    </row>
    <row r="75">
      <c r="A75" s="81" t="n">
        <v>42675</v>
      </c>
      <c r="B75" t="n">
        <v>53.4</v>
      </c>
    </row>
    <row r="76">
      <c r="A76" s="81" t="n">
        <v>42705</v>
      </c>
      <c r="B76" t="n">
        <v>54.3</v>
      </c>
    </row>
    <row r="77">
      <c r="A77" s="81" t="n">
        <v>42736</v>
      </c>
      <c r="B77" t="n">
        <v>55.6</v>
      </c>
    </row>
    <row r="78">
      <c r="A78" s="81" t="n">
        <v>42767</v>
      </c>
      <c r="B78" t="n">
        <v>57.6</v>
      </c>
    </row>
    <row r="79">
      <c r="A79" s="81" t="n">
        <v>42795</v>
      </c>
      <c r="B79" t="n">
        <v>56.6</v>
      </c>
    </row>
    <row r="80">
      <c r="A80" s="81" t="n">
        <v>42826</v>
      </c>
      <c r="B80" t="n">
        <v>55.3</v>
      </c>
    </row>
    <row r="81">
      <c r="A81" s="81" t="n">
        <v>42856</v>
      </c>
      <c r="B81" t="n">
        <v>55.5</v>
      </c>
    </row>
    <row r="82">
      <c r="A82" s="81" t="n">
        <v>42887</v>
      </c>
      <c r="B82" t="n">
        <v>56.7</v>
      </c>
    </row>
    <row r="83">
      <c r="A83" s="81" t="n">
        <v>42917</v>
      </c>
      <c r="B83" t="n">
        <v>56.5</v>
      </c>
    </row>
    <row r="84">
      <c r="A84" s="81" t="n">
        <v>42948</v>
      </c>
      <c r="B84" t="n">
        <v>59.3</v>
      </c>
    </row>
    <row r="85">
      <c r="A85" s="81" t="n">
        <v>42979</v>
      </c>
      <c r="B85" t="n">
        <v>60.2</v>
      </c>
    </row>
    <row r="86">
      <c r="A86" s="81" t="n">
        <v>43009</v>
      </c>
      <c r="B86" t="n">
        <v>58.5</v>
      </c>
    </row>
    <row r="87">
      <c r="A87" s="81" t="n">
        <v>43040</v>
      </c>
      <c r="B87" t="n">
        <v>58.2</v>
      </c>
    </row>
    <row r="88">
      <c r="A88" s="81" t="n">
        <v>43070</v>
      </c>
      <c r="B88" t="n">
        <v>59.3</v>
      </c>
    </row>
    <row r="89">
      <c r="A89" s="81" t="n">
        <v>43101</v>
      </c>
      <c r="B89" t="n">
        <v>59.1</v>
      </c>
    </row>
    <row r="90">
      <c r="A90" s="81" t="n">
        <v>43132</v>
      </c>
      <c r="B90" t="n">
        <v>60.8</v>
      </c>
    </row>
    <row r="91">
      <c r="A91" s="81" t="n">
        <v>43160</v>
      </c>
      <c r="B91" t="n">
        <v>59.3</v>
      </c>
    </row>
    <row r="92">
      <c r="A92" s="81" t="n">
        <v>43191</v>
      </c>
      <c r="B92" t="n">
        <v>57.3</v>
      </c>
    </row>
    <row r="93">
      <c r="A93" s="81" t="n">
        <v>43221</v>
      </c>
      <c r="B93" t="n">
        <v>58.7</v>
      </c>
    </row>
    <row r="94">
      <c r="A94" s="81" t="n">
        <v>43252</v>
      </c>
      <c r="B94" t="n">
        <v>60.2</v>
      </c>
    </row>
    <row r="95">
      <c r="A95" s="81" t="n">
        <v>43282</v>
      </c>
      <c r="B95" t="n">
        <v>58.1</v>
      </c>
    </row>
    <row r="96">
      <c r="A96" s="81" t="n">
        <v>43313</v>
      </c>
      <c r="B96" t="n">
        <v>61.3</v>
      </c>
    </row>
    <row r="97">
      <c r="A97" s="81" t="n">
        <v>43344</v>
      </c>
      <c r="B97" t="n">
        <v>59.8</v>
      </c>
    </row>
    <row r="98">
      <c r="A98" s="81" t="n">
        <v>43374</v>
      </c>
      <c r="B98" t="n">
        <v>57.7</v>
      </c>
    </row>
    <row r="99">
      <c r="A99" s="81" t="n">
        <v>43405</v>
      </c>
      <c r="B99" t="n">
        <v>59.3</v>
      </c>
    </row>
    <row r="100">
      <c r="A100" s="81" t="n">
        <v>43435</v>
      </c>
      <c r="B100" t="n">
        <v>54.3</v>
      </c>
    </row>
    <row r="101">
      <c r="A101" s="81" t="n">
        <v>43466</v>
      </c>
      <c r="B101" t="n">
        <v>56.6</v>
      </c>
    </row>
    <row r="102">
      <c r="A102" s="81" t="n">
        <v>43497</v>
      </c>
      <c r="B102" t="n">
        <v>54.3</v>
      </c>
    </row>
    <row r="103">
      <c r="A103" s="81" t="n">
        <v>43525</v>
      </c>
      <c r="B103" t="n">
        <v>54.3</v>
      </c>
    </row>
    <row r="104">
      <c r="A104" s="81" t="n">
        <v>43556</v>
      </c>
      <c r="B104" t="n">
        <v>52.8</v>
      </c>
    </row>
    <row r="105">
      <c r="A105" s="81" t="n">
        <v>43586</v>
      </c>
      <c r="B105" t="n">
        <v>52.1</v>
      </c>
    </row>
    <row r="106">
      <c r="A106" s="81" t="n">
        <v>43617</v>
      </c>
      <c r="B106" t="n">
        <v>51.7</v>
      </c>
    </row>
    <row r="107">
      <c r="A107" s="81" t="n">
        <v>43647</v>
      </c>
      <c r="B107" t="n">
        <v>51.2</v>
      </c>
    </row>
    <row r="108">
      <c r="A108" s="81" t="n">
        <v>43678</v>
      </c>
      <c r="B108" t="n">
        <v>49.1</v>
      </c>
    </row>
    <row r="109">
      <c r="A109" s="81" t="n">
        <v>43709</v>
      </c>
      <c r="B109" t="n">
        <v>47.8</v>
      </c>
    </row>
    <row r="110">
      <c r="A110" s="81" t="n">
        <v>43739</v>
      </c>
      <c r="B110" t="n">
        <v>48.3</v>
      </c>
    </row>
    <row r="111">
      <c r="A111" s="81" t="n">
        <v>43770</v>
      </c>
      <c r="B111" t="n">
        <v>48.1</v>
      </c>
    </row>
    <row r="112">
      <c r="A112" s="81" t="n">
        <v>43800</v>
      </c>
      <c r="B112" t="n">
        <v>47.8</v>
      </c>
    </row>
    <row r="113">
      <c r="A113" s="81" t="n">
        <v>43831</v>
      </c>
      <c r="B113" t="n">
        <v>50.9</v>
      </c>
    </row>
    <row r="114">
      <c r="A114" s="81" t="n">
        <v>43862</v>
      </c>
      <c r="B114" t="n">
        <v>50.1</v>
      </c>
    </row>
    <row r="115">
      <c r="A115" s="81" t="n">
        <v>43891</v>
      </c>
      <c r="B115" t="n">
        <v>49.1</v>
      </c>
    </row>
    <row r="116">
      <c r="A116" s="81" t="n">
        <v>43922</v>
      </c>
      <c r="B116" t="n">
        <v>41.5</v>
      </c>
    </row>
    <row r="117">
      <c r="A117" s="81" t="n">
        <v>43952</v>
      </c>
      <c r="B117" t="n">
        <v>43.1</v>
      </c>
    </row>
    <row r="118">
      <c r="A118" s="81" t="n">
        <v>43983</v>
      </c>
      <c r="B118" t="n">
        <v>52.6</v>
      </c>
    </row>
    <row r="119">
      <c r="A119" s="81" t="n">
        <v>44013</v>
      </c>
      <c r="B119" t="n">
        <v>54.2</v>
      </c>
    </row>
    <row r="120">
      <c r="A120" s="81" t="n">
        <v>44044</v>
      </c>
      <c r="B120" t="n">
        <v>56</v>
      </c>
    </row>
    <row r="121">
      <c r="A121" s="81" t="n">
        <v>44075</v>
      </c>
      <c r="B121" t="n">
        <v>57.8</v>
      </c>
    </row>
    <row r="122">
      <c r="A122" s="81" t="n">
        <v>44105</v>
      </c>
      <c r="B122" t="n">
        <v>59.3</v>
      </c>
    </row>
    <row r="123">
      <c r="A123" s="81" t="n">
        <v>44136</v>
      </c>
      <c r="B123" t="n">
        <v>57.5</v>
      </c>
    </row>
    <row r="124">
      <c r="A124" s="81" t="n">
        <v>44166</v>
      </c>
      <c r="B124" t="n">
        <v>60.5</v>
      </c>
    </row>
    <row r="125">
      <c r="A125" s="81" t="n">
        <v>44197</v>
      </c>
      <c r="B125" t="n">
        <v>58.7</v>
      </c>
    </row>
    <row r="126">
      <c r="A126" s="81" t="n">
        <v>44228</v>
      </c>
      <c r="B126" t="n">
        <v>60.8</v>
      </c>
    </row>
    <row r="127">
      <c r="A127" s="81" t="n">
        <v>44256</v>
      </c>
      <c r="B127" t="n">
        <v>64.7</v>
      </c>
    </row>
    <row r="128">
      <c r="A128" s="81" t="n">
        <v>44287</v>
      </c>
      <c r="B128" t="n">
        <v>60.7</v>
      </c>
    </row>
    <row r="129">
      <c r="A129" s="81" t="n">
        <v>44317</v>
      </c>
      <c r="B129" t="n">
        <v>61.2</v>
      </c>
    </row>
    <row r="130">
      <c r="A130" s="81" t="n">
        <v>44348</v>
      </c>
      <c r="B130" t="n">
        <v>60.6</v>
      </c>
    </row>
    <row r="131">
      <c r="A131" s="81" t="n">
        <v>44378</v>
      </c>
      <c r="B131" t="n">
        <v>59.5</v>
      </c>
    </row>
    <row r="132">
      <c r="A132" s="81" t="n">
        <v>44409</v>
      </c>
      <c r="B132" t="n">
        <v>59.9</v>
      </c>
    </row>
    <row r="133">
      <c r="A133" s="81" t="n">
        <v>44440</v>
      </c>
      <c r="B133" t="n">
        <v>60.3</v>
      </c>
    </row>
    <row r="134">
      <c r="A134" s="81" t="n">
        <v>44470</v>
      </c>
      <c r="B134" t="n">
        <v>60.7</v>
      </c>
    </row>
    <row r="135">
      <c r="A135" s="81" t="n">
        <v>44501</v>
      </c>
      <c r="B135" t="n">
        <v>61.1</v>
      </c>
    </row>
    <row r="136">
      <c r="A136" s="81" t="n">
        <v>44531</v>
      </c>
      <c r="B136" t="n">
        <v>61.5</v>
      </c>
    </row>
    <row r="137">
      <c r="A137" s="81" t="n">
        <v>44562</v>
      </c>
      <c r="B137" t="n">
        <v>57.6</v>
      </c>
    </row>
    <row r="138">
      <c r="A138" s="81" t="n">
        <v>44593</v>
      </c>
      <c r="B138" t="n">
        <v>58.6</v>
      </c>
    </row>
    <row r="139">
      <c r="A139" s="81" t="n">
        <v>44621</v>
      </c>
      <c r="B139" t="n">
        <v>57.1</v>
      </c>
    </row>
    <row r="140">
      <c r="A140" s="81" t="n">
        <v>44652</v>
      </c>
      <c r="B140" t="n">
        <v>55.4</v>
      </c>
    </row>
    <row r="141">
      <c r="A141" s="81" t="n">
        <v>44682</v>
      </c>
      <c r="B141" t="n">
        <v>56.1</v>
      </c>
    </row>
    <row r="142">
      <c r="A142" s="81" t="n">
        <v>44713</v>
      </c>
      <c r="B142" t="n">
        <v>53</v>
      </c>
    </row>
    <row r="143">
      <c r="A143" s="81" t="n">
        <v>44743</v>
      </c>
      <c r="B143" t="n">
        <v>52.8</v>
      </c>
    </row>
    <row r="144">
      <c r="A144" s="81" t="n">
        <v>44774</v>
      </c>
      <c r="B144" t="n">
        <v>52.8</v>
      </c>
    </row>
    <row r="145">
      <c r="A145" s="81" t="n">
        <v>44805</v>
      </c>
      <c r="B145" t="n">
        <v>50.9</v>
      </c>
    </row>
    <row r="146">
      <c r="A146" s="81" t="n">
        <v>44835</v>
      </c>
      <c r="B146" t="n">
        <v>50.2</v>
      </c>
    </row>
    <row r="147">
      <c r="A147" s="81" t="n">
        <v>44866</v>
      </c>
      <c r="B147" t="n">
        <v>49</v>
      </c>
    </row>
    <row r="148">
      <c r="A148" s="81" t="n">
        <v>44896</v>
      </c>
      <c r="B148" t="n">
        <v>48.4</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4"/>
  <sheetViews>
    <sheetView zoomScale="120" zoomScaleNormal="120" workbookViewId="0">
      <pane xSplit="2" ySplit="11" topLeftCell="C80" activePane="bottomRight" state="frozen"/>
      <selection activeCell="I319" sqref="I319"/>
      <selection pane="topRight" activeCell="I319" sqref="I319"/>
      <selection pane="bottomLeft" activeCell="I319" sqref="I319"/>
      <selection pane="bottomRight" activeCell="I319" sqref="I319"/>
    </sheetView>
  </sheetViews>
  <sheetFormatPr baseColWidth="8" defaultColWidth="9.1796875" defaultRowHeight="14.5"/>
  <cols>
    <col width="9.1796875" customWidth="1" style="69" min="1" max="1"/>
    <col width="17.81640625" customWidth="1" min="2" max="2"/>
    <col width="6.1796875" customWidth="1" min="3" max="27"/>
    <col width="7.36328125" customWidth="1" min="28" max="28"/>
    <col width="9.1796875" customWidth="1" style="69" min="29" max="29"/>
    <col width="12.36328125" customWidth="1" style="69" min="30" max="30"/>
    <col width="9.1796875" customWidth="1" style="69" min="31" max="31"/>
    <col width="10.453125" customWidth="1" style="69" min="32" max="32"/>
    <col width="10.6328125" bestFit="1" customWidth="1" style="69" min="33" max="33"/>
    <col width="9.1796875" customWidth="1" style="69" min="34" max="74"/>
    <col width="9.1796875" customWidth="1" min="75" max="122"/>
  </cols>
  <sheetData>
    <row r="1" ht="16" customFormat="1" customHeight="1" s="69" thickBot="1">
      <c r="AD1" s="31" t="inlineStr">
        <is>
          <t>*to update</t>
        </is>
      </c>
      <c r="AE1" s="69" t="inlineStr">
        <is>
          <t>Last month</t>
        </is>
      </c>
      <c r="AG1" s="62" t="n">
        <v>44866</v>
      </c>
      <c r="AJ1" s="4" t="inlineStr">
        <is>
          <t>*modify max/min/avg</t>
        </is>
      </c>
    </row>
    <row r="2" ht="66" customHeight="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69"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69" t="inlineStr">
        <is>
          <t>12 months</t>
        </is>
      </c>
      <c r="AG4" s="27">
        <f>DATE(YEAR(AG1),MONTH(AG1)-12,DAY(AG1))</f>
        <v/>
      </c>
    </row>
    <row r="5" ht="16" customHeight="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c r="B11" s="69" t="n"/>
      <c r="C11" s="69" t="n"/>
      <c r="D11" s="69" t="n"/>
      <c r="E11" s="69" t="n"/>
      <c r="F11" s="69" t="n"/>
      <c r="G11" s="69" t="n"/>
      <c r="H11" s="69" t="n"/>
      <c r="I11" s="69" t="n"/>
      <c r="J11" s="69" t="n"/>
      <c r="K11" s="69" t="n"/>
      <c r="L11" s="69" t="n"/>
      <c r="M11" s="69" t="n"/>
      <c r="N11" s="69" t="n"/>
      <c r="O11" s="69" t="n"/>
      <c r="P11" s="69" t="n"/>
      <c r="Q11" s="69" t="n"/>
      <c r="R11" s="69" t="n"/>
      <c r="S11" s="69" t="n"/>
      <c r="T11" s="69" t="n"/>
      <c r="U11" s="69" t="n"/>
      <c r="V11" s="69" t="n"/>
      <c r="W11" s="69" t="n"/>
      <c r="X11" s="69" t="n"/>
      <c r="Y11" s="69" t="n"/>
      <c r="Z11" s="69" t="n"/>
      <c r="AA11" s="69" t="n"/>
      <c r="AB11" s="69"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69">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69">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69">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69">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69">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69">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69">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69">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69">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69">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69">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69">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69">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69">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69">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69">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69">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69">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69">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69">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69">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69">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69">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69">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69">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69">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69">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69">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69">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69">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69">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1" t="n"/>
    </row>
    <row r="81" customFormat="1" s="69">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69">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69">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69">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69">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69">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69">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69">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69">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69">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69">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69">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69">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69">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69">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69">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69">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69">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69">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69">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69">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69">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69">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69">
      <c r="B104" s="29" t="n">
        <v>44866</v>
      </c>
      <c r="C104" s="30">
        <f>VLOOKUP(B104,Global!$A:$B,2,)</f>
        <v/>
      </c>
      <c r="D104" s="30">
        <f>VLOOKUP(B104,US!$A:$D,4,)</f>
        <v/>
      </c>
      <c r="E104" s="30">
        <f>VLOOKUP(B104,US!$A:$B,2,)</f>
        <v/>
      </c>
      <c r="F104" s="30">
        <f>VLOOKUP(B104,China!$A:$B,2,)</f>
        <v/>
      </c>
      <c r="G104" s="30">
        <f>VLOOKUP(B104,'Euro Area'!A:B,2,)</f>
        <v/>
      </c>
      <c r="H104" s="30">
        <f>VLOOKUP(B104,Japan!$A:$B,2,)</f>
        <v/>
      </c>
      <c r="I104" s="30">
        <f>VLOOKUP(B104,Germany!$A:$B,2,)</f>
        <v/>
      </c>
      <c r="J104" s="30">
        <f>VLOOKUP(B104,France!$A:$B,2,)</f>
        <v/>
      </c>
      <c r="K104" s="30">
        <f>VLOOKUP(B104,UK!$A:$B,2,)</f>
        <v/>
      </c>
      <c r="L104" s="30">
        <f>VLOOKUP(B104,Italy!$A:$B,2,)</f>
        <v/>
      </c>
      <c r="M104" s="30">
        <f>VLOOKUP(B104,Spain!$A:$B,2,)</f>
        <v/>
      </c>
      <c r="N104" s="30">
        <f>VLOOKUP(B104,Brazil!$A:$B,2,)</f>
        <v/>
      </c>
      <c r="O104" s="30">
        <f>VLOOKUP(B104,Mexico!$A:$B,2,)</f>
        <v/>
      </c>
      <c r="P104" s="30">
        <f>VLOOKUP(B104,Russia!$A:$B,2,)</f>
        <v/>
      </c>
      <c r="Q104" s="30">
        <f>VLOOKUP(B104,India!$A:$B,2,)</f>
        <v/>
      </c>
      <c r="R104" s="30">
        <f>VLOOKUP(B104,Canada!$A:$B,2,)</f>
        <v/>
      </c>
      <c r="S104" s="30">
        <f>VLOOKUP(B104,Australia!$A:$B,2,)</f>
        <v/>
      </c>
      <c r="T104" s="30">
        <f>VLOOKUP(B104,Indonesia!$A:$B,2,)</f>
        <v/>
      </c>
      <c r="U104" s="30">
        <f>VLOOKUP(B104,SouthKorea!$A:$B,2,)</f>
        <v/>
      </c>
      <c r="V104" s="30">
        <f>VLOOKUP(B104,Taiwan!$A:$B,2,)</f>
        <v/>
      </c>
      <c r="W104" s="30">
        <f>VLOOKUP(B104,Greece!$A:$B,2,)</f>
        <v/>
      </c>
      <c r="X104" s="30">
        <f>VLOOKUP(B104,Ireland!$A:$B,2,)</f>
        <v/>
      </c>
      <c r="Y104" s="30">
        <f>VLOOKUP(B104,Turkey!$A:$B,2,)</f>
        <v/>
      </c>
      <c r="Z104" s="30">
        <f>VLOOKUP(B104,CzechRepublic!$A:$B,2,)</f>
        <v/>
      </c>
      <c r="AA104" s="30">
        <f>VLOOKUP(B104,Poland!$A:$B,2,)</f>
        <v/>
      </c>
      <c r="AB104" s="30">
        <f>VLOOKUP(B104,Denmark!$A:$B,2,)</f>
        <v/>
      </c>
    </row>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row r="331" customFormat="1" s="69"/>
    <row r="332" customFormat="1" s="69"/>
    <row r="333" customFormat="1" s="69"/>
    <row r="334" customFormat="1" s="69"/>
    <row r="335" customFormat="1" s="69"/>
    <row r="336" customFormat="1" s="69"/>
    <row r="337" customFormat="1" s="69"/>
    <row r="338" customFormat="1" s="69"/>
    <row r="339" customFormat="1" s="69"/>
    <row r="340" customFormat="1" s="69"/>
    <row r="341" customFormat="1" s="69"/>
    <row r="342" customFormat="1" s="69"/>
    <row r="343" customFormat="1" s="69"/>
    <row r="344" customFormat="1" s="69"/>
    <row r="345" customFormat="1" s="69"/>
    <row r="346" customFormat="1" s="69"/>
    <row r="347" customFormat="1" s="69"/>
  </sheetData>
  <conditionalFormatting sqref="C12:AB10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10" zoomScaleNormal="110" workbookViewId="0">
      <pane ySplit="5" topLeftCell="A106" activePane="bottomLeft" state="frozen"/>
      <selection activeCell="X324" sqref="X324"/>
      <selection pane="bottomLeft" activeCell="I157" sqref="I157"/>
    </sheetView>
  </sheetViews>
  <sheetFormatPr baseColWidth="8" defaultColWidth="9.1796875" defaultRowHeight="14.5"/>
  <cols>
    <col width="13.453125" customWidth="1" style="69" min="1" max="1"/>
    <col width="11.36328125" customWidth="1" style="69" min="2" max="2"/>
    <col width="9.1796875" customWidth="1" style="69" min="3" max="3"/>
    <col width="13" customWidth="1" style="69" min="4" max="4"/>
    <col width="9.1796875" customWidth="1" style="69" min="5" max="53"/>
    <col width="9.1796875" customWidth="1" style="69" min="54" max="16384"/>
  </cols>
  <sheetData>
    <row r="1">
      <c r="A1" s="69" t="inlineStr">
        <is>
          <t>Global Manufacturing PMI</t>
        </is>
      </c>
    </row>
    <row r="2">
      <c r="K2" s="69">
        <f>A1</f>
        <v/>
      </c>
    </row>
    <row r="4" ht="16" customHeight="1" thickBot="1"/>
    <row r="5" ht="16" customHeight="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1"/>
  <sheetViews>
    <sheetView zoomScale="90" zoomScaleNormal="90" workbookViewId="0">
      <pane ySplit="5" topLeftCell="A113" activePane="bottomLeft" state="frozen"/>
      <selection activeCell="O117" sqref="O117"/>
      <selection pane="bottomLeft" activeCell="R147" sqref="R147"/>
    </sheetView>
  </sheetViews>
  <sheetFormatPr baseColWidth="8" defaultColWidth="9.1796875" defaultRowHeight="14.5"/>
  <cols>
    <col width="13.453125" customWidth="1" style="69" min="1" max="1"/>
    <col width="11.36328125" customWidth="1" style="69" min="2" max="2"/>
    <col width="9.1796875" customWidth="1" style="69" min="3" max="3"/>
    <col width="19" customWidth="1" style="69" min="4" max="4"/>
    <col width="9.1796875" customWidth="1" style="69" min="5" max="53"/>
    <col width="9.1796875" customWidth="1" style="69" min="54" max="16384"/>
  </cols>
  <sheetData>
    <row r="1">
      <c r="A1" s="69" t="inlineStr">
        <is>
          <t>United States</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row r="151">
      <c r="A151" s="10" t="n">
        <v>44866</v>
      </c>
      <c r="B151" s="18">
        <f>IF(VLOOKUP(A151,'DB Country PMI'!$A:$AZ,MATCH($A$1,'DB Country PMI'!$A$1:$AZ$1,),)=0,#N/A,VLOOKUP(A151,'DB Country PMI'!$A:$AZ,MATCH($A$1,'DB Country PMI'!$A$1:$AZ$1,),))</f>
        <v/>
      </c>
      <c r="C151" s="24">
        <f>Table1346811[[#This Row],[PMI]]-B150</f>
        <v/>
      </c>
      <c r="D151" s="24">
        <f>IF(VLOOKUP(Table1346811[[#This Row],[Date]],'DB US ISM Manufacturing'!$A:$B,2)=0,#N/A,VLOOKUP(Table1346811[[#This Row],[Date]],'DB US ISM Manufacturing'!$A:$B,2))</f>
        <v/>
      </c>
    </row>
  </sheetData>
  <conditionalFormatting sqref="B6:B15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20"/>
  <sheetViews>
    <sheetView zoomScale="80" zoomScaleNormal="80" workbookViewId="0">
      <pane ySplit="5" topLeftCell="A176" activePane="bottomLeft" state="frozen"/>
      <selection activeCell="K199" sqref="K199"/>
      <selection pane="bottomLeft" activeCell="T214" sqref="T214"/>
    </sheetView>
  </sheetViews>
  <sheetFormatPr baseColWidth="8" defaultColWidth="9.1796875" defaultRowHeight="14.5"/>
  <cols>
    <col width="13.453125" customWidth="1" style="69" min="1" max="1"/>
    <col width="11.36328125" customWidth="1" style="69" min="2" max="2"/>
    <col width="9.1796875" customWidth="1" style="69" min="3" max="3"/>
    <col width="18.36328125" customWidth="1" style="69" min="4" max="4"/>
    <col width="9.1796875" customWidth="1" style="69" min="5" max="53"/>
    <col width="9.1796875" customWidth="1" style="69" min="54" max="16384"/>
  </cols>
  <sheetData>
    <row r="1">
      <c r="A1" s="69" t="inlineStr">
        <is>
          <t>Caixin China</t>
        </is>
      </c>
      <c r="K1" s="69" t="inlineStr">
        <is>
          <t xml:space="preserve"> Manufacturing PMI</t>
        </is>
      </c>
    </row>
    <row r="2">
      <c r="A2" s="69" t="inlineStr">
        <is>
          <t>China</t>
        </is>
      </c>
      <c r="K2" s="69">
        <f>A1&amp;K1</f>
        <v/>
      </c>
    </row>
    <row r="3">
      <c r="A3" s="1" t="inlineStr">
        <is>
          <t>https://tradingeconomics.com/china/business-confidence</t>
        </is>
      </c>
    </row>
    <row r="4" ht="16" customHeight="1" thickBot="1"/>
    <row r="5" ht="16" customHeight="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row r="220">
      <c r="A220" s="10" t="n">
        <v>44866</v>
      </c>
      <c r="B220" s="18">
        <f>IF(VLOOKUP(A220,'DB Country PMI'!$A:$AZ,MATCH($A$2,'DB Country PMI'!$A$1:$AZ$1,),)=0,#N/A,VLOOKUP(A220,'DB Country PMI'!$A:$AZ,MATCH($A$2,'DB Country PMI'!$A$1:$AZ$1,),))</f>
        <v/>
      </c>
      <c r="C220" s="24">
        <f>Table1346811121415161718192021[[#This Row],[Caixin PMI]]-B219</f>
        <v/>
      </c>
      <c r="D220" s="24">
        <f>IF(VLOOKUP(Table1346811121415161718192021[[#This Row],[Date]],'DB China Official PMI'!$A:$C,2)=0,#N/A,VLOOKUP(Table1346811121415161718192021[[#This Row],[Date]],'DB China Official PMI'!$A:$C,2))</f>
        <v/>
      </c>
      <c r="E220" s="24">
        <f>Table1346811121415161718192021[[#This Row],[Official PMI]]-D219</f>
        <v/>
      </c>
      <c r="F220" s="52">
        <f>IF(VLOOKUP(Table1346811121415161718192021[[#This Row],[Date]],'DB China Official PMI'!$A:$C,3)=0,"",VLOOKUP(Table1346811121415161718192021[[#This Row],[Date]],'DB China Official PMI'!$A:$C,3))</f>
        <v/>
      </c>
    </row>
  </sheetData>
  <conditionalFormatting sqref="C66:C220">
    <cfRule type="colorScale" priority="4">
      <colorScale>
        <cfvo type="min"/>
        <cfvo type="percentile" val="50"/>
        <cfvo type="max"/>
        <color rgb="FFF8696B"/>
        <color rgb="FFFCFCFF"/>
        <color rgb="FF5A8AC6"/>
      </colorScale>
    </cfRule>
  </conditionalFormatting>
  <conditionalFormatting sqref="E66:E220">
    <cfRule type="colorScale" priority="3">
      <colorScale>
        <cfvo type="min"/>
        <cfvo type="percentile" val="50"/>
        <cfvo type="max"/>
        <color rgb="FFF8696B"/>
        <color rgb="FFFCFCFF"/>
        <color rgb="FF5A8AC6"/>
      </colorScale>
    </cfRule>
  </conditionalFormatting>
  <conditionalFormatting sqref="B66:B220">
    <cfRule type="colorScale" priority="2">
      <colorScale>
        <cfvo type="min"/>
        <cfvo type="percentile" val="50"/>
        <cfvo type="max"/>
        <color rgb="FFF8696B"/>
        <color rgb="FFFFEB84"/>
        <color rgb="FF63BE7B"/>
      </colorScale>
    </cfRule>
  </conditionalFormatting>
  <conditionalFormatting sqref="D66:D22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1"/>
  <sheetViews>
    <sheetView zoomScale="80" zoomScaleNormal="80" workbookViewId="0">
      <pane ySplit="5" topLeftCell="A206" activePane="bottomLeft" state="frozen"/>
      <selection activeCell="P121" sqref="P121"/>
      <selection pane="bottomLeft" activeCell="A205" sqref="A205:G221"/>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Euro Area</t>
        </is>
      </c>
      <c r="K1" s="69" t="inlineStr">
        <is>
          <t xml:space="preserve"> Manufacturing PMI</t>
        </is>
      </c>
    </row>
    <row r="2">
      <c r="K2" s="69">
        <f>A1&amp;K1</f>
        <v/>
      </c>
    </row>
    <row r="4" ht="16" customHeight="1" thickBot="1"/>
    <row r="5" ht="49" customHeight="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row r="221">
      <c r="A221" s="10" t="n">
        <v>44866</v>
      </c>
      <c r="B221" s="18">
        <f>IF(VLOOKUP(A221,'DB Country PMI'!$A:$AZ,MATCH($A$1,'DB Country PMI'!$A$1:$AZ$1,),)=0,#N/A,VLOOKUP(A221,'DB Country PMI'!$A:$AZ,MATCH($A$1,'DB Country PMI'!$A$1:$AZ$1,),))</f>
        <v/>
      </c>
      <c r="C221" s="24">
        <f>Table13468111214[[#This Row],[Euro Area PMI]]-B220</f>
        <v/>
      </c>
      <c r="D221" s="11">
        <f>IF(VLOOKUP(Table13468111214[[#This Row],[Date]],'DB Global PMI'!$A:$F,4)=0,#N/A,VLOOKUP(Table13468111214[[#This Row],[Date]],'DB Global PMI'!$A:$F,4))</f>
        <v/>
      </c>
      <c r="E221" s="24">
        <f>Table13468111214[[#This Row],[Euro Area PMI]]-B209</f>
        <v/>
      </c>
      <c r="F221" s="52">
        <f>(Table13468111214[[#This Row],[EZU]]-D209)/D209</f>
        <v/>
      </c>
      <c r="G221"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3"/>
  <sheetViews>
    <sheetView zoomScale="70" zoomScaleNormal="70" workbookViewId="0">
      <pane ySplit="5" topLeftCell="A163" activePane="bottomLeft" state="frozen"/>
      <selection activeCell="B327" sqref="B327"/>
      <selection pane="bottomLeft" activeCell="R177" sqref="R177"/>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Japan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row r="183">
      <c r="A183" s="10" t="n">
        <v>44866</v>
      </c>
      <c r="B183" s="18">
        <f>IF(VLOOKUP(A183,'DB Country PMI'!$A:$AZ,MATCH($A$1,'DB Country PMI'!$A$1:$AZ$1,),)=0,#N/A,VLOOKUP(A183,'DB Country PMI'!$A:$AZ,MATCH($A$1,'DB Country PMI'!$A$1:$AZ$1,),))</f>
        <v/>
      </c>
      <c r="C183" s="24">
        <f>Table1346811121415161718192022[[#This Row],[PMI]]-B182</f>
        <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4"/>
  <sheetViews>
    <sheetView zoomScale="80" zoomScaleNormal="80" workbookViewId="0">
      <pane ySplit="5" topLeftCell="A169" activePane="bottomLeft" state="frozen"/>
      <selection pane="bottomLeft" activeCell="R185" sqref="R185"/>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Germany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row r="184">
      <c r="A184" s="10" t="n">
        <v>44866</v>
      </c>
      <c r="B184" s="18">
        <f>IF(VLOOKUP(A184,'DB Country PMI'!$A:$AZ,MATCH($A$1,'DB Country PMI'!$A$1:$AZ$1,),)=0,#N/A,VLOOKUP(A184,'DB Country PMI'!$A:$AZ,MATCH($A$1,'DB Country PMI'!$A$1:$AZ$1,),))</f>
        <v/>
      </c>
      <c r="C184" s="24">
        <f>Table1346811121415[[#This Row],[PMI]]-B183</f>
        <v/>
      </c>
    </row>
  </sheetData>
  <conditionalFormatting sqref="C7:C106">
    <cfRule type="colorScale" priority="1">
      <colorScale>
        <cfvo type="min"/>
        <cfvo type="percentile" val="50"/>
        <cfvo type="max"/>
        <color rgb="FFF8696B"/>
        <color rgb="FFFCFCFF"/>
        <color rgb="FF5A8AC6"/>
      </colorScale>
    </cfRule>
  </conditionalFormatting>
  <conditionalFormatting sqref="B6:B184">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7"/>
  <sheetViews>
    <sheetView zoomScale="80" zoomScaleNormal="80" workbookViewId="0">
      <pane ySplit="5" topLeftCell="A164" activePane="bottomLeft" state="frozen"/>
      <selection pane="bottomLeft" activeCell="A161" sqref="A161:C177"/>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France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row r="177">
      <c r="A177" s="10" t="n">
        <v>44866</v>
      </c>
      <c r="B177" s="18">
        <f>IF(VLOOKUP(A177,'DB Country PMI'!$A:$AZ,MATCH($A$1,'DB Country PMI'!$A$1:$AZ$1,),)=0,#N/A,VLOOKUP(A177,'DB Country PMI'!$A:$AZ,MATCH($A$1,'DB Country PMI'!$A$1:$AZ$1,),))</f>
        <v/>
      </c>
      <c r="C177" s="24">
        <f>Table134681112141516[[#This Row],[PMI]]-B176</f>
        <v/>
      </c>
    </row>
  </sheetData>
  <conditionalFormatting sqref="C7:C106">
    <cfRule type="colorScale" priority="1">
      <colorScale>
        <cfvo type="min"/>
        <cfvo type="percentile" val="50"/>
        <cfvo type="max"/>
        <color rgb="FFF8696B"/>
        <color rgb="FFFCFCFF"/>
        <color rgb="FF5A8AC6"/>
      </colorScale>
    </cfRule>
  </conditionalFormatting>
  <conditionalFormatting sqref="B6:B177">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1"/>
  <sheetViews>
    <sheetView zoomScaleNormal="100" workbookViewId="0">
      <pane ySplit="5" topLeftCell="A204" activePane="bottomLeft" state="frozen"/>
      <selection activeCell="P121" sqref="P121"/>
      <selection pane="bottomLeft" activeCell="A209" sqref="A209:F221"/>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United Kingdom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row r="221">
      <c r="A221" s="10" t="n">
        <v>44866</v>
      </c>
      <c r="B221" s="18">
        <f>IF(VLOOKUP(A221,'DB Country PMI'!$A:$AZ,MATCH($A$1,'DB Country PMI'!$A$1:$AZ$1,),)=0,#N/A,VLOOKUP(A221,'DB Country PMI'!$A:$AZ,MATCH($A$1,'DB Country PMI'!$A$1:$AZ$1,),))</f>
        <v/>
      </c>
      <c r="C221" s="24">
        <f>Table134681112[[#This Row],[PMI]]-B220</f>
        <v/>
      </c>
      <c r="D221" s="11">
        <f>IF(VLOOKUP(Table134681112[[#This Row],[Date]],'DB Global PMI'!$A:$F,5)=0,#N/A,VLOOKUP(Table134681112[[#This Row],[Date]],'DB Global PMI'!$A:$F,5))</f>
        <v/>
      </c>
      <c r="E221" s="24">
        <f>Table134681112[[#This Row],[PMI]]-B209</f>
        <v/>
      </c>
      <c r="F221" s="52">
        <f>(Table134681112[[#This Row],[EWU]]-D209)/D209</f>
        <v/>
      </c>
    </row>
  </sheetData>
  <conditionalFormatting sqref="C7:C106">
    <cfRule type="colorScale" priority="1">
      <colorScale>
        <cfvo type="min"/>
        <cfvo type="percentile" val="50"/>
        <cfvo type="max"/>
        <color rgb="FFF8696B"/>
        <color rgb="FFFCFCFF"/>
        <color rgb="FF5A8AC6"/>
      </colorScale>
    </cfRule>
  </conditionalFormatting>
  <conditionalFormatting sqref="B6:B221">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7"/>
  <sheetViews>
    <sheetView zoomScaleNormal="100" workbookViewId="0">
      <pane ySplit="5" topLeftCell="A188" activePane="bottomLeft" state="frozen"/>
      <selection pane="bottomLeft" activeCell="P203" sqref="P203"/>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Italy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row r="197">
      <c r="A197" s="10" t="n">
        <v>44866</v>
      </c>
      <c r="B197" s="18">
        <f>IF(VLOOKUP(A197,'DB Country PMI'!$A:$AZ,MATCH($A$1,'DB Country PMI'!$A$1:$AZ$1,),)=0,#N/A,VLOOKUP(A197,'DB Country PMI'!$A:$AZ,MATCH($A$1,'DB Country PMI'!$A$1:$AZ$1,),))</f>
        <v/>
      </c>
      <c r="C197" s="24">
        <f>Table13468111214151617[[#This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7"/>
  <sheetViews>
    <sheetView zoomScale="70" zoomScaleNormal="70" workbookViewId="0">
      <pane ySplit="5" topLeftCell="A178" activePane="bottomLeft" state="frozen"/>
      <selection pane="bottomLeft" activeCell="R195" sqref="R195"/>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Spain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row r="197">
      <c r="A197" s="10" t="n">
        <v>44866</v>
      </c>
      <c r="B197" s="18">
        <f>IF(VLOOKUP(A197,'DB Country PMI'!$A:$AZ,MATCH($A$1,'DB Country PMI'!$A$1:$AZ$1,),)=0,#N/A,VLOOKUP(A197,'DB Country PMI'!$A:$AZ,MATCH($A$1,'DB Country PMI'!$A$1:$AZ$1,),))</f>
        <v/>
      </c>
      <c r="C197" s="24">
        <f>Table1346811121415161718[[#This Row],[PMI]]-B196</f>
        <v/>
      </c>
    </row>
  </sheetData>
  <conditionalFormatting sqref="C7:C106">
    <cfRule type="colorScale" priority="1">
      <colorScale>
        <cfvo type="min"/>
        <cfvo type="percentile" val="50"/>
        <cfvo type="max"/>
        <color rgb="FFF8696B"/>
        <color rgb="FFFCFCFF"/>
        <color rgb="FF5A8AC6"/>
      </colorScale>
    </cfRule>
  </conditionalFormatting>
  <conditionalFormatting sqref="B6:B19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1"/>
  <sheetViews>
    <sheetView zoomScale="80" zoomScaleNormal="80" workbookViewId="0">
      <pane ySplit="5" topLeftCell="A129" activePane="bottomLeft" state="frozen"/>
      <selection pane="bottomLeft" activeCell="A144" sqref="A144:C151"/>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Brazil</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row r="151">
      <c r="A151" s="10" t="n">
        <v>44866</v>
      </c>
      <c r="B151" s="18">
        <f>IF(VLOOKUP(A151,'DB Country PMI'!$A:$AZ,MATCH($A$1,'DB Country PMI'!$A$1:$AZ$1,),)=0,#N/A,VLOOKUP(A151,'DB Country PMI'!$A:$AZ,MATCH($A$1,'DB Country PMI'!$A$1:$AZ$1,),))</f>
        <v/>
      </c>
      <c r="C151" s="24">
        <f>Table134681112141516171819202223[[#This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5"/>
  <sheetViews>
    <sheetView zoomScale="60" zoomScaleNormal="60" workbookViewId="0">
      <pane ySplit="5" topLeftCell="A118" activePane="bottomLeft" state="frozen"/>
      <selection pane="bottomLeft" activeCell="T144" sqref="T144"/>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Mexico</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row r="145">
      <c r="A145" s="10" t="n">
        <v>44866</v>
      </c>
      <c r="B145" s="18">
        <f>IF(VLOOKUP(A145,'DB Country PMI'!$A:$AZ,MATCH($A$1,'DB Country PMI'!$A$1:$AZ$1,),)=0,#N/A,VLOOKUP(A145,'DB Country PMI'!$A:$AZ,MATCH($A$1,'DB Country PMI'!$A$1:$AZ$1,),))</f>
        <v/>
      </c>
      <c r="C145" s="24">
        <f>Table13468111214151617181920222526[[#This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P148" sqref="P148"/>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Russia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row r="151">
      <c r="A151" s="10" t="n">
        <v>44866</v>
      </c>
      <c r="B151" s="18">
        <f>IF(VLOOKUP(A151,'DB Country PMI'!$A:$AZ,MATCH($A$1,'DB Country PMI'!$A$1:$AZ$1,),)=0,#N/A,VLOOKUP(A151,'DB Country PMI'!$A:$AZ,MATCH($A$1,'DB Country PMI'!$A$1:$AZ$1,),))</f>
        <v/>
      </c>
      <c r="C151" s="24">
        <f>Table134681112141516171819202225[[#This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A143" sqref="A143:C151"/>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India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row r="151">
      <c r="A151" s="10" t="n">
        <v>44866</v>
      </c>
      <c r="B151" s="18">
        <f>IF(VLOOKUP(A151,'DB Country PMI'!$A:$AZ,MATCH($A$1,'DB Country PMI'!$A$1:$AZ$1,),)=0,#N/A,VLOOKUP(A151,'DB Country PMI'!$A:$AZ,MATCH($A$1,'DB Country PMI'!$A$1:$AZ$1,),))</f>
        <v/>
      </c>
      <c r="C151" s="24">
        <f>Table13468111214151617181920222324[[#This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5"/>
  <sheetViews>
    <sheetView zoomScale="90" zoomScaleNormal="90" workbookViewId="0">
      <pane ySplit="5" topLeftCell="A126" activePane="bottomLeft" state="frozen"/>
      <selection pane="bottomLeft" activeCell="P141" sqref="P141"/>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Canada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row r="145">
      <c r="A145" s="10" t="n">
        <v>44866</v>
      </c>
      <c r="B145" s="18">
        <f>IF(VLOOKUP(A145,'DB Country PMI'!$A:$AZ,MATCH($A$1,'DB Country PMI'!$A$1:$AZ$1,),)=0,#N/A,VLOOKUP(A145,'DB Country PMI'!$A:$AZ,MATCH($A$1,'DB Country PMI'!$A$1:$AZ$1,),))</f>
        <v/>
      </c>
      <c r="C145" s="24">
        <f>Table13468[[#This Row],[PMI]]-B144</f>
        <v/>
      </c>
    </row>
  </sheetData>
  <conditionalFormatting sqref="B6:B145">
    <cfRule type="colorScale" priority="2">
      <colorScale>
        <cfvo type="min"/>
        <cfvo type="percentile" val="50"/>
        <cfvo type="max"/>
        <color rgb="FFF8696B"/>
        <color rgb="FFFFEB84"/>
        <color rgb="FF63BE7B"/>
      </colorScale>
    </cfRule>
  </conditionalFormatting>
  <conditionalFormatting sqref="C7:C14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80"/>
  <sheetViews>
    <sheetView zoomScaleNormal="100" workbookViewId="0">
      <pane ySplit="5" topLeftCell="A164" activePane="bottomLeft" state="frozen"/>
      <selection pane="bottomLeft" activeCell="P182" sqref="P182"/>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Australia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row r="180">
      <c r="A180" s="10" t="n">
        <v>44866</v>
      </c>
      <c r="B180" s="18">
        <f>IF(VLOOKUP(A180,'DB Country PMI'!$A:$AZ,MATCH($A$1,'DB Country PMI'!$A$1:$AZ$1,),)=0,#N/A,VLOOKUP(A180,'DB Country PMI'!$A:$AZ,MATCH($A$1,'DB Country PMI'!$A$1:$AZ$1,),))</f>
        <v/>
      </c>
      <c r="C180" s="24">
        <f>Table1346811121415161718192022252627[[#This Row],[PMI]]-B179</f>
        <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5"/>
  <sheetViews>
    <sheetView zoomScaleNormal="100" workbookViewId="0">
      <pane ySplit="5" topLeftCell="A130" activePane="bottomLeft" state="frozen"/>
      <selection pane="bottomLeft" activeCell="A140" sqref="A140:C145"/>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Indonesia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row r="145">
      <c r="A145" s="10" t="n">
        <v>44866</v>
      </c>
      <c r="B145" s="18">
        <f>IF(VLOOKUP(A145,'DB Country PMI'!$A:$AZ,MATCH($A$1,'DB Country PMI'!$A$1:$AZ$1,),)=0,#N/A,VLOOKUP(A145,'DB Country PMI'!$A:$AZ,MATCH($A$1,'DB Country PMI'!$A$1:$AZ$1,),))</f>
        <v/>
      </c>
      <c r="C145" s="24">
        <f>Table13468111214151617181920222530[[#This Row],[PMI]]-B144</f>
        <v/>
      </c>
    </row>
  </sheetData>
  <conditionalFormatting sqref="C7:C145">
    <cfRule type="colorScale" priority="1">
      <colorScale>
        <cfvo type="min"/>
        <cfvo type="percentile" val="50"/>
        <cfvo type="max"/>
        <color rgb="FFF8696B"/>
        <color rgb="FFFCFCFF"/>
        <color rgb="FF5A8AC6"/>
      </colorScale>
    </cfRule>
  </conditionalFormatting>
  <conditionalFormatting sqref="B6:B145">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9"/>
  <sheetViews>
    <sheetView zoomScale="80" zoomScaleNormal="80" workbookViewId="0">
      <pane ySplit="5" topLeftCell="A130" activePane="bottomLeft" state="frozen"/>
      <selection pane="bottomLeft" activeCell="P147" sqref="P147"/>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South Korea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row r="149">
      <c r="A149" s="10" t="n">
        <v>44866</v>
      </c>
      <c r="B149" s="18">
        <f>IF(VLOOKUP(A149,'DB Country PMI'!$A:$AZ,MATCH($A$1,'DB Country PMI'!$A$1:$AZ$1,),)=0,#N/A,VLOOKUP(A149,'DB Country PMI'!$A:$AZ,MATCH($A$1,'DB Country PMI'!$A$1:$AZ$1,),))</f>
        <v/>
      </c>
      <c r="C149" s="24">
        <f>Table1346811121415161718192022252629[[#This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1"/>
  <sheetViews>
    <sheetView zoomScale="90" zoomScaleNormal="90" workbookViewId="0">
      <pane ySplit="5" topLeftCell="A137" activePane="bottomLeft" state="frozen"/>
      <selection pane="bottomLeft" activeCell="O151" sqref="O151"/>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Taiwan</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row r="151">
      <c r="A151" s="10" t="n">
        <v>44866</v>
      </c>
      <c r="B151" s="18">
        <f>IF(VLOOKUP(A151,'DB Country PMI'!$A:$AZ,MATCH($A$1,'DB Country PMI'!$A$1:$AZ$1,),)=0,#N/A,VLOOKUP(A151,'DB Country PMI'!$A:$AZ,MATCH($A$1,'DB Country PMI'!$A$1:$AZ$1,),))</f>
        <v/>
      </c>
      <c r="C151" s="24">
        <f>Table1346811121415161718192022253033[[#This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1"/>
  <sheetViews>
    <sheetView zoomScale="80" zoomScaleNormal="80" workbookViewId="0">
      <pane ySplit="5" topLeftCell="A136" activePane="bottomLeft" state="frozen"/>
      <selection pane="bottomLeft" activeCell="P150" sqref="P150"/>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Greece</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row r="151">
      <c r="A151" s="10" t="n">
        <v>44866</v>
      </c>
      <c r="B151" s="18">
        <f>IF(VLOOKUP(A151,'DB Country PMI'!$A:$AZ,MATCH($A$1,'DB Country PMI'!$A$1:$AZ$1,),)=0,#N/A,VLOOKUP(A151,'DB Country PMI'!$A:$AZ,MATCH($A$1,'DB Country PMI'!$A$1:$AZ$1,),))</f>
        <v/>
      </c>
      <c r="C151" s="24">
        <f>Table134681112141516171819[[#This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1"/>
  <sheetViews>
    <sheetView zoomScale="90" zoomScaleNormal="90" workbookViewId="0">
      <pane ySplit="5" topLeftCell="A136" activePane="bottomLeft" state="frozen"/>
      <selection pane="bottomLeft" activeCell="O148" sqref="O148"/>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Ireland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row r="151">
      <c r="A151" s="10" t="n">
        <v>44866</v>
      </c>
      <c r="B151" s="18">
        <f>IF(VLOOKUP(A151,'DB Country PMI'!$A:$AZ,MATCH($A$1,'DB Country PMI'!$A$1:$AZ$1,),)=0,#N/A,VLOOKUP(A151,'DB Country PMI'!$A:$AZ,MATCH($A$1,'DB Country PMI'!$A$1:$AZ$1,),))</f>
        <v/>
      </c>
      <c r="C151" s="24">
        <f>Table13468111214151617181920[[#This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1"/>
  <sheetViews>
    <sheetView zoomScaleNormal="100" workbookViewId="0">
      <pane ySplit="5" topLeftCell="A137" activePane="bottomLeft" state="frozen"/>
      <selection pane="bottomLeft" activeCell="O150" sqref="O150"/>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Turkey</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row r="151">
      <c r="A151" s="10" t="n">
        <v>44866</v>
      </c>
      <c r="B151" s="18">
        <f>IF(VLOOKUP(A151,'DB Country PMI'!$A:$AZ,MATCH($A$1,'DB Country PMI'!$A$1:$AZ$1,),)=0,#N/A,VLOOKUP(A151,'DB Country PMI'!$A:$AZ,MATCH($A$1,'DB Country PMI'!$A$1:$AZ$1,),))</f>
        <v/>
      </c>
      <c r="C151" s="24">
        <f>Table134681112141516171819202225303334[[#This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1"/>
  <sheetViews>
    <sheetView zoomScaleNormal="100" workbookViewId="0">
      <pane ySplit="5" topLeftCell="A139" activePane="bottomLeft" state="frozen"/>
      <selection pane="bottomLeft" activeCell="O156" sqref="O156"/>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Czech Republic</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row r="151">
      <c r="A151" s="10" t="n">
        <v>44866</v>
      </c>
      <c r="B151" s="18">
        <f>IF(VLOOKUP(A151,'DB Country PMI'!$A:$AZ,MATCH($A$1,'DB Country PMI'!$A$1:$AZ$1,),)=0,#N/A,VLOOKUP(A151,'DB Country PMI'!$A:$AZ,MATCH($A$1,'DB Country PMI'!$A$1:$AZ$1,),))</f>
        <v/>
      </c>
      <c r="C151" s="24">
        <f>Table13468111214151617181920222530333435[[#This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1"/>
  <sheetViews>
    <sheetView zoomScale="90" zoomScaleNormal="90" workbookViewId="0">
      <pane ySplit="5" topLeftCell="A138" activePane="bottomLeft" state="frozen"/>
      <selection pane="bottomLeft" activeCell="A136" sqref="A136:C151"/>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Poland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row r="151">
      <c r="A151" s="10" t="n">
        <v>44866</v>
      </c>
      <c r="B151" s="18">
        <f>IF(VLOOKUP(A151,'DB Country PMI'!$A:$AZ,MATCH($A$1,'DB Country PMI'!$A$1:$AZ$1,),)=0,#N/A,VLOOKUP(A151,'DB Country PMI'!$A:$AZ,MATCH($A$1,'DB Country PMI'!$A$1:$AZ$1,),))</f>
        <v/>
      </c>
      <c r="C151" s="24">
        <f>Table1346811121415161718192022253033343536[[#This Row],[PMI]]-B150</f>
        <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2"/>
  <sheetViews>
    <sheetView zoomScaleNormal="100" workbookViewId="0">
      <pane ySplit="5" topLeftCell="A344" activePane="bottomLeft" state="frozen"/>
      <selection pane="bottomLeft" activeCell="A329" sqref="A329:C352"/>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Denmark</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row r="352">
      <c r="A352" s="10" t="n">
        <v>44866</v>
      </c>
      <c r="B352" s="18">
        <f>IF(VLOOKUP(A352,'DB Country PMI'!$A:$AZ,MATCH($A$1,'DB Country PMI'!$A$1:$AZ$1,),)=0,#N/A,VLOOKUP(A352,'DB Country PMI'!$A:$AZ,MATCH($A$1,'DB Country PMI'!$A$1:$AZ$1,),))</f>
        <v/>
      </c>
      <c r="C352" s="24">
        <f>Table13[[#This Row],[PMI]]-B351</f>
        <v/>
      </c>
    </row>
  </sheetData>
  <conditionalFormatting sqref="C198:C352">
    <cfRule type="colorScale" priority="2">
      <colorScale>
        <cfvo type="min"/>
        <cfvo type="percentile" val="50"/>
        <cfvo type="max"/>
        <color rgb="FFF8696B"/>
        <color rgb="FFFCFCFF"/>
        <color rgb="FF5A8AC6"/>
      </colorScale>
    </cfRule>
  </conditionalFormatting>
  <conditionalFormatting sqref="B198:B3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30"/>
  <sheetViews>
    <sheetView zoomScaleNormal="100" workbookViewId="0">
      <pane ySplit="5" topLeftCell="A117" activePane="bottomLeft" state="frozen"/>
      <selection activeCell="P121" sqref="P121"/>
      <selection pane="bottomLeft" activeCell="A116" sqref="A116:C130"/>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Vietnam</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row r="130">
      <c r="A130" s="10" t="n">
        <v>44866</v>
      </c>
      <c r="B130" s="18">
        <f>IF(VLOOKUP(A130,'DB Country PMI'!$A:$AZ,MATCH($A$1,'DB Country PMI'!$A$1:$AZ$1,),)=0,#N/A,VLOOKUP(A130,'DB Country PMI'!$A:$AZ,MATCH($A$1,'DB Country PMI'!$A$1:$AZ$1,),))</f>
        <v/>
      </c>
      <c r="C130" s="24">
        <f>Table134[[#This Row],[PMI]]-B129</f>
        <v/>
      </c>
    </row>
  </sheetData>
  <conditionalFormatting sqref="B6:B130">
    <cfRule type="colorScale" priority="2">
      <colorScale>
        <cfvo type="min"/>
        <cfvo type="percentile" val="50"/>
        <cfvo type="max"/>
        <color rgb="FFF8696B"/>
        <color rgb="FFFFEB84"/>
        <color rgb="FF63BE7B"/>
      </colorScale>
    </cfRule>
  </conditionalFormatting>
  <conditionalFormatting sqref="C7:C13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2"/>
  <sheetViews>
    <sheetView zoomScaleNormal="100" workbookViewId="0">
      <pane ySplit="5" topLeftCell="A67" activePane="bottomLeft" state="frozen"/>
      <selection pane="bottomLeft" activeCell="A66" sqref="A66:C82"/>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Thailand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row r="82">
      <c r="A82" s="10" t="n">
        <v>44866</v>
      </c>
      <c r="B82" s="18">
        <f>IF(VLOOKUP(A82,'DB Country PMI'!$A:$AZ,MATCH($A$1,'DB Country PMI'!$A$1:$AZ$1,),)=0,#N/A,VLOOKUP(A82,'DB Country PMI'!$A:$AZ,MATCH($A$1,'DB Country PMI'!$A$1:$AZ$1,),))</f>
        <v/>
      </c>
      <c r="C82" s="24">
        <f>Table1345[[#This Row],[PMI]]-B81</f>
        <v/>
      </c>
    </row>
  </sheetData>
  <conditionalFormatting sqref="B6:B82">
    <cfRule type="colorScale" priority="51">
      <colorScale>
        <cfvo type="min"/>
        <cfvo type="percentile" val="50"/>
        <cfvo type="max"/>
        <color rgb="FFF8696B"/>
        <color rgb="FFFFEB84"/>
        <color rgb="FF63BE7B"/>
      </colorScale>
    </cfRule>
  </conditionalFormatting>
  <conditionalFormatting sqref="C7:C8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80"/>
  <sheetViews>
    <sheetView zoomScale="90" zoomScaleNormal="90" workbookViewId="0">
      <pane ySplit="5" topLeftCell="A269" activePane="bottomLeft" state="frozen"/>
      <selection pane="bottomLeft" activeCell="O282" sqref="O282"/>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South Africa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row r="280">
      <c r="A280" s="10" t="n">
        <v>44866</v>
      </c>
      <c r="B280" s="18">
        <f>IF(VLOOKUP(A280,'DB Country PMI'!$A:$AZ,MATCH($A$1,'DB Country PMI'!$A$1:$AZ$1,),)=0,#N/A,VLOOKUP(A280,'DB Country PMI'!$A:$AZ,MATCH($A$1,'DB Country PMI'!$A$1:$AZ$1,),))</f>
        <v/>
      </c>
      <c r="C280" s="24">
        <f>Table1346[[#This Row],[PMI]]-B279</f>
        <v/>
      </c>
    </row>
  </sheetData>
  <conditionalFormatting sqref="C126:C280">
    <cfRule type="colorScale" priority="59">
      <colorScale>
        <cfvo type="min"/>
        <cfvo type="percentile" val="50"/>
        <cfvo type="max"/>
        <color rgb="FFF8696B"/>
        <color rgb="FFFCFCFF"/>
        <color rgb="FF5A8AC6"/>
      </colorScale>
    </cfRule>
  </conditionalFormatting>
  <conditionalFormatting sqref="B126:B2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0"/>
  <sheetViews>
    <sheetView zoomScale="70" zoomScaleNormal="70" workbookViewId="0">
      <pane ySplit="5" topLeftCell="A109" activePane="bottomLeft" state="frozen"/>
      <selection pane="bottomLeft" activeCell="T129" sqref="T129"/>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Hong Kong</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6"/>
  <sheetViews>
    <sheetView zoomScale="80" zoomScaleNormal="80" workbookViewId="0">
      <pane ySplit="5" topLeftCell="A75" activePane="bottomLeft" state="frozen"/>
      <selection pane="bottomLeft" activeCell="Q93" sqref="Q93"/>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Saudi Arabia</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8"/>
  <sheetViews>
    <sheetView zoomScale="90" zoomScaleNormal="90" workbookViewId="0">
      <pane ySplit="5" topLeftCell="A231" activePane="bottomLeft" state="frozen"/>
      <selection activeCell="B327" sqref="B327"/>
      <selection pane="bottomLeft" activeCell="Q242" sqref="Q242"/>
    </sheetView>
  </sheetViews>
  <sheetFormatPr baseColWidth="8" defaultColWidth="9.1796875" defaultRowHeight="14.5"/>
  <cols>
    <col width="13.453125" customWidth="1" style="69" min="1" max="1"/>
    <col width="11.36328125" customWidth="1" style="69" min="2" max="2"/>
    <col width="9.1796875" customWidth="1" style="69" min="3" max="51"/>
    <col width="9.1796875" customWidth="1" style="69" min="52" max="16384"/>
  </cols>
  <sheetData>
    <row r="1">
      <c r="A1" s="69" t="inlineStr">
        <is>
          <t>New Zealand</t>
        </is>
      </c>
      <c r="K1" s="69" t="inlineStr">
        <is>
          <t xml:space="preserve"> Manufacturing PMI</t>
        </is>
      </c>
    </row>
    <row r="2">
      <c r="K2" s="69">
        <f>A1&amp;K1</f>
        <v/>
      </c>
    </row>
    <row r="4" ht="16" customHeight="1" thickBot="1"/>
    <row r="5" ht="16" customHeight="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2022-12-27T12:44:03Z</dcterms:modified>
  <cp:lastModifiedBy>Mark Mukherjee</cp:lastModifiedBy>
</cp:coreProperties>
</file>